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tables/table4.xml" ContentType="application/vnd.openxmlformats-officedocument.spreadsheetml.table+xml"/>
  <Override PartName="/xl/tables/table16.xml" ContentType="application/vnd.openxmlformats-officedocument.spreadsheetml.table+xml"/>
  <Override PartName="/xl/tables/table25.xml" ContentType="application/vnd.openxmlformats-officedocument.spreadsheetml.table+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2.xml" ContentType="application/vnd.openxmlformats-officedocument.spreadsheetml.table+xml"/>
  <Override PartName="/xl/tables/table14.xml" ContentType="application/vnd.openxmlformats-officedocument.spreadsheetml.table+xml"/>
  <Override PartName="/xl/tables/table23.xml" ContentType="application/vnd.openxmlformats-officedocument.spreadsheetml.table+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tables/table12.xml" ContentType="application/vnd.openxmlformats-officedocument.spreadsheetml.table+xml"/>
  <Override PartName="/xl/tables/table21.xml" ContentType="application/vnd.openxmlformats-officedocument.spreadsheetml.table+xml"/>
  <Default Extension="rels" ContentType="application/vnd.openxmlformats-package.relationships+xml"/>
  <Default Extension="xml" ContentType="application/xml"/>
  <Override PartName="/xl/worksheets/sheet5.xml" ContentType="application/vnd.openxmlformats-officedocument.spreadsheetml.worksheet+xml"/>
  <Override PartName="/xl/tables/table10.xml" ContentType="application/vnd.openxmlformats-officedocument.spreadsheetml.table+xml"/>
  <Override PartName="/xl/drawings/drawing2.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Override PartName="/xl/pivotCache/pivotCacheDefinition1.xml" ContentType="application/vnd.openxmlformats-officedocument.spreadsheetml.pivotCacheDefinition+xml"/>
  <Default Extension="vml" ContentType="application/vnd.openxmlformats-officedocument.vmlDrawing"/>
  <Override PartName="/xl/comments1.xml" ContentType="application/vnd.openxmlformats-officedocument.spreadsheetml.comments+xml"/>
  <Override PartName="/xl/tables/table9.xml" ContentType="application/vnd.openxmlformats-officedocument.spreadsheetml.table+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tables/table7.xml" ContentType="application/vnd.openxmlformats-officedocument.spreadsheetml.table+xml"/>
  <Override PartName="/xl/tables/table8.xml" ContentType="application/vnd.openxmlformats-officedocument.spreadsheetml.table+xml"/>
  <Override PartName="/xl/tables/table19.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pivotCache/pivotCacheRecords1.xml" ContentType="application/vnd.openxmlformats-officedocument.spreadsheetml.pivotCacheRecords+xml"/>
  <Override PartName="/xl/tables/table5.xml" ContentType="application/vnd.openxmlformats-officedocument.spreadsheetml.table+xml"/>
  <Override PartName="/xl/tables/table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Default Extension="png" ContentType="image/png"/>
  <Override PartName="/xl/tables/table3.xml" ContentType="application/vnd.openxmlformats-officedocument.spreadsheetml.table+xml"/>
  <Override PartName="/xl/tables/table15.xml" ContentType="application/vnd.openxmlformats-officedocument.spreadsheetml.table+xml"/>
  <Override PartName="/xl/tables/table24.xml" ContentType="application/vnd.openxmlformats-officedocument.spreadsheetml.table+xml"/>
  <Override PartName="/xl/worksheets/sheet14.xml" ContentType="application/vnd.openxmlformats-officedocument.spreadsheetml.worksheet+xml"/>
  <Override PartName="/xl/worksheets/sheet23.xml" ContentType="application/vnd.openxmlformats-officedocument.spreadsheetml.worksheet+xml"/>
  <Override PartName="/xl/tables/table1.xml" ContentType="application/vnd.openxmlformats-officedocument.spreadsheetml.table+xml"/>
  <Override PartName="/xl/tables/table13.xml" ContentType="application/vnd.openxmlformats-officedocument.spreadsheetml.table+xml"/>
  <Override PartName="/xl/tables/table22.xml" ContentType="application/vnd.openxmlformats-officedocument.spreadsheetml.table+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pivotTables/pivotTable1.xml" ContentType="application/vnd.openxmlformats-officedocument.spreadsheetml.pivotTable+xml"/>
  <Override PartName="/xl/tables/table11.xml" ContentType="application/vnd.openxmlformats-officedocument.spreadsheetml.table+xml"/>
  <Override PartName="/xl/tables/table20.xml" ContentType="application/vnd.openxmlformats-officedocument.spreadsheetml.table+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hidePivotFieldList="1" defaultThemeVersion="124226"/>
  <bookViews>
    <workbookView xWindow="30" yWindow="45" windowWidth="14490" windowHeight="7920" tabRatio="815"/>
  </bookViews>
  <sheets>
    <sheet name="Cover Page" sheetId="35" r:id="rId1"/>
    <sheet name="Qualified Org's" sheetId="33" r:id="rId2"/>
    <sheet name="Procure Sched" sheetId="6" r:id="rId3"/>
    <sheet name="Mandatory" sheetId="37" r:id="rId4"/>
    <sheet name="STP (Suitable to Procure)" sheetId="15" r:id="rId5"/>
    <sheet name="SW001" sheetId="9" r:id="rId6"/>
    <sheet name="SW015" sheetId="10" r:id="rId7"/>
    <sheet name="SW022" sheetId="11" r:id="rId8"/>
    <sheet name="SW064" sheetId="12" r:id="rId9"/>
    <sheet name="SW078" sheetId="13" r:id="rId10"/>
    <sheet name="SW097" sheetId="16" r:id="rId11"/>
    <sheet name="SW104" sheetId="17" r:id="rId12"/>
    <sheet name="SW131" sheetId="18" r:id="rId13"/>
    <sheet name="SW172" sheetId="19" r:id="rId14"/>
    <sheet name="SW177" sheetId="20" r:id="rId15"/>
    <sheet name="SW203" sheetId="21" r:id="rId16"/>
    <sheet name="SW320" sheetId="30" r:id="rId17"/>
    <sheet name="SW700" sheetId="22" r:id="rId18"/>
    <sheet name="SW772" sheetId="23" r:id="rId19"/>
    <sheet name="SW800" sheetId="24" r:id="rId20"/>
    <sheet name="SW801" sheetId="25" r:id="rId21"/>
    <sheet name="SW803" sheetId="26" r:id="rId22"/>
    <sheet name="SW910" sheetId="36" r:id="rId23"/>
    <sheet name="SW915" sheetId="27" r:id="rId24"/>
    <sheet name="SW916" sheetId="28" r:id="rId25"/>
    <sheet name="SW917" sheetId="29" r:id="rId26"/>
  </sheets>
  <calcPr calcId="125725"/>
  <pivotCaches>
    <pivotCache cacheId="2" r:id="rId27"/>
  </pivotCaches>
</workbook>
</file>

<file path=xl/calcChain.xml><?xml version="1.0" encoding="utf-8"?>
<calcChain xmlns="http://schemas.openxmlformats.org/spreadsheetml/2006/main">
  <c r="I2215" i="6"/>
  <c r="F2215"/>
  <c r="E2215"/>
  <c r="I2214"/>
  <c r="F2214"/>
  <c r="E2214"/>
  <c r="I2213"/>
  <c r="G2213"/>
  <c r="F2213"/>
  <c r="E2213"/>
  <c r="I2212"/>
  <c r="G2212"/>
  <c r="F2212"/>
  <c r="E2212"/>
  <c r="I2211"/>
  <c r="G2211"/>
  <c r="F2211"/>
  <c r="E2211"/>
  <c r="I2204"/>
  <c r="G2204"/>
  <c r="F2204"/>
  <c r="E2204"/>
  <c r="I2210"/>
  <c r="G2210"/>
  <c r="F2210"/>
  <c r="E2210"/>
  <c r="I2209"/>
  <c r="G2209"/>
  <c r="F2209"/>
  <c r="E2209"/>
  <c r="I2208"/>
  <c r="G2208"/>
  <c r="F2208"/>
  <c r="E2208"/>
  <c r="I2207"/>
  <c r="G2207"/>
  <c r="F2207"/>
  <c r="E2207"/>
  <c r="I2235"/>
  <c r="G2235"/>
  <c r="F2235"/>
  <c r="E2235"/>
  <c r="I2203"/>
  <c r="G2203"/>
  <c r="F2203"/>
  <c r="E2203"/>
  <c r="I2234"/>
  <c r="G2234"/>
  <c r="F2234"/>
  <c r="E2234"/>
  <c r="I2201"/>
  <c r="G2201"/>
  <c r="F2201"/>
  <c r="E2201"/>
  <c r="I2233"/>
  <c r="G2233"/>
  <c r="F2233"/>
  <c r="E2233"/>
  <c r="I2232"/>
  <c r="G2232"/>
  <c r="F2232"/>
  <c r="E2232"/>
  <c r="I2217"/>
  <c r="G2217"/>
  <c r="F2217"/>
  <c r="E2217"/>
  <c r="I2190"/>
  <c r="I2189"/>
  <c r="I2188"/>
  <c r="I2187"/>
  <c r="I2185"/>
  <c r="I2216"/>
  <c r="G2216"/>
  <c r="F2216"/>
  <c r="E2216"/>
  <c r="I2225"/>
  <c r="G2225"/>
  <c r="F2225"/>
  <c r="E2225"/>
  <c r="I2224"/>
  <c r="G2224"/>
  <c r="F2224"/>
  <c r="E2224"/>
  <c r="I2206"/>
  <c r="G2206"/>
  <c r="F2206"/>
  <c r="E2206"/>
  <c r="I2223"/>
  <c r="G2223"/>
  <c r="F2223"/>
  <c r="E2223"/>
  <c r="I2167"/>
  <c r="G2167"/>
  <c r="F2167"/>
  <c r="G2184"/>
  <c r="G2222"/>
  <c r="E2222"/>
  <c r="I2221"/>
  <c r="G2221"/>
  <c r="F2221"/>
  <c r="E2221"/>
  <c r="I2220"/>
  <c r="G2220"/>
  <c r="F2220"/>
  <c r="E2220"/>
  <c r="I2196"/>
  <c r="G2196"/>
  <c r="F2196"/>
  <c r="E2196"/>
  <c r="I2195"/>
  <c r="G2195"/>
  <c r="F2195"/>
  <c r="E2195"/>
  <c r="I2174"/>
  <c r="G2174"/>
  <c r="F2174"/>
  <c r="G2166"/>
  <c r="F2166"/>
  <c r="G2173"/>
  <c r="G2172"/>
  <c r="G2178"/>
  <c r="G2169"/>
  <c r="G2168"/>
  <c r="I2171"/>
  <c r="G2171"/>
  <c r="I2177"/>
  <c r="G2177"/>
  <c r="G2176"/>
  <c r="G2183"/>
  <c r="G2182"/>
  <c r="I2231"/>
  <c r="G2231"/>
  <c r="F2231"/>
  <c r="E2231"/>
  <c r="I2202"/>
  <c r="G2202"/>
  <c r="F2202"/>
  <c r="E2202"/>
  <c r="I2230"/>
  <c r="G2230"/>
  <c r="F2230"/>
  <c r="E2230"/>
  <c r="I2200"/>
  <c r="G2200"/>
  <c r="F2200"/>
  <c r="E2200"/>
  <c r="I2197"/>
  <c r="G2197"/>
  <c r="F2197"/>
  <c r="E2197"/>
  <c r="I2170"/>
  <c r="G2170"/>
  <c r="I2175"/>
  <c r="G2175"/>
  <c r="G2237"/>
  <c r="E2237"/>
  <c r="I2229"/>
  <c r="G2229"/>
  <c r="F2229"/>
  <c r="E2229"/>
  <c r="G2236"/>
  <c r="F2236"/>
  <c r="E2236"/>
  <c r="I2228"/>
  <c r="G2228"/>
  <c r="F2228"/>
  <c r="E2228"/>
  <c r="I2205"/>
  <c r="G2205"/>
  <c r="F2205"/>
  <c r="E2205"/>
  <c r="I2227"/>
  <c r="G2227"/>
  <c r="F2227"/>
  <c r="E2227"/>
  <c r="I2194"/>
  <c r="G2194"/>
  <c r="F2194"/>
  <c r="E2194"/>
  <c r="I2226"/>
  <c r="G2226"/>
  <c r="F2226"/>
  <c r="E2226"/>
  <c r="I2219"/>
  <c r="G2219"/>
  <c r="F2219"/>
  <c r="E2219"/>
  <c r="I2199"/>
  <c r="G2199"/>
  <c r="F2199"/>
  <c r="E2199"/>
  <c r="I2218"/>
  <c r="G2218"/>
  <c r="F2218"/>
  <c r="E2218"/>
  <c r="I2198"/>
  <c r="G2198"/>
  <c r="F2198"/>
  <c r="E2198"/>
  <c r="E18" i="13"/>
  <c r="F16"/>
  <c r="E16"/>
  <c r="I154" i="9"/>
  <c r="G154"/>
  <c r="E154"/>
  <c r="I153"/>
  <c r="G153"/>
  <c r="E153"/>
  <c r="I152"/>
  <c r="G152"/>
  <c r="E152"/>
  <c r="I2247" i="6"/>
  <c r="I2250"/>
  <c r="I2249"/>
  <c r="I2248"/>
  <c r="I12" i="10"/>
  <c r="I11"/>
  <c r="I1701" i="6"/>
  <c r="I1700"/>
  <c r="G2" i="9"/>
  <c r="E759" i="6"/>
  <c r="E444"/>
  <c r="I16" i="36"/>
  <c r="G16"/>
  <c r="F16"/>
  <c r="E16"/>
  <c r="I15"/>
  <c r="G15"/>
  <c r="F15"/>
  <c r="E15"/>
  <c r="I14"/>
  <c r="G14"/>
  <c r="F14"/>
  <c r="E14"/>
  <c r="I13"/>
  <c r="G13"/>
  <c r="F13"/>
  <c r="E13"/>
  <c r="I12"/>
  <c r="G12"/>
  <c r="F12"/>
  <c r="E12"/>
  <c r="I11"/>
  <c r="G11"/>
  <c r="F11"/>
  <c r="E11"/>
  <c r="I10"/>
  <c r="G10"/>
  <c r="F10"/>
  <c r="E10"/>
  <c r="I9"/>
  <c r="G9"/>
  <c r="F9"/>
  <c r="E9"/>
  <c r="I8"/>
  <c r="G8"/>
  <c r="F8"/>
  <c r="E8"/>
  <c r="I7"/>
  <c r="G7"/>
  <c r="F7"/>
  <c r="E7"/>
  <c r="I6"/>
  <c r="G6"/>
  <c r="F6"/>
  <c r="E6"/>
  <c r="I5"/>
  <c r="G5"/>
  <c r="F5"/>
  <c r="E5"/>
  <c r="I4"/>
  <c r="G4"/>
  <c r="F4"/>
  <c r="E4"/>
  <c r="I3"/>
  <c r="G3"/>
  <c r="F3"/>
  <c r="E3"/>
  <c r="I2"/>
  <c r="G2"/>
  <c r="F2"/>
  <c r="E2"/>
  <c r="F1938" i="6"/>
  <c r="I20" i="16"/>
  <c r="G20"/>
  <c r="I19"/>
  <c r="G19"/>
  <c r="I18"/>
  <c r="G18"/>
  <c r="I17"/>
  <c r="G17"/>
  <c r="I16"/>
  <c r="G16"/>
  <c r="I15"/>
  <c r="G15"/>
  <c r="I14"/>
  <c r="G14"/>
  <c r="I13"/>
  <c r="G13"/>
  <c r="I12"/>
  <c r="G12"/>
  <c r="I11"/>
  <c r="G11"/>
  <c r="I10"/>
  <c r="G10"/>
  <c r="I9"/>
  <c r="G9"/>
  <c r="I8"/>
  <c r="G8"/>
  <c r="I1454" i="6"/>
  <c r="I1453"/>
  <c r="I1452"/>
  <c r="I1451"/>
  <c r="I1450"/>
  <c r="I1449"/>
  <c r="I1448"/>
  <c r="I1447"/>
  <c r="I1446"/>
  <c r="I1458"/>
  <c r="I1457"/>
  <c r="I1456"/>
  <c r="I1455"/>
  <c r="G1454"/>
  <c r="G1453"/>
  <c r="G1452"/>
  <c r="G1451"/>
  <c r="G1450"/>
  <c r="G1449"/>
  <c r="G1448"/>
  <c r="G1447"/>
  <c r="G1446"/>
  <c r="G1458"/>
  <c r="G1457"/>
  <c r="G1456"/>
  <c r="G1455"/>
  <c r="E1760"/>
  <c r="I24" i="30"/>
  <c r="G24"/>
  <c r="F24"/>
  <c r="E24"/>
  <c r="I23"/>
  <c r="G23"/>
  <c r="F23"/>
  <c r="E23"/>
  <c r="I22"/>
  <c r="G22"/>
  <c r="F22"/>
  <c r="E22"/>
  <c r="I21"/>
  <c r="G21"/>
  <c r="F21"/>
  <c r="E21"/>
  <c r="I20"/>
  <c r="G20"/>
  <c r="F20"/>
  <c r="E20"/>
  <c r="I19"/>
  <c r="G19"/>
  <c r="F19"/>
  <c r="E19"/>
  <c r="I15"/>
  <c r="G15"/>
  <c r="F15"/>
  <c r="E15"/>
  <c r="I18"/>
  <c r="G18"/>
  <c r="F18"/>
  <c r="E18"/>
  <c r="I17"/>
  <c r="G17"/>
  <c r="F17"/>
  <c r="E17"/>
  <c r="I16"/>
  <c r="G16"/>
  <c r="F16"/>
  <c r="E16"/>
  <c r="I14"/>
  <c r="G14"/>
  <c r="F14"/>
  <c r="E14"/>
  <c r="I13"/>
  <c r="G13"/>
  <c r="F13"/>
  <c r="E13"/>
  <c r="I10"/>
  <c r="G10"/>
  <c r="F10"/>
  <c r="E10"/>
  <c r="I9"/>
  <c r="G9"/>
  <c r="F9"/>
  <c r="E9"/>
  <c r="I8"/>
  <c r="G8"/>
  <c r="F8"/>
  <c r="E8"/>
  <c r="I7"/>
  <c r="G7"/>
  <c r="F7"/>
  <c r="E7"/>
  <c r="I6"/>
  <c r="G6"/>
  <c r="F6"/>
  <c r="E6"/>
  <c r="I5"/>
  <c r="G5"/>
  <c r="F5"/>
  <c r="E5"/>
  <c r="I4"/>
  <c r="G4"/>
  <c r="F4"/>
  <c r="E4"/>
  <c r="I3"/>
  <c r="G3"/>
  <c r="F3"/>
  <c r="E3"/>
  <c r="I2"/>
  <c r="G2"/>
  <c r="F2"/>
  <c r="E2"/>
  <c r="I12"/>
  <c r="G12"/>
  <c r="F12"/>
  <c r="E12"/>
  <c r="I11"/>
  <c r="G11"/>
  <c r="F11"/>
  <c r="E11"/>
  <c r="I14" i="29"/>
  <c r="G14"/>
  <c r="F14"/>
  <c r="E14"/>
  <c r="I10"/>
  <c r="G10"/>
  <c r="F10"/>
  <c r="E10"/>
  <c r="I3"/>
  <c r="G3"/>
  <c r="F3"/>
  <c r="E3"/>
  <c r="I11"/>
  <c r="G11"/>
  <c r="F11"/>
  <c r="E11"/>
  <c r="I6"/>
  <c r="G6"/>
  <c r="F6"/>
  <c r="E6"/>
  <c r="I5"/>
  <c r="G5"/>
  <c r="F5"/>
  <c r="E5"/>
  <c r="I16"/>
  <c r="G16"/>
  <c r="F16"/>
  <c r="E16"/>
  <c r="I15"/>
  <c r="G15"/>
  <c r="F15"/>
  <c r="E15"/>
  <c r="I13"/>
  <c r="G13"/>
  <c r="F13"/>
  <c r="E13"/>
  <c r="I12"/>
  <c r="G12"/>
  <c r="F12"/>
  <c r="E12"/>
  <c r="I9"/>
  <c r="G9"/>
  <c r="F9"/>
  <c r="E9"/>
  <c r="I8"/>
  <c r="G8"/>
  <c r="F8"/>
  <c r="E8"/>
  <c r="I7"/>
  <c r="G7"/>
  <c r="F7"/>
  <c r="E7"/>
  <c r="I4"/>
  <c r="G4"/>
  <c r="F4"/>
  <c r="E4"/>
  <c r="I2"/>
  <c r="G2"/>
  <c r="F2"/>
  <c r="E2"/>
  <c r="I20" i="27"/>
  <c r="G20"/>
  <c r="F20"/>
  <c r="E20"/>
  <c r="I19"/>
  <c r="G19"/>
  <c r="F19"/>
  <c r="E19"/>
  <c r="I18"/>
  <c r="G18"/>
  <c r="F18"/>
  <c r="E18"/>
  <c r="I17"/>
  <c r="G17"/>
  <c r="F17"/>
  <c r="E17"/>
  <c r="I16"/>
  <c r="G16"/>
  <c r="F16"/>
  <c r="E16"/>
  <c r="I15"/>
  <c r="G15"/>
  <c r="F15"/>
  <c r="E15"/>
  <c r="I14"/>
  <c r="G14"/>
  <c r="F14"/>
  <c r="E14"/>
  <c r="I4"/>
  <c r="G4"/>
  <c r="F4"/>
  <c r="E4"/>
  <c r="I3"/>
  <c r="G3"/>
  <c r="F3"/>
  <c r="E3"/>
  <c r="I2"/>
  <c r="G2"/>
  <c r="F2"/>
  <c r="E2"/>
  <c r="I13"/>
  <c r="G13"/>
  <c r="F13"/>
  <c r="E13"/>
  <c r="I12"/>
  <c r="G12"/>
  <c r="F12"/>
  <c r="E12"/>
  <c r="I11"/>
  <c r="G11"/>
  <c r="F11"/>
  <c r="E11"/>
  <c r="I10"/>
  <c r="G10"/>
  <c r="F10"/>
  <c r="E10"/>
  <c r="I9"/>
  <c r="G9"/>
  <c r="F9"/>
  <c r="E9"/>
  <c r="I8"/>
  <c r="G8"/>
  <c r="F8"/>
  <c r="E8"/>
  <c r="I7"/>
  <c r="G7"/>
  <c r="F7"/>
  <c r="E7"/>
  <c r="I6"/>
  <c r="G6"/>
  <c r="F6"/>
  <c r="E6"/>
  <c r="I5"/>
  <c r="G5"/>
  <c r="F5"/>
  <c r="E5"/>
  <c r="I2" i="26"/>
  <c r="G2"/>
  <c r="F2"/>
  <c r="E2"/>
  <c r="I14"/>
  <c r="G14"/>
  <c r="F14"/>
  <c r="E14"/>
  <c r="I13"/>
  <c r="G13"/>
  <c r="F13"/>
  <c r="E13"/>
  <c r="I12"/>
  <c r="G12"/>
  <c r="F12"/>
  <c r="E12"/>
  <c r="I11"/>
  <c r="G11"/>
  <c r="F11"/>
  <c r="E11"/>
  <c r="I10"/>
  <c r="G10"/>
  <c r="F10"/>
  <c r="E10"/>
  <c r="I9"/>
  <c r="G9"/>
  <c r="F9"/>
  <c r="E9"/>
  <c r="I8"/>
  <c r="G8"/>
  <c r="F8"/>
  <c r="E8"/>
  <c r="I7"/>
  <c r="G7"/>
  <c r="F7"/>
  <c r="E7"/>
  <c r="I6"/>
  <c r="G6"/>
  <c r="F6"/>
  <c r="E6"/>
  <c r="I5"/>
  <c r="G5"/>
  <c r="F5"/>
  <c r="E5"/>
  <c r="I4"/>
  <c r="G4"/>
  <c r="F4"/>
  <c r="E4"/>
  <c r="I3"/>
  <c r="G3"/>
  <c r="F3"/>
  <c r="E3"/>
  <c r="E2" i="25"/>
  <c r="F2"/>
  <c r="G2"/>
  <c r="I2"/>
  <c r="I3" i="24"/>
  <c r="G3"/>
  <c r="F3"/>
  <c r="E3"/>
  <c r="I7"/>
  <c r="G7"/>
  <c r="F7"/>
  <c r="E7"/>
  <c r="I4"/>
  <c r="G4"/>
  <c r="F4"/>
  <c r="E4"/>
  <c r="I2"/>
  <c r="G2"/>
  <c r="F2"/>
  <c r="E2"/>
  <c r="I5"/>
  <c r="G5"/>
  <c r="F5"/>
  <c r="E5"/>
  <c r="I9"/>
  <c r="G9"/>
  <c r="F9"/>
  <c r="E9"/>
  <c r="I6"/>
  <c r="G6"/>
  <c r="F6"/>
  <c r="E6"/>
  <c r="I8"/>
  <c r="G8"/>
  <c r="F8"/>
  <c r="E8"/>
  <c r="I15" i="23"/>
  <c r="G15"/>
  <c r="F15"/>
  <c r="E15"/>
  <c r="I14"/>
  <c r="G14"/>
  <c r="F14"/>
  <c r="E14"/>
  <c r="I9"/>
  <c r="G9"/>
  <c r="F9"/>
  <c r="E9"/>
  <c r="I8"/>
  <c r="G8"/>
  <c r="F8"/>
  <c r="E8"/>
  <c r="I7"/>
  <c r="G7"/>
  <c r="F7"/>
  <c r="E7"/>
  <c r="I6"/>
  <c r="G6"/>
  <c r="F6"/>
  <c r="E6"/>
  <c r="I5"/>
  <c r="G5"/>
  <c r="F5"/>
  <c r="E5"/>
  <c r="I4"/>
  <c r="G4"/>
  <c r="F4"/>
  <c r="E4"/>
  <c r="I3"/>
  <c r="G3"/>
  <c r="F3"/>
  <c r="E3"/>
  <c r="I2"/>
  <c r="G2"/>
  <c r="F2"/>
  <c r="E2"/>
  <c r="I13"/>
  <c r="G13"/>
  <c r="F13"/>
  <c r="E13"/>
  <c r="I12"/>
  <c r="G12"/>
  <c r="F12"/>
  <c r="E12"/>
  <c r="I11"/>
  <c r="G11"/>
  <c r="F11"/>
  <c r="E11"/>
  <c r="I10"/>
  <c r="G10"/>
  <c r="F10"/>
  <c r="E10"/>
  <c r="I12" i="22"/>
  <c r="G12"/>
  <c r="F12"/>
  <c r="E12"/>
  <c r="I11"/>
  <c r="G11"/>
  <c r="F11"/>
  <c r="E11"/>
  <c r="I13"/>
  <c r="G13"/>
  <c r="F13"/>
  <c r="E13"/>
  <c r="I10"/>
  <c r="G10"/>
  <c r="F10"/>
  <c r="E10"/>
  <c r="I9"/>
  <c r="G9"/>
  <c r="F9"/>
  <c r="E9"/>
  <c r="I8"/>
  <c r="G8"/>
  <c r="F8"/>
  <c r="E8"/>
  <c r="I7"/>
  <c r="G7"/>
  <c r="F7"/>
  <c r="E7"/>
  <c r="I6"/>
  <c r="G6"/>
  <c r="F6"/>
  <c r="E6"/>
  <c r="I5"/>
  <c r="G5"/>
  <c r="F5"/>
  <c r="E5"/>
  <c r="I4"/>
  <c r="G4"/>
  <c r="F4"/>
  <c r="E4"/>
  <c r="I3"/>
  <c r="G3"/>
  <c r="F3"/>
  <c r="E3"/>
  <c r="I2"/>
  <c r="G2"/>
  <c r="F2"/>
  <c r="E2"/>
  <c r="I10" i="21"/>
  <c r="G10"/>
  <c r="F10"/>
  <c r="E10"/>
  <c r="I9"/>
  <c r="G9"/>
  <c r="F9"/>
  <c r="E9"/>
  <c r="I8"/>
  <c r="G8"/>
  <c r="F8"/>
  <c r="E8"/>
  <c r="I7"/>
  <c r="G7"/>
  <c r="F7"/>
  <c r="E7"/>
  <c r="I6"/>
  <c r="G6"/>
  <c r="F6"/>
  <c r="E6"/>
  <c r="I5"/>
  <c r="G5"/>
  <c r="F5"/>
  <c r="E5"/>
  <c r="I4"/>
  <c r="G4"/>
  <c r="F4"/>
  <c r="E4"/>
  <c r="I3"/>
  <c r="G3"/>
  <c r="F3"/>
  <c r="E3"/>
  <c r="I2"/>
  <c r="G2"/>
  <c r="F2"/>
  <c r="E2"/>
  <c r="I31"/>
  <c r="G31"/>
  <c r="F31"/>
  <c r="E31"/>
  <c r="I30"/>
  <c r="G30"/>
  <c r="F30"/>
  <c r="E30"/>
  <c r="I29"/>
  <c r="G29"/>
  <c r="F29"/>
  <c r="E29"/>
  <c r="I28"/>
  <c r="G28"/>
  <c r="F28"/>
  <c r="E28"/>
  <c r="I27"/>
  <c r="G27"/>
  <c r="F27"/>
  <c r="E27"/>
  <c r="I26"/>
  <c r="G26"/>
  <c r="F26"/>
  <c r="E26"/>
  <c r="I25"/>
  <c r="G25"/>
  <c r="F25"/>
  <c r="E25"/>
  <c r="I24"/>
  <c r="G24"/>
  <c r="F24"/>
  <c r="E24"/>
  <c r="I23"/>
  <c r="G23"/>
  <c r="F23"/>
  <c r="E23"/>
  <c r="I22"/>
  <c r="G22"/>
  <c r="F22"/>
  <c r="E22"/>
  <c r="I21"/>
  <c r="G21"/>
  <c r="F21"/>
  <c r="E21"/>
  <c r="I20"/>
  <c r="G20"/>
  <c r="F20"/>
  <c r="E20"/>
  <c r="I19"/>
  <c r="G19"/>
  <c r="F19"/>
  <c r="E19"/>
  <c r="I18"/>
  <c r="G18"/>
  <c r="F18"/>
  <c r="E18"/>
  <c r="I17"/>
  <c r="G17"/>
  <c r="F17"/>
  <c r="E17"/>
  <c r="I16"/>
  <c r="G16"/>
  <c r="F16"/>
  <c r="E16"/>
  <c r="I15"/>
  <c r="G15"/>
  <c r="F15"/>
  <c r="E15"/>
  <c r="I14"/>
  <c r="G14"/>
  <c r="F14"/>
  <c r="E14"/>
  <c r="I13"/>
  <c r="G13"/>
  <c r="F13"/>
  <c r="E13"/>
  <c r="I12"/>
  <c r="G12"/>
  <c r="F12"/>
  <c r="E12"/>
  <c r="I11"/>
  <c r="G11"/>
  <c r="F11"/>
  <c r="E11"/>
  <c r="I33"/>
  <c r="G33"/>
  <c r="F33"/>
  <c r="E33"/>
  <c r="I32"/>
  <c r="G32"/>
  <c r="F32"/>
  <c r="E32"/>
  <c r="E2" i="20"/>
  <c r="F2"/>
  <c r="G2"/>
  <c r="I2"/>
  <c r="I10" i="19"/>
  <c r="G10"/>
  <c r="F10"/>
  <c r="E10"/>
  <c r="I9"/>
  <c r="G9"/>
  <c r="F9"/>
  <c r="E9"/>
  <c r="I8"/>
  <c r="G8"/>
  <c r="F8"/>
  <c r="E8"/>
  <c r="I7"/>
  <c r="G7"/>
  <c r="F7"/>
  <c r="E7"/>
  <c r="I6"/>
  <c r="G6"/>
  <c r="F6"/>
  <c r="E6"/>
  <c r="I5"/>
  <c r="G5"/>
  <c r="F5"/>
  <c r="E5"/>
  <c r="I4"/>
  <c r="G4"/>
  <c r="F4"/>
  <c r="E4"/>
  <c r="I3"/>
  <c r="G3"/>
  <c r="F3"/>
  <c r="E3"/>
  <c r="I2"/>
  <c r="G2"/>
  <c r="F2"/>
  <c r="E2"/>
  <c r="I58" i="18"/>
  <c r="G58"/>
  <c r="F58"/>
  <c r="E58"/>
  <c r="I54"/>
  <c r="G54"/>
  <c r="F54"/>
  <c r="E54"/>
  <c r="I53"/>
  <c r="G53"/>
  <c r="F53"/>
  <c r="E53"/>
  <c r="I52"/>
  <c r="G52"/>
  <c r="F52"/>
  <c r="E52"/>
  <c r="I51"/>
  <c r="G51"/>
  <c r="F51"/>
  <c r="E51"/>
  <c r="I50"/>
  <c r="G50"/>
  <c r="F50"/>
  <c r="E50"/>
  <c r="I48"/>
  <c r="G48"/>
  <c r="F48"/>
  <c r="E48"/>
  <c r="I47"/>
  <c r="G47"/>
  <c r="F47"/>
  <c r="E47"/>
  <c r="I46"/>
  <c r="G46"/>
  <c r="F46"/>
  <c r="E46"/>
  <c r="I45"/>
  <c r="G45"/>
  <c r="F45"/>
  <c r="E45"/>
  <c r="I44"/>
  <c r="G44"/>
  <c r="F44"/>
  <c r="E44"/>
  <c r="I43"/>
  <c r="G43"/>
  <c r="F43"/>
  <c r="E43"/>
  <c r="I42"/>
  <c r="G42"/>
  <c r="F42"/>
  <c r="E42"/>
  <c r="I41"/>
  <c r="G41"/>
  <c r="F41"/>
  <c r="E41"/>
  <c r="I40"/>
  <c r="G40"/>
  <c r="F40"/>
  <c r="E40"/>
  <c r="I39"/>
  <c r="G39"/>
  <c r="F39"/>
  <c r="E39"/>
  <c r="I38"/>
  <c r="G38"/>
  <c r="F38"/>
  <c r="E38"/>
  <c r="I37"/>
  <c r="G37"/>
  <c r="F37"/>
  <c r="E37"/>
  <c r="I36"/>
  <c r="G36"/>
  <c r="F36"/>
  <c r="E36"/>
  <c r="I35"/>
  <c r="G35"/>
  <c r="F35"/>
  <c r="E35"/>
  <c r="I34"/>
  <c r="G34"/>
  <c r="F34"/>
  <c r="E34"/>
  <c r="I32"/>
  <c r="G32"/>
  <c r="F32"/>
  <c r="E32"/>
  <c r="I31"/>
  <c r="G31"/>
  <c r="F31"/>
  <c r="E31"/>
  <c r="I30"/>
  <c r="G30"/>
  <c r="F30"/>
  <c r="E30"/>
  <c r="I29"/>
  <c r="G29"/>
  <c r="F29"/>
  <c r="E29"/>
  <c r="I28"/>
  <c r="G28"/>
  <c r="F28"/>
  <c r="E28"/>
  <c r="I27"/>
  <c r="G27"/>
  <c r="F27"/>
  <c r="E27"/>
  <c r="I26"/>
  <c r="G26"/>
  <c r="F26"/>
  <c r="E26"/>
  <c r="I23"/>
  <c r="G23"/>
  <c r="F23"/>
  <c r="E23"/>
  <c r="I21"/>
  <c r="G21"/>
  <c r="F21"/>
  <c r="E21"/>
  <c r="I20"/>
  <c r="G20"/>
  <c r="F20"/>
  <c r="E20"/>
  <c r="I19"/>
  <c r="G19"/>
  <c r="F19"/>
  <c r="E19"/>
  <c r="I18"/>
  <c r="G18"/>
  <c r="F18"/>
  <c r="E18"/>
  <c r="I25"/>
  <c r="G25"/>
  <c r="F25"/>
  <c r="E25"/>
  <c r="I24"/>
  <c r="G24"/>
  <c r="F24"/>
  <c r="E24"/>
  <c r="I22"/>
  <c r="G22"/>
  <c r="F22"/>
  <c r="E22"/>
  <c r="I11"/>
  <c r="G11"/>
  <c r="F11"/>
  <c r="E11"/>
  <c r="I10"/>
  <c r="G10"/>
  <c r="F10"/>
  <c r="E10"/>
  <c r="I9"/>
  <c r="G9"/>
  <c r="F9"/>
  <c r="E9"/>
  <c r="I8"/>
  <c r="G8"/>
  <c r="F8"/>
  <c r="E8"/>
  <c r="I7"/>
  <c r="G7"/>
  <c r="F7"/>
  <c r="E7"/>
  <c r="I6"/>
  <c r="G6"/>
  <c r="F6"/>
  <c r="E6"/>
  <c r="I57"/>
  <c r="G57"/>
  <c r="F57"/>
  <c r="E57"/>
  <c r="I56"/>
  <c r="G56"/>
  <c r="F56"/>
  <c r="E56"/>
  <c r="I55"/>
  <c r="G55"/>
  <c r="F55"/>
  <c r="E55"/>
  <c r="I17"/>
  <c r="G17"/>
  <c r="F17"/>
  <c r="E17"/>
  <c r="I16"/>
  <c r="G16"/>
  <c r="F16"/>
  <c r="E16"/>
  <c r="I15"/>
  <c r="G15"/>
  <c r="F15"/>
  <c r="E15"/>
  <c r="I14"/>
  <c r="G14"/>
  <c r="F14"/>
  <c r="E14"/>
  <c r="I13"/>
  <c r="G13"/>
  <c r="F13"/>
  <c r="E13"/>
  <c r="I12"/>
  <c r="G12"/>
  <c r="F12"/>
  <c r="E12"/>
  <c r="I62"/>
  <c r="G62"/>
  <c r="F62"/>
  <c r="E62"/>
  <c r="I61"/>
  <c r="G61"/>
  <c r="F61"/>
  <c r="E61"/>
  <c r="I60"/>
  <c r="G60"/>
  <c r="F60"/>
  <c r="E60"/>
  <c r="I59"/>
  <c r="G59"/>
  <c r="F59"/>
  <c r="E59"/>
  <c r="I5"/>
  <c r="G5"/>
  <c r="F5"/>
  <c r="E5"/>
  <c r="I4"/>
  <c r="G4"/>
  <c r="F4"/>
  <c r="E4"/>
  <c r="I3"/>
  <c r="G3"/>
  <c r="F3"/>
  <c r="E3"/>
  <c r="I2"/>
  <c r="G2"/>
  <c r="F2"/>
  <c r="E2"/>
  <c r="I49"/>
  <c r="G49"/>
  <c r="F49"/>
  <c r="E49"/>
  <c r="I33"/>
  <c r="G33"/>
  <c r="F33"/>
  <c r="E33"/>
  <c r="I70"/>
  <c r="G70"/>
  <c r="F70"/>
  <c r="E70"/>
  <c r="I69"/>
  <c r="G69"/>
  <c r="F69"/>
  <c r="E69"/>
  <c r="I68"/>
  <c r="G68"/>
  <c r="F68"/>
  <c r="E68"/>
  <c r="I67"/>
  <c r="G67"/>
  <c r="F67"/>
  <c r="E67"/>
  <c r="I66"/>
  <c r="G66"/>
  <c r="F66"/>
  <c r="E66"/>
  <c r="I65"/>
  <c r="G65"/>
  <c r="F65"/>
  <c r="E65"/>
  <c r="I64"/>
  <c r="G64"/>
  <c r="F64"/>
  <c r="E64"/>
  <c r="I63"/>
  <c r="G63"/>
  <c r="F63"/>
  <c r="E63"/>
  <c r="I66" i="17"/>
  <c r="G66"/>
  <c r="F66"/>
  <c r="E66"/>
  <c r="I65"/>
  <c r="G65"/>
  <c r="F65"/>
  <c r="E65"/>
  <c r="I64"/>
  <c r="G64"/>
  <c r="F64"/>
  <c r="E64"/>
  <c r="I63"/>
  <c r="G63"/>
  <c r="F63"/>
  <c r="E63"/>
  <c r="I54"/>
  <c r="G54"/>
  <c r="F54"/>
  <c r="E54"/>
  <c r="I53"/>
  <c r="G53"/>
  <c r="F53"/>
  <c r="E53"/>
  <c r="I52"/>
  <c r="G52"/>
  <c r="F52"/>
  <c r="E52"/>
  <c r="I51"/>
  <c r="G51"/>
  <c r="F51"/>
  <c r="E51"/>
  <c r="I50"/>
  <c r="G50"/>
  <c r="F50"/>
  <c r="E50"/>
  <c r="I49"/>
  <c r="G49"/>
  <c r="F49"/>
  <c r="E49"/>
  <c r="I48"/>
  <c r="G48"/>
  <c r="F48"/>
  <c r="E48"/>
  <c r="I47"/>
  <c r="G47"/>
  <c r="F47"/>
  <c r="E47"/>
  <c r="I46"/>
  <c r="G46"/>
  <c r="F46"/>
  <c r="E46"/>
  <c r="I45"/>
  <c r="G45"/>
  <c r="F45"/>
  <c r="E45"/>
  <c r="I44"/>
  <c r="G44"/>
  <c r="F44"/>
  <c r="E44"/>
  <c r="I43"/>
  <c r="G43"/>
  <c r="F43"/>
  <c r="E43"/>
  <c r="I42"/>
  <c r="G42"/>
  <c r="F42"/>
  <c r="E42"/>
  <c r="I41"/>
  <c r="G41"/>
  <c r="F41"/>
  <c r="E41"/>
  <c r="I40"/>
  <c r="G40"/>
  <c r="F40"/>
  <c r="E40"/>
  <c r="I39"/>
  <c r="G39"/>
  <c r="F39"/>
  <c r="E39"/>
  <c r="I38"/>
  <c r="G38"/>
  <c r="F38"/>
  <c r="E38"/>
  <c r="I72"/>
  <c r="G72"/>
  <c r="F72"/>
  <c r="E72"/>
  <c r="I70"/>
  <c r="G70"/>
  <c r="F70"/>
  <c r="E70"/>
  <c r="I76"/>
  <c r="G76"/>
  <c r="F76"/>
  <c r="E76"/>
  <c r="I75"/>
  <c r="G75"/>
  <c r="F75"/>
  <c r="E75"/>
  <c r="I74"/>
  <c r="G74"/>
  <c r="F74"/>
  <c r="E74"/>
  <c r="I73"/>
  <c r="G73"/>
  <c r="F73"/>
  <c r="E73"/>
  <c r="I69"/>
  <c r="G69"/>
  <c r="F69"/>
  <c r="E69"/>
  <c r="I68"/>
  <c r="G68"/>
  <c r="F68"/>
  <c r="E68"/>
  <c r="I67"/>
  <c r="G67"/>
  <c r="F67"/>
  <c r="E67"/>
  <c r="I62"/>
  <c r="G62"/>
  <c r="F62"/>
  <c r="E62"/>
  <c r="I61"/>
  <c r="G61"/>
  <c r="F61"/>
  <c r="E61"/>
  <c r="I60"/>
  <c r="G60"/>
  <c r="F60"/>
  <c r="E60"/>
  <c r="I59"/>
  <c r="G59"/>
  <c r="F59"/>
  <c r="E59"/>
  <c r="I58"/>
  <c r="G58"/>
  <c r="F58"/>
  <c r="E58"/>
  <c r="I57"/>
  <c r="G57"/>
  <c r="F57"/>
  <c r="E57"/>
  <c r="I56"/>
  <c r="G56"/>
  <c r="F56"/>
  <c r="E56"/>
  <c r="I55"/>
  <c r="G55"/>
  <c r="F55"/>
  <c r="E55"/>
  <c r="I37"/>
  <c r="G37"/>
  <c r="F37"/>
  <c r="E37"/>
  <c r="I36"/>
  <c r="G36"/>
  <c r="F36"/>
  <c r="E36"/>
  <c r="I35"/>
  <c r="G35"/>
  <c r="F35"/>
  <c r="E35"/>
  <c r="I34"/>
  <c r="G34"/>
  <c r="F34"/>
  <c r="E34"/>
  <c r="I33"/>
  <c r="G33"/>
  <c r="F33"/>
  <c r="E33"/>
  <c r="I32"/>
  <c r="G32"/>
  <c r="F32"/>
  <c r="E32"/>
  <c r="I31"/>
  <c r="G31"/>
  <c r="F31"/>
  <c r="E31"/>
  <c r="I30"/>
  <c r="G30"/>
  <c r="F30"/>
  <c r="E30"/>
  <c r="I29"/>
  <c r="G29"/>
  <c r="F29"/>
  <c r="E29"/>
  <c r="I28"/>
  <c r="G28"/>
  <c r="F28"/>
  <c r="E28"/>
  <c r="I27"/>
  <c r="G27"/>
  <c r="F27"/>
  <c r="E27"/>
  <c r="I26"/>
  <c r="G26"/>
  <c r="F26"/>
  <c r="E26"/>
  <c r="I25"/>
  <c r="G25"/>
  <c r="F25"/>
  <c r="E25"/>
  <c r="I24"/>
  <c r="G24"/>
  <c r="F24"/>
  <c r="E24"/>
  <c r="I23"/>
  <c r="G23"/>
  <c r="F23"/>
  <c r="E23"/>
  <c r="I22"/>
  <c r="G22"/>
  <c r="F22"/>
  <c r="E22"/>
  <c r="I21"/>
  <c r="G21"/>
  <c r="F21"/>
  <c r="E21"/>
  <c r="I20"/>
  <c r="G20"/>
  <c r="F20"/>
  <c r="E20"/>
  <c r="I19"/>
  <c r="G19"/>
  <c r="F19"/>
  <c r="E19"/>
  <c r="I18"/>
  <c r="G18"/>
  <c r="F18"/>
  <c r="E18"/>
  <c r="I17"/>
  <c r="G17"/>
  <c r="F17"/>
  <c r="E17"/>
  <c r="I16"/>
  <c r="G16"/>
  <c r="F16"/>
  <c r="E16"/>
  <c r="I15"/>
  <c r="G15"/>
  <c r="F15"/>
  <c r="E15"/>
  <c r="I14"/>
  <c r="G14"/>
  <c r="F14"/>
  <c r="E14"/>
  <c r="I13"/>
  <c r="G13"/>
  <c r="F13"/>
  <c r="E13"/>
  <c r="I12"/>
  <c r="G12"/>
  <c r="F12"/>
  <c r="E12"/>
  <c r="I11"/>
  <c r="G11"/>
  <c r="F11"/>
  <c r="E11"/>
  <c r="I10"/>
  <c r="G10"/>
  <c r="F10"/>
  <c r="E10"/>
  <c r="I9"/>
  <c r="G9"/>
  <c r="F9"/>
  <c r="E9"/>
  <c r="I8"/>
  <c r="G8"/>
  <c r="F8"/>
  <c r="E8"/>
  <c r="I7"/>
  <c r="G7"/>
  <c r="F7"/>
  <c r="E7"/>
  <c r="I6"/>
  <c r="G6"/>
  <c r="F6"/>
  <c r="E6"/>
  <c r="I5"/>
  <c r="G5"/>
  <c r="F5"/>
  <c r="E5"/>
  <c r="I4"/>
  <c r="G4"/>
  <c r="F4"/>
  <c r="E4"/>
  <c r="I3"/>
  <c r="G3"/>
  <c r="F3"/>
  <c r="E3"/>
  <c r="I2"/>
  <c r="G2"/>
  <c r="F2"/>
  <c r="E2"/>
  <c r="I71"/>
  <c r="G71"/>
  <c r="F71"/>
  <c r="E71"/>
  <c r="I6" i="16"/>
  <c r="G6"/>
  <c r="F6"/>
  <c r="E6"/>
  <c r="I5"/>
  <c r="G5"/>
  <c r="F5"/>
  <c r="E5"/>
  <c r="I4"/>
  <c r="G4"/>
  <c r="F4"/>
  <c r="E4"/>
  <c r="I3"/>
  <c r="G3"/>
  <c r="F3"/>
  <c r="E3"/>
  <c r="I2"/>
  <c r="G2"/>
  <c r="E2"/>
  <c r="I7"/>
  <c r="G7"/>
  <c r="F7"/>
  <c r="E7"/>
  <c r="I72" i="13" l="1"/>
  <c r="G72"/>
  <c r="F72"/>
  <c r="E72"/>
  <c r="I71"/>
  <c r="G71"/>
  <c r="F71"/>
  <c r="E71"/>
  <c r="I70"/>
  <c r="G70"/>
  <c r="F70"/>
  <c r="E70"/>
  <c r="I69"/>
  <c r="G69"/>
  <c r="F69"/>
  <c r="E69"/>
  <c r="I68"/>
  <c r="G68"/>
  <c r="F68"/>
  <c r="E68"/>
  <c r="I66"/>
  <c r="G66"/>
  <c r="F66"/>
  <c r="E66"/>
  <c r="I65"/>
  <c r="G65"/>
  <c r="F65"/>
  <c r="E65"/>
  <c r="I64"/>
  <c r="G64"/>
  <c r="F64"/>
  <c r="E64"/>
  <c r="I63"/>
  <c r="G63"/>
  <c r="F63"/>
  <c r="E63"/>
  <c r="I62"/>
  <c r="G62"/>
  <c r="F62"/>
  <c r="E62"/>
  <c r="I67"/>
  <c r="G67"/>
  <c r="F67"/>
  <c r="E67"/>
  <c r="I13"/>
  <c r="G13"/>
  <c r="F13"/>
  <c r="E13"/>
  <c r="I12"/>
  <c r="G12"/>
  <c r="F12"/>
  <c r="E12"/>
  <c r="I11"/>
  <c r="G11"/>
  <c r="F11"/>
  <c r="E11"/>
  <c r="I10"/>
  <c r="G10"/>
  <c r="F10"/>
  <c r="E10"/>
  <c r="I9"/>
  <c r="G9"/>
  <c r="F9"/>
  <c r="E9"/>
  <c r="I8"/>
  <c r="G8"/>
  <c r="F8"/>
  <c r="E8"/>
  <c r="I7"/>
  <c r="G7"/>
  <c r="F7"/>
  <c r="E7"/>
  <c r="I48"/>
  <c r="G48"/>
  <c r="F48"/>
  <c r="E48"/>
  <c r="I47"/>
  <c r="G47"/>
  <c r="F47"/>
  <c r="E47"/>
  <c r="I21"/>
  <c r="G21"/>
  <c r="F21"/>
  <c r="E21"/>
  <c r="I49"/>
  <c r="G49"/>
  <c r="F49"/>
  <c r="E49"/>
  <c r="I46"/>
  <c r="G46"/>
  <c r="F46"/>
  <c r="E46"/>
  <c r="I39"/>
  <c r="G39"/>
  <c r="F39"/>
  <c r="E39"/>
  <c r="I38"/>
  <c r="G38"/>
  <c r="F38"/>
  <c r="E38"/>
  <c r="G36"/>
  <c r="F36"/>
  <c r="I55"/>
  <c r="I54"/>
  <c r="I53"/>
  <c r="I52"/>
  <c r="I50"/>
  <c r="I45"/>
  <c r="G45"/>
  <c r="F45"/>
  <c r="E45"/>
  <c r="I44"/>
  <c r="G44"/>
  <c r="F44"/>
  <c r="I78"/>
  <c r="F78"/>
  <c r="E78"/>
  <c r="I77"/>
  <c r="F77"/>
  <c r="E77"/>
  <c r="I73"/>
  <c r="G73"/>
  <c r="F73"/>
  <c r="E73"/>
  <c r="I20"/>
  <c r="G20"/>
  <c r="I19"/>
  <c r="G19"/>
  <c r="G18"/>
  <c r="I17"/>
  <c r="G17"/>
  <c r="F17"/>
  <c r="E17"/>
  <c r="G16"/>
  <c r="I15"/>
  <c r="G15"/>
  <c r="F15"/>
  <c r="E15"/>
  <c r="I14"/>
  <c r="G14"/>
  <c r="F14"/>
  <c r="E14"/>
  <c r="G31"/>
  <c r="I30"/>
  <c r="G30"/>
  <c r="I29"/>
  <c r="G29"/>
  <c r="G28"/>
  <c r="G27"/>
  <c r="G26"/>
  <c r="G43"/>
  <c r="G42"/>
  <c r="E42"/>
  <c r="I41"/>
  <c r="G41"/>
  <c r="F41"/>
  <c r="E41"/>
  <c r="I40"/>
  <c r="G40"/>
  <c r="F40"/>
  <c r="E40"/>
  <c r="I37"/>
  <c r="G37"/>
  <c r="F37"/>
  <c r="G35"/>
  <c r="G34"/>
  <c r="G33"/>
  <c r="G32"/>
  <c r="I25"/>
  <c r="G25"/>
  <c r="F25"/>
  <c r="E25"/>
  <c r="I24"/>
  <c r="G24"/>
  <c r="F24"/>
  <c r="E24"/>
  <c r="I23"/>
  <c r="G23"/>
  <c r="F23"/>
  <c r="E23"/>
  <c r="I22"/>
  <c r="G22"/>
  <c r="F22"/>
  <c r="E22"/>
  <c r="I75"/>
  <c r="G75"/>
  <c r="F75"/>
  <c r="E75"/>
  <c r="I74"/>
  <c r="G74"/>
  <c r="F74"/>
  <c r="E74"/>
  <c r="I76"/>
  <c r="G76"/>
  <c r="F76"/>
  <c r="E76"/>
  <c r="I72" i="12"/>
  <c r="G72"/>
  <c r="F72"/>
  <c r="E72"/>
  <c r="I71"/>
  <c r="G71"/>
  <c r="F71"/>
  <c r="E71"/>
  <c r="I70"/>
  <c r="G70"/>
  <c r="F70"/>
  <c r="E70"/>
  <c r="I78"/>
  <c r="G78"/>
  <c r="F78"/>
  <c r="E78"/>
  <c r="I77"/>
  <c r="G77"/>
  <c r="F77"/>
  <c r="E77"/>
  <c r="I21"/>
  <c r="G21"/>
  <c r="F21"/>
  <c r="E21"/>
  <c r="I20"/>
  <c r="G20"/>
  <c r="F20"/>
  <c r="E20"/>
  <c r="I19"/>
  <c r="G19"/>
  <c r="F19"/>
  <c r="E19"/>
  <c r="I18"/>
  <c r="G18"/>
  <c r="F18"/>
  <c r="E18"/>
  <c r="I17"/>
  <c r="G17"/>
  <c r="F17"/>
  <c r="E17"/>
  <c r="I16"/>
  <c r="G16"/>
  <c r="F16"/>
  <c r="E16"/>
  <c r="I15"/>
  <c r="G15"/>
  <c r="F15"/>
  <c r="E15"/>
  <c r="I14"/>
  <c r="G14"/>
  <c r="F14"/>
  <c r="E14"/>
  <c r="I13"/>
  <c r="G13"/>
  <c r="F13"/>
  <c r="E13"/>
  <c r="I12"/>
  <c r="G12"/>
  <c r="F12"/>
  <c r="E12"/>
  <c r="I11"/>
  <c r="G11"/>
  <c r="F11"/>
  <c r="E11"/>
  <c r="I10"/>
  <c r="G10"/>
  <c r="F10"/>
  <c r="E10"/>
  <c r="I9"/>
  <c r="G9"/>
  <c r="F9"/>
  <c r="E9"/>
  <c r="I76"/>
  <c r="G76"/>
  <c r="F76"/>
  <c r="E76"/>
  <c r="I75"/>
  <c r="G75"/>
  <c r="F75"/>
  <c r="E75"/>
  <c r="I59"/>
  <c r="G59"/>
  <c r="F59"/>
  <c r="E59"/>
  <c r="I58"/>
  <c r="G58"/>
  <c r="F58"/>
  <c r="E58"/>
  <c r="I57"/>
  <c r="G57"/>
  <c r="F57"/>
  <c r="E57"/>
  <c r="I56"/>
  <c r="G56"/>
  <c r="F56"/>
  <c r="E56"/>
  <c r="I55"/>
  <c r="G55"/>
  <c r="F55"/>
  <c r="E55"/>
  <c r="I54"/>
  <c r="G54"/>
  <c r="F54"/>
  <c r="E54"/>
  <c r="I53"/>
  <c r="G53"/>
  <c r="F53"/>
  <c r="E53"/>
  <c r="I52"/>
  <c r="G52"/>
  <c r="F52"/>
  <c r="E52"/>
  <c r="I51"/>
  <c r="G51"/>
  <c r="F51"/>
  <c r="E51"/>
  <c r="I50"/>
  <c r="G50"/>
  <c r="F50"/>
  <c r="E50"/>
  <c r="I49"/>
  <c r="G49"/>
  <c r="F49"/>
  <c r="E49"/>
  <c r="I48"/>
  <c r="G48"/>
  <c r="F48"/>
  <c r="E48"/>
  <c r="I47"/>
  <c r="G47"/>
  <c r="F47"/>
  <c r="E47"/>
  <c r="I46"/>
  <c r="G46"/>
  <c r="F46"/>
  <c r="E46"/>
  <c r="I45"/>
  <c r="G45"/>
  <c r="F45"/>
  <c r="E45"/>
  <c r="I44"/>
  <c r="G44"/>
  <c r="F44"/>
  <c r="E44"/>
  <c r="I43"/>
  <c r="G43"/>
  <c r="F43"/>
  <c r="E43"/>
  <c r="I42"/>
  <c r="G42"/>
  <c r="F42"/>
  <c r="E42"/>
  <c r="I41"/>
  <c r="G41"/>
  <c r="F41"/>
  <c r="E41"/>
  <c r="I40"/>
  <c r="G40"/>
  <c r="F40"/>
  <c r="E40"/>
  <c r="I39"/>
  <c r="G39"/>
  <c r="F39"/>
  <c r="E39"/>
  <c r="I38"/>
  <c r="G38"/>
  <c r="F38"/>
  <c r="E38"/>
  <c r="I37"/>
  <c r="G37"/>
  <c r="F37"/>
  <c r="E37"/>
  <c r="I36"/>
  <c r="G36"/>
  <c r="F36"/>
  <c r="E36"/>
  <c r="I35"/>
  <c r="G35"/>
  <c r="F35"/>
  <c r="E35"/>
  <c r="I34"/>
  <c r="G34"/>
  <c r="F34"/>
  <c r="E34"/>
  <c r="I33"/>
  <c r="G33"/>
  <c r="F33"/>
  <c r="E33"/>
  <c r="I32"/>
  <c r="G32"/>
  <c r="F32"/>
  <c r="E32"/>
  <c r="I31"/>
  <c r="G31"/>
  <c r="F31"/>
  <c r="E31"/>
  <c r="I30"/>
  <c r="G30"/>
  <c r="F30"/>
  <c r="E30"/>
  <c r="I29"/>
  <c r="G29"/>
  <c r="F29"/>
  <c r="E29"/>
  <c r="I28"/>
  <c r="G28"/>
  <c r="F28"/>
  <c r="E28"/>
  <c r="I27"/>
  <c r="G27"/>
  <c r="F27"/>
  <c r="E27"/>
  <c r="I26"/>
  <c r="G26"/>
  <c r="F26"/>
  <c r="E26"/>
  <c r="I25"/>
  <c r="G25"/>
  <c r="F25"/>
  <c r="E25"/>
  <c r="I24"/>
  <c r="G24"/>
  <c r="F24"/>
  <c r="E24"/>
  <c r="I23"/>
  <c r="G23"/>
  <c r="F23"/>
  <c r="E23"/>
  <c r="I22"/>
  <c r="G22"/>
  <c r="F22"/>
  <c r="E22"/>
  <c r="I69"/>
  <c r="G69"/>
  <c r="F69"/>
  <c r="E69"/>
  <c r="I68"/>
  <c r="G68"/>
  <c r="F68"/>
  <c r="E68"/>
  <c r="I67"/>
  <c r="G67"/>
  <c r="F67"/>
  <c r="E67"/>
  <c r="I66"/>
  <c r="G66"/>
  <c r="F66"/>
  <c r="E66"/>
  <c r="I65"/>
  <c r="G65"/>
  <c r="F65"/>
  <c r="E65"/>
  <c r="I64"/>
  <c r="G64"/>
  <c r="F64"/>
  <c r="E64"/>
  <c r="I63"/>
  <c r="G63"/>
  <c r="F63"/>
  <c r="E63"/>
  <c r="I62"/>
  <c r="G62"/>
  <c r="F62"/>
  <c r="E62"/>
  <c r="I61"/>
  <c r="G61"/>
  <c r="F61"/>
  <c r="E61"/>
  <c r="I60"/>
  <c r="G60"/>
  <c r="F60"/>
  <c r="E60"/>
  <c r="I8"/>
  <c r="G8"/>
  <c r="F8"/>
  <c r="E8"/>
  <c r="I7"/>
  <c r="G7"/>
  <c r="F7"/>
  <c r="E7"/>
  <c r="I6"/>
  <c r="G6"/>
  <c r="F6"/>
  <c r="E6"/>
  <c r="I5"/>
  <c r="G5"/>
  <c r="F5"/>
  <c r="E5"/>
  <c r="I4"/>
  <c r="G4"/>
  <c r="F4"/>
  <c r="E4"/>
  <c r="I3"/>
  <c r="G3"/>
  <c r="F3"/>
  <c r="E3"/>
  <c r="I2"/>
  <c r="G2"/>
  <c r="F2"/>
  <c r="E2"/>
  <c r="I74"/>
  <c r="G74"/>
  <c r="F74"/>
  <c r="E74"/>
  <c r="I73"/>
  <c r="G73"/>
  <c r="F73"/>
  <c r="E73"/>
  <c r="I464" i="11"/>
  <c r="G464"/>
  <c r="F464"/>
  <c r="E464"/>
  <c r="I463"/>
  <c r="G463"/>
  <c r="F463"/>
  <c r="E463"/>
  <c r="I462"/>
  <c r="G462"/>
  <c r="F462"/>
  <c r="E462"/>
  <c r="I461"/>
  <c r="G461"/>
  <c r="F461"/>
  <c r="E461"/>
  <c r="I460"/>
  <c r="G460"/>
  <c r="F460"/>
  <c r="E460"/>
  <c r="I459"/>
  <c r="G459"/>
  <c r="F459"/>
  <c r="E459"/>
  <c r="I458"/>
  <c r="G458"/>
  <c r="F458"/>
  <c r="E458"/>
  <c r="I476"/>
  <c r="G476"/>
  <c r="F476"/>
  <c r="E476"/>
  <c r="I475"/>
  <c r="G475"/>
  <c r="F475"/>
  <c r="E475"/>
  <c r="I474"/>
  <c r="G474"/>
  <c r="F474"/>
  <c r="E474"/>
  <c r="I478"/>
  <c r="G478"/>
  <c r="F478"/>
  <c r="E478"/>
  <c r="I477"/>
  <c r="G477"/>
  <c r="F477"/>
  <c r="E477"/>
  <c r="I470"/>
  <c r="G470"/>
  <c r="F470"/>
  <c r="E470"/>
  <c r="I469"/>
  <c r="G469"/>
  <c r="F469"/>
  <c r="E469"/>
  <c r="I468"/>
  <c r="G468"/>
  <c r="F468"/>
  <c r="E468"/>
  <c r="I467"/>
  <c r="G467"/>
  <c r="F467"/>
  <c r="E467"/>
  <c r="I466"/>
  <c r="G466"/>
  <c r="F466"/>
  <c r="E466"/>
  <c r="I465"/>
  <c r="G465"/>
  <c r="F465"/>
  <c r="E465"/>
  <c r="I445"/>
  <c r="G445"/>
  <c r="F445"/>
  <c r="E445"/>
  <c r="I444"/>
  <c r="G444"/>
  <c r="F444"/>
  <c r="E444"/>
  <c r="I443"/>
  <c r="G443"/>
  <c r="F443"/>
  <c r="E443"/>
  <c r="I442"/>
  <c r="G442"/>
  <c r="F442"/>
  <c r="E442"/>
  <c r="I441"/>
  <c r="G441"/>
  <c r="F441"/>
  <c r="E441"/>
  <c r="I440"/>
  <c r="G440"/>
  <c r="F440"/>
  <c r="E440"/>
  <c r="I418"/>
  <c r="G418"/>
  <c r="F418"/>
  <c r="E418"/>
  <c r="I417"/>
  <c r="G417"/>
  <c r="F417"/>
  <c r="E417"/>
  <c r="I416"/>
  <c r="G416"/>
  <c r="F416"/>
  <c r="E416"/>
  <c r="I415"/>
  <c r="G415"/>
  <c r="F415"/>
  <c r="E415"/>
  <c r="I414"/>
  <c r="G414"/>
  <c r="F414"/>
  <c r="E414"/>
  <c r="I413"/>
  <c r="G413"/>
  <c r="F413"/>
  <c r="E413"/>
  <c r="I411"/>
  <c r="G411"/>
  <c r="F411"/>
  <c r="E411"/>
  <c r="I409"/>
  <c r="G409"/>
  <c r="F409"/>
  <c r="E409"/>
  <c r="I407"/>
  <c r="G407"/>
  <c r="F407"/>
  <c r="E407"/>
  <c r="I406"/>
  <c r="G406"/>
  <c r="F406"/>
  <c r="E406"/>
  <c r="I405"/>
  <c r="G405"/>
  <c r="F405"/>
  <c r="E405"/>
  <c r="I490"/>
  <c r="G490"/>
  <c r="F490"/>
  <c r="E490"/>
  <c r="I489"/>
  <c r="G489"/>
  <c r="F489"/>
  <c r="E489"/>
  <c r="I488"/>
  <c r="G488"/>
  <c r="F488"/>
  <c r="E488"/>
  <c r="I487"/>
  <c r="G487"/>
  <c r="F487"/>
  <c r="E487"/>
  <c r="I486"/>
  <c r="G486"/>
  <c r="F486"/>
  <c r="E486"/>
  <c r="I485"/>
  <c r="G485"/>
  <c r="F485"/>
  <c r="E485"/>
  <c r="I484"/>
  <c r="G484"/>
  <c r="F484"/>
  <c r="E484"/>
  <c r="I483"/>
  <c r="G483"/>
  <c r="F483"/>
  <c r="E483"/>
  <c r="I473"/>
  <c r="G473"/>
  <c r="F473"/>
  <c r="E473"/>
  <c r="I472"/>
  <c r="G472"/>
  <c r="F472"/>
  <c r="E472"/>
  <c r="I471"/>
  <c r="G471"/>
  <c r="F471"/>
  <c r="E471"/>
  <c r="I448"/>
  <c r="G448"/>
  <c r="F448"/>
  <c r="E448"/>
  <c r="I447"/>
  <c r="G447"/>
  <c r="F447"/>
  <c r="E447"/>
  <c r="I446"/>
  <c r="G446"/>
  <c r="F446"/>
  <c r="E446"/>
  <c r="I482"/>
  <c r="G482"/>
  <c r="F482"/>
  <c r="E482"/>
  <c r="I481"/>
  <c r="G481"/>
  <c r="F481"/>
  <c r="E481"/>
  <c r="I480"/>
  <c r="G480"/>
  <c r="F480"/>
  <c r="E480"/>
  <c r="I479"/>
  <c r="G479"/>
  <c r="F479"/>
  <c r="E479"/>
  <c r="I439"/>
  <c r="G439"/>
  <c r="F439"/>
  <c r="E439"/>
  <c r="I438"/>
  <c r="G438"/>
  <c r="F438"/>
  <c r="E438"/>
  <c r="I437"/>
  <c r="G437"/>
  <c r="F437"/>
  <c r="E437"/>
  <c r="I436"/>
  <c r="G436"/>
  <c r="F436"/>
  <c r="E436"/>
  <c r="I435"/>
  <c r="G435"/>
  <c r="F435"/>
  <c r="E435"/>
  <c r="I434"/>
  <c r="G434"/>
  <c r="F434"/>
  <c r="E434"/>
  <c r="I433"/>
  <c r="G433"/>
  <c r="F433"/>
  <c r="E433"/>
  <c r="I432"/>
  <c r="G432"/>
  <c r="F432"/>
  <c r="E432"/>
  <c r="I457"/>
  <c r="G457"/>
  <c r="F457"/>
  <c r="E457"/>
  <c r="I456"/>
  <c r="G456"/>
  <c r="F456"/>
  <c r="E456"/>
  <c r="I455"/>
  <c r="G455"/>
  <c r="F455"/>
  <c r="E455"/>
  <c r="I454"/>
  <c r="G454"/>
  <c r="F454"/>
  <c r="E454"/>
  <c r="I453"/>
  <c r="G453"/>
  <c r="F453"/>
  <c r="E453"/>
  <c r="I452"/>
  <c r="G452"/>
  <c r="F452"/>
  <c r="E452"/>
  <c r="I451"/>
  <c r="G451"/>
  <c r="F451"/>
  <c r="E451"/>
  <c r="I450"/>
  <c r="G450"/>
  <c r="F450"/>
  <c r="E450"/>
  <c r="I449"/>
  <c r="G449"/>
  <c r="F449"/>
  <c r="E449"/>
  <c r="I431"/>
  <c r="G431"/>
  <c r="F431"/>
  <c r="E431"/>
  <c r="I430"/>
  <c r="G430"/>
  <c r="F430"/>
  <c r="E430"/>
  <c r="I429"/>
  <c r="G429"/>
  <c r="F429"/>
  <c r="E429"/>
  <c r="I428"/>
  <c r="G428"/>
  <c r="F428"/>
  <c r="E428"/>
  <c r="I427"/>
  <c r="G427"/>
  <c r="F427"/>
  <c r="E427"/>
  <c r="I426"/>
  <c r="G426"/>
  <c r="F426"/>
  <c r="E426"/>
  <c r="I425"/>
  <c r="G425"/>
  <c r="F425"/>
  <c r="E425"/>
  <c r="I424"/>
  <c r="G424"/>
  <c r="F424"/>
  <c r="E424"/>
  <c r="I423"/>
  <c r="G423"/>
  <c r="F423"/>
  <c r="E423"/>
  <c r="I422"/>
  <c r="G422"/>
  <c r="F422"/>
  <c r="E422"/>
  <c r="I421"/>
  <c r="G421"/>
  <c r="F421"/>
  <c r="E421"/>
  <c r="I420"/>
  <c r="G420"/>
  <c r="F420"/>
  <c r="E420"/>
  <c r="I419"/>
  <c r="G419"/>
  <c r="F419"/>
  <c r="E419"/>
  <c r="I412"/>
  <c r="G412"/>
  <c r="F412"/>
  <c r="E412"/>
  <c r="I410"/>
  <c r="G410"/>
  <c r="F410"/>
  <c r="E410"/>
  <c r="I408"/>
  <c r="G408"/>
  <c r="F408"/>
  <c r="E408"/>
  <c r="I397"/>
  <c r="G397"/>
  <c r="F397"/>
  <c r="E397"/>
  <c r="I381"/>
  <c r="G381"/>
  <c r="F381"/>
  <c r="E381"/>
  <c r="I380"/>
  <c r="G380"/>
  <c r="F380"/>
  <c r="E380"/>
  <c r="I379"/>
  <c r="G379"/>
  <c r="F379"/>
  <c r="E379"/>
  <c r="I378"/>
  <c r="G378"/>
  <c r="F378"/>
  <c r="E378"/>
  <c r="I377"/>
  <c r="G377"/>
  <c r="F377"/>
  <c r="E377"/>
  <c r="I376"/>
  <c r="G376"/>
  <c r="F376"/>
  <c r="E376"/>
  <c r="I375"/>
  <c r="G375"/>
  <c r="F375"/>
  <c r="E375"/>
  <c r="I367"/>
  <c r="G367"/>
  <c r="F367"/>
  <c r="E367"/>
  <c r="I339"/>
  <c r="G339"/>
  <c r="F339"/>
  <c r="E339"/>
  <c r="I338"/>
  <c r="G338"/>
  <c r="F338"/>
  <c r="E338"/>
  <c r="I337"/>
  <c r="G337"/>
  <c r="F337"/>
  <c r="E337"/>
  <c r="I336"/>
  <c r="G336"/>
  <c r="F336"/>
  <c r="E336"/>
  <c r="I335"/>
  <c r="G335"/>
  <c r="F335"/>
  <c r="E335"/>
  <c r="I334"/>
  <c r="G334"/>
  <c r="F334"/>
  <c r="E334"/>
  <c r="I227"/>
  <c r="G227"/>
  <c r="F227"/>
  <c r="E227"/>
  <c r="I226"/>
  <c r="G226"/>
  <c r="F226"/>
  <c r="E226"/>
  <c r="I225"/>
  <c r="G225"/>
  <c r="F225"/>
  <c r="E225"/>
  <c r="I224"/>
  <c r="G224"/>
  <c r="F224"/>
  <c r="E224"/>
  <c r="I223"/>
  <c r="G223"/>
  <c r="F223"/>
  <c r="E223"/>
  <c r="I222"/>
  <c r="G222"/>
  <c r="F222"/>
  <c r="E222"/>
  <c r="I217"/>
  <c r="G217"/>
  <c r="F217"/>
  <c r="E217"/>
  <c r="I216"/>
  <c r="G216"/>
  <c r="F216"/>
  <c r="E216"/>
  <c r="I215"/>
  <c r="G215"/>
  <c r="F215"/>
  <c r="E215"/>
  <c r="I214"/>
  <c r="G214"/>
  <c r="F214"/>
  <c r="E214"/>
  <c r="I396"/>
  <c r="G396"/>
  <c r="F396"/>
  <c r="E396"/>
  <c r="I395"/>
  <c r="G395"/>
  <c r="F395"/>
  <c r="E395"/>
  <c r="I394"/>
  <c r="G394"/>
  <c r="F394"/>
  <c r="E394"/>
  <c r="I393"/>
  <c r="G393"/>
  <c r="F393"/>
  <c r="E393"/>
  <c r="I392"/>
  <c r="G392"/>
  <c r="F392"/>
  <c r="E392"/>
  <c r="I391"/>
  <c r="G391"/>
  <c r="F391"/>
  <c r="E391"/>
  <c r="I390"/>
  <c r="G390"/>
  <c r="F390"/>
  <c r="E390"/>
  <c r="I328"/>
  <c r="G328"/>
  <c r="F328"/>
  <c r="E328"/>
  <c r="I310"/>
  <c r="G310"/>
  <c r="F310"/>
  <c r="E310"/>
  <c r="I309"/>
  <c r="G309"/>
  <c r="F309"/>
  <c r="E309"/>
  <c r="I308"/>
  <c r="G308"/>
  <c r="F308"/>
  <c r="E308"/>
  <c r="I307"/>
  <c r="G307"/>
  <c r="F307"/>
  <c r="E307"/>
  <c r="I306"/>
  <c r="G306"/>
  <c r="F306"/>
  <c r="E306"/>
  <c r="I305"/>
  <c r="G305"/>
  <c r="F305"/>
  <c r="E305"/>
  <c r="I304"/>
  <c r="G304"/>
  <c r="F304"/>
  <c r="E304"/>
  <c r="I303"/>
  <c r="G303"/>
  <c r="F303"/>
  <c r="E303"/>
  <c r="I302"/>
  <c r="G302"/>
  <c r="F302"/>
  <c r="E302"/>
  <c r="I301"/>
  <c r="G301"/>
  <c r="F301"/>
  <c r="E301"/>
  <c r="I300"/>
  <c r="G300"/>
  <c r="F300"/>
  <c r="E300"/>
  <c r="I299"/>
  <c r="G299"/>
  <c r="F299"/>
  <c r="E299"/>
  <c r="I298"/>
  <c r="G298"/>
  <c r="F298"/>
  <c r="E298"/>
  <c r="I297"/>
  <c r="G297"/>
  <c r="F297"/>
  <c r="E297"/>
  <c r="I296"/>
  <c r="G296"/>
  <c r="F296"/>
  <c r="E296"/>
  <c r="I295"/>
  <c r="G295"/>
  <c r="F295"/>
  <c r="E295"/>
  <c r="I294"/>
  <c r="G294"/>
  <c r="F294"/>
  <c r="E294"/>
  <c r="I293"/>
  <c r="G293"/>
  <c r="F293"/>
  <c r="E293"/>
  <c r="I292"/>
  <c r="G292"/>
  <c r="F292"/>
  <c r="E292"/>
  <c r="I291"/>
  <c r="G291"/>
  <c r="F291"/>
  <c r="E291"/>
  <c r="I290"/>
  <c r="G290"/>
  <c r="F290"/>
  <c r="E290"/>
  <c r="I289"/>
  <c r="G289"/>
  <c r="F289"/>
  <c r="E289"/>
  <c r="I288"/>
  <c r="G288"/>
  <c r="F288"/>
  <c r="E288"/>
  <c r="I287"/>
  <c r="G287"/>
  <c r="F287"/>
  <c r="E287"/>
  <c r="I286"/>
  <c r="G286"/>
  <c r="F286"/>
  <c r="E286"/>
  <c r="I285"/>
  <c r="G285"/>
  <c r="F285"/>
  <c r="E285"/>
  <c r="I284"/>
  <c r="G284"/>
  <c r="F284"/>
  <c r="E284"/>
  <c r="I283"/>
  <c r="G283"/>
  <c r="F283"/>
  <c r="E283"/>
  <c r="I282"/>
  <c r="G282"/>
  <c r="F282"/>
  <c r="E282"/>
  <c r="I281"/>
  <c r="G281"/>
  <c r="F281"/>
  <c r="E281"/>
  <c r="I280"/>
  <c r="G280"/>
  <c r="F280"/>
  <c r="E280"/>
  <c r="I279"/>
  <c r="G279"/>
  <c r="F279"/>
  <c r="E279"/>
  <c r="I278"/>
  <c r="G278"/>
  <c r="F278"/>
  <c r="E278"/>
  <c r="I315"/>
  <c r="G315"/>
  <c r="F315"/>
  <c r="E315"/>
  <c r="I314"/>
  <c r="G314"/>
  <c r="F314"/>
  <c r="E314"/>
  <c r="I313"/>
  <c r="G313"/>
  <c r="F313"/>
  <c r="E313"/>
  <c r="I312"/>
  <c r="G312"/>
  <c r="F312"/>
  <c r="E312"/>
  <c r="I311"/>
  <c r="G311"/>
  <c r="F311"/>
  <c r="E311"/>
  <c r="I346"/>
  <c r="G346"/>
  <c r="F346"/>
  <c r="E346"/>
  <c r="I345"/>
  <c r="G345"/>
  <c r="F345"/>
  <c r="E345"/>
  <c r="I344"/>
  <c r="G344"/>
  <c r="F344"/>
  <c r="E344"/>
  <c r="I343"/>
  <c r="G343"/>
  <c r="F343"/>
  <c r="E343"/>
  <c r="I342"/>
  <c r="G342"/>
  <c r="F342"/>
  <c r="E342"/>
  <c r="I341"/>
  <c r="G341"/>
  <c r="F341"/>
  <c r="E341"/>
  <c r="I340"/>
  <c r="G340"/>
  <c r="F340"/>
  <c r="E340"/>
  <c r="I275"/>
  <c r="G275"/>
  <c r="F275"/>
  <c r="E275"/>
  <c r="I274"/>
  <c r="G274"/>
  <c r="F274"/>
  <c r="E274"/>
  <c r="I273"/>
  <c r="G273"/>
  <c r="F273"/>
  <c r="E273"/>
  <c r="I272"/>
  <c r="G272"/>
  <c r="F272"/>
  <c r="E272"/>
  <c r="I271"/>
  <c r="G271"/>
  <c r="F271"/>
  <c r="E271"/>
  <c r="I270"/>
  <c r="G270"/>
  <c r="F270"/>
  <c r="E270"/>
  <c r="I269"/>
  <c r="G269"/>
  <c r="F269"/>
  <c r="E269"/>
  <c r="I268"/>
  <c r="G268"/>
  <c r="F268"/>
  <c r="E268"/>
  <c r="I267"/>
  <c r="G267"/>
  <c r="F267"/>
  <c r="E267"/>
  <c r="I333"/>
  <c r="G333"/>
  <c r="F333"/>
  <c r="E333"/>
  <c r="I332"/>
  <c r="G332"/>
  <c r="F332"/>
  <c r="E332"/>
  <c r="I331"/>
  <c r="G331"/>
  <c r="F331"/>
  <c r="E331"/>
  <c r="I330"/>
  <c r="G330"/>
  <c r="F330"/>
  <c r="E330"/>
  <c r="I329"/>
  <c r="G329"/>
  <c r="F329"/>
  <c r="E329"/>
  <c r="I327"/>
  <c r="G327"/>
  <c r="F327"/>
  <c r="E327"/>
  <c r="I326"/>
  <c r="G326"/>
  <c r="F326"/>
  <c r="E326"/>
  <c r="I325"/>
  <c r="G325"/>
  <c r="F325"/>
  <c r="E325"/>
  <c r="I324"/>
  <c r="G324"/>
  <c r="F324"/>
  <c r="E324"/>
  <c r="I323"/>
  <c r="G323"/>
  <c r="F323"/>
  <c r="E323"/>
  <c r="I322"/>
  <c r="G322"/>
  <c r="F322"/>
  <c r="E322"/>
  <c r="I321"/>
  <c r="G321"/>
  <c r="F321"/>
  <c r="E321"/>
  <c r="I320"/>
  <c r="G320"/>
  <c r="F320"/>
  <c r="E320"/>
  <c r="I319"/>
  <c r="G319"/>
  <c r="F319"/>
  <c r="E319"/>
  <c r="I318"/>
  <c r="G318"/>
  <c r="F318"/>
  <c r="E318"/>
  <c r="I317"/>
  <c r="G317"/>
  <c r="F317"/>
  <c r="E317"/>
  <c r="I316"/>
  <c r="G316"/>
  <c r="F316"/>
  <c r="E316"/>
  <c r="I404"/>
  <c r="G404"/>
  <c r="F404"/>
  <c r="E404"/>
  <c r="I349"/>
  <c r="G349"/>
  <c r="F349"/>
  <c r="E349"/>
  <c r="I348"/>
  <c r="G348"/>
  <c r="F348"/>
  <c r="E348"/>
  <c r="I347"/>
  <c r="G347"/>
  <c r="F347"/>
  <c r="E347"/>
  <c r="I230"/>
  <c r="G230"/>
  <c r="F230"/>
  <c r="E230"/>
  <c r="I229"/>
  <c r="G229"/>
  <c r="F229"/>
  <c r="E229"/>
  <c r="I228"/>
  <c r="G228"/>
  <c r="F228"/>
  <c r="E228"/>
  <c r="I277"/>
  <c r="G277"/>
  <c r="F277"/>
  <c r="E277"/>
  <c r="I276"/>
  <c r="G276"/>
  <c r="F276"/>
  <c r="E276"/>
  <c r="I389"/>
  <c r="G389"/>
  <c r="F389"/>
  <c r="E389"/>
  <c r="I388"/>
  <c r="G388"/>
  <c r="F388"/>
  <c r="E388"/>
  <c r="I403"/>
  <c r="G403"/>
  <c r="F403"/>
  <c r="E403"/>
  <c r="I402"/>
  <c r="G402"/>
  <c r="F402"/>
  <c r="E402"/>
  <c r="I401"/>
  <c r="G401"/>
  <c r="F401"/>
  <c r="E401"/>
  <c r="I400"/>
  <c r="G400"/>
  <c r="F400"/>
  <c r="E400"/>
  <c r="I399"/>
  <c r="G399"/>
  <c r="F399"/>
  <c r="E399"/>
  <c r="I398"/>
  <c r="G398"/>
  <c r="F398"/>
  <c r="E398"/>
  <c r="I387"/>
  <c r="G387"/>
  <c r="F387"/>
  <c r="E387"/>
  <c r="I386"/>
  <c r="G386"/>
  <c r="F386"/>
  <c r="E386"/>
  <c r="I385"/>
  <c r="G385"/>
  <c r="F385"/>
  <c r="E385"/>
  <c r="I384"/>
  <c r="G384"/>
  <c r="F384"/>
  <c r="E384"/>
  <c r="I383"/>
  <c r="G383"/>
  <c r="F383"/>
  <c r="E383"/>
  <c r="I382"/>
  <c r="G382"/>
  <c r="F382"/>
  <c r="E382"/>
  <c r="I374"/>
  <c r="G374"/>
  <c r="F374"/>
  <c r="E374"/>
  <c r="I373"/>
  <c r="G373"/>
  <c r="F373"/>
  <c r="E373"/>
  <c r="I372"/>
  <c r="G372"/>
  <c r="F372"/>
  <c r="E372"/>
  <c r="I371"/>
  <c r="G371"/>
  <c r="F371"/>
  <c r="E371"/>
  <c r="I370"/>
  <c r="G370"/>
  <c r="F370"/>
  <c r="E370"/>
  <c r="I369"/>
  <c r="G369"/>
  <c r="F369"/>
  <c r="E369"/>
  <c r="I368"/>
  <c r="G368"/>
  <c r="F368"/>
  <c r="E368"/>
  <c r="I366"/>
  <c r="G366"/>
  <c r="F366"/>
  <c r="E366"/>
  <c r="I365"/>
  <c r="G365"/>
  <c r="F365"/>
  <c r="E365"/>
  <c r="I364"/>
  <c r="G364"/>
  <c r="F364"/>
  <c r="E364"/>
  <c r="I363"/>
  <c r="G363"/>
  <c r="F363"/>
  <c r="E363"/>
  <c r="I362"/>
  <c r="G362"/>
  <c r="F362"/>
  <c r="E362"/>
  <c r="I361"/>
  <c r="G361"/>
  <c r="F361"/>
  <c r="E361"/>
  <c r="I360"/>
  <c r="G360"/>
  <c r="F360"/>
  <c r="E360"/>
  <c r="I359"/>
  <c r="G359"/>
  <c r="F359"/>
  <c r="E359"/>
  <c r="I358"/>
  <c r="G358"/>
  <c r="F358"/>
  <c r="E358"/>
  <c r="I357"/>
  <c r="G357"/>
  <c r="F357"/>
  <c r="E357"/>
  <c r="I356"/>
  <c r="G356"/>
  <c r="F356"/>
  <c r="E356"/>
  <c r="I355"/>
  <c r="G355"/>
  <c r="F355"/>
  <c r="E355"/>
  <c r="I354"/>
  <c r="G354"/>
  <c r="F354"/>
  <c r="E354"/>
  <c r="I353"/>
  <c r="G353"/>
  <c r="F353"/>
  <c r="E353"/>
  <c r="I352"/>
  <c r="G352"/>
  <c r="F352"/>
  <c r="E352"/>
  <c r="I351"/>
  <c r="G351"/>
  <c r="F351"/>
  <c r="E351"/>
  <c r="I350"/>
  <c r="G350"/>
  <c r="F350"/>
  <c r="E350"/>
  <c r="I266"/>
  <c r="G266"/>
  <c r="F266"/>
  <c r="E266"/>
  <c r="I265"/>
  <c r="G265"/>
  <c r="F265"/>
  <c r="E265"/>
  <c r="I264"/>
  <c r="G264"/>
  <c r="F264"/>
  <c r="E264"/>
  <c r="I263"/>
  <c r="G263"/>
  <c r="F263"/>
  <c r="E263"/>
  <c r="I262"/>
  <c r="G262"/>
  <c r="F262"/>
  <c r="E262"/>
  <c r="I261"/>
  <c r="G261"/>
  <c r="F261"/>
  <c r="E261"/>
  <c r="I260"/>
  <c r="G260"/>
  <c r="F260"/>
  <c r="E260"/>
  <c r="I259"/>
  <c r="G259"/>
  <c r="F259"/>
  <c r="E259"/>
  <c r="I258"/>
  <c r="G258"/>
  <c r="F258"/>
  <c r="E258"/>
  <c r="I257"/>
  <c r="G257"/>
  <c r="F257"/>
  <c r="E257"/>
  <c r="I256"/>
  <c r="G256"/>
  <c r="F256"/>
  <c r="E256"/>
  <c r="I255"/>
  <c r="G255"/>
  <c r="F255"/>
  <c r="E255"/>
  <c r="I254"/>
  <c r="G254"/>
  <c r="F254"/>
  <c r="E254"/>
  <c r="I253"/>
  <c r="G253"/>
  <c r="F253"/>
  <c r="E253"/>
  <c r="I252"/>
  <c r="G252"/>
  <c r="F252"/>
  <c r="E252"/>
  <c r="I251"/>
  <c r="G251"/>
  <c r="F251"/>
  <c r="E251"/>
  <c r="I250"/>
  <c r="G250"/>
  <c r="F250"/>
  <c r="E250"/>
  <c r="I249"/>
  <c r="G249"/>
  <c r="F249"/>
  <c r="E249"/>
  <c r="I248"/>
  <c r="G248"/>
  <c r="F248"/>
  <c r="E248"/>
  <c r="I247"/>
  <c r="G247"/>
  <c r="F247"/>
  <c r="E247"/>
  <c r="I246"/>
  <c r="G246"/>
  <c r="F246"/>
  <c r="E246"/>
  <c r="I245"/>
  <c r="G245"/>
  <c r="F245"/>
  <c r="E245"/>
  <c r="I244"/>
  <c r="G244"/>
  <c r="F244"/>
  <c r="E244"/>
  <c r="I243"/>
  <c r="G243"/>
  <c r="F243"/>
  <c r="E243"/>
  <c r="I242"/>
  <c r="G242"/>
  <c r="F242"/>
  <c r="E242"/>
  <c r="I241"/>
  <c r="G241"/>
  <c r="F241"/>
  <c r="E241"/>
  <c r="I240"/>
  <c r="G240"/>
  <c r="F240"/>
  <c r="E240"/>
  <c r="I239"/>
  <c r="G239"/>
  <c r="F239"/>
  <c r="E239"/>
  <c r="I238"/>
  <c r="G238"/>
  <c r="F238"/>
  <c r="E238"/>
  <c r="I237"/>
  <c r="G237"/>
  <c r="F237"/>
  <c r="E237"/>
  <c r="I236"/>
  <c r="G236"/>
  <c r="F236"/>
  <c r="E236"/>
  <c r="I235"/>
  <c r="G235"/>
  <c r="F235"/>
  <c r="E235"/>
  <c r="I234"/>
  <c r="G234"/>
  <c r="F234"/>
  <c r="E234"/>
  <c r="I233"/>
  <c r="G233"/>
  <c r="F233"/>
  <c r="E233"/>
  <c r="I232"/>
  <c r="G232"/>
  <c r="F232"/>
  <c r="E232"/>
  <c r="I231"/>
  <c r="G231"/>
  <c r="F231"/>
  <c r="E231"/>
  <c r="I221"/>
  <c r="G221"/>
  <c r="F221"/>
  <c r="E221"/>
  <c r="I220"/>
  <c r="G220"/>
  <c r="F220"/>
  <c r="E220"/>
  <c r="I219"/>
  <c r="G219"/>
  <c r="F219"/>
  <c r="E219"/>
  <c r="I218"/>
  <c r="G218"/>
  <c r="F218"/>
  <c r="E218"/>
  <c r="I1604"/>
  <c r="G1604"/>
  <c r="F1604"/>
  <c r="E1604"/>
  <c r="I1603"/>
  <c r="G1603"/>
  <c r="F1603"/>
  <c r="E1603"/>
  <c r="I1602"/>
  <c r="G1602"/>
  <c r="F1602"/>
  <c r="E1602"/>
  <c r="I1601"/>
  <c r="G1601"/>
  <c r="F1601"/>
  <c r="E1601"/>
  <c r="I1600"/>
  <c r="G1600"/>
  <c r="F1600"/>
  <c r="E1600"/>
  <c r="I1599"/>
  <c r="G1599"/>
  <c r="F1599"/>
  <c r="E1599"/>
  <c r="I1598"/>
  <c r="G1598"/>
  <c r="F1598"/>
  <c r="E1598"/>
  <c r="I1597"/>
  <c r="G1597"/>
  <c r="F1597"/>
  <c r="E1597"/>
  <c r="I1596"/>
  <c r="G1596"/>
  <c r="F1596"/>
  <c r="E1596"/>
  <c r="I1595"/>
  <c r="G1595"/>
  <c r="F1595"/>
  <c r="E1595"/>
  <c r="I1594"/>
  <c r="G1594"/>
  <c r="F1594"/>
  <c r="E1594"/>
  <c r="I1593"/>
  <c r="G1593"/>
  <c r="F1593"/>
  <c r="E1593"/>
  <c r="I1592"/>
  <c r="G1592"/>
  <c r="F1592"/>
  <c r="E1592"/>
  <c r="I1591"/>
  <c r="G1591"/>
  <c r="F1591"/>
  <c r="E1591"/>
  <c r="I1590"/>
  <c r="G1590"/>
  <c r="F1590"/>
  <c r="E1590"/>
  <c r="I1589"/>
  <c r="G1589"/>
  <c r="F1589"/>
  <c r="E1589"/>
  <c r="I1588"/>
  <c r="G1588"/>
  <c r="F1588"/>
  <c r="E1588"/>
  <c r="I1587"/>
  <c r="G1587"/>
  <c r="F1587"/>
  <c r="E1587"/>
  <c r="I1586"/>
  <c r="G1586"/>
  <c r="F1586"/>
  <c r="E1586"/>
  <c r="I1585"/>
  <c r="G1585"/>
  <c r="F1585"/>
  <c r="E1585"/>
  <c r="I1584"/>
  <c r="G1584"/>
  <c r="F1584"/>
  <c r="E1584"/>
  <c r="I1583"/>
  <c r="G1583"/>
  <c r="F1583"/>
  <c r="E1583"/>
  <c r="I1582"/>
  <c r="G1582"/>
  <c r="F1582"/>
  <c r="E1582"/>
  <c r="I1581"/>
  <c r="G1581"/>
  <c r="F1581"/>
  <c r="E1581"/>
  <c r="I1580"/>
  <c r="G1580"/>
  <c r="F1580"/>
  <c r="E1580"/>
  <c r="I1579"/>
  <c r="G1579"/>
  <c r="F1579"/>
  <c r="E1579"/>
  <c r="I1578"/>
  <c r="G1578"/>
  <c r="F1578"/>
  <c r="E1578"/>
  <c r="I1577"/>
  <c r="G1577"/>
  <c r="F1577"/>
  <c r="E1577"/>
  <c r="I1576"/>
  <c r="G1576"/>
  <c r="F1576"/>
  <c r="E1576"/>
  <c r="I1575"/>
  <c r="G1575"/>
  <c r="F1575"/>
  <c r="E1575"/>
  <c r="I1574"/>
  <c r="G1574"/>
  <c r="F1574"/>
  <c r="E1574"/>
  <c r="I1573"/>
  <c r="G1573"/>
  <c r="F1573"/>
  <c r="E1573"/>
  <c r="I1572"/>
  <c r="G1572"/>
  <c r="F1572"/>
  <c r="E1572"/>
  <c r="I1571"/>
  <c r="G1571"/>
  <c r="F1571"/>
  <c r="E1571"/>
  <c r="I1564"/>
  <c r="G1564"/>
  <c r="F1564"/>
  <c r="E1564"/>
  <c r="I1559"/>
  <c r="G1559"/>
  <c r="F1559"/>
  <c r="E1559"/>
  <c r="I1569"/>
  <c r="G1569"/>
  <c r="F1569"/>
  <c r="E1569"/>
  <c r="I1568"/>
  <c r="G1568"/>
  <c r="F1568"/>
  <c r="E1568"/>
  <c r="I1567"/>
  <c r="G1567"/>
  <c r="F1567"/>
  <c r="E1567"/>
  <c r="I1566"/>
  <c r="G1566"/>
  <c r="F1566"/>
  <c r="E1566"/>
  <c r="I1565"/>
  <c r="G1565"/>
  <c r="F1565"/>
  <c r="E1565"/>
  <c r="I1563"/>
  <c r="G1563"/>
  <c r="F1563"/>
  <c r="E1563"/>
  <c r="I1558"/>
  <c r="G1558"/>
  <c r="F1558"/>
  <c r="E1558"/>
  <c r="I1557"/>
  <c r="G1557"/>
  <c r="F1557"/>
  <c r="E1557"/>
  <c r="I1556"/>
  <c r="G1556"/>
  <c r="F1556"/>
  <c r="E1556"/>
  <c r="I1555"/>
  <c r="G1555"/>
  <c r="F1555"/>
  <c r="E1555"/>
  <c r="I1554"/>
  <c r="G1554"/>
  <c r="F1554"/>
  <c r="E1554"/>
  <c r="I1553"/>
  <c r="G1553"/>
  <c r="F1553"/>
  <c r="E1553"/>
  <c r="I1552"/>
  <c r="G1552"/>
  <c r="F1552"/>
  <c r="E1552"/>
  <c r="I1551"/>
  <c r="G1551"/>
  <c r="F1551"/>
  <c r="E1551"/>
  <c r="I1550"/>
  <c r="G1550"/>
  <c r="F1550"/>
  <c r="E1550"/>
  <c r="I1570"/>
  <c r="G1570"/>
  <c r="F1570"/>
  <c r="E1570"/>
  <c r="I1549"/>
  <c r="G1549"/>
  <c r="F1549"/>
  <c r="E1549"/>
  <c r="I1562"/>
  <c r="G1562"/>
  <c r="F1562"/>
  <c r="E1562"/>
  <c r="I1561"/>
  <c r="G1561"/>
  <c r="F1561"/>
  <c r="E1561"/>
  <c r="I1560"/>
  <c r="G1560"/>
  <c r="F1560"/>
  <c r="E1560"/>
  <c r="I1548"/>
  <c r="G1548"/>
  <c r="E1548"/>
  <c r="I1547"/>
  <c r="G1547"/>
  <c r="F1547"/>
  <c r="E1547"/>
  <c r="I1605"/>
  <c r="G1605"/>
  <c r="F1605"/>
  <c r="E1605"/>
  <c r="I1191"/>
  <c r="G1191"/>
  <c r="F1191"/>
  <c r="E1191"/>
  <c r="I995"/>
  <c r="G995"/>
  <c r="F995"/>
  <c r="E995"/>
  <c r="I971"/>
  <c r="G971"/>
  <c r="F971"/>
  <c r="E971"/>
  <c r="I969"/>
  <c r="G969"/>
  <c r="F969"/>
  <c r="E969"/>
  <c r="I959"/>
  <c r="G959"/>
  <c r="F959"/>
  <c r="E959"/>
  <c r="I1460"/>
  <c r="G1460"/>
  <c r="F1460"/>
  <c r="E1460"/>
  <c r="I1459"/>
  <c r="G1459"/>
  <c r="F1459"/>
  <c r="E1459"/>
  <c r="I1458"/>
  <c r="G1458"/>
  <c r="F1458"/>
  <c r="E1458"/>
  <c r="I1465"/>
  <c r="G1465"/>
  <c r="F1465"/>
  <c r="E1465"/>
  <c r="I1464"/>
  <c r="G1464"/>
  <c r="F1464"/>
  <c r="E1464"/>
  <c r="I1463"/>
  <c r="G1463"/>
  <c r="F1463"/>
  <c r="E1463"/>
  <c r="I1462"/>
  <c r="G1462"/>
  <c r="F1462"/>
  <c r="E1462"/>
  <c r="I1002"/>
  <c r="G1002"/>
  <c r="F1002"/>
  <c r="E1002"/>
  <c r="I1001"/>
  <c r="G1001"/>
  <c r="F1001"/>
  <c r="E1001"/>
  <c r="I1532"/>
  <c r="G1532"/>
  <c r="F1532"/>
  <c r="E1532"/>
  <c r="I1529"/>
  <c r="G1529"/>
  <c r="F1529"/>
  <c r="E1529"/>
  <c r="I958"/>
  <c r="G958"/>
  <c r="F958"/>
  <c r="E958"/>
  <c r="I957"/>
  <c r="G957"/>
  <c r="F957"/>
  <c r="E957"/>
  <c r="I956"/>
  <c r="G956"/>
  <c r="F956"/>
  <c r="E956"/>
  <c r="I955"/>
  <c r="G955"/>
  <c r="F955"/>
  <c r="E955"/>
  <c r="I954"/>
  <c r="G954"/>
  <c r="F954"/>
  <c r="E954"/>
  <c r="I953"/>
  <c r="G953"/>
  <c r="F953"/>
  <c r="E953"/>
  <c r="I952"/>
  <c r="G952"/>
  <c r="F952"/>
  <c r="E952"/>
  <c r="I951"/>
  <c r="G951"/>
  <c r="F951"/>
  <c r="E951"/>
  <c r="I950"/>
  <c r="G950"/>
  <c r="F950"/>
  <c r="E950"/>
  <c r="I949"/>
  <c r="G949"/>
  <c r="F949"/>
  <c r="E949"/>
  <c r="I948"/>
  <c r="G948"/>
  <c r="F948"/>
  <c r="E948"/>
  <c r="I947"/>
  <c r="G947"/>
  <c r="F947"/>
  <c r="E947"/>
  <c r="I946"/>
  <c r="G946"/>
  <c r="F946"/>
  <c r="E946"/>
  <c r="I945"/>
  <c r="G945"/>
  <c r="F945"/>
  <c r="E945"/>
  <c r="I944"/>
  <c r="G944"/>
  <c r="F944"/>
  <c r="E944"/>
  <c r="I943"/>
  <c r="G943"/>
  <c r="F943"/>
  <c r="E943"/>
  <c r="I942"/>
  <c r="G942"/>
  <c r="F942"/>
  <c r="E942"/>
  <c r="I941"/>
  <c r="G941"/>
  <c r="F941"/>
  <c r="E941"/>
  <c r="I940"/>
  <c r="G940"/>
  <c r="F940"/>
  <c r="E940"/>
  <c r="I939"/>
  <c r="G939"/>
  <c r="F939"/>
  <c r="E939"/>
  <c r="I938"/>
  <c r="G938"/>
  <c r="F938"/>
  <c r="E938"/>
  <c r="I937"/>
  <c r="G937"/>
  <c r="F937"/>
  <c r="E937"/>
  <c r="I936"/>
  <c r="G936"/>
  <c r="F936"/>
  <c r="E936"/>
  <c r="I935"/>
  <c r="G935"/>
  <c r="F935"/>
  <c r="E935"/>
  <c r="I934"/>
  <c r="G934"/>
  <c r="F934"/>
  <c r="E934"/>
  <c r="I933"/>
  <c r="G933"/>
  <c r="F933"/>
  <c r="E933"/>
  <c r="I932"/>
  <c r="G932"/>
  <c r="F932"/>
  <c r="E932"/>
  <c r="I931"/>
  <c r="G931"/>
  <c r="F931"/>
  <c r="E931"/>
  <c r="I930"/>
  <c r="G930"/>
  <c r="F930"/>
  <c r="E930"/>
  <c r="I929"/>
  <c r="G929"/>
  <c r="F929"/>
  <c r="E929"/>
  <c r="I928"/>
  <c r="G928"/>
  <c r="F928"/>
  <c r="E928"/>
  <c r="I927"/>
  <c r="G927"/>
  <c r="F927"/>
  <c r="E927"/>
  <c r="I926"/>
  <c r="G926"/>
  <c r="F926"/>
  <c r="E926"/>
  <c r="I925"/>
  <c r="G925"/>
  <c r="F925"/>
  <c r="E925"/>
  <c r="I924"/>
  <c r="G924"/>
  <c r="F924"/>
  <c r="E924"/>
  <c r="I923"/>
  <c r="G923"/>
  <c r="F923"/>
  <c r="E923"/>
  <c r="I922"/>
  <c r="G922"/>
  <c r="F922"/>
  <c r="E922"/>
  <c r="I921"/>
  <c r="G921"/>
  <c r="F921"/>
  <c r="E921"/>
  <c r="I920"/>
  <c r="G920"/>
  <c r="F920"/>
  <c r="E920"/>
  <c r="I919"/>
  <c r="G919"/>
  <c r="F919"/>
  <c r="E919"/>
  <c r="I918"/>
  <c r="G918"/>
  <c r="F918"/>
  <c r="E918"/>
  <c r="I917"/>
  <c r="G917"/>
  <c r="F917"/>
  <c r="E917"/>
  <c r="I916"/>
  <c r="G916"/>
  <c r="F916"/>
  <c r="E916"/>
  <c r="I915"/>
  <c r="G915"/>
  <c r="F915"/>
  <c r="E915"/>
  <c r="I914"/>
  <c r="G914"/>
  <c r="F914"/>
  <c r="E914"/>
  <c r="I913"/>
  <c r="G913"/>
  <c r="F913"/>
  <c r="E913"/>
  <c r="I912"/>
  <c r="G912"/>
  <c r="F912"/>
  <c r="E912"/>
  <c r="I911"/>
  <c r="G911"/>
  <c r="F911"/>
  <c r="E911"/>
  <c r="I910"/>
  <c r="G910"/>
  <c r="F910"/>
  <c r="E910"/>
  <c r="I909"/>
  <c r="G909"/>
  <c r="F909"/>
  <c r="E909"/>
  <c r="I908"/>
  <c r="G908"/>
  <c r="F908"/>
  <c r="E908"/>
  <c r="I907"/>
  <c r="G907"/>
  <c r="F907"/>
  <c r="E907"/>
  <c r="I906"/>
  <c r="G906"/>
  <c r="F906"/>
  <c r="E906"/>
  <c r="I905"/>
  <c r="G905"/>
  <c r="F905"/>
  <c r="E905"/>
  <c r="I904"/>
  <c r="G904"/>
  <c r="F904"/>
  <c r="E904"/>
  <c r="I903"/>
  <c r="G903"/>
  <c r="F903"/>
  <c r="E903"/>
  <c r="I902"/>
  <c r="G902"/>
  <c r="F902"/>
  <c r="E902"/>
  <c r="I1528"/>
  <c r="G1528"/>
  <c r="F1528"/>
  <c r="E1528"/>
  <c r="I883"/>
  <c r="G883"/>
  <c r="F883"/>
  <c r="E883"/>
  <c r="I882"/>
  <c r="G882"/>
  <c r="F882"/>
  <c r="E882"/>
  <c r="I881"/>
  <c r="G881"/>
  <c r="F881"/>
  <c r="E881"/>
  <c r="I880"/>
  <c r="G880"/>
  <c r="F880"/>
  <c r="E880"/>
  <c r="I879"/>
  <c r="G879"/>
  <c r="F879"/>
  <c r="E879"/>
  <c r="I878"/>
  <c r="G878"/>
  <c r="F878"/>
  <c r="E878"/>
  <c r="I531"/>
  <c r="G531"/>
  <c r="F531"/>
  <c r="E531"/>
  <c r="I530"/>
  <c r="G530"/>
  <c r="F530"/>
  <c r="E530"/>
  <c r="I529"/>
  <c r="G529"/>
  <c r="F529"/>
  <c r="E529"/>
  <c r="I528"/>
  <c r="G528"/>
  <c r="F528"/>
  <c r="E528"/>
  <c r="I527"/>
  <c r="G527"/>
  <c r="F527"/>
  <c r="E527"/>
  <c r="I526"/>
  <c r="G526"/>
  <c r="F526"/>
  <c r="E526"/>
  <c r="I525"/>
  <c r="G525"/>
  <c r="F525"/>
  <c r="E525"/>
  <c r="I524"/>
  <c r="G524"/>
  <c r="F524"/>
  <c r="E524"/>
  <c r="I523"/>
  <c r="G523"/>
  <c r="F523"/>
  <c r="E523"/>
  <c r="I522"/>
  <c r="G522"/>
  <c r="F522"/>
  <c r="E522"/>
  <c r="I521"/>
  <c r="G521"/>
  <c r="F521"/>
  <c r="E521"/>
  <c r="I520"/>
  <c r="G520"/>
  <c r="F520"/>
  <c r="E520"/>
  <c r="I519"/>
  <c r="G519"/>
  <c r="F519"/>
  <c r="E519"/>
  <c r="I518"/>
  <c r="G518"/>
  <c r="F518"/>
  <c r="E518"/>
  <c r="I517"/>
  <c r="G517"/>
  <c r="F517"/>
  <c r="E517"/>
  <c r="I516"/>
  <c r="G516"/>
  <c r="F516"/>
  <c r="E516"/>
  <c r="I515"/>
  <c r="G515"/>
  <c r="F515"/>
  <c r="E515"/>
  <c r="I514"/>
  <c r="G514"/>
  <c r="F514"/>
  <c r="E514"/>
  <c r="I513"/>
  <c r="G513"/>
  <c r="F513"/>
  <c r="E513"/>
  <c r="I512"/>
  <c r="G512"/>
  <c r="F512"/>
  <c r="E512"/>
  <c r="I511"/>
  <c r="G511"/>
  <c r="F511"/>
  <c r="E511"/>
  <c r="I510"/>
  <c r="G510"/>
  <c r="F510"/>
  <c r="E510"/>
  <c r="I509"/>
  <c r="G509"/>
  <c r="F509"/>
  <c r="E509"/>
  <c r="I508"/>
  <c r="G508"/>
  <c r="F508"/>
  <c r="E508"/>
  <c r="I507"/>
  <c r="G507"/>
  <c r="F507"/>
  <c r="E507"/>
  <c r="I506"/>
  <c r="G506"/>
  <c r="F506"/>
  <c r="E506"/>
  <c r="I505"/>
  <c r="G505"/>
  <c r="F505"/>
  <c r="E505"/>
  <c r="I504"/>
  <c r="G504"/>
  <c r="F504"/>
  <c r="E504"/>
  <c r="I503"/>
  <c r="G503"/>
  <c r="F503"/>
  <c r="E503"/>
  <c r="I502"/>
  <c r="G502"/>
  <c r="F502"/>
  <c r="E502"/>
  <c r="I501"/>
  <c r="G501"/>
  <c r="F501"/>
  <c r="E501"/>
  <c r="I500"/>
  <c r="G500"/>
  <c r="F500"/>
  <c r="E500"/>
  <c r="I499"/>
  <c r="G499"/>
  <c r="F499"/>
  <c r="E499"/>
  <c r="I498"/>
  <c r="G498"/>
  <c r="F498"/>
  <c r="E498"/>
  <c r="I497"/>
  <c r="G497"/>
  <c r="F497"/>
  <c r="E497"/>
  <c r="I496"/>
  <c r="G496"/>
  <c r="F496"/>
  <c r="E496"/>
  <c r="I495"/>
  <c r="G495"/>
  <c r="F495"/>
  <c r="E495"/>
  <c r="I494"/>
  <c r="G494"/>
  <c r="F494"/>
  <c r="E494"/>
  <c r="I493"/>
  <c r="G493"/>
  <c r="F493"/>
  <c r="E493"/>
  <c r="I492"/>
  <c r="G492"/>
  <c r="F492"/>
  <c r="E492"/>
  <c r="I994"/>
  <c r="G994"/>
  <c r="F994"/>
  <c r="E994"/>
  <c r="I993"/>
  <c r="G993"/>
  <c r="F993"/>
  <c r="E993"/>
  <c r="I992"/>
  <c r="G992"/>
  <c r="F992"/>
  <c r="E992"/>
  <c r="I988"/>
  <c r="G988"/>
  <c r="F988"/>
  <c r="E988"/>
  <c r="I987"/>
  <c r="G987"/>
  <c r="F987"/>
  <c r="E987"/>
  <c r="I986"/>
  <c r="G986"/>
  <c r="F986"/>
  <c r="E986"/>
  <c r="I985"/>
  <c r="G985"/>
  <c r="F985"/>
  <c r="E985"/>
  <c r="I984"/>
  <c r="G984"/>
  <c r="F984"/>
  <c r="E984"/>
  <c r="I983"/>
  <c r="G983"/>
  <c r="F983"/>
  <c r="E983"/>
  <c r="I982"/>
  <c r="G982"/>
  <c r="F982"/>
  <c r="E982"/>
  <c r="I981"/>
  <c r="G981"/>
  <c r="F981"/>
  <c r="E981"/>
  <c r="I980"/>
  <c r="G980"/>
  <c r="F980"/>
  <c r="E980"/>
  <c r="I979"/>
  <c r="G979"/>
  <c r="F979"/>
  <c r="E979"/>
  <c r="I978"/>
  <c r="G978"/>
  <c r="F978"/>
  <c r="E978"/>
  <c r="I977"/>
  <c r="G977"/>
  <c r="F977"/>
  <c r="E977"/>
  <c r="I976"/>
  <c r="G976"/>
  <c r="F976"/>
  <c r="E976"/>
  <c r="I975"/>
  <c r="G975"/>
  <c r="F975"/>
  <c r="E975"/>
  <c r="I974"/>
  <c r="G974"/>
  <c r="F974"/>
  <c r="E974"/>
  <c r="I973"/>
  <c r="G973"/>
  <c r="F973"/>
  <c r="E973"/>
  <c r="I972"/>
  <c r="G972"/>
  <c r="F972"/>
  <c r="E972"/>
  <c r="I970"/>
  <c r="G970"/>
  <c r="F970"/>
  <c r="E970"/>
  <c r="I968"/>
  <c r="G968"/>
  <c r="F968"/>
  <c r="E968"/>
  <c r="I967"/>
  <c r="G967"/>
  <c r="F967"/>
  <c r="E967"/>
  <c r="I491"/>
  <c r="G491"/>
  <c r="F491"/>
  <c r="E491"/>
  <c r="I1507"/>
  <c r="G1507"/>
  <c r="F1507"/>
  <c r="E1507"/>
  <c r="I1506"/>
  <c r="G1506"/>
  <c r="F1506"/>
  <c r="E1506"/>
  <c r="I1505"/>
  <c r="G1505"/>
  <c r="F1505"/>
  <c r="E1505"/>
  <c r="I1504"/>
  <c r="G1504"/>
  <c r="F1504"/>
  <c r="E1504"/>
  <c r="I1503"/>
  <c r="G1503"/>
  <c r="F1503"/>
  <c r="E1503"/>
  <c r="I1502"/>
  <c r="G1502"/>
  <c r="F1502"/>
  <c r="E1502"/>
  <c r="I1501"/>
  <c r="G1501"/>
  <c r="F1501"/>
  <c r="E1501"/>
  <c r="I1500"/>
  <c r="G1500"/>
  <c r="F1500"/>
  <c r="E1500"/>
  <c r="I1499"/>
  <c r="G1499"/>
  <c r="F1499"/>
  <c r="E1499"/>
  <c r="I1498"/>
  <c r="G1498"/>
  <c r="F1498"/>
  <c r="E1498"/>
  <c r="I1497"/>
  <c r="G1497"/>
  <c r="F1497"/>
  <c r="E1497"/>
  <c r="I1496"/>
  <c r="G1496"/>
  <c r="F1496"/>
  <c r="E1496"/>
  <c r="I1495"/>
  <c r="G1495"/>
  <c r="F1495"/>
  <c r="E1495"/>
  <c r="I1494"/>
  <c r="G1494"/>
  <c r="F1494"/>
  <c r="E1494"/>
  <c r="I1493"/>
  <c r="G1493"/>
  <c r="F1493"/>
  <c r="E1493"/>
  <c r="I1492"/>
  <c r="G1492"/>
  <c r="F1492"/>
  <c r="E1492"/>
  <c r="I1491"/>
  <c r="G1491"/>
  <c r="F1491"/>
  <c r="E1491"/>
  <c r="I1490"/>
  <c r="G1490"/>
  <c r="F1490"/>
  <c r="E1490"/>
  <c r="I1489"/>
  <c r="G1489"/>
  <c r="F1489"/>
  <c r="E1489"/>
  <c r="I1488"/>
  <c r="G1488"/>
  <c r="F1488"/>
  <c r="E1488"/>
  <c r="I1487"/>
  <c r="G1487"/>
  <c r="F1487"/>
  <c r="E1487"/>
  <c r="I1486"/>
  <c r="G1486"/>
  <c r="F1486"/>
  <c r="E1486"/>
  <c r="I1485"/>
  <c r="G1485"/>
  <c r="F1485"/>
  <c r="E1485"/>
  <c r="I1484"/>
  <c r="G1484"/>
  <c r="F1484"/>
  <c r="E1484"/>
  <c r="I1483"/>
  <c r="G1483"/>
  <c r="F1483"/>
  <c r="E1483"/>
  <c r="I1482"/>
  <c r="G1482"/>
  <c r="F1482"/>
  <c r="E1482"/>
  <c r="I1481"/>
  <c r="G1481"/>
  <c r="F1481"/>
  <c r="E1481"/>
  <c r="I1480"/>
  <c r="G1480"/>
  <c r="F1480"/>
  <c r="E1480"/>
  <c r="I1479"/>
  <c r="G1479"/>
  <c r="F1479"/>
  <c r="E1479"/>
  <c r="I1478"/>
  <c r="G1478"/>
  <c r="F1478"/>
  <c r="E1478"/>
  <c r="I1477"/>
  <c r="G1477"/>
  <c r="F1477"/>
  <c r="E1477"/>
  <c r="I1476"/>
  <c r="G1476"/>
  <c r="F1476"/>
  <c r="E1476"/>
  <c r="I1475"/>
  <c r="G1475"/>
  <c r="F1475"/>
  <c r="E1475"/>
  <c r="I1474"/>
  <c r="G1474"/>
  <c r="F1474"/>
  <c r="E1474"/>
  <c r="I1473"/>
  <c r="G1473"/>
  <c r="F1473"/>
  <c r="E1473"/>
  <c r="I1472"/>
  <c r="G1472"/>
  <c r="F1472"/>
  <c r="E1472"/>
  <c r="I1471"/>
  <c r="G1471"/>
  <c r="F1471"/>
  <c r="E1471"/>
  <c r="I1470"/>
  <c r="G1470"/>
  <c r="F1470"/>
  <c r="E1470"/>
  <c r="I1469"/>
  <c r="G1469"/>
  <c r="F1469"/>
  <c r="E1469"/>
  <c r="I1468"/>
  <c r="G1468"/>
  <c r="F1468"/>
  <c r="E1468"/>
  <c r="I1467"/>
  <c r="G1467"/>
  <c r="F1467"/>
  <c r="E1467"/>
  <c r="I1466"/>
  <c r="G1466"/>
  <c r="F1466"/>
  <c r="E1466"/>
  <c r="I1409"/>
  <c r="G1409"/>
  <c r="F1409"/>
  <c r="E1409"/>
  <c r="I1400"/>
  <c r="G1400"/>
  <c r="F1400"/>
  <c r="E1400"/>
  <c r="I1399"/>
  <c r="G1399"/>
  <c r="F1399"/>
  <c r="E1399"/>
  <c r="I1397"/>
  <c r="G1397"/>
  <c r="F1397"/>
  <c r="E1397"/>
  <c r="I1395"/>
  <c r="G1395"/>
  <c r="F1395"/>
  <c r="E1395"/>
  <c r="I1394"/>
  <c r="G1394"/>
  <c r="F1394"/>
  <c r="E1394"/>
  <c r="I1393"/>
  <c r="G1393"/>
  <c r="F1393"/>
  <c r="E1393"/>
  <c r="I1392"/>
  <c r="G1392"/>
  <c r="F1392"/>
  <c r="E1392"/>
  <c r="I1383"/>
  <c r="G1383"/>
  <c r="F1383"/>
  <c r="E1383"/>
  <c r="I1377"/>
  <c r="G1377"/>
  <c r="F1377"/>
  <c r="E1377"/>
  <c r="I1376"/>
  <c r="G1376"/>
  <c r="F1376"/>
  <c r="E1376"/>
  <c r="I1375"/>
  <c r="G1375"/>
  <c r="F1375"/>
  <c r="E1375"/>
  <c r="I1373"/>
  <c r="G1373"/>
  <c r="F1373"/>
  <c r="E1373"/>
  <c r="I1372"/>
  <c r="G1372"/>
  <c r="F1372"/>
  <c r="E1372"/>
  <c r="I1371"/>
  <c r="G1371"/>
  <c r="F1371"/>
  <c r="E1371"/>
  <c r="I1367"/>
  <c r="G1367"/>
  <c r="F1367"/>
  <c r="E1367"/>
  <c r="I1366"/>
  <c r="G1366"/>
  <c r="F1366"/>
  <c r="E1366"/>
  <c r="I1365"/>
  <c r="G1365"/>
  <c r="F1365"/>
  <c r="E1365"/>
  <c r="I1364"/>
  <c r="G1364"/>
  <c r="F1364"/>
  <c r="E1364"/>
  <c r="I1362"/>
  <c r="G1362"/>
  <c r="F1362"/>
  <c r="E1362"/>
  <c r="I1359"/>
  <c r="G1359"/>
  <c r="F1359"/>
  <c r="E1359"/>
  <c r="I1331"/>
  <c r="G1331"/>
  <c r="F1331"/>
  <c r="E1331"/>
  <c r="I1330"/>
  <c r="G1330"/>
  <c r="F1330"/>
  <c r="E1330"/>
  <c r="I1326"/>
  <c r="G1326"/>
  <c r="F1326"/>
  <c r="E1326"/>
  <c r="I1325"/>
  <c r="G1325"/>
  <c r="F1325"/>
  <c r="E1325"/>
  <c r="I1324"/>
  <c r="G1324"/>
  <c r="F1324"/>
  <c r="E1324"/>
  <c r="I1323"/>
  <c r="G1323"/>
  <c r="F1323"/>
  <c r="E1323"/>
  <c r="I1322"/>
  <c r="G1322"/>
  <c r="F1322"/>
  <c r="E1322"/>
  <c r="I1321"/>
  <c r="G1321"/>
  <c r="F1321"/>
  <c r="E1321"/>
  <c r="I1248"/>
  <c r="G1248"/>
  <c r="F1248"/>
  <c r="E1248"/>
  <c r="I1247"/>
  <c r="G1247"/>
  <c r="F1247"/>
  <c r="E1247"/>
  <c r="I1246"/>
  <c r="G1246"/>
  <c r="F1246"/>
  <c r="E1246"/>
  <c r="I1241"/>
  <c r="G1241"/>
  <c r="F1241"/>
  <c r="E1241"/>
  <c r="I1239"/>
  <c r="G1239"/>
  <c r="F1239"/>
  <c r="E1239"/>
  <c r="I1237"/>
  <c r="G1237"/>
  <c r="F1237"/>
  <c r="E1237"/>
  <c r="I1236"/>
  <c r="G1236"/>
  <c r="F1236"/>
  <c r="E1236"/>
  <c r="I1233"/>
  <c r="G1233"/>
  <c r="F1233"/>
  <c r="E1233"/>
  <c r="I1232"/>
  <c r="G1232"/>
  <c r="F1232"/>
  <c r="E1232"/>
  <c r="I1231"/>
  <c r="G1231"/>
  <c r="F1231"/>
  <c r="E1231"/>
  <c r="I1230"/>
  <c r="G1230"/>
  <c r="F1230"/>
  <c r="E1230"/>
  <c r="I1229"/>
  <c r="G1229"/>
  <c r="F1229"/>
  <c r="E1229"/>
  <c r="I1224"/>
  <c r="G1224"/>
  <c r="F1224"/>
  <c r="E1224"/>
  <c r="I1223"/>
  <c r="G1223"/>
  <c r="F1223"/>
  <c r="E1223"/>
  <c r="I1222"/>
  <c r="G1222"/>
  <c r="F1222"/>
  <c r="E1222"/>
  <c r="I1221"/>
  <c r="G1221"/>
  <c r="F1221"/>
  <c r="E1221"/>
  <c r="I1220"/>
  <c r="G1220"/>
  <c r="F1220"/>
  <c r="E1220"/>
  <c r="I1218"/>
  <c r="G1218"/>
  <c r="F1218"/>
  <c r="E1218"/>
  <c r="I1217"/>
  <c r="G1217"/>
  <c r="F1217"/>
  <c r="E1217"/>
  <c r="I1216"/>
  <c r="G1216"/>
  <c r="F1216"/>
  <c r="E1216"/>
  <c r="I1215"/>
  <c r="G1215"/>
  <c r="F1215"/>
  <c r="E1215"/>
  <c r="I1214"/>
  <c r="G1214"/>
  <c r="F1214"/>
  <c r="E1214"/>
  <c r="I1211"/>
  <c r="G1211"/>
  <c r="F1211"/>
  <c r="E1211"/>
  <c r="I1207"/>
  <c r="G1207"/>
  <c r="F1207"/>
  <c r="E1207"/>
  <c r="I1206"/>
  <c r="G1206"/>
  <c r="F1206"/>
  <c r="E1206"/>
  <c r="I1205"/>
  <c r="G1205"/>
  <c r="F1205"/>
  <c r="E1205"/>
  <c r="I1204"/>
  <c r="G1204"/>
  <c r="F1204"/>
  <c r="E1204"/>
  <c r="I1201"/>
  <c r="G1201"/>
  <c r="F1201"/>
  <c r="E1201"/>
  <c r="I1200"/>
  <c r="G1200"/>
  <c r="F1200"/>
  <c r="E1200"/>
  <c r="I1199"/>
  <c r="G1199"/>
  <c r="F1199"/>
  <c r="E1199"/>
  <c r="I1198"/>
  <c r="G1198"/>
  <c r="F1198"/>
  <c r="E1198"/>
  <c r="I1197"/>
  <c r="G1197"/>
  <c r="F1197"/>
  <c r="E1197"/>
  <c r="I1194"/>
  <c r="G1194"/>
  <c r="F1194"/>
  <c r="E1194"/>
  <c r="I1193"/>
  <c r="G1193"/>
  <c r="F1193"/>
  <c r="E1193"/>
  <c r="I1192"/>
  <c r="G1192"/>
  <c r="F1192"/>
  <c r="E1192"/>
  <c r="I1190"/>
  <c r="G1190"/>
  <c r="F1190"/>
  <c r="E1190"/>
  <c r="I1189"/>
  <c r="G1189"/>
  <c r="F1189"/>
  <c r="E1189"/>
  <c r="I1188"/>
  <c r="G1188"/>
  <c r="F1188"/>
  <c r="E1188"/>
  <c r="I1187"/>
  <c r="G1187"/>
  <c r="F1187"/>
  <c r="E1187"/>
  <c r="I1181"/>
  <c r="G1181"/>
  <c r="F1181"/>
  <c r="E1181"/>
  <c r="I1179"/>
  <c r="G1179"/>
  <c r="F1179"/>
  <c r="E1179"/>
  <c r="I1167"/>
  <c r="G1167"/>
  <c r="F1167"/>
  <c r="E1167"/>
  <c r="I1164"/>
  <c r="G1164"/>
  <c r="F1164"/>
  <c r="E1164"/>
  <c r="I1155"/>
  <c r="G1155"/>
  <c r="F1155"/>
  <c r="E1155"/>
  <c r="I1154"/>
  <c r="G1154"/>
  <c r="F1154"/>
  <c r="E1154"/>
  <c r="I1153"/>
  <c r="G1153"/>
  <c r="F1153"/>
  <c r="E1153"/>
  <c r="I1152"/>
  <c r="G1152"/>
  <c r="F1152"/>
  <c r="E1152"/>
  <c r="I1151"/>
  <c r="G1151"/>
  <c r="F1151"/>
  <c r="E1151"/>
  <c r="I1149"/>
  <c r="G1149"/>
  <c r="F1149"/>
  <c r="E1149"/>
  <c r="I1147"/>
  <c r="G1147"/>
  <c r="F1147"/>
  <c r="E1147"/>
  <c r="I1145"/>
  <c r="G1145"/>
  <c r="F1145"/>
  <c r="E1145"/>
  <c r="I1144"/>
  <c r="G1144"/>
  <c r="F1144"/>
  <c r="E1144"/>
  <c r="I1143"/>
  <c r="G1143"/>
  <c r="F1143"/>
  <c r="E1143"/>
  <c r="I1142"/>
  <c r="G1142"/>
  <c r="F1142"/>
  <c r="E1142"/>
  <c r="I1141"/>
  <c r="G1141"/>
  <c r="F1141"/>
  <c r="E1141"/>
  <c r="I1140"/>
  <c r="G1140"/>
  <c r="F1140"/>
  <c r="E1140"/>
  <c r="I1135"/>
  <c r="G1135"/>
  <c r="F1135"/>
  <c r="E1135"/>
  <c r="I1131"/>
  <c r="G1131"/>
  <c r="F1131"/>
  <c r="E1131"/>
  <c r="I1130"/>
  <c r="G1130"/>
  <c r="F1130"/>
  <c r="E1130"/>
  <c r="I1129"/>
  <c r="G1129"/>
  <c r="F1129"/>
  <c r="E1129"/>
  <c r="I1127"/>
  <c r="G1127"/>
  <c r="F1127"/>
  <c r="E1127"/>
  <c r="I1126"/>
  <c r="G1126"/>
  <c r="F1126"/>
  <c r="E1126"/>
  <c r="I1125"/>
  <c r="G1125"/>
  <c r="F1125"/>
  <c r="E1125"/>
  <c r="I1123"/>
  <c r="G1123"/>
  <c r="F1123"/>
  <c r="E1123"/>
  <c r="I1122"/>
  <c r="G1122"/>
  <c r="F1122"/>
  <c r="E1122"/>
  <c r="I1120"/>
  <c r="G1120"/>
  <c r="F1120"/>
  <c r="E1120"/>
  <c r="I1113"/>
  <c r="G1113"/>
  <c r="F1113"/>
  <c r="E1113"/>
  <c r="I1101"/>
  <c r="G1101"/>
  <c r="F1101"/>
  <c r="E1101"/>
  <c r="I1099"/>
  <c r="G1099"/>
  <c r="F1099"/>
  <c r="E1099"/>
  <c r="I1093"/>
  <c r="G1093"/>
  <c r="F1093"/>
  <c r="E1093"/>
  <c r="I1091"/>
  <c r="G1091"/>
  <c r="F1091"/>
  <c r="E1091"/>
  <c r="I1090"/>
  <c r="G1090"/>
  <c r="F1090"/>
  <c r="E1090"/>
  <c r="I1088"/>
  <c r="G1088"/>
  <c r="F1088"/>
  <c r="E1088"/>
  <c r="I1087"/>
  <c r="G1087"/>
  <c r="F1087"/>
  <c r="E1087"/>
  <c r="I1085"/>
  <c r="G1085"/>
  <c r="F1085"/>
  <c r="E1085"/>
  <c r="I1081"/>
  <c r="G1081"/>
  <c r="F1081"/>
  <c r="E1081"/>
  <c r="I1076"/>
  <c r="G1076"/>
  <c r="F1076"/>
  <c r="E1076"/>
  <c r="I1075"/>
  <c r="G1075"/>
  <c r="F1075"/>
  <c r="E1075"/>
  <c r="I1074"/>
  <c r="G1074"/>
  <c r="F1074"/>
  <c r="E1074"/>
  <c r="I1073"/>
  <c r="G1073"/>
  <c r="F1073"/>
  <c r="E1073"/>
  <c r="I1070"/>
  <c r="G1070"/>
  <c r="F1070"/>
  <c r="E1070"/>
  <c r="I1055"/>
  <c r="G1055"/>
  <c r="F1055"/>
  <c r="E1055"/>
  <c r="I1052"/>
  <c r="G1052"/>
  <c r="F1052"/>
  <c r="E1052"/>
  <c r="I1051"/>
  <c r="G1051"/>
  <c r="F1051"/>
  <c r="E1051"/>
  <c r="I1050"/>
  <c r="G1050"/>
  <c r="F1050"/>
  <c r="E1050"/>
  <c r="I1049"/>
  <c r="G1049"/>
  <c r="F1049"/>
  <c r="E1049"/>
  <c r="I1046"/>
  <c r="G1046"/>
  <c r="F1046"/>
  <c r="E1046"/>
  <c r="I1045"/>
  <c r="G1045"/>
  <c r="F1045"/>
  <c r="E1045"/>
  <c r="I1044"/>
  <c r="G1044"/>
  <c r="F1044"/>
  <c r="E1044"/>
  <c r="I1042"/>
  <c r="G1042"/>
  <c r="F1042"/>
  <c r="E1042"/>
  <c r="I1039"/>
  <c r="G1039"/>
  <c r="F1039"/>
  <c r="E1039"/>
  <c r="I1038"/>
  <c r="G1038"/>
  <c r="F1038"/>
  <c r="E1038"/>
  <c r="I1035"/>
  <c r="G1035"/>
  <c r="F1035"/>
  <c r="E1035"/>
  <c r="I1016"/>
  <c r="G1016"/>
  <c r="F1016"/>
  <c r="E1016"/>
  <c r="I1015"/>
  <c r="G1015"/>
  <c r="F1015"/>
  <c r="E1015"/>
  <c r="I1013"/>
  <c r="G1013"/>
  <c r="F1013"/>
  <c r="E1013"/>
  <c r="I1011"/>
  <c r="G1011"/>
  <c r="F1011"/>
  <c r="E1011"/>
  <c r="I1008"/>
  <c r="G1008"/>
  <c r="F1008"/>
  <c r="E1008"/>
  <c r="I554"/>
  <c r="G554"/>
  <c r="F554"/>
  <c r="E554"/>
  <c r="I547"/>
  <c r="G547"/>
  <c r="F547"/>
  <c r="E547"/>
  <c r="I897"/>
  <c r="G897"/>
  <c r="F897"/>
  <c r="E897"/>
  <c r="I896"/>
  <c r="G896"/>
  <c r="F896"/>
  <c r="E896"/>
  <c r="I895"/>
  <c r="G895"/>
  <c r="F895"/>
  <c r="E895"/>
  <c r="I894"/>
  <c r="G894"/>
  <c r="F894"/>
  <c r="E894"/>
  <c r="I893"/>
  <c r="G893"/>
  <c r="F893"/>
  <c r="E893"/>
  <c r="I892"/>
  <c r="G892"/>
  <c r="F892"/>
  <c r="E892"/>
  <c r="I891"/>
  <c r="G891"/>
  <c r="F891"/>
  <c r="E891"/>
  <c r="I890"/>
  <c r="G890"/>
  <c r="F890"/>
  <c r="E890"/>
  <c r="G889"/>
  <c r="F889"/>
  <c r="E889"/>
  <c r="I888"/>
  <c r="G888"/>
  <c r="F888"/>
  <c r="E888"/>
  <c r="I901"/>
  <c r="G901"/>
  <c r="F901"/>
  <c r="E901"/>
  <c r="I900"/>
  <c r="G900"/>
  <c r="F900"/>
  <c r="E900"/>
  <c r="I899"/>
  <c r="G899"/>
  <c r="F899"/>
  <c r="E899"/>
  <c r="I898"/>
  <c r="G898"/>
  <c r="F898"/>
  <c r="E898"/>
  <c r="I545"/>
  <c r="G545"/>
  <c r="F545"/>
  <c r="E545"/>
  <c r="I1461"/>
  <c r="G1461"/>
  <c r="F1461"/>
  <c r="E1461"/>
  <c r="I1457"/>
  <c r="G1457"/>
  <c r="F1457"/>
  <c r="E1457"/>
  <c r="I1456"/>
  <c r="G1456"/>
  <c r="F1456"/>
  <c r="E1456"/>
  <c r="I1455"/>
  <c r="G1455"/>
  <c r="F1455"/>
  <c r="E1455"/>
  <c r="I1454"/>
  <c r="G1454"/>
  <c r="F1454"/>
  <c r="E1454"/>
  <c r="I1453"/>
  <c r="G1453"/>
  <c r="F1453"/>
  <c r="E1453"/>
  <c r="I887"/>
  <c r="G887"/>
  <c r="F887"/>
  <c r="E887"/>
  <c r="I886"/>
  <c r="G886"/>
  <c r="F886"/>
  <c r="E886"/>
  <c r="I885"/>
  <c r="G885"/>
  <c r="F885"/>
  <c r="E885"/>
  <c r="I884"/>
  <c r="G884"/>
  <c r="F884"/>
  <c r="E884"/>
  <c r="I877"/>
  <c r="G877"/>
  <c r="F877"/>
  <c r="E877"/>
  <c r="I1531"/>
  <c r="G1531"/>
  <c r="F1531"/>
  <c r="E1531"/>
  <c r="I1530"/>
  <c r="G1530"/>
  <c r="F1530"/>
  <c r="E1530"/>
  <c r="I1527"/>
  <c r="G1527"/>
  <c r="F1527"/>
  <c r="E1527"/>
  <c r="I1526"/>
  <c r="G1526"/>
  <c r="F1526"/>
  <c r="E1526"/>
  <c r="I1525"/>
  <c r="G1525"/>
  <c r="F1525"/>
  <c r="E1525"/>
  <c r="I1524"/>
  <c r="G1524"/>
  <c r="F1524"/>
  <c r="E1524"/>
  <c r="I1523"/>
  <c r="G1523"/>
  <c r="F1523"/>
  <c r="E1523"/>
  <c r="I1522"/>
  <c r="G1522"/>
  <c r="F1522"/>
  <c r="E1522"/>
  <c r="I1521"/>
  <c r="G1521"/>
  <c r="F1521"/>
  <c r="E1521"/>
  <c r="I1520"/>
  <c r="G1520"/>
  <c r="F1520"/>
  <c r="E1520"/>
  <c r="I1519"/>
  <c r="G1519"/>
  <c r="F1519"/>
  <c r="E1519"/>
  <c r="I1518"/>
  <c r="G1518"/>
  <c r="F1518"/>
  <c r="E1518"/>
  <c r="I1517"/>
  <c r="G1517"/>
  <c r="F1517"/>
  <c r="E1517"/>
  <c r="I1516"/>
  <c r="G1516"/>
  <c r="F1516"/>
  <c r="E1516"/>
  <c r="I1515"/>
  <c r="G1515"/>
  <c r="F1515"/>
  <c r="E1515"/>
  <c r="I1514"/>
  <c r="G1514"/>
  <c r="F1514"/>
  <c r="E1514"/>
  <c r="I1513"/>
  <c r="G1513"/>
  <c r="F1513"/>
  <c r="E1513"/>
  <c r="I1512"/>
  <c r="G1512"/>
  <c r="F1512"/>
  <c r="E1512"/>
  <c r="I1511"/>
  <c r="G1511"/>
  <c r="F1511"/>
  <c r="E1511"/>
  <c r="I1510"/>
  <c r="G1510"/>
  <c r="F1510"/>
  <c r="E1510"/>
  <c r="I1509"/>
  <c r="G1509"/>
  <c r="F1509"/>
  <c r="E1509"/>
  <c r="I1508"/>
  <c r="G1508"/>
  <c r="F1508"/>
  <c r="E1508"/>
  <c r="I1452"/>
  <c r="G1452"/>
  <c r="F1452"/>
  <c r="E1452"/>
  <c r="I1451"/>
  <c r="G1451"/>
  <c r="F1451"/>
  <c r="E1451"/>
  <c r="I1450"/>
  <c r="G1450"/>
  <c r="F1450"/>
  <c r="E1450"/>
  <c r="I1449"/>
  <c r="G1449"/>
  <c r="F1449"/>
  <c r="E1449"/>
  <c r="I1448"/>
  <c r="G1448"/>
  <c r="F1448"/>
  <c r="E1448"/>
  <c r="I1447"/>
  <c r="G1447"/>
  <c r="F1447"/>
  <c r="E1447"/>
  <c r="I1446"/>
  <c r="G1446"/>
  <c r="F1446"/>
  <c r="E1446"/>
  <c r="I1445"/>
  <c r="G1445"/>
  <c r="F1445"/>
  <c r="E1445"/>
  <c r="I1444"/>
  <c r="G1444"/>
  <c r="F1444"/>
  <c r="E1444"/>
  <c r="I1443"/>
  <c r="G1443"/>
  <c r="F1443"/>
  <c r="E1443"/>
  <c r="I1442"/>
  <c r="G1442"/>
  <c r="F1442"/>
  <c r="E1442"/>
  <c r="I1441"/>
  <c r="G1441"/>
  <c r="F1441"/>
  <c r="E1441"/>
  <c r="I1440"/>
  <c r="G1440"/>
  <c r="F1440"/>
  <c r="E1440"/>
  <c r="I1439"/>
  <c r="G1439"/>
  <c r="F1439"/>
  <c r="E1439"/>
  <c r="I1438"/>
  <c r="G1438"/>
  <c r="F1438"/>
  <c r="E1438"/>
  <c r="I1437"/>
  <c r="G1437"/>
  <c r="F1437"/>
  <c r="E1437"/>
  <c r="I1436"/>
  <c r="G1436"/>
  <c r="F1436"/>
  <c r="E1436"/>
  <c r="I1435"/>
  <c r="G1435"/>
  <c r="F1435"/>
  <c r="E1435"/>
  <c r="I1434"/>
  <c r="G1434"/>
  <c r="F1434"/>
  <c r="E1434"/>
  <c r="I1433"/>
  <c r="G1433"/>
  <c r="F1433"/>
  <c r="E1433"/>
  <c r="I1432"/>
  <c r="G1432"/>
  <c r="F1432"/>
  <c r="E1432"/>
  <c r="I1431"/>
  <c r="G1431"/>
  <c r="F1431"/>
  <c r="E1431"/>
  <c r="I1430"/>
  <c r="G1430"/>
  <c r="F1430"/>
  <c r="E1430"/>
  <c r="I1429"/>
  <c r="G1429"/>
  <c r="F1429"/>
  <c r="E1429"/>
  <c r="I1428"/>
  <c r="G1428"/>
  <c r="F1428"/>
  <c r="E1428"/>
  <c r="I1427"/>
  <c r="G1427"/>
  <c r="F1427"/>
  <c r="E1427"/>
  <c r="I1426"/>
  <c r="G1426"/>
  <c r="F1426"/>
  <c r="E1426"/>
  <c r="I1425"/>
  <c r="G1425"/>
  <c r="F1425"/>
  <c r="E1425"/>
  <c r="I1424"/>
  <c r="G1424"/>
  <c r="F1424"/>
  <c r="E1424"/>
  <c r="I1423"/>
  <c r="G1423"/>
  <c r="F1423"/>
  <c r="E1423"/>
  <c r="I1422"/>
  <c r="G1422"/>
  <c r="F1422"/>
  <c r="E1422"/>
  <c r="I1421"/>
  <c r="G1421"/>
  <c r="F1421"/>
  <c r="E1421"/>
  <c r="I1420"/>
  <c r="G1420"/>
  <c r="F1420"/>
  <c r="E1420"/>
  <c r="I1419"/>
  <c r="G1419"/>
  <c r="F1419"/>
  <c r="E1419"/>
  <c r="I1418"/>
  <c r="G1418"/>
  <c r="F1418"/>
  <c r="E1418"/>
  <c r="I1417"/>
  <c r="G1417"/>
  <c r="F1417"/>
  <c r="E1417"/>
  <c r="I1416"/>
  <c r="G1416"/>
  <c r="F1416"/>
  <c r="E1416"/>
  <c r="I1415"/>
  <c r="G1415"/>
  <c r="F1415"/>
  <c r="E1415"/>
  <c r="I1414"/>
  <c r="G1414"/>
  <c r="F1414"/>
  <c r="E1414"/>
  <c r="I1413"/>
  <c r="G1413"/>
  <c r="F1413"/>
  <c r="E1413"/>
  <c r="I1412"/>
  <c r="G1412"/>
  <c r="F1412"/>
  <c r="E1412"/>
  <c r="I1411"/>
  <c r="G1411"/>
  <c r="F1411"/>
  <c r="E1411"/>
  <c r="I1410"/>
  <c r="G1410"/>
  <c r="F1410"/>
  <c r="E1410"/>
  <c r="I1408"/>
  <c r="G1408"/>
  <c r="F1408"/>
  <c r="E1408"/>
  <c r="I1407"/>
  <c r="G1407"/>
  <c r="F1407"/>
  <c r="E1407"/>
  <c r="I1406"/>
  <c r="G1406"/>
  <c r="F1406"/>
  <c r="E1406"/>
  <c r="I1405"/>
  <c r="G1405"/>
  <c r="F1405"/>
  <c r="E1405"/>
  <c r="I1404"/>
  <c r="G1404"/>
  <c r="F1404"/>
  <c r="E1404"/>
  <c r="I1403"/>
  <c r="G1403"/>
  <c r="F1403"/>
  <c r="E1403"/>
  <c r="I1402"/>
  <c r="G1402"/>
  <c r="F1402"/>
  <c r="E1402"/>
  <c r="I1401"/>
  <c r="G1401"/>
  <c r="F1401"/>
  <c r="E1401"/>
  <c r="I1398"/>
  <c r="G1398"/>
  <c r="F1398"/>
  <c r="E1398"/>
  <c r="I1396"/>
  <c r="G1396"/>
  <c r="F1396"/>
  <c r="E1396"/>
  <c r="I1391"/>
  <c r="G1391"/>
  <c r="F1391"/>
  <c r="E1391"/>
  <c r="I1390"/>
  <c r="G1390"/>
  <c r="F1390"/>
  <c r="E1390"/>
  <c r="I1389"/>
  <c r="G1389"/>
  <c r="F1389"/>
  <c r="E1389"/>
  <c r="I1388"/>
  <c r="G1388"/>
  <c r="F1388"/>
  <c r="E1388"/>
  <c r="I1387"/>
  <c r="G1387"/>
  <c r="F1387"/>
  <c r="E1387"/>
  <c r="I1386"/>
  <c r="G1386"/>
  <c r="F1386"/>
  <c r="E1386"/>
  <c r="I1385"/>
  <c r="G1385"/>
  <c r="F1385"/>
  <c r="E1385"/>
  <c r="I1384"/>
  <c r="G1384"/>
  <c r="F1384"/>
  <c r="E1384"/>
  <c r="I1382"/>
  <c r="G1382"/>
  <c r="F1382"/>
  <c r="E1382"/>
  <c r="I1381"/>
  <c r="G1381"/>
  <c r="F1381"/>
  <c r="E1381"/>
  <c r="I1380"/>
  <c r="G1380"/>
  <c r="F1380"/>
  <c r="E1380"/>
  <c r="I1379"/>
  <c r="G1379"/>
  <c r="F1379"/>
  <c r="E1379"/>
  <c r="I1378"/>
  <c r="G1378"/>
  <c r="F1378"/>
  <c r="E1378"/>
  <c r="I1374"/>
  <c r="G1374"/>
  <c r="F1374"/>
  <c r="E1374"/>
  <c r="I1370"/>
  <c r="G1370"/>
  <c r="F1370"/>
  <c r="E1370"/>
  <c r="I1369"/>
  <c r="G1369"/>
  <c r="F1369"/>
  <c r="E1369"/>
  <c r="I1368"/>
  <c r="G1368"/>
  <c r="F1368"/>
  <c r="E1368"/>
  <c r="I1363"/>
  <c r="G1363"/>
  <c r="F1363"/>
  <c r="E1363"/>
  <c r="I1361"/>
  <c r="G1361"/>
  <c r="F1361"/>
  <c r="E1361"/>
  <c r="I1360"/>
  <c r="G1360"/>
  <c r="F1360"/>
  <c r="E1360"/>
  <c r="I1358"/>
  <c r="G1358"/>
  <c r="F1358"/>
  <c r="E1358"/>
  <c r="I1357"/>
  <c r="G1357"/>
  <c r="F1357"/>
  <c r="E1357"/>
  <c r="I1356"/>
  <c r="G1356"/>
  <c r="F1356"/>
  <c r="E1356"/>
  <c r="I1355"/>
  <c r="G1355"/>
  <c r="F1355"/>
  <c r="E1355"/>
  <c r="I1354"/>
  <c r="G1354"/>
  <c r="F1354"/>
  <c r="E1354"/>
  <c r="I1353"/>
  <c r="G1353"/>
  <c r="F1353"/>
  <c r="E1353"/>
  <c r="I1352"/>
  <c r="G1352"/>
  <c r="F1352"/>
  <c r="E1352"/>
  <c r="I1351"/>
  <c r="G1351"/>
  <c r="F1351"/>
  <c r="E1351"/>
  <c r="I1350"/>
  <c r="G1350"/>
  <c r="F1350"/>
  <c r="E1350"/>
  <c r="I1349"/>
  <c r="G1349"/>
  <c r="F1349"/>
  <c r="E1349"/>
  <c r="I1348"/>
  <c r="G1348"/>
  <c r="F1348"/>
  <c r="E1348"/>
  <c r="I1347"/>
  <c r="G1347"/>
  <c r="F1347"/>
  <c r="E1347"/>
  <c r="I1346"/>
  <c r="G1346"/>
  <c r="F1346"/>
  <c r="E1346"/>
  <c r="I1345"/>
  <c r="G1345"/>
  <c r="F1345"/>
  <c r="E1345"/>
  <c r="I1344"/>
  <c r="G1344"/>
  <c r="F1344"/>
  <c r="E1344"/>
  <c r="I1343"/>
  <c r="G1343"/>
  <c r="F1343"/>
  <c r="E1343"/>
  <c r="I1342"/>
  <c r="G1342"/>
  <c r="F1342"/>
  <c r="E1342"/>
  <c r="I1341"/>
  <c r="G1341"/>
  <c r="F1341"/>
  <c r="E1341"/>
  <c r="I1340"/>
  <c r="G1340"/>
  <c r="F1340"/>
  <c r="E1340"/>
  <c r="I1339"/>
  <c r="G1339"/>
  <c r="F1339"/>
  <c r="E1339"/>
  <c r="I1338"/>
  <c r="G1338"/>
  <c r="F1338"/>
  <c r="E1338"/>
  <c r="I1337"/>
  <c r="G1337"/>
  <c r="F1337"/>
  <c r="E1337"/>
  <c r="I1336"/>
  <c r="G1336"/>
  <c r="F1336"/>
  <c r="E1336"/>
  <c r="I1335"/>
  <c r="G1335"/>
  <c r="F1335"/>
  <c r="E1335"/>
  <c r="I1334"/>
  <c r="G1334"/>
  <c r="F1334"/>
  <c r="E1334"/>
  <c r="I1333"/>
  <c r="G1333"/>
  <c r="F1333"/>
  <c r="E1333"/>
  <c r="I1332"/>
  <c r="G1332"/>
  <c r="F1332"/>
  <c r="E1332"/>
  <c r="I1329"/>
  <c r="G1329"/>
  <c r="F1329"/>
  <c r="E1329"/>
  <c r="I1328"/>
  <c r="G1328"/>
  <c r="F1328"/>
  <c r="E1328"/>
  <c r="I1327"/>
  <c r="G1327"/>
  <c r="F1327"/>
  <c r="E1327"/>
  <c r="I1320"/>
  <c r="G1320"/>
  <c r="F1320"/>
  <c r="E1320"/>
  <c r="I1319"/>
  <c r="G1319"/>
  <c r="F1319"/>
  <c r="E1319"/>
  <c r="I1318"/>
  <c r="G1318"/>
  <c r="F1318"/>
  <c r="E1318"/>
  <c r="I1317"/>
  <c r="G1317"/>
  <c r="F1317"/>
  <c r="E1317"/>
  <c r="I1316"/>
  <c r="G1316"/>
  <c r="F1316"/>
  <c r="E1316"/>
  <c r="I1315"/>
  <c r="G1315"/>
  <c r="F1315"/>
  <c r="E1315"/>
  <c r="I1314"/>
  <c r="G1314"/>
  <c r="F1314"/>
  <c r="E1314"/>
  <c r="I1313"/>
  <c r="G1313"/>
  <c r="F1313"/>
  <c r="E1313"/>
  <c r="I1312"/>
  <c r="G1312"/>
  <c r="F1312"/>
  <c r="E1312"/>
  <c r="I1311"/>
  <c r="G1311"/>
  <c r="F1311"/>
  <c r="E1311"/>
  <c r="I1310"/>
  <c r="G1310"/>
  <c r="F1310"/>
  <c r="E1310"/>
  <c r="I1309"/>
  <c r="G1309"/>
  <c r="F1309"/>
  <c r="E1309"/>
  <c r="I1308"/>
  <c r="G1308"/>
  <c r="F1308"/>
  <c r="E1308"/>
  <c r="I1307"/>
  <c r="G1307"/>
  <c r="F1307"/>
  <c r="E1307"/>
  <c r="I1306"/>
  <c r="G1306"/>
  <c r="F1306"/>
  <c r="E1306"/>
  <c r="I1305"/>
  <c r="G1305"/>
  <c r="F1305"/>
  <c r="E1305"/>
  <c r="I1304"/>
  <c r="G1304"/>
  <c r="F1304"/>
  <c r="E1304"/>
  <c r="I1303"/>
  <c r="G1303"/>
  <c r="F1303"/>
  <c r="E1303"/>
  <c r="I1302"/>
  <c r="G1302"/>
  <c r="F1302"/>
  <c r="E1302"/>
  <c r="I1301"/>
  <c r="G1301"/>
  <c r="F1301"/>
  <c r="E1301"/>
  <c r="I1300"/>
  <c r="G1300"/>
  <c r="F1300"/>
  <c r="E1300"/>
  <c r="I1299"/>
  <c r="G1299"/>
  <c r="F1299"/>
  <c r="E1299"/>
  <c r="I1298"/>
  <c r="G1298"/>
  <c r="F1298"/>
  <c r="E1298"/>
  <c r="I1297"/>
  <c r="G1297"/>
  <c r="F1297"/>
  <c r="E1297"/>
  <c r="I1296"/>
  <c r="G1296"/>
  <c r="F1296"/>
  <c r="E1296"/>
  <c r="I1295"/>
  <c r="G1295"/>
  <c r="F1295"/>
  <c r="E1295"/>
  <c r="I1294"/>
  <c r="G1294"/>
  <c r="F1294"/>
  <c r="E1294"/>
  <c r="I1293"/>
  <c r="G1293"/>
  <c r="F1293"/>
  <c r="E1293"/>
  <c r="I1292"/>
  <c r="G1292"/>
  <c r="F1292"/>
  <c r="E1292"/>
  <c r="I1291"/>
  <c r="G1291"/>
  <c r="F1291"/>
  <c r="E1291"/>
  <c r="I1290"/>
  <c r="G1290"/>
  <c r="F1290"/>
  <c r="E1290"/>
  <c r="I1289"/>
  <c r="G1289"/>
  <c r="F1289"/>
  <c r="E1289"/>
  <c r="I1288"/>
  <c r="G1288"/>
  <c r="F1288"/>
  <c r="E1288"/>
  <c r="I1287"/>
  <c r="G1287"/>
  <c r="F1287"/>
  <c r="E1287"/>
  <c r="I1286"/>
  <c r="G1286"/>
  <c r="F1286"/>
  <c r="E1286"/>
  <c r="I1285"/>
  <c r="G1285"/>
  <c r="F1285"/>
  <c r="E1285"/>
  <c r="I1284"/>
  <c r="G1284"/>
  <c r="F1284"/>
  <c r="E1284"/>
  <c r="I1283"/>
  <c r="G1283"/>
  <c r="F1283"/>
  <c r="E1283"/>
  <c r="I1282"/>
  <c r="G1282"/>
  <c r="F1282"/>
  <c r="E1282"/>
  <c r="I1281"/>
  <c r="G1281"/>
  <c r="F1281"/>
  <c r="E1281"/>
  <c r="I1280"/>
  <c r="G1280"/>
  <c r="F1280"/>
  <c r="E1280"/>
  <c r="I1279"/>
  <c r="G1279"/>
  <c r="F1279"/>
  <c r="E1279"/>
  <c r="I1278"/>
  <c r="G1278"/>
  <c r="F1278"/>
  <c r="E1278"/>
  <c r="I1277"/>
  <c r="G1277"/>
  <c r="F1277"/>
  <c r="E1277"/>
  <c r="I1276"/>
  <c r="G1276"/>
  <c r="F1276"/>
  <c r="E1276"/>
  <c r="I1275"/>
  <c r="G1275"/>
  <c r="F1275"/>
  <c r="E1275"/>
  <c r="I1274"/>
  <c r="G1274"/>
  <c r="F1274"/>
  <c r="E1274"/>
  <c r="I1273"/>
  <c r="G1273"/>
  <c r="F1273"/>
  <c r="E1273"/>
  <c r="I1272"/>
  <c r="G1272"/>
  <c r="F1272"/>
  <c r="E1272"/>
  <c r="I1271"/>
  <c r="G1271"/>
  <c r="F1271"/>
  <c r="E1271"/>
  <c r="I1270"/>
  <c r="G1270"/>
  <c r="F1270"/>
  <c r="E1270"/>
  <c r="I1269"/>
  <c r="G1269"/>
  <c r="F1269"/>
  <c r="E1269"/>
  <c r="I1268"/>
  <c r="G1268"/>
  <c r="F1268"/>
  <c r="E1268"/>
  <c r="I1267"/>
  <c r="G1267"/>
  <c r="F1267"/>
  <c r="E1267"/>
  <c r="I1266"/>
  <c r="G1266"/>
  <c r="F1266"/>
  <c r="E1266"/>
  <c r="I1265"/>
  <c r="G1265"/>
  <c r="F1265"/>
  <c r="E1265"/>
  <c r="I1264"/>
  <c r="G1264"/>
  <c r="F1264"/>
  <c r="E1264"/>
  <c r="I1263"/>
  <c r="G1263"/>
  <c r="F1263"/>
  <c r="E1263"/>
  <c r="I1262"/>
  <c r="G1262"/>
  <c r="F1262"/>
  <c r="E1262"/>
  <c r="I1261"/>
  <c r="G1261"/>
  <c r="F1261"/>
  <c r="E1261"/>
  <c r="I1260"/>
  <c r="G1260"/>
  <c r="F1260"/>
  <c r="E1260"/>
  <c r="I1259"/>
  <c r="G1259"/>
  <c r="F1259"/>
  <c r="E1259"/>
  <c r="I1258"/>
  <c r="G1258"/>
  <c r="F1258"/>
  <c r="E1258"/>
  <c r="I1257"/>
  <c r="G1257"/>
  <c r="F1257"/>
  <c r="E1257"/>
  <c r="I1256"/>
  <c r="G1256"/>
  <c r="F1256"/>
  <c r="E1256"/>
  <c r="I1255"/>
  <c r="G1255"/>
  <c r="F1255"/>
  <c r="E1255"/>
  <c r="I1254"/>
  <c r="G1254"/>
  <c r="F1254"/>
  <c r="E1254"/>
  <c r="I1253"/>
  <c r="G1253"/>
  <c r="F1253"/>
  <c r="E1253"/>
  <c r="I1252"/>
  <c r="G1252"/>
  <c r="F1252"/>
  <c r="E1252"/>
  <c r="I1251"/>
  <c r="G1251"/>
  <c r="F1251"/>
  <c r="E1251"/>
  <c r="I1250"/>
  <c r="G1250"/>
  <c r="F1250"/>
  <c r="E1250"/>
  <c r="I1249"/>
  <c r="G1249"/>
  <c r="F1249"/>
  <c r="E1249"/>
  <c r="I1245"/>
  <c r="G1245"/>
  <c r="F1245"/>
  <c r="E1245"/>
  <c r="I1244"/>
  <c r="G1244"/>
  <c r="F1244"/>
  <c r="E1244"/>
  <c r="I1243"/>
  <c r="G1243"/>
  <c r="F1243"/>
  <c r="E1243"/>
  <c r="I1242"/>
  <c r="G1242"/>
  <c r="F1242"/>
  <c r="E1242"/>
  <c r="I1240"/>
  <c r="G1240"/>
  <c r="F1240"/>
  <c r="E1240"/>
  <c r="I1238"/>
  <c r="G1238"/>
  <c r="F1238"/>
  <c r="E1238"/>
  <c r="I1235"/>
  <c r="G1235"/>
  <c r="F1235"/>
  <c r="E1235"/>
  <c r="I1234"/>
  <c r="G1234"/>
  <c r="F1234"/>
  <c r="E1234"/>
  <c r="I1228"/>
  <c r="G1228"/>
  <c r="F1228"/>
  <c r="E1228"/>
  <c r="I1227"/>
  <c r="G1227"/>
  <c r="F1227"/>
  <c r="E1227"/>
  <c r="I1226"/>
  <c r="G1226"/>
  <c r="F1226"/>
  <c r="E1226"/>
  <c r="I1225"/>
  <c r="G1225"/>
  <c r="F1225"/>
  <c r="E1225"/>
  <c r="I1219"/>
  <c r="G1219"/>
  <c r="F1219"/>
  <c r="E1219"/>
  <c r="I1213"/>
  <c r="G1213"/>
  <c r="F1213"/>
  <c r="E1213"/>
  <c r="I1212"/>
  <c r="G1212"/>
  <c r="F1212"/>
  <c r="E1212"/>
  <c r="I1210"/>
  <c r="G1210"/>
  <c r="F1210"/>
  <c r="E1210"/>
  <c r="I1209"/>
  <c r="G1209"/>
  <c r="F1209"/>
  <c r="E1209"/>
  <c r="I1208"/>
  <c r="G1208"/>
  <c r="F1208"/>
  <c r="E1208"/>
  <c r="I1203"/>
  <c r="G1203"/>
  <c r="F1203"/>
  <c r="E1203"/>
  <c r="I1202"/>
  <c r="G1202"/>
  <c r="F1202"/>
  <c r="E1202"/>
  <c r="I1196"/>
  <c r="G1196"/>
  <c r="F1196"/>
  <c r="E1196"/>
  <c r="I1195"/>
  <c r="G1195"/>
  <c r="F1195"/>
  <c r="E1195"/>
  <c r="I1186"/>
  <c r="G1186"/>
  <c r="F1186"/>
  <c r="E1186"/>
  <c r="I1185"/>
  <c r="G1185"/>
  <c r="F1185"/>
  <c r="E1185"/>
  <c r="I1184"/>
  <c r="G1184"/>
  <c r="F1184"/>
  <c r="E1184"/>
  <c r="I1183"/>
  <c r="G1183"/>
  <c r="F1183"/>
  <c r="E1183"/>
  <c r="I1182"/>
  <c r="G1182"/>
  <c r="F1182"/>
  <c r="E1182"/>
  <c r="I1180"/>
  <c r="G1180"/>
  <c r="F1180"/>
  <c r="E1180"/>
  <c r="I1178"/>
  <c r="G1178"/>
  <c r="F1178"/>
  <c r="E1178"/>
  <c r="I1177"/>
  <c r="G1177"/>
  <c r="F1177"/>
  <c r="E1177"/>
  <c r="I1176"/>
  <c r="G1176"/>
  <c r="F1176"/>
  <c r="E1176"/>
  <c r="I1175"/>
  <c r="G1175"/>
  <c r="F1175"/>
  <c r="E1175"/>
  <c r="I1174"/>
  <c r="G1174"/>
  <c r="F1174"/>
  <c r="E1174"/>
  <c r="I1173"/>
  <c r="G1173"/>
  <c r="F1173"/>
  <c r="E1173"/>
  <c r="I1172"/>
  <c r="G1172"/>
  <c r="F1172"/>
  <c r="E1172"/>
  <c r="I1171"/>
  <c r="G1171"/>
  <c r="F1171"/>
  <c r="E1171"/>
  <c r="I1170"/>
  <c r="G1170"/>
  <c r="F1170"/>
  <c r="E1170"/>
  <c r="I1169"/>
  <c r="G1169"/>
  <c r="F1169"/>
  <c r="E1169"/>
  <c r="I1168"/>
  <c r="G1168"/>
  <c r="F1168"/>
  <c r="E1168"/>
  <c r="I1166"/>
  <c r="G1166"/>
  <c r="F1166"/>
  <c r="E1166"/>
  <c r="I1165"/>
  <c r="G1165"/>
  <c r="F1165"/>
  <c r="E1165"/>
  <c r="I1163"/>
  <c r="G1163"/>
  <c r="F1163"/>
  <c r="E1163"/>
  <c r="I1162"/>
  <c r="G1162"/>
  <c r="F1162"/>
  <c r="E1162"/>
  <c r="I1161"/>
  <c r="G1161"/>
  <c r="F1161"/>
  <c r="E1161"/>
  <c r="I1160"/>
  <c r="G1160"/>
  <c r="F1160"/>
  <c r="E1160"/>
  <c r="I1159"/>
  <c r="G1159"/>
  <c r="F1159"/>
  <c r="E1159"/>
  <c r="I1158"/>
  <c r="G1158"/>
  <c r="F1158"/>
  <c r="E1158"/>
  <c r="I1157"/>
  <c r="G1157"/>
  <c r="F1157"/>
  <c r="E1157"/>
  <c r="I1156"/>
  <c r="G1156"/>
  <c r="F1156"/>
  <c r="E1156"/>
  <c r="I1150"/>
  <c r="G1150"/>
  <c r="F1150"/>
  <c r="E1150"/>
  <c r="I1148"/>
  <c r="G1148"/>
  <c r="F1148"/>
  <c r="E1148"/>
  <c r="I1146"/>
  <c r="G1146"/>
  <c r="F1146"/>
  <c r="E1146"/>
  <c r="I1139"/>
  <c r="G1139"/>
  <c r="F1139"/>
  <c r="E1139"/>
  <c r="I1138"/>
  <c r="G1138"/>
  <c r="F1138"/>
  <c r="E1138"/>
  <c r="I1137"/>
  <c r="G1137"/>
  <c r="F1137"/>
  <c r="E1137"/>
  <c r="I1136"/>
  <c r="G1136"/>
  <c r="F1136"/>
  <c r="E1136"/>
  <c r="I1134"/>
  <c r="G1134"/>
  <c r="F1134"/>
  <c r="E1134"/>
  <c r="I1133"/>
  <c r="G1133"/>
  <c r="F1133"/>
  <c r="E1133"/>
  <c r="I1132"/>
  <c r="G1132"/>
  <c r="F1132"/>
  <c r="E1132"/>
  <c r="I1128"/>
  <c r="G1128"/>
  <c r="F1128"/>
  <c r="E1128"/>
  <c r="I1124"/>
  <c r="G1124"/>
  <c r="F1124"/>
  <c r="E1124"/>
  <c r="I1121"/>
  <c r="G1121"/>
  <c r="F1121"/>
  <c r="E1121"/>
  <c r="I1119"/>
  <c r="G1119"/>
  <c r="F1119"/>
  <c r="E1119"/>
  <c r="I1118"/>
  <c r="G1118"/>
  <c r="F1118"/>
  <c r="E1118"/>
  <c r="I1117"/>
  <c r="G1117"/>
  <c r="F1117"/>
  <c r="E1117"/>
  <c r="I1116"/>
  <c r="G1116"/>
  <c r="F1116"/>
  <c r="E1116"/>
  <c r="I1115"/>
  <c r="G1115"/>
  <c r="F1115"/>
  <c r="E1115"/>
  <c r="I1114"/>
  <c r="G1114"/>
  <c r="F1114"/>
  <c r="E1114"/>
  <c r="I1112"/>
  <c r="G1112"/>
  <c r="F1112"/>
  <c r="E1112"/>
  <c r="I1111"/>
  <c r="G1111"/>
  <c r="F1111"/>
  <c r="E1111"/>
  <c r="I1110"/>
  <c r="G1110"/>
  <c r="F1110"/>
  <c r="E1110"/>
  <c r="I1109"/>
  <c r="G1109"/>
  <c r="F1109"/>
  <c r="E1109"/>
  <c r="I1108"/>
  <c r="G1108"/>
  <c r="F1108"/>
  <c r="E1108"/>
  <c r="I1107"/>
  <c r="G1107"/>
  <c r="F1107"/>
  <c r="E1107"/>
  <c r="I1106"/>
  <c r="G1106"/>
  <c r="F1106"/>
  <c r="E1106"/>
  <c r="I1105"/>
  <c r="G1105"/>
  <c r="F1105"/>
  <c r="E1105"/>
  <c r="I1104"/>
  <c r="G1104"/>
  <c r="F1104"/>
  <c r="E1104"/>
  <c r="I1103"/>
  <c r="G1103"/>
  <c r="F1103"/>
  <c r="E1103"/>
  <c r="I1102"/>
  <c r="G1102"/>
  <c r="F1102"/>
  <c r="E1102"/>
  <c r="I1100"/>
  <c r="G1100"/>
  <c r="F1100"/>
  <c r="E1100"/>
  <c r="I1098"/>
  <c r="G1098"/>
  <c r="F1098"/>
  <c r="E1098"/>
  <c r="I1097"/>
  <c r="G1097"/>
  <c r="F1097"/>
  <c r="E1097"/>
  <c r="I1096"/>
  <c r="G1096"/>
  <c r="F1096"/>
  <c r="E1096"/>
  <c r="I1095"/>
  <c r="G1095"/>
  <c r="F1095"/>
  <c r="E1095"/>
  <c r="I1094"/>
  <c r="G1094"/>
  <c r="F1094"/>
  <c r="E1094"/>
  <c r="I1092"/>
  <c r="G1092"/>
  <c r="F1092"/>
  <c r="E1092"/>
  <c r="I1089"/>
  <c r="G1089"/>
  <c r="F1089"/>
  <c r="E1089"/>
  <c r="I1086"/>
  <c r="G1086"/>
  <c r="F1086"/>
  <c r="E1086"/>
  <c r="I1084"/>
  <c r="G1084"/>
  <c r="F1084"/>
  <c r="E1084"/>
  <c r="I1083"/>
  <c r="G1083"/>
  <c r="F1083"/>
  <c r="E1083"/>
  <c r="I1082"/>
  <c r="G1082"/>
  <c r="F1082"/>
  <c r="E1082"/>
  <c r="I1080"/>
  <c r="G1080"/>
  <c r="F1080"/>
  <c r="E1080"/>
  <c r="I1079"/>
  <c r="G1079"/>
  <c r="F1079"/>
  <c r="E1079"/>
  <c r="I1078"/>
  <c r="G1078"/>
  <c r="F1078"/>
  <c r="E1078"/>
  <c r="I1077"/>
  <c r="G1077"/>
  <c r="F1077"/>
  <c r="E1077"/>
  <c r="I1072"/>
  <c r="G1072"/>
  <c r="F1072"/>
  <c r="E1072"/>
  <c r="I1071"/>
  <c r="G1071"/>
  <c r="F1071"/>
  <c r="E1071"/>
  <c r="I1069"/>
  <c r="G1069"/>
  <c r="F1069"/>
  <c r="E1069"/>
  <c r="I1068"/>
  <c r="G1068"/>
  <c r="F1068"/>
  <c r="E1068"/>
  <c r="I1067"/>
  <c r="G1067"/>
  <c r="F1067"/>
  <c r="E1067"/>
  <c r="I1066"/>
  <c r="G1066"/>
  <c r="F1066"/>
  <c r="E1066"/>
  <c r="I1065"/>
  <c r="G1065"/>
  <c r="F1065"/>
  <c r="E1065"/>
  <c r="I1064"/>
  <c r="G1064"/>
  <c r="F1064"/>
  <c r="E1064"/>
  <c r="I1063"/>
  <c r="G1063"/>
  <c r="F1063"/>
  <c r="E1063"/>
  <c r="I1062"/>
  <c r="G1062"/>
  <c r="F1062"/>
  <c r="E1062"/>
  <c r="I1061"/>
  <c r="G1061"/>
  <c r="F1061"/>
  <c r="E1061"/>
  <c r="I1060"/>
  <c r="G1060"/>
  <c r="F1060"/>
  <c r="E1060"/>
  <c r="I1059"/>
  <c r="G1059"/>
  <c r="F1059"/>
  <c r="E1059"/>
  <c r="I1058"/>
  <c r="G1058"/>
  <c r="F1058"/>
  <c r="E1058"/>
  <c r="I1057"/>
  <c r="G1057"/>
  <c r="F1057"/>
  <c r="E1057"/>
  <c r="I1056"/>
  <c r="G1056"/>
  <c r="F1056"/>
  <c r="E1056"/>
  <c r="I1054"/>
  <c r="G1054"/>
  <c r="F1054"/>
  <c r="E1054"/>
  <c r="I1053"/>
  <c r="G1053"/>
  <c r="F1053"/>
  <c r="E1053"/>
  <c r="I1048"/>
  <c r="G1048"/>
  <c r="F1048"/>
  <c r="E1048"/>
  <c r="I1047"/>
  <c r="G1047"/>
  <c r="F1047"/>
  <c r="E1047"/>
  <c r="I1043"/>
  <c r="G1043"/>
  <c r="F1043"/>
  <c r="E1043"/>
  <c r="I1041"/>
  <c r="G1041"/>
  <c r="F1041"/>
  <c r="E1041"/>
  <c r="I1040"/>
  <c r="G1040"/>
  <c r="F1040"/>
  <c r="E1040"/>
  <c r="I1037"/>
  <c r="G1037"/>
  <c r="F1037"/>
  <c r="E1037"/>
  <c r="I1036"/>
  <c r="G1036"/>
  <c r="F1036"/>
  <c r="E1036"/>
  <c r="I1034"/>
  <c r="G1034"/>
  <c r="F1034"/>
  <c r="E1034"/>
  <c r="I1033"/>
  <c r="G1033"/>
  <c r="F1033"/>
  <c r="E1033"/>
  <c r="I1032"/>
  <c r="G1032"/>
  <c r="F1032"/>
  <c r="E1032"/>
  <c r="I1031"/>
  <c r="G1031"/>
  <c r="F1031"/>
  <c r="E1031"/>
  <c r="I1030"/>
  <c r="G1030"/>
  <c r="F1030"/>
  <c r="E1030"/>
  <c r="I1029"/>
  <c r="G1029"/>
  <c r="F1029"/>
  <c r="E1029"/>
  <c r="I1028"/>
  <c r="G1028"/>
  <c r="F1028"/>
  <c r="E1028"/>
  <c r="I1027"/>
  <c r="G1027"/>
  <c r="F1027"/>
  <c r="E1027"/>
  <c r="I1026"/>
  <c r="G1026"/>
  <c r="F1026"/>
  <c r="E1026"/>
  <c r="I1025"/>
  <c r="G1025"/>
  <c r="F1025"/>
  <c r="E1025"/>
  <c r="I1024"/>
  <c r="G1024"/>
  <c r="F1024"/>
  <c r="E1024"/>
  <c r="I1023"/>
  <c r="G1023"/>
  <c r="F1023"/>
  <c r="E1023"/>
  <c r="I1022"/>
  <c r="G1022"/>
  <c r="F1022"/>
  <c r="E1022"/>
  <c r="I1021"/>
  <c r="G1021"/>
  <c r="F1021"/>
  <c r="E1021"/>
  <c r="I1020"/>
  <c r="G1020"/>
  <c r="F1020"/>
  <c r="E1020"/>
  <c r="I1019"/>
  <c r="G1019"/>
  <c r="F1019"/>
  <c r="E1019"/>
  <c r="I1018"/>
  <c r="G1018"/>
  <c r="F1018"/>
  <c r="E1018"/>
  <c r="I1017"/>
  <c r="G1017"/>
  <c r="F1017"/>
  <c r="E1017"/>
  <c r="I1014"/>
  <c r="G1014"/>
  <c r="F1014"/>
  <c r="E1014"/>
  <c r="I1012"/>
  <c r="G1012"/>
  <c r="F1012"/>
  <c r="E1012"/>
  <c r="I1010"/>
  <c r="G1010"/>
  <c r="F1010"/>
  <c r="E1010"/>
  <c r="I1009"/>
  <c r="G1009"/>
  <c r="E1009"/>
  <c r="I1007"/>
  <c r="G1007"/>
  <c r="F1007"/>
  <c r="E1007"/>
  <c r="I1006"/>
  <c r="G1006"/>
  <c r="F1006"/>
  <c r="E1006"/>
  <c r="I1005"/>
  <c r="G1005"/>
  <c r="F1005"/>
  <c r="E1005"/>
  <c r="I1004"/>
  <c r="G1004"/>
  <c r="F1004"/>
  <c r="E1004"/>
  <c r="I1003"/>
  <c r="G1003"/>
  <c r="F1003"/>
  <c r="E1003"/>
  <c r="I876"/>
  <c r="G876"/>
  <c r="F876"/>
  <c r="E876"/>
  <c r="I875"/>
  <c r="G875"/>
  <c r="F875"/>
  <c r="E875"/>
  <c r="I874"/>
  <c r="G874"/>
  <c r="F874"/>
  <c r="E874"/>
  <c r="I873"/>
  <c r="G873"/>
  <c r="F873"/>
  <c r="E873"/>
  <c r="I872"/>
  <c r="G872"/>
  <c r="F872"/>
  <c r="E872"/>
  <c r="I871"/>
  <c r="G871"/>
  <c r="F871"/>
  <c r="E871"/>
  <c r="I870"/>
  <c r="G870"/>
  <c r="F870"/>
  <c r="E870"/>
  <c r="I869"/>
  <c r="G869"/>
  <c r="F869"/>
  <c r="E869"/>
  <c r="I868"/>
  <c r="G868"/>
  <c r="F868"/>
  <c r="E868"/>
  <c r="I867"/>
  <c r="G867"/>
  <c r="F867"/>
  <c r="E867"/>
  <c r="I866"/>
  <c r="G866"/>
  <c r="F866"/>
  <c r="E866"/>
  <c r="I865"/>
  <c r="G865"/>
  <c r="F865"/>
  <c r="E865"/>
  <c r="I864"/>
  <c r="G864"/>
  <c r="F864"/>
  <c r="E864"/>
  <c r="I863"/>
  <c r="G863"/>
  <c r="F863"/>
  <c r="E863"/>
  <c r="I862"/>
  <c r="G862"/>
  <c r="F862"/>
  <c r="E862"/>
  <c r="I861"/>
  <c r="G861"/>
  <c r="F861"/>
  <c r="E861"/>
  <c r="I860"/>
  <c r="G860"/>
  <c r="F860"/>
  <c r="E860"/>
  <c r="I859"/>
  <c r="G859"/>
  <c r="F859"/>
  <c r="E859"/>
  <c r="I858"/>
  <c r="G858"/>
  <c r="F858"/>
  <c r="E858"/>
  <c r="I857"/>
  <c r="G857"/>
  <c r="F857"/>
  <c r="E857"/>
  <c r="I856"/>
  <c r="G856"/>
  <c r="F856"/>
  <c r="E856"/>
  <c r="I855"/>
  <c r="G855"/>
  <c r="F855"/>
  <c r="E855"/>
  <c r="I854"/>
  <c r="G854"/>
  <c r="F854"/>
  <c r="E854"/>
  <c r="I853"/>
  <c r="G853"/>
  <c r="F853"/>
  <c r="E853"/>
  <c r="I852"/>
  <c r="G852"/>
  <c r="F852"/>
  <c r="E852"/>
  <c r="I851"/>
  <c r="G851"/>
  <c r="F851"/>
  <c r="E851"/>
  <c r="I850"/>
  <c r="G850"/>
  <c r="F850"/>
  <c r="E850"/>
  <c r="I849"/>
  <c r="G849"/>
  <c r="F849"/>
  <c r="E849"/>
  <c r="I848"/>
  <c r="G848"/>
  <c r="F848"/>
  <c r="E848"/>
  <c r="I847"/>
  <c r="G847"/>
  <c r="F847"/>
  <c r="E847"/>
  <c r="I846"/>
  <c r="G846"/>
  <c r="F846"/>
  <c r="E846"/>
  <c r="I845"/>
  <c r="G845"/>
  <c r="F845"/>
  <c r="E845"/>
  <c r="I844"/>
  <c r="G844"/>
  <c r="F844"/>
  <c r="E844"/>
  <c r="I843"/>
  <c r="G843"/>
  <c r="F843"/>
  <c r="E843"/>
  <c r="I842"/>
  <c r="G842"/>
  <c r="F842"/>
  <c r="E842"/>
  <c r="I841"/>
  <c r="G841"/>
  <c r="F841"/>
  <c r="E841"/>
  <c r="I840"/>
  <c r="G840"/>
  <c r="F840"/>
  <c r="E840"/>
  <c r="I839"/>
  <c r="G839"/>
  <c r="F839"/>
  <c r="E839"/>
  <c r="I838"/>
  <c r="G838"/>
  <c r="F838"/>
  <c r="E838"/>
  <c r="I837"/>
  <c r="G837"/>
  <c r="F837"/>
  <c r="E837"/>
  <c r="I836"/>
  <c r="G836"/>
  <c r="F836"/>
  <c r="E836"/>
  <c r="I835"/>
  <c r="G835"/>
  <c r="F835"/>
  <c r="E835"/>
  <c r="I834"/>
  <c r="G834"/>
  <c r="F834"/>
  <c r="E834"/>
  <c r="I833"/>
  <c r="G833"/>
  <c r="F833"/>
  <c r="E833"/>
  <c r="I832"/>
  <c r="G832"/>
  <c r="F832"/>
  <c r="E832"/>
  <c r="I831"/>
  <c r="G831"/>
  <c r="F831"/>
  <c r="E831"/>
  <c r="I830"/>
  <c r="G830"/>
  <c r="F830"/>
  <c r="E830"/>
  <c r="I829"/>
  <c r="G829"/>
  <c r="F829"/>
  <c r="E829"/>
  <c r="I828"/>
  <c r="G828"/>
  <c r="F828"/>
  <c r="E828"/>
  <c r="I827"/>
  <c r="G827"/>
  <c r="F827"/>
  <c r="E827"/>
  <c r="I826"/>
  <c r="G826"/>
  <c r="F826"/>
  <c r="E826"/>
  <c r="I825"/>
  <c r="G825"/>
  <c r="F825"/>
  <c r="E825"/>
  <c r="I824"/>
  <c r="G824"/>
  <c r="F824"/>
  <c r="E824"/>
  <c r="I823"/>
  <c r="G823"/>
  <c r="F823"/>
  <c r="E823"/>
  <c r="I822"/>
  <c r="G822"/>
  <c r="F822"/>
  <c r="E822"/>
  <c r="I821"/>
  <c r="G821"/>
  <c r="F821"/>
  <c r="E821"/>
  <c r="I820"/>
  <c r="G820"/>
  <c r="F820"/>
  <c r="E820"/>
  <c r="I819"/>
  <c r="G819"/>
  <c r="F819"/>
  <c r="E819"/>
  <c r="I818"/>
  <c r="G818"/>
  <c r="F818"/>
  <c r="E818"/>
  <c r="I817"/>
  <c r="G817"/>
  <c r="F817"/>
  <c r="E817"/>
  <c r="I816"/>
  <c r="G816"/>
  <c r="F816"/>
  <c r="E816"/>
  <c r="I815"/>
  <c r="G815"/>
  <c r="F815"/>
  <c r="E815"/>
  <c r="I814"/>
  <c r="G814"/>
  <c r="F814"/>
  <c r="E814"/>
  <c r="I813"/>
  <c r="G813"/>
  <c r="F813"/>
  <c r="E813"/>
  <c r="I812"/>
  <c r="G812"/>
  <c r="F812"/>
  <c r="E812"/>
  <c r="I811"/>
  <c r="G811"/>
  <c r="F811"/>
  <c r="E811"/>
  <c r="I810"/>
  <c r="G810"/>
  <c r="F810"/>
  <c r="E810"/>
  <c r="I809"/>
  <c r="G809"/>
  <c r="F809"/>
  <c r="E809"/>
  <c r="I808"/>
  <c r="G808"/>
  <c r="F808"/>
  <c r="E808"/>
  <c r="I807"/>
  <c r="G807"/>
  <c r="F807"/>
  <c r="E807"/>
  <c r="I806"/>
  <c r="G806"/>
  <c r="F806"/>
  <c r="E806"/>
  <c r="I805"/>
  <c r="G805"/>
  <c r="F805"/>
  <c r="E805"/>
  <c r="I804"/>
  <c r="G804"/>
  <c r="F804"/>
  <c r="E804"/>
  <c r="I803"/>
  <c r="G803"/>
  <c r="F803"/>
  <c r="E803"/>
  <c r="I802"/>
  <c r="G802"/>
  <c r="F802"/>
  <c r="E802"/>
  <c r="I801"/>
  <c r="G801"/>
  <c r="F801"/>
  <c r="E801"/>
  <c r="I800"/>
  <c r="G800"/>
  <c r="F800"/>
  <c r="E800"/>
  <c r="I799"/>
  <c r="G799"/>
  <c r="F799"/>
  <c r="E799"/>
  <c r="I798"/>
  <c r="G798"/>
  <c r="F798"/>
  <c r="E798"/>
  <c r="I797"/>
  <c r="G797"/>
  <c r="F797"/>
  <c r="E797"/>
  <c r="I796"/>
  <c r="G796"/>
  <c r="F796"/>
  <c r="E796"/>
  <c r="I795"/>
  <c r="G795"/>
  <c r="F795"/>
  <c r="E795"/>
  <c r="I794"/>
  <c r="G794"/>
  <c r="F794"/>
  <c r="E794"/>
  <c r="I793"/>
  <c r="G793"/>
  <c r="F793"/>
  <c r="E793"/>
  <c r="I792"/>
  <c r="G792"/>
  <c r="F792"/>
  <c r="E792"/>
  <c r="I791"/>
  <c r="G791"/>
  <c r="F791"/>
  <c r="E791"/>
  <c r="I790"/>
  <c r="G790"/>
  <c r="F790"/>
  <c r="E790"/>
  <c r="I789"/>
  <c r="G789"/>
  <c r="F789"/>
  <c r="E789"/>
  <c r="I788"/>
  <c r="G788"/>
  <c r="F788"/>
  <c r="E788"/>
  <c r="I787"/>
  <c r="G787"/>
  <c r="F787"/>
  <c r="E787"/>
  <c r="I786"/>
  <c r="G786"/>
  <c r="F786"/>
  <c r="E786"/>
  <c r="I785"/>
  <c r="G785"/>
  <c r="F785"/>
  <c r="E785"/>
  <c r="I784"/>
  <c r="G784"/>
  <c r="F784"/>
  <c r="E784"/>
  <c r="I783"/>
  <c r="G783"/>
  <c r="F783"/>
  <c r="E783"/>
  <c r="I782"/>
  <c r="G782"/>
  <c r="F782"/>
  <c r="E782"/>
  <c r="I781"/>
  <c r="G781"/>
  <c r="F781"/>
  <c r="E781"/>
  <c r="I780"/>
  <c r="G780"/>
  <c r="F780"/>
  <c r="E780"/>
  <c r="I779"/>
  <c r="G779"/>
  <c r="F779"/>
  <c r="E779"/>
  <c r="I778"/>
  <c r="G778"/>
  <c r="F778"/>
  <c r="E778"/>
  <c r="I777"/>
  <c r="G777"/>
  <c r="F777"/>
  <c r="E777"/>
  <c r="I776"/>
  <c r="G776"/>
  <c r="F776"/>
  <c r="E776"/>
  <c r="I775"/>
  <c r="G775"/>
  <c r="F775"/>
  <c r="E775"/>
  <c r="I774"/>
  <c r="G774"/>
  <c r="F774"/>
  <c r="E774"/>
  <c r="I773"/>
  <c r="G773"/>
  <c r="F773"/>
  <c r="E773"/>
  <c r="I772"/>
  <c r="G772"/>
  <c r="F772"/>
  <c r="E772"/>
  <c r="I771"/>
  <c r="G771"/>
  <c r="F771"/>
  <c r="E771"/>
  <c r="I770"/>
  <c r="G770"/>
  <c r="F770"/>
  <c r="E770"/>
  <c r="I769"/>
  <c r="G769"/>
  <c r="F769"/>
  <c r="E769"/>
  <c r="I768"/>
  <c r="G768"/>
  <c r="F768"/>
  <c r="E768"/>
  <c r="I767"/>
  <c r="G767"/>
  <c r="F767"/>
  <c r="E767"/>
  <c r="I766"/>
  <c r="G766"/>
  <c r="F766"/>
  <c r="E766"/>
  <c r="I765"/>
  <c r="G765"/>
  <c r="F765"/>
  <c r="E765"/>
  <c r="I764"/>
  <c r="G764"/>
  <c r="F764"/>
  <c r="E764"/>
  <c r="I763"/>
  <c r="G763"/>
  <c r="F763"/>
  <c r="E763"/>
  <c r="I762"/>
  <c r="G762"/>
  <c r="F762"/>
  <c r="E762"/>
  <c r="I761"/>
  <c r="G761"/>
  <c r="F761"/>
  <c r="E761"/>
  <c r="I760"/>
  <c r="G760"/>
  <c r="F760"/>
  <c r="E760"/>
  <c r="I759"/>
  <c r="G759"/>
  <c r="F759"/>
  <c r="E759"/>
  <c r="I758"/>
  <c r="G758"/>
  <c r="F758"/>
  <c r="E758"/>
  <c r="I757"/>
  <c r="G757"/>
  <c r="F757"/>
  <c r="E757"/>
  <c r="I756"/>
  <c r="G756"/>
  <c r="F756"/>
  <c r="E756"/>
  <c r="I755"/>
  <c r="G755"/>
  <c r="F755"/>
  <c r="E755"/>
  <c r="I754"/>
  <c r="G754"/>
  <c r="F754"/>
  <c r="E754"/>
  <c r="I753"/>
  <c r="G753"/>
  <c r="F753"/>
  <c r="E753"/>
  <c r="I752"/>
  <c r="G752"/>
  <c r="F752"/>
  <c r="E752"/>
  <c r="I751"/>
  <c r="G751"/>
  <c r="F751"/>
  <c r="E751"/>
  <c r="I750"/>
  <c r="G750"/>
  <c r="F750"/>
  <c r="E750"/>
  <c r="I749"/>
  <c r="G749"/>
  <c r="F749"/>
  <c r="E749"/>
  <c r="I748"/>
  <c r="G748"/>
  <c r="F748"/>
  <c r="E748"/>
  <c r="I747"/>
  <c r="G747"/>
  <c r="F747"/>
  <c r="E747"/>
  <c r="I746"/>
  <c r="G746"/>
  <c r="F746"/>
  <c r="E746"/>
  <c r="I745"/>
  <c r="G745"/>
  <c r="F745"/>
  <c r="E745"/>
  <c r="I744"/>
  <c r="G744"/>
  <c r="F744"/>
  <c r="E744"/>
  <c r="I743"/>
  <c r="G743"/>
  <c r="F743"/>
  <c r="E743"/>
  <c r="I742"/>
  <c r="G742"/>
  <c r="F742"/>
  <c r="E742"/>
  <c r="I741"/>
  <c r="G741"/>
  <c r="F741"/>
  <c r="E741"/>
  <c r="I740"/>
  <c r="G740"/>
  <c r="F740"/>
  <c r="E740"/>
  <c r="I739"/>
  <c r="G739"/>
  <c r="F739"/>
  <c r="E739"/>
  <c r="I738"/>
  <c r="G738"/>
  <c r="F738"/>
  <c r="E738"/>
  <c r="I737"/>
  <c r="G737"/>
  <c r="F737"/>
  <c r="E737"/>
  <c r="I736"/>
  <c r="G736"/>
  <c r="F736"/>
  <c r="E736"/>
  <c r="I735"/>
  <c r="G735"/>
  <c r="F735"/>
  <c r="E735"/>
  <c r="I734"/>
  <c r="G734"/>
  <c r="F734"/>
  <c r="E734"/>
  <c r="I733"/>
  <c r="G733"/>
  <c r="F733"/>
  <c r="E733"/>
  <c r="I732"/>
  <c r="G732"/>
  <c r="F732"/>
  <c r="E732"/>
  <c r="I731"/>
  <c r="G731"/>
  <c r="F731"/>
  <c r="E731"/>
  <c r="I730"/>
  <c r="G730"/>
  <c r="F730"/>
  <c r="E730"/>
  <c r="I729"/>
  <c r="G729"/>
  <c r="F729"/>
  <c r="E729"/>
  <c r="I728"/>
  <c r="G728"/>
  <c r="F728"/>
  <c r="E728"/>
  <c r="I727"/>
  <c r="G727"/>
  <c r="F727"/>
  <c r="E727"/>
  <c r="I726"/>
  <c r="G726"/>
  <c r="F726"/>
  <c r="E726"/>
  <c r="I725"/>
  <c r="G725"/>
  <c r="F725"/>
  <c r="E725"/>
  <c r="I724"/>
  <c r="G724"/>
  <c r="F724"/>
  <c r="E724"/>
  <c r="I723"/>
  <c r="G723"/>
  <c r="F723"/>
  <c r="E723"/>
  <c r="I722"/>
  <c r="G722"/>
  <c r="F722"/>
  <c r="E722"/>
  <c r="I721"/>
  <c r="G721"/>
  <c r="F721"/>
  <c r="E721"/>
  <c r="I720"/>
  <c r="G720"/>
  <c r="F720"/>
  <c r="E720"/>
  <c r="I719"/>
  <c r="G719"/>
  <c r="F719"/>
  <c r="E719"/>
  <c r="I718"/>
  <c r="G718"/>
  <c r="F718"/>
  <c r="E718"/>
  <c r="I717"/>
  <c r="G717"/>
  <c r="F717"/>
  <c r="E717"/>
  <c r="I716"/>
  <c r="G716"/>
  <c r="F716"/>
  <c r="E716"/>
  <c r="I715"/>
  <c r="G715"/>
  <c r="F715"/>
  <c r="E715"/>
  <c r="I714"/>
  <c r="G714"/>
  <c r="F714"/>
  <c r="E714"/>
  <c r="I713"/>
  <c r="G713"/>
  <c r="F713"/>
  <c r="E713"/>
  <c r="I712"/>
  <c r="G712"/>
  <c r="F712"/>
  <c r="E712"/>
  <c r="I711"/>
  <c r="G711"/>
  <c r="F711"/>
  <c r="E711"/>
  <c r="I710"/>
  <c r="G710"/>
  <c r="F710"/>
  <c r="E710"/>
  <c r="I709"/>
  <c r="G709"/>
  <c r="F709"/>
  <c r="E709"/>
  <c r="I708"/>
  <c r="G708"/>
  <c r="F708"/>
  <c r="E708"/>
  <c r="I707"/>
  <c r="G707"/>
  <c r="F707"/>
  <c r="E707"/>
  <c r="I706"/>
  <c r="G706"/>
  <c r="F706"/>
  <c r="E706"/>
  <c r="I705"/>
  <c r="G705"/>
  <c r="F705"/>
  <c r="E705"/>
  <c r="I704"/>
  <c r="G704"/>
  <c r="F704"/>
  <c r="E704"/>
  <c r="I703"/>
  <c r="G703"/>
  <c r="F703"/>
  <c r="E703"/>
  <c r="I702"/>
  <c r="G702"/>
  <c r="F702"/>
  <c r="E702"/>
  <c r="I701"/>
  <c r="G701"/>
  <c r="F701"/>
  <c r="E701"/>
  <c r="I700"/>
  <c r="G700"/>
  <c r="F700"/>
  <c r="E700"/>
  <c r="I699"/>
  <c r="G699"/>
  <c r="F699"/>
  <c r="E699"/>
  <c r="I698"/>
  <c r="G698"/>
  <c r="F698"/>
  <c r="E698"/>
  <c r="I697"/>
  <c r="G697"/>
  <c r="F697"/>
  <c r="E697"/>
  <c r="I696"/>
  <c r="G696"/>
  <c r="F696"/>
  <c r="E696"/>
  <c r="I695"/>
  <c r="G695"/>
  <c r="F695"/>
  <c r="E695"/>
  <c r="I694"/>
  <c r="G694"/>
  <c r="F694"/>
  <c r="E694"/>
  <c r="I693"/>
  <c r="G693"/>
  <c r="F693"/>
  <c r="E693"/>
  <c r="I692"/>
  <c r="G692"/>
  <c r="F692"/>
  <c r="E692"/>
  <c r="I691"/>
  <c r="G691"/>
  <c r="F691"/>
  <c r="E691"/>
  <c r="I690"/>
  <c r="G690"/>
  <c r="F690"/>
  <c r="E690"/>
  <c r="I689"/>
  <c r="G689"/>
  <c r="F689"/>
  <c r="E689"/>
  <c r="I688"/>
  <c r="G688"/>
  <c r="F688"/>
  <c r="E688"/>
  <c r="I687"/>
  <c r="G687"/>
  <c r="F687"/>
  <c r="E687"/>
  <c r="I686"/>
  <c r="G686"/>
  <c r="F686"/>
  <c r="E686"/>
  <c r="I685"/>
  <c r="G685"/>
  <c r="F685"/>
  <c r="E685"/>
  <c r="I684"/>
  <c r="G684"/>
  <c r="F684"/>
  <c r="E684"/>
  <c r="I683"/>
  <c r="G683"/>
  <c r="F683"/>
  <c r="E683"/>
  <c r="I682"/>
  <c r="G682"/>
  <c r="F682"/>
  <c r="E682"/>
  <c r="I681"/>
  <c r="G681"/>
  <c r="F681"/>
  <c r="E681"/>
  <c r="I680"/>
  <c r="G680"/>
  <c r="F680"/>
  <c r="E680"/>
  <c r="I679"/>
  <c r="G679"/>
  <c r="F679"/>
  <c r="E679"/>
  <c r="I678"/>
  <c r="G678"/>
  <c r="F678"/>
  <c r="E678"/>
  <c r="I677"/>
  <c r="G677"/>
  <c r="F677"/>
  <c r="E677"/>
  <c r="I676"/>
  <c r="G676"/>
  <c r="F676"/>
  <c r="E676"/>
  <c r="I675"/>
  <c r="G675"/>
  <c r="F675"/>
  <c r="E675"/>
  <c r="I674"/>
  <c r="G674"/>
  <c r="F674"/>
  <c r="E674"/>
  <c r="I673"/>
  <c r="G673"/>
  <c r="F673"/>
  <c r="E673"/>
  <c r="I672"/>
  <c r="G672"/>
  <c r="F672"/>
  <c r="E672"/>
  <c r="I671"/>
  <c r="G671"/>
  <c r="F671"/>
  <c r="E671"/>
  <c r="I670"/>
  <c r="G670"/>
  <c r="F670"/>
  <c r="E670"/>
  <c r="I669"/>
  <c r="G669"/>
  <c r="F669"/>
  <c r="E669"/>
  <c r="I668"/>
  <c r="G668"/>
  <c r="F668"/>
  <c r="E668"/>
  <c r="I667"/>
  <c r="G667"/>
  <c r="F667"/>
  <c r="E667"/>
  <c r="I666"/>
  <c r="G666"/>
  <c r="F666"/>
  <c r="E666"/>
  <c r="I665"/>
  <c r="G665"/>
  <c r="F665"/>
  <c r="E665"/>
  <c r="I664"/>
  <c r="G664"/>
  <c r="F664"/>
  <c r="E664"/>
  <c r="I663"/>
  <c r="G663"/>
  <c r="F663"/>
  <c r="E663"/>
  <c r="I662"/>
  <c r="G662"/>
  <c r="F662"/>
  <c r="E662"/>
  <c r="I661"/>
  <c r="G661"/>
  <c r="F661"/>
  <c r="E661"/>
  <c r="I660"/>
  <c r="G660"/>
  <c r="F660"/>
  <c r="E660"/>
  <c r="I659"/>
  <c r="G659"/>
  <c r="F659"/>
  <c r="E659"/>
  <c r="I658"/>
  <c r="G658"/>
  <c r="F658"/>
  <c r="E658"/>
  <c r="I657"/>
  <c r="G657"/>
  <c r="F657"/>
  <c r="E657"/>
  <c r="I656"/>
  <c r="G656"/>
  <c r="F656"/>
  <c r="E656"/>
  <c r="I655"/>
  <c r="G655"/>
  <c r="F655"/>
  <c r="E655"/>
  <c r="I654"/>
  <c r="G654"/>
  <c r="F654"/>
  <c r="E654"/>
  <c r="I653"/>
  <c r="G653"/>
  <c r="F653"/>
  <c r="E653"/>
  <c r="I652"/>
  <c r="G652"/>
  <c r="F652"/>
  <c r="E652"/>
  <c r="I651"/>
  <c r="G651"/>
  <c r="F651"/>
  <c r="E651"/>
  <c r="I650"/>
  <c r="G650"/>
  <c r="F650"/>
  <c r="E650"/>
  <c r="I649"/>
  <c r="G649"/>
  <c r="F649"/>
  <c r="E649"/>
  <c r="I648"/>
  <c r="G648"/>
  <c r="F648"/>
  <c r="E648"/>
  <c r="I647"/>
  <c r="G647"/>
  <c r="F647"/>
  <c r="E647"/>
  <c r="I646"/>
  <c r="G646"/>
  <c r="F646"/>
  <c r="E646"/>
  <c r="I645"/>
  <c r="G645"/>
  <c r="F645"/>
  <c r="E645"/>
  <c r="I644"/>
  <c r="G644"/>
  <c r="F644"/>
  <c r="E644"/>
  <c r="I643"/>
  <c r="G643"/>
  <c r="F643"/>
  <c r="E643"/>
  <c r="I642"/>
  <c r="G642"/>
  <c r="F642"/>
  <c r="E642"/>
  <c r="I641"/>
  <c r="G641"/>
  <c r="F641"/>
  <c r="E641"/>
  <c r="I640"/>
  <c r="G640"/>
  <c r="F640"/>
  <c r="E640"/>
  <c r="I639"/>
  <c r="G639"/>
  <c r="F639"/>
  <c r="E639"/>
  <c r="I638"/>
  <c r="G638"/>
  <c r="F638"/>
  <c r="E638"/>
  <c r="I637"/>
  <c r="G637"/>
  <c r="F637"/>
  <c r="E637"/>
  <c r="I636"/>
  <c r="G636"/>
  <c r="F636"/>
  <c r="E636"/>
  <c r="I635"/>
  <c r="G635"/>
  <c r="F635"/>
  <c r="E635"/>
  <c r="I634"/>
  <c r="G634"/>
  <c r="F634"/>
  <c r="E634"/>
  <c r="I633"/>
  <c r="G633"/>
  <c r="F633"/>
  <c r="E633"/>
  <c r="I632"/>
  <c r="G632"/>
  <c r="F632"/>
  <c r="E632"/>
  <c r="I631"/>
  <c r="G631"/>
  <c r="F631"/>
  <c r="E631"/>
  <c r="I630"/>
  <c r="G630"/>
  <c r="F630"/>
  <c r="E630"/>
  <c r="I629"/>
  <c r="G629"/>
  <c r="F629"/>
  <c r="E629"/>
  <c r="I628"/>
  <c r="G628"/>
  <c r="F628"/>
  <c r="E628"/>
  <c r="I627"/>
  <c r="G627"/>
  <c r="F627"/>
  <c r="E627"/>
  <c r="I626"/>
  <c r="G626"/>
  <c r="F626"/>
  <c r="E626"/>
  <c r="I625"/>
  <c r="G625"/>
  <c r="F625"/>
  <c r="E625"/>
  <c r="I624"/>
  <c r="G624"/>
  <c r="F624"/>
  <c r="E624"/>
  <c r="I623"/>
  <c r="G623"/>
  <c r="F623"/>
  <c r="E623"/>
  <c r="I622"/>
  <c r="G622"/>
  <c r="F622"/>
  <c r="E622"/>
  <c r="I621"/>
  <c r="G621"/>
  <c r="F621"/>
  <c r="E621"/>
  <c r="I620"/>
  <c r="G620"/>
  <c r="F620"/>
  <c r="E620"/>
  <c r="I619"/>
  <c r="G619"/>
  <c r="F619"/>
  <c r="E619"/>
  <c r="I618"/>
  <c r="G618"/>
  <c r="F618"/>
  <c r="E618"/>
  <c r="I617"/>
  <c r="G617"/>
  <c r="F617"/>
  <c r="E617"/>
  <c r="I616"/>
  <c r="G616"/>
  <c r="F616"/>
  <c r="E616"/>
  <c r="I615"/>
  <c r="G615"/>
  <c r="F615"/>
  <c r="E615"/>
  <c r="I614"/>
  <c r="G614"/>
  <c r="F614"/>
  <c r="E614"/>
  <c r="I613"/>
  <c r="G613"/>
  <c r="F613"/>
  <c r="E613"/>
  <c r="I612"/>
  <c r="G612"/>
  <c r="F612"/>
  <c r="E612"/>
  <c r="I611"/>
  <c r="G611"/>
  <c r="F611"/>
  <c r="E611"/>
  <c r="I610"/>
  <c r="G610"/>
  <c r="F610"/>
  <c r="E610"/>
  <c r="I609"/>
  <c r="G609"/>
  <c r="F609"/>
  <c r="E609"/>
  <c r="I608"/>
  <c r="G608"/>
  <c r="F608"/>
  <c r="E608"/>
  <c r="I607"/>
  <c r="G607"/>
  <c r="F607"/>
  <c r="E607"/>
  <c r="I606"/>
  <c r="G606"/>
  <c r="F606"/>
  <c r="E606"/>
  <c r="I605"/>
  <c r="G605"/>
  <c r="F605"/>
  <c r="E605"/>
  <c r="I604"/>
  <c r="G604"/>
  <c r="F604"/>
  <c r="E604"/>
  <c r="I603"/>
  <c r="G603"/>
  <c r="F603"/>
  <c r="E603"/>
  <c r="I602"/>
  <c r="G602"/>
  <c r="F602"/>
  <c r="E602"/>
  <c r="I601"/>
  <c r="G601"/>
  <c r="F601"/>
  <c r="E601"/>
  <c r="I600"/>
  <c r="G600"/>
  <c r="F600"/>
  <c r="E600"/>
  <c r="I599"/>
  <c r="G599"/>
  <c r="F599"/>
  <c r="E599"/>
  <c r="I598"/>
  <c r="G598"/>
  <c r="F598"/>
  <c r="E598"/>
  <c r="I597"/>
  <c r="G597"/>
  <c r="F597"/>
  <c r="E597"/>
  <c r="I596"/>
  <c r="G596"/>
  <c r="F596"/>
  <c r="E596"/>
  <c r="I595"/>
  <c r="G595"/>
  <c r="F595"/>
  <c r="E595"/>
  <c r="I594"/>
  <c r="G594"/>
  <c r="F594"/>
  <c r="E594"/>
  <c r="I593"/>
  <c r="G593"/>
  <c r="F593"/>
  <c r="E593"/>
  <c r="I592"/>
  <c r="G592"/>
  <c r="F592"/>
  <c r="E592"/>
  <c r="I591"/>
  <c r="G591"/>
  <c r="F591"/>
  <c r="E591"/>
  <c r="I590"/>
  <c r="G590"/>
  <c r="F590"/>
  <c r="E590"/>
  <c r="I589"/>
  <c r="G589"/>
  <c r="F589"/>
  <c r="E589"/>
  <c r="I588"/>
  <c r="G588"/>
  <c r="F588"/>
  <c r="E588"/>
  <c r="I587"/>
  <c r="G587"/>
  <c r="F587"/>
  <c r="E587"/>
  <c r="I586"/>
  <c r="G586"/>
  <c r="F586"/>
  <c r="E586"/>
  <c r="I585"/>
  <c r="G585"/>
  <c r="F585"/>
  <c r="E585"/>
  <c r="I584"/>
  <c r="G584"/>
  <c r="F584"/>
  <c r="E584"/>
  <c r="I583"/>
  <c r="G583"/>
  <c r="F583"/>
  <c r="E583"/>
  <c r="I582"/>
  <c r="G582"/>
  <c r="F582"/>
  <c r="E582"/>
  <c r="I581"/>
  <c r="G581"/>
  <c r="F581"/>
  <c r="E581"/>
  <c r="I580"/>
  <c r="G580"/>
  <c r="F580"/>
  <c r="E580"/>
  <c r="I579"/>
  <c r="G579"/>
  <c r="F579"/>
  <c r="E579"/>
  <c r="I578"/>
  <c r="G578"/>
  <c r="F578"/>
  <c r="E578"/>
  <c r="I577"/>
  <c r="G577"/>
  <c r="F577"/>
  <c r="E577"/>
  <c r="I576"/>
  <c r="G576"/>
  <c r="F576"/>
  <c r="E576"/>
  <c r="I575"/>
  <c r="G575"/>
  <c r="F575"/>
  <c r="E575"/>
  <c r="I574"/>
  <c r="G574"/>
  <c r="F574"/>
  <c r="E574"/>
  <c r="I573"/>
  <c r="G573"/>
  <c r="F573"/>
  <c r="E573"/>
  <c r="I572"/>
  <c r="G572"/>
  <c r="F572"/>
  <c r="E572"/>
  <c r="I571"/>
  <c r="G571"/>
  <c r="F571"/>
  <c r="E571"/>
  <c r="I570"/>
  <c r="G570"/>
  <c r="F570"/>
  <c r="E570"/>
  <c r="I569"/>
  <c r="G569"/>
  <c r="F569"/>
  <c r="E569"/>
  <c r="I568"/>
  <c r="G568"/>
  <c r="F568"/>
  <c r="E568"/>
  <c r="I567"/>
  <c r="G567"/>
  <c r="F567"/>
  <c r="E567"/>
  <c r="I566"/>
  <c r="G566"/>
  <c r="F566"/>
  <c r="E566"/>
  <c r="I565"/>
  <c r="G565"/>
  <c r="F565"/>
  <c r="E565"/>
  <c r="I564"/>
  <c r="G564"/>
  <c r="F564"/>
  <c r="E564"/>
  <c r="I563"/>
  <c r="G563"/>
  <c r="F563"/>
  <c r="E563"/>
  <c r="I562"/>
  <c r="G562"/>
  <c r="F562"/>
  <c r="E562"/>
  <c r="I561"/>
  <c r="G561"/>
  <c r="F561"/>
  <c r="E561"/>
  <c r="I560"/>
  <c r="G560"/>
  <c r="F560"/>
  <c r="E560"/>
  <c r="I559"/>
  <c r="G559"/>
  <c r="F559"/>
  <c r="E559"/>
  <c r="I558"/>
  <c r="G558"/>
  <c r="F558"/>
  <c r="E558"/>
  <c r="I557"/>
  <c r="G557"/>
  <c r="F557"/>
  <c r="E557"/>
  <c r="I556"/>
  <c r="G556"/>
  <c r="F556"/>
  <c r="E556"/>
  <c r="I555"/>
  <c r="G555"/>
  <c r="F555"/>
  <c r="E555"/>
  <c r="I553"/>
  <c r="G553"/>
  <c r="F553"/>
  <c r="E553"/>
  <c r="I552"/>
  <c r="G552"/>
  <c r="F552"/>
  <c r="E552"/>
  <c r="I551"/>
  <c r="G551"/>
  <c r="F551"/>
  <c r="E551"/>
  <c r="I550"/>
  <c r="G550"/>
  <c r="F550"/>
  <c r="E550"/>
  <c r="I549"/>
  <c r="G549"/>
  <c r="F549"/>
  <c r="E549"/>
  <c r="I548"/>
  <c r="G548"/>
  <c r="F548"/>
  <c r="E548"/>
  <c r="I546"/>
  <c r="G546"/>
  <c r="F546"/>
  <c r="E546"/>
  <c r="I544"/>
  <c r="G544"/>
  <c r="F544"/>
  <c r="E544"/>
  <c r="I543"/>
  <c r="G543"/>
  <c r="F543"/>
  <c r="E543"/>
  <c r="I542"/>
  <c r="G542"/>
  <c r="F542"/>
  <c r="E542"/>
  <c r="I541"/>
  <c r="G541"/>
  <c r="F541"/>
  <c r="E541"/>
  <c r="I540"/>
  <c r="G540"/>
  <c r="F540"/>
  <c r="E540"/>
  <c r="I539"/>
  <c r="G539"/>
  <c r="F539"/>
  <c r="E539"/>
  <c r="I538"/>
  <c r="G538"/>
  <c r="F538"/>
  <c r="E538"/>
  <c r="I537"/>
  <c r="G537"/>
  <c r="F537"/>
  <c r="E537"/>
  <c r="I536"/>
  <c r="G536"/>
  <c r="F536"/>
  <c r="E536"/>
  <c r="I535"/>
  <c r="G535"/>
  <c r="F535"/>
  <c r="E535"/>
  <c r="I534"/>
  <c r="G534"/>
  <c r="F534"/>
  <c r="E534"/>
  <c r="I533"/>
  <c r="G533"/>
  <c r="F533"/>
  <c r="E533"/>
  <c r="I532"/>
  <c r="G532"/>
  <c r="F532"/>
  <c r="E532"/>
  <c r="I1000"/>
  <c r="G1000"/>
  <c r="F1000"/>
  <c r="E1000"/>
  <c r="I999"/>
  <c r="G999"/>
  <c r="F999"/>
  <c r="E999"/>
  <c r="I998"/>
  <c r="G998"/>
  <c r="F998"/>
  <c r="E998"/>
  <c r="I997"/>
  <c r="G997"/>
  <c r="F997"/>
  <c r="E997"/>
  <c r="I991"/>
  <c r="G991"/>
  <c r="F991"/>
  <c r="E991"/>
  <c r="I990"/>
  <c r="G990"/>
  <c r="F990"/>
  <c r="E990"/>
  <c r="I989"/>
  <c r="G989"/>
  <c r="F989"/>
  <c r="E989"/>
  <c r="I966"/>
  <c r="G966"/>
  <c r="F966"/>
  <c r="E966"/>
  <c r="I965"/>
  <c r="G965"/>
  <c r="F965"/>
  <c r="E965"/>
  <c r="I964"/>
  <c r="G964"/>
  <c r="F964"/>
  <c r="E964"/>
  <c r="I963"/>
  <c r="G963"/>
  <c r="F963"/>
  <c r="E963"/>
  <c r="I962"/>
  <c r="G962"/>
  <c r="F962"/>
  <c r="E962"/>
  <c r="I961"/>
  <c r="G961"/>
  <c r="F961"/>
  <c r="E961"/>
  <c r="I960"/>
  <c r="G960"/>
  <c r="F960"/>
  <c r="E960"/>
  <c r="I996"/>
  <c r="G996"/>
  <c r="F996"/>
  <c r="E996"/>
  <c r="I1545"/>
  <c r="G1545"/>
  <c r="F1545"/>
  <c r="E1545"/>
  <c r="I1544"/>
  <c r="G1544"/>
  <c r="F1544"/>
  <c r="E1544"/>
  <c r="I1543"/>
  <c r="G1543"/>
  <c r="F1543"/>
  <c r="E1543"/>
  <c r="I1542"/>
  <c r="G1542"/>
  <c r="F1542"/>
  <c r="E1542"/>
  <c r="I1541"/>
  <c r="G1541"/>
  <c r="F1541"/>
  <c r="E1541"/>
  <c r="I1540"/>
  <c r="G1540"/>
  <c r="F1540"/>
  <c r="E1540"/>
  <c r="I1546"/>
  <c r="G1546"/>
  <c r="F1546"/>
  <c r="E1546"/>
  <c r="I1539"/>
  <c r="G1539"/>
  <c r="F1539"/>
  <c r="E1539"/>
  <c r="I1538"/>
  <c r="G1538"/>
  <c r="F1538"/>
  <c r="E1538"/>
  <c r="I1537"/>
  <c r="G1537"/>
  <c r="F1537"/>
  <c r="E1537"/>
  <c r="I1536"/>
  <c r="G1536"/>
  <c r="F1536"/>
  <c r="E1536"/>
  <c r="I1535"/>
  <c r="G1535"/>
  <c r="F1535"/>
  <c r="E1535"/>
  <c r="I1534"/>
  <c r="G1534"/>
  <c r="F1534"/>
  <c r="E1534"/>
  <c r="I1533"/>
  <c r="G1533"/>
  <c r="F1533"/>
  <c r="E1533"/>
  <c r="I213"/>
  <c r="G213"/>
  <c r="F213"/>
  <c r="E213"/>
  <c r="I212"/>
  <c r="G212"/>
  <c r="F212"/>
  <c r="E212"/>
  <c r="I211"/>
  <c r="G211"/>
  <c r="F211"/>
  <c r="E211"/>
  <c r="I210"/>
  <c r="G210"/>
  <c r="F210"/>
  <c r="E210"/>
  <c r="I209"/>
  <c r="G209"/>
  <c r="F209"/>
  <c r="E209"/>
  <c r="I208"/>
  <c r="G208"/>
  <c r="F208"/>
  <c r="E208"/>
  <c r="I207"/>
  <c r="G207"/>
  <c r="F207"/>
  <c r="E207"/>
  <c r="I206"/>
  <c r="G206"/>
  <c r="F206"/>
  <c r="E206"/>
  <c r="I205"/>
  <c r="G205"/>
  <c r="F205"/>
  <c r="E205"/>
  <c r="I204"/>
  <c r="G204"/>
  <c r="F204"/>
  <c r="E204"/>
  <c r="I203"/>
  <c r="G203"/>
  <c r="F203"/>
  <c r="E203"/>
  <c r="I202"/>
  <c r="G202"/>
  <c r="F202"/>
  <c r="E202"/>
  <c r="I201"/>
  <c r="G201"/>
  <c r="F201"/>
  <c r="E201"/>
  <c r="I200"/>
  <c r="G200"/>
  <c r="F200"/>
  <c r="E200"/>
  <c r="I199"/>
  <c r="G199"/>
  <c r="F199"/>
  <c r="E199"/>
  <c r="I198"/>
  <c r="G198"/>
  <c r="F198"/>
  <c r="E198"/>
  <c r="I197"/>
  <c r="G197"/>
  <c r="F197"/>
  <c r="E197"/>
  <c r="I196"/>
  <c r="G196"/>
  <c r="F196"/>
  <c r="E196"/>
  <c r="I195"/>
  <c r="G195"/>
  <c r="F195"/>
  <c r="E195"/>
  <c r="I194"/>
  <c r="G194"/>
  <c r="F194"/>
  <c r="E194"/>
  <c r="I193"/>
  <c r="G193"/>
  <c r="F193"/>
  <c r="E193"/>
  <c r="I192"/>
  <c r="G192"/>
  <c r="F192"/>
  <c r="E192"/>
  <c r="I191"/>
  <c r="G191"/>
  <c r="F191"/>
  <c r="E191"/>
  <c r="I190"/>
  <c r="G190"/>
  <c r="F190"/>
  <c r="E190"/>
  <c r="I189"/>
  <c r="G189"/>
  <c r="F189"/>
  <c r="E189"/>
  <c r="I188"/>
  <c r="G188"/>
  <c r="F188"/>
  <c r="E188"/>
  <c r="I187"/>
  <c r="G187"/>
  <c r="F187"/>
  <c r="E187"/>
  <c r="I186"/>
  <c r="G186"/>
  <c r="F186"/>
  <c r="E186"/>
  <c r="I185"/>
  <c r="G185"/>
  <c r="F185"/>
  <c r="E185"/>
  <c r="I184"/>
  <c r="G184"/>
  <c r="F184"/>
  <c r="E184"/>
  <c r="I183"/>
  <c r="G183"/>
  <c r="F183"/>
  <c r="E183"/>
  <c r="I182"/>
  <c r="G182"/>
  <c r="F182"/>
  <c r="E182"/>
  <c r="I181"/>
  <c r="G181"/>
  <c r="F181"/>
  <c r="E181"/>
  <c r="I180"/>
  <c r="G180"/>
  <c r="F180"/>
  <c r="E180"/>
  <c r="I179"/>
  <c r="G179"/>
  <c r="F179"/>
  <c r="E179"/>
  <c r="I178"/>
  <c r="G178"/>
  <c r="F178"/>
  <c r="E178"/>
  <c r="I177"/>
  <c r="G177"/>
  <c r="F177"/>
  <c r="E177"/>
  <c r="I176"/>
  <c r="G176"/>
  <c r="F176"/>
  <c r="E176"/>
  <c r="I175"/>
  <c r="G175"/>
  <c r="F175"/>
  <c r="E175"/>
  <c r="I174"/>
  <c r="G174"/>
  <c r="F174"/>
  <c r="E174"/>
  <c r="I173"/>
  <c r="G173"/>
  <c r="F173"/>
  <c r="E173"/>
  <c r="I172"/>
  <c r="G172"/>
  <c r="F172"/>
  <c r="E172"/>
  <c r="I171"/>
  <c r="G171"/>
  <c r="F171"/>
  <c r="E171"/>
  <c r="I170"/>
  <c r="G170"/>
  <c r="F170"/>
  <c r="E170"/>
  <c r="I169"/>
  <c r="G169"/>
  <c r="F169"/>
  <c r="E169"/>
  <c r="I168"/>
  <c r="G168"/>
  <c r="F168"/>
  <c r="E168"/>
  <c r="I167"/>
  <c r="G167"/>
  <c r="F167"/>
  <c r="E167"/>
  <c r="I166"/>
  <c r="G166"/>
  <c r="F166"/>
  <c r="E166"/>
  <c r="I165"/>
  <c r="G165"/>
  <c r="F165"/>
  <c r="E165"/>
  <c r="I164"/>
  <c r="G164"/>
  <c r="F164"/>
  <c r="E164"/>
  <c r="I163"/>
  <c r="G163"/>
  <c r="F163"/>
  <c r="E163"/>
  <c r="I162"/>
  <c r="G162"/>
  <c r="F162"/>
  <c r="E162"/>
  <c r="I161"/>
  <c r="G161"/>
  <c r="F161"/>
  <c r="E161"/>
  <c r="I160"/>
  <c r="G160"/>
  <c r="F160"/>
  <c r="E160"/>
  <c r="I159"/>
  <c r="G159"/>
  <c r="F159"/>
  <c r="E159"/>
  <c r="I158"/>
  <c r="G158"/>
  <c r="F158"/>
  <c r="E158"/>
  <c r="I157"/>
  <c r="G157"/>
  <c r="F157"/>
  <c r="E157"/>
  <c r="I156"/>
  <c r="G156"/>
  <c r="F156"/>
  <c r="E156"/>
  <c r="I155"/>
  <c r="G155"/>
  <c r="F155"/>
  <c r="E155"/>
  <c r="I154"/>
  <c r="G154"/>
  <c r="F154"/>
  <c r="E154"/>
  <c r="I153"/>
  <c r="G153"/>
  <c r="F153"/>
  <c r="E153"/>
  <c r="I152"/>
  <c r="G152"/>
  <c r="F152"/>
  <c r="E152"/>
  <c r="I151"/>
  <c r="G151"/>
  <c r="F151"/>
  <c r="E151"/>
  <c r="I150"/>
  <c r="G150"/>
  <c r="F150"/>
  <c r="E150"/>
  <c r="I149"/>
  <c r="G149"/>
  <c r="F149"/>
  <c r="E149"/>
  <c r="I148"/>
  <c r="G148"/>
  <c r="F148"/>
  <c r="E148"/>
  <c r="I147"/>
  <c r="G147"/>
  <c r="F147"/>
  <c r="E147"/>
  <c r="I146"/>
  <c r="G146"/>
  <c r="F146"/>
  <c r="E146"/>
  <c r="I145"/>
  <c r="G145"/>
  <c r="F145"/>
  <c r="E145"/>
  <c r="I144"/>
  <c r="G144"/>
  <c r="F144"/>
  <c r="E144"/>
  <c r="I143"/>
  <c r="G143"/>
  <c r="F143"/>
  <c r="E143"/>
  <c r="I142"/>
  <c r="G142"/>
  <c r="F142"/>
  <c r="E142"/>
  <c r="I141"/>
  <c r="G141"/>
  <c r="F141"/>
  <c r="E141"/>
  <c r="I140"/>
  <c r="G140"/>
  <c r="F140"/>
  <c r="E140"/>
  <c r="I139"/>
  <c r="G139"/>
  <c r="F139"/>
  <c r="E139"/>
  <c r="I138"/>
  <c r="G138"/>
  <c r="F138"/>
  <c r="E138"/>
  <c r="I137"/>
  <c r="G137"/>
  <c r="F137"/>
  <c r="E137"/>
  <c r="I136"/>
  <c r="G136"/>
  <c r="F136"/>
  <c r="E136"/>
  <c r="I135"/>
  <c r="G135"/>
  <c r="F135"/>
  <c r="E135"/>
  <c r="I134"/>
  <c r="G134"/>
  <c r="F134"/>
  <c r="E134"/>
  <c r="I133"/>
  <c r="G133"/>
  <c r="F133"/>
  <c r="E133"/>
  <c r="I132"/>
  <c r="G132"/>
  <c r="F132"/>
  <c r="E132"/>
  <c r="I131"/>
  <c r="G131"/>
  <c r="F131"/>
  <c r="E131"/>
  <c r="I130"/>
  <c r="G130"/>
  <c r="F130"/>
  <c r="E130"/>
  <c r="I129"/>
  <c r="G129"/>
  <c r="F129"/>
  <c r="E129"/>
  <c r="I128"/>
  <c r="G128"/>
  <c r="F128"/>
  <c r="E128"/>
  <c r="I127"/>
  <c r="G127"/>
  <c r="F127"/>
  <c r="E127"/>
  <c r="I126"/>
  <c r="G126"/>
  <c r="F126"/>
  <c r="E126"/>
  <c r="I125"/>
  <c r="G125"/>
  <c r="F125"/>
  <c r="E125"/>
  <c r="I124"/>
  <c r="G124"/>
  <c r="F124"/>
  <c r="E124"/>
  <c r="I123"/>
  <c r="G123"/>
  <c r="F123"/>
  <c r="E123"/>
  <c r="I122"/>
  <c r="G122"/>
  <c r="F122"/>
  <c r="E122"/>
  <c r="I121"/>
  <c r="G121"/>
  <c r="F121"/>
  <c r="E121"/>
  <c r="I120"/>
  <c r="G120"/>
  <c r="F120"/>
  <c r="E120"/>
  <c r="I119"/>
  <c r="G119"/>
  <c r="F119"/>
  <c r="E119"/>
  <c r="I118"/>
  <c r="G118"/>
  <c r="F118"/>
  <c r="E118"/>
  <c r="I117"/>
  <c r="G117"/>
  <c r="F117"/>
  <c r="E117"/>
  <c r="I116"/>
  <c r="G116"/>
  <c r="F116"/>
  <c r="E116"/>
  <c r="I115"/>
  <c r="G115"/>
  <c r="F115"/>
  <c r="E115"/>
  <c r="I114"/>
  <c r="G114"/>
  <c r="F114"/>
  <c r="E114"/>
  <c r="I113"/>
  <c r="G113"/>
  <c r="F113"/>
  <c r="E113"/>
  <c r="I112"/>
  <c r="G112"/>
  <c r="F112"/>
  <c r="E112"/>
  <c r="I111"/>
  <c r="G111"/>
  <c r="F111"/>
  <c r="E111"/>
  <c r="I110"/>
  <c r="G110"/>
  <c r="F110"/>
  <c r="E110"/>
  <c r="I109"/>
  <c r="G109"/>
  <c r="F109"/>
  <c r="E109"/>
  <c r="I108"/>
  <c r="G108"/>
  <c r="F108"/>
  <c r="E108"/>
  <c r="I107"/>
  <c r="G107"/>
  <c r="F107"/>
  <c r="E107"/>
  <c r="I106"/>
  <c r="G106"/>
  <c r="F106"/>
  <c r="E106"/>
  <c r="I105"/>
  <c r="G105"/>
  <c r="F105"/>
  <c r="E105"/>
  <c r="I104"/>
  <c r="G104"/>
  <c r="F104"/>
  <c r="E104"/>
  <c r="I103"/>
  <c r="G103"/>
  <c r="F103"/>
  <c r="E103"/>
  <c r="I102"/>
  <c r="G102"/>
  <c r="F102"/>
  <c r="E102"/>
  <c r="I101"/>
  <c r="G101"/>
  <c r="F101"/>
  <c r="E101"/>
  <c r="I100"/>
  <c r="G100"/>
  <c r="F100"/>
  <c r="E100"/>
  <c r="I99"/>
  <c r="G99"/>
  <c r="F99"/>
  <c r="E99"/>
  <c r="I98"/>
  <c r="G98"/>
  <c r="F98"/>
  <c r="E98"/>
  <c r="I97"/>
  <c r="G97"/>
  <c r="F97"/>
  <c r="E97"/>
  <c r="I96"/>
  <c r="G96"/>
  <c r="F96"/>
  <c r="E96"/>
  <c r="I95"/>
  <c r="G95"/>
  <c r="F95"/>
  <c r="E95"/>
  <c r="I94"/>
  <c r="G94"/>
  <c r="F94"/>
  <c r="E94"/>
  <c r="I93"/>
  <c r="G93"/>
  <c r="F93"/>
  <c r="E93"/>
  <c r="I92"/>
  <c r="G92"/>
  <c r="F92"/>
  <c r="E92"/>
  <c r="I91"/>
  <c r="G91"/>
  <c r="F91"/>
  <c r="E91"/>
  <c r="I90"/>
  <c r="G90"/>
  <c r="F90"/>
  <c r="E90"/>
  <c r="I89"/>
  <c r="G89"/>
  <c r="F89"/>
  <c r="E89"/>
  <c r="I88"/>
  <c r="G88"/>
  <c r="F88"/>
  <c r="E88"/>
  <c r="I87"/>
  <c r="G87"/>
  <c r="F87"/>
  <c r="E87"/>
  <c r="I86"/>
  <c r="G86"/>
  <c r="F86"/>
  <c r="E86"/>
  <c r="I85"/>
  <c r="G85"/>
  <c r="F85"/>
  <c r="E85"/>
  <c r="I84"/>
  <c r="G84"/>
  <c r="F84"/>
  <c r="E84"/>
  <c r="I83"/>
  <c r="G83"/>
  <c r="F83"/>
  <c r="E83"/>
  <c r="I82"/>
  <c r="G82"/>
  <c r="F82"/>
  <c r="E82"/>
  <c r="I81"/>
  <c r="G81"/>
  <c r="F81"/>
  <c r="E81"/>
  <c r="I80"/>
  <c r="G80"/>
  <c r="F80"/>
  <c r="E80"/>
  <c r="I79"/>
  <c r="G79"/>
  <c r="F79"/>
  <c r="E79"/>
  <c r="I78"/>
  <c r="G78"/>
  <c r="F78"/>
  <c r="E78"/>
  <c r="I77"/>
  <c r="G77"/>
  <c r="F77"/>
  <c r="E77"/>
  <c r="I76"/>
  <c r="G76"/>
  <c r="F76"/>
  <c r="E76"/>
  <c r="I75"/>
  <c r="G75"/>
  <c r="F75"/>
  <c r="E75"/>
  <c r="I74"/>
  <c r="G74"/>
  <c r="F74"/>
  <c r="E74"/>
  <c r="I73"/>
  <c r="G73"/>
  <c r="F73"/>
  <c r="E73"/>
  <c r="I72"/>
  <c r="G72"/>
  <c r="F72"/>
  <c r="E72"/>
  <c r="I71"/>
  <c r="G71"/>
  <c r="F71"/>
  <c r="E71"/>
  <c r="I70"/>
  <c r="G70"/>
  <c r="F70"/>
  <c r="E70"/>
  <c r="I69"/>
  <c r="G69"/>
  <c r="F69"/>
  <c r="E69"/>
  <c r="I68"/>
  <c r="G68"/>
  <c r="F68"/>
  <c r="E68"/>
  <c r="I67"/>
  <c r="G67"/>
  <c r="F67"/>
  <c r="E67"/>
  <c r="I66"/>
  <c r="G66"/>
  <c r="F66"/>
  <c r="E66"/>
  <c r="I65"/>
  <c r="G65"/>
  <c r="F65"/>
  <c r="E65"/>
  <c r="I64"/>
  <c r="G64"/>
  <c r="F64"/>
  <c r="E64"/>
  <c r="I63"/>
  <c r="G63"/>
  <c r="F63"/>
  <c r="E63"/>
  <c r="I62"/>
  <c r="G62"/>
  <c r="F62"/>
  <c r="E62"/>
  <c r="I61"/>
  <c r="G61"/>
  <c r="F61"/>
  <c r="E61"/>
  <c r="I60"/>
  <c r="G60"/>
  <c r="F60"/>
  <c r="E60"/>
  <c r="I59"/>
  <c r="G59"/>
  <c r="F59"/>
  <c r="E59"/>
  <c r="I58"/>
  <c r="G58"/>
  <c r="F58"/>
  <c r="E58"/>
  <c r="I57"/>
  <c r="G57"/>
  <c r="F57"/>
  <c r="E57"/>
  <c r="I56"/>
  <c r="G56"/>
  <c r="F56"/>
  <c r="E56"/>
  <c r="I55"/>
  <c r="G55"/>
  <c r="F55"/>
  <c r="E55"/>
  <c r="I54"/>
  <c r="G54"/>
  <c r="F54"/>
  <c r="E54"/>
  <c r="I53"/>
  <c r="G53"/>
  <c r="F53"/>
  <c r="E53"/>
  <c r="I52"/>
  <c r="G52"/>
  <c r="F52"/>
  <c r="E52"/>
  <c r="I51"/>
  <c r="G51"/>
  <c r="F51"/>
  <c r="E51"/>
  <c r="I50"/>
  <c r="G50"/>
  <c r="F50"/>
  <c r="E50"/>
  <c r="I49"/>
  <c r="G49"/>
  <c r="F49"/>
  <c r="E49"/>
  <c r="I48"/>
  <c r="G48"/>
  <c r="F48"/>
  <c r="E48"/>
  <c r="I47"/>
  <c r="G47"/>
  <c r="F47"/>
  <c r="E47"/>
  <c r="I46"/>
  <c r="G46"/>
  <c r="F46"/>
  <c r="E46"/>
  <c r="I45"/>
  <c r="G45"/>
  <c r="F45"/>
  <c r="E45"/>
  <c r="I44"/>
  <c r="G44"/>
  <c r="F44"/>
  <c r="E44"/>
  <c r="I43"/>
  <c r="G43"/>
  <c r="F43"/>
  <c r="E43"/>
  <c r="I42"/>
  <c r="G42"/>
  <c r="F42"/>
  <c r="E42"/>
  <c r="I41"/>
  <c r="G41"/>
  <c r="F41"/>
  <c r="E41"/>
  <c r="I40"/>
  <c r="G40"/>
  <c r="F40"/>
  <c r="E40"/>
  <c r="I39"/>
  <c r="G39"/>
  <c r="F39"/>
  <c r="E39"/>
  <c r="I38"/>
  <c r="G38"/>
  <c r="F38"/>
  <c r="E38"/>
  <c r="I37"/>
  <c r="G37"/>
  <c r="F37"/>
  <c r="E37"/>
  <c r="I36"/>
  <c r="G36"/>
  <c r="F36"/>
  <c r="E36"/>
  <c r="I35"/>
  <c r="G35"/>
  <c r="F35"/>
  <c r="E35"/>
  <c r="I34"/>
  <c r="G34"/>
  <c r="F34"/>
  <c r="E34"/>
  <c r="I33"/>
  <c r="G33"/>
  <c r="F33"/>
  <c r="E33"/>
  <c r="I32"/>
  <c r="G32"/>
  <c r="F32"/>
  <c r="E32"/>
  <c r="I31"/>
  <c r="G31"/>
  <c r="F31"/>
  <c r="E31"/>
  <c r="I30"/>
  <c r="G30"/>
  <c r="F30"/>
  <c r="E30"/>
  <c r="I29"/>
  <c r="G29"/>
  <c r="F29"/>
  <c r="E29"/>
  <c r="I28"/>
  <c r="G28"/>
  <c r="F28"/>
  <c r="E28"/>
  <c r="I27"/>
  <c r="G27"/>
  <c r="F27"/>
  <c r="E27"/>
  <c r="I26"/>
  <c r="G26"/>
  <c r="F26"/>
  <c r="E26"/>
  <c r="I25"/>
  <c r="G25"/>
  <c r="F25"/>
  <c r="E25"/>
  <c r="I24"/>
  <c r="G24"/>
  <c r="F24"/>
  <c r="E24"/>
  <c r="I23"/>
  <c r="G23"/>
  <c r="F23"/>
  <c r="E23"/>
  <c r="I22"/>
  <c r="G22"/>
  <c r="F22"/>
  <c r="E22"/>
  <c r="I21"/>
  <c r="G21"/>
  <c r="F21"/>
  <c r="E21"/>
  <c r="I20"/>
  <c r="G20"/>
  <c r="F20"/>
  <c r="E20"/>
  <c r="I19"/>
  <c r="G19"/>
  <c r="F19"/>
  <c r="E19"/>
  <c r="I18"/>
  <c r="G18"/>
  <c r="F18"/>
  <c r="E18"/>
  <c r="I17"/>
  <c r="G17"/>
  <c r="F17"/>
  <c r="E17"/>
  <c r="I16"/>
  <c r="G16"/>
  <c r="F16"/>
  <c r="E16"/>
  <c r="I15"/>
  <c r="G15"/>
  <c r="F15"/>
  <c r="E15"/>
  <c r="I14"/>
  <c r="G14"/>
  <c r="F14"/>
  <c r="E14"/>
  <c r="I13"/>
  <c r="G13"/>
  <c r="F13"/>
  <c r="E13"/>
  <c r="I12"/>
  <c r="G12"/>
  <c r="F12"/>
  <c r="E12"/>
  <c r="I11"/>
  <c r="G11"/>
  <c r="F11"/>
  <c r="E11"/>
  <c r="I10"/>
  <c r="G10"/>
  <c r="F10"/>
  <c r="E10"/>
  <c r="I9"/>
  <c r="G9"/>
  <c r="F9"/>
  <c r="E9"/>
  <c r="I8"/>
  <c r="G8"/>
  <c r="F8"/>
  <c r="E8"/>
  <c r="I7"/>
  <c r="G7"/>
  <c r="F7"/>
  <c r="E7"/>
  <c r="I6"/>
  <c r="G6"/>
  <c r="F6"/>
  <c r="E6"/>
  <c r="I5"/>
  <c r="G5"/>
  <c r="F5"/>
  <c r="E5"/>
  <c r="I4"/>
  <c r="G4"/>
  <c r="F4"/>
  <c r="E4"/>
  <c r="I3"/>
  <c r="G3"/>
  <c r="F3"/>
  <c r="E3"/>
  <c r="I2"/>
  <c r="G2"/>
  <c r="F2"/>
  <c r="E2"/>
  <c r="I27" i="10"/>
  <c r="G27"/>
  <c r="F27"/>
  <c r="E27"/>
  <c r="I26"/>
  <c r="G26"/>
  <c r="F26"/>
  <c r="E26"/>
  <c r="I25"/>
  <c r="G25"/>
  <c r="F25"/>
  <c r="E25"/>
  <c r="I8"/>
  <c r="G8"/>
  <c r="F8"/>
  <c r="E8"/>
  <c r="I7"/>
  <c r="G7"/>
  <c r="F7"/>
  <c r="E7"/>
  <c r="I6"/>
  <c r="G6"/>
  <c r="F6"/>
  <c r="E6"/>
  <c r="I5"/>
  <c r="G5"/>
  <c r="F5"/>
  <c r="E5"/>
  <c r="I4"/>
  <c r="G4"/>
  <c r="F4"/>
  <c r="E4"/>
  <c r="I18"/>
  <c r="G18"/>
  <c r="F18"/>
  <c r="E18"/>
  <c r="I10"/>
  <c r="G10"/>
  <c r="F10"/>
  <c r="E10"/>
  <c r="I9"/>
  <c r="G9"/>
  <c r="F9"/>
  <c r="E9"/>
  <c r="I24"/>
  <c r="G24"/>
  <c r="F24"/>
  <c r="E24"/>
  <c r="I23"/>
  <c r="G23"/>
  <c r="F23"/>
  <c r="E23"/>
  <c r="I22"/>
  <c r="G22"/>
  <c r="F22"/>
  <c r="E22"/>
  <c r="I21"/>
  <c r="G21"/>
  <c r="F21"/>
  <c r="E21"/>
  <c r="I20"/>
  <c r="G20"/>
  <c r="F20"/>
  <c r="E20"/>
  <c r="I19"/>
  <c r="G19"/>
  <c r="F19"/>
  <c r="E19"/>
  <c r="I17"/>
  <c r="G17"/>
  <c r="F17"/>
  <c r="E17"/>
  <c r="I16"/>
  <c r="G16"/>
  <c r="F16"/>
  <c r="E16"/>
  <c r="I15"/>
  <c r="G15"/>
  <c r="F15"/>
  <c r="E15"/>
  <c r="I14"/>
  <c r="G14"/>
  <c r="F14"/>
  <c r="E14"/>
  <c r="I13"/>
  <c r="G13"/>
  <c r="F13"/>
  <c r="E13"/>
  <c r="I3"/>
  <c r="G3"/>
  <c r="F3"/>
  <c r="E3"/>
  <c r="I2"/>
  <c r="G2"/>
  <c r="F2"/>
  <c r="E2"/>
  <c r="I142" i="9"/>
  <c r="G142"/>
  <c r="E142"/>
  <c r="I141"/>
  <c r="G141"/>
  <c r="F141"/>
  <c r="E141"/>
  <c r="I140"/>
  <c r="G140"/>
  <c r="E140"/>
  <c r="I133"/>
  <c r="G133"/>
  <c r="F133"/>
  <c r="E133"/>
  <c r="I132"/>
  <c r="G132"/>
  <c r="E132"/>
  <c r="I131"/>
  <c r="G131"/>
  <c r="F131"/>
  <c r="E131"/>
  <c r="I139"/>
  <c r="G139"/>
  <c r="F139"/>
  <c r="E139"/>
  <c r="I138"/>
  <c r="G138"/>
  <c r="F138"/>
  <c r="E138"/>
  <c r="I137"/>
  <c r="G137"/>
  <c r="F137"/>
  <c r="E137"/>
  <c r="I136"/>
  <c r="G136"/>
  <c r="F136"/>
  <c r="E136"/>
  <c r="I135"/>
  <c r="G135"/>
  <c r="F135"/>
  <c r="E135"/>
  <c r="I134"/>
  <c r="G134"/>
  <c r="E134"/>
  <c r="I130"/>
  <c r="G130"/>
  <c r="E130"/>
  <c r="I129"/>
  <c r="G129"/>
  <c r="E129"/>
  <c r="I128"/>
  <c r="G128"/>
  <c r="F128"/>
  <c r="E128"/>
  <c r="I127"/>
  <c r="G127"/>
  <c r="E127"/>
  <c r="I126"/>
  <c r="G126"/>
  <c r="E126"/>
  <c r="I125"/>
  <c r="G125"/>
  <c r="F125"/>
  <c r="E125"/>
  <c r="I124"/>
  <c r="G124"/>
  <c r="E124"/>
  <c r="I123"/>
  <c r="G123"/>
  <c r="F123"/>
  <c r="E123"/>
  <c r="I122"/>
  <c r="G122"/>
  <c r="E122"/>
  <c r="I121"/>
  <c r="G121"/>
  <c r="F121"/>
  <c r="E121"/>
  <c r="I120"/>
  <c r="G120"/>
  <c r="E120"/>
  <c r="I119"/>
  <c r="G119"/>
  <c r="F119"/>
  <c r="E119"/>
  <c r="I118"/>
  <c r="G118"/>
  <c r="E118"/>
  <c r="I117"/>
  <c r="G117"/>
  <c r="F117"/>
  <c r="E117"/>
  <c r="I116"/>
  <c r="G116"/>
  <c r="E116"/>
  <c r="I115"/>
  <c r="G115"/>
  <c r="F115"/>
  <c r="E115"/>
  <c r="I114"/>
  <c r="G114"/>
  <c r="E114"/>
  <c r="I113"/>
  <c r="G113"/>
  <c r="E113"/>
  <c r="I111"/>
  <c r="G111"/>
  <c r="F111"/>
  <c r="E111"/>
  <c r="I110"/>
  <c r="G110"/>
  <c r="F110"/>
  <c r="E110"/>
  <c r="I109"/>
  <c r="G109"/>
  <c r="F109"/>
  <c r="E109"/>
  <c r="I108"/>
  <c r="G108"/>
  <c r="F108"/>
  <c r="E108"/>
  <c r="I107"/>
  <c r="G107"/>
  <c r="F107"/>
  <c r="E107"/>
  <c r="I106"/>
  <c r="G106"/>
  <c r="F106"/>
  <c r="E106"/>
  <c r="I105"/>
  <c r="G105"/>
  <c r="F105"/>
  <c r="E105"/>
  <c r="I104"/>
  <c r="G104"/>
  <c r="F104"/>
  <c r="E104"/>
  <c r="I103"/>
  <c r="G103"/>
  <c r="F103"/>
  <c r="E103"/>
  <c r="I102"/>
  <c r="G102"/>
  <c r="F102"/>
  <c r="E102"/>
  <c r="I101"/>
  <c r="G101"/>
  <c r="F101"/>
  <c r="E101"/>
  <c r="I100"/>
  <c r="G100"/>
  <c r="F100"/>
  <c r="E100"/>
  <c r="I99"/>
  <c r="G99"/>
  <c r="F99"/>
  <c r="E99"/>
  <c r="I98"/>
  <c r="G98"/>
  <c r="F98"/>
  <c r="E98"/>
  <c r="I97"/>
  <c r="G97"/>
  <c r="F97"/>
  <c r="E97"/>
  <c r="I96"/>
  <c r="G96"/>
  <c r="F96"/>
  <c r="E96"/>
  <c r="I95"/>
  <c r="G95"/>
  <c r="F95"/>
  <c r="E95"/>
  <c r="I94"/>
  <c r="G94"/>
  <c r="F94"/>
  <c r="E94"/>
  <c r="I93"/>
  <c r="G93"/>
  <c r="F93"/>
  <c r="E93"/>
  <c r="I92"/>
  <c r="G92"/>
  <c r="F92"/>
  <c r="E92"/>
  <c r="I91"/>
  <c r="G91"/>
  <c r="F91"/>
  <c r="E91"/>
  <c r="I90"/>
  <c r="G90"/>
  <c r="F90"/>
  <c r="E90"/>
  <c r="I89"/>
  <c r="G89"/>
  <c r="F89"/>
  <c r="E89"/>
  <c r="I88"/>
  <c r="G88"/>
  <c r="F88"/>
  <c r="E88"/>
  <c r="I87"/>
  <c r="G87"/>
  <c r="F87"/>
  <c r="E87"/>
  <c r="I86"/>
  <c r="G86"/>
  <c r="F86"/>
  <c r="E86"/>
  <c r="I85"/>
  <c r="G85"/>
  <c r="F85"/>
  <c r="E85"/>
  <c r="I84"/>
  <c r="G84"/>
  <c r="F84"/>
  <c r="E84"/>
  <c r="I83"/>
  <c r="G83"/>
  <c r="F83"/>
  <c r="E83"/>
  <c r="I82"/>
  <c r="G82"/>
  <c r="F82"/>
  <c r="E82"/>
  <c r="I81"/>
  <c r="G81"/>
  <c r="F81"/>
  <c r="E81"/>
  <c r="I80"/>
  <c r="G80"/>
  <c r="F80"/>
  <c r="E80"/>
  <c r="I79"/>
  <c r="G79"/>
  <c r="F79"/>
  <c r="E79"/>
  <c r="I78"/>
  <c r="G78"/>
  <c r="F78"/>
  <c r="E78"/>
  <c r="I77"/>
  <c r="G77"/>
  <c r="F77"/>
  <c r="E77"/>
  <c r="I76"/>
  <c r="G76"/>
  <c r="F76"/>
  <c r="E76"/>
  <c r="I75"/>
  <c r="G75"/>
  <c r="F75"/>
  <c r="E75"/>
  <c r="I74"/>
  <c r="G74"/>
  <c r="F74"/>
  <c r="E74"/>
  <c r="I73"/>
  <c r="G73"/>
  <c r="F73"/>
  <c r="E73"/>
  <c r="I72"/>
  <c r="G72"/>
  <c r="F72"/>
  <c r="E72"/>
  <c r="I71"/>
  <c r="G71"/>
  <c r="F71"/>
  <c r="E71"/>
  <c r="I70"/>
  <c r="G70"/>
  <c r="F70"/>
  <c r="E70"/>
  <c r="I69"/>
  <c r="G69"/>
  <c r="F69"/>
  <c r="E69"/>
  <c r="I68"/>
  <c r="G68"/>
  <c r="F68"/>
  <c r="E68"/>
  <c r="I67"/>
  <c r="G67"/>
  <c r="F67"/>
  <c r="E67"/>
  <c r="I66"/>
  <c r="G66"/>
  <c r="F66"/>
  <c r="E66"/>
  <c r="I65"/>
  <c r="G65"/>
  <c r="F65"/>
  <c r="E65"/>
  <c r="I64"/>
  <c r="G64"/>
  <c r="F64"/>
  <c r="E64"/>
  <c r="I63"/>
  <c r="G63"/>
  <c r="E63"/>
  <c r="I62"/>
  <c r="G62"/>
  <c r="F62"/>
  <c r="E62"/>
  <c r="I61"/>
  <c r="G61"/>
  <c r="F61"/>
  <c r="E61"/>
  <c r="I60"/>
  <c r="G60"/>
  <c r="F60"/>
  <c r="E60"/>
  <c r="I59"/>
  <c r="G59"/>
  <c r="F59"/>
  <c r="E59"/>
  <c r="I58"/>
  <c r="G58"/>
  <c r="F58"/>
  <c r="E58"/>
  <c r="I57"/>
  <c r="G57"/>
  <c r="F57"/>
  <c r="E57"/>
  <c r="I56"/>
  <c r="G56"/>
  <c r="F56"/>
  <c r="E56"/>
  <c r="I55"/>
  <c r="G55"/>
  <c r="F55"/>
  <c r="E55"/>
  <c r="I54"/>
  <c r="G54"/>
  <c r="F54"/>
  <c r="E54"/>
  <c r="I53"/>
  <c r="G53"/>
  <c r="F53"/>
  <c r="E53"/>
  <c r="I52"/>
  <c r="G52"/>
  <c r="F52"/>
  <c r="E52"/>
  <c r="I51"/>
  <c r="G51"/>
  <c r="F51"/>
  <c r="E51"/>
  <c r="I50"/>
  <c r="G50"/>
  <c r="F50"/>
  <c r="E50"/>
  <c r="I49"/>
  <c r="G49"/>
  <c r="F49"/>
  <c r="E49"/>
  <c r="I48"/>
  <c r="G48"/>
  <c r="F48"/>
  <c r="E48"/>
  <c r="I47"/>
  <c r="G47"/>
  <c r="F47"/>
  <c r="E47"/>
  <c r="I46"/>
  <c r="G46"/>
  <c r="F46"/>
  <c r="E46"/>
  <c r="I45"/>
  <c r="G45"/>
  <c r="F45"/>
  <c r="E45"/>
  <c r="I44"/>
  <c r="G44"/>
  <c r="F44"/>
  <c r="E44"/>
  <c r="I43"/>
  <c r="G43"/>
  <c r="F43"/>
  <c r="E43"/>
  <c r="I42"/>
  <c r="G42"/>
  <c r="F42"/>
  <c r="E42"/>
  <c r="I41"/>
  <c r="G41"/>
  <c r="F41"/>
  <c r="E41"/>
  <c r="I40"/>
  <c r="G40"/>
  <c r="F40"/>
  <c r="E40"/>
  <c r="I39"/>
  <c r="G39"/>
  <c r="F39"/>
  <c r="E39"/>
  <c r="I38"/>
  <c r="G38"/>
  <c r="F38"/>
  <c r="E38"/>
  <c r="I37"/>
  <c r="G37"/>
  <c r="F37"/>
  <c r="E37"/>
  <c r="I36"/>
  <c r="G36"/>
  <c r="F36"/>
  <c r="E36"/>
  <c r="I35"/>
  <c r="G35"/>
  <c r="F35"/>
  <c r="E35"/>
  <c r="I34"/>
  <c r="G34"/>
  <c r="F34"/>
  <c r="E34"/>
  <c r="I33"/>
  <c r="G33"/>
  <c r="F33"/>
  <c r="E33"/>
  <c r="I32"/>
  <c r="G32"/>
  <c r="F32"/>
  <c r="E32"/>
  <c r="I31"/>
  <c r="G31"/>
  <c r="F31"/>
  <c r="E31"/>
  <c r="I30"/>
  <c r="G30"/>
  <c r="F30"/>
  <c r="E30"/>
  <c r="I29"/>
  <c r="G29"/>
  <c r="F29"/>
  <c r="E29"/>
  <c r="I28"/>
  <c r="G28"/>
  <c r="F28"/>
  <c r="E28"/>
  <c r="I27"/>
  <c r="G27"/>
  <c r="F27"/>
  <c r="E27"/>
  <c r="I26"/>
  <c r="G26"/>
  <c r="F26"/>
  <c r="E26"/>
  <c r="I25"/>
  <c r="G25"/>
  <c r="F25"/>
  <c r="E25"/>
  <c r="I24"/>
  <c r="G24"/>
  <c r="F24"/>
  <c r="E24"/>
  <c r="I23"/>
  <c r="G23"/>
  <c r="F23"/>
  <c r="E23"/>
  <c r="I22"/>
  <c r="G22"/>
  <c r="E22"/>
  <c r="I21"/>
  <c r="G21"/>
  <c r="F21"/>
  <c r="E21"/>
  <c r="I20"/>
  <c r="G20"/>
  <c r="E20"/>
  <c r="I19"/>
  <c r="G19"/>
  <c r="E19"/>
  <c r="I18"/>
  <c r="G18"/>
  <c r="F18"/>
  <c r="E18"/>
  <c r="I17"/>
  <c r="G17"/>
  <c r="F17"/>
  <c r="E17"/>
  <c r="I16"/>
  <c r="G16"/>
  <c r="E16"/>
  <c r="I15"/>
  <c r="G15"/>
  <c r="E15"/>
  <c r="I14"/>
  <c r="G14"/>
  <c r="E14"/>
  <c r="I13"/>
  <c r="G13"/>
  <c r="E13"/>
  <c r="I12"/>
  <c r="G12"/>
  <c r="E12"/>
  <c r="I11"/>
  <c r="G11"/>
  <c r="E11"/>
  <c r="I10"/>
  <c r="G10"/>
  <c r="F10"/>
  <c r="E10"/>
  <c r="I9"/>
  <c r="G9"/>
  <c r="E9"/>
  <c r="I8"/>
  <c r="G8"/>
  <c r="E8"/>
  <c r="I7"/>
  <c r="G7"/>
  <c r="F7"/>
  <c r="E7"/>
  <c r="I6"/>
  <c r="G6"/>
  <c r="F6"/>
  <c r="E6"/>
  <c r="I5"/>
  <c r="G5"/>
  <c r="F5"/>
  <c r="E5"/>
  <c r="I4"/>
  <c r="G4"/>
  <c r="E4"/>
  <c r="I3"/>
  <c r="G3"/>
  <c r="E3"/>
  <c r="I2"/>
  <c r="E2"/>
  <c r="I1673" i="6"/>
  <c r="I1637" l="1"/>
  <c r="G1637"/>
  <c r="F1637"/>
  <c r="E1637"/>
  <c r="I1639"/>
  <c r="G1639"/>
  <c r="F1639"/>
  <c r="E1639"/>
  <c r="I1638"/>
  <c r="G1638"/>
  <c r="F1638"/>
  <c r="E1638"/>
  <c r="I1631"/>
  <c r="G1631"/>
  <c r="F1631"/>
  <c r="E1631"/>
  <c r="I1634"/>
  <c r="G1634"/>
  <c r="F1634"/>
  <c r="E1634"/>
  <c r="I1633"/>
  <c r="G1633"/>
  <c r="F1633"/>
  <c r="E1633"/>
  <c r="I1632"/>
  <c r="G1632"/>
  <c r="F1632"/>
  <c r="E1632"/>
  <c r="I1624"/>
  <c r="G1624"/>
  <c r="F1624"/>
  <c r="E1624"/>
  <c r="I1620"/>
  <c r="G1620"/>
  <c r="F1620"/>
  <c r="E1620"/>
  <c r="I1627"/>
  <c r="G1627"/>
  <c r="F1627"/>
  <c r="E1627"/>
  <c r="I1611"/>
  <c r="G1611"/>
  <c r="F1611"/>
  <c r="E1611"/>
  <c r="I1628"/>
  <c r="G1628"/>
  <c r="F1628"/>
  <c r="E1628"/>
  <c r="I1612"/>
  <c r="G1612"/>
  <c r="F1612"/>
  <c r="E1612"/>
  <c r="I1630"/>
  <c r="G1630"/>
  <c r="F1630"/>
  <c r="E1630"/>
  <c r="I1625"/>
  <c r="G1625"/>
  <c r="F1625"/>
  <c r="E1625"/>
  <c r="I1616"/>
  <c r="G1616"/>
  <c r="F1616"/>
  <c r="E1616"/>
  <c r="I1615"/>
  <c r="G1615"/>
  <c r="F1615"/>
  <c r="E1615"/>
  <c r="I1619"/>
  <c r="G1619"/>
  <c r="F1619"/>
  <c r="E1619"/>
  <c r="I1622"/>
  <c r="G1622"/>
  <c r="F1622"/>
  <c r="E1622"/>
  <c r="I1621"/>
  <c r="G1621"/>
  <c r="F1621"/>
  <c r="E1621"/>
  <c r="I1609"/>
  <c r="G1609"/>
  <c r="F1609"/>
  <c r="E1609"/>
  <c r="I1618"/>
  <c r="G1618"/>
  <c r="F1618"/>
  <c r="E1618"/>
  <c r="I1617"/>
  <c r="G1617"/>
  <c r="F1617"/>
  <c r="E1617"/>
  <c r="I1608"/>
  <c r="G1608"/>
  <c r="F1608"/>
  <c r="E1608"/>
  <c r="I1603"/>
  <c r="G1603"/>
  <c r="F1603"/>
  <c r="E1603"/>
  <c r="I1643"/>
  <c r="G1643"/>
  <c r="F1643"/>
  <c r="E1643"/>
  <c r="I1623"/>
  <c r="G1623"/>
  <c r="F1623"/>
  <c r="E1623"/>
  <c r="I1607"/>
  <c r="G1607"/>
  <c r="F1607"/>
  <c r="E1607"/>
  <c r="I1626"/>
  <c r="G1626"/>
  <c r="F1626"/>
  <c r="E1626"/>
  <c r="I1629"/>
  <c r="G1629"/>
  <c r="F1629"/>
  <c r="E1629"/>
  <c r="I1610"/>
  <c r="G1610"/>
  <c r="F1610"/>
  <c r="E1610"/>
  <c r="I1606"/>
  <c r="G1606"/>
  <c r="F1606"/>
  <c r="E1606"/>
  <c r="I1604"/>
  <c r="G1604"/>
  <c r="F1604"/>
  <c r="E1604"/>
  <c r="I1605"/>
  <c r="G1605"/>
  <c r="F1605"/>
  <c r="E1605"/>
  <c r="I1642"/>
  <c r="G1642"/>
  <c r="F1642"/>
  <c r="E1642"/>
  <c r="I1641"/>
  <c r="G1641"/>
  <c r="F1641"/>
  <c r="E1641"/>
  <c r="I1636"/>
  <c r="G1636"/>
  <c r="F1636"/>
  <c r="E1636"/>
  <c r="I1635"/>
  <c r="G1635"/>
  <c r="F1635"/>
  <c r="E1635"/>
  <c r="I1614"/>
  <c r="G1614"/>
  <c r="F1614"/>
  <c r="E1614"/>
  <c r="I1613"/>
  <c r="G1613"/>
  <c r="F1613"/>
  <c r="E1613"/>
  <c r="I1640"/>
  <c r="G1640"/>
  <c r="E1640"/>
  <c r="I2547"/>
  <c r="G2547"/>
  <c r="F2547"/>
  <c r="E2547"/>
  <c r="I2546"/>
  <c r="G2546"/>
  <c r="F2546"/>
  <c r="E2546"/>
  <c r="I2545"/>
  <c r="G2545"/>
  <c r="F2545"/>
  <c r="E2545"/>
  <c r="I2544"/>
  <c r="G2544"/>
  <c r="F2544"/>
  <c r="E2544"/>
  <c r="I2543"/>
  <c r="G2543"/>
  <c r="F2543"/>
  <c r="E2543"/>
  <c r="I2542"/>
  <c r="G2542"/>
  <c r="F2542"/>
  <c r="E2542"/>
  <c r="I2541"/>
  <c r="G2541"/>
  <c r="F2541"/>
  <c r="E2541"/>
  <c r="I2540"/>
  <c r="G2540"/>
  <c r="F2540"/>
  <c r="E2540"/>
  <c r="I2462"/>
  <c r="G2462"/>
  <c r="F2462"/>
  <c r="E2462"/>
  <c r="I2466"/>
  <c r="G2466"/>
  <c r="F2466"/>
  <c r="E2466"/>
  <c r="I2465"/>
  <c r="G2465"/>
  <c r="F2465"/>
  <c r="E2465"/>
  <c r="I2468"/>
  <c r="G2468"/>
  <c r="F2468"/>
  <c r="E2468"/>
  <c r="I2507"/>
  <c r="G2507"/>
  <c r="F2507"/>
  <c r="E2507"/>
  <c r="I2506"/>
  <c r="G2506"/>
  <c r="F2506"/>
  <c r="E2506"/>
  <c r="I2467"/>
  <c r="G2467"/>
  <c r="F2467"/>
  <c r="E2467"/>
  <c r="I2464"/>
  <c r="G2464"/>
  <c r="F2464"/>
  <c r="E2464"/>
  <c r="I2463"/>
  <c r="G2463"/>
  <c r="F2463"/>
  <c r="E2463"/>
  <c r="I2470"/>
  <c r="G2470"/>
  <c r="F2470"/>
  <c r="E2470"/>
  <c r="I2491"/>
  <c r="G2491"/>
  <c r="F2491"/>
  <c r="E2491"/>
  <c r="I2494"/>
  <c r="G2494"/>
  <c r="F2494"/>
  <c r="E2494"/>
  <c r="I2505"/>
  <c r="G2505"/>
  <c r="F2505"/>
  <c r="E2505"/>
  <c r="I2535"/>
  <c r="G2535"/>
  <c r="F2535"/>
  <c r="E2535"/>
  <c r="I2534"/>
  <c r="G2534"/>
  <c r="F2534"/>
  <c r="E2534"/>
  <c r="I2533"/>
  <c r="G2533"/>
  <c r="F2533"/>
  <c r="E2533"/>
  <c r="I2521"/>
  <c r="G2521"/>
  <c r="F2521"/>
  <c r="E2521"/>
  <c r="I2520"/>
  <c r="G2520"/>
  <c r="F2520"/>
  <c r="E2520"/>
  <c r="I2481"/>
  <c r="G2481"/>
  <c r="F2481"/>
  <c r="E2481"/>
  <c r="I2519"/>
  <c r="G2519"/>
  <c r="F2519"/>
  <c r="E2519"/>
  <c r="I2482"/>
  <c r="G2482"/>
  <c r="F2482"/>
  <c r="E2482"/>
  <c r="I2478"/>
  <c r="G2478"/>
  <c r="F2478"/>
  <c r="E2478"/>
  <c r="I2483"/>
  <c r="G2483"/>
  <c r="F2483"/>
  <c r="E2483"/>
  <c r="I2480"/>
  <c r="G2480"/>
  <c r="F2480"/>
  <c r="E2480"/>
  <c r="I2479"/>
  <c r="G2479"/>
  <c r="F2479"/>
  <c r="E2479"/>
  <c r="I2501"/>
  <c r="G2501"/>
  <c r="F2501"/>
  <c r="E2501"/>
  <c r="I2500"/>
  <c r="G2500"/>
  <c r="F2500"/>
  <c r="E2500"/>
  <c r="I2499"/>
  <c r="G2499"/>
  <c r="F2499"/>
  <c r="E2499"/>
  <c r="I2539"/>
  <c r="G2539"/>
  <c r="F2539"/>
  <c r="E2539"/>
  <c r="I2538"/>
  <c r="G2538"/>
  <c r="F2538"/>
  <c r="E2538"/>
  <c r="I2537"/>
  <c r="G2537"/>
  <c r="F2537"/>
  <c r="E2537"/>
  <c r="I2512"/>
  <c r="G2512"/>
  <c r="F2512"/>
  <c r="E2512"/>
  <c r="I2511"/>
  <c r="G2511"/>
  <c r="F2511"/>
  <c r="E2511"/>
  <c r="I2510"/>
  <c r="G2510"/>
  <c r="F2510"/>
  <c r="E2510"/>
  <c r="I2493"/>
  <c r="G2493"/>
  <c r="F2493"/>
  <c r="E2493"/>
  <c r="I2492"/>
  <c r="G2492"/>
  <c r="F2492"/>
  <c r="E2492"/>
  <c r="I2471"/>
  <c r="G2471"/>
  <c r="F2471"/>
  <c r="E2471"/>
  <c r="I2509"/>
  <c r="G2509"/>
  <c r="F2509"/>
  <c r="E2509"/>
  <c r="I2508"/>
  <c r="G2508"/>
  <c r="F2508"/>
  <c r="E2508"/>
  <c r="I2497"/>
  <c r="G2497"/>
  <c r="F2497"/>
  <c r="E2497"/>
  <c r="I2496"/>
  <c r="G2496"/>
  <c r="F2496"/>
  <c r="E2496"/>
  <c r="I2495"/>
  <c r="G2495"/>
  <c r="F2495"/>
  <c r="E2495"/>
  <c r="I2515"/>
  <c r="G2515"/>
  <c r="F2515"/>
  <c r="E2515"/>
  <c r="I2514"/>
  <c r="G2514"/>
  <c r="F2514"/>
  <c r="E2514"/>
  <c r="I2513"/>
  <c r="G2513"/>
  <c r="F2513"/>
  <c r="E2513"/>
  <c r="I2536"/>
  <c r="G2536"/>
  <c r="F2536"/>
  <c r="E2536"/>
  <c r="I2532"/>
  <c r="G2532"/>
  <c r="F2532"/>
  <c r="E2532"/>
  <c r="I2531"/>
  <c r="G2531"/>
  <c r="F2531"/>
  <c r="E2531"/>
  <c r="I2530"/>
  <c r="G2530"/>
  <c r="F2530"/>
  <c r="E2530"/>
  <c r="I2529"/>
  <c r="G2529"/>
  <c r="F2529"/>
  <c r="E2529"/>
  <c r="I2525"/>
  <c r="G2525"/>
  <c r="F2525"/>
  <c r="E2525"/>
  <c r="I2524"/>
  <c r="G2524"/>
  <c r="F2524"/>
  <c r="E2524"/>
  <c r="I2523"/>
  <c r="G2523"/>
  <c r="F2523"/>
  <c r="E2523"/>
  <c r="I2522"/>
  <c r="G2522"/>
  <c r="F2522"/>
  <c r="E2522"/>
  <c r="I2504"/>
  <c r="G2504"/>
  <c r="F2504"/>
  <c r="E2504"/>
  <c r="I2503"/>
  <c r="G2503"/>
  <c r="F2503"/>
  <c r="E2503"/>
  <c r="I2502"/>
  <c r="G2502"/>
  <c r="F2502"/>
  <c r="E2502"/>
  <c r="I2528"/>
  <c r="G2528"/>
  <c r="F2528"/>
  <c r="E2528"/>
  <c r="I2527"/>
  <c r="G2527"/>
  <c r="F2527"/>
  <c r="E2527"/>
  <c r="I2488"/>
  <c r="G2488"/>
  <c r="F2488"/>
  <c r="E2488"/>
  <c r="I2485"/>
  <c r="G2485"/>
  <c r="F2485"/>
  <c r="E2485"/>
  <c r="I2526"/>
  <c r="G2526"/>
  <c r="F2526"/>
  <c r="E2526"/>
  <c r="I2477"/>
  <c r="G2477"/>
  <c r="F2477"/>
  <c r="E2477"/>
  <c r="I2518"/>
  <c r="G2518"/>
  <c r="F2518"/>
  <c r="E2518"/>
  <c r="I2474"/>
  <c r="G2474"/>
  <c r="F2474"/>
  <c r="E2474"/>
  <c r="I2472"/>
  <c r="G2472"/>
  <c r="F2472"/>
  <c r="E2472"/>
  <c r="I2490"/>
  <c r="G2490"/>
  <c r="F2490"/>
  <c r="E2490"/>
  <c r="I2484"/>
  <c r="G2484"/>
  <c r="F2484"/>
  <c r="E2484"/>
  <c r="I2487"/>
  <c r="G2487"/>
  <c r="F2487"/>
  <c r="E2487"/>
  <c r="I2486"/>
  <c r="G2486"/>
  <c r="F2486"/>
  <c r="E2486"/>
  <c r="I2517"/>
  <c r="G2517"/>
  <c r="F2517"/>
  <c r="E2517"/>
  <c r="I2473"/>
  <c r="G2473"/>
  <c r="F2473"/>
  <c r="E2473"/>
  <c r="I2516"/>
  <c r="G2516"/>
  <c r="F2516"/>
  <c r="E2516"/>
  <c r="I2469"/>
  <c r="G2469"/>
  <c r="F2469"/>
  <c r="E2469"/>
  <c r="I2498"/>
  <c r="G2498"/>
  <c r="F2498"/>
  <c r="E2498"/>
  <c r="I2476"/>
  <c r="G2476"/>
  <c r="F2476"/>
  <c r="E2476"/>
  <c r="I2475"/>
  <c r="G2475"/>
  <c r="F2475"/>
  <c r="E2475"/>
  <c r="I2489"/>
  <c r="G2489"/>
  <c r="F2489"/>
  <c r="E2489"/>
  <c r="I2265"/>
  <c r="G2265"/>
  <c r="E2265"/>
  <c r="I2264"/>
  <c r="G2264"/>
  <c r="F2264"/>
  <c r="E2264"/>
  <c r="I2263"/>
  <c r="G2263"/>
  <c r="F2263"/>
  <c r="E2263"/>
  <c r="I2262"/>
  <c r="G2262"/>
  <c r="F2262"/>
  <c r="E2262"/>
  <c r="I2261"/>
  <c r="G2261"/>
  <c r="F2261"/>
  <c r="E2261"/>
  <c r="I2260"/>
  <c r="G2260"/>
  <c r="F2260"/>
  <c r="E2260"/>
  <c r="I2259"/>
  <c r="G2259"/>
  <c r="E2259"/>
  <c r="I2258"/>
  <c r="G2258"/>
  <c r="E2258"/>
  <c r="I2257"/>
  <c r="G2257"/>
  <c r="E2257"/>
  <c r="I2255"/>
  <c r="G2255"/>
  <c r="E2255"/>
  <c r="I2254"/>
  <c r="G2254"/>
  <c r="E2254"/>
  <c r="I2253"/>
  <c r="G2253"/>
  <c r="E2253"/>
  <c r="I2252"/>
  <c r="G2252"/>
  <c r="E2252"/>
  <c r="I2251"/>
  <c r="G2251"/>
  <c r="F2251"/>
  <c r="E2251"/>
  <c r="I2256"/>
  <c r="G2256"/>
  <c r="E2256"/>
  <c r="I2456"/>
  <c r="G2456"/>
  <c r="F2456"/>
  <c r="E2456"/>
  <c r="I2455"/>
  <c r="G2455"/>
  <c r="F2455"/>
  <c r="E2455"/>
  <c r="I2454"/>
  <c r="G2454"/>
  <c r="F2454"/>
  <c r="E2454"/>
  <c r="I2453"/>
  <c r="G2453"/>
  <c r="F2453"/>
  <c r="E2453"/>
  <c r="I2452"/>
  <c r="G2452"/>
  <c r="F2452"/>
  <c r="E2452"/>
  <c r="I2451"/>
  <c r="G2451"/>
  <c r="F2451"/>
  <c r="E2451"/>
  <c r="I2450"/>
  <c r="G2450"/>
  <c r="F2450"/>
  <c r="E2450"/>
  <c r="I2337"/>
  <c r="G2337"/>
  <c r="F2337"/>
  <c r="E2337"/>
  <c r="I2449"/>
  <c r="G2449"/>
  <c r="F2449"/>
  <c r="E2449"/>
  <c r="I2288"/>
  <c r="G2288"/>
  <c r="F2288"/>
  <c r="E2288"/>
  <c r="I2326"/>
  <c r="G2326"/>
  <c r="F2326"/>
  <c r="E2326"/>
  <c r="I2268"/>
  <c r="G2268"/>
  <c r="F2268"/>
  <c r="E2268"/>
  <c r="I2279"/>
  <c r="G2279"/>
  <c r="F2279"/>
  <c r="E2279"/>
  <c r="I2325"/>
  <c r="G2325"/>
  <c r="F2325"/>
  <c r="E2325"/>
  <c r="I2278"/>
  <c r="G2278"/>
  <c r="F2278"/>
  <c r="E2278"/>
  <c r="I2315"/>
  <c r="G2315"/>
  <c r="F2315"/>
  <c r="E2315"/>
  <c r="I2324"/>
  <c r="G2324"/>
  <c r="F2324"/>
  <c r="E2324"/>
  <c r="I2426"/>
  <c r="G2426"/>
  <c r="F2426"/>
  <c r="E2426"/>
  <c r="I2425"/>
  <c r="G2425"/>
  <c r="F2425"/>
  <c r="E2425"/>
  <c r="I2418"/>
  <c r="G2418"/>
  <c r="F2418"/>
  <c r="E2418"/>
  <c r="I2431"/>
  <c r="G2431"/>
  <c r="F2431"/>
  <c r="E2431"/>
  <c r="I2446"/>
  <c r="G2446"/>
  <c r="F2446"/>
  <c r="E2446"/>
  <c r="I2445"/>
  <c r="G2445"/>
  <c r="F2445"/>
  <c r="E2445"/>
  <c r="I2430"/>
  <c r="G2430"/>
  <c r="F2430"/>
  <c r="E2430"/>
  <c r="I2429"/>
  <c r="G2429"/>
  <c r="F2429"/>
  <c r="E2429"/>
  <c r="I2428"/>
  <c r="G2428"/>
  <c r="F2428"/>
  <c r="E2428"/>
  <c r="I2427"/>
  <c r="G2427"/>
  <c r="F2427"/>
  <c r="E2427"/>
  <c r="I2413"/>
  <c r="G2413"/>
  <c r="F2413"/>
  <c r="E2413"/>
  <c r="I2412"/>
  <c r="G2412"/>
  <c r="F2412"/>
  <c r="E2412"/>
  <c r="I2411"/>
  <c r="G2411"/>
  <c r="F2411"/>
  <c r="E2411"/>
  <c r="I2314"/>
  <c r="G2314"/>
  <c r="F2314"/>
  <c r="E2314"/>
  <c r="I2409"/>
  <c r="G2409"/>
  <c r="F2409"/>
  <c r="E2409"/>
  <c r="I2410"/>
  <c r="G2410"/>
  <c r="F2410"/>
  <c r="E2410"/>
  <c r="I2290"/>
  <c r="G2290"/>
  <c r="F2290"/>
  <c r="E2290"/>
  <c r="I2294"/>
  <c r="G2294"/>
  <c r="F2294"/>
  <c r="E2294"/>
  <c r="I2282"/>
  <c r="G2282"/>
  <c r="F2282"/>
  <c r="E2282"/>
  <c r="I2297"/>
  <c r="G2297"/>
  <c r="F2297"/>
  <c r="E2297"/>
  <c r="I2307"/>
  <c r="G2307"/>
  <c r="F2307"/>
  <c r="E2307"/>
  <c r="I2408"/>
  <c r="G2408"/>
  <c r="F2408"/>
  <c r="E2408"/>
  <c r="I2424"/>
  <c r="G2424"/>
  <c r="F2424"/>
  <c r="E2424"/>
  <c r="I2423"/>
  <c r="G2423"/>
  <c r="F2423"/>
  <c r="E2423"/>
  <c r="I2422"/>
  <c r="G2422"/>
  <c r="F2422"/>
  <c r="E2422"/>
  <c r="I2421"/>
  <c r="G2421"/>
  <c r="F2421"/>
  <c r="E2421"/>
  <c r="I2420"/>
  <c r="G2420"/>
  <c r="F2420"/>
  <c r="E2420"/>
  <c r="I2419"/>
  <c r="G2419"/>
  <c r="F2419"/>
  <c r="E2419"/>
  <c r="I2402"/>
  <c r="G2402"/>
  <c r="F2402"/>
  <c r="E2402"/>
  <c r="I2401"/>
  <c r="G2401"/>
  <c r="F2401"/>
  <c r="E2401"/>
  <c r="I2400"/>
  <c r="G2400"/>
  <c r="F2400"/>
  <c r="E2400"/>
  <c r="I2399"/>
  <c r="G2399"/>
  <c r="F2399"/>
  <c r="E2399"/>
  <c r="I2398"/>
  <c r="G2398"/>
  <c r="F2398"/>
  <c r="E2398"/>
  <c r="I2397"/>
  <c r="G2397"/>
  <c r="F2397"/>
  <c r="E2397"/>
  <c r="I2396"/>
  <c r="G2396"/>
  <c r="F2396"/>
  <c r="E2396"/>
  <c r="I2417"/>
  <c r="G2417"/>
  <c r="F2417"/>
  <c r="E2417"/>
  <c r="I2407"/>
  <c r="G2407"/>
  <c r="F2407"/>
  <c r="E2407"/>
  <c r="I2406"/>
  <c r="G2406"/>
  <c r="F2406"/>
  <c r="E2406"/>
  <c r="I2281"/>
  <c r="G2281"/>
  <c r="F2281"/>
  <c r="E2281"/>
  <c r="I2306"/>
  <c r="G2306"/>
  <c r="F2306"/>
  <c r="E2306"/>
  <c r="I2308"/>
  <c r="G2308"/>
  <c r="F2308"/>
  <c r="E2308"/>
  <c r="I2435"/>
  <c r="G2435"/>
  <c r="F2435"/>
  <c r="E2435"/>
  <c r="I2434"/>
  <c r="G2434"/>
  <c r="F2434"/>
  <c r="E2434"/>
  <c r="I2433"/>
  <c r="G2433"/>
  <c r="F2433"/>
  <c r="E2433"/>
  <c r="I2432"/>
  <c r="G2432"/>
  <c r="F2432"/>
  <c r="E2432"/>
  <c r="I2439"/>
  <c r="G2439"/>
  <c r="F2439"/>
  <c r="E2439"/>
  <c r="I2390"/>
  <c r="G2390"/>
  <c r="F2390"/>
  <c r="E2390"/>
  <c r="I2389"/>
  <c r="G2389"/>
  <c r="F2389"/>
  <c r="E2389"/>
  <c r="I2384"/>
  <c r="G2384"/>
  <c r="F2384"/>
  <c r="E2384"/>
  <c r="I2383"/>
  <c r="G2383"/>
  <c r="F2383"/>
  <c r="E2383"/>
  <c r="I2382"/>
  <c r="G2382"/>
  <c r="F2382"/>
  <c r="E2382"/>
  <c r="I2381"/>
  <c r="G2381"/>
  <c r="F2381"/>
  <c r="E2381"/>
  <c r="I2380"/>
  <c r="G2380"/>
  <c r="F2380"/>
  <c r="E2380"/>
  <c r="I2379"/>
  <c r="G2379"/>
  <c r="F2379"/>
  <c r="E2379"/>
  <c r="I2310"/>
  <c r="G2310"/>
  <c r="F2310"/>
  <c r="E2310"/>
  <c r="I2311"/>
  <c r="G2311"/>
  <c r="F2311"/>
  <c r="E2311"/>
  <c r="I2284"/>
  <c r="G2284"/>
  <c r="F2284"/>
  <c r="E2284"/>
  <c r="I2319"/>
  <c r="G2319"/>
  <c r="F2319"/>
  <c r="E2319"/>
  <c r="I2339"/>
  <c r="G2339"/>
  <c r="F2339"/>
  <c r="E2339"/>
  <c r="I2342"/>
  <c r="G2342"/>
  <c r="F2342"/>
  <c r="E2342"/>
  <c r="I2320"/>
  <c r="G2320"/>
  <c r="F2320"/>
  <c r="E2320"/>
  <c r="I2322"/>
  <c r="G2322"/>
  <c r="F2322"/>
  <c r="E2322"/>
  <c r="I2287"/>
  <c r="G2287"/>
  <c r="F2287"/>
  <c r="E2287"/>
  <c r="I2359"/>
  <c r="G2359"/>
  <c r="F2359"/>
  <c r="E2359"/>
  <c r="I2285"/>
  <c r="G2285"/>
  <c r="F2285"/>
  <c r="E2285"/>
  <c r="I2286"/>
  <c r="G2286"/>
  <c r="F2286"/>
  <c r="E2286"/>
  <c r="I2295"/>
  <c r="G2295"/>
  <c r="F2295"/>
  <c r="E2295"/>
  <c r="I2360"/>
  <c r="G2360"/>
  <c r="F2360"/>
  <c r="E2360"/>
  <c r="I2363"/>
  <c r="G2363"/>
  <c r="F2363"/>
  <c r="E2363"/>
  <c r="I2309"/>
  <c r="G2309"/>
  <c r="F2309"/>
  <c r="E2309"/>
  <c r="I2333"/>
  <c r="G2333"/>
  <c r="F2333"/>
  <c r="E2333"/>
  <c r="I2353"/>
  <c r="G2353"/>
  <c r="F2353"/>
  <c r="E2353"/>
  <c r="I2317"/>
  <c r="G2317"/>
  <c r="F2317"/>
  <c r="E2317"/>
  <c r="I2444"/>
  <c r="G2444"/>
  <c r="F2444"/>
  <c r="E2444"/>
  <c r="I2327"/>
  <c r="G2327"/>
  <c r="F2327"/>
  <c r="E2327"/>
  <c r="I2318"/>
  <c r="G2318"/>
  <c r="F2318"/>
  <c r="E2318"/>
  <c r="I2316"/>
  <c r="G2316"/>
  <c r="F2316"/>
  <c r="E2316"/>
  <c r="I2301"/>
  <c r="G2301"/>
  <c r="F2301"/>
  <c r="E2301"/>
  <c r="I2348"/>
  <c r="G2348"/>
  <c r="F2348"/>
  <c r="E2348"/>
  <c r="I2300"/>
  <c r="G2300"/>
  <c r="F2300"/>
  <c r="E2300"/>
  <c r="I2357"/>
  <c r="G2357"/>
  <c r="F2357"/>
  <c r="E2357"/>
  <c r="I2330"/>
  <c r="G2330"/>
  <c r="F2330"/>
  <c r="E2330"/>
  <c r="I2304"/>
  <c r="G2304"/>
  <c r="F2304"/>
  <c r="E2304"/>
  <c r="I2416"/>
  <c r="G2416"/>
  <c r="F2416"/>
  <c r="E2416"/>
  <c r="I2415"/>
  <c r="G2415"/>
  <c r="F2415"/>
  <c r="E2415"/>
  <c r="I2414"/>
  <c r="G2414"/>
  <c r="F2414"/>
  <c r="E2414"/>
  <c r="I2273"/>
  <c r="G2273"/>
  <c r="F2273"/>
  <c r="E2273"/>
  <c r="I2274"/>
  <c r="G2274"/>
  <c r="F2274"/>
  <c r="E2274"/>
  <c r="I2272"/>
  <c r="G2272"/>
  <c r="F2272"/>
  <c r="E2272"/>
  <c r="I2405"/>
  <c r="G2405"/>
  <c r="F2405"/>
  <c r="E2405"/>
  <c r="I2404"/>
  <c r="G2404"/>
  <c r="F2404"/>
  <c r="E2404"/>
  <c r="I2403"/>
  <c r="G2403"/>
  <c r="F2403"/>
  <c r="E2403"/>
  <c r="I2385"/>
  <c r="G2385"/>
  <c r="F2385"/>
  <c r="E2385"/>
  <c r="I2270"/>
  <c r="G2270"/>
  <c r="F2270"/>
  <c r="E2270"/>
  <c r="I2269"/>
  <c r="G2269"/>
  <c r="F2269"/>
  <c r="E2269"/>
  <c r="I2321"/>
  <c r="G2321"/>
  <c r="F2321"/>
  <c r="E2321"/>
  <c r="I2358"/>
  <c r="G2358"/>
  <c r="F2358"/>
  <c r="E2358"/>
  <c r="I2275"/>
  <c r="G2275"/>
  <c r="F2275"/>
  <c r="E2275"/>
  <c r="I2276"/>
  <c r="G2276"/>
  <c r="F2276"/>
  <c r="E2276"/>
  <c r="I2298"/>
  <c r="G2298"/>
  <c r="F2298"/>
  <c r="E2298"/>
  <c r="I2299"/>
  <c r="G2299"/>
  <c r="F2299"/>
  <c r="E2299"/>
  <c r="I2336"/>
  <c r="G2336"/>
  <c r="F2336"/>
  <c r="E2336"/>
  <c r="I2345"/>
  <c r="G2345"/>
  <c r="F2345"/>
  <c r="E2345"/>
  <c r="I2343"/>
  <c r="G2343"/>
  <c r="F2343"/>
  <c r="E2343"/>
  <c r="I2334"/>
  <c r="G2334"/>
  <c r="F2334"/>
  <c r="E2334"/>
  <c r="I2335"/>
  <c r="G2335"/>
  <c r="F2335"/>
  <c r="E2335"/>
  <c r="I2329"/>
  <c r="G2329"/>
  <c r="F2329"/>
  <c r="E2329"/>
  <c r="I2344"/>
  <c r="G2344"/>
  <c r="F2344"/>
  <c r="E2344"/>
  <c r="I2328"/>
  <c r="G2328"/>
  <c r="F2328"/>
  <c r="E2328"/>
  <c r="I2303"/>
  <c r="G2303"/>
  <c r="F2303"/>
  <c r="E2303"/>
  <c r="I2323"/>
  <c r="G2323"/>
  <c r="F2323"/>
  <c r="E2323"/>
  <c r="I2280"/>
  <c r="G2280"/>
  <c r="F2280"/>
  <c r="E2280"/>
  <c r="I2443"/>
  <c r="G2443"/>
  <c r="F2443"/>
  <c r="E2443"/>
  <c r="I2442"/>
  <c r="G2442"/>
  <c r="F2442"/>
  <c r="E2442"/>
  <c r="I2441"/>
  <c r="G2441"/>
  <c r="F2441"/>
  <c r="E2441"/>
  <c r="I2440"/>
  <c r="G2440"/>
  <c r="F2440"/>
  <c r="E2440"/>
  <c r="I2438"/>
  <c r="G2438"/>
  <c r="F2438"/>
  <c r="E2438"/>
  <c r="I2437"/>
  <c r="G2437"/>
  <c r="F2437"/>
  <c r="E2437"/>
  <c r="I2436"/>
  <c r="G2436"/>
  <c r="F2436"/>
  <c r="E2436"/>
  <c r="I2448"/>
  <c r="G2448"/>
  <c r="F2448"/>
  <c r="E2448"/>
  <c r="I2447"/>
  <c r="G2447"/>
  <c r="F2447"/>
  <c r="E2447"/>
  <c r="I2378"/>
  <c r="G2378"/>
  <c r="F2378"/>
  <c r="E2378"/>
  <c r="I2395"/>
  <c r="G2395"/>
  <c r="F2395"/>
  <c r="E2395"/>
  <c r="I2394"/>
  <c r="G2394"/>
  <c r="F2394"/>
  <c r="E2394"/>
  <c r="I2393"/>
  <c r="G2393"/>
  <c r="F2393"/>
  <c r="E2393"/>
  <c r="I2392"/>
  <c r="G2392"/>
  <c r="F2392"/>
  <c r="E2392"/>
  <c r="I2391"/>
  <c r="G2391"/>
  <c r="F2391"/>
  <c r="E2391"/>
  <c r="I2373"/>
  <c r="G2373"/>
  <c r="F2373"/>
  <c r="E2373"/>
  <c r="I2372"/>
  <c r="G2372"/>
  <c r="F2372"/>
  <c r="E2372"/>
  <c r="I2371"/>
  <c r="G2371"/>
  <c r="F2371"/>
  <c r="E2371"/>
  <c r="I2370"/>
  <c r="G2370"/>
  <c r="F2370"/>
  <c r="E2370"/>
  <c r="I2369"/>
  <c r="G2369"/>
  <c r="F2369"/>
  <c r="E2369"/>
  <c r="I2368"/>
  <c r="G2368"/>
  <c r="F2368"/>
  <c r="E2368"/>
  <c r="I2367"/>
  <c r="G2367"/>
  <c r="F2367"/>
  <c r="E2367"/>
  <c r="I2366"/>
  <c r="G2366"/>
  <c r="F2366"/>
  <c r="E2366"/>
  <c r="I2388"/>
  <c r="G2388"/>
  <c r="F2388"/>
  <c r="E2388"/>
  <c r="I2387"/>
  <c r="G2387"/>
  <c r="F2387"/>
  <c r="E2387"/>
  <c r="I2386"/>
  <c r="G2386"/>
  <c r="F2386"/>
  <c r="E2386"/>
  <c r="I2352"/>
  <c r="G2352"/>
  <c r="F2352"/>
  <c r="E2352"/>
  <c r="I2271"/>
  <c r="G2271"/>
  <c r="F2271"/>
  <c r="E2271"/>
  <c r="I2332"/>
  <c r="G2332"/>
  <c r="F2332"/>
  <c r="E2332"/>
  <c r="I2331"/>
  <c r="G2331"/>
  <c r="F2331"/>
  <c r="E2331"/>
  <c r="I2347"/>
  <c r="G2347"/>
  <c r="F2347"/>
  <c r="E2347"/>
  <c r="I2302"/>
  <c r="G2302"/>
  <c r="F2302"/>
  <c r="E2302"/>
  <c r="I2296"/>
  <c r="G2296"/>
  <c r="F2296"/>
  <c r="E2296"/>
  <c r="I2291"/>
  <c r="G2291"/>
  <c r="F2291"/>
  <c r="E2291"/>
  <c r="I2292"/>
  <c r="G2292"/>
  <c r="F2292"/>
  <c r="E2292"/>
  <c r="I2283"/>
  <c r="G2283"/>
  <c r="F2283"/>
  <c r="E2283"/>
  <c r="I2277"/>
  <c r="G2277"/>
  <c r="F2277"/>
  <c r="E2277"/>
  <c r="I2341"/>
  <c r="G2341"/>
  <c r="F2341"/>
  <c r="E2341"/>
  <c r="I2346"/>
  <c r="G2346"/>
  <c r="F2346"/>
  <c r="E2346"/>
  <c r="I2365"/>
  <c r="G2365"/>
  <c r="F2365"/>
  <c r="E2365"/>
  <c r="I2364"/>
  <c r="G2364"/>
  <c r="F2364"/>
  <c r="E2364"/>
  <c r="I2377"/>
  <c r="G2377"/>
  <c r="F2377"/>
  <c r="E2377"/>
  <c r="I2376"/>
  <c r="G2376"/>
  <c r="F2376"/>
  <c r="E2376"/>
  <c r="I2375"/>
  <c r="G2375"/>
  <c r="F2375"/>
  <c r="E2375"/>
  <c r="I2374"/>
  <c r="G2374"/>
  <c r="F2374"/>
  <c r="E2374"/>
  <c r="I2305"/>
  <c r="G2305"/>
  <c r="F2305"/>
  <c r="E2305"/>
  <c r="I2313"/>
  <c r="G2313"/>
  <c r="F2313"/>
  <c r="E2313"/>
  <c r="I2312"/>
  <c r="G2312"/>
  <c r="F2312"/>
  <c r="E2312"/>
  <c r="I2354"/>
  <c r="G2354"/>
  <c r="F2354"/>
  <c r="E2354"/>
  <c r="I2338"/>
  <c r="G2338"/>
  <c r="F2338"/>
  <c r="E2338"/>
  <c r="I2293"/>
  <c r="G2293"/>
  <c r="F2293"/>
  <c r="E2293"/>
  <c r="I2361"/>
  <c r="G2361"/>
  <c r="F2361"/>
  <c r="E2361"/>
  <c r="I2362"/>
  <c r="G2362"/>
  <c r="F2362"/>
  <c r="E2362"/>
  <c r="I2289"/>
  <c r="G2289"/>
  <c r="F2289"/>
  <c r="E2289"/>
  <c r="I2349"/>
  <c r="G2349"/>
  <c r="F2349"/>
  <c r="E2349"/>
  <c r="I2340"/>
  <c r="G2340"/>
  <c r="F2340"/>
  <c r="E2340"/>
  <c r="I2351"/>
  <c r="G2351"/>
  <c r="F2351"/>
  <c r="E2351"/>
  <c r="I2350"/>
  <c r="G2350"/>
  <c r="F2350"/>
  <c r="E2350"/>
  <c r="I2266"/>
  <c r="G2266"/>
  <c r="F2266"/>
  <c r="E2266"/>
  <c r="I2267"/>
  <c r="G2267"/>
  <c r="F2267"/>
  <c r="E2267"/>
  <c r="I2355"/>
  <c r="G2355"/>
  <c r="F2355"/>
  <c r="E2355"/>
  <c r="I2356"/>
  <c r="G2356"/>
  <c r="F2356"/>
  <c r="E2356"/>
  <c r="I2457"/>
  <c r="G2457"/>
  <c r="F2457"/>
  <c r="E2457"/>
  <c r="I2239"/>
  <c r="G2239"/>
  <c r="F2239"/>
  <c r="E2239"/>
  <c r="I2238"/>
  <c r="G2238"/>
  <c r="E2238"/>
  <c r="I1938"/>
  <c r="G1938"/>
  <c r="E1938"/>
  <c r="I1927"/>
  <c r="G1927"/>
  <c r="F1927"/>
  <c r="E1927"/>
  <c r="I1926"/>
  <c r="G1926"/>
  <c r="E1926"/>
  <c r="I1928"/>
  <c r="G1928"/>
  <c r="F1928"/>
  <c r="E1928"/>
  <c r="I1924"/>
  <c r="G1924"/>
  <c r="F1924"/>
  <c r="E1924"/>
  <c r="I1925"/>
  <c r="G1925"/>
  <c r="F1925"/>
  <c r="E1925"/>
  <c r="I1950"/>
  <c r="G1950"/>
  <c r="F1950"/>
  <c r="E1950"/>
  <c r="I1949"/>
  <c r="G1949"/>
  <c r="F1949"/>
  <c r="E1949"/>
  <c r="I1945"/>
  <c r="G1945"/>
  <c r="F1945"/>
  <c r="E1945"/>
  <c r="I1948"/>
  <c r="G1948"/>
  <c r="F1948"/>
  <c r="E1948"/>
  <c r="I1947"/>
  <c r="G1947"/>
  <c r="F1947"/>
  <c r="E1947"/>
  <c r="I1946"/>
  <c r="G1946"/>
  <c r="F1946"/>
  <c r="E1946"/>
  <c r="I1952"/>
  <c r="G1952"/>
  <c r="F1952"/>
  <c r="E1952"/>
  <c r="I1951"/>
  <c r="G1951"/>
  <c r="F1951"/>
  <c r="E1951"/>
  <c r="I1943"/>
  <c r="G1943"/>
  <c r="F1943"/>
  <c r="E1943"/>
  <c r="I1942"/>
  <c r="G1942"/>
  <c r="F1942"/>
  <c r="E1942"/>
  <c r="I1941"/>
  <c r="G1941"/>
  <c r="F1941"/>
  <c r="E1941"/>
  <c r="I1940"/>
  <c r="G1940"/>
  <c r="F1940"/>
  <c r="E1940"/>
  <c r="I1939"/>
  <c r="G1939"/>
  <c r="F1939"/>
  <c r="E1939"/>
  <c r="I1944"/>
  <c r="G1944"/>
  <c r="E1944"/>
  <c r="I2132"/>
  <c r="G2132"/>
  <c r="F2132"/>
  <c r="E2132"/>
  <c r="I2134"/>
  <c r="G2134"/>
  <c r="F2134"/>
  <c r="E2134"/>
  <c r="I2140"/>
  <c r="G2140"/>
  <c r="F2140"/>
  <c r="E2140"/>
  <c r="I2135"/>
  <c r="G2135"/>
  <c r="F2135"/>
  <c r="E2135"/>
  <c r="I2139"/>
  <c r="G2139"/>
  <c r="F2139"/>
  <c r="E2139"/>
  <c r="I2131"/>
  <c r="G2131"/>
  <c r="F2131"/>
  <c r="E2131"/>
  <c r="I2138"/>
  <c r="G2138"/>
  <c r="F2138"/>
  <c r="E2138"/>
  <c r="I2130"/>
  <c r="G2130"/>
  <c r="F2130"/>
  <c r="E2130"/>
  <c r="I2129"/>
  <c r="G2129"/>
  <c r="F2129"/>
  <c r="E2129"/>
  <c r="I2133"/>
  <c r="G2133"/>
  <c r="F2133"/>
  <c r="E2133"/>
  <c r="I2137"/>
  <c r="G2137"/>
  <c r="F2137"/>
  <c r="E2137"/>
  <c r="I2128"/>
  <c r="G2128"/>
  <c r="F2128"/>
  <c r="E2128"/>
  <c r="I2136"/>
  <c r="G2136"/>
  <c r="F2136"/>
  <c r="E2136"/>
  <c r="I2029"/>
  <c r="G2029"/>
  <c r="F2029"/>
  <c r="E2029"/>
  <c r="I1954"/>
  <c r="G1954"/>
  <c r="F1954"/>
  <c r="E1954"/>
  <c r="I1956"/>
  <c r="G1956"/>
  <c r="F1956"/>
  <c r="E1956"/>
  <c r="I1955"/>
  <c r="G1955"/>
  <c r="F1955"/>
  <c r="E1955"/>
  <c r="I1959"/>
  <c r="G1959"/>
  <c r="F1959"/>
  <c r="E1959"/>
  <c r="I2025"/>
  <c r="G2025"/>
  <c r="F2025"/>
  <c r="E2025"/>
  <c r="I2016"/>
  <c r="G2016"/>
  <c r="F2016"/>
  <c r="E2016"/>
  <c r="I2015"/>
  <c r="G2015"/>
  <c r="F2015"/>
  <c r="E2015"/>
  <c r="I2014"/>
  <c r="G2014"/>
  <c r="F2014"/>
  <c r="E2014"/>
  <c r="I2009"/>
  <c r="G2009"/>
  <c r="F2009"/>
  <c r="E2009"/>
  <c r="I2008"/>
  <c r="G2008"/>
  <c r="F2008"/>
  <c r="E2008"/>
  <c r="I1996"/>
  <c r="G1996"/>
  <c r="F1996"/>
  <c r="E1996"/>
  <c r="I1995"/>
  <c r="G1995"/>
  <c r="F1995"/>
  <c r="E1995"/>
  <c r="I2028"/>
  <c r="G2028"/>
  <c r="F2028"/>
  <c r="E2028"/>
  <c r="I2027"/>
  <c r="G2027"/>
  <c r="F2027"/>
  <c r="E2027"/>
  <c r="I2026"/>
  <c r="G2026"/>
  <c r="F2026"/>
  <c r="E2026"/>
  <c r="I1991"/>
  <c r="G1991"/>
  <c r="F1991"/>
  <c r="E1991"/>
  <c r="I1990"/>
  <c r="G1990"/>
  <c r="F1990"/>
  <c r="E1990"/>
  <c r="I1980"/>
  <c r="G1980"/>
  <c r="F1980"/>
  <c r="E1980"/>
  <c r="I1979"/>
  <c r="G1979"/>
  <c r="F1979"/>
  <c r="E1979"/>
  <c r="I2000"/>
  <c r="G2000"/>
  <c r="F2000"/>
  <c r="E2000"/>
  <c r="I1976"/>
  <c r="G1976"/>
  <c r="F1976"/>
  <c r="E1976"/>
  <c r="I1975"/>
  <c r="G1975"/>
  <c r="F1975"/>
  <c r="E1975"/>
  <c r="I1999"/>
  <c r="G1999"/>
  <c r="F1999"/>
  <c r="E1999"/>
  <c r="I1998"/>
  <c r="G1998"/>
  <c r="F1998"/>
  <c r="E1998"/>
  <c r="I1983"/>
  <c r="G1983"/>
  <c r="F1983"/>
  <c r="E1983"/>
  <c r="I1982"/>
  <c r="G1982"/>
  <c r="F1982"/>
  <c r="E1982"/>
  <c r="I1981"/>
  <c r="G1981"/>
  <c r="F1981"/>
  <c r="E1981"/>
  <c r="I1969"/>
  <c r="G1969"/>
  <c r="F1969"/>
  <c r="E1969"/>
  <c r="I1968"/>
  <c r="G1968"/>
  <c r="F1968"/>
  <c r="E1968"/>
  <c r="I2011"/>
  <c r="G2011"/>
  <c r="F2011"/>
  <c r="E2011"/>
  <c r="I2010"/>
  <c r="G2010"/>
  <c r="F2010"/>
  <c r="E2010"/>
  <c r="I2020"/>
  <c r="G2020"/>
  <c r="F2020"/>
  <c r="E2020"/>
  <c r="I2019"/>
  <c r="G2019"/>
  <c r="F2019"/>
  <c r="E2019"/>
  <c r="I1985"/>
  <c r="G1985"/>
  <c r="F1985"/>
  <c r="E1985"/>
  <c r="I1984"/>
  <c r="G1984"/>
  <c r="F1984"/>
  <c r="E1984"/>
  <c r="I1972"/>
  <c r="G1972"/>
  <c r="F1972"/>
  <c r="E1972"/>
  <c r="I1971"/>
  <c r="G1971"/>
  <c r="F1971"/>
  <c r="E1971"/>
  <c r="I1970"/>
  <c r="G1970"/>
  <c r="F1970"/>
  <c r="E1970"/>
  <c r="I2013"/>
  <c r="G2013"/>
  <c r="F2013"/>
  <c r="E2013"/>
  <c r="I2012"/>
  <c r="G2012"/>
  <c r="F2012"/>
  <c r="E2012"/>
  <c r="I1967"/>
  <c r="G1967"/>
  <c r="F1967"/>
  <c r="E1967"/>
  <c r="I1966"/>
  <c r="G1966"/>
  <c r="F1966"/>
  <c r="E1966"/>
  <c r="I1987"/>
  <c r="G1987"/>
  <c r="F1987"/>
  <c r="E1987"/>
  <c r="I1986"/>
  <c r="G1986"/>
  <c r="F1986"/>
  <c r="E1986"/>
  <c r="I2007"/>
  <c r="G2007"/>
  <c r="F2007"/>
  <c r="E2007"/>
  <c r="I2006"/>
  <c r="G2006"/>
  <c r="F2006"/>
  <c r="E2006"/>
  <c r="I2005"/>
  <c r="G2005"/>
  <c r="F2005"/>
  <c r="E2005"/>
  <c r="I2004"/>
  <c r="G2004"/>
  <c r="F2004"/>
  <c r="E2004"/>
  <c r="I2003"/>
  <c r="G2003"/>
  <c r="F2003"/>
  <c r="E2003"/>
  <c r="I1958"/>
  <c r="G1958"/>
  <c r="F1958"/>
  <c r="E1958"/>
  <c r="I1957"/>
  <c r="G1957"/>
  <c r="F1957"/>
  <c r="E1957"/>
  <c r="I1978"/>
  <c r="G1978"/>
  <c r="F1978"/>
  <c r="E1978"/>
  <c r="I1977"/>
  <c r="G1977"/>
  <c r="F1977"/>
  <c r="E1977"/>
  <c r="I1965"/>
  <c r="G1965"/>
  <c r="F1965"/>
  <c r="E1965"/>
  <c r="I1964"/>
  <c r="G1964"/>
  <c r="F1964"/>
  <c r="E1964"/>
  <c r="I1974"/>
  <c r="G1974"/>
  <c r="F1974"/>
  <c r="E1974"/>
  <c r="I1953"/>
  <c r="G1953"/>
  <c r="F1953"/>
  <c r="E1953"/>
  <c r="I1973"/>
  <c r="G1973"/>
  <c r="F1973"/>
  <c r="E1973"/>
  <c r="I1994"/>
  <c r="G1994"/>
  <c r="F1994"/>
  <c r="E1994"/>
  <c r="I1993"/>
  <c r="G1993"/>
  <c r="F1993"/>
  <c r="E1993"/>
  <c r="I1992"/>
  <c r="G1992"/>
  <c r="F1992"/>
  <c r="E1992"/>
  <c r="I2002"/>
  <c r="G2002"/>
  <c r="F2002"/>
  <c r="E2002"/>
  <c r="I2001"/>
  <c r="G2001"/>
  <c r="F2001"/>
  <c r="E2001"/>
  <c r="I1989"/>
  <c r="G1989"/>
  <c r="F1989"/>
  <c r="E1989"/>
  <c r="I1988"/>
  <c r="G1988"/>
  <c r="F1988"/>
  <c r="E1988"/>
  <c r="I2024"/>
  <c r="G2024"/>
  <c r="F2024"/>
  <c r="E2024"/>
  <c r="I2023"/>
  <c r="G2023"/>
  <c r="F2023"/>
  <c r="E2023"/>
  <c r="I2022"/>
  <c r="G2022"/>
  <c r="F2022"/>
  <c r="E2022"/>
  <c r="I2021"/>
  <c r="G2021"/>
  <c r="F2021"/>
  <c r="E2021"/>
  <c r="I1997"/>
  <c r="G1997"/>
  <c r="F1997"/>
  <c r="E1997"/>
  <c r="I2018"/>
  <c r="G2018"/>
  <c r="F2018"/>
  <c r="E2018"/>
  <c r="I2017"/>
  <c r="G2017"/>
  <c r="F2017"/>
  <c r="E2017"/>
  <c r="I1963"/>
  <c r="G1963"/>
  <c r="F1963"/>
  <c r="E1963"/>
  <c r="I1962"/>
  <c r="G1962"/>
  <c r="F1962"/>
  <c r="E1962"/>
  <c r="I1961"/>
  <c r="G1961"/>
  <c r="F1961"/>
  <c r="E1961"/>
  <c r="I1960"/>
  <c r="G1960"/>
  <c r="F1960"/>
  <c r="E1960"/>
  <c r="I2104"/>
  <c r="G2104"/>
  <c r="F2104"/>
  <c r="E2104"/>
  <c r="I2103"/>
  <c r="G2103"/>
  <c r="F2103"/>
  <c r="E2103"/>
  <c r="I2102"/>
  <c r="G2102"/>
  <c r="F2102"/>
  <c r="E2102"/>
  <c r="I2101"/>
  <c r="G2101"/>
  <c r="F2101"/>
  <c r="E2101"/>
  <c r="I2100"/>
  <c r="G2100"/>
  <c r="F2100"/>
  <c r="E2100"/>
  <c r="I2030"/>
  <c r="G2030"/>
  <c r="F2030"/>
  <c r="E2030"/>
  <c r="I2039"/>
  <c r="G2039"/>
  <c r="F2039"/>
  <c r="E2039"/>
  <c r="I2052"/>
  <c r="G2052"/>
  <c r="F2052"/>
  <c r="E2052"/>
  <c r="I2051"/>
  <c r="G2051"/>
  <c r="F2051"/>
  <c r="E2051"/>
  <c r="I2050"/>
  <c r="G2050"/>
  <c r="F2050"/>
  <c r="E2050"/>
  <c r="I2049"/>
  <c r="G2049"/>
  <c r="F2049"/>
  <c r="E2049"/>
  <c r="I2048"/>
  <c r="G2048"/>
  <c r="F2048"/>
  <c r="E2048"/>
  <c r="I2047"/>
  <c r="G2047"/>
  <c r="F2047"/>
  <c r="E2047"/>
  <c r="I2046"/>
  <c r="G2046"/>
  <c r="F2046"/>
  <c r="E2046"/>
  <c r="I2045"/>
  <c r="G2045"/>
  <c r="F2045"/>
  <c r="E2045"/>
  <c r="I2044"/>
  <c r="G2044"/>
  <c r="F2044"/>
  <c r="E2044"/>
  <c r="I2043"/>
  <c r="G2043"/>
  <c r="F2043"/>
  <c r="E2043"/>
  <c r="I2042"/>
  <c r="G2042"/>
  <c r="F2042"/>
  <c r="E2042"/>
  <c r="I2041"/>
  <c r="G2041"/>
  <c r="F2041"/>
  <c r="E2041"/>
  <c r="I2040"/>
  <c r="G2040"/>
  <c r="F2040"/>
  <c r="E2040"/>
  <c r="I2065"/>
  <c r="G2065"/>
  <c r="F2065"/>
  <c r="E2065"/>
  <c r="I2064"/>
  <c r="G2064"/>
  <c r="F2064"/>
  <c r="E2064"/>
  <c r="I2063"/>
  <c r="G2063"/>
  <c r="F2063"/>
  <c r="E2063"/>
  <c r="I2062"/>
  <c r="G2062"/>
  <c r="F2062"/>
  <c r="E2062"/>
  <c r="I2061"/>
  <c r="G2061"/>
  <c r="F2061"/>
  <c r="E2061"/>
  <c r="I2060"/>
  <c r="G2060"/>
  <c r="F2060"/>
  <c r="E2060"/>
  <c r="I2059"/>
  <c r="G2059"/>
  <c r="F2059"/>
  <c r="E2059"/>
  <c r="I2058"/>
  <c r="G2058"/>
  <c r="F2058"/>
  <c r="E2058"/>
  <c r="I2057"/>
  <c r="G2057"/>
  <c r="F2057"/>
  <c r="E2057"/>
  <c r="I2056"/>
  <c r="G2056"/>
  <c r="F2056"/>
  <c r="E2056"/>
  <c r="I2055"/>
  <c r="G2055"/>
  <c r="F2055"/>
  <c r="E2055"/>
  <c r="I2054"/>
  <c r="G2054"/>
  <c r="F2054"/>
  <c r="E2054"/>
  <c r="I2053"/>
  <c r="G2053"/>
  <c r="F2053"/>
  <c r="E2053"/>
  <c r="I2078"/>
  <c r="G2078"/>
  <c r="F2078"/>
  <c r="E2078"/>
  <c r="I2077"/>
  <c r="G2077"/>
  <c r="F2077"/>
  <c r="E2077"/>
  <c r="I2076"/>
  <c r="G2076"/>
  <c r="F2076"/>
  <c r="E2076"/>
  <c r="I2075"/>
  <c r="G2075"/>
  <c r="F2075"/>
  <c r="E2075"/>
  <c r="I2074"/>
  <c r="G2074"/>
  <c r="F2074"/>
  <c r="E2074"/>
  <c r="I2073"/>
  <c r="G2073"/>
  <c r="F2073"/>
  <c r="E2073"/>
  <c r="I2072"/>
  <c r="G2072"/>
  <c r="F2072"/>
  <c r="E2072"/>
  <c r="I2071"/>
  <c r="G2071"/>
  <c r="F2071"/>
  <c r="E2071"/>
  <c r="I2070"/>
  <c r="G2070"/>
  <c r="F2070"/>
  <c r="E2070"/>
  <c r="I2069"/>
  <c r="G2069"/>
  <c r="F2069"/>
  <c r="E2069"/>
  <c r="I2068"/>
  <c r="G2068"/>
  <c r="F2068"/>
  <c r="E2068"/>
  <c r="I2067"/>
  <c r="G2067"/>
  <c r="F2067"/>
  <c r="E2067"/>
  <c r="I2066"/>
  <c r="G2066"/>
  <c r="F2066"/>
  <c r="E2066"/>
  <c r="I2091"/>
  <c r="G2091"/>
  <c r="F2091"/>
  <c r="E2091"/>
  <c r="I2038"/>
  <c r="G2038"/>
  <c r="F2038"/>
  <c r="E2038"/>
  <c r="I2037"/>
  <c r="G2037"/>
  <c r="F2037"/>
  <c r="E2037"/>
  <c r="I2036"/>
  <c r="G2036"/>
  <c r="F2036"/>
  <c r="E2036"/>
  <c r="I2035"/>
  <c r="G2035"/>
  <c r="F2035"/>
  <c r="E2035"/>
  <c r="I2034"/>
  <c r="G2034"/>
  <c r="F2034"/>
  <c r="E2034"/>
  <c r="I2033"/>
  <c r="G2033"/>
  <c r="F2033"/>
  <c r="E2033"/>
  <c r="I2032"/>
  <c r="G2032"/>
  <c r="F2032"/>
  <c r="E2032"/>
  <c r="I2031"/>
  <c r="G2031"/>
  <c r="F2031"/>
  <c r="E2031"/>
  <c r="I2090"/>
  <c r="G2090"/>
  <c r="F2090"/>
  <c r="E2090"/>
  <c r="I2089"/>
  <c r="G2089"/>
  <c r="F2089"/>
  <c r="E2089"/>
  <c r="I2088"/>
  <c r="G2088"/>
  <c r="F2088"/>
  <c r="E2088"/>
  <c r="I2087"/>
  <c r="G2087"/>
  <c r="F2087"/>
  <c r="E2087"/>
  <c r="I2086"/>
  <c r="G2086"/>
  <c r="F2086"/>
  <c r="E2086"/>
  <c r="I2085"/>
  <c r="G2085"/>
  <c r="F2085"/>
  <c r="E2085"/>
  <c r="I2084"/>
  <c r="G2084"/>
  <c r="F2084"/>
  <c r="E2084"/>
  <c r="I2083"/>
  <c r="G2083"/>
  <c r="F2083"/>
  <c r="E2083"/>
  <c r="I2082"/>
  <c r="G2082"/>
  <c r="F2082"/>
  <c r="E2082"/>
  <c r="I2081"/>
  <c r="G2081"/>
  <c r="F2081"/>
  <c r="E2081"/>
  <c r="I2080"/>
  <c r="G2080"/>
  <c r="F2080"/>
  <c r="E2080"/>
  <c r="I2079"/>
  <c r="G2079"/>
  <c r="F2079"/>
  <c r="E2079"/>
  <c r="I2099"/>
  <c r="G2099"/>
  <c r="F2099"/>
  <c r="E2099"/>
  <c r="I2098"/>
  <c r="G2098"/>
  <c r="F2098"/>
  <c r="E2098"/>
  <c r="I2097"/>
  <c r="G2097"/>
  <c r="F2097"/>
  <c r="E2097"/>
  <c r="I2096"/>
  <c r="G2096"/>
  <c r="F2096"/>
  <c r="E2096"/>
  <c r="I2095"/>
  <c r="G2095"/>
  <c r="F2095"/>
  <c r="E2095"/>
  <c r="I2094"/>
  <c r="G2094"/>
  <c r="F2094"/>
  <c r="E2094"/>
  <c r="I2093"/>
  <c r="G2093"/>
  <c r="F2093"/>
  <c r="E2093"/>
  <c r="I2092"/>
  <c r="G2092"/>
  <c r="F2092"/>
  <c r="E2092"/>
  <c r="I2127"/>
  <c r="G2127"/>
  <c r="F2127"/>
  <c r="E2127"/>
  <c r="I2126"/>
  <c r="G2126"/>
  <c r="F2126"/>
  <c r="E2126"/>
  <c r="I2125"/>
  <c r="G2125"/>
  <c r="F2125"/>
  <c r="E2125"/>
  <c r="I2124"/>
  <c r="G2124"/>
  <c r="F2124"/>
  <c r="E2124"/>
  <c r="I2123"/>
  <c r="G2123"/>
  <c r="F2123"/>
  <c r="E2123"/>
  <c r="I2120"/>
  <c r="G2120"/>
  <c r="F2120"/>
  <c r="E2120"/>
  <c r="I2114"/>
  <c r="G2114"/>
  <c r="F2114"/>
  <c r="E2114"/>
  <c r="I2112"/>
  <c r="G2112"/>
  <c r="F2112"/>
  <c r="E2112"/>
  <c r="I2115"/>
  <c r="G2115"/>
  <c r="F2115"/>
  <c r="E2115"/>
  <c r="I2122"/>
  <c r="G2122"/>
  <c r="F2122"/>
  <c r="E2122"/>
  <c r="I2116"/>
  <c r="G2116"/>
  <c r="F2116"/>
  <c r="E2116"/>
  <c r="I2107"/>
  <c r="G2107"/>
  <c r="F2107"/>
  <c r="E2107"/>
  <c r="I2110"/>
  <c r="G2110"/>
  <c r="F2110"/>
  <c r="E2110"/>
  <c r="I2121"/>
  <c r="G2121"/>
  <c r="F2121"/>
  <c r="E2121"/>
  <c r="I2119"/>
  <c r="G2119"/>
  <c r="F2119"/>
  <c r="E2119"/>
  <c r="I2118"/>
  <c r="G2118"/>
  <c r="F2118"/>
  <c r="E2118"/>
  <c r="I2111"/>
  <c r="G2111"/>
  <c r="F2111"/>
  <c r="E2111"/>
  <c r="I2106"/>
  <c r="G2106"/>
  <c r="F2106"/>
  <c r="E2106"/>
  <c r="I2105"/>
  <c r="G2105"/>
  <c r="F2105"/>
  <c r="E2105"/>
  <c r="I2109"/>
  <c r="G2109"/>
  <c r="F2109"/>
  <c r="E2109"/>
  <c r="I2117"/>
  <c r="G2117"/>
  <c r="F2117"/>
  <c r="E2117"/>
  <c r="I2113"/>
  <c r="G2113"/>
  <c r="F2113"/>
  <c r="E2113"/>
  <c r="I2108"/>
  <c r="G2108"/>
  <c r="F2108"/>
  <c r="E2108"/>
  <c r="I2159"/>
  <c r="G2159"/>
  <c r="F2159"/>
  <c r="E2159"/>
  <c r="I2152"/>
  <c r="G2152"/>
  <c r="F2152"/>
  <c r="E2152"/>
  <c r="I2151"/>
  <c r="G2151"/>
  <c r="F2151"/>
  <c r="E2151"/>
  <c r="I2156"/>
  <c r="G2156"/>
  <c r="F2156"/>
  <c r="E2156"/>
  <c r="I2150"/>
  <c r="G2150"/>
  <c r="F2150"/>
  <c r="E2150"/>
  <c r="I2149"/>
  <c r="G2149"/>
  <c r="F2149"/>
  <c r="E2149"/>
  <c r="I2148"/>
  <c r="G2148"/>
  <c r="F2148"/>
  <c r="E2148"/>
  <c r="I2147"/>
  <c r="G2147"/>
  <c r="F2147"/>
  <c r="E2147"/>
  <c r="I2146"/>
  <c r="G2146"/>
  <c r="F2146"/>
  <c r="E2146"/>
  <c r="I2145"/>
  <c r="G2145"/>
  <c r="F2145"/>
  <c r="E2145"/>
  <c r="I2144"/>
  <c r="G2144"/>
  <c r="F2144"/>
  <c r="E2144"/>
  <c r="I2143"/>
  <c r="G2143"/>
  <c r="F2143"/>
  <c r="E2143"/>
  <c r="I2142"/>
  <c r="G2142"/>
  <c r="F2142"/>
  <c r="E2142"/>
  <c r="I2141"/>
  <c r="G2141"/>
  <c r="F2141"/>
  <c r="E2141"/>
  <c r="I2158"/>
  <c r="G2158"/>
  <c r="F2158"/>
  <c r="E2158"/>
  <c r="I2157"/>
  <c r="G2157"/>
  <c r="F2157"/>
  <c r="E2157"/>
  <c r="I2155"/>
  <c r="G2155"/>
  <c r="F2155"/>
  <c r="E2155"/>
  <c r="I2154"/>
  <c r="G2154"/>
  <c r="F2154"/>
  <c r="E2154"/>
  <c r="I2153"/>
  <c r="G2153"/>
  <c r="F2153"/>
  <c r="E2153"/>
  <c r="I1921"/>
  <c r="G1921"/>
  <c r="E1921"/>
  <c r="I1916"/>
  <c r="G1916"/>
  <c r="E1916"/>
  <c r="I1912"/>
  <c r="G1912"/>
  <c r="F1912"/>
  <c r="E1912"/>
  <c r="I1911"/>
  <c r="G1911"/>
  <c r="E1911"/>
  <c r="I1910"/>
  <c r="G1910"/>
  <c r="E1910"/>
  <c r="I1894"/>
  <c r="G1894"/>
  <c r="F1894"/>
  <c r="E1894"/>
  <c r="I1882"/>
  <c r="G1882"/>
  <c r="F1882"/>
  <c r="E1882"/>
  <c r="I1881"/>
  <c r="G1881"/>
  <c r="E1881"/>
  <c r="I1883"/>
  <c r="G1883"/>
  <c r="F1883"/>
  <c r="E1883"/>
  <c r="I1783"/>
  <c r="G1783"/>
  <c r="F1783"/>
  <c r="E1783"/>
  <c r="I1782"/>
  <c r="G1782"/>
  <c r="E1782"/>
  <c r="I1797"/>
  <c r="G1797"/>
  <c r="F1797"/>
  <c r="E1797"/>
  <c r="I1815"/>
  <c r="G1815"/>
  <c r="F1815"/>
  <c r="E1815"/>
  <c r="I1814"/>
  <c r="G1814"/>
  <c r="F1814"/>
  <c r="E1814"/>
  <c r="I1813"/>
  <c r="G1813"/>
  <c r="F1813"/>
  <c r="E1813"/>
  <c r="I1812"/>
  <c r="G1812"/>
  <c r="F1812"/>
  <c r="E1812"/>
  <c r="I1811"/>
  <c r="G1811"/>
  <c r="F1811"/>
  <c r="E1811"/>
  <c r="I1810"/>
  <c r="G1810"/>
  <c r="F1810"/>
  <c r="E1810"/>
  <c r="I1809"/>
  <c r="G1809"/>
  <c r="F1809"/>
  <c r="E1809"/>
  <c r="I1808"/>
  <c r="G1808"/>
  <c r="F1808"/>
  <c r="E1808"/>
  <c r="I1807"/>
  <c r="G1807"/>
  <c r="F1807"/>
  <c r="E1807"/>
  <c r="I1806"/>
  <c r="G1806"/>
  <c r="F1806"/>
  <c r="E1806"/>
  <c r="I1805"/>
  <c r="G1805"/>
  <c r="F1805"/>
  <c r="E1805"/>
  <c r="I1804"/>
  <c r="G1804"/>
  <c r="F1804"/>
  <c r="E1804"/>
  <c r="I1803"/>
  <c r="G1803"/>
  <c r="F1803"/>
  <c r="E1803"/>
  <c r="I1828"/>
  <c r="G1828"/>
  <c r="F1828"/>
  <c r="E1828"/>
  <c r="I1827"/>
  <c r="G1827"/>
  <c r="F1827"/>
  <c r="E1827"/>
  <c r="I1826"/>
  <c r="G1826"/>
  <c r="F1826"/>
  <c r="E1826"/>
  <c r="I1825"/>
  <c r="G1825"/>
  <c r="F1825"/>
  <c r="E1825"/>
  <c r="I1824"/>
  <c r="G1824"/>
  <c r="F1824"/>
  <c r="E1824"/>
  <c r="I1823"/>
  <c r="G1823"/>
  <c r="F1823"/>
  <c r="E1823"/>
  <c r="I1822"/>
  <c r="G1822"/>
  <c r="F1822"/>
  <c r="E1822"/>
  <c r="I1821"/>
  <c r="G1821"/>
  <c r="F1821"/>
  <c r="E1821"/>
  <c r="I1820"/>
  <c r="G1820"/>
  <c r="F1820"/>
  <c r="E1820"/>
  <c r="I1819"/>
  <c r="G1819"/>
  <c r="F1819"/>
  <c r="E1819"/>
  <c r="I1818"/>
  <c r="G1818"/>
  <c r="F1818"/>
  <c r="E1818"/>
  <c r="I1817"/>
  <c r="G1817"/>
  <c r="F1817"/>
  <c r="E1817"/>
  <c r="I1816"/>
  <c r="G1816"/>
  <c r="F1816"/>
  <c r="E1816"/>
  <c r="I1837"/>
  <c r="G1837"/>
  <c r="F1837"/>
  <c r="E1837"/>
  <c r="I1836"/>
  <c r="G1836"/>
  <c r="F1836"/>
  <c r="E1836"/>
  <c r="I1835"/>
  <c r="G1835"/>
  <c r="F1835"/>
  <c r="E1835"/>
  <c r="I1834"/>
  <c r="G1834"/>
  <c r="F1834"/>
  <c r="E1834"/>
  <c r="I1833"/>
  <c r="G1833"/>
  <c r="F1833"/>
  <c r="E1833"/>
  <c r="I1832"/>
  <c r="G1832"/>
  <c r="F1832"/>
  <c r="E1832"/>
  <c r="I1831"/>
  <c r="G1831"/>
  <c r="F1831"/>
  <c r="E1831"/>
  <c r="I1830"/>
  <c r="G1830"/>
  <c r="F1830"/>
  <c r="E1830"/>
  <c r="I1795"/>
  <c r="G1795"/>
  <c r="F1795"/>
  <c r="E1795"/>
  <c r="I1829"/>
  <c r="G1829"/>
  <c r="F1829"/>
  <c r="E1829"/>
  <c r="I1841"/>
  <c r="G1841"/>
  <c r="F1841"/>
  <c r="E1841"/>
  <c r="I1840"/>
  <c r="G1840"/>
  <c r="F1840"/>
  <c r="E1840"/>
  <c r="I1839"/>
  <c r="G1839"/>
  <c r="F1839"/>
  <c r="E1839"/>
  <c r="I1802"/>
  <c r="G1802"/>
  <c r="F1802"/>
  <c r="E1802"/>
  <c r="I1794"/>
  <c r="G1794"/>
  <c r="F1794"/>
  <c r="E1794"/>
  <c r="I1838"/>
  <c r="G1838"/>
  <c r="F1838"/>
  <c r="E1838"/>
  <c r="I1801"/>
  <c r="G1801"/>
  <c r="F1801"/>
  <c r="E1801"/>
  <c r="I1785"/>
  <c r="G1785"/>
  <c r="F1785"/>
  <c r="E1785"/>
  <c r="I1786"/>
  <c r="G1786"/>
  <c r="F1786"/>
  <c r="E1786"/>
  <c r="I1790"/>
  <c r="G1790"/>
  <c r="F1790"/>
  <c r="E1790"/>
  <c r="I1788"/>
  <c r="G1788"/>
  <c r="F1788"/>
  <c r="E1788"/>
  <c r="I1789"/>
  <c r="G1789"/>
  <c r="F1789"/>
  <c r="E1789"/>
  <c r="I1784"/>
  <c r="G1784"/>
  <c r="F1784"/>
  <c r="E1784"/>
  <c r="I1793"/>
  <c r="G1793"/>
  <c r="F1793"/>
  <c r="E1793"/>
  <c r="I1792"/>
  <c r="G1792"/>
  <c r="F1792"/>
  <c r="E1792"/>
  <c r="I1799"/>
  <c r="G1799"/>
  <c r="F1799"/>
  <c r="E1799"/>
  <c r="I1796"/>
  <c r="G1796"/>
  <c r="F1796"/>
  <c r="E1796"/>
  <c r="I1798"/>
  <c r="G1798"/>
  <c r="F1798"/>
  <c r="E1798"/>
  <c r="I1787"/>
  <c r="G1787"/>
  <c r="F1787"/>
  <c r="E1787"/>
  <c r="I1800"/>
  <c r="G1800"/>
  <c r="E1800"/>
  <c r="I1791"/>
  <c r="G1791"/>
  <c r="F1791"/>
  <c r="E1791"/>
  <c r="I1848"/>
  <c r="G1848"/>
  <c r="F1848"/>
  <c r="E1848"/>
  <c r="I1845"/>
  <c r="G1845"/>
  <c r="F1845"/>
  <c r="E1845"/>
  <c r="I1844"/>
  <c r="G1844"/>
  <c r="F1844"/>
  <c r="E1844"/>
  <c r="I1843"/>
  <c r="G1843"/>
  <c r="F1843"/>
  <c r="E1843"/>
  <c r="I1842"/>
  <c r="G1842"/>
  <c r="F1842"/>
  <c r="E1842"/>
  <c r="I1855"/>
  <c r="G1855"/>
  <c r="F1855"/>
  <c r="E1855"/>
  <c r="I1868"/>
  <c r="G1868"/>
  <c r="F1868"/>
  <c r="E1868"/>
  <c r="I1867"/>
  <c r="G1867"/>
  <c r="F1867"/>
  <c r="E1867"/>
  <c r="I1870"/>
  <c r="G1870"/>
  <c r="F1870"/>
  <c r="E1870"/>
  <c r="I1869"/>
  <c r="G1869"/>
  <c r="F1869"/>
  <c r="E1869"/>
  <c r="I1863"/>
  <c r="G1863"/>
  <c r="F1863"/>
  <c r="E1863"/>
  <c r="I1850"/>
  <c r="G1850"/>
  <c r="F1850"/>
  <c r="E1850"/>
  <c r="I1866"/>
  <c r="G1866"/>
  <c r="F1866"/>
  <c r="E1866"/>
  <c r="I1856"/>
  <c r="G1856"/>
  <c r="F1856"/>
  <c r="E1856"/>
  <c r="I1865"/>
  <c r="G1865"/>
  <c r="F1865"/>
  <c r="E1865"/>
  <c r="I1864"/>
  <c r="G1864"/>
  <c r="F1864"/>
  <c r="E1864"/>
  <c r="I1862"/>
  <c r="G1862"/>
  <c r="F1862"/>
  <c r="E1862"/>
  <c r="I1861"/>
  <c r="G1861"/>
  <c r="F1861"/>
  <c r="E1861"/>
  <c r="I1860"/>
  <c r="G1860"/>
  <c r="F1860"/>
  <c r="E1860"/>
  <c r="I1859"/>
  <c r="G1859"/>
  <c r="F1859"/>
  <c r="E1859"/>
  <c r="I1858"/>
  <c r="G1858"/>
  <c r="F1858"/>
  <c r="E1858"/>
  <c r="I1857"/>
  <c r="G1857"/>
  <c r="F1857"/>
  <c r="E1857"/>
  <c r="I1849"/>
  <c r="G1849"/>
  <c r="F1849"/>
  <c r="E1849"/>
  <c r="I1847"/>
  <c r="G1847"/>
  <c r="F1847"/>
  <c r="E1847"/>
  <c r="I1846"/>
  <c r="G1846"/>
  <c r="F1846"/>
  <c r="E1846"/>
  <c r="I1854"/>
  <c r="G1854"/>
  <c r="F1854"/>
  <c r="E1854"/>
  <c r="I1853"/>
  <c r="G1853"/>
  <c r="F1853"/>
  <c r="E1853"/>
  <c r="I1852"/>
  <c r="G1852"/>
  <c r="F1852"/>
  <c r="E1852"/>
  <c r="I1851"/>
  <c r="G1851"/>
  <c r="F1851"/>
  <c r="E1851"/>
  <c r="I1873"/>
  <c r="G1873"/>
  <c r="F1873"/>
  <c r="E1873"/>
  <c r="I1871"/>
  <c r="G1871"/>
  <c r="F1871"/>
  <c r="E1871"/>
  <c r="I1872"/>
  <c r="G1872"/>
  <c r="F1872"/>
  <c r="E1872"/>
  <c r="I1778"/>
  <c r="F1778"/>
  <c r="E1778"/>
  <c r="I1779"/>
  <c r="G1779"/>
  <c r="E1779"/>
  <c r="I1767"/>
  <c r="G1767"/>
  <c r="F1767"/>
  <c r="E1767"/>
  <c r="I1766"/>
  <c r="G1766"/>
  <c r="E1766"/>
  <c r="I1761"/>
  <c r="G1761"/>
  <c r="F1761"/>
  <c r="E1761"/>
  <c r="I1760"/>
  <c r="G1760"/>
  <c r="I1738"/>
  <c r="F1738"/>
  <c r="E1738"/>
  <c r="I1739"/>
  <c r="G1739"/>
  <c r="E1739"/>
  <c r="I1740"/>
  <c r="G1740"/>
  <c r="F1740"/>
  <c r="E1740"/>
  <c r="I1715"/>
  <c r="G1715"/>
  <c r="E1715"/>
  <c r="I1730"/>
  <c r="G1730"/>
  <c r="F1730"/>
  <c r="E1730"/>
  <c r="I1725"/>
  <c r="G1725"/>
  <c r="F1725"/>
  <c r="E1725"/>
  <c r="I1729"/>
  <c r="G1729"/>
  <c r="F1729"/>
  <c r="E1729"/>
  <c r="I1728"/>
  <c r="G1728"/>
  <c r="F1728"/>
  <c r="E1728"/>
  <c r="I1727"/>
  <c r="G1727"/>
  <c r="F1727"/>
  <c r="E1727"/>
  <c r="I1726"/>
  <c r="G1726"/>
  <c r="F1726"/>
  <c r="E1726"/>
  <c r="I1717"/>
  <c r="G1717"/>
  <c r="F1717"/>
  <c r="E1717"/>
  <c r="I1720"/>
  <c r="G1720"/>
  <c r="F1720"/>
  <c r="E1720"/>
  <c r="I1724"/>
  <c r="G1724"/>
  <c r="F1724"/>
  <c r="E1724"/>
  <c r="I1718"/>
  <c r="G1718"/>
  <c r="F1718"/>
  <c r="E1718"/>
  <c r="I1722"/>
  <c r="G1722"/>
  <c r="F1722"/>
  <c r="E1722"/>
  <c r="I1719"/>
  <c r="G1719"/>
  <c r="F1719"/>
  <c r="E1719"/>
  <c r="I1723"/>
  <c r="G1723"/>
  <c r="F1723"/>
  <c r="E1723"/>
  <c r="I1721"/>
  <c r="G1721"/>
  <c r="F1721"/>
  <c r="E1721"/>
  <c r="I1716"/>
  <c r="G1716"/>
  <c r="F1716"/>
  <c r="E1716"/>
  <c r="I1683"/>
  <c r="G1683"/>
  <c r="F1683"/>
  <c r="E1683"/>
  <c r="I1682"/>
  <c r="G1682"/>
  <c r="F1682"/>
  <c r="E1682"/>
  <c r="I1690"/>
  <c r="G1690"/>
  <c r="F1690"/>
  <c r="E1690"/>
  <c r="I1699"/>
  <c r="G1699"/>
  <c r="F1699"/>
  <c r="E1699"/>
  <c r="I1698"/>
  <c r="G1698"/>
  <c r="F1698"/>
  <c r="E1698"/>
  <c r="I1697"/>
  <c r="G1697"/>
  <c r="F1697"/>
  <c r="E1697"/>
  <c r="I1696"/>
  <c r="G1696"/>
  <c r="F1696"/>
  <c r="E1696"/>
  <c r="I1695"/>
  <c r="G1695"/>
  <c r="F1695"/>
  <c r="E1695"/>
  <c r="I1694"/>
  <c r="G1694"/>
  <c r="F1694"/>
  <c r="E1694"/>
  <c r="I1693"/>
  <c r="G1693"/>
  <c r="F1693"/>
  <c r="E1693"/>
  <c r="I1692"/>
  <c r="G1692"/>
  <c r="F1692"/>
  <c r="E1692"/>
  <c r="I1691"/>
  <c r="G1691"/>
  <c r="F1691"/>
  <c r="E1691"/>
  <c r="I1679"/>
  <c r="G1679"/>
  <c r="F1679"/>
  <c r="E1679"/>
  <c r="I1687"/>
  <c r="G1687"/>
  <c r="F1687"/>
  <c r="E1687"/>
  <c r="I1686"/>
  <c r="G1686"/>
  <c r="F1686"/>
  <c r="E1686"/>
  <c r="I1689"/>
  <c r="G1689"/>
  <c r="F1689"/>
  <c r="E1689"/>
  <c r="I1684"/>
  <c r="G1684"/>
  <c r="F1684"/>
  <c r="E1684"/>
  <c r="I1685"/>
  <c r="G1685"/>
  <c r="F1685"/>
  <c r="E1685"/>
  <c r="I1688"/>
  <c r="G1688"/>
  <c r="F1688"/>
  <c r="E1688"/>
  <c r="I1669"/>
  <c r="G1669"/>
  <c r="F1669"/>
  <c r="E1669"/>
  <c r="I1661"/>
  <c r="G1661"/>
  <c r="F1661"/>
  <c r="E1661"/>
  <c r="I1659"/>
  <c r="G1659"/>
  <c r="F1659"/>
  <c r="E1659"/>
  <c r="I1677"/>
  <c r="G1677"/>
  <c r="F1677"/>
  <c r="E1677"/>
  <c r="I1667"/>
  <c r="G1667"/>
  <c r="F1667"/>
  <c r="E1667"/>
  <c r="I1668"/>
  <c r="G1668"/>
  <c r="F1668"/>
  <c r="E1668"/>
  <c r="I1663"/>
  <c r="G1663"/>
  <c r="F1663"/>
  <c r="E1663"/>
  <c r="I1664"/>
  <c r="G1664"/>
  <c r="F1664"/>
  <c r="E1664"/>
  <c r="I1675"/>
  <c r="G1675"/>
  <c r="F1675"/>
  <c r="E1675"/>
  <c r="I1660"/>
  <c r="G1660"/>
  <c r="F1660"/>
  <c r="E1660"/>
  <c r="I1674"/>
  <c r="G1674"/>
  <c r="F1674"/>
  <c r="E1674"/>
  <c r="I1676"/>
  <c r="G1676"/>
  <c r="F1676"/>
  <c r="E1676"/>
  <c r="I1666"/>
  <c r="G1666"/>
  <c r="F1666"/>
  <c r="E1666"/>
  <c r="I1662"/>
  <c r="G1662"/>
  <c r="F1662"/>
  <c r="E1662"/>
  <c r="I1678"/>
  <c r="G1678"/>
  <c r="F1678"/>
  <c r="E1678"/>
  <c r="I1658"/>
  <c r="G1658"/>
  <c r="F1658"/>
  <c r="E1658"/>
  <c r="I1665"/>
  <c r="G1665"/>
  <c r="F1665"/>
  <c r="E1665"/>
  <c r="I1670"/>
  <c r="G1670"/>
  <c r="F1670"/>
  <c r="E1670"/>
  <c r="G1673"/>
  <c r="F1673"/>
  <c r="E1673"/>
  <c r="I1671"/>
  <c r="G1671"/>
  <c r="F1671"/>
  <c r="E1671"/>
  <c r="I1672"/>
  <c r="G1672"/>
  <c r="F1672"/>
  <c r="E1672"/>
  <c r="I1681"/>
  <c r="G1681"/>
  <c r="F1681"/>
  <c r="E1681"/>
  <c r="I1680"/>
  <c r="G1680"/>
  <c r="F1680"/>
  <c r="E1680"/>
  <c r="I1704"/>
  <c r="G1704"/>
  <c r="F1704"/>
  <c r="E1704"/>
  <c r="I1702"/>
  <c r="G1702"/>
  <c r="F1702"/>
  <c r="E1702"/>
  <c r="I1703"/>
  <c r="G1703"/>
  <c r="F1703"/>
  <c r="E1703"/>
  <c r="I1656"/>
  <c r="G1656"/>
  <c r="E1656"/>
  <c r="I1657"/>
  <c r="G1657"/>
  <c r="F1657"/>
  <c r="E1657"/>
  <c r="I1644"/>
  <c r="G1644"/>
  <c r="F1644"/>
  <c r="E1644"/>
  <c r="I1593"/>
  <c r="G1593"/>
  <c r="F1593"/>
  <c r="E1593"/>
  <c r="I1571"/>
  <c r="G1571"/>
  <c r="F1571"/>
  <c r="E1571"/>
  <c r="I1570"/>
  <c r="G1570"/>
  <c r="E1570"/>
  <c r="I1583"/>
  <c r="G1583"/>
  <c r="F1583"/>
  <c r="E1583"/>
  <c r="I1582"/>
  <c r="G1582"/>
  <c r="F1582"/>
  <c r="E1582"/>
  <c r="I1581"/>
  <c r="G1581"/>
  <c r="F1581"/>
  <c r="E1581"/>
  <c r="I1580"/>
  <c r="G1580"/>
  <c r="F1580"/>
  <c r="E1580"/>
  <c r="I1584"/>
  <c r="G1584"/>
  <c r="F1584"/>
  <c r="E1584"/>
  <c r="I1579"/>
  <c r="G1579"/>
  <c r="F1579"/>
  <c r="E1579"/>
  <c r="I1572"/>
  <c r="G1572"/>
  <c r="F1572"/>
  <c r="E1572"/>
  <c r="I1576"/>
  <c r="G1576"/>
  <c r="F1576"/>
  <c r="E1576"/>
  <c r="I1578"/>
  <c r="G1578"/>
  <c r="F1578"/>
  <c r="E1578"/>
  <c r="I1577"/>
  <c r="G1577"/>
  <c r="F1577"/>
  <c r="E1577"/>
  <c r="I1575"/>
  <c r="G1575"/>
  <c r="F1575"/>
  <c r="E1575"/>
  <c r="I1573"/>
  <c r="G1573"/>
  <c r="F1573"/>
  <c r="E1573"/>
  <c r="I1574"/>
  <c r="G1574"/>
  <c r="F1574"/>
  <c r="E1574"/>
  <c r="I1565"/>
  <c r="G1565"/>
  <c r="E1565"/>
  <c r="I1566"/>
  <c r="G1566"/>
  <c r="F1566"/>
  <c r="E1566"/>
  <c r="I1564"/>
  <c r="G1564"/>
  <c r="F1564"/>
  <c r="E1564"/>
  <c r="I1445"/>
  <c r="G1445"/>
  <c r="F1445"/>
  <c r="E1445"/>
  <c r="I1444"/>
  <c r="G1444"/>
  <c r="F1444"/>
  <c r="E1444"/>
  <c r="I1443"/>
  <c r="G1443"/>
  <c r="E1443"/>
  <c r="I1464"/>
  <c r="G1464"/>
  <c r="F1464"/>
  <c r="E1464"/>
  <c r="I1463"/>
  <c r="G1463"/>
  <c r="F1463"/>
  <c r="E1463"/>
  <c r="I1462"/>
  <c r="G1462"/>
  <c r="F1462"/>
  <c r="E1462"/>
  <c r="I1461"/>
  <c r="G1461"/>
  <c r="F1461"/>
  <c r="E1461"/>
  <c r="I1460"/>
  <c r="G1460"/>
  <c r="F1460"/>
  <c r="E1460"/>
  <c r="I1459"/>
  <c r="G1459"/>
  <c r="F1459"/>
  <c r="E1459"/>
  <c r="I1527"/>
  <c r="G1527"/>
  <c r="F1527"/>
  <c r="E1527"/>
  <c r="I1526"/>
  <c r="G1526"/>
  <c r="F1526"/>
  <c r="E1526"/>
  <c r="I1525"/>
  <c r="G1525"/>
  <c r="F1525"/>
  <c r="E1525"/>
  <c r="I1524"/>
  <c r="G1524"/>
  <c r="F1524"/>
  <c r="E1524"/>
  <c r="I1523"/>
  <c r="G1523"/>
  <c r="F1523"/>
  <c r="E1523"/>
  <c r="I1522"/>
  <c r="G1522"/>
  <c r="F1522"/>
  <c r="E1522"/>
  <c r="I1529"/>
  <c r="G1529"/>
  <c r="F1529"/>
  <c r="E1529"/>
  <c r="I1528"/>
  <c r="G1528"/>
  <c r="F1528"/>
  <c r="E1528"/>
  <c r="I1473"/>
  <c r="G1473"/>
  <c r="F1473"/>
  <c r="E1473"/>
  <c r="I1467"/>
  <c r="G1467"/>
  <c r="F1467"/>
  <c r="E1467"/>
  <c r="I1476"/>
  <c r="G1476"/>
  <c r="F1476"/>
  <c r="E1476"/>
  <c r="I1475"/>
  <c r="G1475"/>
  <c r="F1475"/>
  <c r="E1475"/>
  <c r="I1516"/>
  <c r="G1516"/>
  <c r="F1516"/>
  <c r="E1516"/>
  <c r="I1491"/>
  <c r="G1491"/>
  <c r="F1491"/>
  <c r="E1491"/>
  <c r="I1515"/>
  <c r="G1515"/>
  <c r="F1515"/>
  <c r="E1515"/>
  <c r="I1492"/>
  <c r="G1492"/>
  <c r="F1492"/>
  <c r="E1492"/>
  <c r="I1533"/>
  <c r="G1533"/>
  <c r="F1533"/>
  <c r="E1533"/>
  <c r="I1502"/>
  <c r="G1502"/>
  <c r="F1502"/>
  <c r="E1502"/>
  <c r="I1503"/>
  <c r="G1503"/>
  <c r="F1503"/>
  <c r="E1503"/>
  <c r="I1488"/>
  <c r="G1488"/>
  <c r="F1488"/>
  <c r="E1488"/>
  <c r="I1489"/>
  <c r="G1489"/>
  <c r="F1489"/>
  <c r="E1489"/>
  <c r="I1506"/>
  <c r="G1506"/>
  <c r="F1506"/>
  <c r="E1506"/>
  <c r="I1468"/>
  <c r="G1468"/>
  <c r="F1468"/>
  <c r="E1468"/>
  <c r="I1479"/>
  <c r="G1479"/>
  <c r="F1479"/>
  <c r="E1479"/>
  <c r="I1532"/>
  <c r="G1532"/>
  <c r="F1532"/>
  <c r="E1532"/>
  <c r="I1508"/>
  <c r="G1508"/>
  <c r="F1508"/>
  <c r="E1508"/>
  <c r="I1490"/>
  <c r="G1490"/>
  <c r="F1490"/>
  <c r="E1490"/>
  <c r="I1509"/>
  <c r="G1509"/>
  <c r="F1509"/>
  <c r="E1509"/>
  <c r="I1471"/>
  <c r="G1471"/>
  <c r="F1471"/>
  <c r="E1471"/>
  <c r="I1477"/>
  <c r="G1477"/>
  <c r="F1477"/>
  <c r="E1477"/>
  <c r="I1481"/>
  <c r="G1481"/>
  <c r="F1481"/>
  <c r="E1481"/>
  <c r="I1531"/>
  <c r="G1531"/>
  <c r="F1531"/>
  <c r="E1531"/>
  <c r="I1478"/>
  <c r="G1478"/>
  <c r="F1478"/>
  <c r="E1478"/>
  <c r="I1482"/>
  <c r="G1482"/>
  <c r="F1482"/>
  <c r="E1482"/>
  <c r="I1511"/>
  <c r="G1511"/>
  <c r="F1511"/>
  <c r="E1511"/>
  <c r="I1501"/>
  <c r="G1501"/>
  <c r="F1501"/>
  <c r="E1501"/>
  <c r="I1499"/>
  <c r="G1499"/>
  <c r="F1499"/>
  <c r="E1499"/>
  <c r="I1514"/>
  <c r="G1514"/>
  <c r="F1514"/>
  <c r="E1514"/>
  <c r="I1513"/>
  <c r="G1513"/>
  <c r="F1513"/>
  <c r="E1513"/>
  <c r="I1512"/>
  <c r="G1512"/>
  <c r="F1512"/>
  <c r="E1512"/>
  <c r="I1505"/>
  <c r="G1505"/>
  <c r="F1505"/>
  <c r="E1505"/>
  <c r="I1504"/>
  <c r="G1504"/>
  <c r="F1504"/>
  <c r="E1504"/>
  <c r="I1493"/>
  <c r="G1493"/>
  <c r="F1493"/>
  <c r="E1493"/>
  <c r="I1521"/>
  <c r="G1521"/>
  <c r="F1521"/>
  <c r="E1521"/>
  <c r="I1510"/>
  <c r="G1510"/>
  <c r="F1510"/>
  <c r="E1510"/>
  <c r="I1518"/>
  <c r="G1518"/>
  <c r="F1518"/>
  <c r="E1518"/>
  <c r="I1517"/>
  <c r="G1517"/>
  <c r="F1517"/>
  <c r="E1517"/>
  <c r="I1472"/>
  <c r="G1472"/>
  <c r="F1472"/>
  <c r="E1472"/>
  <c r="I1474"/>
  <c r="G1474"/>
  <c r="F1474"/>
  <c r="E1474"/>
  <c r="I1466"/>
  <c r="G1466"/>
  <c r="F1466"/>
  <c r="E1466"/>
  <c r="I1470"/>
  <c r="G1470"/>
  <c r="F1470"/>
  <c r="E1470"/>
  <c r="I1469"/>
  <c r="G1469"/>
  <c r="F1469"/>
  <c r="E1469"/>
  <c r="I1530"/>
  <c r="G1530"/>
  <c r="F1530"/>
  <c r="E1530"/>
  <c r="I1500"/>
  <c r="G1500"/>
  <c r="F1500"/>
  <c r="E1500"/>
  <c r="I1486"/>
  <c r="G1486"/>
  <c r="F1486"/>
  <c r="E1486"/>
  <c r="I1485"/>
  <c r="G1485"/>
  <c r="F1485"/>
  <c r="E1485"/>
  <c r="I1484"/>
  <c r="G1484"/>
  <c r="F1484"/>
  <c r="E1484"/>
  <c r="I1507"/>
  <c r="G1507"/>
  <c r="F1507"/>
  <c r="E1507"/>
  <c r="I1487"/>
  <c r="G1487"/>
  <c r="F1487"/>
  <c r="E1487"/>
  <c r="I1483"/>
  <c r="G1483"/>
  <c r="F1483"/>
  <c r="E1483"/>
  <c r="I1465"/>
  <c r="G1465"/>
  <c r="F1465"/>
  <c r="E1465"/>
  <c r="I1498"/>
  <c r="G1498"/>
  <c r="F1498"/>
  <c r="E1498"/>
  <c r="I1496"/>
  <c r="G1496"/>
  <c r="F1496"/>
  <c r="E1496"/>
  <c r="I1494"/>
  <c r="G1494"/>
  <c r="F1494"/>
  <c r="E1494"/>
  <c r="I1480"/>
  <c r="G1480"/>
  <c r="F1480"/>
  <c r="E1480"/>
  <c r="I1520"/>
  <c r="G1520"/>
  <c r="F1520"/>
  <c r="E1520"/>
  <c r="I1495"/>
  <c r="G1495"/>
  <c r="F1495"/>
  <c r="E1495"/>
  <c r="I1519"/>
  <c r="G1519"/>
  <c r="F1519"/>
  <c r="E1519"/>
  <c r="I1497"/>
  <c r="G1497"/>
  <c r="F1497"/>
  <c r="E1497"/>
  <c r="I1539"/>
  <c r="G1539"/>
  <c r="F1539"/>
  <c r="E1539"/>
  <c r="I1540"/>
  <c r="G1540"/>
  <c r="F1540"/>
  <c r="E1540"/>
  <c r="I1542"/>
  <c r="G1542"/>
  <c r="F1542"/>
  <c r="E1542"/>
  <c r="I1536"/>
  <c r="G1536"/>
  <c r="F1536"/>
  <c r="E1536"/>
  <c r="I1538"/>
  <c r="G1538"/>
  <c r="F1538"/>
  <c r="E1538"/>
  <c r="I1537"/>
  <c r="G1537"/>
  <c r="F1537"/>
  <c r="E1537"/>
  <c r="I1541"/>
  <c r="G1541"/>
  <c r="F1541"/>
  <c r="E1541"/>
  <c r="I1535"/>
  <c r="G1535"/>
  <c r="F1535"/>
  <c r="E1535"/>
  <c r="I1534"/>
  <c r="G1534"/>
  <c r="F1534"/>
  <c r="E1534"/>
  <c r="I1543"/>
  <c r="G1543"/>
  <c r="F1543"/>
  <c r="E1543"/>
  <c r="I1442"/>
  <c r="G1442"/>
  <c r="E1442"/>
  <c r="I1437"/>
  <c r="G1437"/>
  <c r="E1437"/>
  <c r="I1433"/>
  <c r="G1433"/>
  <c r="E1433"/>
  <c r="I1429"/>
  <c r="G1429"/>
  <c r="E1429"/>
  <c r="I1421"/>
  <c r="G1421"/>
  <c r="E1421"/>
  <c r="I1418"/>
  <c r="F1418"/>
  <c r="E1418"/>
  <c r="I1419"/>
  <c r="G1419"/>
  <c r="E1419"/>
  <c r="I1410"/>
  <c r="G1410"/>
  <c r="E1410"/>
  <c r="I1358"/>
  <c r="G1358"/>
  <c r="F1358"/>
  <c r="E1358"/>
  <c r="I1376"/>
  <c r="G1376"/>
  <c r="F1376"/>
  <c r="E1376"/>
  <c r="I1377"/>
  <c r="G1377"/>
  <c r="F1377"/>
  <c r="E1377"/>
  <c r="I1359"/>
  <c r="G1359"/>
  <c r="F1359"/>
  <c r="E1359"/>
  <c r="I1381"/>
  <c r="G1381"/>
  <c r="F1381"/>
  <c r="E1381"/>
  <c r="I1353"/>
  <c r="G1353"/>
  <c r="F1353"/>
  <c r="E1353"/>
  <c r="I1354"/>
  <c r="G1354"/>
  <c r="F1354"/>
  <c r="E1354"/>
  <c r="I1355"/>
  <c r="G1355"/>
  <c r="F1355"/>
  <c r="E1355"/>
  <c r="I1356"/>
  <c r="G1356"/>
  <c r="F1356"/>
  <c r="E1356"/>
  <c r="I1357"/>
  <c r="G1357"/>
  <c r="F1357"/>
  <c r="E1357"/>
  <c r="I1360"/>
  <c r="G1360"/>
  <c r="F1360"/>
  <c r="E1360"/>
  <c r="I1361"/>
  <c r="G1361"/>
  <c r="F1361"/>
  <c r="E1361"/>
  <c r="I1362"/>
  <c r="G1362"/>
  <c r="F1362"/>
  <c r="E1362"/>
  <c r="I1363"/>
  <c r="G1363"/>
  <c r="F1363"/>
  <c r="E1363"/>
  <c r="I1365"/>
  <c r="G1365"/>
  <c r="F1365"/>
  <c r="E1365"/>
  <c r="I1366"/>
  <c r="G1366"/>
  <c r="F1366"/>
  <c r="E1366"/>
  <c r="I1367"/>
  <c r="G1367"/>
  <c r="F1367"/>
  <c r="E1367"/>
  <c r="I1368"/>
  <c r="G1368"/>
  <c r="F1368"/>
  <c r="E1368"/>
  <c r="I1369"/>
  <c r="G1369"/>
  <c r="F1369"/>
  <c r="E1369"/>
  <c r="I1370"/>
  <c r="G1370"/>
  <c r="F1370"/>
  <c r="E1370"/>
  <c r="I1372"/>
  <c r="G1372"/>
  <c r="F1372"/>
  <c r="E1372"/>
  <c r="I1387"/>
  <c r="G1387"/>
  <c r="F1387"/>
  <c r="E1387"/>
  <c r="I1388"/>
  <c r="G1388"/>
  <c r="F1388"/>
  <c r="E1388"/>
  <c r="I1389"/>
  <c r="G1389"/>
  <c r="F1389"/>
  <c r="E1389"/>
  <c r="I1390"/>
  <c r="G1390"/>
  <c r="F1390"/>
  <c r="E1390"/>
  <c r="I1364"/>
  <c r="G1364"/>
  <c r="F1364"/>
  <c r="E1364"/>
  <c r="I1371"/>
  <c r="G1371"/>
  <c r="F1371"/>
  <c r="E1371"/>
  <c r="I1373"/>
  <c r="G1373"/>
  <c r="F1373"/>
  <c r="E1373"/>
  <c r="I1374"/>
  <c r="G1374"/>
  <c r="F1374"/>
  <c r="E1374"/>
  <c r="I1375"/>
  <c r="G1375"/>
  <c r="F1375"/>
  <c r="E1375"/>
  <c r="I1378"/>
  <c r="G1378"/>
  <c r="F1378"/>
  <c r="E1378"/>
  <c r="I1379"/>
  <c r="G1379"/>
  <c r="F1379"/>
  <c r="E1379"/>
  <c r="I1380"/>
  <c r="G1380"/>
  <c r="F1380"/>
  <c r="E1380"/>
  <c r="I1383"/>
  <c r="G1383"/>
  <c r="F1383"/>
  <c r="E1383"/>
  <c r="I1384"/>
  <c r="G1384"/>
  <c r="F1384"/>
  <c r="E1384"/>
  <c r="I1385"/>
  <c r="G1385"/>
  <c r="F1385"/>
  <c r="E1385"/>
  <c r="I1386"/>
  <c r="G1386"/>
  <c r="F1386"/>
  <c r="E1386"/>
  <c r="I1391"/>
  <c r="G1391"/>
  <c r="F1391"/>
  <c r="E1391"/>
  <c r="I1392"/>
  <c r="G1392"/>
  <c r="F1392"/>
  <c r="E1392"/>
  <c r="I1393"/>
  <c r="G1393"/>
  <c r="F1393"/>
  <c r="E1393"/>
  <c r="I1394"/>
  <c r="G1394"/>
  <c r="F1394"/>
  <c r="E1394"/>
  <c r="I1382"/>
  <c r="G1382"/>
  <c r="F1382"/>
  <c r="E1382"/>
  <c r="I879"/>
  <c r="G879"/>
  <c r="F879"/>
  <c r="E879"/>
  <c r="I1335"/>
  <c r="G1335"/>
  <c r="F1335"/>
  <c r="E1335"/>
  <c r="I1334"/>
  <c r="G1334"/>
  <c r="F1334"/>
  <c r="E1334"/>
  <c r="I1349"/>
  <c r="G1349"/>
  <c r="F1349"/>
  <c r="E1349"/>
  <c r="I1348"/>
  <c r="G1348"/>
  <c r="F1348"/>
  <c r="E1348"/>
  <c r="I1347"/>
  <c r="G1347"/>
  <c r="F1347"/>
  <c r="E1347"/>
  <c r="I1346"/>
  <c r="G1346"/>
  <c r="F1346"/>
  <c r="E1346"/>
  <c r="I1345"/>
  <c r="G1345"/>
  <c r="F1345"/>
  <c r="E1345"/>
  <c r="I1333"/>
  <c r="G1333"/>
  <c r="F1333"/>
  <c r="E1333"/>
  <c r="I1332"/>
  <c r="G1332"/>
  <c r="F1332"/>
  <c r="E1332"/>
  <c r="I1331"/>
  <c r="G1331"/>
  <c r="F1331"/>
  <c r="E1331"/>
  <c r="I1330"/>
  <c r="G1330"/>
  <c r="F1330"/>
  <c r="E1330"/>
  <c r="I1329"/>
  <c r="G1329"/>
  <c r="F1329"/>
  <c r="E1329"/>
  <c r="I1352"/>
  <c r="G1352"/>
  <c r="F1352"/>
  <c r="E1352"/>
  <c r="I1351"/>
  <c r="G1351"/>
  <c r="F1351"/>
  <c r="E1351"/>
  <c r="I1350"/>
  <c r="G1350"/>
  <c r="F1350"/>
  <c r="E1350"/>
  <c r="I1344"/>
  <c r="G1344"/>
  <c r="F1344"/>
  <c r="E1344"/>
  <c r="I1343"/>
  <c r="G1343"/>
  <c r="F1343"/>
  <c r="E1343"/>
  <c r="I1342"/>
  <c r="G1342"/>
  <c r="F1342"/>
  <c r="E1342"/>
  <c r="I1341"/>
  <c r="G1341"/>
  <c r="F1341"/>
  <c r="E1341"/>
  <c r="I1340"/>
  <c r="G1340"/>
  <c r="F1340"/>
  <c r="E1340"/>
  <c r="I1339"/>
  <c r="G1339"/>
  <c r="F1339"/>
  <c r="E1339"/>
  <c r="I1338"/>
  <c r="G1338"/>
  <c r="F1338"/>
  <c r="E1338"/>
  <c r="I1337"/>
  <c r="G1337"/>
  <c r="F1337"/>
  <c r="E1337"/>
  <c r="I1336"/>
  <c r="G1336"/>
  <c r="F1336"/>
  <c r="E1336"/>
  <c r="I584"/>
  <c r="G584"/>
  <c r="F584"/>
  <c r="E584"/>
  <c r="I583"/>
  <c r="G583"/>
  <c r="F583"/>
  <c r="E583"/>
  <c r="I1312"/>
  <c r="G1312"/>
  <c r="F1312"/>
  <c r="E1312"/>
  <c r="I747"/>
  <c r="G747"/>
  <c r="F747"/>
  <c r="E747"/>
  <c r="I577"/>
  <c r="G577"/>
  <c r="F577"/>
  <c r="E577"/>
  <c r="I614"/>
  <c r="G614"/>
  <c r="F614"/>
  <c r="E614"/>
  <c r="I1291"/>
  <c r="G1291"/>
  <c r="F1291"/>
  <c r="E1291"/>
  <c r="I1290"/>
  <c r="G1290"/>
  <c r="F1290"/>
  <c r="E1290"/>
  <c r="I1108"/>
  <c r="G1108"/>
  <c r="F1108"/>
  <c r="E1108"/>
  <c r="I1083"/>
  <c r="G1083"/>
  <c r="F1083"/>
  <c r="E1083"/>
  <c r="I449"/>
  <c r="G449"/>
  <c r="F449"/>
  <c r="E449"/>
  <c r="I945"/>
  <c r="G945"/>
  <c r="F945"/>
  <c r="E945"/>
  <c r="I886"/>
  <c r="G886"/>
  <c r="F886"/>
  <c r="E886"/>
  <c r="I1285"/>
  <c r="G1285"/>
  <c r="F1285"/>
  <c r="E1285"/>
  <c r="I1324"/>
  <c r="G1324"/>
  <c r="F1324"/>
  <c r="E1324"/>
  <c r="I1284"/>
  <c r="G1284"/>
  <c r="F1284"/>
  <c r="E1284"/>
  <c r="I1283"/>
  <c r="G1283"/>
  <c r="F1283"/>
  <c r="E1283"/>
  <c r="I1282"/>
  <c r="G1282"/>
  <c r="F1282"/>
  <c r="E1282"/>
  <c r="I589"/>
  <c r="G589"/>
  <c r="F589"/>
  <c r="E589"/>
  <c r="I588"/>
  <c r="G588"/>
  <c r="F588"/>
  <c r="E588"/>
  <c r="I587"/>
  <c r="G587"/>
  <c r="F587"/>
  <c r="E587"/>
  <c r="I586"/>
  <c r="G586"/>
  <c r="F586"/>
  <c r="E586"/>
  <c r="I585"/>
  <c r="G585"/>
  <c r="F585"/>
  <c r="E585"/>
  <c r="I1295"/>
  <c r="G1295"/>
  <c r="F1295"/>
  <c r="E1295"/>
  <c r="I1294"/>
  <c r="G1294"/>
  <c r="F1294"/>
  <c r="E1294"/>
  <c r="I1272"/>
  <c r="G1272"/>
  <c r="F1272"/>
  <c r="E1272"/>
  <c r="I539"/>
  <c r="G539"/>
  <c r="F539"/>
  <c r="E539"/>
  <c r="I1271"/>
  <c r="G1271"/>
  <c r="F1271"/>
  <c r="E1271"/>
  <c r="I1270"/>
  <c r="G1270"/>
  <c r="F1270"/>
  <c r="E1270"/>
  <c r="I1269"/>
  <c r="G1269"/>
  <c r="F1269"/>
  <c r="E1269"/>
  <c r="I1293"/>
  <c r="G1293"/>
  <c r="F1293"/>
  <c r="E1293"/>
  <c r="I1292"/>
  <c r="G1292"/>
  <c r="F1292"/>
  <c r="E1292"/>
  <c r="I582"/>
  <c r="G582"/>
  <c r="F582"/>
  <c r="E582"/>
  <c r="I581"/>
  <c r="G581"/>
  <c r="F581"/>
  <c r="E581"/>
  <c r="I580"/>
  <c r="G580"/>
  <c r="F580"/>
  <c r="E580"/>
  <c r="I579"/>
  <c r="G579"/>
  <c r="F579"/>
  <c r="E579"/>
  <c r="I578"/>
  <c r="G578"/>
  <c r="F578"/>
  <c r="E578"/>
  <c r="I1287"/>
  <c r="G1287"/>
  <c r="F1287"/>
  <c r="E1287"/>
  <c r="I1286"/>
  <c r="G1286"/>
  <c r="F1286"/>
  <c r="E1286"/>
  <c r="I483"/>
  <c r="G483"/>
  <c r="F483"/>
  <c r="E483"/>
  <c r="I474"/>
  <c r="G474"/>
  <c r="F474"/>
  <c r="E474"/>
  <c r="I1259"/>
  <c r="G1259"/>
  <c r="F1259"/>
  <c r="E1259"/>
  <c r="I473"/>
  <c r="G473"/>
  <c r="F473"/>
  <c r="E473"/>
  <c r="I1258"/>
  <c r="G1258"/>
  <c r="F1258"/>
  <c r="E1258"/>
  <c r="I1257"/>
  <c r="G1257"/>
  <c r="F1257"/>
  <c r="E1257"/>
  <c r="I1256"/>
  <c r="G1256"/>
  <c r="F1256"/>
  <c r="E1256"/>
  <c r="I1281"/>
  <c r="G1281"/>
  <c r="F1281"/>
  <c r="E1281"/>
  <c r="I550"/>
  <c r="G550"/>
  <c r="F550"/>
  <c r="E550"/>
  <c r="I552"/>
  <c r="G552"/>
  <c r="F552"/>
  <c r="E552"/>
  <c r="I1278"/>
  <c r="G1278"/>
  <c r="F1278"/>
  <c r="E1278"/>
  <c r="I1277"/>
  <c r="G1277"/>
  <c r="F1277"/>
  <c r="E1277"/>
  <c r="I1297"/>
  <c r="G1297"/>
  <c r="F1297"/>
  <c r="E1297"/>
  <c r="I1296"/>
  <c r="G1296"/>
  <c r="F1296"/>
  <c r="E1296"/>
  <c r="I1274"/>
  <c r="G1274"/>
  <c r="F1274"/>
  <c r="E1274"/>
  <c r="I1273"/>
  <c r="G1273"/>
  <c r="F1273"/>
  <c r="E1273"/>
  <c r="I1246"/>
  <c r="G1246"/>
  <c r="F1246"/>
  <c r="E1246"/>
  <c r="I1322"/>
  <c r="G1322"/>
  <c r="F1322"/>
  <c r="E1322"/>
  <c r="I1245"/>
  <c r="G1245"/>
  <c r="F1245"/>
  <c r="E1245"/>
  <c r="I1244"/>
  <c r="G1244"/>
  <c r="F1244"/>
  <c r="E1244"/>
  <c r="I1243"/>
  <c r="G1243"/>
  <c r="F1243"/>
  <c r="E1243"/>
  <c r="I1268"/>
  <c r="G1268"/>
  <c r="F1268"/>
  <c r="E1268"/>
  <c r="I1267"/>
  <c r="G1267"/>
  <c r="F1267"/>
  <c r="E1267"/>
  <c r="I1266"/>
  <c r="G1266"/>
  <c r="F1266"/>
  <c r="E1266"/>
  <c r="I1265"/>
  <c r="G1265"/>
  <c r="F1265"/>
  <c r="E1265"/>
  <c r="I1264"/>
  <c r="G1264"/>
  <c r="F1264"/>
  <c r="E1264"/>
  <c r="I402"/>
  <c r="G402"/>
  <c r="F402"/>
  <c r="E402"/>
  <c r="I380"/>
  <c r="G380"/>
  <c r="F380"/>
  <c r="E380"/>
  <c r="I1289"/>
  <c r="G1289"/>
  <c r="F1289"/>
  <c r="E1289"/>
  <c r="I407"/>
  <c r="G407"/>
  <c r="F407"/>
  <c r="E407"/>
  <c r="I1288"/>
  <c r="G1288"/>
  <c r="F1288"/>
  <c r="E1288"/>
  <c r="I1321"/>
  <c r="G1321"/>
  <c r="F1321"/>
  <c r="E1321"/>
  <c r="I1319"/>
  <c r="G1319"/>
  <c r="F1319"/>
  <c r="E1319"/>
  <c r="I1320"/>
  <c r="G1320"/>
  <c r="F1320"/>
  <c r="E1320"/>
  <c r="I1318"/>
  <c r="G1318"/>
  <c r="F1318"/>
  <c r="E1318"/>
  <c r="I1261"/>
  <c r="G1261"/>
  <c r="F1261"/>
  <c r="E1261"/>
  <c r="I1260"/>
  <c r="G1260"/>
  <c r="F1260"/>
  <c r="E1260"/>
  <c r="I1233"/>
  <c r="G1233"/>
  <c r="F1233"/>
  <c r="E1233"/>
  <c r="I1232"/>
  <c r="G1232"/>
  <c r="F1232"/>
  <c r="E1232"/>
  <c r="I1231"/>
  <c r="G1231"/>
  <c r="F1231"/>
  <c r="E1231"/>
  <c r="I1230"/>
  <c r="G1230"/>
  <c r="F1230"/>
  <c r="E1230"/>
  <c r="I1255"/>
  <c r="G1255"/>
  <c r="F1255"/>
  <c r="E1255"/>
  <c r="I1254"/>
  <c r="G1254"/>
  <c r="F1254"/>
  <c r="E1254"/>
  <c r="I1300"/>
  <c r="G1300"/>
  <c r="F1300"/>
  <c r="E1300"/>
  <c r="I1253"/>
  <c r="G1253"/>
  <c r="F1253"/>
  <c r="E1253"/>
  <c r="I1252"/>
  <c r="G1252"/>
  <c r="F1252"/>
  <c r="E1252"/>
  <c r="I1251"/>
  <c r="G1251"/>
  <c r="F1251"/>
  <c r="E1251"/>
  <c r="I1276"/>
  <c r="G1276"/>
  <c r="F1276"/>
  <c r="E1276"/>
  <c r="I1275"/>
  <c r="G1275"/>
  <c r="F1275"/>
  <c r="E1275"/>
  <c r="I1315"/>
  <c r="G1315"/>
  <c r="F1315"/>
  <c r="E1315"/>
  <c r="I1316"/>
  <c r="G1316"/>
  <c r="F1316"/>
  <c r="E1316"/>
  <c r="I1317"/>
  <c r="G1317"/>
  <c r="F1317"/>
  <c r="E1317"/>
  <c r="I1248"/>
  <c r="G1248"/>
  <c r="F1248"/>
  <c r="E1248"/>
  <c r="I1326"/>
  <c r="G1326"/>
  <c r="F1326"/>
  <c r="E1326"/>
  <c r="I1327"/>
  <c r="G1327"/>
  <c r="F1327"/>
  <c r="E1327"/>
  <c r="I1301"/>
  <c r="G1301"/>
  <c r="F1301"/>
  <c r="E1301"/>
  <c r="I1247"/>
  <c r="G1247"/>
  <c r="F1247"/>
  <c r="E1247"/>
  <c r="I1220"/>
  <c r="G1220"/>
  <c r="F1220"/>
  <c r="E1220"/>
  <c r="I1219"/>
  <c r="G1219"/>
  <c r="F1219"/>
  <c r="E1219"/>
  <c r="I1328"/>
  <c r="G1328"/>
  <c r="F1328"/>
  <c r="E1328"/>
  <c r="I1302"/>
  <c r="G1302"/>
  <c r="F1302"/>
  <c r="E1302"/>
  <c r="I1303"/>
  <c r="G1303"/>
  <c r="F1303"/>
  <c r="E1303"/>
  <c r="I1299"/>
  <c r="G1299"/>
  <c r="F1299"/>
  <c r="E1299"/>
  <c r="I1240"/>
  <c r="G1240"/>
  <c r="F1240"/>
  <c r="E1240"/>
  <c r="I537"/>
  <c r="G537"/>
  <c r="F537"/>
  <c r="E537"/>
  <c r="I1239"/>
  <c r="G1239"/>
  <c r="F1239"/>
  <c r="E1239"/>
  <c r="I1238"/>
  <c r="G1238"/>
  <c r="F1238"/>
  <c r="E1238"/>
  <c r="I386"/>
  <c r="G386"/>
  <c r="F386"/>
  <c r="E386"/>
  <c r="I1263"/>
  <c r="G1263"/>
  <c r="F1263"/>
  <c r="E1263"/>
  <c r="I1262"/>
  <c r="G1262"/>
  <c r="F1262"/>
  <c r="E1262"/>
  <c r="I1236"/>
  <c r="G1236"/>
  <c r="F1236"/>
  <c r="E1236"/>
  <c r="I1235"/>
  <c r="G1235"/>
  <c r="F1235"/>
  <c r="E1235"/>
  <c r="I1234"/>
  <c r="G1234"/>
  <c r="F1234"/>
  <c r="E1234"/>
  <c r="I1207"/>
  <c r="G1207"/>
  <c r="F1207"/>
  <c r="E1207"/>
  <c r="I1206"/>
  <c r="G1206"/>
  <c r="F1206"/>
  <c r="E1206"/>
  <c r="I1205"/>
  <c r="G1205"/>
  <c r="F1205"/>
  <c r="E1205"/>
  <c r="I1229"/>
  <c r="G1229"/>
  <c r="F1229"/>
  <c r="E1229"/>
  <c r="I1228"/>
  <c r="G1228"/>
  <c r="F1228"/>
  <c r="E1228"/>
  <c r="I1227"/>
  <c r="G1227"/>
  <c r="F1227"/>
  <c r="E1227"/>
  <c r="I1226"/>
  <c r="G1226"/>
  <c r="F1226"/>
  <c r="E1226"/>
  <c r="I1225"/>
  <c r="G1225"/>
  <c r="F1225"/>
  <c r="E1225"/>
  <c r="I1250"/>
  <c r="G1250"/>
  <c r="F1250"/>
  <c r="E1250"/>
  <c r="I1249"/>
  <c r="G1249"/>
  <c r="F1249"/>
  <c r="E1249"/>
  <c r="I1224"/>
  <c r="G1224"/>
  <c r="F1224"/>
  <c r="E1224"/>
  <c r="I1223"/>
  <c r="G1223"/>
  <c r="F1223"/>
  <c r="E1223"/>
  <c r="I1222"/>
  <c r="G1222"/>
  <c r="F1222"/>
  <c r="E1222"/>
  <c r="I1221"/>
  <c r="G1221"/>
  <c r="F1221"/>
  <c r="E1221"/>
  <c r="I1194"/>
  <c r="G1194"/>
  <c r="F1194"/>
  <c r="E1194"/>
  <c r="I1193"/>
  <c r="G1193"/>
  <c r="F1193"/>
  <c r="E1193"/>
  <c r="I1216"/>
  <c r="G1216"/>
  <c r="F1216"/>
  <c r="E1216"/>
  <c r="I1215"/>
  <c r="G1215"/>
  <c r="F1215"/>
  <c r="E1215"/>
  <c r="I1214"/>
  <c r="G1214"/>
  <c r="F1214"/>
  <c r="E1214"/>
  <c r="I1213"/>
  <c r="G1213"/>
  <c r="F1213"/>
  <c r="E1213"/>
  <c r="I1212"/>
  <c r="G1212"/>
  <c r="F1212"/>
  <c r="E1212"/>
  <c r="I1237"/>
  <c r="G1237"/>
  <c r="F1237"/>
  <c r="E1237"/>
  <c r="I1314"/>
  <c r="G1314"/>
  <c r="F1314"/>
  <c r="E1314"/>
  <c r="I1313"/>
  <c r="G1313"/>
  <c r="F1313"/>
  <c r="E1313"/>
  <c r="I1186"/>
  <c r="G1186"/>
  <c r="F1186"/>
  <c r="E1186"/>
  <c r="I1211"/>
  <c r="G1211"/>
  <c r="F1211"/>
  <c r="E1211"/>
  <c r="I1210"/>
  <c r="G1210"/>
  <c r="F1210"/>
  <c r="E1210"/>
  <c r="I475"/>
  <c r="G475"/>
  <c r="F475"/>
  <c r="E475"/>
  <c r="I476"/>
  <c r="G476"/>
  <c r="F476"/>
  <c r="E476"/>
  <c r="I463"/>
  <c r="G463"/>
  <c r="F463"/>
  <c r="E463"/>
  <c r="I497"/>
  <c r="G497"/>
  <c r="F497"/>
  <c r="E497"/>
  <c r="I444"/>
  <c r="G444"/>
  <c r="F444"/>
  <c r="I466"/>
  <c r="G466"/>
  <c r="F466"/>
  <c r="E466"/>
  <c r="I1208"/>
  <c r="G1208"/>
  <c r="F1208"/>
  <c r="E1208"/>
  <c r="I1181"/>
  <c r="G1181"/>
  <c r="F1181"/>
  <c r="E1181"/>
  <c r="I1180"/>
  <c r="G1180"/>
  <c r="F1180"/>
  <c r="E1180"/>
  <c r="I1204"/>
  <c r="G1204"/>
  <c r="F1204"/>
  <c r="E1204"/>
  <c r="I1203"/>
  <c r="G1203"/>
  <c r="F1203"/>
  <c r="E1203"/>
  <c r="I1202"/>
  <c r="G1202"/>
  <c r="F1202"/>
  <c r="E1202"/>
  <c r="I1201"/>
  <c r="G1201"/>
  <c r="F1201"/>
  <c r="E1201"/>
  <c r="I1200"/>
  <c r="G1200"/>
  <c r="F1200"/>
  <c r="E1200"/>
  <c r="I1199"/>
  <c r="G1199"/>
  <c r="F1199"/>
  <c r="E1199"/>
  <c r="I1175"/>
  <c r="G1175"/>
  <c r="F1175"/>
  <c r="E1175"/>
  <c r="I1190"/>
  <c r="G1190"/>
  <c r="F1190"/>
  <c r="E1190"/>
  <c r="I1188"/>
  <c r="G1188"/>
  <c r="F1188"/>
  <c r="E1188"/>
  <c r="I1187"/>
  <c r="G1187"/>
  <c r="F1187"/>
  <c r="E1187"/>
  <c r="I1159"/>
  <c r="G1159"/>
  <c r="F1159"/>
  <c r="E1159"/>
  <c r="I1179"/>
  <c r="G1179"/>
  <c r="F1179"/>
  <c r="E1179"/>
  <c r="I1178"/>
  <c r="G1178"/>
  <c r="F1178"/>
  <c r="E1178"/>
  <c r="I1177"/>
  <c r="G1177"/>
  <c r="F1177"/>
  <c r="E1177"/>
  <c r="I1176"/>
  <c r="G1176"/>
  <c r="F1176"/>
  <c r="E1176"/>
  <c r="I1153"/>
  <c r="G1153"/>
  <c r="F1153"/>
  <c r="E1153"/>
  <c r="I1152"/>
  <c r="G1152"/>
  <c r="F1152"/>
  <c r="E1152"/>
  <c r="I1151"/>
  <c r="G1151"/>
  <c r="F1151"/>
  <c r="E1151"/>
  <c r="I1150"/>
  <c r="G1150"/>
  <c r="F1150"/>
  <c r="E1150"/>
  <c r="I1174"/>
  <c r="G1174"/>
  <c r="F1174"/>
  <c r="E1174"/>
  <c r="I1173"/>
  <c r="G1173"/>
  <c r="F1173"/>
  <c r="E1173"/>
  <c r="I1172"/>
  <c r="G1172"/>
  <c r="F1172"/>
  <c r="E1172"/>
  <c r="I1148"/>
  <c r="G1148"/>
  <c r="F1148"/>
  <c r="E1148"/>
  <c r="I1169"/>
  <c r="G1169"/>
  <c r="F1169"/>
  <c r="E1169"/>
  <c r="I1168"/>
  <c r="G1168"/>
  <c r="F1168"/>
  <c r="E1168"/>
  <c r="I1167"/>
  <c r="G1167"/>
  <c r="F1167"/>
  <c r="E1167"/>
  <c r="I1166"/>
  <c r="G1166"/>
  <c r="F1166"/>
  <c r="E1166"/>
  <c r="I1165"/>
  <c r="G1165"/>
  <c r="F1165"/>
  <c r="E1165"/>
  <c r="I1143"/>
  <c r="G1143"/>
  <c r="F1143"/>
  <c r="E1143"/>
  <c r="I1142"/>
  <c r="G1142"/>
  <c r="F1142"/>
  <c r="E1142"/>
  <c r="I1141"/>
  <c r="G1141"/>
  <c r="F1141"/>
  <c r="E1141"/>
  <c r="I1140"/>
  <c r="G1140"/>
  <c r="F1140"/>
  <c r="E1140"/>
  <c r="I1162"/>
  <c r="G1162"/>
  <c r="F1162"/>
  <c r="E1162"/>
  <c r="I1161"/>
  <c r="G1161"/>
  <c r="F1161"/>
  <c r="E1161"/>
  <c r="I1160"/>
  <c r="G1160"/>
  <c r="F1160"/>
  <c r="E1160"/>
  <c r="I1158"/>
  <c r="G1158"/>
  <c r="F1158"/>
  <c r="E1158"/>
  <c r="I1157"/>
  <c r="G1157"/>
  <c r="F1157"/>
  <c r="E1157"/>
  <c r="I1156"/>
  <c r="G1156"/>
  <c r="F1156"/>
  <c r="E1156"/>
  <c r="I1155"/>
  <c r="G1155"/>
  <c r="F1155"/>
  <c r="E1155"/>
  <c r="I1154"/>
  <c r="G1154"/>
  <c r="F1154"/>
  <c r="E1154"/>
  <c r="I1133"/>
  <c r="G1133"/>
  <c r="F1133"/>
  <c r="E1133"/>
  <c r="I1132"/>
  <c r="G1132"/>
  <c r="F1132"/>
  <c r="E1132"/>
  <c r="I1131"/>
  <c r="G1131"/>
  <c r="F1131"/>
  <c r="E1131"/>
  <c r="I1130"/>
  <c r="G1130"/>
  <c r="F1130"/>
  <c r="E1130"/>
  <c r="I1129"/>
  <c r="G1129"/>
  <c r="F1129"/>
  <c r="E1129"/>
  <c r="I1128"/>
  <c r="G1128"/>
  <c r="F1128"/>
  <c r="E1128"/>
  <c r="I1149"/>
  <c r="G1149"/>
  <c r="F1149"/>
  <c r="E1149"/>
  <c r="I1147"/>
  <c r="G1147"/>
  <c r="F1147"/>
  <c r="E1147"/>
  <c r="I1146"/>
  <c r="G1146"/>
  <c r="F1146"/>
  <c r="E1146"/>
  <c r="I1145"/>
  <c r="G1145"/>
  <c r="F1145"/>
  <c r="E1145"/>
  <c r="I1144"/>
  <c r="G1144"/>
  <c r="F1144"/>
  <c r="E1144"/>
  <c r="I1120"/>
  <c r="G1120"/>
  <c r="F1120"/>
  <c r="E1120"/>
  <c r="I1119"/>
  <c r="G1119"/>
  <c r="F1119"/>
  <c r="E1119"/>
  <c r="I1118"/>
  <c r="G1118"/>
  <c r="F1118"/>
  <c r="E1118"/>
  <c r="I1117"/>
  <c r="G1117"/>
  <c r="F1117"/>
  <c r="E1117"/>
  <c r="I1209"/>
  <c r="G1209"/>
  <c r="F1209"/>
  <c r="E1209"/>
  <c r="I1116"/>
  <c r="G1116"/>
  <c r="F1116"/>
  <c r="E1116"/>
  <c r="I1115"/>
  <c r="G1115"/>
  <c r="F1115"/>
  <c r="E1115"/>
  <c r="I1139"/>
  <c r="G1139"/>
  <c r="F1139"/>
  <c r="E1139"/>
  <c r="I1138"/>
  <c r="G1138"/>
  <c r="F1138"/>
  <c r="E1138"/>
  <c r="I1137"/>
  <c r="G1137"/>
  <c r="F1137"/>
  <c r="E1137"/>
  <c r="I1136"/>
  <c r="G1136"/>
  <c r="F1136"/>
  <c r="E1136"/>
  <c r="I1135"/>
  <c r="G1135"/>
  <c r="F1135"/>
  <c r="E1135"/>
  <c r="I1134"/>
  <c r="G1134"/>
  <c r="F1134"/>
  <c r="E1134"/>
  <c r="I1107"/>
  <c r="G1107"/>
  <c r="F1107"/>
  <c r="E1107"/>
  <c r="I1106"/>
  <c r="G1106"/>
  <c r="F1106"/>
  <c r="E1106"/>
  <c r="I1105"/>
  <c r="G1105"/>
  <c r="F1105"/>
  <c r="E1105"/>
  <c r="I1104"/>
  <c r="G1104"/>
  <c r="F1104"/>
  <c r="E1104"/>
  <c r="I1103"/>
  <c r="G1103"/>
  <c r="F1103"/>
  <c r="E1103"/>
  <c r="I556"/>
  <c r="G556"/>
  <c r="F556"/>
  <c r="E556"/>
  <c r="I557"/>
  <c r="G557"/>
  <c r="F557"/>
  <c r="E557"/>
  <c r="I415"/>
  <c r="G415"/>
  <c r="F415"/>
  <c r="E415"/>
  <c r="I1126"/>
  <c r="G1126"/>
  <c r="F1126"/>
  <c r="E1126"/>
  <c r="I1125"/>
  <c r="G1125"/>
  <c r="F1125"/>
  <c r="E1125"/>
  <c r="I1124"/>
  <c r="G1124"/>
  <c r="F1124"/>
  <c r="E1124"/>
  <c r="I1123"/>
  <c r="G1123"/>
  <c r="F1123"/>
  <c r="E1123"/>
  <c r="I447"/>
  <c r="G447"/>
  <c r="F447"/>
  <c r="E447"/>
  <c r="I1122"/>
  <c r="G1122"/>
  <c r="F1122"/>
  <c r="E1122"/>
  <c r="I382"/>
  <c r="G382"/>
  <c r="F382"/>
  <c r="E382"/>
  <c r="I1121"/>
  <c r="G1121"/>
  <c r="F1121"/>
  <c r="E1121"/>
  <c r="I565"/>
  <c r="G565"/>
  <c r="F565"/>
  <c r="E565"/>
  <c r="I516"/>
  <c r="G516"/>
  <c r="F516"/>
  <c r="E516"/>
  <c r="I1095"/>
  <c r="G1095"/>
  <c r="F1095"/>
  <c r="E1095"/>
  <c r="I1094"/>
  <c r="G1094"/>
  <c r="F1094"/>
  <c r="E1094"/>
  <c r="I456"/>
  <c r="G456"/>
  <c r="F456"/>
  <c r="E456"/>
  <c r="I482"/>
  <c r="G482"/>
  <c r="F482"/>
  <c r="E482"/>
  <c r="I360"/>
  <c r="G360"/>
  <c r="F360"/>
  <c r="E360"/>
  <c r="I405"/>
  <c r="G405"/>
  <c r="F405"/>
  <c r="E405"/>
  <c r="I494"/>
  <c r="G494"/>
  <c r="F494"/>
  <c r="E494"/>
  <c r="I1093"/>
  <c r="G1093"/>
  <c r="F1093"/>
  <c r="E1093"/>
  <c r="I1092"/>
  <c r="G1092"/>
  <c r="F1092"/>
  <c r="E1092"/>
  <c r="I1091"/>
  <c r="G1091"/>
  <c r="F1091"/>
  <c r="E1091"/>
  <c r="I1090"/>
  <c r="G1090"/>
  <c r="F1090"/>
  <c r="E1090"/>
  <c r="I541"/>
  <c r="G541"/>
  <c r="F541"/>
  <c r="E541"/>
  <c r="I393"/>
  <c r="G393"/>
  <c r="F393"/>
  <c r="E393"/>
  <c r="I459"/>
  <c r="G459"/>
  <c r="F459"/>
  <c r="E459"/>
  <c r="I458"/>
  <c r="G458"/>
  <c r="F458"/>
  <c r="E458"/>
  <c r="I481"/>
  <c r="G481"/>
  <c r="F481"/>
  <c r="E481"/>
  <c r="I1114"/>
  <c r="G1114"/>
  <c r="F1114"/>
  <c r="E1114"/>
  <c r="I562"/>
  <c r="G562"/>
  <c r="F562"/>
  <c r="E562"/>
  <c r="I480"/>
  <c r="G480"/>
  <c r="F480"/>
  <c r="E480"/>
  <c r="I493"/>
  <c r="G493"/>
  <c r="F493"/>
  <c r="E493"/>
  <c r="I356"/>
  <c r="G356"/>
  <c r="F356"/>
  <c r="E356"/>
  <c r="I401"/>
  <c r="G401"/>
  <c r="F401"/>
  <c r="E401"/>
  <c r="I1113"/>
  <c r="G1113"/>
  <c r="F1113"/>
  <c r="E1113"/>
  <c r="I1112"/>
  <c r="G1112"/>
  <c r="F1112"/>
  <c r="E1112"/>
  <c r="I531"/>
  <c r="G531"/>
  <c r="F531"/>
  <c r="E531"/>
  <c r="I1111"/>
  <c r="G1111"/>
  <c r="F1111"/>
  <c r="E1111"/>
  <c r="I1110"/>
  <c r="G1110"/>
  <c r="F1110"/>
  <c r="E1110"/>
  <c r="I1109"/>
  <c r="G1109"/>
  <c r="F1109"/>
  <c r="E1109"/>
  <c r="I487"/>
  <c r="G487"/>
  <c r="F487"/>
  <c r="E487"/>
  <c r="I488"/>
  <c r="G488"/>
  <c r="F488"/>
  <c r="E488"/>
  <c r="I486"/>
  <c r="G486"/>
  <c r="F486"/>
  <c r="E486"/>
  <c r="I560"/>
  <c r="G560"/>
  <c r="F560"/>
  <c r="E560"/>
  <c r="I1082"/>
  <c r="G1082"/>
  <c r="F1082"/>
  <c r="E1082"/>
  <c r="I1081"/>
  <c r="G1081"/>
  <c r="F1081"/>
  <c r="E1081"/>
  <c r="I479"/>
  <c r="G479"/>
  <c r="F479"/>
  <c r="E479"/>
  <c r="I451"/>
  <c r="G451"/>
  <c r="F451"/>
  <c r="E451"/>
  <c r="I452"/>
  <c r="G452"/>
  <c r="F452"/>
  <c r="E452"/>
  <c r="I450"/>
  <c r="G450"/>
  <c r="F450"/>
  <c r="E450"/>
  <c r="I472"/>
  <c r="G472"/>
  <c r="F472"/>
  <c r="E472"/>
  <c r="I1080"/>
  <c r="G1080"/>
  <c r="F1080"/>
  <c r="E1080"/>
  <c r="I1079"/>
  <c r="G1079"/>
  <c r="F1079"/>
  <c r="E1079"/>
  <c r="I427"/>
  <c r="G427"/>
  <c r="F427"/>
  <c r="E427"/>
  <c r="I547"/>
  <c r="G547"/>
  <c r="F547"/>
  <c r="E547"/>
  <c r="I428"/>
  <c r="G428"/>
  <c r="F428"/>
  <c r="E428"/>
  <c r="I1078"/>
  <c r="G1078"/>
  <c r="F1078"/>
  <c r="E1078"/>
  <c r="I364"/>
  <c r="G364"/>
  <c r="F364"/>
  <c r="E364"/>
  <c r="I409"/>
  <c r="G409"/>
  <c r="F409"/>
  <c r="E409"/>
  <c r="I485"/>
  <c r="G485"/>
  <c r="F485"/>
  <c r="E485"/>
  <c r="I467"/>
  <c r="G467"/>
  <c r="F467"/>
  <c r="E467"/>
  <c r="I1077"/>
  <c r="G1077"/>
  <c r="F1077"/>
  <c r="E1077"/>
  <c r="I1102"/>
  <c r="G1102"/>
  <c r="F1102"/>
  <c r="E1102"/>
  <c r="I1101"/>
  <c r="G1101"/>
  <c r="F1101"/>
  <c r="E1101"/>
  <c r="I1100"/>
  <c r="G1100"/>
  <c r="F1100"/>
  <c r="E1100"/>
  <c r="I1099"/>
  <c r="G1099"/>
  <c r="F1099"/>
  <c r="E1099"/>
  <c r="I400"/>
  <c r="G400"/>
  <c r="F400"/>
  <c r="E400"/>
  <c r="I1098"/>
  <c r="G1098"/>
  <c r="F1098"/>
  <c r="E1098"/>
  <c r="I399"/>
  <c r="G399"/>
  <c r="F399"/>
  <c r="E399"/>
  <c r="I1097"/>
  <c r="G1097"/>
  <c r="F1097"/>
  <c r="E1097"/>
  <c r="I1096"/>
  <c r="G1096"/>
  <c r="F1096"/>
  <c r="E1096"/>
  <c r="I1070"/>
  <c r="G1070"/>
  <c r="F1070"/>
  <c r="E1070"/>
  <c r="I1069"/>
  <c r="G1069"/>
  <c r="F1069"/>
  <c r="E1069"/>
  <c r="I1068"/>
  <c r="G1068"/>
  <c r="F1068"/>
  <c r="E1068"/>
  <c r="I1067"/>
  <c r="G1067"/>
  <c r="F1067"/>
  <c r="E1067"/>
  <c r="I1066"/>
  <c r="G1066"/>
  <c r="F1066"/>
  <c r="E1066"/>
  <c r="I1054"/>
  <c r="G1054"/>
  <c r="F1054"/>
  <c r="E1054"/>
  <c r="I1053"/>
  <c r="G1053"/>
  <c r="F1053"/>
  <c r="E1053"/>
  <c r="I1052"/>
  <c r="G1052"/>
  <c r="F1052"/>
  <c r="E1052"/>
  <c r="I1051"/>
  <c r="G1051"/>
  <c r="F1051"/>
  <c r="E1051"/>
  <c r="I1076"/>
  <c r="G1076"/>
  <c r="F1076"/>
  <c r="E1076"/>
  <c r="I1075"/>
  <c r="G1075"/>
  <c r="F1075"/>
  <c r="E1075"/>
  <c r="I1074"/>
  <c r="G1074"/>
  <c r="F1074"/>
  <c r="E1074"/>
  <c r="I559"/>
  <c r="G559"/>
  <c r="F559"/>
  <c r="E559"/>
  <c r="I1073"/>
  <c r="G1073"/>
  <c r="F1073"/>
  <c r="E1073"/>
  <c r="I558"/>
  <c r="G558"/>
  <c r="F558"/>
  <c r="E558"/>
  <c r="I1072"/>
  <c r="G1072"/>
  <c r="F1072"/>
  <c r="E1072"/>
  <c r="I1071"/>
  <c r="G1071"/>
  <c r="F1071"/>
  <c r="E1071"/>
  <c r="I1045"/>
  <c r="G1045"/>
  <c r="F1045"/>
  <c r="E1045"/>
  <c r="I1044"/>
  <c r="G1044"/>
  <c r="F1044"/>
  <c r="E1044"/>
  <c r="I1043"/>
  <c r="G1043"/>
  <c r="F1043"/>
  <c r="E1043"/>
  <c r="I1042"/>
  <c r="G1042"/>
  <c r="F1042"/>
  <c r="E1042"/>
  <c r="I357"/>
  <c r="G357"/>
  <c r="F357"/>
  <c r="E357"/>
  <c r="I358"/>
  <c r="G358"/>
  <c r="F358"/>
  <c r="E358"/>
  <c r="I384"/>
  <c r="G384"/>
  <c r="F384"/>
  <c r="E384"/>
  <c r="I383"/>
  <c r="G383"/>
  <c r="F383"/>
  <c r="E383"/>
  <c r="I513"/>
  <c r="G513"/>
  <c r="F513"/>
  <c r="E513"/>
  <c r="I1047"/>
  <c r="G1047"/>
  <c r="F1047"/>
  <c r="E1047"/>
  <c r="I412"/>
  <c r="G412"/>
  <c r="F412"/>
  <c r="E412"/>
  <c r="I1046"/>
  <c r="G1046"/>
  <c r="F1046"/>
  <c r="E1046"/>
  <c r="I548"/>
  <c r="G548"/>
  <c r="F548"/>
  <c r="E548"/>
  <c r="I1020"/>
  <c r="G1020"/>
  <c r="F1020"/>
  <c r="E1020"/>
  <c r="I366"/>
  <c r="G366"/>
  <c r="F366"/>
  <c r="E366"/>
  <c r="I404"/>
  <c r="G404"/>
  <c r="F404"/>
  <c r="E404"/>
  <c r="I430"/>
  <c r="G430"/>
  <c r="F430"/>
  <c r="E430"/>
  <c r="I441"/>
  <c r="G441"/>
  <c r="F441"/>
  <c r="E441"/>
  <c r="I440"/>
  <c r="G440"/>
  <c r="F440"/>
  <c r="E440"/>
  <c r="I468"/>
  <c r="G468"/>
  <c r="F468"/>
  <c r="E468"/>
  <c r="I969"/>
  <c r="G969"/>
  <c r="F969"/>
  <c r="E969"/>
  <c r="I968"/>
  <c r="G968"/>
  <c r="F968"/>
  <c r="E968"/>
  <c r="I967"/>
  <c r="G967"/>
  <c r="F967"/>
  <c r="E967"/>
  <c r="I966"/>
  <c r="G966"/>
  <c r="F966"/>
  <c r="E966"/>
  <c r="I445"/>
  <c r="G445"/>
  <c r="F445"/>
  <c r="E445"/>
  <c r="I965"/>
  <c r="G965"/>
  <c r="F965"/>
  <c r="E965"/>
  <c r="I964"/>
  <c r="G964"/>
  <c r="F964"/>
  <c r="E964"/>
  <c r="I963"/>
  <c r="G963"/>
  <c r="F963"/>
  <c r="E963"/>
  <c r="I498"/>
  <c r="G498"/>
  <c r="F498"/>
  <c r="E498"/>
  <c r="I418"/>
  <c r="G418"/>
  <c r="F418"/>
  <c r="E418"/>
  <c r="I398"/>
  <c r="G398"/>
  <c r="F398"/>
  <c r="E398"/>
  <c r="I1011"/>
  <c r="G1011"/>
  <c r="F1011"/>
  <c r="E1011"/>
  <c r="I395"/>
  <c r="G395"/>
  <c r="F395"/>
  <c r="E395"/>
  <c r="I492"/>
  <c r="G492"/>
  <c r="F492"/>
  <c r="E492"/>
  <c r="I411"/>
  <c r="G411"/>
  <c r="F411"/>
  <c r="E411"/>
  <c r="I1010"/>
  <c r="G1010"/>
  <c r="F1010"/>
  <c r="E1010"/>
  <c r="I373"/>
  <c r="G373"/>
  <c r="F373"/>
  <c r="E373"/>
  <c r="I553"/>
  <c r="G553"/>
  <c r="F553"/>
  <c r="E553"/>
  <c r="I919"/>
  <c r="G919"/>
  <c r="F919"/>
  <c r="E919"/>
  <c r="I376"/>
  <c r="G376"/>
  <c r="F376"/>
  <c r="E376"/>
  <c r="I918"/>
  <c r="G918"/>
  <c r="F918"/>
  <c r="E918"/>
  <c r="I917"/>
  <c r="G917"/>
  <c r="F917"/>
  <c r="E917"/>
  <c r="I916"/>
  <c r="G916"/>
  <c r="F916"/>
  <c r="E916"/>
  <c r="I915"/>
  <c r="G915"/>
  <c r="F915"/>
  <c r="E915"/>
  <c r="I914"/>
  <c r="G914"/>
  <c r="F914"/>
  <c r="E914"/>
  <c r="I913"/>
  <c r="G913"/>
  <c r="F913"/>
  <c r="E913"/>
  <c r="I443"/>
  <c r="G443"/>
  <c r="F443"/>
  <c r="E443"/>
  <c r="I962"/>
  <c r="G962"/>
  <c r="F962"/>
  <c r="E962"/>
  <c r="I961"/>
  <c r="G961"/>
  <c r="F961"/>
  <c r="E961"/>
  <c r="I934"/>
  <c r="G934"/>
  <c r="F934"/>
  <c r="E934"/>
  <c r="I933"/>
  <c r="G933"/>
  <c r="F933"/>
  <c r="E933"/>
  <c r="I932"/>
  <c r="G932"/>
  <c r="F932"/>
  <c r="E932"/>
  <c r="I908"/>
  <c r="G908"/>
  <c r="F908"/>
  <c r="E908"/>
  <c r="I907"/>
  <c r="G907"/>
  <c r="F907"/>
  <c r="E907"/>
  <c r="I906"/>
  <c r="G906"/>
  <c r="F906"/>
  <c r="E906"/>
  <c r="I905"/>
  <c r="G905"/>
  <c r="F905"/>
  <c r="E905"/>
  <c r="I904"/>
  <c r="G904"/>
  <c r="F904"/>
  <c r="E904"/>
  <c r="I903"/>
  <c r="G903"/>
  <c r="F903"/>
  <c r="E903"/>
  <c r="I496"/>
  <c r="G496"/>
  <c r="F496"/>
  <c r="E496"/>
  <c r="I902"/>
  <c r="G902"/>
  <c r="F902"/>
  <c r="E902"/>
  <c r="I417"/>
  <c r="G417"/>
  <c r="F417"/>
  <c r="E417"/>
  <c r="I901"/>
  <c r="G901"/>
  <c r="F901"/>
  <c r="E901"/>
  <c r="I949"/>
  <c r="G949"/>
  <c r="F949"/>
  <c r="E949"/>
  <c r="I948"/>
  <c r="G948"/>
  <c r="F948"/>
  <c r="E948"/>
  <c r="I922"/>
  <c r="G922"/>
  <c r="F922"/>
  <c r="E922"/>
  <c r="I921"/>
  <c r="G921"/>
  <c r="F921"/>
  <c r="E921"/>
  <c r="I410"/>
  <c r="G410"/>
  <c r="F410"/>
  <c r="E410"/>
  <c r="I920"/>
  <c r="G920"/>
  <c r="F920"/>
  <c r="E920"/>
  <c r="I437"/>
  <c r="G437"/>
  <c r="F437"/>
  <c r="E437"/>
  <c r="I977"/>
  <c r="G977"/>
  <c r="F977"/>
  <c r="E977"/>
  <c r="I895"/>
  <c r="G895"/>
  <c r="F895"/>
  <c r="E895"/>
  <c r="I1323"/>
  <c r="G1323"/>
  <c r="F1323"/>
  <c r="E1323"/>
  <c r="I439"/>
  <c r="G439"/>
  <c r="F439"/>
  <c r="E439"/>
  <c r="I894"/>
  <c r="G894"/>
  <c r="F894"/>
  <c r="E894"/>
  <c r="I419"/>
  <c r="G419"/>
  <c r="F419"/>
  <c r="E419"/>
  <c r="I893"/>
  <c r="G893"/>
  <c r="F893"/>
  <c r="E893"/>
  <c r="I892"/>
  <c r="G892"/>
  <c r="F892"/>
  <c r="E892"/>
  <c r="I891"/>
  <c r="G891"/>
  <c r="F891"/>
  <c r="E891"/>
  <c r="I438"/>
  <c r="G438"/>
  <c r="F438"/>
  <c r="E438"/>
  <c r="I890"/>
  <c r="G890"/>
  <c r="F890"/>
  <c r="E890"/>
  <c r="I911"/>
  <c r="G911"/>
  <c r="F911"/>
  <c r="E911"/>
  <c r="I936"/>
  <c r="G936"/>
  <c r="F936"/>
  <c r="E936"/>
  <c r="I935"/>
  <c r="G935"/>
  <c r="F935"/>
  <c r="E935"/>
  <c r="I1311"/>
  <c r="G1311"/>
  <c r="F1311"/>
  <c r="E1311"/>
  <c r="I1310"/>
  <c r="G1310"/>
  <c r="F1310"/>
  <c r="E1310"/>
  <c r="I1309"/>
  <c r="G1309"/>
  <c r="F1309"/>
  <c r="E1309"/>
  <c r="I416"/>
  <c r="G416"/>
  <c r="F416"/>
  <c r="E416"/>
  <c r="I882"/>
  <c r="G882"/>
  <c r="F882"/>
  <c r="E882"/>
  <c r="I881"/>
  <c r="G881"/>
  <c r="F881"/>
  <c r="E881"/>
  <c r="I413"/>
  <c r="G413"/>
  <c r="F413"/>
  <c r="E413"/>
  <c r="I880"/>
  <c r="G880"/>
  <c r="F880"/>
  <c r="E880"/>
  <c r="I900"/>
  <c r="G900"/>
  <c r="F900"/>
  <c r="E900"/>
  <c r="I899"/>
  <c r="G899"/>
  <c r="F899"/>
  <c r="E899"/>
  <c r="I923"/>
  <c r="G923"/>
  <c r="F923"/>
  <c r="E923"/>
  <c r="I897"/>
  <c r="G897"/>
  <c r="F897"/>
  <c r="E897"/>
  <c r="I896"/>
  <c r="G896"/>
  <c r="F896"/>
  <c r="E896"/>
  <c r="I874"/>
  <c r="G874"/>
  <c r="F874"/>
  <c r="E874"/>
  <c r="I815"/>
  <c r="G815"/>
  <c r="F815"/>
  <c r="E815"/>
  <c r="I841"/>
  <c r="G841"/>
  <c r="F841"/>
  <c r="E841"/>
  <c r="I813"/>
  <c r="G813"/>
  <c r="F813"/>
  <c r="E813"/>
  <c r="I812"/>
  <c r="G812"/>
  <c r="F812"/>
  <c r="E812"/>
  <c r="I811"/>
  <c r="G811"/>
  <c r="F811"/>
  <c r="E811"/>
  <c r="I785"/>
  <c r="G785"/>
  <c r="F785"/>
  <c r="E785"/>
  <c r="I784"/>
  <c r="G784"/>
  <c r="F784"/>
  <c r="E784"/>
  <c r="I414"/>
  <c r="G414"/>
  <c r="F414"/>
  <c r="E414"/>
  <c r="I783"/>
  <c r="G783"/>
  <c r="F783"/>
  <c r="E783"/>
  <c r="I781"/>
  <c r="G781"/>
  <c r="F781"/>
  <c r="E781"/>
  <c r="I478"/>
  <c r="G478"/>
  <c r="F478"/>
  <c r="E478"/>
  <c r="I396"/>
  <c r="G396"/>
  <c r="F396"/>
  <c r="E396"/>
  <c r="I359"/>
  <c r="G359"/>
  <c r="F359"/>
  <c r="E359"/>
  <c r="I534"/>
  <c r="G534"/>
  <c r="F534"/>
  <c r="E534"/>
  <c r="I780"/>
  <c r="G780"/>
  <c r="F780"/>
  <c r="E780"/>
  <c r="I779"/>
  <c r="G779"/>
  <c r="F779"/>
  <c r="E779"/>
  <c r="I532"/>
  <c r="G532"/>
  <c r="F532"/>
  <c r="E532"/>
  <c r="I509"/>
  <c r="G509"/>
  <c r="F509"/>
  <c r="E509"/>
  <c r="I533"/>
  <c r="G533"/>
  <c r="F533"/>
  <c r="E533"/>
  <c r="I778"/>
  <c r="G778"/>
  <c r="F778"/>
  <c r="E778"/>
  <c r="I1304"/>
  <c r="G1304"/>
  <c r="F1304"/>
  <c r="E1304"/>
  <c r="I770"/>
  <c r="G770"/>
  <c r="F770"/>
  <c r="E770"/>
  <c r="I768"/>
  <c r="G768"/>
  <c r="F768"/>
  <c r="E768"/>
  <c r="I491"/>
  <c r="G491"/>
  <c r="F491"/>
  <c r="E491"/>
  <c r="I508"/>
  <c r="G508"/>
  <c r="F508"/>
  <c r="E508"/>
  <c r="I766"/>
  <c r="G766"/>
  <c r="F766"/>
  <c r="E766"/>
  <c r="I814"/>
  <c r="G814"/>
  <c r="F814"/>
  <c r="E814"/>
  <c r="I490"/>
  <c r="G490"/>
  <c r="F490"/>
  <c r="E490"/>
  <c r="I777"/>
  <c r="G777"/>
  <c r="F777"/>
  <c r="E777"/>
  <c r="I775"/>
  <c r="G775"/>
  <c r="F775"/>
  <c r="E775"/>
  <c r="I774"/>
  <c r="G774"/>
  <c r="F774"/>
  <c r="E774"/>
  <c r="I523"/>
  <c r="G523"/>
  <c r="F523"/>
  <c r="E523"/>
  <c r="I745"/>
  <c r="G745"/>
  <c r="F745"/>
  <c r="E745"/>
  <c r="I744"/>
  <c r="G744"/>
  <c r="F744"/>
  <c r="E744"/>
  <c r="I743"/>
  <c r="G743"/>
  <c r="F743"/>
  <c r="E743"/>
  <c r="I742"/>
  <c r="G742"/>
  <c r="F742"/>
  <c r="E742"/>
  <c r="I741"/>
  <c r="G741"/>
  <c r="F741"/>
  <c r="E741"/>
  <c r="I740"/>
  <c r="G740"/>
  <c r="F740"/>
  <c r="E740"/>
  <c r="I765"/>
  <c r="G765"/>
  <c r="F765"/>
  <c r="E765"/>
  <c r="I764"/>
  <c r="G764"/>
  <c r="F764"/>
  <c r="E764"/>
  <c r="I749"/>
  <c r="G749"/>
  <c r="F749"/>
  <c r="E749"/>
  <c r="I748"/>
  <c r="G748"/>
  <c r="F748"/>
  <c r="E748"/>
  <c r="I721"/>
  <c r="G721"/>
  <c r="F721"/>
  <c r="E721"/>
  <c r="I720"/>
  <c r="G720"/>
  <c r="F720"/>
  <c r="E720"/>
  <c r="I719"/>
  <c r="G719"/>
  <c r="F719"/>
  <c r="E719"/>
  <c r="I718"/>
  <c r="G718"/>
  <c r="F718"/>
  <c r="E718"/>
  <c r="I377"/>
  <c r="G377"/>
  <c r="F377"/>
  <c r="E377"/>
  <c r="I526"/>
  <c r="G526"/>
  <c r="F526"/>
  <c r="E526"/>
  <c r="I717"/>
  <c r="G717"/>
  <c r="F717"/>
  <c r="E717"/>
  <c r="I525"/>
  <c r="G525"/>
  <c r="F525"/>
  <c r="E525"/>
  <c r="I716"/>
  <c r="G716"/>
  <c r="F716"/>
  <c r="E716"/>
  <c r="I454"/>
  <c r="G454"/>
  <c r="F454"/>
  <c r="E454"/>
  <c r="I715"/>
  <c r="G715"/>
  <c r="F715"/>
  <c r="E715"/>
  <c r="I739"/>
  <c r="G739"/>
  <c r="E739"/>
  <c r="I389"/>
  <c r="G389"/>
  <c r="F389"/>
  <c r="E389"/>
  <c r="I738"/>
  <c r="G738"/>
  <c r="F738"/>
  <c r="E738"/>
  <c r="I763"/>
  <c r="G763"/>
  <c r="F763"/>
  <c r="E763"/>
  <c r="I736"/>
  <c r="G736"/>
  <c r="F736"/>
  <c r="E736"/>
  <c r="I735"/>
  <c r="G735"/>
  <c r="F735"/>
  <c r="E735"/>
  <c r="I734"/>
  <c r="G734"/>
  <c r="F734"/>
  <c r="E734"/>
  <c r="I643"/>
  <c r="G643"/>
  <c r="F643"/>
  <c r="E643"/>
  <c r="I644"/>
  <c r="G644"/>
  <c r="F644"/>
  <c r="E644"/>
  <c r="I714"/>
  <c r="G714"/>
  <c r="F714"/>
  <c r="E714"/>
  <c r="I737"/>
  <c r="G737"/>
  <c r="F737"/>
  <c r="E737"/>
  <c r="I687"/>
  <c r="G687"/>
  <c r="F687"/>
  <c r="E687"/>
  <c r="I686"/>
  <c r="G686"/>
  <c r="F686"/>
  <c r="E686"/>
  <c r="I662"/>
  <c r="G662"/>
  <c r="F662"/>
  <c r="E662"/>
  <c r="I538"/>
  <c r="G538"/>
  <c r="F538"/>
  <c r="E538"/>
  <c r="I661"/>
  <c r="G661"/>
  <c r="F661"/>
  <c r="E661"/>
  <c r="I660"/>
  <c r="G660"/>
  <c r="F660"/>
  <c r="E660"/>
  <c r="I659"/>
  <c r="G659"/>
  <c r="F659"/>
  <c r="E659"/>
  <c r="I658"/>
  <c r="G658"/>
  <c r="F658"/>
  <c r="E658"/>
  <c r="I657"/>
  <c r="G657"/>
  <c r="F657"/>
  <c r="E657"/>
  <c r="I656"/>
  <c r="G656"/>
  <c r="F656"/>
  <c r="E656"/>
  <c r="I385"/>
  <c r="G385"/>
  <c r="F385"/>
  <c r="E385"/>
  <c r="I517"/>
  <c r="G517"/>
  <c r="F517"/>
  <c r="E517"/>
  <c r="I679"/>
  <c r="G679"/>
  <c r="F679"/>
  <c r="E679"/>
  <c r="I678"/>
  <c r="G678"/>
  <c r="F678"/>
  <c r="E678"/>
  <c r="I677"/>
  <c r="G677"/>
  <c r="F677"/>
  <c r="E677"/>
  <c r="I725"/>
  <c r="G725"/>
  <c r="F725"/>
  <c r="E725"/>
  <c r="I540"/>
  <c r="G540"/>
  <c r="F540"/>
  <c r="E540"/>
  <c r="I600"/>
  <c r="G600"/>
  <c r="F600"/>
  <c r="E600"/>
  <c r="I599"/>
  <c r="G599"/>
  <c r="F599"/>
  <c r="E599"/>
  <c r="I655"/>
  <c r="G655"/>
  <c r="F655"/>
  <c r="E655"/>
  <c r="I654"/>
  <c r="G654"/>
  <c r="F654"/>
  <c r="E654"/>
  <c r="I601"/>
  <c r="G601"/>
  <c r="F601"/>
  <c r="E601"/>
  <c r="I592"/>
  <c r="G592"/>
  <c r="F592"/>
  <c r="E592"/>
  <c r="I591"/>
  <c r="G591"/>
  <c r="F591"/>
  <c r="E591"/>
  <c r="I794"/>
  <c r="G794"/>
  <c r="F794"/>
  <c r="E794"/>
  <c r="I590"/>
  <c r="G590"/>
  <c r="F590"/>
  <c r="E590"/>
  <c r="I793"/>
  <c r="G793"/>
  <c r="F793"/>
  <c r="E793"/>
  <c r="I792"/>
  <c r="G792"/>
  <c r="F792"/>
  <c r="E792"/>
  <c r="I688"/>
  <c r="G688"/>
  <c r="F688"/>
  <c r="E688"/>
  <c r="I816"/>
  <c r="G816"/>
  <c r="F816"/>
  <c r="E816"/>
  <c r="I663"/>
  <c r="G663"/>
  <c r="F663"/>
  <c r="E663"/>
  <c r="I593"/>
  <c r="G593"/>
  <c r="F593"/>
  <c r="E593"/>
  <c r="I575"/>
  <c r="G575"/>
  <c r="F575"/>
  <c r="E575"/>
  <c r="I574"/>
  <c r="G574"/>
  <c r="F574"/>
  <c r="E574"/>
  <c r="I685"/>
  <c r="G685"/>
  <c r="F685"/>
  <c r="E685"/>
  <c r="I573"/>
  <c r="G573"/>
  <c r="F573"/>
  <c r="E573"/>
  <c r="I572"/>
  <c r="G572"/>
  <c r="F572"/>
  <c r="E572"/>
  <c r="I571"/>
  <c r="G571"/>
  <c r="F571"/>
  <c r="E571"/>
  <c r="I683"/>
  <c r="G683"/>
  <c r="F683"/>
  <c r="E683"/>
  <c r="I570"/>
  <c r="G570"/>
  <c r="F570"/>
  <c r="E570"/>
  <c r="I535"/>
  <c r="G535"/>
  <c r="F535"/>
  <c r="E535"/>
  <c r="I504"/>
  <c r="G504"/>
  <c r="F504"/>
  <c r="E504"/>
  <c r="I642"/>
  <c r="G642"/>
  <c r="F642"/>
  <c r="E642"/>
  <c r="I641"/>
  <c r="G641"/>
  <c r="F641"/>
  <c r="E641"/>
  <c r="I676"/>
  <c r="G676"/>
  <c r="F676"/>
  <c r="E676"/>
  <c r="I639"/>
  <c r="G639"/>
  <c r="F639"/>
  <c r="E639"/>
  <c r="I638"/>
  <c r="G638"/>
  <c r="F638"/>
  <c r="E638"/>
  <c r="I637"/>
  <c r="G637"/>
  <c r="F637"/>
  <c r="E637"/>
  <c r="I625"/>
  <c r="G625"/>
  <c r="F625"/>
  <c r="E625"/>
  <c r="I624"/>
  <c r="G624"/>
  <c r="F624"/>
  <c r="E624"/>
  <c r="I623"/>
  <c r="G623"/>
  <c r="F623"/>
  <c r="E623"/>
  <c r="I622"/>
  <c r="G622"/>
  <c r="F622"/>
  <c r="E622"/>
  <c r="I621"/>
  <c r="G621"/>
  <c r="F621"/>
  <c r="E621"/>
  <c r="I546"/>
  <c r="G546"/>
  <c r="F546"/>
  <c r="E546"/>
  <c r="I460"/>
  <c r="G460"/>
  <c r="F460"/>
  <c r="E460"/>
  <c r="I465"/>
  <c r="G465"/>
  <c r="F465"/>
  <c r="E465"/>
  <c r="I505"/>
  <c r="G505"/>
  <c r="F505"/>
  <c r="E505"/>
  <c r="I507"/>
  <c r="G507"/>
  <c r="F507"/>
  <c r="E507"/>
  <c r="I506"/>
  <c r="G506"/>
  <c r="F506"/>
  <c r="E506"/>
  <c r="I620"/>
  <c r="G620"/>
  <c r="F620"/>
  <c r="E620"/>
  <c r="I619"/>
  <c r="G619"/>
  <c r="F619"/>
  <c r="E619"/>
  <c r="I636"/>
  <c r="G636"/>
  <c r="F636"/>
  <c r="E636"/>
  <c r="I635"/>
  <c r="G635"/>
  <c r="F635"/>
  <c r="E635"/>
  <c r="I634"/>
  <c r="G634"/>
  <c r="F634"/>
  <c r="E634"/>
  <c r="I633"/>
  <c r="G633"/>
  <c r="F633"/>
  <c r="E633"/>
  <c r="I632"/>
  <c r="G632"/>
  <c r="F632"/>
  <c r="E632"/>
  <c r="I631"/>
  <c r="G631"/>
  <c r="F631"/>
  <c r="E631"/>
  <c r="I640"/>
  <c r="G640"/>
  <c r="F640"/>
  <c r="E640"/>
  <c r="I613"/>
  <c r="G613"/>
  <c r="F613"/>
  <c r="E613"/>
  <c r="I612"/>
  <c r="G612"/>
  <c r="F612"/>
  <c r="E612"/>
  <c r="I611"/>
  <c r="G611"/>
  <c r="F611"/>
  <c r="E611"/>
  <c r="I610"/>
  <c r="G610"/>
  <c r="F610"/>
  <c r="E610"/>
  <c r="I609"/>
  <c r="G609"/>
  <c r="F609"/>
  <c r="E609"/>
  <c r="I576"/>
  <c r="G576"/>
  <c r="F576"/>
  <c r="E576"/>
  <c r="I569"/>
  <c r="G569"/>
  <c r="F569"/>
  <c r="E569"/>
  <c r="I630"/>
  <c r="G630"/>
  <c r="F630"/>
  <c r="E630"/>
  <c r="I629"/>
  <c r="G629"/>
  <c r="F629"/>
  <c r="E629"/>
  <c r="I628"/>
  <c r="G628"/>
  <c r="F628"/>
  <c r="E628"/>
  <c r="I652"/>
  <c r="G652"/>
  <c r="F652"/>
  <c r="E652"/>
  <c r="I515"/>
  <c r="G515"/>
  <c r="F515"/>
  <c r="E515"/>
  <c r="I433"/>
  <c r="G433"/>
  <c r="F433"/>
  <c r="E433"/>
  <c r="I432"/>
  <c r="G432"/>
  <c r="F432"/>
  <c r="E432"/>
  <c r="I499"/>
  <c r="G499"/>
  <c r="F499"/>
  <c r="E499"/>
  <c r="I392"/>
  <c r="G392"/>
  <c r="F392"/>
  <c r="E392"/>
  <c r="I391"/>
  <c r="G391"/>
  <c r="F391"/>
  <c r="E391"/>
  <c r="I394"/>
  <c r="G394"/>
  <c r="F394"/>
  <c r="E394"/>
  <c r="I626"/>
  <c r="G626"/>
  <c r="F626"/>
  <c r="E626"/>
  <c r="I608"/>
  <c r="G608"/>
  <c r="F608"/>
  <c r="E608"/>
  <c r="I607"/>
  <c r="G607"/>
  <c r="F607"/>
  <c r="E607"/>
  <c r="I606"/>
  <c r="G606"/>
  <c r="F606"/>
  <c r="E606"/>
  <c r="I605"/>
  <c r="G605"/>
  <c r="F605"/>
  <c r="E605"/>
  <c r="I604"/>
  <c r="G604"/>
  <c r="F604"/>
  <c r="E604"/>
  <c r="I603"/>
  <c r="G603"/>
  <c r="F603"/>
  <c r="E603"/>
  <c r="I602"/>
  <c r="G602"/>
  <c r="F602"/>
  <c r="E602"/>
  <c r="I618"/>
  <c r="G618"/>
  <c r="F618"/>
  <c r="E618"/>
  <c r="I355"/>
  <c r="G355"/>
  <c r="F355"/>
  <c r="E355"/>
  <c r="I354"/>
  <c r="G354"/>
  <c r="F354"/>
  <c r="E354"/>
  <c r="I568"/>
  <c r="G568"/>
  <c r="F568"/>
  <c r="E568"/>
  <c r="I617"/>
  <c r="G617"/>
  <c r="F617"/>
  <c r="E617"/>
  <c r="I615"/>
  <c r="G615"/>
  <c r="F615"/>
  <c r="E615"/>
  <c r="I616"/>
  <c r="G616"/>
  <c r="F616"/>
  <c r="E616"/>
  <c r="I712"/>
  <c r="G712"/>
  <c r="F712"/>
  <c r="E712"/>
  <c r="I567"/>
  <c r="G567"/>
  <c r="F567"/>
  <c r="E567"/>
  <c r="I549"/>
  <c r="G549"/>
  <c r="F549"/>
  <c r="E549"/>
  <c r="I711"/>
  <c r="G711"/>
  <c r="F711"/>
  <c r="E711"/>
  <c r="I429"/>
  <c r="G429"/>
  <c r="F429"/>
  <c r="E429"/>
  <c r="I448"/>
  <c r="G448"/>
  <c r="F448"/>
  <c r="E448"/>
  <c r="I710"/>
  <c r="G710"/>
  <c r="F710"/>
  <c r="E710"/>
  <c r="I709"/>
  <c r="G709"/>
  <c r="F709"/>
  <c r="E709"/>
  <c r="G708"/>
  <c r="F708"/>
  <c r="E708"/>
  <c r="I707"/>
  <c r="G707"/>
  <c r="F707"/>
  <c r="E707"/>
  <c r="I706"/>
  <c r="G706"/>
  <c r="F706"/>
  <c r="E706"/>
  <c r="I1008"/>
  <c r="G1008"/>
  <c r="F1008"/>
  <c r="E1008"/>
  <c r="I1007"/>
  <c r="G1007"/>
  <c r="F1007"/>
  <c r="E1007"/>
  <c r="I1006"/>
  <c r="G1006"/>
  <c r="F1006"/>
  <c r="E1006"/>
  <c r="I1005"/>
  <c r="G1005"/>
  <c r="F1005"/>
  <c r="E1005"/>
  <c r="I1004"/>
  <c r="G1004"/>
  <c r="F1004"/>
  <c r="E1004"/>
  <c r="I1003"/>
  <c r="G1003"/>
  <c r="F1003"/>
  <c r="E1003"/>
  <c r="I699"/>
  <c r="G699"/>
  <c r="F699"/>
  <c r="E699"/>
  <c r="I698"/>
  <c r="G698"/>
  <c r="F698"/>
  <c r="E698"/>
  <c r="I697"/>
  <c r="G697"/>
  <c r="F697"/>
  <c r="E697"/>
  <c r="I484"/>
  <c r="G484"/>
  <c r="F484"/>
  <c r="E484"/>
  <c r="I434"/>
  <c r="G434"/>
  <c r="F434"/>
  <c r="E434"/>
  <c r="I503"/>
  <c r="G503"/>
  <c r="F503"/>
  <c r="E503"/>
  <c r="I1280"/>
  <c r="G1280"/>
  <c r="F1280"/>
  <c r="E1280"/>
  <c r="I1279"/>
  <c r="G1279"/>
  <c r="F1279"/>
  <c r="E1279"/>
  <c r="I1218"/>
  <c r="G1218"/>
  <c r="F1218"/>
  <c r="E1218"/>
  <c r="I1217"/>
  <c r="G1217"/>
  <c r="F1217"/>
  <c r="E1217"/>
  <c r="I431"/>
  <c r="G431"/>
  <c r="F431"/>
  <c r="E431"/>
  <c r="I1242"/>
  <c r="G1242"/>
  <c r="F1242"/>
  <c r="E1242"/>
  <c r="I1241"/>
  <c r="G1241"/>
  <c r="F1241"/>
  <c r="E1241"/>
  <c r="I1198"/>
  <c r="G1198"/>
  <c r="F1198"/>
  <c r="E1198"/>
  <c r="I1197"/>
  <c r="G1197"/>
  <c r="F1197"/>
  <c r="E1197"/>
  <c r="I1196"/>
  <c r="G1196"/>
  <c r="F1196"/>
  <c r="E1196"/>
  <c r="I1195"/>
  <c r="G1195"/>
  <c r="F1195"/>
  <c r="E1195"/>
  <c r="I1171"/>
  <c r="G1171"/>
  <c r="F1171"/>
  <c r="E1171"/>
  <c r="I1170"/>
  <c r="G1170"/>
  <c r="F1170"/>
  <c r="E1170"/>
  <c r="I1192"/>
  <c r="G1192"/>
  <c r="F1192"/>
  <c r="E1192"/>
  <c r="I1191"/>
  <c r="G1191"/>
  <c r="F1191"/>
  <c r="E1191"/>
  <c r="I1189"/>
  <c r="G1189"/>
  <c r="F1189"/>
  <c r="E1189"/>
  <c r="I1164"/>
  <c r="G1164"/>
  <c r="F1164"/>
  <c r="E1164"/>
  <c r="I1163"/>
  <c r="G1163"/>
  <c r="F1163"/>
  <c r="E1163"/>
  <c r="I1185"/>
  <c r="G1185"/>
  <c r="F1185"/>
  <c r="E1185"/>
  <c r="I1184"/>
  <c r="G1184"/>
  <c r="F1184"/>
  <c r="E1184"/>
  <c r="I1183"/>
  <c r="G1183"/>
  <c r="F1183"/>
  <c r="E1183"/>
  <c r="I1182"/>
  <c r="G1182"/>
  <c r="F1182"/>
  <c r="E1182"/>
  <c r="I1127"/>
  <c r="G1127"/>
  <c r="F1127"/>
  <c r="E1127"/>
  <c r="I1065"/>
  <c r="G1065"/>
  <c r="F1065"/>
  <c r="E1065"/>
  <c r="I1064"/>
  <c r="G1064"/>
  <c r="F1064"/>
  <c r="E1064"/>
  <c r="I1089"/>
  <c r="G1089"/>
  <c r="F1089"/>
  <c r="E1089"/>
  <c r="I1088"/>
  <c r="G1088"/>
  <c r="F1088"/>
  <c r="E1088"/>
  <c r="I1087"/>
  <c r="G1087"/>
  <c r="F1087"/>
  <c r="E1087"/>
  <c r="I1086"/>
  <c r="G1086"/>
  <c r="F1086"/>
  <c r="E1086"/>
  <c r="I1085"/>
  <c r="G1085"/>
  <c r="F1085"/>
  <c r="E1085"/>
  <c r="I1084"/>
  <c r="G1084"/>
  <c r="F1084"/>
  <c r="E1084"/>
  <c r="I1057"/>
  <c r="G1057"/>
  <c r="F1057"/>
  <c r="E1057"/>
  <c r="I1056"/>
  <c r="G1056"/>
  <c r="F1056"/>
  <c r="E1056"/>
  <c r="I1055"/>
  <c r="G1055"/>
  <c r="F1055"/>
  <c r="E1055"/>
  <c r="I1041"/>
  <c r="G1041"/>
  <c r="F1041"/>
  <c r="E1041"/>
  <c r="I1040"/>
  <c r="G1040"/>
  <c r="F1040"/>
  <c r="E1040"/>
  <c r="I1039"/>
  <c r="G1039"/>
  <c r="F1039"/>
  <c r="E1039"/>
  <c r="I1063"/>
  <c r="G1063"/>
  <c r="F1063"/>
  <c r="E1063"/>
  <c r="I1061"/>
  <c r="G1061"/>
  <c r="F1061"/>
  <c r="E1061"/>
  <c r="I1060"/>
  <c r="G1060"/>
  <c r="F1060"/>
  <c r="E1060"/>
  <c r="I1059"/>
  <c r="G1059"/>
  <c r="F1059"/>
  <c r="E1059"/>
  <c r="I1058"/>
  <c r="G1058"/>
  <c r="F1058"/>
  <c r="E1058"/>
  <c r="I1033"/>
  <c r="G1033"/>
  <c r="F1033"/>
  <c r="E1033"/>
  <c r="I1032"/>
  <c r="G1032"/>
  <c r="F1032"/>
  <c r="E1032"/>
  <c r="I1031"/>
  <c r="G1031"/>
  <c r="F1031"/>
  <c r="E1031"/>
  <c r="I1030"/>
  <c r="G1030"/>
  <c r="F1030"/>
  <c r="E1030"/>
  <c r="I1029"/>
  <c r="G1029"/>
  <c r="F1029"/>
  <c r="E1029"/>
  <c r="I1028"/>
  <c r="G1028"/>
  <c r="F1028"/>
  <c r="E1028"/>
  <c r="I1027"/>
  <c r="G1027"/>
  <c r="F1027"/>
  <c r="E1027"/>
  <c r="I1026"/>
  <c r="G1026"/>
  <c r="F1026"/>
  <c r="E1026"/>
  <c r="I1049"/>
  <c r="G1049"/>
  <c r="F1049"/>
  <c r="E1049"/>
  <c r="I1048"/>
  <c r="G1048"/>
  <c r="F1048"/>
  <c r="E1048"/>
  <c r="I1019"/>
  <c r="G1019"/>
  <c r="F1019"/>
  <c r="E1019"/>
  <c r="I1018"/>
  <c r="G1018"/>
  <c r="F1018"/>
  <c r="E1018"/>
  <c r="I566"/>
  <c r="G566"/>
  <c r="F566"/>
  <c r="E566"/>
  <c r="I1017"/>
  <c r="G1017"/>
  <c r="F1017"/>
  <c r="E1017"/>
  <c r="I1016"/>
  <c r="G1016"/>
  <c r="F1016"/>
  <c r="E1016"/>
  <c r="I1015"/>
  <c r="G1015"/>
  <c r="F1015"/>
  <c r="E1015"/>
  <c r="I1014"/>
  <c r="G1014"/>
  <c r="F1014"/>
  <c r="E1014"/>
  <c r="I1013"/>
  <c r="G1013"/>
  <c r="F1013"/>
  <c r="E1013"/>
  <c r="I1062"/>
  <c r="G1062"/>
  <c r="F1062"/>
  <c r="E1062"/>
  <c r="I1036"/>
  <c r="G1036"/>
  <c r="F1036"/>
  <c r="E1036"/>
  <c r="I1035"/>
  <c r="G1035"/>
  <c r="F1035"/>
  <c r="E1035"/>
  <c r="I446"/>
  <c r="G446"/>
  <c r="F446"/>
  <c r="E446"/>
  <c r="I1034"/>
  <c r="G1034"/>
  <c r="F1034"/>
  <c r="E1034"/>
  <c r="I994"/>
  <c r="G994"/>
  <c r="F994"/>
  <c r="E994"/>
  <c r="I993"/>
  <c r="G993"/>
  <c r="F993"/>
  <c r="E993"/>
  <c r="I992"/>
  <c r="G992"/>
  <c r="F992"/>
  <c r="E992"/>
  <c r="I991"/>
  <c r="G991"/>
  <c r="F991"/>
  <c r="E991"/>
  <c r="I990"/>
  <c r="G990"/>
  <c r="F990"/>
  <c r="E990"/>
  <c r="I989"/>
  <c r="G989"/>
  <c r="F989"/>
  <c r="E989"/>
  <c r="I988"/>
  <c r="G988"/>
  <c r="F988"/>
  <c r="E988"/>
  <c r="I987"/>
  <c r="G987"/>
  <c r="F987"/>
  <c r="E987"/>
  <c r="I1012"/>
  <c r="G1012"/>
  <c r="F1012"/>
  <c r="E1012"/>
  <c r="I564"/>
  <c r="G564"/>
  <c r="F564"/>
  <c r="E564"/>
  <c r="I1050"/>
  <c r="G1050"/>
  <c r="F1050"/>
  <c r="E1050"/>
  <c r="I1023"/>
  <c r="G1023"/>
  <c r="F1023"/>
  <c r="E1023"/>
  <c r="I1022"/>
  <c r="G1022"/>
  <c r="F1022"/>
  <c r="E1022"/>
  <c r="I1021"/>
  <c r="G1021"/>
  <c r="F1021"/>
  <c r="E1021"/>
  <c r="I371"/>
  <c r="G371"/>
  <c r="F371"/>
  <c r="E371"/>
  <c r="I370"/>
  <c r="G370"/>
  <c r="F370"/>
  <c r="E370"/>
  <c r="I368"/>
  <c r="G368"/>
  <c r="F368"/>
  <c r="E368"/>
  <c r="I545"/>
  <c r="G545"/>
  <c r="F545"/>
  <c r="E545"/>
  <c r="I406"/>
  <c r="G406"/>
  <c r="F406"/>
  <c r="E406"/>
  <c r="I981"/>
  <c r="G981"/>
  <c r="F981"/>
  <c r="E981"/>
  <c r="I436"/>
  <c r="G436"/>
  <c r="F436"/>
  <c r="E436"/>
  <c r="I477"/>
  <c r="G477"/>
  <c r="F477"/>
  <c r="E477"/>
  <c r="I980"/>
  <c r="G980"/>
  <c r="F980"/>
  <c r="E980"/>
  <c r="I979"/>
  <c r="G979"/>
  <c r="F979"/>
  <c r="E979"/>
  <c r="I420"/>
  <c r="G420"/>
  <c r="F420"/>
  <c r="E420"/>
  <c r="I978"/>
  <c r="G978"/>
  <c r="F978"/>
  <c r="E978"/>
  <c r="I367"/>
  <c r="G367"/>
  <c r="F367"/>
  <c r="E367"/>
  <c r="I457"/>
  <c r="G457"/>
  <c r="F457"/>
  <c r="E457"/>
  <c r="I976"/>
  <c r="G976"/>
  <c r="F976"/>
  <c r="E976"/>
  <c r="I1038"/>
  <c r="G1038"/>
  <c r="F1038"/>
  <c r="E1038"/>
  <c r="I1037"/>
  <c r="G1037"/>
  <c r="F1037"/>
  <c r="E1037"/>
  <c r="I997"/>
  <c r="G997"/>
  <c r="F997"/>
  <c r="E997"/>
  <c r="I996"/>
  <c r="G996"/>
  <c r="F996"/>
  <c r="E996"/>
  <c r="I372"/>
  <c r="G372"/>
  <c r="F372"/>
  <c r="E372"/>
  <c r="I435"/>
  <c r="G435"/>
  <c r="F435"/>
  <c r="E435"/>
  <c r="I995"/>
  <c r="G995"/>
  <c r="F995"/>
  <c r="E995"/>
  <c r="I518"/>
  <c r="G518"/>
  <c r="F518"/>
  <c r="E518"/>
  <c r="I514"/>
  <c r="G514"/>
  <c r="F514"/>
  <c r="E514"/>
  <c r="I970"/>
  <c r="G970"/>
  <c r="F970"/>
  <c r="E970"/>
  <c r="I563"/>
  <c r="G563"/>
  <c r="F563"/>
  <c r="E563"/>
  <c r="I390"/>
  <c r="G390"/>
  <c r="F390"/>
  <c r="E390"/>
  <c r="I464"/>
  <c r="G464"/>
  <c r="F464"/>
  <c r="E464"/>
  <c r="I519"/>
  <c r="G519"/>
  <c r="F519"/>
  <c r="E519"/>
  <c r="I544"/>
  <c r="G544"/>
  <c r="F544"/>
  <c r="E544"/>
  <c r="I374"/>
  <c r="G374"/>
  <c r="F374"/>
  <c r="E374"/>
  <c r="I522"/>
  <c r="G522"/>
  <c r="F522"/>
  <c r="E522"/>
  <c r="I984"/>
  <c r="G984"/>
  <c r="F984"/>
  <c r="E984"/>
  <c r="I983"/>
  <c r="G983"/>
  <c r="F983"/>
  <c r="E983"/>
  <c r="I361"/>
  <c r="G361"/>
  <c r="F361"/>
  <c r="E361"/>
  <c r="I362"/>
  <c r="G362"/>
  <c r="F362"/>
  <c r="E362"/>
  <c r="I982"/>
  <c r="G982"/>
  <c r="F982"/>
  <c r="E982"/>
  <c r="I957"/>
  <c r="G957"/>
  <c r="F957"/>
  <c r="E957"/>
  <c r="I956"/>
  <c r="G956"/>
  <c r="F956"/>
  <c r="E956"/>
  <c r="I955"/>
  <c r="G955"/>
  <c r="F955"/>
  <c r="E955"/>
  <c r="I954"/>
  <c r="G954"/>
  <c r="F954"/>
  <c r="E954"/>
  <c r="I953"/>
  <c r="G953"/>
  <c r="F953"/>
  <c r="E953"/>
  <c r="I952"/>
  <c r="G952"/>
  <c r="F952"/>
  <c r="E952"/>
  <c r="I951"/>
  <c r="G951"/>
  <c r="F951"/>
  <c r="E951"/>
  <c r="I950"/>
  <c r="G950"/>
  <c r="F950"/>
  <c r="E950"/>
  <c r="I999"/>
  <c r="G999"/>
  <c r="F999"/>
  <c r="E999"/>
  <c r="I998"/>
  <c r="G998"/>
  <c r="F998"/>
  <c r="E998"/>
  <c r="I973"/>
  <c r="G973"/>
  <c r="F973"/>
  <c r="E973"/>
  <c r="I972"/>
  <c r="G972"/>
  <c r="F972"/>
  <c r="E972"/>
  <c r="I971"/>
  <c r="G971"/>
  <c r="F971"/>
  <c r="E971"/>
  <c r="I944"/>
  <c r="G944"/>
  <c r="F944"/>
  <c r="E944"/>
  <c r="I943"/>
  <c r="G943"/>
  <c r="F943"/>
  <c r="E943"/>
  <c r="I942"/>
  <c r="G942"/>
  <c r="F942"/>
  <c r="E942"/>
  <c r="I941"/>
  <c r="G941"/>
  <c r="F941"/>
  <c r="E941"/>
  <c r="I940"/>
  <c r="G940"/>
  <c r="F940"/>
  <c r="E940"/>
  <c r="I939"/>
  <c r="G939"/>
  <c r="F939"/>
  <c r="E939"/>
  <c r="I938"/>
  <c r="G938"/>
  <c r="F938"/>
  <c r="E938"/>
  <c r="I937"/>
  <c r="G937"/>
  <c r="F937"/>
  <c r="E937"/>
  <c r="I986"/>
  <c r="G986"/>
  <c r="F986"/>
  <c r="E986"/>
  <c r="I985"/>
  <c r="G985"/>
  <c r="F985"/>
  <c r="E985"/>
  <c r="I960"/>
  <c r="G960"/>
  <c r="F960"/>
  <c r="E960"/>
  <c r="I959"/>
  <c r="G959"/>
  <c r="F959"/>
  <c r="E959"/>
  <c r="I958"/>
  <c r="G958"/>
  <c r="F958"/>
  <c r="E958"/>
  <c r="I931"/>
  <c r="G931"/>
  <c r="F931"/>
  <c r="E931"/>
  <c r="I930"/>
  <c r="G930"/>
  <c r="F930"/>
  <c r="E930"/>
  <c r="I929"/>
  <c r="G929"/>
  <c r="F929"/>
  <c r="E929"/>
  <c r="I500"/>
  <c r="G500"/>
  <c r="F500"/>
  <c r="E500"/>
  <c r="I928"/>
  <c r="G928"/>
  <c r="F928"/>
  <c r="E928"/>
  <c r="I927"/>
  <c r="G927"/>
  <c r="F927"/>
  <c r="E927"/>
  <c r="I453"/>
  <c r="G453"/>
  <c r="F453"/>
  <c r="E453"/>
  <c r="I381"/>
  <c r="G381"/>
  <c r="F381"/>
  <c r="E381"/>
  <c r="I926"/>
  <c r="G926"/>
  <c r="F926"/>
  <c r="E926"/>
  <c r="I925"/>
  <c r="G925"/>
  <c r="F925"/>
  <c r="E925"/>
  <c r="I924"/>
  <c r="G924"/>
  <c r="F924"/>
  <c r="E924"/>
  <c r="I470"/>
  <c r="G470"/>
  <c r="F470"/>
  <c r="E470"/>
  <c r="I555"/>
  <c r="G555"/>
  <c r="F555"/>
  <c r="E555"/>
  <c r="I469"/>
  <c r="G469"/>
  <c r="F469"/>
  <c r="E469"/>
  <c r="I975"/>
  <c r="G975"/>
  <c r="F975"/>
  <c r="E975"/>
  <c r="I974"/>
  <c r="G974"/>
  <c r="F974"/>
  <c r="E974"/>
  <c r="I947"/>
  <c r="G947"/>
  <c r="F947"/>
  <c r="E947"/>
  <c r="I946"/>
  <c r="G946"/>
  <c r="F946"/>
  <c r="E946"/>
  <c r="I387"/>
  <c r="G387"/>
  <c r="F387"/>
  <c r="E387"/>
  <c r="I524"/>
  <c r="G524"/>
  <c r="F524"/>
  <c r="E524"/>
  <c r="I909"/>
  <c r="G909"/>
  <c r="F909"/>
  <c r="E909"/>
  <c r="I885"/>
  <c r="G885"/>
  <c r="F885"/>
  <c r="E885"/>
  <c r="I884"/>
  <c r="G884"/>
  <c r="F884"/>
  <c r="E884"/>
  <c r="I883"/>
  <c r="G883"/>
  <c r="F883"/>
  <c r="E883"/>
  <c r="I873"/>
  <c r="G873"/>
  <c r="F873"/>
  <c r="E873"/>
  <c r="I872"/>
  <c r="G872"/>
  <c r="F872"/>
  <c r="E872"/>
  <c r="I521"/>
  <c r="G521"/>
  <c r="F521"/>
  <c r="E521"/>
  <c r="I501"/>
  <c r="G501"/>
  <c r="F501"/>
  <c r="E501"/>
  <c r="I871"/>
  <c r="G871"/>
  <c r="F871"/>
  <c r="E871"/>
  <c r="I870"/>
  <c r="G870"/>
  <c r="F870"/>
  <c r="E870"/>
  <c r="I869"/>
  <c r="G869"/>
  <c r="F869"/>
  <c r="E869"/>
  <c r="I868"/>
  <c r="G868"/>
  <c r="F868"/>
  <c r="E868"/>
  <c r="I910"/>
  <c r="G910"/>
  <c r="F910"/>
  <c r="E910"/>
  <c r="I397"/>
  <c r="G397"/>
  <c r="F397"/>
  <c r="E397"/>
  <c r="I520"/>
  <c r="G520"/>
  <c r="F520"/>
  <c r="E520"/>
  <c r="I554"/>
  <c r="G554"/>
  <c r="F554"/>
  <c r="E554"/>
  <c r="I887"/>
  <c r="G887"/>
  <c r="F887"/>
  <c r="E887"/>
  <c r="I369"/>
  <c r="G369"/>
  <c r="F369"/>
  <c r="E369"/>
  <c r="I864"/>
  <c r="G864"/>
  <c r="F864"/>
  <c r="E864"/>
  <c r="I863"/>
  <c r="G863"/>
  <c r="F863"/>
  <c r="E863"/>
  <c r="I862"/>
  <c r="G862"/>
  <c r="F862"/>
  <c r="E862"/>
  <c r="I421"/>
  <c r="G421"/>
  <c r="F421"/>
  <c r="E421"/>
  <c r="I442"/>
  <c r="G442"/>
  <c r="F442"/>
  <c r="E442"/>
  <c r="I561"/>
  <c r="G561"/>
  <c r="F561"/>
  <c r="E561"/>
  <c r="I861"/>
  <c r="G861"/>
  <c r="F861"/>
  <c r="E861"/>
  <c r="I860"/>
  <c r="G860"/>
  <c r="F860"/>
  <c r="E860"/>
  <c r="I426"/>
  <c r="G426"/>
  <c r="F426"/>
  <c r="E426"/>
  <c r="I859"/>
  <c r="G859"/>
  <c r="F859"/>
  <c r="E859"/>
  <c r="I858"/>
  <c r="G858"/>
  <c r="F858"/>
  <c r="E858"/>
  <c r="I857"/>
  <c r="G857"/>
  <c r="F857"/>
  <c r="E857"/>
  <c r="I898"/>
  <c r="G898"/>
  <c r="F898"/>
  <c r="E898"/>
  <c r="I876"/>
  <c r="G876"/>
  <c r="F876"/>
  <c r="E876"/>
  <c r="I875"/>
  <c r="G875"/>
  <c r="F875"/>
  <c r="E875"/>
  <c r="I852"/>
  <c r="G852"/>
  <c r="F852"/>
  <c r="E852"/>
  <c r="I851"/>
  <c r="G851"/>
  <c r="F851"/>
  <c r="E851"/>
  <c r="I422"/>
  <c r="G422"/>
  <c r="F422"/>
  <c r="E422"/>
  <c r="I850"/>
  <c r="G850"/>
  <c r="F850"/>
  <c r="E850"/>
  <c r="I849"/>
  <c r="G849"/>
  <c r="F849"/>
  <c r="E849"/>
  <c r="I848"/>
  <c r="G848"/>
  <c r="F848"/>
  <c r="E848"/>
  <c r="I847"/>
  <c r="G847"/>
  <c r="F847"/>
  <c r="E847"/>
  <c r="I846"/>
  <c r="G846"/>
  <c r="F846"/>
  <c r="E846"/>
  <c r="I845"/>
  <c r="G845"/>
  <c r="F845"/>
  <c r="E845"/>
  <c r="I867"/>
  <c r="G867"/>
  <c r="F867"/>
  <c r="E867"/>
  <c r="I889"/>
  <c r="G889"/>
  <c r="F889"/>
  <c r="E889"/>
  <c r="I888"/>
  <c r="G888"/>
  <c r="F888"/>
  <c r="E888"/>
  <c r="I865"/>
  <c r="G865"/>
  <c r="F865"/>
  <c r="E865"/>
  <c r="I839"/>
  <c r="G839"/>
  <c r="F839"/>
  <c r="E839"/>
  <c r="I838"/>
  <c r="G838"/>
  <c r="F838"/>
  <c r="E838"/>
  <c r="I837"/>
  <c r="G837"/>
  <c r="F837"/>
  <c r="E837"/>
  <c r="I836"/>
  <c r="G836"/>
  <c r="F836"/>
  <c r="E836"/>
  <c r="I835"/>
  <c r="G835"/>
  <c r="F835"/>
  <c r="E835"/>
  <c r="I834"/>
  <c r="G834"/>
  <c r="F834"/>
  <c r="E834"/>
  <c r="I833"/>
  <c r="G833"/>
  <c r="F833"/>
  <c r="E833"/>
  <c r="I832"/>
  <c r="G832"/>
  <c r="F832"/>
  <c r="E832"/>
  <c r="I831"/>
  <c r="G831"/>
  <c r="F831"/>
  <c r="E831"/>
  <c r="I856"/>
  <c r="G856"/>
  <c r="F856"/>
  <c r="E856"/>
  <c r="I855"/>
  <c r="G855"/>
  <c r="F855"/>
  <c r="E855"/>
  <c r="I878"/>
  <c r="G878"/>
  <c r="F878"/>
  <c r="E878"/>
  <c r="I877"/>
  <c r="G877"/>
  <c r="F877"/>
  <c r="E877"/>
  <c r="I853"/>
  <c r="G853"/>
  <c r="F853"/>
  <c r="E853"/>
  <c r="I824"/>
  <c r="G824"/>
  <c r="F824"/>
  <c r="E824"/>
  <c r="I823"/>
  <c r="G823"/>
  <c r="F823"/>
  <c r="E823"/>
  <c r="I822"/>
  <c r="G822"/>
  <c r="F822"/>
  <c r="E822"/>
  <c r="I821"/>
  <c r="G821"/>
  <c r="F821"/>
  <c r="E821"/>
  <c r="I820"/>
  <c r="G820"/>
  <c r="F820"/>
  <c r="E820"/>
  <c r="I819"/>
  <c r="G819"/>
  <c r="F819"/>
  <c r="E819"/>
  <c r="I818"/>
  <c r="G818"/>
  <c r="F818"/>
  <c r="E818"/>
  <c r="I817"/>
  <c r="G817"/>
  <c r="F817"/>
  <c r="E817"/>
  <c r="I844"/>
  <c r="G844"/>
  <c r="F844"/>
  <c r="E844"/>
  <c r="I843"/>
  <c r="G843"/>
  <c r="F843"/>
  <c r="E843"/>
  <c r="I1308"/>
  <c r="G1308"/>
  <c r="F1308"/>
  <c r="E1308"/>
  <c r="I1307"/>
  <c r="G1307"/>
  <c r="F1307"/>
  <c r="E1307"/>
  <c r="I842"/>
  <c r="G842"/>
  <c r="F842"/>
  <c r="E842"/>
  <c r="I530"/>
  <c r="G530"/>
  <c r="F530"/>
  <c r="E530"/>
  <c r="I529"/>
  <c r="G529"/>
  <c r="F529"/>
  <c r="E529"/>
  <c r="I866"/>
  <c r="G866"/>
  <c r="F866"/>
  <c r="E866"/>
  <c r="I528"/>
  <c r="G528"/>
  <c r="F528"/>
  <c r="E528"/>
  <c r="I543"/>
  <c r="G543"/>
  <c r="F543"/>
  <c r="E543"/>
  <c r="I542"/>
  <c r="G542"/>
  <c r="F542"/>
  <c r="E542"/>
  <c r="I425"/>
  <c r="G425"/>
  <c r="F425"/>
  <c r="E425"/>
  <c r="I840"/>
  <c r="G840"/>
  <c r="F840"/>
  <c r="E840"/>
  <c r="I810"/>
  <c r="G810"/>
  <c r="F810"/>
  <c r="E810"/>
  <c r="I809"/>
  <c r="G809"/>
  <c r="F809"/>
  <c r="E809"/>
  <c r="I808"/>
  <c r="G808"/>
  <c r="F808"/>
  <c r="E808"/>
  <c r="I807"/>
  <c r="G807"/>
  <c r="F807"/>
  <c r="E807"/>
  <c r="I806"/>
  <c r="G806"/>
  <c r="F806"/>
  <c r="E806"/>
  <c r="I805"/>
  <c r="G805"/>
  <c r="F805"/>
  <c r="E805"/>
  <c r="I804"/>
  <c r="G804"/>
  <c r="F804"/>
  <c r="E804"/>
  <c r="I830"/>
  <c r="G830"/>
  <c r="F830"/>
  <c r="E830"/>
  <c r="I829"/>
  <c r="G829"/>
  <c r="F829"/>
  <c r="E829"/>
  <c r="I828"/>
  <c r="G828"/>
  <c r="F828"/>
  <c r="E828"/>
  <c r="I854"/>
  <c r="G854"/>
  <c r="F854"/>
  <c r="E854"/>
  <c r="I826"/>
  <c r="G826"/>
  <c r="F826"/>
  <c r="E826"/>
  <c r="I825"/>
  <c r="G825"/>
  <c r="F825"/>
  <c r="E825"/>
  <c r="I798"/>
  <c r="G798"/>
  <c r="F798"/>
  <c r="E798"/>
  <c r="I1306"/>
  <c r="G1306"/>
  <c r="F1306"/>
  <c r="E1306"/>
  <c r="I797"/>
  <c r="G797"/>
  <c r="F797"/>
  <c r="E797"/>
  <c r="I595"/>
  <c r="G595"/>
  <c r="F595"/>
  <c r="E595"/>
  <c r="I1305"/>
  <c r="G1305"/>
  <c r="F1305"/>
  <c r="E1305"/>
  <c r="I594"/>
  <c r="G594"/>
  <c r="F594"/>
  <c r="E594"/>
  <c r="I424"/>
  <c r="G424"/>
  <c r="F424"/>
  <c r="E424"/>
  <c r="I796"/>
  <c r="G796"/>
  <c r="F796"/>
  <c r="E796"/>
  <c r="I423"/>
  <c r="G423"/>
  <c r="F423"/>
  <c r="E423"/>
  <c r="I795"/>
  <c r="G795"/>
  <c r="F795"/>
  <c r="E795"/>
  <c r="I782"/>
  <c r="G782"/>
  <c r="F782"/>
  <c r="E782"/>
  <c r="I803"/>
  <c r="G803"/>
  <c r="F803"/>
  <c r="E803"/>
  <c r="I802"/>
  <c r="G802"/>
  <c r="F802"/>
  <c r="E802"/>
  <c r="I827"/>
  <c r="G827"/>
  <c r="F827"/>
  <c r="E827"/>
  <c r="I801"/>
  <c r="G801"/>
  <c r="F801"/>
  <c r="E801"/>
  <c r="I800"/>
  <c r="G800"/>
  <c r="F800"/>
  <c r="E800"/>
  <c r="I799"/>
  <c r="G799"/>
  <c r="F799"/>
  <c r="E799"/>
  <c r="I772"/>
  <c r="G772"/>
  <c r="F772"/>
  <c r="E772"/>
  <c r="I771"/>
  <c r="G771"/>
  <c r="F771"/>
  <c r="E771"/>
  <c r="I769"/>
  <c r="G769"/>
  <c r="F769"/>
  <c r="E769"/>
  <c r="I767"/>
  <c r="G767"/>
  <c r="F767"/>
  <c r="E767"/>
  <c r="I791"/>
  <c r="G791"/>
  <c r="F791"/>
  <c r="E791"/>
  <c r="I790"/>
  <c r="G790"/>
  <c r="F790"/>
  <c r="E790"/>
  <c r="I788"/>
  <c r="G788"/>
  <c r="F788"/>
  <c r="E788"/>
  <c r="I787"/>
  <c r="G787"/>
  <c r="F787"/>
  <c r="E787"/>
  <c r="I786"/>
  <c r="G786"/>
  <c r="F786"/>
  <c r="E786"/>
  <c r="I759"/>
  <c r="G759"/>
  <c r="F759"/>
  <c r="I758"/>
  <c r="G758"/>
  <c r="F758"/>
  <c r="E758"/>
  <c r="I757"/>
  <c r="G757"/>
  <c r="F757"/>
  <c r="E757"/>
  <c r="I756"/>
  <c r="G756"/>
  <c r="F756"/>
  <c r="E756"/>
  <c r="I755"/>
  <c r="G755"/>
  <c r="F755"/>
  <c r="E755"/>
  <c r="I754"/>
  <c r="G754"/>
  <c r="F754"/>
  <c r="E754"/>
  <c r="I753"/>
  <c r="G753"/>
  <c r="F753"/>
  <c r="E753"/>
  <c r="I773"/>
  <c r="G773"/>
  <c r="F773"/>
  <c r="E773"/>
  <c r="I746"/>
  <c r="G746"/>
  <c r="F746"/>
  <c r="E746"/>
  <c r="I789"/>
  <c r="G789"/>
  <c r="F789"/>
  <c r="E789"/>
  <c r="I762"/>
  <c r="G762"/>
  <c r="F762"/>
  <c r="E762"/>
  <c r="I761"/>
  <c r="G761"/>
  <c r="F761"/>
  <c r="E761"/>
  <c r="I760"/>
  <c r="G760"/>
  <c r="F760"/>
  <c r="E760"/>
  <c r="I733"/>
  <c r="G733"/>
  <c r="F733"/>
  <c r="E733"/>
  <c r="I732"/>
  <c r="G732"/>
  <c r="F732"/>
  <c r="E732"/>
  <c r="I731"/>
  <c r="G731"/>
  <c r="F731"/>
  <c r="E731"/>
  <c r="I730"/>
  <c r="G730"/>
  <c r="F730"/>
  <c r="E730"/>
  <c r="I379"/>
  <c r="G379"/>
  <c r="F379"/>
  <c r="E379"/>
  <c r="I729"/>
  <c r="G729"/>
  <c r="F729"/>
  <c r="E729"/>
  <c r="I728"/>
  <c r="G728"/>
  <c r="F728"/>
  <c r="E728"/>
  <c r="I752"/>
  <c r="G752"/>
  <c r="F752"/>
  <c r="E752"/>
  <c r="I751"/>
  <c r="G751"/>
  <c r="F751"/>
  <c r="E751"/>
  <c r="I776"/>
  <c r="G776"/>
  <c r="F776"/>
  <c r="E776"/>
  <c r="I489"/>
  <c r="G489"/>
  <c r="F489"/>
  <c r="E489"/>
  <c r="I378"/>
  <c r="G378"/>
  <c r="F378"/>
  <c r="E378"/>
  <c r="I684"/>
  <c r="G684"/>
  <c r="F684"/>
  <c r="E684"/>
  <c r="I682"/>
  <c r="G682"/>
  <c r="F682"/>
  <c r="E682"/>
  <c r="I681"/>
  <c r="G681"/>
  <c r="F681"/>
  <c r="E681"/>
  <c r="I680"/>
  <c r="G680"/>
  <c r="F680"/>
  <c r="E680"/>
  <c r="I727"/>
  <c r="G727"/>
  <c r="F727"/>
  <c r="E727"/>
  <c r="I726"/>
  <c r="G726"/>
  <c r="F726"/>
  <c r="E726"/>
  <c r="I750"/>
  <c r="G750"/>
  <c r="F750"/>
  <c r="E750"/>
  <c r="I724"/>
  <c r="G724"/>
  <c r="F724"/>
  <c r="E724"/>
  <c r="I723"/>
  <c r="G723"/>
  <c r="F723"/>
  <c r="E723"/>
  <c r="I722"/>
  <c r="G722"/>
  <c r="F722"/>
  <c r="E722"/>
  <c r="I512"/>
  <c r="G512"/>
  <c r="F512"/>
  <c r="E512"/>
  <c r="I511"/>
  <c r="G511"/>
  <c r="F511"/>
  <c r="E511"/>
  <c r="I510"/>
  <c r="G510"/>
  <c r="F510"/>
  <c r="E510"/>
  <c r="I461"/>
  <c r="G461"/>
  <c r="F461"/>
  <c r="E461"/>
  <c r="I388"/>
  <c r="G388"/>
  <c r="F388"/>
  <c r="E388"/>
  <c r="I471"/>
  <c r="G471"/>
  <c r="F471"/>
  <c r="E471"/>
  <c r="I353"/>
  <c r="G353"/>
  <c r="F353"/>
  <c r="E353"/>
  <c r="I502"/>
  <c r="G502"/>
  <c r="F502"/>
  <c r="E502"/>
  <c r="I598"/>
  <c r="G598"/>
  <c r="F598"/>
  <c r="E598"/>
  <c r="I597"/>
  <c r="G597"/>
  <c r="F597"/>
  <c r="E597"/>
  <c r="I462"/>
  <c r="G462"/>
  <c r="F462"/>
  <c r="E462"/>
  <c r="I596"/>
  <c r="G596"/>
  <c r="F596"/>
  <c r="E596"/>
  <c r="I696"/>
  <c r="G696"/>
  <c r="F696"/>
  <c r="E696"/>
  <c r="I627"/>
  <c r="G627"/>
  <c r="F627"/>
  <c r="E627"/>
  <c r="I363"/>
  <c r="G363"/>
  <c r="F363"/>
  <c r="E363"/>
  <c r="I408"/>
  <c r="G408"/>
  <c r="F408"/>
  <c r="E408"/>
  <c r="I375"/>
  <c r="G375"/>
  <c r="F375"/>
  <c r="E375"/>
  <c r="I403"/>
  <c r="G403"/>
  <c r="F403"/>
  <c r="E403"/>
  <c r="I695"/>
  <c r="G695"/>
  <c r="F695"/>
  <c r="E695"/>
  <c r="I694"/>
  <c r="G694"/>
  <c r="F694"/>
  <c r="E694"/>
  <c r="I912"/>
  <c r="G912"/>
  <c r="F912"/>
  <c r="E912"/>
  <c r="I1002"/>
  <c r="G1002"/>
  <c r="F1002"/>
  <c r="E1002"/>
  <c r="E1001" s="1"/>
  <c r="I1001"/>
  <c r="G1001"/>
  <c r="F1001"/>
  <c r="I1000"/>
  <c r="G1000"/>
  <c r="F1000"/>
  <c r="E1000"/>
  <c r="I1025"/>
  <c r="G1025"/>
  <c r="F1025"/>
  <c r="E1025"/>
  <c r="I1325"/>
  <c r="G1325"/>
  <c r="F1325"/>
  <c r="E1325"/>
  <c r="I1024"/>
  <c r="G1024"/>
  <c r="F1024"/>
  <c r="E1024"/>
  <c r="I653"/>
  <c r="G653"/>
  <c r="F653"/>
  <c r="E653"/>
  <c r="I713"/>
  <c r="G713"/>
  <c r="F713"/>
  <c r="E713"/>
  <c r="I675"/>
  <c r="G675"/>
  <c r="F675"/>
  <c r="E675"/>
  <c r="I551"/>
  <c r="G551"/>
  <c r="F551"/>
  <c r="E551"/>
  <c r="I674"/>
  <c r="G674"/>
  <c r="F674"/>
  <c r="E674"/>
  <c r="I673"/>
  <c r="G673"/>
  <c r="F673"/>
  <c r="E673"/>
  <c r="I672"/>
  <c r="G672"/>
  <c r="F672"/>
  <c r="E672"/>
  <c r="I536"/>
  <c r="G536"/>
  <c r="F536"/>
  <c r="E536"/>
  <c r="I671"/>
  <c r="G671"/>
  <c r="F671"/>
  <c r="E671"/>
  <c r="I1298"/>
  <c r="G1298"/>
  <c r="F1298"/>
  <c r="E1298"/>
  <c r="I670"/>
  <c r="G670"/>
  <c r="F670"/>
  <c r="E670"/>
  <c r="I705"/>
  <c r="G705"/>
  <c r="F705"/>
  <c r="E705"/>
  <c r="I704"/>
  <c r="G704"/>
  <c r="F704"/>
  <c r="E704"/>
  <c r="I703"/>
  <c r="G703"/>
  <c r="F703"/>
  <c r="E703"/>
  <c r="I702"/>
  <c r="G702"/>
  <c r="F702"/>
  <c r="E702"/>
  <c r="I701"/>
  <c r="G701"/>
  <c r="F701"/>
  <c r="E701"/>
  <c r="I1009"/>
  <c r="G1009"/>
  <c r="F1009"/>
  <c r="E1009"/>
  <c r="I651"/>
  <c r="G651"/>
  <c r="F651"/>
  <c r="E651"/>
  <c r="I649"/>
  <c r="G649"/>
  <c r="F649"/>
  <c r="E649"/>
  <c r="I650"/>
  <c r="G650"/>
  <c r="F650"/>
  <c r="E650"/>
  <c r="I648"/>
  <c r="G648"/>
  <c r="F648"/>
  <c r="E648"/>
  <c r="I647"/>
  <c r="G647"/>
  <c r="F647"/>
  <c r="E647"/>
  <c r="I495"/>
  <c r="G495"/>
  <c r="F495"/>
  <c r="E495"/>
  <c r="I365"/>
  <c r="G365"/>
  <c r="F365"/>
  <c r="E365"/>
  <c r="I646"/>
  <c r="G646"/>
  <c r="F646"/>
  <c r="E646"/>
  <c r="I693"/>
  <c r="G693"/>
  <c r="F693"/>
  <c r="E693"/>
  <c r="I692"/>
  <c r="G692"/>
  <c r="F692"/>
  <c r="E692"/>
  <c r="I691"/>
  <c r="G691"/>
  <c r="F691"/>
  <c r="E691"/>
  <c r="I690"/>
  <c r="G690"/>
  <c r="F690"/>
  <c r="E690"/>
  <c r="I689"/>
  <c r="G689"/>
  <c r="F689"/>
  <c r="E689"/>
  <c r="I527"/>
  <c r="G527"/>
  <c r="F527"/>
  <c r="E527"/>
  <c r="I645"/>
  <c r="G645"/>
  <c r="F645"/>
  <c r="E645"/>
  <c r="I669"/>
  <c r="G669"/>
  <c r="F669"/>
  <c r="E669"/>
  <c r="I455"/>
  <c r="G455"/>
  <c r="F455"/>
  <c r="E455"/>
  <c r="I668"/>
  <c r="G668"/>
  <c r="F668"/>
  <c r="E668"/>
  <c r="I667"/>
  <c r="G667"/>
  <c r="F667"/>
  <c r="E667"/>
  <c r="I666"/>
  <c r="G666"/>
  <c r="F666"/>
  <c r="E666"/>
  <c r="I665"/>
  <c r="G665"/>
  <c r="F665"/>
  <c r="E665"/>
  <c r="I664"/>
  <c r="G664"/>
  <c r="F664"/>
  <c r="E664"/>
  <c r="I700"/>
  <c r="G700"/>
  <c r="F700"/>
  <c r="E700"/>
  <c r="I328"/>
  <c r="G328"/>
  <c r="F328"/>
  <c r="E328"/>
  <c r="I326"/>
  <c r="G326"/>
  <c r="F326"/>
  <c r="E326"/>
  <c r="I327"/>
  <c r="G327"/>
  <c r="F327"/>
  <c r="E327"/>
  <c r="I342"/>
  <c r="G342"/>
  <c r="F342"/>
  <c r="E342"/>
  <c r="I329"/>
  <c r="G329"/>
  <c r="F329"/>
  <c r="E329"/>
  <c r="I341"/>
  <c r="G341"/>
  <c r="F341"/>
  <c r="E341"/>
  <c r="I340"/>
  <c r="G340"/>
  <c r="F340"/>
  <c r="E340"/>
  <c r="I339"/>
  <c r="G339"/>
  <c r="F339"/>
  <c r="E339"/>
  <c r="I338"/>
  <c r="G338"/>
  <c r="F338"/>
  <c r="E338"/>
  <c r="I337"/>
  <c r="G337"/>
  <c r="F337"/>
  <c r="E337"/>
  <c r="I332"/>
  <c r="G332"/>
  <c r="F332"/>
  <c r="E332"/>
  <c r="I334"/>
  <c r="G334"/>
  <c r="F334"/>
  <c r="E334"/>
  <c r="I330"/>
  <c r="G330"/>
  <c r="F330"/>
  <c r="E330"/>
  <c r="I331"/>
  <c r="G331"/>
  <c r="F331"/>
  <c r="E331"/>
  <c r="I336"/>
  <c r="G336"/>
  <c r="F336"/>
  <c r="E336"/>
  <c r="I335"/>
  <c r="G335"/>
  <c r="F335"/>
  <c r="E335"/>
  <c r="I333"/>
  <c r="G333"/>
  <c r="F333"/>
  <c r="E333"/>
  <c r="I343"/>
  <c r="G343"/>
  <c r="F343"/>
  <c r="E343"/>
  <c r="I348"/>
  <c r="G348"/>
  <c r="F348"/>
  <c r="E348"/>
  <c r="I350"/>
  <c r="G350"/>
  <c r="F350"/>
  <c r="E350"/>
  <c r="I344"/>
  <c r="G344"/>
  <c r="F344"/>
  <c r="E344"/>
  <c r="I345"/>
  <c r="G345"/>
  <c r="F345"/>
  <c r="E345"/>
  <c r="I347"/>
  <c r="G347"/>
  <c r="F347"/>
  <c r="E347"/>
  <c r="I346"/>
  <c r="G346"/>
  <c r="F346"/>
  <c r="E346"/>
  <c r="I349"/>
  <c r="G349"/>
  <c r="F349"/>
  <c r="E349"/>
  <c r="I313"/>
  <c r="G313"/>
  <c r="E313"/>
  <c r="I307"/>
  <c r="G307"/>
  <c r="E307"/>
  <c r="I278"/>
  <c r="G278"/>
  <c r="F278"/>
  <c r="E278"/>
  <c r="I275"/>
  <c r="G275"/>
  <c r="F275"/>
  <c r="E275"/>
  <c r="I284"/>
  <c r="G284"/>
  <c r="F284"/>
  <c r="E284"/>
  <c r="I280"/>
  <c r="G280"/>
  <c r="F280"/>
  <c r="E280"/>
  <c r="I272"/>
  <c r="G272"/>
  <c r="F272"/>
  <c r="E272"/>
  <c r="I283"/>
  <c r="G283"/>
  <c r="F283"/>
  <c r="E283"/>
  <c r="I277"/>
  <c r="G277"/>
  <c r="F277"/>
  <c r="E277"/>
  <c r="I276"/>
  <c r="G276"/>
  <c r="F276"/>
  <c r="E276"/>
  <c r="I271"/>
  <c r="G271"/>
  <c r="F271"/>
  <c r="E271"/>
  <c r="I273"/>
  <c r="G273"/>
  <c r="F273"/>
  <c r="E273"/>
  <c r="I281"/>
  <c r="G281"/>
  <c r="F281"/>
  <c r="E281"/>
  <c r="I285"/>
  <c r="G285"/>
  <c r="F285"/>
  <c r="E285"/>
  <c r="I274"/>
  <c r="G274"/>
  <c r="F274"/>
  <c r="E274"/>
  <c r="I282"/>
  <c r="G282"/>
  <c r="F282"/>
  <c r="E282"/>
  <c r="I279"/>
  <c r="G279"/>
  <c r="F279"/>
  <c r="E279"/>
  <c r="I235"/>
  <c r="G235"/>
  <c r="F235"/>
  <c r="E235"/>
  <c r="I234"/>
  <c r="G234"/>
  <c r="F234"/>
  <c r="E234"/>
  <c r="I230"/>
  <c r="G230"/>
  <c r="F230"/>
  <c r="E230"/>
  <c r="I231"/>
  <c r="G231"/>
  <c r="F231"/>
  <c r="E231"/>
  <c r="I229"/>
  <c r="G229"/>
  <c r="F229"/>
  <c r="E229"/>
  <c r="I228"/>
  <c r="G228"/>
  <c r="F228"/>
  <c r="E228"/>
  <c r="I227"/>
  <c r="G227"/>
  <c r="F227"/>
  <c r="E227"/>
  <c r="I226"/>
  <c r="G226"/>
  <c r="F226"/>
  <c r="E226"/>
  <c r="I223"/>
  <c r="G223"/>
  <c r="F223"/>
  <c r="E223"/>
  <c r="I186"/>
  <c r="G186"/>
  <c r="F186"/>
  <c r="E186"/>
  <c r="I185"/>
  <c r="G185"/>
  <c r="F185"/>
  <c r="E185"/>
  <c r="I184"/>
  <c r="G184"/>
  <c r="F184"/>
  <c r="E184"/>
  <c r="I183"/>
  <c r="G183"/>
  <c r="F183"/>
  <c r="E183"/>
  <c r="I211"/>
  <c r="G211"/>
  <c r="F211"/>
  <c r="E211"/>
  <c r="I210"/>
  <c r="G210"/>
  <c r="F210"/>
  <c r="E210"/>
  <c r="I180"/>
  <c r="G180"/>
  <c r="F180"/>
  <c r="E180"/>
  <c r="I179"/>
  <c r="G179"/>
  <c r="F179"/>
  <c r="E179"/>
  <c r="I178"/>
  <c r="G178"/>
  <c r="F178"/>
  <c r="E178"/>
  <c r="I177"/>
  <c r="G177"/>
  <c r="F177"/>
  <c r="E177"/>
  <c r="I222"/>
  <c r="G222"/>
  <c r="F222"/>
  <c r="E222"/>
  <c r="I176"/>
  <c r="G176"/>
  <c r="F176"/>
  <c r="E176"/>
  <c r="I175"/>
  <c r="G175"/>
  <c r="F175"/>
  <c r="E175"/>
  <c r="I174"/>
  <c r="G174"/>
  <c r="F174"/>
  <c r="E174"/>
  <c r="I173"/>
  <c r="G173"/>
  <c r="F173"/>
  <c r="E173"/>
  <c r="I172"/>
  <c r="G172"/>
  <c r="F172"/>
  <c r="E172"/>
  <c r="I171"/>
  <c r="G171"/>
  <c r="F171"/>
  <c r="E171"/>
  <c r="I170"/>
  <c r="G170"/>
  <c r="F170"/>
  <c r="E170"/>
  <c r="I169"/>
  <c r="G169"/>
  <c r="F169"/>
  <c r="E169"/>
  <c r="I197"/>
  <c r="G197"/>
  <c r="F197"/>
  <c r="E197"/>
  <c r="I196"/>
  <c r="G196"/>
  <c r="F196"/>
  <c r="E196"/>
  <c r="I221"/>
  <c r="G221"/>
  <c r="F221"/>
  <c r="E221"/>
  <c r="I166"/>
  <c r="G166"/>
  <c r="F166"/>
  <c r="E166"/>
  <c r="I165"/>
  <c r="G165"/>
  <c r="F165"/>
  <c r="E165"/>
  <c r="I164"/>
  <c r="G164"/>
  <c r="F164"/>
  <c r="E164"/>
  <c r="I163"/>
  <c r="G163"/>
  <c r="F163"/>
  <c r="E163"/>
  <c r="I162"/>
  <c r="G162"/>
  <c r="F162"/>
  <c r="E162"/>
  <c r="I161"/>
  <c r="G161"/>
  <c r="F161"/>
  <c r="E161"/>
  <c r="I160"/>
  <c r="G160"/>
  <c r="F160"/>
  <c r="E160"/>
  <c r="I159"/>
  <c r="G159"/>
  <c r="F159"/>
  <c r="E159"/>
  <c r="I158"/>
  <c r="G158"/>
  <c r="F158"/>
  <c r="E158"/>
  <c r="I157"/>
  <c r="G157"/>
  <c r="F157"/>
  <c r="E157"/>
  <c r="I220"/>
  <c r="G220"/>
  <c r="F220"/>
  <c r="E220"/>
  <c r="I156"/>
  <c r="G156"/>
  <c r="F156"/>
  <c r="E156"/>
  <c r="I155"/>
  <c r="G155"/>
  <c r="F155"/>
  <c r="E155"/>
  <c r="I182"/>
  <c r="G182"/>
  <c r="F182"/>
  <c r="E182"/>
  <c r="I181"/>
  <c r="G181"/>
  <c r="F181"/>
  <c r="E181"/>
  <c r="I152"/>
  <c r="G152"/>
  <c r="F152"/>
  <c r="E152"/>
  <c r="I151"/>
  <c r="G151"/>
  <c r="F151"/>
  <c r="E151"/>
  <c r="I150"/>
  <c r="G150"/>
  <c r="F150"/>
  <c r="E150"/>
  <c r="I149"/>
  <c r="G149"/>
  <c r="F149"/>
  <c r="E149"/>
  <c r="I148"/>
  <c r="G148"/>
  <c r="F148"/>
  <c r="E148"/>
  <c r="I147"/>
  <c r="G147"/>
  <c r="F147"/>
  <c r="E147"/>
  <c r="I219"/>
  <c r="G219"/>
  <c r="F219"/>
  <c r="E219"/>
  <c r="I146"/>
  <c r="G146"/>
  <c r="F146"/>
  <c r="E146"/>
  <c r="I145"/>
  <c r="G145"/>
  <c r="F145"/>
  <c r="E145"/>
  <c r="I144"/>
  <c r="G144"/>
  <c r="F144"/>
  <c r="E144"/>
  <c r="I143"/>
  <c r="G143"/>
  <c r="F143"/>
  <c r="E143"/>
  <c r="I142"/>
  <c r="G142"/>
  <c r="F142"/>
  <c r="E142"/>
  <c r="I141"/>
  <c r="G141"/>
  <c r="F141"/>
  <c r="E141"/>
  <c r="I168"/>
  <c r="G168"/>
  <c r="F168"/>
  <c r="E168"/>
  <c r="I167"/>
  <c r="G167"/>
  <c r="F167"/>
  <c r="E167"/>
  <c r="I138"/>
  <c r="G138"/>
  <c r="F138"/>
  <c r="E138"/>
  <c r="I137"/>
  <c r="G137"/>
  <c r="F137"/>
  <c r="E137"/>
  <c r="I218"/>
  <c r="G218"/>
  <c r="F218"/>
  <c r="E218"/>
  <c r="I136"/>
  <c r="G136"/>
  <c r="F136"/>
  <c r="E136"/>
  <c r="I135"/>
  <c r="G135"/>
  <c r="F135"/>
  <c r="E135"/>
  <c r="I134"/>
  <c r="G134"/>
  <c r="F134"/>
  <c r="E134"/>
  <c r="I133"/>
  <c r="G133"/>
  <c r="F133"/>
  <c r="E133"/>
  <c r="I132"/>
  <c r="G132"/>
  <c r="F132"/>
  <c r="E132"/>
  <c r="I131"/>
  <c r="G131"/>
  <c r="F131"/>
  <c r="E131"/>
  <c r="I130"/>
  <c r="G130"/>
  <c r="F130"/>
  <c r="E130"/>
  <c r="I129"/>
  <c r="G129"/>
  <c r="F129"/>
  <c r="E129"/>
  <c r="I128"/>
  <c r="G128"/>
  <c r="F128"/>
  <c r="E128"/>
  <c r="I127"/>
  <c r="G127"/>
  <c r="F127"/>
  <c r="E127"/>
  <c r="I217"/>
  <c r="G217"/>
  <c r="F217"/>
  <c r="E217"/>
  <c r="I154"/>
  <c r="G154"/>
  <c r="F154"/>
  <c r="E154"/>
  <c r="I153"/>
  <c r="G153"/>
  <c r="F153"/>
  <c r="E153"/>
  <c r="I124"/>
  <c r="G124"/>
  <c r="F124"/>
  <c r="E124"/>
  <c r="I123"/>
  <c r="G123"/>
  <c r="F123"/>
  <c r="E123"/>
  <c r="I122"/>
  <c r="G122"/>
  <c r="F122"/>
  <c r="E122"/>
  <c r="I121"/>
  <c r="G121"/>
  <c r="F121"/>
  <c r="E121"/>
  <c r="I120"/>
  <c r="G120"/>
  <c r="F120"/>
  <c r="E120"/>
  <c r="I119"/>
  <c r="G119"/>
  <c r="F119"/>
  <c r="E119"/>
  <c r="I118"/>
  <c r="G118"/>
  <c r="F118"/>
  <c r="E118"/>
  <c r="I117"/>
  <c r="G117"/>
  <c r="F117"/>
  <c r="E117"/>
  <c r="I216"/>
  <c r="G216"/>
  <c r="F216"/>
  <c r="E216"/>
  <c r="I116"/>
  <c r="G116"/>
  <c r="F116"/>
  <c r="E116"/>
  <c r="I115"/>
  <c r="G115"/>
  <c r="F115"/>
  <c r="E115"/>
  <c r="I114"/>
  <c r="G114"/>
  <c r="F114"/>
  <c r="E114"/>
  <c r="I113"/>
  <c r="G113"/>
  <c r="F113"/>
  <c r="E113"/>
  <c r="I140"/>
  <c r="G140"/>
  <c r="F140"/>
  <c r="E140"/>
  <c r="I139"/>
  <c r="G139"/>
  <c r="F139"/>
  <c r="E139"/>
  <c r="I110"/>
  <c r="G110"/>
  <c r="F110"/>
  <c r="E110"/>
  <c r="I109"/>
  <c r="G109"/>
  <c r="F109"/>
  <c r="E109"/>
  <c r="I108"/>
  <c r="G108"/>
  <c r="F108"/>
  <c r="E108"/>
  <c r="I107"/>
  <c r="G107"/>
  <c r="F107"/>
  <c r="E107"/>
  <c r="I215"/>
  <c r="G215"/>
  <c r="F215"/>
  <c r="E215"/>
  <c r="I106"/>
  <c r="G106"/>
  <c r="F106"/>
  <c r="E106"/>
  <c r="I105"/>
  <c r="G105"/>
  <c r="F105"/>
  <c r="E105"/>
  <c r="I104"/>
  <c r="G104"/>
  <c r="F104"/>
  <c r="E104"/>
  <c r="I103"/>
  <c r="G103"/>
  <c r="F103"/>
  <c r="E103"/>
  <c r="I102"/>
  <c r="G102"/>
  <c r="F102"/>
  <c r="E102"/>
  <c r="I101"/>
  <c r="G101"/>
  <c r="F101"/>
  <c r="E101"/>
  <c r="I100"/>
  <c r="G100"/>
  <c r="F100"/>
  <c r="E100"/>
  <c r="I99"/>
  <c r="G99"/>
  <c r="F99"/>
  <c r="E99"/>
  <c r="I214"/>
  <c r="G214"/>
  <c r="F214"/>
  <c r="E214"/>
  <c r="I126"/>
  <c r="G126"/>
  <c r="F126"/>
  <c r="E126"/>
  <c r="I125"/>
  <c r="G125"/>
  <c r="F125"/>
  <c r="E125"/>
  <c r="I96"/>
  <c r="G96"/>
  <c r="F96"/>
  <c r="E96"/>
  <c r="I95"/>
  <c r="G95"/>
  <c r="F95"/>
  <c r="E95"/>
  <c r="I94"/>
  <c r="G94"/>
  <c r="F94"/>
  <c r="E94"/>
  <c r="I93"/>
  <c r="G93"/>
  <c r="F93"/>
  <c r="E93"/>
  <c r="I92"/>
  <c r="G92"/>
  <c r="F92"/>
  <c r="E92"/>
  <c r="I91"/>
  <c r="G91"/>
  <c r="F91"/>
  <c r="E91"/>
  <c r="I90"/>
  <c r="G90"/>
  <c r="F90"/>
  <c r="E90"/>
  <c r="I89"/>
  <c r="G89"/>
  <c r="F89"/>
  <c r="E89"/>
  <c r="I213"/>
  <c r="G213"/>
  <c r="F213"/>
  <c r="E213"/>
  <c r="I88"/>
  <c r="G88"/>
  <c r="F88"/>
  <c r="E88"/>
  <c r="I87"/>
  <c r="G87"/>
  <c r="F87"/>
  <c r="E87"/>
  <c r="I86"/>
  <c r="G86"/>
  <c r="F86"/>
  <c r="E86"/>
  <c r="I85"/>
  <c r="G85"/>
  <c r="F85"/>
  <c r="E85"/>
  <c r="I112"/>
  <c r="G112"/>
  <c r="F112"/>
  <c r="E112"/>
  <c r="I111"/>
  <c r="G111"/>
  <c r="F111"/>
  <c r="E111"/>
  <c r="I82"/>
  <c r="G82"/>
  <c r="F82"/>
  <c r="E82"/>
  <c r="I81"/>
  <c r="G81"/>
  <c r="F81"/>
  <c r="E81"/>
  <c r="I80"/>
  <c r="G80"/>
  <c r="F80"/>
  <c r="E80"/>
  <c r="I79"/>
  <c r="G79"/>
  <c r="F79"/>
  <c r="E79"/>
  <c r="I212"/>
  <c r="G212"/>
  <c r="F212"/>
  <c r="E212"/>
  <c r="I78"/>
  <c r="G78"/>
  <c r="F78"/>
  <c r="E78"/>
  <c r="I77"/>
  <c r="G77"/>
  <c r="F77"/>
  <c r="E77"/>
  <c r="I76"/>
  <c r="G76"/>
  <c r="F76"/>
  <c r="E76"/>
  <c r="I75"/>
  <c r="G75"/>
  <c r="F75"/>
  <c r="E75"/>
  <c r="I74"/>
  <c r="G74"/>
  <c r="F74"/>
  <c r="E74"/>
  <c r="I73"/>
  <c r="G73"/>
  <c r="F73"/>
  <c r="E73"/>
  <c r="I72"/>
  <c r="G72"/>
  <c r="F72"/>
  <c r="E72"/>
  <c r="I71"/>
  <c r="G71"/>
  <c r="F71"/>
  <c r="E71"/>
  <c r="I98"/>
  <c r="G98"/>
  <c r="F98"/>
  <c r="E98"/>
  <c r="I97"/>
  <c r="G97"/>
  <c r="F97"/>
  <c r="E97"/>
  <c r="I233"/>
  <c r="G233"/>
  <c r="F233"/>
  <c r="E233"/>
  <c r="I207"/>
  <c r="G207"/>
  <c r="F207"/>
  <c r="E207"/>
  <c r="I206"/>
  <c r="G206"/>
  <c r="F206"/>
  <c r="E206"/>
  <c r="I205"/>
  <c r="G205"/>
  <c r="F205"/>
  <c r="E205"/>
  <c r="I204"/>
  <c r="G204"/>
  <c r="F204"/>
  <c r="E204"/>
  <c r="I203"/>
  <c r="G203"/>
  <c r="F203"/>
  <c r="E203"/>
  <c r="I202"/>
  <c r="G202"/>
  <c r="F202"/>
  <c r="E202"/>
  <c r="I201"/>
  <c r="G201"/>
  <c r="F201"/>
  <c r="E201"/>
  <c r="I200"/>
  <c r="G200"/>
  <c r="F200"/>
  <c r="E200"/>
  <c r="I199"/>
  <c r="G199"/>
  <c r="F199"/>
  <c r="E199"/>
  <c r="I232"/>
  <c r="G232"/>
  <c r="F232"/>
  <c r="E232"/>
  <c r="I68"/>
  <c r="G68"/>
  <c r="F68"/>
  <c r="E68"/>
  <c r="I67"/>
  <c r="G67"/>
  <c r="F67"/>
  <c r="E67"/>
  <c r="I66"/>
  <c r="G66"/>
  <c r="F66"/>
  <c r="E66"/>
  <c r="I65"/>
  <c r="G65"/>
  <c r="F65"/>
  <c r="E65"/>
  <c r="I64"/>
  <c r="G64"/>
  <c r="F64"/>
  <c r="E64"/>
  <c r="I63"/>
  <c r="G63"/>
  <c r="F63"/>
  <c r="E63"/>
  <c r="I62"/>
  <c r="G62"/>
  <c r="F62"/>
  <c r="E62"/>
  <c r="I61"/>
  <c r="G61"/>
  <c r="F61"/>
  <c r="E61"/>
  <c r="I60"/>
  <c r="G60"/>
  <c r="F60"/>
  <c r="E60"/>
  <c r="I59"/>
  <c r="G59"/>
  <c r="F59"/>
  <c r="E59"/>
  <c r="I209"/>
  <c r="G209"/>
  <c r="F209"/>
  <c r="E209"/>
  <c r="I58"/>
  <c r="G58"/>
  <c r="F58"/>
  <c r="E58"/>
  <c r="I57"/>
  <c r="G57"/>
  <c r="F57"/>
  <c r="E57"/>
  <c r="I84"/>
  <c r="G84"/>
  <c r="F84"/>
  <c r="E84"/>
  <c r="I83"/>
  <c r="G83"/>
  <c r="F83"/>
  <c r="E83"/>
  <c r="I54"/>
  <c r="G54"/>
  <c r="F54"/>
  <c r="E54"/>
  <c r="I53"/>
  <c r="G53"/>
  <c r="F53"/>
  <c r="E53"/>
  <c r="I52"/>
  <c r="G52"/>
  <c r="F52"/>
  <c r="E52"/>
  <c r="I51"/>
  <c r="G51"/>
  <c r="F51"/>
  <c r="E51"/>
  <c r="I50"/>
  <c r="G50"/>
  <c r="F50"/>
  <c r="E50"/>
  <c r="I49"/>
  <c r="G49"/>
  <c r="F49"/>
  <c r="E49"/>
  <c r="I208"/>
  <c r="G208"/>
  <c r="F208"/>
  <c r="E208"/>
  <c r="I48"/>
  <c r="G48"/>
  <c r="F48"/>
  <c r="E48"/>
  <c r="I47"/>
  <c r="G47"/>
  <c r="F47"/>
  <c r="E47"/>
  <c r="I46"/>
  <c r="G46"/>
  <c r="F46"/>
  <c r="E46"/>
  <c r="I45"/>
  <c r="G45"/>
  <c r="F45"/>
  <c r="E45"/>
  <c r="I44"/>
  <c r="G44"/>
  <c r="F44"/>
  <c r="E44"/>
  <c r="I43"/>
  <c r="G43"/>
  <c r="F43"/>
  <c r="E43"/>
  <c r="I70"/>
  <c r="G70"/>
  <c r="F70"/>
  <c r="E70"/>
  <c r="I69"/>
  <c r="G69"/>
  <c r="F69"/>
  <c r="E69"/>
  <c r="I40"/>
  <c r="G40"/>
  <c r="F40"/>
  <c r="E40"/>
  <c r="I39"/>
  <c r="G39"/>
  <c r="F39"/>
  <c r="E39"/>
  <c r="I38"/>
  <c r="G38"/>
  <c r="F38"/>
  <c r="E38"/>
  <c r="I37"/>
  <c r="G37"/>
  <c r="F37"/>
  <c r="E37"/>
  <c r="I36"/>
  <c r="G36"/>
  <c r="F36"/>
  <c r="E36"/>
  <c r="I35"/>
  <c r="G35"/>
  <c r="F35"/>
  <c r="E35"/>
  <c r="I34"/>
  <c r="G34"/>
  <c r="F34"/>
  <c r="E34"/>
  <c r="I33"/>
  <c r="G33"/>
  <c r="F33"/>
  <c r="E33"/>
  <c r="I32"/>
  <c r="G32"/>
  <c r="F32"/>
  <c r="E32"/>
  <c r="I31"/>
  <c r="G31"/>
  <c r="F31"/>
  <c r="E31"/>
  <c r="I30"/>
  <c r="G30"/>
  <c r="F30"/>
  <c r="E30"/>
  <c r="I29"/>
  <c r="G29"/>
  <c r="F29"/>
  <c r="E29"/>
  <c r="I56"/>
  <c r="G56"/>
  <c r="F56"/>
  <c r="E56"/>
  <c r="I55"/>
  <c r="G55"/>
  <c r="F55"/>
  <c r="E55"/>
  <c r="I28"/>
  <c r="G28"/>
  <c r="F28"/>
  <c r="E28"/>
  <c r="I27"/>
  <c r="G27"/>
  <c r="F27"/>
  <c r="E27"/>
  <c r="I26"/>
  <c r="G26"/>
  <c r="F26"/>
  <c r="E26"/>
  <c r="I25"/>
  <c r="G25"/>
  <c r="F25"/>
  <c r="E25"/>
  <c r="I24"/>
  <c r="G24"/>
  <c r="F24"/>
  <c r="E24"/>
  <c r="I42"/>
  <c r="G42"/>
  <c r="F42"/>
  <c r="E42"/>
  <c r="I41"/>
  <c r="G41"/>
  <c r="F41"/>
  <c r="E41"/>
  <c r="I198"/>
  <c r="G198"/>
  <c r="F198"/>
  <c r="E198"/>
  <c r="I195"/>
  <c r="G195"/>
  <c r="F195"/>
  <c r="E195"/>
  <c r="I225"/>
  <c r="G225"/>
  <c r="F225"/>
  <c r="E225"/>
  <c r="I194"/>
  <c r="G194"/>
  <c r="F194"/>
  <c r="E194"/>
  <c r="I224"/>
  <c r="G224"/>
  <c r="F224"/>
  <c r="E224"/>
  <c r="I193"/>
  <c r="G193"/>
  <c r="F193"/>
  <c r="E193"/>
  <c r="I192"/>
  <c r="G192"/>
  <c r="F192"/>
  <c r="E192"/>
  <c r="I189"/>
  <c r="G189"/>
  <c r="F189"/>
  <c r="E189"/>
  <c r="I191"/>
  <c r="G191"/>
  <c r="F191"/>
  <c r="E191"/>
  <c r="I188"/>
  <c r="G188"/>
  <c r="F188"/>
  <c r="E188"/>
  <c r="I190"/>
  <c r="G190"/>
  <c r="F190"/>
  <c r="E190"/>
  <c r="I187"/>
  <c r="G187"/>
  <c r="F187"/>
  <c r="E187"/>
  <c r="I23"/>
  <c r="G23"/>
  <c r="F23"/>
  <c r="E23"/>
  <c r="I240"/>
  <c r="G240"/>
  <c r="F240"/>
  <c r="E240"/>
  <c r="I237"/>
  <c r="G237"/>
  <c r="F237"/>
  <c r="E237"/>
  <c r="I244"/>
  <c r="G244"/>
  <c r="F244"/>
  <c r="E244"/>
  <c r="I243"/>
  <c r="G243"/>
  <c r="F243"/>
  <c r="E243"/>
  <c r="I250"/>
  <c r="G250"/>
  <c r="F250"/>
  <c r="E250"/>
  <c r="I249"/>
  <c r="G249"/>
  <c r="F249"/>
  <c r="E249"/>
  <c r="I238"/>
  <c r="G238"/>
  <c r="F238"/>
  <c r="E238"/>
  <c r="I239"/>
  <c r="G239"/>
  <c r="F239"/>
  <c r="E239"/>
  <c r="I248"/>
  <c r="G248"/>
  <c r="F248"/>
  <c r="E248"/>
  <c r="I241"/>
  <c r="G241"/>
  <c r="F241"/>
  <c r="E241"/>
  <c r="I242"/>
  <c r="G242"/>
  <c r="F242"/>
  <c r="E242"/>
  <c r="I247"/>
  <c r="G247"/>
  <c r="F247"/>
  <c r="E247"/>
  <c r="I246"/>
  <c r="G246"/>
  <c r="F246"/>
  <c r="E246"/>
  <c r="I245"/>
  <c r="G245"/>
  <c r="F245"/>
  <c r="E245"/>
  <c r="I236"/>
  <c r="G236"/>
  <c r="F236"/>
  <c r="E236"/>
  <c r="I2"/>
  <c r="G2"/>
  <c r="E2"/>
</calcChain>
</file>

<file path=xl/comments1.xml><?xml version="1.0" encoding="utf-8"?>
<comments xmlns="http://schemas.openxmlformats.org/spreadsheetml/2006/main">
  <authors>
    <author>116295</author>
  </authors>
  <commentList>
    <comment ref="B2" authorId="0">
      <text>
        <r>
          <rPr>
            <b/>
            <sz val="8"/>
            <color indexed="81"/>
            <rFont val="Tahoma"/>
            <family val="2"/>
          </rPr>
          <t>116295:</t>
        </r>
        <r>
          <rPr>
            <sz val="8"/>
            <color indexed="81"/>
            <rFont val="Tahoma"/>
            <family val="2"/>
          </rPr>
          <t xml:space="preserve">
Able Community Based Services
(405)329-3960</t>
        </r>
      </text>
    </comment>
    <comment ref="B3" authorId="0">
      <text>
        <r>
          <rPr>
            <b/>
            <sz val="8"/>
            <color indexed="81"/>
            <rFont val="Tahoma"/>
            <family val="2"/>
          </rPr>
          <t>116295:</t>
        </r>
        <r>
          <rPr>
            <sz val="8"/>
            <color indexed="81"/>
            <rFont val="Tahoma"/>
            <family val="2"/>
          </rPr>
          <t xml:space="preserve">
Able Community Based Services
(405)329-3960</t>
        </r>
      </text>
    </comment>
    <comment ref="E3" authorId="0">
      <text>
        <r>
          <rPr>
            <b/>
            <sz val="8"/>
            <color indexed="81"/>
            <rFont val="Tahoma"/>
            <family val="2"/>
          </rPr>
          <t>116295:</t>
        </r>
        <r>
          <rPr>
            <sz val="8"/>
            <color indexed="81"/>
            <rFont val="Tahoma"/>
            <family val="2"/>
          </rPr>
          <t xml:space="preserve">
Suitable to Procure 
No Fair Market Value
Non Mandatory
Call Vendor for Price</t>
        </r>
      </text>
    </comment>
    <comment ref="B4" authorId="0">
      <text>
        <r>
          <rPr>
            <b/>
            <sz val="8"/>
            <color indexed="81"/>
            <rFont val="Tahoma"/>
            <family val="2"/>
          </rPr>
          <t>116295:</t>
        </r>
        <r>
          <rPr>
            <sz val="8"/>
            <color indexed="81"/>
            <rFont val="Tahoma"/>
            <family val="2"/>
          </rPr>
          <t xml:space="preserve">
Able Community Based Services
(405)329-3960</t>
        </r>
      </text>
    </comment>
    <comment ref="E4" authorId="0">
      <text>
        <r>
          <rPr>
            <b/>
            <sz val="8"/>
            <color indexed="81"/>
            <rFont val="Tahoma"/>
            <family val="2"/>
          </rPr>
          <t>116295:</t>
        </r>
        <r>
          <rPr>
            <sz val="8"/>
            <color indexed="81"/>
            <rFont val="Tahoma"/>
            <family val="2"/>
          </rPr>
          <t xml:space="preserve">
Suitable to Procure 
No Fair Market Value
Non Mandatory
Call Vendor for Price</t>
        </r>
      </text>
    </comment>
    <comment ref="B5" authorId="0">
      <text>
        <r>
          <rPr>
            <b/>
            <sz val="8"/>
            <color indexed="81"/>
            <rFont val="Tahoma"/>
            <family val="2"/>
          </rPr>
          <t>116295:</t>
        </r>
        <r>
          <rPr>
            <sz val="8"/>
            <color indexed="81"/>
            <rFont val="Tahoma"/>
            <family val="2"/>
          </rPr>
          <t xml:space="preserve">
Able Community Based Services
(405)329-3960</t>
        </r>
      </text>
    </comment>
    <comment ref="E5" authorId="0">
      <text>
        <r>
          <rPr>
            <b/>
            <sz val="8"/>
            <color indexed="81"/>
            <rFont val="Tahoma"/>
            <family val="2"/>
          </rPr>
          <t>116295:</t>
        </r>
        <r>
          <rPr>
            <sz val="8"/>
            <color indexed="81"/>
            <rFont val="Tahoma"/>
            <family val="2"/>
          </rPr>
          <t xml:space="preserve">
Suitable to Procure 
No Fair Market Value
Non Mandatory
Call Vendor for Price</t>
        </r>
      </text>
    </comment>
    <comment ref="B6" authorId="0">
      <text>
        <r>
          <rPr>
            <b/>
            <sz val="8"/>
            <color indexed="81"/>
            <rFont val="Tahoma"/>
            <family val="2"/>
          </rPr>
          <t>116295:</t>
        </r>
        <r>
          <rPr>
            <sz val="8"/>
            <color indexed="81"/>
            <rFont val="Tahoma"/>
            <family val="2"/>
          </rPr>
          <t xml:space="preserve">
Able Community Based Services
(405)329-3960</t>
        </r>
      </text>
    </comment>
    <comment ref="E6" authorId="0">
      <text>
        <r>
          <rPr>
            <b/>
            <sz val="8"/>
            <color indexed="81"/>
            <rFont val="Tahoma"/>
            <family val="2"/>
          </rPr>
          <t>116295:</t>
        </r>
        <r>
          <rPr>
            <sz val="8"/>
            <color indexed="81"/>
            <rFont val="Tahoma"/>
            <family val="2"/>
          </rPr>
          <t xml:space="preserve">
Suitable to Procure 
No Fair Market Value
Non Mandatory
Call Vendor for Price</t>
        </r>
      </text>
    </comment>
    <comment ref="B7" authorId="0">
      <text>
        <r>
          <rPr>
            <b/>
            <sz val="8"/>
            <color indexed="81"/>
            <rFont val="Tahoma"/>
            <family val="2"/>
          </rPr>
          <t>116295:</t>
        </r>
        <r>
          <rPr>
            <sz val="8"/>
            <color indexed="81"/>
            <rFont val="Tahoma"/>
            <family val="2"/>
          </rPr>
          <t xml:space="preserve">
Able Community Based Services
(405)329-3960</t>
        </r>
      </text>
    </comment>
    <comment ref="E7" authorId="0">
      <text>
        <r>
          <rPr>
            <b/>
            <sz val="8"/>
            <color indexed="81"/>
            <rFont val="Tahoma"/>
            <family val="2"/>
          </rPr>
          <t>116295:</t>
        </r>
        <r>
          <rPr>
            <sz val="8"/>
            <color indexed="81"/>
            <rFont val="Tahoma"/>
            <family val="2"/>
          </rPr>
          <t xml:space="preserve">
Suitable to Procure 
No Fair Market Value
Non Mandatory
Call Vendor for Price</t>
        </r>
      </text>
    </comment>
    <comment ref="B8" authorId="0">
      <text>
        <r>
          <rPr>
            <b/>
            <sz val="8"/>
            <color indexed="81"/>
            <rFont val="Tahoma"/>
            <family val="2"/>
          </rPr>
          <t>116295:</t>
        </r>
        <r>
          <rPr>
            <sz val="8"/>
            <color indexed="81"/>
            <rFont val="Tahoma"/>
            <family val="2"/>
          </rPr>
          <t xml:space="preserve">
Apex, Inc
(405)247-7377</t>
        </r>
      </text>
    </comment>
    <comment ref="B9" authorId="0">
      <text>
        <r>
          <rPr>
            <b/>
            <sz val="8"/>
            <color indexed="81"/>
            <rFont val="Tahoma"/>
            <family val="2"/>
          </rPr>
          <t>116295:</t>
        </r>
        <r>
          <rPr>
            <sz val="8"/>
            <color indexed="81"/>
            <rFont val="Tahoma"/>
            <family val="2"/>
          </rPr>
          <t xml:space="preserve">
Apex, Inc
(405)247-7377</t>
        </r>
      </text>
    </comment>
    <comment ref="B10" authorId="0">
      <text>
        <r>
          <rPr>
            <b/>
            <sz val="8"/>
            <color indexed="81"/>
            <rFont val="Tahoma"/>
            <family val="2"/>
          </rPr>
          <t>116295:</t>
        </r>
        <r>
          <rPr>
            <sz val="8"/>
            <color indexed="81"/>
            <rFont val="Tahoma"/>
            <family val="2"/>
          </rPr>
          <t xml:space="preserve">
Apex, Inc
(405)247-7377</t>
        </r>
      </text>
    </comment>
    <comment ref="B11" authorId="0">
      <text>
        <r>
          <rPr>
            <b/>
            <sz val="8"/>
            <color indexed="81"/>
            <rFont val="Tahoma"/>
            <family val="2"/>
          </rPr>
          <t>116295:</t>
        </r>
        <r>
          <rPr>
            <sz val="8"/>
            <color indexed="81"/>
            <rFont val="Tahoma"/>
            <family val="2"/>
          </rPr>
          <t xml:space="preserve">
Apex, Inc
(405)247-7377</t>
        </r>
      </text>
    </comment>
    <comment ref="B12" authorId="0">
      <text>
        <r>
          <rPr>
            <b/>
            <sz val="8"/>
            <color indexed="81"/>
            <rFont val="Tahoma"/>
            <family val="2"/>
          </rPr>
          <t>116295:</t>
        </r>
        <r>
          <rPr>
            <sz val="8"/>
            <color indexed="81"/>
            <rFont val="Tahoma"/>
            <family val="2"/>
          </rPr>
          <t xml:space="preserve">
Apex, Inc
(405)247-7377</t>
        </r>
      </text>
    </comment>
    <comment ref="B13" authorId="0">
      <text>
        <r>
          <rPr>
            <b/>
            <sz val="8"/>
            <color indexed="81"/>
            <rFont val="Tahoma"/>
            <family val="2"/>
          </rPr>
          <t>116295:</t>
        </r>
        <r>
          <rPr>
            <sz val="8"/>
            <color indexed="81"/>
            <rFont val="Tahoma"/>
            <family val="2"/>
          </rPr>
          <t xml:space="preserve">
Apex, Inc
(405)247-7377</t>
        </r>
      </text>
    </comment>
    <comment ref="E13" authorId="0">
      <text>
        <r>
          <rPr>
            <b/>
            <sz val="8"/>
            <color indexed="81"/>
            <rFont val="Tahoma"/>
            <family val="2"/>
          </rPr>
          <t>116295:</t>
        </r>
        <r>
          <rPr>
            <sz val="8"/>
            <color indexed="81"/>
            <rFont val="Tahoma"/>
            <family val="2"/>
          </rPr>
          <t xml:space="preserve">
Suitable to Procure 
No Fair Market Value
Non Mandatory
Call Vendor for Price</t>
        </r>
      </text>
    </comment>
    <comment ref="B14" authorId="0">
      <text>
        <r>
          <rPr>
            <b/>
            <sz val="8"/>
            <color indexed="81"/>
            <rFont val="Tahoma"/>
            <family val="2"/>
          </rPr>
          <t>116295:</t>
        </r>
        <r>
          <rPr>
            <sz val="8"/>
            <color indexed="81"/>
            <rFont val="Tahoma"/>
            <family val="2"/>
          </rPr>
          <t xml:space="preserve">
Apex, Inc
(405)247-7377</t>
        </r>
      </text>
    </comment>
    <comment ref="E14" authorId="0">
      <text>
        <r>
          <rPr>
            <b/>
            <sz val="8"/>
            <color indexed="81"/>
            <rFont val="Tahoma"/>
            <family val="2"/>
          </rPr>
          <t>116295:</t>
        </r>
        <r>
          <rPr>
            <sz val="8"/>
            <color indexed="81"/>
            <rFont val="Tahoma"/>
            <family val="2"/>
          </rPr>
          <t xml:space="preserve">
Suitable to Procure 
No Fair Market Value
Non Mandatory
Call Vendor for Price</t>
        </r>
      </text>
    </comment>
    <comment ref="B15" authorId="0">
      <text>
        <r>
          <rPr>
            <b/>
            <sz val="8"/>
            <color indexed="81"/>
            <rFont val="Tahoma"/>
            <family val="2"/>
          </rPr>
          <t>116295:</t>
        </r>
        <r>
          <rPr>
            <sz val="8"/>
            <color indexed="81"/>
            <rFont val="Tahoma"/>
            <family val="2"/>
          </rPr>
          <t xml:space="preserve">
Apex, Inc
(405)247-7377</t>
        </r>
      </text>
    </comment>
    <comment ref="E15" authorId="0">
      <text>
        <r>
          <rPr>
            <b/>
            <sz val="8"/>
            <color indexed="81"/>
            <rFont val="Tahoma"/>
            <family val="2"/>
          </rPr>
          <t>116295:</t>
        </r>
        <r>
          <rPr>
            <sz val="8"/>
            <color indexed="81"/>
            <rFont val="Tahoma"/>
            <family val="2"/>
          </rPr>
          <t xml:space="preserve">
Suitable to Procure 
No Fair Market Value
Non Mandatory
Call Vendor for Price</t>
        </r>
      </text>
    </comment>
    <comment ref="B16" authorId="0">
      <text>
        <r>
          <rPr>
            <b/>
            <sz val="8"/>
            <color indexed="81"/>
            <rFont val="Tahoma"/>
            <family val="2"/>
          </rPr>
          <t>116295:</t>
        </r>
        <r>
          <rPr>
            <sz val="8"/>
            <color indexed="81"/>
            <rFont val="Tahoma"/>
            <family val="2"/>
          </rPr>
          <t xml:space="preserve">
Apex, Inc
(405)247-7377</t>
        </r>
      </text>
    </comment>
    <comment ref="E16" authorId="0">
      <text>
        <r>
          <rPr>
            <b/>
            <sz val="8"/>
            <color indexed="81"/>
            <rFont val="Tahoma"/>
            <family val="2"/>
          </rPr>
          <t>116295:</t>
        </r>
        <r>
          <rPr>
            <sz val="8"/>
            <color indexed="81"/>
            <rFont val="Tahoma"/>
            <family val="2"/>
          </rPr>
          <t xml:space="preserve">
Suitable to Procure 
No Fair Market Value
Non Mandatory
Call Vendor for Price</t>
        </r>
      </text>
    </comment>
    <comment ref="B17" authorId="0">
      <text>
        <r>
          <rPr>
            <b/>
            <sz val="8"/>
            <color indexed="81"/>
            <rFont val="Tahoma"/>
            <family val="2"/>
          </rPr>
          <t>116295:</t>
        </r>
        <r>
          <rPr>
            <sz val="8"/>
            <color indexed="81"/>
            <rFont val="Tahoma"/>
            <family val="2"/>
          </rPr>
          <t xml:space="preserve">
Apex, Inc
(405)247-7377</t>
        </r>
      </text>
    </comment>
    <comment ref="E17" authorId="0">
      <text>
        <r>
          <rPr>
            <b/>
            <sz val="8"/>
            <color indexed="81"/>
            <rFont val="Tahoma"/>
            <family val="2"/>
          </rPr>
          <t>116295:</t>
        </r>
        <r>
          <rPr>
            <sz val="8"/>
            <color indexed="81"/>
            <rFont val="Tahoma"/>
            <family val="2"/>
          </rPr>
          <t xml:space="preserve">
Suitable to Procure 
No Fair Market Value
Non Mandatory
Call Vendor for Price</t>
        </r>
      </text>
    </comment>
    <comment ref="B18" authorId="0">
      <text>
        <r>
          <rPr>
            <b/>
            <sz val="8"/>
            <color indexed="81"/>
            <rFont val="Tahoma"/>
            <family val="2"/>
          </rPr>
          <t>116295:</t>
        </r>
        <r>
          <rPr>
            <sz val="8"/>
            <color indexed="81"/>
            <rFont val="Tahoma"/>
            <family val="2"/>
          </rPr>
          <t xml:space="preserve">
Apex, Inc
(405)247-7377</t>
        </r>
      </text>
    </comment>
    <comment ref="E18" authorId="0">
      <text>
        <r>
          <rPr>
            <b/>
            <sz val="8"/>
            <color indexed="81"/>
            <rFont val="Tahoma"/>
            <family val="2"/>
          </rPr>
          <t>116295:</t>
        </r>
        <r>
          <rPr>
            <sz val="8"/>
            <color indexed="81"/>
            <rFont val="Tahoma"/>
            <family val="2"/>
          </rPr>
          <t xml:space="preserve">
Suitable to Procure 
No Fair Market Value
Non Mandatory
Call Vendor for Price</t>
        </r>
      </text>
    </comment>
    <comment ref="B19" authorId="0">
      <text>
        <r>
          <rPr>
            <b/>
            <sz val="8"/>
            <color indexed="81"/>
            <rFont val="Tahoma"/>
            <family val="2"/>
          </rPr>
          <t>116295:</t>
        </r>
        <r>
          <rPr>
            <sz val="8"/>
            <color indexed="81"/>
            <rFont val="Tahoma"/>
            <family val="2"/>
          </rPr>
          <t xml:space="preserve">
Apex, Inc
(405)247-7377</t>
        </r>
      </text>
    </comment>
    <comment ref="E19" authorId="0">
      <text>
        <r>
          <rPr>
            <b/>
            <sz val="8"/>
            <color indexed="81"/>
            <rFont val="Tahoma"/>
            <family val="2"/>
          </rPr>
          <t>116295:</t>
        </r>
        <r>
          <rPr>
            <sz val="8"/>
            <color indexed="81"/>
            <rFont val="Tahoma"/>
            <family val="2"/>
          </rPr>
          <t xml:space="preserve">
Suitable to Procure 
No Fair Market Value
Non Mandatory
Call Vendor for Price</t>
        </r>
      </text>
    </comment>
    <comment ref="B20" authorId="0">
      <text>
        <r>
          <rPr>
            <b/>
            <sz val="8"/>
            <color indexed="81"/>
            <rFont val="Tahoma"/>
            <family val="2"/>
          </rPr>
          <t>116295:</t>
        </r>
        <r>
          <rPr>
            <sz val="8"/>
            <color indexed="81"/>
            <rFont val="Tahoma"/>
            <family val="2"/>
          </rPr>
          <t xml:space="preserve">
Apex, Inc
(405)247-7377</t>
        </r>
      </text>
    </comment>
    <comment ref="E20" authorId="0">
      <text>
        <r>
          <rPr>
            <b/>
            <sz val="8"/>
            <color indexed="81"/>
            <rFont val="Tahoma"/>
            <family val="2"/>
          </rPr>
          <t>116295:</t>
        </r>
        <r>
          <rPr>
            <sz val="8"/>
            <color indexed="81"/>
            <rFont val="Tahoma"/>
            <family val="2"/>
          </rPr>
          <t xml:space="preserve">
Suitable to Procure 
No Fair Market Value
Non Mandatory
Call Vendor for Price</t>
        </r>
      </text>
    </comment>
    <comment ref="B21" authorId="0">
      <text>
        <r>
          <rPr>
            <b/>
            <sz val="8"/>
            <color indexed="81"/>
            <rFont val="Tahoma"/>
            <family val="2"/>
          </rPr>
          <t>116295:</t>
        </r>
        <r>
          <rPr>
            <sz val="8"/>
            <color indexed="81"/>
            <rFont val="Tahoma"/>
            <family val="2"/>
          </rPr>
          <t xml:space="preserve">
Apex, Inc
(405)247-7377</t>
        </r>
      </text>
    </comment>
    <comment ref="E21" authorId="0">
      <text>
        <r>
          <rPr>
            <b/>
            <sz val="8"/>
            <color indexed="81"/>
            <rFont val="Tahoma"/>
            <family val="2"/>
          </rPr>
          <t>116295:</t>
        </r>
        <r>
          <rPr>
            <sz val="8"/>
            <color indexed="81"/>
            <rFont val="Tahoma"/>
            <family val="2"/>
          </rPr>
          <t xml:space="preserve">
Suitable to Procure 
No Fair Market Value
Non Mandatory
Call Vendor for Price</t>
        </r>
      </text>
    </comment>
    <comment ref="B22" authorId="0">
      <text>
        <r>
          <rPr>
            <b/>
            <sz val="8"/>
            <color indexed="81"/>
            <rFont val="Tahoma"/>
            <family val="2"/>
          </rPr>
          <t>116295:</t>
        </r>
        <r>
          <rPr>
            <sz val="8"/>
            <color indexed="81"/>
            <rFont val="Tahoma"/>
            <family val="2"/>
          </rPr>
          <t xml:space="preserve">
Apex, Inc
(405)247-7377</t>
        </r>
      </text>
    </comment>
    <comment ref="E22" authorId="0">
      <text>
        <r>
          <rPr>
            <b/>
            <sz val="8"/>
            <color indexed="81"/>
            <rFont val="Tahoma"/>
            <family val="2"/>
          </rPr>
          <t>116295:</t>
        </r>
        <r>
          <rPr>
            <sz val="8"/>
            <color indexed="81"/>
            <rFont val="Tahoma"/>
            <family val="2"/>
          </rPr>
          <t xml:space="preserve">
Suitable to Procure 
No Fair Market Value
Non Mandatory
Call Vendor for Price</t>
        </r>
      </text>
    </comment>
    <comment ref="B23" authorId="0">
      <text>
        <r>
          <rPr>
            <b/>
            <sz val="8"/>
            <color indexed="81"/>
            <rFont val="Tahoma"/>
            <family val="2"/>
          </rPr>
          <t>116295:</t>
        </r>
        <r>
          <rPr>
            <sz val="8"/>
            <color indexed="81"/>
            <rFont val="Tahoma"/>
            <family val="2"/>
          </rPr>
          <t xml:space="preserve">
Center of Family Love
(405)263-4935</t>
        </r>
      </text>
    </comment>
    <comment ref="B24" authorId="0">
      <text>
        <r>
          <rPr>
            <b/>
            <sz val="8"/>
            <color indexed="81"/>
            <rFont val="Tahoma"/>
            <family val="2"/>
          </rPr>
          <t>116295:</t>
        </r>
        <r>
          <rPr>
            <sz val="8"/>
            <color indexed="81"/>
            <rFont val="Tahoma"/>
            <family val="2"/>
          </rPr>
          <t xml:space="preserve">
Center of Family Love
(405)263-4935</t>
        </r>
      </text>
    </comment>
    <comment ref="B25" authorId="0">
      <text>
        <r>
          <rPr>
            <b/>
            <sz val="8"/>
            <color indexed="81"/>
            <rFont val="Tahoma"/>
            <family val="2"/>
          </rPr>
          <t>116295:</t>
        </r>
        <r>
          <rPr>
            <sz val="8"/>
            <color indexed="81"/>
            <rFont val="Tahoma"/>
            <family val="2"/>
          </rPr>
          <t xml:space="preserve">
Center of Family Love
(405)263-4935</t>
        </r>
      </text>
    </comment>
    <comment ref="B26" authorId="0">
      <text>
        <r>
          <rPr>
            <b/>
            <sz val="8"/>
            <color indexed="81"/>
            <rFont val="Tahoma"/>
            <family val="2"/>
          </rPr>
          <t>116295:</t>
        </r>
        <r>
          <rPr>
            <sz val="8"/>
            <color indexed="81"/>
            <rFont val="Tahoma"/>
            <family val="2"/>
          </rPr>
          <t xml:space="preserve">
Center of Family Love
(405)263-4935</t>
        </r>
      </text>
    </comment>
    <comment ref="B27" authorId="0">
      <text>
        <r>
          <rPr>
            <b/>
            <sz val="8"/>
            <color indexed="81"/>
            <rFont val="Tahoma"/>
            <family val="2"/>
          </rPr>
          <t>116295:</t>
        </r>
        <r>
          <rPr>
            <sz val="8"/>
            <color indexed="81"/>
            <rFont val="Tahoma"/>
            <family val="2"/>
          </rPr>
          <t xml:space="preserve">
Center of Family Love
(405)263-4935</t>
        </r>
      </text>
    </comment>
    <comment ref="B28" authorId="0">
      <text>
        <r>
          <rPr>
            <b/>
            <sz val="8"/>
            <color indexed="81"/>
            <rFont val="Tahoma"/>
            <family val="2"/>
          </rPr>
          <t>116295:</t>
        </r>
        <r>
          <rPr>
            <sz val="8"/>
            <color indexed="81"/>
            <rFont val="Tahoma"/>
            <family val="2"/>
          </rPr>
          <t xml:space="preserve">
Center of Family Love
(405)263-4935</t>
        </r>
      </text>
    </comment>
    <comment ref="B29" authorId="0">
      <text>
        <r>
          <rPr>
            <b/>
            <sz val="8"/>
            <color indexed="81"/>
            <rFont val="Tahoma"/>
            <family val="2"/>
          </rPr>
          <t>116295:</t>
        </r>
        <r>
          <rPr>
            <sz val="8"/>
            <color indexed="81"/>
            <rFont val="Tahoma"/>
            <family val="2"/>
          </rPr>
          <t xml:space="preserve">
Center of Family Love
(405)263-4935</t>
        </r>
      </text>
    </comment>
    <comment ref="B30" authorId="0">
      <text>
        <r>
          <rPr>
            <b/>
            <sz val="8"/>
            <color indexed="81"/>
            <rFont val="Tahoma"/>
            <family val="2"/>
          </rPr>
          <t>116295:</t>
        </r>
        <r>
          <rPr>
            <sz val="8"/>
            <color indexed="81"/>
            <rFont val="Tahoma"/>
            <family val="2"/>
          </rPr>
          <t xml:space="preserve">
Center of Family Love
(405)263-4935</t>
        </r>
      </text>
    </comment>
    <comment ref="B31" authorId="0">
      <text>
        <r>
          <rPr>
            <b/>
            <sz val="8"/>
            <color indexed="81"/>
            <rFont val="Tahoma"/>
            <family val="2"/>
          </rPr>
          <t>116295:</t>
        </r>
        <r>
          <rPr>
            <sz val="8"/>
            <color indexed="81"/>
            <rFont val="Tahoma"/>
            <family val="2"/>
          </rPr>
          <t xml:space="preserve">
Center of Family Love
(405)263-4935</t>
        </r>
      </text>
    </comment>
    <comment ref="B32" authorId="0">
      <text>
        <r>
          <rPr>
            <b/>
            <sz val="8"/>
            <color indexed="81"/>
            <rFont val="Tahoma"/>
            <family val="2"/>
          </rPr>
          <t>116295:</t>
        </r>
        <r>
          <rPr>
            <sz val="8"/>
            <color indexed="81"/>
            <rFont val="Tahoma"/>
            <family val="2"/>
          </rPr>
          <t xml:space="preserve">
Center of Family Love
(405)263-4935</t>
        </r>
      </text>
    </comment>
    <comment ref="B33" authorId="0">
      <text>
        <r>
          <rPr>
            <b/>
            <sz val="8"/>
            <color indexed="81"/>
            <rFont val="Tahoma"/>
            <family val="2"/>
          </rPr>
          <t>116295:</t>
        </r>
        <r>
          <rPr>
            <sz val="8"/>
            <color indexed="81"/>
            <rFont val="Tahoma"/>
            <family val="2"/>
          </rPr>
          <t xml:space="preserve">
Center of Family Love
(405)263-4935</t>
        </r>
      </text>
    </comment>
    <comment ref="B34" authorId="0">
      <text>
        <r>
          <rPr>
            <b/>
            <sz val="8"/>
            <color indexed="81"/>
            <rFont val="Tahoma"/>
            <family val="2"/>
          </rPr>
          <t>116295:</t>
        </r>
        <r>
          <rPr>
            <sz val="8"/>
            <color indexed="81"/>
            <rFont val="Tahoma"/>
            <family val="2"/>
          </rPr>
          <t xml:space="preserve">
Center of Family Love
(405)263-4935</t>
        </r>
      </text>
    </comment>
    <comment ref="B35" authorId="0">
      <text>
        <r>
          <rPr>
            <b/>
            <sz val="8"/>
            <color indexed="81"/>
            <rFont val="Tahoma"/>
            <family val="2"/>
          </rPr>
          <t>116295:</t>
        </r>
        <r>
          <rPr>
            <sz val="8"/>
            <color indexed="81"/>
            <rFont val="Tahoma"/>
            <family val="2"/>
          </rPr>
          <t xml:space="preserve">
Center of Family Love
(405)263-4935</t>
        </r>
      </text>
    </comment>
    <comment ref="B36" authorId="0">
      <text>
        <r>
          <rPr>
            <b/>
            <sz val="8"/>
            <color indexed="81"/>
            <rFont val="Tahoma"/>
            <family val="2"/>
          </rPr>
          <t>116295:</t>
        </r>
        <r>
          <rPr>
            <sz val="8"/>
            <color indexed="81"/>
            <rFont val="Tahoma"/>
            <family val="2"/>
          </rPr>
          <t xml:space="preserve">
Center of Family Love
(405)263-4935</t>
        </r>
      </text>
    </comment>
    <comment ref="B37" authorId="0">
      <text>
        <r>
          <rPr>
            <b/>
            <sz val="8"/>
            <color indexed="81"/>
            <rFont val="Tahoma"/>
            <family val="2"/>
          </rPr>
          <t>116295:</t>
        </r>
        <r>
          <rPr>
            <sz val="8"/>
            <color indexed="81"/>
            <rFont val="Tahoma"/>
            <family val="2"/>
          </rPr>
          <t xml:space="preserve">
Center of Family Love
(405)263-4935</t>
        </r>
      </text>
    </comment>
    <comment ref="B38" authorId="0">
      <text>
        <r>
          <rPr>
            <b/>
            <sz val="8"/>
            <color indexed="81"/>
            <rFont val="Tahoma"/>
            <family val="2"/>
          </rPr>
          <t>116295:</t>
        </r>
        <r>
          <rPr>
            <sz val="8"/>
            <color indexed="81"/>
            <rFont val="Tahoma"/>
            <family val="2"/>
          </rPr>
          <t xml:space="preserve">
Center of Family Love
(405)263-4935</t>
        </r>
      </text>
    </comment>
    <comment ref="B39" authorId="0">
      <text>
        <r>
          <rPr>
            <b/>
            <sz val="8"/>
            <color indexed="81"/>
            <rFont val="Tahoma"/>
            <family val="2"/>
          </rPr>
          <t>116295:</t>
        </r>
        <r>
          <rPr>
            <sz val="8"/>
            <color indexed="81"/>
            <rFont val="Tahoma"/>
            <family val="2"/>
          </rPr>
          <t xml:space="preserve">
Center of Family Love
(405)263-4935</t>
        </r>
      </text>
    </comment>
    <comment ref="B40" authorId="0">
      <text>
        <r>
          <rPr>
            <b/>
            <sz val="8"/>
            <color indexed="81"/>
            <rFont val="Tahoma"/>
            <family val="2"/>
          </rPr>
          <t>116295:</t>
        </r>
        <r>
          <rPr>
            <sz val="8"/>
            <color indexed="81"/>
            <rFont val="Tahoma"/>
            <family val="2"/>
          </rPr>
          <t xml:space="preserve">
Center of Family Love
(405)263-4935</t>
        </r>
      </text>
    </comment>
    <comment ref="B41" authorId="0">
      <text>
        <r>
          <rPr>
            <b/>
            <sz val="8"/>
            <color indexed="81"/>
            <rFont val="Tahoma"/>
            <family val="2"/>
          </rPr>
          <t>116295:</t>
        </r>
        <r>
          <rPr>
            <sz val="8"/>
            <color indexed="81"/>
            <rFont val="Tahoma"/>
            <family val="2"/>
          </rPr>
          <t xml:space="preserve">
Center of Family Love
(405)263-4935</t>
        </r>
      </text>
    </comment>
    <comment ref="B42" authorId="0">
      <text>
        <r>
          <rPr>
            <b/>
            <sz val="8"/>
            <color indexed="81"/>
            <rFont val="Tahoma"/>
            <family val="2"/>
          </rPr>
          <t>116295:</t>
        </r>
        <r>
          <rPr>
            <sz val="8"/>
            <color indexed="81"/>
            <rFont val="Tahoma"/>
            <family val="2"/>
          </rPr>
          <t xml:space="preserve">
Center of Family Love
(405)263-4935</t>
        </r>
      </text>
    </comment>
    <comment ref="B43" authorId="0">
      <text>
        <r>
          <rPr>
            <b/>
            <sz val="8"/>
            <color indexed="81"/>
            <rFont val="Tahoma"/>
            <family val="2"/>
          </rPr>
          <t>116295:</t>
        </r>
        <r>
          <rPr>
            <sz val="8"/>
            <color indexed="81"/>
            <rFont val="Tahoma"/>
            <family val="2"/>
          </rPr>
          <t xml:space="preserve">
Center of Family Love
(405)263-4935</t>
        </r>
      </text>
    </comment>
    <comment ref="B44" authorId="0">
      <text>
        <r>
          <rPr>
            <b/>
            <sz val="8"/>
            <color indexed="81"/>
            <rFont val="Tahoma"/>
            <family val="2"/>
          </rPr>
          <t>116295:</t>
        </r>
        <r>
          <rPr>
            <sz val="8"/>
            <color indexed="81"/>
            <rFont val="Tahoma"/>
            <family val="2"/>
          </rPr>
          <t xml:space="preserve">
Center of Family Love
(405)263-4935</t>
        </r>
      </text>
    </comment>
    <comment ref="B45" authorId="0">
      <text>
        <r>
          <rPr>
            <b/>
            <sz val="8"/>
            <color indexed="81"/>
            <rFont val="Tahoma"/>
            <family val="2"/>
          </rPr>
          <t>116295:</t>
        </r>
        <r>
          <rPr>
            <sz val="8"/>
            <color indexed="81"/>
            <rFont val="Tahoma"/>
            <family val="2"/>
          </rPr>
          <t xml:space="preserve">
Center of Family Love
(405)263-4935</t>
        </r>
      </text>
    </comment>
    <comment ref="B46" authorId="0">
      <text>
        <r>
          <rPr>
            <b/>
            <sz val="8"/>
            <color indexed="81"/>
            <rFont val="Tahoma"/>
            <family val="2"/>
          </rPr>
          <t>116295:</t>
        </r>
        <r>
          <rPr>
            <sz val="8"/>
            <color indexed="81"/>
            <rFont val="Tahoma"/>
            <family val="2"/>
          </rPr>
          <t xml:space="preserve">
Center of Family Love
(405)263-4935</t>
        </r>
      </text>
    </comment>
    <comment ref="B47" authorId="0">
      <text>
        <r>
          <rPr>
            <b/>
            <sz val="8"/>
            <color indexed="81"/>
            <rFont val="Tahoma"/>
            <family val="2"/>
          </rPr>
          <t>116295:</t>
        </r>
        <r>
          <rPr>
            <sz val="8"/>
            <color indexed="81"/>
            <rFont val="Tahoma"/>
            <family val="2"/>
          </rPr>
          <t xml:space="preserve">
Center of Family Love
(405)263-4935</t>
        </r>
      </text>
    </comment>
    <comment ref="B48" authorId="0">
      <text>
        <r>
          <rPr>
            <b/>
            <sz val="8"/>
            <color indexed="81"/>
            <rFont val="Tahoma"/>
            <family val="2"/>
          </rPr>
          <t>116295:</t>
        </r>
        <r>
          <rPr>
            <sz val="8"/>
            <color indexed="81"/>
            <rFont val="Tahoma"/>
            <family val="2"/>
          </rPr>
          <t xml:space="preserve">
Center of Family Love
(405)263-4935</t>
        </r>
      </text>
    </comment>
    <comment ref="B49" authorId="0">
      <text>
        <r>
          <rPr>
            <b/>
            <sz val="8"/>
            <color indexed="81"/>
            <rFont val="Tahoma"/>
            <family val="2"/>
          </rPr>
          <t>116295:</t>
        </r>
        <r>
          <rPr>
            <sz val="8"/>
            <color indexed="81"/>
            <rFont val="Tahoma"/>
            <family val="2"/>
          </rPr>
          <t xml:space="preserve">
Center of Family Love
(405)263-4935</t>
        </r>
      </text>
    </comment>
    <comment ref="B50" authorId="0">
      <text>
        <r>
          <rPr>
            <b/>
            <sz val="8"/>
            <color indexed="81"/>
            <rFont val="Tahoma"/>
            <family val="2"/>
          </rPr>
          <t>116295:</t>
        </r>
        <r>
          <rPr>
            <sz val="8"/>
            <color indexed="81"/>
            <rFont val="Tahoma"/>
            <family val="2"/>
          </rPr>
          <t xml:space="preserve">
Center of Family Love
(405)263-4935</t>
        </r>
      </text>
    </comment>
    <comment ref="B51" authorId="0">
      <text>
        <r>
          <rPr>
            <b/>
            <sz val="8"/>
            <color indexed="81"/>
            <rFont val="Tahoma"/>
            <family val="2"/>
          </rPr>
          <t>116295:</t>
        </r>
        <r>
          <rPr>
            <sz val="8"/>
            <color indexed="81"/>
            <rFont val="Tahoma"/>
            <family val="2"/>
          </rPr>
          <t xml:space="preserve">
Center of Family Love
(405)263-4935</t>
        </r>
      </text>
    </comment>
    <comment ref="B52" authorId="0">
      <text>
        <r>
          <rPr>
            <b/>
            <sz val="8"/>
            <color indexed="81"/>
            <rFont val="Tahoma"/>
            <family val="2"/>
          </rPr>
          <t>116295:</t>
        </r>
        <r>
          <rPr>
            <sz val="8"/>
            <color indexed="81"/>
            <rFont val="Tahoma"/>
            <family val="2"/>
          </rPr>
          <t xml:space="preserve">
Center of Family Love
(405)263-4935</t>
        </r>
      </text>
    </comment>
    <comment ref="B53" authorId="0">
      <text>
        <r>
          <rPr>
            <b/>
            <sz val="8"/>
            <color indexed="81"/>
            <rFont val="Tahoma"/>
            <family val="2"/>
          </rPr>
          <t>116295:</t>
        </r>
        <r>
          <rPr>
            <sz val="8"/>
            <color indexed="81"/>
            <rFont val="Tahoma"/>
            <family val="2"/>
          </rPr>
          <t xml:space="preserve">
Center of Family Love
(405)263-4935</t>
        </r>
      </text>
    </comment>
    <comment ref="B54" authorId="0">
      <text>
        <r>
          <rPr>
            <b/>
            <sz val="8"/>
            <color indexed="81"/>
            <rFont val="Tahoma"/>
            <family val="2"/>
          </rPr>
          <t>116295:</t>
        </r>
        <r>
          <rPr>
            <sz val="8"/>
            <color indexed="81"/>
            <rFont val="Tahoma"/>
            <family val="2"/>
          </rPr>
          <t xml:space="preserve">
Center of Family Love
(405)263-4935</t>
        </r>
      </text>
    </comment>
    <comment ref="B55" authorId="0">
      <text>
        <r>
          <rPr>
            <b/>
            <sz val="8"/>
            <color indexed="81"/>
            <rFont val="Tahoma"/>
            <family val="2"/>
          </rPr>
          <t>116295:</t>
        </r>
        <r>
          <rPr>
            <sz val="8"/>
            <color indexed="81"/>
            <rFont val="Tahoma"/>
            <family val="2"/>
          </rPr>
          <t xml:space="preserve">
Center of Family Love
(405)263-4935</t>
        </r>
      </text>
    </comment>
    <comment ref="B56" authorId="0">
      <text>
        <r>
          <rPr>
            <b/>
            <sz val="8"/>
            <color indexed="81"/>
            <rFont val="Tahoma"/>
            <family val="2"/>
          </rPr>
          <t>116295:</t>
        </r>
        <r>
          <rPr>
            <sz val="8"/>
            <color indexed="81"/>
            <rFont val="Tahoma"/>
            <family val="2"/>
          </rPr>
          <t xml:space="preserve">
Center of Family Love
(405)263-4935</t>
        </r>
      </text>
    </comment>
    <comment ref="B57" authorId="0">
      <text>
        <r>
          <rPr>
            <b/>
            <sz val="8"/>
            <color indexed="81"/>
            <rFont val="Tahoma"/>
            <family val="2"/>
          </rPr>
          <t>116295:</t>
        </r>
        <r>
          <rPr>
            <sz val="8"/>
            <color indexed="81"/>
            <rFont val="Tahoma"/>
            <family val="2"/>
          </rPr>
          <t xml:space="preserve">
Center of Family Love
(405)263-4935</t>
        </r>
      </text>
    </comment>
    <comment ref="B58" authorId="0">
      <text>
        <r>
          <rPr>
            <b/>
            <sz val="8"/>
            <color indexed="81"/>
            <rFont val="Tahoma"/>
            <family val="2"/>
          </rPr>
          <t>116295:</t>
        </r>
        <r>
          <rPr>
            <sz val="8"/>
            <color indexed="81"/>
            <rFont val="Tahoma"/>
            <family val="2"/>
          </rPr>
          <t xml:space="preserve">
Center of Family Love
(405)263-4935</t>
        </r>
      </text>
    </comment>
    <comment ref="B59" authorId="0">
      <text>
        <r>
          <rPr>
            <b/>
            <sz val="8"/>
            <color indexed="81"/>
            <rFont val="Tahoma"/>
            <family val="2"/>
          </rPr>
          <t>116295:</t>
        </r>
        <r>
          <rPr>
            <sz val="8"/>
            <color indexed="81"/>
            <rFont val="Tahoma"/>
            <family val="2"/>
          </rPr>
          <t xml:space="preserve">
Center of Family Love
(405)263-4935</t>
        </r>
      </text>
    </comment>
    <comment ref="B60" authorId="0">
      <text>
        <r>
          <rPr>
            <b/>
            <sz val="8"/>
            <color indexed="81"/>
            <rFont val="Tahoma"/>
            <family val="2"/>
          </rPr>
          <t>116295:</t>
        </r>
        <r>
          <rPr>
            <sz val="8"/>
            <color indexed="81"/>
            <rFont val="Tahoma"/>
            <family val="2"/>
          </rPr>
          <t xml:space="preserve">
Center of Family Love
(405)263-4935</t>
        </r>
      </text>
    </comment>
    <comment ref="B61" authorId="0">
      <text>
        <r>
          <rPr>
            <b/>
            <sz val="8"/>
            <color indexed="81"/>
            <rFont val="Tahoma"/>
            <family val="2"/>
          </rPr>
          <t>116295:</t>
        </r>
        <r>
          <rPr>
            <sz val="8"/>
            <color indexed="81"/>
            <rFont val="Tahoma"/>
            <family val="2"/>
          </rPr>
          <t xml:space="preserve">
Center of Family Love
(405)263-4935</t>
        </r>
      </text>
    </comment>
    <comment ref="B62" authorId="0">
      <text>
        <r>
          <rPr>
            <b/>
            <sz val="8"/>
            <color indexed="81"/>
            <rFont val="Tahoma"/>
            <family val="2"/>
          </rPr>
          <t>116295:</t>
        </r>
        <r>
          <rPr>
            <sz val="8"/>
            <color indexed="81"/>
            <rFont val="Tahoma"/>
            <family val="2"/>
          </rPr>
          <t xml:space="preserve">
Center of Family Love
(405)263-4935</t>
        </r>
      </text>
    </comment>
    <comment ref="B63" authorId="0">
      <text>
        <r>
          <rPr>
            <b/>
            <sz val="8"/>
            <color indexed="81"/>
            <rFont val="Tahoma"/>
            <family val="2"/>
          </rPr>
          <t>116295:</t>
        </r>
        <r>
          <rPr>
            <sz val="8"/>
            <color indexed="81"/>
            <rFont val="Tahoma"/>
            <family val="2"/>
          </rPr>
          <t xml:space="preserve">
Center of Family Love
(405)263-4935</t>
        </r>
      </text>
    </comment>
    <comment ref="B64" authorId="0">
      <text>
        <r>
          <rPr>
            <b/>
            <sz val="8"/>
            <color indexed="81"/>
            <rFont val="Tahoma"/>
            <family val="2"/>
          </rPr>
          <t>116295:</t>
        </r>
        <r>
          <rPr>
            <sz val="8"/>
            <color indexed="81"/>
            <rFont val="Tahoma"/>
            <family val="2"/>
          </rPr>
          <t xml:space="preserve">
Center of Family Love
(405)263-4935</t>
        </r>
      </text>
    </comment>
    <comment ref="B65" authorId="0">
      <text>
        <r>
          <rPr>
            <b/>
            <sz val="8"/>
            <color indexed="81"/>
            <rFont val="Tahoma"/>
            <family val="2"/>
          </rPr>
          <t>116295:</t>
        </r>
        <r>
          <rPr>
            <sz val="8"/>
            <color indexed="81"/>
            <rFont val="Tahoma"/>
            <family val="2"/>
          </rPr>
          <t xml:space="preserve">
Center of Family Love
(405)263-4935</t>
        </r>
      </text>
    </comment>
    <comment ref="B66" authorId="0">
      <text>
        <r>
          <rPr>
            <b/>
            <sz val="8"/>
            <color indexed="81"/>
            <rFont val="Tahoma"/>
            <family val="2"/>
          </rPr>
          <t>116295:</t>
        </r>
        <r>
          <rPr>
            <sz val="8"/>
            <color indexed="81"/>
            <rFont val="Tahoma"/>
            <family val="2"/>
          </rPr>
          <t xml:space="preserve">
Center of Family Love
(405)263-4935</t>
        </r>
      </text>
    </comment>
    <comment ref="B67" authorId="0">
      <text>
        <r>
          <rPr>
            <b/>
            <sz val="8"/>
            <color indexed="81"/>
            <rFont val="Tahoma"/>
            <family val="2"/>
          </rPr>
          <t>116295:</t>
        </r>
        <r>
          <rPr>
            <sz val="8"/>
            <color indexed="81"/>
            <rFont val="Tahoma"/>
            <family val="2"/>
          </rPr>
          <t xml:space="preserve">
Center of Family Love
(405)263-4935</t>
        </r>
      </text>
    </comment>
    <comment ref="B68" authorId="0">
      <text>
        <r>
          <rPr>
            <b/>
            <sz val="8"/>
            <color indexed="81"/>
            <rFont val="Tahoma"/>
            <family val="2"/>
          </rPr>
          <t>116295:</t>
        </r>
        <r>
          <rPr>
            <sz val="8"/>
            <color indexed="81"/>
            <rFont val="Tahoma"/>
            <family val="2"/>
          </rPr>
          <t xml:space="preserve">
Center of Family Love
(405)263-4935</t>
        </r>
      </text>
    </comment>
    <comment ref="B69" authorId="0">
      <text>
        <r>
          <rPr>
            <b/>
            <sz val="8"/>
            <color indexed="81"/>
            <rFont val="Tahoma"/>
            <family val="2"/>
          </rPr>
          <t>116295:</t>
        </r>
        <r>
          <rPr>
            <sz val="8"/>
            <color indexed="81"/>
            <rFont val="Tahoma"/>
            <family val="2"/>
          </rPr>
          <t xml:space="preserve">
Center of Family Love
(405)263-4935</t>
        </r>
      </text>
    </comment>
    <comment ref="B70" authorId="0">
      <text>
        <r>
          <rPr>
            <b/>
            <sz val="8"/>
            <color indexed="81"/>
            <rFont val="Tahoma"/>
            <family val="2"/>
          </rPr>
          <t>116295:</t>
        </r>
        <r>
          <rPr>
            <sz val="8"/>
            <color indexed="81"/>
            <rFont val="Tahoma"/>
            <family val="2"/>
          </rPr>
          <t xml:space="preserve">
Center of Family Love
(405)263-4935</t>
        </r>
      </text>
    </comment>
    <comment ref="B71" authorId="0">
      <text>
        <r>
          <rPr>
            <b/>
            <sz val="8"/>
            <color indexed="81"/>
            <rFont val="Tahoma"/>
            <family val="2"/>
          </rPr>
          <t>116295:</t>
        </r>
        <r>
          <rPr>
            <sz val="8"/>
            <color indexed="81"/>
            <rFont val="Tahoma"/>
            <family val="2"/>
          </rPr>
          <t xml:space="preserve">
Center of Family Love
(405)263-4935</t>
        </r>
      </text>
    </comment>
    <comment ref="B72" authorId="0">
      <text>
        <r>
          <rPr>
            <b/>
            <sz val="8"/>
            <color indexed="81"/>
            <rFont val="Tahoma"/>
            <family val="2"/>
          </rPr>
          <t>116295:</t>
        </r>
        <r>
          <rPr>
            <sz val="8"/>
            <color indexed="81"/>
            <rFont val="Tahoma"/>
            <family val="2"/>
          </rPr>
          <t xml:space="preserve">
Center of Family Love
(405)263-4935</t>
        </r>
      </text>
    </comment>
    <comment ref="B73" authorId="0">
      <text>
        <r>
          <rPr>
            <b/>
            <sz val="8"/>
            <color indexed="81"/>
            <rFont val="Tahoma"/>
            <family val="2"/>
          </rPr>
          <t>116295:</t>
        </r>
        <r>
          <rPr>
            <sz val="8"/>
            <color indexed="81"/>
            <rFont val="Tahoma"/>
            <family val="2"/>
          </rPr>
          <t xml:space="preserve">
Center of Family Love
(405)263-4935</t>
        </r>
      </text>
    </comment>
    <comment ref="B74" authorId="0">
      <text>
        <r>
          <rPr>
            <b/>
            <sz val="8"/>
            <color indexed="81"/>
            <rFont val="Tahoma"/>
            <family val="2"/>
          </rPr>
          <t>116295:</t>
        </r>
        <r>
          <rPr>
            <sz val="8"/>
            <color indexed="81"/>
            <rFont val="Tahoma"/>
            <family val="2"/>
          </rPr>
          <t xml:space="preserve">
Center of Family Love
(405)263-4935</t>
        </r>
      </text>
    </comment>
    <comment ref="B75" authorId="0">
      <text>
        <r>
          <rPr>
            <b/>
            <sz val="8"/>
            <color indexed="81"/>
            <rFont val="Tahoma"/>
            <family val="2"/>
          </rPr>
          <t>116295:</t>
        </r>
        <r>
          <rPr>
            <sz val="8"/>
            <color indexed="81"/>
            <rFont val="Tahoma"/>
            <family val="2"/>
          </rPr>
          <t xml:space="preserve">
Center of Family Love
(405)263-4935</t>
        </r>
      </text>
    </comment>
    <comment ref="B76" authorId="0">
      <text>
        <r>
          <rPr>
            <b/>
            <sz val="8"/>
            <color indexed="81"/>
            <rFont val="Tahoma"/>
            <family val="2"/>
          </rPr>
          <t>116295:</t>
        </r>
        <r>
          <rPr>
            <sz val="8"/>
            <color indexed="81"/>
            <rFont val="Tahoma"/>
            <family val="2"/>
          </rPr>
          <t xml:space="preserve">
Center of Family Love
(405)263-4935</t>
        </r>
      </text>
    </comment>
    <comment ref="B77" authorId="0">
      <text>
        <r>
          <rPr>
            <b/>
            <sz val="8"/>
            <color indexed="81"/>
            <rFont val="Tahoma"/>
            <family val="2"/>
          </rPr>
          <t>116295:</t>
        </r>
        <r>
          <rPr>
            <sz val="8"/>
            <color indexed="81"/>
            <rFont val="Tahoma"/>
            <family val="2"/>
          </rPr>
          <t xml:space="preserve">
Center of Family Love
(405)263-4935</t>
        </r>
      </text>
    </comment>
    <comment ref="B78" authorId="0">
      <text>
        <r>
          <rPr>
            <b/>
            <sz val="8"/>
            <color indexed="81"/>
            <rFont val="Tahoma"/>
            <family val="2"/>
          </rPr>
          <t>116295:</t>
        </r>
        <r>
          <rPr>
            <sz val="8"/>
            <color indexed="81"/>
            <rFont val="Tahoma"/>
            <family val="2"/>
          </rPr>
          <t xml:space="preserve">
Center of Family Love
(405)263-4935</t>
        </r>
      </text>
    </comment>
    <comment ref="B79" authorId="0">
      <text>
        <r>
          <rPr>
            <b/>
            <sz val="8"/>
            <color indexed="81"/>
            <rFont val="Tahoma"/>
            <family val="2"/>
          </rPr>
          <t>116295:</t>
        </r>
        <r>
          <rPr>
            <sz val="8"/>
            <color indexed="81"/>
            <rFont val="Tahoma"/>
            <family val="2"/>
          </rPr>
          <t xml:space="preserve">
Center of Family Love
(405)263-4935</t>
        </r>
      </text>
    </comment>
    <comment ref="B80" authorId="0">
      <text>
        <r>
          <rPr>
            <b/>
            <sz val="8"/>
            <color indexed="81"/>
            <rFont val="Tahoma"/>
            <family val="2"/>
          </rPr>
          <t>116295:</t>
        </r>
        <r>
          <rPr>
            <sz val="8"/>
            <color indexed="81"/>
            <rFont val="Tahoma"/>
            <family val="2"/>
          </rPr>
          <t xml:space="preserve">
Center of Family Love
(405)263-4935</t>
        </r>
      </text>
    </comment>
    <comment ref="B81" authorId="0">
      <text>
        <r>
          <rPr>
            <b/>
            <sz val="8"/>
            <color indexed="81"/>
            <rFont val="Tahoma"/>
            <family val="2"/>
          </rPr>
          <t>116295:</t>
        </r>
        <r>
          <rPr>
            <sz val="8"/>
            <color indexed="81"/>
            <rFont val="Tahoma"/>
            <family val="2"/>
          </rPr>
          <t xml:space="preserve">
Center of Family Love
(405)263-4935</t>
        </r>
      </text>
    </comment>
    <comment ref="B82" authorId="0">
      <text>
        <r>
          <rPr>
            <b/>
            <sz val="8"/>
            <color indexed="81"/>
            <rFont val="Tahoma"/>
            <family val="2"/>
          </rPr>
          <t>116295:</t>
        </r>
        <r>
          <rPr>
            <sz val="8"/>
            <color indexed="81"/>
            <rFont val="Tahoma"/>
            <family val="2"/>
          </rPr>
          <t xml:space="preserve">
Center of Family Love
(405)263-4935</t>
        </r>
      </text>
    </comment>
    <comment ref="B83" authorId="0">
      <text>
        <r>
          <rPr>
            <b/>
            <sz val="8"/>
            <color indexed="81"/>
            <rFont val="Tahoma"/>
            <family val="2"/>
          </rPr>
          <t>116295:</t>
        </r>
        <r>
          <rPr>
            <sz val="8"/>
            <color indexed="81"/>
            <rFont val="Tahoma"/>
            <family val="2"/>
          </rPr>
          <t xml:space="preserve">
Center of Family Love
(405)263-4935</t>
        </r>
      </text>
    </comment>
    <comment ref="B84" authorId="0">
      <text>
        <r>
          <rPr>
            <b/>
            <sz val="8"/>
            <color indexed="81"/>
            <rFont val="Tahoma"/>
            <family val="2"/>
          </rPr>
          <t>116295:</t>
        </r>
        <r>
          <rPr>
            <sz val="8"/>
            <color indexed="81"/>
            <rFont val="Tahoma"/>
            <family val="2"/>
          </rPr>
          <t xml:space="preserve">
Center of Family Love
(405)263-4935</t>
        </r>
      </text>
    </comment>
    <comment ref="B85" authorId="0">
      <text>
        <r>
          <rPr>
            <b/>
            <sz val="8"/>
            <color indexed="81"/>
            <rFont val="Tahoma"/>
            <family val="2"/>
          </rPr>
          <t>116295:</t>
        </r>
        <r>
          <rPr>
            <sz val="8"/>
            <color indexed="81"/>
            <rFont val="Tahoma"/>
            <family val="2"/>
          </rPr>
          <t xml:space="preserve">
Center of Family Love
(405)263-4935</t>
        </r>
      </text>
    </comment>
    <comment ref="B86" authorId="0">
      <text>
        <r>
          <rPr>
            <b/>
            <sz val="8"/>
            <color indexed="81"/>
            <rFont val="Tahoma"/>
            <family val="2"/>
          </rPr>
          <t>116295:</t>
        </r>
        <r>
          <rPr>
            <sz val="8"/>
            <color indexed="81"/>
            <rFont val="Tahoma"/>
            <family val="2"/>
          </rPr>
          <t xml:space="preserve">
Center of Family Love
(405)263-4935</t>
        </r>
      </text>
    </comment>
    <comment ref="B87" authorId="0">
      <text>
        <r>
          <rPr>
            <b/>
            <sz val="8"/>
            <color indexed="81"/>
            <rFont val="Tahoma"/>
            <family val="2"/>
          </rPr>
          <t>116295:</t>
        </r>
        <r>
          <rPr>
            <sz val="8"/>
            <color indexed="81"/>
            <rFont val="Tahoma"/>
            <family val="2"/>
          </rPr>
          <t xml:space="preserve">
Center of Family Love
(405)263-4935</t>
        </r>
      </text>
    </comment>
    <comment ref="B88" authorId="0">
      <text>
        <r>
          <rPr>
            <b/>
            <sz val="8"/>
            <color indexed="81"/>
            <rFont val="Tahoma"/>
            <family val="2"/>
          </rPr>
          <t>116295:</t>
        </r>
        <r>
          <rPr>
            <sz val="8"/>
            <color indexed="81"/>
            <rFont val="Tahoma"/>
            <family val="2"/>
          </rPr>
          <t xml:space="preserve">
Center of Family Love
(405)263-4935</t>
        </r>
      </text>
    </comment>
    <comment ref="B89" authorId="0">
      <text>
        <r>
          <rPr>
            <b/>
            <sz val="8"/>
            <color indexed="81"/>
            <rFont val="Tahoma"/>
            <family val="2"/>
          </rPr>
          <t>116295:</t>
        </r>
        <r>
          <rPr>
            <sz val="8"/>
            <color indexed="81"/>
            <rFont val="Tahoma"/>
            <family val="2"/>
          </rPr>
          <t xml:space="preserve">
Center of Family Love
(405)263-4935</t>
        </r>
      </text>
    </comment>
    <comment ref="B90" authorId="0">
      <text>
        <r>
          <rPr>
            <b/>
            <sz val="8"/>
            <color indexed="81"/>
            <rFont val="Tahoma"/>
            <family val="2"/>
          </rPr>
          <t>116295:</t>
        </r>
        <r>
          <rPr>
            <sz val="8"/>
            <color indexed="81"/>
            <rFont val="Tahoma"/>
            <family val="2"/>
          </rPr>
          <t xml:space="preserve">
Center of Family Love
(405)263-4935</t>
        </r>
      </text>
    </comment>
    <comment ref="B91" authorId="0">
      <text>
        <r>
          <rPr>
            <b/>
            <sz val="8"/>
            <color indexed="81"/>
            <rFont val="Tahoma"/>
            <family val="2"/>
          </rPr>
          <t>116295:</t>
        </r>
        <r>
          <rPr>
            <sz val="8"/>
            <color indexed="81"/>
            <rFont val="Tahoma"/>
            <family val="2"/>
          </rPr>
          <t xml:space="preserve">
Center of Family Love
(405)263-4935</t>
        </r>
      </text>
    </comment>
    <comment ref="B92" authorId="0">
      <text>
        <r>
          <rPr>
            <b/>
            <sz val="8"/>
            <color indexed="81"/>
            <rFont val="Tahoma"/>
            <family val="2"/>
          </rPr>
          <t>116295:</t>
        </r>
        <r>
          <rPr>
            <sz val="8"/>
            <color indexed="81"/>
            <rFont val="Tahoma"/>
            <family val="2"/>
          </rPr>
          <t xml:space="preserve">
Center of Family Love
(405)263-4935</t>
        </r>
      </text>
    </comment>
    <comment ref="B93" authorId="0">
      <text>
        <r>
          <rPr>
            <b/>
            <sz val="8"/>
            <color indexed="81"/>
            <rFont val="Tahoma"/>
            <family val="2"/>
          </rPr>
          <t>116295:</t>
        </r>
        <r>
          <rPr>
            <sz val="8"/>
            <color indexed="81"/>
            <rFont val="Tahoma"/>
            <family val="2"/>
          </rPr>
          <t xml:space="preserve">
Center of Family Love
(405)263-4935</t>
        </r>
      </text>
    </comment>
    <comment ref="B94" authorId="0">
      <text>
        <r>
          <rPr>
            <b/>
            <sz val="8"/>
            <color indexed="81"/>
            <rFont val="Tahoma"/>
            <family val="2"/>
          </rPr>
          <t>116295:</t>
        </r>
        <r>
          <rPr>
            <sz val="8"/>
            <color indexed="81"/>
            <rFont val="Tahoma"/>
            <family val="2"/>
          </rPr>
          <t xml:space="preserve">
Center of Family Love
(405)263-4935</t>
        </r>
      </text>
    </comment>
    <comment ref="B95" authorId="0">
      <text>
        <r>
          <rPr>
            <b/>
            <sz val="8"/>
            <color indexed="81"/>
            <rFont val="Tahoma"/>
            <family val="2"/>
          </rPr>
          <t>116295:</t>
        </r>
        <r>
          <rPr>
            <sz val="8"/>
            <color indexed="81"/>
            <rFont val="Tahoma"/>
            <family val="2"/>
          </rPr>
          <t xml:space="preserve">
Center of Family Love
(405)263-4935</t>
        </r>
      </text>
    </comment>
    <comment ref="B96" authorId="0">
      <text>
        <r>
          <rPr>
            <b/>
            <sz val="8"/>
            <color indexed="81"/>
            <rFont val="Tahoma"/>
            <family val="2"/>
          </rPr>
          <t>116295:</t>
        </r>
        <r>
          <rPr>
            <sz val="8"/>
            <color indexed="81"/>
            <rFont val="Tahoma"/>
            <family val="2"/>
          </rPr>
          <t xml:space="preserve">
Center of Family Love
(405)263-4935</t>
        </r>
      </text>
    </comment>
    <comment ref="B97" authorId="0">
      <text>
        <r>
          <rPr>
            <b/>
            <sz val="8"/>
            <color indexed="81"/>
            <rFont val="Tahoma"/>
            <family val="2"/>
          </rPr>
          <t>116295:</t>
        </r>
        <r>
          <rPr>
            <sz val="8"/>
            <color indexed="81"/>
            <rFont val="Tahoma"/>
            <family val="2"/>
          </rPr>
          <t xml:space="preserve">
Center of Family Love
(405)263-4935</t>
        </r>
      </text>
    </comment>
    <comment ref="B98" authorId="0">
      <text>
        <r>
          <rPr>
            <b/>
            <sz val="8"/>
            <color indexed="81"/>
            <rFont val="Tahoma"/>
            <family val="2"/>
          </rPr>
          <t>116295:</t>
        </r>
        <r>
          <rPr>
            <sz val="8"/>
            <color indexed="81"/>
            <rFont val="Tahoma"/>
            <family val="2"/>
          </rPr>
          <t xml:space="preserve">
Center of Family Love
(405)263-4935</t>
        </r>
      </text>
    </comment>
    <comment ref="B99" authorId="0">
      <text>
        <r>
          <rPr>
            <b/>
            <sz val="8"/>
            <color indexed="81"/>
            <rFont val="Tahoma"/>
            <family val="2"/>
          </rPr>
          <t>116295:</t>
        </r>
        <r>
          <rPr>
            <sz val="8"/>
            <color indexed="81"/>
            <rFont val="Tahoma"/>
            <family val="2"/>
          </rPr>
          <t xml:space="preserve">
Center of Family Love
(405)263-4935</t>
        </r>
      </text>
    </comment>
    <comment ref="B100" authorId="0">
      <text>
        <r>
          <rPr>
            <b/>
            <sz val="8"/>
            <color indexed="81"/>
            <rFont val="Tahoma"/>
            <family val="2"/>
          </rPr>
          <t>116295:</t>
        </r>
        <r>
          <rPr>
            <sz val="8"/>
            <color indexed="81"/>
            <rFont val="Tahoma"/>
            <family val="2"/>
          </rPr>
          <t xml:space="preserve">
Center of Family Love
(405)263-4935</t>
        </r>
      </text>
    </comment>
    <comment ref="B101" authorId="0">
      <text>
        <r>
          <rPr>
            <b/>
            <sz val="8"/>
            <color indexed="81"/>
            <rFont val="Tahoma"/>
            <family val="2"/>
          </rPr>
          <t>116295:</t>
        </r>
        <r>
          <rPr>
            <sz val="8"/>
            <color indexed="81"/>
            <rFont val="Tahoma"/>
            <family val="2"/>
          </rPr>
          <t xml:space="preserve">
Center of Family Love
(405)263-4935</t>
        </r>
      </text>
    </comment>
    <comment ref="B102" authorId="0">
      <text>
        <r>
          <rPr>
            <b/>
            <sz val="8"/>
            <color indexed="81"/>
            <rFont val="Tahoma"/>
            <family val="2"/>
          </rPr>
          <t>116295:</t>
        </r>
        <r>
          <rPr>
            <sz val="8"/>
            <color indexed="81"/>
            <rFont val="Tahoma"/>
            <family val="2"/>
          </rPr>
          <t xml:space="preserve">
Center of Family Love
(405)263-4935</t>
        </r>
      </text>
    </comment>
    <comment ref="B103" authorId="0">
      <text>
        <r>
          <rPr>
            <b/>
            <sz val="8"/>
            <color indexed="81"/>
            <rFont val="Tahoma"/>
            <family val="2"/>
          </rPr>
          <t>116295:</t>
        </r>
        <r>
          <rPr>
            <sz val="8"/>
            <color indexed="81"/>
            <rFont val="Tahoma"/>
            <family val="2"/>
          </rPr>
          <t xml:space="preserve">
Center of Family Love
(405)263-4935</t>
        </r>
      </text>
    </comment>
    <comment ref="B104" authorId="0">
      <text>
        <r>
          <rPr>
            <b/>
            <sz val="8"/>
            <color indexed="81"/>
            <rFont val="Tahoma"/>
            <family val="2"/>
          </rPr>
          <t>116295:</t>
        </r>
        <r>
          <rPr>
            <sz val="8"/>
            <color indexed="81"/>
            <rFont val="Tahoma"/>
            <family val="2"/>
          </rPr>
          <t xml:space="preserve">
Center of Family Love
(405)263-4935</t>
        </r>
      </text>
    </comment>
    <comment ref="B105" authorId="0">
      <text>
        <r>
          <rPr>
            <b/>
            <sz val="8"/>
            <color indexed="81"/>
            <rFont val="Tahoma"/>
            <family val="2"/>
          </rPr>
          <t>116295:</t>
        </r>
        <r>
          <rPr>
            <sz val="8"/>
            <color indexed="81"/>
            <rFont val="Tahoma"/>
            <family val="2"/>
          </rPr>
          <t xml:space="preserve">
Center of Family Love
(405)263-4935</t>
        </r>
      </text>
    </comment>
    <comment ref="B106" authorId="0">
      <text>
        <r>
          <rPr>
            <b/>
            <sz val="8"/>
            <color indexed="81"/>
            <rFont val="Tahoma"/>
            <family val="2"/>
          </rPr>
          <t>116295:</t>
        </r>
        <r>
          <rPr>
            <sz val="8"/>
            <color indexed="81"/>
            <rFont val="Tahoma"/>
            <family val="2"/>
          </rPr>
          <t xml:space="preserve">
Center of Family Love
(405)263-4935</t>
        </r>
      </text>
    </comment>
    <comment ref="B107" authorId="0">
      <text>
        <r>
          <rPr>
            <b/>
            <sz val="8"/>
            <color indexed="81"/>
            <rFont val="Tahoma"/>
            <family val="2"/>
          </rPr>
          <t>116295:</t>
        </r>
        <r>
          <rPr>
            <sz val="8"/>
            <color indexed="81"/>
            <rFont val="Tahoma"/>
            <family val="2"/>
          </rPr>
          <t xml:space="preserve">
Center of Family Love
(405)263-4935</t>
        </r>
      </text>
    </comment>
    <comment ref="B108" authorId="0">
      <text>
        <r>
          <rPr>
            <b/>
            <sz val="8"/>
            <color indexed="81"/>
            <rFont val="Tahoma"/>
            <family val="2"/>
          </rPr>
          <t>116295:</t>
        </r>
        <r>
          <rPr>
            <sz val="8"/>
            <color indexed="81"/>
            <rFont val="Tahoma"/>
            <family val="2"/>
          </rPr>
          <t xml:space="preserve">
Center of Family Love
(405)263-4935</t>
        </r>
      </text>
    </comment>
    <comment ref="B109" authorId="0">
      <text>
        <r>
          <rPr>
            <b/>
            <sz val="8"/>
            <color indexed="81"/>
            <rFont val="Tahoma"/>
            <family val="2"/>
          </rPr>
          <t>116295:</t>
        </r>
        <r>
          <rPr>
            <sz val="8"/>
            <color indexed="81"/>
            <rFont val="Tahoma"/>
            <family val="2"/>
          </rPr>
          <t xml:space="preserve">
Center of Family Love
(405)263-4935</t>
        </r>
      </text>
    </comment>
    <comment ref="B110" authorId="0">
      <text>
        <r>
          <rPr>
            <b/>
            <sz val="8"/>
            <color indexed="81"/>
            <rFont val="Tahoma"/>
            <family val="2"/>
          </rPr>
          <t>116295:</t>
        </r>
        <r>
          <rPr>
            <sz val="8"/>
            <color indexed="81"/>
            <rFont val="Tahoma"/>
            <family val="2"/>
          </rPr>
          <t xml:space="preserve">
Center of Family Love
(405)263-4935</t>
        </r>
      </text>
    </comment>
    <comment ref="B111" authorId="0">
      <text>
        <r>
          <rPr>
            <b/>
            <sz val="8"/>
            <color indexed="81"/>
            <rFont val="Tahoma"/>
            <family val="2"/>
          </rPr>
          <t>116295:</t>
        </r>
        <r>
          <rPr>
            <sz val="8"/>
            <color indexed="81"/>
            <rFont val="Tahoma"/>
            <family val="2"/>
          </rPr>
          <t xml:space="preserve">
Center of Family Love
(405)263-4935</t>
        </r>
      </text>
    </comment>
    <comment ref="B112" authorId="0">
      <text>
        <r>
          <rPr>
            <b/>
            <sz val="8"/>
            <color indexed="81"/>
            <rFont val="Tahoma"/>
            <family val="2"/>
          </rPr>
          <t>116295:</t>
        </r>
        <r>
          <rPr>
            <sz val="8"/>
            <color indexed="81"/>
            <rFont val="Tahoma"/>
            <family val="2"/>
          </rPr>
          <t xml:space="preserve">
Center of Family Love
(405)263-4935</t>
        </r>
      </text>
    </comment>
    <comment ref="B113" authorId="0">
      <text>
        <r>
          <rPr>
            <b/>
            <sz val="8"/>
            <color indexed="81"/>
            <rFont val="Tahoma"/>
            <family val="2"/>
          </rPr>
          <t>116295:</t>
        </r>
        <r>
          <rPr>
            <sz val="8"/>
            <color indexed="81"/>
            <rFont val="Tahoma"/>
            <family val="2"/>
          </rPr>
          <t xml:space="preserve">
Center of Family Love
(405)263-4935</t>
        </r>
      </text>
    </comment>
    <comment ref="B114" authorId="0">
      <text>
        <r>
          <rPr>
            <b/>
            <sz val="8"/>
            <color indexed="81"/>
            <rFont val="Tahoma"/>
            <family val="2"/>
          </rPr>
          <t>116295:</t>
        </r>
        <r>
          <rPr>
            <sz val="8"/>
            <color indexed="81"/>
            <rFont val="Tahoma"/>
            <family val="2"/>
          </rPr>
          <t xml:space="preserve">
Center of Family Love
(405)263-4935</t>
        </r>
      </text>
    </comment>
    <comment ref="B115" authorId="0">
      <text>
        <r>
          <rPr>
            <b/>
            <sz val="8"/>
            <color indexed="81"/>
            <rFont val="Tahoma"/>
            <family val="2"/>
          </rPr>
          <t>116295:</t>
        </r>
        <r>
          <rPr>
            <sz val="8"/>
            <color indexed="81"/>
            <rFont val="Tahoma"/>
            <family val="2"/>
          </rPr>
          <t xml:space="preserve">
Center of Family Love
(405)263-4935</t>
        </r>
      </text>
    </comment>
    <comment ref="B116" authorId="0">
      <text>
        <r>
          <rPr>
            <b/>
            <sz val="8"/>
            <color indexed="81"/>
            <rFont val="Tahoma"/>
            <family val="2"/>
          </rPr>
          <t>116295:</t>
        </r>
        <r>
          <rPr>
            <sz val="8"/>
            <color indexed="81"/>
            <rFont val="Tahoma"/>
            <family val="2"/>
          </rPr>
          <t xml:space="preserve">
Center of Family Love
(405)263-4935</t>
        </r>
      </text>
    </comment>
    <comment ref="B117" authorId="0">
      <text>
        <r>
          <rPr>
            <b/>
            <sz val="8"/>
            <color indexed="81"/>
            <rFont val="Tahoma"/>
            <family val="2"/>
          </rPr>
          <t>116295:</t>
        </r>
        <r>
          <rPr>
            <sz val="8"/>
            <color indexed="81"/>
            <rFont val="Tahoma"/>
            <family val="2"/>
          </rPr>
          <t xml:space="preserve">
Center of Family Love
(405)263-4935</t>
        </r>
      </text>
    </comment>
    <comment ref="B118" authorId="0">
      <text>
        <r>
          <rPr>
            <b/>
            <sz val="8"/>
            <color indexed="81"/>
            <rFont val="Tahoma"/>
            <family val="2"/>
          </rPr>
          <t>116295:</t>
        </r>
        <r>
          <rPr>
            <sz val="8"/>
            <color indexed="81"/>
            <rFont val="Tahoma"/>
            <family val="2"/>
          </rPr>
          <t xml:space="preserve">
Center of Family Love
(405)263-4935</t>
        </r>
      </text>
    </comment>
    <comment ref="B119" authorId="0">
      <text>
        <r>
          <rPr>
            <b/>
            <sz val="8"/>
            <color indexed="81"/>
            <rFont val="Tahoma"/>
            <family val="2"/>
          </rPr>
          <t>116295:</t>
        </r>
        <r>
          <rPr>
            <sz val="8"/>
            <color indexed="81"/>
            <rFont val="Tahoma"/>
            <family val="2"/>
          </rPr>
          <t xml:space="preserve">
Center of Family Love
(405)263-4935</t>
        </r>
      </text>
    </comment>
    <comment ref="B120" authorId="0">
      <text>
        <r>
          <rPr>
            <b/>
            <sz val="8"/>
            <color indexed="81"/>
            <rFont val="Tahoma"/>
            <family val="2"/>
          </rPr>
          <t>116295:</t>
        </r>
        <r>
          <rPr>
            <sz val="8"/>
            <color indexed="81"/>
            <rFont val="Tahoma"/>
            <family val="2"/>
          </rPr>
          <t xml:space="preserve">
Center of Family Love
(405)263-4935</t>
        </r>
      </text>
    </comment>
    <comment ref="B121" authorId="0">
      <text>
        <r>
          <rPr>
            <b/>
            <sz val="8"/>
            <color indexed="81"/>
            <rFont val="Tahoma"/>
            <family val="2"/>
          </rPr>
          <t>116295:</t>
        </r>
        <r>
          <rPr>
            <sz val="8"/>
            <color indexed="81"/>
            <rFont val="Tahoma"/>
            <family val="2"/>
          </rPr>
          <t xml:space="preserve">
Center of Family Love
(405)263-4935</t>
        </r>
      </text>
    </comment>
    <comment ref="B122" authorId="0">
      <text>
        <r>
          <rPr>
            <b/>
            <sz val="8"/>
            <color indexed="81"/>
            <rFont val="Tahoma"/>
            <family val="2"/>
          </rPr>
          <t>116295:</t>
        </r>
        <r>
          <rPr>
            <sz val="8"/>
            <color indexed="81"/>
            <rFont val="Tahoma"/>
            <family val="2"/>
          </rPr>
          <t xml:space="preserve">
Center of Family Love
(405)263-4935</t>
        </r>
      </text>
    </comment>
    <comment ref="B123" authorId="0">
      <text>
        <r>
          <rPr>
            <b/>
            <sz val="8"/>
            <color indexed="81"/>
            <rFont val="Tahoma"/>
            <family val="2"/>
          </rPr>
          <t>116295:</t>
        </r>
        <r>
          <rPr>
            <sz val="8"/>
            <color indexed="81"/>
            <rFont val="Tahoma"/>
            <family val="2"/>
          </rPr>
          <t xml:space="preserve">
Center of Family Love
(405)263-4935</t>
        </r>
      </text>
    </comment>
    <comment ref="B124" authorId="0">
      <text>
        <r>
          <rPr>
            <b/>
            <sz val="8"/>
            <color indexed="81"/>
            <rFont val="Tahoma"/>
            <family val="2"/>
          </rPr>
          <t>116295:</t>
        </r>
        <r>
          <rPr>
            <sz val="8"/>
            <color indexed="81"/>
            <rFont val="Tahoma"/>
            <family val="2"/>
          </rPr>
          <t xml:space="preserve">
Center of Family Love
(405)263-4935</t>
        </r>
      </text>
    </comment>
    <comment ref="B125" authorId="0">
      <text>
        <r>
          <rPr>
            <b/>
            <sz val="8"/>
            <color indexed="81"/>
            <rFont val="Tahoma"/>
            <family val="2"/>
          </rPr>
          <t>116295:</t>
        </r>
        <r>
          <rPr>
            <sz val="8"/>
            <color indexed="81"/>
            <rFont val="Tahoma"/>
            <family val="2"/>
          </rPr>
          <t xml:space="preserve">
Center of Family Love
(405)263-4935</t>
        </r>
      </text>
    </comment>
    <comment ref="B126" authorId="0">
      <text>
        <r>
          <rPr>
            <b/>
            <sz val="8"/>
            <color indexed="81"/>
            <rFont val="Tahoma"/>
            <family val="2"/>
          </rPr>
          <t>116295:</t>
        </r>
        <r>
          <rPr>
            <sz val="8"/>
            <color indexed="81"/>
            <rFont val="Tahoma"/>
            <family val="2"/>
          </rPr>
          <t xml:space="preserve">
Center of Family Love
(405)263-4935</t>
        </r>
      </text>
    </comment>
    <comment ref="B127" authorId="0">
      <text>
        <r>
          <rPr>
            <b/>
            <sz val="8"/>
            <color indexed="81"/>
            <rFont val="Tahoma"/>
            <family val="2"/>
          </rPr>
          <t>116295:</t>
        </r>
        <r>
          <rPr>
            <sz val="8"/>
            <color indexed="81"/>
            <rFont val="Tahoma"/>
            <family val="2"/>
          </rPr>
          <t xml:space="preserve">
Center of Family Love
(405)263-4935</t>
        </r>
      </text>
    </comment>
    <comment ref="B128" authorId="0">
      <text>
        <r>
          <rPr>
            <b/>
            <sz val="8"/>
            <color indexed="81"/>
            <rFont val="Tahoma"/>
            <family val="2"/>
          </rPr>
          <t>116295:</t>
        </r>
        <r>
          <rPr>
            <sz val="8"/>
            <color indexed="81"/>
            <rFont val="Tahoma"/>
            <family val="2"/>
          </rPr>
          <t xml:space="preserve">
Center of Family Love
(405)263-4935</t>
        </r>
      </text>
    </comment>
    <comment ref="B129" authorId="0">
      <text>
        <r>
          <rPr>
            <b/>
            <sz val="8"/>
            <color indexed="81"/>
            <rFont val="Tahoma"/>
            <family val="2"/>
          </rPr>
          <t>116295:</t>
        </r>
        <r>
          <rPr>
            <sz val="8"/>
            <color indexed="81"/>
            <rFont val="Tahoma"/>
            <family val="2"/>
          </rPr>
          <t xml:space="preserve">
Center of Family Love
(405)263-4935</t>
        </r>
      </text>
    </comment>
    <comment ref="B130" authorId="0">
      <text>
        <r>
          <rPr>
            <b/>
            <sz val="8"/>
            <color indexed="81"/>
            <rFont val="Tahoma"/>
            <family val="2"/>
          </rPr>
          <t>116295:</t>
        </r>
        <r>
          <rPr>
            <sz val="8"/>
            <color indexed="81"/>
            <rFont val="Tahoma"/>
            <family val="2"/>
          </rPr>
          <t xml:space="preserve">
Center of Family Love
(405)263-4935</t>
        </r>
      </text>
    </comment>
    <comment ref="B131" authorId="0">
      <text>
        <r>
          <rPr>
            <b/>
            <sz val="8"/>
            <color indexed="81"/>
            <rFont val="Tahoma"/>
            <family val="2"/>
          </rPr>
          <t>116295:</t>
        </r>
        <r>
          <rPr>
            <sz val="8"/>
            <color indexed="81"/>
            <rFont val="Tahoma"/>
            <family val="2"/>
          </rPr>
          <t xml:space="preserve">
Center of Family Love
(405)263-4935</t>
        </r>
      </text>
    </comment>
    <comment ref="B132" authorId="0">
      <text>
        <r>
          <rPr>
            <b/>
            <sz val="8"/>
            <color indexed="81"/>
            <rFont val="Tahoma"/>
            <family val="2"/>
          </rPr>
          <t>116295:</t>
        </r>
        <r>
          <rPr>
            <sz val="8"/>
            <color indexed="81"/>
            <rFont val="Tahoma"/>
            <family val="2"/>
          </rPr>
          <t xml:space="preserve">
Center of Family Love
(405)263-4935</t>
        </r>
      </text>
    </comment>
    <comment ref="B133" authorId="0">
      <text>
        <r>
          <rPr>
            <b/>
            <sz val="8"/>
            <color indexed="81"/>
            <rFont val="Tahoma"/>
            <family val="2"/>
          </rPr>
          <t>116295:</t>
        </r>
        <r>
          <rPr>
            <sz val="8"/>
            <color indexed="81"/>
            <rFont val="Tahoma"/>
            <family val="2"/>
          </rPr>
          <t xml:space="preserve">
Center of Family Love
(405)263-4935</t>
        </r>
      </text>
    </comment>
    <comment ref="B134" authorId="0">
      <text>
        <r>
          <rPr>
            <b/>
            <sz val="8"/>
            <color indexed="81"/>
            <rFont val="Tahoma"/>
            <family val="2"/>
          </rPr>
          <t>116295:</t>
        </r>
        <r>
          <rPr>
            <sz val="8"/>
            <color indexed="81"/>
            <rFont val="Tahoma"/>
            <family val="2"/>
          </rPr>
          <t xml:space="preserve">
Center of Family Love
(405)263-4935</t>
        </r>
      </text>
    </comment>
    <comment ref="B135" authorId="0">
      <text>
        <r>
          <rPr>
            <b/>
            <sz val="8"/>
            <color indexed="81"/>
            <rFont val="Tahoma"/>
            <family val="2"/>
          </rPr>
          <t>116295:</t>
        </r>
        <r>
          <rPr>
            <sz val="8"/>
            <color indexed="81"/>
            <rFont val="Tahoma"/>
            <family val="2"/>
          </rPr>
          <t xml:space="preserve">
Center of Family Love
(405)263-4935</t>
        </r>
      </text>
    </comment>
    <comment ref="B136" authorId="0">
      <text>
        <r>
          <rPr>
            <b/>
            <sz val="8"/>
            <color indexed="81"/>
            <rFont val="Tahoma"/>
            <family val="2"/>
          </rPr>
          <t>116295:</t>
        </r>
        <r>
          <rPr>
            <sz val="8"/>
            <color indexed="81"/>
            <rFont val="Tahoma"/>
            <family val="2"/>
          </rPr>
          <t xml:space="preserve">
Center of Family Love
(405)263-4935</t>
        </r>
      </text>
    </comment>
    <comment ref="B137" authorId="0">
      <text>
        <r>
          <rPr>
            <b/>
            <sz val="8"/>
            <color indexed="81"/>
            <rFont val="Tahoma"/>
            <family val="2"/>
          </rPr>
          <t>116295:</t>
        </r>
        <r>
          <rPr>
            <sz val="8"/>
            <color indexed="81"/>
            <rFont val="Tahoma"/>
            <family val="2"/>
          </rPr>
          <t xml:space="preserve">
Center of Family Love
(405)263-4935</t>
        </r>
      </text>
    </comment>
    <comment ref="B138" authorId="0">
      <text>
        <r>
          <rPr>
            <b/>
            <sz val="8"/>
            <color indexed="81"/>
            <rFont val="Tahoma"/>
            <family val="2"/>
          </rPr>
          <t>116295:</t>
        </r>
        <r>
          <rPr>
            <sz val="8"/>
            <color indexed="81"/>
            <rFont val="Tahoma"/>
            <family val="2"/>
          </rPr>
          <t xml:space="preserve">
Center of Family Love
(405)263-4935</t>
        </r>
      </text>
    </comment>
    <comment ref="B139" authorId="0">
      <text>
        <r>
          <rPr>
            <b/>
            <sz val="8"/>
            <color indexed="81"/>
            <rFont val="Tahoma"/>
            <family val="2"/>
          </rPr>
          <t>116295:</t>
        </r>
        <r>
          <rPr>
            <sz val="8"/>
            <color indexed="81"/>
            <rFont val="Tahoma"/>
            <family val="2"/>
          </rPr>
          <t xml:space="preserve">
Center of Family Love
(405)263-4935</t>
        </r>
      </text>
    </comment>
    <comment ref="B140" authorId="0">
      <text>
        <r>
          <rPr>
            <b/>
            <sz val="8"/>
            <color indexed="81"/>
            <rFont val="Tahoma"/>
            <family val="2"/>
          </rPr>
          <t>116295:</t>
        </r>
        <r>
          <rPr>
            <sz val="8"/>
            <color indexed="81"/>
            <rFont val="Tahoma"/>
            <family val="2"/>
          </rPr>
          <t xml:space="preserve">
Center of Family Love
(405)263-4935</t>
        </r>
      </text>
    </comment>
    <comment ref="B141" authorId="0">
      <text>
        <r>
          <rPr>
            <b/>
            <sz val="8"/>
            <color indexed="81"/>
            <rFont val="Tahoma"/>
            <family val="2"/>
          </rPr>
          <t>116295:</t>
        </r>
        <r>
          <rPr>
            <sz val="8"/>
            <color indexed="81"/>
            <rFont val="Tahoma"/>
            <family val="2"/>
          </rPr>
          <t xml:space="preserve">
Center of Family Love
(405)263-4935</t>
        </r>
      </text>
    </comment>
    <comment ref="B142" authorId="0">
      <text>
        <r>
          <rPr>
            <b/>
            <sz val="8"/>
            <color indexed="81"/>
            <rFont val="Tahoma"/>
            <family val="2"/>
          </rPr>
          <t>116295:</t>
        </r>
        <r>
          <rPr>
            <sz val="8"/>
            <color indexed="81"/>
            <rFont val="Tahoma"/>
            <family val="2"/>
          </rPr>
          <t xml:space="preserve">
Center of Family Love
(405)263-4935</t>
        </r>
      </text>
    </comment>
    <comment ref="B143" authorId="0">
      <text>
        <r>
          <rPr>
            <b/>
            <sz val="8"/>
            <color indexed="81"/>
            <rFont val="Tahoma"/>
            <family val="2"/>
          </rPr>
          <t>116295:</t>
        </r>
        <r>
          <rPr>
            <sz val="8"/>
            <color indexed="81"/>
            <rFont val="Tahoma"/>
            <family val="2"/>
          </rPr>
          <t xml:space="preserve">
Center of Family Love
(405)263-4935</t>
        </r>
      </text>
    </comment>
    <comment ref="B144" authorId="0">
      <text>
        <r>
          <rPr>
            <b/>
            <sz val="8"/>
            <color indexed="81"/>
            <rFont val="Tahoma"/>
            <family val="2"/>
          </rPr>
          <t>116295:</t>
        </r>
        <r>
          <rPr>
            <sz val="8"/>
            <color indexed="81"/>
            <rFont val="Tahoma"/>
            <family val="2"/>
          </rPr>
          <t xml:space="preserve">
Center of Family Love
(405)263-4935</t>
        </r>
      </text>
    </comment>
    <comment ref="B145" authorId="0">
      <text>
        <r>
          <rPr>
            <b/>
            <sz val="8"/>
            <color indexed="81"/>
            <rFont val="Tahoma"/>
            <family val="2"/>
          </rPr>
          <t>116295:</t>
        </r>
        <r>
          <rPr>
            <sz val="8"/>
            <color indexed="81"/>
            <rFont val="Tahoma"/>
            <family val="2"/>
          </rPr>
          <t xml:space="preserve">
Center of Family Love
(405)263-4935</t>
        </r>
      </text>
    </comment>
    <comment ref="B146" authorId="0">
      <text>
        <r>
          <rPr>
            <b/>
            <sz val="8"/>
            <color indexed="81"/>
            <rFont val="Tahoma"/>
            <family val="2"/>
          </rPr>
          <t>116295:</t>
        </r>
        <r>
          <rPr>
            <sz val="8"/>
            <color indexed="81"/>
            <rFont val="Tahoma"/>
            <family val="2"/>
          </rPr>
          <t xml:space="preserve">
Center of Family Love
(405)263-4935</t>
        </r>
      </text>
    </comment>
    <comment ref="B147" authorId="0">
      <text>
        <r>
          <rPr>
            <b/>
            <sz val="8"/>
            <color indexed="81"/>
            <rFont val="Tahoma"/>
            <family val="2"/>
          </rPr>
          <t>116295:</t>
        </r>
        <r>
          <rPr>
            <sz val="8"/>
            <color indexed="81"/>
            <rFont val="Tahoma"/>
            <family val="2"/>
          </rPr>
          <t xml:space="preserve">
Center of Family Love
(405)263-4935</t>
        </r>
      </text>
    </comment>
    <comment ref="B148" authorId="0">
      <text>
        <r>
          <rPr>
            <b/>
            <sz val="8"/>
            <color indexed="81"/>
            <rFont val="Tahoma"/>
            <family val="2"/>
          </rPr>
          <t>116295:</t>
        </r>
        <r>
          <rPr>
            <sz val="8"/>
            <color indexed="81"/>
            <rFont val="Tahoma"/>
            <family val="2"/>
          </rPr>
          <t xml:space="preserve">
Center of Family Love
(405)263-4935</t>
        </r>
      </text>
    </comment>
    <comment ref="B149" authorId="0">
      <text>
        <r>
          <rPr>
            <b/>
            <sz val="8"/>
            <color indexed="81"/>
            <rFont val="Tahoma"/>
            <family val="2"/>
          </rPr>
          <t>116295:</t>
        </r>
        <r>
          <rPr>
            <sz val="8"/>
            <color indexed="81"/>
            <rFont val="Tahoma"/>
            <family val="2"/>
          </rPr>
          <t xml:space="preserve">
Center of Family Love
(405)263-4935</t>
        </r>
      </text>
    </comment>
    <comment ref="B150" authorId="0">
      <text>
        <r>
          <rPr>
            <b/>
            <sz val="8"/>
            <color indexed="81"/>
            <rFont val="Tahoma"/>
            <family val="2"/>
          </rPr>
          <t>116295:</t>
        </r>
        <r>
          <rPr>
            <sz val="8"/>
            <color indexed="81"/>
            <rFont val="Tahoma"/>
            <family val="2"/>
          </rPr>
          <t xml:space="preserve">
Center of Family Love
(405)263-4935</t>
        </r>
      </text>
    </comment>
    <comment ref="B151" authorId="0">
      <text>
        <r>
          <rPr>
            <b/>
            <sz val="8"/>
            <color indexed="81"/>
            <rFont val="Tahoma"/>
            <family val="2"/>
          </rPr>
          <t>116295:</t>
        </r>
        <r>
          <rPr>
            <sz val="8"/>
            <color indexed="81"/>
            <rFont val="Tahoma"/>
            <family val="2"/>
          </rPr>
          <t xml:space="preserve">
Center of Family Love
(405)263-4935</t>
        </r>
      </text>
    </comment>
    <comment ref="B152" authorId="0">
      <text>
        <r>
          <rPr>
            <b/>
            <sz val="8"/>
            <color indexed="81"/>
            <rFont val="Tahoma"/>
            <family val="2"/>
          </rPr>
          <t>116295:</t>
        </r>
        <r>
          <rPr>
            <sz val="8"/>
            <color indexed="81"/>
            <rFont val="Tahoma"/>
            <family val="2"/>
          </rPr>
          <t xml:space="preserve">
Center of Family Love
(405)263-4935</t>
        </r>
      </text>
    </comment>
    <comment ref="B153" authorId="0">
      <text>
        <r>
          <rPr>
            <b/>
            <sz val="8"/>
            <color indexed="81"/>
            <rFont val="Tahoma"/>
            <family val="2"/>
          </rPr>
          <t>116295:</t>
        </r>
        <r>
          <rPr>
            <sz val="8"/>
            <color indexed="81"/>
            <rFont val="Tahoma"/>
            <family val="2"/>
          </rPr>
          <t xml:space="preserve">
Center of Family Love
(405)263-4935</t>
        </r>
      </text>
    </comment>
    <comment ref="B154" authorId="0">
      <text>
        <r>
          <rPr>
            <b/>
            <sz val="8"/>
            <color indexed="81"/>
            <rFont val="Tahoma"/>
            <family val="2"/>
          </rPr>
          <t>116295:</t>
        </r>
        <r>
          <rPr>
            <sz val="8"/>
            <color indexed="81"/>
            <rFont val="Tahoma"/>
            <family val="2"/>
          </rPr>
          <t xml:space="preserve">
Center of Family Love
(405)263-4935</t>
        </r>
      </text>
    </comment>
    <comment ref="B155" authorId="0">
      <text>
        <r>
          <rPr>
            <b/>
            <sz val="8"/>
            <color indexed="81"/>
            <rFont val="Tahoma"/>
            <family val="2"/>
          </rPr>
          <t>116295:</t>
        </r>
        <r>
          <rPr>
            <sz val="8"/>
            <color indexed="81"/>
            <rFont val="Tahoma"/>
            <family val="2"/>
          </rPr>
          <t xml:space="preserve">
Center of Family Love
(405)263-4935</t>
        </r>
      </text>
    </comment>
    <comment ref="B156" authorId="0">
      <text>
        <r>
          <rPr>
            <b/>
            <sz val="8"/>
            <color indexed="81"/>
            <rFont val="Tahoma"/>
            <family val="2"/>
          </rPr>
          <t>116295:</t>
        </r>
        <r>
          <rPr>
            <sz val="8"/>
            <color indexed="81"/>
            <rFont val="Tahoma"/>
            <family val="2"/>
          </rPr>
          <t xml:space="preserve">
Center of Family Love
(405)263-4935</t>
        </r>
      </text>
    </comment>
    <comment ref="B157" authorId="0">
      <text>
        <r>
          <rPr>
            <b/>
            <sz val="8"/>
            <color indexed="81"/>
            <rFont val="Tahoma"/>
            <family val="2"/>
          </rPr>
          <t>116295:</t>
        </r>
        <r>
          <rPr>
            <sz val="8"/>
            <color indexed="81"/>
            <rFont val="Tahoma"/>
            <family val="2"/>
          </rPr>
          <t xml:space="preserve">
Center of Family Love
(405)263-4935</t>
        </r>
      </text>
    </comment>
    <comment ref="B158" authorId="0">
      <text>
        <r>
          <rPr>
            <b/>
            <sz val="8"/>
            <color indexed="81"/>
            <rFont val="Tahoma"/>
            <family val="2"/>
          </rPr>
          <t>116295:</t>
        </r>
        <r>
          <rPr>
            <sz val="8"/>
            <color indexed="81"/>
            <rFont val="Tahoma"/>
            <family val="2"/>
          </rPr>
          <t xml:space="preserve">
Center of Family Love
(405)263-4935</t>
        </r>
      </text>
    </comment>
    <comment ref="B159" authorId="0">
      <text>
        <r>
          <rPr>
            <b/>
            <sz val="8"/>
            <color indexed="81"/>
            <rFont val="Tahoma"/>
            <family val="2"/>
          </rPr>
          <t>116295:</t>
        </r>
        <r>
          <rPr>
            <sz val="8"/>
            <color indexed="81"/>
            <rFont val="Tahoma"/>
            <family val="2"/>
          </rPr>
          <t xml:space="preserve">
Center of Family Love
(405)263-4935</t>
        </r>
      </text>
    </comment>
    <comment ref="B160" authorId="0">
      <text>
        <r>
          <rPr>
            <b/>
            <sz val="8"/>
            <color indexed="81"/>
            <rFont val="Tahoma"/>
            <family val="2"/>
          </rPr>
          <t>116295:</t>
        </r>
        <r>
          <rPr>
            <sz val="8"/>
            <color indexed="81"/>
            <rFont val="Tahoma"/>
            <family val="2"/>
          </rPr>
          <t xml:space="preserve">
Center of Family Love
(405)263-4935</t>
        </r>
      </text>
    </comment>
    <comment ref="B161" authorId="0">
      <text>
        <r>
          <rPr>
            <b/>
            <sz val="8"/>
            <color indexed="81"/>
            <rFont val="Tahoma"/>
            <family val="2"/>
          </rPr>
          <t>116295:</t>
        </r>
        <r>
          <rPr>
            <sz val="8"/>
            <color indexed="81"/>
            <rFont val="Tahoma"/>
            <family val="2"/>
          </rPr>
          <t xml:space="preserve">
Center of Family Love
(405)263-4935</t>
        </r>
      </text>
    </comment>
    <comment ref="B162" authorId="0">
      <text>
        <r>
          <rPr>
            <b/>
            <sz val="8"/>
            <color indexed="81"/>
            <rFont val="Tahoma"/>
            <family val="2"/>
          </rPr>
          <t>116295:</t>
        </r>
        <r>
          <rPr>
            <sz val="8"/>
            <color indexed="81"/>
            <rFont val="Tahoma"/>
            <family val="2"/>
          </rPr>
          <t xml:space="preserve">
Center of Family Love
(405)263-4935</t>
        </r>
      </text>
    </comment>
    <comment ref="B163" authorId="0">
      <text>
        <r>
          <rPr>
            <b/>
            <sz val="8"/>
            <color indexed="81"/>
            <rFont val="Tahoma"/>
            <family val="2"/>
          </rPr>
          <t>116295:</t>
        </r>
        <r>
          <rPr>
            <sz val="8"/>
            <color indexed="81"/>
            <rFont val="Tahoma"/>
            <family val="2"/>
          </rPr>
          <t xml:space="preserve">
Center of Family Love
(405)263-4935</t>
        </r>
      </text>
    </comment>
    <comment ref="B164" authorId="0">
      <text>
        <r>
          <rPr>
            <b/>
            <sz val="8"/>
            <color indexed="81"/>
            <rFont val="Tahoma"/>
            <family val="2"/>
          </rPr>
          <t>116295:</t>
        </r>
        <r>
          <rPr>
            <sz val="8"/>
            <color indexed="81"/>
            <rFont val="Tahoma"/>
            <family val="2"/>
          </rPr>
          <t xml:space="preserve">
Center of Family Love
(405)263-4935</t>
        </r>
      </text>
    </comment>
    <comment ref="B165" authorId="0">
      <text>
        <r>
          <rPr>
            <b/>
            <sz val="8"/>
            <color indexed="81"/>
            <rFont val="Tahoma"/>
            <family val="2"/>
          </rPr>
          <t>116295:</t>
        </r>
        <r>
          <rPr>
            <sz val="8"/>
            <color indexed="81"/>
            <rFont val="Tahoma"/>
            <family val="2"/>
          </rPr>
          <t xml:space="preserve">
Center of Family Love
(405)263-4935</t>
        </r>
      </text>
    </comment>
    <comment ref="B166" authorId="0">
      <text>
        <r>
          <rPr>
            <b/>
            <sz val="8"/>
            <color indexed="81"/>
            <rFont val="Tahoma"/>
            <family val="2"/>
          </rPr>
          <t>116295:</t>
        </r>
        <r>
          <rPr>
            <sz val="8"/>
            <color indexed="81"/>
            <rFont val="Tahoma"/>
            <family val="2"/>
          </rPr>
          <t xml:space="preserve">
Center of Family Love
(405)263-4935</t>
        </r>
      </text>
    </comment>
    <comment ref="B167" authorId="0">
      <text>
        <r>
          <rPr>
            <b/>
            <sz val="8"/>
            <color indexed="81"/>
            <rFont val="Tahoma"/>
            <family val="2"/>
          </rPr>
          <t>116295:</t>
        </r>
        <r>
          <rPr>
            <sz val="8"/>
            <color indexed="81"/>
            <rFont val="Tahoma"/>
            <family val="2"/>
          </rPr>
          <t xml:space="preserve">
Center of Family Love
(405)263-4935</t>
        </r>
      </text>
    </comment>
    <comment ref="B168" authorId="0">
      <text>
        <r>
          <rPr>
            <b/>
            <sz val="8"/>
            <color indexed="81"/>
            <rFont val="Tahoma"/>
            <family val="2"/>
          </rPr>
          <t>116295:</t>
        </r>
        <r>
          <rPr>
            <sz val="8"/>
            <color indexed="81"/>
            <rFont val="Tahoma"/>
            <family val="2"/>
          </rPr>
          <t xml:space="preserve">
Center of Family Love
(405)263-4935</t>
        </r>
      </text>
    </comment>
    <comment ref="B169" authorId="0">
      <text>
        <r>
          <rPr>
            <b/>
            <sz val="8"/>
            <color indexed="81"/>
            <rFont val="Tahoma"/>
            <family val="2"/>
          </rPr>
          <t>116295:</t>
        </r>
        <r>
          <rPr>
            <sz val="8"/>
            <color indexed="81"/>
            <rFont val="Tahoma"/>
            <family val="2"/>
          </rPr>
          <t xml:space="preserve">
Center of Family Love
(405)263-4935</t>
        </r>
      </text>
    </comment>
    <comment ref="B170" authorId="0">
      <text>
        <r>
          <rPr>
            <b/>
            <sz val="8"/>
            <color indexed="81"/>
            <rFont val="Tahoma"/>
            <family val="2"/>
          </rPr>
          <t>116295:</t>
        </r>
        <r>
          <rPr>
            <sz val="8"/>
            <color indexed="81"/>
            <rFont val="Tahoma"/>
            <family val="2"/>
          </rPr>
          <t xml:space="preserve">
Center of Family Love
(405)263-4935</t>
        </r>
      </text>
    </comment>
    <comment ref="B171" authorId="0">
      <text>
        <r>
          <rPr>
            <b/>
            <sz val="8"/>
            <color indexed="81"/>
            <rFont val="Tahoma"/>
            <family val="2"/>
          </rPr>
          <t>116295:</t>
        </r>
        <r>
          <rPr>
            <sz val="8"/>
            <color indexed="81"/>
            <rFont val="Tahoma"/>
            <family val="2"/>
          </rPr>
          <t xml:space="preserve">
Center of Family Love
(405)263-4935</t>
        </r>
      </text>
    </comment>
    <comment ref="B172" authorId="0">
      <text>
        <r>
          <rPr>
            <b/>
            <sz val="8"/>
            <color indexed="81"/>
            <rFont val="Tahoma"/>
            <family val="2"/>
          </rPr>
          <t>116295:</t>
        </r>
        <r>
          <rPr>
            <sz val="8"/>
            <color indexed="81"/>
            <rFont val="Tahoma"/>
            <family val="2"/>
          </rPr>
          <t xml:space="preserve">
Center of Family Love
(405)263-4935</t>
        </r>
      </text>
    </comment>
    <comment ref="B173" authorId="0">
      <text>
        <r>
          <rPr>
            <b/>
            <sz val="8"/>
            <color indexed="81"/>
            <rFont val="Tahoma"/>
            <family val="2"/>
          </rPr>
          <t>116295:</t>
        </r>
        <r>
          <rPr>
            <sz val="8"/>
            <color indexed="81"/>
            <rFont val="Tahoma"/>
            <family val="2"/>
          </rPr>
          <t xml:space="preserve">
Center of Family Love
(405)263-4935</t>
        </r>
      </text>
    </comment>
    <comment ref="B174" authorId="0">
      <text>
        <r>
          <rPr>
            <b/>
            <sz val="8"/>
            <color indexed="81"/>
            <rFont val="Tahoma"/>
            <family val="2"/>
          </rPr>
          <t>116295:</t>
        </r>
        <r>
          <rPr>
            <sz val="8"/>
            <color indexed="81"/>
            <rFont val="Tahoma"/>
            <family val="2"/>
          </rPr>
          <t xml:space="preserve">
Center of Family Love
(405)263-4935</t>
        </r>
      </text>
    </comment>
    <comment ref="B175" authorId="0">
      <text>
        <r>
          <rPr>
            <b/>
            <sz val="8"/>
            <color indexed="81"/>
            <rFont val="Tahoma"/>
            <family val="2"/>
          </rPr>
          <t>116295:</t>
        </r>
        <r>
          <rPr>
            <sz val="8"/>
            <color indexed="81"/>
            <rFont val="Tahoma"/>
            <family val="2"/>
          </rPr>
          <t xml:space="preserve">
Center of Family Love
(405)263-4935</t>
        </r>
      </text>
    </comment>
    <comment ref="B176" authorId="0">
      <text>
        <r>
          <rPr>
            <b/>
            <sz val="8"/>
            <color indexed="81"/>
            <rFont val="Tahoma"/>
            <family val="2"/>
          </rPr>
          <t>116295:</t>
        </r>
        <r>
          <rPr>
            <sz val="8"/>
            <color indexed="81"/>
            <rFont val="Tahoma"/>
            <family val="2"/>
          </rPr>
          <t xml:space="preserve">
Center of Family Love
(405)263-4935</t>
        </r>
      </text>
    </comment>
    <comment ref="B177" authorId="0">
      <text>
        <r>
          <rPr>
            <b/>
            <sz val="8"/>
            <color indexed="81"/>
            <rFont val="Tahoma"/>
            <family val="2"/>
          </rPr>
          <t>116295:</t>
        </r>
        <r>
          <rPr>
            <sz val="8"/>
            <color indexed="81"/>
            <rFont val="Tahoma"/>
            <family val="2"/>
          </rPr>
          <t xml:space="preserve">
Center of Family Love
(405)263-4935</t>
        </r>
      </text>
    </comment>
    <comment ref="B178" authorId="0">
      <text>
        <r>
          <rPr>
            <b/>
            <sz val="8"/>
            <color indexed="81"/>
            <rFont val="Tahoma"/>
            <family val="2"/>
          </rPr>
          <t>116295:</t>
        </r>
        <r>
          <rPr>
            <sz val="8"/>
            <color indexed="81"/>
            <rFont val="Tahoma"/>
            <family val="2"/>
          </rPr>
          <t xml:space="preserve">
Center of Family Love
(405)263-4935</t>
        </r>
      </text>
    </comment>
    <comment ref="B179" authorId="0">
      <text>
        <r>
          <rPr>
            <b/>
            <sz val="8"/>
            <color indexed="81"/>
            <rFont val="Tahoma"/>
            <family val="2"/>
          </rPr>
          <t>116295:</t>
        </r>
        <r>
          <rPr>
            <sz val="8"/>
            <color indexed="81"/>
            <rFont val="Tahoma"/>
            <family val="2"/>
          </rPr>
          <t xml:space="preserve">
Center of Family Love
(405)263-4935</t>
        </r>
      </text>
    </comment>
    <comment ref="B180" authorId="0">
      <text>
        <r>
          <rPr>
            <b/>
            <sz val="8"/>
            <color indexed="81"/>
            <rFont val="Tahoma"/>
            <family val="2"/>
          </rPr>
          <t>116295:</t>
        </r>
        <r>
          <rPr>
            <sz val="8"/>
            <color indexed="81"/>
            <rFont val="Tahoma"/>
            <family val="2"/>
          </rPr>
          <t xml:space="preserve">
Center of Family Love
(405)263-4935</t>
        </r>
      </text>
    </comment>
    <comment ref="B181" authorId="0">
      <text>
        <r>
          <rPr>
            <b/>
            <sz val="8"/>
            <color indexed="81"/>
            <rFont val="Tahoma"/>
            <family val="2"/>
          </rPr>
          <t>116295:</t>
        </r>
        <r>
          <rPr>
            <sz val="8"/>
            <color indexed="81"/>
            <rFont val="Tahoma"/>
            <family val="2"/>
          </rPr>
          <t xml:space="preserve">
Center of Family Love
(405)263-4935</t>
        </r>
      </text>
    </comment>
    <comment ref="B182" authorId="0">
      <text>
        <r>
          <rPr>
            <b/>
            <sz val="8"/>
            <color indexed="81"/>
            <rFont val="Tahoma"/>
            <family val="2"/>
          </rPr>
          <t>116295:</t>
        </r>
        <r>
          <rPr>
            <sz val="8"/>
            <color indexed="81"/>
            <rFont val="Tahoma"/>
            <family val="2"/>
          </rPr>
          <t xml:space="preserve">
Center of Family Love
(405)263-4935</t>
        </r>
      </text>
    </comment>
    <comment ref="B183" authorId="0">
      <text>
        <r>
          <rPr>
            <b/>
            <sz val="8"/>
            <color indexed="81"/>
            <rFont val="Tahoma"/>
            <family val="2"/>
          </rPr>
          <t>116295:</t>
        </r>
        <r>
          <rPr>
            <sz val="8"/>
            <color indexed="81"/>
            <rFont val="Tahoma"/>
            <family val="2"/>
          </rPr>
          <t xml:space="preserve">
Center of Family Love
(405)263-4935</t>
        </r>
      </text>
    </comment>
    <comment ref="B184" authorId="0">
      <text>
        <r>
          <rPr>
            <b/>
            <sz val="8"/>
            <color indexed="81"/>
            <rFont val="Tahoma"/>
            <family val="2"/>
          </rPr>
          <t>116295:</t>
        </r>
        <r>
          <rPr>
            <sz val="8"/>
            <color indexed="81"/>
            <rFont val="Tahoma"/>
            <family val="2"/>
          </rPr>
          <t xml:space="preserve">
Center of Family Love
(405)263-4935</t>
        </r>
      </text>
    </comment>
    <comment ref="B185" authorId="0">
      <text>
        <r>
          <rPr>
            <b/>
            <sz val="8"/>
            <color indexed="81"/>
            <rFont val="Tahoma"/>
            <family val="2"/>
          </rPr>
          <t>116295:</t>
        </r>
        <r>
          <rPr>
            <sz val="8"/>
            <color indexed="81"/>
            <rFont val="Tahoma"/>
            <family val="2"/>
          </rPr>
          <t xml:space="preserve">
Center of Family Love
(405)263-4935</t>
        </r>
      </text>
    </comment>
    <comment ref="B186" authorId="0">
      <text>
        <r>
          <rPr>
            <b/>
            <sz val="8"/>
            <color indexed="81"/>
            <rFont val="Tahoma"/>
            <family val="2"/>
          </rPr>
          <t>116295:</t>
        </r>
        <r>
          <rPr>
            <sz val="8"/>
            <color indexed="81"/>
            <rFont val="Tahoma"/>
            <family val="2"/>
          </rPr>
          <t xml:space="preserve">
Center of Family Love
(405)263-4935</t>
        </r>
      </text>
    </comment>
    <comment ref="B187" authorId="0">
      <text>
        <r>
          <rPr>
            <b/>
            <sz val="8"/>
            <color indexed="81"/>
            <rFont val="Tahoma"/>
            <family val="2"/>
          </rPr>
          <t>116295:</t>
        </r>
        <r>
          <rPr>
            <sz val="8"/>
            <color indexed="81"/>
            <rFont val="Tahoma"/>
            <family val="2"/>
          </rPr>
          <t xml:space="preserve">
Center of Family Love
(405)263-4935</t>
        </r>
      </text>
    </comment>
    <comment ref="B188" authorId="0">
      <text>
        <r>
          <rPr>
            <b/>
            <sz val="8"/>
            <color indexed="81"/>
            <rFont val="Tahoma"/>
            <family val="2"/>
          </rPr>
          <t>116295:</t>
        </r>
        <r>
          <rPr>
            <sz val="8"/>
            <color indexed="81"/>
            <rFont val="Tahoma"/>
            <family val="2"/>
          </rPr>
          <t xml:space="preserve">
Center of Family Love
(405)263-4935</t>
        </r>
      </text>
    </comment>
    <comment ref="B189" authorId="0">
      <text>
        <r>
          <rPr>
            <b/>
            <sz val="8"/>
            <color indexed="81"/>
            <rFont val="Tahoma"/>
            <family val="2"/>
          </rPr>
          <t>116295:</t>
        </r>
        <r>
          <rPr>
            <sz val="8"/>
            <color indexed="81"/>
            <rFont val="Tahoma"/>
            <family val="2"/>
          </rPr>
          <t xml:space="preserve">
Center of Family Love
(405)263-4935</t>
        </r>
      </text>
    </comment>
    <comment ref="B190" authorId="0">
      <text>
        <r>
          <rPr>
            <b/>
            <sz val="8"/>
            <color indexed="81"/>
            <rFont val="Tahoma"/>
            <family val="2"/>
          </rPr>
          <t>116295:</t>
        </r>
        <r>
          <rPr>
            <sz val="8"/>
            <color indexed="81"/>
            <rFont val="Tahoma"/>
            <family val="2"/>
          </rPr>
          <t xml:space="preserve">
Center of Family Love
(405)263-4935</t>
        </r>
      </text>
    </comment>
    <comment ref="B191" authorId="0">
      <text>
        <r>
          <rPr>
            <b/>
            <sz val="8"/>
            <color indexed="81"/>
            <rFont val="Tahoma"/>
            <family val="2"/>
          </rPr>
          <t>116295:</t>
        </r>
        <r>
          <rPr>
            <sz val="8"/>
            <color indexed="81"/>
            <rFont val="Tahoma"/>
            <family val="2"/>
          </rPr>
          <t xml:space="preserve">
Center of Family Love
(405)263-4935</t>
        </r>
      </text>
    </comment>
    <comment ref="B192" authorId="0">
      <text>
        <r>
          <rPr>
            <b/>
            <sz val="8"/>
            <color indexed="81"/>
            <rFont val="Tahoma"/>
            <family val="2"/>
          </rPr>
          <t>116295:</t>
        </r>
        <r>
          <rPr>
            <sz val="8"/>
            <color indexed="81"/>
            <rFont val="Tahoma"/>
            <family val="2"/>
          </rPr>
          <t xml:space="preserve">
Center of Family Love
(405)263-4935</t>
        </r>
      </text>
    </comment>
    <comment ref="B193" authorId="0">
      <text>
        <r>
          <rPr>
            <b/>
            <sz val="8"/>
            <color indexed="81"/>
            <rFont val="Tahoma"/>
            <family val="2"/>
          </rPr>
          <t>116295:</t>
        </r>
        <r>
          <rPr>
            <sz val="8"/>
            <color indexed="81"/>
            <rFont val="Tahoma"/>
            <family val="2"/>
          </rPr>
          <t xml:space="preserve">
Center of Family Love
(405)263-4935</t>
        </r>
      </text>
    </comment>
    <comment ref="B194" authorId="0">
      <text>
        <r>
          <rPr>
            <b/>
            <sz val="8"/>
            <color indexed="81"/>
            <rFont val="Tahoma"/>
            <family val="2"/>
          </rPr>
          <t>116295:</t>
        </r>
        <r>
          <rPr>
            <sz val="8"/>
            <color indexed="81"/>
            <rFont val="Tahoma"/>
            <family val="2"/>
          </rPr>
          <t xml:space="preserve">
Center of Family Love
(405)263-4935</t>
        </r>
      </text>
    </comment>
    <comment ref="B195" authorId="0">
      <text>
        <r>
          <rPr>
            <b/>
            <sz val="8"/>
            <color indexed="81"/>
            <rFont val="Tahoma"/>
            <family val="2"/>
          </rPr>
          <t>116295:</t>
        </r>
        <r>
          <rPr>
            <sz val="8"/>
            <color indexed="81"/>
            <rFont val="Tahoma"/>
            <family val="2"/>
          </rPr>
          <t xml:space="preserve">
Center of Family Love
(405)263-4935</t>
        </r>
      </text>
    </comment>
    <comment ref="B196" authorId="0">
      <text>
        <r>
          <rPr>
            <b/>
            <sz val="8"/>
            <color indexed="81"/>
            <rFont val="Tahoma"/>
            <family val="2"/>
          </rPr>
          <t>116295:</t>
        </r>
        <r>
          <rPr>
            <sz val="8"/>
            <color indexed="81"/>
            <rFont val="Tahoma"/>
            <family val="2"/>
          </rPr>
          <t xml:space="preserve">
Center of Family Love
(405)263-4935</t>
        </r>
      </text>
    </comment>
    <comment ref="B197" authorId="0">
      <text>
        <r>
          <rPr>
            <b/>
            <sz val="8"/>
            <color indexed="81"/>
            <rFont val="Tahoma"/>
            <family val="2"/>
          </rPr>
          <t>116295:</t>
        </r>
        <r>
          <rPr>
            <sz val="8"/>
            <color indexed="81"/>
            <rFont val="Tahoma"/>
            <family val="2"/>
          </rPr>
          <t xml:space="preserve">
Center of Family Love
(405)263-4935</t>
        </r>
      </text>
    </comment>
    <comment ref="B198" authorId="0">
      <text>
        <r>
          <rPr>
            <b/>
            <sz val="8"/>
            <color indexed="81"/>
            <rFont val="Tahoma"/>
            <family val="2"/>
          </rPr>
          <t>116295:</t>
        </r>
        <r>
          <rPr>
            <sz val="8"/>
            <color indexed="81"/>
            <rFont val="Tahoma"/>
            <family val="2"/>
          </rPr>
          <t xml:space="preserve">
Center of Family Love
(405)263-4935</t>
        </r>
      </text>
    </comment>
    <comment ref="B199" authorId="0">
      <text>
        <r>
          <rPr>
            <b/>
            <sz val="8"/>
            <color indexed="81"/>
            <rFont val="Tahoma"/>
            <family val="2"/>
          </rPr>
          <t>116295:</t>
        </r>
        <r>
          <rPr>
            <sz val="8"/>
            <color indexed="81"/>
            <rFont val="Tahoma"/>
            <family val="2"/>
          </rPr>
          <t xml:space="preserve">
Center of Family Love
(405)263-4935</t>
        </r>
      </text>
    </comment>
    <comment ref="B200" authorId="0">
      <text>
        <r>
          <rPr>
            <b/>
            <sz val="8"/>
            <color indexed="81"/>
            <rFont val="Tahoma"/>
            <family val="2"/>
          </rPr>
          <t>116295:</t>
        </r>
        <r>
          <rPr>
            <sz val="8"/>
            <color indexed="81"/>
            <rFont val="Tahoma"/>
            <family val="2"/>
          </rPr>
          <t xml:space="preserve">
Center of Family Love
(405)263-4935</t>
        </r>
      </text>
    </comment>
    <comment ref="B201" authorId="0">
      <text>
        <r>
          <rPr>
            <b/>
            <sz val="8"/>
            <color indexed="81"/>
            <rFont val="Tahoma"/>
            <family val="2"/>
          </rPr>
          <t>116295:</t>
        </r>
        <r>
          <rPr>
            <sz val="8"/>
            <color indexed="81"/>
            <rFont val="Tahoma"/>
            <family val="2"/>
          </rPr>
          <t xml:space="preserve">
Center of Family Love
(405)263-4935</t>
        </r>
      </text>
    </comment>
    <comment ref="B202" authorId="0">
      <text>
        <r>
          <rPr>
            <b/>
            <sz val="8"/>
            <color indexed="81"/>
            <rFont val="Tahoma"/>
            <family val="2"/>
          </rPr>
          <t>116295:</t>
        </r>
        <r>
          <rPr>
            <sz val="8"/>
            <color indexed="81"/>
            <rFont val="Tahoma"/>
            <family val="2"/>
          </rPr>
          <t xml:space="preserve">
Center of Family Love
(405)263-4935</t>
        </r>
      </text>
    </comment>
    <comment ref="B203" authorId="0">
      <text>
        <r>
          <rPr>
            <b/>
            <sz val="8"/>
            <color indexed="81"/>
            <rFont val="Tahoma"/>
            <family val="2"/>
          </rPr>
          <t>116295:</t>
        </r>
        <r>
          <rPr>
            <sz val="8"/>
            <color indexed="81"/>
            <rFont val="Tahoma"/>
            <family val="2"/>
          </rPr>
          <t xml:space="preserve">
Center of Family Love
(405)263-4935</t>
        </r>
      </text>
    </comment>
    <comment ref="B204" authorId="0">
      <text>
        <r>
          <rPr>
            <b/>
            <sz val="8"/>
            <color indexed="81"/>
            <rFont val="Tahoma"/>
            <family val="2"/>
          </rPr>
          <t>116295:</t>
        </r>
        <r>
          <rPr>
            <sz val="8"/>
            <color indexed="81"/>
            <rFont val="Tahoma"/>
            <family val="2"/>
          </rPr>
          <t xml:space="preserve">
Center of Family Love
(405)263-4935</t>
        </r>
      </text>
    </comment>
    <comment ref="B205" authorId="0">
      <text>
        <r>
          <rPr>
            <b/>
            <sz val="8"/>
            <color indexed="81"/>
            <rFont val="Tahoma"/>
            <family val="2"/>
          </rPr>
          <t>116295:</t>
        </r>
        <r>
          <rPr>
            <sz val="8"/>
            <color indexed="81"/>
            <rFont val="Tahoma"/>
            <family val="2"/>
          </rPr>
          <t xml:space="preserve">
Center of Family Love
(405)263-4935</t>
        </r>
      </text>
    </comment>
    <comment ref="B206" authorId="0">
      <text>
        <r>
          <rPr>
            <b/>
            <sz val="8"/>
            <color indexed="81"/>
            <rFont val="Tahoma"/>
            <family val="2"/>
          </rPr>
          <t>116295:</t>
        </r>
        <r>
          <rPr>
            <sz val="8"/>
            <color indexed="81"/>
            <rFont val="Tahoma"/>
            <family val="2"/>
          </rPr>
          <t xml:space="preserve">
Center of Family Love
(405)263-4935</t>
        </r>
      </text>
    </comment>
    <comment ref="B207" authorId="0">
      <text>
        <r>
          <rPr>
            <b/>
            <sz val="8"/>
            <color indexed="81"/>
            <rFont val="Tahoma"/>
            <family val="2"/>
          </rPr>
          <t>116295:</t>
        </r>
        <r>
          <rPr>
            <sz val="8"/>
            <color indexed="81"/>
            <rFont val="Tahoma"/>
            <family val="2"/>
          </rPr>
          <t xml:space="preserve">
Center of Family Love
(405)263-4935</t>
        </r>
      </text>
    </comment>
    <comment ref="B208" authorId="0">
      <text>
        <r>
          <rPr>
            <b/>
            <sz val="8"/>
            <color indexed="81"/>
            <rFont val="Tahoma"/>
            <family val="2"/>
          </rPr>
          <t>116295:</t>
        </r>
        <r>
          <rPr>
            <sz val="8"/>
            <color indexed="81"/>
            <rFont val="Tahoma"/>
            <family val="2"/>
          </rPr>
          <t xml:space="preserve">
Center of Family Love
(405)263-4935</t>
        </r>
      </text>
    </comment>
    <comment ref="B209" authorId="0">
      <text>
        <r>
          <rPr>
            <b/>
            <sz val="8"/>
            <color indexed="81"/>
            <rFont val="Tahoma"/>
            <family val="2"/>
          </rPr>
          <t>116295:</t>
        </r>
        <r>
          <rPr>
            <sz val="8"/>
            <color indexed="81"/>
            <rFont val="Tahoma"/>
            <family val="2"/>
          </rPr>
          <t xml:space="preserve">
Center of Family Love
(405)263-4935</t>
        </r>
      </text>
    </comment>
    <comment ref="B210" authorId="0">
      <text>
        <r>
          <rPr>
            <b/>
            <sz val="8"/>
            <color indexed="81"/>
            <rFont val="Tahoma"/>
            <family val="2"/>
          </rPr>
          <t>116295:</t>
        </r>
        <r>
          <rPr>
            <sz val="8"/>
            <color indexed="81"/>
            <rFont val="Tahoma"/>
            <family val="2"/>
          </rPr>
          <t xml:space="preserve">
Center of Family Love
(405)263-4935</t>
        </r>
      </text>
    </comment>
    <comment ref="B211" authorId="0">
      <text>
        <r>
          <rPr>
            <b/>
            <sz val="8"/>
            <color indexed="81"/>
            <rFont val="Tahoma"/>
            <family val="2"/>
          </rPr>
          <t>116295:</t>
        </r>
        <r>
          <rPr>
            <sz val="8"/>
            <color indexed="81"/>
            <rFont val="Tahoma"/>
            <family val="2"/>
          </rPr>
          <t xml:space="preserve">
Center of Family Love
(405)263-4935</t>
        </r>
      </text>
    </comment>
    <comment ref="B212" authorId="0">
      <text>
        <r>
          <rPr>
            <b/>
            <sz val="8"/>
            <color indexed="81"/>
            <rFont val="Tahoma"/>
            <family val="2"/>
          </rPr>
          <t>116295:</t>
        </r>
        <r>
          <rPr>
            <sz val="8"/>
            <color indexed="81"/>
            <rFont val="Tahoma"/>
            <family val="2"/>
          </rPr>
          <t xml:space="preserve">
Center of Family Love
(405)263-4935</t>
        </r>
      </text>
    </comment>
    <comment ref="B213" authorId="0">
      <text>
        <r>
          <rPr>
            <b/>
            <sz val="8"/>
            <color indexed="81"/>
            <rFont val="Tahoma"/>
            <family val="2"/>
          </rPr>
          <t>116295:</t>
        </r>
        <r>
          <rPr>
            <sz val="8"/>
            <color indexed="81"/>
            <rFont val="Tahoma"/>
            <family val="2"/>
          </rPr>
          <t xml:space="preserve">
Center of Family Love
(405)263-4935</t>
        </r>
      </text>
    </comment>
    <comment ref="B214" authorId="0">
      <text>
        <r>
          <rPr>
            <b/>
            <sz val="8"/>
            <color indexed="81"/>
            <rFont val="Tahoma"/>
            <family val="2"/>
          </rPr>
          <t>116295:</t>
        </r>
        <r>
          <rPr>
            <sz val="8"/>
            <color indexed="81"/>
            <rFont val="Tahoma"/>
            <family val="2"/>
          </rPr>
          <t xml:space="preserve">
Center of Family Love
(405)263-4935</t>
        </r>
      </text>
    </comment>
    <comment ref="B215" authorId="0">
      <text>
        <r>
          <rPr>
            <b/>
            <sz val="8"/>
            <color indexed="81"/>
            <rFont val="Tahoma"/>
            <family val="2"/>
          </rPr>
          <t>116295:</t>
        </r>
        <r>
          <rPr>
            <sz val="8"/>
            <color indexed="81"/>
            <rFont val="Tahoma"/>
            <family val="2"/>
          </rPr>
          <t xml:space="preserve">
Center of Family Love
(405)263-4935</t>
        </r>
      </text>
    </comment>
    <comment ref="B216" authorId="0">
      <text>
        <r>
          <rPr>
            <b/>
            <sz val="8"/>
            <color indexed="81"/>
            <rFont val="Tahoma"/>
            <family val="2"/>
          </rPr>
          <t>116295:</t>
        </r>
        <r>
          <rPr>
            <sz val="8"/>
            <color indexed="81"/>
            <rFont val="Tahoma"/>
            <family val="2"/>
          </rPr>
          <t xml:space="preserve">
Center of Family Love
(405)263-4935</t>
        </r>
      </text>
    </comment>
    <comment ref="B217" authorId="0">
      <text>
        <r>
          <rPr>
            <b/>
            <sz val="8"/>
            <color indexed="81"/>
            <rFont val="Tahoma"/>
            <family val="2"/>
          </rPr>
          <t>116295:</t>
        </r>
        <r>
          <rPr>
            <sz val="8"/>
            <color indexed="81"/>
            <rFont val="Tahoma"/>
            <family val="2"/>
          </rPr>
          <t xml:space="preserve">
Center of Family Love
(405)263-4935</t>
        </r>
      </text>
    </comment>
    <comment ref="B218" authorId="0">
      <text>
        <r>
          <rPr>
            <b/>
            <sz val="8"/>
            <color indexed="81"/>
            <rFont val="Tahoma"/>
            <family val="2"/>
          </rPr>
          <t>116295:</t>
        </r>
        <r>
          <rPr>
            <sz val="8"/>
            <color indexed="81"/>
            <rFont val="Tahoma"/>
            <family val="2"/>
          </rPr>
          <t xml:space="preserve">
Center of Family Love
(405)263-4935</t>
        </r>
      </text>
    </comment>
    <comment ref="B219" authorId="0">
      <text>
        <r>
          <rPr>
            <b/>
            <sz val="8"/>
            <color indexed="81"/>
            <rFont val="Tahoma"/>
            <family val="2"/>
          </rPr>
          <t>116295:</t>
        </r>
        <r>
          <rPr>
            <sz val="8"/>
            <color indexed="81"/>
            <rFont val="Tahoma"/>
            <family val="2"/>
          </rPr>
          <t xml:space="preserve">
Center of Family Love
(405)263-4935</t>
        </r>
      </text>
    </comment>
    <comment ref="B220" authorId="0">
      <text>
        <r>
          <rPr>
            <b/>
            <sz val="8"/>
            <color indexed="81"/>
            <rFont val="Tahoma"/>
            <family val="2"/>
          </rPr>
          <t>116295:</t>
        </r>
        <r>
          <rPr>
            <sz val="8"/>
            <color indexed="81"/>
            <rFont val="Tahoma"/>
            <family val="2"/>
          </rPr>
          <t xml:space="preserve">
Center of Family Love
(405)263-4935</t>
        </r>
      </text>
    </comment>
    <comment ref="B221" authorId="0">
      <text>
        <r>
          <rPr>
            <b/>
            <sz val="8"/>
            <color indexed="81"/>
            <rFont val="Tahoma"/>
            <family val="2"/>
          </rPr>
          <t>116295:</t>
        </r>
        <r>
          <rPr>
            <sz val="8"/>
            <color indexed="81"/>
            <rFont val="Tahoma"/>
            <family val="2"/>
          </rPr>
          <t xml:space="preserve">
Center of Family Love
(405)263-4935</t>
        </r>
      </text>
    </comment>
    <comment ref="B222" authorId="0">
      <text>
        <r>
          <rPr>
            <b/>
            <sz val="8"/>
            <color indexed="81"/>
            <rFont val="Tahoma"/>
            <family val="2"/>
          </rPr>
          <t>116295:</t>
        </r>
        <r>
          <rPr>
            <sz val="8"/>
            <color indexed="81"/>
            <rFont val="Tahoma"/>
            <family val="2"/>
          </rPr>
          <t xml:space="preserve">
Center of Family Love
(405)263-4935</t>
        </r>
      </text>
    </comment>
    <comment ref="B223" authorId="0">
      <text>
        <r>
          <rPr>
            <b/>
            <sz val="8"/>
            <color indexed="81"/>
            <rFont val="Tahoma"/>
            <family val="2"/>
          </rPr>
          <t>116295:</t>
        </r>
        <r>
          <rPr>
            <sz val="8"/>
            <color indexed="81"/>
            <rFont val="Tahoma"/>
            <family val="2"/>
          </rPr>
          <t xml:space="preserve">
Center of Family Love
(405)263-4935</t>
        </r>
      </text>
    </comment>
    <comment ref="B224" authorId="0">
      <text>
        <r>
          <rPr>
            <b/>
            <sz val="8"/>
            <color indexed="81"/>
            <rFont val="Tahoma"/>
            <family val="2"/>
          </rPr>
          <t>116295:</t>
        </r>
        <r>
          <rPr>
            <sz val="8"/>
            <color indexed="81"/>
            <rFont val="Tahoma"/>
            <family val="2"/>
          </rPr>
          <t xml:space="preserve">
Center of Family Love
(405)263-4935</t>
        </r>
      </text>
    </comment>
    <comment ref="B225" authorId="0">
      <text>
        <r>
          <rPr>
            <b/>
            <sz val="8"/>
            <color indexed="81"/>
            <rFont val="Tahoma"/>
            <family val="2"/>
          </rPr>
          <t>116295:</t>
        </r>
        <r>
          <rPr>
            <sz val="8"/>
            <color indexed="81"/>
            <rFont val="Tahoma"/>
            <family val="2"/>
          </rPr>
          <t xml:space="preserve">
Center of Family Love
(405)263-4935</t>
        </r>
      </text>
    </comment>
    <comment ref="B226" authorId="0">
      <text>
        <r>
          <rPr>
            <b/>
            <sz val="8"/>
            <color indexed="81"/>
            <rFont val="Tahoma"/>
            <family val="2"/>
          </rPr>
          <t>116295:</t>
        </r>
        <r>
          <rPr>
            <sz val="8"/>
            <color indexed="81"/>
            <rFont val="Tahoma"/>
            <family val="2"/>
          </rPr>
          <t xml:space="preserve">
Center of Family Love
(405)263-4935</t>
        </r>
      </text>
    </comment>
    <comment ref="B227" authorId="0">
      <text>
        <r>
          <rPr>
            <b/>
            <sz val="8"/>
            <color indexed="81"/>
            <rFont val="Tahoma"/>
            <family val="2"/>
          </rPr>
          <t>116295:</t>
        </r>
        <r>
          <rPr>
            <sz val="8"/>
            <color indexed="81"/>
            <rFont val="Tahoma"/>
            <family val="2"/>
          </rPr>
          <t xml:space="preserve">
Center of Family Love
(405)263-4935</t>
        </r>
      </text>
    </comment>
    <comment ref="B228" authorId="0">
      <text>
        <r>
          <rPr>
            <b/>
            <sz val="8"/>
            <color indexed="81"/>
            <rFont val="Tahoma"/>
            <family val="2"/>
          </rPr>
          <t>116295:</t>
        </r>
        <r>
          <rPr>
            <sz val="8"/>
            <color indexed="81"/>
            <rFont val="Tahoma"/>
            <family val="2"/>
          </rPr>
          <t xml:space="preserve">
Center of Family Love
(405)263-4935</t>
        </r>
      </text>
    </comment>
    <comment ref="B229" authorId="0">
      <text>
        <r>
          <rPr>
            <b/>
            <sz val="8"/>
            <color indexed="81"/>
            <rFont val="Tahoma"/>
            <family val="2"/>
          </rPr>
          <t>116295:</t>
        </r>
        <r>
          <rPr>
            <sz val="8"/>
            <color indexed="81"/>
            <rFont val="Tahoma"/>
            <family val="2"/>
          </rPr>
          <t xml:space="preserve">
Center of Family Love
(405)263-4935</t>
        </r>
      </text>
    </comment>
    <comment ref="B230" authorId="0">
      <text>
        <r>
          <rPr>
            <b/>
            <sz val="8"/>
            <color indexed="81"/>
            <rFont val="Tahoma"/>
            <family val="2"/>
          </rPr>
          <t>116295:</t>
        </r>
        <r>
          <rPr>
            <sz val="8"/>
            <color indexed="81"/>
            <rFont val="Tahoma"/>
            <family val="2"/>
          </rPr>
          <t xml:space="preserve">
Center of Family Love
(405)263-4935</t>
        </r>
      </text>
    </comment>
    <comment ref="B231" authorId="0">
      <text>
        <r>
          <rPr>
            <b/>
            <sz val="8"/>
            <color indexed="81"/>
            <rFont val="Tahoma"/>
            <family val="2"/>
          </rPr>
          <t>116295:</t>
        </r>
        <r>
          <rPr>
            <sz val="8"/>
            <color indexed="81"/>
            <rFont val="Tahoma"/>
            <family val="2"/>
          </rPr>
          <t xml:space="preserve">
Center of Family Love
(405)263-4935</t>
        </r>
      </text>
    </comment>
    <comment ref="B232" authorId="0">
      <text>
        <r>
          <rPr>
            <b/>
            <sz val="8"/>
            <color indexed="81"/>
            <rFont val="Tahoma"/>
            <family val="2"/>
          </rPr>
          <t>116295:</t>
        </r>
        <r>
          <rPr>
            <sz val="8"/>
            <color indexed="81"/>
            <rFont val="Tahoma"/>
            <family val="2"/>
          </rPr>
          <t xml:space="preserve">
Center of Family Love
(405)263-4935</t>
        </r>
      </text>
    </comment>
    <comment ref="B233" authorId="0">
      <text>
        <r>
          <rPr>
            <b/>
            <sz val="8"/>
            <color indexed="81"/>
            <rFont val="Tahoma"/>
            <family val="2"/>
          </rPr>
          <t>116295:</t>
        </r>
        <r>
          <rPr>
            <sz val="8"/>
            <color indexed="81"/>
            <rFont val="Tahoma"/>
            <family val="2"/>
          </rPr>
          <t xml:space="preserve">
Center of Family Love
(405)263-4935</t>
        </r>
      </text>
    </comment>
    <comment ref="B234" authorId="0">
      <text>
        <r>
          <rPr>
            <b/>
            <sz val="8"/>
            <color indexed="81"/>
            <rFont val="Tahoma"/>
            <family val="2"/>
          </rPr>
          <t>116295:</t>
        </r>
        <r>
          <rPr>
            <sz val="8"/>
            <color indexed="81"/>
            <rFont val="Tahoma"/>
            <family val="2"/>
          </rPr>
          <t xml:space="preserve">
Center of Family Love
(405)263-4935</t>
        </r>
      </text>
    </comment>
    <comment ref="B235" authorId="0">
      <text>
        <r>
          <rPr>
            <b/>
            <sz val="8"/>
            <color indexed="81"/>
            <rFont val="Tahoma"/>
            <family val="2"/>
          </rPr>
          <t>116295:</t>
        </r>
        <r>
          <rPr>
            <sz val="8"/>
            <color indexed="81"/>
            <rFont val="Tahoma"/>
            <family val="2"/>
          </rPr>
          <t xml:space="preserve">
Center of Family Love
(405)263-4935</t>
        </r>
      </text>
    </comment>
    <comment ref="B236" authorId="0">
      <text>
        <r>
          <rPr>
            <b/>
            <sz val="8"/>
            <color indexed="81"/>
            <rFont val="Tahoma"/>
            <family val="2"/>
          </rPr>
          <t>116295:</t>
        </r>
        <r>
          <rPr>
            <sz val="8"/>
            <color indexed="81"/>
            <rFont val="Tahoma"/>
            <family val="2"/>
          </rPr>
          <t xml:space="preserve">
Center of Family Love
(405)263-4935</t>
        </r>
      </text>
    </comment>
    <comment ref="B237" authorId="0">
      <text>
        <r>
          <rPr>
            <b/>
            <sz val="8"/>
            <color indexed="81"/>
            <rFont val="Tahoma"/>
            <family val="2"/>
          </rPr>
          <t>116295:</t>
        </r>
        <r>
          <rPr>
            <sz val="8"/>
            <color indexed="81"/>
            <rFont val="Tahoma"/>
            <family val="2"/>
          </rPr>
          <t xml:space="preserve">
Center of Family Love
(405)263-4935</t>
        </r>
      </text>
    </comment>
    <comment ref="B238" authorId="0">
      <text>
        <r>
          <rPr>
            <b/>
            <sz val="8"/>
            <color indexed="81"/>
            <rFont val="Tahoma"/>
            <family val="2"/>
          </rPr>
          <t>116295:</t>
        </r>
        <r>
          <rPr>
            <sz val="8"/>
            <color indexed="81"/>
            <rFont val="Tahoma"/>
            <family val="2"/>
          </rPr>
          <t xml:space="preserve">
Center of Family Love
(405)263-4935</t>
        </r>
      </text>
    </comment>
    <comment ref="B239" authorId="0">
      <text>
        <r>
          <rPr>
            <b/>
            <sz val="8"/>
            <color indexed="81"/>
            <rFont val="Tahoma"/>
            <family val="2"/>
          </rPr>
          <t>116295:</t>
        </r>
        <r>
          <rPr>
            <sz val="8"/>
            <color indexed="81"/>
            <rFont val="Tahoma"/>
            <family val="2"/>
          </rPr>
          <t xml:space="preserve">
Center of Family Love
(405)263-4935</t>
        </r>
      </text>
    </comment>
    <comment ref="B240" authorId="0">
      <text>
        <r>
          <rPr>
            <b/>
            <sz val="8"/>
            <color indexed="81"/>
            <rFont val="Tahoma"/>
            <family val="2"/>
          </rPr>
          <t>116295:</t>
        </r>
        <r>
          <rPr>
            <sz val="8"/>
            <color indexed="81"/>
            <rFont val="Tahoma"/>
            <family val="2"/>
          </rPr>
          <t xml:space="preserve">
Center of Family Love
(405)263-4935</t>
        </r>
      </text>
    </comment>
    <comment ref="B241" authorId="0">
      <text>
        <r>
          <rPr>
            <b/>
            <sz val="8"/>
            <color indexed="81"/>
            <rFont val="Tahoma"/>
            <family val="2"/>
          </rPr>
          <t>116295:</t>
        </r>
        <r>
          <rPr>
            <sz val="8"/>
            <color indexed="81"/>
            <rFont val="Tahoma"/>
            <family val="2"/>
          </rPr>
          <t xml:space="preserve">
Center of Family Love
(405)263-4935</t>
        </r>
      </text>
    </comment>
    <comment ref="B242" authorId="0">
      <text>
        <r>
          <rPr>
            <b/>
            <sz val="8"/>
            <color indexed="81"/>
            <rFont val="Tahoma"/>
            <family val="2"/>
          </rPr>
          <t>116295:</t>
        </r>
        <r>
          <rPr>
            <sz val="8"/>
            <color indexed="81"/>
            <rFont val="Tahoma"/>
            <family val="2"/>
          </rPr>
          <t xml:space="preserve">
Center of Family Love
(405)263-4935</t>
        </r>
      </text>
    </comment>
    <comment ref="B243" authorId="0">
      <text>
        <r>
          <rPr>
            <b/>
            <sz val="8"/>
            <color indexed="81"/>
            <rFont val="Tahoma"/>
            <family val="2"/>
          </rPr>
          <t>116295:</t>
        </r>
        <r>
          <rPr>
            <sz val="8"/>
            <color indexed="81"/>
            <rFont val="Tahoma"/>
            <family val="2"/>
          </rPr>
          <t xml:space="preserve">
Center of Family Love
(405)263-4935</t>
        </r>
      </text>
    </comment>
    <comment ref="B244" authorId="0">
      <text>
        <r>
          <rPr>
            <b/>
            <sz val="8"/>
            <color indexed="81"/>
            <rFont val="Tahoma"/>
            <family val="2"/>
          </rPr>
          <t>116295:</t>
        </r>
        <r>
          <rPr>
            <sz val="8"/>
            <color indexed="81"/>
            <rFont val="Tahoma"/>
            <family val="2"/>
          </rPr>
          <t xml:space="preserve">
Center of Family Love
(405)263-4935</t>
        </r>
      </text>
    </comment>
    <comment ref="B245" authorId="0">
      <text>
        <r>
          <rPr>
            <b/>
            <sz val="8"/>
            <color indexed="81"/>
            <rFont val="Tahoma"/>
            <family val="2"/>
          </rPr>
          <t>116295:</t>
        </r>
        <r>
          <rPr>
            <sz val="8"/>
            <color indexed="81"/>
            <rFont val="Tahoma"/>
            <family val="2"/>
          </rPr>
          <t xml:space="preserve">
Center of Family Love
(405)263-4935</t>
        </r>
      </text>
    </comment>
    <comment ref="B246" authorId="0">
      <text>
        <r>
          <rPr>
            <b/>
            <sz val="8"/>
            <color indexed="81"/>
            <rFont val="Tahoma"/>
            <family val="2"/>
          </rPr>
          <t>116295:</t>
        </r>
        <r>
          <rPr>
            <sz val="8"/>
            <color indexed="81"/>
            <rFont val="Tahoma"/>
            <family val="2"/>
          </rPr>
          <t xml:space="preserve">
Center of Family Love
(405)263-4935</t>
        </r>
      </text>
    </comment>
    <comment ref="B247" authorId="0">
      <text>
        <r>
          <rPr>
            <b/>
            <sz val="8"/>
            <color indexed="81"/>
            <rFont val="Tahoma"/>
            <family val="2"/>
          </rPr>
          <t>116295:</t>
        </r>
        <r>
          <rPr>
            <sz val="8"/>
            <color indexed="81"/>
            <rFont val="Tahoma"/>
            <family val="2"/>
          </rPr>
          <t xml:space="preserve">
Center of Family Love
(405)263-4935</t>
        </r>
      </text>
    </comment>
    <comment ref="B248" authorId="0">
      <text>
        <r>
          <rPr>
            <b/>
            <sz val="8"/>
            <color indexed="81"/>
            <rFont val="Tahoma"/>
            <family val="2"/>
          </rPr>
          <t>116295:</t>
        </r>
        <r>
          <rPr>
            <sz val="8"/>
            <color indexed="81"/>
            <rFont val="Tahoma"/>
            <family val="2"/>
          </rPr>
          <t xml:space="preserve">
Center of Family Love
(405)263-4935</t>
        </r>
      </text>
    </comment>
    <comment ref="B249" authorId="0">
      <text>
        <r>
          <rPr>
            <b/>
            <sz val="8"/>
            <color indexed="81"/>
            <rFont val="Tahoma"/>
            <family val="2"/>
          </rPr>
          <t>116295:</t>
        </r>
        <r>
          <rPr>
            <sz val="8"/>
            <color indexed="81"/>
            <rFont val="Tahoma"/>
            <family val="2"/>
          </rPr>
          <t xml:space="preserve">
Center of Family Love
(405)263-4935</t>
        </r>
      </text>
    </comment>
    <comment ref="B250" authorId="0">
      <text>
        <r>
          <rPr>
            <b/>
            <sz val="8"/>
            <color indexed="81"/>
            <rFont val="Tahoma"/>
            <family val="2"/>
          </rPr>
          <t>116295:</t>
        </r>
        <r>
          <rPr>
            <sz val="8"/>
            <color indexed="81"/>
            <rFont val="Tahoma"/>
            <family val="2"/>
          </rPr>
          <t xml:space="preserve">
Center of Family Love
(405)263-4935</t>
        </r>
      </text>
    </comment>
    <comment ref="B251" authorId="0">
      <text>
        <r>
          <rPr>
            <b/>
            <sz val="8"/>
            <color indexed="81"/>
            <rFont val="Tahoma"/>
            <family val="2"/>
          </rPr>
          <t>116295:</t>
        </r>
        <r>
          <rPr>
            <sz val="8"/>
            <color indexed="81"/>
            <rFont val="Tahoma"/>
            <family val="2"/>
          </rPr>
          <t xml:space="preserve">
Center of Family Love
(405)263-4935</t>
        </r>
      </text>
    </comment>
    <comment ref="E251" authorId="0">
      <text>
        <r>
          <rPr>
            <b/>
            <sz val="8"/>
            <color indexed="81"/>
            <rFont val="Tahoma"/>
            <family val="2"/>
          </rPr>
          <t>116295:</t>
        </r>
        <r>
          <rPr>
            <sz val="8"/>
            <color indexed="81"/>
            <rFont val="Tahoma"/>
            <family val="2"/>
          </rPr>
          <t xml:space="preserve">
Suitable to Procure 
No Fair Market Value
Non Mandatory
Call Vendor for Price</t>
        </r>
      </text>
    </comment>
    <comment ref="B252" authorId="0">
      <text>
        <r>
          <rPr>
            <b/>
            <sz val="8"/>
            <color indexed="81"/>
            <rFont val="Tahoma"/>
            <family val="2"/>
          </rPr>
          <t>116295:</t>
        </r>
        <r>
          <rPr>
            <sz val="8"/>
            <color indexed="81"/>
            <rFont val="Tahoma"/>
            <family val="2"/>
          </rPr>
          <t xml:space="preserve">
Center of Family Love
(405)263-4935</t>
        </r>
      </text>
    </comment>
    <comment ref="E252" authorId="0">
      <text>
        <r>
          <rPr>
            <b/>
            <sz val="8"/>
            <color indexed="81"/>
            <rFont val="Tahoma"/>
            <family val="2"/>
          </rPr>
          <t>116295:</t>
        </r>
        <r>
          <rPr>
            <sz val="8"/>
            <color indexed="81"/>
            <rFont val="Tahoma"/>
            <family val="2"/>
          </rPr>
          <t xml:space="preserve">
Suitable to Procure 
No Fair Market Value
Non Mandatory
Call Vendor for Price</t>
        </r>
      </text>
    </comment>
    <comment ref="B253" authorId="0">
      <text>
        <r>
          <rPr>
            <b/>
            <sz val="8"/>
            <color indexed="81"/>
            <rFont val="Tahoma"/>
            <family val="2"/>
          </rPr>
          <t>116295:</t>
        </r>
        <r>
          <rPr>
            <sz val="8"/>
            <color indexed="81"/>
            <rFont val="Tahoma"/>
            <family val="2"/>
          </rPr>
          <t xml:space="preserve">
Center of Family Love
(405)263-4935</t>
        </r>
      </text>
    </comment>
    <comment ref="E253" authorId="0">
      <text>
        <r>
          <rPr>
            <b/>
            <sz val="8"/>
            <color indexed="81"/>
            <rFont val="Tahoma"/>
            <family val="2"/>
          </rPr>
          <t>116295:</t>
        </r>
        <r>
          <rPr>
            <sz val="8"/>
            <color indexed="81"/>
            <rFont val="Tahoma"/>
            <family val="2"/>
          </rPr>
          <t xml:space="preserve">
Suitable to Procure 
No Fair Market Value
Non Mandatory
Call Vendor for Price</t>
        </r>
      </text>
    </comment>
    <comment ref="B254" authorId="0">
      <text>
        <r>
          <rPr>
            <b/>
            <sz val="8"/>
            <color indexed="81"/>
            <rFont val="Tahoma"/>
            <family val="2"/>
          </rPr>
          <t>116295:</t>
        </r>
        <r>
          <rPr>
            <sz val="8"/>
            <color indexed="81"/>
            <rFont val="Tahoma"/>
            <family val="2"/>
          </rPr>
          <t xml:space="preserve">
Center of Family Love
(405)263-4935</t>
        </r>
      </text>
    </comment>
    <comment ref="E254" authorId="0">
      <text>
        <r>
          <rPr>
            <b/>
            <sz val="8"/>
            <color indexed="81"/>
            <rFont val="Tahoma"/>
            <family val="2"/>
          </rPr>
          <t>116295:</t>
        </r>
        <r>
          <rPr>
            <sz val="8"/>
            <color indexed="81"/>
            <rFont val="Tahoma"/>
            <family val="2"/>
          </rPr>
          <t xml:space="preserve">
Suitable to Procure 
No Fair Market Value
Non Mandatory
Call Vendor for Price</t>
        </r>
      </text>
    </comment>
    <comment ref="B255" authorId="0">
      <text>
        <r>
          <rPr>
            <b/>
            <sz val="8"/>
            <color indexed="81"/>
            <rFont val="Tahoma"/>
            <family val="2"/>
          </rPr>
          <t>116295:</t>
        </r>
        <r>
          <rPr>
            <sz val="8"/>
            <color indexed="81"/>
            <rFont val="Tahoma"/>
            <family val="2"/>
          </rPr>
          <t xml:space="preserve">
Center of Family Love
(405)263-4935</t>
        </r>
      </text>
    </comment>
    <comment ref="E255" authorId="0">
      <text>
        <r>
          <rPr>
            <b/>
            <sz val="8"/>
            <color indexed="81"/>
            <rFont val="Tahoma"/>
            <family val="2"/>
          </rPr>
          <t>116295:</t>
        </r>
        <r>
          <rPr>
            <sz val="8"/>
            <color indexed="81"/>
            <rFont val="Tahoma"/>
            <family val="2"/>
          </rPr>
          <t xml:space="preserve">
Suitable to Procure 
No Fair Market Value
Non Mandatory
Call Vendor for Price</t>
        </r>
      </text>
    </comment>
    <comment ref="B256" authorId="0">
      <text>
        <r>
          <rPr>
            <b/>
            <sz val="8"/>
            <color indexed="81"/>
            <rFont val="Tahoma"/>
            <family val="2"/>
          </rPr>
          <t>116295:</t>
        </r>
        <r>
          <rPr>
            <sz val="8"/>
            <color indexed="81"/>
            <rFont val="Tahoma"/>
            <family val="2"/>
          </rPr>
          <t xml:space="preserve">
Center of Family Love
(405)263-4935</t>
        </r>
      </text>
    </comment>
    <comment ref="E256" authorId="0">
      <text>
        <r>
          <rPr>
            <b/>
            <sz val="8"/>
            <color indexed="81"/>
            <rFont val="Tahoma"/>
            <family val="2"/>
          </rPr>
          <t>116295:</t>
        </r>
        <r>
          <rPr>
            <sz val="8"/>
            <color indexed="81"/>
            <rFont val="Tahoma"/>
            <family val="2"/>
          </rPr>
          <t xml:space="preserve">
Suitable to Procure 
No Fair Market Value
Non Mandatory
Call Vendor for Price</t>
        </r>
      </text>
    </comment>
    <comment ref="B257" authorId="0">
      <text>
        <r>
          <rPr>
            <b/>
            <sz val="8"/>
            <color indexed="81"/>
            <rFont val="Tahoma"/>
            <family val="2"/>
          </rPr>
          <t>116295:</t>
        </r>
        <r>
          <rPr>
            <sz val="8"/>
            <color indexed="81"/>
            <rFont val="Tahoma"/>
            <family val="2"/>
          </rPr>
          <t xml:space="preserve">
Center of Family Love
(405)263-4935</t>
        </r>
      </text>
    </comment>
    <comment ref="E257" authorId="0">
      <text>
        <r>
          <rPr>
            <b/>
            <sz val="8"/>
            <color indexed="81"/>
            <rFont val="Tahoma"/>
            <family val="2"/>
          </rPr>
          <t>116295:</t>
        </r>
        <r>
          <rPr>
            <sz val="8"/>
            <color indexed="81"/>
            <rFont val="Tahoma"/>
            <family val="2"/>
          </rPr>
          <t xml:space="preserve">
Suitable to Procure 
No Fair Market Value
Non Mandatory
Call Vendor for Price</t>
        </r>
      </text>
    </comment>
    <comment ref="B258" authorId="0">
      <text>
        <r>
          <rPr>
            <b/>
            <sz val="8"/>
            <color indexed="81"/>
            <rFont val="Tahoma"/>
            <family val="2"/>
          </rPr>
          <t>116295:</t>
        </r>
        <r>
          <rPr>
            <sz val="8"/>
            <color indexed="81"/>
            <rFont val="Tahoma"/>
            <family val="2"/>
          </rPr>
          <t xml:space="preserve">
Center of Family Love
(405)263-4935</t>
        </r>
      </text>
    </comment>
    <comment ref="E258" authorId="0">
      <text>
        <r>
          <rPr>
            <b/>
            <sz val="8"/>
            <color indexed="81"/>
            <rFont val="Tahoma"/>
            <family val="2"/>
          </rPr>
          <t>116295:</t>
        </r>
        <r>
          <rPr>
            <sz val="8"/>
            <color indexed="81"/>
            <rFont val="Tahoma"/>
            <family val="2"/>
          </rPr>
          <t xml:space="preserve">
Suitable to Procure 
No Fair Market Value
Non Mandatory
Call Vendor for Price</t>
        </r>
      </text>
    </comment>
    <comment ref="B259" authorId="0">
      <text>
        <r>
          <rPr>
            <b/>
            <sz val="8"/>
            <color indexed="81"/>
            <rFont val="Tahoma"/>
            <family val="2"/>
          </rPr>
          <t>116295:</t>
        </r>
        <r>
          <rPr>
            <sz val="8"/>
            <color indexed="81"/>
            <rFont val="Tahoma"/>
            <family val="2"/>
          </rPr>
          <t xml:space="preserve">
Center of Family Love
(405)263-4935</t>
        </r>
      </text>
    </comment>
    <comment ref="E259" authorId="0">
      <text>
        <r>
          <rPr>
            <b/>
            <sz val="8"/>
            <color indexed="81"/>
            <rFont val="Tahoma"/>
            <family val="2"/>
          </rPr>
          <t>116295:</t>
        </r>
        <r>
          <rPr>
            <sz val="8"/>
            <color indexed="81"/>
            <rFont val="Tahoma"/>
            <family val="2"/>
          </rPr>
          <t xml:space="preserve">
Suitable to Procure 
No Fair Market Value
Non Mandatory
Call Vendor for Price</t>
        </r>
      </text>
    </comment>
    <comment ref="B260" authorId="0">
      <text>
        <r>
          <rPr>
            <b/>
            <sz val="8"/>
            <color indexed="81"/>
            <rFont val="Tahoma"/>
            <family val="2"/>
          </rPr>
          <t>116295:</t>
        </r>
        <r>
          <rPr>
            <sz val="8"/>
            <color indexed="81"/>
            <rFont val="Tahoma"/>
            <family val="2"/>
          </rPr>
          <t xml:space="preserve">
Center of Family Love
(405)263-4935</t>
        </r>
      </text>
    </comment>
    <comment ref="E260" authorId="0">
      <text>
        <r>
          <rPr>
            <b/>
            <sz val="8"/>
            <color indexed="81"/>
            <rFont val="Tahoma"/>
            <family val="2"/>
          </rPr>
          <t>116295:</t>
        </r>
        <r>
          <rPr>
            <sz val="8"/>
            <color indexed="81"/>
            <rFont val="Tahoma"/>
            <family val="2"/>
          </rPr>
          <t xml:space="preserve">
Suitable to Procure 
No Fair Market Value
Non Mandatory
Call Vendor for Price</t>
        </r>
      </text>
    </comment>
    <comment ref="B261" authorId="0">
      <text>
        <r>
          <rPr>
            <b/>
            <sz val="8"/>
            <color indexed="81"/>
            <rFont val="Tahoma"/>
            <family val="2"/>
          </rPr>
          <t>116295:</t>
        </r>
        <r>
          <rPr>
            <sz val="8"/>
            <color indexed="81"/>
            <rFont val="Tahoma"/>
            <family val="2"/>
          </rPr>
          <t xml:space="preserve">
Center of Family Love
(405)263-4935</t>
        </r>
      </text>
    </comment>
    <comment ref="E261" authorId="0">
      <text>
        <r>
          <rPr>
            <b/>
            <sz val="8"/>
            <color indexed="81"/>
            <rFont val="Tahoma"/>
            <family val="2"/>
          </rPr>
          <t>116295:</t>
        </r>
        <r>
          <rPr>
            <sz val="8"/>
            <color indexed="81"/>
            <rFont val="Tahoma"/>
            <family val="2"/>
          </rPr>
          <t xml:space="preserve">
Suitable to Procure 
No Fair Market Value
Non Mandatory
Call Vendor for Price</t>
        </r>
      </text>
    </comment>
    <comment ref="B262" authorId="0">
      <text>
        <r>
          <rPr>
            <b/>
            <sz val="8"/>
            <color indexed="81"/>
            <rFont val="Tahoma"/>
            <family val="2"/>
          </rPr>
          <t>116295:</t>
        </r>
        <r>
          <rPr>
            <sz val="8"/>
            <color indexed="81"/>
            <rFont val="Tahoma"/>
            <family val="2"/>
          </rPr>
          <t xml:space="preserve">
Center of Family Love
(405)263-4935</t>
        </r>
      </text>
    </comment>
    <comment ref="E262" authorId="0">
      <text>
        <r>
          <rPr>
            <b/>
            <sz val="8"/>
            <color indexed="81"/>
            <rFont val="Tahoma"/>
            <family val="2"/>
          </rPr>
          <t>116295:</t>
        </r>
        <r>
          <rPr>
            <sz val="8"/>
            <color indexed="81"/>
            <rFont val="Tahoma"/>
            <family val="2"/>
          </rPr>
          <t xml:space="preserve">
Suitable to Procure 
No Fair Market Value
Non Mandatory
Call Vendor for Price</t>
        </r>
      </text>
    </comment>
    <comment ref="B263" authorId="0">
      <text>
        <r>
          <rPr>
            <b/>
            <sz val="8"/>
            <color indexed="81"/>
            <rFont val="Tahoma"/>
            <family val="2"/>
          </rPr>
          <t>116295:</t>
        </r>
        <r>
          <rPr>
            <sz val="8"/>
            <color indexed="81"/>
            <rFont val="Tahoma"/>
            <family val="2"/>
          </rPr>
          <t xml:space="preserve">
Center of Family Love
(405)263-4935</t>
        </r>
      </text>
    </comment>
    <comment ref="E263" authorId="0">
      <text>
        <r>
          <rPr>
            <b/>
            <sz val="8"/>
            <color indexed="81"/>
            <rFont val="Tahoma"/>
            <family val="2"/>
          </rPr>
          <t>116295:</t>
        </r>
        <r>
          <rPr>
            <sz val="8"/>
            <color indexed="81"/>
            <rFont val="Tahoma"/>
            <family val="2"/>
          </rPr>
          <t xml:space="preserve">
Suitable to Procure 
No Fair Market Value
Non Mandatory
Call Vendor for Price</t>
        </r>
      </text>
    </comment>
    <comment ref="B264" authorId="0">
      <text>
        <r>
          <rPr>
            <b/>
            <sz val="8"/>
            <color indexed="81"/>
            <rFont val="Tahoma"/>
            <family val="2"/>
          </rPr>
          <t>116295:</t>
        </r>
        <r>
          <rPr>
            <sz val="8"/>
            <color indexed="81"/>
            <rFont val="Tahoma"/>
            <family val="2"/>
          </rPr>
          <t xml:space="preserve">
Center of Family Love
(405)263-4935</t>
        </r>
      </text>
    </comment>
    <comment ref="E264" authorId="0">
      <text>
        <r>
          <rPr>
            <b/>
            <sz val="8"/>
            <color indexed="81"/>
            <rFont val="Tahoma"/>
            <family val="2"/>
          </rPr>
          <t>116295:</t>
        </r>
        <r>
          <rPr>
            <sz val="8"/>
            <color indexed="81"/>
            <rFont val="Tahoma"/>
            <family val="2"/>
          </rPr>
          <t xml:space="preserve">
Suitable to Procure 
No Fair Market Value
Non Mandatory
Call Vendor for Price</t>
        </r>
      </text>
    </comment>
    <comment ref="B265" authorId="0">
      <text>
        <r>
          <rPr>
            <b/>
            <sz val="8"/>
            <color indexed="81"/>
            <rFont val="Tahoma"/>
            <family val="2"/>
          </rPr>
          <t>116295:</t>
        </r>
        <r>
          <rPr>
            <sz val="8"/>
            <color indexed="81"/>
            <rFont val="Tahoma"/>
            <family val="2"/>
          </rPr>
          <t xml:space="preserve">
Center of Family Love
(405)263-4935</t>
        </r>
      </text>
    </comment>
    <comment ref="E265" authorId="0">
      <text>
        <r>
          <rPr>
            <b/>
            <sz val="8"/>
            <color indexed="81"/>
            <rFont val="Tahoma"/>
            <family val="2"/>
          </rPr>
          <t>116295:</t>
        </r>
        <r>
          <rPr>
            <sz val="8"/>
            <color indexed="81"/>
            <rFont val="Tahoma"/>
            <family val="2"/>
          </rPr>
          <t xml:space="preserve">
Suitable to Procure 
No Fair Market Value
Non Mandatory
Call Vendor for Price</t>
        </r>
      </text>
    </comment>
    <comment ref="B266" authorId="0">
      <text>
        <r>
          <rPr>
            <b/>
            <sz val="8"/>
            <color indexed="81"/>
            <rFont val="Tahoma"/>
            <family val="2"/>
          </rPr>
          <t>116295:</t>
        </r>
        <r>
          <rPr>
            <sz val="8"/>
            <color indexed="81"/>
            <rFont val="Tahoma"/>
            <family val="2"/>
          </rPr>
          <t xml:space="preserve">
Center of Family Love
(405)263-4935</t>
        </r>
      </text>
    </comment>
    <comment ref="E266" authorId="0">
      <text>
        <r>
          <rPr>
            <b/>
            <sz val="8"/>
            <color indexed="81"/>
            <rFont val="Tahoma"/>
            <family val="2"/>
          </rPr>
          <t>116295:</t>
        </r>
        <r>
          <rPr>
            <sz val="8"/>
            <color indexed="81"/>
            <rFont val="Tahoma"/>
            <family val="2"/>
          </rPr>
          <t xml:space="preserve">
Suitable to Procure 
No Fair Market Value
Non Mandatory
Call Vendor for Price</t>
        </r>
      </text>
    </comment>
    <comment ref="B267" authorId="0">
      <text>
        <r>
          <rPr>
            <b/>
            <sz val="8"/>
            <color indexed="81"/>
            <rFont val="Tahoma"/>
            <family val="2"/>
          </rPr>
          <t>116295:</t>
        </r>
        <r>
          <rPr>
            <sz val="8"/>
            <color indexed="81"/>
            <rFont val="Tahoma"/>
            <family val="2"/>
          </rPr>
          <t xml:space="preserve">
Center of Family Love
(405)263-4935</t>
        </r>
      </text>
    </comment>
    <comment ref="E267" authorId="0">
      <text>
        <r>
          <rPr>
            <b/>
            <sz val="8"/>
            <color indexed="81"/>
            <rFont val="Tahoma"/>
            <family val="2"/>
          </rPr>
          <t>116295:</t>
        </r>
        <r>
          <rPr>
            <sz val="8"/>
            <color indexed="81"/>
            <rFont val="Tahoma"/>
            <family val="2"/>
          </rPr>
          <t xml:space="preserve">
Suitable to Procure 
No Fair Market Value
Non Mandatory
Call Vendor for Price</t>
        </r>
      </text>
    </comment>
    <comment ref="B268" authorId="0">
      <text>
        <r>
          <rPr>
            <b/>
            <sz val="8"/>
            <color indexed="81"/>
            <rFont val="Tahoma"/>
            <family val="2"/>
          </rPr>
          <t>116295:</t>
        </r>
        <r>
          <rPr>
            <sz val="8"/>
            <color indexed="81"/>
            <rFont val="Tahoma"/>
            <family val="2"/>
          </rPr>
          <t xml:space="preserve">
Center of Family Love
(405)263-4935</t>
        </r>
      </text>
    </comment>
    <comment ref="E268" authorId="0">
      <text>
        <r>
          <rPr>
            <b/>
            <sz val="8"/>
            <color indexed="81"/>
            <rFont val="Tahoma"/>
            <family val="2"/>
          </rPr>
          <t>116295:</t>
        </r>
        <r>
          <rPr>
            <sz val="8"/>
            <color indexed="81"/>
            <rFont val="Tahoma"/>
            <family val="2"/>
          </rPr>
          <t xml:space="preserve">
Suitable to Procure 
No Fair Market Value
Non Mandatory
Call Vendor for Price</t>
        </r>
      </text>
    </comment>
    <comment ref="B269" authorId="0">
      <text>
        <r>
          <rPr>
            <b/>
            <sz val="8"/>
            <color indexed="81"/>
            <rFont val="Tahoma"/>
            <family val="2"/>
          </rPr>
          <t>116295:</t>
        </r>
        <r>
          <rPr>
            <sz val="8"/>
            <color indexed="81"/>
            <rFont val="Tahoma"/>
            <family val="2"/>
          </rPr>
          <t xml:space="preserve">
Center of Family Love
(405)263-4935</t>
        </r>
      </text>
    </comment>
    <comment ref="E269" authorId="0">
      <text>
        <r>
          <rPr>
            <b/>
            <sz val="8"/>
            <color indexed="81"/>
            <rFont val="Tahoma"/>
            <family val="2"/>
          </rPr>
          <t>116295:</t>
        </r>
        <r>
          <rPr>
            <sz val="8"/>
            <color indexed="81"/>
            <rFont val="Tahoma"/>
            <family val="2"/>
          </rPr>
          <t xml:space="preserve">
Suitable to Procure 
No Fair Market Value
Non Mandatory
Call Vendor for Price</t>
        </r>
      </text>
    </comment>
    <comment ref="B270" authorId="0">
      <text>
        <r>
          <rPr>
            <b/>
            <sz val="8"/>
            <color indexed="81"/>
            <rFont val="Tahoma"/>
            <family val="2"/>
          </rPr>
          <t>116295:</t>
        </r>
        <r>
          <rPr>
            <sz val="8"/>
            <color indexed="81"/>
            <rFont val="Tahoma"/>
            <family val="2"/>
          </rPr>
          <t xml:space="preserve">
Center of Family Love
(405)263-4935</t>
        </r>
      </text>
    </comment>
    <comment ref="E270" authorId="0">
      <text>
        <r>
          <rPr>
            <b/>
            <sz val="8"/>
            <color indexed="81"/>
            <rFont val="Tahoma"/>
            <family val="2"/>
          </rPr>
          <t>116295:</t>
        </r>
        <r>
          <rPr>
            <sz val="8"/>
            <color indexed="81"/>
            <rFont val="Tahoma"/>
            <family val="2"/>
          </rPr>
          <t xml:space="preserve">
Suitable to Procure 
No Fair Market Value
Non Mandatory
Call Vendor for Price</t>
        </r>
      </text>
    </comment>
    <comment ref="B271" authorId="0">
      <text>
        <r>
          <rPr>
            <b/>
            <sz val="8"/>
            <color indexed="81"/>
            <rFont val="Tahoma"/>
            <family val="2"/>
          </rPr>
          <t>116295:</t>
        </r>
        <r>
          <rPr>
            <sz val="8"/>
            <color indexed="81"/>
            <rFont val="Tahoma"/>
            <family val="2"/>
          </rPr>
          <t xml:space="preserve">
Dale Rogers Training Center
(405)946-1079</t>
        </r>
      </text>
    </comment>
    <comment ref="B272" authorId="0">
      <text>
        <r>
          <rPr>
            <b/>
            <sz val="8"/>
            <color indexed="81"/>
            <rFont val="Tahoma"/>
            <family val="2"/>
          </rPr>
          <t>116295:</t>
        </r>
        <r>
          <rPr>
            <sz val="8"/>
            <color indexed="81"/>
            <rFont val="Tahoma"/>
            <family val="2"/>
          </rPr>
          <t xml:space="preserve">
Dale Rogers Training Center
(405)946-1079</t>
        </r>
      </text>
    </comment>
    <comment ref="B273" authorId="0">
      <text>
        <r>
          <rPr>
            <b/>
            <sz val="8"/>
            <color indexed="81"/>
            <rFont val="Tahoma"/>
            <family val="2"/>
          </rPr>
          <t>116295:</t>
        </r>
        <r>
          <rPr>
            <sz val="8"/>
            <color indexed="81"/>
            <rFont val="Tahoma"/>
            <family val="2"/>
          </rPr>
          <t xml:space="preserve">
Dale Rogers Training Center
(405)946-1079</t>
        </r>
      </text>
    </comment>
    <comment ref="B274" authorId="0">
      <text>
        <r>
          <rPr>
            <b/>
            <sz val="8"/>
            <color indexed="81"/>
            <rFont val="Tahoma"/>
            <family val="2"/>
          </rPr>
          <t>116295:</t>
        </r>
        <r>
          <rPr>
            <sz val="8"/>
            <color indexed="81"/>
            <rFont val="Tahoma"/>
            <family val="2"/>
          </rPr>
          <t xml:space="preserve">
Dale Rogers Training Center
(405)946-1079</t>
        </r>
      </text>
    </comment>
    <comment ref="B275" authorId="0">
      <text>
        <r>
          <rPr>
            <b/>
            <sz val="8"/>
            <color indexed="81"/>
            <rFont val="Tahoma"/>
            <family val="2"/>
          </rPr>
          <t>116295:</t>
        </r>
        <r>
          <rPr>
            <sz val="8"/>
            <color indexed="81"/>
            <rFont val="Tahoma"/>
            <family val="2"/>
          </rPr>
          <t xml:space="preserve">
Dale Rogers Training Center
(405)946-1079</t>
        </r>
      </text>
    </comment>
    <comment ref="B276" authorId="0">
      <text>
        <r>
          <rPr>
            <b/>
            <sz val="8"/>
            <color indexed="81"/>
            <rFont val="Tahoma"/>
            <family val="2"/>
          </rPr>
          <t>116295:</t>
        </r>
        <r>
          <rPr>
            <sz val="8"/>
            <color indexed="81"/>
            <rFont val="Tahoma"/>
            <family val="2"/>
          </rPr>
          <t xml:space="preserve">
Dale Rogers Training Center
(405)946-1079</t>
        </r>
      </text>
    </comment>
    <comment ref="B277" authorId="0">
      <text>
        <r>
          <rPr>
            <b/>
            <sz val="8"/>
            <color indexed="81"/>
            <rFont val="Tahoma"/>
            <family val="2"/>
          </rPr>
          <t>116295:</t>
        </r>
        <r>
          <rPr>
            <sz val="8"/>
            <color indexed="81"/>
            <rFont val="Tahoma"/>
            <family val="2"/>
          </rPr>
          <t xml:space="preserve">
Dale Rogers Training Center
(405)946-1079</t>
        </r>
      </text>
    </comment>
    <comment ref="B278" authorId="0">
      <text>
        <r>
          <rPr>
            <b/>
            <sz val="8"/>
            <color indexed="81"/>
            <rFont val="Tahoma"/>
            <family val="2"/>
          </rPr>
          <t>116295:</t>
        </r>
        <r>
          <rPr>
            <sz val="8"/>
            <color indexed="81"/>
            <rFont val="Tahoma"/>
            <family val="2"/>
          </rPr>
          <t xml:space="preserve">
Dale Rogers Training Center
(405)946-1079</t>
        </r>
      </text>
    </comment>
    <comment ref="B279" authorId="0">
      <text>
        <r>
          <rPr>
            <b/>
            <sz val="8"/>
            <color indexed="81"/>
            <rFont val="Tahoma"/>
            <family val="2"/>
          </rPr>
          <t>116295:</t>
        </r>
        <r>
          <rPr>
            <sz val="8"/>
            <color indexed="81"/>
            <rFont val="Tahoma"/>
            <family val="2"/>
          </rPr>
          <t xml:space="preserve">
Dale Rogers Training Center
(405)946-1079</t>
        </r>
      </text>
    </comment>
    <comment ref="B280" authorId="0">
      <text>
        <r>
          <rPr>
            <b/>
            <sz val="8"/>
            <color indexed="81"/>
            <rFont val="Tahoma"/>
            <family val="2"/>
          </rPr>
          <t>116295:</t>
        </r>
        <r>
          <rPr>
            <sz val="8"/>
            <color indexed="81"/>
            <rFont val="Tahoma"/>
            <family val="2"/>
          </rPr>
          <t xml:space="preserve">
Dale Rogers Training Center
(405)946-1079</t>
        </r>
      </text>
    </comment>
    <comment ref="B281" authorId="0">
      <text>
        <r>
          <rPr>
            <b/>
            <sz val="8"/>
            <color indexed="81"/>
            <rFont val="Tahoma"/>
            <family val="2"/>
          </rPr>
          <t>116295:</t>
        </r>
        <r>
          <rPr>
            <sz val="8"/>
            <color indexed="81"/>
            <rFont val="Tahoma"/>
            <family val="2"/>
          </rPr>
          <t xml:space="preserve">
Dale Rogers Training Center
(405)946-1079</t>
        </r>
      </text>
    </comment>
    <comment ref="B282" authorId="0">
      <text>
        <r>
          <rPr>
            <b/>
            <sz val="8"/>
            <color indexed="81"/>
            <rFont val="Tahoma"/>
            <family val="2"/>
          </rPr>
          <t>116295:</t>
        </r>
        <r>
          <rPr>
            <sz val="8"/>
            <color indexed="81"/>
            <rFont val="Tahoma"/>
            <family val="2"/>
          </rPr>
          <t xml:space="preserve">
Dale Rogers Training Center
(405)946-1079</t>
        </r>
      </text>
    </comment>
    <comment ref="B283" authorId="0">
      <text>
        <r>
          <rPr>
            <b/>
            <sz val="8"/>
            <color indexed="81"/>
            <rFont val="Tahoma"/>
            <family val="2"/>
          </rPr>
          <t>116295:</t>
        </r>
        <r>
          <rPr>
            <sz val="8"/>
            <color indexed="81"/>
            <rFont val="Tahoma"/>
            <family val="2"/>
          </rPr>
          <t xml:space="preserve">
Dale Rogers Training Center
(405)946-1079</t>
        </r>
      </text>
    </comment>
    <comment ref="B284" authorId="0">
      <text>
        <r>
          <rPr>
            <b/>
            <sz val="8"/>
            <color indexed="81"/>
            <rFont val="Tahoma"/>
            <family val="2"/>
          </rPr>
          <t>116295:</t>
        </r>
        <r>
          <rPr>
            <sz val="8"/>
            <color indexed="81"/>
            <rFont val="Tahoma"/>
            <family val="2"/>
          </rPr>
          <t xml:space="preserve">
Dale Rogers Training Center
(405)946-1079</t>
        </r>
      </text>
    </comment>
    <comment ref="B285" authorId="0">
      <text>
        <r>
          <rPr>
            <b/>
            <sz val="8"/>
            <color indexed="81"/>
            <rFont val="Tahoma"/>
            <family val="2"/>
          </rPr>
          <t>116295:</t>
        </r>
        <r>
          <rPr>
            <sz val="8"/>
            <color indexed="81"/>
            <rFont val="Tahoma"/>
            <family val="2"/>
          </rPr>
          <t xml:space="preserve">
Dale Rogers Training Center
(405)946-1079</t>
        </r>
      </text>
    </comment>
    <comment ref="B286" authorId="0">
      <text>
        <r>
          <rPr>
            <b/>
            <sz val="8"/>
            <color indexed="81"/>
            <rFont val="Tahoma"/>
            <family val="2"/>
          </rPr>
          <t>116295:</t>
        </r>
        <r>
          <rPr>
            <sz val="8"/>
            <color indexed="81"/>
            <rFont val="Tahoma"/>
            <family val="2"/>
          </rPr>
          <t xml:space="preserve">
Dale Rogers Training Center
(405)946-1079</t>
        </r>
      </text>
    </comment>
    <comment ref="E286" authorId="0">
      <text>
        <r>
          <rPr>
            <b/>
            <sz val="8"/>
            <color indexed="81"/>
            <rFont val="Tahoma"/>
            <family val="2"/>
          </rPr>
          <t>116295:</t>
        </r>
        <r>
          <rPr>
            <sz val="8"/>
            <color indexed="81"/>
            <rFont val="Tahoma"/>
            <family val="2"/>
          </rPr>
          <t xml:space="preserve">
Suitable to Procure 
No Fair Market Value
Non Mandatory
Call Vendor for Price</t>
        </r>
      </text>
    </comment>
    <comment ref="B287" authorId="0">
      <text>
        <r>
          <rPr>
            <b/>
            <sz val="8"/>
            <color indexed="81"/>
            <rFont val="Tahoma"/>
            <family val="2"/>
          </rPr>
          <t>116295:</t>
        </r>
        <r>
          <rPr>
            <sz val="8"/>
            <color indexed="81"/>
            <rFont val="Tahoma"/>
            <family val="2"/>
          </rPr>
          <t xml:space="preserve">
Dale Rogers Training Center
(405)946-1079</t>
        </r>
      </text>
    </comment>
    <comment ref="E287" authorId="0">
      <text>
        <r>
          <rPr>
            <b/>
            <sz val="8"/>
            <color indexed="81"/>
            <rFont val="Tahoma"/>
            <family val="2"/>
          </rPr>
          <t>116295:</t>
        </r>
        <r>
          <rPr>
            <sz val="8"/>
            <color indexed="81"/>
            <rFont val="Tahoma"/>
            <family val="2"/>
          </rPr>
          <t xml:space="preserve">
Suitable to Procure 
No Fair Market Value
Non Mandatory
Call Vendor for Price</t>
        </r>
      </text>
    </comment>
    <comment ref="B288" authorId="0">
      <text>
        <r>
          <rPr>
            <b/>
            <sz val="8"/>
            <color indexed="81"/>
            <rFont val="Tahoma"/>
            <family val="2"/>
          </rPr>
          <t>116295:</t>
        </r>
        <r>
          <rPr>
            <sz val="8"/>
            <color indexed="81"/>
            <rFont val="Tahoma"/>
            <family val="2"/>
          </rPr>
          <t xml:space="preserve">
Dale Rogers Training Center
(405)946-1079</t>
        </r>
      </text>
    </comment>
    <comment ref="E288" authorId="0">
      <text>
        <r>
          <rPr>
            <b/>
            <sz val="8"/>
            <color indexed="81"/>
            <rFont val="Tahoma"/>
            <family val="2"/>
          </rPr>
          <t>116295:</t>
        </r>
        <r>
          <rPr>
            <sz val="8"/>
            <color indexed="81"/>
            <rFont val="Tahoma"/>
            <family val="2"/>
          </rPr>
          <t xml:space="preserve">
Suitable to Procure 
No Fair Market Value
Non Mandatory
Call Vendor for Price</t>
        </r>
      </text>
    </comment>
    <comment ref="B289" authorId="0">
      <text>
        <r>
          <rPr>
            <b/>
            <sz val="8"/>
            <color indexed="81"/>
            <rFont val="Tahoma"/>
            <family val="2"/>
          </rPr>
          <t>116295:</t>
        </r>
        <r>
          <rPr>
            <sz val="8"/>
            <color indexed="81"/>
            <rFont val="Tahoma"/>
            <family val="2"/>
          </rPr>
          <t xml:space="preserve">
Dale Rogers Training Center
(405)946-1079</t>
        </r>
      </text>
    </comment>
    <comment ref="E289" authorId="0">
      <text>
        <r>
          <rPr>
            <b/>
            <sz val="8"/>
            <color indexed="81"/>
            <rFont val="Tahoma"/>
            <family val="2"/>
          </rPr>
          <t>116295:</t>
        </r>
        <r>
          <rPr>
            <sz val="8"/>
            <color indexed="81"/>
            <rFont val="Tahoma"/>
            <family val="2"/>
          </rPr>
          <t xml:space="preserve">
Suitable to Procure 
No Fair Market Value
Non Mandatory
Call Vendor for Price</t>
        </r>
      </text>
    </comment>
    <comment ref="B290" authorId="0">
      <text>
        <r>
          <rPr>
            <b/>
            <sz val="8"/>
            <color indexed="81"/>
            <rFont val="Tahoma"/>
            <family val="2"/>
          </rPr>
          <t>116295:</t>
        </r>
        <r>
          <rPr>
            <sz val="8"/>
            <color indexed="81"/>
            <rFont val="Tahoma"/>
            <family val="2"/>
          </rPr>
          <t xml:space="preserve">
Dale Rogers Training Center
(405)946-1079</t>
        </r>
      </text>
    </comment>
    <comment ref="E290" authorId="0">
      <text>
        <r>
          <rPr>
            <b/>
            <sz val="8"/>
            <color indexed="81"/>
            <rFont val="Tahoma"/>
            <family val="2"/>
          </rPr>
          <t>116295:</t>
        </r>
        <r>
          <rPr>
            <sz val="8"/>
            <color indexed="81"/>
            <rFont val="Tahoma"/>
            <family val="2"/>
          </rPr>
          <t xml:space="preserve">
Suitable to Procure 
No Fair Market Value
Non Mandatory
Call Vendor for Price</t>
        </r>
      </text>
    </comment>
    <comment ref="B291" authorId="0">
      <text>
        <r>
          <rPr>
            <b/>
            <sz val="8"/>
            <color indexed="81"/>
            <rFont val="Tahoma"/>
            <family val="2"/>
          </rPr>
          <t>116295:</t>
        </r>
        <r>
          <rPr>
            <sz val="8"/>
            <color indexed="81"/>
            <rFont val="Tahoma"/>
            <family val="2"/>
          </rPr>
          <t xml:space="preserve">
Dale Rogers Training Center
(405)946-1079</t>
        </r>
      </text>
    </comment>
    <comment ref="E291" authorId="0">
      <text>
        <r>
          <rPr>
            <b/>
            <sz val="8"/>
            <color indexed="81"/>
            <rFont val="Tahoma"/>
            <family val="2"/>
          </rPr>
          <t>116295:</t>
        </r>
        <r>
          <rPr>
            <sz val="8"/>
            <color indexed="81"/>
            <rFont val="Tahoma"/>
            <family val="2"/>
          </rPr>
          <t xml:space="preserve">
Suitable to Procure 
No Fair Market Value
Non Mandatory
Call Vendor for Price</t>
        </r>
      </text>
    </comment>
    <comment ref="B292" authorId="0">
      <text>
        <r>
          <rPr>
            <b/>
            <sz val="8"/>
            <color indexed="81"/>
            <rFont val="Tahoma"/>
            <family val="2"/>
          </rPr>
          <t>116295:</t>
        </r>
        <r>
          <rPr>
            <sz val="8"/>
            <color indexed="81"/>
            <rFont val="Tahoma"/>
            <family val="2"/>
          </rPr>
          <t xml:space="preserve">
Dale Rogers Training Center
(405)946-1079</t>
        </r>
      </text>
    </comment>
    <comment ref="E292" authorId="0">
      <text>
        <r>
          <rPr>
            <b/>
            <sz val="8"/>
            <color indexed="81"/>
            <rFont val="Tahoma"/>
            <family val="2"/>
          </rPr>
          <t>116295:</t>
        </r>
        <r>
          <rPr>
            <sz val="8"/>
            <color indexed="81"/>
            <rFont val="Tahoma"/>
            <family val="2"/>
          </rPr>
          <t xml:space="preserve">
Suitable to Procure 
No Fair Market Value
Non Mandatory
Call Vendor for Price</t>
        </r>
      </text>
    </comment>
    <comment ref="B293" authorId="0">
      <text>
        <r>
          <rPr>
            <b/>
            <sz val="8"/>
            <color indexed="81"/>
            <rFont val="Tahoma"/>
            <family val="2"/>
          </rPr>
          <t>116295:</t>
        </r>
        <r>
          <rPr>
            <sz val="8"/>
            <color indexed="81"/>
            <rFont val="Tahoma"/>
            <family val="2"/>
          </rPr>
          <t xml:space="preserve">
Dale Rogers Training Center
(405)946-1079</t>
        </r>
      </text>
    </comment>
    <comment ref="E293" authorId="0">
      <text>
        <r>
          <rPr>
            <b/>
            <sz val="8"/>
            <color indexed="81"/>
            <rFont val="Tahoma"/>
            <family val="2"/>
          </rPr>
          <t>116295:</t>
        </r>
        <r>
          <rPr>
            <sz val="8"/>
            <color indexed="81"/>
            <rFont val="Tahoma"/>
            <family val="2"/>
          </rPr>
          <t xml:space="preserve">
Suitable to Procure 
No Fair Market Value
Non Mandatory
Call Vendor for Price</t>
        </r>
      </text>
    </comment>
    <comment ref="B294" authorId="0">
      <text>
        <r>
          <rPr>
            <b/>
            <sz val="8"/>
            <color indexed="81"/>
            <rFont val="Tahoma"/>
            <family val="2"/>
          </rPr>
          <t>116295:</t>
        </r>
        <r>
          <rPr>
            <sz val="8"/>
            <color indexed="81"/>
            <rFont val="Tahoma"/>
            <family val="2"/>
          </rPr>
          <t xml:space="preserve">
Dale Rogers Training Center
(405)946-1079</t>
        </r>
      </text>
    </comment>
    <comment ref="E294" authorId="0">
      <text>
        <r>
          <rPr>
            <b/>
            <sz val="8"/>
            <color indexed="81"/>
            <rFont val="Tahoma"/>
            <family val="2"/>
          </rPr>
          <t>116295:</t>
        </r>
        <r>
          <rPr>
            <sz val="8"/>
            <color indexed="81"/>
            <rFont val="Tahoma"/>
            <family val="2"/>
          </rPr>
          <t xml:space="preserve">
Suitable to Procure 
No Fair Market Value
Non Mandatory
Call Vendor for Price</t>
        </r>
      </text>
    </comment>
    <comment ref="B295" authorId="0">
      <text>
        <r>
          <rPr>
            <b/>
            <sz val="8"/>
            <color indexed="81"/>
            <rFont val="Tahoma"/>
            <family val="2"/>
          </rPr>
          <t>116295:</t>
        </r>
        <r>
          <rPr>
            <sz val="8"/>
            <color indexed="81"/>
            <rFont val="Tahoma"/>
            <family val="2"/>
          </rPr>
          <t xml:space="preserve">
Dale Rogers Training Center
(405)946-1079</t>
        </r>
      </text>
    </comment>
    <comment ref="E295" authorId="0">
      <text>
        <r>
          <rPr>
            <b/>
            <sz val="8"/>
            <color indexed="81"/>
            <rFont val="Tahoma"/>
            <family val="2"/>
          </rPr>
          <t>116295:</t>
        </r>
        <r>
          <rPr>
            <sz val="8"/>
            <color indexed="81"/>
            <rFont val="Tahoma"/>
            <family val="2"/>
          </rPr>
          <t xml:space="preserve">
Suitable to Procure 
No Fair Market Value
Non Mandatory
Call Vendor for Price</t>
        </r>
      </text>
    </comment>
    <comment ref="B296" authorId="0">
      <text>
        <r>
          <rPr>
            <b/>
            <sz val="8"/>
            <color indexed="81"/>
            <rFont val="Tahoma"/>
            <family val="2"/>
          </rPr>
          <t>116295:</t>
        </r>
        <r>
          <rPr>
            <sz val="8"/>
            <color indexed="81"/>
            <rFont val="Tahoma"/>
            <family val="2"/>
          </rPr>
          <t xml:space="preserve">
Dale Rogers Training Center
(405)946-1079</t>
        </r>
      </text>
    </comment>
    <comment ref="E296" authorId="0">
      <text>
        <r>
          <rPr>
            <b/>
            <sz val="8"/>
            <color indexed="81"/>
            <rFont val="Tahoma"/>
            <family val="2"/>
          </rPr>
          <t>116295:</t>
        </r>
        <r>
          <rPr>
            <sz val="8"/>
            <color indexed="81"/>
            <rFont val="Tahoma"/>
            <family val="2"/>
          </rPr>
          <t xml:space="preserve">
Suitable to Procure 
No Fair Market Value
Non Mandatory
Call Vendor for Price</t>
        </r>
      </text>
    </comment>
    <comment ref="B297" authorId="0">
      <text>
        <r>
          <rPr>
            <b/>
            <sz val="8"/>
            <color indexed="81"/>
            <rFont val="Tahoma"/>
            <family val="2"/>
          </rPr>
          <t>116295:</t>
        </r>
        <r>
          <rPr>
            <sz val="8"/>
            <color indexed="81"/>
            <rFont val="Tahoma"/>
            <family val="2"/>
          </rPr>
          <t xml:space="preserve">
Dale Rogers Training Center
(405)946-1079</t>
        </r>
      </text>
    </comment>
    <comment ref="E297" authorId="0">
      <text>
        <r>
          <rPr>
            <b/>
            <sz val="8"/>
            <color indexed="81"/>
            <rFont val="Tahoma"/>
            <family val="2"/>
          </rPr>
          <t>116295:</t>
        </r>
        <r>
          <rPr>
            <sz val="8"/>
            <color indexed="81"/>
            <rFont val="Tahoma"/>
            <family val="2"/>
          </rPr>
          <t xml:space="preserve">
Suitable to Procure 
No Fair Market Value
Non Mandatory
Call Vendor for Price</t>
        </r>
      </text>
    </comment>
    <comment ref="B298" authorId="0">
      <text>
        <r>
          <rPr>
            <b/>
            <sz val="8"/>
            <color indexed="81"/>
            <rFont val="Tahoma"/>
            <family val="2"/>
          </rPr>
          <t>116295:</t>
        </r>
        <r>
          <rPr>
            <sz val="8"/>
            <color indexed="81"/>
            <rFont val="Tahoma"/>
            <family val="2"/>
          </rPr>
          <t xml:space="preserve">
Dale Rogers Training Center
(405)946-1079</t>
        </r>
      </text>
    </comment>
    <comment ref="E298" authorId="0">
      <text>
        <r>
          <rPr>
            <b/>
            <sz val="8"/>
            <color indexed="81"/>
            <rFont val="Tahoma"/>
            <family val="2"/>
          </rPr>
          <t>116295:</t>
        </r>
        <r>
          <rPr>
            <sz val="8"/>
            <color indexed="81"/>
            <rFont val="Tahoma"/>
            <family val="2"/>
          </rPr>
          <t xml:space="preserve">
Suitable to Procure 
No Fair Market Value
Non Mandatory
Call Vendor for Price</t>
        </r>
      </text>
    </comment>
    <comment ref="B299" authorId="0">
      <text>
        <r>
          <rPr>
            <b/>
            <sz val="8"/>
            <color indexed="81"/>
            <rFont val="Tahoma"/>
            <family val="2"/>
          </rPr>
          <t>116295:</t>
        </r>
        <r>
          <rPr>
            <sz val="8"/>
            <color indexed="81"/>
            <rFont val="Tahoma"/>
            <family val="2"/>
          </rPr>
          <t xml:space="preserve">
Dale Rogers Training Center
(405)946-1079</t>
        </r>
      </text>
    </comment>
    <comment ref="E299" authorId="0">
      <text>
        <r>
          <rPr>
            <b/>
            <sz val="8"/>
            <color indexed="81"/>
            <rFont val="Tahoma"/>
            <family val="2"/>
          </rPr>
          <t>116295:</t>
        </r>
        <r>
          <rPr>
            <sz val="8"/>
            <color indexed="81"/>
            <rFont val="Tahoma"/>
            <family val="2"/>
          </rPr>
          <t xml:space="preserve">
Suitable to Procure 
No Fair Market Value
Non Mandatory
Call Vendor for Price</t>
        </r>
      </text>
    </comment>
    <comment ref="B300" authorId="0">
      <text>
        <r>
          <rPr>
            <b/>
            <sz val="8"/>
            <color indexed="81"/>
            <rFont val="Tahoma"/>
            <family val="2"/>
          </rPr>
          <t>116295:</t>
        </r>
        <r>
          <rPr>
            <sz val="8"/>
            <color indexed="81"/>
            <rFont val="Tahoma"/>
            <family val="2"/>
          </rPr>
          <t xml:space="preserve">
Dale Rogers Training Center
(405)946-1079</t>
        </r>
      </text>
    </comment>
    <comment ref="E300" authorId="0">
      <text>
        <r>
          <rPr>
            <b/>
            <sz val="8"/>
            <color indexed="81"/>
            <rFont val="Tahoma"/>
            <family val="2"/>
          </rPr>
          <t>116295:</t>
        </r>
        <r>
          <rPr>
            <sz val="8"/>
            <color indexed="81"/>
            <rFont val="Tahoma"/>
            <family val="2"/>
          </rPr>
          <t xml:space="preserve">
Suitable to Procure 
No Fair Market Value
Non Mandatory
Call Vendor for Price</t>
        </r>
      </text>
    </comment>
    <comment ref="B301" authorId="0">
      <text>
        <r>
          <rPr>
            <b/>
            <sz val="8"/>
            <color indexed="81"/>
            <rFont val="Tahoma"/>
            <family val="2"/>
          </rPr>
          <t>116295:</t>
        </r>
        <r>
          <rPr>
            <sz val="8"/>
            <color indexed="81"/>
            <rFont val="Tahoma"/>
            <family val="2"/>
          </rPr>
          <t xml:space="preserve">
Dale Rogers Training Center
(405)946-1079</t>
        </r>
      </text>
    </comment>
    <comment ref="E301" authorId="0">
      <text>
        <r>
          <rPr>
            <b/>
            <sz val="8"/>
            <color indexed="81"/>
            <rFont val="Tahoma"/>
            <family val="2"/>
          </rPr>
          <t>116295:</t>
        </r>
        <r>
          <rPr>
            <sz val="8"/>
            <color indexed="81"/>
            <rFont val="Tahoma"/>
            <family val="2"/>
          </rPr>
          <t xml:space="preserve">
Suitable to Procure 
No Fair Market Value
Non Mandatory
Call Vendor for Price</t>
        </r>
      </text>
    </comment>
    <comment ref="B302" authorId="0">
      <text>
        <r>
          <rPr>
            <b/>
            <sz val="8"/>
            <color indexed="81"/>
            <rFont val="Tahoma"/>
            <family val="2"/>
          </rPr>
          <t>116295:</t>
        </r>
        <r>
          <rPr>
            <sz val="8"/>
            <color indexed="81"/>
            <rFont val="Tahoma"/>
            <family val="2"/>
          </rPr>
          <t xml:space="preserve">
Dale Rogers Training Center
(405)946-1079</t>
        </r>
      </text>
    </comment>
    <comment ref="E302" authorId="0">
      <text>
        <r>
          <rPr>
            <b/>
            <sz val="8"/>
            <color indexed="81"/>
            <rFont val="Tahoma"/>
            <family val="2"/>
          </rPr>
          <t>116295:</t>
        </r>
        <r>
          <rPr>
            <sz val="8"/>
            <color indexed="81"/>
            <rFont val="Tahoma"/>
            <family val="2"/>
          </rPr>
          <t xml:space="preserve">
Suitable to Procure 
No Fair Market Value
Non Mandatory
Call Vendor for Price</t>
        </r>
      </text>
    </comment>
    <comment ref="B303" authorId="0">
      <text>
        <r>
          <rPr>
            <b/>
            <sz val="8"/>
            <color indexed="81"/>
            <rFont val="Tahoma"/>
            <family val="2"/>
          </rPr>
          <t>116295:</t>
        </r>
        <r>
          <rPr>
            <sz val="8"/>
            <color indexed="81"/>
            <rFont val="Tahoma"/>
            <family val="2"/>
          </rPr>
          <t xml:space="preserve">
Dale Rogers Training Center
(405)946-1079</t>
        </r>
      </text>
    </comment>
    <comment ref="E303" authorId="0">
      <text>
        <r>
          <rPr>
            <b/>
            <sz val="8"/>
            <color indexed="81"/>
            <rFont val="Tahoma"/>
            <family val="2"/>
          </rPr>
          <t>116295:</t>
        </r>
        <r>
          <rPr>
            <sz val="8"/>
            <color indexed="81"/>
            <rFont val="Tahoma"/>
            <family val="2"/>
          </rPr>
          <t xml:space="preserve">
Suitable to Procure 
No Fair Market Value
Non Mandatory
Call Vendor for Price</t>
        </r>
      </text>
    </comment>
    <comment ref="B304" authorId="0">
      <text>
        <r>
          <rPr>
            <b/>
            <sz val="8"/>
            <color indexed="81"/>
            <rFont val="Tahoma"/>
            <family val="2"/>
          </rPr>
          <t>116295:</t>
        </r>
        <r>
          <rPr>
            <sz val="8"/>
            <color indexed="81"/>
            <rFont val="Tahoma"/>
            <family val="2"/>
          </rPr>
          <t xml:space="preserve">
Dale Rogers Training Center
(405)946-1079</t>
        </r>
      </text>
    </comment>
    <comment ref="E304" authorId="0">
      <text>
        <r>
          <rPr>
            <b/>
            <sz val="8"/>
            <color indexed="81"/>
            <rFont val="Tahoma"/>
            <family val="2"/>
          </rPr>
          <t>116295:</t>
        </r>
        <r>
          <rPr>
            <sz val="8"/>
            <color indexed="81"/>
            <rFont val="Tahoma"/>
            <family val="2"/>
          </rPr>
          <t xml:space="preserve">
Suitable to Procure 
No Fair Market Value
Non Mandatory
Call Vendor for Price</t>
        </r>
      </text>
    </comment>
    <comment ref="B305" authorId="0">
      <text>
        <r>
          <rPr>
            <b/>
            <sz val="8"/>
            <color indexed="81"/>
            <rFont val="Tahoma"/>
            <family val="2"/>
          </rPr>
          <t>116295:</t>
        </r>
        <r>
          <rPr>
            <sz val="8"/>
            <color indexed="81"/>
            <rFont val="Tahoma"/>
            <family val="2"/>
          </rPr>
          <t xml:space="preserve">
Dale Rogers Training Center
(405)946-1079</t>
        </r>
      </text>
    </comment>
    <comment ref="E305" authorId="0">
      <text>
        <r>
          <rPr>
            <b/>
            <sz val="8"/>
            <color indexed="81"/>
            <rFont val="Tahoma"/>
            <family val="2"/>
          </rPr>
          <t>116295:</t>
        </r>
        <r>
          <rPr>
            <sz val="8"/>
            <color indexed="81"/>
            <rFont val="Tahoma"/>
            <family val="2"/>
          </rPr>
          <t xml:space="preserve">
Suitable to Procure 
No Fair Market Value
Non Mandatory
Call Vendor for Price</t>
        </r>
      </text>
    </comment>
    <comment ref="B306" authorId="0">
      <text>
        <r>
          <rPr>
            <b/>
            <sz val="8"/>
            <color indexed="81"/>
            <rFont val="Tahoma"/>
            <family val="2"/>
          </rPr>
          <t>116295:</t>
        </r>
        <r>
          <rPr>
            <sz val="8"/>
            <color indexed="81"/>
            <rFont val="Tahoma"/>
            <family val="2"/>
          </rPr>
          <t xml:space="preserve">
Dale Rogers Training Center
(405)946-1079</t>
        </r>
      </text>
    </comment>
    <comment ref="E306" authorId="0">
      <text>
        <r>
          <rPr>
            <b/>
            <sz val="8"/>
            <color indexed="81"/>
            <rFont val="Tahoma"/>
            <family val="2"/>
          </rPr>
          <t>116295:</t>
        </r>
        <r>
          <rPr>
            <sz val="8"/>
            <color indexed="81"/>
            <rFont val="Tahoma"/>
            <family val="2"/>
          </rPr>
          <t xml:space="preserve">
Suitable to Procure 
No Fair Market Value
Non Mandatory
Call Vendor for Price</t>
        </r>
      </text>
    </comment>
    <comment ref="B307" authorId="0">
      <text>
        <r>
          <rPr>
            <b/>
            <sz val="8"/>
            <color indexed="81"/>
            <rFont val="Tahoma"/>
            <family val="2"/>
          </rPr>
          <t>116295:</t>
        </r>
        <r>
          <rPr>
            <sz val="8"/>
            <color indexed="81"/>
            <rFont val="Tahoma"/>
            <family val="2"/>
          </rPr>
          <t xml:space="preserve">
Delaware County Friendship Homes
(918)253-6032</t>
        </r>
      </text>
    </comment>
    <comment ref="B308" authorId="0">
      <text>
        <r>
          <rPr>
            <b/>
            <sz val="8"/>
            <color indexed="81"/>
            <rFont val="Tahoma"/>
            <family val="2"/>
          </rPr>
          <t>116295:</t>
        </r>
        <r>
          <rPr>
            <sz val="8"/>
            <color indexed="81"/>
            <rFont val="Tahoma"/>
            <family val="2"/>
          </rPr>
          <t xml:space="preserve">
Delaware County Friendship Homes
(918)253-6032</t>
        </r>
      </text>
    </comment>
    <comment ref="E308" authorId="0">
      <text>
        <r>
          <rPr>
            <b/>
            <sz val="8"/>
            <color indexed="81"/>
            <rFont val="Tahoma"/>
            <family val="2"/>
          </rPr>
          <t>116295:</t>
        </r>
        <r>
          <rPr>
            <sz val="8"/>
            <color indexed="81"/>
            <rFont val="Tahoma"/>
            <family val="2"/>
          </rPr>
          <t xml:space="preserve">
Suitable to Procure 
No Fair Market Value
Non Mandatory
Call Vendor for Price</t>
        </r>
      </text>
    </comment>
    <comment ref="B309" authorId="0">
      <text>
        <r>
          <rPr>
            <b/>
            <sz val="8"/>
            <color indexed="81"/>
            <rFont val="Tahoma"/>
            <family val="2"/>
          </rPr>
          <t>116295:</t>
        </r>
        <r>
          <rPr>
            <sz val="8"/>
            <color indexed="81"/>
            <rFont val="Tahoma"/>
            <family val="2"/>
          </rPr>
          <t xml:space="preserve">
Delaware County Friendship Homes
(918)253-6032</t>
        </r>
      </text>
    </comment>
    <comment ref="E309" authorId="0">
      <text>
        <r>
          <rPr>
            <b/>
            <sz val="8"/>
            <color indexed="81"/>
            <rFont val="Tahoma"/>
            <family val="2"/>
          </rPr>
          <t>116295:</t>
        </r>
        <r>
          <rPr>
            <sz val="8"/>
            <color indexed="81"/>
            <rFont val="Tahoma"/>
            <family val="2"/>
          </rPr>
          <t xml:space="preserve">
Suitable to Procure 
No Fair Market Value
Non Mandatory
Call Vendor for Price</t>
        </r>
      </text>
    </comment>
    <comment ref="B310" authorId="0">
      <text>
        <r>
          <rPr>
            <b/>
            <sz val="8"/>
            <color indexed="81"/>
            <rFont val="Tahoma"/>
            <family val="2"/>
          </rPr>
          <t>116295:</t>
        </r>
        <r>
          <rPr>
            <sz val="8"/>
            <color indexed="81"/>
            <rFont val="Tahoma"/>
            <family val="2"/>
          </rPr>
          <t xml:space="preserve">
Delaware County Friendship Homes
(918)253-6032</t>
        </r>
      </text>
    </comment>
    <comment ref="E310" authorId="0">
      <text>
        <r>
          <rPr>
            <b/>
            <sz val="8"/>
            <color indexed="81"/>
            <rFont val="Tahoma"/>
            <family val="2"/>
          </rPr>
          <t>116295:</t>
        </r>
        <r>
          <rPr>
            <sz val="8"/>
            <color indexed="81"/>
            <rFont val="Tahoma"/>
            <family val="2"/>
          </rPr>
          <t xml:space="preserve">
Suitable to Procure 
No Fair Market Value
Non Mandatory
Call Vendor for Price</t>
        </r>
      </text>
    </comment>
    <comment ref="B311" authorId="0">
      <text>
        <r>
          <rPr>
            <b/>
            <sz val="8"/>
            <color indexed="81"/>
            <rFont val="Tahoma"/>
            <family val="2"/>
          </rPr>
          <t>116295:</t>
        </r>
        <r>
          <rPr>
            <sz val="8"/>
            <color indexed="81"/>
            <rFont val="Tahoma"/>
            <family val="2"/>
          </rPr>
          <t xml:space="preserve">
Delaware County Friendship Homes
(918)253-6032</t>
        </r>
      </text>
    </comment>
    <comment ref="E311" authorId="0">
      <text>
        <r>
          <rPr>
            <b/>
            <sz val="8"/>
            <color indexed="81"/>
            <rFont val="Tahoma"/>
            <family val="2"/>
          </rPr>
          <t>116295:</t>
        </r>
        <r>
          <rPr>
            <sz val="8"/>
            <color indexed="81"/>
            <rFont val="Tahoma"/>
            <family val="2"/>
          </rPr>
          <t xml:space="preserve">
Suitable to Procure 
No Fair Market Value
Non Mandatory
Call Vendor for Price</t>
        </r>
      </text>
    </comment>
    <comment ref="B312" authorId="0">
      <text>
        <r>
          <rPr>
            <b/>
            <sz val="8"/>
            <color indexed="81"/>
            <rFont val="Tahoma"/>
            <family val="2"/>
          </rPr>
          <t>116295:</t>
        </r>
        <r>
          <rPr>
            <sz val="8"/>
            <color indexed="81"/>
            <rFont val="Tahoma"/>
            <family val="2"/>
          </rPr>
          <t xml:space="preserve">
Delaware County Friendship Homes
(918)253-6032</t>
        </r>
      </text>
    </comment>
    <comment ref="E312" authorId="0">
      <text>
        <r>
          <rPr>
            <b/>
            <sz val="8"/>
            <color indexed="81"/>
            <rFont val="Tahoma"/>
            <family val="2"/>
          </rPr>
          <t>116295:</t>
        </r>
        <r>
          <rPr>
            <sz val="8"/>
            <color indexed="81"/>
            <rFont val="Tahoma"/>
            <family val="2"/>
          </rPr>
          <t xml:space="preserve">
Suitable to Procure 
No Fair Market Value
Non Mandatory
Call Vendor for Price</t>
        </r>
      </text>
    </comment>
    <comment ref="B313" authorId="0">
      <text>
        <r>
          <rPr>
            <b/>
            <sz val="8"/>
            <color indexed="81"/>
            <rFont val="Tahoma"/>
            <family val="2"/>
          </rPr>
          <t>116295:</t>
        </r>
        <r>
          <rPr>
            <sz val="8"/>
            <color indexed="81"/>
            <rFont val="Tahoma"/>
            <family val="2"/>
          </rPr>
          <t xml:space="preserve">
EARC Trails Workshop
(405)341-3535</t>
        </r>
      </text>
    </comment>
    <comment ref="B314" authorId="0">
      <text>
        <r>
          <rPr>
            <b/>
            <sz val="8"/>
            <color indexed="81"/>
            <rFont val="Tahoma"/>
            <family val="2"/>
          </rPr>
          <t>116295:</t>
        </r>
        <r>
          <rPr>
            <sz val="8"/>
            <color indexed="81"/>
            <rFont val="Tahoma"/>
            <family val="2"/>
          </rPr>
          <t xml:space="preserve">
EARC Trails Workshop
(405)341-3535</t>
        </r>
      </text>
    </comment>
    <comment ref="E314" authorId="0">
      <text>
        <r>
          <rPr>
            <b/>
            <sz val="8"/>
            <color indexed="81"/>
            <rFont val="Tahoma"/>
            <family val="2"/>
          </rPr>
          <t>116295:</t>
        </r>
        <r>
          <rPr>
            <sz val="8"/>
            <color indexed="81"/>
            <rFont val="Tahoma"/>
            <family val="2"/>
          </rPr>
          <t xml:space="preserve">
Suitable to Procure 
No Fair Market Value
Non Mandatory
Call Vendor for Price</t>
        </r>
      </text>
    </comment>
    <comment ref="B315" authorId="0">
      <text>
        <r>
          <rPr>
            <b/>
            <sz val="8"/>
            <color indexed="81"/>
            <rFont val="Tahoma"/>
            <family val="2"/>
          </rPr>
          <t>116295:</t>
        </r>
        <r>
          <rPr>
            <sz val="8"/>
            <color indexed="81"/>
            <rFont val="Tahoma"/>
            <family val="2"/>
          </rPr>
          <t xml:space="preserve">
EARC Trails Workshop
(405)341-3535</t>
        </r>
      </text>
    </comment>
    <comment ref="E315" authorId="0">
      <text>
        <r>
          <rPr>
            <b/>
            <sz val="8"/>
            <color indexed="81"/>
            <rFont val="Tahoma"/>
            <family val="2"/>
          </rPr>
          <t>116295:</t>
        </r>
        <r>
          <rPr>
            <sz val="8"/>
            <color indexed="81"/>
            <rFont val="Tahoma"/>
            <family val="2"/>
          </rPr>
          <t xml:space="preserve">
Suitable to Procure 
No Fair Market Value
Non Mandatory
Call Vendor for Price</t>
        </r>
      </text>
    </comment>
    <comment ref="B316" authorId="0">
      <text>
        <r>
          <rPr>
            <b/>
            <sz val="8"/>
            <color indexed="81"/>
            <rFont val="Tahoma"/>
            <family val="2"/>
          </rPr>
          <t>116295:</t>
        </r>
        <r>
          <rPr>
            <sz val="8"/>
            <color indexed="81"/>
            <rFont val="Tahoma"/>
            <family val="2"/>
          </rPr>
          <t xml:space="preserve">
EmployAbility, Inc.
(918)336-5928</t>
        </r>
      </text>
    </comment>
    <comment ref="E316" authorId="0">
      <text>
        <r>
          <rPr>
            <b/>
            <sz val="8"/>
            <color indexed="81"/>
            <rFont val="Tahoma"/>
            <family val="2"/>
          </rPr>
          <t>116295:</t>
        </r>
        <r>
          <rPr>
            <sz val="8"/>
            <color indexed="81"/>
            <rFont val="Tahoma"/>
            <family val="2"/>
          </rPr>
          <t xml:space="preserve">
Suitable to Procure 
No Fair Market Value
Non Mandatory
Call Vendor for Price</t>
        </r>
      </text>
    </comment>
    <comment ref="B317" authorId="0">
      <text>
        <r>
          <rPr>
            <b/>
            <sz val="8"/>
            <color indexed="81"/>
            <rFont val="Tahoma"/>
            <family val="2"/>
          </rPr>
          <t>116295:</t>
        </r>
        <r>
          <rPr>
            <sz val="8"/>
            <color indexed="81"/>
            <rFont val="Tahoma"/>
            <family val="2"/>
          </rPr>
          <t xml:space="preserve">
EmployAbility, Inc.
(918)336-5928</t>
        </r>
      </text>
    </comment>
    <comment ref="E317" authorId="0">
      <text>
        <r>
          <rPr>
            <b/>
            <sz val="8"/>
            <color indexed="81"/>
            <rFont val="Tahoma"/>
            <family val="2"/>
          </rPr>
          <t>116295:</t>
        </r>
        <r>
          <rPr>
            <sz val="8"/>
            <color indexed="81"/>
            <rFont val="Tahoma"/>
            <family val="2"/>
          </rPr>
          <t xml:space="preserve">
Suitable to Procure 
No Fair Market Value
Non Mandatory
Call Vendor for Price</t>
        </r>
      </text>
    </comment>
    <comment ref="B318" authorId="0">
      <text>
        <r>
          <rPr>
            <b/>
            <sz val="8"/>
            <color indexed="81"/>
            <rFont val="Tahoma"/>
            <family val="2"/>
          </rPr>
          <t>116295:</t>
        </r>
        <r>
          <rPr>
            <sz val="8"/>
            <color indexed="81"/>
            <rFont val="Tahoma"/>
            <family val="2"/>
          </rPr>
          <t xml:space="preserve">
EmployAbility, Inc.
(918)336-5928</t>
        </r>
      </text>
    </comment>
    <comment ref="E318" authorId="0">
      <text>
        <r>
          <rPr>
            <b/>
            <sz val="8"/>
            <color indexed="81"/>
            <rFont val="Tahoma"/>
            <family val="2"/>
          </rPr>
          <t>116295:</t>
        </r>
        <r>
          <rPr>
            <sz val="8"/>
            <color indexed="81"/>
            <rFont val="Tahoma"/>
            <family val="2"/>
          </rPr>
          <t xml:space="preserve">
Suitable to Procure 
No Fair Market Value
Non Mandatory
Call Vendor for Price</t>
        </r>
      </text>
    </comment>
    <comment ref="B319" authorId="0">
      <text>
        <r>
          <rPr>
            <b/>
            <sz val="8"/>
            <color indexed="81"/>
            <rFont val="Tahoma"/>
            <family val="2"/>
          </rPr>
          <t>116295:</t>
        </r>
        <r>
          <rPr>
            <sz val="8"/>
            <color indexed="81"/>
            <rFont val="Tahoma"/>
            <family val="2"/>
          </rPr>
          <t xml:space="preserve">
EmployAbility, Inc.
(918)336-5928</t>
        </r>
      </text>
    </comment>
    <comment ref="E319" authorId="0">
      <text>
        <r>
          <rPr>
            <b/>
            <sz val="8"/>
            <color indexed="81"/>
            <rFont val="Tahoma"/>
            <family val="2"/>
          </rPr>
          <t>116295:</t>
        </r>
        <r>
          <rPr>
            <sz val="8"/>
            <color indexed="81"/>
            <rFont val="Tahoma"/>
            <family val="2"/>
          </rPr>
          <t xml:space="preserve">
Suitable to Procure 
No Fair Market Value
Non Mandatory
Call Vendor for Price</t>
        </r>
      </text>
    </comment>
    <comment ref="B320" authorId="0">
      <text>
        <r>
          <rPr>
            <b/>
            <sz val="8"/>
            <color indexed="81"/>
            <rFont val="Tahoma"/>
            <family val="2"/>
          </rPr>
          <t>116295:</t>
        </r>
        <r>
          <rPr>
            <sz val="8"/>
            <color indexed="81"/>
            <rFont val="Tahoma"/>
            <family val="2"/>
          </rPr>
          <t xml:space="preserve">
EmployAbility, Inc.
(918)336-5928</t>
        </r>
      </text>
    </comment>
    <comment ref="E320" authorId="0">
      <text>
        <r>
          <rPr>
            <b/>
            <sz val="8"/>
            <color indexed="81"/>
            <rFont val="Tahoma"/>
            <family val="2"/>
          </rPr>
          <t>116295:</t>
        </r>
        <r>
          <rPr>
            <sz val="8"/>
            <color indexed="81"/>
            <rFont val="Tahoma"/>
            <family val="2"/>
          </rPr>
          <t xml:space="preserve">
Suitable to Procure 
No Fair Market Value
Non Mandatory
Call Vendor for Price</t>
        </r>
      </text>
    </comment>
    <comment ref="B321" authorId="0">
      <text>
        <r>
          <rPr>
            <b/>
            <sz val="8"/>
            <color indexed="81"/>
            <rFont val="Tahoma"/>
            <family val="2"/>
          </rPr>
          <t>116295:</t>
        </r>
        <r>
          <rPr>
            <sz val="8"/>
            <color indexed="81"/>
            <rFont val="Tahoma"/>
            <family val="2"/>
          </rPr>
          <t xml:space="preserve">
Faith 7 Activity Center
(405)275-4223</t>
        </r>
      </text>
    </comment>
    <comment ref="E321" authorId="0">
      <text>
        <r>
          <rPr>
            <b/>
            <sz val="8"/>
            <color indexed="81"/>
            <rFont val="Tahoma"/>
            <family val="2"/>
          </rPr>
          <t>116295:</t>
        </r>
        <r>
          <rPr>
            <sz val="8"/>
            <color indexed="81"/>
            <rFont val="Tahoma"/>
            <family val="2"/>
          </rPr>
          <t xml:space="preserve">
Suitable to Procure 
No Fair Market Value
Non Mandatory
Call Vendor for Price</t>
        </r>
      </text>
    </comment>
    <comment ref="B322" authorId="0">
      <text>
        <r>
          <rPr>
            <b/>
            <sz val="8"/>
            <color indexed="81"/>
            <rFont val="Tahoma"/>
            <family val="2"/>
          </rPr>
          <t>116295:</t>
        </r>
        <r>
          <rPr>
            <sz val="8"/>
            <color indexed="81"/>
            <rFont val="Tahoma"/>
            <family val="2"/>
          </rPr>
          <t xml:space="preserve">
Faith 7 Activity Center
(405)275-4223</t>
        </r>
      </text>
    </comment>
    <comment ref="E322" authorId="0">
      <text>
        <r>
          <rPr>
            <b/>
            <sz val="8"/>
            <color indexed="81"/>
            <rFont val="Tahoma"/>
            <family val="2"/>
          </rPr>
          <t>116295:</t>
        </r>
        <r>
          <rPr>
            <sz val="8"/>
            <color indexed="81"/>
            <rFont val="Tahoma"/>
            <family val="2"/>
          </rPr>
          <t xml:space="preserve">
Suitable to Procure 
No Fair Market Value
Non Mandatory
Call Vendor for Price</t>
        </r>
      </text>
    </comment>
    <comment ref="B323" authorId="0">
      <text>
        <r>
          <rPr>
            <b/>
            <sz val="8"/>
            <color indexed="81"/>
            <rFont val="Tahoma"/>
            <family val="2"/>
          </rPr>
          <t>116295:</t>
        </r>
        <r>
          <rPr>
            <sz val="8"/>
            <color indexed="81"/>
            <rFont val="Tahoma"/>
            <family val="2"/>
          </rPr>
          <t xml:space="preserve">
Faith 7 Activity Center
(405)275-4223</t>
        </r>
      </text>
    </comment>
    <comment ref="E323" authorId="0">
      <text>
        <r>
          <rPr>
            <b/>
            <sz val="8"/>
            <color indexed="81"/>
            <rFont val="Tahoma"/>
            <family val="2"/>
          </rPr>
          <t>116295:</t>
        </r>
        <r>
          <rPr>
            <sz val="8"/>
            <color indexed="81"/>
            <rFont val="Tahoma"/>
            <family val="2"/>
          </rPr>
          <t xml:space="preserve">
Suitable to Procure 
No Fair Market Value
Non Mandatory
Call Vendor for Price</t>
        </r>
      </text>
    </comment>
    <comment ref="B324" authorId="0">
      <text>
        <r>
          <rPr>
            <b/>
            <sz val="8"/>
            <color indexed="81"/>
            <rFont val="Tahoma"/>
            <family val="2"/>
          </rPr>
          <t>116295:</t>
        </r>
        <r>
          <rPr>
            <sz val="8"/>
            <color indexed="81"/>
            <rFont val="Tahoma"/>
            <family val="2"/>
          </rPr>
          <t xml:space="preserve">
Faith 7 Activity Center
(405)275-4223</t>
        </r>
      </text>
    </comment>
    <comment ref="E324" authorId="0">
      <text>
        <r>
          <rPr>
            <b/>
            <sz val="8"/>
            <color indexed="81"/>
            <rFont val="Tahoma"/>
            <family val="2"/>
          </rPr>
          <t>116295:</t>
        </r>
        <r>
          <rPr>
            <sz val="8"/>
            <color indexed="81"/>
            <rFont val="Tahoma"/>
            <family val="2"/>
          </rPr>
          <t xml:space="preserve">
Suitable to Procure 
No Fair Market Value
Non Mandatory
Call Vendor for Price</t>
        </r>
      </text>
    </comment>
    <comment ref="B325" authorId="0">
      <text>
        <r>
          <rPr>
            <b/>
            <sz val="8"/>
            <color indexed="81"/>
            <rFont val="Tahoma"/>
            <family val="2"/>
          </rPr>
          <t>116295:</t>
        </r>
        <r>
          <rPr>
            <sz val="8"/>
            <color indexed="81"/>
            <rFont val="Tahoma"/>
            <family val="2"/>
          </rPr>
          <t xml:space="preserve">
Faith 7 Activity Center
(405)275-4223</t>
        </r>
      </text>
    </comment>
    <comment ref="E325" authorId="0">
      <text>
        <r>
          <rPr>
            <b/>
            <sz val="8"/>
            <color indexed="81"/>
            <rFont val="Tahoma"/>
            <family val="2"/>
          </rPr>
          <t>116295:</t>
        </r>
        <r>
          <rPr>
            <sz val="8"/>
            <color indexed="81"/>
            <rFont val="Tahoma"/>
            <family val="2"/>
          </rPr>
          <t xml:space="preserve">
Suitable to Procure 
No Fair Market Value
Non Mandatory
Call Vendor for Price</t>
        </r>
      </text>
    </comment>
    <comment ref="B326" authorId="0">
      <text>
        <r>
          <rPr>
            <b/>
            <sz val="8"/>
            <color indexed="81"/>
            <rFont val="Tahoma"/>
            <family val="2"/>
          </rPr>
          <t>116295:</t>
        </r>
        <r>
          <rPr>
            <sz val="8"/>
            <color indexed="81"/>
            <rFont val="Tahoma"/>
            <family val="2"/>
          </rPr>
          <t xml:space="preserve">
Galt Foundation
(405)235-4490 Temps
(405)488-2501 Products</t>
        </r>
      </text>
    </comment>
    <comment ref="B327" authorId="0">
      <text>
        <r>
          <rPr>
            <b/>
            <sz val="8"/>
            <color indexed="81"/>
            <rFont val="Tahoma"/>
            <family val="2"/>
          </rPr>
          <t>116295:</t>
        </r>
        <r>
          <rPr>
            <sz val="8"/>
            <color indexed="81"/>
            <rFont val="Tahoma"/>
            <family val="2"/>
          </rPr>
          <t xml:space="preserve">
Galt Foundation
(405)235-4490 Temps
(405)488-2501 Products</t>
        </r>
      </text>
    </comment>
    <comment ref="B328" authorId="0">
      <text>
        <r>
          <rPr>
            <b/>
            <sz val="8"/>
            <color indexed="81"/>
            <rFont val="Tahoma"/>
            <family val="2"/>
          </rPr>
          <t>116295:</t>
        </r>
        <r>
          <rPr>
            <sz val="8"/>
            <color indexed="81"/>
            <rFont val="Tahoma"/>
            <family val="2"/>
          </rPr>
          <t xml:space="preserve">
Galt Foundation
(405)235-4490 Temps
(405)488-2501 Products</t>
        </r>
      </text>
    </comment>
    <comment ref="B329" authorId="0">
      <text>
        <r>
          <rPr>
            <b/>
            <sz val="8"/>
            <color indexed="81"/>
            <rFont val="Tahoma"/>
            <family val="2"/>
          </rPr>
          <t>116295:</t>
        </r>
        <r>
          <rPr>
            <sz val="8"/>
            <color indexed="81"/>
            <rFont val="Tahoma"/>
            <family val="2"/>
          </rPr>
          <t xml:space="preserve">
Galt Foundation
(405)235-4490 Temps
(405)488-2501 Products</t>
        </r>
      </text>
    </comment>
    <comment ref="B330" authorId="0">
      <text>
        <r>
          <rPr>
            <b/>
            <sz val="8"/>
            <color indexed="81"/>
            <rFont val="Tahoma"/>
            <family val="2"/>
          </rPr>
          <t>116295:</t>
        </r>
        <r>
          <rPr>
            <sz val="8"/>
            <color indexed="81"/>
            <rFont val="Tahoma"/>
            <family val="2"/>
          </rPr>
          <t xml:space="preserve">
Galt Foundation
(405)235-4490 Temps
(405)488-2501 Products</t>
        </r>
      </text>
    </comment>
    <comment ref="B331" authorId="0">
      <text>
        <r>
          <rPr>
            <b/>
            <sz val="8"/>
            <color indexed="81"/>
            <rFont val="Tahoma"/>
            <family val="2"/>
          </rPr>
          <t>116295:</t>
        </r>
        <r>
          <rPr>
            <sz val="8"/>
            <color indexed="81"/>
            <rFont val="Tahoma"/>
            <family val="2"/>
          </rPr>
          <t xml:space="preserve">
Galt Foundation
(405)235-4490 Temps
(405)488-2501 Products</t>
        </r>
      </text>
    </comment>
    <comment ref="B332" authorId="0">
      <text>
        <r>
          <rPr>
            <b/>
            <sz val="8"/>
            <color indexed="81"/>
            <rFont val="Tahoma"/>
            <family val="2"/>
          </rPr>
          <t>116295:</t>
        </r>
        <r>
          <rPr>
            <sz val="8"/>
            <color indexed="81"/>
            <rFont val="Tahoma"/>
            <family val="2"/>
          </rPr>
          <t xml:space="preserve">
Galt Foundation
(405)235-4490 Temps
(405)488-2501 Products</t>
        </r>
      </text>
    </comment>
    <comment ref="B333" authorId="0">
      <text>
        <r>
          <rPr>
            <b/>
            <sz val="8"/>
            <color indexed="81"/>
            <rFont val="Tahoma"/>
            <family val="2"/>
          </rPr>
          <t>116295:</t>
        </r>
        <r>
          <rPr>
            <sz val="8"/>
            <color indexed="81"/>
            <rFont val="Tahoma"/>
            <family val="2"/>
          </rPr>
          <t xml:space="preserve">
Galt Foundation
(405)235-4490 Temps
(405)488-2501 Products</t>
        </r>
      </text>
    </comment>
    <comment ref="B334" authorId="0">
      <text>
        <r>
          <rPr>
            <b/>
            <sz val="8"/>
            <color indexed="81"/>
            <rFont val="Tahoma"/>
            <family val="2"/>
          </rPr>
          <t>116295:</t>
        </r>
        <r>
          <rPr>
            <sz val="8"/>
            <color indexed="81"/>
            <rFont val="Tahoma"/>
            <family val="2"/>
          </rPr>
          <t xml:space="preserve">
Galt Foundation
(405)235-4490 Temps
(405)488-2501 Products</t>
        </r>
      </text>
    </comment>
    <comment ref="B335" authorId="0">
      <text>
        <r>
          <rPr>
            <b/>
            <sz val="8"/>
            <color indexed="81"/>
            <rFont val="Tahoma"/>
            <family val="2"/>
          </rPr>
          <t>116295:</t>
        </r>
        <r>
          <rPr>
            <sz val="8"/>
            <color indexed="81"/>
            <rFont val="Tahoma"/>
            <family val="2"/>
          </rPr>
          <t xml:space="preserve">
Galt Foundation
(405)235-4490 Temps
(405)488-2501 Products</t>
        </r>
      </text>
    </comment>
    <comment ref="B336" authorId="0">
      <text>
        <r>
          <rPr>
            <b/>
            <sz val="8"/>
            <color indexed="81"/>
            <rFont val="Tahoma"/>
            <family val="2"/>
          </rPr>
          <t>116295:</t>
        </r>
        <r>
          <rPr>
            <sz val="8"/>
            <color indexed="81"/>
            <rFont val="Tahoma"/>
            <family val="2"/>
          </rPr>
          <t xml:space="preserve">
Galt Foundation
(405)235-4490 Temps
(405)488-2501 Products</t>
        </r>
      </text>
    </comment>
    <comment ref="B337" authorId="0">
      <text>
        <r>
          <rPr>
            <b/>
            <sz val="8"/>
            <color indexed="81"/>
            <rFont val="Tahoma"/>
            <family val="2"/>
          </rPr>
          <t>116295:</t>
        </r>
        <r>
          <rPr>
            <sz val="8"/>
            <color indexed="81"/>
            <rFont val="Tahoma"/>
            <family val="2"/>
          </rPr>
          <t xml:space="preserve">
Galt Foundation
(405)235-4490 Temps
(405)488-2501 Products</t>
        </r>
      </text>
    </comment>
    <comment ref="B338" authorId="0">
      <text>
        <r>
          <rPr>
            <b/>
            <sz val="8"/>
            <color indexed="81"/>
            <rFont val="Tahoma"/>
            <family val="2"/>
          </rPr>
          <t>116295:</t>
        </r>
        <r>
          <rPr>
            <sz val="8"/>
            <color indexed="81"/>
            <rFont val="Tahoma"/>
            <family val="2"/>
          </rPr>
          <t xml:space="preserve">
Galt Foundation
(405)235-4490 Temps
(405)488-2501 Products</t>
        </r>
      </text>
    </comment>
    <comment ref="B339" authorId="0">
      <text>
        <r>
          <rPr>
            <b/>
            <sz val="8"/>
            <color indexed="81"/>
            <rFont val="Tahoma"/>
            <family val="2"/>
          </rPr>
          <t>116295:</t>
        </r>
        <r>
          <rPr>
            <sz val="8"/>
            <color indexed="81"/>
            <rFont val="Tahoma"/>
            <family val="2"/>
          </rPr>
          <t xml:space="preserve">
Galt Foundation
(405)235-4490 Temps
(405)488-2501 Products</t>
        </r>
      </text>
    </comment>
    <comment ref="B340" authorId="0">
      <text>
        <r>
          <rPr>
            <b/>
            <sz val="8"/>
            <color indexed="81"/>
            <rFont val="Tahoma"/>
            <family val="2"/>
          </rPr>
          <t>116295:</t>
        </r>
        <r>
          <rPr>
            <sz val="8"/>
            <color indexed="81"/>
            <rFont val="Tahoma"/>
            <family val="2"/>
          </rPr>
          <t xml:space="preserve">
Galt Foundation
(405)235-4490 Temps
(405)488-2501 Products</t>
        </r>
      </text>
    </comment>
    <comment ref="B341" authorId="0">
      <text>
        <r>
          <rPr>
            <b/>
            <sz val="8"/>
            <color indexed="81"/>
            <rFont val="Tahoma"/>
            <family val="2"/>
          </rPr>
          <t>116295:</t>
        </r>
        <r>
          <rPr>
            <sz val="8"/>
            <color indexed="81"/>
            <rFont val="Tahoma"/>
            <family val="2"/>
          </rPr>
          <t xml:space="preserve">
Galt Foundation
(405)235-4490 Temps
(405)488-2501 Products</t>
        </r>
      </text>
    </comment>
    <comment ref="B342" authorId="0">
      <text>
        <r>
          <rPr>
            <b/>
            <sz val="8"/>
            <color indexed="81"/>
            <rFont val="Tahoma"/>
            <family val="2"/>
          </rPr>
          <t>116295:</t>
        </r>
        <r>
          <rPr>
            <sz val="8"/>
            <color indexed="81"/>
            <rFont val="Tahoma"/>
            <family val="2"/>
          </rPr>
          <t xml:space="preserve">
Galt Foundation
(405)235-4490 Temps
(405)488-2501 Products</t>
        </r>
      </text>
    </comment>
    <comment ref="B343" authorId="0">
      <text>
        <r>
          <rPr>
            <b/>
            <sz val="8"/>
            <color indexed="81"/>
            <rFont val="Tahoma"/>
            <family val="2"/>
          </rPr>
          <t>116295:</t>
        </r>
        <r>
          <rPr>
            <sz val="8"/>
            <color indexed="81"/>
            <rFont val="Tahoma"/>
            <family val="2"/>
          </rPr>
          <t xml:space="preserve">
Galt Foundation
(405)235-4490 Temps
(405)488-2501 Products</t>
        </r>
      </text>
    </comment>
    <comment ref="B344" authorId="0">
      <text>
        <r>
          <rPr>
            <b/>
            <sz val="8"/>
            <color indexed="81"/>
            <rFont val="Tahoma"/>
            <family val="2"/>
          </rPr>
          <t>116295:</t>
        </r>
        <r>
          <rPr>
            <sz val="8"/>
            <color indexed="81"/>
            <rFont val="Tahoma"/>
            <family val="2"/>
          </rPr>
          <t xml:space="preserve">
Galt Foundation
(405)235-4490 Temps
(405)488-2501 Products</t>
        </r>
      </text>
    </comment>
    <comment ref="B345" authorId="0">
      <text>
        <r>
          <rPr>
            <b/>
            <sz val="8"/>
            <color indexed="81"/>
            <rFont val="Tahoma"/>
            <family val="2"/>
          </rPr>
          <t>116295:</t>
        </r>
        <r>
          <rPr>
            <sz val="8"/>
            <color indexed="81"/>
            <rFont val="Tahoma"/>
            <family val="2"/>
          </rPr>
          <t xml:space="preserve">
Galt Foundation
(405)235-4490 Temps
(405)488-2501 Products</t>
        </r>
      </text>
    </comment>
    <comment ref="B346" authorId="0">
      <text>
        <r>
          <rPr>
            <b/>
            <sz val="8"/>
            <color indexed="81"/>
            <rFont val="Tahoma"/>
            <family val="2"/>
          </rPr>
          <t>116295:</t>
        </r>
        <r>
          <rPr>
            <sz val="8"/>
            <color indexed="81"/>
            <rFont val="Tahoma"/>
            <family val="2"/>
          </rPr>
          <t xml:space="preserve">
Galt Foundation
(405)235-4490 Temps
(405)488-2501 Products</t>
        </r>
      </text>
    </comment>
    <comment ref="B347" authorId="0">
      <text>
        <r>
          <rPr>
            <b/>
            <sz val="8"/>
            <color indexed="81"/>
            <rFont val="Tahoma"/>
            <family val="2"/>
          </rPr>
          <t>116295:</t>
        </r>
        <r>
          <rPr>
            <sz val="8"/>
            <color indexed="81"/>
            <rFont val="Tahoma"/>
            <family val="2"/>
          </rPr>
          <t xml:space="preserve">
Galt Foundation
(405)235-4490 Temps
(405)488-2501 Products</t>
        </r>
      </text>
    </comment>
    <comment ref="B348" authorId="0">
      <text>
        <r>
          <rPr>
            <b/>
            <sz val="8"/>
            <color indexed="81"/>
            <rFont val="Tahoma"/>
            <family val="2"/>
          </rPr>
          <t>116295:</t>
        </r>
        <r>
          <rPr>
            <sz val="8"/>
            <color indexed="81"/>
            <rFont val="Tahoma"/>
            <family val="2"/>
          </rPr>
          <t xml:space="preserve">
Galt Foundation
(405)235-4490 Temps
(405)488-2501 Products</t>
        </r>
      </text>
    </comment>
    <comment ref="B349" authorId="0">
      <text>
        <r>
          <rPr>
            <b/>
            <sz val="8"/>
            <color indexed="81"/>
            <rFont val="Tahoma"/>
            <family val="2"/>
          </rPr>
          <t>116295:</t>
        </r>
        <r>
          <rPr>
            <sz val="8"/>
            <color indexed="81"/>
            <rFont val="Tahoma"/>
            <family val="2"/>
          </rPr>
          <t xml:space="preserve">
Galt Foundation
(405)235-4490 Temps
(405)488-2501 Products</t>
        </r>
      </text>
    </comment>
    <comment ref="B350" authorId="0">
      <text>
        <r>
          <rPr>
            <b/>
            <sz val="8"/>
            <color indexed="81"/>
            <rFont val="Tahoma"/>
            <family val="2"/>
          </rPr>
          <t>116295:</t>
        </r>
        <r>
          <rPr>
            <sz val="8"/>
            <color indexed="81"/>
            <rFont val="Tahoma"/>
            <family val="2"/>
          </rPr>
          <t xml:space="preserve">
Galt Foundation
(405)235-4490 Temps
(405)488-2501 Products</t>
        </r>
      </text>
    </comment>
    <comment ref="B351" authorId="0">
      <text>
        <r>
          <rPr>
            <b/>
            <sz val="8"/>
            <color indexed="81"/>
            <rFont val="Tahoma"/>
            <family val="2"/>
          </rPr>
          <t>116295:</t>
        </r>
        <r>
          <rPr>
            <sz val="8"/>
            <color indexed="81"/>
            <rFont val="Tahoma"/>
            <family val="2"/>
          </rPr>
          <t xml:space="preserve">
Galt Foundation
(405)235-4490 Temps
(405)488-2501 Products</t>
        </r>
      </text>
    </comment>
    <comment ref="E351" authorId="0">
      <text>
        <r>
          <rPr>
            <b/>
            <sz val="8"/>
            <color indexed="81"/>
            <rFont val="Tahoma"/>
            <family val="2"/>
          </rPr>
          <t>116295:</t>
        </r>
        <r>
          <rPr>
            <sz val="8"/>
            <color indexed="81"/>
            <rFont val="Tahoma"/>
            <family val="2"/>
          </rPr>
          <t xml:space="preserve">
Suitable to Procure 
No Fair Market Value
Non Mandatory
Call Vendor for Price</t>
        </r>
      </text>
    </comment>
    <comment ref="B352" authorId="0">
      <text>
        <r>
          <rPr>
            <b/>
            <sz val="8"/>
            <color indexed="81"/>
            <rFont val="Tahoma"/>
            <family val="2"/>
          </rPr>
          <t>116295:</t>
        </r>
        <r>
          <rPr>
            <sz val="8"/>
            <color indexed="81"/>
            <rFont val="Tahoma"/>
            <family val="2"/>
          </rPr>
          <t xml:space="preserve">
Galt Foundation
(405)235-4490 Temps
(405)488-2501 Products</t>
        </r>
      </text>
    </comment>
    <comment ref="E352" authorId="0">
      <text>
        <r>
          <rPr>
            <b/>
            <sz val="8"/>
            <color indexed="81"/>
            <rFont val="Tahoma"/>
            <family val="2"/>
          </rPr>
          <t>116295:</t>
        </r>
        <r>
          <rPr>
            <sz val="8"/>
            <color indexed="81"/>
            <rFont val="Tahoma"/>
            <family val="2"/>
          </rPr>
          <t xml:space="preserve">
Suitable to Procure 
No Fair Market Value
Non Mandatory
Call Vendor for Price</t>
        </r>
      </text>
    </comment>
    <comment ref="B353" authorId="0">
      <text>
        <r>
          <rPr>
            <b/>
            <sz val="8"/>
            <color indexed="81"/>
            <rFont val="Tahoma"/>
            <family val="2"/>
          </rPr>
          <t>116295:</t>
        </r>
        <r>
          <rPr>
            <sz val="8"/>
            <color indexed="81"/>
            <rFont val="Tahoma"/>
            <family val="2"/>
          </rPr>
          <t xml:space="preserve">
Garvin County Living Center
(405)238-3888</t>
        </r>
      </text>
    </comment>
    <comment ref="B354" authorId="0">
      <text>
        <r>
          <rPr>
            <b/>
            <sz val="8"/>
            <color indexed="81"/>
            <rFont val="Tahoma"/>
            <family val="2"/>
          </rPr>
          <t>116295:</t>
        </r>
        <r>
          <rPr>
            <sz val="8"/>
            <color indexed="81"/>
            <rFont val="Tahoma"/>
            <family val="2"/>
          </rPr>
          <t xml:space="preserve">
Garvin County Living Center
(405)238-3888</t>
        </r>
      </text>
    </comment>
    <comment ref="B355" authorId="0">
      <text>
        <r>
          <rPr>
            <b/>
            <sz val="8"/>
            <color indexed="81"/>
            <rFont val="Tahoma"/>
            <family val="2"/>
          </rPr>
          <t>116295:</t>
        </r>
        <r>
          <rPr>
            <sz val="8"/>
            <color indexed="81"/>
            <rFont val="Tahoma"/>
            <family val="2"/>
          </rPr>
          <t xml:space="preserve">
Garvin County Living Center
(405)238-3888</t>
        </r>
      </text>
    </comment>
    <comment ref="B356" authorId="0">
      <text>
        <r>
          <rPr>
            <b/>
            <sz val="8"/>
            <color indexed="81"/>
            <rFont val="Tahoma"/>
            <family val="2"/>
          </rPr>
          <t>116295:</t>
        </r>
        <r>
          <rPr>
            <sz val="8"/>
            <color indexed="81"/>
            <rFont val="Tahoma"/>
            <family val="2"/>
          </rPr>
          <t xml:space="preserve">
Garvin County Living Center
(405)238-3888</t>
        </r>
      </text>
    </comment>
    <comment ref="B357" authorId="0">
      <text>
        <r>
          <rPr>
            <b/>
            <sz val="8"/>
            <color indexed="81"/>
            <rFont val="Tahoma"/>
            <family val="2"/>
          </rPr>
          <t>116295:</t>
        </r>
        <r>
          <rPr>
            <sz val="8"/>
            <color indexed="81"/>
            <rFont val="Tahoma"/>
            <family val="2"/>
          </rPr>
          <t xml:space="preserve">
Garvin County Living Center
(405)238-3888</t>
        </r>
      </text>
    </comment>
    <comment ref="B358" authorId="0">
      <text>
        <r>
          <rPr>
            <b/>
            <sz val="8"/>
            <color indexed="81"/>
            <rFont val="Tahoma"/>
            <family val="2"/>
          </rPr>
          <t>116295:</t>
        </r>
        <r>
          <rPr>
            <sz val="8"/>
            <color indexed="81"/>
            <rFont val="Tahoma"/>
            <family val="2"/>
          </rPr>
          <t xml:space="preserve">
Garvin County Living Center
(405)238-3888</t>
        </r>
      </text>
    </comment>
    <comment ref="B359" authorId="0">
      <text>
        <r>
          <rPr>
            <b/>
            <sz val="8"/>
            <color indexed="81"/>
            <rFont val="Tahoma"/>
            <family val="2"/>
          </rPr>
          <t>116295:</t>
        </r>
        <r>
          <rPr>
            <sz val="8"/>
            <color indexed="81"/>
            <rFont val="Tahoma"/>
            <family val="2"/>
          </rPr>
          <t xml:space="preserve">
Garvin County Living Center
(405)238-3888</t>
        </r>
      </text>
    </comment>
    <comment ref="B360" authorId="0">
      <text>
        <r>
          <rPr>
            <b/>
            <sz val="8"/>
            <color indexed="81"/>
            <rFont val="Tahoma"/>
            <family val="2"/>
          </rPr>
          <t>116295:</t>
        </r>
        <r>
          <rPr>
            <sz val="8"/>
            <color indexed="81"/>
            <rFont val="Tahoma"/>
            <family val="2"/>
          </rPr>
          <t xml:space="preserve">
Garvin County Living Center
(405)238-3888</t>
        </r>
      </text>
    </comment>
    <comment ref="B361" authorId="0">
      <text>
        <r>
          <rPr>
            <b/>
            <sz val="8"/>
            <color indexed="81"/>
            <rFont val="Tahoma"/>
            <family val="2"/>
          </rPr>
          <t>116295:</t>
        </r>
        <r>
          <rPr>
            <sz val="8"/>
            <color indexed="81"/>
            <rFont val="Tahoma"/>
            <family val="2"/>
          </rPr>
          <t xml:space="preserve">
Garvin County Living Center
(405)238-3888</t>
        </r>
      </text>
    </comment>
    <comment ref="B362" authorId="0">
      <text>
        <r>
          <rPr>
            <b/>
            <sz val="8"/>
            <color indexed="81"/>
            <rFont val="Tahoma"/>
            <family val="2"/>
          </rPr>
          <t>116295:</t>
        </r>
        <r>
          <rPr>
            <sz val="8"/>
            <color indexed="81"/>
            <rFont val="Tahoma"/>
            <family val="2"/>
          </rPr>
          <t xml:space="preserve">
Garvin County Living Center
(405)238-3888</t>
        </r>
      </text>
    </comment>
    <comment ref="B363" authorId="0">
      <text>
        <r>
          <rPr>
            <b/>
            <sz val="8"/>
            <color indexed="81"/>
            <rFont val="Tahoma"/>
            <family val="2"/>
          </rPr>
          <t>116295:</t>
        </r>
        <r>
          <rPr>
            <sz val="8"/>
            <color indexed="81"/>
            <rFont val="Tahoma"/>
            <family val="2"/>
          </rPr>
          <t xml:space="preserve">
Garvin County Living Center
(405)238-3888</t>
        </r>
      </text>
    </comment>
    <comment ref="B364" authorId="0">
      <text>
        <r>
          <rPr>
            <b/>
            <sz val="8"/>
            <color indexed="81"/>
            <rFont val="Tahoma"/>
            <family val="2"/>
          </rPr>
          <t>116295:</t>
        </r>
        <r>
          <rPr>
            <sz val="8"/>
            <color indexed="81"/>
            <rFont val="Tahoma"/>
            <family val="2"/>
          </rPr>
          <t xml:space="preserve">
Garvin County Living Center
(405)238-3888</t>
        </r>
      </text>
    </comment>
    <comment ref="B365" authorId="0">
      <text>
        <r>
          <rPr>
            <b/>
            <sz val="8"/>
            <color indexed="81"/>
            <rFont val="Tahoma"/>
            <family val="2"/>
          </rPr>
          <t>116295:</t>
        </r>
        <r>
          <rPr>
            <sz val="8"/>
            <color indexed="81"/>
            <rFont val="Tahoma"/>
            <family val="2"/>
          </rPr>
          <t xml:space="preserve">
Garvin County Living Center
(405)238-3888</t>
        </r>
      </text>
    </comment>
    <comment ref="B366" authorId="0">
      <text>
        <r>
          <rPr>
            <b/>
            <sz val="8"/>
            <color indexed="81"/>
            <rFont val="Tahoma"/>
            <family val="2"/>
          </rPr>
          <t>116295:</t>
        </r>
        <r>
          <rPr>
            <sz val="8"/>
            <color indexed="81"/>
            <rFont val="Tahoma"/>
            <family val="2"/>
          </rPr>
          <t xml:space="preserve">
Garvin County Living Center
(405)238-3888</t>
        </r>
      </text>
    </comment>
    <comment ref="B367" authorId="0">
      <text>
        <r>
          <rPr>
            <b/>
            <sz val="8"/>
            <color indexed="81"/>
            <rFont val="Tahoma"/>
            <family val="2"/>
          </rPr>
          <t>116295:</t>
        </r>
        <r>
          <rPr>
            <sz val="8"/>
            <color indexed="81"/>
            <rFont val="Tahoma"/>
            <family val="2"/>
          </rPr>
          <t xml:space="preserve">
Garvin County Living Center
(405)238-3888</t>
        </r>
      </text>
    </comment>
    <comment ref="B368" authorId="0">
      <text>
        <r>
          <rPr>
            <b/>
            <sz val="8"/>
            <color indexed="81"/>
            <rFont val="Tahoma"/>
            <family val="2"/>
          </rPr>
          <t>116295:</t>
        </r>
        <r>
          <rPr>
            <sz val="8"/>
            <color indexed="81"/>
            <rFont val="Tahoma"/>
            <family val="2"/>
          </rPr>
          <t xml:space="preserve">
Garvin County Living Center
(405)238-3888</t>
        </r>
      </text>
    </comment>
    <comment ref="B369" authorId="0">
      <text>
        <r>
          <rPr>
            <b/>
            <sz val="8"/>
            <color indexed="81"/>
            <rFont val="Tahoma"/>
            <family val="2"/>
          </rPr>
          <t>116295:</t>
        </r>
        <r>
          <rPr>
            <sz val="8"/>
            <color indexed="81"/>
            <rFont val="Tahoma"/>
            <family val="2"/>
          </rPr>
          <t xml:space="preserve">
Garvin County Living Center
(405)238-3888</t>
        </r>
      </text>
    </comment>
    <comment ref="B370" authorId="0">
      <text>
        <r>
          <rPr>
            <b/>
            <sz val="8"/>
            <color indexed="81"/>
            <rFont val="Tahoma"/>
            <family val="2"/>
          </rPr>
          <t>116295:</t>
        </r>
        <r>
          <rPr>
            <sz val="8"/>
            <color indexed="81"/>
            <rFont val="Tahoma"/>
            <family val="2"/>
          </rPr>
          <t xml:space="preserve">
Garvin County Living Center
(405)238-3888</t>
        </r>
      </text>
    </comment>
    <comment ref="B371" authorId="0">
      <text>
        <r>
          <rPr>
            <b/>
            <sz val="8"/>
            <color indexed="81"/>
            <rFont val="Tahoma"/>
            <family val="2"/>
          </rPr>
          <t>116295:</t>
        </r>
        <r>
          <rPr>
            <sz val="8"/>
            <color indexed="81"/>
            <rFont val="Tahoma"/>
            <family val="2"/>
          </rPr>
          <t xml:space="preserve">
Garvin County Living Center
(405)238-3888</t>
        </r>
      </text>
    </comment>
    <comment ref="B372" authorId="0">
      <text>
        <r>
          <rPr>
            <b/>
            <sz val="8"/>
            <color indexed="81"/>
            <rFont val="Tahoma"/>
            <family val="2"/>
          </rPr>
          <t>116295:</t>
        </r>
        <r>
          <rPr>
            <sz val="8"/>
            <color indexed="81"/>
            <rFont val="Tahoma"/>
            <family val="2"/>
          </rPr>
          <t xml:space="preserve">
Garvin County Living Center
(405)238-3888</t>
        </r>
      </text>
    </comment>
    <comment ref="B373" authorId="0">
      <text>
        <r>
          <rPr>
            <b/>
            <sz val="8"/>
            <color indexed="81"/>
            <rFont val="Tahoma"/>
            <family val="2"/>
          </rPr>
          <t>116295:</t>
        </r>
        <r>
          <rPr>
            <sz val="8"/>
            <color indexed="81"/>
            <rFont val="Tahoma"/>
            <family val="2"/>
          </rPr>
          <t xml:space="preserve">
Garvin County Living Center
(405)238-3888</t>
        </r>
      </text>
    </comment>
    <comment ref="B374" authorId="0">
      <text>
        <r>
          <rPr>
            <b/>
            <sz val="8"/>
            <color indexed="81"/>
            <rFont val="Tahoma"/>
            <family val="2"/>
          </rPr>
          <t>116295:</t>
        </r>
        <r>
          <rPr>
            <sz val="8"/>
            <color indexed="81"/>
            <rFont val="Tahoma"/>
            <family val="2"/>
          </rPr>
          <t xml:space="preserve">
Garvin County Living Center
(405)238-3888</t>
        </r>
      </text>
    </comment>
    <comment ref="B375" authorId="0">
      <text>
        <r>
          <rPr>
            <b/>
            <sz val="8"/>
            <color indexed="81"/>
            <rFont val="Tahoma"/>
            <family val="2"/>
          </rPr>
          <t>116295:</t>
        </r>
        <r>
          <rPr>
            <sz val="8"/>
            <color indexed="81"/>
            <rFont val="Tahoma"/>
            <family val="2"/>
          </rPr>
          <t xml:space="preserve">
Garvin County Living Center
(405)238-3888</t>
        </r>
      </text>
    </comment>
    <comment ref="B376" authorId="0">
      <text>
        <r>
          <rPr>
            <b/>
            <sz val="8"/>
            <color indexed="81"/>
            <rFont val="Tahoma"/>
            <family val="2"/>
          </rPr>
          <t>116295:</t>
        </r>
        <r>
          <rPr>
            <sz val="8"/>
            <color indexed="81"/>
            <rFont val="Tahoma"/>
            <family val="2"/>
          </rPr>
          <t xml:space="preserve">
Garvin County Living Center
(405)238-3888</t>
        </r>
      </text>
    </comment>
    <comment ref="B377" authorId="0">
      <text>
        <r>
          <rPr>
            <b/>
            <sz val="8"/>
            <color indexed="81"/>
            <rFont val="Tahoma"/>
            <family val="2"/>
          </rPr>
          <t>116295:</t>
        </r>
        <r>
          <rPr>
            <sz val="8"/>
            <color indexed="81"/>
            <rFont val="Tahoma"/>
            <family val="2"/>
          </rPr>
          <t xml:space="preserve">
Garvin County Living Center
(405)238-3888</t>
        </r>
      </text>
    </comment>
    <comment ref="B378" authorId="0">
      <text>
        <r>
          <rPr>
            <b/>
            <sz val="8"/>
            <color indexed="81"/>
            <rFont val="Tahoma"/>
            <family val="2"/>
          </rPr>
          <t>116295:</t>
        </r>
        <r>
          <rPr>
            <sz val="8"/>
            <color indexed="81"/>
            <rFont val="Tahoma"/>
            <family val="2"/>
          </rPr>
          <t xml:space="preserve">
Garvin County Living Center
(405)238-3888</t>
        </r>
      </text>
    </comment>
    <comment ref="B379" authorId="0">
      <text>
        <r>
          <rPr>
            <b/>
            <sz val="8"/>
            <color indexed="81"/>
            <rFont val="Tahoma"/>
            <family val="2"/>
          </rPr>
          <t>116295:</t>
        </r>
        <r>
          <rPr>
            <sz val="8"/>
            <color indexed="81"/>
            <rFont val="Tahoma"/>
            <family val="2"/>
          </rPr>
          <t xml:space="preserve">
Garvin County Living Center
(405)238-3888</t>
        </r>
      </text>
    </comment>
    <comment ref="B380" authorId="0">
      <text>
        <r>
          <rPr>
            <b/>
            <sz val="8"/>
            <color indexed="81"/>
            <rFont val="Tahoma"/>
            <family val="2"/>
          </rPr>
          <t>116295:</t>
        </r>
        <r>
          <rPr>
            <sz val="8"/>
            <color indexed="81"/>
            <rFont val="Tahoma"/>
            <family val="2"/>
          </rPr>
          <t xml:space="preserve">
Garvin County Living Center
(405)238-3888</t>
        </r>
      </text>
    </comment>
    <comment ref="B381" authorId="0">
      <text>
        <r>
          <rPr>
            <b/>
            <sz val="8"/>
            <color indexed="81"/>
            <rFont val="Tahoma"/>
            <family val="2"/>
          </rPr>
          <t>116295:</t>
        </r>
        <r>
          <rPr>
            <sz val="8"/>
            <color indexed="81"/>
            <rFont val="Tahoma"/>
            <family val="2"/>
          </rPr>
          <t xml:space="preserve">
Garvin County Living Center
(405)238-3888</t>
        </r>
      </text>
    </comment>
    <comment ref="B382" authorId="0">
      <text>
        <r>
          <rPr>
            <b/>
            <sz val="8"/>
            <color indexed="81"/>
            <rFont val="Tahoma"/>
            <family val="2"/>
          </rPr>
          <t>116295:</t>
        </r>
        <r>
          <rPr>
            <sz val="8"/>
            <color indexed="81"/>
            <rFont val="Tahoma"/>
            <family val="2"/>
          </rPr>
          <t xml:space="preserve">
Garvin County Living Center
(405)238-3888</t>
        </r>
      </text>
    </comment>
    <comment ref="B383" authorId="0">
      <text>
        <r>
          <rPr>
            <b/>
            <sz val="8"/>
            <color indexed="81"/>
            <rFont val="Tahoma"/>
            <family val="2"/>
          </rPr>
          <t>116295:</t>
        </r>
        <r>
          <rPr>
            <sz val="8"/>
            <color indexed="81"/>
            <rFont val="Tahoma"/>
            <family val="2"/>
          </rPr>
          <t xml:space="preserve">
Garvin County Living Center
(405)238-3888</t>
        </r>
      </text>
    </comment>
    <comment ref="B384" authorId="0">
      <text>
        <r>
          <rPr>
            <b/>
            <sz val="8"/>
            <color indexed="81"/>
            <rFont val="Tahoma"/>
            <family val="2"/>
          </rPr>
          <t>116295:</t>
        </r>
        <r>
          <rPr>
            <sz val="8"/>
            <color indexed="81"/>
            <rFont val="Tahoma"/>
            <family val="2"/>
          </rPr>
          <t xml:space="preserve">
Garvin County Living Center
(405)238-3888</t>
        </r>
      </text>
    </comment>
    <comment ref="B385" authorId="0">
      <text>
        <r>
          <rPr>
            <b/>
            <sz val="8"/>
            <color indexed="81"/>
            <rFont val="Tahoma"/>
            <family val="2"/>
          </rPr>
          <t>116295:</t>
        </r>
        <r>
          <rPr>
            <sz val="8"/>
            <color indexed="81"/>
            <rFont val="Tahoma"/>
            <family val="2"/>
          </rPr>
          <t xml:space="preserve">
Garvin County Living Center
(405)238-3888</t>
        </r>
      </text>
    </comment>
    <comment ref="B386" authorId="0">
      <text>
        <r>
          <rPr>
            <b/>
            <sz val="8"/>
            <color indexed="81"/>
            <rFont val="Tahoma"/>
            <family val="2"/>
          </rPr>
          <t>116295:</t>
        </r>
        <r>
          <rPr>
            <sz val="8"/>
            <color indexed="81"/>
            <rFont val="Tahoma"/>
            <family val="2"/>
          </rPr>
          <t xml:space="preserve">
Garvin County Living Center
(405)238-3888</t>
        </r>
      </text>
    </comment>
    <comment ref="B387" authorId="0">
      <text>
        <r>
          <rPr>
            <b/>
            <sz val="8"/>
            <color indexed="81"/>
            <rFont val="Tahoma"/>
            <family val="2"/>
          </rPr>
          <t>116295:</t>
        </r>
        <r>
          <rPr>
            <sz val="8"/>
            <color indexed="81"/>
            <rFont val="Tahoma"/>
            <family val="2"/>
          </rPr>
          <t xml:space="preserve">
Garvin County Living Center
(405)238-3888</t>
        </r>
      </text>
    </comment>
    <comment ref="B388" authorId="0">
      <text>
        <r>
          <rPr>
            <b/>
            <sz val="8"/>
            <color indexed="81"/>
            <rFont val="Tahoma"/>
            <family val="2"/>
          </rPr>
          <t>116295:</t>
        </r>
        <r>
          <rPr>
            <sz val="8"/>
            <color indexed="81"/>
            <rFont val="Tahoma"/>
            <family val="2"/>
          </rPr>
          <t xml:space="preserve">
Garvin County Living Center
(405)238-3888</t>
        </r>
      </text>
    </comment>
    <comment ref="B389" authorId="0">
      <text>
        <r>
          <rPr>
            <b/>
            <sz val="8"/>
            <color indexed="81"/>
            <rFont val="Tahoma"/>
            <family val="2"/>
          </rPr>
          <t>116295:</t>
        </r>
        <r>
          <rPr>
            <sz val="8"/>
            <color indexed="81"/>
            <rFont val="Tahoma"/>
            <family val="2"/>
          </rPr>
          <t xml:space="preserve">
Garvin County Living Center
(405)238-3888</t>
        </r>
      </text>
    </comment>
    <comment ref="B390" authorId="0">
      <text>
        <r>
          <rPr>
            <b/>
            <sz val="8"/>
            <color indexed="81"/>
            <rFont val="Tahoma"/>
            <family val="2"/>
          </rPr>
          <t>116295:</t>
        </r>
        <r>
          <rPr>
            <sz val="8"/>
            <color indexed="81"/>
            <rFont val="Tahoma"/>
            <family val="2"/>
          </rPr>
          <t xml:space="preserve">
Garvin County Living Center
(405)238-3888</t>
        </r>
      </text>
    </comment>
    <comment ref="B391" authorId="0">
      <text>
        <r>
          <rPr>
            <b/>
            <sz val="8"/>
            <color indexed="81"/>
            <rFont val="Tahoma"/>
            <family val="2"/>
          </rPr>
          <t>116295:</t>
        </r>
        <r>
          <rPr>
            <sz val="8"/>
            <color indexed="81"/>
            <rFont val="Tahoma"/>
            <family val="2"/>
          </rPr>
          <t xml:space="preserve">
Garvin County Living Center
(405)238-3888</t>
        </r>
      </text>
    </comment>
    <comment ref="B392" authorId="0">
      <text>
        <r>
          <rPr>
            <b/>
            <sz val="8"/>
            <color indexed="81"/>
            <rFont val="Tahoma"/>
            <family val="2"/>
          </rPr>
          <t>116295:</t>
        </r>
        <r>
          <rPr>
            <sz val="8"/>
            <color indexed="81"/>
            <rFont val="Tahoma"/>
            <family val="2"/>
          </rPr>
          <t xml:space="preserve">
Garvin County Living Center
(405)238-3888</t>
        </r>
      </text>
    </comment>
    <comment ref="B393" authorId="0">
      <text>
        <r>
          <rPr>
            <b/>
            <sz val="8"/>
            <color indexed="81"/>
            <rFont val="Tahoma"/>
            <family val="2"/>
          </rPr>
          <t>116295:</t>
        </r>
        <r>
          <rPr>
            <sz val="8"/>
            <color indexed="81"/>
            <rFont val="Tahoma"/>
            <family val="2"/>
          </rPr>
          <t xml:space="preserve">
Garvin County Living Center
(405)238-3888</t>
        </r>
      </text>
    </comment>
    <comment ref="B394" authorId="0">
      <text>
        <r>
          <rPr>
            <b/>
            <sz val="8"/>
            <color indexed="81"/>
            <rFont val="Tahoma"/>
            <family val="2"/>
          </rPr>
          <t>116295:</t>
        </r>
        <r>
          <rPr>
            <sz val="8"/>
            <color indexed="81"/>
            <rFont val="Tahoma"/>
            <family val="2"/>
          </rPr>
          <t xml:space="preserve">
Garvin County Living Center
(405)238-3888</t>
        </r>
      </text>
    </comment>
    <comment ref="B395" authorId="0">
      <text>
        <r>
          <rPr>
            <b/>
            <sz val="8"/>
            <color indexed="81"/>
            <rFont val="Tahoma"/>
            <family val="2"/>
          </rPr>
          <t>116295:</t>
        </r>
        <r>
          <rPr>
            <sz val="8"/>
            <color indexed="81"/>
            <rFont val="Tahoma"/>
            <family val="2"/>
          </rPr>
          <t xml:space="preserve">
Garvin County Living Center
(405)238-3888</t>
        </r>
      </text>
    </comment>
    <comment ref="B396" authorId="0">
      <text>
        <r>
          <rPr>
            <b/>
            <sz val="8"/>
            <color indexed="81"/>
            <rFont val="Tahoma"/>
            <family val="2"/>
          </rPr>
          <t>116295:</t>
        </r>
        <r>
          <rPr>
            <sz val="8"/>
            <color indexed="81"/>
            <rFont val="Tahoma"/>
            <family val="2"/>
          </rPr>
          <t xml:space="preserve">
Garvin County Living Center
(405)238-3888</t>
        </r>
      </text>
    </comment>
    <comment ref="B397" authorId="0">
      <text>
        <r>
          <rPr>
            <b/>
            <sz val="8"/>
            <color indexed="81"/>
            <rFont val="Tahoma"/>
            <family val="2"/>
          </rPr>
          <t>116295:</t>
        </r>
        <r>
          <rPr>
            <sz val="8"/>
            <color indexed="81"/>
            <rFont val="Tahoma"/>
            <family val="2"/>
          </rPr>
          <t xml:space="preserve">
Garvin County Living Center
(405)238-3888</t>
        </r>
      </text>
    </comment>
    <comment ref="B398" authorId="0">
      <text>
        <r>
          <rPr>
            <b/>
            <sz val="8"/>
            <color indexed="81"/>
            <rFont val="Tahoma"/>
            <family val="2"/>
          </rPr>
          <t>116295:</t>
        </r>
        <r>
          <rPr>
            <sz val="8"/>
            <color indexed="81"/>
            <rFont val="Tahoma"/>
            <family val="2"/>
          </rPr>
          <t xml:space="preserve">
Garvin County Living Center
(405)238-3888</t>
        </r>
      </text>
    </comment>
    <comment ref="B399" authorId="0">
      <text>
        <r>
          <rPr>
            <b/>
            <sz val="8"/>
            <color indexed="81"/>
            <rFont val="Tahoma"/>
            <family val="2"/>
          </rPr>
          <t>116295:</t>
        </r>
        <r>
          <rPr>
            <sz val="8"/>
            <color indexed="81"/>
            <rFont val="Tahoma"/>
            <family val="2"/>
          </rPr>
          <t xml:space="preserve">
Garvin County Living Center
(405)238-3888</t>
        </r>
      </text>
    </comment>
    <comment ref="B400" authorId="0">
      <text>
        <r>
          <rPr>
            <b/>
            <sz val="8"/>
            <color indexed="81"/>
            <rFont val="Tahoma"/>
            <family val="2"/>
          </rPr>
          <t>116295:</t>
        </r>
        <r>
          <rPr>
            <sz val="8"/>
            <color indexed="81"/>
            <rFont val="Tahoma"/>
            <family val="2"/>
          </rPr>
          <t xml:space="preserve">
Garvin County Living Center
(405)238-3888</t>
        </r>
      </text>
    </comment>
    <comment ref="B401" authorId="0">
      <text>
        <r>
          <rPr>
            <b/>
            <sz val="8"/>
            <color indexed="81"/>
            <rFont val="Tahoma"/>
            <family val="2"/>
          </rPr>
          <t>116295:</t>
        </r>
        <r>
          <rPr>
            <sz val="8"/>
            <color indexed="81"/>
            <rFont val="Tahoma"/>
            <family val="2"/>
          </rPr>
          <t xml:space="preserve">
Garvin County Living Center
(405)238-3888</t>
        </r>
      </text>
    </comment>
    <comment ref="B402" authorId="0">
      <text>
        <r>
          <rPr>
            <b/>
            <sz val="8"/>
            <color indexed="81"/>
            <rFont val="Tahoma"/>
            <family val="2"/>
          </rPr>
          <t>116295:</t>
        </r>
        <r>
          <rPr>
            <sz val="8"/>
            <color indexed="81"/>
            <rFont val="Tahoma"/>
            <family val="2"/>
          </rPr>
          <t xml:space="preserve">
Garvin County Living Center
(405)238-3888</t>
        </r>
      </text>
    </comment>
    <comment ref="B403" authorId="0">
      <text>
        <r>
          <rPr>
            <b/>
            <sz val="8"/>
            <color indexed="81"/>
            <rFont val="Tahoma"/>
            <family val="2"/>
          </rPr>
          <t>116295:</t>
        </r>
        <r>
          <rPr>
            <sz val="8"/>
            <color indexed="81"/>
            <rFont val="Tahoma"/>
            <family val="2"/>
          </rPr>
          <t xml:space="preserve">
Garvin County Living Center
(405)238-3888</t>
        </r>
      </text>
    </comment>
    <comment ref="B404" authorId="0">
      <text>
        <r>
          <rPr>
            <b/>
            <sz val="8"/>
            <color indexed="81"/>
            <rFont val="Tahoma"/>
            <family val="2"/>
          </rPr>
          <t>116295:</t>
        </r>
        <r>
          <rPr>
            <sz val="8"/>
            <color indexed="81"/>
            <rFont val="Tahoma"/>
            <family val="2"/>
          </rPr>
          <t xml:space="preserve">
Garvin County Living Center
(405)238-3888</t>
        </r>
      </text>
    </comment>
    <comment ref="B405" authorId="0">
      <text>
        <r>
          <rPr>
            <b/>
            <sz val="8"/>
            <color indexed="81"/>
            <rFont val="Tahoma"/>
            <family val="2"/>
          </rPr>
          <t>116295:</t>
        </r>
        <r>
          <rPr>
            <sz val="8"/>
            <color indexed="81"/>
            <rFont val="Tahoma"/>
            <family val="2"/>
          </rPr>
          <t xml:space="preserve">
Garvin County Living Center
(405)238-3888</t>
        </r>
      </text>
    </comment>
    <comment ref="B406" authorId="0">
      <text>
        <r>
          <rPr>
            <b/>
            <sz val="8"/>
            <color indexed="81"/>
            <rFont val="Tahoma"/>
            <family val="2"/>
          </rPr>
          <t>116295:</t>
        </r>
        <r>
          <rPr>
            <sz val="8"/>
            <color indexed="81"/>
            <rFont val="Tahoma"/>
            <family val="2"/>
          </rPr>
          <t xml:space="preserve">
Garvin County Living Center
(405)238-3888</t>
        </r>
      </text>
    </comment>
    <comment ref="B407" authorId="0">
      <text>
        <r>
          <rPr>
            <b/>
            <sz val="8"/>
            <color indexed="81"/>
            <rFont val="Tahoma"/>
            <family val="2"/>
          </rPr>
          <t>116295:</t>
        </r>
        <r>
          <rPr>
            <sz val="8"/>
            <color indexed="81"/>
            <rFont val="Tahoma"/>
            <family val="2"/>
          </rPr>
          <t xml:space="preserve">
Garvin County Living Center
(405)238-3888</t>
        </r>
      </text>
    </comment>
    <comment ref="B408" authorId="0">
      <text>
        <r>
          <rPr>
            <b/>
            <sz val="8"/>
            <color indexed="81"/>
            <rFont val="Tahoma"/>
            <family val="2"/>
          </rPr>
          <t>116295:</t>
        </r>
        <r>
          <rPr>
            <sz val="8"/>
            <color indexed="81"/>
            <rFont val="Tahoma"/>
            <family val="2"/>
          </rPr>
          <t xml:space="preserve">
Garvin County Living Center
(405)238-3888</t>
        </r>
      </text>
    </comment>
    <comment ref="B409" authorId="0">
      <text>
        <r>
          <rPr>
            <b/>
            <sz val="8"/>
            <color indexed="81"/>
            <rFont val="Tahoma"/>
            <family val="2"/>
          </rPr>
          <t>116295:</t>
        </r>
        <r>
          <rPr>
            <sz val="8"/>
            <color indexed="81"/>
            <rFont val="Tahoma"/>
            <family val="2"/>
          </rPr>
          <t xml:space="preserve">
Garvin County Living Center
(405)238-3888</t>
        </r>
      </text>
    </comment>
    <comment ref="B410" authorId="0">
      <text>
        <r>
          <rPr>
            <b/>
            <sz val="8"/>
            <color indexed="81"/>
            <rFont val="Tahoma"/>
            <family val="2"/>
          </rPr>
          <t>116295:</t>
        </r>
        <r>
          <rPr>
            <sz val="8"/>
            <color indexed="81"/>
            <rFont val="Tahoma"/>
            <family val="2"/>
          </rPr>
          <t xml:space="preserve">
Garvin County Living Center
(405)238-3888</t>
        </r>
      </text>
    </comment>
    <comment ref="B411" authorId="0">
      <text>
        <r>
          <rPr>
            <b/>
            <sz val="8"/>
            <color indexed="81"/>
            <rFont val="Tahoma"/>
            <family val="2"/>
          </rPr>
          <t>116295:</t>
        </r>
        <r>
          <rPr>
            <sz val="8"/>
            <color indexed="81"/>
            <rFont val="Tahoma"/>
            <family val="2"/>
          </rPr>
          <t xml:space="preserve">
Garvin County Living Center
(405)238-3888</t>
        </r>
      </text>
    </comment>
    <comment ref="B412" authorId="0">
      <text>
        <r>
          <rPr>
            <b/>
            <sz val="8"/>
            <color indexed="81"/>
            <rFont val="Tahoma"/>
            <family val="2"/>
          </rPr>
          <t>116295:</t>
        </r>
        <r>
          <rPr>
            <sz val="8"/>
            <color indexed="81"/>
            <rFont val="Tahoma"/>
            <family val="2"/>
          </rPr>
          <t xml:space="preserve">
Garvin County Living Center
(405)238-3888</t>
        </r>
      </text>
    </comment>
    <comment ref="B413" authorId="0">
      <text>
        <r>
          <rPr>
            <b/>
            <sz val="8"/>
            <color indexed="81"/>
            <rFont val="Tahoma"/>
            <family val="2"/>
          </rPr>
          <t>116295:</t>
        </r>
        <r>
          <rPr>
            <sz val="8"/>
            <color indexed="81"/>
            <rFont val="Tahoma"/>
            <family val="2"/>
          </rPr>
          <t xml:space="preserve">
Garvin County Living Center
(405)238-3888</t>
        </r>
      </text>
    </comment>
    <comment ref="B414" authorId="0">
      <text>
        <r>
          <rPr>
            <b/>
            <sz val="8"/>
            <color indexed="81"/>
            <rFont val="Tahoma"/>
            <family val="2"/>
          </rPr>
          <t>116295:</t>
        </r>
        <r>
          <rPr>
            <sz val="8"/>
            <color indexed="81"/>
            <rFont val="Tahoma"/>
            <family val="2"/>
          </rPr>
          <t xml:space="preserve">
Garvin County Living Center
(405)238-3888</t>
        </r>
      </text>
    </comment>
    <comment ref="B415" authorId="0">
      <text>
        <r>
          <rPr>
            <b/>
            <sz val="8"/>
            <color indexed="81"/>
            <rFont val="Tahoma"/>
            <family val="2"/>
          </rPr>
          <t>116295:</t>
        </r>
        <r>
          <rPr>
            <sz val="8"/>
            <color indexed="81"/>
            <rFont val="Tahoma"/>
            <family val="2"/>
          </rPr>
          <t xml:space="preserve">
Garvin County Living Center
(405)238-3888</t>
        </r>
      </text>
    </comment>
    <comment ref="B416" authorId="0">
      <text>
        <r>
          <rPr>
            <b/>
            <sz val="8"/>
            <color indexed="81"/>
            <rFont val="Tahoma"/>
            <family val="2"/>
          </rPr>
          <t>116295:</t>
        </r>
        <r>
          <rPr>
            <sz val="8"/>
            <color indexed="81"/>
            <rFont val="Tahoma"/>
            <family val="2"/>
          </rPr>
          <t xml:space="preserve">
Garvin County Living Center
(405)238-3888</t>
        </r>
      </text>
    </comment>
    <comment ref="B417" authorId="0">
      <text>
        <r>
          <rPr>
            <b/>
            <sz val="8"/>
            <color indexed="81"/>
            <rFont val="Tahoma"/>
            <family val="2"/>
          </rPr>
          <t>116295:</t>
        </r>
        <r>
          <rPr>
            <sz val="8"/>
            <color indexed="81"/>
            <rFont val="Tahoma"/>
            <family val="2"/>
          </rPr>
          <t xml:space="preserve">
Garvin County Living Center
(405)238-3888</t>
        </r>
      </text>
    </comment>
    <comment ref="B418" authorId="0">
      <text>
        <r>
          <rPr>
            <b/>
            <sz val="8"/>
            <color indexed="81"/>
            <rFont val="Tahoma"/>
            <family val="2"/>
          </rPr>
          <t>116295:</t>
        </r>
        <r>
          <rPr>
            <sz val="8"/>
            <color indexed="81"/>
            <rFont val="Tahoma"/>
            <family val="2"/>
          </rPr>
          <t xml:space="preserve">
Garvin County Living Center
(405)238-3888</t>
        </r>
      </text>
    </comment>
    <comment ref="B419" authorId="0">
      <text>
        <r>
          <rPr>
            <b/>
            <sz val="8"/>
            <color indexed="81"/>
            <rFont val="Tahoma"/>
            <family val="2"/>
          </rPr>
          <t>116295:</t>
        </r>
        <r>
          <rPr>
            <sz val="8"/>
            <color indexed="81"/>
            <rFont val="Tahoma"/>
            <family val="2"/>
          </rPr>
          <t xml:space="preserve">
Garvin County Living Center
(405)238-3888</t>
        </r>
      </text>
    </comment>
    <comment ref="B420" authorId="0">
      <text>
        <r>
          <rPr>
            <b/>
            <sz val="8"/>
            <color indexed="81"/>
            <rFont val="Tahoma"/>
            <family val="2"/>
          </rPr>
          <t>116295:</t>
        </r>
        <r>
          <rPr>
            <sz val="8"/>
            <color indexed="81"/>
            <rFont val="Tahoma"/>
            <family val="2"/>
          </rPr>
          <t xml:space="preserve">
Garvin County Living Center
(405)238-3888</t>
        </r>
      </text>
    </comment>
    <comment ref="B421" authorId="0">
      <text>
        <r>
          <rPr>
            <b/>
            <sz val="8"/>
            <color indexed="81"/>
            <rFont val="Tahoma"/>
            <family val="2"/>
          </rPr>
          <t>116295:</t>
        </r>
        <r>
          <rPr>
            <sz val="8"/>
            <color indexed="81"/>
            <rFont val="Tahoma"/>
            <family val="2"/>
          </rPr>
          <t xml:space="preserve">
Garvin County Living Center
(405)238-3888</t>
        </r>
      </text>
    </comment>
    <comment ref="B422" authorId="0">
      <text>
        <r>
          <rPr>
            <b/>
            <sz val="8"/>
            <color indexed="81"/>
            <rFont val="Tahoma"/>
            <family val="2"/>
          </rPr>
          <t>116295:</t>
        </r>
        <r>
          <rPr>
            <sz val="8"/>
            <color indexed="81"/>
            <rFont val="Tahoma"/>
            <family val="2"/>
          </rPr>
          <t xml:space="preserve">
Garvin County Living Center
(405)238-3888</t>
        </r>
      </text>
    </comment>
    <comment ref="B423" authorId="0">
      <text>
        <r>
          <rPr>
            <b/>
            <sz val="8"/>
            <color indexed="81"/>
            <rFont val="Tahoma"/>
            <family val="2"/>
          </rPr>
          <t>116295:</t>
        </r>
        <r>
          <rPr>
            <sz val="8"/>
            <color indexed="81"/>
            <rFont val="Tahoma"/>
            <family val="2"/>
          </rPr>
          <t xml:space="preserve">
Garvin County Living Center
(405)238-3888</t>
        </r>
      </text>
    </comment>
    <comment ref="B424" authorId="0">
      <text>
        <r>
          <rPr>
            <b/>
            <sz val="8"/>
            <color indexed="81"/>
            <rFont val="Tahoma"/>
            <family val="2"/>
          </rPr>
          <t>116295:</t>
        </r>
        <r>
          <rPr>
            <sz val="8"/>
            <color indexed="81"/>
            <rFont val="Tahoma"/>
            <family val="2"/>
          </rPr>
          <t xml:space="preserve">
Garvin County Living Center
(405)238-3888</t>
        </r>
      </text>
    </comment>
    <comment ref="B425" authorId="0">
      <text>
        <r>
          <rPr>
            <b/>
            <sz val="8"/>
            <color indexed="81"/>
            <rFont val="Tahoma"/>
            <family val="2"/>
          </rPr>
          <t>116295:</t>
        </r>
        <r>
          <rPr>
            <sz val="8"/>
            <color indexed="81"/>
            <rFont val="Tahoma"/>
            <family val="2"/>
          </rPr>
          <t xml:space="preserve">
Garvin County Living Center
(405)238-3888</t>
        </r>
      </text>
    </comment>
    <comment ref="B426" authorId="0">
      <text>
        <r>
          <rPr>
            <b/>
            <sz val="8"/>
            <color indexed="81"/>
            <rFont val="Tahoma"/>
            <family val="2"/>
          </rPr>
          <t>116295:</t>
        </r>
        <r>
          <rPr>
            <sz val="8"/>
            <color indexed="81"/>
            <rFont val="Tahoma"/>
            <family val="2"/>
          </rPr>
          <t xml:space="preserve">
Garvin County Living Center
(405)238-3888</t>
        </r>
      </text>
    </comment>
    <comment ref="B427" authorId="0">
      <text>
        <r>
          <rPr>
            <b/>
            <sz val="8"/>
            <color indexed="81"/>
            <rFont val="Tahoma"/>
            <family val="2"/>
          </rPr>
          <t>116295:</t>
        </r>
        <r>
          <rPr>
            <sz val="8"/>
            <color indexed="81"/>
            <rFont val="Tahoma"/>
            <family val="2"/>
          </rPr>
          <t xml:space="preserve">
Garvin County Living Center
(405)238-3888</t>
        </r>
      </text>
    </comment>
    <comment ref="B428" authorId="0">
      <text>
        <r>
          <rPr>
            <b/>
            <sz val="8"/>
            <color indexed="81"/>
            <rFont val="Tahoma"/>
            <family val="2"/>
          </rPr>
          <t>116295:</t>
        </r>
        <r>
          <rPr>
            <sz val="8"/>
            <color indexed="81"/>
            <rFont val="Tahoma"/>
            <family val="2"/>
          </rPr>
          <t xml:space="preserve">
Garvin County Living Center
(405)238-3888</t>
        </r>
      </text>
    </comment>
    <comment ref="B429" authorId="0">
      <text>
        <r>
          <rPr>
            <b/>
            <sz val="8"/>
            <color indexed="81"/>
            <rFont val="Tahoma"/>
            <family val="2"/>
          </rPr>
          <t>116295:</t>
        </r>
        <r>
          <rPr>
            <sz val="8"/>
            <color indexed="81"/>
            <rFont val="Tahoma"/>
            <family val="2"/>
          </rPr>
          <t xml:space="preserve">
Garvin County Living Center
(405)238-3888</t>
        </r>
      </text>
    </comment>
    <comment ref="B430" authorId="0">
      <text>
        <r>
          <rPr>
            <b/>
            <sz val="8"/>
            <color indexed="81"/>
            <rFont val="Tahoma"/>
            <family val="2"/>
          </rPr>
          <t>116295:</t>
        </r>
        <r>
          <rPr>
            <sz val="8"/>
            <color indexed="81"/>
            <rFont val="Tahoma"/>
            <family val="2"/>
          </rPr>
          <t xml:space="preserve">
Garvin County Living Center
(405)238-3888</t>
        </r>
      </text>
    </comment>
    <comment ref="B431" authorId="0">
      <text>
        <r>
          <rPr>
            <b/>
            <sz val="8"/>
            <color indexed="81"/>
            <rFont val="Tahoma"/>
            <family val="2"/>
          </rPr>
          <t>116295:</t>
        </r>
        <r>
          <rPr>
            <sz val="8"/>
            <color indexed="81"/>
            <rFont val="Tahoma"/>
            <family val="2"/>
          </rPr>
          <t xml:space="preserve">
Garvin County Living Center
(405)238-3888</t>
        </r>
      </text>
    </comment>
    <comment ref="B432" authorId="0">
      <text>
        <r>
          <rPr>
            <b/>
            <sz val="8"/>
            <color indexed="81"/>
            <rFont val="Tahoma"/>
            <family val="2"/>
          </rPr>
          <t>116295:</t>
        </r>
        <r>
          <rPr>
            <sz val="8"/>
            <color indexed="81"/>
            <rFont val="Tahoma"/>
            <family val="2"/>
          </rPr>
          <t xml:space="preserve">
Garvin County Living Center
(405)238-3888</t>
        </r>
      </text>
    </comment>
    <comment ref="B433" authorId="0">
      <text>
        <r>
          <rPr>
            <b/>
            <sz val="8"/>
            <color indexed="81"/>
            <rFont val="Tahoma"/>
            <family val="2"/>
          </rPr>
          <t>116295:</t>
        </r>
        <r>
          <rPr>
            <sz val="8"/>
            <color indexed="81"/>
            <rFont val="Tahoma"/>
            <family val="2"/>
          </rPr>
          <t xml:space="preserve">
Garvin County Living Center
(405)238-3888</t>
        </r>
      </text>
    </comment>
    <comment ref="B434" authorId="0">
      <text>
        <r>
          <rPr>
            <b/>
            <sz val="8"/>
            <color indexed="81"/>
            <rFont val="Tahoma"/>
            <family val="2"/>
          </rPr>
          <t>116295:</t>
        </r>
        <r>
          <rPr>
            <sz val="8"/>
            <color indexed="81"/>
            <rFont val="Tahoma"/>
            <family val="2"/>
          </rPr>
          <t xml:space="preserve">
Garvin County Living Center
(405)238-3888</t>
        </r>
      </text>
    </comment>
    <comment ref="B435" authorId="0">
      <text>
        <r>
          <rPr>
            <b/>
            <sz val="8"/>
            <color indexed="81"/>
            <rFont val="Tahoma"/>
            <family val="2"/>
          </rPr>
          <t>116295:</t>
        </r>
        <r>
          <rPr>
            <sz val="8"/>
            <color indexed="81"/>
            <rFont val="Tahoma"/>
            <family val="2"/>
          </rPr>
          <t xml:space="preserve">
Garvin County Living Center
(405)238-3888</t>
        </r>
      </text>
    </comment>
    <comment ref="B436" authorId="0">
      <text>
        <r>
          <rPr>
            <b/>
            <sz val="8"/>
            <color indexed="81"/>
            <rFont val="Tahoma"/>
            <family val="2"/>
          </rPr>
          <t>116295:</t>
        </r>
        <r>
          <rPr>
            <sz val="8"/>
            <color indexed="81"/>
            <rFont val="Tahoma"/>
            <family val="2"/>
          </rPr>
          <t xml:space="preserve">
Garvin County Living Center
(405)238-3888</t>
        </r>
      </text>
    </comment>
    <comment ref="B437" authorId="0">
      <text>
        <r>
          <rPr>
            <b/>
            <sz val="8"/>
            <color indexed="81"/>
            <rFont val="Tahoma"/>
            <family val="2"/>
          </rPr>
          <t>116295:</t>
        </r>
        <r>
          <rPr>
            <sz val="8"/>
            <color indexed="81"/>
            <rFont val="Tahoma"/>
            <family val="2"/>
          </rPr>
          <t xml:space="preserve">
Garvin County Living Center
(405)238-3888</t>
        </r>
      </text>
    </comment>
    <comment ref="B438" authorId="0">
      <text>
        <r>
          <rPr>
            <b/>
            <sz val="8"/>
            <color indexed="81"/>
            <rFont val="Tahoma"/>
            <family val="2"/>
          </rPr>
          <t>116295:</t>
        </r>
        <r>
          <rPr>
            <sz val="8"/>
            <color indexed="81"/>
            <rFont val="Tahoma"/>
            <family val="2"/>
          </rPr>
          <t xml:space="preserve">
Garvin County Living Center
(405)238-3888</t>
        </r>
      </text>
    </comment>
    <comment ref="B439" authorId="0">
      <text>
        <r>
          <rPr>
            <b/>
            <sz val="8"/>
            <color indexed="81"/>
            <rFont val="Tahoma"/>
            <family val="2"/>
          </rPr>
          <t>116295:</t>
        </r>
        <r>
          <rPr>
            <sz val="8"/>
            <color indexed="81"/>
            <rFont val="Tahoma"/>
            <family val="2"/>
          </rPr>
          <t xml:space="preserve">
Garvin County Living Center
(405)238-3888</t>
        </r>
      </text>
    </comment>
    <comment ref="B440" authorId="0">
      <text>
        <r>
          <rPr>
            <b/>
            <sz val="8"/>
            <color indexed="81"/>
            <rFont val="Tahoma"/>
            <family val="2"/>
          </rPr>
          <t>116295:</t>
        </r>
        <r>
          <rPr>
            <sz val="8"/>
            <color indexed="81"/>
            <rFont val="Tahoma"/>
            <family val="2"/>
          </rPr>
          <t xml:space="preserve">
Garvin County Living Center
(405)238-3888</t>
        </r>
      </text>
    </comment>
    <comment ref="B441" authorId="0">
      <text>
        <r>
          <rPr>
            <b/>
            <sz val="8"/>
            <color indexed="81"/>
            <rFont val="Tahoma"/>
            <family val="2"/>
          </rPr>
          <t>116295:</t>
        </r>
        <r>
          <rPr>
            <sz val="8"/>
            <color indexed="81"/>
            <rFont val="Tahoma"/>
            <family val="2"/>
          </rPr>
          <t xml:space="preserve">
Garvin County Living Center
(405)238-3888</t>
        </r>
      </text>
    </comment>
    <comment ref="B442" authorId="0">
      <text>
        <r>
          <rPr>
            <b/>
            <sz val="8"/>
            <color indexed="81"/>
            <rFont val="Tahoma"/>
            <family val="2"/>
          </rPr>
          <t>116295:</t>
        </r>
        <r>
          <rPr>
            <sz val="8"/>
            <color indexed="81"/>
            <rFont val="Tahoma"/>
            <family val="2"/>
          </rPr>
          <t xml:space="preserve">
Garvin County Living Center
(405)238-3888</t>
        </r>
      </text>
    </comment>
    <comment ref="B443" authorId="0">
      <text>
        <r>
          <rPr>
            <b/>
            <sz val="8"/>
            <color indexed="81"/>
            <rFont val="Tahoma"/>
            <family val="2"/>
          </rPr>
          <t>116295:</t>
        </r>
        <r>
          <rPr>
            <sz val="8"/>
            <color indexed="81"/>
            <rFont val="Tahoma"/>
            <family val="2"/>
          </rPr>
          <t xml:space="preserve">
Garvin County Living Center
(405)238-3888</t>
        </r>
      </text>
    </comment>
    <comment ref="B444" authorId="0">
      <text>
        <r>
          <rPr>
            <b/>
            <sz val="8"/>
            <color indexed="81"/>
            <rFont val="Tahoma"/>
            <family val="2"/>
          </rPr>
          <t>116295:</t>
        </r>
        <r>
          <rPr>
            <sz val="8"/>
            <color indexed="81"/>
            <rFont val="Tahoma"/>
            <family val="2"/>
          </rPr>
          <t xml:space="preserve">
Garvin County Living Center
(405)238-3888</t>
        </r>
      </text>
    </comment>
    <comment ref="B445" authorId="0">
      <text>
        <r>
          <rPr>
            <b/>
            <sz val="8"/>
            <color indexed="81"/>
            <rFont val="Tahoma"/>
            <family val="2"/>
          </rPr>
          <t>116295:</t>
        </r>
        <r>
          <rPr>
            <sz val="8"/>
            <color indexed="81"/>
            <rFont val="Tahoma"/>
            <family val="2"/>
          </rPr>
          <t xml:space="preserve">
Garvin County Living Center
(405)238-3888</t>
        </r>
      </text>
    </comment>
    <comment ref="B446" authorId="0">
      <text>
        <r>
          <rPr>
            <b/>
            <sz val="8"/>
            <color indexed="81"/>
            <rFont val="Tahoma"/>
            <family val="2"/>
          </rPr>
          <t>116295:</t>
        </r>
        <r>
          <rPr>
            <sz val="8"/>
            <color indexed="81"/>
            <rFont val="Tahoma"/>
            <family val="2"/>
          </rPr>
          <t xml:space="preserve">
Garvin County Living Center
(405)238-3888</t>
        </r>
      </text>
    </comment>
    <comment ref="B447" authorId="0">
      <text>
        <r>
          <rPr>
            <b/>
            <sz val="8"/>
            <color indexed="81"/>
            <rFont val="Tahoma"/>
            <family val="2"/>
          </rPr>
          <t>116295:</t>
        </r>
        <r>
          <rPr>
            <sz val="8"/>
            <color indexed="81"/>
            <rFont val="Tahoma"/>
            <family val="2"/>
          </rPr>
          <t xml:space="preserve">
Garvin County Living Center
(405)238-3888</t>
        </r>
      </text>
    </comment>
    <comment ref="B448" authorId="0">
      <text>
        <r>
          <rPr>
            <b/>
            <sz val="8"/>
            <color indexed="81"/>
            <rFont val="Tahoma"/>
            <family val="2"/>
          </rPr>
          <t>116295:</t>
        </r>
        <r>
          <rPr>
            <sz val="8"/>
            <color indexed="81"/>
            <rFont val="Tahoma"/>
            <family val="2"/>
          </rPr>
          <t xml:space="preserve">
Garvin County Living Center
(405)238-3888</t>
        </r>
      </text>
    </comment>
    <comment ref="B449" authorId="0">
      <text>
        <r>
          <rPr>
            <b/>
            <sz val="8"/>
            <color indexed="81"/>
            <rFont val="Tahoma"/>
            <family val="2"/>
          </rPr>
          <t>116295:</t>
        </r>
        <r>
          <rPr>
            <sz val="8"/>
            <color indexed="81"/>
            <rFont val="Tahoma"/>
            <family val="2"/>
          </rPr>
          <t xml:space="preserve">
Garvin County Living Center
(405)238-3888</t>
        </r>
      </text>
    </comment>
    <comment ref="B450" authorId="0">
      <text>
        <r>
          <rPr>
            <b/>
            <sz val="8"/>
            <color indexed="81"/>
            <rFont val="Tahoma"/>
            <family val="2"/>
          </rPr>
          <t>116295:</t>
        </r>
        <r>
          <rPr>
            <sz val="8"/>
            <color indexed="81"/>
            <rFont val="Tahoma"/>
            <family val="2"/>
          </rPr>
          <t xml:space="preserve">
Garvin County Living Center
(405)238-3888</t>
        </r>
      </text>
    </comment>
    <comment ref="B451" authorId="0">
      <text>
        <r>
          <rPr>
            <b/>
            <sz val="8"/>
            <color indexed="81"/>
            <rFont val="Tahoma"/>
            <family val="2"/>
          </rPr>
          <t>116295:</t>
        </r>
        <r>
          <rPr>
            <sz val="8"/>
            <color indexed="81"/>
            <rFont val="Tahoma"/>
            <family val="2"/>
          </rPr>
          <t xml:space="preserve">
Garvin County Living Center
(405)238-3888</t>
        </r>
      </text>
    </comment>
    <comment ref="B452" authorId="0">
      <text>
        <r>
          <rPr>
            <b/>
            <sz val="8"/>
            <color indexed="81"/>
            <rFont val="Tahoma"/>
            <family val="2"/>
          </rPr>
          <t>116295:</t>
        </r>
        <r>
          <rPr>
            <sz val="8"/>
            <color indexed="81"/>
            <rFont val="Tahoma"/>
            <family val="2"/>
          </rPr>
          <t xml:space="preserve">
Garvin County Living Center
(405)238-3888</t>
        </r>
      </text>
    </comment>
    <comment ref="B453" authorId="0">
      <text>
        <r>
          <rPr>
            <b/>
            <sz val="8"/>
            <color indexed="81"/>
            <rFont val="Tahoma"/>
            <family val="2"/>
          </rPr>
          <t>116295:</t>
        </r>
        <r>
          <rPr>
            <sz val="8"/>
            <color indexed="81"/>
            <rFont val="Tahoma"/>
            <family val="2"/>
          </rPr>
          <t xml:space="preserve">
Garvin County Living Center
(405)238-3888</t>
        </r>
      </text>
    </comment>
    <comment ref="B454" authorId="0">
      <text>
        <r>
          <rPr>
            <b/>
            <sz val="8"/>
            <color indexed="81"/>
            <rFont val="Tahoma"/>
            <family val="2"/>
          </rPr>
          <t>116295:</t>
        </r>
        <r>
          <rPr>
            <sz val="8"/>
            <color indexed="81"/>
            <rFont val="Tahoma"/>
            <family val="2"/>
          </rPr>
          <t xml:space="preserve">
Garvin County Living Center
(405)238-3888</t>
        </r>
      </text>
    </comment>
    <comment ref="B455" authorId="0">
      <text>
        <r>
          <rPr>
            <b/>
            <sz val="8"/>
            <color indexed="81"/>
            <rFont val="Tahoma"/>
            <family val="2"/>
          </rPr>
          <t>116295:</t>
        </r>
        <r>
          <rPr>
            <sz val="8"/>
            <color indexed="81"/>
            <rFont val="Tahoma"/>
            <family val="2"/>
          </rPr>
          <t xml:space="preserve">
Garvin County Living Center
(405)238-3888</t>
        </r>
      </text>
    </comment>
    <comment ref="B456" authorId="0">
      <text>
        <r>
          <rPr>
            <b/>
            <sz val="8"/>
            <color indexed="81"/>
            <rFont val="Tahoma"/>
            <family val="2"/>
          </rPr>
          <t>116295:</t>
        </r>
        <r>
          <rPr>
            <sz val="8"/>
            <color indexed="81"/>
            <rFont val="Tahoma"/>
            <family val="2"/>
          </rPr>
          <t xml:space="preserve">
Garvin County Living Center
(405)238-3888</t>
        </r>
      </text>
    </comment>
    <comment ref="B457" authorId="0">
      <text>
        <r>
          <rPr>
            <b/>
            <sz val="8"/>
            <color indexed="81"/>
            <rFont val="Tahoma"/>
            <family val="2"/>
          </rPr>
          <t>116295:</t>
        </r>
        <r>
          <rPr>
            <sz val="8"/>
            <color indexed="81"/>
            <rFont val="Tahoma"/>
            <family val="2"/>
          </rPr>
          <t xml:space="preserve">
Garvin County Living Center
(405)238-3888</t>
        </r>
      </text>
    </comment>
    <comment ref="B458" authorId="0">
      <text>
        <r>
          <rPr>
            <b/>
            <sz val="8"/>
            <color indexed="81"/>
            <rFont val="Tahoma"/>
            <family val="2"/>
          </rPr>
          <t>116295:</t>
        </r>
        <r>
          <rPr>
            <sz val="8"/>
            <color indexed="81"/>
            <rFont val="Tahoma"/>
            <family val="2"/>
          </rPr>
          <t xml:space="preserve">
Garvin County Living Center
(405)238-3888</t>
        </r>
      </text>
    </comment>
    <comment ref="B459" authorId="0">
      <text>
        <r>
          <rPr>
            <b/>
            <sz val="8"/>
            <color indexed="81"/>
            <rFont val="Tahoma"/>
            <family val="2"/>
          </rPr>
          <t>116295:</t>
        </r>
        <r>
          <rPr>
            <sz val="8"/>
            <color indexed="81"/>
            <rFont val="Tahoma"/>
            <family val="2"/>
          </rPr>
          <t xml:space="preserve">
Garvin County Living Center
(405)238-3888</t>
        </r>
      </text>
    </comment>
    <comment ref="B460" authorId="0">
      <text>
        <r>
          <rPr>
            <b/>
            <sz val="8"/>
            <color indexed="81"/>
            <rFont val="Tahoma"/>
            <family val="2"/>
          </rPr>
          <t>116295:</t>
        </r>
        <r>
          <rPr>
            <sz val="8"/>
            <color indexed="81"/>
            <rFont val="Tahoma"/>
            <family val="2"/>
          </rPr>
          <t xml:space="preserve">
Garvin County Living Center
(405)238-3888</t>
        </r>
      </text>
    </comment>
    <comment ref="B461" authorId="0">
      <text>
        <r>
          <rPr>
            <b/>
            <sz val="8"/>
            <color indexed="81"/>
            <rFont val="Tahoma"/>
            <family val="2"/>
          </rPr>
          <t>116295:</t>
        </r>
        <r>
          <rPr>
            <sz val="8"/>
            <color indexed="81"/>
            <rFont val="Tahoma"/>
            <family val="2"/>
          </rPr>
          <t xml:space="preserve">
Garvin County Living Center
(405)238-3888</t>
        </r>
      </text>
    </comment>
    <comment ref="B462" authorId="0">
      <text>
        <r>
          <rPr>
            <b/>
            <sz val="8"/>
            <color indexed="81"/>
            <rFont val="Tahoma"/>
            <family val="2"/>
          </rPr>
          <t>116295:</t>
        </r>
        <r>
          <rPr>
            <sz val="8"/>
            <color indexed="81"/>
            <rFont val="Tahoma"/>
            <family val="2"/>
          </rPr>
          <t xml:space="preserve">
Garvin County Living Center
(405)238-3888</t>
        </r>
      </text>
    </comment>
    <comment ref="B463" authorId="0">
      <text>
        <r>
          <rPr>
            <b/>
            <sz val="8"/>
            <color indexed="81"/>
            <rFont val="Tahoma"/>
            <family val="2"/>
          </rPr>
          <t>116295:</t>
        </r>
        <r>
          <rPr>
            <sz val="8"/>
            <color indexed="81"/>
            <rFont val="Tahoma"/>
            <family val="2"/>
          </rPr>
          <t xml:space="preserve">
Garvin County Living Center
(405)238-3888</t>
        </r>
      </text>
    </comment>
    <comment ref="B464" authorId="0">
      <text>
        <r>
          <rPr>
            <b/>
            <sz val="8"/>
            <color indexed="81"/>
            <rFont val="Tahoma"/>
            <family val="2"/>
          </rPr>
          <t>116295:</t>
        </r>
        <r>
          <rPr>
            <sz val="8"/>
            <color indexed="81"/>
            <rFont val="Tahoma"/>
            <family val="2"/>
          </rPr>
          <t xml:space="preserve">
Garvin County Living Center
(405)238-3888</t>
        </r>
      </text>
    </comment>
    <comment ref="B465" authorId="0">
      <text>
        <r>
          <rPr>
            <b/>
            <sz val="8"/>
            <color indexed="81"/>
            <rFont val="Tahoma"/>
            <family val="2"/>
          </rPr>
          <t>116295:</t>
        </r>
        <r>
          <rPr>
            <sz val="8"/>
            <color indexed="81"/>
            <rFont val="Tahoma"/>
            <family val="2"/>
          </rPr>
          <t xml:space="preserve">
Garvin County Living Center
(405)238-3888</t>
        </r>
      </text>
    </comment>
    <comment ref="B466" authorId="0">
      <text>
        <r>
          <rPr>
            <b/>
            <sz val="8"/>
            <color indexed="81"/>
            <rFont val="Tahoma"/>
            <family val="2"/>
          </rPr>
          <t>116295:</t>
        </r>
        <r>
          <rPr>
            <sz val="8"/>
            <color indexed="81"/>
            <rFont val="Tahoma"/>
            <family val="2"/>
          </rPr>
          <t xml:space="preserve">
Garvin County Living Center
(405)238-3888</t>
        </r>
      </text>
    </comment>
    <comment ref="B467" authorId="0">
      <text>
        <r>
          <rPr>
            <b/>
            <sz val="8"/>
            <color indexed="81"/>
            <rFont val="Tahoma"/>
            <family val="2"/>
          </rPr>
          <t>116295:</t>
        </r>
        <r>
          <rPr>
            <sz val="8"/>
            <color indexed="81"/>
            <rFont val="Tahoma"/>
            <family val="2"/>
          </rPr>
          <t xml:space="preserve">
Garvin County Living Center
(405)238-3888</t>
        </r>
      </text>
    </comment>
    <comment ref="B468" authorId="0">
      <text>
        <r>
          <rPr>
            <b/>
            <sz val="8"/>
            <color indexed="81"/>
            <rFont val="Tahoma"/>
            <family val="2"/>
          </rPr>
          <t>116295:</t>
        </r>
        <r>
          <rPr>
            <sz val="8"/>
            <color indexed="81"/>
            <rFont val="Tahoma"/>
            <family val="2"/>
          </rPr>
          <t xml:space="preserve">
Garvin County Living Center
(405)238-3888</t>
        </r>
      </text>
    </comment>
    <comment ref="B469" authorId="0">
      <text>
        <r>
          <rPr>
            <b/>
            <sz val="8"/>
            <color indexed="81"/>
            <rFont val="Tahoma"/>
            <family val="2"/>
          </rPr>
          <t>116295:</t>
        </r>
        <r>
          <rPr>
            <sz val="8"/>
            <color indexed="81"/>
            <rFont val="Tahoma"/>
            <family val="2"/>
          </rPr>
          <t xml:space="preserve">
Garvin County Living Center
(405)238-3888</t>
        </r>
      </text>
    </comment>
    <comment ref="B470" authorId="0">
      <text>
        <r>
          <rPr>
            <b/>
            <sz val="8"/>
            <color indexed="81"/>
            <rFont val="Tahoma"/>
            <family val="2"/>
          </rPr>
          <t>116295:</t>
        </r>
        <r>
          <rPr>
            <sz val="8"/>
            <color indexed="81"/>
            <rFont val="Tahoma"/>
            <family val="2"/>
          </rPr>
          <t xml:space="preserve">
Garvin County Living Center
(405)238-3888</t>
        </r>
      </text>
    </comment>
    <comment ref="B471" authorId="0">
      <text>
        <r>
          <rPr>
            <b/>
            <sz val="8"/>
            <color indexed="81"/>
            <rFont val="Tahoma"/>
            <family val="2"/>
          </rPr>
          <t>116295:</t>
        </r>
        <r>
          <rPr>
            <sz val="8"/>
            <color indexed="81"/>
            <rFont val="Tahoma"/>
            <family val="2"/>
          </rPr>
          <t xml:space="preserve">
Garvin County Living Center
(405)238-3888</t>
        </r>
      </text>
    </comment>
    <comment ref="B472" authorId="0">
      <text>
        <r>
          <rPr>
            <b/>
            <sz val="8"/>
            <color indexed="81"/>
            <rFont val="Tahoma"/>
            <family val="2"/>
          </rPr>
          <t>116295:</t>
        </r>
        <r>
          <rPr>
            <sz val="8"/>
            <color indexed="81"/>
            <rFont val="Tahoma"/>
            <family val="2"/>
          </rPr>
          <t xml:space="preserve">
Garvin County Living Center
(405)238-3888</t>
        </r>
      </text>
    </comment>
    <comment ref="B473" authorId="0">
      <text>
        <r>
          <rPr>
            <b/>
            <sz val="8"/>
            <color indexed="81"/>
            <rFont val="Tahoma"/>
            <family val="2"/>
          </rPr>
          <t>116295:</t>
        </r>
        <r>
          <rPr>
            <sz val="8"/>
            <color indexed="81"/>
            <rFont val="Tahoma"/>
            <family val="2"/>
          </rPr>
          <t xml:space="preserve">
Garvin County Living Center
(405)238-3888</t>
        </r>
      </text>
    </comment>
    <comment ref="B474" authorId="0">
      <text>
        <r>
          <rPr>
            <b/>
            <sz val="8"/>
            <color indexed="81"/>
            <rFont val="Tahoma"/>
            <family val="2"/>
          </rPr>
          <t>116295:</t>
        </r>
        <r>
          <rPr>
            <sz val="8"/>
            <color indexed="81"/>
            <rFont val="Tahoma"/>
            <family val="2"/>
          </rPr>
          <t xml:space="preserve">
Garvin County Living Center
(405)238-3888</t>
        </r>
      </text>
    </comment>
    <comment ref="B475" authorId="0">
      <text>
        <r>
          <rPr>
            <b/>
            <sz val="8"/>
            <color indexed="81"/>
            <rFont val="Tahoma"/>
            <family val="2"/>
          </rPr>
          <t>116295:</t>
        </r>
        <r>
          <rPr>
            <sz val="8"/>
            <color indexed="81"/>
            <rFont val="Tahoma"/>
            <family val="2"/>
          </rPr>
          <t xml:space="preserve">
Garvin County Living Center
(405)238-3888</t>
        </r>
      </text>
    </comment>
    <comment ref="B476" authorId="0">
      <text>
        <r>
          <rPr>
            <b/>
            <sz val="8"/>
            <color indexed="81"/>
            <rFont val="Tahoma"/>
            <family val="2"/>
          </rPr>
          <t>116295:</t>
        </r>
        <r>
          <rPr>
            <sz val="8"/>
            <color indexed="81"/>
            <rFont val="Tahoma"/>
            <family val="2"/>
          </rPr>
          <t xml:space="preserve">
Garvin County Living Center
(405)238-3888</t>
        </r>
      </text>
    </comment>
    <comment ref="B477" authorId="0">
      <text>
        <r>
          <rPr>
            <b/>
            <sz val="8"/>
            <color indexed="81"/>
            <rFont val="Tahoma"/>
            <family val="2"/>
          </rPr>
          <t>116295:</t>
        </r>
        <r>
          <rPr>
            <sz val="8"/>
            <color indexed="81"/>
            <rFont val="Tahoma"/>
            <family val="2"/>
          </rPr>
          <t xml:space="preserve">
Garvin County Living Center
(405)238-3888</t>
        </r>
      </text>
    </comment>
    <comment ref="B478" authorId="0">
      <text>
        <r>
          <rPr>
            <b/>
            <sz val="8"/>
            <color indexed="81"/>
            <rFont val="Tahoma"/>
            <family val="2"/>
          </rPr>
          <t>116295:</t>
        </r>
        <r>
          <rPr>
            <sz val="8"/>
            <color indexed="81"/>
            <rFont val="Tahoma"/>
            <family val="2"/>
          </rPr>
          <t xml:space="preserve">
Garvin County Living Center
(405)238-3888</t>
        </r>
      </text>
    </comment>
    <comment ref="B479" authorId="0">
      <text>
        <r>
          <rPr>
            <b/>
            <sz val="8"/>
            <color indexed="81"/>
            <rFont val="Tahoma"/>
            <family val="2"/>
          </rPr>
          <t>116295:</t>
        </r>
        <r>
          <rPr>
            <sz val="8"/>
            <color indexed="81"/>
            <rFont val="Tahoma"/>
            <family val="2"/>
          </rPr>
          <t xml:space="preserve">
Garvin County Living Center
(405)238-3888</t>
        </r>
      </text>
    </comment>
    <comment ref="B480" authorId="0">
      <text>
        <r>
          <rPr>
            <b/>
            <sz val="8"/>
            <color indexed="81"/>
            <rFont val="Tahoma"/>
            <family val="2"/>
          </rPr>
          <t>116295:</t>
        </r>
        <r>
          <rPr>
            <sz val="8"/>
            <color indexed="81"/>
            <rFont val="Tahoma"/>
            <family val="2"/>
          </rPr>
          <t xml:space="preserve">
Garvin County Living Center
(405)238-3888</t>
        </r>
      </text>
    </comment>
    <comment ref="B481" authorId="0">
      <text>
        <r>
          <rPr>
            <b/>
            <sz val="8"/>
            <color indexed="81"/>
            <rFont val="Tahoma"/>
            <family val="2"/>
          </rPr>
          <t>116295:</t>
        </r>
        <r>
          <rPr>
            <sz val="8"/>
            <color indexed="81"/>
            <rFont val="Tahoma"/>
            <family val="2"/>
          </rPr>
          <t xml:space="preserve">
Garvin County Living Center
(405)238-3888</t>
        </r>
      </text>
    </comment>
    <comment ref="B482" authorId="0">
      <text>
        <r>
          <rPr>
            <b/>
            <sz val="8"/>
            <color indexed="81"/>
            <rFont val="Tahoma"/>
            <family val="2"/>
          </rPr>
          <t>116295:</t>
        </r>
        <r>
          <rPr>
            <sz val="8"/>
            <color indexed="81"/>
            <rFont val="Tahoma"/>
            <family val="2"/>
          </rPr>
          <t xml:space="preserve">
Garvin County Living Center
(405)238-3888</t>
        </r>
      </text>
    </comment>
    <comment ref="B483" authorId="0">
      <text>
        <r>
          <rPr>
            <b/>
            <sz val="8"/>
            <color indexed="81"/>
            <rFont val="Tahoma"/>
            <family val="2"/>
          </rPr>
          <t>116295:</t>
        </r>
        <r>
          <rPr>
            <sz val="8"/>
            <color indexed="81"/>
            <rFont val="Tahoma"/>
            <family val="2"/>
          </rPr>
          <t xml:space="preserve">
Garvin County Living Center
(405)238-3888</t>
        </r>
      </text>
    </comment>
    <comment ref="B484" authorId="0">
      <text>
        <r>
          <rPr>
            <b/>
            <sz val="8"/>
            <color indexed="81"/>
            <rFont val="Tahoma"/>
            <family val="2"/>
          </rPr>
          <t>116295:</t>
        </r>
        <r>
          <rPr>
            <sz val="8"/>
            <color indexed="81"/>
            <rFont val="Tahoma"/>
            <family val="2"/>
          </rPr>
          <t xml:space="preserve">
Garvin County Living Center
(405)238-3888</t>
        </r>
      </text>
    </comment>
    <comment ref="B485" authorId="0">
      <text>
        <r>
          <rPr>
            <b/>
            <sz val="8"/>
            <color indexed="81"/>
            <rFont val="Tahoma"/>
            <family val="2"/>
          </rPr>
          <t>116295:</t>
        </r>
        <r>
          <rPr>
            <sz val="8"/>
            <color indexed="81"/>
            <rFont val="Tahoma"/>
            <family val="2"/>
          </rPr>
          <t xml:space="preserve">
Garvin County Living Center
(405)238-3888</t>
        </r>
      </text>
    </comment>
    <comment ref="B486" authorId="0">
      <text>
        <r>
          <rPr>
            <b/>
            <sz val="8"/>
            <color indexed="81"/>
            <rFont val="Tahoma"/>
            <family val="2"/>
          </rPr>
          <t>116295:</t>
        </r>
        <r>
          <rPr>
            <sz val="8"/>
            <color indexed="81"/>
            <rFont val="Tahoma"/>
            <family val="2"/>
          </rPr>
          <t xml:space="preserve">
Garvin County Living Center
(405)238-3888</t>
        </r>
      </text>
    </comment>
    <comment ref="B487" authorId="0">
      <text>
        <r>
          <rPr>
            <b/>
            <sz val="8"/>
            <color indexed="81"/>
            <rFont val="Tahoma"/>
            <family val="2"/>
          </rPr>
          <t>116295:</t>
        </r>
        <r>
          <rPr>
            <sz val="8"/>
            <color indexed="81"/>
            <rFont val="Tahoma"/>
            <family val="2"/>
          </rPr>
          <t xml:space="preserve">
Garvin County Living Center
(405)238-3888</t>
        </r>
      </text>
    </comment>
    <comment ref="B488" authorId="0">
      <text>
        <r>
          <rPr>
            <b/>
            <sz val="8"/>
            <color indexed="81"/>
            <rFont val="Tahoma"/>
            <family val="2"/>
          </rPr>
          <t>116295:</t>
        </r>
        <r>
          <rPr>
            <sz val="8"/>
            <color indexed="81"/>
            <rFont val="Tahoma"/>
            <family val="2"/>
          </rPr>
          <t xml:space="preserve">
Garvin County Living Center
(405)238-3888</t>
        </r>
      </text>
    </comment>
    <comment ref="B489" authorId="0">
      <text>
        <r>
          <rPr>
            <b/>
            <sz val="8"/>
            <color indexed="81"/>
            <rFont val="Tahoma"/>
            <family val="2"/>
          </rPr>
          <t>116295:</t>
        </r>
        <r>
          <rPr>
            <sz val="8"/>
            <color indexed="81"/>
            <rFont val="Tahoma"/>
            <family val="2"/>
          </rPr>
          <t xml:space="preserve">
Garvin County Living Center
(405)238-3888</t>
        </r>
      </text>
    </comment>
    <comment ref="B490" authorId="0">
      <text>
        <r>
          <rPr>
            <b/>
            <sz val="8"/>
            <color indexed="81"/>
            <rFont val="Tahoma"/>
            <family val="2"/>
          </rPr>
          <t>116295:</t>
        </r>
        <r>
          <rPr>
            <sz val="8"/>
            <color indexed="81"/>
            <rFont val="Tahoma"/>
            <family val="2"/>
          </rPr>
          <t xml:space="preserve">
Garvin County Living Center
(405)238-3888</t>
        </r>
      </text>
    </comment>
    <comment ref="B491" authorId="0">
      <text>
        <r>
          <rPr>
            <b/>
            <sz val="8"/>
            <color indexed="81"/>
            <rFont val="Tahoma"/>
            <family val="2"/>
          </rPr>
          <t>116295:</t>
        </r>
        <r>
          <rPr>
            <sz val="8"/>
            <color indexed="81"/>
            <rFont val="Tahoma"/>
            <family val="2"/>
          </rPr>
          <t xml:space="preserve">
Garvin County Living Center
(405)238-3888</t>
        </r>
      </text>
    </comment>
    <comment ref="B492" authorId="0">
      <text>
        <r>
          <rPr>
            <b/>
            <sz val="8"/>
            <color indexed="81"/>
            <rFont val="Tahoma"/>
            <family val="2"/>
          </rPr>
          <t>116295:</t>
        </r>
        <r>
          <rPr>
            <sz val="8"/>
            <color indexed="81"/>
            <rFont val="Tahoma"/>
            <family val="2"/>
          </rPr>
          <t xml:space="preserve">
Garvin County Living Center
(405)238-3888</t>
        </r>
      </text>
    </comment>
    <comment ref="B493" authorId="0">
      <text>
        <r>
          <rPr>
            <b/>
            <sz val="8"/>
            <color indexed="81"/>
            <rFont val="Tahoma"/>
            <family val="2"/>
          </rPr>
          <t>116295:</t>
        </r>
        <r>
          <rPr>
            <sz val="8"/>
            <color indexed="81"/>
            <rFont val="Tahoma"/>
            <family val="2"/>
          </rPr>
          <t xml:space="preserve">
Garvin County Living Center
(405)238-3888</t>
        </r>
      </text>
    </comment>
    <comment ref="B494" authorId="0">
      <text>
        <r>
          <rPr>
            <b/>
            <sz val="8"/>
            <color indexed="81"/>
            <rFont val="Tahoma"/>
            <family val="2"/>
          </rPr>
          <t>116295:</t>
        </r>
        <r>
          <rPr>
            <sz val="8"/>
            <color indexed="81"/>
            <rFont val="Tahoma"/>
            <family val="2"/>
          </rPr>
          <t xml:space="preserve">
Garvin County Living Center
(405)238-3888</t>
        </r>
      </text>
    </comment>
    <comment ref="B495" authorId="0">
      <text>
        <r>
          <rPr>
            <b/>
            <sz val="8"/>
            <color indexed="81"/>
            <rFont val="Tahoma"/>
            <family val="2"/>
          </rPr>
          <t>116295:</t>
        </r>
        <r>
          <rPr>
            <sz val="8"/>
            <color indexed="81"/>
            <rFont val="Tahoma"/>
            <family val="2"/>
          </rPr>
          <t xml:space="preserve">
Garvin County Living Center
(405)238-3888</t>
        </r>
      </text>
    </comment>
    <comment ref="B496" authorId="0">
      <text>
        <r>
          <rPr>
            <b/>
            <sz val="8"/>
            <color indexed="81"/>
            <rFont val="Tahoma"/>
            <family val="2"/>
          </rPr>
          <t>116295:</t>
        </r>
        <r>
          <rPr>
            <sz val="8"/>
            <color indexed="81"/>
            <rFont val="Tahoma"/>
            <family val="2"/>
          </rPr>
          <t xml:space="preserve">
Garvin County Living Center
(405)238-3888</t>
        </r>
      </text>
    </comment>
    <comment ref="B497" authorId="0">
      <text>
        <r>
          <rPr>
            <b/>
            <sz val="8"/>
            <color indexed="81"/>
            <rFont val="Tahoma"/>
            <family val="2"/>
          </rPr>
          <t>116295:</t>
        </r>
        <r>
          <rPr>
            <sz val="8"/>
            <color indexed="81"/>
            <rFont val="Tahoma"/>
            <family val="2"/>
          </rPr>
          <t xml:space="preserve">
Garvin County Living Center
(405)238-3888</t>
        </r>
      </text>
    </comment>
    <comment ref="B498" authorId="0">
      <text>
        <r>
          <rPr>
            <b/>
            <sz val="8"/>
            <color indexed="81"/>
            <rFont val="Tahoma"/>
            <family val="2"/>
          </rPr>
          <t>116295:</t>
        </r>
        <r>
          <rPr>
            <sz val="8"/>
            <color indexed="81"/>
            <rFont val="Tahoma"/>
            <family val="2"/>
          </rPr>
          <t xml:space="preserve">
Garvin County Living Center
(405)238-3888</t>
        </r>
      </text>
    </comment>
    <comment ref="B499" authorId="0">
      <text>
        <r>
          <rPr>
            <b/>
            <sz val="8"/>
            <color indexed="81"/>
            <rFont val="Tahoma"/>
            <family val="2"/>
          </rPr>
          <t>116295:</t>
        </r>
        <r>
          <rPr>
            <sz val="8"/>
            <color indexed="81"/>
            <rFont val="Tahoma"/>
            <family val="2"/>
          </rPr>
          <t xml:space="preserve">
Garvin County Living Center
(405)238-3888</t>
        </r>
      </text>
    </comment>
    <comment ref="B500" authorId="0">
      <text>
        <r>
          <rPr>
            <b/>
            <sz val="8"/>
            <color indexed="81"/>
            <rFont val="Tahoma"/>
            <family val="2"/>
          </rPr>
          <t>116295:</t>
        </r>
        <r>
          <rPr>
            <sz val="8"/>
            <color indexed="81"/>
            <rFont val="Tahoma"/>
            <family val="2"/>
          </rPr>
          <t xml:space="preserve">
Garvin County Living Center
(405)238-3888</t>
        </r>
      </text>
    </comment>
    <comment ref="B501" authorId="0">
      <text>
        <r>
          <rPr>
            <b/>
            <sz val="8"/>
            <color indexed="81"/>
            <rFont val="Tahoma"/>
            <family val="2"/>
          </rPr>
          <t>116295:</t>
        </r>
        <r>
          <rPr>
            <sz val="8"/>
            <color indexed="81"/>
            <rFont val="Tahoma"/>
            <family val="2"/>
          </rPr>
          <t xml:space="preserve">
Garvin County Living Center
(405)238-3888</t>
        </r>
      </text>
    </comment>
    <comment ref="B502" authorId="0">
      <text>
        <r>
          <rPr>
            <b/>
            <sz val="8"/>
            <color indexed="81"/>
            <rFont val="Tahoma"/>
            <family val="2"/>
          </rPr>
          <t>116295:</t>
        </r>
        <r>
          <rPr>
            <sz val="8"/>
            <color indexed="81"/>
            <rFont val="Tahoma"/>
            <family val="2"/>
          </rPr>
          <t xml:space="preserve">
Garvin County Living Center
(405)238-3888</t>
        </r>
      </text>
    </comment>
    <comment ref="B503" authorId="0">
      <text>
        <r>
          <rPr>
            <b/>
            <sz val="8"/>
            <color indexed="81"/>
            <rFont val="Tahoma"/>
            <family val="2"/>
          </rPr>
          <t>116295:</t>
        </r>
        <r>
          <rPr>
            <sz val="8"/>
            <color indexed="81"/>
            <rFont val="Tahoma"/>
            <family val="2"/>
          </rPr>
          <t xml:space="preserve">
Garvin County Living Center
(405)238-3888</t>
        </r>
      </text>
    </comment>
    <comment ref="B504" authorId="0">
      <text>
        <r>
          <rPr>
            <b/>
            <sz val="8"/>
            <color indexed="81"/>
            <rFont val="Tahoma"/>
            <family val="2"/>
          </rPr>
          <t>116295:</t>
        </r>
        <r>
          <rPr>
            <sz val="8"/>
            <color indexed="81"/>
            <rFont val="Tahoma"/>
            <family val="2"/>
          </rPr>
          <t xml:space="preserve">
Garvin County Living Center
(405)238-3888</t>
        </r>
      </text>
    </comment>
    <comment ref="B505" authorId="0">
      <text>
        <r>
          <rPr>
            <b/>
            <sz val="8"/>
            <color indexed="81"/>
            <rFont val="Tahoma"/>
            <family val="2"/>
          </rPr>
          <t>116295:</t>
        </r>
        <r>
          <rPr>
            <sz val="8"/>
            <color indexed="81"/>
            <rFont val="Tahoma"/>
            <family val="2"/>
          </rPr>
          <t xml:space="preserve">
Garvin County Living Center
(405)238-3888</t>
        </r>
      </text>
    </comment>
    <comment ref="B506" authorId="0">
      <text>
        <r>
          <rPr>
            <b/>
            <sz val="8"/>
            <color indexed="81"/>
            <rFont val="Tahoma"/>
            <family val="2"/>
          </rPr>
          <t>116295:</t>
        </r>
        <r>
          <rPr>
            <sz val="8"/>
            <color indexed="81"/>
            <rFont val="Tahoma"/>
            <family val="2"/>
          </rPr>
          <t xml:space="preserve">
Garvin County Living Center
(405)238-3888</t>
        </r>
      </text>
    </comment>
    <comment ref="B507" authorId="0">
      <text>
        <r>
          <rPr>
            <b/>
            <sz val="8"/>
            <color indexed="81"/>
            <rFont val="Tahoma"/>
            <family val="2"/>
          </rPr>
          <t>116295:</t>
        </r>
        <r>
          <rPr>
            <sz val="8"/>
            <color indexed="81"/>
            <rFont val="Tahoma"/>
            <family val="2"/>
          </rPr>
          <t xml:space="preserve">
Garvin County Living Center
(405)238-3888</t>
        </r>
      </text>
    </comment>
    <comment ref="B508" authorId="0">
      <text>
        <r>
          <rPr>
            <b/>
            <sz val="8"/>
            <color indexed="81"/>
            <rFont val="Tahoma"/>
            <family val="2"/>
          </rPr>
          <t>116295:</t>
        </r>
        <r>
          <rPr>
            <sz val="8"/>
            <color indexed="81"/>
            <rFont val="Tahoma"/>
            <family val="2"/>
          </rPr>
          <t xml:space="preserve">
Garvin County Living Center
(405)238-3888</t>
        </r>
      </text>
    </comment>
    <comment ref="B509" authorId="0">
      <text>
        <r>
          <rPr>
            <b/>
            <sz val="8"/>
            <color indexed="81"/>
            <rFont val="Tahoma"/>
            <family val="2"/>
          </rPr>
          <t>116295:</t>
        </r>
        <r>
          <rPr>
            <sz val="8"/>
            <color indexed="81"/>
            <rFont val="Tahoma"/>
            <family val="2"/>
          </rPr>
          <t xml:space="preserve">
Garvin County Living Center
(405)238-3888</t>
        </r>
      </text>
    </comment>
    <comment ref="B510" authorId="0">
      <text>
        <r>
          <rPr>
            <b/>
            <sz val="8"/>
            <color indexed="81"/>
            <rFont val="Tahoma"/>
            <family val="2"/>
          </rPr>
          <t>116295:</t>
        </r>
        <r>
          <rPr>
            <sz val="8"/>
            <color indexed="81"/>
            <rFont val="Tahoma"/>
            <family val="2"/>
          </rPr>
          <t xml:space="preserve">
Garvin County Living Center
(405)238-3888</t>
        </r>
      </text>
    </comment>
    <comment ref="B511" authorId="0">
      <text>
        <r>
          <rPr>
            <b/>
            <sz val="8"/>
            <color indexed="81"/>
            <rFont val="Tahoma"/>
            <family val="2"/>
          </rPr>
          <t>116295:</t>
        </r>
        <r>
          <rPr>
            <sz val="8"/>
            <color indexed="81"/>
            <rFont val="Tahoma"/>
            <family val="2"/>
          </rPr>
          <t xml:space="preserve">
Garvin County Living Center
(405)238-3888</t>
        </r>
      </text>
    </comment>
    <comment ref="B512" authorId="0">
      <text>
        <r>
          <rPr>
            <b/>
            <sz val="8"/>
            <color indexed="81"/>
            <rFont val="Tahoma"/>
            <family val="2"/>
          </rPr>
          <t>116295:</t>
        </r>
        <r>
          <rPr>
            <sz val="8"/>
            <color indexed="81"/>
            <rFont val="Tahoma"/>
            <family val="2"/>
          </rPr>
          <t xml:space="preserve">
Garvin County Living Center
(405)238-3888</t>
        </r>
      </text>
    </comment>
    <comment ref="B513" authorId="0">
      <text>
        <r>
          <rPr>
            <b/>
            <sz val="8"/>
            <color indexed="81"/>
            <rFont val="Tahoma"/>
            <family val="2"/>
          </rPr>
          <t>116295:</t>
        </r>
        <r>
          <rPr>
            <sz val="8"/>
            <color indexed="81"/>
            <rFont val="Tahoma"/>
            <family val="2"/>
          </rPr>
          <t xml:space="preserve">
Garvin County Living Center
(405)238-3888</t>
        </r>
      </text>
    </comment>
    <comment ref="B514" authorId="0">
      <text>
        <r>
          <rPr>
            <b/>
            <sz val="8"/>
            <color indexed="81"/>
            <rFont val="Tahoma"/>
            <family val="2"/>
          </rPr>
          <t>116295:</t>
        </r>
        <r>
          <rPr>
            <sz val="8"/>
            <color indexed="81"/>
            <rFont val="Tahoma"/>
            <family val="2"/>
          </rPr>
          <t xml:space="preserve">
Garvin County Living Center
(405)238-3888</t>
        </r>
      </text>
    </comment>
    <comment ref="B515" authorId="0">
      <text>
        <r>
          <rPr>
            <b/>
            <sz val="8"/>
            <color indexed="81"/>
            <rFont val="Tahoma"/>
            <family val="2"/>
          </rPr>
          <t>116295:</t>
        </r>
        <r>
          <rPr>
            <sz val="8"/>
            <color indexed="81"/>
            <rFont val="Tahoma"/>
            <family val="2"/>
          </rPr>
          <t xml:space="preserve">
Garvin County Living Center
(405)238-3888</t>
        </r>
      </text>
    </comment>
    <comment ref="B516" authorId="0">
      <text>
        <r>
          <rPr>
            <b/>
            <sz val="8"/>
            <color indexed="81"/>
            <rFont val="Tahoma"/>
            <family val="2"/>
          </rPr>
          <t>116295:</t>
        </r>
        <r>
          <rPr>
            <sz val="8"/>
            <color indexed="81"/>
            <rFont val="Tahoma"/>
            <family val="2"/>
          </rPr>
          <t xml:space="preserve">
Garvin County Living Center
(405)238-3888</t>
        </r>
      </text>
    </comment>
    <comment ref="B517" authorId="0">
      <text>
        <r>
          <rPr>
            <b/>
            <sz val="8"/>
            <color indexed="81"/>
            <rFont val="Tahoma"/>
            <family val="2"/>
          </rPr>
          <t>116295:</t>
        </r>
        <r>
          <rPr>
            <sz val="8"/>
            <color indexed="81"/>
            <rFont val="Tahoma"/>
            <family val="2"/>
          </rPr>
          <t xml:space="preserve">
Garvin County Living Center
(405)238-3888</t>
        </r>
      </text>
    </comment>
    <comment ref="B518" authorId="0">
      <text>
        <r>
          <rPr>
            <b/>
            <sz val="8"/>
            <color indexed="81"/>
            <rFont val="Tahoma"/>
            <family val="2"/>
          </rPr>
          <t>116295:</t>
        </r>
        <r>
          <rPr>
            <sz val="8"/>
            <color indexed="81"/>
            <rFont val="Tahoma"/>
            <family val="2"/>
          </rPr>
          <t xml:space="preserve">
Garvin County Living Center
(405)238-3888</t>
        </r>
      </text>
    </comment>
    <comment ref="B519" authorId="0">
      <text>
        <r>
          <rPr>
            <b/>
            <sz val="8"/>
            <color indexed="81"/>
            <rFont val="Tahoma"/>
            <family val="2"/>
          </rPr>
          <t>116295:</t>
        </r>
        <r>
          <rPr>
            <sz val="8"/>
            <color indexed="81"/>
            <rFont val="Tahoma"/>
            <family val="2"/>
          </rPr>
          <t xml:space="preserve">
Garvin County Living Center
(405)238-3888</t>
        </r>
      </text>
    </comment>
    <comment ref="B520" authorId="0">
      <text>
        <r>
          <rPr>
            <b/>
            <sz val="8"/>
            <color indexed="81"/>
            <rFont val="Tahoma"/>
            <family val="2"/>
          </rPr>
          <t>116295:</t>
        </r>
        <r>
          <rPr>
            <sz val="8"/>
            <color indexed="81"/>
            <rFont val="Tahoma"/>
            <family val="2"/>
          </rPr>
          <t xml:space="preserve">
Garvin County Living Center
(405)238-3888</t>
        </r>
      </text>
    </comment>
    <comment ref="B521" authorId="0">
      <text>
        <r>
          <rPr>
            <b/>
            <sz val="8"/>
            <color indexed="81"/>
            <rFont val="Tahoma"/>
            <family val="2"/>
          </rPr>
          <t>116295:</t>
        </r>
        <r>
          <rPr>
            <sz val="8"/>
            <color indexed="81"/>
            <rFont val="Tahoma"/>
            <family val="2"/>
          </rPr>
          <t xml:space="preserve">
Garvin County Living Center
(405)238-3888</t>
        </r>
      </text>
    </comment>
    <comment ref="B522" authorId="0">
      <text>
        <r>
          <rPr>
            <b/>
            <sz val="8"/>
            <color indexed="81"/>
            <rFont val="Tahoma"/>
            <family val="2"/>
          </rPr>
          <t>116295:</t>
        </r>
        <r>
          <rPr>
            <sz val="8"/>
            <color indexed="81"/>
            <rFont val="Tahoma"/>
            <family val="2"/>
          </rPr>
          <t xml:space="preserve">
Garvin County Living Center
(405)238-3888</t>
        </r>
      </text>
    </comment>
    <comment ref="B523" authorId="0">
      <text>
        <r>
          <rPr>
            <b/>
            <sz val="8"/>
            <color indexed="81"/>
            <rFont val="Tahoma"/>
            <family val="2"/>
          </rPr>
          <t>116295:</t>
        </r>
        <r>
          <rPr>
            <sz val="8"/>
            <color indexed="81"/>
            <rFont val="Tahoma"/>
            <family val="2"/>
          </rPr>
          <t xml:space="preserve">
Garvin County Living Center
(405)238-3888</t>
        </r>
      </text>
    </comment>
    <comment ref="B524" authorId="0">
      <text>
        <r>
          <rPr>
            <b/>
            <sz val="8"/>
            <color indexed="81"/>
            <rFont val="Tahoma"/>
            <family val="2"/>
          </rPr>
          <t>116295:</t>
        </r>
        <r>
          <rPr>
            <sz val="8"/>
            <color indexed="81"/>
            <rFont val="Tahoma"/>
            <family val="2"/>
          </rPr>
          <t xml:space="preserve">
Garvin County Living Center
(405)238-3888</t>
        </r>
      </text>
    </comment>
    <comment ref="B525" authorId="0">
      <text>
        <r>
          <rPr>
            <b/>
            <sz val="8"/>
            <color indexed="81"/>
            <rFont val="Tahoma"/>
            <family val="2"/>
          </rPr>
          <t>116295:</t>
        </r>
        <r>
          <rPr>
            <sz val="8"/>
            <color indexed="81"/>
            <rFont val="Tahoma"/>
            <family val="2"/>
          </rPr>
          <t xml:space="preserve">
Garvin County Living Center
(405)238-3888</t>
        </r>
      </text>
    </comment>
    <comment ref="B526" authorId="0">
      <text>
        <r>
          <rPr>
            <b/>
            <sz val="8"/>
            <color indexed="81"/>
            <rFont val="Tahoma"/>
            <family val="2"/>
          </rPr>
          <t>116295:</t>
        </r>
        <r>
          <rPr>
            <sz val="8"/>
            <color indexed="81"/>
            <rFont val="Tahoma"/>
            <family val="2"/>
          </rPr>
          <t xml:space="preserve">
Garvin County Living Center
(405)238-3888</t>
        </r>
      </text>
    </comment>
    <comment ref="B527" authorId="0">
      <text>
        <r>
          <rPr>
            <b/>
            <sz val="8"/>
            <color indexed="81"/>
            <rFont val="Tahoma"/>
            <family val="2"/>
          </rPr>
          <t>116295:</t>
        </r>
        <r>
          <rPr>
            <sz val="8"/>
            <color indexed="81"/>
            <rFont val="Tahoma"/>
            <family val="2"/>
          </rPr>
          <t xml:space="preserve">
Garvin County Living Center
(405)238-3888</t>
        </r>
      </text>
    </comment>
    <comment ref="B528" authorId="0">
      <text>
        <r>
          <rPr>
            <b/>
            <sz val="8"/>
            <color indexed="81"/>
            <rFont val="Tahoma"/>
            <family val="2"/>
          </rPr>
          <t>116295:</t>
        </r>
        <r>
          <rPr>
            <sz val="8"/>
            <color indexed="81"/>
            <rFont val="Tahoma"/>
            <family val="2"/>
          </rPr>
          <t xml:space="preserve">
Garvin County Living Center
(405)238-3888</t>
        </r>
      </text>
    </comment>
    <comment ref="B529" authorId="0">
      <text>
        <r>
          <rPr>
            <b/>
            <sz val="8"/>
            <color indexed="81"/>
            <rFont val="Tahoma"/>
            <family val="2"/>
          </rPr>
          <t>116295:</t>
        </r>
        <r>
          <rPr>
            <sz val="8"/>
            <color indexed="81"/>
            <rFont val="Tahoma"/>
            <family val="2"/>
          </rPr>
          <t xml:space="preserve">
Garvin County Living Center
(405)238-3888</t>
        </r>
      </text>
    </comment>
    <comment ref="B530" authorId="0">
      <text>
        <r>
          <rPr>
            <b/>
            <sz val="8"/>
            <color indexed="81"/>
            <rFont val="Tahoma"/>
            <family val="2"/>
          </rPr>
          <t>116295:</t>
        </r>
        <r>
          <rPr>
            <sz val="8"/>
            <color indexed="81"/>
            <rFont val="Tahoma"/>
            <family val="2"/>
          </rPr>
          <t xml:space="preserve">
Garvin County Living Center
(405)238-3888</t>
        </r>
      </text>
    </comment>
    <comment ref="B531" authorId="0">
      <text>
        <r>
          <rPr>
            <b/>
            <sz val="8"/>
            <color indexed="81"/>
            <rFont val="Tahoma"/>
            <family val="2"/>
          </rPr>
          <t>116295:</t>
        </r>
        <r>
          <rPr>
            <sz val="8"/>
            <color indexed="81"/>
            <rFont val="Tahoma"/>
            <family val="2"/>
          </rPr>
          <t xml:space="preserve">
Garvin County Living Center
(405)238-3888</t>
        </r>
      </text>
    </comment>
    <comment ref="B532" authorId="0">
      <text>
        <r>
          <rPr>
            <b/>
            <sz val="8"/>
            <color indexed="81"/>
            <rFont val="Tahoma"/>
            <family val="2"/>
          </rPr>
          <t>116295:</t>
        </r>
        <r>
          <rPr>
            <sz val="8"/>
            <color indexed="81"/>
            <rFont val="Tahoma"/>
            <family val="2"/>
          </rPr>
          <t xml:space="preserve">
Garvin County Living Center
(405)238-3888</t>
        </r>
      </text>
    </comment>
    <comment ref="B533" authorId="0">
      <text>
        <r>
          <rPr>
            <b/>
            <sz val="8"/>
            <color indexed="81"/>
            <rFont val="Tahoma"/>
            <family val="2"/>
          </rPr>
          <t>116295:</t>
        </r>
        <r>
          <rPr>
            <sz val="8"/>
            <color indexed="81"/>
            <rFont val="Tahoma"/>
            <family val="2"/>
          </rPr>
          <t xml:space="preserve">
Garvin County Living Center
(405)238-3888</t>
        </r>
      </text>
    </comment>
    <comment ref="B534" authorId="0">
      <text>
        <r>
          <rPr>
            <b/>
            <sz val="8"/>
            <color indexed="81"/>
            <rFont val="Tahoma"/>
            <family val="2"/>
          </rPr>
          <t>116295:</t>
        </r>
        <r>
          <rPr>
            <sz val="8"/>
            <color indexed="81"/>
            <rFont val="Tahoma"/>
            <family val="2"/>
          </rPr>
          <t xml:space="preserve">
Garvin County Living Center
(405)238-3888</t>
        </r>
      </text>
    </comment>
    <comment ref="B535" authorId="0">
      <text>
        <r>
          <rPr>
            <b/>
            <sz val="8"/>
            <color indexed="81"/>
            <rFont val="Tahoma"/>
            <family val="2"/>
          </rPr>
          <t>116295:</t>
        </r>
        <r>
          <rPr>
            <sz val="8"/>
            <color indexed="81"/>
            <rFont val="Tahoma"/>
            <family val="2"/>
          </rPr>
          <t xml:space="preserve">
Garvin County Living Center
(405)238-3888</t>
        </r>
      </text>
    </comment>
    <comment ref="B536" authorId="0">
      <text>
        <r>
          <rPr>
            <b/>
            <sz val="8"/>
            <color indexed="81"/>
            <rFont val="Tahoma"/>
            <family val="2"/>
          </rPr>
          <t>116295:</t>
        </r>
        <r>
          <rPr>
            <sz val="8"/>
            <color indexed="81"/>
            <rFont val="Tahoma"/>
            <family val="2"/>
          </rPr>
          <t xml:space="preserve">
Garvin County Living Center
(405)238-3888</t>
        </r>
      </text>
    </comment>
    <comment ref="B537" authorId="0">
      <text>
        <r>
          <rPr>
            <b/>
            <sz val="8"/>
            <color indexed="81"/>
            <rFont val="Tahoma"/>
            <family val="2"/>
          </rPr>
          <t>116295:</t>
        </r>
        <r>
          <rPr>
            <sz val="8"/>
            <color indexed="81"/>
            <rFont val="Tahoma"/>
            <family val="2"/>
          </rPr>
          <t xml:space="preserve">
Garvin County Living Center
(405)238-3888</t>
        </r>
      </text>
    </comment>
    <comment ref="B538" authorId="0">
      <text>
        <r>
          <rPr>
            <b/>
            <sz val="8"/>
            <color indexed="81"/>
            <rFont val="Tahoma"/>
            <family val="2"/>
          </rPr>
          <t>116295:</t>
        </r>
        <r>
          <rPr>
            <sz val="8"/>
            <color indexed="81"/>
            <rFont val="Tahoma"/>
            <family val="2"/>
          </rPr>
          <t xml:space="preserve">
Garvin County Living Center
(405)238-3888</t>
        </r>
      </text>
    </comment>
    <comment ref="B539" authorId="0">
      <text>
        <r>
          <rPr>
            <b/>
            <sz val="8"/>
            <color indexed="81"/>
            <rFont val="Tahoma"/>
            <family val="2"/>
          </rPr>
          <t>116295:</t>
        </r>
        <r>
          <rPr>
            <sz val="8"/>
            <color indexed="81"/>
            <rFont val="Tahoma"/>
            <family val="2"/>
          </rPr>
          <t xml:space="preserve">
Garvin County Living Center
(405)238-3888</t>
        </r>
      </text>
    </comment>
    <comment ref="B540" authorId="0">
      <text>
        <r>
          <rPr>
            <b/>
            <sz val="8"/>
            <color indexed="81"/>
            <rFont val="Tahoma"/>
            <family val="2"/>
          </rPr>
          <t>116295:</t>
        </r>
        <r>
          <rPr>
            <sz val="8"/>
            <color indexed="81"/>
            <rFont val="Tahoma"/>
            <family val="2"/>
          </rPr>
          <t xml:space="preserve">
Garvin County Living Center
(405)238-3888</t>
        </r>
      </text>
    </comment>
    <comment ref="B541" authorId="0">
      <text>
        <r>
          <rPr>
            <b/>
            <sz val="8"/>
            <color indexed="81"/>
            <rFont val="Tahoma"/>
            <family val="2"/>
          </rPr>
          <t>116295:</t>
        </r>
        <r>
          <rPr>
            <sz val="8"/>
            <color indexed="81"/>
            <rFont val="Tahoma"/>
            <family val="2"/>
          </rPr>
          <t xml:space="preserve">
Garvin County Living Center
(405)238-3888</t>
        </r>
      </text>
    </comment>
    <comment ref="B542" authorId="0">
      <text>
        <r>
          <rPr>
            <b/>
            <sz val="8"/>
            <color indexed="81"/>
            <rFont val="Tahoma"/>
            <family val="2"/>
          </rPr>
          <t>116295:</t>
        </r>
        <r>
          <rPr>
            <sz val="8"/>
            <color indexed="81"/>
            <rFont val="Tahoma"/>
            <family val="2"/>
          </rPr>
          <t xml:space="preserve">
Garvin County Living Center
(405)238-3888</t>
        </r>
      </text>
    </comment>
    <comment ref="B543" authorId="0">
      <text>
        <r>
          <rPr>
            <b/>
            <sz val="8"/>
            <color indexed="81"/>
            <rFont val="Tahoma"/>
            <family val="2"/>
          </rPr>
          <t>116295:</t>
        </r>
        <r>
          <rPr>
            <sz val="8"/>
            <color indexed="81"/>
            <rFont val="Tahoma"/>
            <family val="2"/>
          </rPr>
          <t xml:space="preserve">
Garvin County Living Center
(405)238-3888</t>
        </r>
      </text>
    </comment>
    <comment ref="B544" authorId="0">
      <text>
        <r>
          <rPr>
            <b/>
            <sz val="8"/>
            <color indexed="81"/>
            <rFont val="Tahoma"/>
            <family val="2"/>
          </rPr>
          <t>116295:</t>
        </r>
        <r>
          <rPr>
            <sz val="8"/>
            <color indexed="81"/>
            <rFont val="Tahoma"/>
            <family val="2"/>
          </rPr>
          <t xml:space="preserve">
Garvin County Living Center
(405)238-3888</t>
        </r>
      </text>
    </comment>
    <comment ref="B545" authorId="0">
      <text>
        <r>
          <rPr>
            <b/>
            <sz val="8"/>
            <color indexed="81"/>
            <rFont val="Tahoma"/>
            <family val="2"/>
          </rPr>
          <t>116295:</t>
        </r>
        <r>
          <rPr>
            <sz val="8"/>
            <color indexed="81"/>
            <rFont val="Tahoma"/>
            <family val="2"/>
          </rPr>
          <t xml:space="preserve">
Garvin County Living Center
(405)238-3888</t>
        </r>
      </text>
    </comment>
    <comment ref="B546" authorId="0">
      <text>
        <r>
          <rPr>
            <b/>
            <sz val="8"/>
            <color indexed="81"/>
            <rFont val="Tahoma"/>
            <family val="2"/>
          </rPr>
          <t>116295:</t>
        </r>
        <r>
          <rPr>
            <sz val="8"/>
            <color indexed="81"/>
            <rFont val="Tahoma"/>
            <family val="2"/>
          </rPr>
          <t xml:space="preserve">
Garvin County Living Center
(405)238-3888</t>
        </r>
      </text>
    </comment>
    <comment ref="B547" authorId="0">
      <text>
        <r>
          <rPr>
            <b/>
            <sz val="8"/>
            <color indexed="81"/>
            <rFont val="Tahoma"/>
            <family val="2"/>
          </rPr>
          <t>116295:</t>
        </r>
        <r>
          <rPr>
            <sz val="8"/>
            <color indexed="81"/>
            <rFont val="Tahoma"/>
            <family val="2"/>
          </rPr>
          <t xml:space="preserve">
Garvin County Living Center
(405)238-3888</t>
        </r>
      </text>
    </comment>
    <comment ref="B548" authorId="0">
      <text>
        <r>
          <rPr>
            <b/>
            <sz val="8"/>
            <color indexed="81"/>
            <rFont val="Tahoma"/>
            <family val="2"/>
          </rPr>
          <t>116295:</t>
        </r>
        <r>
          <rPr>
            <sz val="8"/>
            <color indexed="81"/>
            <rFont val="Tahoma"/>
            <family val="2"/>
          </rPr>
          <t xml:space="preserve">
Garvin County Living Center
(405)238-3888</t>
        </r>
      </text>
    </comment>
    <comment ref="B549" authorId="0">
      <text>
        <r>
          <rPr>
            <b/>
            <sz val="8"/>
            <color indexed="81"/>
            <rFont val="Tahoma"/>
            <family val="2"/>
          </rPr>
          <t>116295:</t>
        </r>
        <r>
          <rPr>
            <sz val="8"/>
            <color indexed="81"/>
            <rFont val="Tahoma"/>
            <family val="2"/>
          </rPr>
          <t xml:space="preserve">
Garvin County Living Center
(405)238-3888</t>
        </r>
      </text>
    </comment>
    <comment ref="B550" authorId="0">
      <text>
        <r>
          <rPr>
            <b/>
            <sz val="8"/>
            <color indexed="81"/>
            <rFont val="Tahoma"/>
            <family val="2"/>
          </rPr>
          <t>116295:</t>
        </r>
        <r>
          <rPr>
            <sz val="8"/>
            <color indexed="81"/>
            <rFont val="Tahoma"/>
            <family val="2"/>
          </rPr>
          <t xml:space="preserve">
Garvin County Living Center
(405)238-3888</t>
        </r>
      </text>
    </comment>
    <comment ref="B551" authorId="0">
      <text>
        <r>
          <rPr>
            <b/>
            <sz val="8"/>
            <color indexed="81"/>
            <rFont val="Tahoma"/>
            <family val="2"/>
          </rPr>
          <t>116295:</t>
        </r>
        <r>
          <rPr>
            <sz val="8"/>
            <color indexed="81"/>
            <rFont val="Tahoma"/>
            <family val="2"/>
          </rPr>
          <t xml:space="preserve">
Garvin County Living Center
(405)238-3888</t>
        </r>
      </text>
    </comment>
    <comment ref="B552" authorId="0">
      <text>
        <r>
          <rPr>
            <b/>
            <sz val="8"/>
            <color indexed="81"/>
            <rFont val="Tahoma"/>
            <family val="2"/>
          </rPr>
          <t>116295:</t>
        </r>
        <r>
          <rPr>
            <sz val="8"/>
            <color indexed="81"/>
            <rFont val="Tahoma"/>
            <family val="2"/>
          </rPr>
          <t xml:space="preserve">
Garvin County Living Center
(405)238-3888</t>
        </r>
      </text>
    </comment>
    <comment ref="B553" authorId="0">
      <text>
        <r>
          <rPr>
            <b/>
            <sz val="8"/>
            <color indexed="81"/>
            <rFont val="Tahoma"/>
            <family val="2"/>
          </rPr>
          <t>116295:</t>
        </r>
        <r>
          <rPr>
            <sz val="8"/>
            <color indexed="81"/>
            <rFont val="Tahoma"/>
            <family val="2"/>
          </rPr>
          <t xml:space="preserve">
Garvin County Living Center
(405)238-3888</t>
        </r>
      </text>
    </comment>
    <comment ref="B554" authorId="0">
      <text>
        <r>
          <rPr>
            <b/>
            <sz val="8"/>
            <color indexed="81"/>
            <rFont val="Tahoma"/>
            <family val="2"/>
          </rPr>
          <t>116295:</t>
        </r>
        <r>
          <rPr>
            <sz val="8"/>
            <color indexed="81"/>
            <rFont val="Tahoma"/>
            <family val="2"/>
          </rPr>
          <t xml:space="preserve">
Garvin County Living Center
(405)238-3888</t>
        </r>
      </text>
    </comment>
    <comment ref="B555" authorId="0">
      <text>
        <r>
          <rPr>
            <b/>
            <sz val="8"/>
            <color indexed="81"/>
            <rFont val="Tahoma"/>
            <family val="2"/>
          </rPr>
          <t>116295:</t>
        </r>
        <r>
          <rPr>
            <sz val="8"/>
            <color indexed="81"/>
            <rFont val="Tahoma"/>
            <family val="2"/>
          </rPr>
          <t xml:space="preserve">
Garvin County Living Center
(405)238-3888</t>
        </r>
      </text>
    </comment>
    <comment ref="B556" authorId="0">
      <text>
        <r>
          <rPr>
            <b/>
            <sz val="8"/>
            <color indexed="81"/>
            <rFont val="Tahoma"/>
            <family val="2"/>
          </rPr>
          <t>116295:</t>
        </r>
        <r>
          <rPr>
            <sz val="8"/>
            <color indexed="81"/>
            <rFont val="Tahoma"/>
            <family val="2"/>
          </rPr>
          <t xml:space="preserve">
Garvin County Living Center
(405)238-3888</t>
        </r>
      </text>
    </comment>
    <comment ref="B557" authorId="0">
      <text>
        <r>
          <rPr>
            <b/>
            <sz val="8"/>
            <color indexed="81"/>
            <rFont val="Tahoma"/>
            <family val="2"/>
          </rPr>
          <t>116295:</t>
        </r>
        <r>
          <rPr>
            <sz val="8"/>
            <color indexed="81"/>
            <rFont val="Tahoma"/>
            <family val="2"/>
          </rPr>
          <t xml:space="preserve">
Garvin County Living Center
(405)238-3888</t>
        </r>
      </text>
    </comment>
    <comment ref="B558" authorId="0">
      <text>
        <r>
          <rPr>
            <b/>
            <sz val="8"/>
            <color indexed="81"/>
            <rFont val="Tahoma"/>
            <family val="2"/>
          </rPr>
          <t>116295:</t>
        </r>
        <r>
          <rPr>
            <sz val="8"/>
            <color indexed="81"/>
            <rFont val="Tahoma"/>
            <family val="2"/>
          </rPr>
          <t xml:space="preserve">
Garvin County Living Center
(405)238-3888</t>
        </r>
      </text>
    </comment>
    <comment ref="B559" authorId="0">
      <text>
        <r>
          <rPr>
            <b/>
            <sz val="8"/>
            <color indexed="81"/>
            <rFont val="Tahoma"/>
            <family val="2"/>
          </rPr>
          <t>116295:</t>
        </r>
        <r>
          <rPr>
            <sz val="8"/>
            <color indexed="81"/>
            <rFont val="Tahoma"/>
            <family val="2"/>
          </rPr>
          <t xml:space="preserve">
Garvin County Living Center
(405)238-3888</t>
        </r>
      </text>
    </comment>
    <comment ref="B560" authorId="0">
      <text>
        <r>
          <rPr>
            <b/>
            <sz val="8"/>
            <color indexed="81"/>
            <rFont val="Tahoma"/>
            <family val="2"/>
          </rPr>
          <t>116295:</t>
        </r>
        <r>
          <rPr>
            <sz val="8"/>
            <color indexed="81"/>
            <rFont val="Tahoma"/>
            <family val="2"/>
          </rPr>
          <t xml:space="preserve">
Garvin County Living Center
(405)238-3888</t>
        </r>
      </text>
    </comment>
    <comment ref="B561" authorId="0">
      <text>
        <r>
          <rPr>
            <b/>
            <sz val="8"/>
            <color indexed="81"/>
            <rFont val="Tahoma"/>
            <family val="2"/>
          </rPr>
          <t>116295:</t>
        </r>
        <r>
          <rPr>
            <sz val="8"/>
            <color indexed="81"/>
            <rFont val="Tahoma"/>
            <family val="2"/>
          </rPr>
          <t xml:space="preserve">
Garvin County Living Center
(405)238-3888</t>
        </r>
      </text>
    </comment>
    <comment ref="B562" authorId="0">
      <text>
        <r>
          <rPr>
            <b/>
            <sz val="8"/>
            <color indexed="81"/>
            <rFont val="Tahoma"/>
            <family val="2"/>
          </rPr>
          <t>116295:</t>
        </r>
        <r>
          <rPr>
            <sz val="8"/>
            <color indexed="81"/>
            <rFont val="Tahoma"/>
            <family val="2"/>
          </rPr>
          <t xml:space="preserve">
Garvin County Living Center
(405)238-3888</t>
        </r>
      </text>
    </comment>
    <comment ref="B563" authorId="0">
      <text>
        <r>
          <rPr>
            <b/>
            <sz val="8"/>
            <color indexed="81"/>
            <rFont val="Tahoma"/>
            <family val="2"/>
          </rPr>
          <t>116295:</t>
        </r>
        <r>
          <rPr>
            <sz val="8"/>
            <color indexed="81"/>
            <rFont val="Tahoma"/>
            <family val="2"/>
          </rPr>
          <t xml:space="preserve">
Garvin County Living Center
(405)238-3888</t>
        </r>
      </text>
    </comment>
    <comment ref="B564" authorId="0">
      <text>
        <r>
          <rPr>
            <b/>
            <sz val="8"/>
            <color indexed="81"/>
            <rFont val="Tahoma"/>
            <family val="2"/>
          </rPr>
          <t>116295:</t>
        </r>
        <r>
          <rPr>
            <sz val="8"/>
            <color indexed="81"/>
            <rFont val="Tahoma"/>
            <family val="2"/>
          </rPr>
          <t xml:space="preserve">
Garvin County Living Center
(405)238-3888</t>
        </r>
      </text>
    </comment>
    <comment ref="B565" authorId="0">
      <text>
        <r>
          <rPr>
            <b/>
            <sz val="8"/>
            <color indexed="81"/>
            <rFont val="Tahoma"/>
            <family val="2"/>
          </rPr>
          <t>116295:</t>
        </r>
        <r>
          <rPr>
            <sz val="8"/>
            <color indexed="81"/>
            <rFont val="Tahoma"/>
            <family val="2"/>
          </rPr>
          <t xml:space="preserve">
Garvin County Living Center
(405)238-3888</t>
        </r>
      </text>
    </comment>
    <comment ref="B566" authorId="0">
      <text>
        <r>
          <rPr>
            <b/>
            <sz val="8"/>
            <color indexed="81"/>
            <rFont val="Tahoma"/>
            <family val="2"/>
          </rPr>
          <t>116295:</t>
        </r>
        <r>
          <rPr>
            <sz val="8"/>
            <color indexed="81"/>
            <rFont val="Tahoma"/>
            <family val="2"/>
          </rPr>
          <t xml:space="preserve">
Garvin County Living Center
(405)238-3888</t>
        </r>
      </text>
    </comment>
    <comment ref="B567" authorId="0">
      <text>
        <r>
          <rPr>
            <b/>
            <sz val="8"/>
            <color indexed="81"/>
            <rFont val="Tahoma"/>
            <family val="2"/>
          </rPr>
          <t>116295:</t>
        </r>
        <r>
          <rPr>
            <sz val="8"/>
            <color indexed="81"/>
            <rFont val="Tahoma"/>
            <family val="2"/>
          </rPr>
          <t xml:space="preserve">
Garvin County Living Center
(405)238-3888</t>
        </r>
      </text>
    </comment>
    <comment ref="B568" authorId="0">
      <text>
        <r>
          <rPr>
            <b/>
            <sz val="8"/>
            <color indexed="81"/>
            <rFont val="Tahoma"/>
            <family val="2"/>
          </rPr>
          <t>116295:</t>
        </r>
        <r>
          <rPr>
            <sz val="8"/>
            <color indexed="81"/>
            <rFont val="Tahoma"/>
            <family val="2"/>
          </rPr>
          <t xml:space="preserve">
Garvin County Living Center
(405)238-3888</t>
        </r>
      </text>
    </comment>
    <comment ref="B569" authorId="0">
      <text>
        <r>
          <rPr>
            <b/>
            <sz val="8"/>
            <color indexed="81"/>
            <rFont val="Tahoma"/>
            <family val="2"/>
          </rPr>
          <t>116295:</t>
        </r>
        <r>
          <rPr>
            <sz val="8"/>
            <color indexed="81"/>
            <rFont val="Tahoma"/>
            <family val="2"/>
          </rPr>
          <t xml:space="preserve">
Garvin County Living Center
(405)238-3888</t>
        </r>
      </text>
    </comment>
    <comment ref="B570" authorId="0">
      <text>
        <r>
          <rPr>
            <b/>
            <sz val="8"/>
            <color indexed="81"/>
            <rFont val="Tahoma"/>
            <family val="2"/>
          </rPr>
          <t>116295:</t>
        </r>
        <r>
          <rPr>
            <sz val="8"/>
            <color indexed="81"/>
            <rFont val="Tahoma"/>
            <family val="2"/>
          </rPr>
          <t xml:space="preserve">
Garvin County Living Center
(405)238-3888</t>
        </r>
      </text>
    </comment>
    <comment ref="B571" authorId="0">
      <text>
        <r>
          <rPr>
            <b/>
            <sz val="8"/>
            <color indexed="81"/>
            <rFont val="Tahoma"/>
            <family val="2"/>
          </rPr>
          <t>116295:</t>
        </r>
        <r>
          <rPr>
            <sz val="8"/>
            <color indexed="81"/>
            <rFont val="Tahoma"/>
            <family val="2"/>
          </rPr>
          <t xml:space="preserve">
Garvin County Living Center
(405)238-3888</t>
        </r>
      </text>
    </comment>
    <comment ref="B572" authorId="0">
      <text>
        <r>
          <rPr>
            <b/>
            <sz val="8"/>
            <color indexed="81"/>
            <rFont val="Tahoma"/>
            <family val="2"/>
          </rPr>
          <t>116295:</t>
        </r>
        <r>
          <rPr>
            <sz val="8"/>
            <color indexed="81"/>
            <rFont val="Tahoma"/>
            <family val="2"/>
          </rPr>
          <t xml:space="preserve">
Garvin County Living Center
(405)238-3888</t>
        </r>
      </text>
    </comment>
    <comment ref="B573" authorId="0">
      <text>
        <r>
          <rPr>
            <b/>
            <sz val="8"/>
            <color indexed="81"/>
            <rFont val="Tahoma"/>
            <family val="2"/>
          </rPr>
          <t>116295:</t>
        </r>
        <r>
          <rPr>
            <sz val="8"/>
            <color indexed="81"/>
            <rFont val="Tahoma"/>
            <family val="2"/>
          </rPr>
          <t xml:space="preserve">
Garvin County Living Center
(405)238-3888</t>
        </r>
      </text>
    </comment>
    <comment ref="B574" authorId="0">
      <text>
        <r>
          <rPr>
            <b/>
            <sz val="8"/>
            <color indexed="81"/>
            <rFont val="Tahoma"/>
            <family val="2"/>
          </rPr>
          <t>116295:</t>
        </r>
        <r>
          <rPr>
            <sz val="8"/>
            <color indexed="81"/>
            <rFont val="Tahoma"/>
            <family val="2"/>
          </rPr>
          <t xml:space="preserve">
Garvin County Living Center
(405)238-3888</t>
        </r>
      </text>
    </comment>
    <comment ref="B575" authorId="0">
      <text>
        <r>
          <rPr>
            <b/>
            <sz val="8"/>
            <color indexed="81"/>
            <rFont val="Tahoma"/>
            <family val="2"/>
          </rPr>
          <t>116295:</t>
        </r>
        <r>
          <rPr>
            <sz val="8"/>
            <color indexed="81"/>
            <rFont val="Tahoma"/>
            <family val="2"/>
          </rPr>
          <t xml:space="preserve">
Garvin County Living Center
(405)238-3888</t>
        </r>
      </text>
    </comment>
    <comment ref="B576" authorId="0">
      <text>
        <r>
          <rPr>
            <b/>
            <sz val="8"/>
            <color indexed="81"/>
            <rFont val="Tahoma"/>
            <family val="2"/>
          </rPr>
          <t>116295:</t>
        </r>
        <r>
          <rPr>
            <sz val="8"/>
            <color indexed="81"/>
            <rFont val="Tahoma"/>
            <family val="2"/>
          </rPr>
          <t xml:space="preserve">
Garvin County Living Center
(405)238-3888</t>
        </r>
      </text>
    </comment>
    <comment ref="B577" authorId="0">
      <text>
        <r>
          <rPr>
            <b/>
            <sz val="8"/>
            <color indexed="81"/>
            <rFont val="Tahoma"/>
            <family val="2"/>
          </rPr>
          <t>116295:</t>
        </r>
        <r>
          <rPr>
            <sz val="8"/>
            <color indexed="81"/>
            <rFont val="Tahoma"/>
            <family val="2"/>
          </rPr>
          <t xml:space="preserve">
Garvin County Living Center
(405)238-3888</t>
        </r>
      </text>
    </comment>
    <comment ref="B578" authorId="0">
      <text>
        <r>
          <rPr>
            <b/>
            <sz val="8"/>
            <color indexed="81"/>
            <rFont val="Tahoma"/>
            <family val="2"/>
          </rPr>
          <t>116295:</t>
        </r>
        <r>
          <rPr>
            <sz val="8"/>
            <color indexed="81"/>
            <rFont val="Tahoma"/>
            <family val="2"/>
          </rPr>
          <t xml:space="preserve">
Garvin County Living Center
(405)238-3888</t>
        </r>
      </text>
    </comment>
    <comment ref="B579" authorId="0">
      <text>
        <r>
          <rPr>
            <b/>
            <sz val="8"/>
            <color indexed="81"/>
            <rFont val="Tahoma"/>
            <family val="2"/>
          </rPr>
          <t>116295:</t>
        </r>
        <r>
          <rPr>
            <sz val="8"/>
            <color indexed="81"/>
            <rFont val="Tahoma"/>
            <family val="2"/>
          </rPr>
          <t xml:space="preserve">
Garvin County Living Center
(405)238-3888</t>
        </r>
      </text>
    </comment>
    <comment ref="B580" authorId="0">
      <text>
        <r>
          <rPr>
            <b/>
            <sz val="8"/>
            <color indexed="81"/>
            <rFont val="Tahoma"/>
            <family val="2"/>
          </rPr>
          <t>116295:</t>
        </r>
        <r>
          <rPr>
            <sz val="8"/>
            <color indexed="81"/>
            <rFont val="Tahoma"/>
            <family val="2"/>
          </rPr>
          <t xml:space="preserve">
Garvin County Living Center
(405)238-3888</t>
        </r>
      </text>
    </comment>
    <comment ref="B581" authorId="0">
      <text>
        <r>
          <rPr>
            <b/>
            <sz val="8"/>
            <color indexed="81"/>
            <rFont val="Tahoma"/>
            <family val="2"/>
          </rPr>
          <t>116295:</t>
        </r>
        <r>
          <rPr>
            <sz val="8"/>
            <color indexed="81"/>
            <rFont val="Tahoma"/>
            <family val="2"/>
          </rPr>
          <t xml:space="preserve">
Garvin County Living Center
(405)238-3888</t>
        </r>
      </text>
    </comment>
    <comment ref="B582" authorId="0">
      <text>
        <r>
          <rPr>
            <b/>
            <sz val="8"/>
            <color indexed="81"/>
            <rFont val="Tahoma"/>
            <family val="2"/>
          </rPr>
          <t>116295:</t>
        </r>
        <r>
          <rPr>
            <sz val="8"/>
            <color indexed="81"/>
            <rFont val="Tahoma"/>
            <family val="2"/>
          </rPr>
          <t xml:space="preserve">
Garvin County Living Center
(405)238-3888</t>
        </r>
      </text>
    </comment>
    <comment ref="B583" authorId="0">
      <text>
        <r>
          <rPr>
            <b/>
            <sz val="8"/>
            <color indexed="81"/>
            <rFont val="Tahoma"/>
            <family val="2"/>
          </rPr>
          <t>116295:</t>
        </r>
        <r>
          <rPr>
            <sz val="8"/>
            <color indexed="81"/>
            <rFont val="Tahoma"/>
            <family val="2"/>
          </rPr>
          <t xml:space="preserve">
Garvin County Living Center
(405)238-3888</t>
        </r>
      </text>
    </comment>
    <comment ref="B584" authorId="0">
      <text>
        <r>
          <rPr>
            <b/>
            <sz val="8"/>
            <color indexed="81"/>
            <rFont val="Tahoma"/>
            <family val="2"/>
          </rPr>
          <t>116295:</t>
        </r>
        <r>
          <rPr>
            <sz val="8"/>
            <color indexed="81"/>
            <rFont val="Tahoma"/>
            <family val="2"/>
          </rPr>
          <t xml:space="preserve">
Garvin County Living Center
(405)238-3888</t>
        </r>
      </text>
    </comment>
    <comment ref="B585" authorId="0">
      <text>
        <r>
          <rPr>
            <b/>
            <sz val="8"/>
            <color indexed="81"/>
            <rFont val="Tahoma"/>
            <family val="2"/>
          </rPr>
          <t>116295:</t>
        </r>
        <r>
          <rPr>
            <sz val="8"/>
            <color indexed="81"/>
            <rFont val="Tahoma"/>
            <family val="2"/>
          </rPr>
          <t xml:space="preserve">
Garvin County Living Center
(405)238-3888</t>
        </r>
      </text>
    </comment>
    <comment ref="B586" authorId="0">
      <text>
        <r>
          <rPr>
            <b/>
            <sz val="8"/>
            <color indexed="81"/>
            <rFont val="Tahoma"/>
            <family val="2"/>
          </rPr>
          <t>116295:</t>
        </r>
        <r>
          <rPr>
            <sz val="8"/>
            <color indexed="81"/>
            <rFont val="Tahoma"/>
            <family val="2"/>
          </rPr>
          <t xml:space="preserve">
Garvin County Living Center
(405)238-3888</t>
        </r>
      </text>
    </comment>
    <comment ref="B587" authorId="0">
      <text>
        <r>
          <rPr>
            <b/>
            <sz val="8"/>
            <color indexed="81"/>
            <rFont val="Tahoma"/>
            <family val="2"/>
          </rPr>
          <t>116295:</t>
        </r>
        <r>
          <rPr>
            <sz val="8"/>
            <color indexed="81"/>
            <rFont val="Tahoma"/>
            <family val="2"/>
          </rPr>
          <t xml:space="preserve">
Garvin County Living Center
(405)238-3888</t>
        </r>
      </text>
    </comment>
    <comment ref="B588" authorId="0">
      <text>
        <r>
          <rPr>
            <b/>
            <sz val="8"/>
            <color indexed="81"/>
            <rFont val="Tahoma"/>
            <family val="2"/>
          </rPr>
          <t>116295:</t>
        </r>
        <r>
          <rPr>
            <sz val="8"/>
            <color indexed="81"/>
            <rFont val="Tahoma"/>
            <family val="2"/>
          </rPr>
          <t xml:space="preserve">
Garvin County Living Center
(405)238-3888</t>
        </r>
      </text>
    </comment>
    <comment ref="B589" authorId="0">
      <text>
        <r>
          <rPr>
            <b/>
            <sz val="8"/>
            <color indexed="81"/>
            <rFont val="Tahoma"/>
            <family val="2"/>
          </rPr>
          <t>116295:</t>
        </r>
        <r>
          <rPr>
            <sz val="8"/>
            <color indexed="81"/>
            <rFont val="Tahoma"/>
            <family val="2"/>
          </rPr>
          <t xml:space="preserve">
Garvin County Living Center
(405)238-3888</t>
        </r>
      </text>
    </comment>
    <comment ref="B590" authorId="0">
      <text>
        <r>
          <rPr>
            <b/>
            <sz val="8"/>
            <color indexed="81"/>
            <rFont val="Tahoma"/>
            <family val="2"/>
          </rPr>
          <t>116295:</t>
        </r>
        <r>
          <rPr>
            <sz val="8"/>
            <color indexed="81"/>
            <rFont val="Tahoma"/>
            <family val="2"/>
          </rPr>
          <t xml:space="preserve">
Garvin County Living Center
(405)238-3888</t>
        </r>
      </text>
    </comment>
    <comment ref="B591" authorId="0">
      <text>
        <r>
          <rPr>
            <b/>
            <sz val="8"/>
            <color indexed="81"/>
            <rFont val="Tahoma"/>
            <family val="2"/>
          </rPr>
          <t>116295:</t>
        </r>
        <r>
          <rPr>
            <sz val="8"/>
            <color indexed="81"/>
            <rFont val="Tahoma"/>
            <family val="2"/>
          </rPr>
          <t xml:space="preserve">
Garvin County Living Center
(405)238-3888</t>
        </r>
      </text>
    </comment>
    <comment ref="B592" authorId="0">
      <text>
        <r>
          <rPr>
            <b/>
            <sz val="8"/>
            <color indexed="81"/>
            <rFont val="Tahoma"/>
            <family val="2"/>
          </rPr>
          <t>116295:</t>
        </r>
        <r>
          <rPr>
            <sz val="8"/>
            <color indexed="81"/>
            <rFont val="Tahoma"/>
            <family val="2"/>
          </rPr>
          <t xml:space="preserve">
Garvin County Living Center
(405)238-3888</t>
        </r>
      </text>
    </comment>
    <comment ref="B593" authorId="0">
      <text>
        <r>
          <rPr>
            <b/>
            <sz val="8"/>
            <color indexed="81"/>
            <rFont val="Tahoma"/>
            <family val="2"/>
          </rPr>
          <t>116295:</t>
        </r>
        <r>
          <rPr>
            <sz val="8"/>
            <color indexed="81"/>
            <rFont val="Tahoma"/>
            <family val="2"/>
          </rPr>
          <t xml:space="preserve">
Garvin County Living Center
(405)238-3888</t>
        </r>
      </text>
    </comment>
    <comment ref="B594" authorId="0">
      <text>
        <r>
          <rPr>
            <b/>
            <sz val="8"/>
            <color indexed="81"/>
            <rFont val="Tahoma"/>
            <family val="2"/>
          </rPr>
          <t>116295:</t>
        </r>
        <r>
          <rPr>
            <sz val="8"/>
            <color indexed="81"/>
            <rFont val="Tahoma"/>
            <family val="2"/>
          </rPr>
          <t xml:space="preserve">
Garvin County Living Center
(405)238-3888</t>
        </r>
      </text>
    </comment>
    <comment ref="B595" authorId="0">
      <text>
        <r>
          <rPr>
            <b/>
            <sz val="8"/>
            <color indexed="81"/>
            <rFont val="Tahoma"/>
            <family val="2"/>
          </rPr>
          <t>116295:</t>
        </r>
        <r>
          <rPr>
            <sz val="8"/>
            <color indexed="81"/>
            <rFont val="Tahoma"/>
            <family val="2"/>
          </rPr>
          <t xml:space="preserve">
Garvin County Living Center
(405)238-3888</t>
        </r>
      </text>
    </comment>
    <comment ref="B596" authorId="0">
      <text>
        <r>
          <rPr>
            <b/>
            <sz val="8"/>
            <color indexed="81"/>
            <rFont val="Tahoma"/>
            <family val="2"/>
          </rPr>
          <t>116295:</t>
        </r>
        <r>
          <rPr>
            <sz val="8"/>
            <color indexed="81"/>
            <rFont val="Tahoma"/>
            <family val="2"/>
          </rPr>
          <t xml:space="preserve">
Garvin County Living Center
(405)238-3888</t>
        </r>
      </text>
    </comment>
    <comment ref="B597" authorId="0">
      <text>
        <r>
          <rPr>
            <b/>
            <sz val="8"/>
            <color indexed="81"/>
            <rFont val="Tahoma"/>
            <family val="2"/>
          </rPr>
          <t>116295:</t>
        </r>
        <r>
          <rPr>
            <sz val="8"/>
            <color indexed="81"/>
            <rFont val="Tahoma"/>
            <family val="2"/>
          </rPr>
          <t xml:space="preserve">
Garvin County Living Center
(405)238-3888</t>
        </r>
      </text>
    </comment>
    <comment ref="B598" authorId="0">
      <text>
        <r>
          <rPr>
            <b/>
            <sz val="8"/>
            <color indexed="81"/>
            <rFont val="Tahoma"/>
            <family val="2"/>
          </rPr>
          <t>116295:</t>
        </r>
        <r>
          <rPr>
            <sz val="8"/>
            <color indexed="81"/>
            <rFont val="Tahoma"/>
            <family val="2"/>
          </rPr>
          <t xml:space="preserve">
Garvin County Living Center
(405)238-3888</t>
        </r>
      </text>
    </comment>
    <comment ref="B599" authorId="0">
      <text>
        <r>
          <rPr>
            <b/>
            <sz val="8"/>
            <color indexed="81"/>
            <rFont val="Tahoma"/>
            <family val="2"/>
          </rPr>
          <t>116295:</t>
        </r>
        <r>
          <rPr>
            <sz val="8"/>
            <color indexed="81"/>
            <rFont val="Tahoma"/>
            <family val="2"/>
          </rPr>
          <t xml:space="preserve">
Garvin County Living Center
(405)238-3888</t>
        </r>
      </text>
    </comment>
    <comment ref="B600" authorId="0">
      <text>
        <r>
          <rPr>
            <b/>
            <sz val="8"/>
            <color indexed="81"/>
            <rFont val="Tahoma"/>
            <family val="2"/>
          </rPr>
          <t>116295:</t>
        </r>
        <r>
          <rPr>
            <sz val="8"/>
            <color indexed="81"/>
            <rFont val="Tahoma"/>
            <family val="2"/>
          </rPr>
          <t xml:space="preserve">
Garvin County Living Center
(405)238-3888</t>
        </r>
      </text>
    </comment>
    <comment ref="B601" authorId="0">
      <text>
        <r>
          <rPr>
            <b/>
            <sz val="8"/>
            <color indexed="81"/>
            <rFont val="Tahoma"/>
            <family val="2"/>
          </rPr>
          <t>116295:</t>
        </r>
        <r>
          <rPr>
            <sz val="8"/>
            <color indexed="81"/>
            <rFont val="Tahoma"/>
            <family val="2"/>
          </rPr>
          <t xml:space="preserve">
Garvin County Living Center
(405)238-3888</t>
        </r>
      </text>
    </comment>
    <comment ref="B602" authorId="0">
      <text>
        <r>
          <rPr>
            <b/>
            <sz val="8"/>
            <color indexed="81"/>
            <rFont val="Tahoma"/>
            <family val="2"/>
          </rPr>
          <t>116295:</t>
        </r>
        <r>
          <rPr>
            <sz val="8"/>
            <color indexed="81"/>
            <rFont val="Tahoma"/>
            <family val="2"/>
          </rPr>
          <t xml:space="preserve">
Garvin County Living Center
(405)238-3888</t>
        </r>
      </text>
    </comment>
    <comment ref="B603" authorId="0">
      <text>
        <r>
          <rPr>
            <b/>
            <sz val="8"/>
            <color indexed="81"/>
            <rFont val="Tahoma"/>
            <family val="2"/>
          </rPr>
          <t>116295:</t>
        </r>
        <r>
          <rPr>
            <sz val="8"/>
            <color indexed="81"/>
            <rFont val="Tahoma"/>
            <family val="2"/>
          </rPr>
          <t xml:space="preserve">
Garvin County Living Center
(405)238-3888</t>
        </r>
      </text>
    </comment>
    <comment ref="B604" authorId="0">
      <text>
        <r>
          <rPr>
            <b/>
            <sz val="8"/>
            <color indexed="81"/>
            <rFont val="Tahoma"/>
            <family val="2"/>
          </rPr>
          <t>116295:</t>
        </r>
        <r>
          <rPr>
            <sz val="8"/>
            <color indexed="81"/>
            <rFont val="Tahoma"/>
            <family val="2"/>
          </rPr>
          <t xml:space="preserve">
Garvin County Living Center
(405)238-3888</t>
        </r>
      </text>
    </comment>
    <comment ref="B605" authorId="0">
      <text>
        <r>
          <rPr>
            <b/>
            <sz val="8"/>
            <color indexed="81"/>
            <rFont val="Tahoma"/>
            <family val="2"/>
          </rPr>
          <t>116295:</t>
        </r>
        <r>
          <rPr>
            <sz val="8"/>
            <color indexed="81"/>
            <rFont val="Tahoma"/>
            <family val="2"/>
          </rPr>
          <t xml:space="preserve">
Garvin County Living Center
(405)238-3888</t>
        </r>
      </text>
    </comment>
    <comment ref="B606" authorId="0">
      <text>
        <r>
          <rPr>
            <b/>
            <sz val="8"/>
            <color indexed="81"/>
            <rFont val="Tahoma"/>
            <family val="2"/>
          </rPr>
          <t>116295:</t>
        </r>
        <r>
          <rPr>
            <sz val="8"/>
            <color indexed="81"/>
            <rFont val="Tahoma"/>
            <family val="2"/>
          </rPr>
          <t xml:space="preserve">
Garvin County Living Center
(405)238-3888</t>
        </r>
      </text>
    </comment>
    <comment ref="B607" authorId="0">
      <text>
        <r>
          <rPr>
            <b/>
            <sz val="8"/>
            <color indexed="81"/>
            <rFont val="Tahoma"/>
            <family val="2"/>
          </rPr>
          <t>116295:</t>
        </r>
        <r>
          <rPr>
            <sz val="8"/>
            <color indexed="81"/>
            <rFont val="Tahoma"/>
            <family val="2"/>
          </rPr>
          <t xml:space="preserve">
Garvin County Living Center
(405)238-3888</t>
        </r>
      </text>
    </comment>
    <comment ref="B608" authorId="0">
      <text>
        <r>
          <rPr>
            <b/>
            <sz val="8"/>
            <color indexed="81"/>
            <rFont val="Tahoma"/>
            <family val="2"/>
          </rPr>
          <t>116295:</t>
        </r>
        <r>
          <rPr>
            <sz val="8"/>
            <color indexed="81"/>
            <rFont val="Tahoma"/>
            <family val="2"/>
          </rPr>
          <t xml:space="preserve">
Garvin County Living Center
(405)238-3888</t>
        </r>
      </text>
    </comment>
    <comment ref="B609" authorId="0">
      <text>
        <r>
          <rPr>
            <b/>
            <sz val="8"/>
            <color indexed="81"/>
            <rFont val="Tahoma"/>
            <family val="2"/>
          </rPr>
          <t>116295:</t>
        </r>
        <r>
          <rPr>
            <sz val="8"/>
            <color indexed="81"/>
            <rFont val="Tahoma"/>
            <family val="2"/>
          </rPr>
          <t xml:space="preserve">
Garvin County Living Center
(405)238-3888</t>
        </r>
      </text>
    </comment>
    <comment ref="B610" authorId="0">
      <text>
        <r>
          <rPr>
            <b/>
            <sz val="8"/>
            <color indexed="81"/>
            <rFont val="Tahoma"/>
            <family val="2"/>
          </rPr>
          <t>116295:</t>
        </r>
        <r>
          <rPr>
            <sz val="8"/>
            <color indexed="81"/>
            <rFont val="Tahoma"/>
            <family val="2"/>
          </rPr>
          <t xml:space="preserve">
Garvin County Living Center
(405)238-3888</t>
        </r>
      </text>
    </comment>
    <comment ref="B611" authorId="0">
      <text>
        <r>
          <rPr>
            <b/>
            <sz val="8"/>
            <color indexed="81"/>
            <rFont val="Tahoma"/>
            <family val="2"/>
          </rPr>
          <t>116295:</t>
        </r>
        <r>
          <rPr>
            <sz val="8"/>
            <color indexed="81"/>
            <rFont val="Tahoma"/>
            <family val="2"/>
          </rPr>
          <t xml:space="preserve">
Garvin County Living Center
(405)238-3888</t>
        </r>
      </text>
    </comment>
    <comment ref="B612" authorId="0">
      <text>
        <r>
          <rPr>
            <b/>
            <sz val="8"/>
            <color indexed="81"/>
            <rFont val="Tahoma"/>
            <family val="2"/>
          </rPr>
          <t>116295:</t>
        </r>
        <r>
          <rPr>
            <sz val="8"/>
            <color indexed="81"/>
            <rFont val="Tahoma"/>
            <family val="2"/>
          </rPr>
          <t xml:space="preserve">
Garvin County Living Center
(405)238-3888</t>
        </r>
      </text>
    </comment>
    <comment ref="B613" authorId="0">
      <text>
        <r>
          <rPr>
            <b/>
            <sz val="8"/>
            <color indexed="81"/>
            <rFont val="Tahoma"/>
            <family val="2"/>
          </rPr>
          <t>116295:</t>
        </r>
        <r>
          <rPr>
            <sz val="8"/>
            <color indexed="81"/>
            <rFont val="Tahoma"/>
            <family val="2"/>
          </rPr>
          <t xml:space="preserve">
Garvin County Living Center
(405)238-3888</t>
        </r>
      </text>
    </comment>
    <comment ref="B614" authorId="0">
      <text>
        <r>
          <rPr>
            <b/>
            <sz val="8"/>
            <color indexed="81"/>
            <rFont val="Tahoma"/>
            <family val="2"/>
          </rPr>
          <t>116295:</t>
        </r>
        <r>
          <rPr>
            <sz val="8"/>
            <color indexed="81"/>
            <rFont val="Tahoma"/>
            <family val="2"/>
          </rPr>
          <t xml:space="preserve">
Garvin County Living Center
(405)238-3888</t>
        </r>
      </text>
    </comment>
    <comment ref="B615" authorId="0">
      <text>
        <r>
          <rPr>
            <b/>
            <sz val="8"/>
            <color indexed="81"/>
            <rFont val="Tahoma"/>
            <family val="2"/>
          </rPr>
          <t>116295:</t>
        </r>
        <r>
          <rPr>
            <sz val="8"/>
            <color indexed="81"/>
            <rFont val="Tahoma"/>
            <family val="2"/>
          </rPr>
          <t xml:space="preserve">
Garvin County Living Center
(405)238-3888</t>
        </r>
      </text>
    </comment>
    <comment ref="B616" authorId="0">
      <text>
        <r>
          <rPr>
            <b/>
            <sz val="8"/>
            <color indexed="81"/>
            <rFont val="Tahoma"/>
            <family val="2"/>
          </rPr>
          <t>116295:</t>
        </r>
        <r>
          <rPr>
            <sz val="8"/>
            <color indexed="81"/>
            <rFont val="Tahoma"/>
            <family val="2"/>
          </rPr>
          <t xml:space="preserve">
Garvin County Living Center
(405)238-3888</t>
        </r>
      </text>
    </comment>
    <comment ref="B617" authorId="0">
      <text>
        <r>
          <rPr>
            <b/>
            <sz val="8"/>
            <color indexed="81"/>
            <rFont val="Tahoma"/>
            <family val="2"/>
          </rPr>
          <t>116295:</t>
        </r>
        <r>
          <rPr>
            <sz val="8"/>
            <color indexed="81"/>
            <rFont val="Tahoma"/>
            <family val="2"/>
          </rPr>
          <t xml:space="preserve">
Garvin County Living Center
(405)238-3888</t>
        </r>
      </text>
    </comment>
    <comment ref="B618" authorId="0">
      <text>
        <r>
          <rPr>
            <b/>
            <sz val="8"/>
            <color indexed="81"/>
            <rFont val="Tahoma"/>
            <family val="2"/>
          </rPr>
          <t>116295:</t>
        </r>
        <r>
          <rPr>
            <sz val="8"/>
            <color indexed="81"/>
            <rFont val="Tahoma"/>
            <family val="2"/>
          </rPr>
          <t xml:space="preserve">
Garvin County Living Center
(405)238-3888</t>
        </r>
      </text>
    </comment>
    <comment ref="B619" authorId="0">
      <text>
        <r>
          <rPr>
            <b/>
            <sz val="8"/>
            <color indexed="81"/>
            <rFont val="Tahoma"/>
            <family val="2"/>
          </rPr>
          <t>116295:</t>
        </r>
        <r>
          <rPr>
            <sz val="8"/>
            <color indexed="81"/>
            <rFont val="Tahoma"/>
            <family val="2"/>
          </rPr>
          <t xml:space="preserve">
Garvin County Living Center
(405)238-3888</t>
        </r>
      </text>
    </comment>
    <comment ref="B620" authorId="0">
      <text>
        <r>
          <rPr>
            <b/>
            <sz val="8"/>
            <color indexed="81"/>
            <rFont val="Tahoma"/>
            <family val="2"/>
          </rPr>
          <t>116295:</t>
        </r>
        <r>
          <rPr>
            <sz val="8"/>
            <color indexed="81"/>
            <rFont val="Tahoma"/>
            <family val="2"/>
          </rPr>
          <t xml:space="preserve">
Garvin County Living Center
(405)238-3888</t>
        </r>
      </text>
    </comment>
    <comment ref="B621" authorId="0">
      <text>
        <r>
          <rPr>
            <b/>
            <sz val="8"/>
            <color indexed="81"/>
            <rFont val="Tahoma"/>
            <family val="2"/>
          </rPr>
          <t>116295:</t>
        </r>
        <r>
          <rPr>
            <sz val="8"/>
            <color indexed="81"/>
            <rFont val="Tahoma"/>
            <family val="2"/>
          </rPr>
          <t xml:space="preserve">
Garvin County Living Center
(405)238-3888</t>
        </r>
      </text>
    </comment>
    <comment ref="B622" authorId="0">
      <text>
        <r>
          <rPr>
            <b/>
            <sz val="8"/>
            <color indexed="81"/>
            <rFont val="Tahoma"/>
            <family val="2"/>
          </rPr>
          <t>116295:</t>
        </r>
        <r>
          <rPr>
            <sz val="8"/>
            <color indexed="81"/>
            <rFont val="Tahoma"/>
            <family val="2"/>
          </rPr>
          <t xml:space="preserve">
Garvin County Living Center
(405)238-3888</t>
        </r>
      </text>
    </comment>
    <comment ref="B623" authorId="0">
      <text>
        <r>
          <rPr>
            <b/>
            <sz val="8"/>
            <color indexed="81"/>
            <rFont val="Tahoma"/>
            <family val="2"/>
          </rPr>
          <t>116295:</t>
        </r>
        <r>
          <rPr>
            <sz val="8"/>
            <color indexed="81"/>
            <rFont val="Tahoma"/>
            <family val="2"/>
          </rPr>
          <t xml:space="preserve">
Garvin County Living Center
(405)238-3888</t>
        </r>
      </text>
    </comment>
    <comment ref="B624" authorId="0">
      <text>
        <r>
          <rPr>
            <b/>
            <sz val="8"/>
            <color indexed="81"/>
            <rFont val="Tahoma"/>
            <family val="2"/>
          </rPr>
          <t>116295:</t>
        </r>
        <r>
          <rPr>
            <sz val="8"/>
            <color indexed="81"/>
            <rFont val="Tahoma"/>
            <family val="2"/>
          </rPr>
          <t xml:space="preserve">
Garvin County Living Center
(405)238-3888</t>
        </r>
      </text>
    </comment>
    <comment ref="B625" authorId="0">
      <text>
        <r>
          <rPr>
            <b/>
            <sz val="8"/>
            <color indexed="81"/>
            <rFont val="Tahoma"/>
            <family val="2"/>
          </rPr>
          <t>116295:</t>
        </r>
        <r>
          <rPr>
            <sz val="8"/>
            <color indexed="81"/>
            <rFont val="Tahoma"/>
            <family val="2"/>
          </rPr>
          <t xml:space="preserve">
Garvin County Living Center
(405)238-3888</t>
        </r>
      </text>
    </comment>
    <comment ref="B626" authorId="0">
      <text>
        <r>
          <rPr>
            <b/>
            <sz val="8"/>
            <color indexed="81"/>
            <rFont val="Tahoma"/>
            <family val="2"/>
          </rPr>
          <t>116295:</t>
        </r>
        <r>
          <rPr>
            <sz val="8"/>
            <color indexed="81"/>
            <rFont val="Tahoma"/>
            <family val="2"/>
          </rPr>
          <t xml:space="preserve">
Garvin County Living Center
(405)238-3888</t>
        </r>
      </text>
    </comment>
    <comment ref="B627" authorId="0">
      <text>
        <r>
          <rPr>
            <b/>
            <sz val="8"/>
            <color indexed="81"/>
            <rFont val="Tahoma"/>
            <family val="2"/>
          </rPr>
          <t>116295:</t>
        </r>
        <r>
          <rPr>
            <sz val="8"/>
            <color indexed="81"/>
            <rFont val="Tahoma"/>
            <family val="2"/>
          </rPr>
          <t xml:space="preserve">
Garvin County Living Center
(405)238-3888</t>
        </r>
      </text>
    </comment>
    <comment ref="B628" authorId="0">
      <text>
        <r>
          <rPr>
            <b/>
            <sz val="8"/>
            <color indexed="81"/>
            <rFont val="Tahoma"/>
            <family val="2"/>
          </rPr>
          <t>116295:</t>
        </r>
        <r>
          <rPr>
            <sz val="8"/>
            <color indexed="81"/>
            <rFont val="Tahoma"/>
            <family val="2"/>
          </rPr>
          <t xml:space="preserve">
Garvin County Living Center
(405)238-3888</t>
        </r>
      </text>
    </comment>
    <comment ref="B629" authorId="0">
      <text>
        <r>
          <rPr>
            <b/>
            <sz val="8"/>
            <color indexed="81"/>
            <rFont val="Tahoma"/>
            <family val="2"/>
          </rPr>
          <t>116295:</t>
        </r>
        <r>
          <rPr>
            <sz val="8"/>
            <color indexed="81"/>
            <rFont val="Tahoma"/>
            <family val="2"/>
          </rPr>
          <t xml:space="preserve">
Garvin County Living Center
(405)238-3888</t>
        </r>
      </text>
    </comment>
    <comment ref="B630" authorId="0">
      <text>
        <r>
          <rPr>
            <b/>
            <sz val="8"/>
            <color indexed="81"/>
            <rFont val="Tahoma"/>
            <family val="2"/>
          </rPr>
          <t>116295:</t>
        </r>
        <r>
          <rPr>
            <sz val="8"/>
            <color indexed="81"/>
            <rFont val="Tahoma"/>
            <family val="2"/>
          </rPr>
          <t xml:space="preserve">
Garvin County Living Center
(405)238-3888</t>
        </r>
      </text>
    </comment>
    <comment ref="B631" authorId="0">
      <text>
        <r>
          <rPr>
            <b/>
            <sz val="8"/>
            <color indexed="81"/>
            <rFont val="Tahoma"/>
            <family val="2"/>
          </rPr>
          <t>116295:</t>
        </r>
        <r>
          <rPr>
            <sz val="8"/>
            <color indexed="81"/>
            <rFont val="Tahoma"/>
            <family val="2"/>
          </rPr>
          <t xml:space="preserve">
Garvin County Living Center
(405)238-3888</t>
        </r>
      </text>
    </comment>
    <comment ref="B632" authorId="0">
      <text>
        <r>
          <rPr>
            <b/>
            <sz val="8"/>
            <color indexed="81"/>
            <rFont val="Tahoma"/>
            <family val="2"/>
          </rPr>
          <t>116295:</t>
        </r>
        <r>
          <rPr>
            <sz val="8"/>
            <color indexed="81"/>
            <rFont val="Tahoma"/>
            <family val="2"/>
          </rPr>
          <t xml:space="preserve">
Garvin County Living Center
(405)238-3888</t>
        </r>
      </text>
    </comment>
    <comment ref="B633" authorId="0">
      <text>
        <r>
          <rPr>
            <b/>
            <sz val="8"/>
            <color indexed="81"/>
            <rFont val="Tahoma"/>
            <family val="2"/>
          </rPr>
          <t>116295:</t>
        </r>
        <r>
          <rPr>
            <sz val="8"/>
            <color indexed="81"/>
            <rFont val="Tahoma"/>
            <family val="2"/>
          </rPr>
          <t xml:space="preserve">
Garvin County Living Center
(405)238-3888</t>
        </r>
      </text>
    </comment>
    <comment ref="B634" authorId="0">
      <text>
        <r>
          <rPr>
            <b/>
            <sz val="8"/>
            <color indexed="81"/>
            <rFont val="Tahoma"/>
            <family val="2"/>
          </rPr>
          <t>116295:</t>
        </r>
        <r>
          <rPr>
            <sz val="8"/>
            <color indexed="81"/>
            <rFont val="Tahoma"/>
            <family val="2"/>
          </rPr>
          <t xml:space="preserve">
Garvin County Living Center
(405)238-3888</t>
        </r>
      </text>
    </comment>
    <comment ref="B635" authorId="0">
      <text>
        <r>
          <rPr>
            <b/>
            <sz val="8"/>
            <color indexed="81"/>
            <rFont val="Tahoma"/>
            <family val="2"/>
          </rPr>
          <t>116295:</t>
        </r>
        <r>
          <rPr>
            <sz val="8"/>
            <color indexed="81"/>
            <rFont val="Tahoma"/>
            <family val="2"/>
          </rPr>
          <t xml:space="preserve">
Garvin County Living Center
(405)238-3888</t>
        </r>
      </text>
    </comment>
    <comment ref="B636" authorId="0">
      <text>
        <r>
          <rPr>
            <b/>
            <sz val="8"/>
            <color indexed="81"/>
            <rFont val="Tahoma"/>
            <family val="2"/>
          </rPr>
          <t>116295:</t>
        </r>
        <r>
          <rPr>
            <sz val="8"/>
            <color indexed="81"/>
            <rFont val="Tahoma"/>
            <family val="2"/>
          </rPr>
          <t xml:space="preserve">
Garvin County Living Center
(405)238-3888</t>
        </r>
      </text>
    </comment>
    <comment ref="B637" authorId="0">
      <text>
        <r>
          <rPr>
            <b/>
            <sz val="8"/>
            <color indexed="81"/>
            <rFont val="Tahoma"/>
            <family val="2"/>
          </rPr>
          <t>116295:</t>
        </r>
        <r>
          <rPr>
            <sz val="8"/>
            <color indexed="81"/>
            <rFont val="Tahoma"/>
            <family val="2"/>
          </rPr>
          <t xml:space="preserve">
Garvin County Living Center
(405)238-3888</t>
        </r>
      </text>
    </comment>
    <comment ref="B638" authorId="0">
      <text>
        <r>
          <rPr>
            <b/>
            <sz val="8"/>
            <color indexed="81"/>
            <rFont val="Tahoma"/>
            <family val="2"/>
          </rPr>
          <t>116295:</t>
        </r>
        <r>
          <rPr>
            <sz val="8"/>
            <color indexed="81"/>
            <rFont val="Tahoma"/>
            <family val="2"/>
          </rPr>
          <t xml:space="preserve">
Garvin County Living Center
(405)238-3888</t>
        </r>
      </text>
    </comment>
    <comment ref="B639" authorId="0">
      <text>
        <r>
          <rPr>
            <b/>
            <sz val="8"/>
            <color indexed="81"/>
            <rFont val="Tahoma"/>
            <family val="2"/>
          </rPr>
          <t>116295:</t>
        </r>
        <r>
          <rPr>
            <sz val="8"/>
            <color indexed="81"/>
            <rFont val="Tahoma"/>
            <family val="2"/>
          </rPr>
          <t xml:space="preserve">
Garvin County Living Center
(405)238-3888</t>
        </r>
      </text>
    </comment>
    <comment ref="B640" authorId="0">
      <text>
        <r>
          <rPr>
            <b/>
            <sz val="8"/>
            <color indexed="81"/>
            <rFont val="Tahoma"/>
            <family val="2"/>
          </rPr>
          <t>116295:</t>
        </r>
        <r>
          <rPr>
            <sz val="8"/>
            <color indexed="81"/>
            <rFont val="Tahoma"/>
            <family val="2"/>
          </rPr>
          <t xml:space="preserve">
Garvin County Living Center
(405)238-3888</t>
        </r>
      </text>
    </comment>
    <comment ref="B641" authorId="0">
      <text>
        <r>
          <rPr>
            <b/>
            <sz val="8"/>
            <color indexed="81"/>
            <rFont val="Tahoma"/>
            <family val="2"/>
          </rPr>
          <t>116295:</t>
        </r>
        <r>
          <rPr>
            <sz val="8"/>
            <color indexed="81"/>
            <rFont val="Tahoma"/>
            <family val="2"/>
          </rPr>
          <t xml:space="preserve">
Garvin County Living Center
(405)238-3888</t>
        </r>
      </text>
    </comment>
    <comment ref="B642" authorId="0">
      <text>
        <r>
          <rPr>
            <b/>
            <sz val="8"/>
            <color indexed="81"/>
            <rFont val="Tahoma"/>
            <family val="2"/>
          </rPr>
          <t>116295:</t>
        </r>
        <r>
          <rPr>
            <sz val="8"/>
            <color indexed="81"/>
            <rFont val="Tahoma"/>
            <family val="2"/>
          </rPr>
          <t xml:space="preserve">
Garvin County Living Center
(405)238-3888</t>
        </r>
      </text>
    </comment>
    <comment ref="B643" authorId="0">
      <text>
        <r>
          <rPr>
            <b/>
            <sz val="8"/>
            <color indexed="81"/>
            <rFont val="Tahoma"/>
            <family val="2"/>
          </rPr>
          <t>116295:</t>
        </r>
        <r>
          <rPr>
            <sz val="8"/>
            <color indexed="81"/>
            <rFont val="Tahoma"/>
            <family val="2"/>
          </rPr>
          <t xml:space="preserve">
Garvin County Living Center
(405)238-3888</t>
        </r>
      </text>
    </comment>
    <comment ref="B644" authorId="0">
      <text>
        <r>
          <rPr>
            <b/>
            <sz val="8"/>
            <color indexed="81"/>
            <rFont val="Tahoma"/>
            <family val="2"/>
          </rPr>
          <t>116295:</t>
        </r>
        <r>
          <rPr>
            <sz val="8"/>
            <color indexed="81"/>
            <rFont val="Tahoma"/>
            <family val="2"/>
          </rPr>
          <t xml:space="preserve">
Garvin County Living Center
(405)238-3888</t>
        </r>
      </text>
    </comment>
    <comment ref="B645" authorId="0">
      <text>
        <r>
          <rPr>
            <b/>
            <sz val="8"/>
            <color indexed="81"/>
            <rFont val="Tahoma"/>
            <family val="2"/>
          </rPr>
          <t>116295:</t>
        </r>
        <r>
          <rPr>
            <sz val="8"/>
            <color indexed="81"/>
            <rFont val="Tahoma"/>
            <family val="2"/>
          </rPr>
          <t xml:space="preserve">
Garvin County Living Center
(405)238-3888</t>
        </r>
      </text>
    </comment>
    <comment ref="B646" authorId="0">
      <text>
        <r>
          <rPr>
            <b/>
            <sz val="8"/>
            <color indexed="81"/>
            <rFont val="Tahoma"/>
            <family val="2"/>
          </rPr>
          <t>116295:</t>
        </r>
        <r>
          <rPr>
            <sz val="8"/>
            <color indexed="81"/>
            <rFont val="Tahoma"/>
            <family val="2"/>
          </rPr>
          <t xml:space="preserve">
Garvin County Living Center
(405)238-3888</t>
        </r>
      </text>
    </comment>
    <comment ref="B647" authorId="0">
      <text>
        <r>
          <rPr>
            <b/>
            <sz val="8"/>
            <color indexed="81"/>
            <rFont val="Tahoma"/>
            <family val="2"/>
          </rPr>
          <t>116295:</t>
        </r>
        <r>
          <rPr>
            <sz val="8"/>
            <color indexed="81"/>
            <rFont val="Tahoma"/>
            <family val="2"/>
          </rPr>
          <t xml:space="preserve">
Garvin County Living Center
(405)238-3888</t>
        </r>
      </text>
    </comment>
    <comment ref="B648" authorId="0">
      <text>
        <r>
          <rPr>
            <b/>
            <sz val="8"/>
            <color indexed="81"/>
            <rFont val="Tahoma"/>
            <family val="2"/>
          </rPr>
          <t>116295:</t>
        </r>
        <r>
          <rPr>
            <sz val="8"/>
            <color indexed="81"/>
            <rFont val="Tahoma"/>
            <family val="2"/>
          </rPr>
          <t xml:space="preserve">
Garvin County Living Center
(405)238-3888</t>
        </r>
      </text>
    </comment>
    <comment ref="B649" authorId="0">
      <text>
        <r>
          <rPr>
            <b/>
            <sz val="8"/>
            <color indexed="81"/>
            <rFont val="Tahoma"/>
            <family val="2"/>
          </rPr>
          <t>116295:</t>
        </r>
        <r>
          <rPr>
            <sz val="8"/>
            <color indexed="81"/>
            <rFont val="Tahoma"/>
            <family val="2"/>
          </rPr>
          <t xml:space="preserve">
Garvin County Living Center
(405)238-3888</t>
        </r>
      </text>
    </comment>
    <comment ref="B650" authorId="0">
      <text>
        <r>
          <rPr>
            <b/>
            <sz val="8"/>
            <color indexed="81"/>
            <rFont val="Tahoma"/>
            <family val="2"/>
          </rPr>
          <t>116295:</t>
        </r>
        <r>
          <rPr>
            <sz val="8"/>
            <color indexed="81"/>
            <rFont val="Tahoma"/>
            <family val="2"/>
          </rPr>
          <t xml:space="preserve">
Garvin County Living Center
(405)238-3888</t>
        </r>
      </text>
    </comment>
    <comment ref="B651" authorId="0">
      <text>
        <r>
          <rPr>
            <b/>
            <sz val="8"/>
            <color indexed="81"/>
            <rFont val="Tahoma"/>
            <family val="2"/>
          </rPr>
          <t>116295:</t>
        </r>
        <r>
          <rPr>
            <sz val="8"/>
            <color indexed="81"/>
            <rFont val="Tahoma"/>
            <family val="2"/>
          </rPr>
          <t xml:space="preserve">
Garvin County Living Center
(405)238-3888</t>
        </r>
      </text>
    </comment>
    <comment ref="B652" authorId="0">
      <text>
        <r>
          <rPr>
            <b/>
            <sz val="8"/>
            <color indexed="81"/>
            <rFont val="Tahoma"/>
            <family val="2"/>
          </rPr>
          <t>116295:</t>
        </r>
        <r>
          <rPr>
            <sz val="8"/>
            <color indexed="81"/>
            <rFont val="Tahoma"/>
            <family val="2"/>
          </rPr>
          <t xml:space="preserve">
Garvin County Living Center
(405)238-3888</t>
        </r>
      </text>
    </comment>
    <comment ref="B653" authorId="0">
      <text>
        <r>
          <rPr>
            <b/>
            <sz val="8"/>
            <color indexed="81"/>
            <rFont val="Tahoma"/>
            <family val="2"/>
          </rPr>
          <t>116295:</t>
        </r>
        <r>
          <rPr>
            <sz val="8"/>
            <color indexed="81"/>
            <rFont val="Tahoma"/>
            <family val="2"/>
          </rPr>
          <t xml:space="preserve">
Garvin County Living Center
(405)238-3888</t>
        </r>
      </text>
    </comment>
    <comment ref="B654" authorId="0">
      <text>
        <r>
          <rPr>
            <b/>
            <sz val="8"/>
            <color indexed="81"/>
            <rFont val="Tahoma"/>
            <family val="2"/>
          </rPr>
          <t>116295:</t>
        </r>
        <r>
          <rPr>
            <sz val="8"/>
            <color indexed="81"/>
            <rFont val="Tahoma"/>
            <family val="2"/>
          </rPr>
          <t xml:space="preserve">
Garvin County Living Center
(405)238-3888</t>
        </r>
      </text>
    </comment>
    <comment ref="B655" authorId="0">
      <text>
        <r>
          <rPr>
            <b/>
            <sz val="8"/>
            <color indexed="81"/>
            <rFont val="Tahoma"/>
            <family val="2"/>
          </rPr>
          <t>116295:</t>
        </r>
        <r>
          <rPr>
            <sz val="8"/>
            <color indexed="81"/>
            <rFont val="Tahoma"/>
            <family val="2"/>
          </rPr>
          <t xml:space="preserve">
Garvin County Living Center
(405)238-3888</t>
        </r>
      </text>
    </comment>
    <comment ref="B656" authorId="0">
      <text>
        <r>
          <rPr>
            <b/>
            <sz val="8"/>
            <color indexed="81"/>
            <rFont val="Tahoma"/>
            <family val="2"/>
          </rPr>
          <t>116295:</t>
        </r>
        <r>
          <rPr>
            <sz val="8"/>
            <color indexed="81"/>
            <rFont val="Tahoma"/>
            <family val="2"/>
          </rPr>
          <t xml:space="preserve">
Garvin County Living Center
(405)238-3888</t>
        </r>
      </text>
    </comment>
    <comment ref="B657" authorId="0">
      <text>
        <r>
          <rPr>
            <b/>
            <sz val="8"/>
            <color indexed="81"/>
            <rFont val="Tahoma"/>
            <family val="2"/>
          </rPr>
          <t>116295:</t>
        </r>
        <r>
          <rPr>
            <sz val="8"/>
            <color indexed="81"/>
            <rFont val="Tahoma"/>
            <family val="2"/>
          </rPr>
          <t xml:space="preserve">
Garvin County Living Center
(405)238-3888</t>
        </r>
      </text>
    </comment>
    <comment ref="B658" authorId="0">
      <text>
        <r>
          <rPr>
            <b/>
            <sz val="8"/>
            <color indexed="81"/>
            <rFont val="Tahoma"/>
            <family val="2"/>
          </rPr>
          <t>116295:</t>
        </r>
        <r>
          <rPr>
            <sz val="8"/>
            <color indexed="81"/>
            <rFont val="Tahoma"/>
            <family val="2"/>
          </rPr>
          <t xml:space="preserve">
Garvin County Living Center
(405)238-3888</t>
        </r>
      </text>
    </comment>
    <comment ref="B659" authorId="0">
      <text>
        <r>
          <rPr>
            <b/>
            <sz val="8"/>
            <color indexed="81"/>
            <rFont val="Tahoma"/>
            <family val="2"/>
          </rPr>
          <t>116295:</t>
        </r>
        <r>
          <rPr>
            <sz val="8"/>
            <color indexed="81"/>
            <rFont val="Tahoma"/>
            <family val="2"/>
          </rPr>
          <t xml:space="preserve">
Garvin County Living Center
(405)238-3888</t>
        </r>
      </text>
    </comment>
    <comment ref="B660" authorId="0">
      <text>
        <r>
          <rPr>
            <b/>
            <sz val="8"/>
            <color indexed="81"/>
            <rFont val="Tahoma"/>
            <family val="2"/>
          </rPr>
          <t>116295:</t>
        </r>
        <r>
          <rPr>
            <sz val="8"/>
            <color indexed="81"/>
            <rFont val="Tahoma"/>
            <family val="2"/>
          </rPr>
          <t xml:space="preserve">
Garvin County Living Center
(405)238-3888</t>
        </r>
      </text>
    </comment>
    <comment ref="B661" authorId="0">
      <text>
        <r>
          <rPr>
            <b/>
            <sz val="8"/>
            <color indexed="81"/>
            <rFont val="Tahoma"/>
            <family val="2"/>
          </rPr>
          <t>116295:</t>
        </r>
        <r>
          <rPr>
            <sz val="8"/>
            <color indexed="81"/>
            <rFont val="Tahoma"/>
            <family val="2"/>
          </rPr>
          <t xml:space="preserve">
Garvin County Living Center
(405)238-3888</t>
        </r>
      </text>
    </comment>
    <comment ref="B662" authorId="0">
      <text>
        <r>
          <rPr>
            <b/>
            <sz val="8"/>
            <color indexed="81"/>
            <rFont val="Tahoma"/>
            <family val="2"/>
          </rPr>
          <t>116295:</t>
        </r>
        <r>
          <rPr>
            <sz val="8"/>
            <color indexed="81"/>
            <rFont val="Tahoma"/>
            <family val="2"/>
          </rPr>
          <t xml:space="preserve">
Garvin County Living Center
(405)238-3888</t>
        </r>
      </text>
    </comment>
    <comment ref="B663" authorId="0">
      <text>
        <r>
          <rPr>
            <b/>
            <sz val="8"/>
            <color indexed="81"/>
            <rFont val="Tahoma"/>
            <family val="2"/>
          </rPr>
          <t>116295:</t>
        </r>
        <r>
          <rPr>
            <sz val="8"/>
            <color indexed="81"/>
            <rFont val="Tahoma"/>
            <family val="2"/>
          </rPr>
          <t xml:space="preserve">
Garvin County Living Center
(405)238-3888</t>
        </r>
      </text>
    </comment>
    <comment ref="B664" authorId="0">
      <text>
        <r>
          <rPr>
            <b/>
            <sz val="8"/>
            <color indexed="81"/>
            <rFont val="Tahoma"/>
            <family val="2"/>
          </rPr>
          <t>116295:</t>
        </r>
        <r>
          <rPr>
            <sz val="8"/>
            <color indexed="81"/>
            <rFont val="Tahoma"/>
            <family val="2"/>
          </rPr>
          <t xml:space="preserve">
Garvin County Living Center
(405)238-3888</t>
        </r>
      </text>
    </comment>
    <comment ref="B665" authorId="0">
      <text>
        <r>
          <rPr>
            <b/>
            <sz val="8"/>
            <color indexed="81"/>
            <rFont val="Tahoma"/>
            <family val="2"/>
          </rPr>
          <t>116295:</t>
        </r>
        <r>
          <rPr>
            <sz val="8"/>
            <color indexed="81"/>
            <rFont val="Tahoma"/>
            <family val="2"/>
          </rPr>
          <t xml:space="preserve">
Garvin County Living Center
(405)238-3888</t>
        </r>
      </text>
    </comment>
    <comment ref="B666" authorId="0">
      <text>
        <r>
          <rPr>
            <b/>
            <sz val="8"/>
            <color indexed="81"/>
            <rFont val="Tahoma"/>
            <family val="2"/>
          </rPr>
          <t>116295:</t>
        </r>
        <r>
          <rPr>
            <sz val="8"/>
            <color indexed="81"/>
            <rFont val="Tahoma"/>
            <family val="2"/>
          </rPr>
          <t xml:space="preserve">
Garvin County Living Center
(405)238-3888</t>
        </r>
      </text>
    </comment>
    <comment ref="B667" authorId="0">
      <text>
        <r>
          <rPr>
            <b/>
            <sz val="8"/>
            <color indexed="81"/>
            <rFont val="Tahoma"/>
            <family val="2"/>
          </rPr>
          <t>116295:</t>
        </r>
        <r>
          <rPr>
            <sz val="8"/>
            <color indexed="81"/>
            <rFont val="Tahoma"/>
            <family val="2"/>
          </rPr>
          <t xml:space="preserve">
Garvin County Living Center
(405)238-3888</t>
        </r>
      </text>
    </comment>
    <comment ref="B668" authorId="0">
      <text>
        <r>
          <rPr>
            <b/>
            <sz val="8"/>
            <color indexed="81"/>
            <rFont val="Tahoma"/>
            <family val="2"/>
          </rPr>
          <t>116295:</t>
        </r>
        <r>
          <rPr>
            <sz val="8"/>
            <color indexed="81"/>
            <rFont val="Tahoma"/>
            <family val="2"/>
          </rPr>
          <t xml:space="preserve">
Garvin County Living Center
(405)238-3888</t>
        </r>
      </text>
    </comment>
    <comment ref="B669" authorId="0">
      <text>
        <r>
          <rPr>
            <b/>
            <sz val="8"/>
            <color indexed="81"/>
            <rFont val="Tahoma"/>
            <family val="2"/>
          </rPr>
          <t>116295:</t>
        </r>
        <r>
          <rPr>
            <sz val="8"/>
            <color indexed="81"/>
            <rFont val="Tahoma"/>
            <family val="2"/>
          </rPr>
          <t xml:space="preserve">
Garvin County Living Center
(405)238-3888</t>
        </r>
      </text>
    </comment>
    <comment ref="B670" authorId="0">
      <text>
        <r>
          <rPr>
            <b/>
            <sz val="8"/>
            <color indexed="81"/>
            <rFont val="Tahoma"/>
            <family val="2"/>
          </rPr>
          <t>116295:</t>
        </r>
        <r>
          <rPr>
            <sz val="8"/>
            <color indexed="81"/>
            <rFont val="Tahoma"/>
            <family val="2"/>
          </rPr>
          <t xml:space="preserve">
Garvin County Living Center
(405)238-3888</t>
        </r>
      </text>
    </comment>
    <comment ref="B671" authorId="0">
      <text>
        <r>
          <rPr>
            <b/>
            <sz val="8"/>
            <color indexed="81"/>
            <rFont val="Tahoma"/>
            <family val="2"/>
          </rPr>
          <t>116295:</t>
        </r>
        <r>
          <rPr>
            <sz val="8"/>
            <color indexed="81"/>
            <rFont val="Tahoma"/>
            <family val="2"/>
          </rPr>
          <t xml:space="preserve">
Garvin County Living Center
(405)238-3888</t>
        </r>
      </text>
    </comment>
    <comment ref="B672" authorId="0">
      <text>
        <r>
          <rPr>
            <b/>
            <sz val="8"/>
            <color indexed="81"/>
            <rFont val="Tahoma"/>
            <family val="2"/>
          </rPr>
          <t>116295:</t>
        </r>
        <r>
          <rPr>
            <sz val="8"/>
            <color indexed="81"/>
            <rFont val="Tahoma"/>
            <family val="2"/>
          </rPr>
          <t xml:space="preserve">
Garvin County Living Center
(405)238-3888</t>
        </r>
      </text>
    </comment>
    <comment ref="B673" authorId="0">
      <text>
        <r>
          <rPr>
            <b/>
            <sz val="8"/>
            <color indexed="81"/>
            <rFont val="Tahoma"/>
            <family val="2"/>
          </rPr>
          <t>116295:</t>
        </r>
        <r>
          <rPr>
            <sz val="8"/>
            <color indexed="81"/>
            <rFont val="Tahoma"/>
            <family val="2"/>
          </rPr>
          <t xml:space="preserve">
Garvin County Living Center
(405)238-3888</t>
        </r>
      </text>
    </comment>
    <comment ref="B674" authorId="0">
      <text>
        <r>
          <rPr>
            <b/>
            <sz val="8"/>
            <color indexed="81"/>
            <rFont val="Tahoma"/>
            <family val="2"/>
          </rPr>
          <t>116295:</t>
        </r>
        <r>
          <rPr>
            <sz val="8"/>
            <color indexed="81"/>
            <rFont val="Tahoma"/>
            <family val="2"/>
          </rPr>
          <t xml:space="preserve">
Garvin County Living Center
(405)238-3888</t>
        </r>
      </text>
    </comment>
    <comment ref="B675" authorId="0">
      <text>
        <r>
          <rPr>
            <b/>
            <sz val="8"/>
            <color indexed="81"/>
            <rFont val="Tahoma"/>
            <family val="2"/>
          </rPr>
          <t>116295:</t>
        </r>
        <r>
          <rPr>
            <sz val="8"/>
            <color indexed="81"/>
            <rFont val="Tahoma"/>
            <family val="2"/>
          </rPr>
          <t xml:space="preserve">
Garvin County Living Center
(405)238-3888</t>
        </r>
      </text>
    </comment>
    <comment ref="B676" authorId="0">
      <text>
        <r>
          <rPr>
            <b/>
            <sz val="8"/>
            <color indexed="81"/>
            <rFont val="Tahoma"/>
            <family val="2"/>
          </rPr>
          <t>116295:</t>
        </r>
        <r>
          <rPr>
            <sz val="8"/>
            <color indexed="81"/>
            <rFont val="Tahoma"/>
            <family val="2"/>
          </rPr>
          <t xml:space="preserve">
Garvin County Living Center
(405)238-3888</t>
        </r>
      </text>
    </comment>
    <comment ref="B677" authorId="0">
      <text>
        <r>
          <rPr>
            <b/>
            <sz val="8"/>
            <color indexed="81"/>
            <rFont val="Tahoma"/>
            <family val="2"/>
          </rPr>
          <t>116295:</t>
        </r>
        <r>
          <rPr>
            <sz val="8"/>
            <color indexed="81"/>
            <rFont val="Tahoma"/>
            <family val="2"/>
          </rPr>
          <t xml:space="preserve">
Garvin County Living Center
(405)238-3888</t>
        </r>
      </text>
    </comment>
    <comment ref="B678" authorId="0">
      <text>
        <r>
          <rPr>
            <b/>
            <sz val="8"/>
            <color indexed="81"/>
            <rFont val="Tahoma"/>
            <family val="2"/>
          </rPr>
          <t>116295:</t>
        </r>
        <r>
          <rPr>
            <sz val="8"/>
            <color indexed="81"/>
            <rFont val="Tahoma"/>
            <family val="2"/>
          </rPr>
          <t xml:space="preserve">
Garvin County Living Center
(405)238-3888</t>
        </r>
      </text>
    </comment>
    <comment ref="B679" authorId="0">
      <text>
        <r>
          <rPr>
            <b/>
            <sz val="8"/>
            <color indexed="81"/>
            <rFont val="Tahoma"/>
            <family val="2"/>
          </rPr>
          <t>116295:</t>
        </r>
        <r>
          <rPr>
            <sz val="8"/>
            <color indexed="81"/>
            <rFont val="Tahoma"/>
            <family val="2"/>
          </rPr>
          <t xml:space="preserve">
Garvin County Living Center
(405)238-3888</t>
        </r>
      </text>
    </comment>
    <comment ref="B680" authorId="0">
      <text>
        <r>
          <rPr>
            <b/>
            <sz val="8"/>
            <color indexed="81"/>
            <rFont val="Tahoma"/>
            <family val="2"/>
          </rPr>
          <t>116295:</t>
        </r>
        <r>
          <rPr>
            <sz val="8"/>
            <color indexed="81"/>
            <rFont val="Tahoma"/>
            <family val="2"/>
          </rPr>
          <t xml:space="preserve">
Garvin County Living Center
(405)238-3888</t>
        </r>
      </text>
    </comment>
    <comment ref="B681" authorId="0">
      <text>
        <r>
          <rPr>
            <b/>
            <sz val="8"/>
            <color indexed="81"/>
            <rFont val="Tahoma"/>
            <family val="2"/>
          </rPr>
          <t>116295:</t>
        </r>
        <r>
          <rPr>
            <sz val="8"/>
            <color indexed="81"/>
            <rFont val="Tahoma"/>
            <family val="2"/>
          </rPr>
          <t xml:space="preserve">
Garvin County Living Center
(405)238-3888</t>
        </r>
      </text>
    </comment>
    <comment ref="B682" authorId="0">
      <text>
        <r>
          <rPr>
            <b/>
            <sz val="8"/>
            <color indexed="81"/>
            <rFont val="Tahoma"/>
            <family val="2"/>
          </rPr>
          <t>116295:</t>
        </r>
        <r>
          <rPr>
            <sz val="8"/>
            <color indexed="81"/>
            <rFont val="Tahoma"/>
            <family val="2"/>
          </rPr>
          <t xml:space="preserve">
Garvin County Living Center
(405)238-3888</t>
        </r>
      </text>
    </comment>
    <comment ref="B683" authorId="0">
      <text>
        <r>
          <rPr>
            <b/>
            <sz val="8"/>
            <color indexed="81"/>
            <rFont val="Tahoma"/>
            <family val="2"/>
          </rPr>
          <t>116295:</t>
        </r>
        <r>
          <rPr>
            <sz val="8"/>
            <color indexed="81"/>
            <rFont val="Tahoma"/>
            <family val="2"/>
          </rPr>
          <t xml:space="preserve">
Garvin County Living Center
(405)238-3888</t>
        </r>
      </text>
    </comment>
    <comment ref="B684" authorId="0">
      <text>
        <r>
          <rPr>
            <b/>
            <sz val="8"/>
            <color indexed="81"/>
            <rFont val="Tahoma"/>
            <family val="2"/>
          </rPr>
          <t>116295:</t>
        </r>
        <r>
          <rPr>
            <sz val="8"/>
            <color indexed="81"/>
            <rFont val="Tahoma"/>
            <family val="2"/>
          </rPr>
          <t xml:space="preserve">
Garvin County Living Center
(405)238-3888</t>
        </r>
      </text>
    </comment>
    <comment ref="B685" authorId="0">
      <text>
        <r>
          <rPr>
            <b/>
            <sz val="8"/>
            <color indexed="81"/>
            <rFont val="Tahoma"/>
            <family val="2"/>
          </rPr>
          <t>116295:</t>
        </r>
        <r>
          <rPr>
            <sz val="8"/>
            <color indexed="81"/>
            <rFont val="Tahoma"/>
            <family val="2"/>
          </rPr>
          <t xml:space="preserve">
Garvin County Living Center
(405)238-3888</t>
        </r>
      </text>
    </comment>
    <comment ref="B686" authorId="0">
      <text>
        <r>
          <rPr>
            <b/>
            <sz val="8"/>
            <color indexed="81"/>
            <rFont val="Tahoma"/>
            <family val="2"/>
          </rPr>
          <t>116295:</t>
        </r>
        <r>
          <rPr>
            <sz val="8"/>
            <color indexed="81"/>
            <rFont val="Tahoma"/>
            <family val="2"/>
          </rPr>
          <t xml:space="preserve">
Garvin County Living Center
(405)238-3888</t>
        </r>
      </text>
    </comment>
    <comment ref="B687" authorId="0">
      <text>
        <r>
          <rPr>
            <b/>
            <sz val="8"/>
            <color indexed="81"/>
            <rFont val="Tahoma"/>
            <family val="2"/>
          </rPr>
          <t>116295:</t>
        </r>
        <r>
          <rPr>
            <sz val="8"/>
            <color indexed="81"/>
            <rFont val="Tahoma"/>
            <family val="2"/>
          </rPr>
          <t xml:space="preserve">
Garvin County Living Center
(405)238-3888</t>
        </r>
      </text>
    </comment>
    <comment ref="B688" authorId="0">
      <text>
        <r>
          <rPr>
            <b/>
            <sz val="8"/>
            <color indexed="81"/>
            <rFont val="Tahoma"/>
            <family val="2"/>
          </rPr>
          <t>116295:</t>
        </r>
        <r>
          <rPr>
            <sz val="8"/>
            <color indexed="81"/>
            <rFont val="Tahoma"/>
            <family val="2"/>
          </rPr>
          <t xml:space="preserve">
Garvin County Living Center
(405)238-3888</t>
        </r>
      </text>
    </comment>
    <comment ref="B689" authorId="0">
      <text>
        <r>
          <rPr>
            <b/>
            <sz val="8"/>
            <color indexed="81"/>
            <rFont val="Tahoma"/>
            <family val="2"/>
          </rPr>
          <t>116295:</t>
        </r>
        <r>
          <rPr>
            <sz val="8"/>
            <color indexed="81"/>
            <rFont val="Tahoma"/>
            <family val="2"/>
          </rPr>
          <t xml:space="preserve">
Garvin County Living Center
(405)238-3888</t>
        </r>
      </text>
    </comment>
    <comment ref="B690" authorId="0">
      <text>
        <r>
          <rPr>
            <b/>
            <sz val="8"/>
            <color indexed="81"/>
            <rFont val="Tahoma"/>
            <family val="2"/>
          </rPr>
          <t>116295:</t>
        </r>
        <r>
          <rPr>
            <sz val="8"/>
            <color indexed="81"/>
            <rFont val="Tahoma"/>
            <family val="2"/>
          </rPr>
          <t xml:space="preserve">
Garvin County Living Center
(405)238-3888</t>
        </r>
      </text>
    </comment>
    <comment ref="B691" authorId="0">
      <text>
        <r>
          <rPr>
            <b/>
            <sz val="8"/>
            <color indexed="81"/>
            <rFont val="Tahoma"/>
            <family val="2"/>
          </rPr>
          <t>116295:</t>
        </r>
        <r>
          <rPr>
            <sz val="8"/>
            <color indexed="81"/>
            <rFont val="Tahoma"/>
            <family val="2"/>
          </rPr>
          <t xml:space="preserve">
Garvin County Living Center
(405)238-3888</t>
        </r>
      </text>
    </comment>
    <comment ref="B692" authorId="0">
      <text>
        <r>
          <rPr>
            <b/>
            <sz val="8"/>
            <color indexed="81"/>
            <rFont val="Tahoma"/>
            <family val="2"/>
          </rPr>
          <t>116295:</t>
        </r>
        <r>
          <rPr>
            <sz val="8"/>
            <color indexed="81"/>
            <rFont val="Tahoma"/>
            <family val="2"/>
          </rPr>
          <t xml:space="preserve">
Garvin County Living Center
(405)238-3888</t>
        </r>
      </text>
    </comment>
    <comment ref="B693" authorId="0">
      <text>
        <r>
          <rPr>
            <b/>
            <sz val="8"/>
            <color indexed="81"/>
            <rFont val="Tahoma"/>
            <family val="2"/>
          </rPr>
          <t>116295:</t>
        </r>
        <r>
          <rPr>
            <sz val="8"/>
            <color indexed="81"/>
            <rFont val="Tahoma"/>
            <family val="2"/>
          </rPr>
          <t xml:space="preserve">
Garvin County Living Center
(405)238-3888</t>
        </r>
      </text>
    </comment>
    <comment ref="B694" authorId="0">
      <text>
        <r>
          <rPr>
            <b/>
            <sz val="8"/>
            <color indexed="81"/>
            <rFont val="Tahoma"/>
            <family val="2"/>
          </rPr>
          <t>116295:</t>
        </r>
        <r>
          <rPr>
            <sz val="8"/>
            <color indexed="81"/>
            <rFont val="Tahoma"/>
            <family val="2"/>
          </rPr>
          <t xml:space="preserve">
Garvin County Living Center
(405)238-3888</t>
        </r>
      </text>
    </comment>
    <comment ref="B695" authorId="0">
      <text>
        <r>
          <rPr>
            <b/>
            <sz val="8"/>
            <color indexed="81"/>
            <rFont val="Tahoma"/>
            <family val="2"/>
          </rPr>
          <t>116295:</t>
        </r>
        <r>
          <rPr>
            <sz val="8"/>
            <color indexed="81"/>
            <rFont val="Tahoma"/>
            <family val="2"/>
          </rPr>
          <t xml:space="preserve">
Garvin County Living Center
(405)238-3888</t>
        </r>
      </text>
    </comment>
    <comment ref="B696" authorId="0">
      <text>
        <r>
          <rPr>
            <b/>
            <sz val="8"/>
            <color indexed="81"/>
            <rFont val="Tahoma"/>
            <family val="2"/>
          </rPr>
          <t>116295:</t>
        </r>
        <r>
          <rPr>
            <sz val="8"/>
            <color indexed="81"/>
            <rFont val="Tahoma"/>
            <family val="2"/>
          </rPr>
          <t xml:space="preserve">
Garvin County Living Center
(405)238-3888</t>
        </r>
      </text>
    </comment>
    <comment ref="B697" authorId="0">
      <text>
        <r>
          <rPr>
            <b/>
            <sz val="8"/>
            <color indexed="81"/>
            <rFont val="Tahoma"/>
            <family val="2"/>
          </rPr>
          <t>116295:</t>
        </r>
        <r>
          <rPr>
            <sz val="8"/>
            <color indexed="81"/>
            <rFont val="Tahoma"/>
            <family val="2"/>
          </rPr>
          <t xml:space="preserve">
Garvin County Living Center
(405)238-3888</t>
        </r>
      </text>
    </comment>
    <comment ref="B698" authorId="0">
      <text>
        <r>
          <rPr>
            <b/>
            <sz val="8"/>
            <color indexed="81"/>
            <rFont val="Tahoma"/>
            <family val="2"/>
          </rPr>
          <t>116295:</t>
        </r>
        <r>
          <rPr>
            <sz val="8"/>
            <color indexed="81"/>
            <rFont val="Tahoma"/>
            <family val="2"/>
          </rPr>
          <t xml:space="preserve">
Garvin County Living Center
(405)238-3888</t>
        </r>
      </text>
    </comment>
    <comment ref="B699" authorId="0">
      <text>
        <r>
          <rPr>
            <b/>
            <sz val="8"/>
            <color indexed="81"/>
            <rFont val="Tahoma"/>
            <family val="2"/>
          </rPr>
          <t>116295:</t>
        </r>
        <r>
          <rPr>
            <sz val="8"/>
            <color indexed="81"/>
            <rFont val="Tahoma"/>
            <family val="2"/>
          </rPr>
          <t xml:space="preserve">
Garvin County Living Center
(405)238-3888</t>
        </r>
      </text>
    </comment>
    <comment ref="B700" authorId="0">
      <text>
        <r>
          <rPr>
            <b/>
            <sz val="8"/>
            <color indexed="81"/>
            <rFont val="Tahoma"/>
            <family val="2"/>
          </rPr>
          <t>116295:</t>
        </r>
        <r>
          <rPr>
            <sz val="8"/>
            <color indexed="81"/>
            <rFont val="Tahoma"/>
            <family val="2"/>
          </rPr>
          <t xml:space="preserve">
Garvin County Living Center
(405)238-3888</t>
        </r>
      </text>
    </comment>
    <comment ref="B701" authorId="0">
      <text>
        <r>
          <rPr>
            <b/>
            <sz val="8"/>
            <color indexed="81"/>
            <rFont val="Tahoma"/>
            <family val="2"/>
          </rPr>
          <t>116295:</t>
        </r>
        <r>
          <rPr>
            <sz val="8"/>
            <color indexed="81"/>
            <rFont val="Tahoma"/>
            <family val="2"/>
          </rPr>
          <t xml:space="preserve">
Garvin County Living Center
(405)238-3888</t>
        </r>
      </text>
    </comment>
    <comment ref="B702" authorId="0">
      <text>
        <r>
          <rPr>
            <b/>
            <sz val="8"/>
            <color indexed="81"/>
            <rFont val="Tahoma"/>
            <family val="2"/>
          </rPr>
          <t>116295:</t>
        </r>
        <r>
          <rPr>
            <sz val="8"/>
            <color indexed="81"/>
            <rFont val="Tahoma"/>
            <family val="2"/>
          </rPr>
          <t xml:space="preserve">
Garvin County Living Center
(405)238-3888</t>
        </r>
      </text>
    </comment>
    <comment ref="B703" authorId="0">
      <text>
        <r>
          <rPr>
            <b/>
            <sz val="8"/>
            <color indexed="81"/>
            <rFont val="Tahoma"/>
            <family val="2"/>
          </rPr>
          <t>116295:</t>
        </r>
        <r>
          <rPr>
            <sz val="8"/>
            <color indexed="81"/>
            <rFont val="Tahoma"/>
            <family val="2"/>
          </rPr>
          <t xml:space="preserve">
Garvin County Living Center
(405)238-3888</t>
        </r>
      </text>
    </comment>
    <comment ref="B704" authorId="0">
      <text>
        <r>
          <rPr>
            <b/>
            <sz val="8"/>
            <color indexed="81"/>
            <rFont val="Tahoma"/>
            <family val="2"/>
          </rPr>
          <t>116295:</t>
        </r>
        <r>
          <rPr>
            <sz val="8"/>
            <color indexed="81"/>
            <rFont val="Tahoma"/>
            <family val="2"/>
          </rPr>
          <t xml:space="preserve">
Garvin County Living Center
(405)238-3888</t>
        </r>
      </text>
    </comment>
    <comment ref="B705" authorId="0">
      <text>
        <r>
          <rPr>
            <b/>
            <sz val="8"/>
            <color indexed="81"/>
            <rFont val="Tahoma"/>
            <family val="2"/>
          </rPr>
          <t>116295:</t>
        </r>
        <r>
          <rPr>
            <sz val="8"/>
            <color indexed="81"/>
            <rFont val="Tahoma"/>
            <family val="2"/>
          </rPr>
          <t xml:space="preserve">
Garvin County Living Center
(405)238-3888</t>
        </r>
      </text>
    </comment>
    <comment ref="B706" authorId="0">
      <text>
        <r>
          <rPr>
            <b/>
            <sz val="8"/>
            <color indexed="81"/>
            <rFont val="Tahoma"/>
            <family val="2"/>
          </rPr>
          <t>116295:</t>
        </r>
        <r>
          <rPr>
            <sz val="8"/>
            <color indexed="81"/>
            <rFont val="Tahoma"/>
            <family val="2"/>
          </rPr>
          <t xml:space="preserve">
Garvin County Living Center
(405)238-3888</t>
        </r>
      </text>
    </comment>
    <comment ref="B707" authorId="0">
      <text>
        <r>
          <rPr>
            <b/>
            <sz val="8"/>
            <color indexed="81"/>
            <rFont val="Tahoma"/>
            <family val="2"/>
          </rPr>
          <t>116295:</t>
        </r>
        <r>
          <rPr>
            <sz val="8"/>
            <color indexed="81"/>
            <rFont val="Tahoma"/>
            <family val="2"/>
          </rPr>
          <t xml:space="preserve">
Garvin County Living Center
(405)238-3888</t>
        </r>
      </text>
    </comment>
    <comment ref="B708" authorId="0">
      <text>
        <r>
          <rPr>
            <b/>
            <sz val="8"/>
            <color indexed="81"/>
            <rFont val="Tahoma"/>
            <family val="2"/>
          </rPr>
          <t>116295:</t>
        </r>
        <r>
          <rPr>
            <sz val="8"/>
            <color indexed="81"/>
            <rFont val="Tahoma"/>
            <family val="2"/>
          </rPr>
          <t xml:space="preserve">
Garvin County Living Center
(405)238-3888</t>
        </r>
      </text>
    </comment>
    <comment ref="B709" authorId="0">
      <text>
        <r>
          <rPr>
            <b/>
            <sz val="8"/>
            <color indexed="81"/>
            <rFont val="Tahoma"/>
            <family val="2"/>
          </rPr>
          <t>116295:</t>
        </r>
        <r>
          <rPr>
            <sz val="8"/>
            <color indexed="81"/>
            <rFont val="Tahoma"/>
            <family val="2"/>
          </rPr>
          <t xml:space="preserve">
Garvin County Living Center
(405)238-3888</t>
        </r>
      </text>
    </comment>
    <comment ref="B710" authorId="0">
      <text>
        <r>
          <rPr>
            <b/>
            <sz val="8"/>
            <color indexed="81"/>
            <rFont val="Tahoma"/>
            <family val="2"/>
          </rPr>
          <t>116295:</t>
        </r>
        <r>
          <rPr>
            <sz val="8"/>
            <color indexed="81"/>
            <rFont val="Tahoma"/>
            <family val="2"/>
          </rPr>
          <t xml:space="preserve">
Garvin County Living Center
(405)238-3888</t>
        </r>
      </text>
    </comment>
    <comment ref="B711" authorId="0">
      <text>
        <r>
          <rPr>
            <b/>
            <sz val="8"/>
            <color indexed="81"/>
            <rFont val="Tahoma"/>
            <family val="2"/>
          </rPr>
          <t>116295:</t>
        </r>
        <r>
          <rPr>
            <sz val="8"/>
            <color indexed="81"/>
            <rFont val="Tahoma"/>
            <family val="2"/>
          </rPr>
          <t xml:space="preserve">
Garvin County Living Center
(405)238-3888</t>
        </r>
      </text>
    </comment>
    <comment ref="B712" authorId="0">
      <text>
        <r>
          <rPr>
            <b/>
            <sz val="8"/>
            <color indexed="81"/>
            <rFont val="Tahoma"/>
            <family val="2"/>
          </rPr>
          <t>116295:</t>
        </r>
        <r>
          <rPr>
            <sz val="8"/>
            <color indexed="81"/>
            <rFont val="Tahoma"/>
            <family val="2"/>
          </rPr>
          <t xml:space="preserve">
Garvin County Living Center
(405)238-3888</t>
        </r>
      </text>
    </comment>
    <comment ref="B713" authorId="0">
      <text>
        <r>
          <rPr>
            <b/>
            <sz val="8"/>
            <color indexed="81"/>
            <rFont val="Tahoma"/>
            <family val="2"/>
          </rPr>
          <t>116295:</t>
        </r>
        <r>
          <rPr>
            <sz val="8"/>
            <color indexed="81"/>
            <rFont val="Tahoma"/>
            <family val="2"/>
          </rPr>
          <t xml:space="preserve">
Garvin County Living Center
(405)238-3888</t>
        </r>
      </text>
    </comment>
    <comment ref="B714" authorId="0">
      <text>
        <r>
          <rPr>
            <b/>
            <sz val="8"/>
            <color indexed="81"/>
            <rFont val="Tahoma"/>
            <family val="2"/>
          </rPr>
          <t>116295:</t>
        </r>
        <r>
          <rPr>
            <sz val="8"/>
            <color indexed="81"/>
            <rFont val="Tahoma"/>
            <family val="2"/>
          </rPr>
          <t xml:space="preserve">
Garvin County Living Center
(405)238-3888</t>
        </r>
      </text>
    </comment>
    <comment ref="B715" authorId="0">
      <text>
        <r>
          <rPr>
            <b/>
            <sz val="8"/>
            <color indexed="81"/>
            <rFont val="Tahoma"/>
            <family val="2"/>
          </rPr>
          <t>116295:</t>
        </r>
        <r>
          <rPr>
            <sz val="8"/>
            <color indexed="81"/>
            <rFont val="Tahoma"/>
            <family val="2"/>
          </rPr>
          <t xml:space="preserve">
Garvin County Living Center
(405)238-3888</t>
        </r>
      </text>
    </comment>
    <comment ref="B716" authorId="0">
      <text>
        <r>
          <rPr>
            <b/>
            <sz val="8"/>
            <color indexed="81"/>
            <rFont val="Tahoma"/>
            <family val="2"/>
          </rPr>
          <t>116295:</t>
        </r>
        <r>
          <rPr>
            <sz val="8"/>
            <color indexed="81"/>
            <rFont val="Tahoma"/>
            <family val="2"/>
          </rPr>
          <t xml:space="preserve">
Garvin County Living Center
(405)238-3888</t>
        </r>
      </text>
    </comment>
    <comment ref="B717" authorId="0">
      <text>
        <r>
          <rPr>
            <b/>
            <sz val="8"/>
            <color indexed="81"/>
            <rFont val="Tahoma"/>
            <family val="2"/>
          </rPr>
          <t>116295:</t>
        </r>
        <r>
          <rPr>
            <sz val="8"/>
            <color indexed="81"/>
            <rFont val="Tahoma"/>
            <family val="2"/>
          </rPr>
          <t xml:space="preserve">
Garvin County Living Center
(405)238-3888</t>
        </r>
      </text>
    </comment>
    <comment ref="B718" authorId="0">
      <text>
        <r>
          <rPr>
            <b/>
            <sz val="8"/>
            <color indexed="81"/>
            <rFont val="Tahoma"/>
            <family val="2"/>
          </rPr>
          <t>116295:</t>
        </r>
        <r>
          <rPr>
            <sz val="8"/>
            <color indexed="81"/>
            <rFont val="Tahoma"/>
            <family val="2"/>
          </rPr>
          <t xml:space="preserve">
Garvin County Living Center
(405)238-3888</t>
        </r>
      </text>
    </comment>
    <comment ref="B719" authorId="0">
      <text>
        <r>
          <rPr>
            <b/>
            <sz val="8"/>
            <color indexed="81"/>
            <rFont val="Tahoma"/>
            <family val="2"/>
          </rPr>
          <t>116295:</t>
        </r>
        <r>
          <rPr>
            <sz val="8"/>
            <color indexed="81"/>
            <rFont val="Tahoma"/>
            <family val="2"/>
          </rPr>
          <t xml:space="preserve">
Garvin County Living Center
(405)238-3888</t>
        </r>
      </text>
    </comment>
    <comment ref="B720" authorId="0">
      <text>
        <r>
          <rPr>
            <b/>
            <sz val="8"/>
            <color indexed="81"/>
            <rFont val="Tahoma"/>
            <family val="2"/>
          </rPr>
          <t>116295:</t>
        </r>
        <r>
          <rPr>
            <sz val="8"/>
            <color indexed="81"/>
            <rFont val="Tahoma"/>
            <family val="2"/>
          </rPr>
          <t xml:space="preserve">
Garvin County Living Center
(405)238-3888</t>
        </r>
      </text>
    </comment>
    <comment ref="B721" authorId="0">
      <text>
        <r>
          <rPr>
            <b/>
            <sz val="8"/>
            <color indexed="81"/>
            <rFont val="Tahoma"/>
            <family val="2"/>
          </rPr>
          <t>116295:</t>
        </r>
        <r>
          <rPr>
            <sz val="8"/>
            <color indexed="81"/>
            <rFont val="Tahoma"/>
            <family val="2"/>
          </rPr>
          <t xml:space="preserve">
Garvin County Living Center
(405)238-3888</t>
        </r>
      </text>
    </comment>
    <comment ref="B722" authorId="0">
      <text>
        <r>
          <rPr>
            <b/>
            <sz val="8"/>
            <color indexed="81"/>
            <rFont val="Tahoma"/>
            <family val="2"/>
          </rPr>
          <t>116295:</t>
        </r>
        <r>
          <rPr>
            <sz val="8"/>
            <color indexed="81"/>
            <rFont val="Tahoma"/>
            <family val="2"/>
          </rPr>
          <t xml:space="preserve">
Garvin County Living Center
(405)238-3888</t>
        </r>
      </text>
    </comment>
    <comment ref="B723" authorId="0">
      <text>
        <r>
          <rPr>
            <b/>
            <sz val="8"/>
            <color indexed="81"/>
            <rFont val="Tahoma"/>
            <family val="2"/>
          </rPr>
          <t>116295:</t>
        </r>
        <r>
          <rPr>
            <sz val="8"/>
            <color indexed="81"/>
            <rFont val="Tahoma"/>
            <family val="2"/>
          </rPr>
          <t xml:space="preserve">
Garvin County Living Center
(405)238-3888</t>
        </r>
      </text>
    </comment>
    <comment ref="B724" authorId="0">
      <text>
        <r>
          <rPr>
            <b/>
            <sz val="8"/>
            <color indexed="81"/>
            <rFont val="Tahoma"/>
            <family val="2"/>
          </rPr>
          <t>116295:</t>
        </r>
        <r>
          <rPr>
            <sz val="8"/>
            <color indexed="81"/>
            <rFont val="Tahoma"/>
            <family val="2"/>
          </rPr>
          <t xml:space="preserve">
Garvin County Living Center
(405)238-3888</t>
        </r>
      </text>
    </comment>
    <comment ref="B725" authorId="0">
      <text>
        <r>
          <rPr>
            <b/>
            <sz val="8"/>
            <color indexed="81"/>
            <rFont val="Tahoma"/>
            <family val="2"/>
          </rPr>
          <t>116295:</t>
        </r>
        <r>
          <rPr>
            <sz val="8"/>
            <color indexed="81"/>
            <rFont val="Tahoma"/>
            <family val="2"/>
          </rPr>
          <t xml:space="preserve">
Garvin County Living Center
(405)238-3888</t>
        </r>
      </text>
    </comment>
    <comment ref="B726" authorId="0">
      <text>
        <r>
          <rPr>
            <b/>
            <sz val="8"/>
            <color indexed="81"/>
            <rFont val="Tahoma"/>
            <family val="2"/>
          </rPr>
          <t>116295:</t>
        </r>
        <r>
          <rPr>
            <sz val="8"/>
            <color indexed="81"/>
            <rFont val="Tahoma"/>
            <family val="2"/>
          </rPr>
          <t xml:space="preserve">
Garvin County Living Center
(405)238-3888</t>
        </r>
      </text>
    </comment>
    <comment ref="B727" authorId="0">
      <text>
        <r>
          <rPr>
            <b/>
            <sz val="8"/>
            <color indexed="81"/>
            <rFont val="Tahoma"/>
            <family val="2"/>
          </rPr>
          <t>116295:</t>
        </r>
        <r>
          <rPr>
            <sz val="8"/>
            <color indexed="81"/>
            <rFont val="Tahoma"/>
            <family val="2"/>
          </rPr>
          <t xml:space="preserve">
Garvin County Living Center
(405)238-3888</t>
        </r>
      </text>
    </comment>
    <comment ref="B728" authorId="0">
      <text>
        <r>
          <rPr>
            <b/>
            <sz val="8"/>
            <color indexed="81"/>
            <rFont val="Tahoma"/>
            <family val="2"/>
          </rPr>
          <t>116295:</t>
        </r>
        <r>
          <rPr>
            <sz val="8"/>
            <color indexed="81"/>
            <rFont val="Tahoma"/>
            <family val="2"/>
          </rPr>
          <t xml:space="preserve">
Garvin County Living Center
(405)238-3888</t>
        </r>
      </text>
    </comment>
    <comment ref="B729" authorId="0">
      <text>
        <r>
          <rPr>
            <b/>
            <sz val="8"/>
            <color indexed="81"/>
            <rFont val="Tahoma"/>
            <family val="2"/>
          </rPr>
          <t>116295:</t>
        </r>
        <r>
          <rPr>
            <sz val="8"/>
            <color indexed="81"/>
            <rFont val="Tahoma"/>
            <family val="2"/>
          </rPr>
          <t xml:space="preserve">
Garvin County Living Center
(405)238-3888</t>
        </r>
      </text>
    </comment>
    <comment ref="B730" authorId="0">
      <text>
        <r>
          <rPr>
            <b/>
            <sz val="8"/>
            <color indexed="81"/>
            <rFont val="Tahoma"/>
            <family val="2"/>
          </rPr>
          <t>116295:</t>
        </r>
        <r>
          <rPr>
            <sz val="8"/>
            <color indexed="81"/>
            <rFont val="Tahoma"/>
            <family val="2"/>
          </rPr>
          <t xml:space="preserve">
Garvin County Living Center
(405)238-3888</t>
        </r>
      </text>
    </comment>
    <comment ref="B731" authorId="0">
      <text>
        <r>
          <rPr>
            <b/>
            <sz val="8"/>
            <color indexed="81"/>
            <rFont val="Tahoma"/>
            <family val="2"/>
          </rPr>
          <t>116295:</t>
        </r>
        <r>
          <rPr>
            <sz val="8"/>
            <color indexed="81"/>
            <rFont val="Tahoma"/>
            <family val="2"/>
          </rPr>
          <t xml:space="preserve">
Garvin County Living Center
(405)238-3888</t>
        </r>
      </text>
    </comment>
    <comment ref="B732" authorId="0">
      <text>
        <r>
          <rPr>
            <b/>
            <sz val="8"/>
            <color indexed="81"/>
            <rFont val="Tahoma"/>
            <family val="2"/>
          </rPr>
          <t>116295:</t>
        </r>
        <r>
          <rPr>
            <sz val="8"/>
            <color indexed="81"/>
            <rFont val="Tahoma"/>
            <family val="2"/>
          </rPr>
          <t xml:space="preserve">
Garvin County Living Center
(405)238-3888</t>
        </r>
      </text>
    </comment>
    <comment ref="B733" authorId="0">
      <text>
        <r>
          <rPr>
            <b/>
            <sz val="8"/>
            <color indexed="81"/>
            <rFont val="Tahoma"/>
            <family val="2"/>
          </rPr>
          <t>116295:</t>
        </r>
        <r>
          <rPr>
            <sz val="8"/>
            <color indexed="81"/>
            <rFont val="Tahoma"/>
            <family val="2"/>
          </rPr>
          <t xml:space="preserve">
Garvin County Living Center
(405)238-3888</t>
        </r>
      </text>
    </comment>
    <comment ref="B734" authorId="0">
      <text>
        <r>
          <rPr>
            <b/>
            <sz val="8"/>
            <color indexed="81"/>
            <rFont val="Tahoma"/>
            <family val="2"/>
          </rPr>
          <t>116295:</t>
        </r>
        <r>
          <rPr>
            <sz val="8"/>
            <color indexed="81"/>
            <rFont val="Tahoma"/>
            <family val="2"/>
          </rPr>
          <t xml:space="preserve">
Garvin County Living Center
(405)238-3888</t>
        </r>
      </text>
    </comment>
    <comment ref="B735" authorId="0">
      <text>
        <r>
          <rPr>
            <b/>
            <sz val="8"/>
            <color indexed="81"/>
            <rFont val="Tahoma"/>
            <family val="2"/>
          </rPr>
          <t>116295:</t>
        </r>
        <r>
          <rPr>
            <sz val="8"/>
            <color indexed="81"/>
            <rFont val="Tahoma"/>
            <family val="2"/>
          </rPr>
          <t xml:space="preserve">
Garvin County Living Center
(405)238-3888</t>
        </r>
      </text>
    </comment>
    <comment ref="B736" authorId="0">
      <text>
        <r>
          <rPr>
            <b/>
            <sz val="8"/>
            <color indexed="81"/>
            <rFont val="Tahoma"/>
            <family val="2"/>
          </rPr>
          <t>116295:</t>
        </r>
        <r>
          <rPr>
            <sz val="8"/>
            <color indexed="81"/>
            <rFont val="Tahoma"/>
            <family val="2"/>
          </rPr>
          <t xml:space="preserve">
Garvin County Living Center
(405)238-3888</t>
        </r>
      </text>
    </comment>
    <comment ref="B737" authorId="0">
      <text>
        <r>
          <rPr>
            <b/>
            <sz val="8"/>
            <color indexed="81"/>
            <rFont val="Tahoma"/>
            <family val="2"/>
          </rPr>
          <t>116295:</t>
        </r>
        <r>
          <rPr>
            <sz val="8"/>
            <color indexed="81"/>
            <rFont val="Tahoma"/>
            <family val="2"/>
          </rPr>
          <t xml:space="preserve">
Garvin County Living Center
(405)238-3888</t>
        </r>
      </text>
    </comment>
    <comment ref="B738" authorId="0">
      <text>
        <r>
          <rPr>
            <b/>
            <sz val="8"/>
            <color indexed="81"/>
            <rFont val="Tahoma"/>
            <family val="2"/>
          </rPr>
          <t>116295:</t>
        </r>
        <r>
          <rPr>
            <sz val="8"/>
            <color indexed="81"/>
            <rFont val="Tahoma"/>
            <family val="2"/>
          </rPr>
          <t xml:space="preserve">
Garvin County Living Center
(405)238-3888</t>
        </r>
      </text>
    </comment>
    <comment ref="B739" authorId="0">
      <text>
        <r>
          <rPr>
            <b/>
            <sz val="8"/>
            <color indexed="81"/>
            <rFont val="Tahoma"/>
            <family val="2"/>
          </rPr>
          <t>116295:</t>
        </r>
        <r>
          <rPr>
            <sz val="8"/>
            <color indexed="81"/>
            <rFont val="Tahoma"/>
            <family val="2"/>
          </rPr>
          <t xml:space="preserve">
Garvin County Living Center
(405)238-3888</t>
        </r>
      </text>
    </comment>
    <comment ref="B740" authorId="0">
      <text>
        <r>
          <rPr>
            <b/>
            <sz val="8"/>
            <color indexed="81"/>
            <rFont val="Tahoma"/>
            <family val="2"/>
          </rPr>
          <t>116295:</t>
        </r>
        <r>
          <rPr>
            <sz val="8"/>
            <color indexed="81"/>
            <rFont val="Tahoma"/>
            <family val="2"/>
          </rPr>
          <t xml:space="preserve">
Garvin County Living Center
(405)238-3888</t>
        </r>
      </text>
    </comment>
    <comment ref="B741" authorId="0">
      <text>
        <r>
          <rPr>
            <b/>
            <sz val="8"/>
            <color indexed="81"/>
            <rFont val="Tahoma"/>
            <family val="2"/>
          </rPr>
          <t>116295:</t>
        </r>
        <r>
          <rPr>
            <sz val="8"/>
            <color indexed="81"/>
            <rFont val="Tahoma"/>
            <family val="2"/>
          </rPr>
          <t xml:space="preserve">
Garvin County Living Center
(405)238-3888</t>
        </r>
      </text>
    </comment>
    <comment ref="B742" authorId="0">
      <text>
        <r>
          <rPr>
            <b/>
            <sz val="8"/>
            <color indexed="81"/>
            <rFont val="Tahoma"/>
            <family val="2"/>
          </rPr>
          <t>116295:</t>
        </r>
        <r>
          <rPr>
            <sz val="8"/>
            <color indexed="81"/>
            <rFont val="Tahoma"/>
            <family val="2"/>
          </rPr>
          <t xml:space="preserve">
Garvin County Living Center
(405)238-3888</t>
        </r>
      </text>
    </comment>
    <comment ref="B743" authorId="0">
      <text>
        <r>
          <rPr>
            <b/>
            <sz val="8"/>
            <color indexed="81"/>
            <rFont val="Tahoma"/>
            <family val="2"/>
          </rPr>
          <t>116295:</t>
        </r>
        <r>
          <rPr>
            <sz val="8"/>
            <color indexed="81"/>
            <rFont val="Tahoma"/>
            <family val="2"/>
          </rPr>
          <t xml:space="preserve">
Garvin County Living Center
(405)238-3888</t>
        </r>
      </text>
    </comment>
    <comment ref="B744" authorId="0">
      <text>
        <r>
          <rPr>
            <b/>
            <sz val="8"/>
            <color indexed="81"/>
            <rFont val="Tahoma"/>
            <family val="2"/>
          </rPr>
          <t>116295:</t>
        </r>
        <r>
          <rPr>
            <sz val="8"/>
            <color indexed="81"/>
            <rFont val="Tahoma"/>
            <family val="2"/>
          </rPr>
          <t xml:space="preserve">
Garvin County Living Center
(405)238-3888</t>
        </r>
      </text>
    </comment>
    <comment ref="B745" authorId="0">
      <text>
        <r>
          <rPr>
            <b/>
            <sz val="8"/>
            <color indexed="81"/>
            <rFont val="Tahoma"/>
            <family val="2"/>
          </rPr>
          <t>116295:</t>
        </r>
        <r>
          <rPr>
            <sz val="8"/>
            <color indexed="81"/>
            <rFont val="Tahoma"/>
            <family val="2"/>
          </rPr>
          <t xml:space="preserve">
Garvin County Living Center
(405)238-3888</t>
        </r>
      </text>
    </comment>
    <comment ref="B746" authorId="0">
      <text>
        <r>
          <rPr>
            <b/>
            <sz val="8"/>
            <color indexed="81"/>
            <rFont val="Tahoma"/>
            <family val="2"/>
          </rPr>
          <t>116295:</t>
        </r>
        <r>
          <rPr>
            <sz val="8"/>
            <color indexed="81"/>
            <rFont val="Tahoma"/>
            <family val="2"/>
          </rPr>
          <t xml:space="preserve">
Garvin County Living Center
(405)238-3888</t>
        </r>
      </text>
    </comment>
    <comment ref="B747" authorId="0">
      <text>
        <r>
          <rPr>
            <b/>
            <sz val="8"/>
            <color indexed="81"/>
            <rFont val="Tahoma"/>
            <family val="2"/>
          </rPr>
          <t>116295:</t>
        </r>
        <r>
          <rPr>
            <sz val="8"/>
            <color indexed="81"/>
            <rFont val="Tahoma"/>
            <family val="2"/>
          </rPr>
          <t xml:space="preserve">
Garvin County Living Center
(405)238-3888</t>
        </r>
      </text>
    </comment>
    <comment ref="B748" authorId="0">
      <text>
        <r>
          <rPr>
            <b/>
            <sz val="8"/>
            <color indexed="81"/>
            <rFont val="Tahoma"/>
            <family val="2"/>
          </rPr>
          <t>116295:</t>
        </r>
        <r>
          <rPr>
            <sz val="8"/>
            <color indexed="81"/>
            <rFont val="Tahoma"/>
            <family val="2"/>
          </rPr>
          <t xml:space="preserve">
Garvin County Living Center
(405)238-3888</t>
        </r>
      </text>
    </comment>
    <comment ref="B749" authorId="0">
      <text>
        <r>
          <rPr>
            <b/>
            <sz val="8"/>
            <color indexed="81"/>
            <rFont val="Tahoma"/>
            <family val="2"/>
          </rPr>
          <t>116295:</t>
        </r>
        <r>
          <rPr>
            <sz val="8"/>
            <color indexed="81"/>
            <rFont val="Tahoma"/>
            <family val="2"/>
          </rPr>
          <t xml:space="preserve">
Garvin County Living Center
(405)238-3888</t>
        </r>
      </text>
    </comment>
    <comment ref="B750" authorId="0">
      <text>
        <r>
          <rPr>
            <b/>
            <sz val="8"/>
            <color indexed="81"/>
            <rFont val="Tahoma"/>
            <family val="2"/>
          </rPr>
          <t>116295:</t>
        </r>
        <r>
          <rPr>
            <sz val="8"/>
            <color indexed="81"/>
            <rFont val="Tahoma"/>
            <family val="2"/>
          </rPr>
          <t xml:space="preserve">
Garvin County Living Center
(405)238-3888</t>
        </r>
      </text>
    </comment>
    <comment ref="B751" authorId="0">
      <text>
        <r>
          <rPr>
            <b/>
            <sz val="8"/>
            <color indexed="81"/>
            <rFont val="Tahoma"/>
            <family val="2"/>
          </rPr>
          <t>116295:</t>
        </r>
        <r>
          <rPr>
            <sz val="8"/>
            <color indexed="81"/>
            <rFont val="Tahoma"/>
            <family val="2"/>
          </rPr>
          <t xml:space="preserve">
Garvin County Living Center
(405)238-3888</t>
        </r>
      </text>
    </comment>
    <comment ref="B752" authorId="0">
      <text>
        <r>
          <rPr>
            <b/>
            <sz val="8"/>
            <color indexed="81"/>
            <rFont val="Tahoma"/>
            <family val="2"/>
          </rPr>
          <t>116295:</t>
        </r>
        <r>
          <rPr>
            <sz val="8"/>
            <color indexed="81"/>
            <rFont val="Tahoma"/>
            <family val="2"/>
          </rPr>
          <t xml:space="preserve">
Garvin County Living Center
(405)238-3888</t>
        </r>
      </text>
    </comment>
    <comment ref="B753" authorId="0">
      <text>
        <r>
          <rPr>
            <b/>
            <sz val="8"/>
            <color indexed="81"/>
            <rFont val="Tahoma"/>
            <family val="2"/>
          </rPr>
          <t>116295:</t>
        </r>
        <r>
          <rPr>
            <sz val="8"/>
            <color indexed="81"/>
            <rFont val="Tahoma"/>
            <family val="2"/>
          </rPr>
          <t xml:space="preserve">
Garvin County Living Center
(405)238-3888</t>
        </r>
      </text>
    </comment>
    <comment ref="B754" authorId="0">
      <text>
        <r>
          <rPr>
            <b/>
            <sz val="8"/>
            <color indexed="81"/>
            <rFont val="Tahoma"/>
            <family val="2"/>
          </rPr>
          <t>116295:</t>
        </r>
        <r>
          <rPr>
            <sz val="8"/>
            <color indexed="81"/>
            <rFont val="Tahoma"/>
            <family val="2"/>
          </rPr>
          <t xml:space="preserve">
Garvin County Living Center
(405)238-3888</t>
        </r>
      </text>
    </comment>
    <comment ref="B755" authorId="0">
      <text>
        <r>
          <rPr>
            <b/>
            <sz val="8"/>
            <color indexed="81"/>
            <rFont val="Tahoma"/>
            <family val="2"/>
          </rPr>
          <t>116295:</t>
        </r>
        <r>
          <rPr>
            <sz val="8"/>
            <color indexed="81"/>
            <rFont val="Tahoma"/>
            <family val="2"/>
          </rPr>
          <t xml:space="preserve">
Garvin County Living Center
(405)238-3888</t>
        </r>
      </text>
    </comment>
    <comment ref="B756" authorId="0">
      <text>
        <r>
          <rPr>
            <b/>
            <sz val="8"/>
            <color indexed="81"/>
            <rFont val="Tahoma"/>
            <family val="2"/>
          </rPr>
          <t>116295:</t>
        </r>
        <r>
          <rPr>
            <sz val="8"/>
            <color indexed="81"/>
            <rFont val="Tahoma"/>
            <family val="2"/>
          </rPr>
          <t xml:space="preserve">
Garvin County Living Center
(405)238-3888</t>
        </r>
      </text>
    </comment>
    <comment ref="B757" authorId="0">
      <text>
        <r>
          <rPr>
            <b/>
            <sz val="8"/>
            <color indexed="81"/>
            <rFont val="Tahoma"/>
            <family val="2"/>
          </rPr>
          <t>116295:</t>
        </r>
        <r>
          <rPr>
            <sz val="8"/>
            <color indexed="81"/>
            <rFont val="Tahoma"/>
            <family val="2"/>
          </rPr>
          <t xml:space="preserve">
Garvin County Living Center
(405)238-3888</t>
        </r>
      </text>
    </comment>
    <comment ref="B758" authorId="0">
      <text>
        <r>
          <rPr>
            <b/>
            <sz val="8"/>
            <color indexed="81"/>
            <rFont val="Tahoma"/>
            <family val="2"/>
          </rPr>
          <t>116295:</t>
        </r>
        <r>
          <rPr>
            <sz val="8"/>
            <color indexed="81"/>
            <rFont val="Tahoma"/>
            <family val="2"/>
          </rPr>
          <t xml:space="preserve">
Garvin County Living Center
(405)238-3888</t>
        </r>
      </text>
    </comment>
    <comment ref="B759" authorId="0">
      <text>
        <r>
          <rPr>
            <b/>
            <sz val="8"/>
            <color indexed="81"/>
            <rFont val="Tahoma"/>
            <family val="2"/>
          </rPr>
          <t>116295:</t>
        </r>
        <r>
          <rPr>
            <sz val="8"/>
            <color indexed="81"/>
            <rFont val="Tahoma"/>
            <family val="2"/>
          </rPr>
          <t xml:space="preserve">
Garvin County Living Center
(405)238-3888</t>
        </r>
      </text>
    </comment>
    <comment ref="B760" authorId="0">
      <text>
        <r>
          <rPr>
            <b/>
            <sz val="8"/>
            <color indexed="81"/>
            <rFont val="Tahoma"/>
            <family val="2"/>
          </rPr>
          <t>116295:</t>
        </r>
        <r>
          <rPr>
            <sz val="8"/>
            <color indexed="81"/>
            <rFont val="Tahoma"/>
            <family val="2"/>
          </rPr>
          <t xml:space="preserve">
Garvin County Living Center
(405)238-3888</t>
        </r>
      </text>
    </comment>
    <comment ref="B761" authorId="0">
      <text>
        <r>
          <rPr>
            <b/>
            <sz val="8"/>
            <color indexed="81"/>
            <rFont val="Tahoma"/>
            <family val="2"/>
          </rPr>
          <t>116295:</t>
        </r>
        <r>
          <rPr>
            <sz val="8"/>
            <color indexed="81"/>
            <rFont val="Tahoma"/>
            <family val="2"/>
          </rPr>
          <t xml:space="preserve">
Garvin County Living Center
(405)238-3888</t>
        </r>
      </text>
    </comment>
    <comment ref="B762" authorId="0">
      <text>
        <r>
          <rPr>
            <b/>
            <sz val="8"/>
            <color indexed="81"/>
            <rFont val="Tahoma"/>
            <family val="2"/>
          </rPr>
          <t>116295:</t>
        </r>
        <r>
          <rPr>
            <sz val="8"/>
            <color indexed="81"/>
            <rFont val="Tahoma"/>
            <family val="2"/>
          </rPr>
          <t xml:space="preserve">
Garvin County Living Center
(405)238-3888</t>
        </r>
      </text>
    </comment>
    <comment ref="B763" authorId="0">
      <text>
        <r>
          <rPr>
            <b/>
            <sz val="8"/>
            <color indexed="81"/>
            <rFont val="Tahoma"/>
            <family val="2"/>
          </rPr>
          <t>116295:</t>
        </r>
        <r>
          <rPr>
            <sz val="8"/>
            <color indexed="81"/>
            <rFont val="Tahoma"/>
            <family val="2"/>
          </rPr>
          <t xml:space="preserve">
Garvin County Living Center
(405)238-3888</t>
        </r>
      </text>
    </comment>
    <comment ref="B764" authorId="0">
      <text>
        <r>
          <rPr>
            <b/>
            <sz val="8"/>
            <color indexed="81"/>
            <rFont val="Tahoma"/>
            <family val="2"/>
          </rPr>
          <t>116295:</t>
        </r>
        <r>
          <rPr>
            <sz val="8"/>
            <color indexed="81"/>
            <rFont val="Tahoma"/>
            <family val="2"/>
          </rPr>
          <t xml:space="preserve">
Garvin County Living Center
(405)238-3888</t>
        </r>
      </text>
    </comment>
    <comment ref="B765" authorId="0">
      <text>
        <r>
          <rPr>
            <b/>
            <sz val="8"/>
            <color indexed="81"/>
            <rFont val="Tahoma"/>
            <family val="2"/>
          </rPr>
          <t>116295:</t>
        </r>
        <r>
          <rPr>
            <sz val="8"/>
            <color indexed="81"/>
            <rFont val="Tahoma"/>
            <family val="2"/>
          </rPr>
          <t xml:space="preserve">
Garvin County Living Center
(405)238-3888</t>
        </r>
      </text>
    </comment>
    <comment ref="B766" authorId="0">
      <text>
        <r>
          <rPr>
            <b/>
            <sz val="8"/>
            <color indexed="81"/>
            <rFont val="Tahoma"/>
            <family val="2"/>
          </rPr>
          <t>116295:</t>
        </r>
        <r>
          <rPr>
            <sz val="8"/>
            <color indexed="81"/>
            <rFont val="Tahoma"/>
            <family val="2"/>
          </rPr>
          <t xml:space="preserve">
Garvin County Living Center
(405)238-3888</t>
        </r>
      </text>
    </comment>
    <comment ref="B767" authorId="0">
      <text>
        <r>
          <rPr>
            <b/>
            <sz val="8"/>
            <color indexed="81"/>
            <rFont val="Tahoma"/>
            <family val="2"/>
          </rPr>
          <t>116295:</t>
        </r>
        <r>
          <rPr>
            <sz val="8"/>
            <color indexed="81"/>
            <rFont val="Tahoma"/>
            <family val="2"/>
          </rPr>
          <t xml:space="preserve">
Garvin County Living Center
(405)238-3888</t>
        </r>
      </text>
    </comment>
    <comment ref="B768" authorId="0">
      <text>
        <r>
          <rPr>
            <b/>
            <sz val="8"/>
            <color indexed="81"/>
            <rFont val="Tahoma"/>
            <family val="2"/>
          </rPr>
          <t>116295:</t>
        </r>
        <r>
          <rPr>
            <sz val="8"/>
            <color indexed="81"/>
            <rFont val="Tahoma"/>
            <family val="2"/>
          </rPr>
          <t xml:space="preserve">
Garvin County Living Center
(405)238-3888</t>
        </r>
      </text>
    </comment>
    <comment ref="B769" authorId="0">
      <text>
        <r>
          <rPr>
            <b/>
            <sz val="8"/>
            <color indexed="81"/>
            <rFont val="Tahoma"/>
            <family val="2"/>
          </rPr>
          <t>116295:</t>
        </r>
        <r>
          <rPr>
            <sz val="8"/>
            <color indexed="81"/>
            <rFont val="Tahoma"/>
            <family val="2"/>
          </rPr>
          <t xml:space="preserve">
Garvin County Living Center
(405)238-3888</t>
        </r>
      </text>
    </comment>
    <comment ref="B770" authorId="0">
      <text>
        <r>
          <rPr>
            <b/>
            <sz val="8"/>
            <color indexed="81"/>
            <rFont val="Tahoma"/>
            <family val="2"/>
          </rPr>
          <t>116295:</t>
        </r>
        <r>
          <rPr>
            <sz val="8"/>
            <color indexed="81"/>
            <rFont val="Tahoma"/>
            <family val="2"/>
          </rPr>
          <t xml:space="preserve">
Garvin County Living Center
(405)238-3888</t>
        </r>
      </text>
    </comment>
    <comment ref="B771" authorId="0">
      <text>
        <r>
          <rPr>
            <b/>
            <sz val="8"/>
            <color indexed="81"/>
            <rFont val="Tahoma"/>
            <family val="2"/>
          </rPr>
          <t>116295:</t>
        </r>
        <r>
          <rPr>
            <sz val="8"/>
            <color indexed="81"/>
            <rFont val="Tahoma"/>
            <family val="2"/>
          </rPr>
          <t xml:space="preserve">
Garvin County Living Center
(405)238-3888</t>
        </r>
      </text>
    </comment>
    <comment ref="B772" authorId="0">
      <text>
        <r>
          <rPr>
            <b/>
            <sz val="8"/>
            <color indexed="81"/>
            <rFont val="Tahoma"/>
            <family val="2"/>
          </rPr>
          <t>116295:</t>
        </r>
        <r>
          <rPr>
            <sz val="8"/>
            <color indexed="81"/>
            <rFont val="Tahoma"/>
            <family val="2"/>
          </rPr>
          <t xml:space="preserve">
Garvin County Living Center
(405)238-3888</t>
        </r>
      </text>
    </comment>
    <comment ref="B773" authorId="0">
      <text>
        <r>
          <rPr>
            <b/>
            <sz val="8"/>
            <color indexed="81"/>
            <rFont val="Tahoma"/>
            <family val="2"/>
          </rPr>
          <t>116295:</t>
        </r>
        <r>
          <rPr>
            <sz val="8"/>
            <color indexed="81"/>
            <rFont val="Tahoma"/>
            <family val="2"/>
          </rPr>
          <t xml:space="preserve">
Garvin County Living Center
(405)238-3888</t>
        </r>
      </text>
    </comment>
    <comment ref="B774" authorId="0">
      <text>
        <r>
          <rPr>
            <b/>
            <sz val="8"/>
            <color indexed="81"/>
            <rFont val="Tahoma"/>
            <family val="2"/>
          </rPr>
          <t>116295:</t>
        </r>
        <r>
          <rPr>
            <sz val="8"/>
            <color indexed="81"/>
            <rFont val="Tahoma"/>
            <family val="2"/>
          </rPr>
          <t xml:space="preserve">
Garvin County Living Center
(405)238-3888</t>
        </r>
      </text>
    </comment>
    <comment ref="B775" authorId="0">
      <text>
        <r>
          <rPr>
            <b/>
            <sz val="8"/>
            <color indexed="81"/>
            <rFont val="Tahoma"/>
            <family val="2"/>
          </rPr>
          <t>116295:</t>
        </r>
        <r>
          <rPr>
            <sz val="8"/>
            <color indexed="81"/>
            <rFont val="Tahoma"/>
            <family val="2"/>
          </rPr>
          <t xml:space="preserve">
Garvin County Living Center
(405)238-3888</t>
        </r>
      </text>
    </comment>
    <comment ref="B776" authorId="0">
      <text>
        <r>
          <rPr>
            <b/>
            <sz val="8"/>
            <color indexed="81"/>
            <rFont val="Tahoma"/>
            <family val="2"/>
          </rPr>
          <t>116295:</t>
        </r>
        <r>
          <rPr>
            <sz val="8"/>
            <color indexed="81"/>
            <rFont val="Tahoma"/>
            <family val="2"/>
          </rPr>
          <t xml:space="preserve">
Garvin County Living Center
(405)238-3888</t>
        </r>
      </text>
    </comment>
    <comment ref="B777" authorId="0">
      <text>
        <r>
          <rPr>
            <b/>
            <sz val="8"/>
            <color indexed="81"/>
            <rFont val="Tahoma"/>
            <family val="2"/>
          </rPr>
          <t>116295:</t>
        </r>
        <r>
          <rPr>
            <sz val="8"/>
            <color indexed="81"/>
            <rFont val="Tahoma"/>
            <family val="2"/>
          </rPr>
          <t xml:space="preserve">
Garvin County Living Center
(405)238-3888</t>
        </r>
      </text>
    </comment>
    <comment ref="B778" authorId="0">
      <text>
        <r>
          <rPr>
            <b/>
            <sz val="8"/>
            <color indexed="81"/>
            <rFont val="Tahoma"/>
            <family val="2"/>
          </rPr>
          <t>116295:</t>
        </r>
        <r>
          <rPr>
            <sz val="8"/>
            <color indexed="81"/>
            <rFont val="Tahoma"/>
            <family val="2"/>
          </rPr>
          <t xml:space="preserve">
Garvin County Living Center
(405)238-3888</t>
        </r>
      </text>
    </comment>
    <comment ref="B779" authorId="0">
      <text>
        <r>
          <rPr>
            <b/>
            <sz val="8"/>
            <color indexed="81"/>
            <rFont val="Tahoma"/>
            <family val="2"/>
          </rPr>
          <t>116295:</t>
        </r>
        <r>
          <rPr>
            <sz val="8"/>
            <color indexed="81"/>
            <rFont val="Tahoma"/>
            <family val="2"/>
          </rPr>
          <t xml:space="preserve">
Garvin County Living Center
(405)238-3888</t>
        </r>
      </text>
    </comment>
    <comment ref="B780" authorId="0">
      <text>
        <r>
          <rPr>
            <b/>
            <sz val="8"/>
            <color indexed="81"/>
            <rFont val="Tahoma"/>
            <family val="2"/>
          </rPr>
          <t>116295:</t>
        </r>
        <r>
          <rPr>
            <sz val="8"/>
            <color indexed="81"/>
            <rFont val="Tahoma"/>
            <family val="2"/>
          </rPr>
          <t xml:space="preserve">
Garvin County Living Center
(405)238-3888</t>
        </r>
      </text>
    </comment>
    <comment ref="B781" authorId="0">
      <text>
        <r>
          <rPr>
            <b/>
            <sz val="8"/>
            <color indexed="81"/>
            <rFont val="Tahoma"/>
            <family val="2"/>
          </rPr>
          <t>116295:</t>
        </r>
        <r>
          <rPr>
            <sz val="8"/>
            <color indexed="81"/>
            <rFont val="Tahoma"/>
            <family val="2"/>
          </rPr>
          <t xml:space="preserve">
Garvin County Living Center
(405)238-3888</t>
        </r>
      </text>
    </comment>
    <comment ref="B782" authorId="0">
      <text>
        <r>
          <rPr>
            <b/>
            <sz val="8"/>
            <color indexed="81"/>
            <rFont val="Tahoma"/>
            <family val="2"/>
          </rPr>
          <t>116295:</t>
        </r>
        <r>
          <rPr>
            <sz val="8"/>
            <color indexed="81"/>
            <rFont val="Tahoma"/>
            <family val="2"/>
          </rPr>
          <t xml:space="preserve">
Garvin County Living Center
(405)238-3888</t>
        </r>
      </text>
    </comment>
    <comment ref="B783" authorId="0">
      <text>
        <r>
          <rPr>
            <b/>
            <sz val="8"/>
            <color indexed="81"/>
            <rFont val="Tahoma"/>
            <family val="2"/>
          </rPr>
          <t>116295:</t>
        </r>
        <r>
          <rPr>
            <sz val="8"/>
            <color indexed="81"/>
            <rFont val="Tahoma"/>
            <family val="2"/>
          </rPr>
          <t xml:space="preserve">
Garvin County Living Center
(405)238-3888</t>
        </r>
      </text>
    </comment>
    <comment ref="B784" authorId="0">
      <text>
        <r>
          <rPr>
            <b/>
            <sz val="8"/>
            <color indexed="81"/>
            <rFont val="Tahoma"/>
            <family val="2"/>
          </rPr>
          <t>116295:</t>
        </r>
        <r>
          <rPr>
            <sz val="8"/>
            <color indexed="81"/>
            <rFont val="Tahoma"/>
            <family val="2"/>
          </rPr>
          <t xml:space="preserve">
Garvin County Living Center
(405)238-3888</t>
        </r>
      </text>
    </comment>
    <comment ref="B785" authorId="0">
      <text>
        <r>
          <rPr>
            <b/>
            <sz val="8"/>
            <color indexed="81"/>
            <rFont val="Tahoma"/>
            <family val="2"/>
          </rPr>
          <t>116295:</t>
        </r>
        <r>
          <rPr>
            <sz val="8"/>
            <color indexed="81"/>
            <rFont val="Tahoma"/>
            <family val="2"/>
          </rPr>
          <t xml:space="preserve">
Garvin County Living Center
(405)238-3888</t>
        </r>
      </text>
    </comment>
    <comment ref="B786" authorId="0">
      <text>
        <r>
          <rPr>
            <b/>
            <sz val="8"/>
            <color indexed="81"/>
            <rFont val="Tahoma"/>
            <family val="2"/>
          </rPr>
          <t>116295:</t>
        </r>
        <r>
          <rPr>
            <sz val="8"/>
            <color indexed="81"/>
            <rFont val="Tahoma"/>
            <family val="2"/>
          </rPr>
          <t xml:space="preserve">
Garvin County Living Center
(405)238-3888</t>
        </r>
      </text>
    </comment>
    <comment ref="B787" authorId="0">
      <text>
        <r>
          <rPr>
            <b/>
            <sz val="8"/>
            <color indexed="81"/>
            <rFont val="Tahoma"/>
            <family val="2"/>
          </rPr>
          <t>116295:</t>
        </r>
        <r>
          <rPr>
            <sz val="8"/>
            <color indexed="81"/>
            <rFont val="Tahoma"/>
            <family val="2"/>
          </rPr>
          <t xml:space="preserve">
Garvin County Living Center
(405)238-3888</t>
        </r>
      </text>
    </comment>
    <comment ref="B788" authorId="0">
      <text>
        <r>
          <rPr>
            <b/>
            <sz val="8"/>
            <color indexed="81"/>
            <rFont val="Tahoma"/>
            <family val="2"/>
          </rPr>
          <t>116295:</t>
        </r>
        <r>
          <rPr>
            <sz val="8"/>
            <color indexed="81"/>
            <rFont val="Tahoma"/>
            <family val="2"/>
          </rPr>
          <t xml:space="preserve">
Garvin County Living Center
(405)238-3888</t>
        </r>
      </text>
    </comment>
    <comment ref="B789" authorId="0">
      <text>
        <r>
          <rPr>
            <b/>
            <sz val="8"/>
            <color indexed="81"/>
            <rFont val="Tahoma"/>
            <family val="2"/>
          </rPr>
          <t>116295:</t>
        </r>
        <r>
          <rPr>
            <sz val="8"/>
            <color indexed="81"/>
            <rFont val="Tahoma"/>
            <family val="2"/>
          </rPr>
          <t xml:space="preserve">
Garvin County Living Center
(405)238-3888</t>
        </r>
      </text>
    </comment>
    <comment ref="B790" authorId="0">
      <text>
        <r>
          <rPr>
            <b/>
            <sz val="8"/>
            <color indexed="81"/>
            <rFont val="Tahoma"/>
            <family val="2"/>
          </rPr>
          <t>116295:</t>
        </r>
        <r>
          <rPr>
            <sz val="8"/>
            <color indexed="81"/>
            <rFont val="Tahoma"/>
            <family val="2"/>
          </rPr>
          <t xml:space="preserve">
Garvin County Living Center
(405)238-3888</t>
        </r>
      </text>
    </comment>
    <comment ref="B791" authorId="0">
      <text>
        <r>
          <rPr>
            <b/>
            <sz val="8"/>
            <color indexed="81"/>
            <rFont val="Tahoma"/>
            <family val="2"/>
          </rPr>
          <t>116295:</t>
        </r>
        <r>
          <rPr>
            <sz val="8"/>
            <color indexed="81"/>
            <rFont val="Tahoma"/>
            <family val="2"/>
          </rPr>
          <t xml:space="preserve">
Garvin County Living Center
(405)238-3888</t>
        </r>
      </text>
    </comment>
    <comment ref="B792" authorId="0">
      <text>
        <r>
          <rPr>
            <b/>
            <sz val="8"/>
            <color indexed="81"/>
            <rFont val="Tahoma"/>
            <family val="2"/>
          </rPr>
          <t>116295:</t>
        </r>
        <r>
          <rPr>
            <sz val="8"/>
            <color indexed="81"/>
            <rFont val="Tahoma"/>
            <family val="2"/>
          </rPr>
          <t xml:space="preserve">
Garvin County Living Center
(405)238-3888</t>
        </r>
      </text>
    </comment>
    <comment ref="B793" authorId="0">
      <text>
        <r>
          <rPr>
            <b/>
            <sz val="8"/>
            <color indexed="81"/>
            <rFont val="Tahoma"/>
            <family val="2"/>
          </rPr>
          <t>116295:</t>
        </r>
        <r>
          <rPr>
            <sz val="8"/>
            <color indexed="81"/>
            <rFont val="Tahoma"/>
            <family val="2"/>
          </rPr>
          <t xml:space="preserve">
Garvin County Living Center
(405)238-3888</t>
        </r>
      </text>
    </comment>
    <comment ref="B794" authorId="0">
      <text>
        <r>
          <rPr>
            <b/>
            <sz val="8"/>
            <color indexed="81"/>
            <rFont val="Tahoma"/>
            <family val="2"/>
          </rPr>
          <t>116295:</t>
        </r>
        <r>
          <rPr>
            <sz val="8"/>
            <color indexed="81"/>
            <rFont val="Tahoma"/>
            <family val="2"/>
          </rPr>
          <t xml:space="preserve">
Garvin County Living Center
(405)238-3888</t>
        </r>
      </text>
    </comment>
    <comment ref="B795" authorId="0">
      <text>
        <r>
          <rPr>
            <b/>
            <sz val="8"/>
            <color indexed="81"/>
            <rFont val="Tahoma"/>
            <family val="2"/>
          </rPr>
          <t>116295:</t>
        </r>
        <r>
          <rPr>
            <sz val="8"/>
            <color indexed="81"/>
            <rFont val="Tahoma"/>
            <family val="2"/>
          </rPr>
          <t xml:space="preserve">
Garvin County Living Center
(405)238-3888</t>
        </r>
      </text>
    </comment>
    <comment ref="B796" authorId="0">
      <text>
        <r>
          <rPr>
            <b/>
            <sz val="8"/>
            <color indexed="81"/>
            <rFont val="Tahoma"/>
            <family val="2"/>
          </rPr>
          <t>116295:</t>
        </r>
        <r>
          <rPr>
            <sz val="8"/>
            <color indexed="81"/>
            <rFont val="Tahoma"/>
            <family val="2"/>
          </rPr>
          <t xml:space="preserve">
Garvin County Living Center
(405)238-3888</t>
        </r>
      </text>
    </comment>
    <comment ref="B797" authorId="0">
      <text>
        <r>
          <rPr>
            <b/>
            <sz val="8"/>
            <color indexed="81"/>
            <rFont val="Tahoma"/>
            <family val="2"/>
          </rPr>
          <t>116295:</t>
        </r>
        <r>
          <rPr>
            <sz val="8"/>
            <color indexed="81"/>
            <rFont val="Tahoma"/>
            <family val="2"/>
          </rPr>
          <t xml:space="preserve">
Garvin County Living Center
(405)238-3888</t>
        </r>
      </text>
    </comment>
    <comment ref="B798" authorId="0">
      <text>
        <r>
          <rPr>
            <b/>
            <sz val="8"/>
            <color indexed="81"/>
            <rFont val="Tahoma"/>
            <family val="2"/>
          </rPr>
          <t>116295:</t>
        </r>
        <r>
          <rPr>
            <sz val="8"/>
            <color indexed="81"/>
            <rFont val="Tahoma"/>
            <family val="2"/>
          </rPr>
          <t xml:space="preserve">
Garvin County Living Center
(405)238-3888</t>
        </r>
      </text>
    </comment>
    <comment ref="B799" authorId="0">
      <text>
        <r>
          <rPr>
            <b/>
            <sz val="8"/>
            <color indexed="81"/>
            <rFont val="Tahoma"/>
            <family val="2"/>
          </rPr>
          <t>116295:</t>
        </r>
        <r>
          <rPr>
            <sz val="8"/>
            <color indexed="81"/>
            <rFont val="Tahoma"/>
            <family val="2"/>
          </rPr>
          <t xml:space="preserve">
Garvin County Living Center
(405)238-3888</t>
        </r>
      </text>
    </comment>
    <comment ref="B800" authorId="0">
      <text>
        <r>
          <rPr>
            <b/>
            <sz val="8"/>
            <color indexed="81"/>
            <rFont val="Tahoma"/>
            <family val="2"/>
          </rPr>
          <t>116295:</t>
        </r>
        <r>
          <rPr>
            <sz val="8"/>
            <color indexed="81"/>
            <rFont val="Tahoma"/>
            <family val="2"/>
          </rPr>
          <t xml:space="preserve">
Garvin County Living Center
(405)238-3888</t>
        </r>
      </text>
    </comment>
    <comment ref="B801" authorId="0">
      <text>
        <r>
          <rPr>
            <b/>
            <sz val="8"/>
            <color indexed="81"/>
            <rFont val="Tahoma"/>
            <family val="2"/>
          </rPr>
          <t>116295:</t>
        </r>
        <r>
          <rPr>
            <sz val="8"/>
            <color indexed="81"/>
            <rFont val="Tahoma"/>
            <family val="2"/>
          </rPr>
          <t xml:space="preserve">
Garvin County Living Center
(405)238-3888</t>
        </r>
      </text>
    </comment>
    <comment ref="B802" authorId="0">
      <text>
        <r>
          <rPr>
            <b/>
            <sz val="8"/>
            <color indexed="81"/>
            <rFont val="Tahoma"/>
            <family val="2"/>
          </rPr>
          <t>116295:</t>
        </r>
        <r>
          <rPr>
            <sz val="8"/>
            <color indexed="81"/>
            <rFont val="Tahoma"/>
            <family val="2"/>
          </rPr>
          <t xml:space="preserve">
Garvin County Living Center
(405)238-3888</t>
        </r>
      </text>
    </comment>
    <comment ref="B803" authorId="0">
      <text>
        <r>
          <rPr>
            <b/>
            <sz val="8"/>
            <color indexed="81"/>
            <rFont val="Tahoma"/>
            <family val="2"/>
          </rPr>
          <t>116295:</t>
        </r>
        <r>
          <rPr>
            <sz val="8"/>
            <color indexed="81"/>
            <rFont val="Tahoma"/>
            <family val="2"/>
          </rPr>
          <t xml:space="preserve">
Garvin County Living Center
(405)238-3888</t>
        </r>
      </text>
    </comment>
    <comment ref="B804" authorId="0">
      <text>
        <r>
          <rPr>
            <b/>
            <sz val="8"/>
            <color indexed="81"/>
            <rFont val="Tahoma"/>
            <family val="2"/>
          </rPr>
          <t>116295:</t>
        </r>
        <r>
          <rPr>
            <sz val="8"/>
            <color indexed="81"/>
            <rFont val="Tahoma"/>
            <family val="2"/>
          </rPr>
          <t xml:space="preserve">
Garvin County Living Center
(405)238-3888</t>
        </r>
      </text>
    </comment>
    <comment ref="B805" authorId="0">
      <text>
        <r>
          <rPr>
            <b/>
            <sz val="8"/>
            <color indexed="81"/>
            <rFont val="Tahoma"/>
            <family val="2"/>
          </rPr>
          <t>116295:</t>
        </r>
        <r>
          <rPr>
            <sz val="8"/>
            <color indexed="81"/>
            <rFont val="Tahoma"/>
            <family val="2"/>
          </rPr>
          <t xml:space="preserve">
Garvin County Living Center
(405)238-3888</t>
        </r>
      </text>
    </comment>
    <comment ref="B806" authorId="0">
      <text>
        <r>
          <rPr>
            <b/>
            <sz val="8"/>
            <color indexed="81"/>
            <rFont val="Tahoma"/>
            <family val="2"/>
          </rPr>
          <t>116295:</t>
        </r>
        <r>
          <rPr>
            <sz val="8"/>
            <color indexed="81"/>
            <rFont val="Tahoma"/>
            <family val="2"/>
          </rPr>
          <t xml:space="preserve">
Garvin County Living Center
(405)238-3888</t>
        </r>
      </text>
    </comment>
    <comment ref="B807" authorId="0">
      <text>
        <r>
          <rPr>
            <b/>
            <sz val="8"/>
            <color indexed="81"/>
            <rFont val="Tahoma"/>
            <family val="2"/>
          </rPr>
          <t>116295:</t>
        </r>
        <r>
          <rPr>
            <sz val="8"/>
            <color indexed="81"/>
            <rFont val="Tahoma"/>
            <family val="2"/>
          </rPr>
          <t xml:space="preserve">
Garvin County Living Center
(405)238-3888</t>
        </r>
      </text>
    </comment>
    <comment ref="B808" authorId="0">
      <text>
        <r>
          <rPr>
            <b/>
            <sz val="8"/>
            <color indexed="81"/>
            <rFont val="Tahoma"/>
            <family val="2"/>
          </rPr>
          <t>116295:</t>
        </r>
        <r>
          <rPr>
            <sz val="8"/>
            <color indexed="81"/>
            <rFont val="Tahoma"/>
            <family val="2"/>
          </rPr>
          <t xml:space="preserve">
Garvin County Living Center
(405)238-3888</t>
        </r>
      </text>
    </comment>
    <comment ref="B809" authorId="0">
      <text>
        <r>
          <rPr>
            <b/>
            <sz val="8"/>
            <color indexed="81"/>
            <rFont val="Tahoma"/>
            <family val="2"/>
          </rPr>
          <t>116295:</t>
        </r>
        <r>
          <rPr>
            <sz val="8"/>
            <color indexed="81"/>
            <rFont val="Tahoma"/>
            <family val="2"/>
          </rPr>
          <t xml:space="preserve">
Garvin County Living Center
(405)238-3888</t>
        </r>
      </text>
    </comment>
    <comment ref="B810" authorId="0">
      <text>
        <r>
          <rPr>
            <b/>
            <sz val="8"/>
            <color indexed="81"/>
            <rFont val="Tahoma"/>
            <family val="2"/>
          </rPr>
          <t>116295:</t>
        </r>
        <r>
          <rPr>
            <sz val="8"/>
            <color indexed="81"/>
            <rFont val="Tahoma"/>
            <family val="2"/>
          </rPr>
          <t xml:space="preserve">
Garvin County Living Center
(405)238-3888</t>
        </r>
      </text>
    </comment>
    <comment ref="B811" authorId="0">
      <text>
        <r>
          <rPr>
            <b/>
            <sz val="8"/>
            <color indexed="81"/>
            <rFont val="Tahoma"/>
            <family val="2"/>
          </rPr>
          <t>116295:</t>
        </r>
        <r>
          <rPr>
            <sz val="8"/>
            <color indexed="81"/>
            <rFont val="Tahoma"/>
            <family val="2"/>
          </rPr>
          <t xml:space="preserve">
Garvin County Living Center
(405)238-3888</t>
        </r>
      </text>
    </comment>
    <comment ref="B812" authorId="0">
      <text>
        <r>
          <rPr>
            <b/>
            <sz val="8"/>
            <color indexed="81"/>
            <rFont val="Tahoma"/>
            <family val="2"/>
          </rPr>
          <t>116295:</t>
        </r>
        <r>
          <rPr>
            <sz val="8"/>
            <color indexed="81"/>
            <rFont val="Tahoma"/>
            <family val="2"/>
          </rPr>
          <t xml:space="preserve">
Garvin County Living Center
(405)238-3888</t>
        </r>
      </text>
    </comment>
    <comment ref="B813" authorId="0">
      <text>
        <r>
          <rPr>
            <b/>
            <sz val="8"/>
            <color indexed="81"/>
            <rFont val="Tahoma"/>
            <family val="2"/>
          </rPr>
          <t>116295:</t>
        </r>
        <r>
          <rPr>
            <sz val="8"/>
            <color indexed="81"/>
            <rFont val="Tahoma"/>
            <family val="2"/>
          </rPr>
          <t xml:space="preserve">
Garvin County Living Center
(405)238-3888</t>
        </r>
      </text>
    </comment>
    <comment ref="B814" authorId="0">
      <text>
        <r>
          <rPr>
            <b/>
            <sz val="8"/>
            <color indexed="81"/>
            <rFont val="Tahoma"/>
            <family val="2"/>
          </rPr>
          <t>116295:</t>
        </r>
        <r>
          <rPr>
            <sz val="8"/>
            <color indexed="81"/>
            <rFont val="Tahoma"/>
            <family val="2"/>
          </rPr>
          <t xml:space="preserve">
Garvin County Living Center
(405)238-3888</t>
        </r>
      </text>
    </comment>
    <comment ref="B815" authorId="0">
      <text>
        <r>
          <rPr>
            <b/>
            <sz val="8"/>
            <color indexed="81"/>
            <rFont val="Tahoma"/>
            <family val="2"/>
          </rPr>
          <t>116295:</t>
        </r>
        <r>
          <rPr>
            <sz val="8"/>
            <color indexed="81"/>
            <rFont val="Tahoma"/>
            <family val="2"/>
          </rPr>
          <t xml:space="preserve">
Garvin County Living Center
(405)238-3888</t>
        </r>
      </text>
    </comment>
    <comment ref="B816" authorId="0">
      <text>
        <r>
          <rPr>
            <b/>
            <sz val="8"/>
            <color indexed="81"/>
            <rFont val="Tahoma"/>
            <family val="2"/>
          </rPr>
          <t>116295:</t>
        </r>
        <r>
          <rPr>
            <sz val="8"/>
            <color indexed="81"/>
            <rFont val="Tahoma"/>
            <family val="2"/>
          </rPr>
          <t xml:space="preserve">
Garvin County Living Center
(405)238-3888</t>
        </r>
      </text>
    </comment>
    <comment ref="B817" authorId="0">
      <text>
        <r>
          <rPr>
            <b/>
            <sz val="8"/>
            <color indexed="81"/>
            <rFont val="Tahoma"/>
            <family val="2"/>
          </rPr>
          <t>116295:</t>
        </r>
        <r>
          <rPr>
            <sz val="8"/>
            <color indexed="81"/>
            <rFont val="Tahoma"/>
            <family val="2"/>
          </rPr>
          <t xml:space="preserve">
Garvin County Living Center
(405)238-3888</t>
        </r>
      </text>
    </comment>
    <comment ref="B818" authorId="0">
      <text>
        <r>
          <rPr>
            <b/>
            <sz val="8"/>
            <color indexed="81"/>
            <rFont val="Tahoma"/>
            <family val="2"/>
          </rPr>
          <t>116295:</t>
        </r>
        <r>
          <rPr>
            <sz val="8"/>
            <color indexed="81"/>
            <rFont val="Tahoma"/>
            <family val="2"/>
          </rPr>
          <t xml:space="preserve">
Garvin County Living Center
(405)238-3888</t>
        </r>
      </text>
    </comment>
    <comment ref="B819" authorId="0">
      <text>
        <r>
          <rPr>
            <b/>
            <sz val="8"/>
            <color indexed="81"/>
            <rFont val="Tahoma"/>
            <family val="2"/>
          </rPr>
          <t>116295:</t>
        </r>
        <r>
          <rPr>
            <sz val="8"/>
            <color indexed="81"/>
            <rFont val="Tahoma"/>
            <family val="2"/>
          </rPr>
          <t xml:space="preserve">
Garvin County Living Center
(405)238-3888</t>
        </r>
      </text>
    </comment>
    <comment ref="B820" authorId="0">
      <text>
        <r>
          <rPr>
            <b/>
            <sz val="8"/>
            <color indexed="81"/>
            <rFont val="Tahoma"/>
            <family val="2"/>
          </rPr>
          <t>116295:</t>
        </r>
        <r>
          <rPr>
            <sz val="8"/>
            <color indexed="81"/>
            <rFont val="Tahoma"/>
            <family val="2"/>
          </rPr>
          <t xml:space="preserve">
Garvin County Living Center
(405)238-3888</t>
        </r>
      </text>
    </comment>
    <comment ref="B821" authorId="0">
      <text>
        <r>
          <rPr>
            <b/>
            <sz val="8"/>
            <color indexed="81"/>
            <rFont val="Tahoma"/>
            <family val="2"/>
          </rPr>
          <t>116295:</t>
        </r>
        <r>
          <rPr>
            <sz val="8"/>
            <color indexed="81"/>
            <rFont val="Tahoma"/>
            <family val="2"/>
          </rPr>
          <t xml:space="preserve">
Garvin County Living Center
(405)238-3888</t>
        </r>
      </text>
    </comment>
    <comment ref="B822" authorId="0">
      <text>
        <r>
          <rPr>
            <b/>
            <sz val="8"/>
            <color indexed="81"/>
            <rFont val="Tahoma"/>
            <family val="2"/>
          </rPr>
          <t>116295:</t>
        </r>
        <r>
          <rPr>
            <sz val="8"/>
            <color indexed="81"/>
            <rFont val="Tahoma"/>
            <family val="2"/>
          </rPr>
          <t xml:space="preserve">
Garvin County Living Center
(405)238-3888</t>
        </r>
      </text>
    </comment>
    <comment ref="B823" authorId="0">
      <text>
        <r>
          <rPr>
            <b/>
            <sz val="8"/>
            <color indexed="81"/>
            <rFont val="Tahoma"/>
            <family val="2"/>
          </rPr>
          <t>116295:</t>
        </r>
        <r>
          <rPr>
            <sz val="8"/>
            <color indexed="81"/>
            <rFont val="Tahoma"/>
            <family val="2"/>
          </rPr>
          <t xml:space="preserve">
Garvin County Living Center
(405)238-3888</t>
        </r>
      </text>
    </comment>
    <comment ref="B824" authorId="0">
      <text>
        <r>
          <rPr>
            <b/>
            <sz val="8"/>
            <color indexed="81"/>
            <rFont val="Tahoma"/>
            <family val="2"/>
          </rPr>
          <t>116295:</t>
        </r>
        <r>
          <rPr>
            <sz val="8"/>
            <color indexed="81"/>
            <rFont val="Tahoma"/>
            <family val="2"/>
          </rPr>
          <t xml:space="preserve">
Garvin County Living Center
(405)238-3888</t>
        </r>
      </text>
    </comment>
    <comment ref="B825" authorId="0">
      <text>
        <r>
          <rPr>
            <b/>
            <sz val="8"/>
            <color indexed="81"/>
            <rFont val="Tahoma"/>
            <family val="2"/>
          </rPr>
          <t>116295:</t>
        </r>
        <r>
          <rPr>
            <sz val="8"/>
            <color indexed="81"/>
            <rFont val="Tahoma"/>
            <family val="2"/>
          </rPr>
          <t xml:space="preserve">
Garvin County Living Center
(405)238-3888</t>
        </r>
      </text>
    </comment>
    <comment ref="B826" authorId="0">
      <text>
        <r>
          <rPr>
            <b/>
            <sz val="8"/>
            <color indexed="81"/>
            <rFont val="Tahoma"/>
            <family val="2"/>
          </rPr>
          <t>116295:</t>
        </r>
        <r>
          <rPr>
            <sz val="8"/>
            <color indexed="81"/>
            <rFont val="Tahoma"/>
            <family val="2"/>
          </rPr>
          <t xml:space="preserve">
Garvin County Living Center
(405)238-3888</t>
        </r>
      </text>
    </comment>
    <comment ref="B827" authorId="0">
      <text>
        <r>
          <rPr>
            <b/>
            <sz val="8"/>
            <color indexed="81"/>
            <rFont val="Tahoma"/>
            <family val="2"/>
          </rPr>
          <t>116295:</t>
        </r>
        <r>
          <rPr>
            <sz val="8"/>
            <color indexed="81"/>
            <rFont val="Tahoma"/>
            <family val="2"/>
          </rPr>
          <t xml:space="preserve">
Garvin County Living Center
(405)238-3888</t>
        </r>
      </text>
    </comment>
    <comment ref="B828" authorId="0">
      <text>
        <r>
          <rPr>
            <b/>
            <sz val="8"/>
            <color indexed="81"/>
            <rFont val="Tahoma"/>
            <family val="2"/>
          </rPr>
          <t>116295:</t>
        </r>
        <r>
          <rPr>
            <sz val="8"/>
            <color indexed="81"/>
            <rFont val="Tahoma"/>
            <family val="2"/>
          </rPr>
          <t xml:space="preserve">
Garvin County Living Center
(405)238-3888</t>
        </r>
      </text>
    </comment>
    <comment ref="B829" authorId="0">
      <text>
        <r>
          <rPr>
            <b/>
            <sz val="8"/>
            <color indexed="81"/>
            <rFont val="Tahoma"/>
            <family val="2"/>
          </rPr>
          <t>116295:</t>
        </r>
        <r>
          <rPr>
            <sz val="8"/>
            <color indexed="81"/>
            <rFont val="Tahoma"/>
            <family val="2"/>
          </rPr>
          <t xml:space="preserve">
Garvin County Living Center
(405)238-3888</t>
        </r>
      </text>
    </comment>
    <comment ref="B830" authorId="0">
      <text>
        <r>
          <rPr>
            <b/>
            <sz val="8"/>
            <color indexed="81"/>
            <rFont val="Tahoma"/>
            <family val="2"/>
          </rPr>
          <t>116295:</t>
        </r>
        <r>
          <rPr>
            <sz val="8"/>
            <color indexed="81"/>
            <rFont val="Tahoma"/>
            <family val="2"/>
          </rPr>
          <t xml:space="preserve">
Garvin County Living Center
(405)238-3888</t>
        </r>
      </text>
    </comment>
    <comment ref="B831" authorId="0">
      <text>
        <r>
          <rPr>
            <b/>
            <sz val="8"/>
            <color indexed="81"/>
            <rFont val="Tahoma"/>
            <family val="2"/>
          </rPr>
          <t>116295:</t>
        </r>
        <r>
          <rPr>
            <sz val="8"/>
            <color indexed="81"/>
            <rFont val="Tahoma"/>
            <family val="2"/>
          </rPr>
          <t xml:space="preserve">
Garvin County Living Center
(405)238-3888</t>
        </r>
      </text>
    </comment>
    <comment ref="B832" authorId="0">
      <text>
        <r>
          <rPr>
            <b/>
            <sz val="8"/>
            <color indexed="81"/>
            <rFont val="Tahoma"/>
            <family val="2"/>
          </rPr>
          <t>116295:</t>
        </r>
        <r>
          <rPr>
            <sz val="8"/>
            <color indexed="81"/>
            <rFont val="Tahoma"/>
            <family val="2"/>
          </rPr>
          <t xml:space="preserve">
Garvin County Living Center
(405)238-3888</t>
        </r>
      </text>
    </comment>
    <comment ref="B833" authorId="0">
      <text>
        <r>
          <rPr>
            <b/>
            <sz val="8"/>
            <color indexed="81"/>
            <rFont val="Tahoma"/>
            <family val="2"/>
          </rPr>
          <t>116295:</t>
        </r>
        <r>
          <rPr>
            <sz val="8"/>
            <color indexed="81"/>
            <rFont val="Tahoma"/>
            <family val="2"/>
          </rPr>
          <t xml:space="preserve">
Garvin County Living Center
(405)238-3888</t>
        </r>
      </text>
    </comment>
    <comment ref="B834" authorId="0">
      <text>
        <r>
          <rPr>
            <b/>
            <sz val="8"/>
            <color indexed="81"/>
            <rFont val="Tahoma"/>
            <family val="2"/>
          </rPr>
          <t>116295:</t>
        </r>
        <r>
          <rPr>
            <sz val="8"/>
            <color indexed="81"/>
            <rFont val="Tahoma"/>
            <family val="2"/>
          </rPr>
          <t xml:space="preserve">
Garvin County Living Center
(405)238-3888</t>
        </r>
      </text>
    </comment>
    <comment ref="B835" authorId="0">
      <text>
        <r>
          <rPr>
            <b/>
            <sz val="8"/>
            <color indexed="81"/>
            <rFont val="Tahoma"/>
            <family val="2"/>
          </rPr>
          <t>116295:</t>
        </r>
        <r>
          <rPr>
            <sz val="8"/>
            <color indexed="81"/>
            <rFont val="Tahoma"/>
            <family val="2"/>
          </rPr>
          <t xml:space="preserve">
Garvin County Living Center
(405)238-3888</t>
        </r>
      </text>
    </comment>
    <comment ref="B836" authorId="0">
      <text>
        <r>
          <rPr>
            <b/>
            <sz val="8"/>
            <color indexed="81"/>
            <rFont val="Tahoma"/>
            <family val="2"/>
          </rPr>
          <t>116295:</t>
        </r>
        <r>
          <rPr>
            <sz val="8"/>
            <color indexed="81"/>
            <rFont val="Tahoma"/>
            <family val="2"/>
          </rPr>
          <t xml:space="preserve">
Garvin County Living Center
(405)238-3888</t>
        </r>
      </text>
    </comment>
    <comment ref="B837" authorId="0">
      <text>
        <r>
          <rPr>
            <b/>
            <sz val="8"/>
            <color indexed="81"/>
            <rFont val="Tahoma"/>
            <family val="2"/>
          </rPr>
          <t>116295:</t>
        </r>
        <r>
          <rPr>
            <sz val="8"/>
            <color indexed="81"/>
            <rFont val="Tahoma"/>
            <family val="2"/>
          </rPr>
          <t xml:space="preserve">
Garvin County Living Center
(405)238-3888</t>
        </r>
      </text>
    </comment>
    <comment ref="B838" authorId="0">
      <text>
        <r>
          <rPr>
            <b/>
            <sz val="8"/>
            <color indexed="81"/>
            <rFont val="Tahoma"/>
            <family val="2"/>
          </rPr>
          <t>116295:</t>
        </r>
        <r>
          <rPr>
            <sz val="8"/>
            <color indexed="81"/>
            <rFont val="Tahoma"/>
            <family val="2"/>
          </rPr>
          <t xml:space="preserve">
Garvin County Living Center
(405)238-3888</t>
        </r>
      </text>
    </comment>
    <comment ref="B839" authorId="0">
      <text>
        <r>
          <rPr>
            <b/>
            <sz val="8"/>
            <color indexed="81"/>
            <rFont val="Tahoma"/>
            <family val="2"/>
          </rPr>
          <t>116295:</t>
        </r>
        <r>
          <rPr>
            <sz val="8"/>
            <color indexed="81"/>
            <rFont val="Tahoma"/>
            <family val="2"/>
          </rPr>
          <t xml:space="preserve">
Garvin County Living Center
(405)238-3888</t>
        </r>
      </text>
    </comment>
    <comment ref="B840" authorId="0">
      <text>
        <r>
          <rPr>
            <b/>
            <sz val="8"/>
            <color indexed="81"/>
            <rFont val="Tahoma"/>
            <family val="2"/>
          </rPr>
          <t>116295:</t>
        </r>
        <r>
          <rPr>
            <sz val="8"/>
            <color indexed="81"/>
            <rFont val="Tahoma"/>
            <family val="2"/>
          </rPr>
          <t xml:space="preserve">
Garvin County Living Center
(405)238-3888</t>
        </r>
      </text>
    </comment>
    <comment ref="B841" authorId="0">
      <text>
        <r>
          <rPr>
            <b/>
            <sz val="8"/>
            <color indexed="81"/>
            <rFont val="Tahoma"/>
            <family val="2"/>
          </rPr>
          <t>116295:</t>
        </r>
        <r>
          <rPr>
            <sz val="8"/>
            <color indexed="81"/>
            <rFont val="Tahoma"/>
            <family val="2"/>
          </rPr>
          <t xml:space="preserve">
Garvin County Living Center
(405)238-3888</t>
        </r>
      </text>
    </comment>
    <comment ref="B842" authorId="0">
      <text>
        <r>
          <rPr>
            <b/>
            <sz val="8"/>
            <color indexed="81"/>
            <rFont val="Tahoma"/>
            <family val="2"/>
          </rPr>
          <t>116295:</t>
        </r>
        <r>
          <rPr>
            <sz val="8"/>
            <color indexed="81"/>
            <rFont val="Tahoma"/>
            <family val="2"/>
          </rPr>
          <t xml:space="preserve">
Garvin County Living Center
(405)238-3888</t>
        </r>
      </text>
    </comment>
    <comment ref="B843" authorId="0">
      <text>
        <r>
          <rPr>
            <b/>
            <sz val="8"/>
            <color indexed="81"/>
            <rFont val="Tahoma"/>
            <family val="2"/>
          </rPr>
          <t>116295:</t>
        </r>
        <r>
          <rPr>
            <sz val="8"/>
            <color indexed="81"/>
            <rFont val="Tahoma"/>
            <family val="2"/>
          </rPr>
          <t xml:space="preserve">
Garvin County Living Center
(405)238-3888</t>
        </r>
      </text>
    </comment>
    <comment ref="B844" authorId="0">
      <text>
        <r>
          <rPr>
            <b/>
            <sz val="8"/>
            <color indexed="81"/>
            <rFont val="Tahoma"/>
            <family val="2"/>
          </rPr>
          <t>116295:</t>
        </r>
        <r>
          <rPr>
            <sz val="8"/>
            <color indexed="81"/>
            <rFont val="Tahoma"/>
            <family val="2"/>
          </rPr>
          <t xml:space="preserve">
Garvin County Living Center
(405)238-3888</t>
        </r>
      </text>
    </comment>
    <comment ref="B845" authorId="0">
      <text>
        <r>
          <rPr>
            <b/>
            <sz val="8"/>
            <color indexed="81"/>
            <rFont val="Tahoma"/>
            <family val="2"/>
          </rPr>
          <t>116295:</t>
        </r>
        <r>
          <rPr>
            <sz val="8"/>
            <color indexed="81"/>
            <rFont val="Tahoma"/>
            <family val="2"/>
          </rPr>
          <t xml:space="preserve">
Garvin County Living Center
(405)238-3888</t>
        </r>
      </text>
    </comment>
    <comment ref="B846" authorId="0">
      <text>
        <r>
          <rPr>
            <b/>
            <sz val="8"/>
            <color indexed="81"/>
            <rFont val="Tahoma"/>
            <family val="2"/>
          </rPr>
          <t>116295:</t>
        </r>
        <r>
          <rPr>
            <sz val="8"/>
            <color indexed="81"/>
            <rFont val="Tahoma"/>
            <family val="2"/>
          </rPr>
          <t xml:space="preserve">
Garvin County Living Center
(405)238-3888</t>
        </r>
      </text>
    </comment>
    <comment ref="B847" authorId="0">
      <text>
        <r>
          <rPr>
            <b/>
            <sz val="8"/>
            <color indexed="81"/>
            <rFont val="Tahoma"/>
            <family val="2"/>
          </rPr>
          <t>116295:</t>
        </r>
        <r>
          <rPr>
            <sz val="8"/>
            <color indexed="81"/>
            <rFont val="Tahoma"/>
            <family val="2"/>
          </rPr>
          <t xml:space="preserve">
Garvin County Living Center
(405)238-3888</t>
        </r>
      </text>
    </comment>
    <comment ref="B848" authorId="0">
      <text>
        <r>
          <rPr>
            <b/>
            <sz val="8"/>
            <color indexed="81"/>
            <rFont val="Tahoma"/>
            <family val="2"/>
          </rPr>
          <t>116295:</t>
        </r>
        <r>
          <rPr>
            <sz val="8"/>
            <color indexed="81"/>
            <rFont val="Tahoma"/>
            <family val="2"/>
          </rPr>
          <t xml:space="preserve">
Garvin County Living Center
(405)238-3888</t>
        </r>
      </text>
    </comment>
    <comment ref="B849" authorId="0">
      <text>
        <r>
          <rPr>
            <b/>
            <sz val="8"/>
            <color indexed="81"/>
            <rFont val="Tahoma"/>
            <family val="2"/>
          </rPr>
          <t>116295:</t>
        </r>
        <r>
          <rPr>
            <sz val="8"/>
            <color indexed="81"/>
            <rFont val="Tahoma"/>
            <family val="2"/>
          </rPr>
          <t xml:space="preserve">
Garvin County Living Center
(405)238-3888</t>
        </r>
      </text>
    </comment>
    <comment ref="B850" authorId="0">
      <text>
        <r>
          <rPr>
            <b/>
            <sz val="8"/>
            <color indexed="81"/>
            <rFont val="Tahoma"/>
            <family val="2"/>
          </rPr>
          <t>116295:</t>
        </r>
        <r>
          <rPr>
            <sz val="8"/>
            <color indexed="81"/>
            <rFont val="Tahoma"/>
            <family val="2"/>
          </rPr>
          <t xml:space="preserve">
Garvin County Living Center
(405)238-3888</t>
        </r>
      </text>
    </comment>
    <comment ref="B851" authorId="0">
      <text>
        <r>
          <rPr>
            <b/>
            <sz val="8"/>
            <color indexed="81"/>
            <rFont val="Tahoma"/>
            <family val="2"/>
          </rPr>
          <t>116295:</t>
        </r>
        <r>
          <rPr>
            <sz val="8"/>
            <color indexed="81"/>
            <rFont val="Tahoma"/>
            <family val="2"/>
          </rPr>
          <t xml:space="preserve">
Garvin County Living Center
(405)238-3888</t>
        </r>
      </text>
    </comment>
    <comment ref="B852" authorId="0">
      <text>
        <r>
          <rPr>
            <b/>
            <sz val="8"/>
            <color indexed="81"/>
            <rFont val="Tahoma"/>
            <family val="2"/>
          </rPr>
          <t>116295:</t>
        </r>
        <r>
          <rPr>
            <sz val="8"/>
            <color indexed="81"/>
            <rFont val="Tahoma"/>
            <family val="2"/>
          </rPr>
          <t xml:space="preserve">
Garvin County Living Center
(405)238-3888</t>
        </r>
      </text>
    </comment>
    <comment ref="B853" authorId="0">
      <text>
        <r>
          <rPr>
            <b/>
            <sz val="8"/>
            <color indexed="81"/>
            <rFont val="Tahoma"/>
            <family val="2"/>
          </rPr>
          <t>116295:</t>
        </r>
        <r>
          <rPr>
            <sz val="8"/>
            <color indexed="81"/>
            <rFont val="Tahoma"/>
            <family val="2"/>
          </rPr>
          <t xml:space="preserve">
Garvin County Living Center
(405)238-3888</t>
        </r>
      </text>
    </comment>
    <comment ref="B854" authorId="0">
      <text>
        <r>
          <rPr>
            <b/>
            <sz val="8"/>
            <color indexed="81"/>
            <rFont val="Tahoma"/>
            <family val="2"/>
          </rPr>
          <t>116295:</t>
        </r>
        <r>
          <rPr>
            <sz val="8"/>
            <color indexed="81"/>
            <rFont val="Tahoma"/>
            <family val="2"/>
          </rPr>
          <t xml:space="preserve">
Garvin County Living Center
(405)238-3888</t>
        </r>
      </text>
    </comment>
    <comment ref="B855" authorId="0">
      <text>
        <r>
          <rPr>
            <b/>
            <sz val="8"/>
            <color indexed="81"/>
            <rFont val="Tahoma"/>
            <family val="2"/>
          </rPr>
          <t>116295:</t>
        </r>
        <r>
          <rPr>
            <sz val="8"/>
            <color indexed="81"/>
            <rFont val="Tahoma"/>
            <family val="2"/>
          </rPr>
          <t xml:space="preserve">
Garvin County Living Center
(405)238-3888</t>
        </r>
      </text>
    </comment>
    <comment ref="B856" authorId="0">
      <text>
        <r>
          <rPr>
            <b/>
            <sz val="8"/>
            <color indexed="81"/>
            <rFont val="Tahoma"/>
            <family val="2"/>
          </rPr>
          <t>116295:</t>
        </r>
        <r>
          <rPr>
            <sz val="8"/>
            <color indexed="81"/>
            <rFont val="Tahoma"/>
            <family val="2"/>
          </rPr>
          <t xml:space="preserve">
Garvin County Living Center
(405)238-3888</t>
        </r>
      </text>
    </comment>
    <comment ref="B857" authorId="0">
      <text>
        <r>
          <rPr>
            <b/>
            <sz val="8"/>
            <color indexed="81"/>
            <rFont val="Tahoma"/>
            <family val="2"/>
          </rPr>
          <t>116295:</t>
        </r>
        <r>
          <rPr>
            <sz val="8"/>
            <color indexed="81"/>
            <rFont val="Tahoma"/>
            <family val="2"/>
          </rPr>
          <t xml:space="preserve">
Garvin County Living Center
(405)238-3888</t>
        </r>
      </text>
    </comment>
    <comment ref="B858" authorId="0">
      <text>
        <r>
          <rPr>
            <b/>
            <sz val="8"/>
            <color indexed="81"/>
            <rFont val="Tahoma"/>
            <family val="2"/>
          </rPr>
          <t>116295:</t>
        </r>
        <r>
          <rPr>
            <sz val="8"/>
            <color indexed="81"/>
            <rFont val="Tahoma"/>
            <family val="2"/>
          </rPr>
          <t xml:space="preserve">
Garvin County Living Center
(405)238-3888</t>
        </r>
      </text>
    </comment>
    <comment ref="B859" authorId="0">
      <text>
        <r>
          <rPr>
            <b/>
            <sz val="8"/>
            <color indexed="81"/>
            <rFont val="Tahoma"/>
            <family val="2"/>
          </rPr>
          <t>116295:</t>
        </r>
        <r>
          <rPr>
            <sz val="8"/>
            <color indexed="81"/>
            <rFont val="Tahoma"/>
            <family val="2"/>
          </rPr>
          <t xml:space="preserve">
Garvin County Living Center
(405)238-3888</t>
        </r>
      </text>
    </comment>
    <comment ref="B860" authorId="0">
      <text>
        <r>
          <rPr>
            <b/>
            <sz val="8"/>
            <color indexed="81"/>
            <rFont val="Tahoma"/>
            <family val="2"/>
          </rPr>
          <t>116295:</t>
        </r>
        <r>
          <rPr>
            <sz val="8"/>
            <color indexed="81"/>
            <rFont val="Tahoma"/>
            <family val="2"/>
          </rPr>
          <t xml:space="preserve">
Garvin County Living Center
(405)238-3888</t>
        </r>
      </text>
    </comment>
    <comment ref="B861" authorId="0">
      <text>
        <r>
          <rPr>
            <b/>
            <sz val="8"/>
            <color indexed="81"/>
            <rFont val="Tahoma"/>
            <family val="2"/>
          </rPr>
          <t>116295:</t>
        </r>
        <r>
          <rPr>
            <sz val="8"/>
            <color indexed="81"/>
            <rFont val="Tahoma"/>
            <family val="2"/>
          </rPr>
          <t xml:space="preserve">
Garvin County Living Center
(405)238-3888</t>
        </r>
      </text>
    </comment>
    <comment ref="B862" authorId="0">
      <text>
        <r>
          <rPr>
            <b/>
            <sz val="8"/>
            <color indexed="81"/>
            <rFont val="Tahoma"/>
            <family val="2"/>
          </rPr>
          <t>116295:</t>
        </r>
        <r>
          <rPr>
            <sz val="8"/>
            <color indexed="81"/>
            <rFont val="Tahoma"/>
            <family val="2"/>
          </rPr>
          <t xml:space="preserve">
Garvin County Living Center
(405)238-3888</t>
        </r>
      </text>
    </comment>
    <comment ref="B863" authorId="0">
      <text>
        <r>
          <rPr>
            <b/>
            <sz val="8"/>
            <color indexed="81"/>
            <rFont val="Tahoma"/>
            <family val="2"/>
          </rPr>
          <t>116295:</t>
        </r>
        <r>
          <rPr>
            <sz val="8"/>
            <color indexed="81"/>
            <rFont val="Tahoma"/>
            <family val="2"/>
          </rPr>
          <t xml:space="preserve">
Garvin County Living Center
(405)238-3888</t>
        </r>
      </text>
    </comment>
    <comment ref="B864" authorId="0">
      <text>
        <r>
          <rPr>
            <b/>
            <sz val="8"/>
            <color indexed="81"/>
            <rFont val="Tahoma"/>
            <family val="2"/>
          </rPr>
          <t>116295:</t>
        </r>
        <r>
          <rPr>
            <sz val="8"/>
            <color indexed="81"/>
            <rFont val="Tahoma"/>
            <family val="2"/>
          </rPr>
          <t xml:space="preserve">
Garvin County Living Center
(405)238-3888</t>
        </r>
      </text>
    </comment>
    <comment ref="B865" authorId="0">
      <text>
        <r>
          <rPr>
            <b/>
            <sz val="8"/>
            <color indexed="81"/>
            <rFont val="Tahoma"/>
            <family val="2"/>
          </rPr>
          <t>116295:</t>
        </r>
        <r>
          <rPr>
            <sz val="8"/>
            <color indexed="81"/>
            <rFont val="Tahoma"/>
            <family val="2"/>
          </rPr>
          <t xml:space="preserve">
Garvin County Living Center
(405)238-3888</t>
        </r>
      </text>
    </comment>
    <comment ref="B866" authorId="0">
      <text>
        <r>
          <rPr>
            <b/>
            <sz val="8"/>
            <color indexed="81"/>
            <rFont val="Tahoma"/>
            <family val="2"/>
          </rPr>
          <t>116295:</t>
        </r>
        <r>
          <rPr>
            <sz val="8"/>
            <color indexed="81"/>
            <rFont val="Tahoma"/>
            <family val="2"/>
          </rPr>
          <t xml:space="preserve">
Garvin County Living Center
(405)238-3888</t>
        </r>
      </text>
    </comment>
    <comment ref="B867" authorId="0">
      <text>
        <r>
          <rPr>
            <b/>
            <sz val="8"/>
            <color indexed="81"/>
            <rFont val="Tahoma"/>
            <family val="2"/>
          </rPr>
          <t>116295:</t>
        </r>
        <r>
          <rPr>
            <sz val="8"/>
            <color indexed="81"/>
            <rFont val="Tahoma"/>
            <family val="2"/>
          </rPr>
          <t xml:space="preserve">
Garvin County Living Center
(405)238-3888</t>
        </r>
      </text>
    </comment>
    <comment ref="B868" authorId="0">
      <text>
        <r>
          <rPr>
            <b/>
            <sz val="8"/>
            <color indexed="81"/>
            <rFont val="Tahoma"/>
            <family val="2"/>
          </rPr>
          <t>116295:</t>
        </r>
        <r>
          <rPr>
            <sz val="8"/>
            <color indexed="81"/>
            <rFont val="Tahoma"/>
            <family val="2"/>
          </rPr>
          <t xml:space="preserve">
Garvin County Living Center
(405)238-3888</t>
        </r>
      </text>
    </comment>
    <comment ref="B869" authorId="0">
      <text>
        <r>
          <rPr>
            <b/>
            <sz val="8"/>
            <color indexed="81"/>
            <rFont val="Tahoma"/>
            <family val="2"/>
          </rPr>
          <t>116295:</t>
        </r>
        <r>
          <rPr>
            <sz val="8"/>
            <color indexed="81"/>
            <rFont val="Tahoma"/>
            <family val="2"/>
          </rPr>
          <t xml:space="preserve">
Garvin County Living Center
(405)238-3888</t>
        </r>
      </text>
    </comment>
    <comment ref="B870" authorId="0">
      <text>
        <r>
          <rPr>
            <b/>
            <sz val="8"/>
            <color indexed="81"/>
            <rFont val="Tahoma"/>
            <family val="2"/>
          </rPr>
          <t>116295:</t>
        </r>
        <r>
          <rPr>
            <sz val="8"/>
            <color indexed="81"/>
            <rFont val="Tahoma"/>
            <family val="2"/>
          </rPr>
          <t xml:space="preserve">
Garvin County Living Center
(405)238-3888</t>
        </r>
      </text>
    </comment>
    <comment ref="B871" authorId="0">
      <text>
        <r>
          <rPr>
            <b/>
            <sz val="8"/>
            <color indexed="81"/>
            <rFont val="Tahoma"/>
            <family val="2"/>
          </rPr>
          <t>116295:</t>
        </r>
        <r>
          <rPr>
            <sz val="8"/>
            <color indexed="81"/>
            <rFont val="Tahoma"/>
            <family val="2"/>
          </rPr>
          <t xml:space="preserve">
Garvin County Living Center
(405)238-3888</t>
        </r>
      </text>
    </comment>
    <comment ref="B872" authorId="0">
      <text>
        <r>
          <rPr>
            <b/>
            <sz val="8"/>
            <color indexed="81"/>
            <rFont val="Tahoma"/>
            <family val="2"/>
          </rPr>
          <t>116295:</t>
        </r>
        <r>
          <rPr>
            <sz val="8"/>
            <color indexed="81"/>
            <rFont val="Tahoma"/>
            <family val="2"/>
          </rPr>
          <t xml:space="preserve">
Garvin County Living Center
(405)238-3888</t>
        </r>
      </text>
    </comment>
    <comment ref="B873" authorId="0">
      <text>
        <r>
          <rPr>
            <b/>
            <sz val="8"/>
            <color indexed="81"/>
            <rFont val="Tahoma"/>
            <family val="2"/>
          </rPr>
          <t>116295:</t>
        </r>
        <r>
          <rPr>
            <sz val="8"/>
            <color indexed="81"/>
            <rFont val="Tahoma"/>
            <family val="2"/>
          </rPr>
          <t xml:space="preserve">
Garvin County Living Center
(405)238-3888</t>
        </r>
      </text>
    </comment>
    <comment ref="B874" authorId="0">
      <text>
        <r>
          <rPr>
            <b/>
            <sz val="8"/>
            <color indexed="81"/>
            <rFont val="Tahoma"/>
            <family val="2"/>
          </rPr>
          <t>116295:</t>
        </r>
        <r>
          <rPr>
            <sz val="8"/>
            <color indexed="81"/>
            <rFont val="Tahoma"/>
            <family val="2"/>
          </rPr>
          <t xml:space="preserve">
Garvin County Living Center
(405)238-3888</t>
        </r>
      </text>
    </comment>
    <comment ref="B875" authorId="0">
      <text>
        <r>
          <rPr>
            <b/>
            <sz val="8"/>
            <color indexed="81"/>
            <rFont val="Tahoma"/>
            <family val="2"/>
          </rPr>
          <t>116295:</t>
        </r>
        <r>
          <rPr>
            <sz val="8"/>
            <color indexed="81"/>
            <rFont val="Tahoma"/>
            <family val="2"/>
          </rPr>
          <t xml:space="preserve">
Garvin County Living Center
(405)238-3888</t>
        </r>
      </text>
    </comment>
    <comment ref="B876" authorId="0">
      <text>
        <r>
          <rPr>
            <b/>
            <sz val="8"/>
            <color indexed="81"/>
            <rFont val="Tahoma"/>
            <family val="2"/>
          </rPr>
          <t>116295:</t>
        </r>
        <r>
          <rPr>
            <sz val="8"/>
            <color indexed="81"/>
            <rFont val="Tahoma"/>
            <family val="2"/>
          </rPr>
          <t xml:space="preserve">
Garvin County Living Center
(405)238-3888</t>
        </r>
      </text>
    </comment>
    <comment ref="B877" authorId="0">
      <text>
        <r>
          <rPr>
            <b/>
            <sz val="8"/>
            <color indexed="81"/>
            <rFont val="Tahoma"/>
            <family val="2"/>
          </rPr>
          <t>116295:</t>
        </r>
        <r>
          <rPr>
            <sz val="8"/>
            <color indexed="81"/>
            <rFont val="Tahoma"/>
            <family val="2"/>
          </rPr>
          <t xml:space="preserve">
Garvin County Living Center
(405)238-3888</t>
        </r>
      </text>
    </comment>
    <comment ref="B878" authorId="0">
      <text>
        <r>
          <rPr>
            <b/>
            <sz val="8"/>
            <color indexed="81"/>
            <rFont val="Tahoma"/>
            <family val="2"/>
          </rPr>
          <t>116295:</t>
        </r>
        <r>
          <rPr>
            <sz val="8"/>
            <color indexed="81"/>
            <rFont val="Tahoma"/>
            <family val="2"/>
          </rPr>
          <t xml:space="preserve">
Garvin County Living Center
(405)238-3888</t>
        </r>
      </text>
    </comment>
    <comment ref="B879" authorId="0">
      <text>
        <r>
          <rPr>
            <b/>
            <sz val="8"/>
            <color indexed="81"/>
            <rFont val="Tahoma"/>
            <family val="2"/>
          </rPr>
          <t>116295:</t>
        </r>
        <r>
          <rPr>
            <sz val="8"/>
            <color indexed="81"/>
            <rFont val="Tahoma"/>
            <family val="2"/>
          </rPr>
          <t xml:space="preserve">
Garvin County Living Center
(405)238-3888</t>
        </r>
      </text>
    </comment>
    <comment ref="B880" authorId="0">
      <text>
        <r>
          <rPr>
            <b/>
            <sz val="8"/>
            <color indexed="81"/>
            <rFont val="Tahoma"/>
            <family val="2"/>
          </rPr>
          <t>116295:</t>
        </r>
        <r>
          <rPr>
            <sz val="8"/>
            <color indexed="81"/>
            <rFont val="Tahoma"/>
            <family val="2"/>
          </rPr>
          <t xml:space="preserve">
Garvin County Living Center
(405)238-3888</t>
        </r>
      </text>
    </comment>
    <comment ref="B881" authorId="0">
      <text>
        <r>
          <rPr>
            <b/>
            <sz val="8"/>
            <color indexed="81"/>
            <rFont val="Tahoma"/>
            <family val="2"/>
          </rPr>
          <t>116295:</t>
        </r>
        <r>
          <rPr>
            <sz val="8"/>
            <color indexed="81"/>
            <rFont val="Tahoma"/>
            <family val="2"/>
          </rPr>
          <t xml:space="preserve">
Garvin County Living Center
(405)238-3888</t>
        </r>
      </text>
    </comment>
    <comment ref="B882" authorId="0">
      <text>
        <r>
          <rPr>
            <b/>
            <sz val="8"/>
            <color indexed="81"/>
            <rFont val="Tahoma"/>
            <family val="2"/>
          </rPr>
          <t>116295:</t>
        </r>
        <r>
          <rPr>
            <sz val="8"/>
            <color indexed="81"/>
            <rFont val="Tahoma"/>
            <family val="2"/>
          </rPr>
          <t xml:space="preserve">
Garvin County Living Center
(405)238-3888</t>
        </r>
      </text>
    </comment>
    <comment ref="B883" authorId="0">
      <text>
        <r>
          <rPr>
            <b/>
            <sz val="8"/>
            <color indexed="81"/>
            <rFont val="Tahoma"/>
            <family val="2"/>
          </rPr>
          <t>116295:</t>
        </r>
        <r>
          <rPr>
            <sz val="8"/>
            <color indexed="81"/>
            <rFont val="Tahoma"/>
            <family val="2"/>
          </rPr>
          <t xml:space="preserve">
Garvin County Living Center
(405)238-3888</t>
        </r>
      </text>
    </comment>
    <comment ref="B884" authorId="0">
      <text>
        <r>
          <rPr>
            <b/>
            <sz val="8"/>
            <color indexed="81"/>
            <rFont val="Tahoma"/>
            <family val="2"/>
          </rPr>
          <t>116295:</t>
        </r>
        <r>
          <rPr>
            <sz val="8"/>
            <color indexed="81"/>
            <rFont val="Tahoma"/>
            <family val="2"/>
          </rPr>
          <t xml:space="preserve">
Garvin County Living Center
(405)238-3888</t>
        </r>
      </text>
    </comment>
    <comment ref="B885" authorId="0">
      <text>
        <r>
          <rPr>
            <b/>
            <sz val="8"/>
            <color indexed="81"/>
            <rFont val="Tahoma"/>
            <family val="2"/>
          </rPr>
          <t>116295:</t>
        </r>
        <r>
          <rPr>
            <sz val="8"/>
            <color indexed="81"/>
            <rFont val="Tahoma"/>
            <family val="2"/>
          </rPr>
          <t xml:space="preserve">
Garvin County Living Center
(405)238-3888</t>
        </r>
      </text>
    </comment>
    <comment ref="B886" authorId="0">
      <text>
        <r>
          <rPr>
            <b/>
            <sz val="8"/>
            <color indexed="81"/>
            <rFont val="Tahoma"/>
            <family val="2"/>
          </rPr>
          <t>116295:</t>
        </r>
        <r>
          <rPr>
            <sz val="8"/>
            <color indexed="81"/>
            <rFont val="Tahoma"/>
            <family val="2"/>
          </rPr>
          <t xml:space="preserve">
Garvin County Living Center
(405)238-3888</t>
        </r>
      </text>
    </comment>
    <comment ref="B887" authorId="0">
      <text>
        <r>
          <rPr>
            <b/>
            <sz val="8"/>
            <color indexed="81"/>
            <rFont val="Tahoma"/>
            <family val="2"/>
          </rPr>
          <t>116295:</t>
        </r>
        <r>
          <rPr>
            <sz val="8"/>
            <color indexed="81"/>
            <rFont val="Tahoma"/>
            <family val="2"/>
          </rPr>
          <t xml:space="preserve">
Garvin County Living Center
(405)238-3888</t>
        </r>
      </text>
    </comment>
    <comment ref="B888" authorId="0">
      <text>
        <r>
          <rPr>
            <b/>
            <sz val="8"/>
            <color indexed="81"/>
            <rFont val="Tahoma"/>
            <family val="2"/>
          </rPr>
          <t>116295:</t>
        </r>
        <r>
          <rPr>
            <sz val="8"/>
            <color indexed="81"/>
            <rFont val="Tahoma"/>
            <family val="2"/>
          </rPr>
          <t xml:space="preserve">
Garvin County Living Center
(405)238-3888</t>
        </r>
      </text>
    </comment>
    <comment ref="B889" authorId="0">
      <text>
        <r>
          <rPr>
            <b/>
            <sz val="8"/>
            <color indexed="81"/>
            <rFont val="Tahoma"/>
            <family val="2"/>
          </rPr>
          <t>116295:</t>
        </r>
        <r>
          <rPr>
            <sz val="8"/>
            <color indexed="81"/>
            <rFont val="Tahoma"/>
            <family val="2"/>
          </rPr>
          <t xml:space="preserve">
Garvin County Living Center
(405)238-3888</t>
        </r>
      </text>
    </comment>
    <comment ref="B890" authorId="0">
      <text>
        <r>
          <rPr>
            <b/>
            <sz val="8"/>
            <color indexed="81"/>
            <rFont val="Tahoma"/>
            <family val="2"/>
          </rPr>
          <t>116295:</t>
        </r>
        <r>
          <rPr>
            <sz val="8"/>
            <color indexed="81"/>
            <rFont val="Tahoma"/>
            <family val="2"/>
          </rPr>
          <t xml:space="preserve">
Garvin County Living Center
(405)238-3888</t>
        </r>
      </text>
    </comment>
    <comment ref="B891" authorId="0">
      <text>
        <r>
          <rPr>
            <b/>
            <sz val="8"/>
            <color indexed="81"/>
            <rFont val="Tahoma"/>
            <family val="2"/>
          </rPr>
          <t>116295:</t>
        </r>
        <r>
          <rPr>
            <sz val="8"/>
            <color indexed="81"/>
            <rFont val="Tahoma"/>
            <family val="2"/>
          </rPr>
          <t xml:space="preserve">
Garvin County Living Center
(405)238-3888</t>
        </r>
      </text>
    </comment>
    <comment ref="B892" authorId="0">
      <text>
        <r>
          <rPr>
            <b/>
            <sz val="8"/>
            <color indexed="81"/>
            <rFont val="Tahoma"/>
            <family val="2"/>
          </rPr>
          <t>116295:</t>
        </r>
        <r>
          <rPr>
            <sz val="8"/>
            <color indexed="81"/>
            <rFont val="Tahoma"/>
            <family val="2"/>
          </rPr>
          <t xml:space="preserve">
Garvin County Living Center
(405)238-3888</t>
        </r>
      </text>
    </comment>
    <comment ref="B893" authorId="0">
      <text>
        <r>
          <rPr>
            <b/>
            <sz val="8"/>
            <color indexed="81"/>
            <rFont val="Tahoma"/>
            <family val="2"/>
          </rPr>
          <t>116295:</t>
        </r>
        <r>
          <rPr>
            <sz val="8"/>
            <color indexed="81"/>
            <rFont val="Tahoma"/>
            <family val="2"/>
          </rPr>
          <t xml:space="preserve">
Garvin County Living Center
(405)238-3888</t>
        </r>
      </text>
    </comment>
    <comment ref="B894" authorId="0">
      <text>
        <r>
          <rPr>
            <b/>
            <sz val="8"/>
            <color indexed="81"/>
            <rFont val="Tahoma"/>
            <family val="2"/>
          </rPr>
          <t>116295:</t>
        </r>
        <r>
          <rPr>
            <sz val="8"/>
            <color indexed="81"/>
            <rFont val="Tahoma"/>
            <family val="2"/>
          </rPr>
          <t xml:space="preserve">
Garvin County Living Center
(405)238-3888</t>
        </r>
      </text>
    </comment>
    <comment ref="B895" authorId="0">
      <text>
        <r>
          <rPr>
            <b/>
            <sz val="8"/>
            <color indexed="81"/>
            <rFont val="Tahoma"/>
            <family val="2"/>
          </rPr>
          <t>116295:</t>
        </r>
        <r>
          <rPr>
            <sz val="8"/>
            <color indexed="81"/>
            <rFont val="Tahoma"/>
            <family val="2"/>
          </rPr>
          <t xml:space="preserve">
Garvin County Living Center
(405)238-3888</t>
        </r>
      </text>
    </comment>
    <comment ref="B896" authorId="0">
      <text>
        <r>
          <rPr>
            <b/>
            <sz val="8"/>
            <color indexed="81"/>
            <rFont val="Tahoma"/>
            <family val="2"/>
          </rPr>
          <t>116295:</t>
        </r>
        <r>
          <rPr>
            <sz val="8"/>
            <color indexed="81"/>
            <rFont val="Tahoma"/>
            <family val="2"/>
          </rPr>
          <t xml:space="preserve">
Garvin County Living Center
(405)238-3888</t>
        </r>
      </text>
    </comment>
    <comment ref="B897" authorId="0">
      <text>
        <r>
          <rPr>
            <b/>
            <sz val="8"/>
            <color indexed="81"/>
            <rFont val="Tahoma"/>
            <family val="2"/>
          </rPr>
          <t>116295:</t>
        </r>
        <r>
          <rPr>
            <sz val="8"/>
            <color indexed="81"/>
            <rFont val="Tahoma"/>
            <family val="2"/>
          </rPr>
          <t xml:space="preserve">
Garvin County Living Center
(405)238-3888</t>
        </r>
      </text>
    </comment>
    <comment ref="B898" authorId="0">
      <text>
        <r>
          <rPr>
            <b/>
            <sz val="8"/>
            <color indexed="81"/>
            <rFont val="Tahoma"/>
            <family val="2"/>
          </rPr>
          <t>116295:</t>
        </r>
        <r>
          <rPr>
            <sz val="8"/>
            <color indexed="81"/>
            <rFont val="Tahoma"/>
            <family val="2"/>
          </rPr>
          <t xml:space="preserve">
Garvin County Living Center
(405)238-3888</t>
        </r>
      </text>
    </comment>
    <comment ref="B899" authorId="0">
      <text>
        <r>
          <rPr>
            <b/>
            <sz val="8"/>
            <color indexed="81"/>
            <rFont val="Tahoma"/>
            <family val="2"/>
          </rPr>
          <t>116295:</t>
        </r>
        <r>
          <rPr>
            <sz val="8"/>
            <color indexed="81"/>
            <rFont val="Tahoma"/>
            <family val="2"/>
          </rPr>
          <t xml:space="preserve">
Garvin County Living Center
(405)238-3888</t>
        </r>
      </text>
    </comment>
    <comment ref="B900" authorId="0">
      <text>
        <r>
          <rPr>
            <b/>
            <sz val="8"/>
            <color indexed="81"/>
            <rFont val="Tahoma"/>
            <family val="2"/>
          </rPr>
          <t>116295:</t>
        </r>
        <r>
          <rPr>
            <sz val="8"/>
            <color indexed="81"/>
            <rFont val="Tahoma"/>
            <family val="2"/>
          </rPr>
          <t xml:space="preserve">
Garvin County Living Center
(405)238-3888</t>
        </r>
      </text>
    </comment>
    <comment ref="B901" authorId="0">
      <text>
        <r>
          <rPr>
            <b/>
            <sz val="8"/>
            <color indexed="81"/>
            <rFont val="Tahoma"/>
            <family val="2"/>
          </rPr>
          <t>116295:</t>
        </r>
        <r>
          <rPr>
            <sz val="8"/>
            <color indexed="81"/>
            <rFont val="Tahoma"/>
            <family val="2"/>
          </rPr>
          <t xml:space="preserve">
Garvin County Living Center
(405)238-3888</t>
        </r>
      </text>
    </comment>
    <comment ref="B902" authorId="0">
      <text>
        <r>
          <rPr>
            <b/>
            <sz val="8"/>
            <color indexed="81"/>
            <rFont val="Tahoma"/>
            <family val="2"/>
          </rPr>
          <t>116295:</t>
        </r>
        <r>
          <rPr>
            <sz val="8"/>
            <color indexed="81"/>
            <rFont val="Tahoma"/>
            <family val="2"/>
          </rPr>
          <t xml:space="preserve">
Garvin County Living Center
(405)238-3888</t>
        </r>
      </text>
    </comment>
    <comment ref="B903" authorId="0">
      <text>
        <r>
          <rPr>
            <b/>
            <sz val="8"/>
            <color indexed="81"/>
            <rFont val="Tahoma"/>
            <family val="2"/>
          </rPr>
          <t>116295:</t>
        </r>
        <r>
          <rPr>
            <sz val="8"/>
            <color indexed="81"/>
            <rFont val="Tahoma"/>
            <family val="2"/>
          </rPr>
          <t xml:space="preserve">
Garvin County Living Center
(405)238-3888</t>
        </r>
      </text>
    </comment>
    <comment ref="B904" authorId="0">
      <text>
        <r>
          <rPr>
            <b/>
            <sz val="8"/>
            <color indexed="81"/>
            <rFont val="Tahoma"/>
            <family val="2"/>
          </rPr>
          <t>116295:</t>
        </r>
        <r>
          <rPr>
            <sz val="8"/>
            <color indexed="81"/>
            <rFont val="Tahoma"/>
            <family val="2"/>
          </rPr>
          <t xml:space="preserve">
Garvin County Living Center
(405)238-3888</t>
        </r>
      </text>
    </comment>
    <comment ref="B905" authorId="0">
      <text>
        <r>
          <rPr>
            <b/>
            <sz val="8"/>
            <color indexed="81"/>
            <rFont val="Tahoma"/>
            <family val="2"/>
          </rPr>
          <t>116295:</t>
        </r>
        <r>
          <rPr>
            <sz val="8"/>
            <color indexed="81"/>
            <rFont val="Tahoma"/>
            <family val="2"/>
          </rPr>
          <t xml:space="preserve">
Garvin County Living Center
(405)238-3888</t>
        </r>
      </text>
    </comment>
    <comment ref="B906" authorId="0">
      <text>
        <r>
          <rPr>
            <b/>
            <sz val="8"/>
            <color indexed="81"/>
            <rFont val="Tahoma"/>
            <family val="2"/>
          </rPr>
          <t>116295:</t>
        </r>
        <r>
          <rPr>
            <sz val="8"/>
            <color indexed="81"/>
            <rFont val="Tahoma"/>
            <family val="2"/>
          </rPr>
          <t xml:space="preserve">
Garvin County Living Center
(405)238-3888</t>
        </r>
      </text>
    </comment>
    <comment ref="B907" authorId="0">
      <text>
        <r>
          <rPr>
            <b/>
            <sz val="8"/>
            <color indexed="81"/>
            <rFont val="Tahoma"/>
            <family val="2"/>
          </rPr>
          <t>116295:</t>
        </r>
        <r>
          <rPr>
            <sz val="8"/>
            <color indexed="81"/>
            <rFont val="Tahoma"/>
            <family val="2"/>
          </rPr>
          <t xml:space="preserve">
Garvin County Living Center
(405)238-3888</t>
        </r>
      </text>
    </comment>
    <comment ref="B908" authorId="0">
      <text>
        <r>
          <rPr>
            <b/>
            <sz val="8"/>
            <color indexed="81"/>
            <rFont val="Tahoma"/>
            <family val="2"/>
          </rPr>
          <t>116295:</t>
        </r>
        <r>
          <rPr>
            <sz val="8"/>
            <color indexed="81"/>
            <rFont val="Tahoma"/>
            <family val="2"/>
          </rPr>
          <t xml:space="preserve">
Garvin County Living Center
(405)238-3888</t>
        </r>
      </text>
    </comment>
    <comment ref="B909" authorId="0">
      <text>
        <r>
          <rPr>
            <b/>
            <sz val="8"/>
            <color indexed="81"/>
            <rFont val="Tahoma"/>
            <family val="2"/>
          </rPr>
          <t>116295:</t>
        </r>
        <r>
          <rPr>
            <sz val="8"/>
            <color indexed="81"/>
            <rFont val="Tahoma"/>
            <family val="2"/>
          </rPr>
          <t xml:space="preserve">
Garvin County Living Center
(405)238-3888</t>
        </r>
      </text>
    </comment>
    <comment ref="B910" authorId="0">
      <text>
        <r>
          <rPr>
            <b/>
            <sz val="8"/>
            <color indexed="81"/>
            <rFont val="Tahoma"/>
            <family val="2"/>
          </rPr>
          <t>116295:</t>
        </r>
        <r>
          <rPr>
            <sz val="8"/>
            <color indexed="81"/>
            <rFont val="Tahoma"/>
            <family val="2"/>
          </rPr>
          <t xml:space="preserve">
Garvin County Living Center
(405)238-3888</t>
        </r>
      </text>
    </comment>
    <comment ref="B911" authorId="0">
      <text>
        <r>
          <rPr>
            <b/>
            <sz val="8"/>
            <color indexed="81"/>
            <rFont val="Tahoma"/>
            <family val="2"/>
          </rPr>
          <t>116295:</t>
        </r>
        <r>
          <rPr>
            <sz val="8"/>
            <color indexed="81"/>
            <rFont val="Tahoma"/>
            <family val="2"/>
          </rPr>
          <t xml:space="preserve">
Garvin County Living Center
(405)238-3888</t>
        </r>
      </text>
    </comment>
    <comment ref="B912" authorId="0">
      <text>
        <r>
          <rPr>
            <b/>
            <sz val="8"/>
            <color indexed="81"/>
            <rFont val="Tahoma"/>
            <family val="2"/>
          </rPr>
          <t>116295:</t>
        </r>
        <r>
          <rPr>
            <sz val="8"/>
            <color indexed="81"/>
            <rFont val="Tahoma"/>
            <family val="2"/>
          </rPr>
          <t xml:space="preserve">
Garvin County Living Center
(405)238-3888</t>
        </r>
      </text>
    </comment>
    <comment ref="B913" authorId="0">
      <text>
        <r>
          <rPr>
            <b/>
            <sz val="8"/>
            <color indexed="81"/>
            <rFont val="Tahoma"/>
            <family val="2"/>
          </rPr>
          <t>116295:</t>
        </r>
        <r>
          <rPr>
            <sz val="8"/>
            <color indexed="81"/>
            <rFont val="Tahoma"/>
            <family val="2"/>
          </rPr>
          <t xml:space="preserve">
Garvin County Living Center
(405)238-3888</t>
        </r>
      </text>
    </comment>
    <comment ref="B914" authorId="0">
      <text>
        <r>
          <rPr>
            <b/>
            <sz val="8"/>
            <color indexed="81"/>
            <rFont val="Tahoma"/>
            <family val="2"/>
          </rPr>
          <t>116295:</t>
        </r>
        <r>
          <rPr>
            <sz val="8"/>
            <color indexed="81"/>
            <rFont val="Tahoma"/>
            <family val="2"/>
          </rPr>
          <t xml:space="preserve">
Garvin County Living Center
(405)238-3888</t>
        </r>
      </text>
    </comment>
    <comment ref="B915" authorId="0">
      <text>
        <r>
          <rPr>
            <b/>
            <sz val="8"/>
            <color indexed="81"/>
            <rFont val="Tahoma"/>
            <family val="2"/>
          </rPr>
          <t>116295:</t>
        </r>
        <r>
          <rPr>
            <sz val="8"/>
            <color indexed="81"/>
            <rFont val="Tahoma"/>
            <family val="2"/>
          </rPr>
          <t xml:space="preserve">
Garvin County Living Center
(405)238-3888</t>
        </r>
      </text>
    </comment>
    <comment ref="B916" authorId="0">
      <text>
        <r>
          <rPr>
            <b/>
            <sz val="8"/>
            <color indexed="81"/>
            <rFont val="Tahoma"/>
            <family val="2"/>
          </rPr>
          <t>116295:</t>
        </r>
        <r>
          <rPr>
            <sz val="8"/>
            <color indexed="81"/>
            <rFont val="Tahoma"/>
            <family val="2"/>
          </rPr>
          <t xml:space="preserve">
Garvin County Living Center
(405)238-3888</t>
        </r>
      </text>
    </comment>
    <comment ref="B917" authorId="0">
      <text>
        <r>
          <rPr>
            <b/>
            <sz val="8"/>
            <color indexed="81"/>
            <rFont val="Tahoma"/>
            <family val="2"/>
          </rPr>
          <t>116295:</t>
        </r>
        <r>
          <rPr>
            <sz val="8"/>
            <color indexed="81"/>
            <rFont val="Tahoma"/>
            <family val="2"/>
          </rPr>
          <t xml:space="preserve">
Garvin County Living Center
(405)238-3888</t>
        </r>
      </text>
    </comment>
    <comment ref="B918" authorId="0">
      <text>
        <r>
          <rPr>
            <b/>
            <sz val="8"/>
            <color indexed="81"/>
            <rFont val="Tahoma"/>
            <family val="2"/>
          </rPr>
          <t>116295:</t>
        </r>
        <r>
          <rPr>
            <sz val="8"/>
            <color indexed="81"/>
            <rFont val="Tahoma"/>
            <family val="2"/>
          </rPr>
          <t xml:space="preserve">
Garvin County Living Center
(405)238-3888</t>
        </r>
      </text>
    </comment>
    <comment ref="B919" authorId="0">
      <text>
        <r>
          <rPr>
            <b/>
            <sz val="8"/>
            <color indexed="81"/>
            <rFont val="Tahoma"/>
            <family val="2"/>
          </rPr>
          <t>116295:</t>
        </r>
        <r>
          <rPr>
            <sz val="8"/>
            <color indexed="81"/>
            <rFont val="Tahoma"/>
            <family val="2"/>
          </rPr>
          <t xml:space="preserve">
Garvin County Living Center
(405)238-3888</t>
        </r>
      </text>
    </comment>
    <comment ref="B920" authorId="0">
      <text>
        <r>
          <rPr>
            <b/>
            <sz val="8"/>
            <color indexed="81"/>
            <rFont val="Tahoma"/>
            <family val="2"/>
          </rPr>
          <t>116295:</t>
        </r>
        <r>
          <rPr>
            <sz val="8"/>
            <color indexed="81"/>
            <rFont val="Tahoma"/>
            <family val="2"/>
          </rPr>
          <t xml:space="preserve">
Garvin County Living Center
(405)238-3888</t>
        </r>
      </text>
    </comment>
    <comment ref="B921" authorId="0">
      <text>
        <r>
          <rPr>
            <b/>
            <sz val="8"/>
            <color indexed="81"/>
            <rFont val="Tahoma"/>
            <family val="2"/>
          </rPr>
          <t>116295:</t>
        </r>
        <r>
          <rPr>
            <sz val="8"/>
            <color indexed="81"/>
            <rFont val="Tahoma"/>
            <family val="2"/>
          </rPr>
          <t xml:space="preserve">
Garvin County Living Center
(405)238-3888</t>
        </r>
      </text>
    </comment>
    <comment ref="B922" authorId="0">
      <text>
        <r>
          <rPr>
            <b/>
            <sz val="8"/>
            <color indexed="81"/>
            <rFont val="Tahoma"/>
            <family val="2"/>
          </rPr>
          <t>116295:</t>
        </r>
        <r>
          <rPr>
            <sz val="8"/>
            <color indexed="81"/>
            <rFont val="Tahoma"/>
            <family val="2"/>
          </rPr>
          <t xml:space="preserve">
Garvin County Living Center
(405)238-3888</t>
        </r>
      </text>
    </comment>
    <comment ref="B923" authorId="0">
      <text>
        <r>
          <rPr>
            <b/>
            <sz val="8"/>
            <color indexed="81"/>
            <rFont val="Tahoma"/>
            <family val="2"/>
          </rPr>
          <t>116295:</t>
        </r>
        <r>
          <rPr>
            <sz val="8"/>
            <color indexed="81"/>
            <rFont val="Tahoma"/>
            <family val="2"/>
          </rPr>
          <t xml:space="preserve">
Garvin County Living Center
(405)238-3888</t>
        </r>
      </text>
    </comment>
    <comment ref="B924" authorId="0">
      <text>
        <r>
          <rPr>
            <b/>
            <sz val="8"/>
            <color indexed="81"/>
            <rFont val="Tahoma"/>
            <family val="2"/>
          </rPr>
          <t>116295:</t>
        </r>
        <r>
          <rPr>
            <sz val="8"/>
            <color indexed="81"/>
            <rFont val="Tahoma"/>
            <family val="2"/>
          </rPr>
          <t xml:space="preserve">
Garvin County Living Center
(405)238-3888</t>
        </r>
      </text>
    </comment>
    <comment ref="B925" authorId="0">
      <text>
        <r>
          <rPr>
            <b/>
            <sz val="8"/>
            <color indexed="81"/>
            <rFont val="Tahoma"/>
            <family val="2"/>
          </rPr>
          <t>116295:</t>
        </r>
        <r>
          <rPr>
            <sz val="8"/>
            <color indexed="81"/>
            <rFont val="Tahoma"/>
            <family val="2"/>
          </rPr>
          <t xml:space="preserve">
Garvin County Living Center
(405)238-3888</t>
        </r>
      </text>
    </comment>
    <comment ref="B926" authorId="0">
      <text>
        <r>
          <rPr>
            <b/>
            <sz val="8"/>
            <color indexed="81"/>
            <rFont val="Tahoma"/>
            <family val="2"/>
          </rPr>
          <t>116295:</t>
        </r>
        <r>
          <rPr>
            <sz val="8"/>
            <color indexed="81"/>
            <rFont val="Tahoma"/>
            <family val="2"/>
          </rPr>
          <t xml:space="preserve">
Garvin County Living Center
(405)238-3888</t>
        </r>
      </text>
    </comment>
    <comment ref="B927" authorId="0">
      <text>
        <r>
          <rPr>
            <b/>
            <sz val="8"/>
            <color indexed="81"/>
            <rFont val="Tahoma"/>
            <family val="2"/>
          </rPr>
          <t>116295:</t>
        </r>
        <r>
          <rPr>
            <sz val="8"/>
            <color indexed="81"/>
            <rFont val="Tahoma"/>
            <family val="2"/>
          </rPr>
          <t xml:space="preserve">
Garvin County Living Center
(405)238-3888</t>
        </r>
      </text>
    </comment>
    <comment ref="B928" authorId="0">
      <text>
        <r>
          <rPr>
            <b/>
            <sz val="8"/>
            <color indexed="81"/>
            <rFont val="Tahoma"/>
            <family val="2"/>
          </rPr>
          <t>116295:</t>
        </r>
        <r>
          <rPr>
            <sz val="8"/>
            <color indexed="81"/>
            <rFont val="Tahoma"/>
            <family val="2"/>
          </rPr>
          <t xml:space="preserve">
Garvin County Living Center
(405)238-3888</t>
        </r>
      </text>
    </comment>
    <comment ref="B929" authorId="0">
      <text>
        <r>
          <rPr>
            <b/>
            <sz val="8"/>
            <color indexed="81"/>
            <rFont val="Tahoma"/>
            <family val="2"/>
          </rPr>
          <t>116295:</t>
        </r>
        <r>
          <rPr>
            <sz val="8"/>
            <color indexed="81"/>
            <rFont val="Tahoma"/>
            <family val="2"/>
          </rPr>
          <t xml:space="preserve">
Garvin County Living Center
(405)238-3888</t>
        </r>
      </text>
    </comment>
    <comment ref="B930" authorId="0">
      <text>
        <r>
          <rPr>
            <b/>
            <sz val="8"/>
            <color indexed="81"/>
            <rFont val="Tahoma"/>
            <family val="2"/>
          </rPr>
          <t>116295:</t>
        </r>
        <r>
          <rPr>
            <sz val="8"/>
            <color indexed="81"/>
            <rFont val="Tahoma"/>
            <family val="2"/>
          </rPr>
          <t xml:space="preserve">
Garvin County Living Center
(405)238-3888</t>
        </r>
      </text>
    </comment>
    <comment ref="B931" authorId="0">
      <text>
        <r>
          <rPr>
            <b/>
            <sz val="8"/>
            <color indexed="81"/>
            <rFont val="Tahoma"/>
            <family val="2"/>
          </rPr>
          <t>116295:</t>
        </r>
        <r>
          <rPr>
            <sz val="8"/>
            <color indexed="81"/>
            <rFont val="Tahoma"/>
            <family val="2"/>
          </rPr>
          <t xml:space="preserve">
Garvin County Living Center
(405)238-3888</t>
        </r>
      </text>
    </comment>
    <comment ref="B932" authorId="0">
      <text>
        <r>
          <rPr>
            <b/>
            <sz val="8"/>
            <color indexed="81"/>
            <rFont val="Tahoma"/>
            <family val="2"/>
          </rPr>
          <t>116295:</t>
        </r>
        <r>
          <rPr>
            <sz val="8"/>
            <color indexed="81"/>
            <rFont val="Tahoma"/>
            <family val="2"/>
          </rPr>
          <t xml:space="preserve">
Garvin County Living Center
(405)238-3888</t>
        </r>
      </text>
    </comment>
    <comment ref="B933" authorId="0">
      <text>
        <r>
          <rPr>
            <b/>
            <sz val="8"/>
            <color indexed="81"/>
            <rFont val="Tahoma"/>
            <family val="2"/>
          </rPr>
          <t>116295:</t>
        </r>
        <r>
          <rPr>
            <sz val="8"/>
            <color indexed="81"/>
            <rFont val="Tahoma"/>
            <family val="2"/>
          </rPr>
          <t xml:space="preserve">
Garvin County Living Center
(405)238-3888</t>
        </r>
      </text>
    </comment>
    <comment ref="B934" authorId="0">
      <text>
        <r>
          <rPr>
            <b/>
            <sz val="8"/>
            <color indexed="81"/>
            <rFont val="Tahoma"/>
            <family val="2"/>
          </rPr>
          <t>116295:</t>
        </r>
        <r>
          <rPr>
            <sz val="8"/>
            <color indexed="81"/>
            <rFont val="Tahoma"/>
            <family val="2"/>
          </rPr>
          <t xml:space="preserve">
Garvin County Living Center
(405)238-3888</t>
        </r>
      </text>
    </comment>
    <comment ref="B935" authorId="0">
      <text>
        <r>
          <rPr>
            <b/>
            <sz val="8"/>
            <color indexed="81"/>
            <rFont val="Tahoma"/>
            <family val="2"/>
          </rPr>
          <t>116295:</t>
        </r>
        <r>
          <rPr>
            <sz val="8"/>
            <color indexed="81"/>
            <rFont val="Tahoma"/>
            <family val="2"/>
          </rPr>
          <t xml:space="preserve">
Garvin County Living Center
(405)238-3888</t>
        </r>
      </text>
    </comment>
    <comment ref="B936" authorId="0">
      <text>
        <r>
          <rPr>
            <b/>
            <sz val="8"/>
            <color indexed="81"/>
            <rFont val="Tahoma"/>
            <family val="2"/>
          </rPr>
          <t>116295:</t>
        </r>
        <r>
          <rPr>
            <sz val="8"/>
            <color indexed="81"/>
            <rFont val="Tahoma"/>
            <family val="2"/>
          </rPr>
          <t xml:space="preserve">
Garvin County Living Center
(405)238-3888</t>
        </r>
      </text>
    </comment>
    <comment ref="B937" authorId="0">
      <text>
        <r>
          <rPr>
            <b/>
            <sz val="8"/>
            <color indexed="81"/>
            <rFont val="Tahoma"/>
            <family val="2"/>
          </rPr>
          <t>116295:</t>
        </r>
        <r>
          <rPr>
            <sz val="8"/>
            <color indexed="81"/>
            <rFont val="Tahoma"/>
            <family val="2"/>
          </rPr>
          <t xml:space="preserve">
Garvin County Living Center
(405)238-3888</t>
        </r>
      </text>
    </comment>
    <comment ref="B938" authorId="0">
      <text>
        <r>
          <rPr>
            <b/>
            <sz val="8"/>
            <color indexed="81"/>
            <rFont val="Tahoma"/>
            <family val="2"/>
          </rPr>
          <t>116295:</t>
        </r>
        <r>
          <rPr>
            <sz val="8"/>
            <color indexed="81"/>
            <rFont val="Tahoma"/>
            <family val="2"/>
          </rPr>
          <t xml:space="preserve">
Garvin County Living Center
(405)238-3888</t>
        </r>
      </text>
    </comment>
    <comment ref="B939" authorId="0">
      <text>
        <r>
          <rPr>
            <b/>
            <sz val="8"/>
            <color indexed="81"/>
            <rFont val="Tahoma"/>
            <family val="2"/>
          </rPr>
          <t>116295:</t>
        </r>
        <r>
          <rPr>
            <sz val="8"/>
            <color indexed="81"/>
            <rFont val="Tahoma"/>
            <family val="2"/>
          </rPr>
          <t xml:space="preserve">
Garvin County Living Center
(405)238-3888</t>
        </r>
      </text>
    </comment>
    <comment ref="B940" authorId="0">
      <text>
        <r>
          <rPr>
            <b/>
            <sz val="8"/>
            <color indexed="81"/>
            <rFont val="Tahoma"/>
            <family val="2"/>
          </rPr>
          <t>116295:</t>
        </r>
        <r>
          <rPr>
            <sz val="8"/>
            <color indexed="81"/>
            <rFont val="Tahoma"/>
            <family val="2"/>
          </rPr>
          <t xml:space="preserve">
Garvin County Living Center
(405)238-3888</t>
        </r>
      </text>
    </comment>
    <comment ref="B941" authorId="0">
      <text>
        <r>
          <rPr>
            <b/>
            <sz val="8"/>
            <color indexed="81"/>
            <rFont val="Tahoma"/>
            <family val="2"/>
          </rPr>
          <t>116295:</t>
        </r>
        <r>
          <rPr>
            <sz val="8"/>
            <color indexed="81"/>
            <rFont val="Tahoma"/>
            <family val="2"/>
          </rPr>
          <t xml:space="preserve">
Garvin County Living Center
(405)238-3888</t>
        </r>
      </text>
    </comment>
    <comment ref="B942" authorId="0">
      <text>
        <r>
          <rPr>
            <b/>
            <sz val="8"/>
            <color indexed="81"/>
            <rFont val="Tahoma"/>
            <family val="2"/>
          </rPr>
          <t>116295:</t>
        </r>
        <r>
          <rPr>
            <sz val="8"/>
            <color indexed="81"/>
            <rFont val="Tahoma"/>
            <family val="2"/>
          </rPr>
          <t xml:space="preserve">
Garvin County Living Center
(405)238-3888</t>
        </r>
      </text>
    </comment>
    <comment ref="B943" authorId="0">
      <text>
        <r>
          <rPr>
            <b/>
            <sz val="8"/>
            <color indexed="81"/>
            <rFont val="Tahoma"/>
            <family val="2"/>
          </rPr>
          <t>116295:</t>
        </r>
        <r>
          <rPr>
            <sz val="8"/>
            <color indexed="81"/>
            <rFont val="Tahoma"/>
            <family val="2"/>
          </rPr>
          <t xml:space="preserve">
Garvin County Living Center
(405)238-3888</t>
        </r>
      </text>
    </comment>
    <comment ref="B944" authorId="0">
      <text>
        <r>
          <rPr>
            <b/>
            <sz val="8"/>
            <color indexed="81"/>
            <rFont val="Tahoma"/>
            <family val="2"/>
          </rPr>
          <t>116295:</t>
        </r>
        <r>
          <rPr>
            <sz val="8"/>
            <color indexed="81"/>
            <rFont val="Tahoma"/>
            <family val="2"/>
          </rPr>
          <t xml:space="preserve">
Garvin County Living Center
(405)238-3888</t>
        </r>
      </text>
    </comment>
    <comment ref="B945" authorId="0">
      <text>
        <r>
          <rPr>
            <b/>
            <sz val="8"/>
            <color indexed="81"/>
            <rFont val="Tahoma"/>
            <family val="2"/>
          </rPr>
          <t>116295:</t>
        </r>
        <r>
          <rPr>
            <sz val="8"/>
            <color indexed="81"/>
            <rFont val="Tahoma"/>
            <family val="2"/>
          </rPr>
          <t xml:space="preserve">
Garvin County Living Center
(405)238-3888</t>
        </r>
      </text>
    </comment>
    <comment ref="B946" authorId="0">
      <text>
        <r>
          <rPr>
            <b/>
            <sz val="8"/>
            <color indexed="81"/>
            <rFont val="Tahoma"/>
            <family val="2"/>
          </rPr>
          <t>116295:</t>
        </r>
        <r>
          <rPr>
            <sz val="8"/>
            <color indexed="81"/>
            <rFont val="Tahoma"/>
            <family val="2"/>
          </rPr>
          <t xml:space="preserve">
Garvin County Living Center
(405)238-3888</t>
        </r>
      </text>
    </comment>
    <comment ref="B947" authorId="0">
      <text>
        <r>
          <rPr>
            <b/>
            <sz val="8"/>
            <color indexed="81"/>
            <rFont val="Tahoma"/>
            <family val="2"/>
          </rPr>
          <t>116295:</t>
        </r>
        <r>
          <rPr>
            <sz val="8"/>
            <color indexed="81"/>
            <rFont val="Tahoma"/>
            <family val="2"/>
          </rPr>
          <t xml:space="preserve">
Garvin County Living Center
(405)238-3888</t>
        </r>
      </text>
    </comment>
    <comment ref="B948" authorId="0">
      <text>
        <r>
          <rPr>
            <b/>
            <sz val="8"/>
            <color indexed="81"/>
            <rFont val="Tahoma"/>
            <family val="2"/>
          </rPr>
          <t>116295:</t>
        </r>
        <r>
          <rPr>
            <sz val="8"/>
            <color indexed="81"/>
            <rFont val="Tahoma"/>
            <family val="2"/>
          </rPr>
          <t xml:space="preserve">
Garvin County Living Center
(405)238-3888</t>
        </r>
      </text>
    </comment>
    <comment ref="B949" authorId="0">
      <text>
        <r>
          <rPr>
            <b/>
            <sz val="8"/>
            <color indexed="81"/>
            <rFont val="Tahoma"/>
            <family val="2"/>
          </rPr>
          <t>116295:</t>
        </r>
        <r>
          <rPr>
            <sz val="8"/>
            <color indexed="81"/>
            <rFont val="Tahoma"/>
            <family val="2"/>
          </rPr>
          <t xml:space="preserve">
Garvin County Living Center
(405)238-3888</t>
        </r>
      </text>
    </comment>
    <comment ref="B950" authorId="0">
      <text>
        <r>
          <rPr>
            <b/>
            <sz val="8"/>
            <color indexed="81"/>
            <rFont val="Tahoma"/>
            <family val="2"/>
          </rPr>
          <t>116295:</t>
        </r>
        <r>
          <rPr>
            <sz val="8"/>
            <color indexed="81"/>
            <rFont val="Tahoma"/>
            <family val="2"/>
          </rPr>
          <t xml:space="preserve">
Garvin County Living Center
(405)238-3888</t>
        </r>
      </text>
    </comment>
    <comment ref="B951" authorId="0">
      <text>
        <r>
          <rPr>
            <b/>
            <sz val="8"/>
            <color indexed="81"/>
            <rFont val="Tahoma"/>
            <family val="2"/>
          </rPr>
          <t>116295:</t>
        </r>
        <r>
          <rPr>
            <sz val="8"/>
            <color indexed="81"/>
            <rFont val="Tahoma"/>
            <family val="2"/>
          </rPr>
          <t xml:space="preserve">
Garvin County Living Center
(405)238-3888</t>
        </r>
      </text>
    </comment>
    <comment ref="B952" authorId="0">
      <text>
        <r>
          <rPr>
            <b/>
            <sz val="8"/>
            <color indexed="81"/>
            <rFont val="Tahoma"/>
            <family val="2"/>
          </rPr>
          <t>116295:</t>
        </r>
        <r>
          <rPr>
            <sz val="8"/>
            <color indexed="81"/>
            <rFont val="Tahoma"/>
            <family val="2"/>
          </rPr>
          <t xml:space="preserve">
Garvin County Living Center
(405)238-3888</t>
        </r>
      </text>
    </comment>
    <comment ref="B953" authorId="0">
      <text>
        <r>
          <rPr>
            <b/>
            <sz val="8"/>
            <color indexed="81"/>
            <rFont val="Tahoma"/>
            <family val="2"/>
          </rPr>
          <t>116295:</t>
        </r>
        <r>
          <rPr>
            <sz val="8"/>
            <color indexed="81"/>
            <rFont val="Tahoma"/>
            <family val="2"/>
          </rPr>
          <t xml:space="preserve">
Garvin County Living Center
(405)238-3888</t>
        </r>
      </text>
    </comment>
    <comment ref="B954" authorId="0">
      <text>
        <r>
          <rPr>
            <b/>
            <sz val="8"/>
            <color indexed="81"/>
            <rFont val="Tahoma"/>
            <family val="2"/>
          </rPr>
          <t>116295:</t>
        </r>
        <r>
          <rPr>
            <sz val="8"/>
            <color indexed="81"/>
            <rFont val="Tahoma"/>
            <family val="2"/>
          </rPr>
          <t xml:space="preserve">
Garvin County Living Center
(405)238-3888</t>
        </r>
      </text>
    </comment>
    <comment ref="B955" authorId="0">
      <text>
        <r>
          <rPr>
            <b/>
            <sz val="8"/>
            <color indexed="81"/>
            <rFont val="Tahoma"/>
            <family val="2"/>
          </rPr>
          <t>116295:</t>
        </r>
        <r>
          <rPr>
            <sz val="8"/>
            <color indexed="81"/>
            <rFont val="Tahoma"/>
            <family val="2"/>
          </rPr>
          <t xml:space="preserve">
Garvin County Living Center
(405)238-3888</t>
        </r>
      </text>
    </comment>
    <comment ref="B956" authorId="0">
      <text>
        <r>
          <rPr>
            <b/>
            <sz val="8"/>
            <color indexed="81"/>
            <rFont val="Tahoma"/>
            <family val="2"/>
          </rPr>
          <t>116295:</t>
        </r>
        <r>
          <rPr>
            <sz val="8"/>
            <color indexed="81"/>
            <rFont val="Tahoma"/>
            <family val="2"/>
          </rPr>
          <t xml:space="preserve">
Garvin County Living Center
(405)238-3888</t>
        </r>
      </text>
    </comment>
    <comment ref="B957" authorId="0">
      <text>
        <r>
          <rPr>
            <b/>
            <sz val="8"/>
            <color indexed="81"/>
            <rFont val="Tahoma"/>
            <family val="2"/>
          </rPr>
          <t>116295:</t>
        </r>
        <r>
          <rPr>
            <sz val="8"/>
            <color indexed="81"/>
            <rFont val="Tahoma"/>
            <family val="2"/>
          </rPr>
          <t xml:space="preserve">
Garvin County Living Center
(405)238-3888</t>
        </r>
      </text>
    </comment>
    <comment ref="B958" authorId="0">
      <text>
        <r>
          <rPr>
            <b/>
            <sz val="8"/>
            <color indexed="81"/>
            <rFont val="Tahoma"/>
            <family val="2"/>
          </rPr>
          <t>116295:</t>
        </r>
        <r>
          <rPr>
            <sz val="8"/>
            <color indexed="81"/>
            <rFont val="Tahoma"/>
            <family val="2"/>
          </rPr>
          <t xml:space="preserve">
Garvin County Living Center
(405)238-3888</t>
        </r>
      </text>
    </comment>
    <comment ref="B959" authorId="0">
      <text>
        <r>
          <rPr>
            <b/>
            <sz val="8"/>
            <color indexed="81"/>
            <rFont val="Tahoma"/>
            <family val="2"/>
          </rPr>
          <t>116295:</t>
        </r>
        <r>
          <rPr>
            <sz val="8"/>
            <color indexed="81"/>
            <rFont val="Tahoma"/>
            <family val="2"/>
          </rPr>
          <t xml:space="preserve">
Garvin County Living Center
(405)238-3888</t>
        </r>
      </text>
    </comment>
    <comment ref="B960" authorId="0">
      <text>
        <r>
          <rPr>
            <b/>
            <sz val="8"/>
            <color indexed="81"/>
            <rFont val="Tahoma"/>
            <family val="2"/>
          </rPr>
          <t>116295:</t>
        </r>
        <r>
          <rPr>
            <sz val="8"/>
            <color indexed="81"/>
            <rFont val="Tahoma"/>
            <family val="2"/>
          </rPr>
          <t xml:space="preserve">
Garvin County Living Center
(405)238-3888</t>
        </r>
      </text>
    </comment>
    <comment ref="B961" authorId="0">
      <text>
        <r>
          <rPr>
            <b/>
            <sz val="8"/>
            <color indexed="81"/>
            <rFont val="Tahoma"/>
            <family val="2"/>
          </rPr>
          <t>116295:</t>
        </r>
        <r>
          <rPr>
            <sz val="8"/>
            <color indexed="81"/>
            <rFont val="Tahoma"/>
            <family val="2"/>
          </rPr>
          <t xml:space="preserve">
Garvin County Living Center
(405)238-3888</t>
        </r>
      </text>
    </comment>
    <comment ref="B962" authorId="0">
      <text>
        <r>
          <rPr>
            <b/>
            <sz val="8"/>
            <color indexed="81"/>
            <rFont val="Tahoma"/>
            <family val="2"/>
          </rPr>
          <t>116295:</t>
        </r>
        <r>
          <rPr>
            <sz val="8"/>
            <color indexed="81"/>
            <rFont val="Tahoma"/>
            <family val="2"/>
          </rPr>
          <t xml:space="preserve">
Garvin County Living Center
(405)238-3888</t>
        </r>
      </text>
    </comment>
    <comment ref="B963" authorId="0">
      <text>
        <r>
          <rPr>
            <b/>
            <sz val="8"/>
            <color indexed="81"/>
            <rFont val="Tahoma"/>
            <family val="2"/>
          </rPr>
          <t>116295:</t>
        </r>
        <r>
          <rPr>
            <sz val="8"/>
            <color indexed="81"/>
            <rFont val="Tahoma"/>
            <family val="2"/>
          </rPr>
          <t xml:space="preserve">
Garvin County Living Center
(405)238-3888</t>
        </r>
      </text>
    </comment>
    <comment ref="B964" authorId="0">
      <text>
        <r>
          <rPr>
            <b/>
            <sz val="8"/>
            <color indexed="81"/>
            <rFont val="Tahoma"/>
            <family val="2"/>
          </rPr>
          <t>116295:</t>
        </r>
        <r>
          <rPr>
            <sz val="8"/>
            <color indexed="81"/>
            <rFont val="Tahoma"/>
            <family val="2"/>
          </rPr>
          <t xml:space="preserve">
Garvin County Living Center
(405)238-3888</t>
        </r>
      </text>
    </comment>
    <comment ref="B965" authorId="0">
      <text>
        <r>
          <rPr>
            <b/>
            <sz val="8"/>
            <color indexed="81"/>
            <rFont val="Tahoma"/>
            <family val="2"/>
          </rPr>
          <t>116295:</t>
        </r>
        <r>
          <rPr>
            <sz val="8"/>
            <color indexed="81"/>
            <rFont val="Tahoma"/>
            <family val="2"/>
          </rPr>
          <t xml:space="preserve">
Garvin County Living Center
(405)238-3888</t>
        </r>
      </text>
    </comment>
    <comment ref="B966" authorId="0">
      <text>
        <r>
          <rPr>
            <b/>
            <sz val="8"/>
            <color indexed="81"/>
            <rFont val="Tahoma"/>
            <family val="2"/>
          </rPr>
          <t>116295:</t>
        </r>
        <r>
          <rPr>
            <sz val="8"/>
            <color indexed="81"/>
            <rFont val="Tahoma"/>
            <family val="2"/>
          </rPr>
          <t xml:space="preserve">
Garvin County Living Center
(405)238-3888</t>
        </r>
      </text>
    </comment>
    <comment ref="B967" authorId="0">
      <text>
        <r>
          <rPr>
            <b/>
            <sz val="8"/>
            <color indexed="81"/>
            <rFont val="Tahoma"/>
            <family val="2"/>
          </rPr>
          <t>116295:</t>
        </r>
        <r>
          <rPr>
            <sz val="8"/>
            <color indexed="81"/>
            <rFont val="Tahoma"/>
            <family val="2"/>
          </rPr>
          <t xml:space="preserve">
Garvin County Living Center
(405)238-3888</t>
        </r>
      </text>
    </comment>
    <comment ref="B968" authorId="0">
      <text>
        <r>
          <rPr>
            <b/>
            <sz val="8"/>
            <color indexed="81"/>
            <rFont val="Tahoma"/>
            <family val="2"/>
          </rPr>
          <t>116295:</t>
        </r>
        <r>
          <rPr>
            <sz val="8"/>
            <color indexed="81"/>
            <rFont val="Tahoma"/>
            <family val="2"/>
          </rPr>
          <t xml:space="preserve">
Garvin County Living Center
(405)238-3888</t>
        </r>
      </text>
    </comment>
    <comment ref="B969" authorId="0">
      <text>
        <r>
          <rPr>
            <b/>
            <sz val="8"/>
            <color indexed="81"/>
            <rFont val="Tahoma"/>
            <family val="2"/>
          </rPr>
          <t>116295:</t>
        </r>
        <r>
          <rPr>
            <sz val="8"/>
            <color indexed="81"/>
            <rFont val="Tahoma"/>
            <family val="2"/>
          </rPr>
          <t xml:space="preserve">
Garvin County Living Center
(405)238-3888</t>
        </r>
      </text>
    </comment>
    <comment ref="B970" authorId="0">
      <text>
        <r>
          <rPr>
            <b/>
            <sz val="8"/>
            <color indexed="81"/>
            <rFont val="Tahoma"/>
            <family val="2"/>
          </rPr>
          <t>116295:</t>
        </r>
        <r>
          <rPr>
            <sz val="8"/>
            <color indexed="81"/>
            <rFont val="Tahoma"/>
            <family val="2"/>
          </rPr>
          <t xml:space="preserve">
Garvin County Living Center
(405)238-3888</t>
        </r>
      </text>
    </comment>
    <comment ref="B971" authorId="0">
      <text>
        <r>
          <rPr>
            <b/>
            <sz val="8"/>
            <color indexed="81"/>
            <rFont val="Tahoma"/>
            <family val="2"/>
          </rPr>
          <t>116295:</t>
        </r>
        <r>
          <rPr>
            <sz val="8"/>
            <color indexed="81"/>
            <rFont val="Tahoma"/>
            <family val="2"/>
          </rPr>
          <t xml:space="preserve">
Garvin County Living Center
(405)238-3888</t>
        </r>
      </text>
    </comment>
    <comment ref="B972" authorId="0">
      <text>
        <r>
          <rPr>
            <b/>
            <sz val="8"/>
            <color indexed="81"/>
            <rFont val="Tahoma"/>
            <family val="2"/>
          </rPr>
          <t>116295:</t>
        </r>
        <r>
          <rPr>
            <sz val="8"/>
            <color indexed="81"/>
            <rFont val="Tahoma"/>
            <family val="2"/>
          </rPr>
          <t xml:space="preserve">
Garvin County Living Center
(405)238-3888</t>
        </r>
      </text>
    </comment>
    <comment ref="B973" authorId="0">
      <text>
        <r>
          <rPr>
            <b/>
            <sz val="8"/>
            <color indexed="81"/>
            <rFont val="Tahoma"/>
            <family val="2"/>
          </rPr>
          <t>116295:</t>
        </r>
        <r>
          <rPr>
            <sz val="8"/>
            <color indexed="81"/>
            <rFont val="Tahoma"/>
            <family val="2"/>
          </rPr>
          <t xml:space="preserve">
Garvin County Living Center
(405)238-3888</t>
        </r>
      </text>
    </comment>
    <comment ref="B974" authorId="0">
      <text>
        <r>
          <rPr>
            <b/>
            <sz val="8"/>
            <color indexed="81"/>
            <rFont val="Tahoma"/>
            <family val="2"/>
          </rPr>
          <t>116295:</t>
        </r>
        <r>
          <rPr>
            <sz val="8"/>
            <color indexed="81"/>
            <rFont val="Tahoma"/>
            <family val="2"/>
          </rPr>
          <t xml:space="preserve">
Garvin County Living Center
(405)238-3888</t>
        </r>
      </text>
    </comment>
    <comment ref="B975" authorId="0">
      <text>
        <r>
          <rPr>
            <b/>
            <sz val="8"/>
            <color indexed="81"/>
            <rFont val="Tahoma"/>
            <family val="2"/>
          </rPr>
          <t>116295:</t>
        </r>
        <r>
          <rPr>
            <sz val="8"/>
            <color indexed="81"/>
            <rFont val="Tahoma"/>
            <family val="2"/>
          </rPr>
          <t xml:space="preserve">
Garvin County Living Center
(405)238-3888</t>
        </r>
      </text>
    </comment>
    <comment ref="B976" authorId="0">
      <text>
        <r>
          <rPr>
            <b/>
            <sz val="8"/>
            <color indexed="81"/>
            <rFont val="Tahoma"/>
            <family val="2"/>
          </rPr>
          <t>116295:</t>
        </r>
        <r>
          <rPr>
            <sz val="8"/>
            <color indexed="81"/>
            <rFont val="Tahoma"/>
            <family val="2"/>
          </rPr>
          <t xml:space="preserve">
Garvin County Living Center
(405)238-3888</t>
        </r>
      </text>
    </comment>
    <comment ref="B977" authorId="0">
      <text>
        <r>
          <rPr>
            <b/>
            <sz val="8"/>
            <color indexed="81"/>
            <rFont val="Tahoma"/>
            <family val="2"/>
          </rPr>
          <t>116295:</t>
        </r>
        <r>
          <rPr>
            <sz val="8"/>
            <color indexed="81"/>
            <rFont val="Tahoma"/>
            <family val="2"/>
          </rPr>
          <t xml:space="preserve">
Garvin County Living Center
(405)238-3888</t>
        </r>
      </text>
    </comment>
    <comment ref="B978" authorId="0">
      <text>
        <r>
          <rPr>
            <b/>
            <sz val="8"/>
            <color indexed="81"/>
            <rFont val="Tahoma"/>
            <family val="2"/>
          </rPr>
          <t>116295:</t>
        </r>
        <r>
          <rPr>
            <sz val="8"/>
            <color indexed="81"/>
            <rFont val="Tahoma"/>
            <family val="2"/>
          </rPr>
          <t xml:space="preserve">
Garvin County Living Center
(405)238-3888</t>
        </r>
      </text>
    </comment>
    <comment ref="B979" authorId="0">
      <text>
        <r>
          <rPr>
            <b/>
            <sz val="8"/>
            <color indexed="81"/>
            <rFont val="Tahoma"/>
            <family val="2"/>
          </rPr>
          <t>116295:</t>
        </r>
        <r>
          <rPr>
            <sz val="8"/>
            <color indexed="81"/>
            <rFont val="Tahoma"/>
            <family val="2"/>
          </rPr>
          <t xml:space="preserve">
Garvin County Living Center
(405)238-3888</t>
        </r>
      </text>
    </comment>
    <comment ref="B980" authorId="0">
      <text>
        <r>
          <rPr>
            <b/>
            <sz val="8"/>
            <color indexed="81"/>
            <rFont val="Tahoma"/>
            <family val="2"/>
          </rPr>
          <t>116295:</t>
        </r>
        <r>
          <rPr>
            <sz val="8"/>
            <color indexed="81"/>
            <rFont val="Tahoma"/>
            <family val="2"/>
          </rPr>
          <t xml:space="preserve">
Garvin County Living Center
(405)238-3888</t>
        </r>
      </text>
    </comment>
    <comment ref="B981" authorId="0">
      <text>
        <r>
          <rPr>
            <b/>
            <sz val="8"/>
            <color indexed="81"/>
            <rFont val="Tahoma"/>
            <family val="2"/>
          </rPr>
          <t>116295:</t>
        </r>
        <r>
          <rPr>
            <sz val="8"/>
            <color indexed="81"/>
            <rFont val="Tahoma"/>
            <family val="2"/>
          </rPr>
          <t xml:space="preserve">
Garvin County Living Center
(405)238-3888</t>
        </r>
      </text>
    </comment>
    <comment ref="B982" authorId="0">
      <text>
        <r>
          <rPr>
            <b/>
            <sz val="8"/>
            <color indexed="81"/>
            <rFont val="Tahoma"/>
            <family val="2"/>
          </rPr>
          <t>116295:</t>
        </r>
        <r>
          <rPr>
            <sz val="8"/>
            <color indexed="81"/>
            <rFont val="Tahoma"/>
            <family val="2"/>
          </rPr>
          <t xml:space="preserve">
Garvin County Living Center
(405)238-3888</t>
        </r>
      </text>
    </comment>
    <comment ref="B983" authorId="0">
      <text>
        <r>
          <rPr>
            <b/>
            <sz val="8"/>
            <color indexed="81"/>
            <rFont val="Tahoma"/>
            <family val="2"/>
          </rPr>
          <t>116295:</t>
        </r>
        <r>
          <rPr>
            <sz val="8"/>
            <color indexed="81"/>
            <rFont val="Tahoma"/>
            <family val="2"/>
          </rPr>
          <t xml:space="preserve">
Garvin County Living Center
(405)238-3888</t>
        </r>
      </text>
    </comment>
    <comment ref="B984" authorId="0">
      <text>
        <r>
          <rPr>
            <b/>
            <sz val="8"/>
            <color indexed="81"/>
            <rFont val="Tahoma"/>
            <family val="2"/>
          </rPr>
          <t>116295:</t>
        </r>
        <r>
          <rPr>
            <sz val="8"/>
            <color indexed="81"/>
            <rFont val="Tahoma"/>
            <family val="2"/>
          </rPr>
          <t xml:space="preserve">
Garvin County Living Center
(405)238-3888</t>
        </r>
      </text>
    </comment>
    <comment ref="B985" authorId="0">
      <text>
        <r>
          <rPr>
            <b/>
            <sz val="8"/>
            <color indexed="81"/>
            <rFont val="Tahoma"/>
            <family val="2"/>
          </rPr>
          <t>116295:</t>
        </r>
        <r>
          <rPr>
            <sz val="8"/>
            <color indexed="81"/>
            <rFont val="Tahoma"/>
            <family val="2"/>
          </rPr>
          <t xml:space="preserve">
Garvin County Living Center
(405)238-3888</t>
        </r>
      </text>
    </comment>
    <comment ref="B986" authorId="0">
      <text>
        <r>
          <rPr>
            <b/>
            <sz val="8"/>
            <color indexed="81"/>
            <rFont val="Tahoma"/>
            <family val="2"/>
          </rPr>
          <t>116295:</t>
        </r>
        <r>
          <rPr>
            <sz val="8"/>
            <color indexed="81"/>
            <rFont val="Tahoma"/>
            <family val="2"/>
          </rPr>
          <t xml:space="preserve">
Garvin County Living Center
(405)238-3888</t>
        </r>
      </text>
    </comment>
    <comment ref="B987" authorId="0">
      <text>
        <r>
          <rPr>
            <b/>
            <sz val="8"/>
            <color indexed="81"/>
            <rFont val="Tahoma"/>
            <family val="2"/>
          </rPr>
          <t>116295:</t>
        </r>
        <r>
          <rPr>
            <sz val="8"/>
            <color indexed="81"/>
            <rFont val="Tahoma"/>
            <family val="2"/>
          </rPr>
          <t xml:space="preserve">
Garvin County Living Center
(405)238-3888</t>
        </r>
      </text>
    </comment>
    <comment ref="B988" authorId="0">
      <text>
        <r>
          <rPr>
            <b/>
            <sz val="8"/>
            <color indexed="81"/>
            <rFont val="Tahoma"/>
            <family val="2"/>
          </rPr>
          <t>116295:</t>
        </r>
        <r>
          <rPr>
            <sz val="8"/>
            <color indexed="81"/>
            <rFont val="Tahoma"/>
            <family val="2"/>
          </rPr>
          <t xml:space="preserve">
Garvin County Living Center
(405)238-3888</t>
        </r>
      </text>
    </comment>
    <comment ref="B989" authorId="0">
      <text>
        <r>
          <rPr>
            <b/>
            <sz val="8"/>
            <color indexed="81"/>
            <rFont val="Tahoma"/>
            <family val="2"/>
          </rPr>
          <t>116295:</t>
        </r>
        <r>
          <rPr>
            <sz val="8"/>
            <color indexed="81"/>
            <rFont val="Tahoma"/>
            <family val="2"/>
          </rPr>
          <t xml:space="preserve">
Garvin County Living Center
(405)238-3888</t>
        </r>
      </text>
    </comment>
    <comment ref="B990" authorId="0">
      <text>
        <r>
          <rPr>
            <b/>
            <sz val="8"/>
            <color indexed="81"/>
            <rFont val="Tahoma"/>
            <family val="2"/>
          </rPr>
          <t>116295:</t>
        </r>
        <r>
          <rPr>
            <sz val="8"/>
            <color indexed="81"/>
            <rFont val="Tahoma"/>
            <family val="2"/>
          </rPr>
          <t xml:space="preserve">
Garvin County Living Center
(405)238-3888</t>
        </r>
      </text>
    </comment>
    <comment ref="B991" authorId="0">
      <text>
        <r>
          <rPr>
            <b/>
            <sz val="8"/>
            <color indexed="81"/>
            <rFont val="Tahoma"/>
            <family val="2"/>
          </rPr>
          <t>116295:</t>
        </r>
        <r>
          <rPr>
            <sz val="8"/>
            <color indexed="81"/>
            <rFont val="Tahoma"/>
            <family val="2"/>
          </rPr>
          <t xml:space="preserve">
Garvin County Living Center
(405)238-3888</t>
        </r>
      </text>
    </comment>
    <comment ref="B992" authorId="0">
      <text>
        <r>
          <rPr>
            <b/>
            <sz val="8"/>
            <color indexed="81"/>
            <rFont val="Tahoma"/>
            <family val="2"/>
          </rPr>
          <t>116295:</t>
        </r>
        <r>
          <rPr>
            <sz val="8"/>
            <color indexed="81"/>
            <rFont val="Tahoma"/>
            <family val="2"/>
          </rPr>
          <t xml:space="preserve">
Garvin County Living Center
(405)238-3888</t>
        </r>
      </text>
    </comment>
    <comment ref="B993" authorId="0">
      <text>
        <r>
          <rPr>
            <b/>
            <sz val="8"/>
            <color indexed="81"/>
            <rFont val="Tahoma"/>
            <family val="2"/>
          </rPr>
          <t>116295:</t>
        </r>
        <r>
          <rPr>
            <sz val="8"/>
            <color indexed="81"/>
            <rFont val="Tahoma"/>
            <family val="2"/>
          </rPr>
          <t xml:space="preserve">
Garvin County Living Center
(405)238-3888</t>
        </r>
      </text>
    </comment>
    <comment ref="B994" authorId="0">
      <text>
        <r>
          <rPr>
            <b/>
            <sz val="8"/>
            <color indexed="81"/>
            <rFont val="Tahoma"/>
            <family val="2"/>
          </rPr>
          <t>116295:</t>
        </r>
        <r>
          <rPr>
            <sz val="8"/>
            <color indexed="81"/>
            <rFont val="Tahoma"/>
            <family val="2"/>
          </rPr>
          <t xml:space="preserve">
Garvin County Living Center
(405)238-3888</t>
        </r>
      </text>
    </comment>
    <comment ref="B995" authorId="0">
      <text>
        <r>
          <rPr>
            <b/>
            <sz val="8"/>
            <color indexed="81"/>
            <rFont val="Tahoma"/>
            <family val="2"/>
          </rPr>
          <t>116295:</t>
        </r>
        <r>
          <rPr>
            <sz val="8"/>
            <color indexed="81"/>
            <rFont val="Tahoma"/>
            <family val="2"/>
          </rPr>
          <t xml:space="preserve">
Garvin County Living Center
(405)238-3888</t>
        </r>
      </text>
    </comment>
    <comment ref="B996" authorId="0">
      <text>
        <r>
          <rPr>
            <b/>
            <sz val="8"/>
            <color indexed="81"/>
            <rFont val="Tahoma"/>
            <family val="2"/>
          </rPr>
          <t>116295:</t>
        </r>
        <r>
          <rPr>
            <sz val="8"/>
            <color indexed="81"/>
            <rFont val="Tahoma"/>
            <family val="2"/>
          </rPr>
          <t xml:space="preserve">
Garvin County Living Center
(405)238-3888</t>
        </r>
      </text>
    </comment>
    <comment ref="B997" authorId="0">
      <text>
        <r>
          <rPr>
            <b/>
            <sz val="8"/>
            <color indexed="81"/>
            <rFont val="Tahoma"/>
            <family val="2"/>
          </rPr>
          <t>116295:</t>
        </r>
        <r>
          <rPr>
            <sz val="8"/>
            <color indexed="81"/>
            <rFont val="Tahoma"/>
            <family val="2"/>
          </rPr>
          <t xml:space="preserve">
Garvin County Living Center
(405)238-3888</t>
        </r>
      </text>
    </comment>
    <comment ref="B998" authorId="0">
      <text>
        <r>
          <rPr>
            <b/>
            <sz val="8"/>
            <color indexed="81"/>
            <rFont val="Tahoma"/>
            <family val="2"/>
          </rPr>
          <t>116295:</t>
        </r>
        <r>
          <rPr>
            <sz val="8"/>
            <color indexed="81"/>
            <rFont val="Tahoma"/>
            <family val="2"/>
          </rPr>
          <t xml:space="preserve">
Garvin County Living Center
(405)238-3888</t>
        </r>
      </text>
    </comment>
    <comment ref="B999" authorId="0">
      <text>
        <r>
          <rPr>
            <b/>
            <sz val="8"/>
            <color indexed="81"/>
            <rFont val="Tahoma"/>
            <family val="2"/>
          </rPr>
          <t>116295:</t>
        </r>
        <r>
          <rPr>
            <sz val="8"/>
            <color indexed="81"/>
            <rFont val="Tahoma"/>
            <family val="2"/>
          </rPr>
          <t xml:space="preserve">
Garvin County Living Center
(405)238-3888</t>
        </r>
      </text>
    </comment>
    <comment ref="B1000" authorId="0">
      <text>
        <r>
          <rPr>
            <b/>
            <sz val="8"/>
            <color indexed="81"/>
            <rFont val="Tahoma"/>
            <family val="2"/>
          </rPr>
          <t>116295:</t>
        </r>
        <r>
          <rPr>
            <sz val="8"/>
            <color indexed="81"/>
            <rFont val="Tahoma"/>
            <family val="2"/>
          </rPr>
          <t xml:space="preserve">
Garvin County Living Center
(405)238-3888</t>
        </r>
      </text>
    </comment>
    <comment ref="B1001" authorId="0">
      <text>
        <r>
          <rPr>
            <b/>
            <sz val="8"/>
            <color indexed="81"/>
            <rFont val="Tahoma"/>
            <family val="2"/>
          </rPr>
          <t>116295:</t>
        </r>
        <r>
          <rPr>
            <sz val="8"/>
            <color indexed="81"/>
            <rFont val="Tahoma"/>
            <family val="2"/>
          </rPr>
          <t xml:space="preserve">
Garvin County Living Center
(405)238-3888</t>
        </r>
      </text>
    </comment>
    <comment ref="B1002" authorId="0">
      <text>
        <r>
          <rPr>
            <b/>
            <sz val="8"/>
            <color indexed="81"/>
            <rFont val="Tahoma"/>
            <family val="2"/>
          </rPr>
          <t>116295:</t>
        </r>
        <r>
          <rPr>
            <sz val="8"/>
            <color indexed="81"/>
            <rFont val="Tahoma"/>
            <family val="2"/>
          </rPr>
          <t xml:space="preserve">
Garvin County Living Center
(405)238-3888</t>
        </r>
      </text>
    </comment>
    <comment ref="B1003" authorId="0">
      <text>
        <r>
          <rPr>
            <b/>
            <sz val="8"/>
            <color indexed="81"/>
            <rFont val="Tahoma"/>
            <family val="2"/>
          </rPr>
          <t>116295:</t>
        </r>
        <r>
          <rPr>
            <sz val="8"/>
            <color indexed="81"/>
            <rFont val="Tahoma"/>
            <family val="2"/>
          </rPr>
          <t xml:space="preserve">
Garvin County Living Center
(405)238-3888</t>
        </r>
      </text>
    </comment>
    <comment ref="B1004" authorId="0">
      <text>
        <r>
          <rPr>
            <b/>
            <sz val="8"/>
            <color indexed="81"/>
            <rFont val="Tahoma"/>
            <family val="2"/>
          </rPr>
          <t>116295:</t>
        </r>
        <r>
          <rPr>
            <sz val="8"/>
            <color indexed="81"/>
            <rFont val="Tahoma"/>
            <family val="2"/>
          </rPr>
          <t xml:space="preserve">
Garvin County Living Center
(405)238-3888</t>
        </r>
      </text>
    </comment>
    <comment ref="B1005" authorId="0">
      <text>
        <r>
          <rPr>
            <b/>
            <sz val="8"/>
            <color indexed="81"/>
            <rFont val="Tahoma"/>
            <family val="2"/>
          </rPr>
          <t>116295:</t>
        </r>
        <r>
          <rPr>
            <sz val="8"/>
            <color indexed="81"/>
            <rFont val="Tahoma"/>
            <family val="2"/>
          </rPr>
          <t xml:space="preserve">
Garvin County Living Center
(405)238-3888</t>
        </r>
      </text>
    </comment>
    <comment ref="B1006" authorId="0">
      <text>
        <r>
          <rPr>
            <b/>
            <sz val="8"/>
            <color indexed="81"/>
            <rFont val="Tahoma"/>
            <family val="2"/>
          </rPr>
          <t>116295:</t>
        </r>
        <r>
          <rPr>
            <sz val="8"/>
            <color indexed="81"/>
            <rFont val="Tahoma"/>
            <family val="2"/>
          </rPr>
          <t xml:space="preserve">
Garvin County Living Center
(405)238-3888</t>
        </r>
      </text>
    </comment>
    <comment ref="B1007" authorId="0">
      <text>
        <r>
          <rPr>
            <b/>
            <sz val="8"/>
            <color indexed="81"/>
            <rFont val="Tahoma"/>
            <family val="2"/>
          </rPr>
          <t>116295:</t>
        </r>
        <r>
          <rPr>
            <sz val="8"/>
            <color indexed="81"/>
            <rFont val="Tahoma"/>
            <family val="2"/>
          </rPr>
          <t xml:space="preserve">
Garvin County Living Center
(405)238-3888</t>
        </r>
      </text>
    </comment>
    <comment ref="B1008" authorId="0">
      <text>
        <r>
          <rPr>
            <b/>
            <sz val="8"/>
            <color indexed="81"/>
            <rFont val="Tahoma"/>
            <family val="2"/>
          </rPr>
          <t>116295:</t>
        </r>
        <r>
          <rPr>
            <sz val="8"/>
            <color indexed="81"/>
            <rFont val="Tahoma"/>
            <family val="2"/>
          </rPr>
          <t xml:space="preserve">
Garvin County Living Center
(405)238-3888</t>
        </r>
      </text>
    </comment>
    <comment ref="B1009" authorId="0">
      <text>
        <r>
          <rPr>
            <b/>
            <sz val="8"/>
            <color indexed="81"/>
            <rFont val="Tahoma"/>
            <family val="2"/>
          </rPr>
          <t>116295:</t>
        </r>
        <r>
          <rPr>
            <sz val="8"/>
            <color indexed="81"/>
            <rFont val="Tahoma"/>
            <family val="2"/>
          </rPr>
          <t xml:space="preserve">
Garvin County Living Center
(405)238-3888</t>
        </r>
      </text>
    </comment>
    <comment ref="B1010" authorId="0">
      <text>
        <r>
          <rPr>
            <b/>
            <sz val="8"/>
            <color indexed="81"/>
            <rFont val="Tahoma"/>
            <family val="2"/>
          </rPr>
          <t>116295:</t>
        </r>
        <r>
          <rPr>
            <sz val="8"/>
            <color indexed="81"/>
            <rFont val="Tahoma"/>
            <family val="2"/>
          </rPr>
          <t xml:space="preserve">
Garvin County Living Center
(405)238-3888</t>
        </r>
      </text>
    </comment>
    <comment ref="B1011" authorId="0">
      <text>
        <r>
          <rPr>
            <b/>
            <sz val="8"/>
            <color indexed="81"/>
            <rFont val="Tahoma"/>
            <family val="2"/>
          </rPr>
          <t>116295:</t>
        </r>
        <r>
          <rPr>
            <sz val="8"/>
            <color indexed="81"/>
            <rFont val="Tahoma"/>
            <family val="2"/>
          </rPr>
          <t xml:space="preserve">
Garvin County Living Center
(405)238-3888</t>
        </r>
      </text>
    </comment>
    <comment ref="B1012" authorId="0">
      <text>
        <r>
          <rPr>
            <b/>
            <sz val="8"/>
            <color indexed="81"/>
            <rFont val="Tahoma"/>
            <family val="2"/>
          </rPr>
          <t>116295:</t>
        </r>
        <r>
          <rPr>
            <sz val="8"/>
            <color indexed="81"/>
            <rFont val="Tahoma"/>
            <family val="2"/>
          </rPr>
          <t xml:space="preserve">
Garvin County Living Center
(405)238-3888</t>
        </r>
      </text>
    </comment>
    <comment ref="B1013" authorId="0">
      <text>
        <r>
          <rPr>
            <b/>
            <sz val="8"/>
            <color indexed="81"/>
            <rFont val="Tahoma"/>
            <family val="2"/>
          </rPr>
          <t>116295:</t>
        </r>
        <r>
          <rPr>
            <sz val="8"/>
            <color indexed="81"/>
            <rFont val="Tahoma"/>
            <family val="2"/>
          </rPr>
          <t xml:space="preserve">
Garvin County Living Center
(405)238-3888</t>
        </r>
      </text>
    </comment>
    <comment ref="B1014" authorId="0">
      <text>
        <r>
          <rPr>
            <b/>
            <sz val="8"/>
            <color indexed="81"/>
            <rFont val="Tahoma"/>
            <family val="2"/>
          </rPr>
          <t>116295:</t>
        </r>
        <r>
          <rPr>
            <sz val="8"/>
            <color indexed="81"/>
            <rFont val="Tahoma"/>
            <family val="2"/>
          </rPr>
          <t xml:space="preserve">
Garvin County Living Center
(405)238-3888</t>
        </r>
      </text>
    </comment>
    <comment ref="B1015" authorId="0">
      <text>
        <r>
          <rPr>
            <b/>
            <sz val="8"/>
            <color indexed="81"/>
            <rFont val="Tahoma"/>
            <family val="2"/>
          </rPr>
          <t>116295:</t>
        </r>
        <r>
          <rPr>
            <sz val="8"/>
            <color indexed="81"/>
            <rFont val="Tahoma"/>
            <family val="2"/>
          </rPr>
          <t xml:space="preserve">
Garvin County Living Center
(405)238-3888</t>
        </r>
      </text>
    </comment>
    <comment ref="B1016" authorId="0">
      <text>
        <r>
          <rPr>
            <b/>
            <sz val="8"/>
            <color indexed="81"/>
            <rFont val="Tahoma"/>
            <family val="2"/>
          </rPr>
          <t>116295:</t>
        </r>
        <r>
          <rPr>
            <sz val="8"/>
            <color indexed="81"/>
            <rFont val="Tahoma"/>
            <family val="2"/>
          </rPr>
          <t xml:space="preserve">
Garvin County Living Center
(405)238-3888</t>
        </r>
      </text>
    </comment>
    <comment ref="B1017" authorId="0">
      <text>
        <r>
          <rPr>
            <b/>
            <sz val="8"/>
            <color indexed="81"/>
            <rFont val="Tahoma"/>
            <family val="2"/>
          </rPr>
          <t>116295:</t>
        </r>
        <r>
          <rPr>
            <sz val="8"/>
            <color indexed="81"/>
            <rFont val="Tahoma"/>
            <family val="2"/>
          </rPr>
          <t xml:space="preserve">
Garvin County Living Center
(405)238-3888</t>
        </r>
      </text>
    </comment>
    <comment ref="B1018" authorId="0">
      <text>
        <r>
          <rPr>
            <b/>
            <sz val="8"/>
            <color indexed="81"/>
            <rFont val="Tahoma"/>
            <family val="2"/>
          </rPr>
          <t>116295:</t>
        </r>
        <r>
          <rPr>
            <sz val="8"/>
            <color indexed="81"/>
            <rFont val="Tahoma"/>
            <family val="2"/>
          </rPr>
          <t xml:space="preserve">
Garvin County Living Center
(405)238-3888</t>
        </r>
      </text>
    </comment>
    <comment ref="B1019" authorId="0">
      <text>
        <r>
          <rPr>
            <b/>
            <sz val="8"/>
            <color indexed="81"/>
            <rFont val="Tahoma"/>
            <family val="2"/>
          </rPr>
          <t>116295:</t>
        </r>
        <r>
          <rPr>
            <sz val="8"/>
            <color indexed="81"/>
            <rFont val="Tahoma"/>
            <family val="2"/>
          </rPr>
          <t xml:space="preserve">
Garvin County Living Center
(405)238-3888</t>
        </r>
      </text>
    </comment>
    <comment ref="B1020" authorId="0">
      <text>
        <r>
          <rPr>
            <b/>
            <sz val="8"/>
            <color indexed="81"/>
            <rFont val="Tahoma"/>
            <family val="2"/>
          </rPr>
          <t>116295:</t>
        </r>
        <r>
          <rPr>
            <sz val="8"/>
            <color indexed="81"/>
            <rFont val="Tahoma"/>
            <family val="2"/>
          </rPr>
          <t xml:space="preserve">
Garvin County Living Center
(405)238-3888</t>
        </r>
      </text>
    </comment>
    <comment ref="B1021" authorId="0">
      <text>
        <r>
          <rPr>
            <b/>
            <sz val="8"/>
            <color indexed="81"/>
            <rFont val="Tahoma"/>
            <family val="2"/>
          </rPr>
          <t>116295:</t>
        </r>
        <r>
          <rPr>
            <sz val="8"/>
            <color indexed="81"/>
            <rFont val="Tahoma"/>
            <family val="2"/>
          </rPr>
          <t xml:space="preserve">
Garvin County Living Center
(405)238-3888</t>
        </r>
      </text>
    </comment>
    <comment ref="B1022" authorId="0">
      <text>
        <r>
          <rPr>
            <b/>
            <sz val="8"/>
            <color indexed="81"/>
            <rFont val="Tahoma"/>
            <family val="2"/>
          </rPr>
          <t>116295:</t>
        </r>
        <r>
          <rPr>
            <sz val="8"/>
            <color indexed="81"/>
            <rFont val="Tahoma"/>
            <family val="2"/>
          </rPr>
          <t xml:space="preserve">
Garvin County Living Center
(405)238-3888</t>
        </r>
      </text>
    </comment>
    <comment ref="B1023" authorId="0">
      <text>
        <r>
          <rPr>
            <b/>
            <sz val="8"/>
            <color indexed="81"/>
            <rFont val="Tahoma"/>
            <family val="2"/>
          </rPr>
          <t>116295:</t>
        </r>
        <r>
          <rPr>
            <sz val="8"/>
            <color indexed="81"/>
            <rFont val="Tahoma"/>
            <family val="2"/>
          </rPr>
          <t xml:space="preserve">
Garvin County Living Center
(405)238-3888</t>
        </r>
      </text>
    </comment>
    <comment ref="B1024" authorId="0">
      <text>
        <r>
          <rPr>
            <b/>
            <sz val="8"/>
            <color indexed="81"/>
            <rFont val="Tahoma"/>
            <family val="2"/>
          </rPr>
          <t>116295:</t>
        </r>
        <r>
          <rPr>
            <sz val="8"/>
            <color indexed="81"/>
            <rFont val="Tahoma"/>
            <family val="2"/>
          </rPr>
          <t xml:space="preserve">
Garvin County Living Center
(405)238-3888</t>
        </r>
      </text>
    </comment>
    <comment ref="B1025" authorId="0">
      <text>
        <r>
          <rPr>
            <b/>
            <sz val="8"/>
            <color indexed="81"/>
            <rFont val="Tahoma"/>
            <family val="2"/>
          </rPr>
          <t>116295:</t>
        </r>
        <r>
          <rPr>
            <sz val="8"/>
            <color indexed="81"/>
            <rFont val="Tahoma"/>
            <family val="2"/>
          </rPr>
          <t xml:space="preserve">
Garvin County Living Center
(405)238-3888</t>
        </r>
      </text>
    </comment>
    <comment ref="B1026" authorId="0">
      <text>
        <r>
          <rPr>
            <b/>
            <sz val="8"/>
            <color indexed="81"/>
            <rFont val="Tahoma"/>
            <family val="2"/>
          </rPr>
          <t>116295:</t>
        </r>
        <r>
          <rPr>
            <sz val="8"/>
            <color indexed="81"/>
            <rFont val="Tahoma"/>
            <family val="2"/>
          </rPr>
          <t xml:space="preserve">
Garvin County Living Center
(405)238-3888</t>
        </r>
      </text>
    </comment>
    <comment ref="B1027" authorId="0">
      <text>
        <r>
          <rPr>
            <b/>
            <sz val="8"/>
            <color indexed="81"/>
            <rFont val="Tahoma"/>
            <family val="2"/>
          </rPr>
          <t>116295:</t>
        </r>
        <r>
          <rPr>
            <sz val="8"/>
            <color indexed="81"/>
            <rFont val="Tahoma"/>
            <family val="2"/>
          </rPr>
          <t xml:space="preserve">
Garvin County Living Center
(405)238-3888</t>
        </r>
      </text>
    </comment>
    <comment ref="B1028" authorId="0">
      <text>
        <r>
          <rPr>
            <b/>
            <sz val="8"/>
            <color indexed="81"/>
            <rFont val="Tahoma"/>
            <family val="2"/>
          </rPr>
          <t>116295:</t>
        </r>
        <r>
          <rPr>
            <sz val="8"/>
            <color indexed="81"/>
            <rFont val="Tahoma"/>
            <family val="2"/>
          </rPr>
          <t xml:space="preserve">
Garvin County Living Center
(405)238-3888</t>
        </r>
      </text>
    </comment>
    <comment ref="B1029" authorId="0">
      <text>
        <r>
          <rPr>
            <b/>
            <sz val="8"/>
            <color indexed="81"/>
            <rFont val="Tahoma"/>
            <family val="2"/>
          </rPr>
          <t>116295:</t>
        </r>
        <r>
          <rPr>
            <sz val="8"/>
            <color indexed="81"/>
            <rFont val="Tahoma"/>
            <family val="2"/>
          </rPr>
          <t xml:space="preserve">
Garvin County Living Center
(405)238-3888</t>
        </r>
      </text>
    </comment>
    <comment ref="B1030" authorId="0">
      <text>
        <r>
          <rPr>
            <b/>
            <sz val="8"/>
            <color indexed="81"/>
            <rFont val="Tahoma"/>
            <family val="2"/>
          </rPr>
          <t>116295:</t>
        </r>
        <r>
          <rPr>
            <sz val="8"/>
            <color indexed="81"/>
            <rFont val="Tahoma"/>
            <family val="2"/>
          </rPr>
          <t xml:space="preserve">
Garvin County Living Center
(405)238-3888</t>
        </r>
      </text>
    </comment>
    <comment ref="B1031" authorId="0">
      <text>
        <r>
          <rPr>
            <b/>
            <sz val="8"/>
            <color indexed="81"/>
            <rFont val="Tahoma"/>
            <family val="2"/>
          </rPr>
          <t>116295:</t>
        </r>
        <r>
          <rPr>
            <sz val="8"/>
            <color indexed="81"/>
            <rFont val="Tahoma"/>
            <family val="2"/>
          </rPr>
          <t xml:space="preserve">
Garvin County Living Center
(405)238-3888</t>
        </r>
      </text>
    </comment>
    <comment ref="B1032" authorId="0">
      <text>
        <r>
          <rPr>
            <b/>
            <sz val="8"/>
            <color indexed="81"/>
            <rFont val="Tahoma"/>
            <family val="2"/>
          </rPr>
          <t>116295:</t>
        </r>
        <r>
          <rPr>
            <sz val="8"/>
            <color indexed="81"/>
            <rFont val="Tahoma"/>
            <family val="2"/>
          </rPr>
          <t xml:space="preserve">
Garvin County Living Center
(405)238-3888</t>
        </r>
      </text>
    </comment>
    <comment ref="B1033" authorId="0">
      <text>
        <r>
          <rPr>
            <b/>
            <sz val="8"/>
            <color indexed="81"/>
            <rFont val="Tahoma"/>
            <family val="2"/>
          </rPr>
          <t>116295:</t>
        </r>
        <r>
          <rPr>
            <sz val="8"/>
            <color indexed="81"/>
            <rFont val="Tahoma"/>
            <family val="2"/>
          </rPr>
          <t xml:space="preserve">
Garvin County Living Center
(405)238-3888</t>
        </r>
      </text>
    </comment>
    <comment ref="B1034" authorId="0">
      <text>
        <r>
          <rPr>
            <b/>
            <sz val="8"/>
            <color indexed="81"/>
            <rFont val="Tahoma"/>
            <family val="2"/>
          </rPr>
          <t>116295:</t>
        </r>
        <r>
          <rPr>
            <sz val="8"/>
            <color indexed="81"/>
            <rFont val="Tahoma"/>
            <family val="2"/>
          </rPr>
          <t xml:space="preserve">
Garvin County Living Center
(405)238-3888</t>
        </r>
      </text>
    </comment>
    <comment ref="B1035" authorId="0">
      <text>
        <r>
          <rPr>
            <b/>
            <sz val="8"/>
            <color indexed="81"/>
            <rFont val="Tahoma"/>
            <family val="2"/>
          </rPr>
          <t>116295:</t>
        </r>
        <r>
          <rPr>
            <sz val="8"/>
            <color indexed="81"/>
            <rFont val="Tahoma"/>
            <family val="2"/>
          </rPr>
          <t xml:space="preserve">
Garvin County Living Center
(405)238-3888</t>
        </r>
      </text>
    </comment>
    <comment ref="B1036" authorId="0">
      <text>
        <r>
          <rPr>
            <b/>
            <sz val="8"/>
            <color indexed="81"/>
            <rFont val="Tahoma"/>
            <family val="2"/>
          </rPr>
          <t>116295:</t>
        </r>
        <r>
          <rPr>
            <sz val="8"/>
            <color indexed="81"/>
            <rFont val="Tahoma"/>
            <family val="2"/>
          </rPr>
          <t xml:space="preserve">
Garvin County Living Center
(405)238-3888</t>
        </r>
      </text>
    </comment>
    <comment ref="B1037" authorId="0">
      <text>
        <r>
          <rPr>
            <b/>
            <sz val="8"/>
            <color indexed="81"/>
            <rFont val="Tahoma"/>
            <family val="2"/>
          </rPr>
          <t>116295:</t>
        </r>
        <r>
          <rPr>
            <sz val="8"/>
            <color indexed="81"/>
            <rFont val="Tahoma"/>
            <family val="2"/>
          </rPr>
          <t xml:space="preserve">
Garvin County Living Center
(405)238-3888</t>
        </r>
      </text>
    </comment>
    <comment ref="B1038" authorId="0">
      <text>
        <r>
          <rPr>
            <b/>
            <sz val="8"/>
            <color indexed="81"/>
            <rFont val="Tahoma"/>
            <family val="2"/>
          </rPr>
          <t>116295:</t>
        </r>
        <r>
          <rPr>
            <sz val="8"/>
            <color indexed="81"/>
            <rFont val="Tahoma"/>
            <family val="2"/>
          </rPr>
          <t xml:space="preserve">
Garvin County Living Center
(405)238-3888</t>
        </r>
      </text>
    </comment>
    <comment ref="B1039" authorId="0">
      <text>
        <r>
          <rPr>
            <b/>
            <sz val="8"/>
            <color indexed="81"/>
            <rFont val="Tahoma"/>
            <family val="2"/>
          </rPr>
          <t>116295:</t>
        </r>
        <r>
          <rPr>
            <sz val="8"/>
            <color indexed="81"/>
            <rFont val="Tahoma"/>
            <family val="2"/>
          </rPr>
          <t xml:space="preserve">
Garvin County Living Center
(405)238-3888</t>
        </r>
      </text>
    </comment>
    <comment ref="B1040" authorId="0">
      <text>
        <r>
          <rPr>
            <b/>
            <sz val="8"/>
            <color indexed="81"/>
            <rFont val="Tahoma"/>
            <family val="2"/>
          </rPr>
          <t>116295:</t>
        </r>
        <r>
          <rPr>
            <sz val="8"/>
            <color indexed="81"/>
            <rFont val="Tahoma"/>
            <family val="2"/>
          </rPr>
          <t xml:space="preserve">
Garvin County Living Center
(405)238-3888</t>
        </r>
      </text>
    </comment>
    <comment ref="B1041" authorId="0">
      <text>
        <r>
          <rPr>
            <b/>
            <sz val="8"/>
            <color indexed="81"/>
            <rFont val="Tahoma"/>
            <family val="2"/>
          </rPr>
          <t>116295:</t>
        </r>
        <r>
          <rPr>
            <sz val="8"/>
            <color indexed="81"/>
            <rFont val="Tahoma"/>
            <family val="2"/>
          </rPr>
          <t xml:space="preserve">
Garvin County Living Center
(405)238-3888</t>
        </r>
      </text>
    </comment>
    <comment ref="B1042" authorId="0">
      <text>
        <r>
          <rPr>
            <b/>
            <sz val="8"/>
            <color indexed="81"/>
            <rFont val="Tahoma"/>
            <family val="2"/>
          </rPr>
          <t>116295:</t>
        </r>
        <r>
          <rPr>
            <sz val="8"/>
            <color indexed="81"/>
            <rFont val="Tahoma"/>
            <family val="2"/>
          </rPr>
          <t xml:space="preserve">
Garvin County Living Center
(405)238-3888</t>
        </r>
      </text>
    </comment>
    <comment ref="B1043" authorId="0">
      <text>
        <r>
          <rPr>
            <b/>
            <sz val="8"/>
            <color indexed="81"/>
            <rFont val="Tahoma"/>
            <family val="2"/>
          </rPr>
          <t>116295:</t>
        </r>
        <r>
          <rPr>
            <sz val="8"/>
            <color indexed="81"/>
            <rFont val="Tahoma"/>
            <family val="2"/>
          </rPr>
          <t xml:space="preserve">
Garvin County Living Center
(405)238-3888</t>
        </r>
      </text>
    </comment>
    <comment ref="B1044" authorId="0">
      <text>
        <r>
          <rPr>
            <b/>
            <sz val="8"/>
            <color indexed="81"/>
            <rFont val="Tahoma"/>
            <family val="2"/>
          </rPr>
          <t>116295:</t>
        </r>
        <r>
          <rPr>
            <sz val="8"/>
            <color indexed="81"/>
            <rFont val="Tahoma"/>
            <family val="2"/>
          </rPr>
          <t xml:space="preserve">
Garvin County Living Center
(405)238-3888</t>
        </r>
      </text>
    </comment>
    <comment ref="B1045" authorId="0">
      <text>
        <r>
          <rPr>
            <b/>
            <sz val="8"/>
            <color indexed="81"/>
            <rFont val="Tahoma"/>
            <family val="2"/>
          </rPr>
          <t>116295:</t>
        </r>
        <r>
          <rPr>
            <sz val="8"/>
            <color indexed="81"/>
            <rFont val="Tahoma"/>
            <family val="2"/>
          </rPr>
          <t xml:space="preserve">
Garvin County Living Center
(405)238-3888</t>
        </r>
      </text>
    </comment>
    <comment ref="B1046" authorId="0">
      <text>
        <r>
          <rPr>
            <b/>
            <sz val="8"/>
            <color indexed="81"/>
            <rFont val="Tahoma"/>
            <family val="2"/>
          </rPr>
          <t>116295:</t>
        </r>
        <r>
          <rPr>
            <sz val="8"/>
            <color indexed="81"/>
            <rFont val="Tahoma"/>
            <family val="2"/>
          </rPr>
          <t xml:space="preserve">
Garvin County Living Center
(405)238-3888</t>
        </r>
      </text>
    </comment>
    <comment ref="B1047" authorId="0">
      <text>
        <r>
          <rPr>
            <b/>
            <sz val="8"/>
            <color indexed="81"/>
            <rFont val="Tahoma"/>
            <family val="2"/>
          </rPr>
          <t>116295:</t>
        </r>
        <r>
          <rPr>
            <sz val="8"/>
            <color indexed="81"/>
            <rFont val="Tahoma"/>
            <family val="2"/>
          </rPr>
          <t xml:space="preserve">
Garvin County Living Center
(405)238-3888</t>
        </r>
      </text>
    </comment>
    <comment ref="B1048" authorId="0">
      <text>
        <r>
          <rPr>
            <b/>
            <sz val="8"/>
            <color indexed="81"/>
            <rFont val="Tahoma"/>
            <family val="2"/>
          </rPr>
          <t>116295:</t>
        </r>
        <r>
          <rPr>
            <sz val="8"/>
            <color indexed="81"/>
            <rFont val="Tahoma"/>
            <family val="2"/>
          </rPr>
          <t xml:space="preserve">
Garvin County Living Center
(405)238-3888</t>
        </r>
      </text>
    </comment>
    <comment ref="B1049" authorId="0">
      <text>
        <r>
          <rPr>
            <b/>
            <sz val="8"/>
            <color indexed="81"/>
            <rFont val="Tahoma"/>
            <family val="2"/>
          </rPr>
          <t>116295:</t>
        </r>
        <r>
          <rPr>
            <sz val="8"/>
            <color indexed="81"/>
            <rFont val="Tahoma"/>
            <family val="2"/>
          </rPr>
          <t xml:space="preserve">
Garvin County Living Center
(405)238-3888</t>
        </r>
      </text>
    </comment>
    <comment ref="B1050" authorId="0">
      <text>
        <r>
          <rPr>
            <b/>
            <sz val="8"/>
            <color indexed="81"/>
            <rFont val="Tahoma"/>
            <family val="2"/>
          </rPr>
          <t>116295:</t>
        </r>
        <r>
          <rPr>
            <sz val="8"/>
            <color indexed="81"/>
            <rFont val="Tahoma"/>
            <family val="2"/>
          </rPr>
          <t xml:space="preserve">
Garvin County Living Center
(405)238-3888</t>
        </r>
      </text>
    </comment>
    <comment ref="B1051" authorId="0">
      <text>
        <r>
          <rPr>
            <b/>
            <sz val="8"/>
            <color indexed="81"/>
            <rFont val="Tahoma"/>
            <family val="2"/>
          </rPr>
          <t>116295:</t>
        </r>
        <r>
          <rPr>
            <sz val="8"/>
            <color indexed="81"/>
            <rFont val="Tahoma"/>
            <family val="2"/>
          </rPr>
          <t xml:space="preserve">
Garvin County Living Center
(405)238-3888</t>
        </r>
      </text>
    </comment>
    <comment ref="B1052" authorId="0">
      <text>
        <r>
          <rPr>
            <b/>
            <sz val="8"/>
            <color indexed="81"/>
            <rFont val="Tahoma"/>
            <family val="2"/>
          </rPr>
          <t>116295:</t>
        </r>
        <r>
          <rPr>
            <sz val="8"/>
            <color indexed="81"/>
            <rFont val="Tahoma"/>
            <family val="2"/>
          </rPr>
          <t xml:space="preserve">
Garvin County Living Center
(405)238-3888</t>
        </r>
      </text>
    </comment>
    <comment ref="B1053" authorId="0">
      <text>
        <r>
          <rPr>
            <b/>
            <sz val="8"/>
            <color indexed="81"/>
            <rFont val="Tahoma"/>
            <family val="2"/>
          </rPr>
          <t>116295:</t>
        </r>
        <r>
          <rPr>
            <sz val="8"/>
            <color indexed="81"/>
            <rFont val="Tahoma"/>
            <family val="2"/>
          </rPr>
          <t xml:space="preserve">
Garvin County Living Center
(405)238-3888</t>
        </r>
      </text>
    </comment>
    <comment ref="B1054" authorId="0">
      <text>
        <r>
          <rPr>
            <b/>
            <sz val="8"/>
            <color indexed="81"/>
            <rFont val="Tahoma"/>
            <family val="2"/>
          </rPr>
          <t>116295:</t>
        </r>
        <r>
          <rPr>
            <sz val="8"/>
            <color indexed="81"/>
            <rFont val="Tahoma"/>
            <family val="2"/>
          </rPr>
          <t xml:space="preserve">
Garvin County Living Center
(405)238-3888</t>
        </r>
      </text>
    </comment>
    <comment ref="B1055" authorId="0">
      <text>
        <r>
          <rPr>
            <b/>
            <sz val="8"/>
            <color indexed="81"/>
            <rFont val="Tahoma"/>
            <family val="2"/>
          </rPr>
          <t>116295:</t>
        </r>
        <r>
          <rPr>
            <sz val="8"/>
            <color indexed="81"/>
            <rFont val="Tahoma"/>
            <family val="2"/>
          </rPr>
          <t xml:space="preserve">
Garvin County Living Center
(405)238-3888</t>
        </r>
      </text>
    </comment>
    <comment ref="B1056" authorId="0">
      <text>
        <r>
          <rPr>
            <b/>
            <sz val="8"/>
            <color indexed="81"/>
            <rFont val="Tahoma"/>
            <family val="2"/>
          </rPr>
          <t>116295:</t>
        </r>
        <r>
          <rPr>
            <sz val="8"/>
            <color indexed="81"/>
            <rFont val="Tahoma"/>
            <family val="2"/>
          </rPr>
          <t xml:space="preserve">
Garvin County Living Center
(405)238-3888</t>
        </r>
      </text>
    </comment>
    <comment ref="B1057" authorId="0">
      <text>
        <r>
          <rPr>
            <b/>
            <sz val="8"/>
            <color indexed="81"/>
            <rFont val="Tahoma"/>
            <family val="2"/>
          </rPr>
          <t>116295:</t>
        </r>
        <r>
          <rPr>
            <sz val="8"/>
            <color indexed="81"/>
            <rFont val="Tahoma"/>
            <family val="2"/>
          </rPr>
          <t xml:space="preserve">
Garvin County Living Center
(405)238-3888</t>
        </r>
      </text>
    </comment>
    <comment ref="B1058" authorId="0">
      <text>
        <r>
          <rPr>
            <b/>
            <sz val="8"/>
            <color indexed="81"/>
            <rFont val="Tahoma"/>
            <family val="2"/>
          </rPr>
          <t>116295:</t>
        </r>
        <r>
          <rPr>
            <sz val="8"/>
            <color indexed="81"/>
            <rFont val="Tahoma"/>
            <family val="2"/>
          </rPr>
          <t xml:space="preserve">
Garvin County Living Center
(405)238-3888</t>
        </r>
      </text>
    </comment>
    <comment ref="B1059" authorId="0">
      <text>
        <r>
          <rPr>
            <b/>
            <sz val="8"/>
            <color indexed="81"/>
            <rFont val="Tahoma"/>
            <family val="2"/>
          </rPr>
          <t>116295:</t>
        </r>
        <r>
          <rPr>
            <sz val="8"/>
            <color indexed="81"/>
            <rFont val="Tahoma"/>
            <family val="2"/>
          </rPr>
          <t xml:space="preserve">
Garvin County Living Center
(405)238-3888</t>
        </r>
      </text>
    </comment>
    <comment ref="B1060" authorId="0">
      <text>
        <r>
          <rPr>
            <b/>
            <sz val="8"/>
            <color indexed="81"/>
            <rFont val="Tahoma"/>
            <family val="2"/>
          </rPr>
          <t>116295:</t>
        </r>
        <r>
          <rPr>
            <sz val="8"/>
            <color indexed="81"/>
            <rFont val="Tahoma"/>
            <family val="2"/>
          </rPr>
          <t xml:space="preserve">
Garvin County Living Center
(405)238-3888</t>
        </r>
      </text>
    </comment>
    <comment ref="B1061" authorId="0">
      <text>
        <r>
          <rPr>
            <b/>
            <sz val="8"/>
            <color indexed="81"/>
            <rFont val="Tahoma"/>
            <family val="2"/>
          </rPr>
          <t>116295:</t>
        </r>
        <r>
          <rPr>
            <sz val="8"/>
            <color indexed="81"/>
            <rFont val="Tahoma"/>
            <family val="2"/>
          </rPr>
          <t xml:space="preserve">
Garvin County Living Center
(405)238-3888</t>
        </r>
      </text>
    </comment>
    <comment ref="B1062" authorId="0">
      <text>
        <r>
          <rPr>
            <b/>
            <sz val="8"/>
            <color indexed="81"/>
            <rFont val="Tahoma"/>
            <family val="2"/>
          </rPr>
          <t>116295:</t>
        </r>
        <r>
          <rPr>
            <sz val="8"/>
            <color indexed="81"/>
            <rFont val="Tahoma"/>
            <family val="2"/>
          </rPr>
          <t xml:space="preserve">
Garvin County Living Center
(405)238-3888</t>
        </r>
      </text>
    </comment>
    <comment ref="B1063" authorId="0">
      <text>
        <r>
          <rPr>
            <b/>
            <sz val="8"/>
            <color indexed="81"/>
            <rFont val="Tahoma"/>
            <family val="2"/>
          </rPr>
          <t>116295:</t>
        </r>
        <r>
          <rPr>
            <sz val="8"/>
            <color indexed="81"/>
            <rFont val="Tahoma"/>
            <family val="2"/>
          </rPr>
          <t xml:space="preserve">
Garvin County Living Center
(405)238-3888</t>
        </r>
      </text>
    </comment>
    <comment ref="B1064" authorId="0">
      <text>
        <r>
          <rPr>
            <b/>
            <sz val="8"/>
            <color indexed="81"/>
            <rFont val="Tahoma"/>
            <family val="2"/>
          </rPr>
          <t>116295:</t>
        </r>
        <r>
          <rPr>
            <sz val="8"/>
            <color indexed="81"/>
            <rFont val="Tahoma"/>
            <family val="2"/>
          </rPr>
          <t xml:space="preserve">
Garvin County Living Center
(405)238-3888</t>
        </r>
      </text>
    </comment>
    <comment ref="B1065" authorId="0">
      <text>
        <r>
          <rPr>
            <b/>
            <sz val="8"/>
            <color indexed="81"/>
            <rFont val="Tahoma"/>
            <family val="2"/>
          </rPr>
          <t>116295:</t>
        </r>
        <r>
          <rPr>
            <sz val="8"/>
            <color indexed="81"/>
            <rFont val="Tahoma"/>
            <family val="2"/>
          </rPr>
          <t xml:space="preserve">
Garvin County Living Center
(405)238-3888</t>
        </r>
      </text>
    </comment>
    <comment ref="B1066" authorId="0">
      <text>
        <r>
          <rPr>
            <b/>
            <sz val="8"/>
            <color indexed="81"/>
            <rFont val="Tahoma"/>
            <family val="2"/>
          </rPr>
          <t>116295:</t>
        </r>
        <r>
          <rPr>
            <sz val="8"/>
            <color indexed="81"/>
            <rFont val="Tahoma"/>
            <family val="2"/>
          </rPr>
          <t xml:space="preserve">
Garvin County Living Center
(405)238-3888</t>
        </r>
      </text>
    </comment>
    <comment ref="B1067" authorId="0">
      <text>
        <r>
          <rPr>
            <b/>
            <sz val="8"/>
            <color indexed="81"/>
            <rFont val="Tahoma"/>
            <family val="2"/>
          </rPr>
          <t>116295:</t>
        </r>
        <r>
          <rPr>
            <sz val="8"/>
            <color indexed="81"/>
            <rFont val="Tahoma"/>
            <family val="2"/>
          </rPr>
          <t xml:space="preserve">
Garvin County Living Center
(405)238-3888</t>
        </r>
      </text>
    </comment>
    <comment ref="B1068" authorId="0">
      <text>
        <r>
          <rPr>
            <b/>
            <sz val="8"/>
            <color indexed="81"/>
            <rFont val="Tahoma"/>
            <family val="2"/>
          </rPr>
          <t>116295:</t>
        </r>
        <r>
          <rPr>
            <sz val="8"/>
            <color indexed="81"/>
            <rFont val="Tahoma"/>
            <family val="2"/>
          </rPr>
          <t xml:space="preserve">
Garvin County Living Center
(405)238-3888</t>
        </r>
      </text>
    </comment>
    <comment ref="B1069" authorId="0">
      <text>
        <r>
          <rPr>
            <b/>
            <sz val="8"/>
            <color indexed="81"/>
            <rFont val="Tahoma"/>
            <family val="2"/>
          </rPr>
          <t>116295:</t>
        </r>
        <r>
          <rPr>
            <sz val="8"/>
            <color indexed="81"/>
            <rFont val="Tahoma"/>
            <family val="2"/>
          </rPr>
          <t xml:space="preserve">
Garvin County Living Center
(405)238-3888</t>
        </r>
      </text>
    </comment>
    <comment ref="B1070" authorId="0">
      <text>
        <r>
          <rPr>
            <b/>
            <sz val="8"/>
            <color indexed="81"/>
            <rFont val="Tahoma"/>
            <family val="2"/>
          </rPr>
          <t>116295:</t>
        </r>
        <r>
          <rPr>
            <sz val="8"/>
            <color indexed="81"/>
            <rFont val="Tahoma"/>
            <family val="2"/>
          </rPr>
          <t xml:space="preserve">
Garvin County Living Center
(405)238-3888</t>
        </r>
      </text>
    </comment>
    <comment ref="B1071" authorId="0">
      <text>
        <r>
          <rPr>
            <b/>
            <sz val="8"/>
            <color indexed="81"/>
            <rFont val="Tahoma"/>
            <family val="2"/>
          </rPr>
          <t>116295:</t>
        </r>
        <r>
          <rPr>
            <sz val="8"/>
            <color indexed="81"/>
            <rFont val="Tahoma"/>
            <family val="2"/>
          </rPr>
          <t xml:space="preserve">
Garvin County Living Center
(405)238-3888</t>
        </r>
      </text>
    </comment>
    <comment ref="B1072" authorId="0">
      <text>
        <r>
          <rPr>
            <b/>
            <sz val="8"/>
            <color indexed="81"/>
            <rFont val="Tahoma"/>
            <family val="2"/>
          </rPr>
          <t>116295:</t>
        </r>
        <r>
          <rPr>
            <sz val="8"/>
            <color indexed="81"/>
            <rFont val="Tahoma"/>
            <family val="2"/>
          </rPr>
          <t xml:space="preserve">
Garvin County Living Center
(405)238-3888</t>
        </r>
      </text>
    </comment>
    <comment ref="B1073" authorId="0">
      <text>
        <r>
          <rPr>
            <b/>
            <sz val="8"/>
            <color indexed="81"/>
            <rFont val="Tahoma"/>
            <family val="2"/>
          </rPr>
          <t>116295:</t>
        </r>
        <r>
          <rPr>
            <sz val="8"/>
            <color indexed="81"/>
            <rFont val="Tahoma"/>
            <family val="2"/>
          </rPr>
          <t xml:space="preserve">
Garvin County Living Center
(405)238-3888</t>
        </r>
      </text>
    </comment>
    <comment ref="B1074" authorId="0">
      <text>
        <r>
          <rPr>
            <b/>
            <sz val="8"/>
            <color indexed="81"/>
            <rFont val="Tahoma"/>
            <family val="2"/>
          </rPr>
          <t>116295:</t>
        </r>
        <r>
          <rPr>
            <sz val="8"/>
            <color indexed="81"/>
            <rFont val="Tahoma"/>
            <family val="2"/>
          </rPr>
          <t xml:space="preserve">
Garvin County Living Center
(405)238-3888</t>
        </r>
      </text>
    </comment>
    <comment ref="B1075" authorId="0">
      <text>
        <r>
          <rPr>
            <b/>
            <sz val="8"/>
            <color indexed="81"/>
            <rFont val="Tahoma"/>
            <family val="2"/>
          </rPr>
          <t>116295:</t>
        </r>
        <r>
          <rPr>
            <sz val="8"/>
            <color indexed="81"/>
            <rFont val="Tahoma"/>
            <family val="2"/>
          </rPr>
          <t xml:space="preserve">
Garvin County Living Center
(405)238-3888</t>
        </r>
      </text>
    </comment>
    <comment ref="B1076" authorId="0">
      <text>
        <r>
          <rPr>
            <b/>
            <sz val="8"/>
            <color indexed="81"/>
            <rFont val="Tahoma"/>
            <family val="2"/>
          </rPr>
          <t>116295:</t>
        </r>
        <r>
          <rPr>
            <sz val="8"/>
            <color indexed="81"/>
            <rFont val="Tahoma"/>
            <family val="2"/>
          </rPr>
          <t xml:space="preserve">
Garvin County Living Center
(405)238-3888</t>
        </r>
      </text>
    </comment>
    <comment ref="B1077" authorId="0">
      <text>
        <r>
          <rPr>
            <b/>
            <sz val="8"/>
            <color indexed="81"/>
            <rFont val="Tahoma"/>
            <family val="2"/>
          </rPr>
          <t>116295:</t>
        </r>
        <r>
          <rPr>
            <sz val="8"/>
            <color indexed="81"/>
            <rFont val="Tahoma"/>
            <family val="2"/>
          </rPr>
          <t xml:space="preserve">
Garvin County Living Center
(405)238-3888</t>
        </r>
      </text>
    </comment>
    <comment ref="B1078" authorId="0">
      <text>
        <r>
          <rPr>
            <b/>
            <sz val="8"/>
            <color indexed="81"/>
            <rFont val="Tahoma"/>
            <family val="2"/>
          </rPr>
          <t>116295:</t>
        </r>
        <r>
          <rPr>
            <sz val="8"/>
            <color indexed="81"/>
            <rFont val="Tahoma"/>
            <family val="2"/>
          </rPr>
          <t xml:space="preserve">
Garvin County Living Center
(405)238-3888</t>
        </r>
      </text>
    </comment>
    <comment ref="B1079" authorId="0">
      <text>
        <r>
          <rPr>
            <b/>
            <sz val="8"/>
            <color indexed="81"/>
            <rFont val="Tahoma"/>
            <family val="2"/>
          </rPr>
          <t>116295:</t>
        </r>
        <r>
          <rPr>
            <sz val="8"/>
            <color indexed="81"/>
            <rFont val="Tahoma"/>
            <family val="2"/>
          </rPr>
          <t xml:space="preserve">
Garvin County Living Center
(405)238-3888</t>
        </r>
      </text>
    </comment>
    <comment ref="B1080" authorId="0">
      <text>
        <r>
          <rPr>
            <b/>
            <sz val="8"/>
            <color indexed="81"/>
            <rFont val="Tahoma"/>
            <family val="2"/>
          </rPr>
          <t>116295:</t>
        </r>
        <r>
          <rPr>
            <sz val="8"/>
            <color indexed="81"/>
            <rFont val="Tahoma"/>
            <family val="2"/>
          </rPr>
          <t xml:space="preserve">
Garvin County Living Center
(405)238-3888</t>
        </r>
      </text>
    </comment>
    <comment ref="B1081" authorId="0">
      <text>
        <r>
          <rPr>
            <b/>
            <sz val="8"/>
            <color indexed="81"/>
            <rFont val="Tahoma"/>
            <family val="2"/>
          </rPr>
          <t>116295:</t>
        </r>
        <r>
          <rPr>
            <sz val="8"/>
            <color indexed="81"/>
            <rFont val="Tahoma"/>
            <family val="2"/>
          </rPr>
          <t xml:space="preserve">
Garvin County Living Center
(405)238-3888</t>
        </r>
      </text>
    </comment>
    <comment ref="B1082" authorId="0">
      <text>
        <r>
          <rPr>
            <b/>
            <sz val="8"/>
            <color indexed="81"/>
            <rFont val="Tahoma"/>
            <family val="2"/>
          </rPr>
          <t>116295:</t>
        </r>
        <r>
          <rPr>
            <sz val="8"/>
            <color indexed="81"/>
            <rFont val="Tahoma"/>
            <family val="2"/>
          </rPr>
          <t xml:space="preserve">
Garvin County Living Center
(405)238-3888</t>
        </r>
      </text>
    </comment>
    <comment ref="B1083" authorId="0">
      <text>
        <r>
          <rPr>
            <b/>
            <sz val="8"/>
            <color indexed="81"/>
            <rFont val="Tahoma"/>
            <family val="2"/>
          </rPr>
          <t>116295:</t>
        </r>
        <r>
          <rPr>
            <sz val="8"/>
            <color indexed="81"/>
            <rFont val="Tahoma"/>
            <family val="2"/>
          </rPr>
          <t xml:space="preserve">
Garvin County Living Center
(405)238-3888</t>
        </r>
      </text>
    </comment>
    <comment ref="B1084" authorId="0">
      <text>
        <r>
          <rPr>
            <b/>
            <sz val="8"/>
            <color indexed="81"/>
            <rFont val="Tahoma"/>
            <family val="2"/>
          </rPr>
          <t>116295:</t>
        </r>
        <r>
          <rPr>
            <sz val="8"/>
            <color indexed="81"/>
            <rFont val="Tahoma"/>
            <family val="2"/>
          </rPr>
          <t xml:space="preserve">
Garvin County Living Center
(405)238-3888</t>
        </r>
      </text>
    </comment>
    <comment ref="B1085" authorId="0">
      <text>
        <r>
          <rPr>
            <b/>
            <sz val="8"/>
            <color indexed="81"/>
            <rFont val="Tahoma"/>
            <family val="2"/>
          </rPr>
          <t>116295:</t>
        </r>
        <r>
          <rPr>
            <sz val="8"/>
            <color indexed="81"/>
            <rFont val="Tahoma"/>
            <family val="2"/>
          </rPr>
          <t xml:space="preserve">
Garvin County Living Center
(405)238-3888</t>
        </r>
      </text>
    </comment>
    <comment ref="B1086" authorId="0">
      <text>
        <r>
          <rPr>
            <b/>
            <sz val="8"/>
            <color indexed="81"/>
            <rFont val="Tahoma"/>
            <family val="2"/>
          </rPr>
          <t>116295:</t>
        </r>
        <r>
          <rPr>
            <sz val="8"/>
            <color indexed="81"/>
            <rFont val="Tahoma"/>
            <family val="2"/>
          </rPr>
          <t xml:space="preserve">
Garvin County Living Center
(405)238-3888</t>
        </r>
      </text>
    </comment>
    <comment ref="B1087" authorId="0">
      <text>
        <r>
          <rPr>
            <b/>
            <sz val="8"/>
            <color indexed="81"/>
            <rFont val="Tahoma"/>
            <family val="2"/>
          </rPr>
          <t>116295:</t>
        </r>
        <r>
          <rPr>
            <sz val="8"/>
            <color indexed="81"/>
            <rFont val="Tahoma"/>
            <family val="2"/>
          </rPr>
          <t xml:space="preserve">
Garvin County Living Center
(405)238-3888</t>
        </r>
      </text>
    </comment>
    <comment ref="B1088" authorId="0">
      <text>
        <r>
          <rPr>
            <b/>
            <sz val="8"/>
            <color indexed="81"/>
            <rFont val="Tahoma"/>
            <family val="2"/>
          </rPr>
          <t>116295:</t>
        </r>
        <r>
          <rPr>
            <sz val="8"/>
            <color indexed="81"/>
            <rFont val="Tahoma"/>
            <family val="2"/>
          </rPr>
          <t xml:space="preserve">
Garvin County Living Center
(405)238-3888</t>
        </r>
      </text>
    </comment>
    <comment ref="B1089" authorId="0">
      <text>
        <r>
          <rPr>
            <b/>
            <sz val="8"/>
            <color indexed="81"/>
            <rFont val="Tahoma"/>
            <family val="2"/>
          </rPr>
          <t>116295:</t>
        </r>
        <r>
          <rPr>
            <sz val="8"/>
            <color indexed="81"/>
            <rFont val="Tahoma"/>
            <family val="2"/>
          </rPr>
          <t xml:space="preserve">
Garvin County Living Center
(405)238-3888</t>
        </r>
      </text>
    </comment>
    <comment ref="B1090" authorId="0">
      <text>
        <r>
          <rPr>
            <b/>
            <sz val="8"/>
            <color indexed="81"/>
            <rFont val="Tahoma"/>
            <family val="2"/>
          </rPr>
          <t>116295:</t>
        </r>
        <r>
          <rPr>
            <sz val="8"/>
            <color indexed="81"/>
            <rFont val="Tahoma"/>
            <family val="2"/>
          </rPr>
          <t xml:space="preserve">
Garvin County Living Center
(405)238-3888</t>
        </r>
      </text>
    </comment>
    <comment ref="B1091" authorId="0">
      <text>
        <r>
          <rPr>
            <b/>
            <sz val="8"/>
            <color indexed="81"/>
            <rFont val="Tahoma"/>
            <family val="2"/>
          </rPr>
          <t>116295:</t>
        </r>
        <r>
          <rPr>
            <sz val="8"/>
            <color indexed="81"/>
            <rFont val="Tahoma"/>
            <family val="2"/>
          </rPr>
          <t xml:space="preserve">
Garvin County Living Center
(405)238-3888</t>
        </r>
      </text>
    </comment>
    <comment ref="B1092" authorId="0">
      <text>
        <r>
          <rPr>
            <b/>
            <sz val="8"/>
            <color indexed="81"/>
            <rFont val="Tahoma"/>
            <family val="2"/>
          </rPr>
          <t>116295:</t>
        </r>
        <r>
          <rPr>
            <sz val="8"/>
            <color indexed="81"/>
            <rFont val="Tahoma"/>
            <family val="2"/>
          </rPr>
          <t xml:space="preserve">
Garvin County Living Center
(405)238-3888</t>
        </r>
      </text>
    </comment>
    <comment ref="B1093" authorId="0">
      <text>
        <r>
          <rPr>
            <b/>
            <sz val="8"/>
            <color indexed="81"/>
            <rFont val="Tahoma"/>
            <family val="2"/>
          </rPr>
          <t>116295:</t>
        </r>
        <r>
          <rPr>
            <sz val="8"/>
            <color indexed="81"/>
            <rFont val="Tahoma"/>
            <family val="2"/>
          </rPr>
          <t xml:space="preserve">
Garvin County Living Center
(405)238-3888</t>
        </r>
      </text>
    </comment>
    <comment ref="B1094" authorId="0">
      <text>
        <r>
          <rPr>
            <b/>
            <sz val="8"/>
            <color indexed="81"/>
            <rFont val="Tahoma"/>
            <family val="2"/>
          </rPr>
          <t>116295:</t>
        </r>
        <r>
          <rPr>
            <sz val="8"/>
            <color indexed="81"/>
            <rFont val="Tahoma"/>
            <family val="2"/>
          </rPr>
          <t xml:space="preserve">
Garvin County Living Center
(405)238-3888</t>
        </r>
      </text>
    </comment>
    <comment ref="B1095" authorId="0">
      <text>
        <r>
          <rPr>
            <b/>
            <sz val="8"/>
            <color indexed="81"/>
            <rFont val="Tahoma"/>
            <family val="2"/>
          </rPr>
          <t>116295:</t>
        </r>
        <r>
          <rPr>
            <sz val="8"/>
            <color indexed="81"/>
            <rFont val="Tahoma"/>
            <family val="2"/>
          </rPr>
          <t xml:space="preserve">
Garvin County Living Center
(405)238-3888</t>
        </r>
      </text>
    </comment>
    <comment ref="B1096" authorId="0">
      <text>
        <r>
          <rPr>
            <b/>
            <sz val="8"/>
            <color indexed="81"/>
            <rFont val="Tahoma"/>
            <family val="2"/>
          </rPr>
          <t>116295:</t>
        </r>
        <r>
          <rPr>
            <sz val="8"/>
            <color indexed="81"/>
            <rFont val="Tahoma"/>
            <family val="2"/>
          </rPr>
          <t xml:space="preserve">
Garvin County Living Center
(405)238-3888</t>
        </r>
      </text>
    </comment>
    <comment ref="B1097" authorId="0">
      <text>
        <r>
          <rPr>
            <b/>
            <sz val="8"/>
            <color indexed="81"/>
            <rFont val="Tahoma"/>
            <family val="2"/>
          </rPr>
          <t>116295:</t>
        </r>
        <r>
          <rPr>
            <sz val="8"/>
            <color indexed="81"/>
            <rFont val="Tahoma"/>
            <family val="2"/>
          </rPr>
          <t xml:space="preserve">
Garvin County Living Center
(405)238-3888</t>
        </r>
      </text>
    </comment>
    <comment ref="B1098" authorId="0">
      <text>
        <r>
          <rPr>
            <b/>
            <sz val="8"/>
            <color indexed="81"/>
            <rFont val="Tahoma"/>
            <family val="2"/>
          </rPr>
          <t>116295:</t>
        </r>
        <r>
          <rPr>
            <sz val="8"/>
            <color indexed="81"/>
            <rFont val="Tahoma"/>
            <family val="2"/>
          </rPr>
          <t xml:space="preserve">
Garvin County Living Center
(405)238-3888</t>
        </r>
      </text>
    </comment>
    <comment ref="B1099" authorId="0">
      <text>
        <r>
          <rPr>
            <b/>
            <sz val="8"/>
            <color indexed="81"/>
            <rFont val="Tahoma"/>
            <family val="2"/>
          </rPr>
          <t>116295:</t>
        </r>
        <r>
          <rPr>
            <sz val="8"/>
            <color indexed="81"/>
            <rFont val="Tahoma"/>
            <family val="2"/>
          </rPr>
          <t xml:space="preserve">
Garvin County Living Center
(405)238-3888</t>
        </r>
      </text>
    </comment>
    <comment ref="B1100" authorId="0">
      <text>
        <r>
          <rPr>
            <b/>
            <sz val="8"/>
            <color indexed="81"/>
            <rFont val="Tahoma"/>
            <family val="2"/>
          </rPr>
          <t>116295:</t>
        </r>
        <r>
          <rPr>
            <sz val="8"/>
            <color indexed="81"/>
            <rFont val="Tahoma"/>
            <family val="2"/>
          </rPr>
          <t xml:space="preserve">
Garvin County Living Center
(405)238-3888</t>
        </r>
      </text>
    </comment>
    <comment ref="B1101" authorId="0">
      <text>
        <r>
          <rPr>
            <b/>
            <sz val="8"/>
            <color indexed="81"/>
            <rFont val="Tahoma"/>
            <family val="2"/>
          </rPr>
          <t>116295:</t>
        </r>
        <r>
          <rPr>
            <sz val="8"/>
            <color indexed="81"/>
            <rFont val="Tahoma"/>
            <family val="2"/>
          </rPr>
          <t xml:space="preserve">
Garvin County Living Center
(405)238-3888</t>
        </r>
      </text>
    </comment>
    <comment ref="B1102" authorId="0">
      <text>
        <r>
          <rPr>
            <b/>
            <sz val="8"/>
            <color indexed="81"/>
            <rFont val="Tahoma"/>
            <family val="2"/>
          </rPr>
          <t>116295:</t>
        </r>
        <r>
          <rPr>
            <sz val="8"/>
            <color indexed="81"/>
            <rFont val="Tahoma"/>
            <family val="2"/>
          </rPr>
          <t xml:space="preserve">
Garvin County Living Center
(405)238-3888</t>
        </r>
      </text>
    </comment>
    <comment ref="B1103" authorId="0">
      <text>
        <r>
          <rPr>
            <b/>
            <sz val="8"/>
            <color indexed="81"/>
            <rFont val="Tahoma"/>
            <family val="2"/>
          </rPr>
          <t>116295:</t>
        </r>
        <r>
          <rPr>
            <sz val="8"/>
            <color indexed="81"/>
            <rFont val="Tahoma"/>
            <family val="2"/>
          </rPr>
          <t xml:space="preserve">
Garvin County Living Center
(405)238-3888</t>
        </r>
      </text>
    </comment>
    <comment ref="B1104" authorId="0">
      <text>
        <r>
          <rPr>
            <b/>
            <sz val="8"/>
            <color indexed="81"/>
            <rFont val="Tahoma"/>
            <family val="2"/>
          </rPr>
          <t>116295:</t>
        </r>
        <r>
          <rPr>
            <sz val="8"/>
            <color indexed="81"/>
            <rFont val="Tahoma"/>
            <family val="2"/>
          </rPr>
          <t xml:space="preserve">
Garvin County Living Center
(405)238-3888</t>
        </r>
      </text>
    </comment>
    <comment ref="B1105" authorId="0">
      <text>
        <r>
          <rPr>
            <b/>
            <sz val="8"/>
            <color indexed="81"/>
            <rFont val="Tahoma"/>
            <family val="2"/>
          </rPr>
          <t>116295:</t>
        </r>
        <r>
          <rPr>
            <sz val="8"/>
            <color indexed="81"/>
            <rFont val="Tahoma"/>
            <family val="2"/>
          </rPr>
          <t xml:space="preserve">
Garvin County Living Center
(405)238-3888</t>
        </r>
      </text>
    </comment>
    <comment ref="B1106" authorId="0">
      <text>
        <r>
          <rPr>
            <b/>
            <sz val="8"/>
            <color indexed="81"/>
            <rFont val="Tahoma"/>
            <family val="2"/>
          </rPr>
          <t>116295:</t>
        </r>
        <r>
          <rPr>
            <sz val="8"/>
            <color indexed="81"/>
            <rFont val="Tahoma"/>
            <family val="2"/>
          </rPr>
          <t xml:space="preserve">
Garvin County Living Center
(405)238-3888</t>
        </r>
      </text>
    </comment>
    <comment ref="B1107" authorId="0">
      <text>
        <r>
          <rPr>
            <b/>
            <sz val="8"/>
            <color indexed="81"/>
            <rFont val="Tahoma"/>
            <family val="2"/>
          </rPr>
          <t>116295:</t>
        </r>
        <r>
          <rPr>
            <sz val="8"/>
            <color indexed="81"/>
            <rFont val="Tahoma"/>
            <family val="2"/>
          </rPr>
          <t xml:space="preserve">
Garvin County Living Center
(405)238-3888</t>
        </r>
      </text>
    </comment>
    <comment ref="B1108" authorId="0">
      <text>
        <r>
          <rPr>
            <b/>
            <sz val="8"/>
            <color indexed="81"/>
            <rFont val="Tahoma"/>
            <family val="2"/>
          </rPr>
          <t>116295:</t>
        </r>
        <r>
          <rPr>
            <sz val="8"/>
            <color indexed="81"/>
            <rFont val="Tahoma"/>
            <family val="2"/>
          </rPr>
          <t xml:space="preserve">
Garvin County Living Center
(405)238-3888</t>
        </r>
      </text>
    </comment>
    <comment ref="B1109" authorId="0">
      <text>
        <r>
          <rPr>
            <b/>
            <sz val="8"/>
            <color indexed="81"/>
            <rFont val="Tahoma"/>
            <family val="2"/>
          </rPr>
          <t>116295:</t>
        </r>
        <r>
          <rPr>
            <sz val="8"/>
            <color indexed="81"/>
            <rFont val="Tahoma"/>
            <family val="2"/>
          </rPr>
          <t xml:space="preserve">
Garvin County Living Center
(405)238-3888</t>
        </r>
      </text>
    </comment>
    <comment ref="B1110" authorId="0">
      <text>
        <r>
          <rPr>
            <b/>
            <sz val="8"/>
            <color indexed="81"/>
            <rFont val="Tahoma"/>
            <family val="2"/>
          </rPr>
          <t>116295:</t>
        </r>
        <r>
          <rPr>
            <sz val="8"/>
            <color indexed="81"/>
            <rFont val="Tahoma"/>
            <family val="2"/>
          </rPr>
          <t xml:space="preserve">
Garvin County Living Center
(405)238-3888</t>
        </r>
      </text>
    </comment>
    <comment ref="B1111" authorId="0">
      <text>
        <r>
          <rPr>
            <b/>
            <sz val="8"/>
            <color indexed="81"/>
            <rFont val="Tahoma"/>
            <family val="2"/>
          </rPr>
          <t>116295:</t>
        </r>
        <r>
          <rPr>
            <sz val="8"/>
            <color indexed="81"/>
            <rFont val="Tahoma"/>
            <family val="2"/>
          </rPr>
          <t xml:space="preserve">
Garvin County Living Center
(405)238-3888</t>
        </r>
      </text>
    </comment>
    <comment ref="B1112" authorId="0">
      <text>
        <r>
          <rPr>
            <b/>
            <sz val="8"/>
            <color indexed="81"/>
            <rFont val="Tahoma"/>
            <family val="2"/>
          </rPr>
          <t>116295:</t>
        </r>
        <r>
          <rPr>
            <sz val="8"/>
            <color indexed="81"/>
            <rFont val="Tahoma"/>
            <family val="2"/>
          </rPr>
          <t xml:space="preserve">
Garvin County Living Center
(405)238-3888</t>
        </r>
      </text>
    </comment>
    <comment ref="B1113" authorId="0">
      <text>
        <r>
          <rPr>
            <b/>
            <sz val="8"/>
            <color indexed="81"/>
            <rFont val="Tahoma"/>
            <family val="2"/>
          </rPr>
          <t>116295:</t>
        </r>
        <r>
          <rPr>
            <sz val="8"/>
            <color indexed="81"/>
            <rFont val="Tahoma"/>
            <family val="2"/>
          </rPr>
          <t xml:space="preserve">
Garvin County Living Center
(405)238-3888</t>
        </r>
      </text>
    </comment>
    <comment ref="B1114" authorId="0">
      <text>
        <r>
          <rPr>
            <b/>
            <sz val="8"/>
            <color indexed="81"/>
            <rFont val="Tahoma"/>
            <family val="2"/>
          </rPr>
          <t>116295:</t>
        </r>
        <r>
          <rPr>
            <sz val="8"/>
            <color indexed="81"/>
            <rFont val="Tahoma"/>
            <family val="2"/>
          </rPr>
          <t xml:space="preserve">
Garvin County Living Center
(405)238-3888</t>
        </r>
      </text>
    </comment>
    <comment ref="B1115" authorId="0">
      <text>
        <r>
          <rPr>
            <b/>
            <sz val="8"/>
            <color indexed="81"/>
            <rFont val="Tahoma"/>
            <family val="2"/>
          </rPr>
          <t>116295:</t>
        </r>
        <r>
          <rPr>
            <sz val="8"/>
            <color indexed="81"/>
            <rFont val="Tahoma"/>
            <family val="2"/>
          </rPr>
          <t xml:space="preserve">
Garvin County Living Center
(405)238-3888</t>
        </r>
      </text>
    </comment>
    <comment ref="B1116" authorId="0">
      <text>
        <r>
          <rPr>
            <b/>
            <sz val="8"/>
            <color indexed="81"/>
            <rFont val="Tahoma"/>
            <family val="2"/>
          </rPr>
          <t>116295:</t>
        </r>
        <r>
          <rPr>
            <sz val="8"/>
            <color indexed="81"/>
            <rFont val="Tahoma"/>
            <family val="2"/>
          </rPr>
          <t xml:space="preserve">
Garvin County Living Center
(405)238-3888</t>
        </r>
      </text>
    </comment>
    <comment ref="B1117" authorId="0">
      <text>
        <r>
          <rPr>
            <b/>
            <sz val="8"/>
            <color indexed="81"/>
            <rFont val="Tahoma"/>
            <family val="2"/>
          </rPr>
          <t>116295:</t>
        </r>
        <r>
          <rPr>
            <sz val="8"/>
            <color indexed="81"/>
            <rFont val="Tahoma"/>
            <family val="2"/>
          </rPr>
          <t xml:space="preserve">
Garvin County Living Center
(405)238-3888</t>
        </r>
      </text>
    </comment>
    <comment ref="B1118" authorId="0">
      <text>
        <r>
          <rPr>
            <b/>
            <sz val="8"/>
            <color indexed="81"/>
            <rFont val="Tahoma"/>
            <family val="2"/>
          </rPr>
          <t>116295:</t>
        </r>
        <r>
          <rPr>
            <sz val="8"/>
            <color indexed="81"/>
            <rFont val="Tahoma"/>
            <family val="2"/>
          </rPr>
          <t xml:space="preserve">
Garvin County Living Center
(405)238-3888</t>
        </r>
      </text>
    </comment>
    <comment ref="B1119" authorId="0">
      <text>
        <r>
          <rPr>
            <b/>
            <sz val="8"/>
            <color indexed="81"/>
            <rFont val="Tahoma"/>
            <family val="2"/>
          </rPr>
          <t>116295:</t>
        </r>
        <r>
          <rPr>
            <sz val="8"/>
            <color indexed="81"/>
            <rFont val="Tahoma"/>
            <family val="2"/>
          </rPr>
          <t xml:space="preserve">
Garvin County Living Center
(405)238-3888</t>
        </r>
      </text>
    </comment>
    <comment ref="B1120" authorId="0">
      <text>
        <r>
          <rPr>
            <b/>
            <sz val="8"/>
            <color indexed="81"/>
            <rFont val="Tahoma"/>
            <family val="2"/>
          </rPr>
          <t>116295:</t>
        </r>
        <r>
          <rPr>
            <sz val="8"/>
            <color indexed="81"/>
            <rFont val="Tahoma"/>
            <family val="2"/>
          </rPr>
          <t xml:space="preserve">
Garvin County Living Center
(405)238-3888</t>
        </r>
      </text>
    </comment>
    <comment ref="B1121" authorId="0">
      <text>
        <r>
          <rPr>
            <b/>
            <sz val="8"/>
            <color indexed="81"/>
            <rFont val="Tahoma"/>
            <family val="2"/>
          </rPr>
          <t>116295:</t>
        </r>
        <r>
          <rPr>
            <sz val="8"/>
            <color indexed="81"/>
            <rFont val="Tahoma"/>
            <family val="2"/>
          </rPr>
          <t xml:space="preserve">
Garvin County Living Center
(405)238-3888</t>
        </r>
      </text>
    </comment>
    <comment ref="B1122" authorId="0">
      <text>
        <r>
          <rPr>
            <b/>
            <sz val="8"/>
            <color indexed="81"/>
            <rFont val="Tahoma"/>
            <family val="2"/>
          </rPr>
          <t>116295:</t>
        </r>
        <r>
          <rPr>
            <sz val="8"/>
            <color indexed="81"/>
            <rFont val="Tahoma"/>
            <family val="2"/>
          </rPr>
          <t xml:space="preserve">
Garvin County Living Center
(405)238-3888</t>
        </r>
      </text>
    </comment>
    <comment ref="B1123" authorId="0">
      <text>
        <r>
          <rPr>
            <b/>
            <sz val="8"/>
            <color indexed="81"/>
            <rFont val="Tahoma"/>
            <family val="2"/>
          </rPr>
          <t>116295:</t>
        </r>
        <r>
          <rPr>
            <sz val="8"/>
            <color indexed="81"/>
            <rFont val="Tahoma"/>
            <family val="2"/>
          </rPr>
          <t xml:space="preserve">
Garvin County Living Center
(405)238-3888</t>
        </r>
      </text>
    </comment>
    <comment ref="B1124" authorId="0">
      <text>
        <r>
          <rPr>
            <b/>
            <sz val="8"/>
            <color indexed="81"/>
            <rFont val="Tahoma"/>
            <family val="2"/>
          </rPr>
          <t>116295:</t>
        </r>
        <r>
          <rPr>
            <sz val="8"/>
            <color indexed="81"/>
            <rFont val="Tahoma"/>
            <family val="2"/>
          </rPr>
          <t xml:space="preserve">
Garvin County Living Center
(405)238-3888</t>
        </r>
      </text>
    </comment>
    <comment ref="B1125" authorId="0">
      <text>
        <r>
          <rPr>
            <b/>
            <sz val="8"/>
            <color indexed="81"/>
            <rFont val="Tahoma"/>
            <family val="2"/>
          </rPr>
          <t>116295:</t>
        </r>
        <r>
          <rPr>
            <sz val="8"/>
            <color indexed="81"/>
            <rFont val="Tahoma"/>
            <family val="2"/>
          </rPr>
          <t xml:space="preserve">
Garvin County Living Center
(405)238-3888</t>
        </r>
      </text>
    </comment>
    <comment ref="B1126" authorId="0">
      <text>
        <r>
          <rPr>
            <b/>
            <sz val="8"/>
            <color indexed="81"/>
            <rFont val="Tahoma"/>
            <family val="2"/>
          </rPr>
          <t>116295:</t>
        </r>
        <r>
          <rPr>
            <sz val="8"/>
            <color indexed="81"/>
            <rFont val="Tahoma"/>
            <family val="2"/>
          </rPr>
          <t xml:space="preserve">
Garvin County Living Center
(405)238-3888</t>
        </r>
      </text>
    </comment>
    <comment ref="B1127" authorId="0">
      <text>
        <r>
          <rPr>
            <b/>
            <sz val="8"/>
            <color indexed="81"/>
            <rFont val="Tahoma"/>
            <family val="2"/>
          </rPr>
          <t>116295:</t>
        </r>
        <r>
          <rPr>
            <sz val="8"/>
            <color indexed="81"/>
            <rFont val="Tahoma"/>
            <family val="2"/>
          </rPr>
          <t xml:space="preserve">
Garvin County Living Center
(405)238-3888</t>
        </r>
      </text>
    </comment>
    <comment ref="B1128" authorId="0">
      <text>
        <r>
          <rPr>
            <b/>
            <sz val="8"/>
            <color indexed="81"/>
            <rFont val="Tahoma"/>
            <family val="2"/>
          </rPr>
          <t>116295:</t>
        </r>
        <r>
          <rPr>
            <sz val="8"/>
            <color indexed="81"/>
            <rFont val="Tahoma"/>
            <family val="2"/>
          </rPr>
          <t xml:space="preserve">
Garvin County Living Center
(405)238-3888</t>
        </r>
      </text>
    </comment>
    <comment ref="B1129" authorId="0">
      <text>
        <r>
          <rPr>
            <b/>
            <sz val="8"/>
            <color indexed="81"/>
            <rFont val="Tahoma"/>
            <family val="2"/>
          </rPr>
          <t>116295:</t>
        </r>
        <r>
          <rPr>
            <sz val="8"/>
            <color indexed="81"/>
            <rFont val="Tahoma"/>
            <family val="2"/>
          </rPr>
          <t xml:space="preserve">
Garvin County Living Center
(405)238-3888</t>
        </r>
      </text>
    </comment>
    <comment ref="B1130" authorId="0">
      <text>
        <r>
          <rPr>
            <b/>
            <sz val="8"/>
            <color indexed="81"/>
            <rFont val="Tahoma"/>
            <family val="2"/>
          </rPr>
          <t>116295:</t>
        </r>
        <r>
          <rPr>
            <sz val="8"/>
            <color indexed="81"/>
            <rFont val="Tahoma"/>
            <family val="2"/>
          </rPr>
          <t xml:space="preserve">
Garvin County Living Center
(405)238-3888</t>
        </r>
      </text>
    </comment>
    <comment ref="B1131" authorId="0">
      <text>
        <r>
          <rPr>
            <b/>
            <sz val="8"/>
            <color indexed="81"/>
            <rFont val="Tahoma"/>
            <family val="2"/>
          </rPr>
          <t>116295:</t>
        </r>
        <r>
          <rPr>
            <sz val="8"/>
            <color indexed="81"/>
            <rFont val="Tahoma"/>
            <family val="2"/>
          </rPr>
          <t xml:space="preserve">
Garvin County Living Center
(405)238-3888</t>
        </r>
      </text>
    </comment>
    <comment ref="B1132" authorId="0">
      <text>
        <r>
          <rPr>
            <b/>
            <sz val="8"/>
            <color indexed="81"/>
            <rFont val="Tahoma"/>
            <family val="2"/>
          </rPr>
          <t>116295:</t>
        </r>
        <r>
          <rPr>
            <sz val="8"/>
            <color indexed="81"/>
            <rFont val="Tahoma"/>
            <family val="2"/>
          </rPr>
          <t xml:space="preserve">
Garvin County Living Center
(405)238-3888</t>
        </r>
      </text>
    </comment>
    <comment ref="B1133" authorId="0">
      <text>
        <r>
          <rPr>
            <b/>
            <sz val="8"/>
            <color indexed="81"/>
            <rFont val="Tahoma"/>
            <family val="2"/>
          </rPr>
          <t>116295:</t>
        </r>
        <r>
          <rPr>
            <sz val="8"/>
            <color indexed="81"/>
            <rFont val="Tahoma"/>
            <family val="2"/>
          </rPr>
          <t xml:space="preserve">
Garvin County Living Center
(405)238-3888</t>
        </r>
      </text>
    </comment>
    <comment ref="B1134" authorId="0">
      <text>
        <r>
          <rPr>
            <b/>
            <sz val="8"/>
            <color indexed="81"/>
            <rFont val="Tahoma"/>
            <family val="2"/>
          </rPr>
          <t>116295:</t>
        </r>
        <r>
          <rPr>
            <sz val="8"/>
            <color indexed="81"/>
            <rFont val="Tahoma"/>
            <family val="2"/>
          </rPr>
          <t xml:space="preserve">
Garvin County Living Center
(405)238-3888</t>
        </r>
      </text>
    </comment>
    <comment ref="B1135" authorId="0">
      <text>
        <r>
          <rPr>
            <b/>
            <sz val="8"/>
            <color indexed="81"/>
            <rFont val="Tahoma"/>
            <family val="2"/>
          </rPr>
          <t>116295:</t>
        </r>
        <r>
          <rPr>
            <sz val="8"/>
            <color indexed="81"/>
            <rFont val="Tahoma"/>
            <family val="2"/>
          </rPr>
          <t xml:space="preserve">
Garvin County Living Center
(405)238-3888</t>
        </r>
      </text>
    </comment>
    <comment ref="B1136" authorId="0">
      <text>
        <r>
          <rPr>
            <b/>
            <sz val="8"/>
            <color indexed="81"/>
            <rFont val="Tahoma"/>
            <family val="2"/>
          </rPr>
          <t>116295:</t>
        </r>
        <r>
          <rPr>
            <sz val="8"/>
            <color indexed="81"/>
            <rFont val="Tahoma"/>
            <family val="2"/>
          </rPr>
          <t xml:space="preserve">
Garvin County Living Center
(405)238-3888</t>
        </r>
      </text>
    </comment>
    <comment ref="B1137" authorId="0">
      <text>
        <r>
          <rPr>
            <b/>
            <sz val="8"/>
            <color indexed="81"/>
            <rFont val="Tahoma"/>
            <family val="2"/>
          </rPr>
          <t>116295:</t>
        </r>
        <r>
          <rPr>
            <sz val="8"/>
            <color indexed="81"/>
            <rFont val="Tahoma"/>
            <family val="2"/>
          </rPr>
          <t xml:space="preserve">
Garvin County Living Center
(405)238-3888</t>
        </r>
      </text>
    </comment>
    <comment ref="B1138" authorId="0">
      <text>
        <r>
          <rPr>
            <b/>
            <sz val="8"/>
            <color indexed="81"/>
            <rFont val="Tahoma"/>
            <family val="2"/>
          </rPr>
          <t>116295:</t>
        </r>
        <r>
          <rPr>
            <sz val="8"/>
            <color indexed="81"/>
            <rFont val="Tahoma"/>
            <family val="2"/>
          </rPr>
          <t xml:space="preserve">
Garvin County Living Center
(405)238-3888</t>
        </r>
      </text>
    </comment>
    <comment ref="B1139" authorId="0">
      <text>
        <r>
          <rPr>
            <b/>
            <sz val="8"/>
            <color indexed="81"/>
            <rFont val="Tahoma"/>
            <family val="2"/>
          </rPr>
          <t>116295:</t>
        </r>
        <r>
          <rPr>
            <sz val="8"/>
            <color indexed="81"/>
            <rFont val="Tahoma"/>
            <family val="2"/>
          </rPr>
          <t xml:space="preserve">
Garvin County Living Center
(405)238-3888</t>
        </r>
      </text>
    </comment>
    <comment ref="B1140" authorId="0">
      <text>
        <r>
          <rPr>
            <b/>
            <sz val="8"/>
            <color indexed="81"/>
            <rFont val="Tahoma"/>
            <family val="2"/>
          </rPr>
          <t>116295:</t>
        </r>
        <r>
          <rPr>
            <sz val="8"/>
            <color indexed="81"/>
            <rFont val="Tahoma"/>
            <family val="2"/>
          </rPr>
          <t xml:space="preserve">
Garvin County Living Center
(405)238-3888</t>
        </r>
      </text>
    </comment>
    <comment ref="B1141" authorId="0">
      <text>
        <r>
          <rPr>
            <b/>
            <sz val="8"/>
            <color indexed="81"/>
            <rFont val="Tahoma"/>
            <family val="2"/>
          </rPr>
          <t>116295:</t>
        </r>
        <r>
          <rPr>
            <sz val="8"/>
            <color indexed="81"/>
            <rFont val="Tahoma"/>
            <family val="2"/>
          </rPr>
          <t xml:space="preserve">
Garvin County Living Center
(405)238-3888</t>
        </r>
      </text>
    </comment>
    <comment ref="B1142" authorId="0">
      <text>
        <r>
          <rPr>
            <b/>
            <sz val="8"/>
            <color indexed="81"/>
            <rFont val="Tahoma"/>
            <family val="2"/>
          </rPr>
          <t>116295:</t>
        </r>
        <r>
          <rPr>
            <sz val="8"/>
            <color indexed="81"/>
            <rFont val="Tahoma"/>
            <family val="2"/>
          </rPr>
          <t xml:space="preserve">
Garvin County Living Center
(405)238-3888</t>
        </r>
      </text>
    </comment>
    <comment ref="B1143" authorId="0">
      <text>
        <r>
          <rPr>
            <b/>
            <sz val="8"/>
            <color indexed="81"/>
            <rFont val="Tahoma"/>
            <family val="2"/>
          </rPr>
          <t>116295:</t>
        </r>
        <r>
          <rPr>
            <sz val="8"/>
            <color indexed="81"/>
            <rFont val="Tahoma"/>
            <family val="2"/>
          </rPr>
          <t xml:space="preserve">
Garvin County Living Center
(405)238-3888</t>
        </r>
      </text>
    </comment>
    <comment ref="B1144" authorId="0">
      <text>
        <r>
          <rPr>
            <b/>
            <sz val="8"/>
            <color indexed="81"/>
            <rFont val="Tahoma"/>
            <family val="2"/>
          </rPr>
          <t>116295:</t>
        </r>
        <r>
          <rPr>
            <sz val="8"/>
            <color indexed="81"/>
            <rFont val="Tahoma"/>
            <family val="2"/>
          </rPr>
          <t xml:space="preserve">
Garvin County Living Center
(405)238-3888</t>
        </r>
      </text>
    </comment>
    <comment ref="B1145" authorId="0">
      <text>
        <r>
          <rPr>
            <b/>
            <sz val="8"/>
            <color indexed="81"/>
            <rFont val="Tahoma"/>
            <family val="2"/>
          </rPr>
          <t>116295:</t>
        </r>
        <r>
          <rPr>
            <sz val="8"/>
            <color indexed="81"/>
            <rFont val="Tahoma"/>
            <family val="2"/>
          </rPr>
          <t xml:space="preserve">
Garvin County Living Center
(405)238-3888</t>
        </r>
      </text>
    </comment>
    <comment ref="B1146" authorId="0">
      <text>
        <r>
          <rPr>
            <b/>
            <sz val="8"/>
            <color indexed="81"/>
            <rFont val="Tahoma"/>
            <family val="2"/>
          </rPr>
          <t>116295:</t>
        </r>
        <r>
          <rPr>
            <sz val="8"/>
            <color indexed="81"/>
            <rFont val="Tahoma"/>
            <family val="2"/>
          </rPr>
          <t xml:space="preserve">
Garvin County Living Center
(405)238-3888</t>
        </r>
      </text>
    </comment>
    <comment ref="B1147" authorId="0">
      <text>
        <r>
          <rPr>
            <b/>
            <sz val="8"/>
            <color indexed="81"/>
            <rFont val="Tahoma"/>
            <family val="2"/>
          </rPr>
          <t>116295:</t>
        </r>
        <r>
          <rPr>
            <sz val="8"/>
            <color indexed="81"/>
            <rFont val="Tahoma"/>
            <family val="2"/>
          </rPr>
          <t xml:space="preserve">
Garvin County Living Center
(405)238-3888</t>
        </r>
      </text>
    </comment>
    <comment ref="B1148" authorId="0">
      <text>
        <r>
          <rPr>
            <b/>
            <sz val="8"/>
            <color indexed="81"/>
            <rFont val="Tahoma"/>
            <family val="2"/>
          </rPr>
          <t>116295:</t>
        </r>
        <r>
          <rPr>
            <sz val="8"/>
            <color indexed="81"/>
            <rFont val="Tahoma"/>
            <family val="2"/>
          </rPr>
          <t xml:space="preserve">
Garvin County Living Center
(405)238-3888</t>
        </r>
      </text>
    </comment>
    <comment ref="B1149" authorId="0">
      <text>
        <r>
          <rPr>
            <b/>
            <sz val="8"/>
            <color indexed="81"/>
            <rFont val="Tahoma"/>
            <family val="2"/>
          </rPr>
          <t>116295:</t>
        </r>
        <r>
          <rPr>
            <sz val="8"/>
            <color indexed="81"/>
            <rFont val="Tahoma"/>
            <family val="2"/>
          </rPr>
          <t xml:space="preserve">
Garvin County Living Center
(405)238-3888</t>
        </r>
      </text>
    </comment>
    <comment ref="B1150" authorId="0">
      <text>
        <r>
          <rPr>
            <b/>
            <sz val="8"/>
            <color indexed="81"/>
            <rFont val="Tahoma"/>
            <family val="2"/>
          </rPr>
          <t>116295:</t>
        </r>
        <r>
          <rPr>
            <sz val="8"/>
            <color indexed="81"/>
            <rFont val="Tahoma"/>
            <family val="2"/>
          </rPr>
          <t xml:space="preserve">
Garvin County Living Center
(405)238-3888</t>
        </r>
      </text>
    </comment>
    <comment ref="B1151" authorId="0">
      <text>
        <r>
          <rPr>
            <b/>
            <sz val="8"/>
            <color indexed="81"/>
            <rFont val="Tahoma"/>
            <family val="2"/>
          </rPr>
          <t>116295:</t>
        </r>
        <r>
          <rPr>
            <sz val="8"/>
            <color indexed="81"/>
            <rFont val="Tahoma"/>
            <family val="2"/>
          </rPr>
          <t xml:space="preserve">
Garvin County Living Center
(405)238-3888</t>
        </r>
      </text>
    </comment>
    <comment ref="B1152" authorId="0">
      <text>
        <r>
          <rPr>
            <b/>
            <sz val="8"/>
            <color indexed="81"/>
            <rFont val="Tahoma"/>
            <family val="2"/>
          </rPr>
          <t>116295:</t>
        </r>
        <r>
          <rPr>
            <sz val="8"/>
            <color indexed="81"/>
            <rFont val="Tahoma"/>
            <family val="2"/>
          </rPr>
          <t xml:space="preserve">
Garvin County Living Center
(405)238-3888</t>
        </r>
      </text>
    </comment>
    <comment ref="B1153" authorId="0">
      <text>
        <r>
          <rPr>
            <b/>
            <sz val="8"/>
            <color indexed="81"/>
            <rFont val="Tahoma"/>
            <family val="2"/>
          </rPr>
          <t>116295:</t>
        </r>
        <r>
          <rPr>
            <sz val="8"/>
            <color indexed="81"/>
            <rFont val="Tahoma"/>
            <family val="2"/>
          </rPr>
          <t xml:space="preserve">
Garvin County Living Center
(405)238-3888</t>
        </r>
      </text>
    </comment>
    <comment ref="B1154" authorId="0">
      <text>
        <r>
          <rPr>
            <b/>
            <sz val="8"/>
            <color indexed="81"/>
            <rFont val="Tahoma"/>
            <family val="2"/>
          </rPr>
          <t>116295:</t>
        </r>
        <r>
          <rPr>
            <sz val="8"/>
            <color indexed="81"/>
            <rFont val="Tahoma"/>
            <family val="2"/>
          </rPr>
          <t xml:space="preserve">
Garvin County Living Center
(405)238-3888</t>
        </r>
      </text>
    </comment>
    <comment ref="B1155" authorId="0">
      <text>
        <r>
          <rPr>
            <b/>
            <sz val="8"/>
            <color indexed="81"/>
            <rFont val="Tahoma"/>
            <family val="2"/>
          </rPr>
          <t>116295:</t>
        </r>
        <r>
          <rPr>
            <sz val="8"/>
            <color indexed="81"/>
            <rFont val="Tahoma"/>
            <family val="2"/>
          </rPr>
          <t xml:space="preserve">
Garvin County Living Center
(405)238-3888</t>
        </r>
      </text>
    </comment>
    <comment ref="B1156" authorId="0">
      <text>
        <r>
          <rPr>
            <b/>
            <sz val="8"/>
            <color indexed="81"/>
            <rFont val="Tahoma"/>
            <family val="2"/>
          </rPr>
          <t>116295:</t>
        </r>
        <r>
          <rPr>
            <sz val="8"/>
            <color indexed="81"/>
            <rFont val="Tahoma"/>
            <family val="2"/>
          </rPr>
          <t xml:space="preserve">
Garvin County Living Center
(405)238-3888</t>
        </r>
      </text>
    </comment>
    <comment ref="B1157" authorId="0">
      <text>
        <r>
          <rPr>
            <b/>
            <sz val="8"/>
            <color indexed="81"/>
            <rFont val="Tahoma"/>
            <family val="2"/>
          </rPr>
          <t>116295:</t>
        </r>
        <r>
          <rPr>
            <sz val="8"/>
            <color indexed="81"/>
            <rFont val="Tahoma"/>
            <family val="2"/>
          </rPr>
          <t xml:space="preserve">
Garvin County Living Center
(405)238-3888</t>
        </r>
      </text>
    </comment>
    <comment ref="B1158" authorId="0">
      <text>
        <r>
          <rPr>
            <b/>
            <sz val="8"/>
            <color indexed="81"/>
            <rFont val="Tahoma"/>
            <family val="2"/>
          </rPr>
          <t>116295:</t>
        </r>
        <r>
          <rPr>
            <sz val="8"/>
            <color indexed="81"/>
            <rFont val="Tahoma"/>
            <family val="2"/>
          </rPr>
          <t xml:space="preserve">
Garvin County Living Center
(405)238-3888</t>
        </r>
      </text>
    </comment>
    <comment ref="B1159" authorId="0">
      <text>
        <r>
          <rPr>
            <b/>
            <sz val="8"/>
            <color indexed="81"/>
            <rFont val="Tahoma"/>
            <family val="2"/>
          </rPr>
          <t>116295:</t>
        </r>
        <r>
          <rPr>
            <sz val="8"/>
            <color indexed="81"/>
            <rFont val="Tahoma"/>
            <family val="2"/>
          </rPr>
          <t xml:space="preserve">
Garvin County Living Center
(405)238-3888</t>
        </r>
      </text>
    </comment>
    <comment ref="B1160" authorId="0">
      <text>
        <r>
          <rPr>
            <b/>
            <sz val="8"/>
            <color indexed="81"/>
            <rFont val="Tahoma"/>
            <family val="2"/>
          </rPr>
          <t>116295:</t>
        </r>
        <r>
          <rPr>
            <sz val="8"/>
            <color indexed="81"/>
            <rFont val="Tahoma"/>
            <family val="2"/>
          </rPr>
          <t xml:space="preserve">
Garvin County Living Center
(405)238-3888</t>
        </r>
      </text>
    </comment>
    <comment ref="B1161" authorId="0">
      <text>
        <r>
          <rPr>
            <b/>
            <sz val="8"/>
            <color indexed="81"/>
            <rFont val="Tahoma"/>
            <family val="2"/>
          </rPr>
          <t>116295:</t>
        </r>
        <r>
          <rPr>
            <sz val="8"/>
            <color indexed="81"/>
            <rFont val="Tahoma"/>
            <family val="2"/>
          </rPr>
          <t xml:space="preserve">
Garvin County Living Center
(405)238-3888</t>
        </r>
      </text>
    </comment>
    <comment ref="B1162" authorId="0">
      <text>
        <r>
          <rPr>
            <b/>
            <sz val="8"/>
            <color indexed="81"/>
            <rFont val="Tahoma"/>
            <family val="2"/>
          </rPr>
          <t>116295:</t>
        </r>
        <r>
          <rPr>
            <sz val="8"/>
            <color indexed="81"/>
            <rFont val="Tahoma"/>
            <family val="2"/>
          </rPr>
          <t xml:space="preserve">
Garvin County Living Center
(405)238-3888</t>
        </r>
      </text>
    </comment>
    <comment ref="B1163" authorId="0">
      <text>
        <r>
          <rPr>
            <b/>
            <sz val="8"/>
            <color indexed="81"/>
            <rFont val="Tahoma"/>
            <family val="2"/>
          </rPr>
          <t>116295:</t>
        </r>
        <r>
          <rPr>
            <sz val="8"/>
            <color indexed="81"/>
            <rFont val="Tahoma"/>
            <family val="2"/>
          </rPr>
          <t xml:space="preserve">
Garvin County Living Center
(405)238-3888</t>
        </r>
      </text>
    </comment>
    <comment ref="B1164" authorId="0">
      <text>
        <r>
          <rPr>
            <b/>
            <sz val="8"/>
            <color indexed="81"/>
            <rFont val="Tahoma"/>
            <family val="2"/>
          </rPr>
          <t>116295:</t>
        </r>
        <r>
          <rPr>
            <sz val="8"/>
            <color indexed="81"/>
            <rFont val="Tahoma"/>
            <family val="2"/>
          </rPr>
          <t xml:space="preserve">
Garvin County Living Center
(405)238-3888</t>
        </r>
      </text>
    </comment>
    <comment ref="B1165" authorId="0">
      <text>
        <r>
          <rPr>
            <b/>
            <sz val="8"/>
            <color indexed="81"/>
            <rFont val="Tahoma"/>
            <family val="2"/>
          </rPr>
          <t>116295:</t>
        </r>
        <r>
          <rPr>
            <sz val="8"/>
            <color indexed="81"/>
            <rFont val="Tahoma"/>
            <family val="2"/>
          </rPr>
          <t xml:space="preserve">
Garvin County Living Center
(405)238-3888</t>
        </r>
      </text>
    </comment>
    <comment ref="B1166" authorId="0">
      <text>
        <r>
          <rPr>
            <b/>
            <sz val="8"/>
            <color indexed="81"/>
            <rFont val="Tahoma"/>
            <family val="2"/>
          </rPr>
          <t>116295:</t>
        </r>
        <r>
          <rPr>
            <sz val="8"/>
            <color indexed="81"/>
            <rFont val="Tahoma"/>
            <family val="2"/>
          </rPr>
          <t xml:space="preserve">
Garvin County Living Center
(405)238-3888</t>
        </r>
      </text>
    </comment>
    <comment ref="B1167" authorId="0">
      <text>
        <r>
          <rPr>
            <b/>
            <sz val="8"/>
            <color indexed="81"/>
            <rFont val="Tahoma"/>
            <family val="2"/>
          </rPr>
          <t>116295:</t>
        </r>
        <r>
          <rPr>
            <sz val="8"/>
            <color indexed="81"/>
            <rFont val="Tahoma"/>
            <family val="2"/>
          </rPr>
          <t xml:space="preserve">
Garvin County Living Center
(405)238-3888</t>
        </r>
      </text>
    </comment>
    <comment ref="B1168" authorId="0">
      <text>
        <r>
          <rPr>
            <b/>
            <sz val="8"/>
            <color indexed="81"/>
            <rFont val="Tahoma"/>
            <family val="2"/>
          </rPr>
          <t>116295:</t>
        </r>
        <r>
          <rPr>
            <sz val="8"/>
            <color indexed="81"/>
            <rFont val="Tahoma"/>
            <family val="2"/>
          </rPr>
          <t xml:space="preserve">
Garvin County Living Center
(405)238-3888</t>
        </r>
      </text>
    </comment>
    <comment ref="B1169" authorId="0">
      <text>
        <r>
          <rPr>
            <b/>
            <sz val="8"/>
            <color indexed="81"/>
            <rFont val="Tahoma"/>
            <family val="2"/>
          </rPr>
          <t>116295:</t>
        </r>
        <r>
          <rPr>
            <sz val="8"/>
            <color indexed="81"/>
            <rFont val="Tahoma"/>
            <family val="2"/>
          </rPr>
          <t xml:space="preserve">
Garvin County Living Center
(405)238-3888</t>
        </r>
      </text>
    </comment>
    <comment ref="B1170" authorId="0">
      <text>
        <r>
          <rPr>
            <b/>
            <sz val="8"/>
            <color indexed="81"/>
            <rFont val="Tahoma"/>
            <family val="2"/>
          </rPr>
          <t>116295:</t>
        </r>
        <r>
          <rPr>
            <sz val="8"/>
            <color indexed="81"/>
            <rFont val="Tahoma"/>
            <family val="2"/>
          </rPr>
          <t xml:space="preserve">
Garvin County Living Center
(405)238-3888</t>
        </r>
      </text>
    </comment>
    <comment ref="B1171" authorId="0">
      <text>
        <r>
          <rPr>
            <b/>
            <sz val="8"/>
            <color indexed="81"/>
            <rFont val="Tahoma"/>
            <family val="2"/>
          </rPr>
          <t>116295:</t>
        </r>
        <r>
          <rPr>
            <sz val="8"/>
            <color indexed="81"/>
            <rFont val="Tahoma"/>
            <family val="2"/>
          </rPr>
          <t xml:space="preserve">
Garvin County Living Center
(405)238-3888</t>
        </r>
      </text>
    </comment>
    <comment ref="B1172" authorId="0">
      <text>
        <r>
          <rPr>
            <b/>
            <sz val="8"/>
            <color indexed="81"/>
            <rFont val="Tahoma"/>
            <family val="2"/>
          </rPr>
          <t>116295:</t>
        </r>
        <r>
          <rPr>
            <sz val="8"/>
            <color indexed="81"/>
            <rFont val="Tahoma"/>
            <family val="2"/>
          </rPr>
          <t xml:space="preserve">
Garvin County Living Center
(405)238-3888</t>
        </r>
      </text>
    </comment>
    <comment ref="B1173" authorId="0">
      <text>
        <r>
          <rPr>
            <b/>
            <sz val="8"/>
            <color indexed="81"/>
            <rFont val="Tahoma"/>
            <family val="2"/>
          </rPr>
          <t>116295:</t>
        </r>
        <r>
          <rPr>
            <sz val="8"/>
            <color indexed="81"/>
            <rFont val="Tahoma"/>
            <family val="2"/>
          </rPr>
          <t xml:space="preserve">
Garvin County Living Center
(405)238-3888</t>
        </r>
      </text>
    </comment>
    <comment ref="B1174" authorId="0">
      <text>
        <r>
          <rPr>
            <b/>
            <sz val="8"/>
            <color indexed="81"/>
            <rFont val="Tahoma"/>
            <family val="2"/>
          </rPr>
          <t>116295:</t>
        </r>
        <r>
          <rPr>
            <sz val="8"/>
            <color indexed="81"/>
            <rFont val="Tahoma"/>
            <family val="2"/>
          </rPr>
          <t xml:space="preserve">
Garvin County Living Center
(405)238-3888</t>
        </r>
      </text>
    </comment>
    <comment ref="B1175" authorId="0">
      <text>
        <r>
          <rPr>
            <b/>
            <sz val="8"/>
            <color indexed="81"/>
            <rFont val="Tahoma"/>
            <family val="2"/>
          </rPr>
          <t>116295:</t>
        </r>
        <r>
          <rPr>
            <sz val="8"/>
            <color indexed="81"/>
            <rFont val="Tahoma"/>
            <family val="2"/>
          </rPr>
          <t xml:space="preserve">
Garvin County Living Center
(405)238-3888</t>
        </r>
      </text>
    </comment>
    <comment ref="B1176" authorId="0">
      <text>
        <r>
          <rPr>
            <b/>
            <sz val="8"/>
            <color indexed="81"/>
            <rFont val="Tahoma"/>
            <family val="2"/>
          </rPr>
          <t>116295:</t>
        </r>
        <r>
          <rPr>
            <sz val="8"/>
            <color indexed="81"/>
            <rFont val="Tahoma"/>
            <family val="2"/>
          </rPr>
          <t xml:space="preserve">
Garvin County Living Center
(405)238-3888</t>
        </r>
      </text>
    </comment>
    <comment ref="B1177" authorId="0">
      <text>
        <r>
          <rPr>
            <b/>
            <sz val="8"/>
            <color indexed="81"/>
            <rFont val="Tahoma"/>
            <family val="2"/>
          </rPr>
          <t>116295:</t>
        </r>
        <r>
          <rPr>
            <sz val="8"/>
            <color indexed="81"/>
            <rFont val="Tahoma"/>
            <family val="2"/>
          </rPr>
          <t xml:space="preserve">
Garvin County Living Center
(405)238-3888</t>
        </r>
      </text>
    </comment>
    <comment ref="B1178" authorId="0">
      <text>
        <r>
          <rPr>
            <b/>
            <sz val="8"/>
            <color indexed="81"/>
            <rFont val="Tahoma"/>
            <family val="2"/>
          </rPr>
          <t>116295:</t>
        </r>
        <r>
          <rPr>
            <sz val="8"/>
            <color indexed="81"/>
            <rFont val="Tahoma"/>
            <family val="2"/>
          </rPr>
          <t xml:space="preserve">
Garvin County Living Center
(405)238-3888</t>
        </r>
      </text>
    </comment>
    <comment ref="B1179" authorId="0">
      <text>
        <r>
          <rPr>
            <b/>
            <sz val="8"/>
            <color indexed="81"/>
            <rFont val="Tahoma"/>
            <family val="2"/>
          </rPr>
          <t>116295:</t>
        </r>
        <r>
          <rPr>
            <sz val="8"/>
            <color indexed="81"/>
            <rFont val="Tahoma"/>
            <family val="2"/>
          </rPr>
          <t xml:space="preserve">
Garvin County Living Center
(405)238-3888</t>
        </r>
      </text>
    </comment>
    <comment ref="B1180" authorId="0">
      <text>
        <r>
          <rPr>
            <b/>
            <sz val="8"/>
            <color indexed="81"/>
            <rFont val="Tahoma"/>
            <family val="2"/>
          </rPr>
          <t>116295:</t>
        </r>
        <r>
          <rPr>
            <sz val="8"/>
            <color indexed="81"/>
            <rFont val="Tahoma"/>
            <family val="2"/>
          </rPr>
          <t xml:space="preserve">
Garvin County Living Center
(405)238-3888</t>
        </r>
      </text>
    </comment>
    <comment ref="B1181" authorId="0">
      <text>
        <r>
          <rPr>
            <b/>
            <sz val="8"/>
            <color indexed="81"/>
            <rFont val="Tahoma"/>
            <family val="2"/>
          </rPr>
          <t>116295:</t>
        </r>
        <r>
          <rPr>
            <sz val="8"/>
            <color indexed="81"/>
            <rFont val="Tahoma"/>
            <family val="2"/>
          </rPr>
          <t xml:space="preserve">
Garvin County Living Center
(405)238-3888</t>
        </r>
      </text>
    </comment>
    <comment ref="B1182" authorId="0">
      <text>
        <r>
          <rPr>
            <b/>
            <sz val="8"/>
            <color indexed="81"/>
            <rFont val="Tahoma"/>
            <family val="2"/>
          </rPr>
          <t>116295:</t>
        </r>
        <r>
          <rPr>
            <sz val="8"/>
            <color indexed="81"/>
            <rFont val="Tahoma"/>
            <family val="2"/>
          </rPr>
          <t xml:space="preserve">
Garvin County Living Center
(405)238-3888</t>
        </r>
      </text>
    </comment>
    <comment ref="B1183" authorId="0">
      <text>
        <r>
          <rPr>
            <b/>
            <sz val="8"/>
            <color indexed="81"/>
            <rFont val="Tahoma"/>
            <family val="2"/>
          </rPr>
          <t>116295:</t>
        </r>
        <r>
          <rPr>
            <sz val="8"/>
            <color indexed="81"/>
            <rFont val="Tahoma"/>
            <family val="2"/>
          </rPr>
          <t xml:space="preserve">
Garvin County Living Center
(405)238-3888</t>
        </r>
      </text>
    </comment>
    <comment ref="B1184" authorId="0">
      <text>
        <r>
          <rPr>
            <b/>
            <sz val="8"/>
            <color indexed="81"/>
            <rFont val="Tahoma"/>
            <family val="2"/>
          </rPr>
          <t>116295:</t>
        </r>
        <r>
          <rPr>
            <sz val="8"/>
            <color indexed="81"/>
            <rFont val="Tahoma"/>
            <family val="2"/>
          </rPr>
          <t xml:space="preserve">
Garvin County Living Center
(405)238-3888</t>
        </r>
      </text>
    </comment>
    <comment ref="B1185" authorId="0">
      <text>
        <r>
          <rPr>
            <b/>
            <sz val="8"/>
            <color indexed="81"/>
            <rFont val="Tahoma"/>
            <family val="2"/>
          </rPr>
          <t>116295:</t>
        </r>
        <r>
          <rPr>
            <sz val="8"/>
            <color indexed="81"/>
            <rFont val="Tahoma"/>
            <family val="2"/>
          </rPr>
          <t xml:space="preserve">
Garvin County Living Center
(405)238-3888</t>
        </r>
      </text>
    </comment>
    <comment ref="B1186" authorId="0">
      <text>
        <r>
          <rPr>
            <b/>
            <sz val="8"/>
            <color indexed="81"/>
            <rFont val="Tahoma"/>
            <family val="2"/>
          </rPr>
          <t>116295:</t>
        </r>
        <r>
          <rPr>
            <sz val="8"/>
            <color indexed="81"/>
            <rFont val="Tahoma"/>
            <family val="2"/>
          </rPr>
          <t xml:space="preserve">
Garvin County Living Center
(405)238-3888</t>
        </r>
      </text>
    </comment>
    <comment ref="B1187" authorId="0">
      <text>
        <r>
          <rPr>
            <b/>
            <sz val="8"/>
            <color indexed="81"/>
            <rFont val="Tahoma"/>
            <family val="2"/>
          </rPr>
          <t>116295:</t>
        </r>
        <r>
          <rPr>
            <sz val="8"/>
            <color indexed="81"/>
            <rFont val="Tahoma"/>
            <family val="2"/>
          </rPr>
          <t xml:space="preserve">
Garvin County Living Center
(405)238-3888</t>
        </r>
      </text>
    </comment>
    <comment ref="B1188" authorId="0">
      <text>
        <r>
          <rPr>
            <b/>
            <sz val="8"/>
            <color indexed="81"/>
            <rFont val="Tahoma"/>
            <family val="2"/>
          </rPr>
          <t>116295:</t>
        </r>
        <r>
          <rPr>
            <sz val="8"/>
            <color indexed="81"/>
            <rFont val="Tahoma"/>
            <family val="2"/>
          </rPr>
          <t xml:space="preserve">
Garvin County Living Center
(405)238-3888</t>
        </r>
      </text>
    </comment>
    <comment ref="B1189" authorId="0">
      <text>
        <r>
          <rPr>
            <b/>
            <sz val="8"/>
            <color indexed="81"/>
            <rFont val="Tahoma"/>
            <family val="2"/>
          </rPr>
          <t>116295:</t>
        </r>
        <r>
          <rPr>
            <sz val="8"/>
            <color indexed="81"/>
            <rFont val="Tahoma"/>
            <family val="2"/>
          </rPr>
          <t xml:space="preserve">
Garvin County Living Center
(405)238-3888</t>
        </r>
      </text>
    </comment>
    <comment ref="B1190" authorId="0">
      <text>
        <r>
          <rPr>
            <b/>
            <sz val="8"/>
            <color indexed="81"/>
            <rFont val="Tahoma"/>
            <family val="2"/>
          </rPr>
          <t>116295:</t>
        </r>
        <r>
          <rPr>
            <sz val="8"/>
            <color indexed="81"/>
            <rFont val="Tahoma"/>
            <family val="2"/>
          </rPr>
          <t xml:space="preserve">
Garvin County Living Center
(405)238-3888</t>
        </r>
      </text>
    </comment>
    <comment ref="B1191" authorId="0">
      <text>
        <r>
          <rPr>
            <b/>
            <sz val="8"/>
            <color indexed="81"/>
            <rFont val="Tahoma"/>
            <family val="2"/>
          </rPr>
          <t>116295:</t>
        </r>
        <r>
          <rPr>
            <sz val="8"/>
            <color indexed="81"/>
            <rFont val="Tahoma"/>
            <family val="2"/>
          </rPr>
          <t xml:space="preserve">
Garvin County Living Center
(405)238-3888</t>
        </r>
      </text>
    </comment>
    <comment ref="B1192" authorId="0">
      <text>
        <r>
          <rPr>
            <b/>
            <sz val="8"/>
            <color indexed="81"/>
            <rFont val="Tahoma"/>
            <family val="2"/>
          </rPr>
          <t>116295:</t>
        </r>
        <r>
          <rPr>
            <sz val="8"/>
            <color indexed="81"/>
            <rFont val="Tahoma"/>
            <family val="2"/>
          </rPr>
          <t xml:space="preserve">
Garvin County Living Center
(405)238-3888</t>
        </r>
      </text>
    </comment>
    <comment ref="B1193" authorId="0">
      <text>
        <r>
          <rPr>
            <b/>
            <sz val="8"/>
            <color indexed="81"/>
            <rFont val="Tahoma"/>
            <family val="2"/>
          </rPr>
          <t>116295:</t>
        </r>
        <r>
          <rPr>
            <sz val="8"/>
            <color indexed="81"/>
            <rFont val="Tahoma"/>
            <family val="2"/>
          </rPr>
          <t xml:space="preserve">
Garvin County Living Center
(405)238-3888</t>
        </r>
      </text>
    </comment>
    <comment ref="B1194" authorId="0">
      <text>
        <r>
          <rPr>
            <b/>
            <sz val="8"/>
            <color indexed="81"/>
            <rFont val="Tahoma"/>
            <family val="2"/>
          </rPr>
          <t>116295:</t>
        </r>
        <r>
          <rPr>
            <sz val="8"/>
            <color indexed="81"/>
            <rFont val="Tahoma"/>
            <family val="2"/>
          </rPr>
          <t xml:space="preserve">
Garvin County Living Center
(405)238-3888</t>
        </r>
      </text>
    </comment>
    <comment ref="B1195" authorId="0">
      <text>
        <r>
          <rPr>
            <b/>
            <sz val="8"/>
            <color indexed="81"/>
            <rFont val="Tahoma"/>
            <family val="2"/>
          </rPr>
          <t>116295:</t>
        </r>
        <r>
          <rPr>
            <sz val="8"/>
            <color indexed="81"/>
            <rFont val="Tahoma"/>
            <family val="2"/>
          </rPr>
          <t xml:space="preserve">
Garvin County Living Center
(405)238-3888</t>
        </r>
      </text>
    </comment>
    <comment ref="B1196" authorId="0">
      <text>
        <r>
          <rPr>
            <b/>
            <sz val="8"/>
            <color indexed="81"/>
            <rFont val="Tahoma"/>
            <family val="2"/>
          </rPr>
          <t>116295:</t>
        </r>
        <r>
          <rPr>
            <sz val="8"/>
            <color indexed="81"/>
            <rFont val="Tahoma"/>
            <family val="2"/>
          </rPr>
          <t xml:space="preserve">
Garvin County Living Center
(405)238-3888</t>
        </r>
      </text>
    </comment>
    <comment ref="B1197" authorId="0">
      <text>
        <r>
          <rPr>
            <b/>
            <sz val="8"/>
            <color indexed="81"/>
            <rFont val="Tahoma"/>
            <family val="2"/>
          </rPr>
          <t>116295:</t>
        </r>
        <r>
          <rPr>
            <sz val="8"/>
            <color indexed="81"/>
            <rFont val="Tahoma"/>
            <family val="2"/>
          </rPr>
          <t xml:space="preserve">
Garvin County Living Center
(405)238-3888</t>
        </r>
      </text>
    </comment>
    <comment ref="B1198" authorId="0">
      <text>
        <r>
          <rPr>
            <b/>
            <sz val="8"/>
            <color indexed="81"/>
            <rFont val="Tahoma"/>
            <family val="2"/>
          </rPr>
          <t>116295:</t>
        </r>
        <r>
          <rPr>
            <sz val="8"/>
            <color indexed="81"/>
            <rFont val="Tahoma"/>
            <family val="2"/>
          </rPr>
          <t xml:space="preserve">
Garvin County Living Center
(405)238-3888</t>
        </r>
      </text>
    </comment>
    <comment ref="B1199" authorId="0">
      <text>
        <r>
          <rPr>
            <b/>
            <sz val="8"/>
            <color indexed="81"/>
            <rFont val="Tahoma"/>
            <family val="2"/>
          </rPr>
          <t>116295:</t>
        </r>
        <r>
          <rPr>
            <sz val="8"/>
            <color indexed="81"/>
            <rFont val="Tahoma"/>
            <family val="2"/>
          </rPr>
          <t xml:space="preserve">
Garvin County Living Center
(405)238-3888</t>
        </r>
      </text>
    </comment>
    <comment ref="B1200" authorId="0">
      <text>
        <r>
          <rPr>
            <b/>
            <sz val="8"/>
            <color indexed="81"/>
            <rFont val="Tahoma"/>
            <family val="2"/>
          </rPr>
          <t>116295:</t>
        </r>
        <r>
          <rPr>
            <sz val="8"/>
            <color indexed="81"/>
            <rFont val="Tahoma"/>
            <family val="2"/>
          </rPr>
          <t xml:space="preserve">
Garvin County Living Center
(405)238-3888</t>
        </r>
      </text>
    </comment>
    <comment ref="B1201" authorId="0">
      <text>
        <r>
          <rPr>
            <b/>
            <sz val="8"/>
            <color indexed="81"/>
            <rFont val="Tahoma"/>
            <family val="2"/>
          </rPr>
          <t>116295:</t>
        </r>
        <r>
          <rPr>
            <sz val="8"/>
            <color indexed="81"/>
            <rFont val="Tahoma"/>
            <family val="2"/>
          </rPr>
          <t xml:space="preserve">
Garvin County Living Center
(405)238-3888</t>
        </r>
      </text>
    </comment>
    <comment ref="B1202" authorId="0">
      <text>
        <r>
          <rPr>
            <b/>
            <sz val="8"/>
            <color indexed="81"/>
            <rFont val="Tahoma"/>
            <family val="2"/>
          </rPr>
          <t>116295:</t>
        </r>
        <r>
          <rPr>
            <sz val="8"/>
            <color indexed="81"/>
            <rFont val="Tahoma"/>
            <family val="2"/>
          </rPr>
          <t xml:space="preserve">
Garvin County Living Center
(405)238-3888</t>
        </r>
      </text>
    </comment>
    <comment ref="B1203" authorId="0">
      <text>
        <r>
          <rPr>
            <b/>
            <sz val="8"/>
            <color indexed="81"/>
            <rFont val="Tahoma"/>
            <family val="2"/>
          </rPr>
          <t>116295:</t>
        </r>
        <r>
          <rPr>
            <sz val="8"/>
            <color indexed="81"/>
            <rFont val="Tahoma"/>
            <family val="2"/>
          </rPr>
          <t xml:space="preserve">
Garvin County Living Center
(405)238-3888</t>
        </r>
      </text>
    </comment>
    <comment ref="B1204" authorId="0">
      <text>
        <r>
          <rPr>
            <b/>
            <sz val="8"/>
            <color indexed="81"/>
            <rFont val="Tahoma"/>
            <family val="2"/>
          </rPr>
          <t>116295:</t>
        </r>
        <r>
          <rPr>
            <sz val="8"/>
            <color indexed="81"/>
            <rFont val="Tahoma"/>
            <family val="2"/>
          </rPr>
          <t xml:space="preserve">
Garvin County Living Center
(405)238-3888</t>
        </r>
      </text>
    </comment>
    <comment ref="B1205" authorId="0">
      <text>
        <r>
          <rPr>
            <b/>
            <sz val="8"/>
            <color indexed="81"/>
            <rFont val="Tahoma"/>
            <family val="2"/>
          </rPr>
          <t>116295:</t>
        </r>
        <r>
          <rPr>
            <sz val="8"/>
            <color indexed="81"/>
            <rFont val="Tahoma"/>
            <family val="2"/>
          </rPr>
          <t xml:space="preserve">
Garvin County Living Center
(405)238-3888</t>
        </r>
      </text>
    </comment>
    <comment ref="B1206" authorId="0">
      <text>
        <r>
          <rPr>
            <b/>
            <sz val="8"/>
            <color indexed="81"/>
            <rFont val="Tahoma"/>
            <family val="2"/>
          </rPr>
          <t>116295:</t>
        </r>
        <r>
          <rPr>
            <sz val="8"/>
            <color indexed="81"/>
            <rFont val="Tahoma"/>
            <family val="2"/>
          </rPr>
          <t xml:space="preserve">
Garvin County Living Center
(405)238-3888</t>
        </r>
      </text>
    </comment>
    <comment ref="B1207" authorId="0">
      <text>
        <r>
          <rPr>
            <b/>
            <sz val="8"/>
            <color indexed="81"/>
            <rFont val="Tahoma"/>
            <family val="2"/>
          </rPr>
          <t>116295:</t>
        </r>
        <r>
          <rPr>
            <sz val="8"/>
            <color indexed="81"/>
            <rFont val="Tahoma"/>
            <family val="2"/>
          </rPr>
          <t xml:space="preserve">
Garvin County Living Center
(405)238-3888</t>
        </r>
      </text>
    </comment>
    <comment ref="B1208" authorId="0">
      <text>
        <r>
          <rPr>
            <b/>
            <sz val="8"/>
            <color indexed="81"/>
            <rFont val="Tahoma"/>
            <family val="2"/>
          </rPr>
          <t>116295:</t>
        </r>
        <r>
          <rPr>
            <sz val="8"/>
            <color indexed="81"/>
            <rFont val="Tahoma"/>
            <family val="2"/>
          </rPr>
          <t xml:space="preserve">
Garvin County Living Center
(405)238-3888</t>
        </r>
      </text>
    </comment>
    <comment ref="B1209" authorId="0">
      <text>
        <r>
          <rPr>
            <b/>
            <sz val="8"/>
            <color indexed="81"/>
            <rFont val="Tahoma"/>
            <family val="2"/>
          </rPr>
          <t>116295:</t>
        </r>
        <r>
          <rPr>
            <sz val="8"/>
            <color indexed="81"/>
            <rFont val="Tahoma"/>
            <family val="2"/>
          </rPr>
          <t xml:space="preserve">
Garvin County Living Center
(405)238-3888</t>
        </r>
      </text>
    </comment>
    <comment ref="B1210" authorId="0">
      <text>
        <r>
          <rPr>
            <b/>
            <sz val="8"/>
            <color indexed="81"/>
            <rFont val="Tahoma"/>
            <family val="2"/>
          </rPr>
          <t>116295:</t>
        </r>
        <r>
          <rPr>
            <sz val="8"/>
            <color indexed="81"/>
            <rFont val="Tahoma"/>
            <family val="2"/>
          </rPr>
          <t xml:space="preserve">
Garvin County Living Center
(405)238-3888</t>
        </r>
      </text>
    </comment>
    <comment ref="B1211" authorId="0">
      <text>
        <r>
          <rPr>
            <b/>
            <sz val="8"/>
            <color indexed="81"/>
            <rFont val="Tahoma"/>
            <family val="2"/>
          </rPr>
          <t>116295:</t>
        </r>
        <r>
          <rPr>
            <sz val="8"/>
            <color indexed="81"/>
            <rFont val="Tahoma"/>
            <family val="2"/>
          </rPr>
          <t xml:space="preserve">
Garvin County Living Center
(405)238-3888</t>
        </r>
      </text>
    </comment>
    <comment ref="B1212" authorId="0">
      <text>
        <r>
          <rPr>
            <b/>
            <sz val="8"/>
            <color indexed="81"/>
            <rFont val="Tahoma"/>
            <family val="2"/>
          </rPr>
          <t>116295:</t>
        </r>
        <r>
          <rPr>
            <sz val="8"/>
            <color indexed="81"/>
            <rFont val="Tahoma"/>
            <family val="2"/>
          </rPr>
          <t xml:space="preserve">
Garvin County Living Center
(405)238-3888</t>
        </r>
      </text>
    </comment>
    <comment ref="B1213" authorId="0">
      <text>
        <r>
          <rPr>
            <b/>
            <sz val="8"/>
            <color indexed="81"/>
            <rFont val="Tahoma"/>
            <family val="2"/>
          </rPr>
          <t>116295:</t>
        </r>
        <r>
          <rPr>
            <sz val="8"/>
            <color indexed="81"/>
            <rFont val="Tahoma"/>
            <family val="2"/>
          </rPr>
          <t xml:space="preserve">
Garvin County Living Center
(405)238-3888</t>
        </r>
      </text>
    </comment>
    <comment ref="B1214" authorId="0">
      <text>
        <r>
          <rPr>
            <b/>
            <sz val="8"/>
            <color indexed="81"/>
            <rFont val="Tahoma"/>
            <family val="2"/>
          </rPr>
          <t>116295:</t>
        </r>
        <r>
          <rPr>
            <sz val="8"/>
            <color indexed="81"/>
            <rFont val="Tahoma"/>
            <family val="2"/>
          </rPr>
          <t xml:space="preserve">
Garvin County Living Center
(405)238-3888</t>
        </r>
      </text>
    </comment>
    <comment ref="B1215" authorId="0">
      <text>
        <r>
          <rPr>
            <b/>
            <sz val="8"/>
            <color indexed="81"/>
            <rFont val="Tahoma"/>
            <family val="2"/>
          </rPr>
          <t>116295:</t>
        </r>
        <r>
          <rPr>
            <sz val="8"/>
            <color indexed="81"/>
            <rFont val="Tahoma"/>
            <family val="2"/>
          </rPr>
          <t xml:space="preserve">
Garvin County Living Center
(405)238-3888</t>
        </r>
      </text>
    </comment>
    <comment ref="B1216" authorId="0">
      <text>
        <r>
          <rPr>
            <b/>
            <sz val="8"/>
            <color indexed="81"/>
            <rFont val="Tahoma"/>
            <family val="2"/>
          </rPr>
          <t>116295:</t>
        </r>
        <r>
          <rPr>
            <sz val="8"/>
            <color indexed="81"/>
            <rFont val="Tahoma"/>
            <family val="2"/>
          </rPr>
          <t xml:space="preserve">
Garvin County Living Center
(405)238-3888</t>
        </r>
      </text>
    </comment>
    <comment ref="B1217" authorId="0">
      <text>
        <r>
          <rPr>
            <b/>
            <sz val="8"/>
            <color indexed="81"/>
            <rFont val="Tahoma"/>
            <family val="2"/>
          </rPr>
          <t>116295:</t>
        </r>
        <r>
          <rPr>
            <sz val="8"/>
            <color indexed="81"/>
            <rFont val="Tahoma"/>
            <family val="2"/>
          </rPr>
          <t xml:space="preserve">
Garvin County Living Center
(405)238-3888</t>
        </r>
      </text>
    </comment>
    <comment ref="B1218" authorId="0">
      <text>
        <r>
          <rPr>
            <b/>
            <sz val="8"/>
            <color indexed="81"/>
            <rFont val="Tahoma"/>
            <family val="2"/>
          </rPr>
          <t>116295:</t>
        </r>
        <r>
          <rPr>
            <sz val="8"/>
            <color indexed="81"/>
            <rFont val="Tahoma"/>
            <family val="2"/>
          </rPr>
          <t xml:space="preserve">
Garvin County Living Center
(405)238-3888</t>
        </r>
      </text>
    </comment>
    <comment ref="B1219" authorId="0">
      <text>
        <r>
          <rPr>
            <b/>
            <sz val="8"/>
            <color indexed="81"/>
            <rFont val="Tahoma"/>
            <family val="2"/>
          </rPr>
          <t>116295:</t>
        </r>
        <r>
          <rPr>
            <sz val="8"/>
            <color indexed="81"/>
            <rFont val="Tahoma"/>
            <family val="2"/>
          </rPr>
          <t xml:space="preserve">
Garvin County Living Center
(405)238-3888</t>
        </r>
      </text>
    </comment>
    <comment ref="B1220" authorId="0">
      <text>
        <r>
          <rPr>
            <b/>
            <sz val="8"/>
            <color indexed="81"/>
            <rFont val="Tahoma"/>
            <family val="2"/>
          </rPr>
          <t>116295:</t>
        </r>
        <r>
          <rPr>
            <sz val="8"/>
            <color indexed="81"/>
            <rFont val="Tahoma"/>
            <family val="2"/>
          </rPr>
          <t xml:space="preserve">
Garvin County Living Center
(405)238-3888</t>
        </r>
      </text>
    </comment>
    <comment ref="B1221" authorId="0">
      <text>
        <r>
          <rPr>
            <b/>
            <sz val="8"/>
            <color indexed="81"/>
            <rFont val="Tahoma"/>
            <family val="2"/>
          </rPr>
          <t>116295:</t>
        </r>
        <r>
          <rPr>
            <sz val="8"/>
            <color indexed="81"/>
            <rFont val="Tahoma"/>
            <family val="2"/>
          </rPr>
          <t xml:space="preserve">
Garvin County Living Center
(405)238-3888</t>
        </r>
      </text>
    </comment>
    <comment ref="B1222" authorId="0">
      <text>
        <r>
          <rPr>
            <b/>
            <sz val="8"/>
            <color indexed="81"/>
            <rFont val="Tahoma"/>
            <family val="2"/>
          </rPr>
          <t>116295:</t>
        </r>
        <r>
          <rPr>
            <sz val="8"/>
            <color indexed="81"/>
            <rFont val="Tahoma"/>
            <family val="2"/>
          </rPr>
          <t xml:space="preserve">
Garvin County Living Center
(405)238-3888</t>
        </r>
      </text>
    </comment>
    <comment ref="B1223" authorId="0">
      <text>
        <r>
          <rPr>
            <b/>
            <sz val="8"/>
            <color indexed="81"/>
            <rFont val="Tahoma"/>
            <family val="2"/>
          </rPr>
          <t>116295:</t>
        </r>
        <r>
          <rPr>
            <sz val="8"/>
            <color indexed="81"/>
            <rFont val="Tahoma"/>
            <family val="2"/>
          </rPr>
          <t xml:space="preserve">
Garvin County Living Center
(405)238-3888</t>
        </r>
      </text>
    </comment>
    <comment ref="B1224" authorId="0">
      <text>
        <r>
          <rPr>
            <b/>
            <sz val="8"/>
            <color indexed="81"/>
            <rFont val="Tahoma"/>
            <family val="2"/>
          </rPr>
          <t>116295:</t>
        </r>
        <r>
          <rPr>
            <sz val="8"/>
            <color indexed="81"/>
            <rFont val="Tahoma"/>
            <family val="2"/>
          </rPr>
          <t xml:space="preserve">
Garvin County Living Center
(405)238-3888</t>
        </r>
      </text>
    </comment>
    <comment ref="B1225" authorId="0">
      <text>
        <r>
          <rPr>
            <b/>
            <sz val="8"/>
            <color indexed="81"/>
            <rFont val="Tahoma"/>
            <family val="2"/>
          </rPr>
          <t>116295:</t>
        </r>
        <r>
          <rPr>
            <sz val="8"/>
            <color indexed="81"/>
            <rFont val="Tahoma"/>
            <family val="2"/>
          </rPr>
          <t xml:space="preserve">
Garvin County Living Center
(405)238-3888</t>
        </r>
      </text>
    </comment>
    <comment ref="B1226" authorId="0">
      <text>
        <r>
          <rPr>
            <b/>
            <sz val="8"/>
            <color indexed="81"/>
            <rFont val="Tahoma"/>
            <family val="2"/>
          </rPr>
          <t>116295:</t>
        </r>
        <r>
          <rPr>
            <sz val="8"/>
            <color indexed="81"/>
            <rFont val="Tahoma"/>
            <family val="2"/>
          </rPr>
          <t xml:space="preserve">
Garvin County Living Center
(405)238-3888</t>
        </r>
      </text>
    </comment>
    <comment ref="B1227" authorId="0">
      <text>
        <r>
          <rPr>
            <b/>
            <sz val="8"/>
            <color indexed="81"/>
            <rFont val="Tahoma"/>
            <family val="2"/>
          </rPr>
          <t>116295:</t>
        </r>
        <r>
          <rPr>
            <sz val="8"/>
            <color indexed="81"/>
            <rFont val="Tahoma"/>
            <family val="2"/>
          </rPr>
          <t xml:space="preserve">
Garvin County Living Center
(405)238-3888</t>
        </r>
      </text>
    </comment>
    <comment ref="B1228" authorId="0">
      <text>
        <r>
          <rPr>
            <b/>
            <sz val="8"/>
            <color indexed="81"/>
            <rFont val="Tahoma"/>
            <family val="2"/>
          </rPr>
          <t>116295:</t>
        </r>
        <r>
          <rPr>
            <sz val="8"/>
            <color indexed="81"/>
            <rFont val="Tahoma"/>
            <family val="2"/>
          </rPr>
          <t xml:space="preserve">
Garvin County Living Center
(405)238-3888</t>
        </r>
      </text>
    </comment>
    <comment ref="B1229" authorId="0">
      <text>
        <r>
          <rPr>
            <b/>
            <sz val="8"/>
            <color indexed="81"/>
            <rFont val="Tahoma"/>
            <family val="2"/>
          </rPr>
          <t>116295:</t>
        </r>
        <r>
          <rPr>
            <sz val="8"/>
            <color indexed="81"/>
            <rFont val="Tahoma"/>
            <family val="2"/>
          </rPr>
          <t xml:space="preserve">
Garvin County Living Center
(405)238-3888</t>
        </r>
      </text>
    </comment>
    <comment ref="B1230" authorId="0">
      <text>
        <r>
          <rPr>
            <b/>
            <sz val="8"/>
            <color indexed="81"/>
            <rFont val="Tahoma"/>
            <family val="2"/>
          </rPr>
          <t>116295:</t>
        </r>
        <r>
          <rPr>
            <sz val="8"/>
            <color indexed="81"/>
            <rFont val="Tahoma"/>
            <family val="2"/>
          </rPr>
          <t xml:space="preserve">
Garvin County Living Center
(405)238-3888</t>
        </r>
      </text>
    </comment>
    <comment ref="B1231" authorId="0">
      <text>
        <r>
          <rPr>
            <b/>
            <sz val="8"/>
            <color indexed="81"/>
            <rFont val="Tahoma"/>
            <family val="2"/>
          </rPr>
          <t>116295:</t>
        </r>
        <r>
          <rPr>
            <sz val="8"/>
            <color indexed="81"/>
            <rFont val="Tahoma"/>
            <family val="2"/>
          </rPr>
          <t xml:space="preserve">
Garvin County Living Center
(405)238-3888</t>
        </r>
      </text>
    </comment>
    <comment ref="B1232" authorId="0">
      <text>
        <r>
          <rPr>
            <b/>
            <sz val="8"/>
            <color indexed="81"/>
            <rFont val="Tahoma"/>
            <family val="2"/>
          </rPr>
          <t>116295:</t>
        </r>
        <r>
          <rPr>
            <sz val="8"/>
            <color indexed="81"/>
            <rFont val="Tahoma"/>
            <family val="2"/>
          </rPr>
          <t xml:space="preserve">
Garvin County Living Center
(405)238-3888</t>
        </r>
      </text>
    </comment>
    <comment ref="B1233" authorId="0">
      <text>
        <r>
          <rPr>
            <b/>
            <sz val="8"/>
            <color indexed="81"/>
            <rFont val="Tahoma"/>
            <family val="2"/>
          </rPr>
          <t>116295:</t>
        </r>
        <r>
          <rPr>
            <sz val="8"/>
            <color indexed="81"/>
            <rFont val="Tahoma"/>
            <family val="2"/>
          </rPr>
          <t xml:space="preserve">
Garvin County Living Center
(405)238-3888</t>
        </r>
      </text>
    </comment>
    <comment ref="B1234" authorId="0">
      <text>
        <r>
          <rPr>
            <b/>
            <sz val="8"/>
            <color indexed="81"/>
            <rFont val="Tahoma"/>
            <family val="2"/>
          </rPr>
          <t>116295:</t>
        </r>
        <r>
          <rPr>
            <sz val="8"/>
            <color indexed="81"/>
            <rFont val="Tahoma"/>
            <family val="2"/>
          </rPr>
          <t xml:space="preserve">
Garvin County Living Center
(405)238-3888</t>
        </r>
      </text>
    </comment>
    <comment ref="B1235" authorId="0">
      <text>
        <r>
          <rPr>
            <b/>
            <sz val="8"/>
            <color indexed="81"/>
            <rFont val="Tahoma"/>
            <family val="2"/>
          </rPr>
          <t>116295:</t>
        </r>
        <r>
          <rPr>
            <sz val="8"/>
            <color indexed="81"/>
            <rFont val="Tahoma"/>
            <family val="2"/>
          </rPr>
          <t xml:space="preserve">
Garvin County Living Center
(405)238-3888</t>
        </r>
      </text>
    </comment>
    <comment ref="B1236" authorId="0">
      <text>
        <r>
          <rPr>
            <b/>
            <sz val="8"/>
            <color indexed="81"/>
            <rFont val="Tahoma"/>
            <family val="2"/>
          </rPr>
          <t>116295:</t>
        </r>
        <r>
          <rPr>
            <sz val="8"/>
            <color indexed="81"/>
            <rFont val="Tahoma"/>
            <family val="2"/>
          </rPr>
          <t xml:space="preserve">
Garvin County Living Center
(405)238-3888</t>
        </r>
      </text>
    </comment>
    <comment ref="B1237" authorId="0">
      <text>
        <r>
          <rPr>
            <b/>
            <sz val="8"/>
            <color indexed="81"/>
            <rFont val="Tahoma"/>
            <family val="2"/>
          </rPr>
          <t>116295:</t>
        </r>
        <r>
          <rPr>
            <sz val="8"/>
            <color indexed="81"/>
            <rFont val="Tahoma"/>
            <family val="2"/>
          </rPr>
          <t xml:space="preserve">
Garvin County Living Center
(405)238-3888</t>
        </r>
      </text>
    </comment>
    <comment ref="B1238" authorId="0">
      <text>
        <r>
          <rPr>
            <b/>
            <sz val="8"/>
            <color indexed="81"/>
            <rFont val="Tahoma"/>
            <family val="2"/>
          </rPr>
          <t>116295:</t>
        </r>
        <r>
          <rPr>
            <sz val="8"/>
            <color indexed="81"/>
            <rFont val="Tahoma"/>
            <family val="2"/>
          </rPr>
          <t xml:space="preserve">
Garvin County Living Center
(405)238-3888</t>
        </r>
      </text>
    </comment>
    <comment ref="B1239" authorId="0">
      <text>
        <r>
          <rPr>
            <b/>
            <sz val="8"/>
            <color indexed="81"/>
            <rFont val="Tahoma"/>
            <family val="2"/>
          </rPr>
          <t>116295:</t>
        </r>
        <r>
          <rPr>
            <sz val="8"/>
            <color indexed="81"/>
            <rFont val="Tahoma"/>
            <family val="2"/>
          </rPr>
          <t xml:space="preserve">
Garvin County Living Center
(405)238-3888</t>
        </r>
      </text>
    </comment>
    <comment ref="B1240" authorId="0">
      <text>
        <r>
          <rPr>
            <b/>
            <sz val="8"/>
            <color indexed="81"/>
            <rFont val="Tahoma"/>
            <family val="2"/>
          </rPr>
          <t>116295:</t>
        </r>
        <r>
          <rPr>
            <sz val="8"/>
            <color indexed="81"/>
            <rFont val="Tahoma"/>
            <family val="2"/>
          </rPr>
          <t xml:space="preserve">
Garvin County Living Center
(405)238-3888</t>
        </r>
      </text>
    </comment>
    <comment ref="B1241" authorId="0">
      <text>
        <r>
          <rPr>
            <b/>
            <sz val="8"/>
            <color indexed="81"/>
            <rFont val="Tahoma"/>
            <family val="2"/>
          </rPr>
          <t>116295:</t>
        </r>
        <r>
          <rPr>
            <sz val="8"/>
            <color indexed="81"/>
            <rFont val="Tahoma"/>
            <family val="2"/>
          </rPr>
          <t xml:space="preserve">
Garvin County Living Center
(405)238-3888</t>
        </r>
      </text>
    </comment>
    <comment ref="B1242" authorId="0">
      <text>
        <r>
          <rPr>
            <b/>
            <sz val="8"/>
            <color indexed="81"/>
            <rFont val="Tahoma"/>
            <family val="2"/>
          </rPr>
          <t>116295:</t>
        </r>
        <r>
          <rPr>
            <sz val="8"/>
            <color indexed="81"/>
            <rFont val="Tahoma"/>
            <family val="2"/>
          </rPr>
          <t xml:space="preserve">
Garvin County Living Center
(405)238-3888</t>
        </r>
      </text>
    </comment>
    <comment ref="B1243" authorId="0">
      <text>
        <r>
          <rPr>
            <b/>
            <sz val="8"/>
            <color indexed="81"/>
            <rFont val="Tahoma"/>
            <family val="2"/>
          </rPr>
          <t>116295:</t>
        </r>
        <r>
          <rPr>
            <sz val="8"/>
            <color indexed="81"/>
            <rFont val="Tahoma"/>
            <family val="2"/>
          </rPr>
          <t xml:space="preserve">
Garvin County Living Center
(405)238-3888</t>
        </r>
      </text>
    </comment>
    <comment ref="B1244" authorId="0">
      <text>
        <r>
          <rPr>
            <b/>
            <sz val="8"/>
            <color indexed="81"/>
            <rFont val="Tahoma"/>
            <family val="2"/>
          </rPr>
          <t>116295:</t>
        </r>
        <r>
          <rPr>
            <sz val="8"/>
            <color indexed="81"/>
            <rFont val="Tahoma"/>
            <family val="2"/>
          </rPr>
          <t xml:space="preserve">
Garvin County Living Center
(405)238-3888</t>
        </r>
      </text>
    </comment>
    <comment ref="B1245" authorId="0">
      <text>
        <r>
          <rPr>
            <b/>
            <sz val="8"/>
            <color indexed="81"/>
            <rFont val="Tahoma"/>
            <family val="2"/>
          </rPr>
          <t>116295:</t>
        </r>
        <r>
          <rPr>
            <sz val="8"/>
            <color indexed="81"/>
            <rFont val="Tahoma"/>
            <family val="2"/>
          </rPr>
          <t xml:space="preserve">
Garvin County Living Center
(405)238-3888</t>
        </r>
      </text>
    </comment>
    <comment ref="B1246" authorId="0">
      <text>
        <r>
          <rPr>
            <b/>
            <sz val="8"/>
            <color indexed="81"/>
            <rFont val="Tahoma"/>
            <family val="2"/>
          </rPr>
          <t>116295:</t>
        </r>
        <r>
          <rPr>
            <sz val="8"/>
            <color indexed="81"/>
            <rFont val="Tahoma"/>
            <family val="2"/>
          </rPr>
          <t xml:space="preserve">
Garvin County Living Center
(405)238-3888</t>
        </r>
      </text>
    </comment>
    <comment ref="B1247" authorId="0">
      <text>
        <r>
          <rPr>
            <b/>
            <sz val="8"/>
            <color indexed="81"/>
            <rFont val="Tahoma"/>
            <family val="2"/>
          </rPr>
          <t>116295:</t>
        </r>
        <r>
          <rPr>
            <sz val="8"/>
            <color indexed="81"/>
            <rFont val="Tahoma"/>
            <family val="2"/>
          </rPr>
          <t xml:space="preserve">
Garvin County Living Center
(405)238-3888</t>
        </r>
      </text>
    </comment>
    <comment ref="B1248" authorId="0">
      <text>
        <r>
          <rPr>
            <b/>
            <sz val="8"/>
            <color indexed="81"/>
            <rFont val="Tahoma"/>
            <family val="2"/>
          </rPr>
          <t>116295:</t>
        </r>
        <r>
          <rPr>
            <sz val="8"/>
            <color indexed="81"/>
            <rFont val="Tahoma"/>
            <family val="2"/>
          </rPr>
          <t xml:space="preserve">
Garvin County Living Center
(405)238-3888</t>
        </r>
      </text>
    </comment>
    <comment ref="B1249" authorId="0">
      <text>
        <r>
          <rPr>
            <b/>
            <sz val="8"/>
            <color indexed="81"/>
            <rFont val="Tahoma"/>
            <family val="2"/>
          </rPr>
          <t>116295:</t>
        </r>
        <r>
          <rPr>
            <sz val="8"/>
            <color indexed="81"/>
            <rFont val="Tahoma"/>
            <family val="2"/>
          </rPr>
          <t xml:space="preserve">
Garvin County Living Center
(405)238-3888</t>
        </r>
      </text>
    </comment>
    <comment ref="B1250" authorId="0">
      <text>
        <r>
          <rPr>
            <b/>
            <sz val="8"/>
            <color indexed="81"/>
            <rFont val="Tahoma"/>
            <family val="2"/>
          </rPr>
          <t>116295:</t>
        </r>
        <r>
          <rPr>
            <sz val="8"/>
            <color indexed="81"/>
            <rFont val="Tahoma"/>
            <family val="2"/>
          </rPr>
          <t xml:space="preserve">
Garvin County Living Center
(405)238-3888</t>
        </r>
      </text>
    </comment>
    <comment ref="B1251" authorId="0">
      <text>
        <r>
          <rPr>
            <b/>
            <sz val="8"/>
            <color indexed="81"/>
            <rFont val="Tahoma"/>
            <family val="2"/>
          </rPr>
          <t>116295:</t>
        </r>
        <r>
          <rPr>
            <sz val="8"/>
            <color indexed="81"/>
            <rFont val="Tahoma"/>
            <family val="2"/>
          </rPr>
          <t xml:space="preserve">
Garvin County Living Center
(405)238-3888</t>
        </r>
      </text>
    </comment>
    <comment ref="B1252" authorId="0">
      <text>
        <r>
          <rPr>
            <b/>
            <sz val="8"/>
            <color indexed="81"/>
            <rFont val="Tahoma"/>
            <family val="2"/>
          </rPr>
          <t>116295:</t>
        </r>
        <r>
          <rPr>
            <sz val="8"/>
            <color indexed="81"/>
            <rFont val="Tahoma"/>
            <family val="2"/>
          </rPr>
          <t xml:space="preserve">
Garvin County Living Center
(405)238-3888</t>
        </r>
      </text>
    </comment>
    <comment ref="B1253" authorId="0">
      <text>
        <r>
          <rPr>
            <b/>
            <sz val="8"/>
            <color indexed="81"/>
            <rFont val="Tahoma"/>
            <family val="2"/>
          </rPr>
          <t>116295:</t>
        </r>
        <r>
          <rPr>
            <sz val="8"/>
            <color indexed="81"/>
            <rFont val="Tahoma"/>
            <family val="2"/>
          </rPr>
          <t xml:space="preserve">
Garvin County Living Center
(405)238-3888</t>
        </r>
      </text>
    </comment>
    <comment ref="B1254" authorId="0">
      <text>
        <r>
          <rPr>
            <b/>
            <sz val="8"/>
            <color indexed="81"/>
            <rFont val="Tahoma"/>
            <family val="2"/>
          </rPr>
          <t>116295:</t>
        </r>
        <r>
          <rPr>
            <sz val="8"/>
            <color indexed="81"/>
            <rFont val="Tahoma"/>
            <family val="2"/>
          </rPr>
          <t xml:space="preserve">
Garvin County Living Center
(405)238-3888</t>
        </r>
      </text>
    </comment>
    <comment ref="B1255" authorId="0">
      <text>
        <r>
          <rPr>
            <b/>
            <sz val="8"/>
            <color indexed="81"/>
            <rFont val="Tahoma"/>
            <family val="2"/>
          </rPr>
          <t>116295:</t>
        </r>
        <r>
          <rPr>
            <sz val="8"/>
            <color indexed="81"/>
            <rFont val="Tahoma"/>
            <family val="2"/>
          </rPr>
          <t xml:space="preserve">
Garvin County Living Center
(405)238-3888</t>
        </r>
      </text>
    </comment>
    <comment ref="B1256" authorId="0">
      <text>
        <r>
          <rPr>
            <b/>
            <sz val="8"/>
            <color indexed="81"/>
            <rFont val="Tahoma"/>
            <family val="2"/>
          </rPr>
          <t>116295:</t>
        </r>
        <r>
          <rPr>
            <sz val="8"/>
            <color indexed="81"/>
            <rFont val="Tahoma"/>
            <family val="2"/>
          </rPr>
          <t xml:space="preserve">
Garvin County Living Center
(405)238-3888</t>
        </r>
      </text>
    </comment>
    <comment ref="B1257" authorId="0">
      <text>
        <r>
          <rPr>
            <b/>
            <sz val="8"/>
            <color indexed="81"/>
            <rFont val="Tahoma"/>
            <family val="2"/>
          </rPr>
          <t>116295:</t>
        </r>
        <r>
          <rPr>
            <sz val="8"/>
            <color indexed="81"/>
            <rFont val="Tahoma"/>
            <family val="2"/>
          </rPr>
          <t xml:space="preserve">
Garvin County Living Center
(405)238-3888</t>
        </r>
      </text>
    </comment>
    <comment ref="B1258" authorId="0">
      <text>
        <r>
          <rPr>
            <b/>
            <sz val="8"/>
            <color indexed="81"/>
            <rFont val="Tahoma"/>
            <family val="2"/>
          </rPr>
          <t>116295:</t>
        </r>
        <r>
          <rPr>
            <sz val="8"/>
            <color indexed="81"/>
            <rFont val="Tahoma"/>
            <family val="2"/>
          </rPr>
          <t xml:space="preserve">
Garvin County Living Center
(405)238-3888</t>
        </r>
      </text>
    </comment>
    <comment ref="B1259" authorId="0">
      <text>
        <r>
          <rPr>
            <b/>
            <sz val="8"/>
            <color indexed="81"/>
            <rFont val="Tahoma"/>
            <family val="2"/>
          </rPr>
          <t>116295:</t>
        </r>
        <r>
          <rPr>
            <sz val="8"/>
            <color indexed="81"/>
            <rFont val="Tahoma"/>
            <family val="2"/>
          </rPr>
          <t xml:space="preserve">
Garvin County Living Center
(405)238-3888</t>
        </r>
      </text>
    </comment>
    <comment ref="B1260" authorId="0">
      <text>
        <r>
          <rPr>
            <b/>
            <sz val="8"/>
            <color indexed="81"/>
            <rFont val="Tahoma"/>
            <family val="2"/>
          </rPr>
          <t>116295:</t>
        </r>
        <r>
          <rPr>
            <sz val="8"/>
            <color indexed="81"/>
            <rFont val="Tahoma"/>
            <family val="2"/>
          </rPr>
          <t xml:space="preserve">
Garvin County Living Center
(405)238-3888</t>
        </r>
      </text>
    </comment>
    <comment ref="B1261" authorId="0">
      <text>
        <r>
          <rPr>
            <b/>
            <sz val="8"/>
            <color indexed="81"/>
            <rFont val="Tahoma"/>
            <family val="2"/>
          </rPr>
          <t>116295:</t>
        </r>
        <r>
          <rPr>
            <sz val="8"/>
            <color indexed="81"/>
            <rFont val="Tahoma"/>
            <family val="2"/>
          </rPr>
          <t xml:space="preserve">
Garvin County Living Center
(405)238-3888</t>
        </r>
      </text>
    </comment>
    <comment ref="B1262" authorId="0">
      <text>
        <r>
          <rPr>
            <b/>
            <sz val="8"/>
            <color indexed="81"/>
            <rFont val="Tahoma"/>
            <family val="2"/>
          </rPr>
          <t>116295:</t>
        </r>
        <r>
          <rPr>
            <sz val="8"/>
            <color indexed="81"/>
            <rFont val="Tahoma"/>
            <family val="2"/>
          </rPr>
          <t xml:space="preserve">
Garvin County Living Center
(405)238-3888</t>
        </r>
      </text>
    </comment>
    <comment ref="B1263" authorId="0">
      <text>
        <r>
          <rPr>
            <b/>
            <sz val="8"/>
            <color indexed="81"/>
            <rFont val="Tahoma"/>
            <family val="2"/>
          </rPr>
          <t>116295:</t>
        </r>
        <r>
          <rPr>
            <sz val="8"/>
            <color indexed="81"/>
            <rFont val="Tahoma"/>
            <family val="2"/>
          </rPr>
          <t xml:space="preserve">
Garvin County Living Center
(405)238-3888</t>
        </r>
      </text>
    </comment>
    <comment ref="B1264" authorId="0">
      <text>
        <r>
          <rPr>
            <b/>
            <sz val="8"/>
            <color indexed="81"/>
            <rFont val="Tahoma"/>
            <family val="2"/>
          </rPr>
          <t>116295:</t>
        </r>
        <r>
          <rPr>
            <sz val="8"/>
            <color indexed="81"/>
            <rFont val="Tahoma"/>
            <family val="2"/>
          </rPr>
          <t xml:space="preserve">
Garvin County Living Center
(405)238-3888</t>
        </r>
      </text>
    </comment>
    <comment ref="B1265" authorId="0">
      <text>
        <r>
          <rPr>
            <b/>
            <sz val="8"/>
            <color indexed="81"/>
            <rFont val="Tahoma"/>
            <family val="2"/>
          </rPr>
          <t>116295:</t>
        </r>
        <r>
          <rPr>
            <sz val="8"/>
            <color indexed="81"/>
            <rFont val="Tahoma"/>
            <family val="2"/>
          </rPr>
          <t xml:space="preserve">
Garvin County Living Center
(405)238-3888</t>
        </r>
      </text>
    </comment>
    <comment ref="B1266" authorId="0">
      <text>
        <r>
          <rPr>
            <b/>
            <sz val="8"/>
            <color indexed="81"/>
            <rFont val="Tahoma"/>
            <family val="2"/>
          </rPr>
          <t>116295:</t>
        </r>
        <r>
          <rPr>
            <sz val="8"/>
            <color indexed="81"/>
            <rFont val="Tahoma"/>
            <family val="2"/>
          </rPr>
          <t xml:space="preserve">
Garvin County Living Center
(405)238-3888</t>
        </r>
      </text>
    </comment>
    <comment ref="B1267" authorId="0">
      <text>
        <r>
          <rPr>
            <b/>
            <sz val="8"/>
            <color indexed="81"/>
            <rFont val="Tahoma"/>
            <family val="2"/>
          </rPr>
          <t>116295:</t>
        </r>
        <r>
          <rPr>
            <sz val="8"/>
            <color indexed="81"/>
            <rFont val="Tahoma"/>
            <family val="2"/>
          </rPr>
          <t xml:space="preserve">
Garvin County Living Center
(405)238-3888</t>
        </r>
      </text>
    </comment>
    <comment ref="B1268" authorId="0">
      <text>
        <r>
          <rPr>
            <b/>
            <sz val="8"/>
            <color indexed="81"/>
            <rFont val="Tahoma"/>
            <family val="2"/>
          </rPr>
          <t>116295:</t>
        </r>
        <r>
          <rPr>
            <sz val="8"/>
            <color indexed="81"/>
            <rFont val="Tahoma"/>
            <family val="2"/>
          </rPr>
          <t xml:space="preserve">
Garvin County Living Center
(405)238-3888</t>
        </r>
      </text>
    </comment>
    <comment ref="B1269" authorId="0">
      <text>
        <r>
          <rPr>
            <b/>
            <sz val="8"/>
            <color indexed="81"/>
            <rFont val="Tahoma"/>
            <family val="2"/>
          </rPr>
          <t>116295:</t>
        </r>
        <r>
          <rPr>
            <sz val="8"/>
            <color indexed="81"/>
            <rFont val="Tahoma"/>
            <family val="2"/>
          </rPr>
          <t xml:space="preserve">
Garvin County Living Center
(405)238-3888</t>
        </r>
      </text>
    </comment>
    <comment ref="B1270" authorId="0">
      <text>
        <r>
          <rPr>
            <b/>
            <sz val="8"/>
            <color indexed="81"/>
            <rFont val="Tahoma"/>
            <family val="2"/>
          </rPr>
          <t>116295:</t>
        </r>
        <r>
          <rPr>
            <sz val="8"/>
            <color indexed="81"/>
            <rFont val="Tahoma"/>
            <family val="2"/>
          </rPr>
          <t xml:space="preserve">
Garvin County Living Center
(405)238-3888</t>
        </r>
      </text>
    </comment>
    <comment ref="B1271" authorId="0">
      <text>
        <r>
          <rPr>
            <b/>
            <sz val="8"/>
            <color indexed="81"/>
            <rFont val="Tahoma"/>
            <family val="2"/>
          </rPr>
          <t>116295:</t>
        </r>
        <r>
          <rPr>
            <sz val="8"/>
            <color indexed="81"/>
            <rFont val="Tahoma"/>
            <family val="2"/>
          </rPr>
          <t xml:space="preserve">
Garvin County Living Center
(405)238-3888</t>
        </r>
      </text>
    </comment>
    <comment ref="B1272" authorId="0">
      <text>
        <r>
          <rPr>
            <b/>
            <sz val="8"/>
            <color indexed="81"/>
            <rFont val="Tahoma"/>
            <family val="2"/>
          </rPr>
          <t>116295:</t>
        </r>
        <r>
          <rPr>
            <sz val="8"/>
            <color indexed="81"/>
            <rFont val="Tahoma"/>
            <family val="2"/>
          </rPr>
          <t xml:space="preserve">
Garvin County Living Center
(405)238-3888</t>
        </r>
      </text>
    </comment>
    <comment ref="B1273" authorId="0">
      <text>
        <r>
          <rPr>
            <b/>
            <sz val="8"/>
            <color indexed="81"/>
            <rFont val="Tahoma"/>
            <family val="2"/>
          </rPr>
          <t>116295:</t>
        </r>
        <r>
          <rPr>
            <sz val="8"/>
            <color indexed="81"/>
            <rFont val="Tahoma"/>
            <family val="2"/>
          </rPr>
          <t xml:space="preserve">
Garvin County Living Center
(405)238-3888</t>
        </r>
      </text>
    </comment>
    <comment ref="B1274" authorId="0">
      <text>
        <r>
          <rPr>
            <b/>
            <sz val="8"/>
            <color indexed="81"/>
            <rFont val="Tahoma"/>
            <family val="2"/>
          </rPr>
          <t>116295:</t>
        </r>
        <r>
          <rPr>
            <sz val="8"/>
            <color indexed="81"/>
            <rFont val="Tahoma"/>
            <family val="2"/>
          </rPr>
          <t xml:space="preserve">
Garvin County Living Center
(405)238-3888</t>
        </r>
      </text>
    </comment>
    <comment ref="B1275" authorId="0">
      <text>
        <r>
          <rPr>
            <b/>
            <sz val="8"/>
            <color indexed="81"/>
            <rFont val="Tahoma"/>
            <family val="2"/>
          </rPr>
          <t>116295:</t>
        </r>
        <r>
          <rPr>
            <sz val="8"/>
            <color indexed="81"/>
            <rFont val="Tahoma"/>
            <family val="2"/>
          </rPr>
          <t xml:space="preserve">
Garvin County Living Center
(405)238-3888</t>
        </r>
      </text>
    </comment>
    <comment ref="B1276" authorId="0">
      <text>
        <r>
          <rPr>
            <b/>
            <sz val="8"/>
            <color indexed="81"/>
            <rFont val="Tahoma"/>
            <family val="2"/>
          </rPr>
          <t>116295:</t>
        </r>
        <r>
          <rPr>
            <sz val="8"/>
            <color indexed="81"/>
            <rFont val="Tahoma"/>
            <family val="2"/>
          </rPr>
          <t xml:space="preserve">
Garvin County Living Center
(405)238-3888</t>
        </r>
      </text>
    </comment>
    <comment ref="B1277" authorId="0">
      <text>
        <r>
          <rPr>
            <b/>
            <sz val="8"/>
            <color indexed="81"/>
            <rFont val="Tahoma"/>
            <family val="2"/>
          </rPr>
          <t>116295:</t>
        </r>
        <r>
          <rPr>
            <sz val="8"/>
            <color indexed="81"/>
            <rFont val="Tahoma"/>
            <family val="2"/>
          </rPr>
          <t xml:space="preserve">
Garvin County Living Center
(405)238-3888</t>
        </r>
      </text>
    </comment>
    <comment ref="B1278" authorId="0">
      <text>
        <r>
          <rPr>
            <b/>
            <sz val="8"/>
            <color indexed="81"/>
            <rFont val="Tahoma"/>
            <family val="2"/>
          </rPr>
          <t>116295:</t>
        </r>
        <r>
          <rPr>
            <sz val="8"/>
            <color indexed="81"/>
            <rFont val="Tahoma"/>
            <family val="2"/>
          </rPr>
          <t xml:space="preserve">
Garvin County Living Center
(405)238-3888</t>
        </r>
      </text>
    </comment>
    <comment ref="B1279" authorId="0">
      <text>
        <r>
          <rPr>
            <b/>
            <sz val="8"/>
            <color indexed="81"/>
            <rFont val="Tahoma"/>
            <family val="2"/>
          </rPr>
          <t>116295:</t>
        </r>
        <r>
          <rPr>
            <sz val="8"/>
            <color indexed="81"/>
            <rFont val="Tahoma"/>
            <family val="2"/>
          </rPr>
          <t xml:space="preserve">
Garvin County Living Center
(405)238-3888</t>
        </r>
      </text>
    </comment>
    <comment ref="B1280" authorId="0">
      <text>
        <r>
          <rPr>
            <b/>
            <sz val="8"/>
            <color indexed="81"/>
            <rFont val="Tahoma"/>
            <family val="2"/>
          </rPr>
          <t>116295:</t>
        </r>
        <r>
          <rPr>
            <sz val="8"/>
            <color indexed="81"/>
            <rFont val="Tahoma"/>
            <family val="2"/>
          </rPr>
          <t xml:space="preserve">
Garvin County Living Center
(405)238-3888</t>
        </r>
      </text>
    </comment>
    <comment ref="B1281" authorId="0">
      <text>
        <r>
          <rPr>
            <b/>
            <sz val="8"/>
            <color indexed="81"/>
            <rFont val="Tahoma"/>
            <family val="2"/>
          </rPr>
          <t>116295:</t>
        </r>
        <r>
          <rPr>
            <sz val="8"/>
            <color indexed="81"/>
            <rFont val="Tahoma"/>
            <family val="2"/>
          </rPr>
          <t xml:space="preserve">
Garvin County Living Center
(405)238-3888</t>
        </r>
      </text>
    </comment>
    <comment ref="B1282" authorId="0">
      <text>
        <r>
          <rPr>
            <b/>
            <sz val="8"/>
            <color indexed="81"/>
            <rFont val="Tahoma"/>
            <family val="2"/>
          </rPr>
          <t>116295:</t>
        </r>
        <r>
          <rPr>
            <sz val="8"/>
            <color indexed="81"/>
            <rFont val="Tahoma"/>
            <family val="2"/>
          </rPr>
          <t xml:space="preserve">
Garvin County Living Center
(405)238-3888</t>
        </r>
      </text>
    </comment>
    <comment ref="B1283" authorId="0">
      <text>
        <r>
          <rPr>
            <b/>
            <sz val="8"/>
            <color indexed="81"/>
            <rFont val="Tahoma"/>
            <family val="2"/>
          </rPr>
          <t>116295:</t>
        </r>
        <r>
          <rPr>
            <sz val="8"/>
            <color indexed="81"/>
            <rFont val="Tahoma"/>
            <family val="2"/>
          </rPr>
          <t xml:space="preserve">
Garvin County Living Center
(405)238-3888</t>
        </r>
      </text>
    </comment>
    <comment ref="B1284" authorId="0">
      <text>
        <r>
          <rPr>
            <b/>
            <sz val="8"/>
            <color indexed="81"/>
            <rFont val="Tahoma"/>
            <family val="2"/>
          </rPr>
          <t>116295:</t>
        </r>
        <r>
          <rPr>
            <sz val="8"/>
            <color indexed="81"/>
            <rFont val="Tahoma"/>
            <family val="2"/>
          </rPr>
          <t xml:space="preserve">
Garvin County Living Center
(405)238-3888</t>
        </r>
      </text>
    </comment>
    <comment ref="B1285" authorId="0">
      <text>
        <r>
          <rPr>
            <b/>
            <sz val="8"/>
            <color indexed="81"/>
            <rFont val="Tahoma"/>
            <family val="2"/>
          </rPr>
          <t>116295:</t>
        </r>
        <r>
          <rPr>
            <sz val="8"/>
            <color indexed="81"/>
            <rFont val="Tahoma"/>
            <family val="2"/>
          </rPr>
          <t xml:space="preserve">
Garvin County Living Center
(405)238-3888</t>
        </r>
      </text>
    </comment>
    <comment ref="B1286" authorId="0">
      <text>
        <r>
          <rPr>
            <b/>
            <sz val="8"/>
            <color indexed="81"/>
            <rFont val="Tahoma"/>
            <family val="2"/>
          </rPr>
          <t>116295:</t>
        </r>
        <r>
          <rPr>
            <sz val="8"/>
            <color indexed="81"/>
            <rFont val="Tahoma"/>
            <family val="2"/>
          </rPr>
          <t xml:space="preserve">
Garvin County Living Center
(405)238-3888</t>
        </r>
      </text>
    </comment>
    <comment ref="B1287" authorId="0">
      <text>
        <r>
          <rPr>
            <b/>
            <sz val="8"/>
            <color indexed="81"/>
            <rFont val="Tahoma"/>
            <family val="2"/>
          </rPr>
          <t>116295:</t>
        </r>
        <r>
          <rPr>
            <sz val="8"/>
            <color indexed="81"/>
            <rFont val="Tahoma"/>
            <family val="2"/>
          </rPr>
          <t xml:space="preserve">
Garvin County Living Center
(405)238-3888</t>
        </r>
      </text>
    </comment>
    <comment ref="B1288" authorId="0">
      <text>
        <r>
          <rPr>
            <b/>
            <sz val="8"/>
            <color indexed="81"/>
            <rFont val="Tahoma"/>
            <family val="2"/>
          </rPr>
          <t>116295:</t>
        </r>
        <r>
          <rPr>
            <sz val="8"/>
            <color indexed="81"/>
            <rFont val="Tahoma"/>
            <family val="2"/>
          </rPr>
          <t xml:space="preserve">
Garvin County Living Center
(405)238-3888</t>
        </r>
      </text>
    </comment>
    <comment ref="B1289" authorId="0">
      <text>
        <r>
          <rPr>
            <b/>
            <sz val="8"/>
            <color indexed="81"/>
            <rFont val="Tahoma"/>
            <family val="2"/>
          </rPr>
          <t>116295:</t>
        </r>
        <r>
          <rPr>
            <sz val="8"/>
            <color indexed="81"/>
            <rFont val="Tahoma"/>
            <family val="2"/>
          </rPr>
          <t xml:space="preserve">
Garvin County Living Center
(405)238-3888</t>
        </r>
      </text>
    </comment>
    <comment ref="B1290" authorId="0">
      <text>
        <r>
          <rPr>
            <b/>
            <sz val="8"/>
            <color indexed="81"/>
            <rFont val="Tahoma"/>
            <family val="2"/>
          </rPr>
          <t>116295:</t>
        </r>
        <r>
          <rPr>
            <sz val="8"/>
            <color indexed="81"/>
            <rFont val="Tahoma"/>
            <family val="2"/>
          </rPr>
          <t xml:space="preserve">
Garvin County Living Center
(405)238-3888</t>
        </r>
      </text>
    </comment>
    <comment ref="B1291" authorId="0">
      <text>
        <r>
          <rPr>
            <b/>
            <sz val="8"/>
            <color indexed="81"/>
            <rFont val="Tahoma"/>
            <family val="2"/>
          </rPr>
          <t>116295:</t>
        </r>
        <r>
          <rPr>
            <sz val="8"/>
            <color indexed="81"/>
            <rFont val="Tahoma"/>
            <family val="2"/>
          </rPr>
          <t xml:space="preserve">
Garvin County Living Center
(405)238-3888</t>
        </r>
      </text>
    </comment>
    <comment ref="B1292" authorId="0">
      <text>
        <r>
          <rPr>
            <b/>
            <sz val="8"/>
            <color indexed="81"/>
            <rFont val="Tahoma"/>
            <family val="2"/>
          </rPr>
          <t>116295:</t>
        </r>
        <r>
          <rPr>
            <sz val="8"/>
            <color indexed="81"/>
            <rFont val="Tahoma"/>
            <family val="2"/>
          </rPr>
          <t xml:space="preserve">
Garvin County Living Center
(405)238-3888</t>
        </r>
      </text>
    </comment>
    <comment ref="B1293" authorId="0">
      <text>
        <r>
          <rPr>
            <b/>
            <sz val="8"/>
            <color indexed="81"/>
            <rFont val="Tahoma"/>
            <family val="2"/>
          </rPr>
          <t>116295:</t>
        </r>
        <r>
          <rPr>
            <sz val="8"/>
            <color indexed="81"/>
            <rFont val="Tahoma"/>
            <family val="2"/>
          </rPr>
          <t xml:space="preserve">
Garvin County Living Center
(405)238-3888</t>
        </r>
      </text>
    </comment>
    <comment ref="B1294" authorId="0">
      <text>
        <r>
          <rPr>
            <b/>
            <sz val="8"/>
            <color indexed="81"/>
            <rFont val="Tahoma"/>
            <family val="2"/>
          </rPr>
          <t>116295:</t>
        </r>
        <r>
          <rPr>
            <sz val="8"/>
            <color indexed="81"/>
            <rFont val="Tahoma"/>
            <family val="2"/>
          </rPr>
          <t xml:space="preserve">
Garvin County Living Center
(405)238-3888</t>
        </r>
      </text>
    </comment>
    <comment ref="B1295" authorId="0">
      <text>
        <r>
          <rPr>
            <b/>
            <sz val="8"/>
            <color indexed="81"/>
            <rFont val="Tahoma"/>
            <family val="2"/>
          </rPr>
          <t>116295:</t>
        </r>
        <r>
          <rPr>
            <sz val="8"/>
            <color indexed="81"/>
            <rFont val="Tahoma"/>
            <family val="2"/>
          </rPr>
          <t xml:space="preserve">
Garvin County Living Center
(405)238-3888</t>
        </r>
      </text>
    </comment>
    <comment ref="B1296" authorId="0">
      <text>
        <r>
          <rPr>
            <b/>
            <sz val="8"/>
            <color indexed="81"/>
            <rFont val="Tahoma"/>
            <family val="2"/>
          </rPr>
          <t>116295:</t>
        </r>
        <r>
          <rPr>
            <sz val="8"/>
            <color indexed="81"/>
            <rFont val="Tahoma"/>
            <family val="2"/>
          </rPr>
          <t xml:space="preserve">
Garvin County Living Center
(405)238-3888</t>
        </r>
      </text>
    </comment>
    <comment ref="B1297" authorId="0">
      <text>
        <r>
          <rPr>
            <b/>
            <sz val="8"/>
            <color indexed="81"/>
            <rFont val="Tahoma"/>
            <family val="2"/>
          </rPr>
          <t>116295:</t>
        </r>
        <r>
          <rPr>
            <sz val="8"/>
            <color indexed="81"/>
            <rFont val="Tahoma"/>
            <family val="2"/>
          </rPr>
          <t xml:space="preserve">
Garvin County Living Center
(405)238-3888</t>
        </r>
      </text>
    </comment>
    <comment ref="B1298" authorId="0">
      <text>
        <r>
          <rPr>
            <b/>
            <sz val="8"/>
            <color indexed="81"/>
            <rFont val="Tahoma"/>
            <family val="2"/>
          </rPr>
          <t>116295:</t>
        </r>
        <r>
          <rPr>
            <sz val="8"/>
            <color indexed="81"/>
            <rFont val="Tahoma"/>
            <family val="2"/>
          </rPr>
          <t xml:space="preserve">
Garvin County Living Center
(405)238-3888</t>
        </r>
      </text>
    </comment>
    <comment ref="B1299" authorId="0">
      <text>
        <r>
          <rPr>
            <b/>
            <sz val="8"/>
            <color indexed="81"/>
            <rFont val="Tahoma"/>
            <family val="2"/>
          </rPr>
          <t>116295:</t>
        </r>
        <r>
          <rPr>
            <sz val="8"/>
            <color indexed="81"/>
            <rFont val="Tahoma"/>
            <family val="2"/>
          </rPr>
          <t xml:space="preserve">
Garvin County Living Center
(405)238-3888</t>
        </r>
      </text>
    </comment>
    <comment ref="B1300" authorId="0">
      <text>
        <r>
          <rPr>
            <b/>
            <sz val="8"/>
            <color indexed="81"/>
            <rFont val="Tahoma"/>
            <family val="2"/>
          </rPr>
          <t>116295:</t>
        </r>
        <r>
          <rPr>
            <sz val="8"/>
            <color indexed="81"/>
            <rFont val="Tahoma"/>
            <family val="2"/>
          </rPr>
          <t xml:space="preserve">
Garvin County Living Center
(405)238-3888</t>
        </r>
      </text>
    </comment>
    <comment ref="B1301" authorId="0">
      <text>
        <r>
          <rPr>
            <b/>
            <sz val="8"/>
            <color indexed="81"/>
            <rFont val="Tahoma"/>
            <family val="2"/>
          </rPr>
          <t>116295:</t>
        </r>
        <r>
          <rPr>
            <sz val="8"/>
            <color indexed="81"/>
            <rFont val="Tahoma"/>
            <family val="2"/>
          </rPr>
          <t xml:space="preserve">
Garvin County Living Center
(405)238-3888</t>
        </r>
      </text>
    </comment>
    <comment ref="B1302" authorId="0">
      <text>
        <r>
          <rPr>
            <b/>
            <sz val="8"/>
            <color indexed="81"/>
            <rFont val="Tahoma"/>
            <family val="2"/>
          </rPr>
          <t>116295:</t>
        </r>
        <r>
          <rPr>
            <sz val="8"/>
            <color indexed="81"/>
            <rFont val="Tahoma"/>
            <family val="2"/>
          </rPr>
          <t xml:space="preserve">
Garvin County Living Center
(405)238-3888</t>
        </r>
      </text>
    </comment>
    <comment ref="B1303" authorId="0">
      <text>
        <r>
          <rPr>
            <b/>
            <sz val="8"/>
            <color indexed="81"/>
            <rFont val="Tahoma"/>
            <family val="2"/>
          </rPr>
          <t>116295:</t>
        </r>
        <r>
          <rPr>
            <sz val="8"/>
            <color indexed="81"/>
            <rFont val="Tahoma"/>
            <family val="2"/>
          </rPr>
          <t xml:space="preserve">
Garvin County Living Center
(405)238-3888</t>
        </r>
      </text>
    </comment>
    <comment ref="B1304" authorId="0">
      <text>
        <r>
          <rPr>
            <b/>
            <sz val="8"/>
            <color indexed="81"/>
            <rFont val="Tahoma"/>
            <family val="2"/>
          </rPr>
          <t>116295:</t>
        </r>
        <r>
          <rPr>
            <sz val="8"/>
            <color indexed="81"/>
            <rFont val="Tahoma"/>
            <family val="2"/>
          </rPr>
          <t xml:space="preserve">
Garvin County Living Center
(405)238-3888</t>
        </r>
      </text>
    </comment>
    <comment ref="B1305" authorId="0">
      <text>
        <r>
          <rPr>
            <b/>
            <sz val="8"/>
            <color indexed="81"/>
            <rFont val="Tahoma"/>
            <family val="2"/>
          </rPr>
          <t>116295:</t>
        </r>
        <r>
          <rPr>
            <sz val="8"/>
            <color indexed="81"/>
            <rFont val="Tahoma"/>
            <family val="2"/>
          </rPr>
          <t xml:space="preserve">
Garvin County Living Center
(405)238-3888</t>
        </r>
      </text>
    </comment>
    <comment ref="B1306" authorId="0">
      <text>
        <r>
          <rPr>
            <b/>
            <sz val="8"/>
            <color indexed="81"/>
            <rFont val="Tahoma"/>
            <family val="2"/>
          </rPr>
          <t>116295:</t>
        </r>
        <r>
          <rPr>
            <sz val="8"/>
            <color indexed="81"/>
            <rFont val="Tahoma"/>
            <family val="2"/>
          </rPr>
          <t xml:space="preserve">
Garvin County Living Center
(405)238-3888</t>
        </r>
      </text>
    </comment>
    <comment ref="B1307" authorId="0">
      <text>
        <r>
          <rPr>
            <b/>
            <sz val="8"/>
            <color indexed="81"/>
            <rFont val="Tahoma"/>
            <family val="2"/>
          </rPr>
          <t>116295:</t>
        </r>
        <r>
          <rPr>
            <sz val="8"/>
            <color indexed="81"/>
            <rFont val="Tahoma"/>
            <family val="2"/>
          </rPr>
          <t xml:space="preserve">
Garvin County Living Center
(405)238-3888</t>
        </r>
      </text>
    </comment>
    <comment ref="B1308" authorId="0">
      <text>
        <r>
          <rPr>
            <b/>
            <sz val="8"/>
            <color indexed="81"/>
            <rFont val="Tahoma"/>
            <family val="2"/>
          </rPr>
          <t>116295:</t>
        </r>
        <r>
          <rPr>
            <sz val="8"/>
            <color indexed="81"/>
            <rFont val="Tahoma"/>
            <family val="2"/>
          </rPr>
          <t xml:space="preserve">
Garvin County Living Center
(405)238-3888</t>
        </r>
      </text>
    </comment>
    <comment ref="B1309" authorId="0">
      <text>
        <r>
          <rPr>
            <b/>
            <sz val="8"/>
            <color indexed="81"/>
            <rFont val="Tahoma"/>
            <family val="2"/>
          </rPr>
          <t>116295:</t>
        </r>
        <r>
          <rPr>
            <sz val="8"/>
            <color indexed="81"/>
            <rFont val="Tahoma"/>
            <family val="2"/>
          </rPr>
          <t xml:space="preserve">
Garvin County Living Center
(405)238-3888</t>
        </r>
      </text>
    </comment>
    <comment ref="B1310" authorId="0">
      <text>
        <r>
          <rPr>
            <b/>
            <sz val="8"/>
            <color indexed="81"/>
            <rFont val="Tahoma"/>
            <family val="2"/>
          </rPr>
          <t>116295:</t>
        </r>
        <r>
          <rPr>
            <sz val="8"/>
            <color indexed="81"/>
            <rFont val="Tahoma"/>
            <family val="2"/>
          </rPr>
          <t xml:space="preserve">
Garvin County Living Center
(405)238-3888</t>
        </r>
      </text>
    </comment>
    <comment ref="B1311" authorId="0">
      <text>
        <r>
          <rPr>
            <b/>
            <sz val="8"/>
            <color indexed="81"/>
            <rFont val="Tahoma"/>
            <family val="2"/>
          </rPr>
          <t>116295:</t>
        </r>
        <r>
          <rPr>
            <sz val="8"/>
            <color indexed="81"/>
            <rFont val="Tahoma"/>
            <family val="2"/>
          </rPr>
          <t xml:space="preserve">
Garvin County Living Center
(405)238-3888</t>
        </r>
      </text>
    </comment>
    <comment ref="B1312" authorId="0">
      <text>
        <r>
          <rPr>
            <b/>
            <sz val="8"/>
            <color indexed="81"/>
            <rFont val="Tahoma"/>
            <family val="2"/>
          </rPr>
          <t>116295:</t>
        </r>
        <r>
          <rPr>
            <sz val="8"/>
            <color indexed="81"/>
            <rFont val="Tahoma"/>
            <family val="2"/>
          </rPr>
          <t xml:space="preserve">
Garvin County Living Center
(405)238-3888</t>
        </r>
      </text>
    </comment>
    <comment ref="B1313" authorId="0">
      <text>
        <r>
          <rPr>
            <b/>
            <sz val="8"/>
            <color indexed="81"/>
            <rFont val="Tahoma"/>
            <family val="2"/>
          </rPr>
          <t>116295:</t>
        </r>
        <r>
          <rPr>
            <sz val="8"/>
            <color indexed="81"/>
            <rFont val="Tahoma"/>
            <family val="2"/>
          </rPr>
          <t xml:space="preserve">
Garvin County Living Center
(405)238-3888</t>
        </r>
      </text>
    </comment>
    <comment ref="B1314" authorId="0">
      <text>
        <r>
          <rPr>
            <b/>
            <sz val="8"/>
            <color indexed="81"/>
            <rFont val="Tahoma"/>
            <family val="2"/>
          </rPr>
          <t>116295:</t>
        </r>
        <r>
          <rPr>
            <sz val="8"/>
            <color indexed="81"/>
            <rFont val="Tahoma"/>
            <family val="2"/>
          </rPr>
          <t xml:space="preserve">
Garvin County Living Center
(405)238-3888</t>
        </r>
      </text>
    </comment>
    <comment ref="B1315" authorId="0">
      <text>
        <r>
          <rPr>
            <b/>
            <sz val="8"/>
            <color indexed="81"/>
            <rFont val="Tahoma"/>
            <family val="2"/>
          </rPr>
          <t>116295:</t>
        </r>
        <r>
          <rPr>
            <sz val="8"/>
            <color indexed="81"/>
            <rFont val="Tahoma"/>
            <family val="2"/>
          </rPr>
          <t xml:space="preserve">
Garvin County Living Center
(405)238-3888</t>
        </r>
      </text>
    </comment>
    <comment ref="B1316" authorId="0">
      <text>
        <r>
          <rPr>
            <b/>
            <sz val="8"/>
            <color indexed="81"/>
            <rFont val="Tahoma"/>
            <family val="2"/>
          </rPr>
          <t>116295:</t>
        </r>
        <r>
          <rPr>
            <sz val="8"/>
            <color indexed="81"/>
            <rFont val="Tahoma"/>
            <family val="2"/>
          </rPr>
          <t xml:space="preserve">
Garvin County Living Center
(405)238-3888</t>
        </r>
      </text>
    </comment>
    <comment ref="B1317" authorId="0">
      <text>
        <r>
          <rPr>
            <b/>
            <sz val="8"/>
            <color indexed="81"/>
            <rFont val="Tahoma"/>
            <family val="2"/>
          </rPr>
          <t>116295:</t>
        </r>
        <r>
          <rPr>
            <sz val="8"/>
            <color indexed="81"/>
            <rFont val="Tahoma"/>
            <family val="2"/>
          </rPr>
          <t xml:space="preserve">
Garvin County Living Center
(405)238-3888</t>
        </r>
      </text>
    </comment>
    <comment ref="B1318" authorId="0">
      <text>
        <r>
          <rPr>
            <b/>
            <sz val="8"/>
            <color indexed="81"/>
            <rFont val="Tahoma"/>
            <family val="2"/>
          </rPr>
          <t>116295:</t>
        </r>
        <r>
          <rPr>
            <sz val="8"/>
            <color indexed="81"/>
            <rFont val="Tahoma"/>
            <family val="2"/>
          </rPr>
          <t xml:space="preserve">
Garvin County Living Center
(405)238-3888</t>
        </r>
      </text>
    </comment>
    <comment ref="B1319" authorId="0">
      <text>
        <r>
          <rPr>
            <b/>
            <sz val="8"/>
            <color indexed="81"/>
            <rFont val="Tahoma"/>
            <family val="2"/>
          </rPr>
          <t>116295:</t>
        </r>
        <r>
          <rPr>
            <sz val="8"/>
            <color indexed="81"/>
            <rFont val="Tahoma"/>
            <family val="2"/>
          </rPr>
          <t xml:space="preserve">
Garvin County Living Center
(405)238-3888</t>
        </r>
      </text>
    </comment>
    <comment ref="B1320" authorId="0">
      <text>
        <r>
          <rPr>
            <b/>
            <sz val="8"/>
            <color indexed="81"/>
            <rFont val="Tahoma"/>
            <family val="2"/>
          </rPr>
          <t>116295:</t>
        </r>
        <r>
          <rPr>
            <sz val="8"/>
            <color indexed="81"/>
            <rFont val="Tahoma"/>
            <family val="2"/>
          </rPr>
          <t xml:space="preserve">
Garvin County Living Center
(405)238-3888</t>
        </r>
      </text>
    </comment>
    <comment ref="B1321" authorId="0">
      <text>
        <r>
          <rPr>
            <b/>
            <sz val="8"/>
            <color indexed="81"/>
            <rFont val="Tahoma"/>
            <family val="2"/>
          </rPr>
          <t>116295:</t>
        </r>
        <r>
          <rPr>
            <sz val="8"/>
            <color indexed="81"/>
            <rFont val="Tahoma"/>
            <family val="2"/>
          </rPr>
          <t xml:space="preserve">
Garvin County Living Center
(405)238-3888</t>
        </r>
      </text>
    </comment>
    <comment ref="B1322" authorId="0">
      <text>
        <r>
          <rPr>
            <b/>
            <sz val="8"/>
            <color indexed="81"/>
            <rFont val="Tahoma"/>
            <family val="2"/>
          </rPr>
          <t>116295:</t>
        </r>
        <r>
          <rPr>
            <sz val="8"/>
            <color indexed="81"/>
            <rFont val="Tahoma"/>
            <family val="2"/>
          </rPr>
          <t xml:space="preserve">
Garvin County Living Center
(405)238-3888</t>
        </r>
      </text>
    </comment>
    <comment ref="B1323" authorId="0">
      <text>
        <r>
          <rPr>
            <b/>
            <sz val="8"/>
            <color indexed="81"/>
            <rFont val="Tahoma"/>
            <family val="2"/>
          </rPr>
          <t>116295:</t>
        </r>
        <r>
          <rPr>
            <sz val="8"/>
            <color indexed="81"/>
            <rFont val="Tahoma"/>
            <family val="2"/>
          </rPr>
          <t xml:space="preserve">
Garvin County Living Center
(405)238-3888</t>
        </r>
      </text>
    </comment>
    <comment ref="B1324" authorId="0">
      <text>
        <r>
          <rPr>
            <b/>
            <sz val="8"/>
            <color indexed="81"/>
            <rFont val="Tahoma"/>
            <family val="2"/>
          </rPr>
          <t>116295:</t>
        </r>
        <r>
          <rPr>
            <sz val="8"/>
            <color indexed="81"/>
            <rFont val="Tahoma"/>
            <family val="2"/>
          </rPr>
          <t xml:space="preserve">
Garvin County Living Center
(405)238-3888</t>
        </r>
      </text>
    </comment>
    <comment ref="B1325" authorId="0">
      <text>
        <r>
          <rPr>
            <b/>
            <sz val="8"/>
            <color indexed="81"/>
            <rFont val="Tahoma"/>
            <family val="2"/>
          </rPr>
          <t>116295:</t>
        </r>
        <r>
          <rPr>
            <sz val="8"/>
            <color indexed="81"/>
            <rFont val="Tahoma"/>
            <family val="2"/>
          </rPr>
          <t xml:space="preserve">
Garvin County Living Center
(405)238-3888</t>
        </r>
      </text>
    </comment>
    <comment ref="B1326" authorId="0">
      <text>
        <r>
          <rPr>
            <b/>
            <sz val="8"/>
            <color indexed="81"/>
            <rFont val="Tahoma"/>
            <family val="2"/>
          </rPr>
          <t>116295:</t>
        </r>
        <r>
          <rPr>
            <sz val="8"/>
            <color indexed="81"/>
            <rFont val="Tahoma"/>
            <family val="2"/>
          </rPr>
          <t xml:space="preserve">
Garvin County Living Center
(405)238-3888</t>
        </r>
      </text>
    </comment>
    <comment ref="B1327" authorId="0">
      <text>
        <r>
          <rPr>
            <b/>
            <sz val="8"/>
            <color indexed="81"/>
            <rFont val="Tahoma"/>
            <family val="2"/>
          </rPr>
          <t>116295:</t>
        </r>
        <r>
          <rPr>
            <sz val="8"/>
            <color indexed="81"/>
            <rFont val="Tahoma"/>
            <family val="2"/>
          </rPr>
          <t xml:space="preserve">
Garvin County Living Center
(405)238-3888</t>
        </r>
      </text>
    </comment>
    <comment ref="B1328" authorId="0">
      <text>
        <r>
          <rPr>
            <b/>
            <sz val="8"/>
            <color indexed="81"/>
            <rFont val="Tahoma"/>
            <family val="2"/>
          </rPr>
          <t>116295:</t>
        </r>
        <r>
          <rPr>
            <sz val="8"/>
            <color indexed="81"/>
            <rFont val="Tahoma"/>
            <family val="2"/>
          </rPr>
          <t xml:space="preserve">
Garvin County Living Center
(405)238-3888</t>
        </r>
      </text>
    </comment>
    <comment ref="B1329" authorId="0">
      <text>
        <r>
          <rPr>
            <b/>
            <sz val="8"/>
            <color indexed="81"/>
            <rFont val="Tahoma"/>
            <family val="2"/>
          </rPr>
          <t>116295:</t>
        </r>
        <r>
          <rPr>
            <sz val="8"/>
            <color indexed="81"/>
            <rFont val="Tahoma"/>
            <family val="2"/>
          </rPr>
          <t xml:space="preserve">
Garvin County Living Center
(405)238-3888</t>
        </r>
      </text>
    </comment>
    <comment ref="B1330" authorId="0">
      <text>
        <r>
          <rPr>
            <b/>
            <sz val="8"/>
            <color indexed="81"/>
            <rFont val="Tahoma"/>
            <family val="2"/>
          </rPr>
          <t>116295:</t>
        </r>
        <r>
          <rPr>
            <sz val="8"/>
            <color indexed="81"/>
            <rFont val="Tahoma"/>
            <family val="2"/>
          </rPr>
          <t xml:space="preserve">
Garvin County Living Center
(405)238-3888</t>
        </r>
      </text>
    </comment>
    <comment ref="B1331" authorId="0">
      <text>
        <r>
          <rPr>
            <b/>
            <sz val="8"/>
            <color indexed="81"/>
            <rFont val="Tahoma"/>
            <family val="2"/>
          </rPr>
          <t>116295:</t>
        </r>
        <r>
          <rPr>
            <sz val="8"/>
            <color indexed="81"/>
            <rFont val="Tahoma"/>
            <family val="2"/>
          </rPr>
          <t xml:space="preserve">
Garvin County Living Center
(405)238-3888</t>
        </r>
      </text>
    </comment>
    <comment ref="B1332" authorId="0">
      <text>
        <r>
          <rPr>
            <b/>
            <sz val="8"/>
            <color indexed="81"/>
            <rFont val="Tahoma"/>
            <family val="2"/>
          </rPr>
          <t>116295:</t>
        </r>
        <r>
          <rPr>
            <sz val="8"/>
            <color indexed="81"/>
            <rFont val="Tahoma"/>
            <family val="2"/>
          </rPr>
          <t xml:space="preserve">
Garvin County Living Center
(405)238-3888</t>
        </r>
      </text>
    </comment>
    <comment ref="B1333" authorId="0">
      <text>
        <r>
          <rPr>
            <b/>
            <sz val="8"/>
            <color indexed="81"/>
            <rFont val="Tahoma"/>
            <family val="2"/>
          </rPr>
          <t>116295:</t>
        </r>
        <r>
          <rPr>
            <sz val="8"/>
            <color indexed="81"/>
            <rFont val="Tahoma"/>
            <family val="2"/>
          </rPr>
          <t xml:space="preserve">
Garvin County Living Center
(405)238-3888</t>
        </r>
      </text>
    </comment>
    <comment ref="B1334" authorId="0">
      <text>
        <r>
          <rPr>
            <b/>
            <sz val="8"/>
            <color indexed="81"/>
            <rFont val="Tahoma"/>
            <family val="2"/>
          </rPr>
          <t>116295:</t>
        </r>
        <r>
          <rPr>
            <sz val="8"/>
            <color indexed="81"/>
            <rFont val="Tahoma"/>
            <family val="2"/>
          </rPr>
          <t xml:space="preserve">
Garvin County Living Center
(405)238-3888</t>
        </r>
      </text>
    </comment>
    <comment ref="B1335" authorId="0">
      <text>
        <r>
          <rPr>
            <b/>
            <sz val="8"/>
            <color indexed="81"/>
            <rFont val="Tahoma"/>
            <family val="2"/>
          </rPr>
          <t>116295:</t>
        </r>
        <r>
          <rPr>
            <sz val="8"/>
            <color indexed="81"/>
            <rFont val="Tahoma"/>
            <family val="2"/>
          </rPr>
          <t xml:space="preserve">
Garvin County Living Center
(405)238-3888</t>
        </r>
      </text>
    </comment>
    <comment ref="B1336" authorId="0">
      <text>
        <r>
          <rPr>
            <b/>
            <sz val="8"/>
            <color indexed="81"/>
            <rFont val="Tahoma"/>
            <family val="2"/>
          </rPr>
          <t>116295:</t>
        </r>
        <r>
          <rPr>
            <sz val="8"/>
            <color indexed="81"/>
            <rFont val="Tahoma"/>
            <family val="2"/>
          </rPr>
          <t xml:space="preserve">
Garvin County Living Center
(405)238-3888</t>
        </r>
      </text>
    </comment>
    <comment ref="B1337" authorId="0">
      <text>
        <r>
          <rPr>
            <b/>
            <sz val="8"/>
            <color indexed="81"/>
            <rFont val="Tahoma"/>
            <family val="2"/>
          </rPr>
          <t>116295:</t>
        </r>
        <r>
          <rPr>
            <sz val="8"/>
            <color indexed="81"/>
            <rFont val="Tahoma"/>
            <family val="2"/>
          </rPr>
          <t xml:space="preserve">
Garvin County Living Center
(405)238-3888</t>
        </r>
      </text>
    </comment>
    <comment ref="B1338" authorId="0">
      <text>
        <r>
          <rPr>
            <b/>
            <sz val="8"/>
            <color indexed="81"/>
            <rFont val="Tahoma"/>
            <family val="2"/>
          </rPr>
          <t>116295:</t>
        </r>
        <r>
          <rPr>
            <sz val="8"/>
            <color indexed="81"/>
            <rFont val="Tahoma"/>
            <family val="2"/>
          </rPr>
          <t xml:space="preserve">
Garvin County Living Center
(405)238-3888</t>
        </r>
      </text>
    </comment>
    <comment ref="B1339" authorId="0">
      <text>
        <r>
          <rPr>
            <b/>
            <sz val="8"/>
            <color indexed="81"/>
            <rFont val="Tahoma"/>
            <family val="2"/>
          </rPr>
          <t>116295:</t>
        </r>
        <r>
          <rPr>
            <sz val="8"/>
            <color indexed="81"/>
            <rFont val="Tahoma"/>
            <family val="2"/>
          </rPr>
          <t xml:space="preserve">
Garvin County Living Center
(405)238-3888</t>
        </r>
      </text>
    </comment>
    <comment ref="B1340" authorId="0">
      <text>
        <r>
          <rPr>
            <b/>
            <sz val="8"/>
            <color indexed="81"/>
            <rFont val="Tahoma"/>
            <family val="2"/>
          </rPr>
          <t>116295:</t>
        </r>
        <r>
          <rPr>
            <sz val="8"/>
            <color indexed="81"/>
            <rFont val="Tahoma"/>
            <family val="2"/>
          </rPr>
          <t xml:space="preserve">
Garvin County Living Center
(405)238-3888</t>
        </r>
      </text>
    </comment>
    <comment ref="B1341" authorId="0">
      <text>
        <r>
          <rPr>
            <b/>
            <sz val="8"/>
            <color indexed="81"/>
            <rFont val="Tahoma"/>
            <family val="2"/>
          </rPr>
          <t>116295:</t>
        </r>
        <r>
          <rPr>
            <sz val="8"/>
            <color indexed="81"/>
            <rFont val="Tahoma"/>
            <family val="2"/>
          </rPr>
          <t xml:space="preserve">
Garvin County Living Center
(405)238-3888</t>
        </r>
      </text>
    </comment>
    <comment ref="B1342" authorId="0">
      <text>
        <r>
          <rPr>
            <b/>
            <sz val="8"/>
            <color indexed="81"/>
            <rFont val="Tahoma"/>
            <family val="2"/>
          </rPr>
          <t>116295:</t>
        </r>
        <r>
          <rPr>
            <sz val="8"/>
            <color indexed="81"/>
            <rFont val="Tahoma"/>
            <family val="2"/>
          </rPr>
          <t xml:space="preserve">
Garvin County Living Center
(405)238-3888</t>
        </r>
      </text>
    </comment>
    <comment ref="B1343" authorId="0">
      <text>
        <r>
          <rPr>
            <b/>
            <sz val="8"/>
            <color indexed="81"/>
            <rFont val="Tahoma"/>
            <family val="2"/>
          </rPr>
          <t>116295:</t>
        </r>
        <r>
          <rPr>
            <sz val="8"/>
            <color indexed="81"/>
            <rFont val="Tahoma"/>
            <family val="2"/>
          </rPr>
          <t xml:space="preserve">
Garvin County Living Center
(405)238-3888</t>
        </r>
      </text>
    </comment>
    <comment ref="B1344" authorId="0">
      <text>
        <r>
          <rPr>
            <b/>
            <sz val="8"/>
            <color indexed="81"/>
            <rFont val="Tahoma"/>
            <family val="2"/>
          </rPr>
          <t>116295:</t>
        </r>
        <r>
          <rPr>
            <sz val="8"/>
            <color indexed="81"/>
            <rFont val="Tahoma"/>
            <family val="2"/>
          </rPr>
          <t xml:space="preserve">
Garvin County Living Center
(405)238-3888</t>
        </r>
      </text>
    </comment>
    <comment ref="B1345" authorId="0">
      <text>
        <r>
          <rPr>
            <b/>
            <sz val="8"/>
            <color indexed="81"/>
            <rFont val="Tahoma"/>
            <family val="2"/>
          </rPr>
          <t>116295:</t>
        </r>
        <r>
          <rPr>
            <sz val="8"/>
            <color indexed="81"/>
            <rFont val="Tahoma"/>
            <family val="2"/>
          </rPr>
          <t xml:space="preserve">
Garvin County Living Center
(405)238-3888</t>
        </r>
      </text>
    </comment>
    <comment ref="B1346" authorId="0">
      <text>
        <r>
          <rPr>
            <b/>
            <sz val="8"/>
            <color indexed="81"/>
            <rFont val="Tahoma"/>
            <family val="2"/>
          </rPr>
          <t>116295:</t>
        </r>
        <r>
          <rPr>
            <sz val="8"/>
            <color indexed="81"/>
            <rFont val="Tahoma"/>
            <family val="2"/>
          </rPr>
          <t xml:space="preserve">
Garvin County Living Center
(405)238-3888</t>
        </r>
      </text>
    </comment>
    <comment ref="B1347" authorId="0">
      <text>
        <r>
          <rPr>
            <b/>
            <sz val="8"/>
            <color indexed="81"/>
            <rFont val="Tahoma"/>
            <family val="2"/>
          </rPr>
          <t>116295:</t>
        </r>
        <r>
          <rPr>
            <sz val="8"/>
            <color indexed="81"/>
            <rFont val="Tahoma"/>
            <family val="2"/>
          </rPr>
          <t xml:space="preserve">
Garvin County Living Center
(405)238-3888</t>
        </r>
      </text>
    </comment>
    <comment ref="B1348" authorId="0">
      <text>
        <r>
          <rPr>
            <b/>
            <sz val="8"/>
            <color indexed="81"/>
            <rFont val="Tahoma"/>
            <family val="2"/>
          </rPr>
          <t>116295:</t>
        </r>
        <r>
          <rPr>
            <sz val="8"/>
            <color indexed="81"/>
            <rFont val="Tahoma"/>
            <family val="2"/>
          </rPr>
          <t xml:space="preserve">
Garvin County Living Center
(405)238-3888</t>
        </r>
      </text>
    </comment>
    <comment ref="B1349" authorId="0">
      <text>
        <r>
          <rPr>
            <b/>
            <sz val="8"/>
            <color indexed="81"/>
            <rFont val="Tahoma"/>
            <family val="2"/>
          </rPr>
          <t>116295:</t>
        </r>
        <r>
          <rPr>
            <sz val="8"/>
            <color indexed="81"/>
            <rFont val="Tahoma"/>
            <family val="2"/>
          </rPr>
          <t xml:space="preserve">
Garvin County Living Center
(405)238-3888</t>
        </r>
      </text>
    </comment>
    <comment ref="B1350" authorId="0">
      <text>
        <r>
          <rPr>
            <b/>
            <sz val="8"/>
            <color indexed="81"/>
            <rFont val="Tahoma"/>
            <family val="2"/>
          </rPr>
          <t>116295:</t>
        </r>
        <r>
          <rPr>
            <sz val="8"/>
            <color indexed="81"/>
            <rFont val="Tahoma"/>
            <family val="2"/>
          </rPr>
          <t xml:space="preserve">
Garvin County Living Center
(405)238-3888</t>
        </r>
      </text>
    </comment>
    <comment ref="B1351" authorId="0">
      <text>
        <r>
          <rPr>
            <b/>
            <sz val="8"/>
            <color indexed="81"/>
            <rFont val="Tahoma"/>
            <family val="2"/>
          </rPr>
          <t>116295:</t>
        </r>
        <r>
          <rPr>
            <sz val="8"/>
            <color indexed="81"/>
            <rFont val="Tahoma"/>
            <family val="2"/>
          </rPr>
          <t xml:space="preserve">
Garvin County Living Center
(405)238-3888</t>
        </r>
      </text>
    </comment>
    <comment ref="B1352" authorId="0">
      <text>
        <r>
          <rPr>
            <b/>
            <sz val="8"/>
            <color indexed="81"/>
            <rFont val="Tahoma"/>
            <family val="2"/>
          </rPr>
          <t>116295:</t>
        </r>
        <r>
          <rPr>
            <sz val="8"/>
            <color indexed="81"/>
            <rFont val="Tahoma"/>
            <family val="2"/>
          </rPr>
          <t xml:space="preserve">
Garvin County Living Center
(405)238-3888</t>
        </r>
      </text>
    </comment>
    <comment ref="B1353" authorId="0">
      <text>
        <r>
          <rPr>
            <b/>
            <sz val="8"/>
            <color indexed="81"/>
            <rFont val="Tahoma"/>
            <family val="2"/>
          </rPr>
          <t>116295:</t>
        </r>
        <r>
          <rPr>
            <sz val="8"/>
            <color indexed="81"/>
            <rFont val="Tahoma"/>
            <family val="2"/>
          </rPr>
          <t xml:space="preserve">
Garvin County Living Center
(405)238-3888</t>
        </r>
      </text>
    </comment>
    <comment ref="B1354" authorId="0">
      <text>
        <r>
          <rPr>
            <b/>
            <sz val="8"/>
            <color indexed="81"/>
            <rFont val="Tahoma"/>
            <family val="2"/>
          </rPr>
          <t>116295:</t>
        </r>
        <r>
          <rPr>
            <sz val="8"/>
            <color indexed="81"/>
            <rFont val="Tahoma"/>
            <family val="2"/>
          </rPr>
          <t xml:space="preserve">
Garvin County Living Center
(405)238-3888</t>
        </r>
      </text>
    </comment>
    <comment ref="B1355" authorId="0">
      <text>
        <r>
          <rPr>
            <b/>
            <sz val="8"/>
            <color indexed="81"/>
            <rFont val="Tahoma"/>
            <family val="2"/>
          </rPr>
          <t>116295:</t>
        </r>
        <r>
          <rPr>
            <sz val="8"/>
            <color indexed="81"/>
            <rFont val="Tahoma"/>
            <family val="2"/>
          </rPr>
          <t xml:space="preserve">
Garvin County Living Center
(405)238-3888</t>
        </r>
      </text>
    </comment>
    <comment ref="B1356" authorId="0">
      <text>
        <r>
          <rPr>
            <b/>
            <sz val="8"/>
            <color indexed="81"/>
            <rFont val="Tahoma"/>
            <family val="2"/>
          </rPr>
          <t>116295:</t>
        </r>
        <r>
          <rPr>
            <sz val="8"/>
            <color indexed="81"/>
            <rFont val="Tahoma"/>
            <family val="2"/>
          </rPr>
          <t xml:space="preserve">
Garvin County Living Center
(405)238-3888</t>
        </r>
      </text>
    </comment>
    <comment ref="B1357" authorId="0">
      <text>
        <r>
          <rPr>
            <b/>
            <sz val="8"/>
            <color indexed="81"/>
            <rFont val="Tahoma"/>
            <family val="2"/>
          </rPr>
          <t>116295:</t>
        </r>
        <r>
          <rPr>
            <sz val="8"/>
            <color indexed="81"/>
            <rFont val="Tahoma"/>
            <family val="2"/>
          </rPr>
          <t xml:space="preserve">
Garvin County Living Center
(405)238-3888</t>
        </r>
      </text>
    </comment>
    <comment ref="B1358" authorId="0">
      <text>
        <r>
          <rPr>
            <b/>
            <sz val="8"/>
            <color indexed="81"/>
            <rFont val="Tahoma"/>
            <family val="2"/>
          </rPr>
          <t>116295:</t>
        </r>
        <r>
          <rPr>
            <sz val="8"/>
            <color indexed="81"/>
            <rFont val="Tahoma"/>
            <family val="2"/>
          </rPr>
          <t xml:space="preserve">
Garvin County Living Center
(405)238-3888</t>
        </r>
      </text>
    </comment>
    <comment ref="B1359" authorId="0">
      <text>
        <r>
          <rPr>
            <b/>
            <sz val="8"/>
            <color indexed="81"/>
            <rFont val="Tahoma"/>
            <family val="2"/>
          </rPr>
          <t>116295:</t>
        </r>
        <r>
          <rPr>
            <sz val="8"/>
            <color indexed="81"/>
            <rFont val="Tahoma"/>
            <family val="2"/>
          </rPr>
          <t xml:space="preserve">
Garvin County Living Center
(405)238-3888</t>
        </r>
      </text>
    </comment>
    <comment ref="B1360" authorId="0">
      <text>
        <r>
          <rPr>
            <b/>
            <sz val="8"/>
            <color indexed="81"/>
            <rFont val="Tahoma"/>
            <family val="2"/>
          </rPr>
          <t>116295:</t>
        </r>
        <r>
          <rPr>
            <sz val="8"/>
            <color indexed="81"/>
            <rFont val="Tahoma"/>
            <family val="2"/>
          </rPr>
          <t xml:space="preserve">
Garvin County Living Center
(405)238-3888</t>
        </r>
      </text>
    </comment>
    <comment ref="B1361" authorId="0">
      <text>
        <r>
          <rPr>
            <b/>
            <sz val="8"/>
            <color indexed="81"/>
            <rFont val="Tahoma"/>
            <family val="2"/>
          </rPr>
          <t>116295:</t>
        </r>
        <r>
          <rPr>
            <sz val="8"/>
            <color indexed="81"/>
            <rFont val="Tahoma"/>
            <family val="2"/>
          </rPr>
          <t xml:space="preserve">
Garvin County Living Center
(405)238-3888</t>
        </r>
      </text>
    </comment>
    <comment ref="B1362" authorId="0">
      <text>
        <r>
          <rPr>
            <b/>
            <sz val="8"/>
            <color indexed="81"/>
            <rFont val="Tahoma"/>
            <family val="2"/>
          </rPr>
          <t>116295:</t>
        </r>
        <r>
          <rPr>
            <sz val="8"/>
            <color indexed="81"/>
            <rFont val="Tahoma"/>
            <family val="2"/>
          </rPr>
          <t xml:space="preserve">
Garvin County Living Center
(405)238-3888</t>
        </r>
      </text>
    </comment>
    <comment ref="B1363" authorId="0">
      <text>
        <r>
          <rPr>
            <b/>
            <sz val="8"/>
            <color indexed="81"/>
            <rFont val="Tahoma"/>
            <family val="2"/>
          </rPr>
          <t>116295:</t>
        </r>
        <r>
          <rPr>
            <sz val="8"/>
            <color indexed="81"/>
            <rFont val="Tahoma"/>
            <family val="2"/>
          </rPr>
          <t xml:space="preserve">
Garvin County Living Center
(405)238-3888</t>
        </r>
      </text>
    </comment>
    <comment ref="B1364" authorId="0">
      <text>
        <r>
          <rPr>
            <b/>
            <sz val="8"/>
            <color indexed="81"/>
            <rFont val="Tahoma"/>
            <family val="2"/>
          </rPr>
          <t>116295:</t>
        </r>
        <r>
          <rPr>
            <sz val="8"/>
            <color indexed="81"/>
            <rFont val="Tahoma"/>
            <family val="2"/>
          </rPr>
          <t xml:space="preserve">
Garvin County Living Center
(405)238-3888</t>
        </r>
      </text>
    </comment>
    <comment ref="B1365" authorId="0">
      <text>
        <r>
          <rPr>
            <b/>
            <sz val="8"/>
            <color indexed="81"/>
            <rFont val="Tahoma"/>
            <family val="2"/>
          </rPr>
          <t>116295:</t>
        </r>
        <r>
          <rPr>
            <sz val="8"/>
            <color indexed="81"/>
            <rFont val="Tahoma"/>
            <family val="2"/>
          </rPr>
          <t xml:space="preserve">
Garvin County Living Center
(405)238-3888</t>
        </r>
      </text>
    </comment>
    <comment ref="B1366" authorId="0">
      <text>
        <r>
          <rPr>
            <b/>
            <sz val="8"/>
            <color indexed="81"/>
            <rFont val="Tahoma"/>
            <family val="2"/>
          </rPr>
          <t>116295:</t>
        </r>
        <r>
          <rPr>
            <sz val="8"/>
            <color indexed="81"/>
            <rFont val="Tahoma"/>
            <family val="2"/>
          </rPr>
          <t xml:space="preserve">
Garvin County Living Center
(405)238-3888</t>
        </r>
      </text>
    </comment>
    <comment ref="B1367" authorId="0">
      <text>
        <r>
          <rPr>
            <b/>
            <sz val="8"/>
            <color indexed="81"/>
            <rFont val="Tahoma"/>
            <family val="2"/>
          </rPr>
          <t>116295:</t>
        </r>
        <r>
          <rPr>
            <sz val="8"/>
            <color indexed="81"/>
            <rFont val="Tahoma"/>
            <family val="2"/>
          </rPr>
          <t xml:space="preserve">
Garvin County Living Center
(405)238-3888</t>
        </r>
      </text>
    </comment>
    <comment ref="B1368" authorId="0">
      <text>
        <r>
          <rPr>
            <b/>
            <sz val="8"/>
            <color indexed="81"/>
            <rFont val="Tahoma"/>
            <family val="2"/>
          </rPr>
          <t>116295:</t>
        </r>
        <r>
          <rPr>
            <sz val="8"/>
            <color indexed="81"/>
            <rFont val="Tahoma"/>
            <family val="2"/>
          </rPr>
          <t xml:space="preserve">
Garvin County Living Center
(405)238-3888</t>
        </r>
      </text>
    </comment>
    <comment ref="B1369" authorId="0">
      <text>
        <r>
          <rPr>
            <b/>
            <sz val="8"/>
            <color indexed="81"/>
            <rFont val="Tahoma"/>
            <family val="2"/>
          </rPr>
          <t>116295:</t>
        </r>
        <r>
          <rPr>
            <sz val="8"/>
            <color indexed="81"/>
            <rFont val="Tahoma"/>
            <family val="2"/>
          </rPr>
          <t xml:space="preserve">
Garvin County Living Center
(405)238-3888</t>
        </r>
      </text>
    </comment>
    <comment ref="B1370" authorId="0">
      <text>
        <r>
          <rPr>
            <b/>
            <sz val="8"/>
            <color indexed="81"/>
            <rFont val="Tahoma"/>
            <family val="2"/>
          </rPr>
          <t>116295:</t>
        </r>
        <r>
          <rPr>
            <sz val="8"/>
            <color indexed="81"/>
            <rFont val="Tahoma"/>
            <family val="2"/>
          </rPr>
          <t xml:space="preserve">
Garvin County Living Center
(405)238-3888</t>
        </r>
      </text>
    </comment>
    <comment ref="B1371" authorId="0">
      <text>
        <r>
          <rPr>
            <b/>
            <sz val="8"/>
            <color indexed="81"/>
            <rFont val="Tahoma"/>
            <family val="2"/>
          </rPr>
          <t>116295:</t>
        </r>
        <r>
          <rPr>
            <sz val="8"/>
            <color indexed="81"/>
            <rFont val="Tahoma"/>
            <family val="2"/>
          </rPr>
          <t xml:space="preserve">
Garvin County Living Center
(405)238-3888</t>
        </r>
      </text>
    </comment>
    <comment ref="B1372" authorId="0">
      <text>
        <r>
          <rPr>
            <b/>
            <sz val="8"/>
            <color indexed="81"/>
            <rFont val="Tahoma"/>
            <family val="2"/>
          </rPr>
          <t>116295:</t>
        </r>
        <r>
          <rPr>
            <sz val="8"/>
            <color indexed="81"/>
            <rFont val="Tahoma"/>
            <family val="2"/>
          </rPr>
          <t xml:space="preserve">
Garvin County Living Center
(405)238-3888</t>
        </r>
      </text>
    </comment>
    <comment ref="B1373" authorId="0">
      <text>
        <r>
          <rPr>
            <b/>
            <sz val="8"/>
            <color indexed="81"/>
            <rFont val="Tahoma"/>
            <family val="2"/>
          </rPr>
          <t>116295:</t>
        </r>
        <r>
          <rPr>
            <sz val="8"/>
            <color indexed="81"/>
            <rFont val="Tahoma"/>
            <family val="2"/>
          </rPr>
          <t xml:space="preserve">
Garvin County Living Center
(405)238-3888</t>
        </r>
      </text>
    </comment>
    <comment ref="B1374" authorId="0">
      <text>
        <r>
          <rPr>
            <b/>
            <sz val="8"/>
            <color indexed="81"/>
            <rFont val="Tahoma"/>
            <family val="2"/>
          </rPr>
          <t>116295:</t>
        </r>
        <r>
          <rPr>
            <sz val="8"/>
            <color indexed="81"/>
            <rFont val="Tahoma"/>
            <family val="2"/>
          </rPr>
          <t xml:space="preserve">
Garvin County Living Center
(405)238-3888</t>
        </r>
      </text>
    </comment>
    <comment ref="B1375" authorId="0">
      <text>
        <r>
          <rPr>
            <b/>
            <sz val="8"/>
            <color indexed="81"/>
            <rFont val="Tahoma"/>
            <family val="2"/>
          </rPr>
          <t>116295:</t>
        </r>
        <r>
          <rPr>
            <sz val="8"/>
            <color indexed="81"/>
            <rFont val="Tahoma"/>
            <family val="2"/>
          </rPr>
          <t xml:space="preserve">
Garvin County Living Center
(405)238-3888</t>
        </r>
      </text>
    </comment>
    <comment ref="B1376" authorId="0">
      <text>
        <r>
          <rPr>
            <b/>
            <sz val="8"/>
            <color indexed="81"/>
            <rFont val="Tahoma"/>
            <family val="2"/>
          </rPr>
          <t>116295:</t>
        </r>
        <r>
          <rPr>
            <sz val="8"/>
            <color indexed="81"/>
            <rFont val="Tahoma"/>
            <family val="2"/>
          </rPr>
          <t xml:space="preserve">
Garvin County Living Center
(405)238-3888</t>
        </r>
      </text>
    </comment>
    <comment ref="B1377" authorId="0">
      <text>
        <r>
          <rPr>
            <b/>
            <sz val="8"/>
            <color indexed="81"/>
            <rFont val="Tahoma"/>
            <family val="2"/>
          </rPr>
          <t>116295:</t>
        </r>
        <r>
          <rPr>
            <sz val="8"/>
            <color indexed="81"/>
            <rFont val="Tahoma"/>
            <family val="2"/>
          </rPr>
          <t xml:space="preserve">
Garvin County Living Center
(405)238-3888</t>
        </r>
      </text>
    </comment>
    <comment ref="B1378" authorId="0">
      <text>
        <r>
          <rPr>
            <b/>
            <sz val="8"/>
            <color indexed="81"/>
            <rFont val="Tahoma"/>
            <family val="2"/>
          </rPr>
          <t>116295:</t>
        </r>
        <r>
          <rPr>
            <sz val="8"/>
            <color indexed="81"/>
            <rFont val="Tahoma"/>
            <family val="2"/>
          </rPr>
          <t xml:space="preserve">
Garvin County Living Center
(405)238-3888</t>
        </r>
      </text>
    </comment>
    <comment ref="B1379" authorId="0">
      <text>
        <r>
          <rPr>
            <b/>
            <sz val="8"/>
            <color indexed="81"/>
            <rFont val="Tahoma"/>
            <family val="2"/>
          </rPr>
          <t>116295:</t>
        </r>
        <r>
          <rPr>
            <sz val="8"/>
            <color indexed="81"/>
            <rFont val="Tahoma"/>
            <family val="2"/>
          </rPr>
          <t xml:space="preserve">
Garvin County Living Center
(405)238-3888</t>
        </r>
      </text>
    </comment>
    <comment ref="B1380" authorId="0">
      <text>
        <r>
          <rPr>
            <b/>
            <sz val="8"/>
            <color indexed="81"/>
            <rFont val="Tahoma"/>
            <family val="2"/>
          </rPr>
          <t>116295:</t>
        </r>
        <r>
          <rPr>
            <sz val="8"/>
            <color indexed="81"/>
            <rFont val="Tahoma"/>
            <family val="2"/>
          </rPr>
          <t xml:space="preserve">
Garvin County Living Center
(405)238-3888</t>
        </r>
      </text>
    </comment>
    <comment ref="B1381" authorId="0">
      <text>
        <r>
          <rPr>
            <b/>
            <sz val="8"/>
            <color indexed="81"/>
            <rFont val="Tahoma"/>
            <family val="2"/>
          </rPr>
          <t>116295:</t>
        </r>
        <r>
          <rPr>
            <sz val="8"/>
            <color indexed="81"/>
            <rFont val="Tahoma"/>
            <family val="2"/>
          </rPr>
          <t xml:space="preserve">
Garvin County Living Center
(405)238-3888</t>
        </r>
      </text>
    </comment>
    <comment ref="B1382" authorId="0">
      <text>
        <r>
          <rPr>
            <b/>
            <sz val="8"/>
            <color indexed="81"/>
            <rFont val="Tahoma"/>
            <family val="2"/>
          </rPr>
          <t>116295:</t>
        </r>
        <r>
          <rPr>
            <sz val="8"/>
            <color indexed="81"/>
            <rFont val="Tahoma"/>
            <family val="2"/>
          </rPr>
          <t xml:space="preserve">
Garvin County Living Center
(405)238-3888</t>
        </r>
      </text>
    </comment>
    <comment ref="B1383" authorId="0">
      <text>
        <r>
          <rPr>
            <b/>
            <sz val="8"/>
            <color indexed="81"/>
            <rFont val="Tahoma"/>
            <family val="2"/>
          </rPr>
          <t>116295:</t>
        </r>
        <r>
          <rPr>
            <sz val="8"/>
            <color indexed="81"/>
            <rFont val="Tahoma"/>
            <family val="2"/>
          </rPr>
          <t xml:space="preserve">
Garvin County Living Center
(405)238-3888</t>
        </r>
      </text>
    </comment>
    <comment ref="B1384" authorId="0">
      <text>
        <r>
          <rPr>
            <b/>
            <sz val="8"/>
            <color indexed="81"/>
            <rFont val="Tahoma"/>
            <family val="2"/>
          </rPr>
          <t>116295:</t>
        </r>
        <r>
          <rPr>
            <sz val="8"/>
            <color indexed="81"/>
            <rFont val="Tahoma"/>
            <family val="2"/>
          </rPr>
          <t xml:space="preserve">
Garvin County Living Center
(405)238-3888</t>
        </r>
      </text>
    </comment>
    <comment ref="B1385" authorId="0">
      <text>
        <r>
          <rPr>
            <b/>
            <sz val="8"/>
            <color indexed="81"/>
            <rFont val="Tahoma"/>
            <family val="2"/>
          </rPr>
          <t>116295:</t>
        </r>
        <r>
          <rPr>
            <sz val="8"/>
            <color indexed="81"/>
            <rFont val="Tahoma"/>
            <family val="2"/>
          </rPr>
          <t xml:space="preserve">
Garvin County Living Center
(405)238-3888</t>
        </r>
      </text>
    </comment>
    <comment ref="B1386" authorId="0">
      <text>
        <r>
          <rPr>
            <b/>
            <sz val="8"/>
            <color indexed="81"/>
            <rFont val="Tahoma"/>
            <family val="2"/>
          </rPr>
          <t>116295:</t>
        </r>
        <r>
          <rPr>
            <sz val="8"/>
            <color indexed="81"/>
            <rFont val="Tahoma"/>
            <family val="2"/>
          </rPr>
          <t xml:space="preserve">
Garvin County Living Center
(405)238-3888</t>
        </r>
      </text>
    </comment>
    <comment ref="B1387" authorId="0">
      <text>
        <r>
          <rPr>
            <b/>
            <sz val="8"/>
            <color indexed="81"/>
            <rFont val="Tahoma"/>
            <family val="2"/>
          </rPr>
          <t>116295:</t>
        </r>
        <r>
          <rPr>
            <sz val="8"/>
            <color indexed="81"/>
            <rFont val="Tahoma"/>
            <family val="2"/>
          </rPr>
          <t xml:space="preserve">
Garvin County Living Center
(405)238-3888</t>
        </r>
      </text>
    </comment>
    <comment ref="B1388" authorId="0">
      <text>
        <r>
          <rPr>
            <b/>
            <sz val="8"/>
            <color indexed="81"/>
            <rFont val="Tahoma"/>
            <family val="2"/>
          </rPr>
          <t>116295:</t>
        </r>
        <r>
          <rPr>
            <sz val="8"/>
            <color indexed="81"/>
            <rFont val="Tahoma"/>
            <family val="2"/>
          </rPr>
          <t xml:space="preserve">
Garvin County Living Center
(405)238-3888</t>
        </r>
      </text>
    </comment>
    <comment ref="B1389" authorId="0">
      <text>
        <r>
          <rPr>
            <b/>
            <sz val="8"/>
            <color indexed="81"/>
            <rFont val="Tahoma"/>
            <family val="2"/>
          </rPr>
          <t>116295:</t>
        </r>
        <r>
          <rPr>
            <sz val="8"/>
            <color indexed="81"/>
            <rFont val="Tahoma"/>
            <family val="2"/>
          </rPr>
          <t xml:space="preserve">
Garvin County Living Center
(405)238-3888</t>
        </r>
      </text>
    </comment>
    <comment ref="B1390" authorId="0">
      <text>
        <r>
          <rPr>
            <b/>
            <sz val="8"/>
            <color indexed="81"/>
            <rFont val="Tahoma"/>
            <family val="2"/>
          </rPr>
          <t>116295:</t>
        </r>
        <r>
          <rPr>
            <sz val="8"/>
            <color indexed="81"/>
            <rFont val="Tahoma"/>
            <family val="2"/>
          </rPr>
          <t xml:space="preserve">
Garvin County Living Center
(405)238-3888</t>
        </r>
      </text>
    </comment>
    <comment ref="B1391" authorId="0">
      <text>
        <r>
          <rPr>
            <b/>
            <sz val="8"/>
            <color indexed="81"/>
            <rFont val="Tahoma"/>
            <family val="2"/>
          </rPr>
          <t>116295:</t>
        </r>
        <r>
          <rPr>
            <sz val="8"/>
            <color indexed="81"/>
            <rFont val="Tahoma"/>
            <family val="2"/>
          </rPr>
          <t xml:space="preserve">
Garvin County Living Center
(405)238-3888</t>
        </r>
      </text>
    </comment>
    <comment ref="B1392" authorId="0">
      <text>
        <r>
          <rPr>
            <b/>
            <sz val="8"/>
            <color indexed="81"/>
            <rFont val="Tahoma"/>
            <family val="2"/>
          </rPr>
          <t>116295:</t>
        </r>
        <r>
          <rPr>
            <sz val="8"/>
            <color indexed="81"/>
            <rFont val="Tahoma"/>
            <family val="2"/>
          </rPr>
          <t xml:space="preserve">
Garvin County Living Center
(405)238-3888</t>
        </r>
      </text>
    </comment>
    <comment ref="B1393" authorId="0">
      <text>
        <r>
          <rPr>
            <b/>
            <sz val="8"/>
            <color indexed="81"/>
            <rFont val="Tahoma"/>
            <family val="2"/>
          </rPr>
          <t>116295:</t>
        </r>
        <r>
          <rPr>
            <sz val="8"/>
            <color indexed="81"/>
            <rFont val="Tahoma"/>
            <family val="2"/>
          </rPr>
          <t xml:space="preserve">
Garvin County Living Center
(405)238-3888</t>
        </r>
      </text>
    </comment>
    <comment ref="B1394" authorId="0">
      <text>
        <r>
          <rPr>
            <b/>
            <sz val="8"/>
            <color indexed="81"/>
            <rFont val="Tahoma"/>
            <family val="2"/>
          </rPr>
          <t>116295:</t>
        </r>
        <r>
          <rPr>
            <sz val="8"/>
            <color indexed="81"/>
            <rFont val="Tahoma"/>
            <family val="2"/>
          </rPr>
          <t xml:space="preserve">
Garvin County Living Center
(405)238-3888</t>
        </r>
      </text>
    </comment>
    <comment ref="B1395" authorId="0">
      <text>
        <r>
          <rPr>
            <b/>
            <sz val="8"/>
            <color indexed="81"/>
            <rFont val="Tahoma"/>
            <family val="2"/>
          </rPr>
          <t>116295:</t>
        </r>
        <r>
          <rPr>
            <sz val="8"/>
            <color indexed="81"/>
            <rFont val="Tahoma"/>
            <family val="2"/>
          </rPr>
          <t xml:space="preserve">
Garvin County Living Center
(405)238-3888</t>
        </r>
      </text>
    </comment>
    <comment ref="E1395" authorId="0">
      <text>
        <r>
          <rPr>
            <b/>
            <sz val="8"/>
            <color indexed="81"/>
            <rFont val="Tahoma"/>
            <family val="2"/>
          </rPr>
          <t>116295:</t>
        </r>
        <r>
          <rPr>
            <sz val="8"/>
            <color indexed="81"/>
            <rFont val="Tahoma"/>
            <family val="2"/>
          </rPr>
          <t xml:space="preserve">
Suitable to Procure 
No Fair Market Value
Non Mandatory
Call Vendor for Price</t>
        </r>
      </text>
    </comment>
    <comment ref="B1396" authorId="0">
      <text>
        <r>
          <rPr>
            <b/>
            <sz val="8"/>
            <color indexed="81"/>
            <rFont val="Tahoma"/>
            <family val="2"/>
          </rPr>
          <t>116295:</t>
        </r>
        <r>
          <rPr>
            <sz val="8"/>
            <color indexed="81"/>
            <rFont val="Tahoma"/>
            <family val="2"/>
          </rPr>
          <t xml:space="preserve">
Garvin County Living Center
(405)238-3888</t>
        </r>
      </text>
    </comment>
    <comment ref="E1396" authorId="0">
      <text>
        <r>
          <rPr>
            <b/>
            <sz val="8"/>
            <color indexed="81"/>
            <rFont val="Tahoma"/>
            <family val="2"/>
          </rPr>
          <t>116295:</t>
        </r>
        <r>
          <rPr>
            <sz val="8"/>
            <color indexed="81"/>
            <rFont val="Tahoma"/>
            <family val="2"/>
          </rPr>
          <t xml:space="preserve">
Suitable to Procure 
No Fair Market Value
Non Mandatory
Call Vendor for Price</t>
        </r>
      </text>
    </comment>
    <comment ref="B1397" authorId="0">
      <text>
        <r>
          <rPr>
            <b/>
            <sz val="8"/>
            <color indexed="81"/>
            <rFont val="Tahoma"/>
            <family val="2"/>
          </rPr>
          <t>116295:</t>
        </r>
        <r>
          <rPr>
            <sz val="8"/>
            <color indexed="81"/>
            <rFont val="Tahoma"/>
            <family val="2"/>
          </rPr>
          <t xml:space="preserve">
Garvin County Living Center
(405)238-3888</t>
        </r>
      </text>
    </comment>
    <comment ref="E1397" authorId="0">
      <text>
        <r>
          <rPr>
            <b/>
            <sz val="8"/>
            <color indexed="81"/>
            <rFont val="Tahoma"/>
            <family val="2"/>
          </rPr>
          <t>116295:</t>
        </r>
        <r>
          <rPr>
            <sz val="8"/>
            <color indexed="81"/>
            <rFont val="Tahoma"/>
            <family val="2"/>
          </rPr>
          <t xml:space="preserve">
Suitable to Procure 
No Fair Market Value
Non Mandatory
Call Vendor for Price</t>
        </r>
      </text>
    </comment>
    <comment ref="B1398" authorId="0">
      <text>
        <r>
          <rPr>
            <b/>
            <sz val="8"/>
            <color indexed="81"/>
            <rFont val="Tahoma"/>
            <family val="2"/>
          </rPr>
          <t>116295:</t>
        </r>
        <r>
          <rPr>
            <sz val="8"/>
            <color indexed="81"/>
            <rFont val="Tahoma"/>
            <family val="2"/>
          </rPr>
          <t xml:space="preserve">
Garvin County Living Center
(405)238-3888</t>
        </r>
      </text>
    </comment>
    <comment ref="E1398" authorId="0">
      <text>
        <r>
          <rPr>
            <b/>
            <sz val="8"/>
            <color indexed="81"/>
            <rFont val="Tahoma"/>
            <family val="2"/>
          </rPr>
          <t>116295:</t>
        </r>
        <r>
          <rPr>
            <sz val="8"/>
            <color indexed="81"/>
            <rFont val="Tahoma"/>
            <family val="2"/>
          </rPr>
          <t xml:space="preserve">
Suitable to Procure 
No Fair Market Value
Non Mandatory
Call Vendor for Price</t>
        </r>
      </text>
    </comment>
    <comment ref="B1399" authorId="0">
      <text>
        <r>
          <rPr>
            <b/>
            <sz val="8"/>
            <color indexed="81"/>
            <rFont val="Tahoma"/>
            <family val="2"/>
          </rPr>
          <t>116295:</t>
        </r>
        <r>
          <rPr>
            <sz val="8"/>
            <color indexed="81"/>
            <rFont val="Tahoma"/>
            <family val="2"/>
          </rPr>
          <t xml:space="preserve">
Garvin County Living Center
(405)238-3888</t>
        </r>
      </text>
    </comment>
    <comment ref="E1399"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0" authorId="0">
      <text>
        <r>
          <rPr>
            <b/>
            <sz val="8"/>
            <color indexed="81"/>
            <rFont val="Tahoma"/>
            <family val="2"/>
          </rPr>
          <t>116295:</t>
        </r>
        <r>
          <rPr>
            <sz val="8"/>
            <color indexed="81"/>
            <rFont val="Tahoma"/>
            <family val="2"/>
          </rPr>
          <t xml:space="preserve">
Garvin County Living Center
(405)238-3888</t>
        </r>
      </text>
    </comment>
    <comment ref="E1400"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1" authorId="0">
      <text>
        <r>
          <rPr>
            <b/>
            <sz val="8"/>
            <color indexed="81"/>
            <rFont val="Tahoma"/>
            <family val="2"/>
          </rPr>
          <t>116295:</t>
        </r>
        <r>
          <rPr>
            <sz val="8"/>
            <color indexed="81"/>
            <rFont val="Tahoma"/>
            <family val="2"/>
          </rPr>
          <t xml:space="preserve">
Garvin County Living Center
(405)238-3888</t>
        </r>
      </text>
    </comment>
    <comment ref="E1401"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2" authorId="0">
      <text>
        <r>
          <rPr>
            <b/>
            <sz val="8"/>
            <color indexed="81"/>
            <rFont val="Tahoma"/>
            <family val="2"/>
          </rPr>
          <t>116295:</t>
        </r>
        <r>
          <rPr>
            <sz val="8"/>
            <color indexed="81"/>
            <rFont val="Tahoma"/>
            <family val="2"/>
          </rPr>
          <t xml:space="preserve">
Garvin County Living Center
(405)238-3888</t>
        </r>
      </text>
    </comment>
    <comment ref="E1402"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3" authorId="0">
      <text>
        <r>
          <rPr>
            <b/>
            <sz val="8"/>
            <color indexed="81"/>
            <rFont val="Tahoma"/>
            <family val="2"/>
          </rPr>
          <t>116295:</t>
        </r>
        <r>
          <rPr>
            <sz val="8"/>
            <color indexed="81"/>
            <rFont val="Tahoma"/>
            <family val="2"/>
          </rPr>
          <t xml:space="preserve">
Garvin County Living Center
(405)238-3888</t>
        </r>
      </text>
    </comment>
    <comment ref="E1403"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4" authorId="0">
      <text>
        <r>
          <rPr>
            <b/>
            <sz val="8"/>
            <color indexed="81"/>
            <rFont val="Tahoma"/>
            <family val="2"/>
          </rPr>
          <t>116295:</t>
        </r>
        <r>
          <rPr>
            <sz val="8"/>
            <color indexed="81"/>
            <rFont val="Tahoma"/>
            <family val="2"/>
          </rPr>
          <t xml:space="preserve">
Garvin County Living Center
(405)238-3888</t>
        </r>
      </text>
    </comment>
    <comment ref="E1404"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5" authorId="0">
      <text>
        <r>
          <rPr>
            <b/>
            <sz val="8"/>
            <color indexed="81"/>
            <rFont val="Tahoma"/>
            <family val="2"/>
          </rPr>
          <t>116295:</t>
        </r>
        <r>
          <rPr>
            <sz val="8"/>
            <color indexed="81"/>
            <rFont val="Tahoma"/>
            <family val="2"/>
          </rPr>
          <t xml:space="preserve">
Garvin County Living Center
(405)238-3888</t>
        </r>
      </text>
    </comment>
    <comment ref="E1405"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6" authorId="0">
      <text>
        <r>
          <rPr>
            <b/>
            <sz val="8"/>
            <color indexed="81"/>
            <rFont val="Tahoma"/>
            <family val="2"/>
          </rPr>
          <t>116295:</t>
        </r>
        <r>
          <rPr>
            <sz val="8"/>
            <color indexed="81"/>
            <rFont val="Tahoma"/>
            <family val="2"/>
          </rPr>
          <t xml:space="preserve">
Garvin County Living Center
(405)238-3888</t>
        </r>
      </text>
    </comment>
    <comment ref="E1406"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7" authorId="0">
      <text>
        <r>
          <rPr>
            <b/>
            <sz val="8"/>
            <color indexed="81"/>
            <rFont val="Tahoma"/>
            <family val="2"/>
          </rPr>
          <t>116295:</t>
        </r>
        <r>
          <rPr>
            <sz val="8"/>
            <color indexed="81"/>
            <rFont val="Tahoma"/>
            <family val="2"/>
          </rPr>
          <t xml:space="preserve">
Garvin County Living Center
(405)238-3888</t>
        </r>
      </text>
    </comment>
    <comment ref="E1407"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8" authorId="0">
      <text>
        <r>
          <rPr>
            <b/>
            <sz val="8"/>
            <color indexed="81"/>
            <rFont val="Tahoma"/>
            <family val="2"/>
          </rPr>
          <t>116295:</t>
        </r>
        <r>
          <rPr>
            <sz val="8"/>
            <color indexed="81"/>
            <rFont val="Tahoma"/>
            <family val="2"/>
          </rPr>
          <t xml:space="preserve">
Garvin County Living Center
(405)238-3888</t>
        </r>
      </text>
    </comment>
    <comment ref="E1408"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9" authorId="0">
      <text>
        <r>
          <rPr>
            <b/>
            <sz val="8"/>
            <color indexed="81"/>
            <rFont val="Tahoma"/>
            <family val="2"/>
          </rPr>
          <t>116295:</t>
        </r>
        <r>
          <rPr>
            <sz val="8"/>
            <color indexed="81"/>
            <rFont val="Tahoma"/>
            <family val="2"/>
          </rPr>
          <t xml:space="preserve">
Garvin County Living Center
(405)238-3888</t>
        </r>
      </text>
    </comment>
    <comment ref="E1409" authorId="0">
      <text>
        <r>
          <rPr>
            <b/>
            <sz val="8"/>
            <color indexed="81"/>
            <rFont val="Tahoma"/>
            <family val="2"/>
          </rPr>
          <t>116295:</t>
        </r>
        <r>
          <rPr>
            <sz val="8"/>
            <color indexed="81"/>
            <rFont val="Tahoma"/>
            <family val="2"/>
          </rPr>
          <t xml:space="preserve">
Suitable to Procure 
No Fair Market Value
Non Mandatory
Call Vendor for Price</t>
        </r>
      </text>
    </comment>
    <comment ref="B1410" authorId="0">
      <text>
        <r>
          <rPr>
            <b/>
            <sz val="8"/>
            <color indexed="81"/>
            <rFont val="Tahoma"/>
            <family val="2"/>
          </rPr>
          <t>116295:</t>
        </r>
        <r>
          <rPr>
            <sz val="8"/>
            <color indexed="81"/>
            <rFont val="Tahoma"/>
            <family val="2"/>
          </rPr>
          <t xml:space="preserve">
Golden Rule
(918)683-5505</t>
        </r>
      </text>
    </comment>
    <comment ref="B1411" authorId="0">
      <text>
        <r>
          <rPr>
            <b/>
            <sz val="8"/>
            <color indexed="81"/>
            <rFont val="Tahoma"/>
            <family val="2"/>
          </rPr>
          <t>116295:</t>
        </r>
        <r>
          <rPr>
            <sz val="8"/>
            <color indexed="81"/>
            <rFont val="Tahoma"/>
            <family val="2"/>
          </rPr>
          <t xml:space="preserve">
Golden Rule
(918)683-5505</t>
        </r>
      </text>
    </comment>
    <comment ref="E1411" authorId="0">
      <text>
        <r>
          <rPr>
            <b/>
            <sz val="8"/>
            <color indexed="81"/>
            <rFont val="Tahoma"/>
            <family val="2"/>
          </rPr>
          <t>116295:</t>
        </r>
        <r>
          <rPr>
            <sz val="8"/>
            <color indexed="81"/>
            <rFont val="Tahoma"/>
            <family val="2"/>
          </rPr>
          <t xml:space="preserve">
Suitable to Procure 
No Fair Market Value
Non Mandatory
Call Vendor for Price</t>
        </r>
      </text>
    </comment>
    <comment ref="B1412" authorId="0">
      <text>
        <r>
          <rPr>
            <b/>
            <sz val="8"/>
            <color indexed="81"/>
            <rFont val="Tahoma"/>
            <family val="2"/>
          </rPr>
          <t>116295:</t>
        </r>
        <r>
          <rPr>
            <sz val="8"/>
            <color indexed="81"/>
            <rFont val="Tahoma"/>
            <family val="2"/>
          </rPr>
          <t xml:space="preserve">
Golden Rule
(918)683-5505</t>
        </r>
      </text>
    </comment>
    <comment ref="E1412" authorId="0">
      <text>
        <r>
          <rPr>
            <b/>
            <sz val="8"/>
            <color indexed="81"/>
            <rFont val="Tahoma"/>
            <family val="2"/>
          </rPr>
          <t>116295:</t>
        </r>
        <r>
          <rPr>
            <sz val="8"/>
            <color indexed="81"/>
            <rFont val="Tahoma"/>
            <family val="2"/>
          </rPr>
          <t xml:space="preserve">
Suitable to Procure 
No Fair Market Value
Non Mandatory
Call Vendor for Price</t>
        </r>
      </text>
    </comment>
    <comment ref="B1413" authorId="0">
      <text>
        <r>
          <rPr>
            <b/>
            <sz val="8"/>
            <color indexed="81"/>
            <rFont val="Tahoma"/>
            <family val="2"/>
          </rPr>
          <t>116295:</t>
        </r>
        <r>
          <rPr>
            <sz val="8"/>
            <color indexed="81"/>
            <rFont val="Tahoma"/>
            <family val="2"/>
          </rPr>
          <t xml:space="preserve">
Golden Rule
(918)683-5505</t>
        </r>
      </text>
    </comment>
    <comment ref="E1413" authorId="0">
      <text>
        <r>
          <rPr>
            <b/>
            <sz val="8"/>
            <color indexed="81"/>
            <rFont val="Tahoma"/>
            <family val="2"/>
          </rPr>
          <t>116295:</t>
        </r>
        <r>
          <rPr>
            <sz val="8"/>
            <color indexed="81"/>
            <rFont val="Tahoma"/>
            <family val="2"/>
          </rPr>
          <t xml:space="preserve">
Suitable to Procure 
No Fair Market Value
Non Mandatory
Call Vendor for Price</t>
        </r>
      </text>
    </comment>
    <comment ref="B1414" authorId="0">
      <text>
        <r>
          <rPr>
            <b/>
            <sz val="8"/>
            <color indexed="81"/>
            <rFont val="Tahoma"/>
            <family val="2"/>
          </rPr>
          <t>116295:</t>
        </r>
        <r>
          <rPr>
            <sz val="8"/>
            <color indexed="81"/>
            <rFont val="Tahoma"/>
            <family val="2"/>
          </rPr>
          <t xml:space="preserve">
Golden Rule
(918)683-5505</t>
        </r>
      </text>
    </comment>
    <comment ref="E1414" authorId="0">
      <text>
        <r>
          <rPr>
            <b/>
            <sz val="8"/>
            <color indexed="81"/>
            <rFont val="Tahoma"/>
            <family val="2"/>
          </rPr>
          <t>116295:</t>
        </r>
        <r>
          <rPr>
            <sz val="8"/>
            <color indexed="81"/>
            <rFont val="Tahoma"/>
            <family val="2"/>
          </rPr>
          <t xml:space="preserve">
Suitable to Procure 
No Fair Market Value
Non Mandatory
Call Vendor for Price</t>
        </r>
      </text>
    </comment>
    <comment ref="B1415" authorId="0">
      <text>
        <r>
          <rPr>
            <b/>
            <sz val="8"/>
            <color indexed="81"/>
            <rFont val="Tahoma"/>
            <family val="2"/>
          </rPr>
          <t>116295:</t>
        </r>
        <r>
          <rPr>
            <sz val="8"/>
            <color indexed="81"/>
            <rFont val="Tahoma"/>
            <family val="2"/>
          </rPr>
          <t xml:space="preserve">
Golden Rule
(918)683-5505</t>
        </r>
      </text>
    </comment>
    <comment ref="E1415" authorId="0">
      <text>
        <r>
          <rPr>
            <b/>
            <sz val="8"/>
            <color indexed="81"/>
            <rFont val="Tahoma"/>
            <family val="2"/>
          </rPr>
          <t>116295:</t>
        </r>
        <r>
          <rPr>
            <sz val="8"/>
            <color indexed="81"/>
            <rFont val="Tahoma"/>
            <family val="2"/>
          </rPr>
          <t xml:space="preserve">
Suitable to Procure 
No Fair Market Value
Non Mandatory
Call Vendor for Price</t>
        </r>
      </text>
    </comment>
    <comment ref="B1416" authorId="0">
      <text>
        <r>
          <rPr>
            <b/>
            <sz val="8"/>
            <color indexed="81"/>
            <rFont val="Tahoma"/>
            <family val="2"/>
          </rPr>
          <t>116295:</t>
        </r>
        <r>
          <rPr>
            <sz val="8"/>
            <color indexed="81"/>
            <rFont val="Tahoma"/>
            <family val="2"/>
          </rPr>
          <t xml:space="preserve">
Golden Rule
(918)683-5505</t>
        </r>
      </text>
    </comment>
    <comment ref="E1416" authorId="0">
      <text>
        <r>
          <rPr>
            <b/>
            <sz val="8"/>
            <color indexed="81"/>
            <rFont val="Tahoma"/>
            <family val="2"/>
          </rPr>
          <t>116295:</t>
        </r>
        <r>
          <rPr>
            <sz val="8"/>
            <color indexed="81"/>
            <rFont val="Tahoma"/>
            <family val="2"/>
          </rPr>
          <t xml:space="preserve">
Suitable to Procure 
No Fair Market Value
Non Mandatory
Call Vendor for Price</t>
        </r>
      </text>
    </comment>
    <comment ref="B1417" authorId="0">
      <text>
        <r>
          <rPr>
            <b/>
            <sz val="8"/>
            <color indexed="81"/>
            <rFont val="Tahoma"/>
            <family val="2"/>
          </rPr>
          <t>116295:</t>
        </r>
        <r>
          <rPr>
            <sz val="8"/>
            <color indexed="81"/>
            <rFont val="Tahoma"/>
            <family val="2"/>
          </rPr>
          <t xml:space="preserve">
Golden Rule
(918)683-5505</t>
        </r>
      </text>
    </comment>
    <comment ref="E1417" authorId="0">
      <text>
        <r>
          <rPr>
            <b/>
            <sz val="8"/>
            <color indexed="81"/>
            <rFont val="Tahoma"/>
            <family val="2"/>
          </rPr>
          <t>116295:</t>
        </r>
        <r>
          <rPr>
            <sz val="8"/>
            <color indexed="81"/>
            <rFont val="Tahoma"/>
            <family val="2"/>
          </rPr>
          <t xml:space="preserve">
Suitable to Procure 
No Fair Market Value
Non Mandatory
Call Vendor for Price</t>
        </r>
      </text>
    </comment>
    <comment ref="B1418" authorId="0">
      <text>
        <r>
          <rPr>
            <b/>
            <sz val="8"/>
            <color indexed="81"/>
            <rFont val="Tahoma"/>
            <family val="2"/>
          </rPr>
          <t>116295:</t>
        </r>
        <r>
          <rPr>
            <sz val="8"/>
            <color indexed="81"/>
            <rFont val="Tahoma"/>
            <family val="2"/>
          </rPr>
          <t xml:space="preserve">
Goodwill of Central OK
(405)278-7117</t>
        </r>
      </text>
    </comment>
    <comment ref="B1419" authorId="0">
      <text>
        <r>
          <rPr>
            <b/>
            <sz val="8"/>
            <color indexed="81"/>
            <rFont val="Tahoma"/>
            <family val="2"/>
          </rPr>
          <t>116295:</t>
        </r>
        <r>
          <rPr>
            <sz val="8"/>
            <color indexed="81"/>
            <rFont val="Tahoma"/>
            <family val="2"/>
          </rPr>
          <t xml:space="preserve">
Goodwill of Central OK
(405)278-7117</t>
        </r>
      </text>
    </comment>
    <comment ref="B1420" authorId="0">
      <text>
        <r>
          <rPr>
            <b/>
            <sz val="8"/>
            <color indexed="81"/>
            <rFont val="Tahoma"/>
            <family val="2"/>
          </rPr>
          <t>116295:</t>
        </r>
        <r>
          <rPr>
            <sz val="8"/>
            <color indexed="81"/>
            <rFont val="Tahoma"/>
            <family val="2"/>
          </rPr>
          <t xml:space="preserve">
Goodwill of Central OK
(405)278-7117</t>
        </r>
      </text>
    </comment>
    <comment ref="E1420" authorId="0">
      <text>
        <r>
          <rPr>
            <b/>
            <sz val="8"/>
            <color indexed="81"/>
            <rFont val="Tahoma"/>
            <family val="2"/>
          </rPr>
          <t>116295:</t>
        </r>
        <r>
          <rPr>
            <sz val="8"/>
            <color indexed="81"/>
            <rFont val="Tahoma"/>
            <family val="2"/>
          </rPr>
          <t xml:space="preserve">
Suitable to Procure 
No Fair Market Value
Non Mandatory
Call Vendor for Price</t>
        </r>
      </text>
    </comment>
    <comment ref="B1421" authorId="0">
      <text>
        <r>
          <rPr>
            <b/>
            <sz val="8"/>
            <color indexed="81"/>
            <rFont val="Tahoma"/>
            <family val="2"/>
          </rPr>
          <t>116295:</t>
        </r>
        <r>
          <rPr>
            <sz val="8"/>
            <color indexed="81"/>
            <rFont val="Tahoma"/>
            <family val="2"/>
          </rPr>
          <t xml:space="preserve">
Goodwill of Southwest OK &amp; North Texas
(580)355-2163</t>
        </r>
      </text>
    </comment>
    <comment ref="B1422" authorId="0">
      <text>
        <r>
          <rPr>
            <b/>
            <sz val="8"/>
            <color indexed="81"/>
            <rFont val="Tahoma"/>
            <family val="2"/>
          </rPr>
          <t>116295:</t>
        </r>
        <r>
          <rPr>
            <sz val="8"/>
            <color indexed="81"/>
            <rFont val="Tahoma"/>
            <family val="2"/>
          </rPr>
          <t xml:space="preserve">
Goodwill of Southwest OK &amp; North Texas
(580)355-2163</t>
        </r>
      </text>
    </comment>
    <comment ref="E1422" authorId="0">
      <text>
        <r>
          <rPr>
            <b/>
            <sz val="8"/>
            <color indexed="81"/>
            <rFont val="Tahoma"/>
            <family val="2"/>
          </rPr>
          <t>116295:</t>
        </r>
        <r>
          <rPr>
            <sz val="8"/>
            <color indexed="81"/>
            <rFont val="Tahoma"/>
            <family val="2"/>
          </rPr>
          <t xml:space="preserve">
Suitable to Procure 
No Fair Market Value
Non Mandatory
Call Vendor for Price</t>
        </r>
      </text>
    </comment>
    <comment ref="B1423" authorId="0">
      <text>
        <r>
          <rPr>
            <b/>
            <sz val="8"/>
            <color indexed="81"/>
            <rFont val="Tahoma"/>
            <family val="2"/>
          </rPr>
          <t>116295:</t>
        </r>
        <r>
          <rPr>
            <sz val="8"/>
            <color indexed="81"/>
            <rFont val="Tahoma"/>
            <family val="2"/>
          </rPr>
          <t xml:space="preserve">
Goodwill of Southwest OK &amp; North Texas
(580)355-2163</t>
        </r>
      </text>
    </comment>
    <comment ref="E1423" authorId="0">
      <text>
        <r>
          <rPr>
            <b/>
            <sz val="8"/>
            <color indexed="81"/>
            <rFont val="Tahoma"/>
            <family val="2"/>
          </rPr>
          <t>116295:</t>
        </r>
        <r>
          <rPr>
            <sz val="8"/>
            <color indexed="81"/>
            <rFont val="Tahoma"/>
            <family val="2"/>
          </rPr>
          <t xml:space="preserve">
Suitable to Procure 
No Fair Market Value
Non Mandatory
Call Vendor for Price</t>
        </r>
      </text>
    </comment>
    <comment ref="B1424" authorId="0">
      <text>
        <r>
          <rPr>
            <b/>
            <sz val="8"/>
            <color indexed="81"/>
            <rFont val="Tahoma"/>
            <family val="2"/>
          </rPr>
          <t>116295:</t>
        </r>
        <r>
          <rPr>
            <sz val="8"/>
            <color indexed="81"/>
            <rFont val="Tahoma"/>
            <family val="2"/>
          </rPr>
          <t xml:space="preserve">
Goodwill of Southwest OK &amp; North Texas
(580)355-2163</t>
        </r>
      </text>
    </comment>
    <comment ref="E1424" authorId="0">
      <text>
        <r>
          <rPr>
            <b/>
            <sz val="8"/>
            <color indexed="81"/>
            <rFont val="Tahoma"/>
            <family val="2"/>
          </rPr>
          <t>116295:</t>
        </r>
        <r>
          <rPr>
            <sz val="8"/>
            <color indexed="81"/>
            <rFont val="Tahoma"/>
            <family val="2"/>
          </rPr>
          <t xml:space="preserve">
Suitable to Procure 
No Fair Market Value
Non Mandatory
Call Vendor for Price</t>
        </r>
      </text>
    </comment>
    <comment ref="B1425" authorId="0">
      <text>
        <r>
          <rPr>
            <b/>
            <sz val="8"/>
            <color indexed="81"/>
            <rFont val="Tahoma"/>
            <family val="2"/>
          </rPr>
          <t>116295:</t>
        </r>
        <r>
          <rPr>
            <sz val="8"/>
            <color indexed="81"/>
            <rFont val="Tahoma"/>
            <family val="2"/>
          </rPr>
          <t xml:space="preserve">
Goodwill of Southwest OK &amp; North Texas
(580)355-2163</t>
        </r>
      </text>
    </comment>
    <comment ref="E1425" authorId="0">
      <text>
        <r>
          <rPr>
            <b/>
            <sz val="8"/>
            <color indexed="81"/>
            <rFont val="Tahoma"/>
            <family val="2"/>
          </rPr>
          <t>116295:</t>
        </r>
        <r>
          <rPr>
            <sz val="8"/>
            <color indexed="81"/>
            <rFont val="Tahoma"/>
            <family val="2"/>
          </rPr>
          <t xml:space="preserve">
Suitable to Procure 
No Fair Market Value
Non Mandatory
Call Vendor for Price</t>
        </r>
      </text>
    </comment>
    <comment ref="B1426" authorId="0">
      <text>
        <r>
          <rPr>
            <b/>
            <sz val="8"/>
            <color indexed="81"/>
            <rFont val="Tahoma"/>
            <family val="2"/>
          </rPr>
          <t>116295:</t>
        </r>
        <r>
          <rPr>
            <sz val="8"/>
            <color indexed="81"/>
            <rFont val="Tahoma"/>
            <family val="2"/>
          </rPr>
          <t xml:space="preserve">
Goodwill of Southwest OK &amp; North Texas
(580)355-2163</t>
        </r>
      </text>
    </comment>
    <comment ref="E1426" authorId="0">
      <text>
        <r>
          <rPr>
            <b/>
            <sz val="8"/>
            <color indexed="81"/>
            <rFont val="Tahoma"/>
            <family val="2"/>
          </rPr>
          <t>116295:</t>
        </r>
        <r>
          <rPr>
            <sz val="8"/>
            <color indexed="81"/>
            <rFont val="Tahoma"/>
            <family val="2"/>
          </rPr>
          <t xml:space="preserve">
Suitable to Procure 
No Fair Market Value
Non Mandatory
Call Vendor for Price</t>
        </r>
      </text>
    </comment>
    <comment ref="B1427" authorId="0">
      <text>
        <r>
          <rPr>
            <b/>
            <sz val="8"/>
            <color indexed="81"/>
            <rFont val="Tahoma"/>
            <family val="2"/>
          </rPr>
          <t>116295:</t>
        </r>
        <r>
          <rPr>
            <sz val="8"/>
            <color indexed="81"/>
            <rFont val="Tahoma"/>
            <family val="2"/>
          </rPr>
          <t xml:space="preserve">
Goodwill of Southwest OK &amp; North Texas
(580)355-2163</t>
        </r>
      </text>
    </comment>
    <comment ref="E1427" authorId="0">
      <text>
        <r>
          <rPr>
            <b/>
            <sz val="8"/>
            <color indexed="81"/>
            <rFont val="Tahoma"/>
            <family val="2"/>
          </rPr>
          <t>116295:</t>
        </r>
        <r>
          <rPr>
            <sz val="8"/>
            <color indexed="81"/>
            <rFont val="Tahoma"/>
            <family val="2"/>
          </rPr>
          <t xml:space="preserve">
Suitable to Procure 
No Fair Market Value
Non Mandatory
Call Vendor for Price</t>
        </r>
      </text>
    </comment>
    <comment ref="B1428" authorId="0">
      <text>
        <r>
          <rPr>
            <b/>
            <sz val="8"/>
            <color indexed="81"/>
            <rFont val="Tahoma"/>
            <family val="2"/>
          </rPr>
          <t>116295:</t>
        </r>
        <r>
          <rPr>
            <sz val="8"/>
            <color indexed="81"/>
            <rFont val="Tahoma"/>
            <family val="2"/>
          </rPr>
          <t xml:space="preserve">
Goodwill of Southwest OK &amp; North Texas
(580)355-2163</t>
        </r>
      </text>
    </comment>
    <comment ref="E1428" authorId="0">
      <text>
        <r>
          <rPr>
            <b/>
            <sz val="8"/>
            <color indexed="81"/>
            <rFont val="Tahoma"/>
            <family val="2"/>
          </rPr>
          <t>116295:</t>
        </r>
        <r>
          <rPr>
            <sz val="8"/>
            <color indexed="81"/>
            <rFont val="Tahoma"/>
            <family val="2"/>
          </rPr>
          <t xml:space="preserve">
Suitable to Procure 
No Fair Market Value
Non Mandatory
Call Vendor for Price</t>
        </r>
      </text>
    </comment>
    <comment ref="B1429" authorId="0">
      <text>
        <r>
          <rPr>
            <b/>
            <sz val="8"/>
            <color indexed="81"/>
            <rFont val="Tahoma"/>
            <family val="2"/>
          </rPr>
          <t>116295:</t>
        </r>
        <r>
          <rPr>
            <sz val="8"/>
            <color indexed="81"/>
            <rFont val="Tahoma"/>
            <family val="2"/>
          </rPr>
          <t xml:space="preserve">
Goodwill Tulsa
(918)584-7291</t>
        </r>
      </text>
    </comment>
    <comment ref="B1430" authorId="0">
      <text>
        <r>
          <rPr>
            <b/>
            <sz val="8"/>
            <color indexed="81"/>
            <rFont val="Tahoma"/>
            <family val="2"/>
          </rPr>
          <t>116295:</t>
        </r>
        <r>
          <rPr>
            <sz val="8"/>
            <color indexed="81"/>
            <rFont val="Tahoma"/>
            <family val="2"/>
          </rPr>
          <t xml:space="preserve">
Goodwill Tulsa
(918)584-7291</t>
        </r>
      </text>
    </comment>
    <comment ref="E1430" authorId="0">
      <text>
        <r>
          <rPr>
            <b/>
            <sz val="8"/>
            <color indexed="81"/>
            <rFont val="Tahoma"/>
            <family val="2"/>
          </rPr>
          <t>116295:</t>
        </r>
        <r>
          <rPr>
            <sz val="8"/>
            <color indexed="81"/>
            <rFont val="Tahoma"/>
            <family val="2"/>
          </rPr>
          <t xml:space="preserve">
Suitable to Procure 
No Fair Market Value
Non Mandatory
Call Vendor for Price</t>
        </r>
      </text>
    </comment>
    <comment ref="B1431" authorId="0">
      <text>
        <r>
          <rPr>
            <b/>
            <sz val="8"/>
            <color indexed="81"/>
            <rFont val="Tahoma"/>
            <family val="2"/>
          </rPr>
          <t>116295:</t>
        </r>
        <r>
          <rPr>
            <sz val="8"/>
            <color indexed="81"/>
            <rFont val="Tahoma"/>
            <family val="2"/>
          </rPr>
          <t xml:space="preserve">
Goodwill Tulsa
(918)584-7291</t>
        </r>
      </text>
    </comment>
    <comment ref="E1431" authorId="0">
      <text>
        <r>
          <rPr>
            <b/>
            <sz val="8"/>
            <color indexed="81"/>
            <rFont val="Tahoma"/>
            <family val="2"/>
          </rPr>
          <t>116295:</t>
        </r>
        <r>
          <rPr>
            <sz val="8"/>
            <color indexed="81"/>
            <rFont val="Tahoma"/>
            <family val="2"/>
          </rPr>
          <t xml:space="preserve">
Suitable to Procure 
No Fair Market Value
Non Mandatory
Call Vendor for Price</t>
        </r>
      </text>
    </comment>
    <comment ref="B1432" authorId="0">
      <text>
        <r>
          <rPr>
            <b/>
            <sz val="8"/>
            <color indexed="81"/>
            <rFont val="Tahoma"/>
            <family val="2"/>
          </rPr>
          <t>116295:</t>
        </r>
        <r>
          <rPr>
            <sz val="8"/>
            <color indexed="81"/>
            <rFont val="Tahoma"/>
            <family val="2"/>
          </rPr>
          <t xml:space="preserve">
Goodwill Tulsa
(918)584-7291</t>
        </r>
      </text>
    </comment>
    <comment ref="E1432" authorId="0">
      <text>
        <r>
          <rPr>
            <b/>
            <sz val="8"/>
            <color indexed="81"/>
            <rFont val="Tahoma"/>
            <family val="2"/>
          </rPr>
          <t>116295:</t>
        </r>
        <r>
          <rPr>
            <sz val="8"/>
            <color indexed="81"/>
            <rFont val="Tahoma"/>
            <family val="2"/>
          </rPr>
          <t xml:space="preserve">
Suitable to Procure 
No Fair Market Value
Non Mandatory
Call Vendor for Price</t>
        </r>
      </text>
    </comment>
    <comment ref="B1433" authorId="0">
      <text>
        <r>
          <rPr>
            <b/>
            <sz val="8"/>
            <color indexed="81"/>
            <rFont val="Tahoma"/>
            <family val="2"/>
          </rPr>
          <t>116295:</t>
        </r>
        <r>
          <rPr>
            <sz val="8"/>
            <color indexed="81"/>
            <rFont val="Tahoma"/>
            <family val="2"/>
          </rPr>
          <t xml:space="preserve">
Help Works
(918)287-1588</t>
        </r>
      </text>
    </comment>
    <comment ref="B1434" authorId="0">
      <text>
        <r>
          <rPr>
            <b/>
            <sz val="8"/>
            <color indexed="81"/>
            <rFont val="Tahoma"/>
            <family val="2"/>
          </rPr>
          <t>116295:</t>
        </r>
        <r>
          <rPr>
            <sz val="8"/>
            <color indexed="81"/>
            <rFont val="Tahoma"/>
            <family val="2"/>
          </rPr>
          <t xml:space="preserve">
Help Works
(918)287-1588</t>
        </r>
      </text>
    </comment>
    <comment ref="E1434" authorId="0">
      <text>
        <r>
          <rPr>
            <b/>
            <sz val="8"/>
            <color indexed="81"/>
            <rFont val="Tahoma"/>
            <family val="2"/>
          </rPr>
          <t>116295:</t>
        </r>
        <r>
          <rPr>
            <sz val="8"/>
            <color indexed="81"/>
            <rFont val="Tahoma"/>
            <family val="2"/>
          </rPr>
          <t xml:space="preserve">
Suitable to Procure 
No Fair Market Value
Non Mandatory
Call Vendor for Price</t>
        </r>
      </text>
    </comment>
    <comment ref="B1435" authorId="0">
      <text>
        <r>
          <rPr>
            <b/>
            <sz val="8"/>
            <color indexed="81"/>
            <rFont val="Tahoma"/>
            <family val="2"/>
          </rPr>
          <t>116295:</t>
        </r>
        <r>
          <rPr>
            <sz val="8"/>
            <color indexed="81"/>
            <rFont val="Tahoma"/>
            <family val="2"/>
          </rPr>
          <t xml:space="preserve">
Help Works
(918)287-1588</t>
        </r>
      </text>
    </comment>
    <comment ref="E1435" authorId="0">
      <text>
        <r>
          <rPr>
            <b/>
            <sz val="8"/>
            <color indexed="81"/>
            <rFont val="Tahoma"/>
            <family val="2"/>
          </rPr>
          <t>116295:</t>
        </r>
        <r>
          <rPr>
            <sz val="8"/>
            <color indexed="81"/>
            <rFont val="Tahoma"/>
            <family val="2"/>
          </rPr>
          <t xml:space="preserve">
Suitable to Procure 
No Fair Market Value
Non Mandatory
Call Vendor for Price</t>
        </r>
      </text>
    </comment>
    <comment ref="B1436" authorId="0">
      <text>
        <r>
          <rPr>
            <b/>
            <sz val="8"/>
            <color indexed="81"/>
            <rFont val="Tahoma"/>
            <family val="2"/>
          </rPr>
          <t>116295:</t>
        </r>
        <r>
          <rPr>
            <sz val="8"/>
            <color indexed="81"/>
            <rFont val="Tahoma"/>
            <family val="2"/>
          </rPr>
          <t xml:space="preserve">
Help Works
(918)287-1588</t>
        </r>
      </text>
    </comment>
    <comment ref="E1436" authorId="0">
      <text>
        <r>
          <rPr>
            <b/>
            <sz val="8"/>
            <color indexed="81"/>
            <rFont val="Tahoma"/>
            <family val="2"/>
          </rPr>
          <t>116295:</t>
        </r>
        <r>
          <rPr>
            <sz val="8"/>
            <color indexed="81"/>
            <rFont val="Tahoma"/>
            <family val="2"/>
          </rPr>
          <t xml:space="preserve">
Suitable to Procure 
No Fair Market Value
Non Mandatory
Call Vendor for Price</t>
        </r>
      </text>
    </comment>
    <comment ref="B1437" authorId="0">
      <text>
        <r>
          <rPr>
            <b/>
            <sz val="8"/>
            <color indexed="81"/>
            <rFont val="Tahoma"/>
            <family val="2"/>
          </rPr>
          <t>116295:</t>
        </r>
        <r>
          <rPr>
            <sz val="8"/>
            <color indexed="81"/>
            <rFont val="Tahoma"/>
            <family val="2"/>
          </rPr>
          <t xml:space="preserve">
Home of Hope
(918)944-0415</t>
        </r>
      </text>
    </comment>
    <comment ref="B1438" authorId="0">
      <text>
        <r>
          <rPr>
            <b/>
            <sz val="8"/>
            <color indexed="81"/>
            <rFont val="Tahoma"/>
            <family val="2"/>
          </rPr>
          <t>116295:</t>
        </r>
        <r>
          <rPr>
            <sz val="8"/>
            <color indexed="81"/>
            <rFont val="Tahoma"/>
            <family val="2"/>
          </rPr>
          <t xml:space="preserve">
Home of Hope
(918)944-0415</t>
        </r>
      </text>
    </comment>
    <comment ref="E1438" authorId="0">
      <text>
        <r>
          <rPr>
            <b/>
            <sz val="8"/>
            <color indexed="81"/>
            <rFont val="Tahoma"/>
            <family val="2"/>
          </rPr>
          <t>116295:</t>
        </r>
        <r>
          <rPr>
            <sz val="8"/>
            <color indexed="81"/>
            <rFont val="Tahoma"/>
            <family val="2"/>
          </rPr>
          <t xml:space="preserve">
Suitable to Procure 
No Fair Market Value
Non Mandatory
Call Vendor for Price</t>
        </r>
      </text>
    </comment>
    <comment ref="B1439" authorId="0">
      <text>
        <r>
          <rPr>
            <b/>
            <sz val="8"/>
            <color indexed="81"/>
            <rFont val="Tahoma"/>
            <family val="2"/>
          </rPr>
          <t>116295:</t>
        </r>
        <r>
          <rPr>
            <sz val="8"/>
            <color indexed="81"/>
            <rFont val="Tahoma"/>
            <family val="2"/>
          </rPr>
          <t xml:space="preserve">
Home of Hope
(918)944-0415</t>
        </r>
      </text>
    </comment>
    <comment ref="E1439" authorId="0">
      <text>
        <r>
          <rPr>
            <b/>
            <sz val="8"/>
            <color indexed="81"/>
            <rFont val="Tahoma"/>
            <family val="2"/>
          </rPr>
          <t>116295:</t>
        </r>
        <r>
          <rPr>
            <sz val="8"/>
            <color indexed="81"/>
            <rFont val="Tahoma"/>
            <family val="2"/>
          </rPr>
          <t xml:space="preserve">
Suitable to Procure 
No Fair Market Value
Non Mandatory
Call Vendor for Price</t>
        </r>
      </text>
    </comment>
    <comment ref="B1440" authorId="0">
      <text>
        <r>
          <rPr>
            <b/>
            <sz val="8"/>
            <color indexed="81"/>
            <rFont val="Tahoma"/>
            <family val="2"/>
          </rPr>
          <t>116295:</t>
        </r>
        <r>
          <rPr>
            <sz val="8"/>
            <color indexed="81"/>
            <rFont val="Tahoma"/>
            <family val="2"/>
          </rPr>
          <t xml:space="preserve">
Home of Hope
(918)944-0415</t>
        </r>
      </text>
    </comment>
    <comment ref="E1440" authorId="0">
      <text>
        <r>
          <rPr>
            <b/>
            <sz val="8"/>
            <color indexed="81"/>
            <rFont val="Tahoma"/>
            <family val="2"/>
          </rPr>
          <t>116295:</t>
        </r>
        <r>
          <rPr>
            <sz val="8"/>
            <color indexed="81"/>
            <rFont val="Tahoma"/>
            <family val="2"/>
          </rPr>
          <t xml:space="preserve">
Suitable to Procure 
No Fair Market Value
Non Mandatory
Call Vendor for Price</t>
        </r>
      </text>
    </comment>
    <comment ref="B1441" authorId="0">
      <text>
        <r>
          <rPr>
            <b/>
            <sz val="8"/>
            <color indexed="81"/>
            <rFont val="Tahoma"/>
            <family val="2"/>
          </rPr>
          <t>116295:</t>
        </r>
        <r>
          <rPr>
            <sz val="8"/>
            <color indexed="81"/>
            <rFont val="Tahoma"/>
            <family val="2"/>
          </rPr>
          <t xml:space="preserve">
Home of Hope
(918)944-0415</t>
        </r>
      </text>
    </comment>
    <comment ref="E1441" authorId="0">
      <text>
        <r>
          <rPr>
            <b/>
            <sz val="8"/>
            <color indexed="81"/>
            <rFont val="Tahoma"/>
            <family val="2"/>
          </rPr>
          <t>116295:</t>
        </r>
        <r>
          <rPr>
            <sz val="8"/>
            <color indexed="81"/>
            <rFont val="Tahoma"/>
            <family val="2"/>
          </rPr>
          <t xml:space="preserve">
Suitable to Procure 
No Fair Market Value
Non Mandatory
Call Vendor for Price</t>
        </r>
      </text>
    </comment>
    <comment ref="B1442" authorId="0">
      <text>
        <r>
          <rPr>
            <b/>
            <sz val="8"/>
            <color indexed="81"/>
            <rFont val="Tahoma"/>
            <family val="2"/>
          </rPr>
          <t>116295:</t>
        </r>
        <r>
          <rPr>
            <sz val="8"/>
            <color indexed="81"/>
            <rFont val="Tahoma"/>
            <family val="2"/>
          </rPr>
          <t xml:space="preserve">
INCA Career Opportunities
(580)889-7393</t>
        </r>
      </text>
    </comment>
    <comment ref="B1443" authorId="0">
      <text>
        <r>
          <rPr>
            <b/>
            <sz val="8"/>
            <color indexed="81"/>
            <rFont val="Tahoma"/>
            <family val="2"/>
          </rPr>
          <t>116295:</t>
        </r>
        <r>
          <rPr>
            <sz val="8"/>
            <color indexed="81"/>
            <rFont val="Tahoma"/>
            <family val="2"/>
          </rPr>
          <t xml:space="preserve">
Kiamichi Opportunities
(580)326-7549</t>
        </r>
      </text>
    </comment>
    <comment ref="B1444" authorId="0">
      <text>
        <r>
          <rPr>
            <b/>
            <sz val="8"/>
            <color indexed="81"/>
            <rFont val="Tahoma"/>
            <family val="2"/>
          </rPr>
          <t>116295:</t>
        </r>
        <r>
          <rPr>
            <sz val="8"/>
            <color indexed="81"/>
            <rFont val="Tahoma"/>
            <family val="2"/>
          </rPr>
          <t xml:space="preserve">
Kiamichi Opportunities
(580)326-7549</t>
        </r>
      </text>
    </comment>
    <comment ref="B1445" authorId="0">
      <text>
        <r>
          <rPr>
            <b/>
            <sz val="8"/>
            <color indexed="81"/>
            <rFont val="Tahoma"/>
            <family val="2"/>
          </rPr>
          <t>116295:</t>
        </r>
        <r>
          <rPr>
            <sz val="8"/>
            <color indexed="81"/>
            <rFont val="Tahoma"/>
            <family val="2"/>
          </rPr>
          <t xml:space="preserve">
Kiamichi Opportunities
(580)326-7549</t>
        </r>
      </text>
    </comment>
    <comment ref="B1446" authorId="0">
      <text>
        <r>
          <rPr>
            <b/>
            <sz val="8"/>
            <color indexed="81"/>
            <rFont val="Tahoma"/>
            <family val="2"/>
          </rPr>
          <t>116295:</t>
        </r>
        <r>
          <rPr>
            <sz val="8"/>
            <color indexed="81"/>
            <rFont val="Tahoma"/>
            <family val="2"/>
          </rPr>
          <t xml:space="preserve">
Kiamichi Opportunities
(580)326-7549</t>
        </r>
      </text>
    </comment>
    <comment ref="B1447" authorId="0">
      <text>
        <r>
          <rPr>
            <b/>
            <sz val="8"/>
            <color indexed="81"/>
            <rFont val="Tahoma"/>
            <family val="2"/>
          </rPr>
          <t>116295:</t>
        </r>
        <r>
          <rPr>
            <sz val="8"/>
            <color indexed="81"/>
            <rFont val="Tahoma"/>
            <family val="2"/>
          </rPr>
          <t xml:space="preserve">
Kiamichi Opportunities
(580)326-7549</t>
        </r>
      </text>
    </comment>
    <comment ref="B1448" authorId="0">
      <text>
        <r>
          <rPr>
            <b/>
            <sz val="8"/>
            <color indexed="81"/>
            <rFont val="Tahoma"/>
            <family val="2"/>
          </rPr>
          <t>116295:</t>
        </r>
        <r>
          <rPr>
            <sz val="8"/>
            <color indexed="81"/>
            <rFont val="Tahoma"/>
            <family val="2"/>
          </rPr>
          <t xml:space="preserve">
Kiamichi Opportunities
(580)326-7549</t>
        </r>
      </text>
    </comment>
    <comment ref="B1449" authorId="0">
      <text>
        <r>
          <rPr>
            <b/>
            <sz val="8"/>
            <color indexed="81"/>
            <rFont val="Tahoma"/>
            <family val="2"/>
          </rPr>
          <t>116295:</t>
        </r>
        <r>
          <rPr>
            <sz val="8"/>
            <color indexed="81"/>
            <rFont val="Tahoma"/>
            <family val="2"/>
          </rPr>
          <t xml:space="preserve">
Kiamichi Opportunities
(580)326-7549</t>
        </r>
      </text>
    </comment>
    <comment ref="B1450" authorId="0">
      <text>
        <r>
          <rPr>
            <b/>
            <sz val="8"/>
            <color indexed="81"/>
            <rFont val="Tahoma"/>
            <family val="2"/>
          </rPr>
          <t>116295:</t>
        </r>
        <r>
          <rPr>
            <sz val="8"/>
            <color indexed="81"/>
            <rFont val="Tahoma"/>
            <family val="2"/>
          </rPr>
          <t xml:space="preserve">
Kiamichi Opportunities
(580)326-7549</t>
        </r>
      </text>
    </comment>
    <comment ref="B1451" authorId="0">
      <text>
        <r>
          <rPr>
            <b/>
            <sz val="8"/>
            <color indexed="81"/>
            <rFont val="Tahoma"/>
            <family val="2"/>
          </rPr>
          <t>116295:</t>
        </r>
        <r>
          <rPr>
            <sz val="8"/>
            <color indexed="81"/>
            <rFont val="Tahoma"/>
            <family val="2"/>
          </rPr>
          <t xml:space="preserve">
Kiamichi Opportunities
(580)326-7549</t>
        </r>
      </text>
    </comment>
    <comment ref="B1452" authorId="0">
      <text>
        <r>
          <rPr>
            <b/>
            <sz val="8"/>
            <color indexed="81"/>
            <rFont val="Tahoma"/>
            <family val="2"/>
          </rPr>
          <t>116295:</t>
        </r>
        <r>
          <rPr>
            <sz val="8"/>
            <color indexed="81"/>
            <rFont val="Tahoma"/>
            <family val="2"/>
          </rPr>
          <t xml:space="preserve">
Kiamichi Opportunities
(580)326-7549</t>
        </r>
      </text>
    </comment>
    <comment ref="B1453" authorId="0">
      <text>
        <r>
          <rPr>
            <b/>
            <sz val="8"/>
            <color indexed="81"/>
            <rFont val="Tahoma"/>
            <family val="2"/>
          </rPr>
          <t>116295:</t>
        </r>
        <r>
          <rPr>
            <sz val="8"/>
            <color indexed="81"/>
            <rFont val="Tahoma"/>
            <family val="2"/>
          </rPr>
          <t xml:space="preserve">
Kiamichi Opportunities
(580)326-7549</t>
        </r>
      </text>
    </comment>
    <comment ref="B1454" authorId="0">
      <text>
        <r>
          <rPr>
            <b/>
            <sz val="8"/>
            <color indexed="81"/>
            <rFont val="Tahoma"/>
            <family val="2"/>
          </rPr>
          <t>116295:</t>
        </r>
        <r>
          <rPr>
            <sz val="8"/>
            <color indexed="81"/>
            <rFont val="Tahoma"/>
            <family val="2"/>
          </rPr>
          <t xml:space="preserve">
Kiamichi Opportunities
(580)326-7549</t>
        </r>
      </text>
    </comment>
    <comment ref="B1455" authorId="0">
      <text>
        <r>
          <rPr>
            <b/>
            <sz val="8"/>
            <color indexed="81"/>
            <rFont val="Tahoma"/>
            <family val="2"/>
          </rPr>
          <t>116295:</t>
        </r>
        <r>
          <rPr>
            <sz val="8"/>
            <color indexed="81"/>
            <rFont val="Tahoma"/>
            <family val="2"/>
          </rPr>
          <t xml:space="preserve">
Kiamichi Opportunities
(580)326-7549</t>
        </r>
      </text>
    </comment>
    <comment ref="B1456" authorId="0">
      <text>
        <r>
          <rPr>
            <b/>
            <sz val="8"/>
            <color indexed="81"/>
            <rFont val="Tahoma"/>
            <family val="2"/>
          </rPr>
          <t>116295:</t>
        </r>
        <r>
          <rPr>
            <sz val="8"/>
            <color indexed="81"/>
            <rFont val="Tahoma"/>
            <family val="2"/>
          </rPr>
          <t xml:space="preserve">
Kiamichi Opportunities
(580)326-7549</t>
        </r>
      </text>
    </comment>
    <comment ref="B1457" authorId="0">
      <text>
        <r>
          <rPr>
            <b/>
            <sz val="8"/>
            <color indexed="81"/>
            <rFont val="Tahoma"/>
            <family val="2"/>
          </rPr>
          <t>116295:</t>
        </r>
        <r>
          <rPr>
            <sz val="8"/>
            <color indexed="81"/>
            <rFont val="Tahoma"/>
            <family val="2"/>
          </rPr>
          <t xml:space="preserve">
Kiamichi Opportunities
(580)326-7549</t>
        </r>
      </text>
    </comment>
    <comment ref="B1458" authorId="0">
      <text>
        <r>
          <rPr>
            <b/>
            <sz val="8"/>
            <color indexed="81"/>
            <rFont val="Tahoma"/>
            <family val="2"/>
          </rPr>
          <t>116295:</t>
        </r>
        <r>
          <rPr>
            <sz val="8"/>
            <color indexed="81"/>
            <rFont val="Tahoma"/>
            <family val="2"/>
          </rPr>
          <t xml:space="preserve">
Kiamichi Opportunities
(580)326-7549</t>
        </r>
      </text>
    </comment>
    <comment ref="B1459" authorId="0">
      <text>
        <r>
          <rPr>
            <b/>
            <sz val="8"/>
            <color indexed="81"/>
            <rFont val="Tahoma"/>
            <family val="2"/>
          </rPr>
          <t>116295:</t>
        </r>
        <r>
          <rPr>
            <sz val="8"/>
            <color indexed="81"/>
            <rFont val="Tahoma"/>
            <family val="2"/>
          </rPr>
          <t xml:space="preserve">
Kiamichi Opportunities
(580)326-7549</t>
        </r>
      </text>
    </comment>
    <comment ref="B1460" authorId="0">
      <text>
        <r>
          <rPr>
            <b/>
            <sz val="8"/>
            <color indexed="81"/>
            <rFont val="Tahoma"/>
            <family val="2"/>
          </rPr>
          <t>116295:</t>
        </r>
        <r>
          <rPr>
            <sz val="8"/>
            <color indexed="81"/>
            <rFont val="Tahoma"/>
            <family val="2"/>
          </rPr>
          <t xml:space="preserve">
Kiamichi Opportunities
(580)326-7549</t>
        </r>
      </text>
    </comment>
    <comment ref="B1461" authorId="0">
      <text>
        <r>
          <rPr>
            <b/>
            <sz val="8"/>
            <color indexed="81"/>
            <rFont val="Tahoma"/>
            <family val="2"/>
          </rPr>
          <t>116295:</t>
        </r>
        <r>
          <rPr>
            <sz val="8"/>
            <color indexed="81"/>
            <rFont val="Tahoma"/>
            <family val="2"/>
          </rPr>
          <t xml:space="preserve">
Kiamichi Opportunities
(580)326-7549</t>
        </r>
      </text>
    </comment>
    <comment ref="B1462" authorId="0">
      <text>
        <r>
          <rPr>
            <b/>
            <sz val="8"/>
            <color indexed="81"/>
            <rFont val="Tahoma"/>
            <family val="2"/>
          </rPr>
          <t>116295:</t>
        </r>
        <r>
          <rPr>
            <sz val="8"/>
            <color indexed="81"/>
            <rFont val="Tahoma"/>
            <family val="2"/>
          </rPr>
          <t xml:space="preserve">
Kiamichi Opportunities
(580)326-7549</t>
        </r>
      </text>
    </comment>
    <comment ref="B1463" authorId="0">
      <text>
        <r>
          <rPr>
            <b/>
            <sz val="8"/>
            <color indexed="81"/>
            <rFont val="Tahoma"/>
            <family val="2"/>
          </rPr>
          <t>116295:</t>
        </r>
        <r>
          <rPr>
            <sz val="8"/>
            <color indexed="81"/>
            <rFont val="Tahoma"/>
            <family val="2"/>
          </rPr>
          <t xml:space="preserve">
Kiamichi Opportunities
(580)326-7549</t>
        </r>
      </text>
    </comment>
    <comment ref="B1464" authorId="0">
      <text>
        <r>
          <rPr>
            <b/>
            <sz val="8"/>
            <color indexed="81"/>
            <rFont val="Tahoma"/>
            <family val="2"/>
          </rPr>
          <t>116295:</t>
        </r>
        <r>
          <rPr>
            <sz val="8"/>
            <color indexed="81"/>
            <rFont val="Tahoma"/>
            <family val="2"/>
          </rPr>
          <t xml:space="preserve">
Kiamichi Opportunities
(580)326-7549</t>
        </r>
      </text>
    </comment>
    <comment ref="B1465" authorId="0">
      <text>
        <r>
          <rPr>
            <b/>
            <sz val="8"/>
            <color indexed="81"/>
            <rFont val="Tahoma"/>
            <family val="2"/>
          </rPr>
          <t>116295:</t>
        </r>
        <r>
          <rPr>
            <sz val="8"/>
            <color indexed="81"/>
            <rFont val="Tahoma"/>
            <family val="2"/>
          </rPr>
          <t xml:space="preserve">
Kiamichi Opportunities
(580)326-7549</t>
        </r>
      </text>
    </comment>
    <comment ref="B1466" authorId="0">
      <text>
        <r>
          <rPr>
            <b/>
            <sz val="8"/>
            <color indexed="81"/>
            <rFont val="Tahoma"/>
            <family val="2"/>
          </rPr>
          <t>116295:</t>
        </r>
        <r>
          <rPr>
            <sz val="8"/>
            <color indexed="81"/>
            <rFont val="Tahoma"/>
            <family val="2"/>
          </rPr>
          <t xml:space="preserve">
Kiamichi Opportunities
(580)326-7549</t>
        </r>
      </text>
    </comment>
    <comment ref="B1467" authorId="0">
      <text>
        <r>
          <rPr>
            <b/>
            <sz val="8"/>
            <color indexed="81"/>
            <rFont val="Tahoma"/>
            <family val="2"/>
          </rPr>
          <t>116295:</t>
        </r>
        <r>
          <rPr>
            <sz val="8"/>
            <color indexed="81"/>
            <rFont val="Tahoma"/>
            <family val="2"/>
          </rPr>
          <t xml:space="preserve">
Kiamichi Opportunities
(580)326-7549</t>
        </r>
      </text>
    </comment>
    <comment ref="B1468" authorId="0">
      <text>
        <r>
          <rPr>
            <b/>
            <sz val="8"/>
            <color indexed="81"/>
            <rFont val="Tahoma"/>
            <family val="2"/>
          </rPr>
          <t>116295:</t>
        </r>
        <r>
          <rPr>
            <sz val="8"/>
            <color indexed="81"/>
            <rFont val="Tahoma"/>
            <family val="2"/>
          </rPr>
          <t xml:space="preserve">
Kiamichi Opportunities
(580)326-7549</t>
        </r>
      </text>
    </comment>
    <comment ref="B1469" authorId="0">
      <text>
        <r>
          <rPr>
            <b/>
            <sz val="8"/>
            <color indexed="81"/>
            <rFont val="Tahoma"/>
            <family val="2"/>
          </rPr>
          <t>116295:</t>
        </r>
        <r>
          <rPr>
            <sz val="8"/>
            <color indexed="81"/>
            <rFont val="Tahoma"/>
            <family val="2"/>
          </rPr>
          <t xml:space="preserve">
Kiamichi Opportunities
(580)326-7549</t>
        </r>
      </text>
    </comment>
    <comment ref="B1470" authorId="0">
      <text>
        <r>
          <rPr>
            <b/>
            <sz val="8"/>
            <color indexed="81"/>
            <rFont val="Tahoma"/>
            <family val="2"/>
          </rPr>
          <t>116295:</t>
        </r>
        <r>
          <rPr>
            <sz val="8"/>
            <color indexed="81"/>
            <rFont val="Tahoma"/>
            <family val="2"/>
          </rPr>
          <t xml:space="preserve">
Kiamichi Opportunities
(580)326-7549</t>
        </r>
      </text>
    </comment>
    <comment ref="B1471" authorId="0">
      <text>
        <r>
          <rPr>
            <b/>
            <sz val="8"/>
            <color indexed="81"/>
            <rFont val="Tahoma"/>
            <family val="2"/>
          </rPr>
          <t>116295:</t>
        </r>
        <r>
          <rPr>
            <sz val="8"/>
            <color indexed="81"/>
            <rFont val="Tahoma"/>
            <family val="2"/>
          </rPr>
          <t xml:space="preserve">
Kiamichi Opportunities
(580)326-7549</t>
        </r>
      </text>
    </comment>
    <comment ref="B1472" authorId="0">
      <text>
        <r>
          <rPr>
            <b/>
            <sz val="8"/>
            <color indexed="81"/>
            <rFont val="Tahoma"/>
            <family val="2"/>
          </rPr>
          <t>116295:</t>
        </r>
        <r>
          <rPr>
            <sz val="8"/>
            <color indexed="81"/>
            <rFont val="Tahoma"/>
            <family val="2"/>
          </rPr>
          <t xml:space="preserve">
Kiamichi Opportunities
(580)326-7549</t>
        </r>
      </text>
    </comment>
    <comment ref="B1473" authorId="0">
      <text>
        <r>
          <rPr>
            <b/>
            <sz val="8"/>
            <color indexed="81"/>
            <rFont val="Tahoma"/>
            <family val="2"/>
          </rPr>
          <t>116295:</t>
        </r>
        <r>
          <rPr>
            <sz val="8"/>
            <color indexed="81"/>
            <rFont val="Tahoma"/>
            <family val="2"/>
          </rPr>
          <t xml:space="preserve">
Kiamichi Opportunities
(580)326-7549</t>
        </r>
      </text>
    </comment>
    <comment ref="B1474" authorId="0">
      <text>
        <r>
          <rPr>
            <b/>
            <sz val="8"/>
            <color indexed="81"/>
            <rFont val="Tahoma"/>
            <family val="2"/>
          </rPr>
          <t>116295:</t>
        </r>
        <r>
          <rPr>
            <sz val="8"/>
            <color indexed="81"/>
            <rFont val="Tahoma"/>
            <family val="2"/>
          </rPr>
          <t xml:space="preserve">
Kiamichi Opportunities
(580)326-7549</t>
        </r>
      </text>
    </comment>
    <comment ref="B1475" authorId="0">
      <text>
        <r>
          <rPr>
            <b/>
            <sz val="8"/>
            <color indexed="81"/>
            <rFont val="Tahoma"/>
            <family val="2"/>
          </rPr>
          <t>116295:</t>
        </r>
        <r>
          <rPr>
            <sz val="8"/>
            <color indexed="81"/>
            <rFont val="Tahoma"/>
            <family val="2"/>
          </rPr>
          <t xml:space="preserve">
Kiamichi Opportunities
(580)326-7549</t>
        </r>
      </text>
    </comment>
    <comment ref="B1476" authorId="0">
      <text>
        <r>
          <rPr>
            <b/>
            <sz val="8"/>
            <color indexed="81"/>
            <rFont val="Tahoma"/>
            <family val="2"/>
          </rPr>
          <t>116295:</t>
        </r>
        <r>
          <rPr>
            <sz val="8"/>
            <color indexed="81"/>
            <rFont val="Tahoma"/>
            <family val="2"/>
          </rPr>
          <t xml:space="preserve">
Kiamichi Opportunities
(580)326-7549</t>
        </r>
      </text>
    </comment>
    <comment ref="B1477" authorId="0">
      <text>
        <r>
          <rPr>
            <b/>
            <sz val="8"/>
            <color indexed="81"/>
            <rFont val="Tahoma"/>
            <family val="2"/>
          </rPr>
          <t>116295:</t>
        </r>
        <r>
          <rPr>
            <sz val="8"/>
            <color indexed="81"/>
            <rFont val="Tahoma"/>
            <family val="2"/>
          </rPr>
          <t xml:space="preserve">
Kiamichi Opportunities
(580)326-7549</t>
        </r>
      </text>
    </comment>
    <comment ref="B1478" authorId="0">
      <text>
        <r>
          <rPr>
            <b/>
            <sz val="8"/>
            <color indexed="81"/>
            <rFont val="Tahoma"/>
            <family val="2"/>
          </rPr>
          <t>116295:</t>
        </r>
        <r>
          <rPr>
            <sz val="8"/>
            <color indexed="81"/>
            <rFont val="Tahoma"/>
            <family val="2"/>
          </rPr>
          <t xml:space="preserve">
Kiamichi Opportunities
(580)326-7549</t>
        </r>
      </text>
    </comment>
    <comment ref="B1479" authorId="0">
      <text>
        <r>
          <rPr>
            <b/>
            <sz val="8"/>
            <color indexed="81"/>
            <rFont val="Tahoma"/>
            <family val="2"/>
          </rPr>
          <t>116295:</t>
        </r>
        <r>
          <rPr>
            <sz val="8"/>
            <color indexed="81"/>
            <rFont val="Tahoma"/>
            <family val="2"/>
          </rPr>
          <t xml:space="preserve">
Kiamichi Opportunities
(580)326-7549</t>
        </r>
      </text>
    </comment>
    <comment ref="B1480" authorId="0">
      <text>
        <r>
          <rPr>
            <b/>
            <sz val="8"/>
            <color indexed="81"/>
            <rFont val="Tahoma"/>
            <family val="2"/>
          </rPr>
          <t>116295:</t>
        </r>
        <r>
          <rPr>
            <sz val="8"/>
            <color indexed="81"/>
            <rFont val="Tahoma"/>
            <family val="2"/>
          </rPr>
          <t xml:space="preserve">
Kiamichi Opportunities
(580)326-7549</t>
        </r>
      </text>
    </comment>
    <comment ref="B1481" authorId="0">
      <text>
        <r>
          <rPr>
            <b/>
            <sz val="8"/>
            <color indexed="81"/>
            <rFont val="Tahoma"/>
            <family val="2"/>
          </rPr>
          <t>116295:</t>
        </r>
        <r>
          <rPr>
            <sz val="8"/>
            <color indexed="81"/>
            <rFont val="Tahoma"/>
            <family val="2"/>
          </rPr>
          <t xml:space="preserve">
Kiamichi Opportunities
(580)326-7549</t>
        </r>
      </text>
    </comment>
    <comment ref="B1482" authorId="0">
      <text>
        <r>
          <rPr>
            <b/>
            <sz val="8"/>
            <color indexed="81"/>
            <rFont val="Tahoma"/>
            <family val="2"/>
          </rPr>
          <t>116295:</t>
        </r>
        <r>
          <rPr>
            <sz val="8"/>
            <color indexed="81"/>
            <rFont val="Tahoma"/>
            <family val="2"/>
          </rPr>
          <t xml:space="preserve">
Kiamichi Opportunities
(580)326-7549</t>
        </r>
      </text>
    </comment>
    <comment ref="B1483" authorId="0">
      <text>
        <r>
          <rPr>
            <b/>
            <sz val="8"/>
            <color indexed="81"/>
            <rFont val="Tahoma"/>
            <family val="2"/>
          </rPr>
          <t>116295:</t>
        </r>
        <r>
          <rPr>
            <sz val="8"/>
            <color indexed="81"/>
            <rFont val="Tahoma"/>
            <family val="2"/>
          </rPr>
          <t xml:space="preserve">
Kiamichi Opportunities
(580)326-7549</t>
        </r>
      </text>
    </comment>
    <comment ref="B1484" authorId="0">
      <text>
        <r>
          <rPr>
            <b/>
            <sz val="8"/>
            <color indexed="81"/>
            <rFont val="Tahoma"/>
            <family val="2"/>
          </rPr>
          <t>116295:</t>
        </r>
        <r>
          <rPr>
            <sz val="8"/>
            <color indexed="81"/>
            <rFont val="Tahoma"/>
            <family val="2"/>
          </rPr>
          <t xml:space="preserve">
Kiamichi Opportunities
(580)326-7549</t>
        </r>
      </text>
    </comment>
    <comment ref="B1485" authorId="0">
      <text>
        <r>
          <rPr>
            <b/>
            <sz val="8"/>
            <color indexed="81"/>
            <rFont val="Tahoma"/>
            <family val="2"/>
          </rPr>
          <t>116295:</t>
        </r>
        <r>
          <rPr>
            <sz val="8"/>
            <color indexed="81"/>
            <rFont val="Tahoma"/>
            <family val="2"/>
          </rPr>
          <t xml:space="preserve">
Kiamichi Opportunities
(580)326-7549</t>
        </r>
      </text>
    </comment>
    <comment ref="B1486" authorId="0">
      <text>
        <r>
          <rPr>
            <b/>
            <sz val="8"/>
            <color indexed="81"/>
            <rFont val="Tahoma"/>
            <family val="2"/>
          </rPr>
          <t>116295:</t>
        </r>
        <r>
          <rPr>
            <sz val="8"/>
            <color indexed="81"/>
            <rFont val="Tahoma"/>
            <family val="2"/>
          </rPr>
          <t xml:space="preserve">
Kiamichi Opportunities
(580)326-7549</t>
        </r>
      </text>
    </comment>
    <comment ref="B1487" authorId="0">
      <text>
        <r>
          <rPr>
            <b/>
            <sz val="8"/>
            <color indexed="81"/>
            <rFont val="Tahoma"/>
            <family val="2"/>
          </rPr>
          <t>116295:</t>
        </r>
        <r>
          <rPr>
            <sz val="8"/>
            <color indexed="81"/>
            <rFont val="Tahoma"/>
            <family val="2"/>
          </rPr>
          <t xml:space="preserve">
Kiamichi Opportunities
(580)326-7549</t>
        </r>
      </text>
    </comment>
    <comment ref="B1488" authorId="0">
      <text>
        <r>
          <rPr>
            <b/>
            <sz val="8"/>
            <color indexed="81"/>
            <rFont val="Tahoma"/>
            <family val="2"/>
          </rPr>
          <t>116295:</t>
        </r>
        <r>
          <rPr>
            <sz val="8"/>
            <color indexed="81"/>
            <rFont val="Tahoma"/>
            <family val="2"/>
          </rPr>
          <t xml:space="preserve">
Kiamichi Opportunities
(580)326-7549</t>
        </r>
      </text>
    </comment>
    <comment ref="B1489" authorId="0">
      <text>
        <r>
          <rPr>
            <b/>
            <sz val="8"/>
            <color indexed="81"/>
            <rFont val="Tahoma"/>
            <family val="2"/>
          </rPr>
          <t>116295:</t>
        </r>
        <r>
          <rPr>
            <sz val="8"/>
            <color indexed="81"/>
            <rFont val="Tahoma"/>
            <family val="2"/>
          </rPr>
          <t xml:space="preserve">
Kiamichi Opportunities
(580)326-7549</t>
        </r>
      </text>
    </comment>
    <comment ref="B1490" authorId="0">
      <text>
        <r>
          <rPr>
            <b/>
            <sz val="8"/>
            <color indexed="81"/>
            <rFont val="Tahoma"/>
            <family val="2"/>
          </rPr>
          <t>116295:</t>
        </r>
        <r>
          <rPr>
            <sz val="8"/>
            <color indexed="81"/>
            <rFont val="Tahoma"/>
            <family val="2"/>
          </rPr>
          <t xml:space="preserve">
Kiamichi Opportunities
(580)326-7549</t>
        </r>
      </text>
    </comment>
    <comment ref="B1491" authorId="0">
      <text>
        <r>
          <rPr>
            <b/>
            <sz val="8"/>
            <color indexed="81"/>
            <rFont val="Tahoma"/>
            <family val="2"/>
          </rPr>
          <t>116295:</t>
        </r>
        <r>
          <rPr>
            <sz val="8"/>
            <color indexed="81"/>
            <rFont val="Tahoma"/>
            <family val="2"/>
          </rPr>
          <t xml:space="preserve">
Kiamichi Opportunities
(580)326-7549</t>
        </r>
      </text>
    </comment>
    <comment ref="B1492" authorId="0">
      <text>
        <r>
          <rPr>
            <b/>
            <sz val="8"/>
            <color indexed="81"/>
            <rFont val="Tahoma"/>
            <family val="2"/>
          </rPr>
          <t>116295:</t>
        </r>
        <r>
          <rPr>
            <sz val="8"/>
            <color indexed="81"/>
            <rFont val="Tahoma"/>
            <family val="2"/>
          </rPr>
          <t xml:space="preserve">
Kiamichi Opportunities
(580)326-7549</t>
        </r>
      </text>
    </comment>
    <comment ref="B1493" authorId="0">
      <text>
        <r>
          <rPr>
            <b/>
            <sz val="8"/>
            <color indexed="81"/>
            <rFont val="Tahoma"/>
            <family val="2"/>
          </rPr>
          <t>116295:</t>
        </r>
        <r>
          <rPr>
            <sz val="8"/>
            <color indexed="81"/>
            <rFont val="Tahoma"/>
            <family val="2"/>
          </rPr>
          <t xml:space="preserve">
Kiamichi Opportunities
(580)326-7549</t>
        </r>
      </text>
    </comment>
    <comment ref="B1494" authorId="0">
      <text>
        <r>
          <rPr>
            <b/>
            <sz val="8"/>
            <color indexed="81"/>
            <rFont val="Tahoma"/>
            <family val="2"/>
          </rPr>
          <t>116295:</t>
        </r>
        <r>
          <rPr>
            <sz val="8"/>
            <color indexed="81"/>
            <rFont val="Tahoma"/>
            <family val="2"/>
          </rPr>
          <t xml:space="preserve">
Kiamichi Opportunities
(580)326-7549</t>
        </r>
      </text>
    </comment>
    <comment ref="B1495" authorId="0">
      <text>
        <r>
          <rPr>
            <b/>
            <sz val="8"/>
            <color indexed="81"/>
            <rFont val="Tahoma"/>
            <family val="2"/>
          </rPr>
          <t>116295:</t>
        </r>
        <r>
          <rPr>
            <sz val="8"/>
            <color indexed="81"/>
            <rFont val="Tahoma"/>
            <family val="2"/>
          </rPr>
          <t xml:space="preserve">
Kiamichi Opportunities
(580)326-7549</t>
        </r>
      </text>
    </comment>
    <comment ref="B1496" authorId="0">
      <text>
        <r>
          <rPr>
            <b/>
            <sz val="8"/>
            <color indexed="81"/>
            <rFont val="Tahoma"/>
            <family val="2"/>
          </rPr>
          <t>116295:</t>
        </r>
        <r>
          <rPr>
            <sz val="8"/>
            <color indexed="81"/>
            <rFont val="Tahoma"/>
            <family val="2"/>
          </rPr>
          <t xml:space="preserve">
Kiamichi Opportunities
(580)326-7549</t>
        </r>
      </text>
    </comment>
    <comment ref="B1497" authorId="0">
      <text>
        <r>
          <rPr>
            <b/>
            <sz val="8"/>
            <color indexed="81"/>
            <rFont val="Tahoma"/>
            <family val="2"/>
          </rPr>
          <t>116295:</t>
        </r>
        <r>
          <rPr>
            <sz val="8"/>
            <color indexed="81"/>
            <rFont val="Tahoma"/>
            <family val="2"/>
          </rPr>
          <t xml:space="preserve">
Kiamichi Opportunities
(580)326-7549</t>
        </r>
      </text>
    </comment>
    <comment ref="B1498" authorId="0">
      <text>
        <r>
          <rPr>
            <b/>
            <sz val="8"/>
            <color indexed="81"/>
            <rFont val="Tahoma"/>
            <family val="2"/>
          </rPr>
          <t>116295:</t>
        </r>
        <r>
          <rPr>
            <sz val="8"/>
            <color indexed="81"/>
            <rFont val="Tahoma"/>
            <family val="2"/>
          </rPr>
          <t xml:space="preserve">
Kiamichi Opportunities
(580)326-7549</t>
        </r>
      </text>
    </comment>
    <comment ref="B1499" authorId="0">
      <text>
        <r>
          <rPr>
            <b/>
            <sz val="8"/>
            <color indexed="81"/>
            <rFont val="Tahoma"/>
            <family val="2"/>
          </rPr>
          <t>116295:</t>
        </r>
        <r>
          <rPr>
            <sz val="8"/>
            <color indexed="81"/>
            <rFont val="Tahoma"/>
            <family val="2"/>
          </rPr>
          <t xml:space="preserve">
Kiamichi Opportunities
(580)326-7549</t>
        </r>
      </text>
    </comment>
    <comment ref="B1500" authorId="0">
      <text>
        <r>
          <rPr>
            <b/>
            <sz val="8"/>
            <color indexed="81"/>
            <rFont val="Tahoma"/>
            <family val="2"/>
          </rPr>
          <t>116295:</t>
        </r>
        <r>
          <rPr>
            <sz val="8"/>
            <color indexed="81"/>
            <rFont val="Tahoma"/>
            <family val="2"/>
          </rPr>
          <t xml:space="preserve">
Kiamichi Opportunities
(580)326-7549</t>
        </r>
      </text>
    </comment>
    <comment ref="B1501" authorId="0">
      <text>
        <r>
          <rPr>
            <b/>
            <sz val="8"/>
            <color indexed="81"/>
            <rFont val="Tahoma"/>
            <family val="2"/>
          </rPr>
          <t>116295:</t>
        </r>
        <r>
          <rPr>
            <sz val="8"/>
            <color indexed="81"/>
            <rFont val="Tahoma"/>
            <family val="2"/>
          </rPr>
          <t xml:space="preserve">
Kiamichi Opportunities
(580)326-7549</t>
        </r>
      </text>
    </comment>
    <comment ref="B1502" authorId="0">
      <text>
        <r>
          <rPr>
            <b/>
            <sz val="8"/>
            <color indexed="81"/>
            <rFont val="Tahoma"/>
            <family val="2"/>
          </rPr>
          <t>116295:</t>
        </r>
        <r>
          <rPr>
            <sz val="8"/>
            <color indexed="81"/>
            <rFont val="Tahoma"/>
            <family val="2"/>
          </rPr>
          <t xml:space="preserve">
Kiamichi Opportunities
(580)326-7549</t>
        </r>
      </text>
    </comment>
    <comment ref="B1503" authorId="0">
      <text>
        <r>
          <rPr>
            <b/>
            <sz val="8"/>
            <color indexed="81"/>
            <rFont val="Tahoma"/>
            <family val="2"/>
          </rPr>
          <t>116295:</t>
        </r>
        <r>
          <rPr>
            <sz val="8"/>
            <color indexed="81"/>
            <rFont val="Tahoma"/>
            <family val="2"/>
          </rPr>
          <t xml:space="preserve">
Kiamichi Opportunities
(580)326-7549</t>
        </r>
      </text>
    </comment>
    <comment ref="B1504" authorId="0">
      <text>
        <r>
          <rPr>
            <b/>
            <sz val="8"/>
            <color indexed="81"/>
            <rFont val="Tahoma"/>
            <family val="2"/>
          </rPr>
          <t>116295:</t>
        </r>
        <r>
          <rPr>
            <sz val="8"/>
            <color indexed="81"/>
            <rFont val="Tahoma"/>
            <family val="2"/>
          </rPr>
          <t xml:space="preserve">
Kiamichi Opportunities
(580)326-7549</t>
        </r>
      </text>
    </comment>
    <comment ref="B1505" authorId="0">
      <text>
        <r>
          <rPr>
            <b/>
            <sz val="8"/>
            <color indexed="81"/>
            <rFont val="Tahoma"/>
            <family val="2"/>
          </rPr>
          <t>116295:</t>
        </r>
        <r>
          <rPr>
            <sz val="8"/>
            <color indexed="81"/>
            <rFont val="Tahoma"/>
            <family val="2"/>
          </rPr>
          <t xml:space="preserve">
Kiamichi Opportunities
(580)326-7549</t>
        </r>
      </text>
    </comment>
    <comment ref="B1506" authorId="0">
      <text>
        <r>
          <rPr>
            <b/>
            <sz val="8"/>
            <color indexed="81"/>
            <rFont val="Tahoma"/>
            <family val="2"/>
          </rPr>
          <t>116295:</t>
        </r>
        <r>
          <rPr>
            <sz val="8"/>
            <color indexed="81"/>
            <rFont val="Tahoma"/>
            <family val="2"/>
          </rPr>
          <t xml:space="preserve">
Kiamichi Opportunities
(580)326-7549</t>
        </r>
      </text>
    </comment>
    <comment ref="B1507" authorId="0">
      <text>
        <r>
          <rPr>
            <b/>
            <sz val="8"/>
            <color indexed="81"/>
            <rFont val="Tahoma"/>
            <family val="2"/>
          </rPr>
          <t>116295:</t>
        </r>
        <r>
          <rPr>
            <sz val="8"/>
            <color indexed="81"/>
            <rFont val="Tahoma"/>
            <family val="2"/>
          </rPr>
          <t xml:space="preserve">
Kiamichi Opportunities
(580)326-7549</t>
        </r>
      </text>
    </comment>
    <comment ref="B1508" authorId="0">
      <text>
        <r>
          <rPr>
            <b/>
            <sz val="8"/>
            <color indexed="81"/>
            <rFont val="Tahoma"/>
            <family val="2"/>
          </rPr>
          <t>116295:</t>
        </r>
        <r>
          <rPr>
            <sz val="8"/>
            <color indexed="81"/>
            <rFont val="Tahoma"/>
            <family val="2"/>
          </rPr>
          <t xml:space="preserve">
Kiamichi Opportunities
(580)326-7549</t>
        </r>
      </text>
    </comment>
    <comment ref="B1509" authorId="0">
      <text>
        <r>
          <rPr>
            <b/>
            <sz val="8"/>
            <color indexed="81"/>
            <rFont val="Tahoma"/>
            <family val="2"/>
          </rPr>
          <t>116295:</t>
        </r>
        <r>
          <rPr>
            <sz val="8"/>
            <color indexed="81"/>
            <rFont val="Tahoma"/>
            <family val="2"/>
          </rPr>
          <t xml:space="preserve">
Kiamichi Opportunities
(580)326-7549</t>
        </r>
      </text>
    </comment>
    <comment ref="B1510" authorId="0">
      <text>
        <r>
          <rPr>
            <b/>
            <sz val="8"/>
            <color indexed="81"/>
            <rFont val="Tahoma"/>
            <family val="2"/>
          </rPr>
          <t>116295:</t>
        </r>
        <r>
          <rPr>
            <sz val="8"/>
            <color indexed="81"/>
            <rFont val="Tahoma"/>
            <family val="2"/>
          </rPr>
          <t xml:space="preserve">
Kiamichi Opportunities
(580)326-7549</t>
        </r>
      </text>
    </comment>
    <comment ref="B1511" authorId="0">
      <text>
        <r>
          <rPr>
            <b/>
            <sz val="8"/>
            <color indexed="81"/>
            <rFont val="Tahoma"/>
            <family val="2"/>
          </rPr>
          <t>116295:</t>
        </r>
        <r>
          <rPr>
            <sz val="8"/>
            <color indexed="81"/>
            <rFont val="Tahoma"/>
            <family val="2"/>
          </rPr>
          <t xml:space="preserve">
Kiamichi Opportunities
(580)326-7549</t>
        </r>
      </text>
    </comment>
    <comment ref="B1512" authorId="0">
      <text>
        <r>
          <rPr>
            <b/>
            <sz val="8"/>
            <color indexed="81"/>
            <rFont val="Tahoma"/>
            <family val="2"/>
          </rPr>
          <t>116295:</t>
        </r>
        <r>
          <rPr>
            <sz val="8"/>
            <color indexed="81"/>
            <rFont val="Tahoma"/>
            <family val="2"/>
          </rPr>
          <t xml:space="preserve">
Kiamichi Opportunities
(580)326-7549</t>
        </r>
      </text>
    </comment>
    <comment ref="B1513" authorId="0">
      <text>
        <r>
          <rPr>
            <b/>
            <sz val="8"/>
            <color indexed="81"/>
            <rFont val="Tahoma"/>
            <family val="2"/>
          </rPr>
          <t>116295:</t>
        </r>
        <r>
          <rPr>
            <sz val="8"/>
            <color indexed="81"/>
            <rFont val="Tahoma"/>
            <family val="2"/>
          </rPr>
          <t xml:space="preserve">
Kiamichi Opportunities
(580)326-7549</t>
        </r>
      </text>
    </comment>
    <comment ref="B1514" authorId="0">
      <text>
        <r>
          <rPr>
            <b/>
            <sz val="8"/>
            <color indexed="81"/>
            <rFont val="Tahoma"/>
            <family val="2"/>
          </rPr>
          <t>116295:</t>
        </r>
        <r>
          <rPr>
            <sz val="8"/>
            <color indexed="81"/>
            <rFont val="Tahoma"/>
            <family val="2"/>
          </rPr>
          <t xml:space="preserve">
Kiamichi Opportunities
(580)326-7549</t>
        </r>
      </text>
    </comment>
    <comment ref="B1515" authorId="0">
      <text>
        <r>
          <rPr>
            <b/>
            <sz val="8"/>
            <color indexed="81"/>
            <rFont val="Tahoma"/>
            <family val="2"/>
          </rPr>
          <t>116295:</t>
        </r>
        <r>
          <rPr>
            <sz val="8"/>
            <color indexed="81"/>
            <rFont val="Tahoma"/>
            <family val="2"/>
          </rPr>
          <t xml:space="preserve">
Kiamichi Opportunities
(580)326-7549</t>
        </r>
      </text>
    </comment>
    <comment ref="B1516" authorId="0">
      <text>
        <r>
          <rPr>
            <b/>
            <sz val="8"/>
            <color indexed="81"/>
            <rFont val="Tahoma"/>
            <family val="2"/>
          </rPr>
          <t>116295:</t>
        </r>
        <r>
          <rPr>
            <sz val="8"/>
            <color indexed="81"/>
            <rFont val="Tahoma"/>
            <family val="2"/>
          </rPr>
          <t xml:space="preserve">
Kiamichi Opportunities
(580)326-7549</t>
        </r>
      </text>
    </comment>
    <comment ref="B1517" authorId="0">
      <text>
        <r>
          <rPr>
            <b/>
            <sz val="8"/>
            <color indexed="81"/>
            <rFont val="Tahoma"/>
            <family val="2"/>
          </rPr>
          <t>116295:</t>
        </r>
        <r>
          <rPr>
            <sz val="8"/>
            <color indexed="81"/>
            <rFont val="Tahoma"/>
            <family val="2"/>
          </rPr>
          <t xml:space="preserve">
Kiamichi Opportunities
(580)326-7549</t>
        </r>
      </text>
    </comment>
    <comment ref="B1518" authorId="0">
      <text>
        <r>
          <rPr>
            <b/>
            <sz val="8"/>
            <color indexed="81"/>
            <rFont val="Tahoma"/>
            <family val="2"/>
          </rPr>
          <t>116295:</t>
        </r>
        <r>
          <rPr>
            <sz val="8"/>
            <color indexed="81"/>
            <rFont val="Tahoma"/>
            <family val="2"/>
          </rPr>
          <t xml:space="preserve">
Kiamichi Opportunities
(580)326-7549</t>
        </r>
      </text>
    </comment>
    <comment ref="B1519" authorId="0">
      <text>
        <r>
          <rPr>
            <b/>
            <sz val="8"/>
            <color indexed="81"/>
            <rFont val="Tahoma"/>
            <family val="2"/>
          </rPr>
          <t>116295:</t>
        </r>
        <r>
          <rPr>
            <sz val="8"/>
            <color indexed="81"/>
            <rFont val="Tahoma"/>
            <family val="2"/>
          </rPr>
          <t xml:space="preserve">
Kiamichi Opportunities
(580)326-7549</t>
        </r>
      </text>
    </comment>
    <comment ref="B1520" authorId="0">
      <text>
        <r>
          <rPr>
            <b/>
            <sz val="8"/>
            <color indexed="81"/>
            <rFont val="Tahoma"/>
            <family val="2"/>
          </rPr>
          <t>116295:</t>
        </r>
        <r>
          <rPr>
            <sz val="8"/>
            <color indexed="81"/>
            <rFont val="Tahoma"/>
            <family val="2"/>
          </rPr>
          <t xml:space="preserve">
Kiamichi Opportunities
(580)326-7549</t>
        </r>
      </text>
    </comment>
    <comment ref="B1521" authorId="0">
      <text>
        <r>
          <rPr>
            <b/>
            <sz val="8"/>
            <color indexed="81"/>
            <rFont val="Tahoma"/>
            <family val="2"/>
          </rPr>
          <t>116295:</t>
        </r>
        <r>
          <rPr>
            <sz val="8"/>
            <color indexed="81"/>
            <rFont val="Tahoma"/>
            <family val="2"/>
          </rPr>
          <t xml:space="preserve">
Kiamichi Opportunities
(580)326-7549</t>
        </r>
      </text>
    </comment>
    <comment ref="B1522" authorId="0">
      <text>
        <r>
          <rPr>
            <b/>
            <sz val="8"/>
            <color indexed="81"/>
            <rFont val="Tahoma"/>
            <family val="2"/>
          </rPr>
          <t>116295:</t>
        </r>
        <r>
          <rPr>
            <sz val="8"/>
            <color indexed="81"/>
            <rFont val="Tahoma"/>
            <family val="2"/>
          </rPr>
          <t xml:space="preserve">
Kiamichi Opportunities
(580)326-7549</t>
        </r>
      </text>
    </comment>
    <comment ref="B1523" authorId="0">
      <text>
        <r>
          <rPr>
            <b/>
            <sz val="8"/>
            <color indexed="81"/>
            <rFont val="Tahoma"/>
            <family val="2"/>
          </rPr>
          <t>116295:</t>
        </r>
        <r>
          <rPr>
            <sz val="8"/>
            <color indexed="81"/>
            <rFont val="Tahoma"/>
            <family val="2"/>
          </rPr>
          <t xml:space="preserve">
Kiamichi Opportunities
(580)326-7549</t>
        </r>
      </text>
    </comment>
    <comment ref="B1524" authorId="0">
      <text>
        <r>
          <rPr>
            <b/>
            <sz val="8"/>
            <color indexed="81"/>
            <rFont val="Tahoma"/>
            <family val="2"/>
          </rPr>
          <t>116295:</t>
        </r>
        <r>
          <rPr>
            <sz val="8"/>
            <color indexed="81"/>
            <rFont val="Tahoma"/>
            <family val="2"/>
          </rPr>
          <t xml:space="preserve">
Kiamichi Opportunities
(580)326-7549</t>
        </r>
      </text>
    </comment>
    <comment ref="B1525" authorId="0">
      <text>
        <r>
          <rPr>
            <b/>
            <sz val="8"/>
            <color indexed="81"/>
            <rFont val="Tahoma"/>
            <family val="2"/>
          </rPr>
          <t>116295:</t>
        </r>
        <r>
          <rPr>
            <sz val="8"/>
            <color indexed="81"/>
            <rFont val="Tahoma"/>
            <family val="2"/>
          </rPr>
          <t xml:space="preserve">
Kiamichi Opportunities
(580)326-7549</t>
        </r>
      </text>
    </comment>
    <comment ref="B1526" authorId="0">
      <text>
        <r>
          <rPr>
            <b/>
            <sz val="8"/>
            <color indexed="81"/>
            <rFont val="Tahoma"/>
            <family val="2"/>
          </rPr>
          <t>116295:</t>
        </r>
        <r>
          <rPr>
            <sz val="8"/>
            <color indexed="81"/>
            <rFont val="Tahoma"/>
            <family val="2"/>
          </rPr>
          <t xml:space="preserve">
Kiamichi Opportunities
(580)326-7549</t>
        </r>
      </text>
    </comment>
    <comment ref="B1527" authorId="0">
      <text>
        <r>
          <rPr>
            <b/>
            <sz val="8"/>
            <color indexed="81"/>
            <rFont val="Tahoma"/>
            <family val="2"/>
          </rPr>
          <t>116295:</t>
        </r>
        <r>
          <rPr>
            <sz val="8"/>
            <color indexed="81"/>
            <rFont val="Tahoma"/>
            <family val="2"/>
          </rPr>
          <t xml:space="preserve">
Kiamichi Opportunities
(580)326-7549</t>
        </r>
      </text>
    </comment>
    <comment ref="B1528" authorId="0">
      <text>
        <r>
          <rPr>
            <b/>
            <sz val="8"/>
            <color indexed="81"/>
            <rFont val="Tahoma"/>
            <family val="2"/>
          </rPr>
          <t>116295:</t>
        </r>
        <r>
          <rPr>
            <sz val="8"/>
            <color indexed="81"/>
            <rFont val="Tahoma"/>
            <family val="2"/>
          </rPr>
          <t xml:space="preserve">
Kiamichi Opportunities
(580)326-7549</t>
        </r>
      </text>
    </comment>
    <comment ref="B1529" authorId="0">
      <text>
        <r>
          <rPr>
            <b/>
            <sz val="8"/>
            <color indexed="81"/>
            <rFont val="Tahoma"/>
            <family val="2"/>
          </rPr>
          <t>116295:</t>
        </r>
        <r>
          <rPr>
            <sz val="8"/>
            <color indexed="81"/>
            <rFont val="Tahoma"/>
            <family val="2"/>
          </rPr>
          <t xml:space="preserve">
Kiamichi Opportunities
(580)326-7549</t>
        </r>
      </text>
    </comment>
    <comment ref="B1530" authorId="0">
      <text>
        <r>
          <rPr>
            <b/>
            <sz val="8"/>
            <color indexed="81"/>
            <rFont val="Tahoma"/>
            <family val="2"/>
          </rPr>
          <t>116295:</t>
        </r>
        <r>
          <rPr>
            <sz val="8"/>
            <color indexed="81"/>
            <rFont val="Tahoma"/>
            <family val="2"/>
          </rPr>
          <t xml:space="preserve">
Kiamichi Opportunities
(580)326-7549</t>
        </r>
      </text>
    </comment>
    <comment ref="B1531" authorId="0">
      <text>
        <r>
          <rPr>
            <b/>
            <sz val="8"/>
            <color indexed="81"/>
            <rFont val="Tahoma"/>
            <family val="2"/>
          </rPr>
          <t>116295:</t>
        </r>
        <r>
          <rPr>
            <sz val="8"/>
            <color indexed="81"/>
            <rFont val="Tahoma"/>
            <family val="2"/>
          </rPr>
          <t xml:space="preserve">
Kiamichi Opportunities
(580)326-7549</t>
        </r>
      </text>
    </comment>
    <comment ref="B1532" authorId="0">
      <text>
        <r>
          <rPr>
            <b/>
            <sz val="8"/>
            <color indexed="81"/>
            <rFont val="Tahoma"/>
            <family val="2"/>
          </rPr>
          <t>116295:</t>
        </r>
        <r>
          <rPr>
            <sz val="8"/>
            <color indexed="81"/>
            <rFont val="Tahoma"/>
            <family val="2"/>
          </rPr>
          <t xml:space="preserve">
Kiamichi Opportunities
(580)326-7549</t>
        </r>
      </text>
    </comment>
    <comment ref="B1533" authorId="0">
      <text>
        <r>
          <rPr>
            <b/>
            <sz val="8"/>
            <color indexed="81"/>
            <rFont val="Tahoma"/>
            <family val="2"/>
          </rPr>
          <t>116295:</t>
        </r>
        <r>
          <rPr>
            <sz val="8"/>
            <color indexed="81"/>
            <rFont val="Tahoma"/>
            <family val="2"/>
          </rPr>
          <t xml:space="preserve">
Kiamichi Opportunities
(580)326-7549</t>
        </r>
      </text>
    </comment>
    <comment ref="B1534" authorId="0">
      <text>
        <r>
          <rPr>
            <b/>
            <sz val="8"/>
            <color indexed="81"/>
            <rFont val="Tahoma"/>
            <family val="2"/>
          </rPr>
          <t>116295:</t>
        </r>
        <r>
          <rPr>
            <sz val="8"/>
            <color indexed="81"/>
            <rFont val="Tahoma"/>
            <family val="2"/>
          </rPr>
          <t xml:space="preserve">
Kiamichi Opportunities
(580)326-7549</t>
        </r>
      </text>
    </comment>
    <comment ref="B1535" authorId="0">
      <text>
        <r>
          <rPr>
            <b/>
            <sz val="8"/>
            <color indexed="81"/>
            <rFont val="Tahoma"/>
            <family val="2"/>
          </rPr>
          <t>116295:</t>
        </r>
        <r>
          <rPr>
            <sz val="8"/>
            <color indexed="81"/>
            <rFont val="Tahoma"/>
            <family val="2"/>
          </rPr>
          <t xml:space="preserve">
Kiamichi Opportunities
(580)326-7549</t>
        </r>
      </text>
    </comment>
    <comment ref="B1536" authorId="0">
      <text>
        <r>
          <rPr>
            <b/>
            <sz val="8"/>
            <color indexed="81"/>
            <rFont val="Tahoma"/>
            <family val="2"/>
          </rPr>
          <t>116295:</t>
        </r>
        <r>
          <rPr>
            <sz val="8"/>
            <color indexed="81"/>
            <rFont val="Tahoma"/>
            <family val="2"/>
          </rPr>
          <t xml:space="preserve">
Kiamichi Opportunities
(580)326-7549</t>
        </r>
      </text>
    </comment>
    <comment ref="B1537" authorId="0">
      <text>
        <r>
          <rPr>
            <b/>
            <sz val="8"/>
            <color indexed="81"/>
            <rFont val="Tahoma"/>
            <family val="2"/>
          </rPr>
          <t>116295:</t>
        </r>
        <r>
          <rPr>
            <sz val="8"/>
            <color indexed="81"/>
            <rFont val="Tahoma"/>
            <family val="2"/>
          </rPr>
          <t xml:space="preserve">
Kiamichi Opportunities
(580)326-7549</t>
        </r>
      </text>
    </comment>
    <comment ref="B1538" authorId="0">
      <text>
        <r>
          <rPr>
            <b/>
            <sz val="8"/>
            <color indexed="81"/>
            <rFont val="Tahoma"/>
            <family val="2"/>
          </rPr>
          <t>116295:</t>
        </r>
        <r>
          <rPr>
            <sz val="8"/>
            <color indexed="81"/>
            <rFont val="Tahoma"/>
            <family val="2"/>
          </rPr>
          <t xml:space="preserve">
Kiamichi Opportunities
(580)326-7549</t>
        </r>
      </text>
    </comment>
    <comment ref="B1539" authorId="0">
      <text>
        <r>
          <rPr>
            <b/>
            <sz val="8"/>
            <color indexed="81"/>
            <rFont val="Tahoma"/>
            <family val="2"/>
          </rPr>
          <t>116295:</t>
        </r>
        <r>
          <rPr>
            <sz val="8"/>
            <color indexed="81"/>
            <rFont val="Tahoma"/>
            <family val="2"/>
          </rPr>
          <t xml:space="preserve">
Kiamichi Opportunities
(580)326-7549</t>
        </r>
      </text>
    </comment>
    <comment ref="B1540" authorId="0">
      <text>
        <r>
          <rPr>
            <b/>
            <sz val="8"/>
            <color indexed="81"/>
            <rFont val="Tahoma"/>
            <family val="2"/>
          </rPr>
          <t>116295:</t>
        </r>
        <r>
          <rPr>
            <sz val="8"/>
            <color indexed="81"/>
            <rFont val="Tahoma"/>
            <family val="2"/>
          </rPr>
          <t xml:space="preserve">
Kiamichi Opportunities
(580)326-7549</t>
        </r>
      </text>
    </comment>
    <comment ref="B1541" authorId="0">
      <text>
        <r>
          <rPr>
            <b/>
            <sz val="8"/>
            <color indexed="81"/>
            <rFont val="Tahoma"/>
            <family val="2"/>
          </rPr>
          <t>116295:</t>
        </r>
        <r>
          <rPr>
            <sz val="8"/>
            <color indexed="81"/>
            <rFont val="Tahoma"/>
            <family val="2"/>
          </rPr>
          <t xml:space="preserve">
Kiamichi Opportunities
(580)326-7549</t>
        </r>
      </text>
    </comment>
    <comment ref="B1542" authorId="0">
      <text>
        <r>
          <rPr>
            <b/>
            <sz val="8"/>
            <color indexed="81"/>
            <rFont val="Tahoma"/>
            <family val="2"/>
          </rPr>
          <t>116295:</t>
        </r>
        <r>
          <rPr>
            <sz val="8"/>
            <color indexed="81"/>
            <rFont val="Tahoma"/>
            <family val="2"/>
          </rPr>
          <t xml:space="preserve">
Kiamichi Opportunities
(580)326-7549</t>
        </r>
      </text>
    </comment>
    <comment ref="B1543" authorId="0">
      <text>
        <r>
          <rPr>
            <b/>
            <sz val="8"/>
            <color indexed="81"/>
            <rFont val="Tahoma"/>
            <family val="2"/>
          </rPr>
          <t>116295:</t>
        </r>
        <r>
          <rPr>
            <sz val="8"/>
            <color indexed="81"/>
            <rFont val="Tahoma"/>
            <family val="2"/>
          </rPr>
          <t xml:space="preserve">
Kiamichi Opportunities
(580)326-7549</t>
        </r>
      </text>
    </comment>
    <comment ref="B1544" authorId="0">
      <text>
        <r>
          <rPr>
            <b/>
            <sz val="8"/>
            <color indexed="81"/>
            <rFont val="Tahoma"/>
            <family val="2"/>
          </rPr>
          <t>116295:</t>
        </r>
        <r>
          <rPr>
            <sz val="8"/>
            <color indexed="81"/>
            <rFont val="Tahoma"/>
            <family val="2"/>
          </rPr>
          <t xml:space="preserve">
Kiamichi Opportunities
(580)326-7549</t>
        </r>
      </text>
    </comment>
    <comment ref="E1544" authorId="0">
      <text>
        <r>
          <rPr>
            <b/>
            <sz val="8"/>
            <color indexed="81"/>
            <rFont val="Tahoma"/>
            <family val="2"/>
          </rPr>
          <t>116295:</t>
        </r>
        <r>
          <rPr>
            <sz val="8"/>
            <color indexed="81"/>
            <rFont val="Tahoma"/>
            <family val="2"/>
          </rPr>
          <t xml:space="preserve">
Suitable to Procure 
No Fair Market Value
Non Mandatory
Call Vendor for Price</t>
        </r>
      </text>
    </comment>
    <comment ref="B1545" authorId="0">
      <text>
        <r>
          <rPr>
            <b/>
            <sz val="8"/>
            <color indexed="81"/>
            <rFont val="Tahoma"/>
            <family val="2"/>
          </rPr>
          <t>116295:</t>
        </r>
        <r>
          <rPr>
            <sz val="8"/>
            <color indexed="81"/>
            <rFont val="Tahoma"/>
            <family val="2"/>
          </rPr>
          <t xml:space="preserve">
Kiamichi Opportunities
(580)326-7549</t>
        </r>
      </text>
    </comment>
    <comment ref="E1545" authorId="0">
      <text>
        <r>
          <rPr>
            <b/>
            <sz val="8"/>
            <color indexed="81"/>
            <rFont val="Tahoma"/>
            <family val="2"/>
          </rPr>
          <t>116295:</t>
        </r>
        <r>
          <rPr>
            <sz val="8"/>
            <color indexed="81"/>
            <rFont val="Tahoma"/>
            <family val="2"/>
          </rPr>
          <t xml:space="preserve">
Suitable to Procure 
No Fair Market Value
Non Mandatory
Call Vendor for Price</t>
        </r>
      </text>
    </comment>
    <comment ref="B1546" authorId="0">
      <text>
        <r>
          <rPr>
            <b/>
            <sz val="8"/>
            <color indexed="81"/>
            <rFont val="Tahoma"/>
            <family val="2"/>
          </rPr>
          <t>116295:</t>
        </r>
        <r>
          <rPr>
            <sz val="8"/>
            <color indexed="81"/>
            <rFont val="Tahoma"/>
            <family val="2"/>
          </rPr>
          <t xml:space="preserve">
Kiamichi Opportunities
(580)326-7549</t>
        </r>
      </text>
    </comment>
    <comment ref="E1546" authorId="0">
      <text>
        <r>
          <rPr>
            <b/>
            <sz val="8"/>
            <color indexed="81"/>
            <rFont val="Tahoma"/>
            <family val="2"/>
          </rPr>
          <t>116295:</t>
        </r>
        <r>
          <rPr>
            <sz val="8"/>
            <color indexed="81"/>
            <rFont val="Tahoma"/>
            <family val="2"/>
          </rPr>
          <t xml:space="preserve">
Suitable to Procure 
No Fair Market Value
Non Mandatory
Call Vendor for Price</t>
        </r>
      </text>
    </comment>
    <comment ref="B1547" authorId="0">
      <text>
        <r>
          <rPr>
            <b/>
            <sz val="8"/>
            <color indexed="81"/>
            <rFont val="Tahoma"/>
            <family val="2"/>
          </rPr>
          <t>116295:</t>
        </r>
        <r>
          <rPr>
            <sz val="8"/>
            <color indexed="81"/>
            <rFont val="Tahoma"/>
            <family val="2"/>
          </rPr>
          <t xml:space="preserve">
Kiamichi Opportunities
(580)326-7549</t>
        </r>
      </text>
    </comment>
    <comment ref="E1547" authorId="0">
      <text>
        <r>
          <rPr>
            <b/>
            <sz val="8"/>
            <color indexed="81"/>
            <rFont val="Tahoma"/>
            <family val="2"/>
          </rPr>
          <t>116295:</t>
        </r>
        <r>
          <rPr>
            <sz val="8"/>
            <color indexed="81"/>
            <rFont val="Tahoma"/>
            <family val="2"/>
          </rPr>
          <t xml:space="preserve">
Suitable to Procure 
No Fair Market Value
Non Mandatory
Call Vendor for Price</t>
        </r>
      </text>
    </comment>
    <comment ref="B1548" authorId="0">
      <text>
        <r>
          <rPr>
            <b/>
            <sz val="8"/>
            <color indexed="81"/>
            <rFont val="Tahoma"/>
            <family val="2"/>
          </rPr>
          <t>116295:</t>
        </r>
        <r>
          <rPr>
            <sz val="8"/>
            <color indexed="81"/>
            <rFont val="Tahoma"/>
            <family val="2"/>
          </rPr>
          <t xml:space="preserve">
Kiamichi Opportunities
(580)326-7549</t>
        </r>
      </text>
    </comment>
    <comment ref="E1548" authorId="0">
      <text>
        <r>
          <rPr>
            <b/>
            <sz val="8"/>
            <color indexed="81"/>
            <rFont val="Tahoma"/>
            <family val="2"/>
          </rPr>
          <t>116295:</t>
        </r>
        <r>
          <rPr>
            <sz val="8"/>
            <color indexed="81"/>
            <rFont val="Tahoma"/>
            <family val="2"/>
          </rPr>
          <t xml:space="preserve">
Suitable to Procure 
No Fair Market Value
Non Mandatory
Call Vendor for Price</t>
        </r>
      </text>
    </comment>
    <comment ref="B1549" authorId="0">
      <text>
        <r>
          <rPr>
            <b/>
            <sz val="8"/>
            <color indexed="81"/>
            <rFont val="Tahoma"/>
            <family val="2"/>
          </rPr>
          <t>116295:</t>
        </r>
        <r>
          <rPr>
            <sz val="8"/>
            <color indexed="81"/>
            <rFont val="Tahoma"/>
            <family val="2"/>
          </rPr>
          <t xml:space="preserve">
Kiamichi Opportunities
(580)326-7549</t>
        </r>
      </text>
    </comment>
    <comment ref="E1549"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0" authorId="0">
      <text>
        <r>
          <rPr>
            <b/>
            <sz val="8"/>
            <color indexed="81"/>
            <rFont val="Tahoma"/>
            <family val="2"/>
          </rPr>
          <t>116295:</t>
        </r>
        <r>
          <rPr>
            <sz val="8"/>
            <color indexed="81"/>
            <rFont val="Tahoma"/>
            <family val="2"/>
          </rPr>
          <t xml:space="preserve">
Kiamichi Opportunities
(580)326-7549</t>
        </r>
      </text>
    </comment>
    <comment ref="E1550"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1" authorId="0">
      <text>
        <r>
          <rPr>
            <b/>
            <sz val="8"/>
            <color indexed="81"/>
            <rFont val="Tahoma"/>
            <family val="2"/>
          </rPr>
          <t>116295:</t>
        </r>
        <r>
          <rPr>
            <sz val="8"/>
            <color indexed="81"/>
            <rFont val="Tahoma"/>
            <family val="2"/>
          </rPr>
          <t xml:space="preserve">
Kiamichi Opportunities
(580)326-7549</t>
        </r>
      </text>
    </comment>
    <comment ref="E1551"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2" authorId="0">
      <text>
        <r>
          <rPr>
            <b/>
            <sz val="8"/>
            <color indexed="81"/>
            <rFont val="Tahoma"/>
            <family val="2"/>
          </rPr>
          <t>116295:</t>
        </r>
        <r>
          <rPr>
            <sz val="8"/>
            <color indexed="81"/>
            <rFont val="Tahoma"/>
            <family val="2"/>
          </rPr>
          <t xml:space="preserve">
Kiamichi Opportunities
(580)326-7549</t>
        </r>
      </text>
    </comment>
    <comment ref="E1552"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3" authorId="0">
      <text>
        <r>
          <rPr>
            <b/>
            <sz val="8"/>
            <color indexed="81"/>
            <rFont val="Tahoma"/>
            <family val="2"/>
          </rPr>
          <t>116295:</t>
        </r>
        <r>
          <rPr>
            <sz val="8"/>
            <color indexed="81"/>
            <rFont val="Tahoma"/>
            <family val="2"/>
          </rPr>
          <t xml:space="preserve">
Kiamichi Opportunities
(580)326-7549</t>
        </r>
      </text>
    </comment>
    <comment ref="E1553"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4" authorId="0">
      <text>
        <r>
          <rPr>
            <b/>
            <sz val="8"/>
            <color indexed="81"/>
            <rFont val="Tahoma"/>
            <family val="2"/>
          </rPr>
          <t>116295:</t>
        </r>
        <r>
          <rPr>
            <sz val="8"/>
            <color indexed="81"/>
            <rFont val="Tahoma"/>
            <family val="2"/>
          </rPr>
          <t xml:space="preserve">
Kiamichi Opportunities
(580)326-7549</t>
        </r>
      </text>
    </comment>
    <comment ref="E1554"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5" authorId="0">
      <text>
        <r>
          <rPr>
            <b/>
            <sz val="8"/>
            <color indexed="81"/>
            <rFont val="Tahoma"/>
            <family val="2"/>
          </rPr>
          <t>116295:</t>
        </r>
        <r>
          <rPr>
            <sz val="8"/>
            <color indexed="81"/>
            <rFont val="Tahoma"/>
            <family val="2"/>
          </rPr>
          <t xml:space="preserve">
Kiamichi Opportunities
(580)326-7549</t>
        </r>
      </text>
    </comment>
    <comment ref="E1555"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6" authorId="0">
      <text>
        <r>
          <rPr>
            <b/>
            <sz val="8"/>
            <color indexed="81"/>
            <rFont val="Tahoma"/>
            <family val="2"/>
          </rPr>
          <t>116295:</t>
        </r>
        <r>
          <rPr>
            <sz val="8"/>
            <color indexed="81"/>
            <rFont val="Tahoma"/>
            <family val="2"/>
          </rPr>
          <t xml:space="preserve">
Kiamichi Opportunities
(580)326-7549</t>
        </r>
      </text>
    </comment>
    <comment ref="E1556"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7" authorId="0">
      <text>
        <r>
          <rPr>
            <b/>
            <sz val="8"/>
            <color indexed="81"/>
            <rFont val="Tahoma"/>
            <family val="2"/>
          </rPr>
          <t>116295:</t>
        </r>
        <r>
          <rPr>
            <sz val="8"/>
            <color indexed="81"/>
            <rFont val="Tahoma"/>
            <family val="2"/>
          </rPr>
          <t xml:space="preserve">
Kiamichi Opportunities
(580)326-7549</t>
        </r>
      </text>
    </comment>
    <comment ref="E1557"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8" authorId="0">
      <text>
        <r>
          <rPr>
            <b/>
            <sz val="8"/>
            <color indexed="81"/>
            <rFont val="Tahoma"/>
            <family val="2"/>
          </rPr>
          <t>116295:</t>
        </r>
        <r>
          <rPr>
            <sz val="8"/>
            <color indexed="81"/>
            <rFont val="Tahoma"/>
            <family val="2"/>
          </rPr>
          <t xml:space="preserve">
Kiamichi Opportunities
(580)326-7549</t>
        </r>
      </text>
    </comment>
    <comment ref="E1558"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9" authorId="0">
      <text>
        <r>
          <rPr>
            <b/>
            <sz val="8"/>
            <color indexed="81"/>
            <rFont val="Tahoma"/>
            <family val="2"/>
          </rPr>
          <t>116295:</t>
        </r>
        <r>
          <rPr>
            <sz val="8"/>
            <color indexed="81"/>
            <rFont val="Tahoma"/>
            <family val="2"/>
          </rPr>
          <t xml:space="preserve">
Kiamichi Opportunities
(580)326-7549</t>
        </r>
      </text>
    </comment>
    <comment ref="E1559" authorId="0">
      <text>
        <r>
          <rPr>
            <b/>
            <sz val="8"/>
            <color indexed="81"/>
            <rFont val="Tahoma"/>
            <family val="2"/>
          </rPr>
          <t>116295:</t>
        </r>
        <r>
          <rPr>
            <sz val="8"/>
            <color indexed="81"/>
            <rFont val="Tahoma"/>
            <family val="2"/>
          </rPr>
          <t xml:space="preserve">
Suitable to Procure 
No Fair Market Value
Non Mandatory
Call Vendor for Price</t>
        </r>
      </text>
    </comment>
    <comment ref="B1560" authorId="0">
      <text>
        <r>
          <rPr>
            <b/>
            <sz val="8"/>
            <color indexed="81"/>
            <rFont val="Tahoma"/>
            <family val="2"/>
          </rPr>
          <t>116295:</t>
        </r>
        <r>
          <rPr>
            <sz val="8"/>
            <color indexed="81"/>
            <rFont val="Tahoma"/>
            <family val="2"/>
          </rPr>
          <t xml:space="preserve">
Kiamichi Opportunities
(580)326-7549</t>
        </r>
      </text>
    </comment>
    <comment ref="E1560" authorId="0">
      <text>
        <r>
          <rPr>
            <b/>
            <sz val="8"/>
            <color indexed="81"/>
            <rFont val="Tahoma"/>
            <family val="2"/>
          </rPr>
          <t>116295:</t>
        </r>
        <r>
          <rPr>
            <sz val="8"/>
            <color indexed="81"/>
            <rFont val="Tahoma"/>
            <family val="2"/>
          </rPr>
          <t xml:space="preserve">
Suitable to Procure 
No Fair Market Value
Non Mandatory
Call Vendor for Price</t>
        </r>
      </text>
    </comment>
    <comment ref="B1561" authorId="0">
      <text>
        <r>
          <rPr>
            <b/>
            <sz val="8"/>
            <color indexed="81"/>
            <rFont val="Tahoma"/>
            <family val="2"/>
          </rPr>
          <t>116295:</t>
        </r>
        <r>
          <rPr>
            <sz val="8"/>
            <color indexed="81"/>
            <rFont val="Tahoma"/>
            <family val="2"/>
          </rPr>
          <t xml:space="preserve">
Kiamichi Opportunities
(580)326-7549</t>
        </r>
      </text>
    </comment>
    <comment ref="E1561" authorId="0">
      <text>
        <r>
          <rPr>
            <b/>
            <sz val="8"/>
            <color indexed="81"/>
            <rFont val="Tahoma"/>
            <family val="2"/>
          </rPr>
          <t>116295:</t>
        </r>
        <r>
          <rPr>
            <sz val="8"/>
            <color indexed="81"/>
            <rFont val="Tahoma"/>
            <family val="2"/>
          </rPr>
          <t xml:space="preserve">
Suitable to Procure 
No Fair Market Value
Non Mandatory
Call Vendor for Price</t>
        </r>
      </text>
    </comment>
    <comment ref="B1562" authorId="0">
      <text>
        <r>
          <rPr>
            <b/>
            <sz val="8"/>
            <color indexed="81"/>
            <rFont val="Tahoma"/>
            <family val="2"/>
          </rPr>
          <t>116295:</t>
        </r>
        <r>
          <rPr>
            <sz val="8"/>
            <color indexed="81"/>
            <rFont val="Tahoma"/>
            <family val="2"/>
          </rPr>
          <t xml:space="preserve">
Kiamichi Opportunities
(580)326-7549</t>
        </r>
      </text>
    </comment>
    <comment ref="E1562" authorId="0">
      <text>
        <r>
          <rPr>
            <b/>
            <sz val="8"/>
            <color indexed="81"/>
            <rFont val="Tahoma"/>
            <family val="2"/>
          </rPr>
          <t>116295:</t>
        </r>
        <r>
          <rPr>
            <sz val="8"/>
            <color indexed="81"/>
            <rFont val="Tahoma"/>
            <family val="2"/>
          </rPr>
          <t xml:space="preserve">
Suitable to Procure 
No Fair Market Value
Non Mandatory
Call Vendor for Price</t>
        </r>
      </text>
    </comment>
    <comment ref="B1563" authorId="0">
      <text>
        <r>
          <rPr>
            <b/>
            <sz val="8"/>
            <color indexed="81"/>
            <rFont val="Tahoma"/>
            <family val="2"/>
          </rPr>
          <t>116295:</t>
        </r>
        <r>
          <rPr>
            <sz val="8"/>
            <color indexed="81"/>
            <rFont val="Tahoma"/>
            <family val="2"/>
          </rPr>
          <t xml:space="preserve">
Kiamichi Opportunities
(580)326-7549</t>
        </r>
      </text>
    </comment>
    <comment ref="E1563" authorId="0">
      <text>
        <r>
          <rPr>
            <b/>
            <sz val="8"/>
            <color indexed="81"/>
            <rFont val="Tahoma"/>
            <family val="2"/>
          </rPr>
          <t>116295:</t>
        </r>
        <r>
          <rPr>
            <sz val="8"/>
            <color indexed="81"/>
            <rFont val="Tahoma"/>
            <family val="2"/>
          </rPr>
          <t xml:space="preserve">
Suitable to Procure 
No Fair Market Value
Non Mandatory
Call Vendor for Price</t>
        </r>
      </text>
    </comment>
    <comment ref="B1564" authorId="0">
      <text>
        <r>
          <rPr>
            <b/>
            <sz val="8"/>
            <color indexed="81"/>
            <rFont val="Tahoma"/>
            <family val="2"/>
          </rPr>
          <t>116295:</t>
        </r>
        <r>
          <rPr>
            <sz val="8"/>
            <color indexed="81"/>
            <rFont val="Tahoma"/>
            <family val="2"/>
          </rPr>
          <t xml:space="preserve">
Ki Bois Area Rural Enterprises
(918)839-7405</t>
        </r>
      </text>
    </comment>
    <comment ref="B1565" authorId="0">
      <text>
        <r>
          <rPr>
            <b/>
            <sz val="8"/>
            <color indexed="81"/>
            <rFont val="Tahoma"/>
            <family val="2"/>
          </rPr>
          <t>116295:</t>
        </r>
        <r>
          <rPr>
            <sz val="8"/>
            <color indexed="81"/>
            <rFont val="Tahoma"/>
            <family val="2"/>
          </rPr>
          <t xml:space="preserve">
Life Circles, Inc.
(405)247-2055</t>
        </r>
      </text>
    </comment>
    <comment ref="B1566" authorId="0">
      <text>
        <r>
          <rPr>
            <b/>
            <sz val="8"/>
            <color indexed="81"/>
            <rFont val="Tahoma"/>
            <family val="2"/>
          </rPr>
          <t>116295:</t>
        </r>
        <r>
          <rPr>
            <sz val="8"/>
            <color indexed="81"/>
            <rFont val="Tahoma"/>
            <family val="2"/>
          </rPr>
          <t xml:space="preserve">
Life Circles, Inc.
(405)247-2055</t>
        </r>
      </text>
    </comment>
    <comment ref="B1567" authorId="0">
      <text>
        <r>
          <rPr>
            <b/>
            <sz val="8"/>
            <color indexed="81"/>
            <rFont val="Tahoma"/>
            <family val="2"/>
          </rPr>
          <t>116295:</t>
        </r>
        <r>
          <rPr>
            <sz val="8"/>
            <color indexed="81"/>
            <rFont val="Tahoma"/>
            <family val="2"/>
          </rPr>
          <t xml:space="preserve">
Life Circles, Inc.
(405)247-2055</t>
        </r>
      </text>
    </comment>
    <comment ref="E1567" authorId="0">
      <text>
        <r>
          <rPr>
            <b/>
            <sz val="8"/>
            <color indexed="81"/>
            <rFont val="Tahoma"/>
            <family val="2"/>
          </rPr>
          <t>116295:</t>
        </r>
        <r>
          <rPr>
            <sz val="8"/>
            <color indexed="81"/>
            <rFont val="Tahoma"/>
            <family val="2"/>
          </rPr>
          <t xml:space="preserve">
Suitable to Procure 
No Fair Market Value
Non Mandatory
Call Vendor for Price</t>
        </r>
      </text>
    </comment>
    <comment ref="B1568" authorId="0">
      <text>
        <r>
          <rPr>
            <b/>
            <sz val="8"/>
            <color indexed="81"/>
            <rFont val="Tahoma"/>
            <family val="2"/>
          </rPr>
          <t>116295:</t>
        </r>
        <r>
          <rPr>
            <sz val="8"/>
            <color indexed="81"/>
            <rFont val="Tahoma"/>
            <family val="2"/>
          </rPr>
          <t xml:space="preserve">
Life Circles, Inc.
(405)247-2055</t>
        </r>
      </text>
    </comment>
    <comment ref="E1568" authorId="0">
      <text>
        <r>
          <rPr>
            <b/>
            <sz val="8"/>
            <color indexed="81"/>
            <rFont val="Tahoma"/>
            <family val="2"/>
          </rPr>
          <t>116295:</t>
        </r>
        <r>
          <rPr>
            <sz val="8"/>
            <color indexed="81"/>
            <rFont val="Tahoma"/>
            <family val="2"/>
          </rPr>
          <t xml:space="preserve">
Suitable to Procure 
No Fair Market Value
Non Mandatory
Call Vendor for Price</t>
        </r>
      </text>
    </comment>
    <comment ref="B1569" authorId="0">
      <text>
        <r>
          <rPr>
            <b/>
            <sz val="8"/>
            <color indexed="81"/>
            <rFont val="Tahoma"/>
            <family val="2"/>
          </rPr>
          <t>116295:</t>
        </r>
        <r>
          <rPr>
            <sz val="8"/>
            <color indexed="81"/>
            <rFont val="Tahoma"/>
            <family val="2"/>
          </rPr>
          <t xml:space="preserve">
Life Circles, Inc.
(405)247-2055</t>
        </r>
      </text>
    </comment>
    <comment ref="E1569" authorId="0">
      <text>
        <r>
          <rPr>
            <b/>
            <sz val="8"/>
            <color indexed="81"/>
            <rFont val="Tahoma"/>
            <family val="2"/>
          </rPr>
          <t>116295:</t>
        </r>
        <r>
          <rPr>
            <sz val="8"/>
            <color indexed="81"/>
            <rFont val="Tahoma"/>
            <family val="2"/>
          </rPr>
          <t xml:space="preserve">
Suitable to Procure 
No Fair Market Value
Non Mandatory
Call Vendor for Price</t>
        </r>
      </text>
    </comment>
    <comment ref="B1570" authorId="0">
      <text>
        <r>
          <rPr>
            <b/>
            <sz val="8"/>
            <color indexed="81"/>
            <rFont val="Tahoma"/>
            <family val="2"/>
          </rPr>
          <t>116295:</t>
        </r>
        <r>
          <rPr>
            <sz val="8"/>
            <color indexed="81"/>
            <rFont val="Tahoma"/>
            <family val="2"/>
          </rPr>
          <t xml:space="preserve">
McCalls Chapel School
(580)272-6655</t>
        </r>
      </text>
    </comment>
    <comment ref="B1571" authorId="0">
      <text>
        <r>
          <rPr>
            <b/>
            <sz val="8"/>
            <color indexed="81"/>
            <rFont val="Tahoma"/>
            <family val="2"/>
          </rPr>
          <t>116295:</t>
        </r>
        <r>
          <rPr>
            <sz val="8"/>
            <color indexed="81"/>
            <rFont val="Tahoma"/>
            <family val="2"/>
          </rPr>
          <t xml:space="preserve">
McCalls Chapel School
(580)272-6655</t>
        </r>
      </text>
    </comment>
    <comment ref="B1572" authorId="0">
      <text>
        <r>
          <rPr>
            <b/>
            <sz val="8"/>
            <color indexed="81"/>
            <rFont val="Tahoma"/>
            <family val="2"/>
          </rPr>
          <t>116295:</t>
        </r>
        <r>
          <rPr>
            <sz val="8"/>
            <color indexed="81"/>
            <rFont val="Tahoma"/>
            <family val="2"/>
          </rPr>
          <t xml:space="preserve">
McCalls Chapel School
(580)272-6655</t>
        </r>
      </text>
    </comment>
    <comment ref="B1573" authorId="0">
      <text>
        <r>
          <rPr>
            <b/>
            <sz val="8"/>
            <color indexed="81"/>
            <rFont val="Tahoma"/>
            <family val="2"/>
          </rPr>
          <t>116295:</t>
        </r>
        <r>
          <rPr>
            <sz val="8"/>
            <color indexed="81"/>
            <rFont val="Tahoma"/>
            <family val="2"/>
          </rPr>
          <t xml:space="preserve">
McCalls Chapel School
(580)272-6655</t>
        </r>
      </text>
    </comment>
    <comment ref="B1574" authorId="0">
      <text>
        <r>
          <rPr>
            <b/>
            <sz val="8"/>
            <color indexed="81"/>
            <rFont val="Tahoma"/>
            <family val="2"/>
          </rPr>
          <t>116295:</t>
        </r>
        <r>
          <rPr>
            <sz val="8"/>
            <color indexed="81"/>
            <rFont val="Tahoma"/>
            <family val="2"/>
          </rPr>
          <t xml:space="preserve">
McCalls Chapel School
(580)272-6655</t>
        </r>
      </text>
    </comment>
    <comment ref="B1575" authorId="0">
      <text>
        <r>
          <rPr>
            <b/>
            <sz val="8"/>
            <color indexed="81"/>
            <rFont val="Tahoma"/>
            <family val="2"/>
          </rPr>
          <t>116295:</t>
        </r>
        <r>
          <rPr>
            <sz val="8"/>
            <color indexed="81"/>
            <rFont val="Tahoma"/>
            <family val="2"/>
          </rPr>
          <t xml:space="preserve">
McCalls Chapel School
(580)272-6655</t>
        </r>
      </text>
    </comment>
    <comment ref="B1576" authorId="0">
      <text>
        <r>
          <rPr>
            <b/>
            <sz val="8"/>
            <color indexed="81"/>
            <rFont val="Tahoma"/>
            <family val="2"/>
          </rPr>
          <t>116295:</t>
        </r>
        <r>
          <rPr>
            <sz val="8"/>
            <color indexed="81"/>
            <rFont val="Tahoma"/>
            <family val="2"/>
          </rPr>
          <t xml:space="preserve">
McCalls Chapel School
(580)272-6655</t>
        </r>
      </text>
    </comment>
    <comment ref="B1577" authorId="0">
      <text>
        <r>
          <rPr>
            <b/>
            <sz val="8"/>
            <color indexed="81"/>
            <rFont val="Tahoma"/>
            <family val="2"/>
          </rPr>
          <t>116295:</t>
        </r>
        <r>
          <rPr>
            <sz val="8"/>
            <color indexed="81"/>
            <rFont val="Tahoma"/>
            <family val="2"/>
          </rPr>
          <t xml:space="preserve">
McCalls Chapel School
(580)272-6655</t>
        </r>
      </text>
    </comment>
    <comment ref="B1578" authorId="0">
      <text>
        <r>
          <rPr>
            <b/>
            <sz val="8"/>
            <color indexed="81"/>
            <rFont val="Tahoma"/>
            <family val="2"/>
          </rPr>
          <t>116295:</t>
        </r>
        <r>
          <rPr>
            <sz val="8"/>
            <color indexed="81"/>
            <rFont val="Tahoma"/>
            <family val="2"/>
          </rPr>
          <t xml:space="preserve">
McCalls Chapel School
(580)272-6655</t>
        </r>
      </text>
    </comment>
    <comment ref="B1579" authorId="0">
      <text>
        <r>
          <rPr>
            <b/>
            <sz val="8"/>
            <color indexed="81"/>
            <rFont val="Tahoma"/>
            <family val="2"/>
          </rPr>
          <t>116295:</t>
        </r>
        <r>
          <rPr>
            <sz val="8"/>
            <color indexed="81"/>
            <rFont val="Tahoma"/>
            <family val="2"/>
          </rPr>
          <t xml:space="preserve">
McCalls Chapel School
(580)272-6655</t>
        </r>
      </text>
    </comment>
    <comment ref="B1580" authorId="0">
      <text>
        <r>
          <rPr>
            <b/>
            <sz val="8"/>
            <color indexed="81"/>
            <rFont val="Tahoma"/>
            <family val="2"/>
          </rPr>
          <t>116295:</t>
        </r>
        <r>
          <rPr>
            <sz val="8"/>
            <color indexed="81"/>
            <rFont val="Tahoma"/>
            <family val="2"/>
          </rPr>
          <t xml:space="preserve">
McCalls Chapel School
(580)272-6655</t>
        </r>
      </text>
    </comment>
    <comment ref="B1581" authorId="0">
      <text>
        <r>
          <rPr>
            <b/>
            <sz val="8"/>
            <color indexed="81"/>
            <rFont val="Tahoma"/>
            <family val="2"/>
          </rPr>
          <t>116295:</t>
        </r>
        <r>
          <rPr>
            <sz val="8"/>
            <color indexed="81"/>
            <rFont val="Tahoma"/>
            <family val="2"/>
          </rPr>
          <t xml:space="preserve">
McCalls Chapel School
(580)272-6655</t>
        </r>
      </text>
    </comment>
    <comment ref="B1582" authorId="0">
      <text>
        <r>
          <rPr>
            <b/>
            <sz val="8"/>
            <color indexed="81"/>
            <rFont val="Tahoma"/>
            <family val="2"/>
          </rPr>
          <t>116295:</t>
        </r>
        <r>
          <rPr>
            <sz val="8"/>
            <color indexed="81"/>
            <rFont val="Tahoma"/>
            <family val="2"/>
          </rPr>
          <t xml:space="preserve">
McCalls Chapel School
(580)272-6655</t>
        </r>
      </text>
    </comment>
    <comment ref="B1583" authorId="0">
      <text>
        <r>
          <rPr>
            <b/>
            <sz val="8"/>
            <color indexed="81"/>
            <rFont val="Tahoma"/>
            <family val="2"/>
          </rPr>
          <t>116295:</t>
        </r>
        <r>
          <rPr>
            <sz val="8"/>
            <color indexed="81"/>
            <rFont val="Tahoma"/>
            <family val="2"/>
          </rPr>
          <t xml:space="preserve">
McCalls Chapel School
(580)272-6655</t>
        </r>
      </text>
    </comment>
    <comment ref="B1584" authorId="0">
      <text>
        <r>
          <rPr>
            <b/>
            <sz val="8"/>
            <color indexed="81"/>
            <rFont val="Tahoma"/>
            <family val="2"/>
          </rPr>
          <t>116295:</t>
        </r>
        <r>
          <rPr>
            <sz val="8"/>
            <color indexed="81"/>
            <rFont val="Tahoma"/>
            <family val="2"/>
          </rPr>
          <t xml:space="preserve">
McCalls Chapel School
(580)272-6655</t>
        </r>
      </text>
    </comment>
    <comment ref="B1585" authorId="0">
      <text>
        <r>
          <rPr>
            <b/>
            <sz val="8"/>
            <color indexed="81"/>
            <rFont val="Tahoma"/>
            <family val="2"/>
          </rPr>
          <t>116295:</t>
        </r>
        <r>
          <rPr>
            <sz val="8"/>
            <color indexed="81"/>
            <rFont val="Tahoma"/>
            <family val="2"/>
          </rPr>
          <t xml:space="preserve">
McCalls Chapel School
(580)272-6655</t>
        </r>
      </text>
    </comment>
    <comment ref="E1585" authorId="0">
      <text>
        <r>
          <rPr>
            <b/>
            <sz val="8"/>
            <color indexed="81"/>
            <rFont val="Tahoma"/>
            <family val="2"/>
          </rPr>
          <t>116295:</t>
        </r>
        <r>
          <rPr>
            <sz val="8"/>
            <color indexed="81"/>
            <rFont val="Tahoma"/>
            <family val="2"/>
          </rPr>
          <t xml:space="preserve">
Suitable to Procure 
No Fair Market Value
Non Mandatory
Call Vendor for Price</t>
        </r>
      </text>
    </comment>
    <comment ref="B1586" authorId="0">
      <text>
        <r>
          <rPr>
            <b/>
            <sz val="8"/>
            <color indexed="81"/>
            <rFont val="Tahoma"/>
            <family val="2"/>
          </rPr>
          <t>116295:</t>
        </r>
        <r>
          <rPr>
            <sz val="8"/>
            <color indexed="81"/>
            <rFont val="Tahoma"/>
            <family val="2"/>
          </rPr>
          <t xml:space="preserve">
McCalls Chapel School
(580)272-6655</t>
        </r>
      </text>
    </comment>
    <comment ref="E1586" authorId="0">
      <text>
        <r>
          <rPr>
            <b/>
            <sz val="8"/>
            <color indexed="81"/>
            <rFont val="Tahoma"/>
            <family val="2"/>
          </rPr>
          <t>116295:</t>
        </r>
        <r>
          <rPr>
            <sz val="8"/>
            <color indexed="81"/>
            <rFont val="Tahoma"/>
            <family val="2"/>
          </rPr>
          <t xml:space="preserve">
Suitable to Procure 
No Fair Market Value
Non Mandatory
Call Vendor for Price</t>
        </r>
      </text>
    </comment>
    <comment ref="B1587" authorId="0">
      <text>
        <r>
          <rPr>
            <b/>
            <sz val="8"/>
            <color indexed="81"/>
            <rFont val="Tahoma"/>
            <family val="2"/>
          </rPr>
          <t>116295:</t>
        </r>
        <r>
          <rPr>
            <sz val="8"/>
            <color indexed="81"/>
            <rFont val="Tahoma"/>
            <family val="2"/>
          </rPr>
          <t xml:space="preserve">
McCalls Chapel School
(580)272-6655</t>
        </r>
      </text>
    </comment>
    <comment ref="E1587" authorId="0">
      <text>
        <r>
          <rPr>
            <b/>
            <sz val="8"/>
            <color indexed="81"/>
            <rFont val="Tahoma"/>
            <family val="2"/>
          </rPr>
          <t>116295:</t>
        </r>
        <r>
          <rPr>
            <sz val="8"/>
            <color indexed="81"/>
            <rFont val="Tahoma"/>
            <family val="2"/>
          </rPr>
          <t xml:space="preserve">
Suitable to Procure 
No Fair Market Value
Non Mandatory
Call Vendor for Price</t>
        </r>
      </text>
    </comment>
    <comment ref="B1588" authorId="0">
      <text>
        <r>
          <rPr>
            <b/>
            <sz val="8"/>
            <color indexed="81"/>
            <rFont val="Tahoma"/>
            <family val="2"/>
          </rPr>
          <t>116295:</t>
        </r>
        <r>
          <rPr>
            <sz val="8"/>
            <color indexed="81"/>
            <rFont val="Tahoma"/>
            <family val="2"/>
          </rPr>
          <t xml:space="preserve">
McCalls Chapel School
(580)272-6655</t>
        </r>
      </text>
    </comment>
    <comment ref="E1588" authorId="0">
      <text>
        <r>
          <rPr>
            <b/>
            <sz val="8"/>
            <color indexed="81"/>
            <rFont val="Tahoma"/>
            <family val="2"/>
          </rPr>
          <t>116295:</t>
        </r>
        <r>
          <rPr>
            <sz val="8"/>
            <color indexed="81"/>
            <rFont val="Tahoma"/>
            <family val="2"/>
          </rPr>
          <t xml:space="preserve">
Suitable to Procure 
No Fair Market Value
Non Mandatory
Call Vendor for Price</t>
        </r>
      </text>
    </comment>
    <comment ref="B1589" authorId="0">
      <text>
        <r>
          <rPr>
            <b/>
            <sz val="8"/>
            <color indexed="81"/>
            <rFont val="Tahoma"/>
            <family val="2"/>
          </rPr>
          <t>116295:</t>
        </r>
        <r>
          <rPr>
            <sz val="8"/>
            <color indexed="81"/>
            <rFont val="Tahoma"/>
            <family val="2"/>
          </rPr>
          <t xml:space="preserve">
McCalls Chapel School
(580)272-6655</t>
        </r>
      </text>
    </comment>
    <comment ref="E1589" authorId="0">
      <text>
        <r>
          <rPr>
            <b/>
            <sz val="8"/>
            <color indexed="81"/>
            <rFont val="Tahoma"/>
            <family val="2"/>
          </rPr>
          <t>116295:</t>
        </r>
        <r>
          <rPr>
            <sz val="8"/>
            <color indexed="81"/>
            <rFont val="Tahoma"/>
            <family val="2"/>
          </rPr>
          <t xml:space="preserve">
Suitable to Procure 
No Fair Market Value
Non Mandatory
Call Vendor for Price</t>
        </r>
      </text>
    </comment>
    <comment ref="B1590" authorId="0">
      <text>
        <r>
          <rPr>
            <b/>
            <sz val="8"/>
            <color indexed="81"/>
            <rFont val="Tahoma"/>
            <family val="2"/>
          </rPr>
          <t>116295:</t>
        </r>
        <r>
          <rPr>
            <sz val="8"/>
            <color indexed="81"/>
            <rFont val="Tahoma"/>
            <family val="2"/>
          </rPr>
          <t xml:space="preserve">
McCalls Chapel School
(580)272-6655</t>
        </r>
      </text>
    </comment>
    <comment ref="E1590" authorId="0">
      <text>
        <r>
          <rPr>
            <b/>
            <sz val="8"/>
            <color indexed="81"/>
            <rFont val="Tahoma"/>
            <family val="2"/>
          </rPr>
          <t>116295:</t>
        </r>
        <r>
          <rPr>
            <sz val="8"/>
            <color indexed="81"/>
            <rFont val="Tahoma"/>
            <family val="2"/>
          </rPr>
          <t xml:space="preserve">
Suitable to Procure 
No Fair Market Value
Non Mandatory
Call Vendor for Price</t>
        </r>
      </text>
    </comment>
    <comment ref="B1591" authorId="0">
      <text>
        <r>
          <rPr>
            <b/>
            <sz val="8"/>
            <color indexed="81"/>
            <rFont val="Tahoma"/>
            <family val="2"/>
          </rPr>
          <t>116295:</t>
        </r>
        <r>
          <rPr>
            <sz val="8"/>
            <color indexed="81"/>
            <rFont val="Tahoma"/>
            <family val="2"/>
          </rPr>
          <t xml:space="preserve">
McCalls Chapel School
(580)272-6655</t>
        </r>
      </text>
    </comment>
    <comment ref="E1591" authorId="0">
      <text>
        <r>
          <rPr>
            <b/>
            <sz val="8"/>
            <color indexed="81"/>
            <rFont val="Tahoma"/>
            <family val="2"/>
          </rPr>
          <t>116295:</t>
        </r>
        <r>
          <rPr>
            <sz val="8"/>
            <color indexed="81"/>
            <rFont val="Tahoma"/>
            <family val="2"/>
          </rPr>
          <t xml:space="preserve">
Suitable to Procure 
No Fair Market Value
Non Mandatory
Call Vendor for Price</t>
        </r>
      </text>
    </comment>
    <comment ref="B1592" authorId="0">
      <text>
        <r>
          <rPr>
            <b/>
            <sz val="8"/>
            <color indexed="81"/>
            <rFont val="Tahoma"/>
            <family val="2"/>
          </rPr>
          <t>116295:</t>
        </r>
        <r>
          <rPr>
            <sz val="8"/>
            <color indexed="81"/>
            <rFont val="Tahoma"/>
            <family val="2"/>
          </rPr>
          <t xml:space="preserve">
McCalls Chapel School
(580)272-6655</t>
        </r>
      </text>
    </comment>
    <comment ref="E1592" authorId="0">
      <text>
        <r>
          <rPr>
            <b/>
            <sz val="8"/>
            <color indexed="81"/>
            <rFont val="Tahoma"/>
            <family val="2"/>
          </rPr>
          <t>116295:</t>
        </r>
        <r>
          <rPr>
            <sz val="8"/>
            <color indexed="81"/>
            <rFont val="Tahoma"/>
            <family val="2"/>
          </rPr>
          <t xml:space="preserve">
Suitable to Procure 
No Fair Market Value
Non Mandatory
Call Vendor for Price</t>
        </r>
      </text>
    </comment>
    <comment ref="B1593" authorId="0">
      <text>
        <r>
          <rPr>
            <b/>
            <sz val="8"/>
            <color indexed="81"/>
            <rFont val="Tahoma"/>
            <family val="2"/>
          </rPr>
          <t>116295:</t>
        </r>
        <r>
          <rPr>
            <sz val="8"/>
            <color indexed="81"/>
            <rFont val="Tahoma"/>
            <family val="2"/>
          </rPr>
          <t xml:space="preserve">
Meadows
(405)348-4470</t>
        </r>
      </text>
    </comment>
    <comment ref="B1594" authorId="0">
      <text>
        <r>
          <rPr>
            <b/>
            <sz val="8"/>
            <color indexed="81"/>
            <rFont val="Tahoma"/>
            <family val="2"/>
          </rPr>
          <t>116295:</t>
        </r>
        <r>
          <rPr>
            <sz val="8"/>
            <color indexed="81"/>
            <rFont val="Tahoma"/>
            <family val="2"/>
          </rPr>
          <t xml:space="preserve">
Meadows
(405)348-4470</t>
        </r>
      </text>
    </comment>
    <comment ref="E1594" authorId="0">
      <text>
        <r>
          <rPr>
            <b/>
            <sz val="8"/>
            <color indexed="81"/>
            <rFont val="Tahoma"/>
            <family val="2"/>
          </rPr>
          <t>116295:</t>
        </r>
        <r>
          <rPr>
            <sz val="8"/>
            <color indexed="81"/>
            <rFont val="Tahoma"/>
            <family val="2"/>
          </rPr>
          <t xml:space="preserve">
Suitable to Procure 
No Fair Market Value
Non Mandatory
Call Vendor for Price</t>
        </r>
      </text>
    </comment>
    <comment ref="B1595" authorId="0">
      <text>
        <r>
          <rPr>
            <b/>
            <sz val="8"/>
            <color indexed="81"/>
            <rFont val="Tahoma"/>
            <family val="2"/>
          </rPr>
          <t>116295:</t>
        </r>
        <r>
          <rPr>
            <sz val="8"/>
            <color indexed="81"/>
            <rFont val="Tahoma"/>
            <family val="2"/>
          </rPr>
          <t xml:space="preserve">
Meadows
(405)348-4470</t>
        </r>
      </text>
    </comment>
    <comment ref="E1595" authorId="0">
      <text>
        <r>
          <rPr>
            <b/>
            <sz val="8"/>
            <color indexed="81"/>
            <rFont val="Tahoma"/>
            <family val="2"/>
          </rPr>
          <t>116295:</t>
        </r>
        <r>
          <rPr>
            <sz val="8"/>
            <color indexed="81"/>
            <rFont val="Tahoma"/>
            <family val="2"/>
          </rPr>
          <t xml:space="preserve">
Suitable to Procure 
No Fair Market Value
Non Mandatory
Call Vendor for Price</t>
        </r>
      </text>
    </comment>
    <comment ref="B1596" authorId="0">
      <text>
        <r>
          <rPr>
            <b/>
            <sz val="8"/>
            <color indexed="81"/>
            <rFont val="Tahoma"/>
            <family val="2"/>
          </rPr>
          <t>116295:</t>
        </r>
        <r>
          <rPr>
            <sz val="8"/>
            <color indexed="81"/>
            <rFont val="Tahoma"/>
            <family val="2"/>
          </rPr>
          <t xml:space="preserve">
Meadows
(405)348-4470</t>
        </r>
      </text>
    </comment>
    <comment ref="E1596" authorId="0">
      <text>
        <r>
          <rPr>
            <b/>
            <sz val="8"/>
            <color indexed="81"/>
            <rFont val="Tahoma"/>
            <family val="2"/>
          </rPr>
          <t>116295:</t>
        </r>
        <r>
          <rPr>
            <sz val="8"/>
            <color indexed="81"/>
            <rFont val="Tahoma"/>
            <family val="2"/>
          </rPr>
          <t xml:space="preserve">
Suitable to Procure 
No Fair Market Value
Non Mandatory
Call Vendor for Price</t>
        </r>
      </text>
    </comment>
    <comment ref="B1597" authorId="0">
      <text>
        <r>
          <rPr>
            <b/>
            <sz val="8"/>
            <color indexed="81"/>
            <rFont val="Tahoma"/>
            <family val="2"/>
          </rPr>
          <t>116295:</t>
        </r>
        <r>
          <rPr>
            <sz val="8"/>
            <color indexed="81"/>
            <rFont val="Tahoma"/>
            <family val="2"/>
          </rPr>
          <t xml:space="preserve">
Meadows
(405)348-4470</t>
        </r>
      </text>
    </comment>
    <comment ref="E1597" authorId="0">
      <text>
        <r>
          <rPr>
            <b/>
            <sz val="8"/>
            <color indexed="81"/>
            <rFont val="Tahoma"/>
            <family val="2"/>
          </rPr>
          <t>116295:</t>
        </r>
        <r>
          <rPr>
            <sz val="8"/>
            <color indexed="81"/>
            <rFont val="Tahoma"/>
            <family val="2"/>
          </rPr>
          <t xml:space="preserve">
Suitable to Procure 
No Fair Market Value
Non Mandatory
Call Vendor for Price</t>
        </r>
      </text>
    </comment>
    <comment ref="B1598" authorId="0">
      <text>
        <r>
          <rPr>
            <b/>
            <sz val="8"/>
            <color indexed="81"/>
            <rFont val="Tahoma"/>
            <family val="2"/>
          </rPr>
          <t>116295:</t>
        </r>
        <r>
          <rPr>
            <sz val="8"/>
            <color indexed="81"/>
            <rFont val="Tahoma"/>
            <family val="2"/>
          </rPr>
          <t xml:space="preserve">
Mid Del Group Homes
(405)732-8568</t>
        </r>
      </text>
    </comment>
    <comment ref="E1598" authorId="0">
      <text>
        <r>
          <rPr>
            <b/>
            <sz val="8"/>
            <color indexed="81"/>
            <rFont val="Tahoma"/>
            <family val="2"/>
          </rPr>
          <t>116295:</t>
        </r>
        <r>
          <rPr>
            <sz val="8"/>
            <color indexed="81"/>
            <rFont val="Tahoma"/>
            <family val="2"/>
          </rPr>
          <t xml:space="preserve">
Suitable to Procure 
No Fair Market Value
Non Mandatory
Call Vendor for Price</t>
        </r>
      </text>
    </comment>
    <comment ref="B1599" authorId="0">
      <text>
        <r>
          <rPr>
            <b/>
            <sz val="8"/>
            <color indexed="81"/>
            <rFont val="Tahoma"/>
            <family val="2"/>
          </rPr>
          <t>116295:</t>
        </r>
        <r>
          <rPr>
            <sz val="8"/>
            <color indexed="81"/>
            <rFont val="Tahoma"/>
            <family val="2"/>
          </rPr>
          <t xml:space="preserve">
Mid Del Group Homes
(405)732-8568</t>
        </r>
      </text>
    </comment>
    <comment ref="E1599" authorId="0">
      <text>
        <r>
          <rPr>
            <b/>
            <sz val="8"/>
            <color indexed="81"/>
            <rFont val="Tahoma"/>
            <family val="2"/>
          </rPr>
          <t>116295:</t>
        </r>
        <r>
          <rPr>
            <sz val="8"/>
            <color indexed="81"/>
            <rFont val="Tahoma"/>
            <family val="2"/>
          </rPr>
          <t xml:space="preserve">
Suitable to Procure 
No Fair Market Value
Non Mandatory
Call Vendor for Price</t>
        </r>
      </text>
    </comment>
    <comment ref="B1600" authorId="0">
      <text>
        <r>
          <rPr>
            <b/>
            <sz val="8"/>
            <color indexed="81"/>
            <rFont val="Tahoma"/>
            <family val="2"/>
          </rPr>
          <t>116295:</t>
        </r>
        <r>
          <rPr>
            <sz val="8"/>
            <color indexed="81"/>
            <rFont val="Tahoma"/>
            <family val="2"/>
          </rPr>
          <t xml:space="preserve">
Mid Del Group Homes
(405)732-8568</t>
        </r>
      </text>
    </comment>
    <comment ref="E1600" authorId="0">
      <text>
        <r>
          <rPr>
            <b/>
            <sz val="8"/>
            <color indexed="81"/>
            <rFont val="Tahoma"/>
            <family val="2"/>
          </rPr>
          <t>116295:</t>
        </r>
        <r>
          <rPr>
            <sz val="8"/>
            <color indexed="81"/>
            <rFont val="Tahoma"/>
            <family val="2"/>
          </rPr>
          <t xml:space="preserve">
Suitable to Procure 
No Fair Market Value
Non Mandatory
Call Vendor for Price</t>
        </r>
      </text>
    </comment>
    <comment ref="B1601" authorId="0">
      <text>
        <r>
          <rPr>
            <b/>
            <sz val="8"/>
            <color indexed="81"/>
            <rFont val="Tahoma"/>
            <family val="2"/>
          </rPr>
          <t>116295:</t>
        </r>
        <r>
          <rPr>
            <sz val="8"/>
            <color indexed="81"/>
            <rFont val="Tahoma"/>
            <family val="2"/>
          </rPr>
          <t xml:space="preserve">
Mid Del Group Homes
(405)732-8568</t>
        </r>
      </text>
    </comment>
    <comment ref="E1601" authorId="0">
      <text>
        <r>
          <rPr>
            <b/>
            <sz val="8"/>
            <color indexed="81"/>
            <rFont val="Tahoma"/>
            <family val="2"/>
          </rPr>
          <t>116295:</t>
        </r>
        <r>
          <rPr>
            <sz val="8"/>
            <color indexed="81"/>
            <rFont val="Tahoma"/>
            <family val="2"/>
          </rPr>
          <t xml:space="preserve">
Suitable to Procure 
No Fair Market Value
Non Mandatory
Call Vendor for Price</t>
        </r>
      </text>
    </comment>
    <comment ref="B1602" authorId="0">
      <text>
        <r>
          <rPr>
            <b/>
            <sz val="8"/>
            <color indexed="81"/>
            <rFont val="Tahoma"/>
            <family val="2"/>
          </rPr>
          <t>116295:</t>
        </r>
        <r>
          <rPr>
            <sz val="8"/>
            <color indexed="81"/>
            <rFont val="Tahoma"/>
            <family val="2"/>
          </rPr>
          <t xml:space="preserve">
Mid Del Group Homes
(405)732-8568</t>
        </r>
      </text>
    </comment>
    <comment ref="E1602" authorId="0">
      <text>
        <r>
          <rPr>
            <b/>
            <sz val="8"/>
            <color indexed="81"/>
            <rFont val="Tahoma"/>
            <family val="2"/>
          </rPr>
          <t>116295:</t>
        </r>
        <r>
          <rPr>
            <sz val="8"/>
            <color indexed="81"/>
            <rFont val="Tahoma"/>
            <family val="2"/>
          </rPr>
          <t xml:space="preserve">
Suitable to Procure 
No Fair Market Value
Non Mandatory
Call Vendor for Price</t>
        </r>
      </text>
    </comment>
    <comment ref="B1603" authorId="0">
      <text>
        <r>
          <rPr>
            <b/>
            <sz val="8"/>
            <color indexed="81"/>
            <rFont val="Tahoma"/>
            <family val="2"/>
          </rPr>
          <t>116295:</t>
        </r>
        <r>
          <rPr>
            <sz val="8"/>
            <color indexed="81"/>
            <rFont val="Tahoma"/>
            <family val="2"/>
          </rPr>
          <t xml:space="preserve">
Mpower
(405)377-0834</t>
        </r>
      </text>
    </comment>
    <comment ref="B1604" authorId="0">
      <text>
        <r>
          <rPr>
            <b/>
            <sz val="8"/>
            <color indexed="81"/>
            <rFont val="Tahoma"/>
            <family val="2"/>
          </rPr>
          <t>116295:</t>
        </r>
        <r>
          <rPr>
            <sz val="8"/>
            <color indexed="81"/>
            <rFont val="Tahoma"/>
            <family val="2"/>
          </rPr>
          <t xml:space="preserve">
Mpower
(405)377-0834</t>
        </r>
      </text>
    </comment>
    <comment ref="B1605" authorId="0">
      <text>
        <r>
          <rPr>
            <b/>
            <sz val="8"/>
            <color indexed="81"/>
            <rFont val="Tahoma"/>
            <family val="2"/>
          </rPr>
          <t>116295:</t>
        </r>
        <r>
          <rPr>
            <sz val="8"/>
            <color indexed="81"/>
            <rFont val="Tahoma"/>
            <family val="2"/>
          </rPr>
          <t xml:space="preserve">
Mpower
(405)377-0834</t>
        </r>
      </text>
    </comment>
    <comment ref="B1606" authorId="0">
      <text>
        <r>
          <rPr>
            <b/>
            <sz val="8"/>
            <color indexed="81"/>
            <rFont val="Tahoma"/>
            <family val="2"/>
          </rPr>
          <t>116295:</t>
        </r>
        <r>
          <rPr>
            <sz val="8"/>
            <color indexed="81"/>
            <rFont val="Tahoma"/>
            <family val="2"/>
          </rPr>
          <t xml:space="preserve">
Mpower
(405)377-0834</t>
        </r>
      </text>
    </comment>
    <comment ref="B1607" authorId="0">
      <text>
        <r>
          <rPr>
            <b/>
            <sz val="8"/>
            <color indexed="81"/>
            <rFont val="Tahoma"/>
            <family val="2"/>
          </rPr>
          <t>116295:</t>
        </r>
        <r>
          <rPr>
            <sz val="8"/>
            <color indexed="81"/>
            <rFont val="Tahoma"/>
            <family val="2"/>
          </rPr>
          <t xml:space="preserve">
Mpower
(405)377-0834</t>
        </r>
      </text>
    </comment>
    <comment ref="B1608" authorId="0">
      <text>
        <r>
          <rPr>
            <b/>
            <sz val="8"/>
            <color indexed="81"/>
            <rFont val="Tahoma"/>
            <family val="2"/>
          </rPr>
          <t>116295:</t>
        </r>
        <r>
          <rPr>
            <sz val="8"/>
            <color indexed="81"/>
            <rFont val="Tahoma"/>
            <family val="2"/>
          </rPr>
          <t xml:space="preserve">
Mpower
(405)377-0834</t>
        </r>
      </text>
    </comment>
    <comment ref="B1609" authorId="0">
      <text>
        <r>
          <rPr>
            <b/>
            <sz val="8"/>
            <color indexed="81"/>
            <rFont val="Tahoma"/>
            <family val="2"/>
          </rPr>
          <t>116295:</t>
        </r>
        <r>
          <rPr>
            <sz val="8"/>
            <color indexed="81"/>
            <rFont val="Tahoma"/>
            <family val="2"/>
          </rPr>
          <t xml:space="preserve">
Mpower
(405)377-0834</t>
        </r>
      </text>
    </comment>
    <comment ref="B1610" authorId="0">
      <text>
        <r>
          <rPr>
            <b/>
            <sz val="8"/>
            <color indexed="81"/>
            <rFont val="Tahoma"/>
            <family val="2"/>
          </rPr>
          <t>116295:</t>
        </r>
        <r>
          <rPr>
            <sz val="8"/>
            <color indexed="81"/>
            <rFont val="Tahoma"/>
            <family val="2"/>
          </rPr>
          <t xml:space="preserve">
Mpower
(405)377-0834</t>
        </r>
      </text>
    </comment>
    <comment ref="B1611" authorId="0">
      <text>
        <r>
          <rPr>
            <b/>
            <sz val="8"/>
            <color indexed="81"/>
            <rFont val="Tahoma"/>
            <family val="2"/>
          </rPr>
          <t>116295:</t>
        </r>
        <r>
          <rPr>
            <sz val="8"/>
            <color indexed="81"/>
            <rFont val="Tahoma"/>
            <family val="2"/>
          </rPr>
          <t xml:space="preserve">
Mpower
(405)377-0834</t>
        </r>
      </text>
    </comment>
    <comment ref="B1612" authorId="0">
      <text>
        <r>
          <rPr>
            <b/>
            <sz val="8"/>
            <color indexed="81"/>
            <rFont val="Tahoma"/>
            <family val="2"/>
          </rPr>
          <t>116295:</t>
        </r>
        <r>
          <rPr>
            <sz val="8"/>
            <color indexed="81"/>
            <rFont val="Tahoma"/>
            <family val="2"/>
          </rPr>
          <t xml:space="preserve">
Mpower
(405)377-0834</t>
        </r>
      </text>
    </comment>
    <comment ref="B1613" authorId="0">
      <text>
        <r>
          <rPr>
            <b/>
            <sz val="8"/>
            <color indexed="81"/>
            <rFont val="Tahoma"/>
            <family val="2"/>
          </rPr>
          <t>116295:</t>
        </r>
        <r>
          <rPr>
            <sz val="8"/>
            <color indexed="81"/>
            <rFont val="Tahoma"/>
            <family val="2"/>
          </rPr>
          <t xml:space="preserve">
Mpower
(405)377-0834</t>
        </r>
      </text>
    </comment>
    <comment ref="B1614" authorId="0">
      <text>
        <r>
          <rPr>
            <b/>
            <sz val="8"/>
            <color indexed="81"/>
            <rFont val="Tahoma"/>
            <family val="2"/>
          </rPr>
          <t>116295:</t>
        </r>
        <r>
          <rPr>
            <sz val="8"/>
            <color indexed="81"/>
            <rFont val="Tahoma"/>
            <family val="2"/>
          </rPr>
          <t xml:space="preserve">
Mpower
(405)377-0834</t>
        </r>
      </text>
    </comment>
    <comment ref="B1615" authorId="0">
      <text>
        <r>
          <rPr>
            <b/>
            <sz val="8"/>
            <color indexed="81"/>
            <rFont val="Tahoma"/>
            <family val="2"/>
          </rPr>
          <t>116295:</t>
        </r>
        <r>
          <rPr>
            <sz val="8"/>
            <color indexed="81"/>
            <rFont val="Tahoma"/>
            <family val="2"/>
          </rPr>
          <t xml:space="preserve">
Mpower
(405)377-0834</t>
        </r>
      </text>
    </comment>
    <comment ref="B1616" authorId="0">
      <text>
        <r>
          <rPr>
            <b/>
            <sz val="8"/>
            <color indexed="81"/>
            <rFont val="Tahoma"/>
            <family val="2"/>
          </rPr>
          <t>116295:</t>
        </r>
        <r>
          <rPr>
            <sz val="8"/>
            <color indexed="81"/>
            <rFont val="Tahoma"/>
            <family val="2"/>
          </rPr>
          <t xml:space="preserve">
Mpower
(405)377-0834</t>
        </r>
      </text>
    </comment>
    <comment ref="B1617" authorId="0">
      <text>
        <r>
          <rPr>
            <b/>
            <sz val="8"/>
            <color indexed="81"/>
            <rFont val="Tahoma"/>
            <family val="2"/>
          </rPr>
          <t>116295:</t>
        </r>
        <r>
          <rPr>
            <sz val="8"/>
            <color indexed="81"/>
            <rFont val="Tahoma"/>
            <family val="2"/>
          </rPr>
          <t xml:space="preserve">
Mpower
(405)377-0834</t>
        </r>
      </text>
    </comment>
    <comment ref="B1618" authorId="0">
      <text>
        <r>
          <rPr>
            <b/>
            <sz val="8"/>
            <color indexed="81"/>
            <rFont val="Tahoma"/>
            <family val="2"/>
          </rPr>
          <t>116295:</t>
        </r>
        <r>
          <rPr>
            <sz val="8"/>
            <color indexed="81"/>
            <rFont val="Tahoma"/>
            <family val="2"/>
          </rPr>
          <t xml:space="preserve">
Mpower
(405)377-0834</t>
        </r>
      </text>
    </comment>
    <comment ref="B1619" authorId="0">
      <text>
        <r>
          <rPr>
            <b/>
            <sz val="8"/>
            <color indexed="81"/>
            <rFont val="Tahoma"/>
            <family val="2"/>
          </rPr>
          <t>116295:</t>
        </r>
        <r>
          <rPr>
            <sz val="8"/>
            <color indexed="81"/>
            <rFont val="Tahoma"/>
            <family val="2"/>
          </rPr>
          <t xml:space="preserve">
Mpower
(405)377-0834</t>
        </r>
      </text>
    </comment>
    <comment ref="B1620" authorId="0">
      <text>
        <r>
          <rPr>
            <b/>
            <sz val="8"/>
            <color indexed="81"/>
            <rFont val="Tahoma"/>
            <family val="2"/>
          </rPr>
          <t>116295:</t>
        </r>
        <r>
          <rPr>
            <sz val="8"/>
            <color indexed="81"/>
            <rFont val="Tahoma"/>
            <family val="2"/>
          </rPr>
          <t xml:space="preserve">
Mpower
(405)377-0834</t>
        </r>
      </text>
    </comment>
    <comment ref="B1621" authorId="0">
      <text>
        <r>
          <rPr>
            <b/>
            <sz val="8"/>
            <color indexed="81"/>
            <rFont val="Tahoma"/>
            <family val="2"/>
          </rPr>
          <t>116295:</t>
        </r>
        <r>
          <rPr>
            <sz val="8"/>
            <color indexed="81"/>
            <rFont val="Tahoma"/>
            <family val="2"/>
          </rPr>
          <t xml:space="preserve">
Mpower
(405)377-0834</t>
        </r>
      </text>
    </comment>
    <comment ref="B1622" authorId="0">
      <text>
        <r>
          <rPr>
            <b/>
            <sz val="8"/>
            <color indexed="81"/>
            <rFont val="Tahoma"/>
            <family val="2"/>
          </rPr>
          <t>116295:</t>
        </r>
        <r>
          <rPr>
            <sz val="8"/>
            <color indexed="81"/>
            <rFont val="Tahoma"/>
            <family val="2"/>
          </rPr>
          <t xml:space="preserve">
Mpower
(405)377-0834</t>
        </r>
      </text>
    </comment>
    <comment ref="B1623" authorId="0">
      <text>
        <r>
          <rPr>
            <b/>
            <sz val="8"/>
            <color indexed="81"/>
            <rFont val="Tahoma"/>
            <family val="2"/>
          </rPr>
          <t>116295:</t>
        </r>
        <r>
          <rPr>
            <sz val="8"/>
            <color indexed="81"/>
            <rFont val="Tahoma"/>
            <family val="2"/>
          </rPr>
          <t xml:space="preserve">
Mpower
(405)377-0834</t>
        </r>
      </text>
    </comment>
    <comment ref="B1624" authorId="0">
      <text>
        <r>
          <rPr>
            <b/>
            <sz val="8"/>
            <color indexed="81"/>
            <rFont val="Tahoma"/>
            <family val="2"/>
          </rPr>
          <t>116295:</t>
        </r>
        <r>
          <rPr>
            <sz val="8"/>
            <color indexed="81"/>
            <rFont val="Tahoma"/>
            <family val="2"/>
          </rPr>
          <t xml:space="preserve">
Mpower
(405)377-0834</t>
        </r>
      </text>
    </comment>
    <comment ref="B1625" authorId="0">
      <text>
        <r>
          <rPr>
            <b/>
            <sz val="8"/>
            <color indexed="81"/>
            <rFont val="Tahoma"/>
            <family val="2"/>
          </rPr>
          <t>116295:</t>
        </r>
        <r>
          <rPr>
            <sz val="8"/>
            <color indexed="81"/>
            <rFont val="Tahoma"/>
            <family val="2"/>
          </rPr>
          <t xml:space="preserve">
Mpower
(405)377-0834</t>
        </r>
      </text>
    </comment>
    <comment ref="B1626" authorId="0">
      <text>
        <r>
          <rPr>
            <b/>
            <sz val="8"/>
            <color indexed="81"/>
            <rFont val="Tahoma"/>
            <family val="2"/>
          </rPr>
          <t>116295:</t>
        </r>
        <r>
          <rPr>
            <sz val="8"/>
            <color indexed="81"/>
            <rFont val="Tahoma"/>
            <family val="2"/>
          </rPr>
          <t xml:space="preserve">
Mpower
(405)377-0834</t>
        </r>
      </text>
    </comment>
    <comment ref="B1627" authorId="0">
      <text>
        <r>
          <rPr>
            <b/>
            <sz val="8"/>
            <color indexed="81"/>
            <rFont val="Tahoma"/>
            <family val="2"/>
          </rPr>
          <t>116295:</t>
        </r>
        <r>
          <rPr>
            <sz val="8"/>
            <color indexed="81"/>
            <rFont val="Tahoma"/>
            <family val="2"/>
          </rPr>
          <t xml:space="preserve">
Mpower
(405)377-0834</t>
        </r>
      </text>
    </comment>
    <comment ref="B1628" authorId="0">
      <text>
        <r>
          <rPr>
            <b/>
            <sz val="8"/>
            <color indexed="81"/>
            <rFont val="Tahoma"/>
            <family val="2"/>
          </rPr>
          <t>116295:</t>
        </r>
        <r>
          <rPr>
            <sz val="8"/>
            <color indexed="81"/>
            <rFont val="Tahoma"/>
            <family val="2"/>
          </rPr>
          <t xml:space="preserve">
Mpower
(405)377-0834</t>
        </r>
      </text>
    </comment>
    <comment ref="B1629" authorId="0">
      <text>
        <r>
          <rPr>
            <b/>
            <sz val="8"/>
            <color indexed="81"/>
            <rFont val="Tahoma"/>
            <family val="2"/>
          </rPr>
          <t>116295:</t>
        </r>
        <r>
          <rPr>
            <sz val="8"/>
            <color indexed="81"/>
            <rFont val="Tahoma"/>
            <family val="2"/>
          </rPr>
          <t xml:space="preserve">
Mpower
(405)377-0834</t>
        </r>
      </text>
    </comment>
    <comment ref="B1630" authorId="0">
      <text>
        <r>
          <rPr>
            <b/>
            <sz val="8"/>
            <color indexed="81"/>
            <rFont val="Tahoma"/>
            <family val="2"/>
          </rPr>
          <t>116295:</t>
        </r>
        <r>
          <rPr>
            <sz val="8"/>
            <color indexed="81"/>
            <rFont val="Tahoma"/>
            <family val="2"/>
          </rPr>
          <t xml:space="preserve">
Mpower
(405)377-0834</t>
        </r>
      </text>
    </comment>
    <comment ref="B1631" authorId="0">
      <text>
        <r>
          <rPr>
            <b/>
            <sz val="8"/>
            <color indexed="81"/>
            <rFont val="Tahoma"/>
            <family val="2"/>
          </rPr>
          <t>116295:</t>
        </r>
        <r>
          <rPr>
            <sz val="8"/>
            <color indexed="81"/>
            <rFont val="Tahoma"/>
            <family val="2"/>
          </rPr>
          <t xml:space="preserve">
Mpower
(405)377-0834</t>
        </r>
      </text>
    </comment>
    <comment ref="B1632" authorId="0">
      <text>
        <r>
          <rPr>
            <b/>
            <sz val="8"/>
            <color indexed="81"/>
            <rFont val="Tahoma"/>
            <family val="2"/>
          </rPr>
          <t>116295:</t>
        </r>
        <r>
          <rPr>
            <sz val="8"/>
            <color indexed="81"/>
            <rFont val="Tahoma"/>
            <family val="2"/>
          </rPr>
          <t xml:space="preserve">
Mpower
(405)377-0834</t>
        </r>
      </text>
    </comment>
    <comment ref="B1633" authorId="0">
      <text>
        <r>
          <rPr>
            <b/>
            <sz val="8"/>
            <color indexed="81"/>
            <rFont val="Tahoma"/>
            <family val="2"/>
          </rPr>
          <t>116295:</t>
        </r>
        <r>
          <rPr>
            <sz val="8"/>
            <color indexed="81"/>
            <rFont val="Tahoma"/>
            <family val="2"/>
          </rPr>
          <t xml:space="preserve">
Mpower
(405)377-0834</t>
        </r>
      </text>
    </comment>
    <comment ref="B1634" authorId="0">
      <text>
        <r>
          <rPr>
            <b/>
            <sz val="8"/>
            <color indexed="81"/>
            <rFont val="Tahoma"/>
            <family val="2"/>
          </rPr>
          <t>116295:</t>
        </r>
        <r>
          <rPr>
            <sz val="8"/>
            <color indexed="81"/>
            <rFont val="Tahoma"/>
            <family val="2"/>
          </rPr>
          <t xml:space="preserve">
Mpower
(405)377-0834</t>
        </r>
      </text>
    </comment>
    <comment ref="B1635" authorId="0">
      <text>
        <r>
          <rPr>
            <b/>
            <sz val="8"/>
            <color indexed="81"/>
            <rFont val="Tahoma"/>
            <family val="2"/>
          </rPr>
          <t>116295:</t>
        </r>
        <r>
          <rPr>
            <sz val="8"/>
            <color indexed="81"/>
            <rFont val="Tahoma"/>
            <family val="2"/>
          </rPr>
          <t xml:space="preserve">
Mpower
(405)377-0834</t>
        </r>
      </text>
    </comment>
    <comment ref="B1636" authorId="0">
      <text>
        <r>
          <rPr>
            <b/>
            <sz val="8"/>
            <color indexed="81"/>
            <rFont val="Tahoma"/>
            <family val="2"/>
          </rPr>
          <t>116295:</t>
        </r>
        <r>
          <rPr>
            <sz val="8"/>
            <color indexed="81"/>
            <rFont val="Tahoma"/>
            <family val="2"/>
          </rPr>
          <t xml:space="preserve">
Mpower
(405)377-0834</t>
        </r>
      </text>
    </comment>
    <comment ref="B1637" authorId="0">
      <text>
        <r>
          <rPr>
            <b/>
            <sz val="8"/>
            <color indexed="81"/>
            <rFont val="Tahoma"/>
            <family val="2"/>
          </rPr>
          <t>116295:</t>
        </r>
        <r>
          <rPr>
            <sz val="8"/>
            <color indexed="81"/>
            <rFont val="Tahoma"/>
            <family val="2"/>
          </rPr>
          <t xml:space="preserve">
Mpower
(405)377-0834</t>
        </r>
      </text>
    </comment>
    <comment ref="B1638" authorId="0">
      <text>
        <r>
          <rPr>
            <b/>
            <sz val="8"/>
            <color indexed="81"/>
            <rFont val="Tahoma"/>
            <family val="2"/>
          </rPr>
          <t>116295:</t>
        </r>
        <r>
          <rPr>
            <sz val="8"/>
            <color indexed="81"/>
            <rFont val="Tahoma"/>
            <family val="2"/>
          </rPr>
          <t xml:space="preserve">
Mpower
(405)377-0834</t>
        </r>
      </text>
    </comment>
    <comment ref="B1639" authorId="0">
      <text>
        <r>
          <rPr>
            <b/>
            <sz val="8"/>
            <color indexed="81"/>
            <rFont val="Tahoma"/>
            <family val="2"/>
          </rPr>
          <t>116295:</t>
        </r>
        <r>
          <rPr>
            <sz val="8"/>
            <color indexed="81"/>
            <rFont val="Tahoma"/>
            <family val="2"/>
          </rPr>
          <t xml:space="preserve">
Mpower
(405)377-0834</t>
        </r>
      </text>
    </comment>
    <comment ref="B1640" authorId="0">
      <text>
        <r>
          <rPr>
            <b/>
            <sz val="8"/>
            <color indexed="81"/>
            <rFont val="Tahoma"/>
            <family val="2"/>
          </rPr>
          <t>116295:</t>
        </r>
        <r>
          <rPr>
            <sz val="8"/>
            <color indexed="81"/>
            <rFont val="Tahoma"/>
            <family val="2"/>
          </rPr>
          <t xml:space="preserve">
Mpower
(405)377-0834</t>
        </r>
      </text>
    </comment>
    <comment ref="B1641" authorId="0">
      <text>
        <r>
          <rPr>
            <b/>
            <sz val="8"/>
            <color indexed="81"/>
            <rFont val="Tahoma"/>
            <family val="2"/>
          </rPr>
          <t>116295:</t>
        </r>
        <r>
          <rPr>
            <sz val="8"/>
            <color indexed="81"/>
            <rFont val="Tahoma"/>
            <family val="2"/>
          </rPr>
          <t xml:space="preserve">
Mpower
(405)377-0834</t>
        </r>
      </text>
    </comment>
    <comment ref="B1642" authorId="0">
      <text>
        <r>
          <rPr>
            <b/>
            <sz val="8"/>
            <color indexed="81"/>
            <rFont val="Tahoma"/>
            <family val="2"/>
          </rPr>
          <t>116295:</t>
        </r>
        <r>
          <rPr>
            <sz val="8"/>
            <color indexed="81"/>
            <rFont val="Tahoma"/>
            <family val="2"/>
          </rPr>
          <t xml:space="preserve">
Mpower
(405)377-0834</t>
        </r>
      </text>
    </comment>
    <comment ref="B1643" authorId="0">
      <text>
        <r>
          <rPr>
            <b/>
            <sz val="8"/>
            <color indexed="81"/>
            <rFont val="Tahoma"/>
            <family val="2"/>
          </rPr>
          <t>116295:</t>
        </r>
        <r>
          <rPr>
            <sz val="8"/>
            <color indexed="81"/>
            <rFont val="Tahoma"/>
            <family val="2"/>
          </rPr>
          <t xml:space="preserve">
Mpower
(405)377-0834</t>
        </r>
      </text>
    </comment>
    <comment ref="B1644" authorId="0">
      <text>
        <r>
          <rPr>
            <b/>
            <sz val="8"/>
            <color indexed="81"/>
            <rFont val="Tahoma"/>
            <family val="2"/>
          </rPr>
          <t>116295:</t>
        </r>
        <r>
          <rPr>
            <sz val="8"/>
            <color indexed="81"/>
            <rFont val="Tahoma"/>
            <family val="2"/>
          </rPr>
          <t xml:space="preserve">
Mpower
(405)377-0834</t>
        </r>
      </text>
    </comment>
    <comment ref="B1645" authorId="0">
      <text>
        <r>
          <rPr>
            <b/>
            <sz val="8"/>
            <color indexed="81"/>
            <rFont val="Tahoma"/>
            <family val="2"/>
          </rPr>
          <t>116295:</t>
        </r>
        <r>
          <rPr>
            <sz val="8"/>
            <color indexed="81"/>
            <rFont val="Tahoma"/>
            <family val="2"/>
          </rPr>
          <t xml:space="preserve">
Mpower
(405)377-0834</t>
        </r>
      </text>
    </comment>
    <comment ref="E1645" authorId="0">
      <text>
        <r>
          <rPr>
            <b/>
            <sz val="8"/>
            <color indexed="81"/>
            <rFont val="Tahoma"/>
            <family val="2"/>
          </rPr>
          <t>116295:</t>
        </r>
        <r>
          <rPr>
            <sz val="8"/>
            <color indexed="81"/>
            <rFont val="Tahoma"/>
            <family val="2"/>
          </rPr>
          <t xml:space="preserve">
Suitable to Procure 
No Fair Market Value
Non Mandatory
Call Vendor for Price</t>
        </r>
      </text>
    </comment>
    <comment ref="B1646" authorId="0">
      <text>
        <r>
          <rPr>
            <b/>
            <sz val="8"/>
            <color indexed="81"/>
            <rFont val="Tahoma"/>
            <family val="2"/>
          </rPr>
          <t>116295:</t>
        </r>
        <r>
          <rPr>
            <sz val="8"/>
            <color indexed="81"/>
            <rFont val="Tahoma"/>
            <family val="2"/>
          </rPr>
          <t xml:space="preserve">
Mpower
(405)377-0834</t>
        </r>
      </text>
    </comment>
    <comment ref="E1646" authorId="0">
      <text>
        <r>
          <rPr>
            <b/>
            <sz val="8"/>
            <color indexed="81"/>
            <rFont val="Tahoma"/>
            <family val="2"/>
          </rPr>
          <t>116295:</t>
        </r>
        <r>
          <rPr>
            <sz val="8"/>
            <color indexed="81"/>
            <rFont val="Tahoma"/>
            <family val="2"/>
          </rPr>
          <t xml:space="preserve">
Suitable to Procure 
No Fair Market Value
Non Mandatory
Call Vendor for Price</t>
        </r>
      </text>
    </comment>
    <comment ref="B1647" authorId="0">
      <text>
        <r>
          <rPr>
            <b/>
            <sz val="8"/>
            <color indexed="81"/>
            <rFont val="Tahoma"/>
            <family val="2"/>
          </rPr>
          <t>116295:</t>
        </r>
        <r>
          <rPr>
            <sz val="8"/>
            <color indexed="81"/>
            <rFont val="Tahoma"/>
            <family val="2"/>
          </rPr>
          <t xml:space="preserve">
Mpower
(405)377-0834</t>
        </r>
      </text>
    </comment>
    <comment ref="E1647" authorId="0">
      <text>
        <r>
          <rPr>
            <b/>
            <sz val="8"/>
            <color indexed="81"/>
            <rFont val="Tahoma"/>
            <family val="2"/>
          </rPr>
          <t>116295:</t>
        </r>
        <r>
          <rPr>
            <sz val="8"/>
            <color indexed="81"/>
            <rFont val="Tahoma"/>
            <family val="2"/>
          </rPr>
          <t xml:space="preserve">
Suitable to Procure 
No Fair Market Value
Non Mandatory
Call Vendor for Price</t>
        </r>
      </text>
    </comment>
    <comment ref="B1648" authorId="0">
      <text>
        <r>
          <rPr>
            <b/>
            <sz val="8"/>
            <color indexed="81"/>
            <rFont val="Tahoma"/>
            <family val="2"/>
          </rPr>
          <t>116295:</t>
        </r>
        <r>
          <rPr>
            <sz val="8"/>
            <color indexed="81"/>
            <rFont val="Tahoma"/>
            <family val="2"/>
          </rPr>
          <t xml:space="preserve">
Mpower
(405)377-0834</t>
        </r>
      </text>
    </comment>
    <comment ref="E1648" authorId="0">
      <text>
        <r>
          <rPr>
            <b/>
            <sz val="8"/>
            <color indexed="81"/>
            <rFont val="Tahoma"/>
            <family val="2"/>
          </rPr>
          <t>116295:</t>
        </r>
        <r>
          <rPr>
            <sz val="8"/>
            <color indexed="81"/>
            <rFont val="Tahoma"/>
            <family val="2"/>
          </rPr>
          <t xml:space="preserve">
Suitable to Procure 
No Fair Market Value
Non Mandatory
Call Vendor for Price</t>
        </r>
      </text>
    </comment>
    <comment ref="B1649" authorId="0">
      <text>
        <r>
          <rPr>
            <b/>
            <sz val="8"/>
            <color indexed="81"/>
            <rFont val="Tahoma"/>
            <family val="2"/>
          </rPr>
          <t>116295:</t>
        </r>
        <r>
          <rPr>
            <sz val="8"/>
            <color indexed="81"/>
            <rFont val="Tahoma"/>
            <family val="2"/>
          </rPr>
          <t xml:space="preserve">
Mpower
(405)377-0834</t>
        </r>
      </text>
    </comment>
    <comment ref="E1649" authorId="0">
      <text>
        <r>
          <rPr>
            <b/>
            <sz val="8"/>
            <color indexed="81"/>
            <rFont val="Tahoma"/>
            <family val="2"/>
          </rPr>
          <t>116295:</t>
        </r>
        <r>
          <rPr>
            <sz val="8"/>
            <color indexed="81"/>
            <rFont val="Tahoma"/>
            <family val="2"/>
          </rPr>
          <t xml:space="preserve">
Suitable to Procure 
No Fair Market Value
Non Mandatory
Call Vendor for Price</t>
        </r>
      </text>
    </comment>
    <comment ref="B1650" authorId="0">
      <text>
        <r>
          <rPr>
            <b/>
            <sz val="8"/>
            <color indexed="81"/>
            <rFont val="Tahoma"/>
            <family val="2"/>
          </rPr>
          <t>116295:</t>
        </r>
        <r>
          <rPr>
            <sz val="8"/>
            <color indexed="81"/>
            <rFont val="Tahoma"/>
            <family val="2"/>
          </rPr>
          <t xml:space="preserve">
Mpower
(405)377-0834</t>
        </r>
      </text>
    </comment>
    <comment ref="E1650" authorId="0">
      <text>
        <r>
          <rPr>
            <b/>
            <sz val="8"/>
            <color indexed="81"/>
            <rFont val="Tahoma"/>
            <family val="2"/>
          </rPr>
          <t>116295:</t>
        </r>
        <r>
          <rPr>
            <sz val="8"/>
            <color indexed="81"/>
            <rFont val="Tahoma"/>
            <family val="2"/>
          </rPr>
          <t xml:space="preserve">
Suitable to Procure 
No Fair Market Value
Non Mandatory
Call Vendor for Price</t>
        </r>
      </text>
    </comment>
    <comment ref="B1651" authorId="0">
      <text>
        <r>
          <rPr>
            <b/>
            <sz val="8"/>
            <color indexed="81"/>
            <rFont val="Tahoma"/>
            <family val="2"/>
          </rPr>
          <t>116295:</t>
        </r>
        <r>
          <rPr>
            <sz val="8"/>
            <color indexed="81"/>
            <rFont val="Tahoma"/>
            <family val="2"/>
          </rPr>
          <t xml:space="preserve">
Mpower
(405)377-0834</t>
        </r>
      </text>
    </comment>
    <comment ref="E1651" authorId="0">
      <text>
        <r>
          <rPr>
            <b/>
            <sz val="8"/>
            <color indexed="81"/>
            <rFont val="Tahoma"/>
            <family val="2"/>
          </rPr>
          <t>116295:</t>
        </r>
        <r>
          <rPr>
            <sz val="8"/>
            <color indexed="81"/>
            <rFont val="Tahoma"/>
            <family val="2"/>
          </rPr>
          <t xml:space="preserve">
Suitable to Procure 
No Fair Market Value
Non Mandatory
Call Vendor for Price</t>
        </r>
      </text>
    </comment>
    <comment ref="B1652" authorId="0">
      <text>
        <r>
          <rPr>
            <b/>
            <sz val="8"/>
            <color indexed="81"/>
            <rFont val="Tahoma"/>
            <family val="2"/>
          </rPr>
          <t>116295:</t>
        </r>
        <r>
          <rPr>
            <sz val="8"/>
            <color indexed="81"/>
            <rFont val="Tahoma"/>
            <family val="2"/>
          </rPr>
          <t xml:space="preserve">
Mpower
(405)377-0834</t>
        </r>
      </text>
    </comment>
    <comment ref="E1652" authorId="0">
      <text>
        <r>
          <rPr>
            <b/>
            <sz val="8"/>
            <color indexed="81"/>
            <rFont val="Tahoma"/>
            <family val="2"/>
          </rPr>
          <t>116295:</t>
        </r>
        <r>
          <rPr>
            <sz val="8"/>
            <color indexed="81"/>
            <rFont val="Tahoma"/>
            <family val="2"/>
          </rPr>
          <t xml:space="preserve">
Suitable to Procure 
No Fair Market Value
Non Mandatory
Call Vendor for Price</t>
        </r>
      </text>
    </comment>
    <comment ref="B1653" authorId="0">
      <text>
        <r>
          <rPr>
            <b/>
            <sz val="8"/>
            <color indexed="81"/>
            <rFont val="Tahoma"/>
            <family val="2"/>
          </rPr>
          <t>116295:</t>
        </r>
        <r>
          <rPr>
            <sz val="8"/>
            <color indexed="81"/>
            <rFont val="Tahoma"/>
            <family val="2"/>
          </rPr>
          <t xml:space="preserve">
Mpower
(405)377-0834</t>
        </r>
      </text>
    </comment>
    <comment ref="E1653" authorId="0">
      <text>
        <r>
          <rPr>
            <b/>
            <sz val="8"/>
            <color indexed="81"/>
            <rFont val="Tahoma"/>
            <family val="2"/>
          </rPr>
          <t>116295:</t>
        </r>
        <r>
          <rPr>
            <sz val="8"/>
            <color indexed="81"/>
            <rFont val="Tahoma"/>
            <family val="2"/>
          </rPr>
          <t xml:space="preserve">
Suitable to Procure 
No Fair Market Value
Non Mandatory
Call Vendor for Price</t>
        </r>
      </text>
    </comment>
    <comment ref="B1654" authorId="0">
      <text>
        <r>
          <rPr>
            <b/>
            <sz val="8"/>
            <color indexed="81"/>
            <rFont val="Tahoma"/>
            <family val="2"/>
          </rPr>
          <t>116295:</t>
        </r>
        <r>
          <rPr>
            <sz val="8"/>
            <color indexed="81"/>
            <rFont val="Tahoma"/>
            <family val="2"/>
          </rPr>
          <t xml:space="preserve">
Mpower
(405)377-0834</t>
        </r>
      </text>
    </comment>
    <comment ref="E1654" authorId="0">
      <text>
        <r>
          <rPr>
            <b/>
            <sz val="8"/>
            <color indexed="81"/>
            <rFont val="Tahoma"/>
            <family val="2"/>
          </rPr>
          <t>116295:</t>
        </r>
        <r>
          <rPr>
            <sz val="8"/>
            <color indexed="81"/>
            <rFont val="Tahoma"/>
            <family val="2"/>
          </rPr>
          <t xml:space="preserve">
Suitable to Procure 
No Fair Market Value
Non Mandatory
Call Vendor for Price</t>
        </r>
      </text>
    </comment>
    <comment ref="B1655" authorId="0">
      <text>
        <r>
          <rPr>
            <b/>
            <sz val="8"/>
            <color indexed="81"/>
            <rFont val="Tahoma"/>
            <family val="2"/>
          </rPr>
          <t>116295:</t>
        </r>
        <r>
          <rPr>
            <sz val="8"/>
            <color indexed="81"/>
            <rFont val="Tahoma"/>
            <family val="2"/>
          </rPr>
          <t xml:space="preserve">
Mpower
(405)377-0834</t>
        </r>
      </text>
    </comment>
    <comment ref="E1655" authorId="0">
      <text>
        <r>
          <rPr>
            <b/>
            <sz val="8"/>
            <color indexed="81"/>
            <rFont val="Tahoma"/>
            <family val="2"/>
          </rPr>
          <t>116295:</t>
        </r>
        <r>
          <rPr>
            <sz val="8"/>
            <color indexed="81"/>
            <rFont val="Tahoma"/>
            <family val="2"/>
          </rPr>
          <t xml:space="preserve">
Suitable to Procure 
No Fair Market Value
Non Mandatory
Call Vendor for Price</t>
        </r>
      </text>
    </comment>
    <comment ref="B1656" authorId="0">
      <text>
        <r>
          <rPr>
            <b/>
            <sz val="8"/>
            <color indexed="81"/>
            <rFont val="Tahoma"/>
            <family val="2"/>
          </rPr>
          <t>116295:</t>
        </r>
        <r>
          <rPr>
            <sz val="8"/>
            <color indexed="81"/>
            <rFont val="Tahoma"/>
            <family val="2"/>
          </rPr>
          <t xml:space="preserve">
New Horizons Unlimited
(580)272-6836</t>
        </r>
      </text>
    </comment>
    <comment ref="B1657" authorId="0">
      <text>
        <r>
          <rPr>
            <b/>
            <sz val="8"/>
            <color indexed="81"/>
            <rFont val="Tahoma"/>
            <family val="2"/>
          </rPr>
          <t>116295:</t>
        </r>
        <r>
          <rPr>
            <sz val="8"/>
            <color indexed="81"/>
            <rFont val="Tahoma"/>
            <family val="2"/>
          </rPr>
          <t xml:space="preserve">
New Horizons Unlimited
(580)272-6836</t>
        </r>
      </text>
    </comment>
    <comment ref="B1658" authorId="0">
      <text>
        <r>
          <rPr>
            <b/>
            <sz val="8"/>
            <color indexed="81"/>
            <rFont val="Tahoma"/>
            <family val="2"/>
          </rPr>
          <t>116295:</t>
        </r>
        <r>
          <rPr>
            <sz val="8"/>
            <color indexed="81"/>
            <rFont val="Tahoma"/>
            <family val="2"/>
          </rPr>
          <t xml:space="preserve">
New View Oklahoma
(405)232-4644</t>
        </r>
      </text>
    </comment>
    <comment ref="B1659" authorId="0">
      <text>
        <r>
          <rPr>
            <b/>
            <sz val="8"/>
            <color indexed="81"/>
            <rFont val="Tahoma"/>
            <family val="2"/>
          </rPr>
          <t>116295:</t>
        </r>
        <r>
          <rPr>
            <sz val="8"/>
            <color indexed="81"/>
            <rFont val="Tahoma"/>
            <family val="2"/>
          </rPr>
          <t xml:space="preserve">
New View Oklahoma
(405)232-4644</t>
        </r>
      </text>
    </comment>
    <comment ref="B1660" authorId="0">
      <text>
        <r>
          <rPr>
            <b/>
            <sz val="8"/>
            <color indexed="81"/>
            <rFont val="Tahoma"/>
            <family val="2"/>
          </rPr>
          <t>116295:</t>
        </r>
        <r>
          <rPr>
            <sz val="8"/>
            <color indexed="81"/>
            <rFont val="Tahoma"/>
            <family val="2"/>
          </rPr>
          <t xml:space="preserve">
New View Oklahoma
(405)232-4644</t>
        </r>
      </text>
    </comment>
    <comment ref="B1661" authorId="0">
      <text>
        <r>
          <rPr>
            <b/>
            <sz val="8"/>
            <color indexed="81"/>
            <rFont val="Tahoma"/>
            <family val="2"/>
          </rPr>
          <t>116295:</t>
        </r>
        <r>
          <rPr>
            <sz val="8"/>
            <color indexed="81"/>
            <rFont val="Tahoma"/>
            <family val="2"/>
          </rPr>
          <t xml:space="preserve">
New View Oklahoma
(405)232-4644</t>
        </r>
      </text>
    </comment>
    <comment ref="B1662" authorId="0">
      <text>
        <r>
          <rPr>
            <b/>
            <sz val="8"/>
            <color indexed="81"/>
            <rFont val="Tahoma"/>
            <family val="2"/>
          </rPr>
          <t>116295:</t>
        </r>
        <r>
          <rPr>
            <sz val="8"/>
            <color indexed="81"/>
            <rFont val="Tahoma"/>
            <family val="2"/>
          </rPr>
          <t xml:space="preserve">
New View Oklahoma
(405)232-4644</t>
        </r>
      </text>
    </comment>
    <comment ref="B1663" authorId="0">
      <text>
        <r>
          <rPr>
            <b/>
            <sz val="8"/>
            <color indexed="81"/>
            <rFont val="Tahoma"/>
            <family val="2"/>
          </rPr>
          <t>116295:</t>
        </r>
        <r>
          <rPr>
            <sz val="8"/>
            <color indexed="81"/>
            <rFont val="Tahoma"/>
            <family val="2"/>
          </rPr>
          <t xml:space="preserve">
New View Oklahoma
(405)232-4644</t>
        </r>
      </text>
    </comment>
    <comment ref="B1664" authorId="0">
      <text>
        <r>
          <rPr>
            <b/>
            <sz val="8"/>
            <color indexed="81"/>
            <rFont val="Tahoma"/>
            <family val="2"/>
          </rPr>
          <t>116295:</t>
        </r>
        <r>
          <rPr>
            <sz val="8"/>
            <color indexed="81"/>
            <rFont val="Tahoma"/>
            <family val="2"/>
          </rPr>
          <t xml:space="preserve">
New View Oklahoma
(405)232-4644</t>
        </r>
      </text>
    </comment>
    <comment ref="B1665" authorId="0">
      <text>
        <r>
          <rPr>
            <b/>
            <sz val="8"/>
            <color indexed="81"/>
            <rFont val="Tahoma"/>
            <family val="2"/>
          </rPr>
          <t>116295:</t>
        </r>
        <r>
          <rPr>
            <sz val="8"/>
            <color indexed="81"/>
            <rFont val="Tahoma"/>
            <family val="2"/>
          </rPr>
          <t xml:space="preserve">
New View Oklahoma
(405)232-4644</t>
        </r>
      </text>
    </comment>
    <comment ref="B1666" authorId="0">
      <text>
        <r>
          <rPr>
            <b/>
            <sz val="8"/>
            <color indexed="81"/>
            <rFont val="Tahoma"/>
            <family val="2"/>
          </rPr>
          <t>116295:</t>
        </r>
        <r>
          <rPr>
            <sz val="8"/>
            <color indexed="81"/>
            <rFont val="Tahoma"/>
            <family val="2"/>
          </rPr>
          <t xml:space="preserve">
New View Oklahoma
(405)232-4644</t>
        </r>
      </text>
    </comment>
    <comment ref="B1667" authorId="0">
      <text>
        <r>
          <rPr>
            <b/>
            <sz val="8"/>
            <color indexed="81"/>
            <rFont val="Tahoma"/>
            <family val="2"/>
          </rPr>
          <t>116295:</t>
        </r>
        <r>
          <rPr>
            <sz val="8"/>
            <color indexed="81"/>
            <rFont val="Tahoma"/>
            <family val="2"/>
          </rPr>
          <t xml:space="preserve">
New View Oklahoma
(405)232-4644</t>
        </r>
      </text>
    </comment>
    <comment ref="B1668" authorId="0">
      <text>
        <r>
          <rPr>
            <b/>
            <sz val="8"/>
            <color indexed="81"/>
            <rFont val="Tahoma"/>
            <family val="2"/>
          </rPr>
          <t>116295:</t>
        </r>
        <r>
          <rPr>
            <sz val="8"/>
            <color indexed="81"/>
            <rFont val="Tahoma"/>
            <family val="2"/>
          </rPr>
          <t xml:space="preserve">
New View Oklahoma
(405)232-4644</t>
        </r>
      </text>
    </comment>
    <comment ref="B1669" authorId="0">
      <text>
        <r>
          <rPr>
            <b/>
            <sz val="8"/>
            <color indexed="81"/>
            <rFont val="Tahoma"/>
            <family val="2"/>
          </rPr>
          <t>116295:</t>
        </r>
        <r>
          <rPr>
            <sz val="8"/>
            <color indexed="81"/>
            <rFont val="Tahoma"/>
            <family val="2"/>
          </rPr>
          <t xml:space="preserve">
New View Oklahoma
(405)232-4644</t>
        </r>
      </text>
    </comment>
    <comment ref="B1670" authorId="0">
      <text>
        <r>
          <rPr>
            <b/>
            <sz val="8"/>
            <color indexed="81"/>
            <rFont val="Tahoma"/>
            <family val="2"/>
          </rPr>
          <t>116295:</t>
        </r>
        <r>
          <rPr>
            <sz val="8"/>
            <color indexed="81"/>
            <rFont val="Tahoma"/>
            <family val="2"/>
          </rPr>
          <t xml:space="preserve">
New View Oklahoma
(405)232-4644</t>
        </r>
      </text>
    </comment>
    <comment ref="B1671" authorId="0">
      <text>
        <r>
          <rPr>
            <b/>
            <sz val="8"/>
            <color indexed="81"/>
            <rFont val="Tahoma"/>
            <family val="2"/>
          </rPr>
          <t>116295:</t>
        </r>
        <r>
          <rPr>
            <sz val="8"/>
            <color indexed="81"/>
            <rFont val="Tahoma"/>
            <family val="2"/>
          </rPr>
          <t xml:space="preserve">
New View Oklahoma
(405)232-4644</t>
        </r>
      </text>
    </comment>
    <comment ref="B1672" authorId="0">
      <text>
        <r>
          <rPr>
            <b/>
            <sz val="8"/>
            <color indexed="81"/>
            <rFont val="Tahoma"/>
            <family val="2"/>
          </rPr>
          <t>116295:</t>
        </r>
        <r>
          <rPr>
            <sz val="8"/>
            <color indexed="81"/>
            <rFont val="Tahoma"/>
            <family val="2"/>
          </rPr>
          <t xml:space="preserve">
New View Oklahoma
(405)232-4644</t>
        </r>
      </text>
    </comment>
    <comment ref="B1673" authorId="0">
      <text>
        <r>
          <rPr>
            <b/>
            <sz val="8"/>
            <color indexed="81"/>
            <rFont val="Tahoma"/>
            <family val="2"/>
          </rPr>
          <t>116295:</t>
        </r>
        <r>
          <rPr>
            <sz val="8"/>
            <color indexed="81"/>
            <rFont val="Tahoma"/>
            <family val="2"/>
          </rPr>
          <t xml:space="preserve">
New View Oklahoma
(405)232-4644</t>
        </r>
      </text>
    </comment>
    <comment ref="B1674" authorId="0">
      <text>
        <r>
          <rPr>
            <b/>
            <sz val="8"/>
            <color indexed="81"/>
            <rFont val="Tahoma"/>
            <family val="2"/>
          </rPr>
          <t>116295:</t>
        </r>
        <r>
          <rPr>
            <sz val="8"/>
            <color indexed="81"/>
            <rFont val="Tahoma"/>
            <family val="2"/>
          </rPr>
          <t xml:space="preserve">
New View Oklahoma
(405)232-4644</t>
        </r>
      </text>
    </comment>
    <comment ref="B1675" authorId="0">
      <text>
        <r>
          <rPr>
            <b/>
            <sz val="8"/>
            <color indexed="81"/>
            <rFont val="Tahoma"/>
            <family val="2"/>
          </rPr>
          <t>116295:</t>
        </r>
        <r>
          <rPr>
            <sz val="8"/>
            <color indexed="81"/>
            <rFont val="Tahoma"/>
            <family val="2"/>
          </rPr>
          <t xml:space="preserve">
New View Oklahoma
(405)232-4644</t>
        </r>
      </text>
    </comment>
    <comment ref="B1676" authorId="0">
      <text>
        <r>
          <rPr>
            <b/>
            <sz val="8"/>
            <color indexed="81"/>
            <rFont val="Tahoma"/>
            <family val="2"/>
          </rPr>
          <t>116295:</t>
        </r>
        <r>
          <rPr>
            <sz val="8"/>
            <color indexed="81"/>
            <rFont val="Tahoma"/>
            <family val="2"/>
          </rPr>
          <t xml:space="preserve">
New View Oklahoma
(405)232-4644</t>
        </r>
      </text>
    </comment>
    <comment ref="B1677" authorId="0">
      <text>
        <r>
          <rPr>
            <b/>
            <sz val="8"/>
            <color indexed="81"/>
            <rFont val="Tahoma"/>
            <family val="2"/>
          </rPr>
          <t>116295:</t>
        </r>
        <r>
          <rPr>
            <sz val="8"/>
            <color indexed="81"/>
            <rFont val="Tahoma"/>
            <family val="2"/>
          </rPr>
          <t xml:space="preserve">
New View Oklahoma
(405)232-4644</t>
        </r>
      </text>
    </comment>
    <comment ref="B1678" authorId="0">
      <text>
        <r>
          <rPr>
            <b/>
            <sz val="8"/>
            <color indexed="81"/>
            <rFont val="Tahoma"/>
            <family val="2"/>
          </rPr>
          <t>116295:</t>
        </r>
        <r>
          <rPr>
            <sz val="8"/>
            <color indexed="81"/>
            <rFont val="Tahoma"/>
            <family val="2"/>
          </rPr>
          <t xml:space="preserve">
New View Oklahoma
(405)232-4644</t>
        </r>
      </text>
    </comment>
    <comment ref="B1679" authorId="0">
      <text>
        <r>
          <rPr>
            <b/>
            <sz val="8"/>
            <color indexed="81"/>
            <rFont val="Tahoma"/>
            <family val="2"/>
          </rPr>
          <t>116295:</t>
        </r>
        <r>
          <rPr>
            <sz val="8"/>
            <color indexed="81"/>
            <rFont val="Tahoma"/>
            <family val="2"/>
          </rPr>
          <t xml:space="preserve">
New View Oklahoma
(405)232-4644</t>
        </r>
      </text>
    </comment>
    <comment ref="B1680" authorId="0">
      <text>
        <r>
          <rPr>
            <b/>
            <sz val="8"/>
            <color indexed="81"/>
            <rFont val="Tahoma"/>
            <family val="2"/>
          </rPr>
          <t>116295:</t>
        </r>
        <r>
          <rPr>
            <sz val="8"/>
            <color indexed="81"/>
            <rFont val="Tahoma"/>
            <family val="2"/>
          </rPr>
          <t xml:space="preserve">
New View Oklahoma
(405)232-4644</t>
        </r>
      </text>
    </comment>
    <comment ref="B1681" authorId="0">
      <text>
        <r>
          <rPr>
            <b/>
            <sz val="8"/>
            <color indexed="81"/>
            <rFont val="Tahoma"/>
            <family val="2"/>
          </rPr>
          <t>116295:</t>
        </r>
        <r>
          <rPr>
            <sz val="8"/>
            <color indexed="81"/>
            <rFont val="Tahoma"/>
            <family val="2"/>
          </rPr>
          <t xml:space="preserve">
New View Oklahoma
(405)232-4644</t>
        </r>
      </text>
    </comment>
    <comment ref="B1682" authorId="0">
      <text>
        <r>
          <rPr>
            <b/>
            <sz val="8"/>
            <color indexed="81"/>
            <rFont val="Tahoma"/>
            <family val="2"/>
          </rPr>
          <t>116295:</t>
        </r>
        <r>
          <rPr>
            <sz val="8"/>
            <color indexed="81"/>
            <rFont val="Tahoma"/>
            <family val="2"/>
          </rPr>
          <t xml:space="preserve">
New View Oklahoma
(405)232-4644</t>
        </r>
      </text>
    </comment>
    <comment ref="B1683" authorId="0">
      <text>
        <r>
          <rPr>
            <b/>
            <sz val="8"/>
            <color indexed="81"/>
            <rFont val="Tahoma"/>
            <family val="2"/>
          </rPr>
          <t>116295:</t>
        </r>
        <r>
          <rPr>
            <sz val="8"/>
            <color indexed="81"/>
            <rFont val="Tahoma"/>
            <family val="2"/>
          </rPr>
          <t xml:space="preserve">
New View Oklahoma
(405)232-4644</t>
        </r>
      </text>
    </comment>
    <comment ref="B1684" authorId="0">
      <text>
        <r>
          <rPr>
            <b/>
            <sz val="8"/>
            <color indexed="81"/>
            <rFont val="Tahoma"/>
            <family val="2"/>
          </rPr>
          <t>116295:</t>
        </r>
        <r>
          <rPr>
            <sz val="8"/>
            <color indexed="81"/>
            <rFont val="Tahoma"/>
            <family val="2"/>
          </rPr>
          <t xml:space="preserve">
New View Oklahoma
(405)232-4644</t>
        </r>
      </text>
    </comment>
    <comment ref="B1685" authorId="0">
      <text>
        <r>
          <rPr>
            <b/>
            <sz val="8"/>
            <color indexed="81"/>
            <rFont val="Tahoma"/>
            <family val="2"/>
          </rPr>
          <t>116295:</t>
        </r>
        <r>
          <rPr>
            <sz val="8"/>
            <color indexed="81"/>
            <rFont val="Tahoma"/>
            <family val="2"/>
          </rPr>
          <t xml:space="preserve">
New View Oklahoma
(405)232-4644</t>
        </r>
      </text>
    </comment>
    <comment ref="B1686" authorId="0">
      <text>
        <r>
          <rPr>
            <b/>
            <sz val="8"/>
            <color indexed="81"/>
            <rFont val="Tahoma"/>
            <family val="2"/>
          </rPr>
          <t>116295:</t>
        </r>
        <r>
          <rPr>
            <sz val="8"/>
            <color indexed="81"/>
            <rFont val="Tahoma"/>
            <family val="2"/>
          </rPr>
          <t xml:space="preserve">
New View Oklahoma
(405)232-4644</t>
        </r>
      </text>
    </comment>
    <comment ref="B1687" authorId="0">
      <text>
        <r>
          <rPr>
            <b/>
            <sz val="8"/>
            <color indexed="81"/>
            <rFont val="Tahoma"/>
            <family val="2"/>
          </rPr>
          <t>116295:</t>
        </r>
        <r>
          <rPr>
            <sz val="8"/>
            <color indexed="81"/>
            <rFont val="Tahoma"/>
            <family val="2"/>
          </rPr>
          <t xml:space="preserve">
New View Oklahoma
(405)232-4644</t>
        </r>
      </text>
    </comment>
    <comment ref="B1688" authorId="0">
      <text>
        <r>
          <rPr>
            <b/>
            <sz val="8"/>
            <color indexed="81"/>
            <rFont val="Tahoma"/>
            <family val="2"/>
          </rPr>
          <t>116295:</t>
        </r>
        <r>
          <rPr>
            <sz val="8"/>
            <color indexed="81"/>
            <rFont val="Tahoma"/>
            <family val="2"/>
          </rPr>
          <t xml:space="preserve">
New View Oklahoma
(405)232-4644</t>
        </r>
      </text>
    </comment>
    <comment ref="B1689" authorId="0">
      <text>
        <r>
          <rPr>
            <b/>
            <sz val="8"/>
            <color indexed="81"/>
            <rFont val="Tahoma"/>
            <family val="2"/>
          </rPr>
          <t>116295:</t>
        </r>
        <r>
          <rPr>
            <sz val="8"/>
            <color indexed="81"/>
            <rFont val="Tahoma"/>
            <family val="2"/>
          </rPr>
          <t xml:space="preserve">
New View Oklahoma
(405)232-4644</t>
        </r>
      </text>
    </comment>
    <comment ref="B1690" authorId="0">
      <text>
        <r>
          <rPr>
            <b/>
            <sz val="8"/>
            <color indexed="81"/>
            <rFont val="Tahoma"/>
            <family val="2"/>
          </rPr>
          <t>116295:</t>
        </r>
        <r>
          <rPr>
            <sz val="8"/>
            <color indexed="81"/>
            <rFont val="Tahoma"/>
            <family val="2"/>
          </rPr>
          <t xml:space="preserve">
New View Oklahoma
(405)232-4644</t>
        </r>
      </text>
    </comment>
    <comment ref="B1691" authorId="0">
      <text>
        <r>
          <rPr>
            <b/>
            <sz val="8"/>
            <color indexed="81"/>
            <rFont val="Tahoma"/>
            <family val="2"/>
          </rPr>
          <t>116295:</t>
        </r>
        <r>
          <rPr>
            <sz val="8"/>
            <color indexed="81"/>
            <rFont val="Tahoma"/>
            <family val="2"/>
          </rPr>
          <t xml:space="preserve">
New View Oklahoma
(405)232-4644</t>
        </r>
      </text>
    </comment>
    <comment ref="B1692" authorId="0">
      <text>
        <r>
          <rPr>
            <b/>
            <sz val="8"/>
            <color indexed="81"/>
            <rFont val="Tahoma"/>
            <family val="2"/>
          </rPr>
          <t>116295:</t>
        </r>
        <r>
          <rPr>
            <sz val="8"/>
            <color indexed="81"/>
            <rFont val="Tahoma"/>
            <family val="2"/>
          </rPr>
          <t xml:space="preserve">
New View Oklahoma
(405)232-4644</t>
        </r>
      </text>
    </comment>
    <comment ref="B1693" authorId="0">
      <text>
        <r>
          <rPr>
            <b/>
            <sz val="8"/>
            <color indexed="81"/>
            <rFont val="Tahoma"/>
            <family val="2"/>
          </rPr>
          <t>116295:</t>
        </r>
        <r>
          <rPr>
            <sz val="8"/>
            <color indexed="81"/>
            <rFont val="Tahoma"/>
            <family val="2"/>
          </rPr>
          <t xml:space="preserve">
New View Oklahoma
(405)232-4644</t>
        </r>
      </text>
    </comment>
    <comment ref="B1694" authorId="0">
      <text>
        <r>
          <rPr>
            <b/>
            <sz val="8"/>
            <color indexed="81"/>
            <rFont val="Tahoma"/>
            <family val="2"/>
          </rPr>
          <t>116295:</t>
        </r>
        <r>
          <rPr>
            <sz val="8"/>
            <color indexed="81"/>
            <rFont val="Tahoma"/>
            <family val="2"/>
          </rPr>
          <t xml:space="preserve">
New View Oklahoma
(405)232-4644</t>
        </r>
      </text>
    </comment>
    <comment ref="B1695" authorId="0">
      <text>
        <r>
          <rPr>
            <b/>
            <sz val="8"/>
            <color indexed="81"/>
            <rFont val="Tahoma"/>
            <family val="2"/>
          </rPr>
          <t>116295:</t>
        </r>
        <r>
          <rPr>
            <sz val="8"/>
            <color indexed="81"/>
            <rFont val="Tahoma"/>
            <family val="2"/>
          </rPr>
          <t xml:space="preserve">
New View Oklahoma
(405)232-4644</t>
        </r>
      </text>
    </comment>
    <comment ref="B1696" authorId="0">
      <text>
        <r>
          <rPr>
            <b/>
            <sz val="8"/>
            <color indexed="81"/>
            <rFont val="Tahoma"/>
            <family val="2"/>
          </rPr>
          <t>116295:</t>
        </r>
        <r>
          <rPr>
            <sz val="8"/>
            <color indexed="81"/>
            <rFont val="Tahoma"/>
            <family val="2"/>
          </rPr>
          <t xml:space="preserve">
New View Oklahoma
(405)232-4644</t>
        </r>
      </text>
    </comment>
    <comment ref="B1697" authorId="0">
      <text>
        <r>
          <rPr>
            <b/>
            <sz val="8"/>
            <color indexed="81"/>
            <rFont val="Tahoma"/>
            <family val="2"/>
          </rPr>
          <t>116295:</t>
        </r>
        <r>
          <rPr>
            <sz val="8"/>
            <color indexed="81"/>
            <rFont val="Tahoma"/>
            <family val="2"/>
          </rPr>
          <t xml:space="preserve">
New View Oklahoma
(405)232-4644</t>
        </r>
      </text>
    </comment>
    <comment ref="B1698" authorId="0">
      <text>
        <r>
          <rPr>
            <b/>
            <sz val="8"/>
            <color indexed="81"/>
            <rFont val="Tahoma"/>
            <family val="2"/>
          </rPr>
          <t>116295:</t>
        </r>
        <r>
          <rPr>
            <sz val="8"/>
            <color indexed="81"/>
            <rFont val="Tahoma"/>
            <family val="2"/>
          </rPr>
          <t xml:space="preserve">
New View Oklahoma
(405)232-4644</t>
        </r>
      </text>
    </comment>
    <comment ref="B1699" authorId="0">
      <text>
        <r>
          <rPr>
            <b/>
            <sz val="8"/>
            <color indexed="81"/>
            <rFont val="Tahoma"/>
            <family val="2"/>
          </rPr>
          <t>116295:</t>
        </r>
        <r>
          <rPr>
            <sz val="8"/>
            <color indexed="81"/>
            <rFont val="Tahoma"/>
            <family val="2"/>
          </rPr>
          <t xml:space="preserve">
New View Oklahoma
(405)232-4644</t>
        </r>
      </text>
    </comment>
    <comment ref="B1702" authorId="0">
      <text>
        <r>
          <rPr>
            <b/>
            <sz val="8"/>
            <color indexed="81"/>
            <rFont val="Tahoma"/>
            <family val="2"/>
          </rPr>
          <t>116295:</t>
        </r>
        <r>
          <rPr>
            <sz val="8"/>
            <color indexed="81"/>
            <rFont val="Tahoma"/>
            <family val="2"/>
          </rPr>
          <t xml:space="preserve">
New View Oklahoma
(405)232-4644</t>
        </r>
      </text>
    </comment>
    <comment ref="B1703" authorId="0">
      <text>
        <r>
          <rPr>
            <b/>
            <sz val="8"/>
            <color indexed="81"/>
            <rFont val="Tahoma"/>
            <family val="2"/>
          </rPr>
          <t>116295:</t>
        </r>
        <r>
          <rPr>
            <sz val="8"/>
            <color indexed="81"/>
            <rFont val="Tahoma"/>
            <family val="2"/>
          </rPr>
          <t xml:space="preserve">
New View Oklahoma
(405)232-4644</t>
        </r>
      </text>
    </comment>
    <comment ref="B1704" authorId="0">
      <text>
        <r>
          <rPr>
            <b/>
            <sz val="8"/>
            <color indexed="81"/>
            <rFont val="Tahoma"/>
            <family val="2"/>
          </rPr>
          <t>116295:</t>
        </r>
        <r>
          <rPr>
            <sz val="8"/>
            <color indexed="81"/>
            <rFont val="Tahoma"/>
            <family val="2"/>
          </rPr>
          <t xml:space="preserve">
New View Oklahoma
(405)232-4644</t>
        </r>
      </text>
    </comment>
    <comment ref="B1705" authorId="0">
      <text>
        <r>
          <rPr>
            <b/>
            <sz val="8"/>
            <color indexed="81"/>
            <rFont val="Tahoma"/>
            <family val="2"/>
          </rPr>
          <t>116295:</t>
        </r>
        <r>
          <rPr>
            <sz val="8"/>
            <color indexed="81"/>
            <rFont val="Tahoma"/>
            <family val="2"/>
          </rPr>
          <t xml:space="preserve">
New View Oklahoma
(405)232-4644</t>
        </r>
      </text>
    </comment>
    <comment ref="E1705" authorId="0">
      <text>
        <r>
          <rPr>
            <b/>
            <sz val="8"/>
            <color indexed="81"/>
            <rFont val="Tahoma"/>
            <family val="2"/>
          </rPr>
          <t>116295:</t>
        </r>
        <r>
          <rPr>
            <sz val="8"/>
            <color indexed="81"/>
            <rFont val="Tahoma"/>
            <family val="2"/>
          </rPr>
          <t xml:space="preserve">
Suitable to Procure 
No Fair Market Value
Non Mandatory
Call Vendor for Price</t>
        </r>
      </text>
    </comment>
    <comment ref="B1706" authorId="0">
      <text>
        <r>
          <rPr>
            <b/>
            <sz val="8"/>
            <color indexed="81"/>
            <rFont val="Tahoma"/>
            <family val="2"/>
          </rPr>
          <t>116295:</t>
        </r>
        <r>
          <rPr>
            <sz val="8"/>
            <color indexed="81"/>
            <rFont val="Tahoma"/>
            <family val="2"/>
          </rPr>
          <t xml:space="preserve">
New View Oklahoma
(405)232-4644</t>
        </r>
      </text>
    </comment>
    <comment ref="E1706" authorId="0">
      <text>
        <r>
          <rPr>
            <b/>
            <sz val="8"/>
            <color indexed="81"/>
            <rFont val="Tahoma"/>
            <family val="2"/>
          </rPr>
          <t>116295:</t>
        </r>
        <r>
          <rPr>
            <sz val="8"/>
            <color indexed="81"/>
            <rFont val="Tahoma"/>
            <family val="2"/>
          </rPr>
          <t xml:space="preserve">
Suitable to Procure 
No Fair Market Value
Non Mandatory
Call Vendor for Price</t>
        </r>
      </text>
    </comment>
    <comment ref="B1707" authorId="0">
      <text>
        <r>
          <rPr>
            <b/>
            <sz val="8"/>
            <color indexed="81"/>
            <rFont val="Tahoma"/>
            <family val="2"/>
          </rPr>
          <t>116295:</t>
        </r>
        <r>
          <rPr>
            <sz val="8"/>
            <color indexed="81"/>
            <rFont val="Tahoma"/>
            <family val="2"/>
          </rPr>
          <t xml:space="preserve">
New View Oklahoma
(405)232-4644</t>
        </r>
      </text>
    </comment>
    <comment ref="E1707" authorId="0">
      <text>
        <r>
          <rPr>
            <b/>
            <sz val="8"/>
            <color indexed="81"/>
            <rFont val="Tahoma"/>
            <family val="2"/>
          </rPr>
          <t>116295:</t>
        </r>
        <r>
          <rPr>
            <sz val="8"/>
            <color indexed="81"/>
            <rFont val="Tahoma"/>
            <family val="2"/>
          </rPr>
          <t xml:space="preserve">
Suitable to Procure 
No Fair Market Value
Non Mandatory
Call Vendor for Price</t>
        </r>
      </text>
    </comment>
    <comment ref="B1708" authorId="0">
      <text>
        <r>
          <rPr>
            <b/>
            <sz val="8"/>
            <color indexed="81"/>
            <rFont val="Tahoma"/>
            <family val="2"/>
          </rPr>
          <t>116295:</t>
        </r>
        <r>
          <rPr>
            <sz val="8"/>
            <color indexed="81"/>
            <rFont val="Tahoma"/>
            <family val="2"/>
          </rPr>
          <t xml:space="preserve">
New View Oklahoma
(405)232-4644</t>
        </r>
      </text>
    </comment>
    <comment ref="E1708" authorId="0">
      <text>
        <r>
          <rPr>
            <b/>
            <sz val="8"/>
            <color indexed="81"/>
            <rFont val="Tahoma"/>
            <family val="2"/>
          </rPr>
          <t>116295:</t>
        </r>
        <r>
          <rPr>
            <sz val="8"/>
            <color indexed="81"/>
            <rFont val="Tahoma"/>
            <family val="2"/>
          </rPr>
          <t xml:space="preserve">
Suitable to Procure 
No Fair Market Value
Non Mandatory
Call Vendor for Price</t>
        </r>
      </text>
    </comment>
    <comment ref="B1709" authorId="0">
      <text>
        <r>
          <rPr>
            <b/>
            <sz val="8"/>
            <color indexed="81"/>
            <rFont val="Tahoma"/>
            <family val="2"/>
          </rPr>
          <t>116295:</t>
        </r>
        <r>
          <rPr>
            <sz val="8"/>
            <color indexed="81"/>
            <rFont val="Tahoma"/>
            <family val="2"/>
          </rPr>
          <t xml:space="preserve">
New View Oklahoma
(405)232-4644</t>
        </r>
      </text>
    </comment>
    <comment ref="E1709" authorId="0">
      <text>
        <r>
          <rPr>
            <b/>
            <sz val="8"/>
            <color indexed="81"/>
            <rFont val="Tahoma"/>
            <family val="2"/>
          </rPr>
          <t>116295:</t>
        </r>
        <r>
          <rPr>
            <sz val="8"/>
            <color indexed="81"/>
            <rFont val="Tahoma"/>
            <family val="2"/>
          </rPr>
          <t xml:space="preserve">
Suitable to Procure 
No Fair Market Value
Non Mandatory
Call Vendor for Price</t>
        </r>
      </text>
    </comment>
    <comment ref="B1710" authorId="0">
      <text>
        <r>
          <rPr>
            <b/>
            <sz val="8"/>
            <color indexed="81"/>
            <rFont val="Tahoma"/>
            <family val="2"/>
          </rPr>
          <t>116295:</t>
        </r>
        <r>
          <rPr>
            <sz val="8"/>
            <color indexed="81"/>
            <rFont val="Tahoma"/>
            <family val="2"/>
          </rPr>
          <t xml:space="preserve">
New View Oklahoma
(405)232-4644</t>
        </r>
      </text>
    </comment>
    <comment ref="E1710" authorId="0">
      <text>
        <r>
          <rPr>
            <b/>
            <sz val="8"/>
            <color indexed="81"/>
            <rFont val="Tahoma"/>
            <family val="2"/>
          </rPr>
          <t>116295:</t>
        </r>
        <r>
          <rPr>
            <sz val="8"/>
            <color indexed="81"/>
            <rFont val="Tahoma"/>
            <family val="2"/>
          </rPr>
          <t xml:space="preserve">
Suitable to Procure 
No Fair Market Value
Non Mandatory
Call Vendor for Price</t>
        </r>
      </text>
    </comment>
    <comment ref="B1711" authorId="0">
      <text>
        <r>
          <rPr>
            <b/>
            <sz val="8"/>
            <color indexed="81"/>
            <rFont val="Tahoma"/>
            <family val="2"/>
          </rPr>
          <t>116295:</t>
        </r>
        <r>
          <rPr>
            <sz val="8"/>
            <color indexed="81"/>
            <rFont val="Tahoma"/>
            <family val="2"/>
          </rPr>
          <t xml:space="preserve">
New View Oklahoma
(405)232-4644</t>
        </r>
      </text>
    </comment>
    <comment ref="E1711" authorId="0">
      <text>
        <r>
          <rPr>
            <b/>
            <sz val="8"/>
            <color indexed="81"/>
            <rFont val="Tahoma"/>
            <family val="2"/>
          </rPr>
          <t>116295:</t>
        </r>
        <r>
          <rPr>
            <sz val="8"/>
            <color indexed="81"/>
            <rFont val="Tahoma"/>
            <family val="2"/>
          </rPr>
          <t xml:space="preserve">
Suitable to Procure 
No Fair Market Value
Non Mandatory
Call Vendor for Price</t>
        </r>
      </text>
    </comment>
    <comment ref="B1712" authorId="0">
      <text>
        <r>
          <rPr>
            <b/>
            <sz val="8"/>
            <color indexed="81"/>
            <rFont val="Tahoma"/>
            <family val="2"/>
          </rPr>
          <t>116295:</t>
        </r>
        <r>
          <rPr>
            <sz val="8"/>
            <color indexed="81"/>
            <rFont val="Tahoma"/>
            <family val="2"/>
          </rPr>
          <t xml:space="preserve">
New View Oklahoma
(405)232-4644</t>
        </r>
      </text>
    </comment>
    <comment ref="E1712" authorId="0">
      <text>
        <r>
          <rPr>
            <b/>
            <sz val="8"/>
            <color indexed="81"/>
            <rFont val="Tahoma"/>
            <family val="2"/>
          </rPr>
          <t>116295:</t>
        </r>
        <r>
          <rPr>
            <sz val="8"/>
            <color indexed="81"/>
            <rFont val="Tahoma"/>
            <family val="2"/>
          </rPr>
          <t xml:space="preserve">
Suitable to Procure 
No Fair Market Value
Non Mandatory
Call Vendor for Price</t>
        </r>
      </text>
    </comment>
    <comment ref="B1713" authorId="0">
      <text>
        <r>
          <rPr>
            <b/>
            <sz val="8"/>
            <color indexed="81"/>
            <rFont val="Tahoma"/>
            <family val="2"/>
          </rPr>
          <t>116295:</t>
        </r>
        <r>
          <rPr>
            <sz val="8"/>
            <color indexed="81"/>
            <rFont val="Tahoma"/>
            <family val="2"/>
          </rPr>
          <t xml:space="preserve">
New View Oklahoma
(405)232-4644</t>
        </r>
      </text>
    </comment>
    <comment ref="E1713" authorId="0">
      <text>
        <r>
          <rPr>
            <b/>
            <sz val="8"/>
            <color indexed="81"/>
            <rFont val="Tahoma"/>
            <family val="2"/>
          </rPr>
          <t>116295:</t>
        </r>
        <r>
          <rPr>
            <sz val="8"/>
            <color indexed="81"/>
            <rFont val="Tahoma"/>
            <family val="2"/>
          </rPr>
          <t xml:space="preserve">
Suitable to Procure 
No Fair Market Value
Non Mandatory
Call Vendor for Price</t>
        </r>
      </text>
    </comment>
    <comment ref="B1714" authorId="0">
      <text>
        <r>
          <rPr>
            <b/>
            <sz val="8"/>
            <color indexed="81"/>
            <rFont val="Tahoma"/>
            <family val="2"/>
          </rPr>
          <t>116295:</t>
        </r>
        <r>
          <rPr>
            <sz val="8"/>
            <color indexed="81"/>
            <rFont val="Tahoma"/>
            <family val="2"/>
          </rPr>
          <t xml:space="preserve">
New View Oklahoma
(405)232-4644</t>
        </r>
      </text>
    </comment>
    <comment ref="E1714" authorId="0">
      <text>
        <r>
          <rPr>
            <b/>
            <sz val="8"/>
            <color indexed="81"/>
            <rFont val="Tahoma"/>
            <family val="2"/>
          </rPr>
          <t>116295:</t>
        </r>
        <r>
          <rPr>
            <sz val="8"/>
            <color indexed="81"/>
            <rFont val="Tahoma"/>
            <family val="2"/>
          </rPr>
          <t xml:space="preserve">
Suitable to Procure 
No Fair Market Value
Non Mandatory
Call Vendor for Price</t>
        </r>
      </text>
    </comment>
    <comment ref="B1715" authorId="0">
      <text>
        <r>
          <rPr>
            <b/>
            <sz val="8"/>
            <color indexed="81"/>
            <rFont val="Tahoma"/>
            <family val="2"/>
          </rPr>
          <t>116295:</t>
        </r>
        <r>
          <rPr>
            <sz val="8"/>
            <color indexed="81"/>
            <rFont val="Tahoma"/>
            <family val="2"/>
          </rPr>
          <t xml:space="preserve">
Oklahoma Production Center
(918)456-1929</t>
        </r>
      </text>
    </comment>
    <comment ref="B1716" authorId="0">
      <text>
        <r>
          <rPr>
            <b/>
            <sz val="8"/>
            <color indexed="81"/>
            <rFont val="Tahoma"/>
            <family val="2"/>
          </rPr>
          <t>116295:</t>
        </r>
        <r>
          <rPr>
            <sz val="8"/>
            <color indexed="81"/>
            <rFont val="Tahoma"/>
            <family val="2"/>
          </rPr>
          <t xml:space="preserve">
Oklahoma Production Center
(918)456-1929</t>
        </r>
      </text>
    </comment>
    <comment ref="B1717" authorId="0">
      <text>
        <r>
          <rPr>
            <b/>
            <sz val="8"/>
            <color indexed="81"/>
            <rFont val="Tahoma"/>
            <family val="2"/>
          </rPr>
          <t>116295:</t>
        </r>
        <r>
          <rPr>
            <sz val="8"/>
            <color indexed="81"/>
            <rFont val="Tahoma"/>
            <family val="2"/>
          </rPr>
          <t xml:space="preserve">
Oklahoma Production Center
(918)456-1929</t>
        </r>
      </text>
    </comment>
    <comment ref="B1718" authorId="0">
      <text>
        <r>
          <rPr>
            <b/>
            <sz val="8"/>
            <color indexed="81"/>
            <rFont val="Tahoma"/>
            <family val="2"/>
          </rPr>
          <t>116295:</t>
        </r>
        <r>
          <rPr>
            <sz val="8"/>
            <color indexed="81"/>
            <rFont val="Tahoma"/>
            <family val="2"/>
          </rPr>
          <t xml:space="preserve">
Oklahoma Production Center
(918)456-1929</t>
        </r>
      </text>
    </comment>
    <comment ref="B1719" authorId="0">
      <text>
        <r>
          <rPr>
            <b/>
            <sz val="8"/>
            <color indexed="81"/>
            <rFont val="Tahoma"/>
            <family val="2"/>
          </rPr>
          <t>116295:</t>
        </r>
        <r>
          <rPr>
            <sz val="8"/>
            <color indexed="81"/>
            <rFont val="Tahoma"/>
            <family val="2"/>
          </rPr>
          <t xml:space="preserve">
Oklahoma Production Center
(918)456-1929</t>
        </r>
      </text>
    </comment>
    <comment ref="B1720" authorId="0">
      <text>
        <r>
          <rPr>
            <b/>
            <sz val="8"/>
            <color indexed="81"/>
            <rFont val="Tahoma"/>
            <family val="2"/>
          </rPr>
          <t>116295:</t>
        </r>
        <r>
          <rPr>
            <sz val="8"/>
            <color indexed="81"/>
            <rFont val="Tahoma"/>
            <family val="2"/>
          </rPr>
          <t xml:space="preserve">
Oklahoma Production Center
(918)456-1929</t>
        </r>
      </text>
    </comment>
    <comment ref="B1721" authorId="0">
      <text>
        <r>
          <rPr>
            <b/>
            <sz val="8"/>
            <color indexed="81"/>
            <rFont val="Tahoma"/>
            <family val="2"/>
          </rPr>
          <t>116295:</t>
        </r>
        <r>
          <rPr>
            <sz val="8"/>
            <color indexed="81"/>
            <rFont val="Tahoma"/>
            <family val="2"/>
          </rPr>
          <t xml:space="preserve">
Oklahoma Production Center
(918)456-1929</t>
        </r>
      </text>
    </comment>
    <comment ref="B1722" authorId="0">
      <text>
        <r>
          <rPr>
            <b/>
            <sz val="8"/>
            <color indexed="81"/>
            <rFont val="Tahoma"/>
            <family val="2"/>
          </rPr>
          <t>116295:</t>
        </r>
        <r>
          <rPr>
            <sz val="8"/>
            <color indexed="81"/>
            <rFont val="Tahoma"/>
            <family val="2"/>
          </rPr>
          <t xml:space="preserve">
Oklahoma Production Center
(918)456-1929</t>
        </r>
      </text>
    </comment>
    <comment ref="B1723" authorId="0">
      <text>
        <r>
          <rPr>
            <b/>
            <sz val="8"/>
            <color indexed="81"/>
            <rFont val="Tahoma"/>
            <family val="2"/>
          </rPr>
          <t>116295:</t>
        </r>
        <r>
          <rPr>
            <sz val="8"/>
            <color indexed="81"/>
            <rFont val="Tahoma"/>
            <family val="2"/>
          </rPr>
          <t xml:space="preserve">
Oklahoma Production Center
(918)456-1929</t>
        </r>
      </text>
    </comment>
    <comment ref="B1724" authorId="0">
      <text>
        <r>
          <rPr>
            <b/>
            <sz val="8"/>
            <color indexed="81"/>
            <rFont val="Tahoma"/>
            <family val="2"/>
          </rPr>
          <t>116295:</t>
        </r>
        <r>
          <rPr>
            <sz val="8"/>
            <color indexed="81"/>
            <rFont val="Tahoma"/>
            <family val="2"/>
          </rPr>
          <t xml:space="preserve">
Oklahoma Production Center
(918)456-1929</t>
        </r>
      </text>
    </comment>
    <comment ref="B1725" authorId="0">
      <text>
        <r>
          <rPr>
            <b/>
            <sz val="8"/>
            <color indexed="81"/>
            <rFont val="Tahoma"/>
            <family val="2"/>
          </rPr>
          <t>116295:</t>
        </r>
        <r>
          <rPr>
            <sz val="8"/>
            <color indexed="81"/>
            <rFont val="Tahoma"/>
            <family val="2"/>
          </rPr>
          <t xml:space="preserve">
Oklahoma Production Center
(918)456-1929</t>
        </r>
      </text>
    </comment>
    <comment ref="B1726" authorId="0">
      <text>
        <r>
          <rPr>
            <b/>
            <sz val="8"/>
            <color indexed="81"/>
            <rFont val="Tahoma"/>
            <family val="2"/>
          </rPr>
          <t>116295:</t>
        </r>
        <r>
          <rPr>
            <sz val="8"/>
            <color indexed="81"/>
            <rFont val="Tahoma"/>
            <family val="2"/>
          </rPr>
          <t xml:space="preserve">
Oklahoma Production Center
(918)456-1929</t>
        </r>
      </text>
    </comment>
    <comment ref="B1727" authorId="0">
      <text>
        <r>
          <rPr>
            <b/>
            <sz val="8"/>
            <color indexed="81"/>
            <rFont val="Tahoma"/>
            <family val="2"/>
          </rPr>
          <t>116295:</t>
        </r>
        <r>
          <rPr>
            <sz val="8"/>
            <color indexed="81"/>
            <rFont val="Tahoma"/>
            <family val="2"/>
          </rPr>
          <t xml:space="preserve">
Oklahoma Production Center
(918)456-1929</t>
        </r>
      </text>
    </comment>
    <comment ref="B1728" authorId="0">
      <text>
        <r>
          <rPr>
            <b/>
            <sz val="8"/>
            <color indexed="81"/>
            <rFont val="Tahoma"/>
            <family val="2"/>
          </rPr>
          <t>116295:</t>
        </r>
        <r>
          <rPr>
            <sz val="8"/>
            <color indexed="81"/>
            <rFont val="Tahoma"/>
            <family val="2"/>
          </rPr>
          <t xml:space="preserve">
Oklahoma Production Center
(918)456-1929</t>
        </r>
      </text>
    </comment>
    <comment ref="B1729" authorId="0">
      <text>
        <r>
          <rPr>
            <b/>
            <sz val="8"/>
            <color indexed="81"/>
            <rFont val="Tahoma"/>
            <family val="2"/>
          </rPr>
          <t>116295:</t>
        </r>
        <r>
          <rPr>
            <sz val="8"/>
            <color indexed="81"/>
            <rFont val="Tahoma"/>
            <family val="2"/>
          </rPr>
          <t xml:space="preserve">
Oklahoma Production Center
(918)456-1929</t>
        </r>
      </text>
    </comment>
    <comment ref="B1730" authorId="0">
      <text>
        <r>
          <rPr>
            <b/>
            <sz val="8"/>
            <color indexed="81"/>
            <rFont val="Tahoma"/>
            <family val="2"/>
          </rPr>
          <t>116295:</t>
        </r>
        <r>
          <rPr>
            <sz val="8"/>
            <color indexed="81"/>
            <rFont val="Tahoma"/>
            <family val="2"/>
          </rPr>
          <t xml:space="preserve">
Oklahoma Production Center
(918)456-1929</t>
        </r>
      </text>
    </comment>
    <comment ref="B1731" authorId="0">
      <text>
        <r>
          <rPr>
            <b/>
            <sz val="8"/>
            <color indexed="81"/>
            <rFont val="Tahoma"/>
            <family val="2"/>
          </rPr>
          <t>116295:</t>
        </r>
        <r>
          <rPr>
            <sz val="8"/>
            <color indexed="81"/>
            <rFont val="Tahoma"/>
            <family val="2"/>
          </rPr>
          <t xml:space="preserve">
Oklahoma Production Center
(918)456-1929</t>
        </r>
      </text>
    </comment>
    <comment ref="E1731" authorId="0">
      <text>
        <r>
          <rPr>
            <b/>
            <sz val="8"/>
            <color indexed="81"/>
            <rFont val="Tahoma"/>
            <family val="2"/>
          </rPr>
          <t>116295:</t>
        </r>
        <r>
          <rPr>
            <sz val="8"/>
            <color indexed="81"/>
            <rFont val="Tahoma"/>
            <family val="2"/>
          </rPr>
          <t xml:space="preserve">
Suitable to Procure 
No Fair Market Value
Non Mandatory
Call Vendor for Price</t>
        </r>
      </text>
    </comment>
    <comment ref="B1732" authorId="0">
      <text>
        <r>
          <rPr>
            <b/>
            <sz val="8"/>
            <color indexed="81"/>
            <rFont val="Tahoma"/>
            <family val="2"/>
          </rPr>
          <t>116295:</t>
        </r>
        <r>
          <rPr>
            <sz val="8"/>
            <color indexed="81"/>
            <rFont val="Tahoma"/>
            <family val="2"/>
          </rPr>
          <t xml:space="preserve">
Oklahoma Production Center
(918)456-1929</t>
        </r>
      </text>
    </comment>
    <comment ref="E1732" authorId="0">
      <text>
        <r>
          <rPr>
            <b/>
            <sz val="8"/>
            <color indexed="81"/>
            <rFont val="Tahoma"/>
            <family val="2"/>
          </rPr>
          <t>116295:</t>
        </r>
        <r>
          <rPr>
            <sz val="8"/>
            <color indexed="81"/>
            <rFont val="Tahoma"/>
            <family val="2"/>
          </rPr>
          <t xml:space="preserve">
Suitable to Procure 
No Fair Market Value
Non Mandatory
Call Vendor for Price</t>
        </r>
      </text>
    </comment>
    <comment ref="B1733" authorId="0">
      <text>
        <r>
          <rPr>
            <b/>
            <sz val="8"/>
            <color indexed="81"/>
            <rFont val="Tahoma"/>
            <family val="2"/>
          </rPr>
          <t>116295:</t>
        </r>
        <r>
          <rPr>
            <sz val="8"/>
            <color indexed="81"/>
            <rFont val="Tahoma"/>
            <family val="2"/>
          </rPr>
          <t xml:space="preserve">
Oklahoma Production Center
(918)456-1929</t>
        </r>
      </text>
    </comment>
    <comment ref="E1733" authorId="0">
      <text>
        <r>
          <rPr>
            <b/>
            <sz val="8"/>
            <color indexed="81"/>
            <rFont val="Tahoma"/>
            <family val="2"/>
          </rPr>
          <t>116295:</t>
        </r>
        <r>
          <rPr>
            <sz val="8"/>
            <color indexed="81"/>
            <rFont val="Tahoma"/>
            <family val="2"/>
          </rPr>
          <t xml:space="preserve">
Suitable to Procure 
No Fair Market Value
Non Mandatory
Call Vendor for Price</t>
        </r>
      </text>
    </comment>
    <comment ref="B1734" authorId="0">
      <text>
        <r>
          <rPr>
            <b/>
            <sz val="8"/>
            <color indexed="81"/>
            <rFont val="Tahoma"/>
            <family val="2"/>
          </rPr>
          <t>116295:</t>
        </r>
        <r>
          <rPr>
            <sz val="8"/>
            <color indexed="81"/>
            <rFont val="Tahoma"/>
            <family val="2"/>
          </rPr>
          <t xml:space="preserve">
Oklahoma Production Center
(918)456-1929</t>
        </r>
      </text>
    </comment>
    <comment ref="E1734" authorId="0">
      <text>
        <r>
          <rPr>
            <b/>
            <sz val="8"/>
            <color indexed="81"/>
            <rFont val="Tahoma"/>
            <family val="2"/>
          </rPr>
          <t>116295:</t>
        </r>
        <r>
          <rPr>
            <sz val="8"/>
            <color indexed="81"/>
            <rFont val="Tahoma"/>
            <family val="2"/>
          </rPr>
          <t xml:space="preserve">
Suitable to Procure 
No Fair Market Value
Non Mandatory
Call Vendor for Price</t>
        </r>
      </text>
    </comment>
    <comment ref="B1735" authorId="0">
      <text>
        <r>
          <rPr>
            <b/>
            <sz val="8"/>
            <color indexed="81"/>
            <rFont val="Tahoma"/>
            <family val="2"/>
          </rPr>
          <t>116295:</t>
        </r>
        <r>
          <rPr>
            <sz val="8"/>
            <color indexed="81"/>
            <rFont val="Tahoma"/>
            <family val="2"/>
          </rPr>
          <t xml:space="preserve">
Oklahoma Production Center
(918)456-1929</t>
        </r>
      </text>
    </comment>
    <comment ref="E1735" authorId="0">
      <text>
        <r>
          <rPr>
            <b/>
            <sz val="8"/>
            <color indexed="81"/>
            <rFont val="Tahoma"/>
            <family val="2"/>
          </rPr>
          <t>116295:</t>
        </r>
        <r>
          <rPr>
            <sz val="8"/>
            <color indexed="81"/>
            <rFont val="Tahoma"/>
            <family val="2"/>
          </rPr>
          <t xml:space="preserve">
Suitable to Procure 
No Fair Market Value
Non Mandatory
Call Vendor for Price</t>
        </r>
      </text>
    </comment>
    <comment ref="B1736" authorId="0">
      <text>
        <r>
          <rPr>
            <b/>
            <sz val="8"/>
            <color indexed="81"/>
            <rFont val="Tahoma"/>
            <family val="2"/>
          </rPr>
          <t>116295:</t>
        </r>
        <r>
          <rPr>
            <sz val="8"/>
            <color indexed="81"/>
            <rFont val="Tahoma"/>
            <family val="2"/>
          </rPr>
          <t xml:space="preserve">
Oklahoma Production Center
(918)456-1929</t>
        </r>
      </text>
    </comment>
    <comment ref="E1736" authorId="0">
      <text>
        <r>
          <rPr>
            <b/>
            <sz val="8"/>
            <color indexed="81"/>
            <rFont val="Tahoma"/>
            <family val="2"/>
          </rPr>
          <t>116295:</t>
        </r>
        <r>
          <rPr>
            <sz val="8"/>
            <color indexed="81"/>
            <rFont val="Tahoma"/>
            <family val="2"/>
          </rPr>
          <t xml:space="preserve">
Suitable to Procure 
No Fair Market Value
Non Mandatory
Call Vendor for Price</t>
        </r>
      </text>
    </comment>
    <comment ref="B1737" authorId="0">
      <text>
        <r>
          <rPr>
            <b/>
            <sz val="8"/>
            <color indexed="81"/>
            <rFont val="Tahoma"/>
            <family val="2"/>
          </rPr>
          <t>116295:</t>
        </r>
        <r>
          <rPr>
            <sz val="8"/>
            <color indexed="81"/>
            <rFont val="Tahoma"/>
            <family val="2"/>
          </rPr>
          <t xml:space="preserve">
Oklahoma Production Center
(918)456-1929</t>
        </r>
      </text>
    </comment>
    <comment ref="E1737" authorId="0">
      <text>
        <r>
          <rPr>
            <b/>
            <sz val="8"/>
            <color indexed="81"/>
            <rFont val="Tahoma"/>
            <family val="2"/>
          </rPr>
          <t>116295:</t>
        </r>
        <r>
          <rPr>
            <sz val="8"/>
            <color indexed="81"/>
            <rFont val="Tahoma"/>
            <family val="2"/>
          </rPr>
          <t xml:space="preserve">
Suitable to Procure 
No Fair Market Value
Non Mandatory
Call Vendor for Price</t>
        </r>
      </text>
    </comment>
    <comment ref="B1738" authorId="0">
      <text>
        <r>
          <rPr>
            <b/>
            <sz val="8"/>
            <color indexed="81"/>
            <rFont val="Tahoma"/>
            <family val="2"/>
          </rPr>
          <t>116295:</t>
        </r>
        <r>
          <rPr>
            <sz val="8"/>
            <color indexed="81"/>
            <rFont val="Tahoma"/>
            <family val="2"/>
          </rPr>
          <t xml:space="preserve">
Opportunity Center
(580)765-6782</t>
        </r>
      </text>
    </comment>
    <comment ref="B1739" authorId="0">
      <text>
        <r>
          <rPr>
            <b/>
            <sz val="8"/>
            <color indexed="81"/>
            <rFont val="Tahoma"/>
            <family val="2"/>
          </rPr>
          <t>116295:</t>
        </r>
        <r>
          <rPr>
            <sz val="8"/>
            <color indexed="81"/>
            <rFont val="Tahoma"/>
            <family val="2"/>
          </rPr>
          <t xml:space="preserve">
Opportunity Center
(580)765-6782</t>
        </r>
      </text>
    </comment>
    <comment ref="B1740" authorId="0">
      <text>
        <r>
          <rPr>
            <b/>
            <sz val="8"/>
            <color indexed="81"/>
            <rFont val="Tahoma"/>
            <family val="2"/>
          </rPr>
          <t>116295:</t>
        </r>
        <r>
          <rPr>
            <sz val="8"/>
            <color indexed="81"/>
            <rFont val="Tahoma"/>
            <family val="2"/>
          </rPr>
          <t xml:space="preserve">
Opportunity Center
(580)765-6782</t>
        </r>
      </text>
    </comment>
    <comment ref="B1741" authorId="0">
      <text>
        <r>
          <rPr>
            <b/>
            <sz val="8"/>
            <color indexed="81"/>
            <rFont val="Tahoma"/>
            <family val="2"/>
          </rPr>
          <t>116295:</t>
        </r>
        <r>
          <rPr>
            <sz val="8"/>
            <color indexed="81"/>
            <rFont val="Tahoma"/>
            <family val="2"/>
          </rPr>
          <t xml:space="preserve">
Opportunity Center
(580)765-6782</t>
        </r>
      </text>
    </comment>
    <comment ref="E1741" authorId="0">
      <text>
        <r>
          <rPr>
            <b/>
            <sz val="8"/>
            <color indexed="81"/>
            <rFont val="Tahoma"/>
            <family val="2"/>
          </rPr>
          <t>116295:</t>
        </r>
        <r>
          <rPr>
            <sz val="8"/>
            <color indexed="81"/>
            <rFont val="Tahoma"/>
            <family val="2"/>
          </rPr>
          <t xml:space="preserve">
Suitable to Procure 
No Fair Market Value
Non Mandatory
Call Vendor for Price</t>
        </r>
      </text>
    </comment>
    <comment ref="B1742" authorId="0">
      <text>
        <r>
          <rPr>
            <b/>
            <sz val="8"/>
            <color indexed="81"/>
            <rFont val="Tahoma"/>
            <family val="2"/>
          </rPr>
          <t>116295:</t>
        </r>
        <r>
          <rPr>
            <sz val="8"/>
            <color indexed="81"/>
            <rFont val="Tahoma"/>
            <family val="2"/>
          </rPr>
          <t xml:space="preserve">
Opportunity Center
(580)765-6782</t>
        </r>
      </text>
    </comment>
    <comment ref="E1742" authorId="0">
      <text>
        <r>
          <rPr>
            <b/>
            <sz val="8"/>
            <color indexed="81"/>
            <rFont val="Tahoma"/>
            <family val="2"/>
          </rPr>
          <t>116295:</t>
        </r>
        <r>
          <rPr>
            <sz val="8"/>
            <color indexed="81"/>
            <rFont val="Tahoma"/>
            <family val="2"/>
          </rPr>
          <t xml:space="preserve">
Suitable to Procure 
No Fair Market Value
Non Mandatory
Call Vendor for Price</t>
        </r>
      </text>
    </comment>
    <comment ref="B1743" authorId="0">
      <text>
        <r>
          <rPr>
            <b/>
            <sz val="8"/>
            <color indexed="81"/>
            <rFont val="Tahoma"/>
            <family val="2"/>
          </rPr>
          <t>116295:</t>
        </r>
        <r>
          <rPr>
            <sz val="8"/>
            <color indexed="81"/>
            <rFont val="Tahoma"/>
            <family val="2"/>
          </rPr>
          <t xml:space="preserve">
Opportunity Center
(580)765-6782</t>
        </r>
      </text>
    </comment>
    <comment ref="E1743" authorId="0">
      <text>
        <r>
          <rPr>
            <b/>
            <sz val="8"/>
            <color indexed="81"/>
            <rFont val="Tahoma"/>
            <family val="2"/>
          </rPr>
          <t>116295:</t>
        </r>
        <r>
          <rPr>
            <sz val="8"/>
            <color indexed="81"/>
            <rFont val="Tahoma"/>
            <family val="2"/>
          </rPr>
          <t xml:space="preserve">
Suitable to Procure 
No Fair Market Value
Non Mandatory
Call Vendor for Price</t>
        </r>
      </text>
    </comment>
    <comment ref="B1744" authorId="0">
      <text>
        <r>
          <rPr>
            <b/>
            <sz val="8"/>
            <color indexed="81"/>
            <rFont val="Tahoma"/>
            <family val="2"/>
          </rPr>
          <t>116295:</t>
        </r>
        <r>
          <rPr>
            <sz val="8"/>
            <color indexed="81"/>
            <rFont val="Tahoma"/>
            <family val="2"/>
          </rPr>
          <t xml:space="preserve">
Opportunity Center
(580)765-6782</t>
        </r>
      </text>
    </comment>
    <comment ref="E1744" authorId="0">
      <text>
        <r>
          <rPr>
            <b/>
            <sz val="8"/>
            <color indexed="81"/>
            <rFont val="Tahoma"/>
            <family val="2"/>
          </rPr>
          <t>116295:</t>
        </r>
        <r>
          <rPr>
            <sz val="8"/>
            <color indexed="81"/>
            <rFont val="Tahoma"/>
            <family val="2"/>
          </rPr>
          <t xml:space="preserve">
Suitable to Procure 
No Fair Market Value
Non Mandatory
Call Vendor for Price</t>
        </r>
      </text>
    </comment>
    <comment ref="B1745" authorId="0">
      <text>
        <r>
          <rPr>
            <b/>
            <sz val="8"/>
            <color indexed="81"/>
            <rFont val="Tahoma"/>
            <family val="2"/>
          </rPr>
          <t>116295:</t>
        </r>
        <r>
          <rPr>
            <sz val="8"/>
            <color indexed="81"/>
            <rFont val="Tahoma"/>
            <family val="2"/>
          </rPr>
          <t xml:space="preserve">
Opportunity Center
(580)765-6782</t>
        </r>
      </text>
    </comment>
    <comment ref="E1745" authorId="0">
      <text>
        <r>
          <rPr>
            <b/>
            <sz val="8"/>
            <color indexed="81"/>
            <rFont val="Tahoma"/>
            <family val="2"/>
          </rPr>
          <t>116295:</t>
        </r>
        <r>
          <rPr>
            <sz val="8"/>
            <color indexed="81"/>
            <rFont val="Tahoma"/>
            <family val="2"/>
          </rPr>
          <t xml:space="preserve">
Suitable to Procure 
No Fair Market Value
Non Mandatory
Call Vendor for Price</t>
        </r>
      </text>
    </comment>
    <comment ref="B1746" authorId="0">
      <text>
        <r>
          <rPr>
            <b/>
            <sz val="8"/>
            <color indexed="81"/>
            <rFont val="Tahoma"/>
            <family val="2"/>
          </rPr>
          <t>116295:</t>
        </r>
        <r>
          <rPr>
            <sz val="8"/>
            <color indexed="81"/>
            <rFont val="Tahoma"/>
            <family val="2"/>
          </rPr>
          <t xml:space="preserve">
Opportunity Center
(580)765-6782</t>
        </r>
      </text>
    </comment>
    <comment ref="E1746" authorId="0">
      <text>
        <r>
          <rPr>
            <b/>
            <sz val="8"/>
            <color indexed="81"/>
            <rFont val="Tahoma"/>
            <family val="2"/>
          </rPr>
          <t>116295:</t>
        </r>
        <r>
          <rPr>
            <sz val="8"/>
            <color indexed="81"/>
            <rFont val="Tahoma"/>
            <family val="2"/>
          </rPr>
          <t xml:space="preserve">
Suitable to Procure 
No Fair Market Value
Non Mandatory
Call Vendor for Price</t>
        </r>
      </text>
    </comment>
    <comment ref="B1747" authorId="0">
      <text>
        <r>
          <rPr>
            <b/>
            <sz val="8"/>
            <color indexed="81"/>
            <rFont val="Tahoma"/>
            <family val="2"/>
          </rPr>
          <t>116295:</t>
        </r>
        <r>
          <rPr>
            <sz val="8"/>
            <color indexed="81"/>
            <rFont val="Tahoma"/>
            <family val="2"/>
          </rPr>
          <t xml:space="preserve">
Opportunity Center
(580)765-6782</t>
        </r>
      </text>
    </comment>
    <comment ref="E1747" authorId="0">
      <text>
        <r>
          <rPr>
            <b/>
            <sz val="8"/>
            <color indexed="81"/>
            <rFont val="Tahoma"/>
            <family val="2"/>
          </rPr>
          <t>116295:</t>
        </r>
        <r>
          <rPr>
            <sz val="8"/>
            <color indexed="81"/>
            <rFont val="Tahoma"/>
            <family val="2"/>
          </rPr>
          <t xml:space="preserve">
Suitable to Procure 
No Fair Market Value
Non Mandatory
Call Vendor for Price</t>
        </r>
      </text>
    </comment>
    <comment ref="B1748" authorId="0">
      <text>
        <r>
          <rPr>
            <b/>
            <sz val="8"/>
            <color indexed="81"/>
            <rFont val="Tahoma"/>
            <family val="2"/>
          </rPr>
          <t>116295:</t>
        </r>
        <r>
          <rPr>
            <sz val="8"/>
            <color indexed="81"/>
            <rFont val="Tahoma"/>
            <family val="2"/>
          </rPr>
          <t xml:space="preserve">
Opportunity Center
(580)765-6782</t>
        </r>
      </text>
    </comment>
    <comment ref="E1748" authorId="0">
      <text>
        <r>
          <rPr>
            <b/>
            <sz val="8"/>
            <color indexed="81"/>
            <rFont val="Tahoma"/>
            <family val="2"/>
          </rPr>
          <t>116295:</t>
        </r>
        <r>
          <rPr>
            <sz val="8"/>
            <color indexed="81"/>
            <rFont val="Tahoma"/>
            <family val="2"/>
          </rPr>
          <t xml:space="preserve">
Suitable to Procure 
No Fair Market Value
Non Mandatory
Call Vendor for Price</t>
        </r>
      </text>
    </comment>
    <comment ref="B1749" authorId="0">
      <text>
        <r>
          <rPr>
            <b/>
            <sz val="8"/>
            <color indexed="81"/>
            <rFont val="Tahoma"/>
            <family val="2"/>
          </rPr>
          <t>116295:</t>
        </r>
        <r>
          <rPr>
            <sz val="8"/>
            <color indexed="81"/>
            <rFont val="Tahoma"/>
            <family val="2"/>
          </rPr>
          <t xml:space="preserve">
Opportunity Center
(580)765-6782</t>
        </r>
      </text>
    </comment>
    <comment ref="E1749"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0" authorId="0">
      <text>
        <r>
          <rPr>
            <b/>
            <sz val="8"/>
            <color indexed="81"/>
            <rFont val="Tahoma"/>
            <family val="2"/>
          </rPr>
          <t>116295:</t>
        </r>
        <r>
          <rPr>
            <sz val="8"/>
            <color indexed="81"/>
            <rFont val="Tahoma"/>
            <family val="2"/>
          </rPr>
          <t xml:space="preserve">
Opportunity Center
(580)765-6782</t>
        </r>
      </text>
    </comment>
    <comment ref="E1750"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1" authorId="0">
      <text>
        <r>
          <rPr>
            <b/>
            <sz val="8"/>
            <color indexed="81"/>
            <rFont val="Tahoma"/>
            <family val="2"/>
          </rPr>
          <t>116295:</t>
        </r>
        <r>
          <rPr>
            <sz val="8"/>
            <color indexed="81"/>
            <rFont val="Tahoma"/>
            <family val="2"/>
          </rPr>
          <t xml:space="preserve">
Opportunity Center
(580)765-6782</t>
        </r>
      </text>
    </comment>
    <comment ref="E1751"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2" authorId="0">
      <text>
        <r>
          <rPr>
            <b/>
            <sz val="8"/>
            <color indexed="81"/>
            <rFont val="Tahoma"/>
            <family val="2"/>
          </rPr>
          <t>116295:</t>
        </r>
        <r>
          <rPr>
            <sz val="8"/>
            <color indexed="81"/>
            <rFont val="Tahoma"/>
            <family val="2"/>
          </rPr>
          <t xml:space="preserve">
Opportunity Center
(580)765-6782</t>
        </r>
      </text>
    </comment>
    <comment ref="E1752"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3" authorId="0">
      <text>
        <r>
          <rPr>
            <b/>
            <sz val="8"/>
            <color indexed="81"/>
            <rFont val="Tahoma"/>
            <family val="2"/>
          </rPr>
          <t>116295:</t>
        </r>
        <r>
          <rPr>
            <sz val="8"/>
            <color indexed="81"/>
            <rFont val="Tahoma"/>
            <family val="2"/>
          </rPr>
          <t xml:space="preserve">
Opportunity Center
(580)765-6782</t>
        </r>
      </text>
    </comment>
    <comment ref="E1753"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4" authorId="0">
      <text>
        <r>
          <rPr>
            <b/>
            <sz val="8"/>
            <color indexed="81"/>
            <rFont val="Tahoma"/>
            <family val="2"/>
          </rPr>
          <t>116295:</t>
        </r>
        <r>
          <rPr>
            <sz val="8"/>
            <color indexed="81"/>
            <rFont val="Tahoma"/>
            <family val="2"/>
          </rPr>
          <t xml:space="preserve">
Opportunity Center
(580)765-6782</t>
        </r>
      </text>
    </comment>
    <comment ref="E1754"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5" authorId="0">
      <text>
        <r>
          <rPr>
            <b/>
            <sz val="8"/>
            <color indexed="81"/>
            <rFont val="Tahoma"/>
            <family val="2"/>
          </rPr>
          <t>116295:</t>
        </r>
        <r>
          <rPr>
            <sz val="8"/>
            <color indexed="81"/>
            <rFont val="Tahoma"/>
            <family val="2"/>
          </rPr>
          <t xml:space="preserve">
Opportunity Center
(580)765-6782</t>
        </r>
      </text>
    </comment>
    <comment ref="E1755"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6" authorId="0">
      <text>
        <r>
          <rPr>
            <b/>
            <sz val="8"/>
            <color indexed="81"/>
            <rFont val="Tahoma"/>
            <family val="2"/>
          </rPr>
          <t>116295:</t>
        </r>
        <r>
          <rPr>
            <sz val="8"/>
            <color indexed="81"/>
            <rFont val="Tahoma"/>
            <family val="2"/>
          </rPr>
          <t xml:space="preserve">
Opportunity Center
(580)765-6782</t>
        </r>
      </text>
    </comment>
    <comment ref="E1756"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7" authorId="0">
      <text>
        <r>
          <rPr>
            <b/>
            <sz val="8"/>
            <color indexed="81"/>
            <rFont val="Tahoma"/>
            <family val="2"/>
          </rPr>
          <t>116295:</t>
        </r>
        <r>
          <rPr>
            <sz val="8"/>
            <color indexed="81"/>
            <rFont val="Tahoma"/>
            <family val="2"/>
          </rPr>
          <t xml:space="preserve">
Opportunity Center
(580)765-6782</t>
        </r>
      </text>
    </comment>
    <comment ref="E1757"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8" authorId="0">
      <text>
        <r>
          <rPr>
            <b/>
            <sz val="8"/>
            <color indexed="81"/>
            <rFont val="Tahoma"/>
            <family val="2"/>
          </rPr>
          <t>116295:</t>
        </r>
        <r>
          <rPr>
            <sz val="8"/>
            <color indexed="81"/>
            <rFont val="Tahoma"/>
            <family val="2"/>
          </rPr>
          <t xml:space="preserve">
Opportunity Center
(580)765-6782</t>
        </r>
      </text>
    </comment>
    <comment ref="E1758"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9" authorId="0">
      <text>
        <r>
          <rPr>
            <b/>
            <sz val="8"/>
            <color indexed="81"/>
            <rFont val="Tahoma"/>
            <family val="2"/>
          </rPr>
          <t>116295:</t>
        </r>
        <r>
          <rPr>
            <sz val="8"/>
            <color indexed="81"/>
            <rFont val="Tahoma"/>
            <family val="2"/>
          </rPr>
          <t xml:space="preserve">
Opportunity Center
(580)765-6782</t>
        </r>
      </text>
    </comment>
    <comment ref="E1759" authorId="0">
      <text>
        <r>
          <rPr>
            <b/>
            <sz val="8"/>
            <color indexed="81"/>
            <rFont val="Tahoma"/>
            <family val="2"/>
          </rPr>
          <t>116295:</t>
        </r>
        <r>
          <rPr>
            <sz val="8"/>
            <color indexed="81"/>
            <rFont val="Tahoma"/>
            <family val="2"/>
          </rPr>
          <t xml:space="preserve">
Suitable to Procure 
No Fair Market Value
Non Mandatory
Call Vendor for Price</t>
        </r>
      </text>
    </comment>
    <comment ref="B1760" authorId="0">
      <text>
        <r>
          <rPr>
            <b/>
            <sz val="8"/>
            <color indexed="81"/>
            <rFont val="Tahoma"/>
            <family val="2"/>
          </rPr>
          <t>116295:</t>
        </r>
        <r>
          <rPr>
            <sz val="8"/>
            <color indexed="81"/>
            <rFont val="Tahoma"/>
            <family val="2"/>
          </rPr>
          <t xml:space="preserve">
Options Inc.
(918)473-2614</t>
        </r>
      </text>
    </comment>
    <comment ref="B1761" authorId="0">
      <text>
        <r>
          <rPr>
            <b/>
            <sz val="8"/>
            <color indexed="81"/>
            <rFont val="Tahoma"/>
            <family val="2"/>
          </rPr>
          <t>116295:</t>
        </r>
        <r>
          <rPr>
            <sz val="8"/>
            <color indexed="81"/>
            <rFont val="Tahoma"/>
            <family val="2"/>
          </rPr>
          <t xml:space="preserve">
Options Inc.
(918)473-2614</t>
        </r>
      </text>
    </comment>
    <comment ref="B1762" authorId="0">
      <text>
        <r>
          <rPr>
            <b/>
            <sz val="8"/>
            <color indexed="81"/>
            <rFont val="Tahoma"/>
            <family val="2"/>
          </rPr>
          <t>116295:</t>
        </r>
        <r>
          <rPr>
            <sz val="8"/>
            <color indexed="81"/>
            <rFont val="Tahoma"/>
            <family val="2"/>
          </rPr>
          <t xml:space="preserve">
Options Inc.
(918)473-2614</t>
        </r>
      </text>
    </comment>
    <comment ref="E1762" authorId="0">
      <text>
        <r>
          <rPr>
            <b/>
            <sz val="8"/>
            <color indexed="81"/>
            <rFont val="Tahoma"/>
            <family val="2"/>
          </rPr>
          <t>116295:</t>
        </r>
        <r>
          <rPr>
            <sz val="8"/>
            <color indexed="81"/>
            <rFont val="Tahoma"/>
            <family val="2"/>
          </rPr>
          <t xml:space="preserve">
Suitable to Procure 
No Fair Market Value
Non Mandatory
Call Vendor for Price</t>
        </r>
      </text>
    </comment>
    <comment ref="B1763" authorId="0">
      <text>
        <r>
          <rPr>
            <b/>
            <sz val="8"/>
            <color indexed="81"/>
            <rFont val="Tahoma"/>
            <family val="2"/>
          </rPr>
          <t>116295:</t>
        </r>
        <r>
          <rPr>
            <sz val="8"/>
            <color indexed="81"/>
            <rFont val="Tahoma"/>
            <family val="2"/>
          </rPr>
          <t xml:space="preserve">
Options Inc.
(918)473-2614</t>
        </r>
      </text>
    </comment>
    <comment ref="E1763" authorId="0">
      <text>
        <r>
          <rPr>
            <b/>
            <sz val="8"/>
            <color indexed="81"/>
            <rFont val="Tahoma"/>
            <family val="2"/>
          </rPr>
          <t>116295:</t>
        </r>
        <r>
          <rPr>
            <sz val="8"/>
            <color indexed="81"/>
            <rFont val="Tahoma"/>
            <family val="2"/>
          </rPr>
          <t xml:space="preserve">
Suitable to Procure 
No Fair Market Value
Non Mandatory
Call Vendor for Price</t>
        </r>
      </text>
    </comment>
    <comment ref="B1764" authorId="0">
      <text>
        <r>
          <rPr>
            <b/>
            <sz val="8"/>
            <color indexed="81"/>
            <rFont val="Tahoma"/>
            <family val="2"/>
          </rPr>
          <t>116295:</t>
        </r>
        <r>
          <rPr>
            <sz val="8"/>
            <color indexed="81"/>
            <rFont val="Tahoma"/>
            <family val="2"/>
          </rPr>
          <t xml:space="preserve">
Options Inc.
(918)473-2614</t>
        </r>
      </text>
    </comment>
    <comment ref="E1764" authorId="0">
      <text>
        <r>
          <rPr>
            <b/>
            <sz val="8"/>
            <color indexed="81"/>
            <rFont val="Tahoma"/>
            <family val="2"/>
          </rPr>
          <t>116295:</t>
        </r>
        <r>
          <rPr>
            <sz val="8"/>
            <color indexed="81"/>
            <rFont val="Tahoma"/>
            <family val="2"/>
          </rPr>
          <t xml:space="preserve">
Suitable to Procure 
No Fair Market Value
Non Mandatory
Call Vendor for Price</t>
        </r>
      </text>
    </comment>
    <comment ref="B1765" authorId="0">
      <text>
        <r>
          <rPr>
            <b/>
            <sz val="8"/>
            <color indexed="81"/>
            <rFont val="Tahoma"/>
            <family val="2"/>
          </rPr>
          <t>116295:</t>
        </r>
        <r>
          <rPr>
            <sz val="8"/>
            <color indexed="81"/>
            <rFont val="Tahoma"/>
            <family val="2"/>
          </rPr>
          <t xml:space="preserve">
Options Inc.
(918)473-2614</t>
        </r>
      </text>
    </comment>
    <comment ref="E1765" authorId="0">
      <text>
        <r>
          <rPr>
            <b/>
            <sz val="8"/>
            <color indexed="81"/>
            <rFont val="Tahoma"/>
            <family val="2"/>
          </rPr>
          <t>116295:</t>
        </r>
        <r>
          <rPr>
            <sz val="8"/>
            <color indexed="81"/>
            <rFont val="Tahoma"/>
            <family val="2"/>
          </rPr>
          <t xml:space="preserve">
Suitable to Procure 
No Fair Market Value
Non Mandatory
Call Vendor for Price</t>
        </r>
      </text>
    </comment>
    <comment ref="B1766" authorId="0">
      <text>
        <r>
          <rPr>
            <b/>
            <sz val="8"/>
            <color indexed="81"/>
            <rFont val="Tahoma"/>
            <family val="2"/>
          </rPr>
          <t>116295:</t>
        </r>
        <r>
          <rPr>
            <sz val="8"/>
            <color indexed="81"/>
            <rFont val="Tahoma"/>
            <family val="2"/>
          </rPr>
          <t xml:space="preserve">
Outback Resource Opportunities
(405)282-0205</t>
        </r>
      </text>
    </comment>
    <comment ref="B1767" authorId="0">
      <text>
        <r>
          <rPr>
            <b/>
            <sz val="8"/>
            <color indexed="81"/>
            <rFont val="Tahoma"/>
            <family val="2"/>
          </rPr>
          <t>116295:</t>
        </r>
        <r>
          <rPr>
            <sz val="8"/>
            <color indexed="81"/>
            <rFont val="Tahoma"/>
            <family val="2"/>
          </rPr>
          <t xml:space="preserve">
Outback Resource Opportunities
(405)282-0205</t>
        </r>
      </text>
    </comment>
    <comment ref="B1768" authorId="0">
      <text>
        <r>
          <rPr>
            <b/>
            <sz val="8"/>
            <color indexed="81"/>
            <rFont val="Tahoma"/>
            <family val="2"/>
          </rPr>
          <t>116295:</t>
        </r>
        <r>
          <rPr>
            <sz val="8"/>
            <color indexed="81"/>
            <rFont val="Tahoma"/>
            <family val="2"/>
          </rPr>
          <t xml:space="preserve">
Outback Resource Opportunities
(405)282-0205</t>
        </r>
      </text>
    </comment>
    <comment ref="E1768" authorId="0">
      <text>
        <r>
          <rPr>
            <b/>
            <sz val="8"/>
            <color indexed="81"/>
            <rFont val="Tahoma"/>
            <family val="2"/>
          </rPr>
          <t>116295:</t>
        </r>
        <r>
          <rPr>
            <sz val="8"/>
            <color indexed="81"/>
            <rFont val="Tahoma"/>
            <family val="2"/>
          </rPr>
          <t xml:space="preserve">
Suitable to Procure 
No Fair Market Value
Non Mandatory
Call Vendor for Price</t>
        </r>
      </text>
    </comment>
    <comment ref="B1769" authorId="0">
      <text>
        <r>
          <rPr>
            <b/>
            <sz val="8"/>
            <color indexed="81"/>
            <rFont val="Tahoma"/>
            <family val="2"/>
          </rPr>
          <t>116295:</t>
        </r>
        <r>
          <rPr>
            <sz val="8"/>
            <color indexed="81"/>
            <rFont val="Tahoma"/>
            <family val="2"/>
          </rPr>
          <t xml:space="preserve">
Outback Resource Opportunities
(405)282-0205</t>
        </r>
      </text>
    </comment>
    <comment ref="E1769" authorId="0">
      <text>
        <r>
          <rPr>
            <b/>
            <sz val="8"/>
            <color indexed="81"/>
            <rFont val="Tahoma"/>
            <family val="2"/>
          </rPr>
          <t>116295:</t>
        </r>
        <r>
          <rPr>
            <sz val="8"/>
            <color indexed="81"/>
            <rFont val="Tahoma"/>
            <family val="2"/>
          </rPr>
          <t xml:space="preserve">
Suitable to Procure 
No Fair Market Value
Non Mandatory
Call Vendor for Price</t>
        </r>
      </text>
    </comment>
    <comment ref="B1770" authorId="0">
      <text>
        <r>
          <rPr>
            <b/>
            <sz val="8"/>
            <color indexed="81"/>
            <rFont val="Tahoma"/>
            <family val="2"/>
          </rPr>
          <t>116295:</t>
        </r>
        <r>
          <rPr>
            <sz val="8"/>
            <color indexed="81"/>
            <rFont val="Tahoma"/>
            <family val="2"/>
          </rPr>
          <t xml:space="preserve">
Outback Resource Opportunities
(405)282-0205</t>
        </r>
      </text>
    </comment>
    <comment ref="E1770" authorId="0">
      <text>
        <r>
          <rPr>
            <b/>
            <sz val="8"/>
            <color indexed="81"/>
            <rFont val="Tahoma"/>
            <family val="2"/>
          </rPr>
          <t>116295:</t>
        </r>
        <r>
          <rPr>
            <sz val="8"/>
            <color indexed="81"/>
            <rFont val="Tahoma"/>
            <family val="2"/>
          </rPr>
          <t xml:space="preserve">
Suitable to Procure 
No Fair Market Value
Non Mandatory
Call Vendor for Price</t>
        </r>
      </text>
    </comment>
    <comment ref="B1771" authorId="0">
      <text>
        <r>
          <rPr>
            <b/>
            <sz val="8"/>
            <color indexed="81"/>
            <rFont val="Tahoma"/>
            <family val="2"/>
          </rPr>
          <t>116295:</t>
        </r>
        <r>
          <rPr>
            <sz val="8"/>
            <color indexed="81"/>
            <rFont val="Tahoma"/>
            <family val="2"/>
          </rPr>
          <t xml:space="preserve">
Outback Resource Opportunities
(405)282-0205</t>
        </r>
      </text>
    </comment>
    <comment ref="E1771" authorId="0">
      <text>
        <r>
          <rPr>
            <b/>
            <sz val="8"/>
            <color indexed="81"/>
            <rFont val="Tahoma"/>
            <family val="2"/>
          </rPr>
          <t>116295:</t>
        </r>
        <r>
          <rPr>
            <sz val="8"/>
            <color indexed="81"/>
            <rFont val="Tahoma"/>
            <family val="2"/>
          </rPr>
          <t xml:space="preserve">
Suitable to Procure 
No Fair Market Value
Non Mandatory
Call Vendor for Price</t>
        </r>
      </text>
    </comment>
    <comment ref="B1772" authorId="0">
      <text>
        <r>
          <rPr>
            <b/>
            <sz val="8"/>
            <color indexed="81"/>
            <rFont val="Tahoma"/>
            <family val="2"/>
          </rPr>
          <t>116295:</t>
        </r>
        <r>
          <rPr>
            <sz val="8"/>
            <color indexed="81"/>
            <rFont val="Tahoma"/>
            <family val="2"/>
          </rPr>
          <t xml:space="preserve">
Outback Resource Opportunities
(405)282-0205</t>
        </r>
      </text>
    </comment>
    <comment ref="E1772" authorId="0">
      <text>
        <r>
          <rPr>
            <b/>
            <sz val="8"/>
            <color indexed="81"/>
            <rFont val="Tahoma"/>
            <family val="2"/>
          </rPr>
          <t>116295:</t>
        </r>
        <r>
          <rPr>
            <sz val="8"/>
            <color indexed="81"/>
            <rFont val="Tahoma"/>
            <family val="2"/>
          </rPr>
          <t xml:space="preserve">
Suitable to Procure 
No Fair Market Value
Non Mandatory
Call Vendor for Price</t>
        </r>
      </text>
    </comment>
    <comment ref="B1773" authorId="0">
      <text>
        <r>
          <rPr>
            <b/>
            <sz val="8"/>
            <color indexed="81"/>
            <rFont val="Tahoma"/>
            <family val="2"/>
          </rPr>
          <t>116295:</t>
        </r>
        <r>
          <rPr>
            <sz val="8"/>
            <color indexed="81"/>
            <rFont val="Tahoma"/>
            <family val="2"/>
          </rPr>
          <t xml:space="preserve">
Outback Resource Opportunities
(405)282-0205</t>
        </r>
      </text>
    </comment>
    <comment ref="E1773" authorId="0">
      <text>
        <r>
          <rPr>
            <b/>
            <sz val="8"/>
            <color indexed="81"/>
            <rFont val="Tahoma"/>
            <family val="2"/>
          </rPr>
          <t>116295:</t>
        </r>
        <r>
          <rPr>
            <sz val="8"/>
            <color indexed="81"/>
            <rFont val="Tahoma"/>
            <family val="2"/>
          </rPr>
          <t xml:space="preserve">
Suitable to Procure 
No Fair Market Value
Non Mandatory
Call Vendor for Price</t>
        </r>
      </text>
    </comment>
    <comment ref="B1774" authorId="0">
      <text>
        <r>
          <rPr>
            <b/>
            <sz val="8"/>
            <color indexed="81"/>
            <rFont val="Tahoma"/>
            <family val="2"/>
          </rPr>
          <t>116295:</t>
        </r>
        <r>
          <rPr>
            <sz val="8"/>
            <color indexed="81"/>
            <rFont val="Tahoma"/>
            <family val="2"/>
          </rPr>
          <t xml:space="preserve">
Outback Resource Opportunities
(405)282-0205</t>
        </r>
      </text>
    </comment>
    <comment ref="E1774" authorId="0">
      <text>
        <r>
          <rPr>
            <b/>
            <sz val="8"/>
            <color indexed="81"/>
            <rFont val="Tahoma"/>
            <family val="2"/>
          </rPr>
          <t>116295:</t>
        </r>
        <r>
          <rPr>
            <sz val="8"/>
            <color indexed="81"/>
            <rFont val="Tahoma"/>
            <family val="2"/>
          </rPr>
          <t xml:space="preserve">
Suitable to Procure 
No Fair Market Value
Non Mandatory
Call Vendor for Price</t>
        </r>
      </text>
    </comment>
    <comment ref="B1775" authorId="0">
      <text>
        <r>
          <rPr>
            <b/>
            <sz val="8"/>
            <color indexed="81"/>
            <rFont val="Tahoma"/>
            <family val="2"/>
          </rPr>
          <t>116295:</t>
        </r>
        <r>
          <rPr>
            <sz val="8"/>
            <color indexed="81"/>
            <rFont val="Tahoma"/>
            <family val="2"/>
          </rPr>
          <t xml:space="preserve">
Outback Resource Opportunities
(405)282-0205</t>
        </r>
      </text>
    </comment>
    <comment ref="E1775" authorId="0">
      <text>
        <r>
          <rPr>
            <b/>
            <sz val="8"/>
            <color indexed="81"/>
            <rFont val="Tahoma"/>
            <family val="2"/>
          </rPr>
          <t>116295:</t>
        </r>
        <r>
          <rPr>
            <sz val="8"/>
            <color indexed="81"/>
            <rFont val="Tahoma"/>
            <family val="2"/>
          </rPr>
          <t xml:space="preserve">
Suitable to Procure 
No Fair Market Value
Non Mandatory
Call Vendor for Price</t>
        </r>
      </text>
    </comment>
    <comment ref="B1776" authorId="0">
      <text>
        <r>
          <rPr>
            <b/>
            <sz val="8"/>
            <color indexed="81"/>
            <rFont val="Tahoma"/>
            <family val="2"/>
          </rPr>
          <t>116295:</t>
        </r>
        <r>
          <rPr>
            <sz val="8"/>
            <color indexed="81"/>
            <rFont val="Tahoma"/>
            <family val="2"/>
          </rPr>
          <t xml:space="preserve">
Outback Resource Opportunities
(405)282-0205</t>
        </r>
      </text>
    </comment>
    <comment ref="E1776" authorId="0">
      <text>
        <r>
          <rPr>
            <b/>
            <sz val="8"/>
            <color indexed="81"/>
            <rFont val="Tahoma"/>
            <family val="2"/>
          </rPr>
          <t>116295:</t>
        </r>
        <r>
          <rPr>
            <sz val="8"/>
            <color indexed="81"/>
            <rFont val="Tahoma"/>
            <family val="2"/>
          </rPr>
          <t xml:space="preserve">
Suitable to Procure 
No Fair Market Value
Non Mandatory
Call Vendor for Price</t>
        </r>
      </text>
    </comment>
    <comment ref="B1777" authorId="0">
      <text>
        <r>
          <rPr>
            <b/>
            <sz val="8"/>
            <color indexed="81"/>
            <rFont val="Tahoma"/>
            <family val="2"/>
          </rPr>
          <t>116295:</t>
        </r>
        <r>
          <rPr>
            <sz val="8"/>
            <color indexed="81"/>
            <rFont val="Tahoma"/>
            <family val="2"/>
          </rPr>
          <t xml:space="preserve">
Outback Resource Opportunities
(405)282-0205</t>
        </r>
      </text>
    </comment>
    <comment ref="E1777" authorId="0">
      <text>
        <r>
          <rPr>
            <b/>
            <sz val="8"/>
            <color indexed="81"/>
            <rFont val="Tahoma"/>
            <family val="2"/>
          </rPr>
          <t>116295:</t>
        </r>
        <r>
          <rPr>
            <sz val="8"/>
            <color indexed="81"/>
            <rFont val="Tahoma"/>
            <family val="2"/>
          </rPr>
          <t xml:space="preserve">
Suitable to Procure 
No Fair Market Value
Non Mandatory
Call Vendor for Price</t>
        </r>
      </text>
    </comment>
    <comment ref="B1778" authorId="0">
      <text>
        <r>
          <rPr>
            <b/>
            <sz val="8"/>
            <color indexed="81"/>
            <rFont val="Tahoma"/>
            <family val="2"/>
          </rPr>
          <t>116295:</t>
        </r>
        <r>
          <rPr>
            <sz val="8"/>
            <color indexed="81"/>
            <rFont val="Tahoma"/>
            <family val="2"/>
          </rPr>
          <t xml:space="preserve">
Outreach Community Janitorial
(405)922-0020</t>
        </r>
      </text>
    </comment>
    <comment ref="B1779" authorId="0">
      <text>
        <r>
          <rPr>
            <b/>
            <sz val="8"/>
            <color indexed="81"/>
            <rFont val="Tahoma"/>
            <family val="2"/>
          </rPr>
          <t>116295:</t>
        </r>
        <r>
          <rPr>
            <sz val="8"/>
            <color indexed="81"/>
            <rFont val="Tahoma"/>
            <family val="2"/>
          </rPr>
          <t xml:space="preserve">
Outreach Community Janitorial
(405)922-0020</t>
        </r>
      </text>
    </comment>
    <comment ref="B1780" authorId="0">
      <text>
        <r>
          <rPr>
            <b/>
            <sz val="8"/>
            <color indexed="81"/>
            <rFont val="Tahoma"/>
            <family val="2"/>
          </rPr>
          <t>116295:</t>
        </r>
        <r>
          <rPr>
            <sz val="8"/>
            <color indexed="81"/>
            <rFont val="Tahoma"/>
            <family val="2"/>
          </rPr>
          <t xml:space="preserve">
Outreach Community Janitorial
(405)922-0020</t>
        </r>
      </text>
    </comment>
    <comment ref="E1780" authorId="0">
      <text>
        <r>
          <rPr>
            <b/>
            <sz val="8"/>
            <color indexed="81"/>
            <rFont val="Tahoma"/>
            <family val="2"/>
          </rPr>
          <t>116295:</t>
        </r>
        <r>
          <rPr>
            <sz val="8"/>
            <color indexed="81"/>
            <rFont val="Tahoma"/>
            <family val="2"/>
          </rPr>
          <t xml:space="preserve">
Suitable to Procure 
No Fair Market Value
Non Mandatory
Call Vendor for Price</t>
        </r>
      </text>
    </comment>
    <comment ref="B1781" authorId="0">
      <text>
        <r>
          <rPr>
            <b/>
            <sz val="8"/>
            <color indexed="81"/>
            <rFont val="Tahoma"/>
            <family val="2"/>
          </rPr>
          <t>116295:</t>
        </r>
        <r>
          <rPr>
            <sz val="8"/>
            <color indexed="81"/>
            <rFont val="Tahoma"/>
            <family val="2"/>
          </rPr>
          <t xml:space="preserve">
Outreach Community Janitorial
(405)922-0020</t>
        </r>
      </text>
    </comment>
    <comment ref="E1781" authorId="0">
      <text>
        <r>
          <rPr>
            <b/>
            <sz val="8"/>
            <color indexed="81"/>
            <rFont val="Tahoma"/>
            <family val="2"/>
          </rPr>
          <t>116295:</t>
        </r>
        <r>
          <rPr>
            <sz val="8"/>
            <color indexed="81"/>
            <rFont val="Tahoma"/>
            <family val="2"/>
          </rPr>
          <t xml:space="preserve">
Suitable to Procure 
No Fair Market Value
Non Mandatory
Call Vendor for Price</t>
        </r>
      </text>
    </comment>
    <comment ref="B1881" authorId="0">
      <text>
        <r>
          <rPr>
            <b/>
            <sz val="8"/>
            <color indexed="81"/>
            <rFont val="Tahoma"/>
            <family val="2"/>
          </rPr>
          <t>116295:</t>
        </r>
        <r>
          <rPr>
            <sz val="8"/>
            <color indexed="81"/>
            <rFont val="Tahoma"/>
            <family val="2"/>
          </rPr>
          <t xml:space="preserve">
People Inc.
(918)775-7797</t>
        </r>
      </text>
    </comment>
    <comment ref="B1882" authorId="0">
      <text>
        <r>
          <rPr>
            <b/>
            <sz val="8"/>
            <color indexed="81"/>
            <rFont val="Tahoma"/>
            <family val="2"/>
          </rPr>
          <t>116295:</t>
        </r>
        <r>
          <rPr>
            <sz val="8"/>
            <color indexed="81"/>
            <rFont val="Tahoma"/>
            <family val="2"/>
          </rPr>
          <t xml:space="preserve">
People Inc.
(918)775-7797</t>
        </r>
      </text>
    </comment>
    <comment ref="B1883" authorId="0">
      <text>
        <r>
          <rPr>
            <b/>
            <sz val="8"/>
            <color indexed="81"/>
            <rFont val="Tahoma"/>
            <family val="2"/>
          </rPr>
          <t>116295:</t>
        </r>
        <r>
          <rPr>
            <sz val="8"/>
            <color indexed="81"/>
            <rFont val="Tahoma"/>
            <family val="2"/>
          </rPr>
          <t xml:space="preserve">
People Inc.
(918)775-7797</t>
        </r>
      </text>
    </comment>
    <comment ref="B1884" authorId="0">
      <text>
        <r>
          <rPr>
            <b/>
            <sz val="8"/>
            <color indexed="81"/>
            <rFont val="Tahoma"/>
            <family val="2"/>
          </rPr>
          <t>116295:</t>
        </r>
        <r>
          <rPr>
            <sz val="8"/>
            <color indexed="81"/>
            <rFont val="Tahoma"/>
            <family val="2"/>
          </rPr>
          <t xml:space="preserve">
People Inc.
(918)775-7797</t>
        </r>
      </text>
    </comment>
    <comment ref="E1884" authorId="0">
      <text>
        <r>
          <rPr>
            <b/>
            <sz val="8"/>
            <color indexed="81"/>
            <rFont val="Tahoma"/>
            <family val="2"/>
          </rPr>
          <t>116295:</t>
        </r>
        <r>
          <rPr>
            <sz val="8"/>
            <color indexed="81"/>
            <rFont val="Tahoma"/>
            <family val="2"/>
          </rPr>
          <t xml:space="preserve">
Suitable to Procure 
No Fair Market Value
Non Mandatory
Call Vendor for Price</t>
        </r>
      </text>
    </comment>
    <comment ref="B1885" authorId="0">
      <text>
        <r>
          <rPr>
            <b/>
            <sz val="8"/>
            <color indexed="81"/>
            <rFont val="Tahoma"/>
            <family val="2"/>
          </rPr>
          <t>116295:</t>
        </r>
        <r>
          <rPr>
            <sz val="8"/>
            <color indexed="81"/>
            <rFont val="Tahoma"/>
            <family val="2"/>
          </rPr>
          <t xml:space="preserve">
People Inc.
(918)775-7797</t>
        </r>
      </text>
    </comment>
    <comment ref="E1885" authorId="0">
      <text>
        <r>
          <rPr>
            <b/>
            <sz val="8"/>
            <color indexed="81"/>
            <rFont val="Tahoma"/>
            <family val="2"/>
          </rPr>
          <t>116295:</t>
        </r>
        <r>
          <rPr>
            <sz val="8"/>
            <color indexed="81"/>
            <rFont val="Tahoma"/>
            <family val="2"/>
          </rPr>
          <t xml:space="preserve">
Suitable to Procure 
No Fair Market Value
Non Mandatory
Call Vendor for Price</t>
        </r>
      </text>
    </comment>
    <comment ref="B1886" authorId="0">
      <text>
        <r>
          <rPr>
            <b/>
            <sz val="8"/>
            <color indexed="81"/>
            <rFont val="Tahoma"/>
            <family val="2"/>
          </rPr>
          <t>116295:</t>
        </r>
        <r>
          <rPr>
            <sz val="8"/>
            <color indexed="81"/>
            <rFont val="Tahoma"/>
            <family val="2"/>
          </rPr>
          <t xml:space="preserve">
People Inc.
(918)775-7797</t>
        </r>
      </text>
    </comment>
    <comment ref="E1886" authorId="0">
      <text>
        <r>
          <rPr>
            <b/>
            <sz val="8"/>
            <color indexed="81"/>
            <rFont val="Tahoma"/>
            <family val="2"/>
          </rPr>
          <t>116295:</t>
        </r>
        <r>
          <rPr>
            <sz val="8"/>
            <color indexed="81"/>
            <rFont val="Tahoma"/>
            <family val="2"/>
          </rPr>
          <t xml:space="preserve">
Suitable to Procure 
No Fair Market Value
Non Mandatory
Call Vendor for Price</t>
        </r>
      </text>
    </comment>
    <comment ref="B1887" authorId="0">
      <text>
        <r>
          <rPr>
            <b/>
            <sz val="8"/>
            <color indexed="81"/>
            <rFont val="Tahoma"/>
            <family val="2"/>
          </rPr>
          <t>116295:</t>
        </r>
        <r>
          <rPr>
            <sz val="8"/>
            <color indexed="81"/>
            <rFont val="Tahoma"/>
            <family val="2"/>
          </rPr>
          <t xml:space="preserve">
People Inc.
(918)775-7797</t>
        </r>
      </text>
    </comment>
    <comment ref="E1887" authorId="0">
      <text>
        <r>
          <rPr>
            <b/>
            <sz val="8"/>
            <color indexed="81"/>
            <rFont val="Tahoma"/>
            <family val="2"/>
          </rPr>
          <t>116295:</t>
        </r>
        <r>
          <rPr>
            <sz val="8"/>
            <color indexed="81"/>
            <rFont val="Tahoma"/>
            <family val="2"/>
          </rPr>
          <t xml:space="preserve">
Suitable to Procure 
No Fair Market Value
Non Mandatory
Call Vendor for Price</t>
        </r>
      </text>
    </comment>
    <comment ref="B1888" authorId="0">
      <text>
        <r>
          <rPr>
            <b/>
            <sz val="8"/>
            <color indexed="81"/>
            <rFont val="Tahoma"/>
            <family val="2"/>
          </rPr>
          <t>116295:</t>
        </r>
        <r>
          <rPr>
            <sz val="8"/>
            <color indexed="81"/>
            <rFont val="Tahoma"/>
            <family val="2"/>
          </rPr>
          <t xml:space="preserve">
People Inc.
(918)775-7797</t>
        </r>
      </text>
    </comment>
    <comment ref="E1888" authorId="0">
      <text>
        <r>
          <rPr>
            <b/>
            <sz val="8"/>
            <color indexed="81"/>
            <rFont val="Tahoma"/>
            <family val="2"/>
          </rPr>
          <t>116295:</t>
        </r>
        <r>
          <rPr>
            <sz val="8"/>
            <color indexed="81"/>
            <rFont val="Tahoma"/>
            <family val="2"/>
          </rPr>
          <t xml:space="preserve">
Suitable to Procure 
No Fair Market Value
Non Mandatory
Call Vendor for Price</t>
        </r>
      </text>
    </comment>
    <comment ref="B1889" authorId="0">
      <text>
        <r>
          <rPr>
            <b/>
            <sz val="8"/>
            <color indexed="81"/>
            <rFont val="Tahoma"/>
            <family val="2"/>
          </rPr>
          <t>116295:</t>
        </r>
        <r>
          <rPr>
            <sz val="8"/>
            <color indexed="81"/>
            <rFont val="Tahoma"/>
            <family val="2"/>
          </rPr>
          <t xml:space="preserve">
People Inc.
(918)775-7797</t>
        </r>
      </text>
    </comment>
    <comment ref="E1889"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0" authorId="0">
      <text>
        <r>
          <rPr>
            <b/>
            <sz val="8"/>
            <color indexed="81"/>
            <rFont val="Tahoma"/>
            <family val="2"/>
          </rPr>
          <t>116295:</t>
        </r>
        <r>
          <rPr>
            <sz val="8"/>
            <color indexed="81"/>
            <rFont val="Tahoma"/>
            <family val="2"/>
          </rPr>
          <t xml:space="preserve">
People Inc.
(918)775-7797</t>
        </r>
      </text>
    </comment>
    <comment ref="E1890"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1" authorId="0">
      <text>
        <r>
          <rPr>
            <b/>
            <sz val="8"/>
            <color indexed="81"/>
            <rFont val="Tahoma"/>
            <family val="2"/>
          </rPr>
          <t>116295:</t>
        </r>
        <r>
          <rPr>
            <sz val="8"/>
            <color indexed="81"/>
            <rFont val="Tahoma"/>
            <family val="2"/>
          </rPr>
          <t xml:space="preserve">
People Inc.
(918)775-7797</t>
        </r>
      </text>
    </comment>
    <comment ref="E1891"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2" authorId="0">
      <text>
        <r>
          <rPr>
            <b/>
            <sz val="8"/>
            <color indexed="81"/>
            <rFont val="Tahoma"/>
            <family val="2"/>
          </rPr>
          <t>116295:</t>
        </r>
        <r>
          <rPr>
            <sz val="8"/>
            <color indexed="81"/>
            <rFont val="Tahoma"/>
            <family val="2"/>
          </rPr>
          <t xml:space="preserve">
People Inc.
(918)775-7797</t>
        </r>
      </text>
    </comment>
    <comment ref="E1892"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3" authorId="0">
      <text>
        <r>
          <rPr>
            <b/>
            <sz val="8"/>
            <color indexed="81"/>
            <rFont val="Tahoma"/>
            <family val="2"/>
          </rPr>
          <t>116295:</t>
        </r>
        <r>
          <rPr>
            <sz val="8"/>
            <color indexed="81"/>
            <rFont val="Tahoma"/>
            <family val="2"/>
          </rPr>
          <t xml:space="preserve">
People Inc.
(918)775-7797</t>
        </r>
      </text>
    </comment>
    <comment ref="E1893"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4" authorId="0">
      <text>
        <r>
          <rPr>
            <b/>
            <sz val="8"/>
            <color indexed="81"/>
            <rFont val="Tahoma"/>
            <family val="2"/>
          </rPr>
          <t>116295:</t>
        </r>
        <r>
          <rPr>
            <sz val="8"/>
            <color indexed="81"/>
            <rFont val="Tahoma"/>
            <family val="2"/>
          </rPr>
          <t xml:space="preserve">
Power Shop
(580)252-4516</t>
        </r>
      </text>
    </comment>
    <comment ref="B1895" authorId="0">
      <text>
        <r>
          <rPr>
            <b/>
            <sz val="8"/>
            <color indexed="81"/>
            <rFont val="Tahoma"/>
            <family val="2"/>
          </rPr>
          <t>116295:</t>
        </r>
        <r>
          <rPr>
            <sz val="8"/>
            <color indexed="81"/>
            <rFont val="Tahoma"/>
            <family val="2"/>
          </rPr>
          <t xml:space="preserve">
Power Shop
(580)252-4516</t>
        </r>
      </text>
    </comment>
    <comment ref="E1895"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6" authorId="0">
      <text>
        <r>
          <rPr>
            <b/>
            <sz val="8"/>
            <color indexed="81"/>
            <rFont val="Tahoma"/>
            <family val="2"/>
          </rPr>
          <t>116295:</t>
        </r>
        <r>
          <rPr>
            <sz val="8"/>
            <color indexed="81"/>
            <rFont val="Tahoma"/>
            <family val="2"/>
          </rPr>
          <t xml:space="preserve">
Power Shop
(580)252-4516</t>
        </r>
      </text>
    </comment>
    <comment ref="E1896"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7" authorId="0">
      <text>
        <r>
          <rPr>
            <b/>
            <sz val="8"/>
            <color indexed="81"/>
            <rFont val="Tahoma"/>
            <family val="2"/>
          </rPr>
          <t>116295:</t>
        </r>
        <r>
          <rPr>
            <sz val="8"/>
            <color indexed="81"/>
            <rFont val="Tahoma"/>
            <family val="2"/>
          </rPr>
          <t xml:space="preserve">
Power Shop
(580)252-4516</t>
        </r>
      </text>
    </comment>
    <comment ref="E1897"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8" authorId="0">
      <text>
        <r>
          <rPr>
            <b/>
            <sz val="8"/>
            <color indexed="81"/>
            <rFont val="Tahoma"/>
            <family val="2"/>
          </rPr>
          <t>116295:</t>
        </r>
        <r>
          <rPr>
            <sz val="8"/>
            <color indexed="81"/>
            <rFont val="Tahoma"/>
            <family val="2"/>
          </rPr>
          <t xml:space="preserve">
Power Shop
(580)252-4516</t>
        </r>
      </text>
    </comment>
    <comment ref="E1898"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9" authorId="0">
      <text>
        <r>
          <rPr>
            <b/>
            <sz val="8"/>
            <color indexed="81"/>
            <rFont val="Tahoma"/>
            <family val="2"/>
          </rPr>
          <t>116295:</t>
        </r>
        <r>
          <rPr>
            <sz val="8"/>
            <color indexed="81"/>
            <rFont val="Tahoma"/>
            <family val="2"/>
          </rPr>
          <t xml:space="preserve">
Power Shop
(580)252-4516</t>
        </r>
      </text>
    </comment>
    <comment ref="E1899" authorId="0">
      <text>
        <r>
          <rPr>
            <b/>
            <sz val="8"/>
            <color indexed="81"/>
            <rFont val="Tahoma"/>
            <family val="2"/>
          </rPr>
          <t>116295:</t>
        </r>
        <r>
          <rPr>
            <sz val="8"/>
            <color indexed="81"/>
            <rFont val="Tahoma"/>
            <family val="2"/>
          </rPr>
          <t xml:space="preserve">
Suitable to Procure 
No Fair Market Value
Non Mandatory
Call Vendor for Price</t>
        </r>
      </text>
    </comment>
    <comment ref="B1900" authorId="0">
      <text>
        <r>
          <rPr>
            <b/>
            <sz val="8"/>
            <color indexed="81"/>
            <rFont val="Tahoma"/>
            <family val="2"/>
          </rPr>
          <t>116295:</t>
        </r>
        <r>
          <rPr>
            <sz val="8"/>
            <color indexed="81"/>
            <rFont val="Tahoma"/>
            <family val="2"/>
          </rPr>
          <t xml:space="preserve">
Power Shop
(580)252-4516</t>
        </r>
      </text>
    </comment>
    <comment ref="E1900" authorId="0">
      <text>
        <r>
          <rPr>
            <b/>
            <sz val="8"/>
            <color indexed="81"/>
            <rFont val="Tahoma"/>
            <family val="2"/>
          </rPr>
          <t>116295:</t>
        </r>
        <r>
          <rPr>
            <sz val="8"/>
            <color indexed="81"/>
            <rFont val="Tahoma"/>
            <family val="2"/>
          </rPr>
          <t xml:space="preserve">
Suitable to Procure 
No Fair Market Value
Non Mandatory
Call Vendor for Price</t>
        </r>
      </text>
    </comment>
    <comment ref="B1901" authorId="0">
      <text>
        <r>
          <rPr>
            <b/>
            <sz val="8"/>
            <color indexed="81"/>
            <rFont val="Tahoma"/>
            <family val="2"/>
          </rPr>
          <t>116295:</t>
        </r>
        <r>
          <rPr>
            <sz val="8"/>
            <color indexed="81"/>
            <rFont val="Tahoma"/>
            <family val="2"/>
          </rPr>
          <t xml:space="preserve">
Power Shop
(580)252-4516</t>
        </r>
      </text>
    </comment>
    <comment ref="E1901" authorId="0">
      <text>
        <r>
          <rPr>
            <b/>
            <sz val="8"/>
            <color indexed="81"/>
            <rFont val="Tahoma"/>
            <family val="2"/>
          </rPr>
          <t>116295:</t>
        </r>
        <r>
          <rPr>
            <sz val="8"/>
            <color indexed="81"/>
            <rFont val="Tahoma"/>
            <family val="2"/>
          </rPr>
          <t xml:space="preserve">
Suitable to Procure 
No Fair Market Value
Non Mandatory
Call Vendor for Price</t>
        </r>
      </text>
    </comment>
    <comment ref="B1902" authorId="0">
      <text>
        <r>
          <rPr>
            <b/>
            <sz val="8"/>
            <color indexed="81"/>
            <rFont val="Tahoma"/>
            <family val="2"/>
          </rPr>
          <t>116295:</t>
        </r>
        <r>
          <rPr>
            <sz val="8"/>
            <color indexed="81"/>
            <rFont val="Tahoma"/>
            <family val="2"/>
          </rPr>
          <t xml:space="preserve">
Power Shop
(580)252-4516</t>
        </r>
      </text>
    </comment>
    <comment ref="E1902" authorId="0">
      <text>
        <r>
          <rPr>
            <b/>
            <sz val="8"/>
            <color indexed="81"/>
            <rFont val="Tahoma"/>
            <family val="2"/>
          </rPr>
          <t>116295:</t>
        </r>
        <r>
          <rPr>
            <sz val="8"/>
            <color indexed="81"/>
            <rFont val="Tahoma"/>
            <family val="2"/>
          </rPr>
          <t xml:space="preserve">
Suitable to Procure 
No Fair Market Value
Non Mandatory
Call Vendor for Price</t>
        </r>
      </text>
    </comment>
    <comment ref="B1903" authorId="0">
      <text>
        <r>
          <rPr>
            <b/>
            <sz val="8"/>
            <color indexed="81"/>
            <rFont val="Tahoma"/>
            <family val="2"/>
          </rPr>
          <t>116295:</t>
        </r>
        <r>
          <rPr>
            <sz val="8"/>
            <color indexed="81"/>
            <rFont val="Tahoma"/>
            <family val="2"/>
          </rPr>
          <t xml:space="preserve">
Power Shop
(580)252-4516</t>
        </r>
      </text>
    </comment>
    <comment ref="E1903" authorId="0">
      <text>
        <r>
          <rPr>
            <b/>
            <sz val="8"/>
            <color indexed="81"/>
            <rFont val="Tahoma"/>
            <family val="2"/>
          </rPr>
          <t>116295:</t>
        </r>
        <r>
          <rPr>
            <sz val="8"/>
            <color indexed="81"/>
            <rFont val="Tahoma"/>
            <family val="2"/>
          </rPr>
          <t xml:space="preserve">
Suitable to Procure 
No Fair Market Value
Non Mandatory
Call Vendor for Price</t>
        </r>
      </text>
    </comment>
    <comment ref="B1904" authorId="0">
      <text>
        <r>
          <rPr>
            <b/>
            <sz val="8"/>
            <color indexed="81"/>
            <rFont val="Tahoma"/>
            <family val="2"/>
          </rPr>
          <t>116295:</t>
        </r>
        <r>
          <rPr>
            <sz val="8"/>
            <color indexed="81"/>
            <rFont val="Tahoma"/>
            <family val="2"/>
          </rPr>
          <t xml:space="preserve">
Power Shop
(580)252-4516</t>
        </r>
      </text>
    </comment>
    <comment ref="E1904" authorId="0">
      <text>
        <r>
          <rPr>
            <b/>
            <sz val="8"/>
            <color indexed="81"/>
            <rFont val="Tahoma"/>
            <family val="2"/>
          </rPr>
          <t>116295:</t>
        </r>
        <r>
          <rPr>
            <sz val="8"/>
            <color indexed="81"/>
            <rFont val="Tahoma"/>
            <family val="2"/>
          </rPr>
          <t xml:space="preserve">
Suitable to Procure 
No Fair Market Value
Non Mandatory
Call Vendor for Price</t>
        </r>
      </text>
    </comment>
    <comment ref="B1905" authorId="0">
      <text>
        <r>
          <rPr>
            <b/>
            <sz val="8"/>
            <color indexed="81"/>
            <rFont val="Tahoma"/>
            <family val="2"/>
          </rPr>
          <t>116295:</t>
        </r>
        <r>
          <rPr>
            <sz val="8"/>
            <color indexed="81"/>
            <rFont val="Tahoma"/>
            <family val="2"/>
          </rPr>
          <t xml:space="preserve">
Power Shop
(580)252-4516</t>
        </r>
      </text>
    </comment>
    <comment ref="E1905" authorId="0">
      <text>
        <r>
          <rPr>
            <b/>
            <sz val="8"/>
            <color indexed="81"/>
            <rFont val="Tahoma"/>
            <family val="2"/>
          </rPr>
          <t>116295:</t>
        </r>
        <r>
          <rPr>
            <sz val="8"/>
            <color indexed="81"/>
            <rFont val="Tahoma"/>
            <family val="2"/>
          </rPr>
          <t xml:space="preserve">
Suitable to Procure 
No Fair Market Value
Non Mandatory
Call Vendor for Price</t>
        </r>
      </text>
    </comment>
    <comment ref="B1906" authorId="0">
      <text>
        <r>
          <rPr>
            <b/>
            <sz val="8"/>
            <color indexed="81"/>
            <rFont val="Tahoma"/>
            <family val="2"/>
          </rPr>
          <t>116295:</t>
        </r>
        <r>
          <rPr>
            <sz val="8"/>
            <color indexed="81"/>
            <rFont val="Tahoma"/>
            <family val="2"/>
          </rPr>
          <t xml:space="preserve">
Power Shop
(580)252-4516</t>
        </r>
      </text>
    </comment>
    <comment ref="E1906" authorId="0">
      <text>
        <r>
          <rPr>
            <b/>
            <sz val="8"/>
            <color indexed="81"/>
            <rFont val="Tahoma"/>
            <family val="2"/>
          </rPr>
          <t>116295:</t>
        </r>
        <r>
          <rPr>
            <sz val="8"/>
            <color indexed="81"/>
            <rFont val="Tahoma"/>
            <family val="2"/>
          </rPr>
          <t xml:space="preserve">
Suitable to Procure 
No Fair Market Value
Non Mandatory
Call Vendor for Price</t>
        </r>
      </text>
    </comment>
    <comment ref="B1907" authorId="0">
      <text>
        <r>
          <rPr>
            <b/>
            <sz val="8"/>
            <color indexed="81"/>
            <rFont val="Tahoma"/>
            <family val="2"/>
          </rPr>
          <t>116295:</t>
        </r>
        <r>
          <rPr>
            <sz val="8"/>
            <color indexed="81"/>
            <rFont val="Tahoma"/>
            <family val="2"/>
          </rPr>
          <t xml:space="preserve">
Power Shop
(580)252-4516</t>
        </r>
      </text>
    </comment>
    <comment ref="E1907" authorId="0">
      <text>
        <r>
          <rPr>
            <b/>
            <sz val="8"/>
            <color indexed="81"/>
            <rFont val="Tahoma"/>
            <family val="2"/>
          </rPr>
          <t>116295:</t>
        </r>
        <r>
          <rPr>
            <sz val="8"/>
            <color indexed="81"/>
            <rFont val="Tahoma"/>
            <family val="2"/>
          </rPr>
          <t xml:space="preserve">
Suitable to Procure 
No Fair Market Value
Non Mandatory
Call Vendor for Price</t>
        </r>
      </text>
    </comment>
    <comment ref="B1908" authorId="0">
      <text>
        <r>
          <rPr>
            <b/>
            <sz val="8"/>
            <color indexed="81"/>
            <rFont val="Tahoma"/>
            <family val="2"/>
          </rPr>
          <t>116295:</t>
        </r>
        <r>
          <rPr>
            <sz val="8"/>
            <color indexed="81"/>
            <rFont val="Tahoma"/>
            <family val="2"/>
          </rPr>
          <t xml:space="preserve">
Power Shop
(580)252-4516</t>
        </r>
      </text>
    </comment>
    <comment ref="E1908" authorId="0">
      <text>
        <r>
          <rPr>
            <b/>
            <sz val="8"/>
            <color indexed="81"/>
            <rFont val="Tahoma"/>
            <family val="2"/>
          </rPr>
          <t>116295:</t>
        </r>
        <r>
          <rPr>
            <sz val="8"/>
            <color indexed="81"/>
            <rFont val="Tahoma"/>
            <family val="2"/>
          </rPr>
          <t xml:space="preserve">
Suitable to Procure 
No Fair Market Value
Non Mandatory
Call Vendor for Price</t>
        </r>
      </text>
    </comment>
    <comment ref="B1909" authorId="0">
      <text>
        <r>
          <rPr>
            <b/>
            <sz val="8"/>
            <color indexed="81"/>
            <rFont val="Tahoma"/>
            <family val="2"/>
          </rPr>
          <t>116295:</t>
        </r>
        <r>
          <rPr>
            <sz val="8"/>
            <color indexed="81"/>
            <rFont val="Tahoma"/>
            <family val="2"/>
          </rPr>
          <t xml:space="preserve">
Power Shop
(580)252-4516</t>
        </r>
      </text>
    </comment>
    <comment ref="E1909" authorId="0">
      <text>
        <r>
          <rPr>
            <b/>
            <sz val="8"/>
            <color indexed="81"/>
            <rFont val="Tahoma"/>
            <family val="2"/>
          </rPr>
          <t>116295:</t>
        </r>
        <r>
          <rPr>
            <sz val="8"/>
            <color indexed="81"/>
            <rFont val="Tahoma"/>
            <family val="2"/>
          </rPr>
          <t xml:space="preserve">
Suitable to Procure 
No Fair Market Value
Non Mandatory
Call Vendor for Price</t>
        </r>
      </text>
    </comment>
    <comment ref="B1910" authorId="0">
      <text>
        <r>
          <rPr>
            <b/>
            <sz val="8"/>
            <color indexed="81"/>
            <rFont val="Tahoma"/>
            <family val="2"/>
          </rPr>
          <t>116295:</t>
        </r>
        <r>
          <rPr>
            <sz val="8"/>
            <color indexed="81"/>
            <rFont val="Tahoma"/>
            <family val="2"/>
          </rPr>
          <t xml:space="preserve">
Quality Enterprises of Lawton
(580)248-1814</t>
        </r>
      </text>
    </comment>
    <comment ref="B1911" authorId="0">
      <text>
        <r>
          <rPr>
            <b/>
            <sz val="8"/>
            <color indexed="81"/>
            <rFont val="Tahoma"/>
            <family val="2"/>
          </rPr>
          <t>116295:</t>
        </r>
        <r>
          <rPr>
            <sz val="8"/>
            <color indexed="81"/>
            <rFont val="Tahoma"/>
            <family val="2"/>
          </rPr>
          <t xml:space="preserve">
Rambo Janitorial
(405)706-5899</t>
        </r>
      </text>
    </comment>
    <comment ref="B1912" authorId="0">
      <text>
        <r>
          <rPr>
            <b/>
            <sz val="8"/>
            <color indexed="81"/>
            <rFont val="Tahoma"/>
            <family val="2"/>
          </rPr>
          <t>116295:</t>
        </r>
        <r>
          <rPr>
            <sz val="8"/>
            <color indexed="81"/>
            <rFont val="Tahoma"/>
            <family val="2"/>
          </rPr>
          <t xml:space="preserve">
Reliant Living Center
(405)677-2421</t>
        </r>
      </text>
    </comment>
    <comment ref="B1913" authorId="0">
      <text>
        <r>
          <rPr>
            <b/>
            <sz val="8"/>
            <color indexed="81"/>
            <rFont val="Tahoma"/>
            <family val="2"/>
          </rPr>
          <t>116295:</t>
        </r>
        <r>
          <rPr>
            <sz val="8"/>
            <color indexed="81"/>
            <rFont val="Tahoma"/>
            <family val="2"/>
          </rPr>
          <t xml:space="preserve">
Reliant Living Center
(405)677-2421</t>
        </r>
      </text>
    </comment>
    <comment ref="E1913" authorId="0">
      <text>
        <r>
          <rPr>
            <b/>
            <sz val="8"/>
            <color indexed="81"/>
            <rFont val="Tahoma"/>
            <family val="2"/>
          </rPr>
          <t>116295:</t>
        </r>
        <r>
          <rPr>
            <sz val="8"/>
            <color indexed="81"/>
            <rFont val="Tahoma"/>
            <family val="2"/>
          </rPr>
          <t xml:space="preserve">
Suitable to Procure 
No Fair Market Value
Non Mandatory
Call Vendor for Price</t>
        </r>
      </text>
    </comment>
    <comment ref="B1914" authorId="0">
      <text>
        <r>
          <rPr>
            <b/>
            <sz val="8"/>
            <color indexed="81"/>
            <rFont val="Tahoma"/>
            <family val="2"/>
          </rPr>
          <t>116295:</t>
        </r>
        <r>
          <rPr>
            <sz val="8"/>
            <color indexed="81"/>
            <rFont val="Tahoma"/>
            <family val="2"/>
          </rPr>
          <t xml:space="preserve">
Reliant Living Center
(405)677-2421</t>
        </r>
      </text>
    </comment>
    <comment ref="E1914" authorId="0">
      <text>
        <r>
          <rPr>
            <b/>
            <sz val="8"/>
            <color indexed="81"/>
            <rFont val="Tahoma"/>
            <family val="2"/>
          </rPr>
          <t>116295:</t>
        </r>
        <r>
          <rPr>
            <sz val="8"/>
            <color indexed="81"/>
            <rFont val="Tahoma"/>
            <family val="2"/>
          </rPr>
          <t xml:space="preserve">
Suitable to Procure 
No Fair Market Value
Non Mandatory
Call Vendor for Price</t>
        </r>
      </text>
    </comment>
    <comment ref="B1915" authorId="0">
      <text>
        <r>
          <rPr>
            <b/>
            <sz val="8"/>
            <color indexed="81"/>
            <rFont val="Tahoma"/>
            <family val="2"/>
          </rPr>
          <t>116295:</t>
        </r>
        <r>
          <rPr>
            <sz val="8"/>
            <color indexed="81"/>
            <rFont val="Tahoma"/>
            <family val="2"/>
          </rPr>
          <t xml:space="preserve">
Reliant Living Center
(405)677-2421</t>
        </r>
      </text>
    </comment>
    <comment ref="E1915" authorId="0">
      <text>
        <r>
          <rPr>
            <b/>
            <sz val="8"/>
            <color indexed="81"/>
            <rFont val="Tahoma"/>
            <family val="2"/>
          </rPr>
          <t>116295:</t>
        </r>
        <r>
          <rPr>
            <sz val="8"/>
            <color indexed="81"/>
            <rFont val="Tahoma"/>
            <family val="2"/>
          </rPr>
          <t xml:space="preserve">
Suitable to Procure 
No Fair Market Value
Non Mandatory
Call Vendor for Price</t>
        </r>
      </text>
    </comment>
    <comment ref="B1916" authorId="0">
      <text>
        <r>
          <rPr>
            <b/>
            <sz val="8"/>
            <color indexed="81"/>
            <rFont val="Tahoma"/>
            <family val="2"/>
          </rPr>
          <t>116295:</t>
        </r>
        <r>
          <rPr>
            <sz val="8"/>
            <color indexed="81"/>
            <rFont val="Tahoma"/>
            <family val="2"/>
          </rPr>
          <t xml:space="preserve">
Rogers County Work Training Center
(918)944-0415</t>
        </r>
      </text>
    </comment>
    <comment ref="B1917" authorId="0">
      <text>
        <r>
          <rPr>
            <b/>
            <sz val="8"/>
            <color indexed="81"/>
            <rFont val="Tahoma"/>
            <family val="2"/>
          </rPr>
          <t>116295:</t>
        </r>
        <r>
          <rPr>
            <sz val="8"/>
            <color indexed="81"/>
            <rFont val="Tahoma"/>
            <family val="2"/>
          </rPr>
          <t xml:space="preserve">
Rogers County Work Training Center
(918)944-0415</t>
        </r>
      </text>
    </comment>
    <comment ref="E1917" authorId="0">
      <text>
        <r>
          <rPr>
            <b/>
            <sz val="8"/>
            <color indexed="81"/>
            <rFont val="Tahoma"/>
            <family val="2"/>
          </rPr>
          <t>116295:</t>
        </r>
        <r>
          <rPr>
            <sz val="8"/>
            <color indexed="81"/>
            <rFont val="Tahoma"/>
            <family val="2"/>
          </rPr>
          <t xml:space="preserve">
Suitable to Procure 
No Fair Market Value
Non Mandatory
Call Vendor for Price</t>
        </r>
      </text>
    </comment>
    <comment ref="B1918" authorId="0">
      <text>
        <r>
          <rPr>
            <b/>
            <sz val="8"/>
            <color indexed="81"/>
            <rFont val="Tahoma"/>
            <family val="2"/>
          </rPr>
          <t>116295:</t>
        </r>
        <r>
          <rPr>
            <sz val="8"/>
            <color indexed="81"/>
            <rFont val="Tahoma"/>
            <family val="2"/>
          </rPr>
          <t xml:space="preserve">
Rogers County Work Training Center
(918)944-0415</t>
        </r>
      </text>
    </comment>
    <comment ref="E1918" authorId="0">
      <text>
        <r>
          <rPr>
            <b/>
            <sz val="8"/>
            <color indexed="81"/>
            <rFont val="Tahoma"/>
            <family val="2"/>
          </rPr>
          <t>116295:</t>
        </r>
        <r>
          <rPr>
            <sz val="8"/>
            <color indexed="81"/>
            <rFont val="Tahoma"/>
            <family val="2"/>
          </rPr>
          <t xml:space="preserve">
Suitable to Procure 
No Fair Market Value
Non Mandatory
Call Vendor for Price</t>
        </r>
      </text>
    </comment>
    <comment ref="B1919" authorId="0">
      <text>
        <r>
          <rPr>
            <b/>
            <sz val="8"/>
            <color indexed="81"/>
            <rFont val="Tahoma"/>
            <family val="2"/>
          </rPr>
          <t>116295:</t>
        </r>
        <r>
          <rPr>
            <sz val="8"/>
            <color indexed="81"/>
            <rFont val="Tahoma"/>
            <family val="2"/>
          </rPr>
          <t xml:space="preserve">
Rogers County Work Training Center
(918)944-0415</t>
        </r>
      </text>
    </comment>
    <comment ref="E1919" authorId="0">
      <text>
        <r>
          <rPr>
            <b/>
            <sz val="8"/>
            <color indexed="81"/>
            <rFont val="Tahoma"/>
            <family val="2"/>
          </rPr>
          <t>116295:</t>
        </r>
        <r>
          <rPr>
            <sz val="8"/>
            <color indexed="81"/>
            <rFont val="Tahoma"/>
            <family val="2"/>
          </rPr>
          <t xml:space="preserve">
Suitable to Procure 
No Fair Market Value
Non Mandatory
Call Vendor for Price</t>
        </r>
      </text>
    </comment>
    <comment ref="B1920" authorId="0">
      <text>
        <r>
          <rPr>
            <b/>
            <sz val="8"/>
            <color indexed="81"/>
            <rFont val="Tahoma"/>
            <family val="2"/>
          </rPr>
          <t>116295:</t>
        </r>
        <r>
          <rPr>
            <sz val="8"/>
            <color indexed="81"/>
            <rFont val="Tahoma"/>
            <family val="2"/>
          </rPr>
          <t xml:space="preserve">
Rogers County Work Training Center
(918)944-0415</t>
        </r>
      </text>
    </comment>
    <comment ref="E1920" authorId="0">
      <text>
        <r>
          <rPr>
            <b/>
            <sz val="8"/>
            <color indexed="81"/>
            <rFont val="Tahoma"/>
            <family val="2"/>
          </rPr>
          <t>116295:</t>
        </r>
        <r>
          <rPr>
            <sz val="8"/>
            <color indexed="81"/>
            <rFont val="Tahoma"/>
            <family val="2"/>
          </rPr>
          <t xml:space="preserve">
Suitable to Procure 
No Fair Market Value
Non Mandatory
Call Vendor for Price</t>
        </r>
      </text>
    </comment>
    <comment ref="B1921" authorId="0">
      <text>
        <r>
          <rPr>
            <b/>
            <sz val="8"/>
            <color indexed="81"/>
            <rFont val="Tahoma"/>
            <family val="2"/>
          </rPr>
          <t>116295:</t>
        </r>
        <r>
          <rPr>
            <sz val="8"/>
            <color indexed="81"/>
            <rFont val="Tahoma"/>
            <family val="2"/>
          </rPr>
          <t xml:space="preserve">
Sagebrush
(580)928-5715</t>
        </r>
      </text>
    </comment>
    <comment ref="B1922" authorId="0">
      <text>
        <r>
          <rPr>
            <b/>
            <sz val="8"/>
            <color indexed="81"/>
            <rFont val="Tahoma"/>
            <family val="2"/>
          </rPr>
          <t>116295:</t>
        </r>
        <r>
          <rPr>
            <sz val="8"/>
            <color indexed="81"/>
            <rFont val="Tahoma"/>
            <family val="2"/>
          </rPr>
          <t xml:space="preserve">
Sagebrush
(580)928-5715</t>
        </r>
      </text>
    </comment>
    <comment ref="E1922" authorId="0">
      <text>
        <r>
          <rPr>
            <b/>
            <sz val="8"/>
            <color indexed="81"/>
            <rFont val="Tahoma"/>
            <family val="2"/>
          </rPr>
          <t>116295:</t>
        </r>
        <r>
          <rPr>
            <sz val="8"/>
            <color indexed="81"/>
            <rFont val="Tahoma"/>
            <family val="2"/>
          </rPr>
          <t xml:space="preserve">
Suitable to Procure 
No Fair Market Value
Non Mandatory
Call Vendor for Price</t>
        </r>
      </text>
    </comment>
    <comment ref="B1923" authorId="0">
      <text>
        <r>
          <rPr>
            <b/>
            <sz val="8"/>
            <color indexed="81"/>
            <rFont val="Tahoma"/>
            <family val="2"/>
          </rPr>
          <t>116295:</t>
        </r>
        <r>
          <rPr>
            <sz val="8"/>
            <color indexed="81"/>
            <rFont val="Tahoma"/>
            <family val="2"/>
          </rPr>
          <t xml:space="preserve">
Sagebrush
(580)928-5715</t>
        </r>
      </text>
    </comment>
    <comment ref="E1923" authorId="0">
      <text>
        <r>
          <rPr>
            <b/>
            <sz val="8"/>
            <color indexed="81"/>
            <rFont val="Tahoma"/>
            <family val="2"/>
          </rPr>
          <t>116295:</t>
        </r>
        <r>
          <rPr>
            <sz val="8"/>
            <color indexed="81"/>
            <rFont val="Tahoma"/>
            <family val="2"/>
          </rPr>
          <t xml:space="preserve">
Suitable to Procure 
No Fair Market Value
Non Mandatory
Call Vendor for Price</t>
        </r>
      </text>
    </comment>
    <comment ref="B1924" authorId="0">
      <text>
        <r>
          <rPr>
            <b/>
            <sz val="8"/>
            <color indexed="81"/>
            <rFont val="Tahoma"/>
            <family val="2"/>
          </rPr>
          <t>116295:</t>
        </r>
        <r>
          <rPr>
            <sz val="8"/>
            <color indexed="81"/>
            <rFont val="Tahoma"/>
            <family val="2"/>
          </rPr>
          <t xml:space="preserve">
Searchlight Center Inc.
(580)721-6635</t>
        </r>
      </text>
    </comment>
    <comment ref="B1925" authorId="0">
      <text>
        <r>
          <rPr>
            <b/>
            <sz val="8"/>
            <color indexed="81"/>
            <rFont val="Tahoma"/>
            <family val="2"/>
          </rPr>
          <t>116295:</t>
        </r>
        <r>
          <rPr>
            <sz val="8"/>
            <color indexed="81"/>
            <rFont val="Tahoma"/>
            <family val="2"/>
          </rPr>
          <t xml:space="preserve">
Searchlight Center Inc.
(580)721-6635</t>
        </r>
      </text>
    </comment>
    <comment ref="B1926" authorId="0">
      <text>
        <r>
          <rPr>
            <b/>
            <sz val="8"/>
            <color indexed="81"/>
            <rFont val="Tahoma"/>
            <family val="2"/>
          </rPr>
          <t>116295:</t>
        </r>
        <r>
          <rPr>
            <sz val="8"/>
            <color indexed="81"/>
            <rFont val="Tahoma"/>
            <family val="2"/>
          </rPr>
          <t xml:space="preserve">
Sequoyah Therapy Inc.
(918)775-7797</t>
        </r>
      </text>
    </comment>
    <comment ref="B1927" authorId="0">
      <text>
        <r>
          <rPr>
            <b/>
            <sz val="8"/>
            <color indexed="81"/>
            <rFont val="Tahoma"/>
            <family val="2"/>
          </rPr>
          <t>116295:</t>
        </r>
        <r>
          <rPr>
            <sz val="8"/>
            <color indexed="81"/>
            <rFont val="Tahoma"/>
            <family val="2"/>
          </rPr>
          <t xml:space="preserve">
Sequoyah Therapy Inc.
(918)775-7797</t>
        </r>
      </text>
    </comment>
    <comment ref="B1928" authorId="0">
      <text>
        <r>
          <rPr>
            <b/>
            <sz val="8"/>
            <color indexed="81"/>
            <rFont val="Tahoma"/>
            <family val="2"/>
          </rPr>
          <t>116295:</t>
        </r>
        <r>
          <rPr>
            <sz val="8"/>
            <color indexed="81"/>
            <rFont val="Tahoma"/>
            <family val="2"/>
          </rPr>
          <t xml:space="preserve">
Sequoyah Therapy Inc.
(918)775-7797</t>
        </r>
      </text>
    </comment>
    <comment ref="B1929" authorId="0">
      <text>
        <r>
          <rPr>
            <b/>
            <sz val="8"/>
            <color indexed="81"/>
            <rFont val="Tahoma"/>
            <family val="2"/>
          </rPr>
          <t>116295:</t>
        </r>
        <r>
          <rPr>
            <sz val="8"/>
            <color indexed="81"/>
            <rFont val="Tahoma"/>
            <family val="2"/>
          </rPr>
          <t xml:space="preserve">
Sequoyah Therapy Inc.
(918)775-7797</t>
        </r>
      </text>
    </comment>
    <comment ref="E1929" authorId="0">
      <text>
        <r>
          <rPr>
            <b/>
            <sz val="8"/>
            <color indexed="81"/>
            <rFont val="Tahoma"/>
            <family val="2"/>
          </rPr>
          <t>116295:</t>
        </r>
        <r>
          <rPr>
            <sz val="8"/>
            <color indexed="81"/>
            <rFont val="Tahoma"/>
            <family val="2"/>
          </rPr>
          <t xml:space="preserve">
Suitable to Procure 
No Fair Market Value
Non Mandatory
Call Vendor for Price</t>
        </r>
      </text>
    </comment>
    <comment ref="B1930" authorId="0">
      <text>
        <r>
          <rPr>
            <b/>
            <sz val="8"/>
            <color indexed="81"/>
            <rFont val="Tahoma"/>
            <family val="2"/>
          </rPr>
          <t>116295:</t>
        </r>
        <r>
          <rPr>
            <sz val="8"/>
            <color indexed="81"/>
            <rFont val="Tahoma"/>
            <family val="2"/>
          </rPr>
          <t xml:space="preserve">
Sequoyah Therapy Inc.
(918)775-7797</t>
        </r>
      </text>
    </comment>
    <comment ref="E1930" authorId="0">
      <text>
        <r>
          <rPr>
            <b/>
            <sz val="8"/>
            <color indexed="81"/>
            <rFont val="Tahoma"/>
            <family val="2"/>
          </rPr>
          <t>116295:</t>
        </r>
        <r>
          <rPr>
            <sz val="8"/>
            <color indexed="81"/>
            <rFont val="Tahoma"/>
            <family val="2"/>
          </rPr>
          <t xml:space="preserve">
Suitable to Procure 
No Fair Market Value
Non Mandatory
Call Vendor for Price</t>
        </r>
      </text>
    </comment>
    <comment ref="B1931" authorId="0">
      <text>
        <r>
          <rPr>
            <b/>
            <sz val="8"/>
            <color indexed="81"/>
            <rFont val="Tahoma"/>
            <family val="2"/>
          </rPr>
          <t>116295:</t>
        </r>
        <r>
          <rPr>
            <sz val="8"/>
            <color indexed="81"/>
            <rFont val="Tahoma"/>
            <family val="2"/>
          </rPr>
          <t xml:space="preserve">
Sequoyah Therapy Inc.
(918)775-7797</t>
        </r>
      </text>
    </comment>
    <comment ref="E1931" authorId="0">
      <text>
        <r>
          <rPr>
            <b/>
            <sz val="8"/>
            <color indexed="81"/>
            <rFont val="Tahoma"/>
            <family val="2"/>
          </rPr>
          <t>116295:</t>
        </r>
        <r>
          <rPr>
            <sz val="8"/>
            <color indexed="81"/>
            <rFont val="Tahoma"/>
            <family val="2"/>
          </rPr>
          <t xml:space="preserve">
Suitable to Procure 
No Fair Market Value
Non Mandatory
Call Vendor for Price</t>
        </r>
      </text>
    </comment>
    <comment ref="B1932" authorId="0">
      <text>
        <r>
          <rPr>
            <b/>
            <sz val="8"/>
            <color indexed="81"/>
            <rFont val="Tahoma"/>
            <family val="2"/>
          </rPr>
          <t>116295:</t>
        </r>
        <r>
          <rPr>
            <sz val="8"/>
            <color indexed="81"/>
            <rFont val="Tahoma"/>
            <family val="2"/>
          </rPr>
          <t xml:space="preserve">
Sequoyah Therapy Inc.
(918)775-7797</t>
        </r>
      </text>
    </comment>
    <comment ref="E1932" authorId="0">
      <text>
        <r>
          <rPr>
            <b/>
            <sz val="8"/>
            <color indexed="81"/>
            <rFont val="Tahoma"/>
            <family val="2"/>
          </rPr>
          <t>116295:</t>
        </r>
        <r>
          <rPr>
            <sz val="8"/>
            <color indexed="81"/>
            <rFont val="Tahoma"/>
            <family val="2"/>
          </rPr>
          <t xml:space="preserve">
Suitable to Procure 
No Fair Market Value
Non Mandatory
Call Vendor for Price</t>
        </r>
      </text>
    </comment>
    <comment ref="B1933" authorId="0">
      <text>
        <r>
          <rPr>
            <b/>
            <sz val="8"/>
            <color indexed="81"/>
            <rFont val="Tahoma"/>
            <family val="2"/>
          </rPr>
          <t>116295:</t>
        </r>
        <r>
          <rPr>
            <sz val="8"/>
            <color indexed="81"/>
            <rFont val="Tahoma"/>
            <family val="2"/>
          </rPr>
          <t xml:space="preserve">
Sequoyah Therapy Inc.
(918)775-7797</t>
        </r>
      </text>
    </comment>
    <comment ref="E1933" authorId="0">
      <text>
        <r>
          <rPr>
            <b/>
            <sz val="8"/>
            <color indexed="81"/>
            <rFont val="Tahoma"/>
            <family val="2"/>
          </rPr>
          <t>116295:</t>
        </r>
        <r>
          <rPr>
            <sz val="8"/>
            <color indexed="81"/>
            <rFont val="Tahoma"/>
            <family val="2"/>
          </rPr>
          <t xml:space="preserve">
Suitable to Procure 
No Fair Market Value
Non Mandatory
Call Vendor for Price</t>
        </r>
      </text>
    </comment>
    <comment ref="B1934" authorId="0">
      <text>
        <r>
          <rPr>
            <b/>
            <sz val="8"/>
            <color indexed="81"/>
            <rFont val="Tahoma"/>
            <family val="2"/>
          </rPr>
          <t>116295:</t>
        </r>
        <r>
          <rPr>
            <sz val="8"/>
            <color indexed="81"/>
            <rFont val="Tahoma"/>
            <family val="2"/>
          </rPr>
          <t xml:space="preserve">
Sequoyah Therapy Inc.
(918)775-7797</t>
        </r>
      </text>
    </comment>
    <comment ref="E1934" authorId="0">
      <text>
        <r>
          <rPr>
            <b/>
            <sz val="8"/>
            <color indexed="81"/>
            <rFont val="Tahoma"/>
            <family val="2"/>
          </rPr>
          <t>116295:</t>
        </r>
        <r>
          <rPr>
            <sz val="8"/>
            <color indexed="81"/>
            <rFont val="Tahoma"/>
            <family val="2"/>
          </rPr>
          <t xml:space="preserve">
Suitable to Procure 
No Fair Market Value
Non Mandatory
Call Vendor for Price</t>
        </r>
      </text>
    </comment>
    <comment ref="B1935" authorId="0">
      <text>
        <r>
          <rPr>
            <b/>
            <sz val="8"/>
            <color indexed="81"/>
            <rFont val="Tahoma"/>
            <family val="2"/>
          </rPr>
          <t>116295:</t>
        </r>
        <r>
          <rPr>
            <sz val="8"/>
            <color indexed="81"/>
            <rFont val="Tahoma"/>
            <family val="2"/>
          </rPr>
          <t xml:space="preserve">
Sequoyah Therapy Inc.
(918)775-7797</t>
        </r>
      </text>
    </comment>
    <comment ref="E1935" authorId="0">
      <text>
        <r>
          <rPr>
            <b/>
            <sz val="8"/>
            <color indexed="81"/>
            <rFont val="Tahoma"/>
            <family val="2"/>
          </rPr>
          <t>116295:</t>
        </r>
        <r>
          <rPr>
            <sz val="8"/>
            <color indexed="81"/>
            <rFont val="Tahoma"/>
            <family val="2"/>
          </rPr>
          <t xml:space="preserve">
Suitable to Procure 
No Fair Market Value
Non Mandatory
Call Vendor for Price</t>
        </r>
      </text>
    </comment>
    <comment ref="B1936" authorId="0">
      <text>
        <r>
          <rPr>
            <b/>
            <sz val="8"/>
            <color indexed="81"/>
            <rFont val="Tahoma"/>
            <family val="2"/>
          </rPr>
          <t>116295:</t>
        </r>
        <r>
          <rPr>
            <sz val="8"/>
            <color indexed="81"/>
            <rFont val="Tahoma"/>
            <family val="2"/>
          </rPr>
          <t xml:space="preserve">
Sequoyah Therapy Inc.
(918)775-7797</t>
        </r>
      </text>
    </comment>
    <comment ref="E1936" authorId="0">
      <text>
        <r>
          <rPr>
            <b/>
            <sz val="8"/>
            <color indexed="81"/>
            <rFont val="Tahoma"/>
            <family val="2"/>
          </rPr>
          <t>116295:</t>
        </r>
        <r>
          <rPr>
            <sz val="8"/>
            <color indexed="81"/>
            <rFont val="Tahoma"/>
            <family val="2"/>
          </rPr>
          <t xml:space="preserve">
Suitable to Procure 
No Fair Market Value
Non Mandatory
Call Vendor for Price</t>
        </r>
      </text>
    </comment>
    <comment ref="B1937" authorId="0">
      <text>
        <r>
          <rPr>
            <b/>
            <sz val="8"/>
            <color indexed="81"/>
            <rFont val="Tahoma"/>
            <family val="2"/>
          </rPr>
          <t>116295:</t>
        </r>
        <r>
          <rPr>
            <sz val="8"/>
            <color indexed="81"/>
            <rFont val="Tahoma"/>
            <family val="2"/>
          </rPr>
          <t xml:space="preserve">
Sequoyah Therapy Inc.
(918)775-7797</t>
        </r>
      </text>
    </comment>
    <comment ref="E1937" authorId="0">
      <text>
        <r>
          <rPr>
            <b/>
            <sz val="8"/>
            <color indexed="81"/>
            <rFont val="Tahoma"/>
            <family val="2"/>
          </rPr>
          <t>116295:</t>
        </r>
        <r>
          <rPr>
            <sz val="8"/>
            <color indexed="81"/>
            <rFont val="Tahoma"/>
            <family val="2"/>
          </rPr>
          <t xml:space="preserve">
Suitable to Procure 
No Fair Market Value
Non Mandatory
Call Vendor for Price</t>
        </r>
      </text>
    </comment>
    <comment ref="B1938" authorId="0">
      <text>
        <r>
          <rPr>
            <b/>
            <sz val="8"/>
            <color indexed="81"/>
            <rFont val="Tahoma"/>
            <family val="2"/>
          </rPr>
          <t>116295:</t>
        </r>
        <r>
          <rPr>
            <sz val="8"/>
            <color indexed="81"/>
            <rFont val="Tahoma"/>
            <family val="2"/>
          </rPr>
          <t xml:space="preserve">
Sertoma (SHOP)
(918)835-7467</t>
        </r>
      </text>
    </comment>
    <comment ref="B1939" authorId="0">
      <text>
        <r>
          <rPr>
            <b/>
            <sz val="8"/>
            <color indexed="81"/>
            <rFont val="Tahoma"/>
            <family val="2"/>
          </rPr>
          <t>116295:</t>
        </r>
        <r>
          <rPr>
            <sz val="8"/>
            <color indexed="81"/>
            <rFont val="Tahoma"/>
            <family val="2"/>
          </rPr>
          <t xml:space="preserve">
South Central Industries
Inc.
(405)275-3851</t>
        </r>
      </text>
    </comment>
    <comment ref="B1940" authorId="0">
      <text>
        <r>
          <rPr>
            <b/>
            <sz val="8"/>
            <color indexed="81"/>
            <rFont val="Tahoma"/>
            <family val="2"/>
          </rPr>
          <t>116295:</t>
        </r>
        <r>
          <rPr>
            <sz val="8"/>
            <color indexed="81"/>
            <rFont val="Tahoma"/>
            <family val="2"/>
          </rPr>
          <t xml:space="preserve">
South Central Industries
Inc.
(405)275-3851</t>
        </r>
      </text>
    </comment>
    <comment ref="B1941" authorId="0">
      <text>
        <r>
          <rPr>
            <b/>
            <sz val="8"/>
            <color indexed="81"/>
            <rFont val="Tahoma"/>
            <family val="2"/>
          </rPr>
          <t>116295:</t>
        </r>
        <r>
          <rPr>
            <sz val="8"/>
            <color indexed="81"/>
            <rFont val="Tahoma"/>
            <family val="2"/>
          </rPr>
          <t xml:space="preserve">
South Central Industries
Inc.
(405)275-3851</t>
        </r>
      </text>
    </comment>
    <comment ref="B1942" authorId="0">
      <text>
        <r>
          <rPr>
            <b/>
            <sz val="8"/>
            <color indexed="81"/>
            <rFont val="Tahoma"/>
            <family val="2"/>
          </rPr>
          <t>116295:</t>
        </r>
        <r>
          <rPr>
            <sz val="8"/>
            <color indexed="81"/>
            <rFont val="Tahoma"/>
            <family val="2"/>
          </rPr>
          <t xml:space="preserve">
South Central Industries
Inc.
(405)275-3851</t>
        </r>
      </text>
    </comment>
    <comment ref="B1943" authorId="0">
      <text>
        <r>
          <rPr>
            <b/>
            <sz val="8"/>
            <color indexed="81"/>
            <rFont val="Tahoma"/>
            <family val="2"/>
          </rPr>
          <t>116295:</t>
        </r>
        <r>
          <rPr>
            <sz val="8"/>
            <color indexed="81"/>
            <rFont val="Tahoma"/>
            <family val="2"/>
          </rPr>
          <t xml:space="preserve">
South Central Industries
Inc.
(405)275-3851</t>
        </r>
      </text>
    </comment>
    <comment ref="B1944" authorId="0">
      <text>
        <r>
          <rPr>
            <b/>
            <sz val="8"/>
            <color indexed="81"/>
            <rFont val="Tahoma"/>
            <family val="2"/>
          </rPr>
          <t>116295:</t>
        </r>
        <r>
          <rPr>
            <sz val="8"/>
            <color indexed="81"/>
            <rFont val="Tahoma"/>
            <family val="2"/>
          </rPr>
          <t xml:space="preserve">
South Central Industries
Inc.
(405)275-3851</t>
        </r>
      </text>
    </comment>
    <comment ref="B1945" authorId="0">
      <text>
        <r>
          <rPr>
            <b/>
            <sz val="8"/>
            <color indexed="81"/>
            <rFont val="Tahoma"/>
            <family val="2"/>
          </rPr>
          <t>116295:</t>
        </r>
        <r>
          <rPr>
            <sz val="8"/>
            <color indexed="81"/>
            <rFont val="Tahoma"/>
            <family val="2"/>
          </rPr>
          <t xml:space="preserve">
South Central Industries
Inc.
(405)275-3851</t>
        </r>
      </text>
    </comment>
    <comment ref="B1946" authorId="0">
      <text>
        <r>
          <rPr>
            <b/>
            <sz val="8"/>
            <color indexed="81"/>
            <rFont val="Tahoma"/>
            <family val="2"/>
          </rPr>
          <t>116295:</t>
        </r>
        <r>
          <rPr>
            <sz val="8"/>
            <color indexed="81"/>
            <rFont val="Tahoma"/>
            <family val="2"/>
          </rPr>
          <t xml:space="preserve">
South Central Industries
Inc.
(405)275-3851</t>
        </r>
      </text>
    </comment>
    <comment ref="B1947" authorId="0">
      <text>
        <r>
          <rPr>
            <b/>
            <sz val="8"/>
            <color indexed="81"/>
            <rFont val="Tahoma"/>
            <family val="2"/>
          </rPr>
          <t>116295:</t>
        </r>
        <r>
          <rPr>
            <sz val="8"/>
            <color indexed="81"/>
            <rFont val="Tahoma"/>
            <family val="2"/>
          </rPr>
          <t xml:space="preserve">
South Central Industries
Inc.
(405)275-3851</t>
        </r>
      </text>
    </comment>
    <comment ref="B1948" authorId="0">
      <text>
        <r>
          <rPr>
            <b/>
            <sz val="8"/>
            <color indexed="81"/>
            <rFont val="Tahoma"/>
            <family val="2"/>
          </rPr>
          <t>116295:</t>
        </r>
        <r>
          <rPr>
            <sz val="8"/>
            <color indexed="81"/>
            <rFont val="Tahoma"/>
            <family val="2"/>
          </rPr>
          <t xml:space="preserve">
South Central Industries
Inc.
(405)275-3851</t>
        </r>
      </text>
    </comment>
    <comment ref="B1949" authorId="0">
      <text>
        <r>
          <rPr>
            <b/>
            <sz val="8"/>
            <color indexed="81"/>
            <rFont val="Tahoma"/>
            <family val="2"/>
          </rPr>
          <t>116295:</t>
        </r>
        <r>
          <rPr>
            <sz val="8"/>
            <color indexed="81"/>
            <rFont val="Tahoma"/>
            <family val="2"/>
          </rPr>
          <t xml:space="preserve">
South Central Industries
Inc.
(405)275-3851</t>
        </r>
      </text>
    </comment>
    <comment ref="B1950" authorId="0">
      <text>
        <r>
          <rPr>
            <b/>
            <sz val="8"/>
            <color indexed="81"/>
            <rFont val="Tahoma"/>
            <family val="2"/>
          </rPr>
          <t>116295:</t>
        </r>
        <r>
          <rPr>
            <sz val="8"/>
            <color indexed="81"/>
            <rFont val="Tahoma"/>
            <family val="2"/>
          </rPr>
          <t xml:space="preserve">
South Central Industries
Inc.
(405)275-3851</t>
        </r>
      </text>
    </comment>
    <comment ref="B1951" authorId="0">
      <text>
        <r>
          <rPr>
            <b/>
            <sz val="8"/>
            <color indexed="81"/>
            <rFont val="Tahoma"/>
            <family val="2"/>
          </rPr>
          <t>116295:</t>
        </r>
        <r>
          <rPr>
            <sz val="8"/>
            <color indexed="81"/>
            <rFont val="Tahoma"/>
            <family val="2"/>
          </rPr>
          <t xml:space="preserve">
South Central Industries
Inc.
(405)275-3851</t>
        </r>
      </text>
    </comment>
    <comment ref="B1952" authorId="0">
      <text>
        <r>
          <rPr>
            <b/>
            <sz val="8"/>
            <color indexed="81"/>
            <rFont val="Tahoma"/>
            <family val="2"/>
          </rPr>
          <t>116295:</t>
        </r>
        <r>
          <rPr>
            <sz val="8"/>
            <color indexed="81"/>
            <rFont val="Tahoma"/>
            <family val="2"/>
          </rPr>
          <t xml:space="preserve">
South Central Industries
Inc.
(405)275-3851</t>
        </r>
      </text>
    </comment>
    <comment ref="B1953" authorId="0">
      <text>
        <r>
          <rPr>
            <b/>
            <sz val="8"/>
            <color indexed="81"/>
            <rFont val="Tahoma"/>
            <family val="2"/>
          </rPr>
          <t>116295:</t>
        </r>
        <r>
          <rPr>
            <sz val="8"/>
            <color indexed="81"/>
            <rFont val="Tahoma"/>
            <family val="2"/>
          </rPr>
          <t xml:space="preserve">
South Central Industries
Inc.
(405)275-3851</t>
        </r>
      </text>
    </comment>
    <comment ref="B1954" authorId="0">
      <text>
        <r>
          <rPr>
            <b/>
            <sz val="8"/>
            <color indexed="81"/>
            <rFont val="Tahoma"/>
            <family val="2"/>
          </rPr>
          <t>116295:</t>
        </r>
        <r>
          <rPr>
            <sz val="8"/>
            <color indexed="81"/>
            <rFont val="Tahoma"/>
            <family val="2"/>
          </rPr>
          <t xml:space="preserve">
South Central Industries
Inc.
(405)275-3851</t>
        </r>
      </text>
    </comment>
    <comment ref="B1955" authorId="0">
      <text>
        <r>
          <rPr>
            <b/>
            <sz val="8"/>
            <color indexed="81"/>
            <rFont val="Tahoma"/>
            <family val="2"/>
          </rPr>
          <t>116295:</t>
        </r>
        <r>
          <rPr>
            <sz val="8"/>
            <color indexed="81"/>
            <rFont val="Tahoma"/>
            <family val="2"/>
          </rPr>
          <t xml:space="preserve">
South Central Industries
Inc.
(405)275-3851</t>
        </r>
      </text>
    </comment>
    <comment ref="B1956" authorId="0">
      <text>
        <r>
          <rPr>
            <b/>
            <sz val="8"/>
            <color indexed="81"/>
            <rFont val="Tahoma"/>
            <family val="2"/>
          </rPr>
          <t>116295:</t>
        </r>
        <r>
          <rPr>
            <sz val="8"/>
            <color indexed="81"/>
            <rFont val="Tahoma"/>
            <family val="2"/>
          </rPr>
          <t xml:space="preserve">
South Central Industries
Inc.
(405)275-3851</t>
        </r>
      </text>
    </comment>
    <comment ref="B1957" authorId="0">
      <text>
        <r>
          <rPr>
            <b/>
            <sz val="8"/>
            <color indexed="81"/>
            <rFont val="Tahoma"/>
            <family val="2"/>
          </rPr>
          <t>116295:</t>
        </r>
        <r>
          <rPr>
            <sz val="8"/>
            <color indexed="81"/>
            <rFont val="Tahoma"/>
            <family val="2"/>
          </rPr>
          <t xml:space="preserve">
South Central Industries
Inc.
(405)275-3851</t>
        </r>
      </text>
    </comment>
    <comment ref="B1958" authorId="0">
      <text>
        <r>
          <rPr>
            <b/>
            <sz val="8"/>
            <color indexed="81"/>
            <rFont val="Tahoma"/>
            <family val="2"/>
          </rPr>
          <t>116295:</t>
        </r>
        <r>
          <rPr>
            <sz val="8"/>
            <color indexed="81"/>
            <rFont val="Tahoma"/>
            <family val="2"/>
          </rPr>
          <t xml:space="preserve">
South Central Industries
Inc.
(405)275-3851</t>
        </r>
      </text>
    </comment>
    <comment ref="B1959" authorId="0">
      <text>
        <r>
          <rPr>
            <b/>
            <sz val="8"/>
            <color indexed="81"/>
            <rFont val="Tahoma"/>
            <family val="2"/>
          </rPr>
          <t>116295:</t>
        </r>
        <r>
          <rPr>
            <sz val="8"/>
            <color indexed="81"/>
            <rFont val="Tahoma"/>
            <family val="2"/>
          </rPr>
          <t xml:space="preserve">
South Central Industries
Inc.
(405)275-3851</t>
        </r>
      </text>
    </comment>
    <comment ref="B1960" authorId="0">
      <text>
        <r>
          <rPr>
            <b/>
            <sz val="8"/>
            <color indexed="81"/>
            <rFont val="Tahoma"/>
            <family val="2"/>
          </rPr>
          <t>116295:</t>
        </r>
        <r>
          <rPr>
            <sz val="8"/>
            <color indexed="81"/>
            <rFont val="Tahoma"/>
            <family val="2"/>
          </rPr>
          <t xml:space="preserve">
South Central Industries
Inc.
(405)275-3851</t>
        </r>
      </text>
    </comment>
    <comment ref="B1961" authorId="0">
      <text>
        <r>
          <rPr>
            <b/>
            <sz val="8"/>
            <color indexed="81"/>
            <rFont val="Tahoma"/>
            <family val="2"/>
          </rPr>
          <t>116295:</t>
        </r>
        <r>
          <rPr>
            <sz val="8"/>
            <color indexed="81"/>
            <rFont val="Tahoma"/>
            <family val="2"/>
          </rPr>
          <t xml:space="preserve">
South Central Industries
Inc.
(405)275-3851</t>
        </r>
      </text>
    </comment>
    <comment ref="B1962" authorId="0">
      <text>
        <r>
          <rPr>
            <b/>
            <sz val="8"/>
            <color indexed="81"/>
            <rFont val="Tahoma"/>
            <family val="2"/>
          </rPr>
          <t>116295:</t>
        </r>
        <r>
          <rPr>
            <sz val="8"/>
            <color indexed="81"/>
            <rFont val="Tahoma"/>
            <family val="2"/>
          </rPr>
          <t xml:space="preserve">
South Central Industries
Inc.
(405)275-3851</t>
        </r>
      </text>
    </comment>
    <comment ref="B1963" authorId="0">
      <text>
        <r>
          <rPr>
            <b/>
            <sz val="8"/>
            <color indexed="81"/>
            <rFont val="Tahoma"/>
            <family val="2"/>
          </rPr>
          <t>116295:</t>
        </r>
        <r>
          <rPr>
            <sz val="8"/>
            <color indexed="81"/>
            <rFont val="Tahoma"/>
            <family val="2"/>
          </rPr>
          <t xml:space="preserve">
South Central Industries
Inc.
(405)275-3851</t>
        </r>
      </text>
    </comment>
    <comment ref="B1964" authorId="0">
      <text>
        <r>
          <rPr>
            <b/>
            <sz val="8"/>
            <color indexed="81"/>
            <rFont val="Tahoma"/>
            <family val="2"/>
          </rPr>
          <t>116295:</t>
        </r>
        <r>
          <rPr>
            <sz val="8"/>
            <color indexed="81"/>
            <rFont val="Tahoma"/>
            <family val="2"/>
          </rPr>
          <t xml:space="preserve">
South Central Industries
Inc.
(405)275-3851</t>
        </r>
      </text>
    </comment>
    <comment ref="B1965" authorId="0">
      <text>
        <r>
          <rPr>
            <b/>
            <sz val="8"/>
            <color indexed="81"/>
            <rFont val="Tahoma"/>
            <family val="2"/>
          </rPr>
          <t>116295:</t>
        </r>
        <r>
          <rPr>
            <sz val="8"/>
            <color indexed="81"/>
            <rFont val="Tahoma"/>
            <family val="2"/>
          </rPr>
          <t xml:space="preserve">
South Central Industries
Inc.
(405)275-3851</t>
        </r>
      </text>
    </comment>
    <comment ref="B1966" authorId="0">
      <text>
        <r>
          <rPr>
            <b/>
            <sz val="8"/>
            <color indexed="81"/>
            <rFont val="Tahoma"/>
            <family val="2"/>
          </rPr>
          <t>116295:</t>
        </r>
        <r>
          <rPr>
            <sz val="8"/>
            <color indexed="81"/>
            <rFont val="Tahoma"/>
            <family val="2"/>
          </rPr>
          <t xml:space="preserve">
South Central Industries
Inc.
(405)275-3851</t>
        </r>
      </text>
    </comment>
    <comment ref="B1967" authorId="0">
      <text>
        <r>
          <rPr>
            <b/>
            <sz val="8"/>
            <color indexed="81"/>
            <rFont val="Tahoma"/>
            <family val="2"/>
          </rPr>
          <t>116295:</t>
        </r>
        <r>
          <rPr>
            <sz val="8"/>
            <color indexed="81"/>
            <rFont val="Tahoma"/>
            <family val="2"/>
          </rPr>
          <t xml:space="preserve">
South Central Industries
Inc.
(405)275-3851</t>
        </r>
      </text>
    </comment>
    <comment ref="B1968" authorId="0">
      <text>
        <r>
          <rPr>
            <b/>
            <sz val="8"/>
            <color indexed="81"/>
            <rFont val="Tahoma"/>
            <family val="2"/>
          </rPr>
          <t>116295:</t>
        </r>
        <r>
          <rPr>
            <sz val="8"/>
            <color indexed="81"/>
            <rFont val="Tahoma"/>
            <family val="2"/>
          </rPr>
          <t xml:space="preserve">
South Central Industries
Inc.
(405)275-3851</t>
        </r>
      </text>
    </comment>
    <comment ref="B1969" authorId="0">
      <text>
        <r>
          <rPr>
            <b/>
            <sz val="8"/>
            <color indexed="81"/>
            <rFont val="Tahoma"/>
            <family val="2"/>
          </rPr>
          <t>116295:</t>
        </r>
        <r>
          <rPr>
            <sz val="8"/>
            <color indexed="81"/>
            <rFont val="Tahoma"/>
            <family val="2"/>
          </rPr>
          <t xml:space="preserve">
South Central Industries
Inc.
(405)275-3851</t>
        </r>
      </text>
    </comment>
    <comment ref="B1970" authorId="0">
      <text>
        <r>
          <rPr>
            <b/>
            <sz val="8"/>
            <color indexed="81"/>
            <rFont val="Tahoma"/>
            <family val="2"/>
          </rPr>
          <t>116295:</t>
        </r>
        <r>
          <rPr>
            <sz val="8"/>
            <color indexed="81"/>
            <rFont val="Tahoma"/>
            <family val="2"/>
          </rPr>
          <t xml:space="preserve">
South Central Industries
Inc.
(405)275-3851</t>
        </r>
      </text>
    </comment>
    <comment ref="B1971" authorId="0">
      <text>
        <r>
          <rPr>
            <b/>
            <sz val="8"/>
            <color indexed="81"/>
            <rFont val="Tahoma"/>
            <family val="2"/>
          </rPr>
          <t>116295:</t>
        </r>
        <r>
          <rPr>
            <sz val="8"/>
            <color indexed="81"/>
            <rFont val="Tahoma"/>
            <family val="2"/>
          </rPr>
          <t xml:space="preserve">
South Central Industries
Inc.
(405)275-3851</t>
        </r>
      </text>
    </comment>
    <comment ref="B1972" authorId="0">
      <text>
        <r>
          <rPr>
            <b/>
            <sz val="8"/>
            <color indexed="81"/>
            <rFont val="Tahoma"/>
            <family val="2"/>
          </rPr>
          <t>116295:</t>
        </r>
        <r>
          <rPr>
            <sz val="8"/>
            <color indexed="81"/>
            <rFont val="Tahoma"/>
            <family val="2"/>
          </rPr>
          <t xml:space="preserve">
South Central Industries
Inc.
(405)275-3851</t>
        </r>
      </text>
    </comment>
    <comment ref="B1973" authorId="0">
      <text>
        <r>
          <rPr>
            <b/>
            <sz val="8"/>
            <color indexed="81"/>
            <rFont val="Tahoma"/>
            <family val="2"/>
          </rPr>
          <t>116295:</t>
        </r>
        <r>
          <rPr>
            <sz val="8"/>
            <color indexed="81"/>
            <rFont val="Tahoma"/>
            <family val="2"/>
          </rPr>
          <t xml:space="preserve">
South Central Industries
Inc.
(405)275-3851</t>
        </r>
      </text>
    </comment>
    <comment ref="B1974" authorId="0">
      <text>
        <r>
          <rPr>
            <b/>
            <sz val="8"/>
            <color indexed="81"/>
            <rFont val="Tahoma"/>
            <family val="2"/>
          </rPr>
          <t>116295:</t>
        </r>
        <r>
          <rPr>
            <sz val="8"/>
            <color indexed="81"/>
            <rFont val="Tahoma"/>
            <family val="2"/>
          </rPr>
          <t xml:space="preserve">
South Central Industries
Inc.
(405)275-3851</t>
        </r>
      </text>
    </comment>
    <comment ref="B1975" authorId="0">
      <text>
        <r>
          <rPr>
            <b/>
            <sz val="8"/>
            <color indexed="81"/>
            <rFont val="Tahoma"/>
            <family val="2"/>
          </rPr>
          <t>116295:</t>
        </r>
        <r>
          <rPr>
            <sz val="8"/>
            <color indexed="81"/>
            <rFont val="Tahoma"/>
            <family val="2"/>
          </rPr>
          <t xml:space="preserve">
South Central Industries
Inc.
(405)275-3851</t>
        </r>
      </text>
    </comment>
    <comment ref="B1976" authorId="0">
      <text>
        <r>
          <rPr>
            <b/>
            <sz val="8"/>
            <color indexed="81"/>
            <rFont val="Tahoma"/>
            <family val="2"/>
          </rPr>
          <t>116295:</t>
        </r>
        <r>
          <rPr>
            <sz val="8"/>
            <color indexed="81"/>
            <rFont val="Tahoma"/>
            <family val="2"/>
          </rPr>
          <t xml:space="preserve">
South Central Industries
Inc.
(405)275-3851</t>
        </r>
      </text>
    </comment>
    <comment ref="B1977" authorId="0">
      <text>
        <r>
          <rPr>
            <b/>
            <sz val="8"/>
            <color indexed="81"/>
            <rFont val="Tahoma"/>
            <family val="2"/>
          </rPr>
          <t>116295:</t>
        </r>
        <r>
          <rPr>
            <sz val="8"/>
            <color indexed="81"/>
            <rFont val="Tahoma"/>
            <family val="2"/>
          </rPr>
          <t xml:space="preserve">
South Central Industries
Inc.
(405)275-3851</t>
        </r>
      </text>
    </comment>
    <comment ref="B1978" authorId="0">
      <text>
        <r>
          <rPr>
            <b/>
            <sz val="8"/>
            <color indexed="81"/>
            <rFont val="Tahoma"/>
            <family val="2"/>
          </rPr>
          <t>116295:</t>
        </r>
        <r>
          <rPr>
            <sz val="8"/>
            <color indexed="81"/>
            <rFont val="Tahoma"/>
            <family val="2"/>
          </rPr>
          <t xml:space="preserve">
South Central Industries
Inc.
(405)275-3851</t>
        </r>
      </text>
    </comment>
    <comment ref="B1979" authorId="0">
      <text>
        <r>
          <rPr>
            <b/>
            <sz val="8"/>
            <color indexed="81"/>
            <rFont val="Tahoma"/>
            <family val="2"/>
          </rPr>
          <t>116295:</t>
        </r>
        <r>
          <rPr>
            <sz val="8"/>
            <color indexed="81"/>
            <rFont val="Tahoma"/>
            <family val="2"/>
          </rPr>
          <t xml:space="preserve">
South Central Industries
Inc.
(405)275-3851</t>
        </r>
      </text>
    </comment>
    <comment ref="B1980" authorId="0">
      <text>
        <r>
          <rPr>
            <b/>
            <sz val="8"/>
            <color indexed="81"/>
            <rFont val="Tahoma"/>
            <family val="2"/>
          </rPr>
          <t>116295:</t>
        </r>
        <r>
          <rPr>
            <sz val="8"/>
            <color indexed="81"/>
            <rFont val="Tahoma"/>
            <family val="2"/>
          </rPr>
          <t xml:space="preserve">
South Central Industries
Inc.
(405)275-3851</t>
        </r>
      </text>
    </comment>
    <comment ref="B1981" authorId="0">
      <text>
        <r>
          <rPr>
            <b/>
            <sz val="8"/>
            <color indexed="81"/>
            <rFont val="Tahoma"/>
            <family val="2"/>
          </rPr>
          <t>116295:</t>
        </r>
        <r>
          <rPr>
            <sz val="8"/>
            <color indexed="81"/>
            <rFont val="Tahoma"/>
            <family val="2"/>
          </rPr>
          <t xml:space="preserve">
South Central Industries
Inc.
(405)275-3851</t>
        </r>
      </text>
    </comment>
    <comment ref="B1982" authorId="0">
      <text>
        <r>
          <rPr>
            <b/>
            <sz val="8"/>
            <color indexed="81"/>
            <rFont val="Tahoma"/>
            <family val="2"/>
          </rPr>
          <t>116295:</t>
        </r>
        <r>
          <rPr>
            <sz val="8"/>
            <color indexed="81"/>
            <rFont val="Tahoma"/>
            <family val="2"/>
          </rPr>
          <t xml:space="preserve">
South Central Industries
Inc.
(405)275-3851</t>
        </r>
      </text>
    </comment>
    <comment ref="B1983" authorId="0">
      <text>
        <r>
          <rPr>
            <b/>
            <sz val="8"/>
            <color indexed="81"/>
            <rFont val="Tahoma"/>
            <family val="2"/>
          </rPr>
          <t>116295:</t>
        </r>
        <r>
          <rPr>
            <sz val="8"/>
            <color indexed="81"/>
            <rFont val="Tahoma"/>
            <family val="2"/>
          </rPr>
          <t xml:space="preserve">
South Central Industries
Inc.
(405)275-3851</t>
        </r>
      </text>
    </comment>
    <comment ref="B1984" authorId="0">
      <text>
        <r>
          <rPr>
            <b/>
            <sz val="8"/>
            <color indexed="81"/>
            <rFont val="Tahoma"/>
            <family val="2"/>
          </rPr>
          <t>116295:</t>
        </r>
        <r>
          <rPr>
            <sz val="8"/>
            <color indexed="81"/>
            <rFont val="Tahoma"/>
            <family val="2"/>
          </rPr>
          <t xml:space="preserve">
South Central Industries
Inc.
(405)275-3851</t>
        </r>
      </text>
    </comment>
    <comment ref="B1985" authorId="0">
      <text>
        <r>
          <rPr>
            <b/>
            <sz val="8"/>
            <color indexed="81"/>
            <rFont val="Tahoma"/>
            <family val="2"/>
          </rPr>
          <t>116295:</t>
        </r>
        <r>
          <rPr>
            <sz val="8"/>
            <color indexed="81"/>
            <rFont val="Tahoma"/>
            <family val="2"/>
          </rPr>
          <t xml:space="preserve">
South Central Industries
Inc.
(405)275-3851</t>
        </r>
      </text>
    </comment>
    <comment ref="B1986" authorId="0">
      <text>
        <r>
          <rPr>
            <b/>
            <sz val="8"/>
            <color indexed="81"/>
            <rFont val="Tahoma"/>
            <family val="2"/>
          </rPr>
          <t>116295:</t>
        </r>
        <r>
          <rPr>
            <sz val="8"/>
            <color indexed="81"/>
            <rFont val="Tahoma"/>
            <family val="2"/>
          </rPr>
          <t xml:space="preserve">
South Central Industries
Inc.
(405)275-3851</t>
        </r>
      </text>
    </comment>
    <comment ref="B1987" authorId="0">
      <text>
        <r>
          <rPr>
            <b/>
            <sz val="8"/>
            <color indexed="81"/>
            <rFont val="Tahoma"/>
            <family val="2"/>
          </rPr>
          <t>116295:</t>
        </r>
        <r>
          <rPr>
            <sz val="8"/>
            <color indexed="81"/>
            <rFont val="Tahoma"/>
            <family val="2"/>
          </rPr>
          <t xml:space="preserve">
South Central Industries
Inc.
(405)275-3851</t>
        </r>
      </text>
    </comment>
    <comment ref="B1988" authorId="0">
      <text>
        <r>
          <rPr>
            <b/>
            <sz val="8"/>
            <color indexed="81"/>
            <rFont val="Tahoma"/>
            <family val="2"/>
          </rPr>
          <t>116295:</t>
        </r>
        <r>
          <rPr>
            <sz val="8"/>
            <color indexed="81"/>
            <rFont val="Tahoma"/>
            <family val="2"/>
          </rPr>
          <t xml:space="preserve">
South Central Industries
Inc.
(405)275-3851</t>
        </r>
      </text>
    </comment>
    <comment ref="B1989" authorId="0">
      <text>
        <r>
          <rPr>
            <b/>
            <sz val="8"/>
            <color indexed="81"/>
            <rFont val="Tahoma"/>
            <family val="2"/>
          </rPr>
          <t>116295:</t>
        </r>
        <r>
          <rPr>
            <sz val="8"/>
            <color indexed="81"/>
            <rFont val="Tahoma"/>
            <family val="2"/>
          </rPr>
          <t xml:space="preserve">
South Central Industries
Inc.
(405)275-3851</t>
        </r>
      </text>
    </comment>
    <comment ref="B1990" authorId="0">
      <text>
        <r>
          <rPr>
            <b/>
            <sz val="8"/>
            <color indexed="81"/>
            <rFont val="Tahoma"/>
            <family val="2"/>
          </rPr>
          <t>116295:</t>
        </r>
        <r>
          <rPr>
            <sz val="8"/>
            <color indexed="81"/>
            <rFont val="Tahoma"/>
            <family val="2"/>
          </rPr>
          <t xml:space="preserve">
South Central Industries
Inc.
(405)275-3851</t>
        </r>
      </text>
    </comment>
    <comment ref="B1991" authorId="0">
      <text>
        <r>
          <rPr>
            <b/>
            <sz val="8"/>
            <color indexed="81"/>
            <rFont val="Tahoma"/>
            <family val="2"/>
          </rPr>
          <t>116295:</t>
        </r>
        <r>
          <rPr>
            <sz val="8"/>
            <color indexed="81"/>
            <rFont val="Tahoma"/>
            <family val="2"/>
          </rPr>
          <t xml:space="preserve">
South Central Industries
Inc.
(405)275-3851</t>
        </r>
      </text>
    </comment>
    <comment ref="B1992" authorId="0">
      <text>
        <r>
          <rPr>
            <b/>
            <sz val="8"/>
            <color indexed="81"/>
            <rFont val="Tahoma"/>
            <family val="2"/>
          </rPr>
          <t>116295:</t>
        </r>
        <r>
          <rPr>
            <sz val="8"/>
            <color indexed="81"/>
            <rFont val="Tahoma"/>
            <family val="2"/>
          </rPr>
          <t xml:space="preserve">
South Central Industries
Inc.
(405)275-3851</t>
        </r>
      </text>
    </comment>
    <comment ref="B1993" authorId="0">
      <text>
        <r>
          <rPr>
            <b/>
            <sz val="8"/>
            <color indexed="81"/>
            <rFont val="Tahoma"/>
            <family val="2"/>
          </rPr>
          <t>116295:</t>
        </r>
        <r>
          <rPr>
            <sz val="8"/>
            <color indexed="81"/>
            <rFont val="Tahoma"/>
            <family val="2"/>
          </rPr>
          <t xml:space="preserve">
South Central Industries
Inc.
(405)275-3851</t>
        </r>
      </text>
    </comment>
    <comment ref="B1994" authorId="0">
      <text>
        <r>
          <rPr>
            <b/>
            <sz val="8"/>
            <color indexed="81"/>
            <rFont val="Tahoma"/>
            <family val="2"/>
          </rPr>
          <t>116295:</t>
        </r>
        <r>
          <rPr>
            <sz val="8"/>
            <color indexed="81"/>
            <rFont val="Tahoma"/>
            <family val="2"/>
          </rPr>
          <t xml:space="preserve">
South Central Industries
Inc.
(405)275-3851</t>
        </r>
      </text>
    </comment>
    <comment ref="B1995" authorId="0">
      <text>
        <r>
          <rPr>
            <b/>
            <sz val="8"/>
            <color indexed="81"/>
            <rFont val="Tahoma"/>
            <family val="2"/>
          </rPr>
          <t>116295:</t>
        </r>
        <r>
          <rPr>
            <sz val="8"/>
            <color indexed="81"/>
            <rFont val="Tahoma"/>
            <family val="2"/>
          </rPr>
          <t xml:space="preserve">
South Central Industries
Inc.
(405)275-3851</t>
        </r>
      </text>
    </comment>
    <comment ref="B1996" authorId="0">
      <text>
        <r>
          <rPr>
            <b/>
            <sz val="8"/>
            <color indexed="81"/>
            <rFont val="Tahoma"/>
            <family val="2"/>
          </rPr>
          <t>116295:</t>
        </r>
        <r>
          <rPr>
            <sz val="8"/>
            <color indexed="81"/>
            <rFont val="Tahoma"/>
            <family val="2"/>
          </rPr>
          <t xml:space="preserve">
South Central Industries
Inc.
(405)275-3851</t>
        </r>
      </text>
    </comment>
    <comment ref="B1997" authorId="0">
      <text>
        <r>
          <rPr>
            <b/>
            <sz val="8"/>
            <color indexed="81"/>
            <rFont val="Tahoma"/>
            <family val="2"/>
          </rPr>
          <t>116295:</t>
        </r>
        <r>
          <rPr>
            <sz val="8"/>
            <color indexed="81"/>
            <rFont val="Tahoma"/>
            <family val="2"/>
          </rPr>
          <t xml:space="preserve">
South Central Industries
Inc.
(405)275-3851</t>
        </r>
      </text>
    </comment>
    <comment ref="B1998" authorId="0">
      <text>
        <r>
          <rPr>
            <b/>
            <sz val="8"/>
            <color indexed="81"/>
            <rFont val="Tahoma"/>
            <family val="2"/>
          </rPr>
          <t>116295:</t>
        </r>
        <r>
          <rPr>
            <sz val="8"/>
            <color indexed="81"/>
            <rFont val="Tahoma"/>
            <family val="2"/>
          </rPr>
          <t xml:space="preserve">
South Central Industries
Inc.
(405)275-3851</t>
        </r>
      </text>
    </comment>
    <comment ref="B1999" authorId="0">
      <text>
        <r>
          <rPr>
            <b/>
            <sz val="8"/>
            <color indexed="81"/>
            <rFont val="Tahoma"/>
            <family val="2"/>
          </rPr>
          <t>116295:</t>
        </r>
        <r>
          <rPr>
            <sz val="8"/>
            <color indexed="81"/>
            <rFont val="Tahoma"/>
            <family val="2"/>
          </rPr>
          <t xml:space="preserve">
South Central Industries
Inc.
(405)275-3851</t>
        </r>
      </text>
    </comment>
    <comment ref="B2000" authorId="0">
      <text>
        <r>
          <rPr>
            <b/>
            <sz val="8"/>
            <color indexed="81"/>
            <rFont val="Tahoma"/>
            <family val="2"/>
          </rPr>
          <t>116295:</t>
        </r>
        <r>
          <rPr>
            <sz val="8"/>
            <color indexed="81"/>
            <rFont val="Tahoma"/>
            <family val="2"/>
          </rPr>
          <t xml:space="preserve">
South Central Industries
Inc.
(405)275-3851</t>
        </r>
      </text>
    </comment>
    <comment ref="B2001" authorId="0">
      <text>
        <r>
          <rPr>
            <b/>
            <sz val="8"/>
            <color indexed="81"/>
            <rFont val="Tahoma"/>
            <family val="2"/>
          </rPr>
          <t>116295:</t>
        </r>
        <r>
          <rPr>
            <sz val="8"/>
            <color indexed="81"/>
            <rFont val="Tahoma"/>
            <family val="2"/>
          </rPr>
          <t xml:space="preserve">
South Central Industries
Inc.
(405)275-3851</t>
        </r>
      </text>
    </comment>
    <comment ref="B2002" authorId="0">
      <text>
        <r>
          <rPr>
            <b/>
            <sz val="8"/>
            <color indexed="81"/>
            <rFont val="Tahoma"/>
            <family val="2"/>
          </rPr>
          <t>116295:</t>
        </r>
        <r>
          <rPr>
            <sz val="8"/>
            <color indexed="81"/>
            <rFont val="Tahoma"/>
            <family val="2"/>
          </rPr>
          <t xml:space="preserve">
South Central Industries
Inc.
(405)275-3851</t>
        </r>
      </text>
    </comment>
    <comment ref="B2003" authorId="0">
      <text>
        <r>
          <rPr>
            <b/>
            <sz val="8"/>
            <color indexed="81"/>
            <rFont val="Tahoma"/>
            <family val="2"/>
          </rPr>
          <t>116295:</t>
        </r>
        <r>
          <rPr>
            <sz val="8"/>
            <color indexed="81"/>
            <rFont val="Tahoma"/>
            <family val="2"/>
          </rPr>
          <t xml:space="preserve">
South Central Industries
Inc.
(405)275-3851</t>
        </r>
      </text>
    </comment>
    <comment ref="B2004" authorId="0">
      <text>
        <r>
          <rPr>
            <b/>
            <sz val="8"/>
            <color indexed="81"/>
            <rFont val="Tahoma"/>
            <family val="2"/>
          </rPr>
          <t>116295:</t>
        </r>
        <r>
          <rPr>
            <sz val="8"/>
            <color indexed="81"/>
            <rFont val="Tahoma"/>
            <family val="2"/>
          </rPr>
          <t xml:space="preserve">
South Central Industries
Inc.
(405)275-3851</t>
        </r>
      </text>
    </comment>
    <comment ref="B2005" authorId="0">
      <text>
        <r>
          <rPr>
            <b/>
            <sz val="8"/>
            <color indexed="81"/>
            <rFont val="Tahoma"/>
            <family val="2"/>
          </rPr>
          <t>116295:</t>
        </r>
        <r>
          <rPr>
            <sz val="8"/>
            <color indexed="81"/>
            <rFont val="Tahoma"/>
            <family val="2"/>
          </rPr>
          <t xml:space="preserve">
South Central Industries
Inc.
(405)275-3851</t>
        </r>
      </text>
    </comment>
    <comment ref="B2006" authorId="0">
      <text>
        <r>
          <rPr>
            <b/>
            <sz val="8"/>
            <color indexed="81"/>
            <rFont val="Tahoma"/>
            <family val="2"/>
          </rPr>
          <t>116295:</t>
        </r>
        <r>
          <rPr>
            <sz val="8"/>
            <color indexed="81"/>
            <rFont val="Tahoma"/>
            <family val="2"/>
          </rPr>
          <t xml:space="preserve">
South Central Industries
Inc.
(405)275-3851</t>
        </r>
      </text>
    </comment>
    <comment ref="B2007" authorId="0">
      <text>
        <r>
          <rPr>
            <b/>
            <sz val="8"/>
            <color indexed="81"/>
            <rFont val="Tahoma"/>
            <family val="2"/>
          </rPr>
          <t>116295:</t>
        </r>
        <r>
          <rPr>
            <sz val="8"/>
            <color indexed="81"/>
            <rFont val="Tahoma"/>
            <family val="2"/>
          </rPr>
          <t xml:space="preserve">
South Central Industries
Inc.
(405)275-3851</t>
        </r>
      </text>
    </comment>
    <comment ref="B2008" authorId="0">
      <text>
        <r>
          <rPr>
            <b/>
            <sz val="8"/>
            <color indexed="81"/>
            <rFont val="Tahoma"/>
            <family val="2"/>
          </rPr>
          <t>116295:</t>
        </r>
        <r>
          <rPr>
            <sz val="8"/>
            <color indexed="81"/>
            <rFont val="Tahoma"/>
            <family val="2"/>
          </rPr>
          <t xml:space="preserve">
South Central Industries
Inc.
(405)275-3851</t>
        </r>
      </text>
    </comment>
    <comment ref="B2009" authorId="0">
      <text>
        <r>
          <rPr>
            <b/>
            <sz val="8"/>
            <color indexed="81"/>
            <rFont val="Tahoma"/>
            <family val="2"/>
          </rPr>
          <t>116295:</t>
        </r>
        <r>
          <rPr>
            <sz val="8"/>
            <color indexed="81"/>
            <rFont val="Tahoma"/>
            <family val="2"/>
          </rPr>
          <t xml:space="preserve">
South Central Industries
Inc.
(405)275-3851</t>
        </r>
      </text>
    </comment>
    <comment ref="B2010" authorId="0">
      <text>
        <r>
          <rPr>
            <b/>
            <sz val="8"/>
            <color indexed="81"/>
            <rFont val="Tahoma"/>
            <family val="2"/>
          </rPr>
          <t>116295:</t>
        </r>
        <r>
          <rPr>
            <sz val="8"/>
            <color indexed="81"/>
            <rFont val="Tahoma"/>
            <family val="2"/>
          </rPr>
          <t xml:space="preserve">
South Central Industries
Inc.
(405)275-3851</t>
        </r>
      </text>
    </comment>
    <comment ref="B2011" authorId="0">
      <text>
        <r>
          <rPr>
            <b/>
            <sz val="8"/>
            <color indexed="81"/>
            <rFont val="Tahoma"/>
            <family val="2"/>
          </rPr>
          <t>116295:</t>
        </r>
        <r>
          <rPr>
            <sz val="8"/>
            <color indexed="81"/>
            <rFont val="Tahoma"/>
            <family val="2"/>
          </rPr>
          <t xml:space="preserve">
South Central Industries
Inc.
(405)275-3851</t>
        </r>
      </text>
    </comment>
    <comment ref="B2012" authorId="0">
      <text>
        <r>
          <rPr>
            <b/>
            <sz val="8"/>
            <color indexed="81"/>
            <rFont val="Tahoma"/>
            <family val="2"/>
          </rPr>
          <t>116295:</t>
        </r>
        <r>
          <rPr>
            <sz val="8"/>
            <color indexed="81"/>
            <rFont val="Tahoma"/>
            <family val="2"/>
          </rPr>
          <t xml:space="preserve">
South Central Industries
Inc.
(405)275-3851</t>
        </r>
      </text>
    </comment>
    <comment ref="B2013" authorId="0">
      <text>
        <r>
          <rPr>
            <b/>
            <sz val="8"/>
            <color indexed="81"/>
            <rFont val="Tahoma"/>
            <family val="2"/>
          </rPr>
          <t>116295:</t>
        </r>
        <r>
          <rPr>
            <sz val="8"/>
            <color indexed="81"/>
            <rFont val="Tahoma"/>
            <family val="2"/>
          </rPr>
          <t xml:space="preserve">
South Central Industries
Inc.
(405)275-3851</t>
        </r>
      </text>
    </comment>
    <comment ref="B2014" authorId="0">
      <text>
        <r>
          <rPr>
            <b/>
            <sz val="8"/>
            <color indexed="81"/>
            <rFont val="Tahoma"/>
            <family val="2"/>
          </rPr>
          <t>116295:</t>
        </r>
        <r>
          <rPr>
            <sz val="8"/>
            <color indexed="81"/>
            <rFont val="Tahoma"/>
            <family val="2"/>
          </rPr>
          <t xml:space="preserve">
South Central Industries
Inc.
(405)275-3851</t>
        </r>
      </text>
    </comment>
    <comment ref="B2015" authorId="0">
      <text>
        <r>
          <rPr>
            <b/>
            <sz val="8"/>
            <color indexed="81"/>
            <rFont val="Tahoma"/>
            <family val="2"/>
          </rPr>
          <t>116295:</t>
        </r>
        <r>
          <rPr>
            <sz val="8"/>
            <color indexed="81"/>
            <rFont val="Tahoma"/>
            <family val="2"/>
          </rPr>
          <t xml:space="preserve">
South Central Industries
Inc.
(405)275-3851</t>
        </r>
      </text>
    </comment>
    <comment ref="B2016" authorId="0">
      <text>
        <r>
          <rPr>
            <b/>
            <sz val="8"/>
            <color indexed="81"/>
            <rFont val="Tahoma"/>
            <family val="2"/>
          </rPr>
          <t>116295:</t>
        </r>
        <r>
          <rPr>
            <sz val="8"/>
            <color indexed="81"/>
            <rFont val="Tahoma"/>
            <family val="2"/>
          </rPr>
          <t xml:space="preserve">
South Central Industries
Inc.
(405)275-3851</t>
        </r>
      </text>
    </comment>
    <comment ref="B2017" authorId="0">
      <text>
        <r>
          <rPr>
            <b/>
            <sz val="8"/>
            <color indexed="81"/>
            <rFont val="Tahoma"/>
            <family val="2"/>
          </rPr>
          <t>116295:</t>
        </r>
        <r>
          <rPr>
            <sz val="8"/>
            <color indexed="81"/>
            <rFont val="Tahoma"/>
            <family val="2"/>
          </rPr>
          <t xml:space="preserve">
South Central Industries
Inc.
(405)275-3851</t>
        </r>
      </text>
    </comment>
    <comment ref="B2018" authorId="0">
      <text>
        <r>
          <rPr>
            <b/>
            <sz val="8"/>
            <color indexed="81"/>
            <rFont val="Tahoma"/>
            <family val="2"/>
          </rPr>
          <t>116295:</t>
        </r>
        <r>
          <rPr>
            <sz val="8"/>
            <color indexed="81"/>
            <rFont val="Tahoma"/>
            <family val="2"/>
          </rPr>
          <t xml:space="preserve">
South Central Industries
Inc.
(405)275-3851</t>
        </r>
      </text>
    </comment>
    <comment ref="B2019" authorId="0">
      <text>
        <r>
          <rPr>
            <b/>
            <sz val="8"/>
            <color indexed="81"/>
            <rFont val="Tahoma"/>
            <family val="2"/>
          </rPr>
          <t>116295:</t>
        </r>
        <r>
          <rPr>
            <sz val="8"/>
            <color indexed="81"/>
            <rFont val="Tahoma"/>
            <family val="2"/>
          </rPr>
          <t xml:space="preserve">
South Central Industries
Inc.
(405)275-3851</t>
        </r>
      </text>
    </comment>
    <comment ref="B2020" authorId="0">
      <text>
        <r>
          <rPr>
            <b/>
            <sz val="8"/>
            <color indexed="81"/>
            <rFont val="Tahoma"/>
            <family val="2"/>
          </rPr>
          <t>116295:</t>
        </r>
        <r>
          <rPr>
            <sz val="8"/>
            <color indexed="81"/>
            <rFont val="Tahoma"/>
            <family val="2"/>
          </rPr>
          <t xml:space="preserve">
South Central Industries
Inc.
(405)275-3851</t>
        </r>
      </text>
    </comment>
    <comment ref="B2021" authorId="0">
      <text>
        <r>
          <rPr>
            <b/>
            <sz val="8"/>
            <color indexed="81"/>
            <rFont val="Tahoma"/>
            <family val="2"/>
          </rPr>
          <t>116295:</t>
        </r>
        <r>
          <rPr>
            <sz val="8"/>
            <color indexed="81"/>
            <rFont val="Tahoma"/>
            <family val="2"/>
          </rPr>
          <t xml:space="preserve">
South Central Industries
Inc.
(405)275-3851</t>
        </r>
      </text>
    </comment>
    <comment ref="B2022" authorId="0">
      <text>
        <r>
          <rPr>
            <b/>
            <sz val="8"/>
            <color indexed="81"/>
            <rFont val="Tahoma"/>
            <family val="2"/>
          </rPr>
          <t>116295:</t>
        </r>
        <r>
          <rPr>
            <sz val="8"/>
            <color indexed="81"/>
            <rFont val="Tahoma"/>
            <family val="2"/>
          </rPr>
          <t xml:space="preserve">
South Central Industries
Inc.
(405)275-3851</t>
        </r>
      </text>
    </comment>
    <comment ref="B2023" authorId="0">
      <text>
        <r>
          <rPr>
            <b/>
            <sz val="8"/>
            <color indexed="81"/>
            <rFont val="Tahoma"/>
            <family val="2"/>
          </rPr>
          <t>116295:</t>
        </r>
        <r>
          <rPr>
            <sz val="8"/>
            <color indexed="81"/>
            <rFont val="Tahoma"/>
            <family val="2"/>
          </rPr>
          <t xml:space="preserve">
South Central Industries
Inc.
(405)275-3851</t>
        </r>
      </text>
    </comment>
    <comment ref="B2024" authorId="0">
      <text>
        <r>
          <rPr>
            <b/>
            <sz val="8"/>
            <color indexed="81"/>
            <rFont val="Tahoma"/>
            <family val="2"/>
          </rPr>
          <t>116295:</t>
        </r>
        <r>
          <rPr>
            <sz val="8"/>
            <color indexed="81"/>
            <rFont val="Tahoma"/>
            <family val="2"/>
          </rPr>
          <t xml:space="preserve">
South Central Industries
Inc.
(405)275-3851</t>
        </r>
      </text>
    </comment>
    <comment ref="B2025" authorId="0">
      <text>
        <r>
          <rPr>
            <b/>
            <sz val="8"/>
            <color indexed="81"/>
            <rFont val="Tahoma"/>
            <family val="2"/>
          </rPr>
          <t>116295:</t>
        </r>
        <r>
          <rPr>
            <sz val="8"/>
            <color indexed="81"/>
            <rFont val="Tahoma"/>
            <family val="2"/>
          </rPr>
          <t xml:space="preserve">
South Central Industries
Inc.
(405)275-3851</t>
        </r>
      </text>
    </comment>
    <comment ref="B2026" authorId="0">
      <text>
        <r>
          <rPr>
            <b/>
            <sz val="8"/>
            <color indexed="81"/>
            <rFont val="Tahoma"/>
            <family val="2"/>
          </rPr>
          <t>116295:</t>
        </r>
        <r>
          <rPr>
            <sz val="8"/>
            <color indexed="81"/>
            <rFont val="Tahoma"/>
            <family val="2"/>
          </rPr>
          <t xml:space="preserve">
South Central Industries
Inc.
(405)275-3851</t>
        </r>
      </text>
    </comment>
    <comment ref="B2027" authorId="0">
      <text>
        <r>
          <rPr>
            <b/>
            <sz val="8"/>
            <color indexed="81"/>
            <rFont val="Tahoma"/>
            <family val="2"/>
          </rPr>
          <t>116295:</t>
        </r>
        <r>
          <rPr>
            <sz val="8"/>
            <color indexed="81"/>
            <rFont val="Tahoma"/>
            <family val="2"/>
          </rPr>
          <t xml:space="preserve">
South Central Industries
Inc.
(405)275-3851</t>
        </r>
      </text>
    </comment>
    <comment ref="B2028" authorId="0">
      <text>
        <r>
          <rPr>
            <b/>
            <sz val="8"/>
            <color indexed="81"/>
            <rFont val="Tahoma"/>
            <family val="2"/>
          </rPr>
          <t>116295:</t>
        </r>
        <r>
          <rPr>
            <sz val="8"/>
            <color indexed="81"/>
            <rFont val="Tahoma"/>
            <family val="2"/>
          </rPr>
          <t xml:space="preserve">
South Central Industries
Inc.
(405)275-3851</t>
        </r>
      </text>
    </comment>
    <comment ref="B2029" authorId="0">
      <text>
        <r>
          <rPr>
            <b/>
            <sz val="8"/>
            <color indexed="81"/>
            <rFont val="Tahoma"/>
            <family val="2"/>
          </rPr>
          <t>116295:</t>
        </r>
        <r>
          <rPr>
            <sz val="8"/>
            <color indexed="81"/>
            <rFont val="Tahoma"/>
            <family val="2"/>
          </rPr>
          <t xml:space="preserve">
South Central Industries
Inc.
(405)275-3851</t>
        </r>
      </text>
    </comment>
    <comment ref="B2030" authorId="0">
      <text>
        <r>
          <rPr>
            <b/>
            <sz val="8"/>
            <color indexed="81"/>
            <rFont val="Tahoma"/>
            <family val="2"/>
          </rPr>
          <t>116295:</t>
        </r>
        <r>
          <rPr>
            <sz val="8"/>
            <color indexed="81"/>
            <rFont val="Tahoma"/>
            <family val="2"/>
          </rPr>
          <t xml:space="preserve">
South Central Industries
Inc.
(405)275-3851</t>
        </r>
      </text>
    </comment>
    <comment ref="B2031" authorId="0">
      <text>
        <r>
          <rPr>
            <b/>
            <sz val="8"/>
            <color indexed="81"/>
            <rFont val="Tahoma"/>
            <family val="2"/>
          </rPr>
          <t>116295:</t>
        </r>
        <r>
          <rPr>
            <sz val="8"/>
            <color indexed="81"/>
            <rFont val="Tahoma"/>
            <family val="2"/>
          </rPr>
          <t xml:space="preserve">
South Central Industries
Inc.
(405)275-3851</t>
        </r>
      </text>
    </comment>
    <comment ref="B2032" authorId="0">
      <text>
        <r>
          <rPr>
            <b/>
            <sz val="8"/>
            <color indexed="81"/>
            <rFont val="Tahoma"/>
            <family val="2"/>
          </rPr>
          <t>116295:</t>
        </r>
        <r>
          <rPr>
            <sz val="8"/>
            <color indexed="81"/>
            <rFont val="Tahoma"/>
            <family val="2"/>
          </rPr>
          <t xml:space="preserve">
South Central Industries
Inc.
(405)275-3851</t>
        </r>
      </text>
    </comment>
    <comment ref="B2033" authorId="0">
      <text>
        <r>
          <rPr>
            <b/>
            <sz val="8"/>
            <color indexed="81"/>
            <rFont val="Tahoma"/>
            <family val="2"/>
          </rPr>
          <t>116295:</t>
        </r>
        <r>
          <rPr>
            <sz val="8"/>
            <color indexed="81"/>
            <rFont val="Tahoma"/>
            <family val="2"/>
          </rPr>
          <t xml:space="preserve">
South Central Industries
Inc.
(405)275-3851</t>
        </r>
      </text>
    </comment>
    <comment ref="B2034" authorId="0">
      <text>
        <r>
          <rPr>
            <b/>
            <sz val="8"/>
            <color indexed="81"/>
            <rFont val="Tahoma"/>
            <family val="2"/>
          </rPr>
          <t>116295:</t>
        </r>
        <r>
          <rPr>
            <sz val="8"/>
            <color indexed="81"/>
            <rFont val="Tahoma"/>
            <family val="2"/>
          </rPr>
          <t xml:space="preserve">
South Central Industries
Inc.
(405)275-3851</t>
        </r>
      </text>
    </comment>
    <comment ref="B2035" authorId="0">
      <text>
        <r>
          <rPr>
            <b/>
            <sz val="8"/>
            <color indexed="81"/>
            <rFont val="Tahoma"/>
            <family val="2"/>
          </rPr>
          <t>116295:</t>
        </r>
        <r>
          <rPr>
            <sz val="8"/>
            <color indexed="81"/>
            <rFont val="Tahoma"/>
            <family val="2"/>
          </rPr>
          <t xml:space="preserve">
South Central Industries
Inc.
(405)275-3851</t>
        </r>
      </text>
    </comment>
    <comment ref="B2036" authorId="0">
      <text>
        <r>
          <rPr>
            <b/>
            <sz val="8"/>
            <color indexed="81"/>
            <rFont val="Tahoma"/>
            <family val="2"/>
          </rPr>
          <t>116295:</t>
        </r>
        <r>
          <rPr>
            <sz val="8"/>
            <color indexed="81"/>
            <rFont val="Tahoma"/>
            <family val="2"/>
          </rPr>
          <t xml:space="preserve">
South Central Industries
Inc.
(405)275-3851</t>
        </r>
      </text>
    </comment>
    <comment ref="B2037" authorId="0">
      <text>
        <r>
          <rPr>
            <b/>
            <sz val="8"/>
            <color indexed="81"/>
            <rFont val="Tahoma"/>
            <family val="2"/>
          </rPr>
          <t>116295:</t>
        </r>
        <r>
          <rPr>
            <sz val="8"/>
            <color indexed="81"/>
            <rFont val="Tahoma"/>
            <family val="2"/>
          </rPr>
          <t xml:space="preserve">
South Central Industries
Inc.
(405)275-3851</t>
        </r>
      </text>
    </comment>
    <comment ref="B2038" authorId="0">
      <text>
        <r>
          <rPr>
            <b/>
            <sz val="8"/>
            <color indexed="81"/>
            <rFont val="Tahoma"/>
            <family val="2"/>
          </rPr>
          <t>116295:</t>
        </r>
        <r>
          <rPr>
            <sz val="8"/>
            <color indexed="81"/>
            <rFont val="Tahoma"/>
            <family val="2"/>
          </rPr>
          <t xml:space="preserve">
South Central Industries
Inc.
(405)275-3851</t>
        </r>
      </text>
    </comment>
    <comment ref="B2039" authorId="0">
      <text>
        <r>
          <rPr>
            <b/>
            <sz val="8"/>
            <color indexed="81"/>
            <rFont val="Tahoma"/>
            <family val="2"/>
          </rPr>
          <t>116295:</t>
        </r>
        <r>
          <rPr>
            <sz val="8"/>
            <color indexed="81"/>
            <rFont val="Tahoma"/>
            <family val="2"/>
          </rPr>
          <t xml:space="preserve">
South Central Industries
Inc.
(405)275-3851</t>
        </r>
      </text>
    </comment>
    <comment ref="B2040" authorId="0">
      <text>
        <r>
          <rPr>
            <b/>
            <sz val="8"/>
            <color indexed="81"/>
            <rFont val="Tahoma"/>
            <family val="2"/>
          </rPr>
          <t>116295:</t>
        </r>
        <r>
          <rPr>
            <sz val="8"/>
            <color indexed="81"/>
            <rFont val="Tahoma"/>
            <family val="2"/>
          </rPr>
          <t xml:space="preserve">
South Central Industries
Inc.
(405)275-3851</t>
        </r>
      </text>
    </comment>
    <comment ref="B2041" authorId="0">
      <text>
        <r>
          <rPr>
            <b/>
            <sz val="8"/>
            <color indexed="81"/>
            <rFont val="Tahoma"/>
            <family val="2"/>
          </rPr>
          <t>116295:</t>
        </r>
        <r>
          <rPr>
            <sz val="8"/>
            <color indexed="81"/>
            <rFont val="Tahoma"/>
            <family val="2"/>
          </rPr>
          <t xml:space="preserve">
South Central Industries
Inc.
(405)275-3851</t>
        </r>
      </text>
    </comment>
    <comment ref="B2042" authorId="0">
      <text>
        <r>
          <rPr>
            <b/>
            <sz val="8"/>
            <color indexed="81"/>
            <rFont val="Tahoma"/>
            <family val="2"/>
          </rPr>
          <t>116295:</t>
        </r>
        <r>
          <rPr>
            <sz val="8"/>
            <color indexed="81"/>
            <rFont val="Tahoma"/>
            <family val="2"/>
          </rPr>
          <t xml:space="preserve">
South Central Industries
Inc.
(405)275-3851</t>
        </r>
      </text>
    </comment>
    <comment ref="B2043" authorId="0">
      <text>
        <r>
          <rPr>
            <b/>
            <sz val="8"/>
            <color indexed="81"/>
            <rFont val="Tahoma"/>
            <family val="2"/>
          </rPr>
          <t>116295:</t>
        </r>
        <r>
          <rPr>
            <sz val="8"/>
            <color indexed="81"/>
            <rFont val="Tahoma"/>
            <family val="2"/>
          </rPr>
          <t xml:space="preserve">
South Central Industries
Inc.
(405)275-3851</t>
        </r>
      </text>
    </comment>
    <comment ref="B2044" authorId="0">
      <text>
        <r>
          <rPr>
            <b/>
            <sz val="8"/>
            <color indexed="81"/>
            <rFont val="Tahoma"/>
            <family val="2"/>
          </rPr>
          <t>116295:</t>
        </r>
        <r>
          <rPr>
            <sz val="8"/>
            <color indexed="81"/>
            <rFont val="Tahoma"/>
            <family val="2"/>
          </rPr>
          <t xml:space="preserve">
South Central Industries
Inc.
(405)275-3851</t>
        </r>
      </text>
    </comment>
    <comment ref="B2045" authorId="0">
      <text>
        <r>
          <rPr>
            <b/>
            <sz val="8"/>
            <color indexed="81"/>
            <rFont val="Tahoma"/>
            <family val="2"/>
          </rPr>
          <t>116295:</t>
        </r>
        <r>
          <rPr>
            <sz val="8"/>
            <color indexed="81"/>
            <rFont val="Tahoma"/>
            <family val="2"/>
          </rPr>
          <t xml:space="preserve">
South Central Industries
Inc.
(405)275-3851</t>
        </r>
      </text>
    </comment>
    <comment ref="B2046" authorId="0">
      <text>
        <r>
          <rPr>
            <b/>
            <sz val="8"/>
            <color indexed="81"/>
            <rFont val="Tahoma"/>
            <family val="2"/>
          </rPr>
          <t>116295:</t>
        </r>
        <r>
          <rPr>
            <sz val="8"/>
            <color indexed="81"/>
            <rFont val="Tahoma"/>
            <family val="2"/>
          </rPr>
          <t xml:space="preserve">
South Central Industries
Inc.
(405)275-3851</t>
        </r>
      </text>
    </comment>
    <comment ref="B2047" authorId="0">
      <text>
        <r>
          <rPr>
            <b/>
            <sz val="8"/>
            <color indexed="81"/>
            <rFont val="Tahoma"/>
            <family val="2"/>
          </rPr>
          <t>116295:</t>
        </r>
        <r>
          <rPr>
            <sz val="8"/>
            <color indexed="81"/>
            <rFont val="Tahoma"/>
            <family val="2"/>
          </rPr>
          <t xml:space="preserve">
South Central Industries
Inc.
(405)275-3851</t>
        </r>
      </text>
    </comment>
    <comment ref="B2048" authorId="0">
      <text>
        <r>
          <rPr>
            <b/>
            <sz val="8"/>
            <color indexed="81"/>
            <rFont val="Tahoma"/>
            <family val="2"/>
          </rPr>
          <t>116295:</t>
        </r>
        <r>
          <rPr>
            <sz val="8"/>
            <color indexed="81"/>
            <rFont val="Tahoma"/>
            <family val="2"/>
          </rPr>
          <t xml:space="preserve">
South Central Industries
Inc.
(405)275-3851</t>
        </r>
      </text>
    </comment>
    <comment ref="B2049" authorId="0">
      <text>
        <r>
          <rPr>
            <b/>
            <sz val="8"/>
            <color indexed="81"/>
            <rFont val="Tahoma"/>
            <family val="2"/>
          </rPr>
          <t>116295:</t>
        </r>
        <r>
          <rPr>
            <sz val="8"/>
            <color indexed="81"/>
            <rFont val="Tahoma"/>
            <family val="2"/>
          </rPr>
          <t xml:space="preserve">
South Central Industries
Inc.
(405)275-3851</t>
        </r>
      </text>
    </comment>
    <comment ref="B2050" authorId="0">
      <text>
        <r>
          <rPr>
            <b/>
            <sz val="8"/>
            <color indexed="81"/>
            <rFont val="Tahoma"/>
            <family val="2"/>
          </rPr>
          <t>116295:</t>
        </r>
        <r>
          <rPr>
            <sz val="8"/>
            <color indexed="81"/>
            <rFont val="Tahoma"/>
            <family val="2"/>
          </rPr>
          <t xml:space="preserve">
South Central Industries
Inc.
(405)275-3851</t>
        </r>
      </text>
    </comment>
    <comment ref="B2051" authorId="0">
      <text>
        <r>
          <rPr>
            <b/>
            <sz val="8"/>
            <color indexed="81"/>
            <rFont val="Tahoma"/>
            <family val="2"/>
          </rPr>
          <t>116295:</t>
        </r>
        <r>
          <rPr>
            <sz val="8"/>
            <color indexed="81"/>
            <rFont val="Tahoma"/>
            <family val="2"/>
          </rPr>
          <t xml:space="preserve">
South Central Industries
Inc.
(405)275-3851</t>
        </r>
      </text>
    </comment>
    <comment ref="B2052" authorId="0">
      <text>
        <r>
          <rPr>
            <b/>
            <sz val="8"/>
            <color indexed="81"/>
            <rFont val="Tahoma"/>
            <family val="2"/>
          </rPr>
          <t>116295:</t>
        </r>
        <r>
          <rPr>
            <sz val="8"/>
            <color indexed="81"/>
            <rFont val="Tahoma"/>
            <family val="2"/>
          </rPr>
          <t xml:space="preserve">
South Central Industries
Inc.
(405)275-3851</t>
        </r>
      </text>
    </comment>
    <comment ref="B2053" authorId="0">
      <text>
        <r>
          <rPr>
            <b/>
            <sz val="8"/>
            <color indexed="81"/>
            <rFont val="Tahoma"/>
            <family val="2"/>
          </rPr>
          <t>116295:</t>
        </r>
        <r>
          <rPr>
            <sz val="8"/>
            <color indexed="81"/>
            <rFont val="Tahoma"/>
            <family val="2"/>
          </rPr>
          <t xml:space="preserve">
South Central Industries
Inc.
(405)275-3851</t>
        </r>
      </text>
    </comment>
    <comment ref="B2054" authorId="0">
      <text>
        <r>
          <rPr>
            <b/>
            <sz val="8"/>
            <color indexed="81"/>
            <rFont val="Tahoma"/>
            <family val="2"/>
          </rPr>
          <t>116295:</t>
        </r>
        <r>
          <rPr>
            <sz val="8"/>
            <color indexed="81"/>
            <rFont val="Tahoma"/>
            <family val="2"/>
          </rPr>
          <t xml:space="preserve">
South Central Industries
Inc.
(405)275-3851</t>
        </r>
      </text>
    </comment>
    <comment ref="B2055" authorId="0">
      <text>
        <r>
          <rPr>
            <b/>
            <sz val="8"/>
            <color indexed="81"/>
            <rFont val="Tahoma"/>
            <family val="2"/>
          </rPr>
          <t>116295:</t>
        </r>
        <r>
          <rPr>
            <sz val="8"/>
            <color indexed="81"/>
            <rFont val="Tahoma"/>
            <family val="2"/>
          </rPr>
          <t xml:space="preserve">
South Central Industries
Inc.
(405)275-3851</t>
        </r>
      </text>
    </comment>
    <comment ref="B2056" authorId="0">
      <text>
        <r>
          <rPr>
            <b/>
            <sz val="8"/>
            <color indexed="81"/>
            <rFont val="Tahoma"/>
            <family val="2"/>
          </rPr>
          <t>116295:</t>
        </r>
        <r>
          <rPr>
            <sz val="8"/>
            <color indexed="81"/>
            <rFont val="Tahoma"/>
            <family val="2"/>
          </rPr>
          <t xml:space="preserve">
South Central Industries
Inc.
(405)275-3851</t>
        </r>
      </text>
    </comment>
    <comment ref="B2057" authorId="0">
      <text>
        <r>
          <rPr>
            <b/>
            <sz val="8"/>
            <color indexed="81"/>
            <rFont val="Tahoma"/>
            <family val="2"/>
          </rPr>
          <t>116295:</t>
        </r>
        <r>
          <rPr>
            <sz val="8"/>
            <color indexed="81"/>
            <rFont val="Tahoma"/>
            <family val="2"/>
          </rPr>
          <t xml:space="preserve">
South Central Industries
Inc.
(405)275-3851</t>
        </r>
      </text>
    </comment>
    <comment ref="B2058" authorId="0">
      <text>
        <r>
          <rPr>
            <b/>
            <sz val="8"/>
            <color indexed="81"/>
            <rFont val="Tahoma"/>
            <family val="2"/>
          </rPr>
          <t>116295:</t>
        </r>
        <r>
          <rPr>
            <sz val="8"/>
            <color indexed="81"/>
            <rFont val="Tahoma"/>
            <family val="2"/>
          </rPr>
          <t xml:space="preserve">
South Central Industries
Inc.
(405)275-3851</t>
        </r>
      </text>
    </comment>
    <comment ref="B2059" authorId="0">
      <text>
        <r>
          <rPr>
            <b/>
            <sz val="8"/>
            <color indexed="81"/>
            <rFont val="Tahoma"/>
            <family val="2"/>
          </rPr>
          <t>116295:</t>
        </r>
        <r>
          <rPr>
            <sz val="8"/>
            <color indexed="81"/>
            <rFont val="Tahoma"/>
            <family val="2"/>
          </rPr>
          <t xml:space="preserve">
South Central Industries
Inc.
(405)275-3851</t>
        </r>
      </text>
    </comment>
    <comment ref="B2060" authorId="0">
      <text>
        <r>
          <rPr>
            <b/>
            <sz val="8"/>
            <color indexed="81"/>
            <rFont val="Tahoma"/>
            <family val="2"/>
          </rPr>
          <t>116295:</t>
        </r>
        <r>
          <rPr>
            <sz val="8"/>
            <color indexed="81"/>
            <rFont val="Tahoma"/>
            <family val="2"/>
          </rPr>
          <t xml:space="preserve">
South Central Industries
Inc.
(405)275-3851</t>
        </r>
      </text>
    </comment>
    <comment ref="B2061" authorId="0">
      <text>
        <r>
          <rPr>
            <b/>
            <sz val="8"/>
            <color indexed="81"/>
            <rFont val="Tahoma"/>
            <family val="2"/>
          </rPr>
          <t>116295:</t>
        </r>
        <r>
          <rPr>
            <sz val="8"/>
            <color indexed="81"/>
            <rFont val="Tahoma"/>
            <family val="2"/>
          </rPr>
          <t xml:space="preserve">
South Central Industries
Inc.
(405)275-3851</t>
        </r>
      </text>
    </comment>
    <comment ref="B2062" authorId="0">
      <text>
        <r>
          <rPr>
            <b/>
            <sz val="8"/>
            <color indexed="81"/>
            <rFont val="Tahoma"/>
            <family val="2"/>
          </rPr>
          <t>116295:</t>
        </r>
        <r>
          <rPr>
            <sz val="8"/>
            <color indexed="81"/>
            <rFont val="Tahoma"/>
            <family val="2"/>
          </rPr>
          <t xml:space="preserve">
South Central Industries
Inc.
(405)275-3851</t>
        </r>
      </text>
    </comment>
    <comment ref="B2063" authorId="0">
      <text>
        <r>
          <rPr>
            <b/>
            <sz val="8"/>
            <color indexed="81"/>
            <rFont val="Tahoma"/>
            <family val="2"/>
          </rPr>
          <t>116295:</t>
        </r>
        <r>
          <rPr>
            <sz val="8"/>
            <color indexed="81"/>
            <rFont val="Tahoma"/>
            <family val="2"/>
          </rPr>
          <t xml:space="preserve">
South Central Industries
Inc.
(405)275-3851</t>
        </r>
      </text>
    </comment>
    <comment ref="B2064" authorId="0">
      <text>
        <r>
          <rPr>
            <b/>
            <sz val="8"/>
            <color indexed="81"/>
            <rFont val="Tahoma"/>
            <family val="2"/>
          </rPr>
          <t>116295:</t>
        </r>
        <r>
          <rPr>
            <sz val="8"/>
            <color indexed="81"/>
            <rFont val="Tahoma"/>
            <family val="2"/>
          </rPr>
          <t xml:space="preserve">
South Central Industries
Inc.
(405)275-3851</t>
        </r>
      </text>
    </comment>
    <comment ref="B2065" authorId="0">
      <text>
        <r>
          <rPr>
            <b/>
            <sz val="8"/>
            <color indexed="81"/>
            <rFont val="Tahoma"/>
            <family val="2"/>
          </rPr>
          <t>116295:</t>
        </r>
        <r>
          <rPr>
            <sz val="8"/>
            <color indexed="81"/>
            <rFont val="Tahoma"/>
            <family val="2"/>
          </rPr>
          <t xml:space="preserve">
South Central Industries
Inc.
(405)275-3851</t>
        </r>
      </text>
    </comment>
    <comment ref="B2066" authorId="0">
      <text>
        <r>
          <rPr>
            <b/>
            <sz val="8"/>
            <color indexed="81"/>
            <rFont val="Tahoma"/>
            <family val="2"/>
          </rPr>
          <t>116295:</t>
        </r>
        <r>
          <rPr>
            <sz val="8"/>
            <color indexed="81"/>
            <rFont val="Tahoma"/>
            <family val="2"/>
          </rPr>
          <t xml:space="preserve">
South Central Industries
Inc.
(405)275-3851</t>
        </r>
      </text>
    </comment>
    <comment ref="B2067" authorId="0">
      <text>
        <r>
          <rPr>
            <b/>
            <sz val="8"/>
            <color indexed="81"/>
            <rFont val="Tahoma"/>
            <family val="2"/>
          </rPr>
          <t>116295:</t>
        </r>
        <r>
          <rPr>
            <sz val="8"/>
            <color indexed="81"/>
            <rFont val="Tahoma"/>
            <family val="2"/>
          </rPr>
          <t xml:space="preserve">
South Central Industries
Inc.
(405)275-3851</t>
        </r>
      </text>
    </comment>
    <comment ref="B2068" authorId="0">
      <text>
        <r>
          <rPr>
            <b/>
            <sz val="8"/>
            <color indexed="81"/>
            <rFont val="Tahoma"/>
            <family val="2"/>
          </rPr>
          <t>116295:</t>
        </r>
        <r>
          <rPr>
            <sz val="8"/>
            <color indexed="81"/>
            <rFont val="Tahoma"/>
            <family val="2"/>
          </rPr>
          <t xml:space="preserve">
South Central Industries
Inc.
(405)275-3851</t>
        </r>
      </text>
    </comment>
    <comment ref="B2069" authorId="0">
      <text>
        <r>
          <rPr>
            <b/>
            <sz val="8"/>
            <color indexed="81"/>
            <rFont val="Tahoma"/>
            <family val="2"/>
          </rPr>
          <t>116295:</t>
        </r>
        <r>
          <rPr>
            <sz val="8"/>
            <color indexed="81"/>
            <rFont val="Tahoma"/>
            <family val="2"/>
          </rPr>
          <t xml:space="preserve">
South Central Industries
Inc.
(405)275-3851</t>
        </r>
      </text>
    </comment>
    <comment ref="B2070" authorId="0">
      <text>
        <r>
          <rPr>
            <b/>
            <sz val="8"/>
            <color indexed="81"/>
            <rFont val="Tahoma"/>
            <family val="2"/>
          </rPr>
          <t>116295:</t>
        </r>
        <r>
          <rPr>
            <sz val="8"/>
            <color indexed="81"/>
            <rFont val="Tahoma"/>
            <family val="2"/>
          </rPr>
          <t xml:space="preserve">
South Central Industries
Inc.
(405)275-3851</t>
        </r>
      </text>
    </comment>
    <comment ref="B2071" authorId="0">
      <text>
        <r>
          <rPr>
            <b/>
            <sz val="8"/>
            <color indexed="81"/>
            <rFont val="Tahoma"/>
            <family val="2"/>
          </rPr>
          <t>116295:</t>
        </r>
        <r>
          <rPr>
            <sz val="8"/>
            <color indexed="81"/>
            <rFont val="Tahoma"/>
            <family val="2"/>
          </rPr>
          <t xml:space="preserve">
South Central Industries
Inc.
(405)275-3851</t>
        </r>
      </text>
    </comment>
    <comment ref="B2072" authorId="0">
      <text>
        <r>
          <rPr>
            <b/>
            <sz val="8"/>
            <color indexed="81"/>
            <rFont val="Tahoma"/>
            <family val="2"/>
          </rPr>
          <t>116295:</t>
        </r>
        <r>
          <rPr>
            <sz val="8"/>
            <color indexed="81"/>
            <rFont val="Tahoma"/>
            <family val="2"/>
          </rPr>
          <t xml:space="preserve">
South Central Industries
Inc.
(405)275-3851</t>
        </r>
      </text>
    </comment>
    <comment ref="B2073" authorId="0">
      <text>
        <r>
          <rPr>
            <b/>
            <sz val="8"/>
            <color indexed="81"/>
            <rFont val="Tahoma"/>
            <family val="2"/>
          </rPr>
          <t>116295:</t>
        </r>
        <r>
          <rPr>
            <sz val="8"/>
            <color indexed="81"/>
            <rFont val="Tahoma"/>
            <family val="2"/>
          </rPr>
          <t xml:space="preserve">
South Central Industries
Inc.
(405)275-3851</t>
        </r>
      </text>
    </comment>
    <comment ref="B2074" authorId="0">
      <text>
        <r>
          <rPr>
            <b/>
            <sz val="8"/>
            <color indexed="81"/>
            <rFont val="Tahoma"/>
            <family val="2"/>
          </rPr>
          <t>116295:</t>
        </r>
        <r>
          <rPr>
            <sz val="8"/>
            <color indexed="81"/>
            <rFont val="Tahoma"/>
            <family val="2"/>
          </rPr>
          <t xml:space="preserve">
South Central Industries
Inc.
(405)275-3851</t>
        </r>
      </text>
    </comment>
    <comment ref="B2075" authorId="0">
      <text>
        <r>
          <rPr>
            <b/>
            <sz val="8"/>
            <color indexed="81"/>
            <rFont val="Tahoma"/>
            <family val="2"/>
          </rPr>
          <t>116295:</t>
        </r>
        <r>
          <rPr>
            <sz val="8"/>
            <color indexed="81"/>
            <rFont val="Tahoma"/>
            <family val="2"/>
          </rPr>
          <t xml:space="preserve">
South Central Industries
Inc.
(405)275-3851</t>
        </r>
      </text>
    </comment>
    <comment ref="B2076" authorId="0">
      <text>
        <r>
          <rPr>
            <b/>
            <sz val="8"/>
            <color indexed="81"/>
            <rFont val="Tahoma"/>
            <family val="2"/>
          </rPr>
          <t>116295:</t>
        </r>
        <r>
          <rPr>
            <sz val="8"/>
            <color indexed="81"/>
            <rFont val="Tahoma"/>
            <family val="2"/>
          </rPr>
          <t xml:space="preserve">
South Central Industries
Inc.
(405)275-3851</t>
        </r>
      </text>
    </comment>
    <comment ref="B2077" authorId="0">
      <text>
        <r>
          <rPr>
            <b/>
            <sz val="8"/>
            <color indexed="81"/>
            <rFont val="Tahoma"/>
            <family val="2"/>
          </rPr>
          <t>116295:</t>
        </r>
        <r>
          <rPr>
            <sz val="8"/>
            <color indexed="81"/>
            <rFont val="Tahoma"/>
            <family val="2"/>
          </rPr>
          <t xml:space="preserve">
South Central Industries
Inc.
(405)275-3851</t>
        </r>
      </text>
    </comment>
    <comment ref="B2078" authorId="0">
      <text>
        <r>
          <rPr>
            <b/>
            <sz val="8"/>
            <color indexed="81"/>
            <rFont val="Tahoma"/>
            <family val="2"/>
          </rPr>
          <t>116295:</t>
        </r>
        <r>
          <rPr>
            <sz val="8"/>
            <color indexed="81"/>
            <rFont val="Tahoma"/>
            <family val="2"/>
          </rPr>
          <t xml:space="preserve">
South Central Industries
Inc.
(405)275-3851</t>
        </r>
      </text>
    </comment>
    <comment ref="B2079" authorId="0">
      <text>
        <r>
          <rPr>
            <b/>
            <sz val="8"/>
            <color indexed="81"/>
            <rFont val="Tahoma"/>
            <family val="2"/>
          </rPr>
          <t>116295:</t>
        </r>
        <r>
          <rPr>
            <sz val="8"/>
            <color indexed="81"/>
            <rFont val="Tahoma"/>
            <family val="2"/>
          </rPr>
          <t xml:space="preserve">
South Central Industries
Inc.
(405)275-3851</t>
        </r>
      </text>
    </comment>
    <comment ref="B2080" authorId="0">
      <text>
        <r>
          <rPr>
            <b/>
            <sz val="8"/>
            <color indexed="81"/>
            <rFont val="Tahoma"/>
            <family val="2"/>
          </rPr>
          <t>116295:</t>
        </r>
        <r>
          <rPr>
            <sz val="8"/>
            <color indexed="81"/>
            <rFont val="Tahoma"/>
            <family val="2"/>
          </rPr>
          <t xml:space="preserve">
South Central Industries
Inc.
(405)275-3851</t>
        </r>
      </text>
    </comment>
    <comment ref="B2081" authorId="0">
      <text>
        <r>
          <rPr>
            <b/>
            <sz val="8"/>
            <color indexed="81"/>
            <rFont val="Tahoma"/>
            <family val="2"/>
          </rPr>
          <t>116295:</t>
        </r>
        <r>
          <rPr>
            <sz val="8"/>
            <color indexed="81"/>
            <rFont val="Tahoma"/>
            <family val="2"/>
          </rPr>
          <t xml:space="preserve">
South Central Industries
Inc.
(405)275-3851</t>
        </r>
      </text>
    </comment>
    <comment ref="B2082" authorId="0">
      <text>
        <r>
          <rPr>
            <b/>
            <sz val="8"/>
            <color indexed="81"/>
            <rFont val="Tahoma"/>
            <family val="2"/>
          </rPr>
          <t>116295:</t>
        </r>
        <r>
          <rPr>
            <sz val="8"/>
            <color indexed="81"/>
            <rFont val="Tahoma"/>
            <family val="2"/>
          </rPr>
          <t xml:space="preserve">
South Central Industries
Inc.
(405)275-3851</t>
        </r>
      </text>
    </comment>
    <comment ref="B2083" authorId="0">
      <text>
        <r>
          <rPr>
            <b/>
            <sz val="8"/>
            <color indexed="81"/>
            <rFont val="Tahoma"/>
            <family val="2"/>
          </rPr>
          <t>116295:</t>
        </r>
        <r>
          <rPr>
            <sz val="8"/>
            <color indexed="81"/>
            <rFont val="Tahoma"/>
            <family val="2"/>
          </rPr>
          <t xml:space="preserve">
South Central Industries
Inc.
(405)275-3851</t>
        </r>
      </text>
    </comment>
    <comment ref="B2084" authorId="0">
      <text>
        <r>
          <rPr>
            <b/>
            <sz val="8"/>
            <color indexed="81"/>
            <rFont val="Tahoma"/>
            <family val="2"/>
          </rPr>
          <t>116295:</t>
        </r>
        <r>
          <rPr>
            <sz val="8"/>
            <color indexed="81"/>
            <rFont val="Tahoma"/>
            <family val="2"/>
          </rPr>
          <t xml:space="preserve">
South Central Industries
Inc.
(405)275-3851</t>
        </r>
      </text>
    </comment>
    <comment ref="B2085" authorId="0">
      <text>
        <r>
          <rPr>
            <b/>
            <sz val="8"/>
            <color indexed="81"/>
            <rFont val="Tahoma"/>
            <family val="2"/>
          </rPr>
          <t>116295:</t>
        </r>
        <r>
          <rPr>
            <sz val="8"/>
            <color indexed="81"/>
            <rFont val="Tahoma"/>
            <family val="2"/>
          </rPr>
          <t xml:space="preserve">
South Central Industries
Inc.
(405)275-3851</t>
        </r>
      </text>
    </comment>
    <comment ref="B2086" authorId="0">
      <text>
        <r>
          <rPr>
            <b/>
            <sz val="8"/>
            <color indexed="81"/>
            <rFont val="Tahoma"/>
            <family val="2"/>
          </rPr>
          <t>116295:</t>
        </r>
        <r>
          <rPr>
            <sz val="8"/>
            <color indexed="81"/>
            <rFont val="Tahoma"/>
            <family val="2"/>
          </rPr>
          <t xml:space="preserve">
South Central Industries
Inc.
(405)275-3851</t>
        </r>
      </text>
    </comment>
    <comment ref="B2087" authorId="0">
      <text>
        <r>
          <rPr>
            <b/>
            <sz val="8"/>
            <color indexed="81"/>
            <rFont val="Tahoma"/>
            <family val="2"/>
          </rPr>
          <t>116295:</t>
        </r>
        <r>
          <rPr>
            <sz val="8"/>
            <color indexed="81"/>
            <rFont val="Tahoma"/>
            <family val="2"/>
          </rPr>
          <t xml:space="preserve">
South Central Industries
Inc.
(405)275-3851</t>
        </r>
      </text>
    </comment>
    <comment ref="B2088" authorId="0">
      <text>
        <r>
          <rPr>
            <b/>
            <sz val="8"/>
            <color indexed="81"/>
            <rFont val="Tahoma"/>
            <family val="2"/>
          </rPr>
          <t>116295:</t>
        </r>
        <r>
          <rPr>
            <sz val="8"/>
            <color indexed="81"/>
            <rFont val="Tahoma"/>
            <family val="2"/>
          </rPr>
          <t xml:space="preserve">
South Central Industries
Inc.
(405)275-3851</t>
        </r>
      </text>
    </comment>
    <comment ref="B2089" authorId="0">
      <text>
        <r>
          <rPr>
            <b/>
            <sz val="8"/>
            <color indexed="81"/>
            <rFont val="Tahoma"/>
            <family val="2"/>
          </rPr>
          <t>116295:</t>
        </r>
        <r>
          <rPr>
            <sz val="8"/>
            <color indexed="81"/>
            <rFont val="Tahoma"/>
            <family val="2"/>
          </rPr>
          <t xml:space="preserve">
South Central Industries
Inc.
(405)275-3851</t>
        </r>
      </text>
    </comment>
    <comment ref="B2090" authorId="0">
      <text>
        <r>
          <rPr>
            <b/>
            <sz val="8"/>
            <color indexed="81"/>
            <rFont val="Tahoma"/>
            <family val="2"/>
          </rPr>
          <t>116295:</t>
        </r>
        <r>
          <rPr>
            <sz val="8"/>
            <color indexed="81"/>
            <rFont val="Tahoma"/>
            <family val="2"/>
          </rPr>
          <t xml:space="preserve">
South Central Industries
Inc.
(405)275-3851</t>
        </r>
      </text>
    </comment>
    <comment ref="B2091" authorId="0">
      <text>
        <r>
          <rPr>
            <b/>
            <sz val="8"/>
            <color indexed="81"/>
            <rFont val="Tahoma"/>
            <family val="2"/>
          </rPr>
          <t>116295:</t>
        </r>
        <r>
          <rPr>
            <sz val="8"/>
            <color indexed="81"/>
            <rFont val="Tahoma"/>
            <family val="2"/>
          </rPr>
          <t xml:space="preserve">
South Central Industries
Inc.
(405)275-3851</t>
        </r>
      </text>
    </comment>
    <comment ref="B2092" authorId="0">
      <text>
        <r>
          <rPr>
            <b/>
            <sz val="8"/>
            <color indexed="81"/>
            <rFont val="Tahoma"/>
            <family val="2"/>
          </rPr>
          <t>116295:</t>
        </r>
        <r>
          <rPr>
            <sz val="8"/>
            <color indexed="81"/>
            <rFont val="Tahoma"/>
            <family val="2"/>
          </rPr>
          <t xml:space="preserve">
South Central Industries
Inc.
(405)275-3851</t>
        </r>
      </text>
    </comment>
    <comment ref="B2093" authorId="0">
      <text>
        <r>
          <rPr>
            <b/>
            <sz val="8"/>
            <color indexed="81"/>
            <rFont val="Tahoma"/>
            <family val="2"/>
          </rPr>
          <t>116295:</t>
        </r>
        <r>
          <rPr>
            <sz val="8"/>
            <color indexed="81"/>
            <rFont val="Tahoma"/>
            <family val="2"/>
          </rPr>
          <t xml:space="preserve">
South Central Industries
Inc.
(405)275-3851</t>
        </r>
      </text>
    </comment>
    <comment ref="B2094" authorId="0">
      <text>
        <r>
          <rPr>
            <b/>
            <sz val="8"/>
            <color indexed="81"/>
            <rFont val="Tahoma"/>
            <family val="2"/>
          </rPr>
          <t>116295:</t>
        </r>
        <r>
          <rPr>
            <sz val="8"/>
            <color indexed="81"/>
            <rFont val="Tahoma"/>
            <family val="2"/>
          </rPr>
          <t xml:space="preserve">
South Central Industries
Inc.
(405)275-3851</t>
        </r>
      </text>
    </comment>
    <comment ref="B2095" authorId="0">
      <text>
        <r>
          <rPr>
            <b/>
            <sz val="8"/>
            <color indexed="81"/>
            <rFont val="Tahoma"/>
            <family val="2"/>
          </rPr>
          <t>116295:</t>
        </r>
        <r>
          <rPr>
            <sz val="8"/>
            <color indexed="81"/>
            <rFont val="Tahoma"/>
            <family val="2"/>
          </rPr>
          <t xml:space="preserve">
South Central Industries
Inc.
(405)275-3851</t>
        </r>
      </text>
    </comment>
    <comment ref="B2096" authorId="0">
      <text>
        <r>
          <rPr>
            <b/>
            <sz val="8"/>
            <color indexed="81"/>
            <rFont val="Tahoma"/>
            <family val="2"/>
          </rPr>
          <t>116295:</t>
        </r>
        <r>
          <rPr>
            <sz val="8"/>
            <color indexed="81"/>
            <rFont val="Tahoma"/>
            <family val="2"/>
          </rPr>
          <t xml:space="preserve">
South Central Industries
Inc.
(405)275-3851</t>
        </r>
      </text>
    </comment>
    <comment ref="B2097" authorId="0">
      <text>
        <r>
          <rPr>
            <b/>
            <sz val="8"/>
            <color indexed="81"/>
            <rFont val="Tahoma"/>
            <family val="2"/>
          </rPr>
          <t>116295:</t>
        </r>
        <r>
          <rPr>
            <sz val="8"/>
            <color indexed="81"/>
            <rFont val="Tahoma"/>
            <family val="2"/>
          </rPr>
          <t xml:space="preserve">
South Central Industries
Inc.
(405)275-3851</t>
        </r>
      </text>
    </comment>
    <comment ref="B2098" authorId="0">
      <text>
        <r>
          <rPr>
            <b/>
            <sz val="8"/>
            <color indexed="81"/>
            <rFont val="Tahoma"/>
            <family val="2"/>
          </rPr>
          <t>116295:</t>
        </r>
        <r>
          <rPr>
            <sz val="8"/>
            <color indexed="81"/>
            <rFont val="Tahoma"/>
            <family val="2"/>
          </rPr>
          <t xml:space="preserve">
South Central Industries
Inc.
(405)275-3851</t>
        </r>
      </text>
    </comment>
    <comment ref="B2099" authorId="0">
      <text>
        <r>
          <rPr>
            <b/>
            <sz val="8"/>
            <color indexed="81"/>
            <rFont val="Tahoma"/>
            <family val="2"/>
          </rPr>
          <t>116295:</t>
        </r>
        <r>
          <rPr>
            <sz val="8"/>
            <color indexed="81"/>
            <rFont val="Tahoma"/>
            <family val="2"/>
          </rPr>
          <t xml:space="preserve">
South Central Industries
Inc.
(405)275-3851</t>
        </r>
      </text>
    </comment>
    <comment ref="B2100" authorId="0">
      <text>
        <r>
          <rPr>
            <b/>
            <sz val="8"/>
            <color indexed="81"/>
            <rFont val="Tahoma"/>
            <family val="2"/>
          </rPr>
          <t>116295:</t>
        </r>
        <r>
          <rPr>
            <sz val="8"/>
            <color indexed="81"/>
            <rFont val="Tahoma"/>
            <family val="2"/>
          </rPr>
          <t xml:space="preserve">
South Central Industries
Inc.
(405)275-3851</t>
        </r>
      </text>
    </comment>
    <comment ref="B2101" authorId="0">
      <text>
        <r>
          <rPr>
            <b/>
            <sz val="8"/>
            <color indexed="81"/>
            <rFont val="Tahoma"/>
            <family val="2"/>
          </rPr>
          <t>116295:</t>
        </r>
        <r>
          <rPr>
            <sz val="8"/>
            <color indexed="81"/>
            <rFont val="Tahoma"/>
            <family val="2"/>
          </rPr>
          <t xml:space="preserve">
South Central Industries
Inc.
(405)275-3851</t>
        </r>
      </text>
    </comment>
    <comment ref="B2102" authorId="0">
      <text>
        <r>
          <rPr>
            <b/>
            <sz val="8"/>
            <color indexed="81"/>
            <rFont val="Tahoma"/>
            <family val="2"/>
          </rPr>
          <t>116295:</t>
        </r>
        <r>
          <rPr>
            <sz val="8"/>
            <color indexed="81"/>
            <rFont val="Tahoma"/>
            <family val="2"/>
          </rPr>
          <t xml:space="preserve">
South Central Industries
Inc.
(405)275-3851</t>
        </r>
      </text>
    </comment>
    <comment ref="B2103" authorId="0">
      <text>
        <r>
          <rPr>
            <b/>
            <sz val="8"/>
            <color indexed="81"/>
            <rFont val="Tahoma"/>
            <family val="2"/>
          </rPr>
          <t>116295:</t>
        </r>
        <r>
          <rPr>
            <sz val="8"/>
            <color indexed="81"/>
            <rFont val="Tahoma"/>
            <family val="2"/>
          </rPr>
          <t xml:space="preserve">
South Central Industries
Inc.
(405)275-3851</t>
        </r>
      </text>
    </comment>
    <comment ref="B2104" authorId="0">
      <text>
        <r>
          <rPr>
            <b/>
            <sz val="8"/>
            <color indexed="81"/>
            <rFont val="Tahoma"/>
            <family val="2"/>
          </rPr>
          <t>116295:</t>
        </r>
        <r>
          <rPr>
            <sz val="8"/>
            <color indexed="81"/>
            <rFont val="Tahoma"/>
            <family val="2"/>
          </rPr>
          <t xml:space="preserve">
South Central Industries
Inc.
(405)275-3851</t>
        </r>
      </text>
    </comment>
    <comment ref="B2105" authorId="0">
      <text>
        <r>
          <rPr>
            <b/>
            <sz val="8"/>
            <color indexed="81"/>
            <rFont val="Tahoma"/>
            <family val="2"/>
          </rPr>
          <t>116295:</t>
        </r>
        <r>
          <rPr>
            <sz val="8"/>
            <color indexed="81"/>
            <rFont val="Tahoma"/>
            <family val="2"/>
          </rPr>
          <t xml:space="preserve">
South Central Industries
Inc.
(405)275-3851</t>
        </r>
      </text>
    </comment>
    <comment ref="B2106" authorId="0">
      <text>
        <r>
          <rPr>
            <b/>
            <sz val="8"/>
            <color indexed="81"/>
            <rFont val="Tahoma"/>
            <family val="2"/>
          </rPr>
          <t>116295:</t>
        </r>
        <r>
          <rPr>
            <sz val="8"/>
            <color indexed="81"/>
            <rFont val="Tahoma"/>
            <family val="2"/>
          </rPr>
          <t xml:space="preserve">
South Central Industries
Inc.
(405)275-3851</t>
        </r>
      </text>
    </comment>
    <comment ref="B2107" authorId="0">
      <text>
        <r>
          <rPr>
            <b/>
            <sz val="8"/>
            <color indexed="81"/>
            <rFont val="Tahoma"/>
            <family val="2"/>
          </rPr>
          <t>116295:</t>
        </r>
        <r>
          <rPr>
            <sz val="8"/>
            <color indexed="81"/>
            <rFont val="Tahoma"/>
            <family val="2"/>
          </rPr>
          <t xml:space="preserve">
South Central Industries
Inc.
(405)275-3851</t>
        </r>
      </text>
    </comment>
    <comment ref="B2108" authorId="0">
      <text>
        <r>
          <rPr>
            <b/>
            <sz val="8"/>
            <color indexed="81"/>
            <rFont val="Tahoma"/>
            <family val="2"/>
          </rPr>
          <t>116295:</t>
        </r>
        <r>
          <rPr>
            <sz val="8"/>
            <color indexed="81"/>
            <rFont val="Tahoma"/>
            <family val="2"/>
          </rPr>
          <t xml:space="preserve">
South Central Industries
Inc.
(405)275-3851</t>
        </r>
      </text>
    </comment>
    <comment ref="B2109" authorId="0">
      <text>
        <r>
          <rPr>
            <b/>
            <sz val="8"/>
            <color indexed="81"/>
            <rFont val="Tahoma"/>
            <family val="2"/>
          </rPr>
          <t>116295:</t>
        </r>
        <r>
          <rPr>
            <sz val="8"/>
            <color indexed="81"/>
            <rFont val="Tahoma"/>
            <family val="2"/>
          </rPr>
          <t xml:space="preserve">
South Central Industries
Inc.
(405)275-3851</t>
        </r>
      </text>
    </comment>
    <comment ref="B2110" authorId="0">
      <text>
        <r>
          <rPr>
            <b/>
            <sz val="8"/>
            <color indexed="81"/>
            <rFont val="Tahoma"/>
            <family val="2"/>
          </rPr>
          <t>116295:</t>
        </r>
        <r>
          <rPr>
            <sz val="8"/>
            <color indexed="81"/>
            <rFont val="Tahoma"/>
            <family val="2"/>
          </rPr>
          <t xml:space="preserve">
South Central Industries
Inc.
(405)275-3851</t>
        </r>
      </text>
    </comment>
    <comment ref="B2111" authorId="0">
      <text>
        <r>
          <rPr>
            <b/>
            <sz val="8"/>
            <color indexed="81"/>
            <rFont val="Tahoma"/>
            <family val="2"/>
          </rPr>
          <t>116295:</t>
        </r>
        <r>
          <rPr>
            <sz val="8"/>
            <color indexed="81"/>
            <rFont val="Tahoma"/>
            <family val="2"/>
          </rPr>
          <t xml:space="preserve">
South Central Industries
Inc.
(405)275-3851</t>
        </r>
      </text>
    </comment>
    <comment ref="B2112" authorId="0">
      <text>
        <r>
          <rPr>
            <b/>
            <sz val="8"/>
            <color indexed="81"/>
            <rFont val="Tahoma"/>
            <family val="2"/>
          </rPr>
          <t>116295:</t>
        </r>
        <r>
          <rPr>
            <sz val="8"/>
            <color indexed="81"/>
            <rFont val="Tahoma"/>
            <family val="2"/>
          </rPr>
          <t xml:space="preserve">
South Central Industries
Inc.
(405)275-3851</t>
        </r>
      </text>
    </comment>
    <comment ref="B2113" authorId="0">
      <text>
        <r>
          <rPr>
            <b/>
            <sz val="8"/>
            <color indexed="81"/>
            <rFont val="Tahoma"/>
            <family val="2"/>
          </rPr>
          <t>116295:</t>
        </r>
        <r>
          <rPr>
            <sz val="8"/>
            <color indexed="81"/>
            <rFont val="Tahoma"/>
            <family val="2"/>
          </rPr>
          <t xml:space="preserve">
South Central Industries
Inc.
(405)275-3851</t>
        </r>
      </text>
    </comment>
    <comment ref="B2114" authorId="0">
      <text>
        <r>
          <rPr>
            <b/>
            <sz val="8"/>
            <color indexed="81"/>
            <rFont val="Tahoma"/>
            <family val="2"/>
          </rPr>
          <t>116295:</t>
        </r>
        <r>
          <rPr>
            <sz val="8"/>
            <color indexed="81"/>
            <rFont val="Tahoma"/>
            <family val="2"/>
          </rPr>
          <t xml:space="preserve">
South Central Industries
Inc.
(405)275-3851</t>
        </r>
      </text>
    </comment>
    <comment ref="B2115" authorId="0">
      <text>
        <r>
          <rPr>
            <b/>
            <sz val="8"/>
            <color indexed="81"/>
            <rFont val="Tahoma"/>
            <family val="2"/>
          </rPr>
          <t>116295:</t>
        </r>
        <r>
          <rPr>
            <sz val="8"/>
            <color indexed="81"/>
            <rFont val="Tahoma"/>
            <family val="2"/>
          </rPr>
          <t xml:space="preserve">
South Central Industries
Inc.
(405)275-3851</t>
        </r>
      </text>
    </comment>
    <comment ref="B2116" authorId="0">
      <text>
        <r>
          <rPr>
            <b/>
            <sz val="8"/>
            <color indexed="81"/>
            <rFont val="Tahoma"/>
            <family val="2"/>
          </rPr>
          <t>116295:</t>
        </r>
        <r>
          <rPr>
            <sz val="8"/>
            <color indexed="81"/>
            <rFont val="Tahoma"/>
            <family val="2"/>
          </rPr>
          <t xml:space="preserve">
South Central Industries
Inc.
(405)275-3851</t>
        </r>
      </text>
    </comment>
    <comment ref="B2117" authorId="0">
      <text>
        <r>
          <rPr>
            <b/>
            <sz val="8"/>
            <color indexed="81"/>
            <rFont val="Tahoma"/>
            <family val="2"/>
          </rPr>
          <t>116295:</t>
        </r>
        <r>
          <rPr>
            <sz val="8"/>
            <color indexed="81"/>
            <rFont val="Tahoma"/>
            <family val="2"/>
          </rPr>
          <t xml:space="preserve">
South Central Industries
Inc.
(405)275-3851</t>
        </r>
      </text>
    </comment>
    <comment ref="B2118" authorId="0">
      <text>
        <r>
          <rPr>
            <b/>
            <sz val="8"/>
            <color indexed="81"/>
            <rFont val="Tahoma"/>
            <family val="2"/>
          </rPr>
          <t>116295:</t>
        </r>
        <r>
          <rPr>
            <sz val="8"/>
            <color indexed="81"/>
            <rFont val="Tahoma"/>
            <family val="2"/>
          </rPr>
          <t xml:space="preserve">
South Central Industries
Inc.
(405)275-3851</t>
        </r>
      </text>
    </comment>
    <comment ref="B2119" authorId="0">
      <text>
        <r>
          <rPr>
            <b/>
            <sz val="8"/>
            <color indexed="81"/>
            <rFont val="Tahoma"/>
            <family val="2"/>
          </rPr>
          <t>116295:</t>
        </r>
        <r>
          <rPr>
            <sz val="8"/>
            <color indexed="81"/>
            <rFont val="Tahoma"/>
            <family val="2"/>
          </rPr>
          <t xml:space="preserve">
South Central Industries
Inc.
(405)275-3851</t>
        </r>
      </text>
    </comment>
    <comment ref="B2120" authorId="0">
      <text>
        <r>
          <rPr>
            <b/>
            <sz val="8"/>
            <color indexed="81"/>
            <rFont val="Tahoma"/>
            <family val="2"/>
          </rPr>
          <t>116295:</t>
        </r>
        <r>
          <rPr>
            <sz val="8"/>
            <color indexed="81"/>
            <rFont val="Tahoma"/>
            <family val="2"/>
          </rPr>
          <t xml:space="preserve">
South Central Industries
Inc.
(405)275-3851</t>
        </r>
      </text>
    </comment>
    <comment ref="B2121" authorId="0">
      <text>
        <r>
          <rPr>
            <b/>
            <sz val="8"/>
            <color indexed="81"/>
            <rFont val="Tahoma"/>
            <family val="2"/>
          </rPr>
          <t>116295:</t>
        </r>
        <r>
          <rPr>
            <sz val="8"/>
            <color indexed="81"/>
            <rFont val="Tahoma"/>
            <family val="2"/>
          </rPr>
          <t xml:space="preserve">
South Central Industries
Inc.
(405)275-3851</t>
        </r>
      </text>
    </comment>
    <comment ref="B2122" authorId="0">
      <text>
        <r>
          <rPr>
            <b/>
            <sz val="8"/>
            <color indexed="81"/>
            <rFont val="Tahoma"/>
            <family val="2"/>
          </rPr>
          <t>116295:</t>
        </r>
        <r>
          <rPr>
            <sz val="8"/>
            <color indexed="81"/>
            <rFont val="Tahoma"/>
            <family val="2"/>
          </rPr>
          <t xml:space="preserve">
South Central Industries
Inc.
(405)275-3851</t>
        </r>
      </text>
    </comment>
    <comment ref="B2123" authorId="0">
      <text>
        <r>
          <rPr>
            <b/>
            <sz val="8"/>
            <color indexed="81"/>
            <rFont val="Tahoma"/>
            <family val="2"/>
          </rPr>
          <t>116295:</t>
        </r>
        <r>
          <rPr>
            <sz val="8"/>
            <color indexed="81"/>
            <rFont val="Tahoma"/>
            <family val="2"/>
          </rPr>
          <t xml:space="preserve">
South Central Industries
Inc.
(405)275-3851</t>
        </r>
      </text>
    </comment>
    <comment ref="B2124" authorId="0">
      <text>
        <r>
          <rPr>
            <b/>
            <sz val="8"/>
            <color indexed="81"/>
            <rFont val="Tahoma"/>
            <family val="2"/>
          </rPr>
          <t>116295:</t>
        </r>
        <r>
          <rPr>
            <sz val="8"/>
            <color indexed="81"/>
            <rFont val="Tahoma"/>
            <family val="2"/>
          </rPr>
          <t xml:space="preserve">
South Central Industries
Inc.
(405)275-3851</t>
        </r>
      </text>
    </comment>
    <comment ref="B2125" authorId="0">
      <text>
        <r>
          <rPr>
            <b/>
            <sz val="8"/>
            <color indexed="81"/>
            <rFont val="Tahoma"/>
            <family val="2"/>
          </rPr>
          <t>116295:</t>
        </r>
        <r>
          <rPr>
            <sz val="8"/>
            <color indexed="81"/>
            <rFont val="Tahoma"/>
            <family val="2"/>
          </rPr>
          <t xml:space="preserve">
South Central Industries
Inc.
(405)275-3851</t>
        </r>
      </text>
    </comment>
    <comment ref="B2126" authorId="0">
      <text>
        <r>
          <rPr>
            <b/>
            <sz val="8"/>
            <color indexed="81"/>
            <rFont val="Tahoma"/>
            <family val="2"/>
          </rPr>
          <t>116295:</t>
        </r>
        <r>
          <rPr>
            <sz val="8"/>
            <color indexed="81"/>
            <rFont val="Tahoma"/>
            <family val="2"/>
          </rPr>
          <t xml:space="preserve">
South Central Industries
Inc.
(405)275-3851</t>
        </r>
      </text>
    </comment>
    <comment ref="B2127" authorId="0">
      <text>
        <r>
          <rPr>
            <b/>
            <sz val="8"/>
            <color indexed="81"/>
            <rFont val="Tahoma"/>
            <family val="2"/>
          </rPr>
          <t>116295:</t>
        </r>
        <r>
          <rPr>
            <sz val="8"/>
            <color indexed="81"/>
            <rFont val="Tahoma"/>
            <family val="2"/>
          </rPr>
          <t xml:space="preserve">
South Central Industries
Inc.
(405)275-3851</t>
        </r>
      </text>
    </comment>
    <comment ref="B2128" authorId="0">
      <text>
        <r>
          <rPr>
            <b/>
            <sz val="8"/>
            <color indexed="81"/>
            <rFont val="Tahoma"/>
            <family val="2"/>
          </rPr>
          <t>116295:</t>
        </r>
        <r>
          <rPr>
            <sz val="8"/>
            <color indexed="81"/>
            <rFont val="Tahoma"/>
            <family val="2"/>
          </rPr>
          <t xml:space="preserve">
South Central Industries
Inc.
(405)275-3851</t>
        </r>
      </text>
    </comment>
    <comment ref="B2129" authorId="0">
      <text>
        <r>
          <rPr>
            <b/>
            <sz val="8"/>
            <color indexed="81"/>
            <rFont val="Tahoma"/>
            <family val="2"/>
          </rPr>
          <t>116295:</t>
        </r>
        <r>
          <rPr>
            <sz val="8"/>
            <color indexed="81"/>
            <rFont val="Tahoma"/>
            <family val="2"/>
          </rPr>
          <t xml:space="preserve">
South Central Industries
Inc.
(405)275-3851</t>
        </r>
      </text>
    </comment>
    <comment ref="B2130" authorId="0">
      <text>
        <r>
          <rPr>
            <b/>
            <sz val="8"/>
            <color indexed="81"/>
            <rFont val="Tahoma"/>
            <family val="2"/>
          </rPr>
          <t>116295:</t>
        </r>
        <r>
          <rPr>
            <sz val="8"/>
            <color indexed="81"/>
            <rFont val="Tahoma"/>
            <family val="2"/>
          </rPr>
          <t xml:space="preserve">
South Central Industries
Inc.
(405)275-3851</t>
        </r>
      </text>
    </comment>
    <comment ref="B2131" authorId="0">
      <text>
        <r>
          <rPr>
            <b/>
            <sz val="8"/>
            <color indexed="81"/>
            <rFont val="Tahoma"/>
            <family val="2"/>
          </rPr>
          <t>116295:</t>
        </r>
        <r>
          <rPr>
            <sz val="8"/>
            <color indexed="81"/>
            <rFont val="Tahoma"/>
            <family val="2"/>
          </rPr>
          <t xml:space="preserve">
South Central Industries
Inc.
(405)275-3851</t>
        </r>
      </text>
    </comment>
    <comment ref="B2132" authorId="0">
      <text>
        <r>
          <rPr>
            <b/>
            <sz val="8"/>
            <color indexed="81"/>
            <rFont val="Tahoma"/>
            <family val="2"/>
          </rPr>
          <t>116295:</t>
        </r>
        <r>
          <rPr>
            <sz val="8"/>
            <color indexed="81"/>
            <rFont val="Tahoma"/>
            <family val="2"/>
          </rPr>
          <t xml:space="preserve">
South Central Industries
Inc.
(405)275-3851</t>
        </r>
      </text>
    </comment>
    <comment ref="B2133" authorId="0">
      <text>
        <r>
          <rPr>
            <b/>
            <sz val="8"/>
            <color indexed="81"/>
            <rFont val="Tahoma"/>
            <family val="2"/>
          </rPr>
          <t>116295:</t>
        </r>
        <r>
          <rPr>
            <sz val="8"/>
            <color indexed="81"/>
            <rFont val="Tahoma"/>
            <family val="2"/>
          </rPr>
          <t xml:space="preserve">
South Central Industries
Inc.
(405)275-3851</t>
        </r>
      </text>
    </comment>
    <comment ref="B2134" authorId="0">
      <text>
        <r>
          <rPr>
            <b/>
            <sz val="8"/>
            <color indexed="81"/>
            <rFont val="Tahoma"/>
            <family val="2"/>
          </rPr>
          <t>116295:</t>
        </r>
        <r>
          <rPr>
            <sz val="8"/>
            <color indexed="81"/>
            <rFont val="Tahoma"/>
            <family val="2"/>
          </rPr>
          <t xml:space="preserve">
South Central Industries
Inc.
(405)275-3851</t>
        </r>
      </text>
    </comment>
    <comment ref="B2135" authorId="0">
      <text>
        <r>
          <rPr>
            <b/>
            <sz val="8"/>
            <color indexed="81"/>
            <rFont val="Tahoma"/>
            <family val="2"/>
          </rPr>
          <t>116295:</t>
        </r>
        <r>
          <rPr>
            <sz val="8"/>
            <color indexed="81"/>
            <rFont val="Tahoma"/>
            <family val="2"/>
          </rPr>
          <t xml:space="preserve">
South Central Industries
Inc.
(405)275-3851</t>
        </r>
      </text>
    </comment>
    <comment ref="B2136" authorId="0">
      <text>
        <r>
          <rPr>
            <b/>
            <sz val="8"/>
            <color indexed="81"/>
            <rFont val="Tahoma"/>
            <family val="2"/>
          </rPr>
          <t>116295:</t>
        </r>
        <r>
          <rPr>
            <sz val="8"/>
            <color indexed="81"/>
            <rFont val="Tahoma"/>
            <family val="2"/>
          </rPr>
          <t xml:space="preserve">
South Central Industries
Inc.
(405)275-3851</t>
        </r>
      </text>
    </comment>
    <comment ref="B2137" authorId="0">
      <text>
        <r>
          <rPr>
            <b/>
            <sz val="8"/>
            <color indexed="81"/>
            <rFont val="Tahoma"/>
            <family val="2"/>
          </rPr>
          <t>116295:</t>
        </r>
        <r>
          <rPr>
            <sz val="8"/>
            <color indexed="81"/>
            <rFont val="Tahoma"/>
            <family val="2"/>
          </rPr>
          <t xml:space="preserve">
South Central Industries
Inc.
(405)275-3851</t>
        </r>
      </text>
    </comment>
    <comment ref="B2138" authorId="0">
      <text>
        <r>
          <rPr>
            <b/>
            <sz val="8"/>
            <color indexed="81"/>
            <rFont val="Tahoma"/>
            <family val="2"/>
          </rPr>
          <t>116295:</t>
        </r>
        <r>
          <rPr>
            <sz val="8"/>
            <color indexed="81"/>
            <rFont val="Tahoma"/>
            <family val="2"/>
          </rPr>
          <t xml:space="preserve">
South Central Industries
Inc.
(405)275-3851</t>
        </r>
      </text>
    </comment>
    <comment ref="B2139" authorId="0">
      <text>
        <r>
          <rPr>
            <b/>
            <sz val="8"/>
            <color indexed="81"/>
            <rFont val="Tahoma"/>
            <family val="2"/>
          </rPr>
          <t>116295:</t>
        </r>
        <r>
          <rPr>
            <sz val="8"/>
            <color indexed="81"/>
            <rFont val="Tahoma"/>
            <family val="2"/>
          </rPr>
          <t xml:space="preserve">
South Central Industries
Inc.
(405)275-3851</t>
        </r>
      </text>
    </comment>
    <comment ref="B2140" authorId="0">
      <text>
        <r>
          <rPr>
            <b/>
            <sz val="8"/>
            <color indexed="81"/>
            <rFont val="Tahoma"/>
            <family val="2"/>
          </rPr>
          <t>116295:</t>
        </r>
        <r>
          <rPr>
            <sz val="8"/>
            <color indexed="81"/>
            <rFont val="Tahoma"/>
            <family val="2"/>
          </rPr>
          <t xml:space="preserve">
South Central Industries
Inc.
(405)275-3851</t>
        </r>
      </text>
    </comment>
    <comment ref="B2141" authorId="0">
      <text>
        <r>
          <rPr>
            <b/>
            <sz val="8"/>
            <color indexed="81"/>
            <rFont val="Tahoma"/>
            <family val="2"/>
          </rPr>
          <t>116295:</t>
        </r>
        <r>
          <rPr>
            <sz val="8"/>
            <color indexed="81"/>
            <rFont val="Tahoma"/>
            <family val="2"/>
          </rPr>
          <t xml:space="preserve">
South Central Industries
Inc.
(405)275-3851</t>
        </r>
      </text>
    </comment>
    <comment ref="B2142" authorId="0">
      <text>
        <r>
          <rPr>
            <b/>
            <sz val="8"/>
            <color indexed="81"/>
            <rFont val="Tahoma"/>
            <family val="2"/>
          </rPr>
          <t>116295:</t>
        </r>
        <r>
          <rPr>
            <sz val="8"/>
            <color indexed="81"/>
            <rFont val="Tahoma"/>
            <family val="2"/>
          </rPr>
          <t xml:space="preserve">
South Central Industries
Inc.
(405)275-3851</t>
        </r>
      </text>
    </comment>
    <comment ref="B2143" authorId="0">
      <text>
        <r>
          <rPr>
            <b/>
            <sz val="8"/>
            <color indexed="81"/>
            <rFont val="Tahoma"/>
            <family val="2"/>
          </rPr>
          <t>116295:</t>
        </r>
        <r>
          <rPr>
            <sz val="8"/>
            <color indexed="81"/>
            <rFont val="Tahoma"/>
            <family val="2"/>
          </rPr>
          <t xml:space="preserve">
South Central Industries
Inc.
(405)275-3851</t>
        </r>
      </text>
    </comment>
    <comment ref="B2144" authorId="0">
      <text>
        <r>
          <rPr>
            <b/>
            <sz val="8"/>
            <color indexed="81"/>
            <rFont val="Tahoma"/>
            <family val="2"/>
          </rPr>
          <t>116295:</t>
        </r>
        <r>
          <rPr>
            <sz val="8"/>
            <color indexed="81"/>
            <rFont val="Tahoma"/>
            <family val="2"/>
          </rPr>
          <t xml:space="preserve">
South Central Industries
Inc.
(405)275-3851</t>
        </r>
      </text>
    </comment>
    <comment ref="B2145" authorId="0">
      <text>
        <r>
          <rPr>
            <b/>
            <sz val="8"/>
            <color indexed="81"/>
            <rFont val="Tahoma"/>
            <family val="2"/>
          </rPr>
          <t>116295:</t>
        </r>
        <r>
          <rPr>
            <sz val="8"/>
            <color indexed="81"/>
            <rFont val="Tahoma"/>
            <family val="2"/>
          </rPr>
          <t xml:space="preserve">
South Central Industries
Inc.
(405)275-3851</t>
        </r>
      </text>
    </comment>
    <comment ref="B2146" authorId="0">
      <text>
        <r>
          <rPr>
            <b/>
            <sz val="8"/>
            <color indexed="81"/>
            <rFont val="Tahoma"/>
            <family val="2"/>
          </rPr>
          <t>116295:</t>
        </r>
        <r>
          <rPr>
            <sz val="8"/>
            <color indexed="81"/>
            <rFont val="Tahoma"/>
            <family val="2"/>
          </rPr>
          <t xml:space="preserve">
South Central Industries
Inc.
(405)275-3851</t>
        </r>
      </text>
    </comment>
    <comment ref="B2147" authorId="0">
      <text>
        <r>
          <rPr>
            <b/>
            <sz val="8"/>
            <color indexed="81"/>
            <rFont val="Tahoma"/>
            <family val="2"/>
          </rPr>
          <t>116295:</t>
        </r>
        <r>
          <rPr>
            <sz val="8"/>
            <color indexed="81"/>
            <rFont val="Tahoma"/>
            <family val="2"/>
          </rPr>
          <t xml:space="preserve">
South Central Industries
Inc.
(405)275-3851</t>
        </r>
      </text>
    </comment>
    <comment ref="B2148" authorId="0">
      <text>
        <r>
          <rPr>
            <b/>
            <sz val="8"/>
            <color indexed="81"/>
            <rFont val="Tahoma"/>
            <family val="2"/>
          </rPr>
          <t>116295:</t>
        </r>
        <r>
          <rPr>
            <sz val="8"/>
            <color indexed="81"/>
            <rFont val="Tahoma"/>
            <family val="2"/>
          </rPr>
          <t xml:space="preserve">
South Central Industries
Inc.
(405)275-3851</t>
        </r>
      </text>
    </comment>
    <comment ref="B2149" authorId="0">
      <text>
        <r>
          <rPr>
            <b/>
            <sz val="8"/>
            <color indexed="81"/>
            <rFont val="Tahoma"/>
            <family val="2"/>
          </rPr>
          <t>116295:</t>
        </r>
        <r>
          <rPr>
            <sz val="8"/>
            <color indexed="81"/>
            <rFont val="Tahoma"/>
            <family val="2"/>
          </rPr>
          <t xml:space="preserve">
South Central Industries
Inc.
(405)275-3851</t>
        </r>
      </text>
    </comment>
    <comment ref="B2150" authorId="0">
      <text>
        <r>
          <rPr>
            <b/>
            <sz val="8"/>
            <color indexed="81"/>
            <rFont val="Tahoma"/>
            <family val="2"/>
          </rPr>
          <t>116295:</t>
        </r>
        <r>
          <rPr>
            <sz val="8"/>
            <color indexed="81"/>
            <rFont val="Tahoma"/>
            <family val="2"/>
          </rPr>
          <t xml:space="preserve">
South Central Industries
Inc.
(405)275-3851</t>
        </r>
      </text>
    </comment>
    <comment ref="B2151" authorId="0">
      <text>
        <r>
          <rPr>
            <b/>
            <sz val="8"/>
            <color indexed="81"/>
            <rFont val="Tahoma"/>
            <family val="2"/>
          </rPr>
          <t>116295:</t>
        </r>
        <r>
          <rPr>
            <sz val="8"/>
            <color indexed="81"/>
            <rFont val="Tahoma"/>
            <family val="2"/>
          </rPr>
          <t xml:space="preserve">
South Central Industries
Inc.
(405)275-3851</t>
        </r>
      </text>
    </comment>
    <comment ref="B2152" authorId="0">
      <text>
        <r>
          <rPr>
            <b/>
            <sz val="8"/>
            <color indexed="81"/>
            <rFont val="Tahoma"/>
            <family val="2"/>
          </rPr>
          <t>116295:</t>
        </r>
        <r>
          <rPr>
            <sz val="8"/>
            <color indexed="81"/>
            <rFont val="Tahoma"/>
            <family val="2"/>
          </rPr>
          <t xml:space="preserve">
South Central Industries
Inc.
(405)275-3851</t>
        </r>
      </text>
    </comment>
    <comment ref="B2153" authorId="0">
      <text>
        <r>
          <rPr>
            <b/>
            <sz val="8"/>
            <color indexed="81"/>
            <rFont val="Tahoma"/>
            <family val="2"/>
          </rPr>
          <t>116295:</t>
        </r>
        <r>
          <rPr>
            <sz val="8"/>
            <color indexed="81"/>
            <rFont val="Tahoma"/>
            <family val="2"/>
          </rPr>
          <t xml:space="preserve">
South Central Industries
Inc.
(405)275-3851</t>
        </r>
      </text>
    </comment>
    <comment ref="B2154" authorId="0">
      <text>
        <r>
          <rPr>
            <b/>
            <sz val="8"/>
            <color indexed="81"/>
            <rFont val="Tahoma"/>
            <family val="2"/>
          </rPr>
          <t>116295:</t>
        </r>
        <r>
          <rPr>
            <sz val="8"/>
            <color indexed="81"/>
            <rFont val="Tahoma"/>
            <family val="2"/>
          </rPr>
          <t xml:space="preserve">
South Central Industries
Inc.
(405)275-3851</t>
        </r>
      </text>
    </comment>
    <comment ref="B2155" authorId="0">
      <text>
        <r>
          <rPr>
            <b/>
            <sz val="8"/>
            <color indexed="81"/>
            <rFont val="Tahoma"/>
            <family val="2"/>
          </rPr>
          <t>116295:</t>
        </r>
        <r>
          <rPr>
            <sz val="8"/>
            <color indexed="81"/>
            <rFont val="Tahoma"/>
            <family val="2"/>
          </rPr>
          <t xml:space="preserve">
South Central Industries
Inc.
(405)275-3851</t>
        </r>
      </text>
    </comment>
    <comment ref="B2156" authorId="0">
      <text>
        <r>
          <rPr>
            <b/>
            <sz val="8"/>
            <color indexed="81"/>
            <rFont val="Tahoma"/>
            <family val="2"/>
          </rPr>
          <t>116295:</t>
        </r>
        <r>
          <rPr>
            <sz val="8"/>
            <color indexed="81"/>
            <rFont val="Tahoma"/>
            <family val="2"/>
          </rPr>
          <t xml:space="preserve">
South Central Industries
Inc.
(405)275-3851</t>
        </r>
      </text>
    </comment>
    <comment ref="B2157" authorId="0">
      <text>
        <r>
          <rPr>
            <b/>
            <sz val="8"/>
            <color indexed="81"/>
            <rFont val="Tahoma"/>
            <family val="2"/>
          </rPr>
          <t>116295:</t>
        </r>
        <r>
          <rPr>
            <sz val="8"/>
            <color indexed="81"/>
            <rFont val="Tahoma"/>
            <family val="2"/>
          </rPr>
          <t xml:space="preserve">
South Central Industries
Inc.
(405)275-3851</t>
        </r>
      </text>
    </comment>
    <comment ref="B2158" authorId="0">
      <text>
        <r>
          <rPr>
            <b/>
            <sz val="8"/>
            <color indexed="81"/>
            <rFont val="Tahoma"/>
            <family val="2"/>
          </rPr>
          <t>116295:</t>
        </r>
        <r>
          <rPr>
            <sz val="8"/>
            <color indexed="81"/>
            <rFont val="Tahoma"/>
            <family val="2"/>
          </rPr>
          <t xml:space="preserve">
South Central Industries
Inc.
(405)275-3851</t>
        </r>
      </text>
    </comment>
    <comment ref="B2159" authorId="0">
      <text>
        <r>
          <rPr>
            <b/>
            <sz val="8"/>
            <color indexed="81"/>
            <rFont val="Tahoma"/>
            <family val="2"/>
          </rPr>
          <t>116295:</t>
        </r>
        <r>
          <rPr>
            <sz val="8"/>
            <color indexed="81"/>
            <rFont val="Tahoma"/>
            <family val="2"/>
          </rPr>
          <t xml:space="preserve">
South Central Industries
Inc.
(405)275-3851</t>
        </r>
      </text>
    </comment>
    <comment ref="B2160" authorId="0">
      <text>
        <r>
          <rPr>
            <b/>
            <sz val="8"/>
            <color indexed="81"/>
            <rFont val="Tahoma"/>
            <family val="2"/>
          </rPr>
          <t>116295:</t>
        </r>
        <r>
          <rPr>
            <sz val="8"/>
            <color indexed="81"/>
            <rFont val="Tahoma"/>
            <family val="2"/>
          </rPr>
          <t xml:space="preserve">
South Central Industries
Inc.
(405)275-3851</t>
        </r>
      </text>
    </comment>
    <comment ref="E2160" authorId="0">
      <text>
        <r>
          <rPr>
            <b/>
            <sz val="8"/>
            <color indexed="81"/>
            <rFont val="Tahoma"/>
            <family val="2"/>
          </rPr>
          <t>116295:</t>
        </r>
        <r>
          <rPr>
            <sz val="8"/>
            <color indexed="81"/>
            <rFont val="Tahoma"/>
            <family val="2"/>
          </rPr>
          <t xml:space="preserve">
Suitable to Procure 
No Fair Market Value
Non Mandatory
Call Vendor for Price</t>
        </r>
      </text>
    </comment>
    <comment ref="B2161" authorId="0">
      <text>
        <r>
          <rPr>
            <b/>
            <sz val="8"/>
            <color indexed="81"/>
            <rFont val="Tahoma"/>
            <family val="2"/>
          </rPr>
          <t>116295:</t>
        </r>
        <r>
          <rPr>
            <sz val="8"/>
            <color indexed="81"/>
            <rFont val="Tahoma"/>
            <family val="2"/>
          </rPr>
          <t xml:space="preserve">
South Central Industries
Inc.
(405)275-3851</t>
        </r>
      </text>
    </comment>
    <comment ref="E2161" authorId="0">
      <text>
        <r>
          <rPr>
            <b/>
            <sz val="8"/>
            <color indexed="81"/>
            <rFont val="Tahoma"/>
            <family val="2"/>
          </rPr>
          <t>116295:</t>
        </r>
        <r>
          <rPr>
            <sz val="8"/>
            <color indexed="81"/>
            <rFont val="Tahoma"/>
            <family val="2"/>
          </rPr>
          <t xml:space="preserve">
Suitable to Procure 
No Fair Market Value
Non Mandatory
Call Vendor for Price</t>
        </r>
      </text>
    </comment>
    <comment ref="B2162" authorId="0">
      <text>
        <r>
          <rPr>
            <b/>
            <sz val="8"/>
            <color indexed="81"/>
            <rFont val="Tahoma"/>
            <family val="2"/>
          </rPr>
          <t>116295:</t>
        </r>
        <r>
          <rPr>
            <sz val="8"/>
            <color indexed="81"/>
            <rFont val="Tahoma"/>
            <family val="2"/>
          </rPr>
          <t xml:space="preserve">
South Central Industries
Inc.
(405)275-3851</t>
        </r>
      </text>
    </comment>
    <comment ref="E2162" authorId="0">
      <text>
        <r>
          <rPr>
            <b/>
            <sz val="8"/>
            <color indexed="81"/>
            <rFont val="Tahoma"/>
            <family val="2"/>
          </rPr>
          <t>116295:</t>
        </r>
        <r>
          <rPr>
            <sz val="8"/>
            <color indexed="81"/>
            <rFont val="Tahoma"/>
            <family val="2"/>
          </rPr>
          <t xml:space="preserve">
Suitable to Procure 
No Fair Market Value
Non Mandatory
Call Vendor for Price</t>
        </r>
      </text>
    </comment>
    <comment ref="B2163" authorId="0">
      <text>
        <r>
          <rPr>
            <b/>
            <sz val="8"/>
            <color indexed="81"/>
            <rFont val="Tahoma"/>
            <family val="2"/>
          </rPr>
          <t>116295:</t>
        </r>
        <r>
          <rPr>
            <sz val="8"/>
            <color indexed="81"/>
            <rFont val="Tahoma"/>
            <family val="2"/>
          </rPr>
          <t xml:space="preserve">
South Central Industries
Inc.
(405)275-3851</t>
        </r>
      </text>
    </comment>
    <comment ref="E2163" authorId="0">
      <text>
        <r>
          <rPr>
            <b/>
            <sz val="8"/>
            <color indexed="81"/>
            <rFont val="Tahoma"/>
            <family val="2"/>
          </rPr>
          <t>116295:</t>
        </r>
        <r>
          <rPr>
            <sz val="8"/>
            <color indexed="81"/>
            <rFont val="Tahoma"/>
            <family val="2"/>
          </rPr>
          <t xml:space="preserve">
Suitable to Procure 
No Fair Market Value
Non Mandatory
Call Vendor for Price</t>
        </r>
      </text>
    </comment>
    <comment ref="B2164" authorId="0">
      <text>
        <r>
          <rPr>
            <b/>
            <sz val="8"/>
            <color indexed="81"/>
            <rFont val="Tahoma"/>
            <family val="2"/>
          </rPr>
          <t>116295:</t>
        </r>
        <r>
          <rPr>
            <sz val="8"/>
            <color indexed="81"/>
            <rFont val="Tahoma"/>
            <family val="2"/>
          </rPr>
          <t xml:space="preserve">
South Central Industries
Inc.
(405)275-3851</t>
        </r>
      </text>
    </comment>
    <comment ref="E2164" authorId="0">
      <text>
        <r>
          <rPr>
            <b/>
            <sz val="8"/>
            <color indexed="81"/>
            <rFont val="Tahoma"/>
            <family val="2"/>
          </rPr>
          <t>116295:</t>
        </r>
        <r>
          <rPr>
            <sz val="8"/>
            <color indexed="81"/>
            <rFont val="Tahoma"/>
            <family val="2"/>
          </rPr>
          <t xml:space="preserve">
Suitable to Procure 
No Fair Market Value
Non Mandatory
Call Vendor for Price</t>
        </r>
      </text>
    </comment>
    <comment ref="B2165" authorId="0">
      <text>
        <r>
          <rPr>
            <b/>
            <sz val="8"/>
            <color indexed="81"/>
            <rFont val="Tahoma"/>
            <family val="2"/>
          </rPr>
          <t>116295:</t>
        </r>
        <r>
          <rPr>
            <sz val="8"/>
            <color indexed="81"/>
            <rFont val="Tahoma"/>
            <family val="2"/>
          </rPr>
          <t xml:space="preserve">
South Central Industries
Inc.
(405)275-3851</t>
        </r>
      </text>
    </comment>
    <comment ref="E2165" authorId="0">
      <text>
        <r>
          <rPr>
            <b/>
            <sz val="8"/>
            <color indexed="81"/>
            <rFont val="Tahoma"/>
            <family val="2"/>
          </rPr>
          <t>116295:</t>
        </r>
        <r>
          <rPr>
            <sz val="8"/>
            <color indexed="81"/>
            <rFont val="Tahoma"/>
            <family val="2"/>
          </rPr>
          <t xml:space="preserve">
Suitable to Procure 
No Fair Market Value
Non Mandatory
Call Vendor for Price</t>
        </r>
      </text>
    </comment>
    <comment ref="B2238" authorId="0">
      <text>
        <r>
          <rPr>
            <b/>
            <sz val="8"/>
            <color indexed="81"/>
            <rFont val="Tahoma"/>
            <family val="2"/>
          </rPr>
          <t>116295:</t>
        </r>
        <r>
          <rPr>
            <sz val="8"/>
            <color indexed="81"/>
            <rFont val="Tahoma"/>
            <family val="2"/>
          </rPr>
          <t xml:space="preserve">
Southwest Enterprises
(580)482-5040</t>
        </r>
      </text>
    </comment>
    <comment ref="B2239" authorId="0">
      <text>
        <r>
          <rPr>
            <b/>
            <sz val="8"/>
            <color indexed="81"/>
            <rFont val="Tahoma"/>
            <family val="2"/>
          </rPr>
          <t>116295:</t>
        </r>
        <r>
          <rPr>
            <sz val="8"/>
            <color indexed="81"/>
            <rFont val="Tahoma"/>
            <family val="2"/>
          </rPr>
          <t xml:space="preserve">
Southwest Enterprises
(580)482-5040</t>
        </r>
      </text>
    </comment>
    <comment ref="B2240" authorId="0">
      <text>
        <r>
          <rPr>
            <b/>
            <sz val="8"/>
            <color indexed="81"/>
            <rFont val="Tahoma"/>
            <family val="2"/>
          </rPr>
          <t>116295:</t>
        </r>
        <r>
          <rPr>
            <sz val="8"/>
            <color indexed="81"/>
            <rFont val="Tahoma"/>
            <family val="2"/>
          </rPr>
          <t xml:space="preserve">
Southwest Enterprises
(580)482-5040</t>
        </r>
      </text>
    </comment>
    <comment ref="E2240" authorId="0">
      <text>
        <r>
          <rPr>
            <b/>
            <sz val="8"/>
            <color indexed="81"/>
            <rFont val="Tahoma"/>
            <family val="2"/>
          </rPr>
          <t>116295:</t>
        </r>
        <r>
          <rPr>
            <sz val="8"/>
            <color indexed="81"/>
            <rFont val="Tahoma"/>
            <family val="2"/>
          </rPr>
          <t xml:space="preserve">
Suitable to Procure 
No Fair Market Value
Non Mandatory
Call Vendor for Price</t>
        </r>
      </text>
    </comment>
    <comment ref="B2241" authorId="0">
      <text>
        <r>
          <rPr>
            <b/>
            <sz val="8"/>
            <color indexed="81"/>
            <rFont val="Tahoma"/>
            <family val="2"/>
          </rPr>
          <t>116295:</t>
        </r>
        <r>
          <rPr>
            <sz val="8"/>
            <color indexed="81"/>
            <rFont val="Tahoma"/>
            <family val="2"/>
          </rPr>
          <t xml:space="preserve">
Southwest Enterprises
(580)482-5040</t>
        </r>
      </text>
    </comment>
    <comment ref="E2241" authorId="0">
      <text>
        <r>
          <rPr>
            <b/>
            <sz val="8"/>
            <color indexed="81"/>
            <rFont val="Tahoma"/>
            <family val="2"/>
          </rPr>
          <t>116295:</t>
        </r>
        <r>
          <rPr>
            <sz val="8"/>
            <color indexed="81"/>
            <rFont val="Tahoma"/>
            <family val="2"/>
          </rPr>
          <t xml:space="preserve">
Suitable to Procure 
No Fair Market Value
Non Mandatory
Call Vendor for Price</t>
        </r>
      </text>
    </comment>
    <comment ref="B2242" authorId="0">
      <text>
        <r>
          <rPr>
            <b/>
            <sz val="8"/>
            <color indexed="81"/>
            <rFont val="Tahoma"/>
            <family val="2"/>
          </rPr>
          <t>116295:</t>
        </r>
        <r>
          <rPr>
            <sz val="8"/>
            <color indexed="81"/>
            <rFont val="Tahoma"/>
            <family val="2"/>
          </rPr>
          <t xml:space="preserve">
Southwest Enterprises
(580)482-5040</t>
        </r>
      </text>
    </comment>
    <comment ref="E2242" authorId="0">
      <text>
        <r>
          <rPr>
            <b/>
            <sz val="8"/>
            <color indexed="81"/>
            <rFont val="Tahoma"/>
            <family val="2"/>
          </rPr>
          <t>116295:</t>
        </r>
        <r>
          <rPr>
            <sz val="8"/>
            <color indexed="81"/>
            <rFont val="Tahoma"/>
            <family val="2"/>
          </rPr>
          <t xml:space="preserve">
Suitable to Procure 
No Fair Market Value
Non Mandatory
Call Vendor for Price</t>
        </r>
      </text>
    </comment>
    <comment ref="B2243" authorId="0">
      <text>
        <r>
          <rPr>
            <b/>
            <sz val="8"/>
            <color indexed="81"/>
            <rFont val="Tahoma"/>
            <family val="2"/>
          </rPr>
          <t>116295:</t>
        </r>
        <r>
          <rPr>
            <sz val="8"/>
            <color indexed="81"/>
            <rFont val="Tahoma"/>
            <family val="2"/>
          </rPr>
          <t xml:space="preserve">
Southwest Enterprises
(580)482-5040</t>
        </r>
      </text>
    </comment>
    <comment ref="E2243" authorId="0">
      <text>
        <r>
          <rPr>
            <b/>
            <sz val="8"/>
            <color indexed="81"/>
            <rFont val="Tahoma"/>
            <family val="2"/>
          </rPr>
          <t>116295:</t>
        </r>
        <r>
          <rPr>
            <sz val="8"/>
            <color indexed="81"/>
            <rFont val="Tahoma"/>
            <family val="2"/>
          </rPr>
          <t xml:space="preserve">
Suitable to Procure 
No Fair Market Value
Non Mandatory
Call Vendor for Price</t>
        </r>
      </text>
    </comment>
    <comment ref="B2244" authorId="0">
      <text>
        <r>
          <rPr>
            <b/>
            <sz val="8"/>
            <color indexed="81"/>
            <rFont val="Tahoma"/>
            <family val="2"/>
          </rPr>
          <t>116295:</t>
        </r>
        <r>
          <rPr>
            <sz val="8"/>
            <color indexed="81"/>
            <rFont val="Tahoma"/>
            <family val="2"/>
          </rPr>
          <t xml:space="preserve">
Southwest Enterprises
(580)482-5040</t>
        </r>
      </text>
    </comment>
    <comment ref="E2244" authorId="0">
      <text>
        <r>
          <rPr>
            <b/>
            <sz val="8"/>
            <color indexed="81"/>
            <rFont val="Tahoma"/>
            <family val="2"/>
          </rPr>
          <t>116295:</t>
        </r>
        <r>
          <rPr>
            <sz val="8"/>
            <color indexed="81"/>
            <rFont val="Tahoma"/>
            <family val="2"/>
          </rPr>
          <t xml:space="preserve">
Suitable to Procure 
No Fair Market Value
Non Mandatory
Call Vendor for Price</t>
        </r>
      </text>
    </comment>
    <comment ref="B2245" authorId="0">
      <text>
        <r>
          <rPr>
            <b/>
            <sz val="8"/>
            <color indexed="81"/>
            <rFont val="Tahoma"/>
            <family val="2"/>
          </rPr>
          <t>116295:</t>
        </r>
        <r>
          <rPr>
            <sz val="8"/>
            <color indexed="81"/>
            <rFont val="Tahoma"/>
            <family val="2"/>
          </rPr>
          <t xml:space="preserve">
Southwest Enterprises
(580)482-5040</t>
        </r>
      </text>
    </comment>
    <comment ref="E2245" authorId="0">
      <text>
        <r>
          <rPr>
            <b/>
            <sz val="8"/>
            <color indexed="81"/>
            <rFont val="Tahoma"/>
            <family val="2"/>
          </rPr>
          <t>116295:</t>
        </r>
        <r>
          <rPr>
            <sz val="8"/>
            <color indexed="81"/>
            <rFont val="Tahoma"/>
            <family val="2"/>
          </rPr>
          <t xml:space="preserve">
Suitable to Procure 
No Fair Market Value
Non Mandatory
Call Vendor for Price</t>
        </r>
      </text>
    </comment>
    <comment ref="B2246" authorId="0">
      <text>
        <r>
          <rPr>
            <b/>
            <sz val="8"/>
            <color indexed="81"/>
            <rFont val="Tahoma"/>
            <family val="2"/>
          </rPr>
          <t>116295:</t>
        </r>
        <r>
          <rPr>
            <sz val="8"/>
            <color indexed="81"/>
            <rFont val="Tahoma"/>
            <family val="2"/>
          </rPr>
          <t xml:space="preserve">
Southwest Enterprises
(580)482-5040</t>
        </r>
      </text>
    </comment>
    <comment ref="E2246" authorId="0">
      <text>
        <r>
          <rPr>
            <b/>
            <sz val="8"/>
            <color indexed="81"/>
            <rFont val="Tahoma"/>
            <family val="2"/>
          </rPr>
          <t>116295:</t>
        </r>
        <r>
          <rPr>
            <sz val="8"/>
            <color indexed="81"/>
            <rFont val="Tahoma"/>
            <family val="2"/>
          </rPr>
          <t xml:space="preserve">
Suitable to Procure 
No Fair Market Value
Non Mandatory
Call Vendor for Price</t>
        </r>
      </text>
    </comment>
    <comment ref="B2251" authorId="0">
      <text>
        <r>
          <rPr>
            <b/>
            <sz val="8"/>
            <color indexed="81"/>
            <rFont val="Tahoma"/>
            <family val="2"/>
          </rPr>
          <t>116295:</t>
        </r>
        <r>
          <rPr>
            <sz val="8"/>
            <color indexed="81"/>
            <rFont val="Tahoma"/>
            <family val="2"/>
          </rPr>
          <t xml:space="preserve">
Sunshine Industries
(580)226-1444
sunshineindustires.com</t>
        </r>
      </text>
    </comment>
    <comment ref="B2252" authorId="0">
      <text>
        <r>
          <rPr>
            <b/>
            <sz val="8"/>
            <color indexed="81"/>
            <rFont val="Tahoma"/>
            <family val="2"/>
          </rPr>
          <t>116295:</t>
        </r>
        <r>
          <rPr>
            <sz val="8"/>
            <color indexed="81"/>
            <rFont val="Tahoma"/>
            <family val="2"/>
          </rPr>
          <t xml:space="preserve">
Sunshine Industries
(580)226-1444
sunshineindustires.com</t>
        </r>
      </text>
    </comment>
    <comment ref="B2253" authorId="0">
      <text>
        <r>
          <rPr>
            <b/>
            <sz val="8"/>
            <color indexed="81"/>
            <rFont val="Tahoma"/>
            <family val="2"/>
          </rPr>
          <t>116295:</t>
        </r>
        <r>
          <rPr>
            <sz val="8"/>
            <color indexed="81"/>
            <rFont val="Tahoma"/>
            <family val="2"/>
          </rPr>
          <t xml:space="preserve">
Sunshine Industries
(580)226-1444
sunshineindustires.com</t>
        </r>
      </text>
    </comment>
    <comment ref="B2254" authorId="0">
      <text>
        <r>
          <rPr>
            <b/>
            <sz val="8"/>
            <color indexed="81"/>
            <rFont val="Tahoma"/>
            <family val="2"/>
          </rPr>
          <t>116295:</t>
        </r>
        <r>
          <rPr>
            <sz val="8"/>
            <color indexed="81"/>
            <rFont val="Tahoma"/>
            <family val="2"/>
          </rPr>
          <t xml:space="preserve">
Sunshine Industries
(580)226-1444
sunshineindustires.com</t>
        </r>
      </text>
    </comment>
    <comment ref="B2255" authorId="0">
      <text>
        <r>
          <rPr>
            <b/>
            <sz val="8"/>
            <color indexed="81"/>
            <rFont val="Tahoma"/>
            <family val="2"/>
          </rPr>
          <t>116295:</t>
        </r>
        <r>
          <rPr>
            <sz val="8"/>
            <color indexed="81"/>
            <rFont val="Tahoma"/>
            <family val="2"/>
          </rPr>
          <t xml:space="preserve">
Sunshine Industries
(580)226-1444
sunshineindustires.com</t>
        </r>
      </text>
    </comment>
    <comment ref="B2256" authorId="0">
      <text>
        <r>
          <rPr>
            <b/>
            <sz val="8"/>
            <color indexed="81"/>
            <rFont val="Tahoma"/>
            <family val="2"/>
          </rPr>
          <t>116295:</t>
        </r>
        <r>
          <rPr>
            <sz val="8"/>
            <color indexed="81"/>
            <rFont val="Tahoma"/>
            <family val="2"/>
          </rPr>
          <t xml:space="preserve">
Sunshine Industries
(580)226-1444
sunshineindustires.com</t>
        </r>
      </text>
    </comment>
    <comment ref="B2257" authorId="0">
      <text>
        <r>
          <rPr>
            <b/>
            <sz val="8"/>
            <color indexed="81"/>
            <rFont val="Tahoma"/>
            <family val="2"/>
          </rPr>
          <t>116295:</t>
        </r>
        <r>
          <rPr>
            <sz val="8"/>
            <color indexed="81"/>
            <rFont val="Tahoma"/>
            <family val="2"/>
          </rPr>
          <t xml:space="preserve">
Sunshine Industries
(580)226-1444
sunshineindustires.com</t>
        </r>
      </text>
    </comment>
    <comment ref="B2258" authorId="0">
      <text>
        <r>
          <rPr>
            <b/>
            <sz val="8"/>
            <color indexed="81"/>
            <rFont val="Tahoma"/>
            <family val="2"/>
          </rPr>
          <t>116295:</t>
        </r>
        <r>
          <rPr>
            <sz val="8"/>
            <color indexed="81"/>
            <rFont val="Tahoma"/>
            <family val="2"/>
          </rPr>
          <t xml:space="preserve">
Sunshine Industries
(580)226-1444
sunshineindustires.com</t>
        </r>
      </text>
    </comment>
    <comment ref="B2259" authorId="0">
      <text>
        <r>
          <rPr>
            <b/>
            <sz val="8"/>
            <color indexed="81"/>
            <rFont val="Tahoma"/>
            <family val="2"/>
          </rPr>
          <t>116295:</t>
        </r>
        <r>
          <rPr>
            <sz val="8"/>
            <color indexed="81"/>
            <rFont val="Tahoma"/>
            <family val="2"/>
          </rPr>
          <t xml:space="preserve">
Sunshine Industries
(580)226-1444
sunshineindustires.com</t>
        </r>
      </text>
    </comment>
    <comment ref="B2260" authorId="0">
      <text>
        <r>
          <rPr>
            <b/>
            <sz val="8"/>
            <color indexed="81"/>
            <rFont val="Tahoma"/>
            <family val="2"/>
          </rPr>
          <t>116295:</t>
        </r>
        <r>
          <rPr>
            <sz val="8"/>
            <color indexed="81"/>
            <rFont val="Tahoma"/>
            <family val="2"/>
          </rPr>
          <t xml:space="preserve">
Sunshine Industries
(580)226-1444
sunshineindustires.com</t>
        </r>
      </text>
    </comment>
    <comment ref="B2261" authorId="0">
      <text>
        <r>
          <rPr>
            <b/>
            <sz val="8"/>
            <color indexed="81"/>
            <rFont val="Tahoma"/>
            <family val="2"/>
          </rPr>
          <t>116295:</t>
        </r>
        <r>
          <rPr>
            <sz val="8"/>
            <color indexed="81"/>
            <rFont val="Tahoma"/>
            <family val="2"/>
          </rPr>
          <t xml:space="preserve">
Sunshine Industries
(580)226-1444
sunshineindustires.com</t>
        </r>
      </text>
    </comment>
    <comment ref="B2262" authorId="0">
      <text>
        <r>
          <rPr>
            <b/>
            <sz val="8"/>
            <color indexed="81"/>
            <rFont val="Tahoma"/>
            <family val="2"/>
          </rPr>
          <t>116295:</t>
        </r>
        <r>
          <rPr>
            <sz val="8"/>
            <color indexed="81"/>
            <rFont val="Tahoma"/>
            <family val="2"/>
          </rPr>
          <t xml:space="preserve">
Sunshine Industries
(580)226-1444
sunshineindustires.com</t>
        </r>
      </text>
    </comment>
    <comment ref="B2263" authorId="0">
      <text>
        <r>
          <rPr>
            <b/>
            <sz val="8"/>
            <color indexed="81"/>
            <rFont val="Tahoma"/>
            <family val="2"/>
          </rPr>
          <t>116295:</t>
        </r>
        <r>
          <rPr>
            <sz val="8"/>
            <color indexed="81"/>
            <rFont val="Tahoma"/>
            <family val="2"/>
          </rPr>
          <t xml:space="preserve">
Sunshine Industries
(580)226-1444
sunshineindustires.com</t>
        </r>
      </text>
    </comment>
    <comment ref="B2264" authorId="0">
      <text>
        <r>
          <rPr>
            <b/>
            <sz val="8"/>
            <color indexed="81"/>
            <rFont val="Tahoma"/>
            <family val="2"/>
          </rPr>
          <t>116295:</t>
        </r>
        <r>
          <rPr>
            <sz val="8"/>
            <color indexed="81"/>
            <rFont val="Tahoma"/>
            <family val="2"/>
          </rPr>
          <t xml:space="preserve">
Sunshine Industries
(580)226-1444
sunshineindustires.com</t>
        </r>
      </text>
    </comment>
    <comment ref="B2265" authorId="0">
      <text>
        <r>
          <rPr>
            <b/>
            <sz val="8"/>
            <color indexed="81"/>
            <rFont val="Tahoma"/>
            <family val="2"/>
          </rPr>
          <t>116295:</t>
        </r>
        <r>
          <rPr>
            <sz val="8"/>
            <color indexed="81"/>
            <rFont val="Tahoma"/>
            <family val="2"/>
          </rPr>
          <t xml:space="preserve">
Sunshine Industries
(580)226-1444
sunshineindustires.com</t>
        </r>
      </text>
    </comment>
    <comment ref="B2266" authorId="0">
      <text>
        <r>
          <rPr>
            <b/>
            <sz val="8"/>
            <color indexed="81"/>
            <rFont val="Tahoma"/>
            <family val="2"/>
          </rPr>
          <t>116295:</t>
        </r>
        <r>
          <rPr>
            <sz val="8"/>
            <color indexed="81"/>
            <rFont val="Tahoma"/>
            <family val="2"/>
          </rPr>
          <t xml:space="preserve">
Sunshine Industries
(580)226-1444
sunshineindustires.com</t>
        </r>
      </text>
    </comment>
    <comment ref="B2267" authorId="0">
      <text>
        <r>
          <rPr>
            <b/>
            <sz val="8"/>
            <color indexed="81"/>
            <rFont val="Tahoma"/>
            <family val="2"/>
          </rPr>
          <t>116295:</t>
        </r>
        <r>
          <rPr>
            <sz val="8"/>
            <color indexed="81"/>
            <rFont val="Tahoma"/>
            <family val="2"/>
          </rPr>
          <t xml:space="preserve">
Sunshine Industries
(580)226-1444
sunshineindustires.com</t>
        </r>
      </text>
    </comment>
    <comment ref="B2268" authorId="0">
      <text>
        <r>
          <rPr>
            <b/>
            <sz val="8"/>
            <color indexed="81"/>
            <rFont val="Tahoma"/>
            <family val="2"/>
          </rPr>
          <t>116295:</t>
        </r>
        <r>
          <rPr>
            <sz val="8"/>
            <color indexed="81"/>
            <rFont val="Tahoma"/>
            <family val="2"/>
          </rPr>
          <t xml:space="preserve">
Sunshine Industries
(580)226-1444
sunshineindustires.com</t>
        </r>
      </text>
    </comment>
    <comment ref="B2269" authorId="0">
      <text>
        <r>
          <rPr>
            <b/>
            <sz val="8"/>
            <color indexed="81"/>
            <rFont val="Tahoma"/>
            <family val="2"/>
          </rPr>
          <t>116295:</t>
        </r>
        <r>
          <rPr>
            <sz val="8"/>
            <color indexed="81"/>
            <rFont val="Tahoma"/>
            <family val="2"/>
          </rPr>
          <t xml:space="preserve">
Sunshine Industries
(580)226-1444
sunshineindustires.com</t>
        </r>
      </text>
    </comment>
    <comment ref="B2270" authorId="0">
      <text>
        <r>
          <rPr>
            <b/>
            <sz val="8"/>
            <color indexed="81"/>
            <rFont val="Tahoma"/>
            <family val="2"/>
          </rPr>
          <t>116295:</t>
        </r>
        <r>
          <rPr>
            <sz val="8"/>
            <color indexed="81"/>
            <rFont val="Tahoma"/>
            <family val="2"/>
          </rPr>
          <t xml:space="preserve">
Sunshine Industries
(580)226-1444
sunshineindustires.com</t>
        </r>
      </text>
    </comment>
    <comment ref="B2271" authorId="0">
      <text>
        <r>
          <rPr>
            <b/>
            <sz val="8"/>
            <color indexed="81"/>
            <rFont val="Tahoma"/>
            <family val="2"/>
          </rPr>
          <t>116295:</t>
        </r>
        <r>
          <rPr>
            <sz val="8"/>
            <color indexed="81"/>
            <rFont val="Tahoma"/>
            <family val="2"/>
          </rPr>
          <t xml:space="preserve">
Sunshine Industries
(580)226-1444
sunshineindustires.com</t>
        </r>
      </text>
    </comment>
    <comment ref="B2272" authorId="0">
      <text>
        <r>
          <rPr>
            <b/>
            <sz val="8"/>
            <color indexed="81"/>
            <rFont val="Tahoma"/>
            <family val="2"/>
          </rPr>
          <t>116295:</t>
        </r>
        <r>
          <rPr>
            <sz val="8"/>
            <color indexed="81"/>
            <rFont val="Tahoma"/>
            <family val="2"/>
          </rPr>
          <t xml:space="preserve">
Sunshine Industries
(580)226-1444
sunshineindustires.com</t>
        </r>
      </text>
    </comment>
    <comment ref="B2273" authorId="0">
      <text>
        <r>
          <rPr>
            <b/>
            <sz val="8"/>
            <color indexed="81"/>
            <rFont val="Tahoma"/>
            <family val="2"/>
          </rPr>
          <t>116295:</t>
        </r>
        <r>
          <rPr>
            <sz val="8"/>
            <color indexed="81"/>
            <rFont val="Tahoma"/>
            <family val="2"/>
          </rPr>
          <t xml:space="preserve">
Sunshine Industries
(580)226-1444
sunshineindustires.com</t>
        </r>
      </text>
    </comment>
    <comment ref="B2274" authorId="0">
      <text>
        <r>
          <rPr>
            <b/>
            <sz val="8"/>
            <color indexed="81"/>
            <rFont val="Tahoma"/>
            <family val="2"/>
          </rPr>
          <t>116295:</t>
        </r>
        <r>
          <rPr>
            <sz val="8"/>
            <color indexed="81"/>
            <rFont val="Tahoma"/>
            <family val="2"/>
          </rPr>
          <t xml:space="preserve">
Sunshine Industries
(580)226-1444
sunshineindustires.com</t>
        </r>
      </text>
    </comment>
    <comment ref="B2275" authorId="0">
      <text>
        <r>
          <rPr>
            <b/>
            <sz val="8"/>
            <color indexed="81"/>
            <rFont val="Tahoma"/>
            <family val="2"/>
          </rPr>
          <t>116295:</t>
        </r>
        <r>
          <rPr>
            <sz val="8"/>
            <color indexed="81"/>
            <rFont val="Tahoma"/>
            <family val="2"/>
          </rPr>
          <t xml:space="preserve">
Sunshine Industries
(580)226-1444
sunshineindustires.com</t>
        </r>
      </text>
    </comment>
    <comment ref="B2276" authorId="0">
      <text>
        <r>
          <rPr>
            <b/>
            <sz val="8"/>
            <color indexed="81"/>
            <rFont val="Tahoma"/>
            <family val="2"/>
          </rPr>
          <t>116295:</t>
        </r>
        <r>
          <rPr>
            <sz val="8"/>
            <color indexed="81"/>
            <rFont val="Tahoma"/>
            <family val="2"/>
          </rPr>
          <t xml:space="preserve">
Sunshine Industries
(580)226-1444
sunshineindustires.com</t>
        </r>
      </text>
    </comment>
    <comment ref="B2277" authorId="0">
      <text>
        <r>
          <rPr>
            <b/>
            <sz val="8"/>
            <color indexed="81"/>
            <rFont val="Tahoma"/>
            <family val="2"/>
          </rPr>
          <t>116295:</t>
        </r>
        <r>
          <rPr>
            <sz val="8"/>
            <color indexed="81"/>
            <rFont val="Tahoma"/>
            <family val="2"/>
          </rPr>
          <t xml:space="preserve">
Sunshine Industries
(580)226-1444
sunshineindustires.com</t>
        </r>
      </text>
    </comment>
    <comment ref="B2278" authorId="0">
      <text>
        <r>
          <rPr>
            <b/>
            <sz val="8"/>
            <color indexed="81"/>
            <rFont val="Tahoma"/>
            <family val="2"/>
          </rPr>
          <t>116295:</t>
        </r>
        <r>
          <rPr>
            <sz val="8"/>
            <color indexed="81"/>
            <rFont val="Tahoma"/>
            <family val="2"/>
          </rPr>
          <t xml:space="preserve">
Sunshine Industries
(580)226-1444
sunshineindustires.com</t>
        </r>
      </text>
    </comment>
    <comment ref="B2279" authorId="0">
      <text>
        <r>
          <rPr>
            <b/>
            <sz val="8"/>
            <color indexed="81"/>
            <rFont val="Tahoma"/>
            <family val="2"/>
          </rPr>
          <t>116295:</t>
        </r>
        <r>
          <rPr>
            <sz val="8"/>
            <color indexed="81"/>
            <rFont val="Tahoma"/>
            <family val="2"/>
          </rPr>
          <t xml:space="preserve">
Sunshine Industries
(580)226-1444
sunshineindustires.com</t>
        </r>
      </text>
    </comment>
    <comment ref="B2280" authorId="0">
      <text>
        <r>
          <rPr>
            <b/>
            <sz val="8"/>
            <color indexed="81"/>
            <rFont val="Tahoma"/>
            <family val="2"/>
          </rPr>
          <t>116295:</t>
        </r>
        <r>
          <rPr>
            <sz val="8"/>
            <color indexed="81"/>
            <rFont val="Tahoma"/>
            <family val="2"/>
          </rPr>
          <t xml:space="preserve">
Sunshine Industries
(580)226-1444
sunshineindustires.com</t>
        </r>
      </text>
    </comment>
    <comment ref="B2281" authorId="0">
      <text>
        <r>
          <rPr>
            <b/>
            <sz val="8"/>
            <color indexed="81"/>
            <rFont val="Tahoma"/>
            <family val="2"/>
          </rPr>
          <t>116295:</t>
        </r>
        <r>
          <rPr>
            <sz val="8"/>
            <color indexed="81"/>
            <rFont val="Tahoma"/>
            <family val="2"/>
          </rPr>
          <t xml:space="preserve">
Sunshine Industries
(580)226-1444
sunshineindustires.com</t>
        </r>
      </text>
    </comment>
    <comment ref="B2282" authorId="0">
      <text>
        <r>
          <rPr>
            <b/>
            <sz val="8"/>
            <color indexed="81"/>
            <rFont val="Tahoma"/>
            <family val="2"/>
          </rPr>
          <t>116295:</t>
        </r>
        <r>
          <rPr>
            <sz val="8"/>
            <color indexed="81"/>
            <rFont val="Tahoma"/>
            <family val="2"/>
          </rPr>
          <t xml:space="preserve">
Sunshine Industries
(580)226-1444
sunshineindustires.com</t>
        </r>
      </text>
    </comment>
    <comment ref="B2283" authorId="0">
      <text>
        <r>
          <rPr>
            <b/>
            <sz val="8"/>
            <color indexed="81"/>
            <rFont val="Tahoma"/>
            <family val="2"/>
          </rPr>
          <t>116295:</t>
        </r>
        <r>
          <rPr>
            <sz val="8"/>
            <color indexed="81"/>
            <rFont val="Tahoma"/>
            <family val="2"/>
          </rPr>
          <t xml:space="preserve">
Sunshine Industries
(580)226-1444
sunshineindustires.com</t>
        </r>
      </text>
    </comment>
    <comment ref="B2284" authorId="0">
      <text>
        <r>
          <rPr>
            <b/>
            <sz val="8"/>
            <color indexed="81"/>
            <rFont val="Tahoma"/>
            <family val="2"/>
          </rPr>
          <t>116295:</t>
        </r>
        <r>
          <rPr>
            <sz val="8"/>
            <color indexed="81"/>
            <rFont val="Tahoma"/>
            <family val="2"/>
          </rPr>
          <t xml:space="preserve">
Sunshine Industries
(580)226-1444
sunshineindustires.com</t>
        </r>
      </text>
    </comment>
    <comment ref="B2285" authorId="0">
      <text>
        <r>
          <rPr>
            <b/>
            <sz val="8"/>
            <color indexed="81"/>
            <rFont val="Tahoma"/>
            <family val="2"/>
          </rPr>
          <t>116295:</t>
        </r>
        <r>
          <rPr>
            <sz val="8"/>
            <color indexed="81"/>
            <rFont val="Tahoma"/>
            <family val="2"/>
          </rPr>
          <t xml:space="preserve">
Sunshine Industries
(580)226-1444
sunshineindustires.com</t>
        </r>
      </text>
    </comment>
    <comment ref="B2286" authorId="0">
      <text>
        <r>
          <rPr>
            <b/>
            <sz val="8"/>
            <color indexed="81"/>
            <rFont val="Tahoma"/>
            <family val="2"/>
          </rPr>
          <t>116295:</t>
        </r>
        <r>
          <rPr>
            <sz val="8"/>
            <color indexed="81"/>
            <rFont val="Tahoma"/>
            <family val="2"/>
          </rPr>
          <t xml:space="preserve">
Sunshine Industries
(580)226-1444
sunshineindustires.com</t>
        </r>
      </text>
    </comment>
    <comment ref="B2287" authorId="0">
      <text>
        <r>
          <rPr>
            <b/>
            <sz val="8"/>
            <color indexed="81"/>
            <rFont val="Tahoma"/>
            <family val="2"/>
          </rPr>
          <t>116295:</t>
        </r>
        <r>
          <rPr>
            <sz val="8"/>
            <color indexed="81"/>
            <rFont val="Tahoma"/>
            <family val="2"/>
          </rPr>
          <t xml:space="preserve">
Sunshine Industries
(580)226-1444
sunshineindustires.com</t>
        </r>
      </text>
    </comment>
    <comment ref="B2288" authorId="0">
      <text>
        <r>
          <rPr>
            <b/>
            <sz val="8"/>
            <color indexed="81"/>
            <rFont val="Tahoma"/>
            <family val="2"/>
          </rPr>
          <t>116295:</t>
        </r>
        <r>
          <rPr>
            <sz val="8"/>
            <color indexed="81"/>
            <rFont val="Tahoma"/>
            <family val="2"/>
          </rPr>
          <t xml:space="preserve">
Sunshine Industries
(580)226-1444
sunshineindustires.com</t>
        </r>
      </text>
    </comment>
    <comment ref="B2289" authorId="0">
      <text>
        <r>
          <rPr>
            <b/>
            <sz val="8"/>
            <color indexed="81"/>
            <rFont val="Tahoma"/>
            <family val="2"/>
          </rPr>
          <t>116295:</t>
        </r>
        <r>
          <rPr>
            <sz val="8"/>
            <color indexed="81"/>
            <rFont val="Tahoma"/>
            <family val="2"/>
          </rPr>
          <t xml:space="preserve">
Sunshine Industries
(580)226-1444
sunshineindustires.com</t>
        </r>
      </text>
    </comment>
    <comment ref="B2290" authorId="0">
      <text>
        <r>
          <rPr>
            <b/>
            <sz val="8"/>
            <color indexed="81"/>
            <rFont val="Tahoma"/>
            <family val="2"/>
          </rPr>
          <t>116295:</t>
        </r>
        <r>
          <rPr>
            <sz val="8"/>
            <color indexed="81"/>
            <rFont val="Tahoma"/>
            <family val="2"/>
          </rPr>
          <t xml:space="preserve">
Sunshine Industries
(580)226-1444
sunshineindustires.com</t>
        </r>
      </text>
    </comment>
    <comment ref="B2291" authorId="0">
      <text>
        <r>
          <rPr>
            <b/>
            <sz val="8"/>
            <color indexed="81"/>
            <rFont val="Tahoma"/>
            <family val="2"/>
          </rPr>
          <t>116295:</t>
        </r>
        <r>
          <rPr>
            <sz val="8"/>
            <color indexed="81"/>
            <rFont val="Tahoma"/>
            <family val="2"/>
          </rPr>
          <t xml:space="preserve">
Sunshine Industries
(580)226-1444
sunshineindustires.com</t>
        </r>
      </text>
    </comment>
    <comment ref="B2292" authorId="0">
      <text>
        <r>
          <rPr>
            <b/>
            <sz val="8"/>
            <color indexed="81"/>
            <rFont val="Tahoma"/>
            <family val="2"/>
          </rPr>
          <t>116295:</t>
        </r>
        <r>
          <rPr>
            <sz val="8"/>
            <color indexed="81"/>
            <rFont val="Tahoma"/>
            <family val="2"/>
          </rPr>
          <t xml:space="preserve">
Sunshine Industries
(580)226-1444
sunshineindustires.com</t>
        </r>
      </text>
    </comment>
    <comment ref="B2293" authorId="0">
      <text>
        <r>
          <rPr>
            <b/>
            <sz val="8"/>
            <color indexed="81"/>
            <rFont val="Tahoma"/>
            <family val="2"/>
          </rPr>
          <t>116295:</t>
        </r>
        <r>
          <rPr>
            <sz val="8"/>
            <color indexed="81"/>
            <rFont val="Tahoma"/>
            <family val="2"/>
          </rPr>
          <t xml:space="preserve">
Sunshine Industries
(580)226-1444
sunshineindustires.com</t>
        </r>
      </text>
    </comment>
    <comment ref="B2294" authorId="0">
      <text>
        <r>
          <rPr>
            <b/>
            <sz val="8"/>
            <color indexed="81"/>
            <rFont val="Tahoma"/>
            <family val="2"/>
          </rPr>
          <t>116295:</t>
        </r>
        <r>
          <rPr>
            <sz val="8"/>
            <color indexed="81"/>
            <rFont val="Tahoma"/>
            <family val="2"/>
          </rPr>
          <t xml:space="preserve">
Sunshine Industries
(580)226-1444
sunshineindustires.com</t>
        </r>
      </text>
    </comment>
    <comment ref="B2295" authorId="0">
      <text>
        <r>
          <rPr>
            <b/>
            <sz val="8"/>
            <color indexed="81"/>
            <rFont val="Tahoma"/>
            <family val="2"/>
          </rPr>
          <t>116295:</t>
        </r>
        <r>
          <rPr>
            <sz val="8"/>
            <color indexed="81"/>
            <rFont val="Tahoma"/>
            <family val="2"/>
          </rPr>
          <t xml:space="preserve">
Sunshine Industries
(580)226-1444
sunshineindustires.com</t>
        </r>
      </text>
    </comment>
    <comment ref="B2296" authorId="0">
      <text>
        <r>
          <rPr>
            <b/>
            <sz val="8"/>
            <color indexed="81"/>
            <rFont val="Tahoma"/>
            <family val="2"/>
          </rPr>
          <t>116295:</t>
        </r>
        <r>
          <rPr>
            <sz val="8"/>
            <color indexed="81"/>
            <rFont val="Tahoma"/>
            <family val="2"/>
          </rPr>
          <t xml:space="preserve">
Sunshine Industries
(580)226-1444
sunshineindustires.com</t>
        </r>
      </text>
    </comment>
    <comment ref="B2297" authorId="0">
      <text>
        <r>
          <rPr>
            <b/>
            <sz val="8"/>
            <color indexed="81"/>
            <rFont val="Tahoma"/>
            <family val="2"/>
          </rPr>
          <t>116295:</t>
        </r>
        <r>
          <rPr>
            <sz val="8"/>
            <color indexed="81"/>
            <rFont val="Tahoma"/>
            <family val="2"/>
          </rPr>
          <t xml:space="preserve">
Sunshine Industries
(580)226-1444
sunshineindustires.com</t>
        </r>
      </text>
    </comment>
    <comment ref="B2298" authorId="0">
      <text>
        <r>
          <rPr>
            <b/>
            <sz val="8"/>
            <color indexed="81"/>
            <rFont val="Tahoma"/>
            <family val="2"/>
          </rPr>
          <t>116295:</t>
        </r>
        <r>
          <rPr>
            <sz val="8"/>
            <color indexed="81"/>
            <rFont val="Tahoma"/>
            <family val="2"/>
          </rPr>
          <t xml:space="preserve">
Sunshine Industries
(580)226-1444
sunshineindustires.com</t>
        </r>
      </text>
    </comment>
    <comment ref="B2299" authorId="0">
      <text>
        <r>
          <rPr>
            <b/>
            <sz val="8"/>
            <color indexed="81"/>
            <rFont val="Tahoma"/>
            <family val="2"/>
          </rPr>
          <t>116295:</t>
        </r>
        <r>
          <rPr>
            <sz val="8"/>
            <color indexed="81"/>
            <rFont val="Tahoma"/>
            <family val="2"/>
          </rPr>
          <t xml:space="preserve">
Sunshine Industries
(580)226-1444
sunshineindustires.com</t>
        </r>
      </text>
    </comment>
    <comment ref="B2300" authorId="0">
      <text>
        <r>
          <rPr>
            <b/>
            <sz val="8"/>
            <color indexed="81"/>
            <rFont val="Tahoma"/>
            <family val="2"/>
          </rPr>
          <t>116295:</t>
        </r>
        <r>
          <rPr>
            <sz val="8"/>
            <color indexed="81"/>
            <rFont val="Tahoma"/>
            <family val="2"/>
          </rPr>
          <t xml:space="preserve">
Sunshine Industries
(580)226-1444
sunshineindustires.com</t>
        </r>
      </text>
    </comment>
    <comment ref="B2301" authorId="0">
      <text>
        <r>
          <rPr>
            <b/>
            <sz val="8"/>
            <color indexed="81"/>
            <rFont val="Tahoma"/>
            <family val="2"/>
          </rPr>
          <t>116295:</t>
        </r>
        <r>
          <rPr>
            <sz val="8"/>
            <color indexed="81"/>
            <rFont val="Tahoma"/>
            <family val="2"/>
          </rPr>
          <t xml:space="preserve">
Sunshine Industries
(580)226-1444
sunshineindustires.com</t>
        </r>
      </text>
    </comment>
    <comment ref="B2302" authorId="0">
      <text>
        <r>
          <rPr>
            <b/>
            <sz val="8"/>
            <color indexed="81"/>
            <rFont val="Tahoma"/>
            <family val="2"/>
          </rPr>
          <t>116295:</t>
        </r>
        <r>
          <rPr>
            <sz val="8"/>
            <color indexed="81"/>
            <rFont val="Tahoma"/>
            <family val="2"/>
          </rPr>
          <t xml:space="preserve">
Sunshine Industries
(580)226-1444
sunshineindustires.com</t>
        </r>
      </text>
    </comment>
    <comment ref="B2303" authorId="0">
      <text>
        <r>
          <rPr>
            <b/>
            <sz val="8"/>
            <color indexed="81"/>
            <rFont val="Tahoma"/>
            <family val="2"/>
          </rPr>
          <t>116295:</t>
        </r>
        <r>
          <rPr>
            <sz val="8"/>
            <color indexed="81"/>
            <rFont val="Tahoma"/>
            <family val="2"/>
          </rPr>
          <t xml:space="preserve">
Sunshine Industries
(580)226-1444
sunshineindustires.com</t>
        </r>
      </text>
    </comment>
    <comment ref="B2304" authorId="0">
      <text>
        <r>
          <rPr>
            <b/>
            <sz val="8"/>
            <color indexed="81"/>
            <rFont val="Tahoma"/>
            <family val="2"/>
          </rPr>
          <t>116295:</t>
        </r>
        <r>
          <rPr>
            <sz val="8"/>
            <color indexed="81"/>
            <rFont val="Tahoma"/>
            <family val="2"/>
          </rPr>
          <t xml:space="preserve">
Sunshine Industries
(580)226-1444
sunshineindustires.com</t>
        </r>
      </text>
    </comment>
    <comment ref="B2305" authorId="0">
      <text>
        <r>
          <rPr>
            <b/>
            <sz val="8"/>
            <color indexed="81"/>
            <rFont val="Tahoma"/>
            <family val="2"/>
          </rPr>
          <t>116295:</t>
        </r>
        <r>
          <rPr>
            <sz val="8"/>
            <color indexed="81"/>
            <rFont val="Tahoma"/>
            <family val="2"/>
          </rPr>
          <t xml:space="preserve">
Sunshine Industries
(580)226-1444
sunshineindustires.com</t>
        </r>
      </text>
    </comment>
    <comment ref="B2306" authorId="0">
      <text>
        <r>
          <rPr>
            <b/>
            <sz val="8"/>
            <color indexed="81"/>
            <rFont val="Tahoma"/>
            <family val="2"/>
          </rPr>
          <t>116295:</t>
        </r>
        <r>
          <rPr>
            <sz val="8"/>
            <color indexed="81"/>
            <rFont val="Tahoma"/>
            <family val="2"/>
          </rPr>
          <t xml:space="preserve">
Sunshine Industries
(580)226-1444
sunshineindustires.com</t>
        </r>
      </text>
    </comment>
    <comment ref="B2307" authorId="0">
      <text>
        <r>
          <rPr>
            <b/>
            <sz val="8"/>
            <color indexed="81"/>
            <rFont val="Tahoma"/>
            <family val="2"/>
          </rPr>
          <t>116295:</t>
        </r>
        <r>
          <rPr>
            <sz val="8"/>
            <color indexed="81"/>
            <rFont val="Tahoma"/>
            <family val="2"/>
          </rPr>
          <t xml:space="preserve">
Sunshine Industries
(580)226-1444
sunshineindustires.com</t>
        </r>
      </text>
    </comment>
    <comment ref="B2308" authorId="0">
      <text>
        <r>
          <rPr>
            <b/>
            <sz val="8"/>
            <color indexed="81"/>
            <rFont val="Tahoma"/>
            <family val="2"/>
          </rPr>
          <t>116295:</t>
        </r>
        <r>
          <rPr>
            <sz val="8"/>
            <color indexed="81"/>
            <rFont val="Tahoma"/>
            <family val="2"/>
          </rPr>
          <t xml:space="preserve">
Sunshine Industries
(580)226-1444
sunshineindustires.com</t>
        </r>
      </text>
    </comment>
    <comment ref="B2309" authorId="0">
      <text>
        <r>
          <rPr>
            <b/>
            <sz val="8"/>
            <color indexed="81"/>
            <rFont val="Tahoma"/>
            <family val="2"/>
          </rPr>
          <t>116295:</t>
        </r>
        <r>
          <rPr>
            <sz val="8"/>
            <color indexed="81"/>
            <rFont val="Tahoma"/>
            <family val="2"/>
          </rPr>
          <t xml:space="preserve">
Sunshine Industries
(580)226-1444
sunshineindustires.com</t>
        </r>
      </text>
    </comment>
    <comment ref="B2310" authorId="0">
      <text>
        <r>
          <rPr>
            <b/>
            <sz val="8"/>
            <color indexed="81"/>
            <rFont val="Tahoma"/>
            <family val="2"/>
          </rPr>
          <t>116295:</t>
        </r>
        <r>
          <rPr>
            <sz val="8"/>
            <color indexed="81"/>
            <rFont val="Tahoma"/>
            <family val="2"/>
          </rPr>
          <t xml:space="preserve">
Sunshine Industries
(580)226-1444
sunshineindustires.com</t>
        </r>
      </text>
    </comment>
    <comment ref="B2311" authorId="0">
      <text>
        <r>
          <rPr>
            <b/>
            <sz val="8"/>
            <color indexed="81"/>
            <rFont val="Tahoma"/>
            <family val="2"/>
          </rPr>
          <t>116295:</t>
        </r>
        <r>
          <rPr>
            <sz val="8"/>
            <color indexed="81"/>
            <rFont val="Tahoma"/>
            <family val="2"/>
          </rPr>
          <t xml:space="preserve">
Sunshine Industries
(580)226-1444
sunshineindustires.com</t>
        </r>
      </text>
    </comment>
    <comment ref="B2312" authorId="0">
      <text>
        <r>
          <rPr>
            <b/>
            <sz val="8"/>
            <color indexed="81"/>
            <rFont val="Tahoma"/>
            <family val="2"/>
          </rPr>
          <t>116295:</t>
        </r>
        <r>
          <rPr>
            <sz val="8"/>
            <color indexed="81"/>
            <rFont val="Tahoma"/>
            <family val="2"/>
          </rPr>
          <t xml:space="preserve">
Sunshine Industries
(580)226-1444
sunshineindustires.com</t>
        </r>
      </text>
    </comment>
    <comment ref="B2313" authorId="0">
      <text>
        <r>
          <rPr>
            <b/>
            <sz val="8"/>
            <color indexed="81"/>
            <rFont val="Tahoma"/>
            <family val="2"/>
          </rPr>
          <t>116295:</t>
        </r>
        <r>
          <rPr>
            <sz val="8"/>
            <color indexed="81"/>
            <rFont val="Tahoma"/>
            <family val="2"/>
          </rPr>
          <t xml:space="preserve">
Sunshine Industries
(580)226-1444
sunshineindustires.com</t>
        </r>
      </text>
    </comment>
    <comment ref="B2314" authorId="0">
      <text>
        <r>
          <rPr>
            <b/>
            <sz val="8"/>
            <color indexed="81"/>
            <rFont val="Tahoma"/>
            <family val="2"/>
          </rPr>
          <t>116295:</t>
        </r>
        <r>
          <rPr>
            <sz val="8"/>
            <color indexed="81"/>
            <rFont val="Tahoma"/>
            <family val="2"/>
          </rPr>
          <t xml:space="preserve">
Sunshine Industries
(580)226-1444
sunshineindustires.com</t>
        </r>
      </text>
    </comment>
    <comment ref="B2315" authorId="0">
      <text>
        <r>
          <rPr>
            <b/>
            <sz val="8"/>
            <color indexed="81"/>
            <rFont val="Tahoma"/>
            <family val="2"/>
          </rPr>
          <t>116295:</t>
        </r>
        <r>
          <rPr>
            <sz val="8"/>
            <color indexed="81"/>
            <rFont val="Tahoma"/>
            <family val="2"/>
          </rPr>
          <t xml:space="preserve">
Sunshine Industries
(580)226-1444
sunshineindustires.com</t>
        </r>
      </text>
    </comment>
    <comment ref="B2316" authorId="0">
      <text>
        <r>
          <rPr>
            <b/>
            <sz val="8"/>
            <color indexed="81"/>
            <rFont val="Tahoma"/>
            <family val="2"/>
          </rPr>
          <t>116295:</t>
        </r>
        <r>
          <rPr>
            <sz val="8"/>
            <color indexed="81"/>
            <rFont val="Tahoma"/>
            <family val="2"/>
          </rPr>
          <t xml:space="preserve">
Sunshine Industries
(580)226-1444
sunshineindustires.com</t>
        </r>
      </text>
    </comment>
    <comment ref="B2317" authorId="0">
      <text>
        <r>
          <rPr>
            <b/>
            <sz val="8"/>
            <color indexed="81"/>
            <rFont val="Tahoma"/>
            <family val="2"/>
          </rPr>
          <t>116295:</t>
        </r>
        <r>
          <rPr>
            <sz val="8"/>
            <color indexed="81"/>
            <rFont val="Tahoma"/>
            <family val="2"/>
          </rPr>
          <t xml:space="preserve">
Sunshine Industries
(580)226-1444
sunshineindustires.com</t>
        </r>
      </text>
    </comment>
    <comment ref="B2318" authorId="0">
      <text>
        <r>
          <rPr>
            <b/>
            <sz val="8"/>
            <color indexed="81"/>
            <rFont val="Tahoma"/>
            <family val="2"/>
          </rPr>
          <t>116295:</t>
        </r>
        <r>
          <rPr>
            <sz val="8"/>
            <color indexed="81"/>
            <rFont val="Tahoma"/>
            <family val="2"/>
          </rPr>
          <t xml:space="preserve">
Sunshine Industries
(580)226-1444
sunshineindustires.com</t>
        </r>
      </text>
    </comment>
    <comment ref="B2319" authorId="0">
      <text>
        <r>
          <rPr>
            <b/>
            <sz val="8"/>
            <color indexed="81"/>
            <rFont val="Tahoma"/>
            <family val="2"/>
          </rPr>
          <t>116295:</t>
        </r>
        <r>
          <rPr>
            <sz val="8"/>
            <color indexed="81"/>
            <rFont val="Tahoma"/>
            <family val="2"/>
          </rPr>
          <t xml:space="preserve">
Sunshine Industries
(580)226-1444
sunshineindustires.com</t>
        </r>
      </text>
    </comment>
    <comment ref="B2320" authorId="0">
      <text>
        <r>
          <rPr>
            <b/>
            <sz val="8"/>
            <color indexed="81"/>
            <rFont val="Tahoma"/>
            <family val="2"/>
          </rPr>
          <t>116295:</t>
        </r>
        <r>
          <rPr>
            <sz val="8"/>
            <color indexed="81"/>
            <rFont val="Tahoma"/>
            <family val="2"/>
          </rPr>
          <t xml:space="preserve">
Sunshine Industries
(580)226-1444
sunshineindustires.com</t>
        </r>
      </text>
    </comment>
    <comment ref="B2321" authorId="0">
      <text>
        <r>
          <rPr>
            <b/>
            <sz val="8"/>
            <color indexed="81"/>
            <rFont val="Tahoma"/>
            <family val="2"/>
          </rPr>
          <t>116295:</t>
        </r>
        <r>
          <rPr>
            <sz val="8"/>
            <color indexed="81"/>
            <rFont val="Tahoma"/>
            <family val="2"/>
          </rPr>
          <t xml:space="preserve">
Sunshine Industries
(580)226-1444
sunshineindustires.com</t>
        </r>
      </text>
    </comment>
    <comment ref="B2322" authorId="0">
      <text>
        <r>
          <rPr>
            <b/>
            <sz val="8"/>
            <color indexed="81"/>
            <rFont val="Tahoma"/>
            <family val="2"/>
          </rPr>
          <t>116295:</t>
        </r>
        <r>
          <rPr>
            <sz val="8"/>
            <color indexed="81"/>
            <rFont val="Tahoma"/>
            <family val="2"/>
          </rPr>
          <t xml:space="preserve">
Sunshine Industries
(580)226-1444
sunshineindustires.com</t>
        </r>
      </text>
    </comment>
    <comment ref="B2323" authorId="0">
      <text>
        <r>
          <rPr>
            <b/>
            <sz val="8"/>
            <color indexed="81"/>
            <rFont val="Tahoma"/>
            <family val="2"/>
          </rPr>
          <t>116295:</t>
        </r>
        <r>
          <rPr>
            <sz val="8"/>
            <color indexed="81"/>
            <rFont val="Tahoma"/>
            <family val="2"/>
          </rPr>
          <t xml:space="preserve">
Sunshine Industries
(580)226-1444
sunshineindustires.com</t>
        </r>
      </text>
    </comment>
    <comment ref="B2324" authorId="0">
      <text>
        <r>
          <rPr>
            <b/>
            <sz val="8"/>
            <color indexed="81"/>
            <rFont val="Tahoma"/>
            <family val="2"/>
          </rPr>
          <t>116295:</t>
        </r>
        <r>
          <rPr>
            <sz val="8"/>
            <color indexed="81"/>
            <rFont val="Tahoma"/>
            <family val="2"/>
          </rPr>
          <t xml:space="preserve">
Sunshine Industries
(580)226-1444
sunshineindustires.com</t>
        </r>
      </text>
    </comment>
    <comment ref="B2325" authorId="0">
      <text>
        <r>
          <rPr>
            <b/>
            <sz val="8"/>
            <color indexed="81"/>
            <rFont val="Tahoma"/>
            <family val="2"/>
          </rPr>
          <t>116295:</t>
        </r>
        <r>
          <rPr>
            <sz val="8"/>
            <color indexed="81"/>
            <rFont val="Tahoma"/>
            <family val="2"/>
          </rPr>
          <t xml:space="preserve">
Sunshine Industries
(580)226-1444
sunshineindustires.com</t>
        </r>
      </text>
    </comment>
    <comment ref="B2326" authorId="0">
      <text>
        <r>
          <rPr>
            <b/>
            <sz val="8"/>
            <color indexed="81"/>
            <rFont val="Tahoma"/>
            <family val="2"/>
          </rPr>
          <t>116295:</t>
        </r>
        <r>
          <rPr>
            <sz val="8"/>
            <color indexed="81"/>
            <rFont val="Tahoma"/>
            <family val="2"/>
          </rPr>
          <t xml:space="preserve">
Sunshine Industries
(580)226-1444
sunshineindustires.com</t>
        </r>
      </text>
    </comment>
    <comment ref="B2327" authorId="0">
      <text>
        <r>
          <rPr>
            <b/>
            <sz val="8"/>
            <color indexed="81"/>
            <rFont val="Tahoma"/>
            <family val="2"/>
          </rPr>
          <t>116295:</t>
        </r>
        <r>
          <rPr>
            <sz val="8"/>
            <color indexed="81"/>
            <rFont val="Tahoma"/>
            <family val="2"/>
          </rPr>
          <t xml:space="preserve">
Sunshine Industries
(580)226-1444
sunshineindustires.com</t>
        </r>
      </text>
    </comment>
    <comment ref="B2328" authorId="0">
      <text>
        <r>
          <rPr>
            <b/>
            <sz val="8"/>
            <color indexed="81"/>
            <rFont val="Tahoma"/>
            <family val="2"/>
          </rPr>
          <t>116295:</t>
        </r>
        <r>
          <rPr>
            <sz val="8"/>
            <color indexed="81"/>
            <rFont val="Tahoma"/>
            <family val="2"/>
          </rPr>
          <t xml:space="preserve">
Sunshine Industries
(580)226-1444
sunshineindustires.com</t>
        </r>
      </text>
    </comment>
    <comment ref="B2329" authorId="0">
      <text>
        <r>
          <rPr>
            <b/>
            <sz val="8"/>
            <color indexed="81"/>
            <rFont val="Tahoma"/>
            <family val="2"/>
          </rPr>
          <t>116295:</t>
        </r>
        <r>
          <rPr>
            <sz val="8"/>
            <color indexed="81"/>
            <rFont val="Tahoma"/>
            <family val="2"/>
          </rPr>
          <t xml:space="preserve">
Sunshine Industries
(580)226-1444
sunshineindustires.com</t>
        </r>
      </text>
    </comment>
    <comment ref="B2330" authorId="0">
      <text>
        <r>
          <rPr>
            <b/>
            <sz val="8"/>
            <color indexed="81"/>
            <rFont val="Tahoma"/>
            <family val="2"/>
          </rPr>
          <t>116295:</t>
        </r>
        <r>
          <rPr>
            <sz val="8"/>
            <color indexed="81"/>
            <rFont val="Tahoma"/>
            <family val="2"/>
          </rPr>
          <t xml:space="preserve">
Sunshine Industries
(580)226-1444
sunshineindustires.com</t>
        </r>
      </text>
    </comment>
    <comment ref="B2331" authorId="0">
      <text>
        <r>
          <rPr>
            <b/>
            <sz val="8"/>
            <color indexed="81"/>
            <rFont val="Tahoma"/>
            <family val="2"/>
          </rPr>
          <t>116295:</t>
        </r>
        <r>
          <rPr>
            <sz val="8"/>
            <color indexed="81"/>
            <rFont val="Tahoma"/>
            <family val="2"/>
          </rPr>
          <t xml:space="preserve">
Sunshine Industries
(580)226-1444
sunshineindustires.com</t>
        </r>
      </text>
    </comment>
    <comment ref="B2332" authorId="0">
      <text>
        <r>
          <rPr>
            <b/>
            <sz val="8"/>
            <color indexed="81"/>
            <rFont val="Tahoma"/>
            <family val="2"/>
          </rPr>
          <t>116295:</t>
        </r>
        <r>
          <rPr>
            <sz val="8"/>
            <color indexed="81"/>
            <rFont val="Tahoma"/>
            <family val="2"/>
          </rPr>
          <t xml:space="preserve">
Sunshine Industries
(580)226-1444
sunshineindustires.com</t>
        </r>
      </text>
    </comment>
    <comment ref="B2333" authorId="0">
      <text>
        <r>
          <rPr>
            <b/>
            <sz val="8"/>
            <color indexed="81"/>
            <rFont val="Tahoma"/>
            <family val="2"/>
          </rPr>
          <t>116295:</t>
        </r>
        <r>
          <rPr>
            <sz val="8"/>
            <color indexed="81"/>
            <rFont val="Tahoma"/>
            <family val="2"/>
          </rPr>
          <t xml:space="preserve">
Sunshine Industries
(580)226-1444
sunshineindustires.com</t>
        </r>
      </text>
    </comment>
    <comment ref="B2334" authorId="0">
      <text>
        <r>
          <rPr>
            <b/>
            <sz val="8"/>
            <color indexed="81"/>
            <rFont val="Tahoma"/>
            <family val="2"/>
          </rPr>
          <t>116295:</t>
        </r>
        <r>
          <rPr>
            <sz val="8"/>
            <color indexed="81"/>
            <rFont val="Tahoma"/>
            <family val="2"/>
          </rPr>
          <t xml:space="preserve">
Sunshine Industries
(580)226-1444
sunshineindustires.com</t>
        </r>
      </text>
    </comment>
    <comment ref="B2335" authorId="0">
      <text>
        <r>
          <rPr>
            <b/>
            <sz val="8"/>
            <color indexed="81"/>
            <rFont val="Tahoma"/>
            <family val="2"/>
          </rPr>
          <t>116295:</t>
        </r>
        <r>
          <rPr>
            <sz val="8"/>
            <color indexed="81"/>
            <rFont val="Tahoma"/>
            <family val="2"/>
          </rPr>
          <t xml:space="preserve">
Sunshine Industries
(580)226-1444
sunshineindustires.com</t>
        </r>
      </text>
    </comment>
    <comment ref="B2336" authorId="0">
      <text>
        <r>
          <rPr>
            <b/>
            <sz val="8"/>
            <color indexed="81"/>
            <rFont val="Tahoma"/>
            <family val="2"/>
          </rPr>
          <t>116295:</t>
        </r>
        <r>
          <rPr>
            <sz val="8"/>
            <color indexed="81"/>
            <rFont val="Tahoma"/>
            <family val="2"/>
          </rPr>
          <t xml:space="preserve">
Sunshine Industries
(580)226-1444
sunshineindustires.com</t>
        </r>
      </text>
    </comment>
    <comment ref="B2337" authorId="0">
      <text>
        <r>
          <rPr>
            <b/>
            <sz val="8"/>
            <color indexed="81"/>
            <rFont val="Tahoma"/>
            <family val="2"/>
          </rPr>
          <t>116295:</t>
        </r>
        <r>
          <rPr>
            <sz val="8"/>
            <color indexed="81"/>
            <rFont val="Tahoma"/>
            <family val="2"/>
          </rPr>
          <t xml:space="preserve">
Sunshine Industries
(580)226-1444
sunshineindustires.com</t>
        </r>
      </text>
    </comment>
    <comment ref="B2338" authorId="0">
      <text>
        <r>
          <rPr>
            <b/>
            <sz val="8"/>
            <color indexed="81"/>
            <rFont val="Tahoma"/>
            <family val="2"/>
          </rPr>
          <t>116295:</t>
        </r>
        <r>
          <rPr>
            <sz val="8"/>
            <color indexed="81"/>
            <rFont val="Tahoma"/>
            <family val="2"/>
          </rPr>
          <t xml:space="preserve">
Sunshine Industries
(580)226-1444
sunshineindustires.com</t>
        </r>
      </text>
    </comment>
    <comment ref="B2339" authorId="0">
      <text>
        <r>
          <rPr>
            <b/>
            <sz val="8"/>
            <color indexed="81"/>
            <rFont val="Tahoma"/>
            <family val="2"/>
          </rPr>
          <t>116295:</t>
        </r>
        <r>
          <rPr>
            <sz val="8"/>
            <color indexed="81"/>
            <rFont val="Tahoma"/>
            <family val="2"/>
          </rPr>
          <t xml:space="preserve">
Sunshine Industries
(580)226-1444
sunshineindustires.com</t>
        </r>
      </text>
    </comment>
    <comment ref="B2340" authorId="0">
      <text>
        <r>
          <rPr>
            <b/>
            <sz val="8"/>
            <color indexed="81"/>
            <rFont val="Tahoma"/>
            <family val="2"/>
          </rPr>
          <t>116295:</t>
        </r>
        <r>
          <rPr>
            <sz val="8"/>
            <color indexed="81"/>
            <rFont val="Tahoma"/>
            <family val="2"/>
          </rPr>
          <t xml:space="preserve">
Sunshine Industries
(580)226-1444
sunshineindustires.com</t>
        </r>
      </text>
    </comment>
    <comment ref="B2341" authorId="0">
      <text>
        <r>
          <rPr>
            <b/>
            <sz val="8"/>
            <color indexed="81"/>
            <rFont val="Tahoma"/>
            <family val="2"/>
          </rPr>
          <t>116295:</t>
        </r>
        <r>
          <rPr>
            <sz val="8"/>
            <color indexed="81"/>
            <rFont val="Tahoma"/>
            <family val="2"/>
          </rPr>
          <t xml:space="preserve">
Sunshine Industries
(580)226-1444
sunshineindustires.com</t>
        </r>
      </text>
    </comment>
    <comment ref="B2342" authorId="0">
      <text>
        <r>
          <rPr>
            <b/>
            <sz val="8"/>
            <color indexed="81"/>
            <rFont val="Tahoma"/>
            <family val="2"/>
          </rPr>
          <t>116295:</t>
        </r>
        <r>
          <rPr>
            <sz val="8"/>
            <color indexed="81"/>
            <rFont val="Tahoma"/>
            <family val="2"/>
          </rPr>
          <t xml:space="preserve">
Sunshine Industries
(580)226-1444
sunshineindustires.com</t>
        </r>
      </text>
    </comment>
    <comment ref="B2343" authorId="0">
      <text>
        <r>
          <rPr>
            <b/>
            <sz val="8"/>
            <color indexed="81"/>
            <rFont val="Tahoma"/>
            <family val="2"/>
          </rPr>
          <t>116295:</t>
        </r>
        <r>
          <rPr>
            <sz val="8"/>
            <color indexed="81"/>
            <rFont val="Tahoma"/>
            <family val="2"/>
          </rPr>
          <t xml:space="preserve">
Sunshine Industries
(580)226-1444
sunshineindustires.com</t>
        </r>
      </text>
    </comment>
    <comment ref="B2344" authorId="0">
      <text>
        <r>
          <rPr>
            <b/>
            <sz val="8"/>
            <color indexed="81"/>
            <rFont val="Tahoma"/>
            <family val="2"/>
          </rPr>
          <t>116295:</t>
        </r>
        <r>
          <rPr>
            <sz val="8"/>
            <color indexed="81"/>
            <rFont val="Tahoma"/>
            <family val="2"/>
          </rPr>
          <t xml:space="preserve">
Sunshine Industries
(580)226-1444
sunshineindustires.com</t>
        </r>
      </text>
    </comment>
    <comment ref="B2345" authorId="0">
      <text>
        <r>
          <rPr>
            <b/>
            <sz val="8"/>
            <color indexed="81"/>
            <rFont val="Tahoma"/>
            <family val="2"/>
          </rPr>
          <t>116295:</t>
        </r>
        <r>
          <rPr>
            <sz val="8"/>
            <color indexed="81"/>
            <rFont val="Tahoma"/>
            <family val="2"/>
          </rPr>
          <t xml:space="preserve">
Sunshine Industries
(580)226-1444
sunshineindustires.com</t>
        </r>
      </text>
    </comment>
    <comment ref="B2346" authorId="0">
      <text>
        <r>
          <rPr>
            <b/>
            <sz val="8"/>
            <color indexed="81"/>
            <rFont val="Tahoma"/>
            <family val="2"/>
          </rPr>
          <t>116295:</t>
        </r>
        <r>
          <rPr>
            <sz val="8"/>
            <color indexed="81"/>
            <rFont val="Tahoma"/>
            <family val="2"/>
          </rPr>
          <t xml:space="preserve">
Sunshine Industries
(580)226-1444
sunshineindustires.com</t>
        </r>
      </text>
    </comment>
    <comment ref="B2347" authorId="0">
      <text>
        <r>
          <rPr>
            <b/>
            <sz val="8"/>
            <color indexed="81"/>
            <rFont val="Tahoma"/>
            <family val="2"/>
          </rPr>
          <t>116295:</t>
        </r>
        <r>
          <rPr>
            <sz val="8"/>
            <color indexed="81"/>
            <rFont val="Tahoma"/>
            <family val="2"/>
          </rPr>
          <t xml:space="preserve">
Sunshine Industries
(580)226-1444
sunshineindustires.com</t>
        </r>
      </text>
    </comment>
    <comment ref="B2348" authorId="0">
      <text>
        <r>
          <rPr>
            <b/>
            <sz val="8"/>
            <color indexed="81"/>
            <rFont val="Tahoma"/>
            <family val="2"/>
          </rPr>
          <t>116295:</t>
        </r>
        <r>
          <rPr>
            <sz val="8"/>
            <color indexed="81"/>
            <rFont val="Tahoma"/>
            <family val="2"/>
          </rPr>
          <t xml:space="preserve">
Sunshine Industries
(580)226-1444
sunshineindustires.com</t>
        </r>
      </text>
    </comment>
    <comment ref="B2349" authorId="0">
      <text>
        <r>
          <rPr>
            <b/>
            <sz val="8"/>
            <color indexed="81"/>
            <rFont val="Tahoma"/>
            <family val="2"/>
          </rPr>
          <t>116295:</t>
        </r>
        <r>
          <rPr>
            <sz val="8"/>
            <color indexed="81"/>
            <rFont val="Tahoma"/>
            <family val="2"/>
          </rPr>
          <t xml:space="preserve">
Sunshine Industries
(580)226-1444
sunshineindustires.com</t>
        </r>
      </text>
    </comment>
    <comment ref="B2350" authorId="0">
      <text>
        <r>
          <rPr>
            <b/>
            <sz val="8"/>
            <color indexed="81"/>
            <rFont val="Tahoma"/>
            <family val="2"/>
          </rPr>
          <t>116295:</t>
        </r>
        <r>
          <rPr>
            <sz val="8"/>
            <color indexed="81"/>
            <rFont val="Tahoma"/>
            <family val="2"/>
          </rPr>
          <t xml:space="preserve">
Sunshine Industries
(580)226-1444
sunshineindustires.com</t>
        </r>
      </text>
    </comment>
    <comment ref="B2351" authorId="0">
      <text>
        <r>
          <rPr>
            <b/>
            <sz val="8"/>
            <color indexed="81"/>
            <rFont val="Tahoma"/>
            <family val="2"/>
          </rPr>
          <t>116295:</t>
        </r>
        <r>
          <rPr>
            <sz val="8"/>
            <color indexed="81"/>
            <rFont val="Tahoma"/>
            <family val="2"/>
          </rPr>
          <t xml:space="preserve">
Sunshine Industries
(580)226-1444
sunshineindustires.com</t>
        </r>
      </text>
    </comment>
    <comment ref="B2352" authorId="0">
      <text>
        <r>
          <rPr>
            <b/>
            <sz val="8"/>
            <color indexed="81"/>
            <rFont val="Tahoma"/>
            <family val="2"/>
          </rPr>
          <t>116295:</t>
        </r>
        <r>
          <rPr>
            <sz val="8"/>
            <color indexed="81"/>
            <rFont val="Tahoma"/>
            <family val="2"/>
          </rPr>
          <t xml:space="preserve">
Sunshine Industries
(580)226-1444
sunshineindustires.com</t>
        </r>
      </text>
    </comment>
    <comment ref="B2353" authorId="0">
      <text>
        <r>
          <rPr>
            <b/>
            <sz val="8"/>
            <color indexed="81"/>
            <rFont val="Tahoma"/>
            <family val="2"/>
          </rPr>
          <t>116295:</t>
        </r>
        <r>
          <rPr>
            <sz val="8"/>
            <color indexed="81"/>
            <rFont val="Tahoma"/>
            <family val="2"/>
          </rPr>
          <t xml:space="preserve">
Sunshine Industries
(580)226-1444
sunshineindustires.com</t>
        </r>
      </text>
    </comment>
    <comment ref="B2354" authorId="0">
      <text>
        <r>
          <rPr>
            <b/>
            <sz val="8"/>
            <color indexed="81"/>
            <rFont val="Tahoma"/>
            <family val="2"/>
          </rPr>
          <t>116295:</t>
        </r>
        <r>
          <rPr>
            <sz val="8"/>
            <color indexed="81"/>
            <rFont val="Tahoma"/>
            <family val="2"/>
          </rPr>
          <t xml:space="preserve">
Sunshine Industries
(580)226-1444
sunshineindustires.com</t>
        </r>
      </text>
    </comment>
    <comment ref="B2355" authorId="0">
      <text>
        <r>
          <rPr>
            <b/>
            <sz val="8"/>
            <color indexed="81"/>
            <rFont val="Tahoma"/>
            <family val="2"/>
          </rPr>
          <t>116295:</t>
        </r>
        <r>
          <rPr>
            <sz val="8"/>
            <color indexed="81"/>
            <rFont val="Tahoma"/>
            <family val="2"/>
          </rPr>
          <t xml:space="preserve">
Sunshine Industries
(580)226-1444
sunshineindustires.com</t>
        </r>
      </text>
    </comment>
    <comment ref="B2356" authorId="0">
      <text>
        <r>
          <rPr>
            <b/>
            <sz val="8"/>
            <color indexed="81"/>
            <rFont val="Tahoma"/>
            <family val="2"/>
          </rPr>
          <t>116295:</t>
        </r>
        <r>
          <rPr>
            <sz val="8"/>
            <color indexed="81"/>
            <rFont val="Tahoma"/>
            <family val="2"/>
          </rPr>
          <t xml:space="preserve">
Sunshine Industries
(580)226-1444
sunshineindustires.com</t>
        </r>
      </text>
    </comment>
    <comment ref="B2357" authorId="0">
      <text>
        <r>
          <rPr>
            <b/>
            <sz val="8"/>
            <color indexed="81"/>
            <rFont val="Tahoma"/>
            <family val="2"/>
          </rPr>
          <t>116295:</t>
        </r>
        <r>
          <rPr>
            <sz val="8"/>
            <color indexed="81"/>
            <rFont val="Tahoma"/>
            <family val="2"/>
          </rPr>
          <t xml:space="preserve">
Sunshine Industries
(580)226-1444
sunshineindustires.com</t>
        </r>
      </text>
    </comment>
    <comment ref="B2358" authorId="0">
      <text>
        <r>
          <rPr>
            <b/>
            <sz val="8"/>
            <color indexed="81"/>
            <rFont val="Tahoma"/>
            <family val="2"/>
          </rPr>
          <t>116295:</t>
        </r>
        <r>
          <rPr>
            <sz val="8"/>
            <color indexed="81"/>
            <rFont val="Tahoma"/>
            <family val="2"/>
          </rPr>
          <t xml:space="preserve">
Sunshine Industries
(580)226-1444
sunshineindustires.com</t>
        </r>
      </text>
    </comment>
    <comment ref="B2359" authorId="0">
      <text>
        <r>
          <rPr>
            <b/>
            <sz val="8"/>
            <color indexed="81"/>
            <rFont val="Tahoma"/>
            <family val="2"/>
          </rPr>
          <t>116295:</t>
        </r>
        <r>
          <rPr>
            <sz val="8"/>
            <color indexed="81"/>
            <rFont val="Tahoma"/>
            <family val="2"/>
          </rPr>
          <t xml:space="preserve">
Sunshine Industries
(580)226-1444
sunshineindustires.com</t>
        </r>
      </text>
    </comment>
    <comment ref="B2360" authorId="0">
      <text>
        <r>
          <rPr>
            <b/>
            <sz val="8"/>
            <color indexed="81"/>
            <rFont val="Tahoma"/>
            <family val="2"/>
          </rPr>
          <t>116295:</t>
        </r>
        <r>
          <rPr>
            <sz val="8"/>
            <color indexed="81"/>
            <rFont val="Tahoma"/>
            <family val="2"/>
          </rPr>
          <t xml:space="preserve">
Sunshine Industries
(580)226-1444
sunshineindustires.com</t>
        </r>
      </text>
    </comment>
    <comment ref="B2361" authorId="0">
      <text>
        <r>
          <rPr>
            <b/>
            <sz val="8"/>
            <color indexed="81"/>
            <rFont val="Tahoma"/>
            <family val="2"/>
          </rPr>
          <t>116295:</t>
        </r>
        <r>
          <rPr>
            <sz val="8"/>
            <color indexed="81"/>
            <rFont val="Tahoma"/>
            <family val="2"/>
          </rPr>
          <t xml:space="preserve">
Sunshine Industries
(580)226-1444
sunshineindustires.com</t>
        </r>
      </text>
    </comment>
    <comment ref="B2362" authorId="0">
      <text>
        <r>
          <rPr>
            <b/>
            <sz val="8"/>
            <color indexed="81"/>
            <rFont val="Tahoma"/>
            <family val="2"/>
          </rPr>
          <t>116295:</t>
        </r>
        <r>
          <rPr>
            <sz val="8"/>
            <color indexed="81"/>
            <rFont val="Tahoma"/>
            <family val="2"/>
          </rPr>
          <t xml:space="preserve">
Sunshine Industries
(580)226-1444
sunshineindustires.com</t>
        </r>
      </text>
    </comment>
    <comment ref="B2363" authorId="0">
      <text>
        <r>
          <rPr>
            <b/>
            <sz val="8"/>
            <color indexed="81"/>
            <rFont val="Tahoma"/>
            <family val="2"/>
          </rPr>
          <t>116295:</t>
        </r>
        <r>
          <rPr>
            <sz val="8"/>
            <color indexed="81"/>
            <rFont val="Tahoma"/>
            <family val="2"/>
          </rPr>
          <t xml:space="preserve">
Sunshine Industries
(580)226-1444
sunshineindustires.com</t>
        </r>
      </text>
    </comment>
    <comment ref="B2364" authorId="0">
      <text>
        <r>
          <rPr>
            <b/>
            <sz val="8"/>
            <color indexed="81"/>
            <rFont val="Tahoma"/>
            <family val="2"/>
          </rPr>
          <t>116295:</t>
        </r>
        <r>
          <rPr>
            <sz val="8"/>
            <color indexed="81"/>
            <rFont val="Tahoma"/>
            <family val="2"/>
          </rPr>
          <t xml:space="preserve">
Sunshine Industries
(580)226-1444
sunshineindustires.com</t>
        </r>
      </text>
    </comment>
    <comment ref="B2365" authorId="0">
      <text>
        <r>
          <rPr>
            <b/>
            <sz val="8"/>
            <color indexed="81"/>
            <rFont val="Tahoma"/>
            <family val="2"/>
          </rPr>
          <t>116295:</t>
        </r>
        <r>
          <rPr>
            <sz val="8"/>
            <color indexed="81"/>
            <rFont val="Tahoma"/>
            <family val="2"/>
          </rPr>
          <t xml:space="preserve">
Sunshine Industries
(580)226-1444
sunshineindustires.com</t>
        </r>
      </text>
    </comment>
    <comment ref="B2366" authorId="0">
      <text>
        <r>
          <rPr>
            <b/>
            <sz val="8"/>
            <color indexed="81"/>
            <rFont val="Tahoma"/>
            <family val="2"/>
          </rPr>
          <t>116295:</t>
        </r>
        <r>
          <rPr>
            <sz val="8"/>
            <color indexed="81"/>
            <rFont val="Tahoma"/>
            <family val="2"/>
          </rPr>
          <t xml:space="preserve">
Sunshine Industries
(580)226-1444
sunshineindustires.com</t>
        </r>
      </text>
    </comment>
    <comment ref="B2367" authorId="0">
      <text>
        <r>
          <rPr>
            <b/>
            <sz val="8"/>
            <color indexed="81"/>
            <rFont val="Tahoma"/>
            <family val="2"/>
          </rPr>
          <t>116295:</t>
        </r>
        <r>
          <rPr>
            <sz val="8"/>
            <color indexed="81"/>
            <rFont val="Tahoma"/>
            <family val="2"/>
          </rPr>
          <t xml:space="preserve">
Sunshine Industries
(580)226-1444
sunshineindustires.com</t>
        </r>
      </text>
    </comment>
    <comment ref="B2368" authorId="0">
      <text>
        <r>
          <rPr>
            <b/>
            <sz val="8"/>
            <color indexed="81"/>
            <rFont val="Tahoma"/>
            <family val="2"/>
          </rPr>
          <t>116295:</t>
        </r>
        <r>
          <rPr>
            <sz val="8"/>
            <color indexed="81"/>
            <rFont val="Tahoma"/>
            <family val="2"/>
          </rPr>
          <t xml:space="preserve">
Sunshine Industries
(580)226-1444
sunshineindustires.com</t>
        </r>
      </text>
    </comment>
    <comment ref="B2369" authorId="0">
      <text>
        <r>
          <rPr>
            <b/>
            <sz val="8"/>
            <color indexed="81"/>
            <rFont val="Tahoma"/>
            <family val="2"/>
          </rPr>
          <t>116295:</t>
        </r>
        <r>
          <rPr>
            <sz val="8"/>
            <color indexed="81"/>
            <rFont val="Tahoma"/>
            <family val="2"/>
          </rPr>
          <t xml:space="preserve">
Sunshine Industries
(580)226-1444
sunshineindustires.com</t>
        </r>
      </text>
    </comment>
    <comment ref="B2370" authorId="0">
      <text>
        <r>
          <rPr>
            <b/>
            <sz val="8"/>
            <color indexed="81"/>
            <rFont val="Tahoma"/>
            <family val="2"/>
          </rPr>
          <t>116295:</t>
        </r>
        <r>
          <rPr>
            <sz val="8"/>
            <color indexed="81"/>
            <rFont val="Tahoma"/>
            <family val="2"/>
          </rPr>
          <t xml:space="preserve">
Sunshine Industries
(580)226-1444
sunshineindustires.com</t>
        </r>
      </text>
    </comment>
    <comment ref="B2371" authorId="0">
      <text>
        <r>
          <rPr>
            <b/>
            <sz val="8"/>
            <color indexed="81"/>
            <rFont val="Tahoma"/>
            <family val="2"/>
          </rPr>
          <t>116295:</t>
        </r>
        <r>
          <rPr>
            <sz val="8"/>
            <color indexed="81"/>
            <rFont val="Tahoma"/>
            <family val="2"/>
          </rPr>
          <t xml:space="preserve">
Sunshine Industries
(580)226-1444
sunshineindustires.com</t>
        </r>
      </text>
    </comment>
    <comment ref="B2372" authorId="0">
      <text>
        <r>
          <rPr>
            <b/>
            <sz val="8"/>
            <color indexed="81"/>
            <rFont val="Tahoma"/>
            <family val="2"/>
          </rPr>
          <t>116295:</t>
        </r>
        <r>
          <rPr>
            <sz val="8"/>
            <color indexed="81"/>
            <rFont val="Tahoma"/>
            <family val="2"/>
          </rPr>
          <t xml:space="preserve">
Sunshine Industries
(580)226-1444
sunshineindustires.com</t>
        </r>
      </text>
    </comment>
    <comment ref="B2373" authorId="0">
      <text>
        <r>
          <rPr>
            <b/>
            <sz val="8"/>
            <color indexed="81"/>
            <rFont val="Tahoma"/>
            <family val="2"/>
          </rPr>
          <t>116295:</t>
        </r>
        <r>
          <rPr>
            <sz val="8"/>
            <color indexed="81"/>
            <rFont val="Tahoma"/>
            <family val="2"/>
          </rPr>
          <t xml:space="preserve">
Sunshine Industries
(580)226-1444
sunshineindustires.com</t>
        </r>
      </text>
    </comment>
    <comment ref="B2374" authorId="0">
      <text>
        <r>
          <rPr>
            <b/>
            <sz val="8"/>
            <color indexed="81"/>
            <rFont val="Tahoma"/>
            <family val="2"/>
          </rPr>
          <t>116295:</t>
        </r>
        <r>
          <rPr>
            <sz val="8"/>
            <color indexed="81"/>
            <rFont val="Tahoma"/>
            <family val="2"/>
          </rPr>
          <t xml:space="preserve">
Sunshine Industries
(580)226-1444
sunshineindustires.com</t>
        </r>
      </text>
    </comment>
    <comment ref="B2375" authorId="0">
      <text>
        <r>
          <rPr>
            <b/>
            <sz val="8"/>
            <color indexed="81"/>
            <rFont val="Tahoma"/>
            <family val="2"/>
          </rPr>
          <t>116295:</t>
        </r>
        <r>
          <rPr>
            <sz val="8"/>
            <color indexed="81"/>
            <rFont val="Tahoma"/>
            <family val="2"/>
          </rPr>
          <t xml:space="preserve">
Sunshine Industries
(580)226-1444
sunshineindustires.com</t>
        </r>
      </text>
    </comment>
    <comment ref="B2376" authorId="0">
      <text>
        <r>
          <rPr>
            <b/>
            <sz val="8"/>
            <color indexed="81"/>
            <rFont val="Tahoma"/>
            <family val="2"/>
          </rPr>
          <t>116295:</t>
        </r>
        <r>
          <rPr>
            <sz val="8"/>
            <color indexed="81"/>
            <rFont val="Tahoma"/>
            <family val="2"/>
          </rPr>
          <t xml:space="preserve">
Sunshine Industries
(580)226-1444
sunshineindustires.com</t>
        </r>
      </text>
    </comment>
    <comment ref="B2377" authorId="0">
      <text>
        <r>
          <rPr>
            <b/>
            <sz val="8"/>
            <color indexed="81"/>
            <rFont val="Tahoma"/>
            <family val="2"/>
          </rPr>
          <t>116295:</t>
        </r>
        <r>
          <rPr>
            <sz val="8"/>
            <color indexed="81"/>
            <rFont val="Tahoma"/>
            <family val="2"/>
          </rPr>
          <t xml:space="preserve">
Sunshine Industries
(580)226-1444
sunshineindustires.com</t>
        </r>
      </text>
    </comment>
    <comment ref="B2378" authorId="0">
      <text>
        <r>
          <rPr>
            <b/>
            <sz val="8"/>
            <color indexed="81"/>
            <rFont val="Tahoma"/>
            <family val="2"/>
          </rPr>
          <t>116295:</t>
        </r>
        <r>
          <rPr>
            <sz val="8"/>
            <color indexed="81"/>
            <rFont val="Tahoma"/>
            <family val="2"/>
          </rPr>
          <t xml:space="preserve">
Sunshine Industries
(580)226-1444
sunshineindustires.com</t>
        </r>
      </text>
    </comment>
    <comment ref="B2379" authorId="0">
      <text>
        <r>
          <rPr>
            <b/>
            <sz val="8"/>
            <color indexed="81"/>
            <rFont val="Tahoma"/>
            <family val="2"/>
          </rPr>
          <t>116295:</t>
        </r>
        <r>
          <rPr>
            <sz val="8"/>
            <color indexed="81"/>
            <rFont val="Tahoma"/>
            <family val="2"/>
          </rPr>
          <t xml:space="preserve">
Sunshine Industries
(580)226-1444
sunshineindustires.com</t>
        </r>
      </text>
    </comment>
    <comment ref="B2380" authorId="0">
      <text>
        <r>
          <rPr>
            <b/>
            <sz val="8"/>
            <color indexed="81"/>
            <rFont val="Tahoma"/>
            <family val="2"/>
          </rPr>
          <t>116295:</t>
        </r>
        <r>
          <rPr>
            <sz val="8"/>
            <color indexed="81"/>
            <rFont val="Tahoma"/>
            <family val="2"/>
          </rPr>
          <t xml:space="preserve">
Sunshine Industries
(580)226-1444
sunshineindustires.com</t>
        </r>
      </text>
    </comment>
    <comment ref="B2381" authorId="0">
      <text>
        <r>
          <rPr>
            <b/>
            <sz val="8"/>
            <color indexed="81"/>
            <rFont val="Tahoma"/>
            <family val="2"/>
          </rPr>
          <t>116295:</t>
        </r>
        <r>
          <rPr>
            <sz val="8"/>
            <color indexed="81"/>
            <rFont val="Tahoma"/>
            <family val="2"/>
          </rPr>
          <t xml:space="preserve">
Sunshine Industries
(580)226-1444
sunshineindustires.com</t>
        </r>
      </text>
    </comment>
    <comment ref="B2382" authorId="0">
      <text>
        <r>
          <rPr>
            <b/>
            <sz val="8"/>
            <color indexed="81"/>
            <rFont val="Tahoma"/>
            <family val="2"/>
          </rPr>
          <t>116295:</t>
        </r>
        <r>
          <rPr>
            <sz val="8"/>
            <color indexed="81"/>
            <rFont val="Tahoma"/>
            <family val="2"/>
          </rPr>
          <t xml:space="preserve">
Sunshine Industries
(580)226-1444
sunshineindustires.com</t>
        </r>
      </text>
    </comment>
    <comment ref="B2383" authorId="0">
      <text>
        <r>
          <rPr>
            <b/>
            <sz val="8"/>
            <color indexed="81"/>
            <rFont val="Tahoma"/>
            <family val="2"/>
          </rPr>
          <t>116295:</t>
        </r>
        <r>
          <rPr>
            <sz val="8"/>
            <color indexed="81"/>
            <rFont val="Tahoma"/>
            <family val="2"/>
          </rPr>
          <t xml:space="preserve">
Sunshine Industries
(580)226-1444
sunshineindustires.com</t>
        </r>
      </text>
    </comment>
    <comment ref="B2384" authorId="0">
      <text>
        <r>
          <rPr>
            <b/>
            <sz val="8"/>
            <color indexed="81"/>
            <rFont val="Tahoma"/>
            <family val="2"/>
          </rPr>
          <t>116295:</t>
        </r>
        <r>
          <rPr>
            <sz val="8"/>
            <color indexed="81"/>
            <rFont val="Tahoma"/>
            <family val="2"/>
          </rPr>
          <t xml:space="preserve">
Sunshine Industries
(580)226-1444
sunshineindustires.com</t>
        </r>
      </text>
    </comment>
    <comment ref="B2385" authorId="0">
      <text>
        <r>
          <rPr>
            <b/>
            <sz val="8"/>
            <color indexed="81"/>
            <rFont val="Tahoma"/>
            <family val="2"/>
          </rPr>
          <t>116295:</t>
        </r>
        <r>
          <rPr>
            <sz val="8"/>
            <color indexed="81"/>
            <rFont val="Tahoma"/>
            <family val="2"/>
          </rPr>
          <t xml:space="preserve">
Sunshine Industries
(580)226-1444
sunshineindustires.com</t>
        </r>
      </text>
    </comment>
    <comment ref="B2386" authorId="0">
      <text>
        <r>
          <rPr>
            <b/>
            <sz val="8"/>
            <color indexed="81"/>
            <rFont val="Tahoma"/>
            <family val="2"/>
          </rPr>
          <t>116295:</t>
        </r>
        <r>
          <rPr>
            <sz val="8"/>
            <color indexed="81"/>
            <rFont val="Tahoma"/>
            <family val="2"/>
          </rPr>
          <t xml:space="preserve">
Sunshine Industries
(580)226-1444
sunshineindustires.com</t>
        </r>
      </text>
    </comment>
    <comment ref="B2387" authorId="0">
      <text>
        <r>
          <rPr>
            <b/>
            <sz val="8"/>
            <color indexed="81"/>
            <rFont val="Tahoma"/>
            <family val="2"/>
          </rPr>
          <t>116295:</t>
        </r>
        <r>
          <rPr>
            <sz val="8"/>
            <color indexed="81"/>
            <rFont val="Tahoma"/>
            <family val="2"/>
          </rPr>
          <t xml:space="preserve">
Sunshine Industries
(580)226-1444
sunshineindustires.com</t>
        </r>
      </text>
    </comment>
    <comment ref="B2388" authorId="0">
      <text>
        <r>
          <rPr>
            <b/>
            <sz val="8"/>
            <color indexed="81"/>
            <rFont val="Tahoma"/>
            <family val="2"/>
          </rPr>
          <t>116295:</t>
        </r>
        <r>
          <rPr>
            <sz val="8"/>
            <color indexed="81"/>
            <rFont val="Tahoma"/>
            <family val="2"/>
          </rPr>
          <t xml:space="preserve">
Sunshine Industries
(580)226-1444
sunshineindustires.com</t>
        </r>
      </text>
    </comment>
    <comment ref="B2389" authorId="0">
      <text>
        <r>
          <rPr>
            <b/>
            <sz val="8"/>
            <color indexed="81"/>
            <rFont val="Tahoma"/>
            <family val="2"/>
          </rPr>
          <t>116295:</t>
        </r>
        <r>
          <rPr>
            <sz val="8"/>
            <color indexed="81"/>
            <rFont val="Tahoma"/>
            <family val="2"/>
          </rPr>
          <t xml:space="preserve">
Sunshine Industries
(580)226-1444
sunshineindustires.com</t>
        </r>
      </text>
    </comment>
    <comment ref="B2390" authorId="0">
      <text>
        <r>
          <rPr>
            <b/>
            <sz val="8"/>
            <color indexed="81"/>
            <rFont val="Tahoma"/>
            <family val="2"/>
          </rPr>
          <t>116295:</t>
        </r>
        <r>
          <rPr>
            <sz val="8"/>
            <color indexed="81"/>
            <rFont val="Tahoma"/>
            <family val="2"/>
          </rPr>
          <t xml:space="preserve">
Sunshine Industries
(580)226-1444
sunshineindustires.com</t>
        </r>
      </text>
    </comment>
    <comment ref="B2391" authorId="0">
      <text>
        <r>
          <rPr>
            <b/>
            <sz val="8"/>
            <color indexed="81"/>
            <rFont val="Tahoma"/>
            <family val="2"/>
          </rPr>
          <t>116295:</t>
        </r>
        <r>
          <rPr>
            <sz val="8"/>
            <color indexed="81"/>
            <rFont val="Tahoma"/>
            <family val="2"/>
          </rPr>
          <t xml:space="preserve">
Sunshine Industries
(580)226-1444
sunshineindustires.com</t>
        </r>
      </text>
    </comment>
    <comment ref="B2392" authorId="0">
      <text>
        <r>
          <rPr>
            <b/>
            <sz val="8"/>
            <color indexed="81"/>
            <rFont val="Tahoma"/>
            <family val="2"/>
          </rPr>
          <t>116295:</t>
        </r>
        <r>
          <rPr>
            <sz val="8"/>
            <color indexed="81"/>
            <rFont val="Tahoma"/>
            <family val="2"/>
          </rPr>
          <t xml:space="preserve">
Sunshine Industries
(580)226-1444
sunshineindustires.com</t>
        </r>
      </text>
    </comment>
    <comment ref="B2393" authorId="0">
      <text>
        <r>
          <rPr>
            <b/>
            <sz val="8"/>
            <color indexed="81"/>
            <rFont val="Tahoma"/>
            <family val="2"/>
          </rPr>
          <t>116295:</t>
        </r>
        <r>
          <rPr>
            <sz val="8"/>
            <color indexed="81"/>
            <rFont val="Tahoma"/>
            <family val="2"/>
          </rPr>
          <t xml:space="preserve">
Sunshine Industries
(580)226-1444
sunshineindustires.com</t>
        </r>
      </text>
    </comment>
    <comment ref="B2394" authorId="0">
      <text>
        <r>
          <rPr>
            <b/>
            <sz val="8"/>
            <color indexed="81"/>
            <rFont val="Tahoma"/>
            <family val="2"/>
          </rPr>
          <t>116295:</t>
        </r>
        <r>
          <rPr>
            <sz val="8"/>
            <color indexed="81"/>
            <rFont val="Tahoma"/>
            <family val="2"/>
          </rPr>
          <t xml:space="preserve">
Sunshine Industries
(580)226-1444
sunshineindustires.com</t>
        </r>
      </text>
    </comment>
    <comment ref="B2395" authorId="0">
      <text>
        <r>
          <rPr>
            <b/>
            <sz val="8"/>
            <color indexed="81"/>
            <rFont val="Tahoma"/>
            <family val="2"/>
          </rPr>
          <t>116295:</t>
        </r>
        <r>
          <rPr>
            <sz val="8"/>
            <color indexed="81"/>
            <rFont val="Tahoma"/>
            <family val="2"/>
          </rPr>
          <t xml:space="preserve">
Sunshine Industries
(580)226-1444
sunshineindustires.com</t>
        </r>
      </text>
    </comment>
    <comment ref="B2396" authorId="0">
      <text>
        <r>
          <rPr>
            <b/>
            <sz val="8"/>
            <color indexed="81"/>
            <rFont val="Tahoma"/>
            <family val="2"/>
          </rPr>
          <t>116295:</t>
        </r>
        <r>
          <rPr>
            <sz val="8"/>
            <color indexed="81"/>
            <rFont val="Tahoma"/>
            <family val="2"/>
          </rPr>
          <t xml:space="preserve">
Sunshine Industries
(580)226-1444
sunshineindustires.com</t>
        </r>
      </text>
    </comment>
    <comment ref="B2397" authorId="0">
      <text>
        <r>
          <rPr>
            <b/>
            <sz val="8"/>
            <color indexed="81"/>
            <rFont val="Tahoma"/>
            <family val="2"/>
          </rPr>
          <t>116295:</t>
        </r>
        <r>
          <rPr>
            <sz val="8"/>
            <color indexed="81"/>
            <rFont val="Tahoma"/>
            <family val="2"/>
          </rPr>
          <t xml:space="preserve">
Sunshine Industries
(580)226-1444
sunshineindustires.com</t>
        </r>
      </text>
    </comment>
    <comment ref="B2398" authorId="0">
      <text>
        <r>
          <rPr>
            <b/>
            <sz val="8"/>
            <color indexed="81"/>
            <rFont val="Tahoma"/>
            <family val="2"/>
          </rPr>
          <t>116295:</t>
        </r>
        <r>
          <rPr>
            <sz val="8"/>
            <color indexed="81"/>
            <rFont val="Tahoma"/>
            <family val="2"/>
          </rPr>
          <t xml:space="preserve">
Sunshine Industries
(580)226-1444
sunshineindustires.com</t>
        </r>
      </text>
    </comment>
    <comment ref="B2399" authorId="0">
      <text>
        <r>
          <rPr>
            <b/>
            <sz val="8"/>
            <color indexed="81"/>
            <rFont val="Tahoma"/>
            <family val="2"/>
          </rPr>
          <t>116295:</t>
        </r>
        <r>
          <rPr>
            <sz val="8"/>
            <color indexed="81"/>
            <rFont val="Tahoma"/>
            <family val="2"/>
          </rPr>
          <t xml:space="preserve">
Sunshine Industries
(580)226-1444
sunshineindustires.com</t>
        </r>
      </text>
    </comment>
    <comment ref="B2400" authorId="0">
      <text>
        <r>
          <rPr>
            <b/>
            <sz val="8"/>
            <color indexed="81"/>
            <rFont val="Tahoma"/>
            <family val="2"/>
          </rPr>
          <t>116295:</t>
        </r>
        <r>
          <rPr>
            <sz val="8"/>
            <color indexed="81"/>
            <rFont val="Tahoma"/>
            <family val="2"/>
          </rPr>
          <t xml:space="preserve">
Sunshine Industries
(580)226-1444
sunshineindustires.com</t>
        </r>
      </text>
    </comment>
    <comment ref="B2401" authorId="0">
      <text>
        <r>
          <rPr>
            <b/>
            <sz val="8"/>
            <color indexed="81"/>
            <rFont val="Tahoma"/>
            <family val="2"/>
          </rPr>
          <t>116295:</t>
        </r>
        <r>
          <rPr>
            <sz val="8"/>
            <color indexed="81"/>
            <rFont val="Tahoma"/>
            <family val="2"/>
          </rPr>
          <t xml:space="preserve">
Sunshine Industries
(580)226-1444
sunshineindustires.com</t>
        </r>
      </text>
    </comment>
    <comment ref="B2402" authorId="0">
      <text>
        <r>
          <rPr>
            <b/>
            <sz val="8"/>
            <color indexed="81"/>
            <rFont val="Tahoma"/>
            <family val="2"/>
          </rPr>
          <t>116295:</t>
        </r>
        <r>
          <rPr>
            <sz val="8"/>
            <color indexed="81"/>
            <rFont val="Tahoma"/>
            <family val="2"/>
          </rPr>
          <t xml:space="preserve">
Sunshine Industries
(580)226-1444
sunshineindustires.com</t>
        </r>
      </text>
    </comment>
    <comment ref="B2403" authorId="0">
      <text>
        <r>
          <rPr>
            <b/>
            <sz val="8"/>
            <color indexed="81"/>
            <rFont val="Tahoma"/>
            <family val="2"/>
          </rPr>
          <t>116295:</t>
        </r>
        <r>
          <rPr>
            <sz val="8"/>
            <color indexed="81"/>
            <rFont val="Tahoma"/>
            <family val="2"/>
          </rPr>
          <t xml:space="preserve">
Sunshine Industries
(580)226-1444
sunshineindustires.com</t>
        </r>
      </text>
    </comment>
    <comment ref="B2404" authorId="0">
      <text>
        <r>
          <rPr>
            <b/>
            <sz val="8"/>
            <color indexed="81"/>
            <rFont val="Tahoma"/>
            <family val="2"/>
          </rPr>
          <t>116295:</t>
        </r>
        <r>
          <rPr>
            <sz val="8"/>
            <color indexed="81"/>
            <rFont val="Tahoma"/>
            <family val="2"/>
          </rPr>
          <t xml:space="preserve">
Sunshine Industries
(580)226-1444
sunshineindustires.com</t>
        </r>
      </text>
    </comment>
    <comment ref="B2405" authorId="0">
      <text>
        <r>
          <rPr>
            <b/>
            <sz val="8"/>
            <color indexed="81"/>
            <rFont val="Tahoma"/>
            <family val="2"/>
          </rPr>
          <t>116295:</t>
        </r>
        <r>
          <rPr>
            <sz val="8"/>
            <color indexed="81"/>
            <rFont val="Tahoma"/>
            <family val="2"/>
          </rPr>
          <t xml:space="preserve">
Sunshine Industries
(580)226-1444
sunshineindustires.com</t>
        </r>
      </text>
    </comment>
    <comment ref="B2406" authorId="0">
      <text>
        <r>
          <rPr>
            <b/>
            <sz val="8"/>
            <color indexed="81"/>
            <rFont val="Tahoma"/>
            <family val="2"/>
          </rPr>
          <t>116295:</t>
        </r>
        <r>
          <rPr>
            <sz val="8"/>
            <color indexed="81"/>
            <rFont val="Tahoma"/>
            <family val="2"/>
          </rPr>
          <t xml:space="preserve">
Sunshine Industries
(580)226-1444
sunshineindustires.com</t>
        </r>
      </text>
    </comment>
    <comment ref="B2407" authorId="0">
      <text>
        <r>
          <rPr>
            <b/>
            <sz val="8"/>
            <color indexed="81"/>
            <rFont val="Tahoma"/>
            <family val="2"/>
          </rPr>
          <t>116295:</t>
        </r>
        <r>
          <rPr>
            <sz val="8"/>
            <color indexed="81"/>
            <rFont val="Tahoma"/>
            <family val="2"/>
          </rPr>
          <t xml:space="preserve">
Sunshine Industries
(580)226-1444
sunshineindustires.com</t>
        </r>
      </text>
    </comment>
    <comment ref="B2408" authorId="0">
      <text>
        <r>
          <rPr>
            <b/>
            <sz val="8"/>
            <color indexed="81"/>
            <rFont val="Tahoma"/>
            <family val="2"/>
          </rPr>
          <t>116295:</t>
        </r>
        <r>
          <rPr>
            <sz val="8"/>
            <color indexed="81"/>
            <rFont val="Tahoma"/>
            <family val="2"/>
          </rPr>
          <t xml:space="preserve">
Sunshine Industries
(580)226-1444
sunshineindustires.com</t>
        </r>
      </text>
    </comment>
    <comment ref="B2409" authorId="0">
      <text>
        <r>
          <rPr>
            <b/>
            <sz val="8"/>
            <color indexed="81"/>
            <rFont val="Tahoma"/>
            <family val="2"/>
          </rPr>
          <t>116295:</t>
        </r>
        <r>
          <rPr>
            <sz val="8"/>
            <color indexed="81"/>
            <rFont val="Tahoma"/>
            <family val="2"/>
          </rPr>
          <t xml:space="preserve">
Sunshine Industries
(580)226-1444
sunshineindustires.com</t>
        </r>
      </text>
    </comment>
    <comment ref="B2410" authorId="0">
      <text>
        <r>
          <rPr>
            <b/>
            <sz val="8"/>
            <color indexed="81"/>
            <rFont val="Tahoma"/>
            <family val="2"/>
          </rPr>
          <t>116295:</t>
        </r>
        <r>
          <rPr>
            <sz val="8"/>
            <color indexed="81"/>
            <rFont val="Tahoma"/>
            <family val="2"/>
          </rPr>
          <t xml:space="preserve">
Sunshine Industries
(580)226-1444
sunshineindustires.com</t>
        </r>
      </text>
    </comment>
    <comment ref="B2411" authorId="0">
      <text>
        <r>
          <rPr>
            <b/>
            <sz val="8"/>
            <color indexed="81"/>
            <rFont val="Tahoma"/>
            <family val="2"/>
          </rPr>
          <t>116295:</t>
        </r>
        <r>
          <rPr>
            <sz val="8"/>
            <color indexed="81"/>
            <rFont val="Tahoma"/>
            <family val="2"/>
          </rPr>
          <t xml:space="preserve">
Sunshine Industries
(580)226-1444
sunshineindustires.com</t>
        </r>
      </text>
    </comment>
    <comment ref="B2412" authorId="0">
      <text>
        <r>
          <rPr>
            <b/>
            <sz val="8"/>
            <color indexed="81"/>
            <rFont val="Tahoma"/>
            <family val="2"/>
          </rPr>
          <t>116295:</t>
        </r>
        <r>
          <rPr>
            <sz val="8"/>
            <color indexed="81"/>
            <rFont val="Tahoma"/>
            <family val="2"/>
          </rPr>
          <t xml:space="preserve">
Sunshine Industries
(580)226-1444
sunshineindustires.com</t>
        </r>
      </text>
    </comment>
    <comment ref="B2413" authorId="0">
      <text>
        <r>
          <rPr>
            <b/>
            <sz val="8"/>
            <color indexed="81"/>
            <rFont val="Tahoma"/>
            <family val="2"/>
          </rPr>
          <t>116295:</t>
        </r>
        <r>
          <rPr>
            <sz val="8"/>
            <color indexed="81"/>
            <rFont val="Tahoma"/>
            <family val="2"/>
          </rPr>
          <t xml:space="preserve">
Sunshine Industries
(580)226-1444
sunshineindustires.com</t>
        </r>
      </text>
    </comment>
    <comment ref="B2414" authorId="0">
      <text>
        <r>
          <rPr>
            <b/>
            <sz val="8"/>
            <color indexed="81"/>
            <rFont val="Tahoma"/>
            <family val="2"/>
          </rPr>
          <t>116295:</t>
        </r>
        <r>
          <rPr>
            <sz val="8"/>
            <color indexed="81"/>
            <rFont val="Tahoma"/>
            <family val="2"/>
          </rPr>
          <t xml:space="preserve">
Sunshine Industries
(580)226-1444
sunshineindustires.com</t>
        </r>
      </text>
    </comment>
    <comment ref="B2415" authorId="0">
      <text>
        <r>
          <rPr>
            <b/>
            <sz val="8"/>
            <color indexed="81"/>
            <rFont val="Tahoma"/>
            <family val="2"/>
          </rPr>
          <t>116295:</t>
        </r>
        <r>
          <rPr>
            <sz val="8"/>
            <color indexed="81"/>
            <rFont val="Tahoma"/>
            <family val="2"/>
          </rPr>
          <t xml:space="preserve">
Sunshine Industries
(580)226-1444
sunshineindustires.com</t>
        </r>
      </text>
    </comment>
    <comment ref="B2416" authorId="0">
      <text>
        <r>
          <rPr>
            <b/>
            <sz val="8"/>
            <color indexed="81"/>
            <rFont val="Tahoma"/>
            <family val="2"/>
          </rPr>
          <t>116295:</t>
        </r>
        <r>
          <rPr>
            <sz val="8"/>
            <color indexed="81"/>
            <rFont val="Tahoma"/>
            <family val="2"/>
          </rPr>
          <t xml:space="preserve">
Sunshine Industries
(580)226-1444
sunshineindustires.com</t>
        </r>
      </text>
    </comment>
    <comment ref="B2417" authorId="0">
      <text>
        <r>
          <rPr>
            <b/>
            <sz val="8"/>
            <color indexed="81"/>
            <rFont val="Tahoma"/>
            <family val="2"/>
          </rPr>
          <t>116295:</t>
        </r>
        <r>
          <rPr>
            <sz val="8"/>
            <color indexed="81"/>
            <rFont val="Tahoma"/>
            <family val="2"/>
          </rPr>
          <t xml:space="preserve">
Sunshine Industries
(580)226-1444
sunshineindustires.com</t>
        </r>
      </text>
    </comment>
    <comment ref="B2418" authorId="0">
      <text>
        <r>
          <rPr>
            <b/>
            <sz val="8"/>
            <color indexed="81"/>
            <rFont val="Tahoma"/>
            <family val="2"/>
          </rPr>
          <t>116295:</t>
        </r>
        <r>
          <rPr>
            <sz val="8"/>
            <color indexed="81"/>
            <rFont val="Tahoma"/>
            <family val="2"/>
          </rPr>
          <t xml:space="preserve">
Sunshine Industries
(580)226-1444
sunshineindustires.com</t>
        </r>
      </text>
    </comment>
    <comment ref="B2419" authorId="0">
      <text>
        <r>
          <rPr>
            <b/>
            <sz val="8"/>
            <color indexed="81"/>
            <rFont val="Tahoma"/>
            <family val="2"/>
          </rPr>
          <t>116295:</t>
        </r>
        <r>
          <rPr>
            <sz val="8"/>
            <color indexed="81"/>
            <rFont val="Tahoma"/>
            <family val="2"/>
          </rPr>
          <t xml:space="preserve">
Sunshine Industries
(580)226-1444
sunshineindustires.com</t>
        </r>
      </text>
    </comment>
    <comment ref="B2420" authorId="0">
      <text>
        <r>
          <rPr>
            <b/>
            <sz val="8"/>
            <color indexed="81"/>
            <rFont val="Tahoma"/>
            <family val="2"/>
          </rPr>
          <t>116295:</t>
        </r>
        <r>
          <rPr>
            <sz val="8"/>
            <color indexed="81"/>
            <rFont val="Tahoma"/>
            <family val="2"/>
          </rPr>
          <t xml:space="preserve">
Sunshine Industries
(580)226-1444
sunshineindustires.com</t>
        </r>
      </text>
    </comment>
    <comment ref="B2421" authorId="0">
      <text>
        <r>
          <rPr>
            <b/>
            <sz val="8"/>
            <color indexed="81"/>
            <rFont val="Tahoma"/>
            <family val="2"/>
          </rPr>
          <t>116295:</t>
        </r>
        <r>
          <rPr>
            <sz val="8"/>
            <color indexed="81"/>
            <rFont val="Tahoma"/>
            <family val="2"/>
          </rPr>
          <t xml:space="preserve">
Sunshine Industries
(580)226-1444
sunshineindustires.com</t>
        </r>
      </text>
    </comment>
    <comment ref="B2422" authorId="0">
      <text>
        <r>
          <rPr>
            <b/>
            <sz val="8"/>
            <color indexed="81"/>
            <rFont val="Tahoma"/>
            <family val="2"/>
          </rPr>
          <t>116295:</t>
        </r>
        <r>
          <rPr>
            <sz val="8"/>
            <color indexed="81"/>
            <rFont val="Tahoma"/>
            <family val="2"/>
          </rPr>
          <t xml:space="preserve">
Sunshine Industries
(580)226-1444
sunshineindustires.com</t>
        </r>
      </text>
    </comment>
    <comment ref="B2423" authorId="0">
      <text>
        <r>
          <rPr>
            <b/>
            <sz val="8"/>
            <color indexed="81"/>
            <rFont val="Tahoma"/>
            <family val="2"/>
          </rPr>
          <t>116295:</t>
        </r>
        <r>
          <rPr>
            <sz val="8"/>
            <color indexed="81"/>
            <rFont val="Tahoma"/>
            <family val="2"/>
          </rPr>
          <t xml:space="preserve">
Sunshine Industries
(580)226-1444
sunshineindustires.com</t>
        </r>
      </text>
    </comment>
    <comment ref="B2424" authorId="0">
      <text>
        <r>
          <rPr>
            <b/>
            <sz val="8"/>
            <color indexed="81"/>
            <rFont val="Tahoma"/>
            <family val="2"/>
          </rPr>
          <t>116295:</t>
        </r>
        <r>
          <rPr>
            <sz val="8"/>
            <color indexed="81"/>
            <rFont val="Tahoma"/>
            <family val="2"/>
          </rPr>
          <t xml:space="preserve">
Sunshine Industries
(580)226-1444
sunshineindustires.com</t>
        </r>
      </text>
    </comment>
    <comment ref="B2425" authorId="0">
      <text>
        <r>
          <rPr>
            <b/>
            <sz val="8"/>
            <color indexed="81"/>
            <rFont val="Tahoma"/>
            <family val="2"/>
          </rPr>
          <t>116295:</t>
        </r>
        <r>
          <rPr>
            <sz val="8"/>
            <color indexed="81"/>
            <rFont val="Tahoma"/>
            <family val="2"/>
          </rPr>
          <t xml:space="preserve">
Sunshine Industries
(580)226-1444
sunshineindustires.com</t>
        </r>
      </text>
    </comment>
    <comment ref="B2426" authorId="0">
      <text>
        <r>
          <rPr>
            <b/>
            <sz val="8"/>
            <color indexed="81"/>
            <rFont val="Tahoma"/>
            <family val="2"/>
          </rPr>
          <t>116295:</t>
        </r>
        <r>
          <rPr>
            <sz val="8"/>
            <color indexed="81"/>
            <rFont val="Tahoma"/>
            <family val="2"/>
          </rPr>
          <t xml:space="preserve">
Sunshine Industries
(580)226-1444
sunshineindustires.com</t>
        </r>
      </text>
    </comment>
    <comment ref="B2427" authorId="0">
      <text>
        <r>
          <rPr>
            <b/>
            <sz val="8"/>
            <color indexed="81"/>
            <rFont val="Tahoma"/>
            <family val="2"/>
          </rPr>
          <t>116295:</t>
        </r>
        <r>
          <rPr>
            <sz val="8"/>
            <color indexed="81"/>
            <rFont val="Tahoma"/>
            <family val="2"/>
          </rPr>
          <t xml:space="preserve">
Sunshine Industries
(580)226-1444
sunshineindustires.com</t>
        </r>
      </text>
    </comment>
    <comment ref="B2428" authorId="0">
      <text>
        <r>
          <rPr>
            <b/>
            <sz val="8"/>
            <color indexed="81"/>
            <rFont val="Tahoma"/>
            <family val="2"/>
          </rPr>
          <t>116295:</t>
        </r>
        <r>
          <rPr>
            <sz val="8"/>
            <color indexed="81"/>
            <rFont val="Tahoma"/>
            <family val="2"/>
          </rPr>
          <t xml:space="preserve">
Sunshine Industries
(580)226-1444
sunshineindustires.com</t>
        </r>
      </text>
    </comment>
    <comment ref="B2429" authorId="0">
      <text>
        <r>
          <rPr>
            <b/>
            <sz val="8"/>
            <color indexed="81"/>
            <rFont val="Tahoma"/>
            <family val="2"/>
          </rPr>
          <t>116295:</t>
        </r>
        <r>
          <rPr>
            <sz val="8"/>
            <color indexed="81"/>
            <rFont val="Tahoma"/>
            <family val="2"/>
          </rPr>
          <t xml:space="preserve">
Sunshine Industries
(580)226-1444
sunshineindustires.com</t>
        </r>
      </text>
    </comment>
    <comment ref="B2430" authorId="0">
      <text>
        <r>
          <rPr>
            <b/>
            <sz val="8"/>
            <color indexed="81"/>
            <rFont val="Tahoma"/>
            <family val="2"/>
          </rPr>
          <t>116295:</t>
        </r>
        <r>
          <rPr>
            <sz val="8"/>
            <color indexed="81"/>
            <rFont val="Tahoma"/>
            <family val="2"/>
          </rPr>
          <t xml:space="preserve">
Sunshine Industries
(580)226-1444
sunshineindustires.com</t>
        </r>
      </text>
    </comment>
    <comment ref="B2431" authorId="0">
      <text>
        <r>
          <rPr>
            <b/>
            <sz val="8"/>
            <color indexed="81"/>
            <rFont val="Tahoma"/>
            <family val="2"/>
          </rPr>
          <t>116295:</t>
        </r>
        <r>
          <rPr>
            <sz val="8"/>
            <color indexed="81"/>
            <rFont val="Tahoma"/>
            <family val="2"/>
          </rPr>
          <t xml:space="preserve">
Sunshine Industries
(580)226-1444
sunshineindustires.com</t>
        </r>
      </text>
    </comment>
    <comment ref="B2432" authorId="0">
      <text>
        <r>
          <rPr>
            <b/>
            <sz val="8"/>
            <color indexed="81"/>
            <rFont val="Tahoma"/>
            <family val="2"/>
          </rPr>
          <t>116295:</t>
        </r>
        <r>
          <rPr>
            <sz val="8"/>
            <color indexed="81"/>
            <rFont val="Tahoma"/>
            <family val="2"/>
          </rPr>
          <t xml:space="preserve">
Sunshine Industries
(580)226-1444
sunshineindustires.com</t>
        </r>
      </text>
    </comment>
    <comment ref="B2433" authorId="0">
      <text>
        <r>
          <rPr>
            <b/>
            <sz val="8"/>
            <color indexed="81"/>
            <rFont val="Tahoma"/>
            <family val="2"/>
          </rPr>
          <t>116295:</t>
        </r>
        <r>
          <rPr>
            <sz val="8"/>
            <color indexed="81"/>
            <rFont val="Tahoma"/>
            <family val="2"/>
          </rPr>
          <t xml:space="preserve">
Sunshine Industries
(580)226-1444
sunshineindustires.com</t>
        </r>
      </text>
    </comment>
    <comment ref="B2434" authorId="0">
      <text>
        <r>
          <rPr>
            <b/>
            <sz val="8"/>
            <color indexed="81"/>
            <rFont val="Tahoma"/>
            <family val="2"/>
          </rPr>
          <t>116295:</t>
        </r>
        <r>
          <rPr>
            <sz val="8"/>
            <color indexed="81"/>
            <rFont val="Tahoma"/>
            <family val="2"/>
          </rPr>
          <t xml:space="preserve">
Sunshine Industries
(580)226-1444
sunshineindustires.com</t>
        </r>
      </text>
    </comment>
    <comment ref="B2435" authorId="0">
      <text>
        <r>
          <rPr>
            <b/>
            <sz val="8"/>
            <color indexed="81"/>
            <rFont val="Tahoma"/>
            <family val="2"/>
          </rPr>
          <t>116295:</t>
        </r>
        <r>
          <rPr>
            <sz val="8"/>
            <color indexed="81"/>
            <rFont val="Tahoma"/>
            <family val="2"/>
          </rPr>
          <t xml:space="preserve">
Sunshine Industries
(580)226-1444
sunshineindustires.com</t>
        </r>
      </text>
    </comment>
    <comment ref="B2436" authorId="0">
      <text>
        <r>
          <rPr>
            <b/>
            <sz val="8"/>
            <color indexed="81"/>
            <rFont val="Tahoma"/>
            <family val="2"/>
          </rPr>
          <t>116295:</t>
        </r>
        <r>
          <rPr>
            <sz val="8"/>
            <color indexed="81"/>
            <rFont val="Tahoma"/>
            <family val="2"/>
          </rPr>
          <t xml:space="preserve">
Sunshine Industries
(580)226-1444
sunshineindustires.com</t>
        </r>
      </text>
    </comment>
    <comment ref="B2437" authorId="0">
      <text>
        <r>
          <rPr>
            <b/>
            <sz val="8"/>
            <color indexed="81"/>
            <rFont val="Tahoma"/>
            <family val="2"/>
          </rPr>
          <t>116295:</t>
        </r>
        <r>
          <rPr>
            <sz val="8"/>
            <color indexed="81"/>
            <rFont val="Tahoma"/>
            <family val="2"/>
          </rPr>
          <t xml:space="preserve">
Sunshine Industries
(580)226-1444
sunshineindustires.com</t>
        </r>
      </text>
    </comment>
    <comment ref="B2438" authorId="0">
      <text>
        <r>
          <rPr>
            <b/>
            <sz val="8"/>
            <color indexed="81"/>
            <rFont val="Tahoma"/>
            <family val="2"/>
          </rPr>
          <t>116295:</t>
        </r>
        <r>
          <rPr>
            <sz val="8"/>
            <color indexed="81"/>
            <rFont val="Tahoma"/>
            <family val="2"/>
          </rPr>
          <t xml:space="preserve">
Sunshine Industries
(580)226-1444
sunshineindustires.com</t>
        </r>
      </text>
    </comment>
    <comment ref="B2439" authorId="0">
      <text>
        <r>
          <rPr>
            <b/>
            <sz val="8"/>
            <color indexed="81"/>
            <rFont val="Tahoma"/>
            <family val="2"/>
          </rPr>
          <t>116295:</t>
        </r>
        <r>
          <rPr>
            <sz val="8"/>
            <color indexed="81"/>
            <rFont val="Tahoma"/>
            <family val="2"/>
          </rPr>
          <t xml:space="preserve">
Sunshine Industries
(580)226-1444
sunshineindustires.com</t>
        </r>
      </text>
    </comment>
    <comment ref="B2440" authorId="0">
      <text>
        <r>
          <rPr>
            <b/>
            <sz val="8"/>
            <color indexed="81"/>
            <rFont val="Tahoma"/>
            <family val="2"/>
          </rPr>
          <t>116295:</t>
        </r>
        <r>
          <rPr>
            <sz val="8"/>
            <color indexed="81"/>
            <rFont val="Tahoma"/>
            <family val="2"/>
          </rPr>
          <t xml:space="preserve">
Sunshine Industries
(580)226-1444
sunshineindustires.com</t>
        </r>
      </text>
    </comment>
    <comment ref="B2441" authorId="0">
      <text>
        <r>
          <rPr>
            <b/>
            <sz val="8"/>
            <color indexed="81"/>
            <rFont val="Tahoma"/>
            <family val="2"/>
          </rPr>
          <t>116295:</t>
        </r>
        <r>
          <rPr>
            <sz val="8"/>
            <color indexed="81"/>
            <rFont val="Tahoma"/>
            <family val="2"/>
          </rPr>
          <t xml:space="preserve">
Sunshine Industries
(580)226-1444
sunshineindustires.com</t>
        </r>
      </text>
    </comment>
    <comment ref="B2442" authorId="0">
      <text>
        <r>
          <rPr>
            <b/>
            <sz val="8"/>
            <color indexed="81"/>
            <rFont val="Tahoma"/>
            <family val="2"/>
          </rPr>
          <t>116295:</t>
        </r>
        <r>
          <rPr>
            <sz val="8"/>
            <color indexed="81"/>
            <rFont val="Tahoma"/>
            <family val="2"/>
          </rPr>
          <t xml:space="preserve">
Sunshine Industries
(580)226-1444
sunshineindustires.com</t>
        </r>
      </text>
    </comment>
    <comment ref="B2443" authorId="0">
      <text>
        <r>
          <rPr>
            <b/>
            <sz val="8"/>
            <color indexed="81"/>
            <rFont val="Tahoma"/>
            <family val="2"/>
          </rPr>
          <t>116295:</t>
        </r>
        <r>
          <rPr>
            <sz val="8"/>
            <color indexed="81"/>
            <rFont val="Tahoma"/>
            <family val="2"/>
          </rPr>
          <t xml:space="preserve">
Sunshine Industries
(580)226-1444
sunshineindustires.com</t>
        </r>
      </text>
    </comment>
    <comment ref="B2444" authorId="0">
      <text>
        <r>
          <rPr>
            <b/>
            <sz val="8"/>
            <color indexed="81"/>
            <rFont val="Tahoma"/>
            <family val="2"/>
          </rPr>
          <t>116295:</t>
        </r>
        <r>
          <rPr>
            <sz val="8"/>
            <color indexed="81"/>
            <rFont val="Tahoma"/>
            <family val="2"/>
          </rPr>
          <t xml:space="preserve">
Sunshine Industries
(580)226-1444
sunshineindustires.com</t>
        </r>
      </text>
    </comment>
    <comment ref="B2445" authorId="0">
      <text>
        <r>
          <rPr>
            <b/>
            <sz val="8"/>
            <color indexed="81"/>
            <rFont val="Tahoma"/>
            <family val="2"/>
          </rPr>
          <t>116295:</t>
        </r>
        <r>
          <rPr>
            <sz val="8"/>
            <color indexed="81"/>
            <rFont val="Tahoma"/>
            <family val="2"/>
          </rPr>
          <t xml:space="preserve">
Sunshine Industries
(580)226-1444
sunshineindustires.com</t>
        </r>
      </text>
    </comment>
    <comment ref="B2446" authorId="0">
      <text>
        <r>
          <rPr>
            <b/>
            <sz val="8"/>
            <color indexed="81"/>
            <rFont val="Tahoma"/>
            <family val="2"/>
          </rPr>
          <t>116295:</t>
        </r>
        <r>
          <rPr>
            <sz val="8"/>
            <color indexed="81"/>
            <rFont val="Tahoma"/>
            <family val="2"/>
          </rPr>
          <t xml:space="preserve">
Sunshine Industries
(580)226-1444
sunshineindustires.com</t>
        </r>
      </text>
    </comment>
    <comment ref="B2447" authorId="0">
      <text>
        <r>
          <rPr>
            <b/>
            <sz val="8"/>
            <color indexed="81"/>
            <rFont val="Tahoma"/>
            <family val="2"/>
          </rPr>
          <t>116295:</t>
        </r>
        <r>
          <rPr>
            <sz val="8"/>
            <color indexed="81"/>
            <rFont val="Tahoma"/>
            <family val="2"/>
          </rPr>
          <t xml:space="preserve">
Sunshine Industries
(580)226-1444
sunshineindustires.com</t>
        </r>
      </text>
    </comment>
    <comment ref="B2448" authorId="0">
      <text>
        <r>
          <rPr>
            <b/>
            <sz val="8"/>
            <color indexed="81"/>
            <rFont val="Tahoma"/>
            <family val="2"/>
          </rPr>
          <t>116295:</t>
        </r>
        <r>
          <rPr>
            <sz val="8"/>
            <color indexed="81"/>
            <rFont val="Tahoma"/>
            <family val="2"/>
          </rPr>
          <t xml:space="preserve">
Sunshine Industries
(580)226-1444
sunshineindustires.com</t>
        </r>
      </text>
    </comment>
    <comment ref="B2449" authorId="0">
      <text>
        <r>
          <rPr>
            <b/>
            <sz val="8"/>
            <color indexed="81"/>
            <rFont val="Tahoma"/>
            <family val="2"/>
          </rPr>
          <t>116295:</t>
        </r>
        <r>
          <rPr>
            <sz val="8"/>
            <color indexed="81"/>
            <rFont val="Tahoma"/>
            <family val="2"/>
          </rPr>
          <t xml:space="preserve">
Sunshine Industries
(580)226-1444
sunshineindustires.com</t>
        </r>
      </text>
    </comment>
    <comment ref="B2450" authorId="0">
      <text>
        <r>
          <rPr>
            <b/>
            <sz val="8"/>
            <color indexed="81"/>
            <rFont val="Tahoma"/>
            <family val="2"/>
          </rPr>
          <t>116295:</t>
        </r>
        <r>
          <rPr>
            <sz val="8"/>
            <color indexed="81"/>
            <rFont val="Tahoma"/>
            <family val="2"/>
          </rPr>
          <t xml:space="preserve">
Sunshine Industries
(580)226-1444
sunshineindustires.com</t>
        </r>
      </text>
    </comment>
    <comment ref="B2451" authorId="0">
      <text>
        <r>
          <rPr>
            <b/>
            <sz val="8"/>
            <color indexed="81"/>
            <rFont val="Tahoma"/>
            <family val="2"/>
          </rPr>
          <t>116295:</t>
        </r>
        <r>
          <rPr>
            <sz val="8"/>
            <color indexed="81"/>
            <rFont val="Tahoma"/>
            <family val="2"/>
          </rPr>
          <t xml:space="preserve">
Sunshine Industries
(580)226-1444
sunshineindustires.com</t>
        </r>
      </text>
    </comment>
    <comment ref="B2452" authorId="0">
      <text>
        <r>
          <rPr>
            <b/>
            <sz val="8"/>
            <color indexed="81"/>
            <rFont val="Tahoma"/>
            <family val="2"/>
          </rPr>
          <t>116295:</t>
        </r>
        <r>
          <rPr>
            <sz val="8"/>
            <color indexed="81"/>
            <rFont val="Tahoma"/>
            <family val="2"/>
          </rPr>
          <t xml:space="preserve">
Sunshine Industries
(580)226-1444
sunshineindustires.com</t>
        </r>
      </text>
    </comment>
    <comment ref="B2453" authorId="0">
      <text>
        <r>
          <rPr>
            <b/>
            <sz val="8"/>
            <color indexed="81"/>
            <rFont val="Tahoma"/>
            <family val="2"/>
          </rPr>
          <t>116295:</t>
        </r>
        <r>
          <rPr>
            <sz val="8"/>
            <color indexed="81"/>
            <rFont val="Tahoma"/>
            <family val="2"/>
          </rPr>
          <t xml:space="preserve">
Sunshine Industries
(580)226-1444
sunshineindustires.com</t>
        </r>
      </text>
    </comment>
    <comment ref="B2454" authorId="0">
      <text>
        <r>
          <rPr>
            <b/>
            <sz val="8"/>
            <color indexed="81"/>
            <rFont val="Tahoma"/>
            <family val="2"/>
          </rPr>
          <t>116295:</t>
        </r>
        <r>
          <rPr>
            <sz val="8"/>
            <color indexed="81"/>
            <rFont val="Tahoma"/>
            <family val="2"/>
          </rPr>
          <t xml:space="preserve">
Sunshine Industries
(580)226-1444
sunshineindustires.com</t>
        </r>
      </text>
    </comment>
    <comment ref="B2455" authorId="0">
      <text>
        <r>
          <rPr>
            <b/>
            <sz val="8"/>
            <color indexed="81"/>
            <rFont val="Tahoma"/>
            <family val="2"/>
          </rPr>
          <t>116295:</t>
        </r>
        <r>
          <rPr>
            <sz val="8"/>
            <color indexed="81"/>
            <rFont val="Tahoma"/>
            <family val="2"/>
          </rPr>
          <t xml:space="preserve">
Sunshine Industries
(580)226-1444
sunshineindustires.com</t>
        </r>
      </text>
    </comment>
    <comment ref="B2456" authorId="0">
      <text>
        <r>
          <rPr>
            <b/>
            <sz val="8"/>
            <color indexed="81"/>
            <rFont val="Tahoma"/>
            <family val="2"/>
          </rPr>
          <t>116295:</t>
        </r>
        <r>
          <rPr>
            <sz val="8"/>
            <color indexed="81"/>
            <rFont val="Tahoma"/>
            <family val="2"/>
          </rPr>
          <t xml:space="preserve">
Sunshine Industries
(580)226-1444
sunshineindustires.com</t>
        </r>
      </text>
    </comment>
    <comment ref="B2457" authorId="0">
      <text>
        <r>
          <rPr>
            <b/>
            <sz val="8"/>
            <color indexed="81"/>
            <rFont val="Tahoma"/>
            <family val="2"/>
          </rPr>
          <t>116295:</t>
        </r>
        <r>
          <rPr>
            <sz val="8"/>
            <color indexed="81"/>
            <rFont val="Tahoma"/>
            <family val="2"/>
          </rPr>
          <t xml:space="preserve">
Sunshine Industries
(580)226-1444
sunshineindustires.com</t>
        </r>
      </text>
    </comment>
    <comment ref="B2458" authorId="0">
      <text>
        <r>
          <rPr>
            <b/>
            <sz val="8"/>
            <color indexed="81"/>
            <rFont val="Tahoma"/>
            <family val="2"/>
          </rPr>
          <t>116295:</t>
        </r>
        <r>
          <rPr>
            <sz val="8"/>
            <color indexed="81"/>
            <rFont val="Tahoma"/>
            <family val="2"/>
          </rPr>
          <t xml:space="preserve">
Sunshine Industries
(580)226-1444
sunshineindustires.com</t>
        </r>
      </text>
    </comment>
    <comment ref="E2458" authorId="0">
      <text>
        <r>
          <rPr>
            <b/>
            <sz val="8"/>
            <color indexed="81"/>
            <rFont val="Tahoma"/>
            <family val="2"/>
          </rPr>
          <t>116295:</t>
        </r>
        <r>
          <rPr>
            <sz val="8"/>
            <color indexed="81"/>
            <rFont val="Tahoma"/>
            <family val="2"/>
          </rPr>
          <t xml:space="preserve">
Suitable to Procure 
No Fair Market Value
Non Mandatory
Call Vendor for Price</t>
        </r>
      </text>
    </comment>
    <comment ref="B2459" authorId="0">
      <text>
        <r>
          <rPr>
            <b/>
            <sz val="8"/>
            <color indexed="81"/>
            <rFont val="Tahoma"/>
            <family val="2"/>
          </rPr>
          <t>116295:</t>
        </r>
        <r>
          <rPr>
            <sz val="8"/>
            <color indexed="81"/>
            <rFont val="Tahoma"/>
            <family val="2"/>
          </rPr>
          <t xml:space="preserve">
Sunshine Industries
(580)226-1444
sunshineindustires.com</t>
        </r>
      </text>
    </comment>
    <comment ref="E2459" authorId="0">
      <text>
        <r>
          <rPr>
            <b/>
            <sz val="8"/>
            <color indexed="81"/>
            <rFont val="Tahoma"/>
            <family val="2"/>
          </rPr>
          <t>116295:</t>
        </r>
        <r>
          <rPr>
            <sz val="8"/>
            <color indexed="81"/>
            <rFont val="Tahoma"/>
            <family val="2"/>
          </rPr>
          <t xml:space="preserve">
Suitable to Procure 
No Fair Market Value
Non Mandatory
Call Vendor for Price</t>
        </r>
      </text>
    </comment>
    <comment ref="B2460" authorId="0">
      <text>
        <r>
          <rPr>
            <b/>
            <sz val="8"/>
            <color indexed="81"/>
            <rFont val="Tahoma"/>
            <family val="2"/>
          </rPr>
          <t>116295:</t>
        </r>
        <r>
          <rPr>
            <sz val="8"/>
            <color indexed="81"/>
            <rFont val="Tahoma"/>
            <family val="2"/>
          </rPr>
          <t xml:space="preserve">
Sunshine Industries
(580)226-1444
sunshineindustires.com</t>
        </r>
      </text>
    </comment>
    <comment ref="E2460" authorId="0">
      <text>
        <r>
          <rPr>
            <b/>
            <sz val="8"/>
            <color indexed="81"/>
            <rFont val="Tahoma"/>
            <family val="2"/>
          </rPr>
          <t>116295:</t>
        </r>
        <r>
          <rPr>
            <sz val="8"/>
            <color indexed="81"/>
            <rFont val="Tahoma"/>
            <family val="2"/>
          </rPr>
          <t xml:space="preserve">
Suitable to Procure 
No Fair Market Value
Non Mandatory
Call Vendor for Price</t>
        </r>
      </text>
    </comment>
    <comment ref="B2461" authorId="0">
      <text>
        <r>
          <rPr>
            <b/>
            <sz val="8"/>
            <color indexed="81"/>
            <rFont val="Tahoma"/>
            <family val="2"/>
          </rPr>
          <t>116295:</t>
        </r>
        <r>
          <rPr>
            <sz val="8"/>
            <color indexed="81"/>
            <rFont val="Tahoma"/>
            <family val="2"/>
          </rPr>
          <t xml:space="preserve">
Sunshine Industries
(580)226-1444
sunshineindustires.com</t>
        </r>
      </text>
    </comment>
    <comment ref="E2461" authorId="0">
      <text>
        <r>
          <rPr>
            <b/>
            <sz val="8"/>
            <color indexed="81"/>
            <rFont val="Tahoma"/>
            <family val="2"/>
          </rPr>
          <t>116295:</t>
        </r>
        <r>
          <rPr>
            <sz val="8"/>
            <color indexed="81"/>
            <rFont val="Tahoma"/>
            <family val="2"/>
          </rPr>
          <t xml:space="preserve">
Suitable to Procure 
No Fair Market Value
Non Mandatory
Call Vendor for Price</t>
        </r>
      </text>
    </comment>
    <comment ref="B2462" authorId="0">
      <text>
        <r>
          <rPr>
            <b/>
            <sz val="8"/>
            <color indexed="81"/>
            <rFont val="Tahoma"/>
            <family val="2"/>
          </rPr>
          <t>116295:</t>
        </r>
        <r>
          <rPr>
            <sz val="8"/>
            <color indexed="81"/>
            <rFont val="Tahoma"/>
            <family val="2"/>
          </rPr>
          <t xml:space="preserve">
Work Activity Center
(405)799-6911</t>
        </r>
      </text>
    </comment>
    <comment ref="B2463" authorId="0">
      <text>
        <r>
          <rPr>
            <b/>
            <sz val="8"/>
            <color indexed="81"/>
            <rFont val="Tahoma"/>
            <family val="2"/>
          </rPr>
          <t>116295:</t>
        </r>
        <r>
          <rPr>
            <sz val="8"/>
            <color indexed="81"/>
            <rFont val="Tahoma"/>
            <family val="2"/>
          </rPr>
          <t xml:space="preserve">
Work Activity Center
(405)799-6911</t>
        </r>
      </text>
    </comment>
    <comment ref="B2464" authorId="0">
      <text>
        <r>
          <rPr>
            <b/>
            <sz val="8"/>
            <color indexed="81"/>
            <rFont val="Tahoma"/>
            <family val="2"/>
          </rPr>
          <t>116295:</t>
        </r>
        <r>
          <rPr>
            <sz val="8"/>
            <color indexed="81"/>
            <rFont val="Tahoma"/>
            <family val="2"/>
          </rPr>
          <t xml:space="preserve">
Work Activity Center
(405)799-6911</t>
        </r>
      </text>
    </comment>
    <comment ref="B2465" authorId="0">
      <text>
        <r>
          <rPr>
            <b/>
            <sz val="8"/>
            <color indexed="81"/>
            <rFont val="Tahoma"/>
            <family val="2"/>
          </rPr>
          <t>116295:</t>
        </r>
        <r>
          <rPr>
            <sz val="8"/>
            <color indexed="81"/>
            <rFont val="Tahoma"/>
            <family val="2"/>
          </rPr>
          <t xml:space="preserve">
Work Activity Center
(405)799-6911</t>
        </r>
      </text>
    </comment>
    <comment ref="B2466" authorId="0">
      <text>
        <r>
          <rPr>
            <b/>
            <sz val="8"/>
            <color indexed="81"/>
            <rFont val="Tahoma"/>
            <family val="2"/>
          </rPr>
          <t>116295:</t>
        </r>
        <r>
          <rPr>
            <sz val="8"/>
            <color indexed="81"/>
            <rFont val="Tahoma"/>
            <family val="2"/>
          </rPr>
          <t xml:space="preserve">
Work Activity Center
(405)799-6911</t>
        </r>
      </text>
    </comment>
    <comment ref="B2467" authorId="0">
      <text>
        <r>
          <rPr>
            <b/>
            <sz val="8"/>
            <color indexed="81"/>
            <rFont val="Tahoma"/>
            <family val="2"/>
          </rPr>
          <t>116295:</t>
        </r>
        <r>
          <rPr>
            <sz val="8"/>
            <color indexed="81"/>
            <rFont val="Tahoma"/>
            <family val="2"/>
          </rPr>
          <t xml:space="preserve">
Work Activity Center
(405)799-6911</t>
        </r>
      </text>
    </comment>
    <comment ref="B2468" authorId="0">
      <text>
        <r>
          <rPr>
            <b/>
            <sz val="8"/>
            <color indexed="81"/>
            <rFont val="Tahoma"/>
            <family val="2"/>
          </rPr>
          <t>116295:</t>
        </r>
        <r>
          <rPr>
            <sz val="8"/>
            <color indexed="81"/>
            <rFont val="Tahoma"/>
            <family val="2"/>
          </rPr>
          <t xml:space="preserve">
Work Activity Center
(405)799-6911</t>
        </r>
      </text>
    </comment>
    <comment ref="B2469" authorId="0">
      <text>
        <r>
          <rPr>
            <b/>
            <sz val="8"/>
            <color indexed="81"/>
            <rFont val="Tahoma"/>
            <family val="2"/>
          </rPr>
          <t>116295:</t>
        </r>
        <r>
          <rPr>
            <sz val="8"/>
            <color indexed="81"/>
            <rFont val="Tahoma"/>
            <family val="2"/>
          </rPr>
          <t xml:space="preserve">
Work Activity Center
(405)799-6911</t>
        </r>
      </text>
    </comment>
    <comment ref="B2470" authorId="0">
      <text>
        <r>
          <rPr>
            <b/>
            <sz val="8"/>
            <color indexed="81"/>
            <rFont val="Tahoma"/>
            <family val="2"/>
          </rPr>
          <t>116295:</t>
        </r>
        <r>
          <rPr>
            <sz val="8"/>
            <color indexed="81"/>
            <rFont val="Tahoma"/>
            <family val="2"/>
          </rPr>
          <t xml:space="preserve">
Work Activity Center
(405)799-6911</t>
        </r>
      </text>
    </comment>
    <comment ref="B2471" authorId="0">
      <text>
        <r>
          <rPr>
            <b/>
            <sz val="8"/>
            <color indexed="81"/>
            <rFont val="Tahoma"/>
            <family val="2"/>
          </rPr>
          <t>116295:</t>
        </r>
        <r>
          <rPr>
            <sz val="8"/>
            <color indexed="81"/>
            <rFont val="Tahoma"/>
            <family val="2"/>
          </rPr>
          <t xml:space="preserve">
Work Activity Center
(405)799-6911</t>
        </r>
      </text>
    </comment>
    <comment ref="B2472" authorId="0">
      <text>
        <r>
          <rPr>
            <b/>
            <sz val="8"/>
            <color indexed="81"/>
            <rFont val="Tahoma"/>
            <family val="2"/>
          </rPr>
          <t>116295:</t>
        </r>
        <r>
          <rPr>
            <sz val="8"/>
            <color indexed="81"/>
            <rFont val="Tahoma"/>
            <family val="2"/>
          </rPr>
          <t xml:space="preserve">
Work Activity Center
(405)799-6911</t>
        </r>
      </text>
    </comment>
    <comment ref="B2473" authorId="0">
      <text>
        <r>
          <rPr>
            <b/>
            <sz val="8"/>
            <color indexed="81"/>
            <rFont val="Tahoma"/>
            <family val="2"/>
          </rPr>
          <t>116295:</t>
        </r>
        <r>
          <rPr>
            <sz val="8"/>
            <color indexed="81"/>
            <rFont val="Tahoma"/>
            <family val="2"/>
          </rPr>
          <t xml:space="preserve">
Work Activity Center
(405)799-6911</t>
        </r>
      </text>
    </comment>
    <comment ref="B2474" authorId="0">
      <text>
        <r>
          <rPr>
            <b/>
            <sz val="8"/>
            <color indexed="81"/>
            <rFont val="Tahoma"/>
            <family val="2"/>
          </rPr>
          <t>116295:</t>
        </r>
        <r>
          <rPr>
            <sz val="8"/>
            <color indexed="81"/>
            <rFont val="Tahoma"/>
            <family val="2"/>
          </rPr>
          <t xml:space="preserve">
Work Activity Center
(405)799-6911</t>
        </r>
      </text>
    </comment>
    <comment ref="B2475" authorId="0">
      <text>
        <r>
          <rPr>
            <b/>
            <sz val="8"/>
            <color indexed="81"/>
            <rFont val="Tahoma"/>
            <family val="2"/>
          </rPr>
          <t>116295:</t>
        </r>
        <r>
          <rPr>
            <sz val="8"/>
            <color indexed="81"/>
            <rFont val="Tahoma"/>
            <family val="2"/>
          </rPr>
          <t xml:space="preserve">
Work Activity Center
(405)799-6911</t>
        </r>
      </text>
    </comment>
    <comment ref="B2476" authorId="0">
      <text>
        <r>
          <rPr>
            <b/>
            <sz val="8"/>
            <color indexed="81"/>
            <rFont val="Tahoma"/>
            <family val="2"/>
          </rPr>
          <t>116295:</t>
        </r>
        <r>
          <rPr>
            <sz val="8"/>
            <color indexed="81"/>
            <rFont val="Tahoma"/>
            <family val="2"/>
          </rPr>
          <t xml:space="preserve">
Work Activity Center
(405)799-6911</t>
        </r>
      </text>
    </comment>
    <comment ref="B2477" authorId="0">
      <text>
        <r>
          <rPr>
            <b/>
            <sz val="8"/>
            <color indexed="81"/>
            <rFont val="Tahoma"/>
            <family val="2"/>
          </rPr>
          <t>116295:</t>
        </r>
        <r>
          <rPr>
            <sz val="8"/>
            <color indexed="81"/>
            <rFont val="Tahoma"/>
            <family val="2"/>
          </rPr>
          <t xml:space="preserve">
Work Activity Center
(405)799-6911</t>
        </r>
      </text>
    </comment>
    <comment ref="B2478" authorId="0">
      <text>
        <r>
          <rPr>
            <b/>
            <sz val="8"/>
            <color indexed="81"/>
            <rFont val="Tahoma"/>
            <family val="2"/>
          </rPr>
          <t>116295:</t>
        </r>
        <r>
          <rPr>
            <sz val="8"/>
            <color indexed="81"/>
            <rFont val="Tahoma"/>
            <family val="2"/>
          </rPr>
          <t xml:space="preserve">
Work Activity Center
(405)799-6911</t>
        </r>
      </text>
    </comment>
    <comment ref="B2479" authorId="0">
      <text>
        <r>
          <rPr>
            <b/>
            <sz val="8"/>
            <color indexed="81"/>
            <rFont val="Tahoma"/>
            <family val="2"/>
          </rPr>
          <t>116295:</t>
        </r>
        <r>
          <rPr>
            <sz val="8"/>
            <color indexed="81"/>
            <rFont val="Tahoma"/>
            <family val="2"/>
          </rPr>
          <t xml:space="preserve">
Work Activity Center
(405)799-6911</t>
        </r>
      </text>
    </comment>
    <comment ref="B2480" authorId="0">
      <text>
        <r>
          <rPr>
            <b/>
            <sz val="8"/>
            <color indexed="81"/>
            <rFont val="Tahoma"/>
            <family val="2"/>
          </rPr>
          <t>116295:</t>
        </r>
        <r>
          <rPr>
            <sz val="8"/>
            <color indexed="81"/>
            <rFont val="Tahoma"/>
            <family val="2"/>
          </rPr>
          <t xml:space="preserve">
Work Activity Center
(405)799-6911</t>
        </r>
      </text>
    </comment>
    <comment ref="B2481" authorId="0">
      <text>
        <r>
          <rPr>
            <b/>
            <sz val="8"/>
            <color indexed="81"/>
            <rFont val="Tahoma"/>
            <family val="2"/>
          </rPr>
          <t>116295:</t>
        </r>
        <r>
          <rPr>
            <sz val="8"/>
            <color indexed="81"/>
            <rFont val="Tahoma"/>
            <family val="2"/>
          </rPr>
          <t xml:space="preserve">
Work Activity Center
(405)799-6911</t>
        </r>
      </text>
    </comment>
    <comment ref="B2482" authorId="0">
      <text>
        <r>
          <rPr>
            <b/>
            <sz val="8"/>
            <color indexed="81"/>
            <rFont val="Tahoma"/>
            <family val="2"/>
          </rPr>
          <t>116295:</t>
        </r>
        <r>
          <rPr>
            <sz val="8"/>
            <color indexed="81"/>
            <rFont val="Tahoma"/>
            <family val="2"/>
          </rPr>
          <t xml:space="preserve">
Work Activity Center
(405)799-6911</t>
        </r>
      </text>
    </comment>
    <comment ref="B2483" authorId="0">
      <text>
        <r>
          <rPr>
            <b/>
            <sz val="8"/>
            <color indexed="81"/>
            <rFont val="Tahoma"/>
            <family val="2"/>
          </rPr>
          <t>116295:</t>
        </r>
        <r>
          <rPr>
            <sz val="8"/>
            <color indexed="81"/>
            <rFont val="Tahoma"/>
            <family val="2"/>
          </rPr>
          <t xml:space="preserve">
Work Activity Center
(405)799-6911</t>
        </r>
      </text>
    </comment>
    <comment ref="B2484" authorId="0">
      <text>
        <r>
          <rPr>
            <b/>
            <sz val="8"/>
            <color indexed="81"/>
            <rFont val="Tahoma"/>
            <family val="2"/>
          </rPr>
          <t>116295:</t>
        </r>
        <r>
          <rPr>
            <sz val="8"/>
            <color indexed="81"/>
            <rFont val="Tahoma"/>
            <family val="2"/>
          </rPr>
          <t xml:space="preserve">
Work Activity Center
(405)799-6911</t>
        </r>
      </text>
    </comment>
    <comment ref="B2485" authorId="0">
      <text>
        <r>
          <rPr>
            <b/>
            <sz val="8"/>
            <color indexed="81"/>
            <rFont val="Tahoma"/>
            <family val="2"/>
          </rPr>
          <t>116295:</t>
        </r>
        <r>
          <rPr>
            <sz val="8"/>
            <color indexed="81"/>
            <rFont val="Tahoma"/>
            <family val="2"/>
          </rPr>
          <t xml:space="preserve">
Work Activity Center
(405)799-6911</t>
        </r>
      </text>
    </comment>
    <comment ref="B2486" authorId="0">
      <text>
        <r>
          <rPr>
            <b/>
            <sz val="8"/>
            <color indexed="81"/>
            <rFont val="Tahoma"/>
            <family val="2"/>
          </rPr>
          <t>116295:</t>
        </r>
        <r>
          <rPr>
            <sz val="8"/>
            <color indexed="81"/>
            <rFont val="Tahoma"/>
            <family val="2"/>
          </rPr>
          <t xml:space="preserve">
Work Activity Center
(405)799-6911</t>
        </r>
      </text>
    </comment>
    <comment ref="B2487" authorId="0">
      <text>
        <r>
          <rPr>
            <b/>
            <sz val="8"/>
            <color indexed="81"/>
            <rFont val="Tahoma"/>
            <family val="2"/>
          </rPr>
          <t>116295:</t>
        </r>
        <r>
          <rPr>
            <sz val="8"/>
            <color indexed="81"/>
            <rFont val="Tahoma"/>
            <family val="2"/>
          </rPr>
          <t xml:space="preserve">
Work Activity Center
(405)799-6911</t>
        </r>
      </text>
    </comment>
    <comment ref="B2488" authorId="0">
      <text>
        <r>
          <rPr>
            <b/>
            <sz val="8"/>
            <color indexed="81"/>
            <rFont val="Tahoma"/>
            <family val="2"/>
          </rPr>
          <t>116295:</t>
        </r>
        <r>
          <rPr>
            <sz val="8"/>
            <color indexed="81"/>
            <rFont val="Tahoma"/>
            <family val="2"/>
          </rPr>
          <t xml:space="preserve">
Work Activity Center
(405)799-6911</t>
        </r>
      </text>
    </comment>
    <comment ref="B2489" authorId="0">
      <text>
        <r>
          <rPr>
            <b/>
            <sz val="8"/>
            <color indexed="81"/>
            <rFont val="Tahoma"/>
            <family val="2"/>
          </rPr>
          <t>116295:</t>
        </r>
        <r>
          <rPr>
            <sz val="8"/>
            <color indexed="81"/>
            <rFont val="Tahoma"/>
            <family val="2"/>
          </rPr>
          <t xml:space="preserve">
Work Activity Center
(405)799-6911</t>
        </r>
      </text>
    </comment>
    <comment ref="B2490" authorId="0">
      <text>
        <r>
          <rPr>
            <b/>
            <sz val="8"/>
            <color indexed="81"/>
            <rFont val="Tahoma"/>
            <family val="2"/>
          </rPr>
          <t>116295:</t>
        </r>
        <r>
          <rPr>
            <sz val="8"/>
            <color indexed="81"/>
            <rFont val="Tahoma"/>
            <family val="2"/>
          </rPr>
          <t xml:space="preserve">
Work Activity Center
(405)799-6911</t>
        </r>
      </text>
    </comment>
    <comment ref="B2491" authorId="0">
      <text>
        <r>
          <rPr>
            <b/>
            <sz val="8"/>
            <color indexed="81"/>
            <rFont val="Tahoma"/>
            <family val="2"/>
          </rPr>
          <t>116295:</t>
        </r>
        <r>
          <rPr>
            <sz val="8"/>
            <color indexed="81"/>
            <rFont val="Tahoma"/>
            <family val="2"/>
          </rPr>
          <t xml:space="preserve">
Work Activity Center
(405)799-6911</t>
        </r>
      </text>
    </comment>
    <comment ref="B2492" authorId="0">
      <text>
        <r>
          <rPr>
            <b/>
            <sz val="8"/>
            <color indexed="81"/>
            <rFont val="Tahoma"/>
            <family val="2"/>
          </rPr>
          <t>116295:</t>
        </r>
        <r>
          <rPr>
            <sz val="8"/>
            <color indexed="81"/>
            <rFont val="Tahoma"/>
            <family val="2"/>
          </rPr>
          <t xml:space="preserve">
Work Activity Center
(405)799-6911</t>
        </r>
      </text>
    </comment>
    <comment ref="B2493" authorId="0">
      <text>
        <r>
          <rPr>
            <b/>
            <sz val="8"/>
            <color indexed="81"/>
            <rFont val="Tahoma"/>
            <family val="2"/>
          </rPr>
          <t>116295:</t>
        </r>
        <r>
          <rPr>
            <sz val="8"/>
            <color indexed="81"/>
            <rFont val="Tahoma"/>
            <family val="2"/>
          </rPr>
          <t xml:space="preserve">
Work Activity Center
(405)799-6911</t>
        </r>
      </text>
    </comment>
    <comment ref="B2494" authorId="0">
      <text>
        <r>
          <rPr>
            <b/>
            <sz val="8"/>
            <color indexed="81"/>
            <rFont val="Tahoma"/>
            <family val="2"/>
          </rPr>
          <t>116295:</t>
        </r>
        <r>
          <rPr>
            <sz val="8"/>
            <color indexed="81"/>
            <rFont val="Tahoma"/>
            <family val="2"/>
          </rPr>
          <t xml:space="preserve">
Work Activity Center
(405)799-6911</t>
        </r>
      </text>
    </comment>
    <comment ref="B2495" authorId="0">
      <text>
        <r>
          <rPr>
            <b/>
            <sz val="8"/>
            <color indexed="81"/>
            <rFont val="Tahoma"/>
            <family val="2"/>
          </rPr>
          <t>116295:</t>
        </r>
        <r>
          <rPr>
            <sz val="8"/>
            <color indexed="81"/>
            <rFont val="Tahoma"/>
            <family val="2"/>
          </rPr>
          <t xml:space="preserve">
Work Activity Center
(405)799-6911</t>
        </r>
      </text>
    </comment>
    <comment ref="B2496" authorId="0">
      <text>
        <r>
          <rPr>
            <b/>
            <sz val="8"/>
            <color indexed="81"/>
            <rFont val="Tahoma"/>
            <family val="2"/>
          </rPr>
          <t>116295:</t>
        </r>
        <r>
          <rPr>
            <sz val="8"/>
            <color indexed="81"/>
            <rFont val="Tahoma"/>
            <family val="2"/>
          </rPr>
          <t xml:space="preserve">
Work Activity Center
(405)799-6911</t>
        </r>
      </text>
    </comment>
    <comment ref="B2497" authorId="0">
      <text>
        <r>
          <rPr>
            <b/>
            <sz val="8"/>
            <color indexed="81"/>
            <rFont val="Tahoma"/>
            <family val="2"/>
          </rPr>
          <t>116295:</t>
        </r>
        <r>
          <rPr>
            <sz val="8"/>
            <color indexed="81"/>
            <rFont val="Tahoma"/>
            <family val="2"/>
          </rPr>
          <t xml:space="preserve">
Work Activity Center
(405)799-6911</t>
        </r>
      </text>
    </comment>
    <comment ref="B2498" authorId="0">
      <text>
        <r>
          <rPr>
            <b/>
            <sz val="8"/>
            <color indexed="81"/>
            <rFont val="Tahoma"/>
            <family val="2"/>
          </rPr>
          <t>116295:</t>
        </r>
        <r>
          <rPr>
            <sz val="8"/>
            <color indexed="81"/>
            <rFont val="Tahoma"/>
            <family val="2"/>
          </rPr>
          <t xml:space="preserve">
Work Activity Center
(405)799-6911</t>
        </r>
      </text>
    </comment>
    <comment ref="B2499" authorId="0">
      <text>
        <r>
          <rPr>
            <b/>
            <sz val="8"/>
            <color indexed="81"/>
            <rFont val="Tahoma"/>
            <family val="2"/>
          </rPr>
          <t>116295:</t>
        </r>
        <r>
          <rPr>
            <sz val="8"/>
            <color indexed="81"/>
            <rFont val="Tahoma"/>
            <family val="2"/>
          </rPr>
          <t xml:space="preserve">
Work Activity Center
(405)799-6911</t>
        </r>
      </text>
    </comment>
    <comment ref="B2500" authorId="0">
      <text>
        <r>
          <rPr>
            <b/>
            <sz val="8"/>
            <color indexed="81"/>
            <rFont val="Tahoma"/>
            <family val="2"/>
          </rPr>
          <t>116295:</t>
        </r>
        <r>
          <rPr>
            <sz val="8"/>
            <color indexed="81"/>
            <rFont val="Tahoma"/>
            <family val="2"/>
          </rPr>
          <t xml:space="preserve">
Work Activity Center
(405)799-6911</t>
        </r>
      </text>
    </comment>
    <comment ref="B2501" authorId="0">
      <text>
        <r>
          <rPr>
            <b/>
            <sz val="8"/>
            <color indexed="81"/>
            <rFont val="Tahoma"/>
            <family val="2"/>
          </rPr>
          <t>116295:</t>
        </r>
        <r>
          <rPr>
            <sz val="8"/>
            <color indexed="81"/>
            <rFont val="Tahoma"/>
            <family val="2"/>
          </rPr>
          <t xml:space="preserve">
Work Activity Center
(405)799-6911</t>
        </r>
      </text>
    </comment>
    <comment ref="B2502" authorId="0">
      <text>
        <r>
          <rPr>
            <b/>
            <sz val="8"/>
            <color indexed="81"/>
            <rFont val="Tahoma"/>
            <family val="2"/>
          </rPr>
          <t>116295:</t>
        </r>
        <r>
          <rPr>
            <sz val="8"/>
            <color indexed="81"/>
            <rFont val="Tahoma"/>
            <family val="2"/>
          </rPr>
          <t xml:space="preserve">
Work Activity Center
(405)799-6911</t>
        </r>
      </text>
    </comment>
    <comment ref="B2503" authorId="0">
      <text>
        <r>
          <rPr>
            <b/>
            <sz val="8"/>
            <color indexed="81"/>
            <rFont val="Tahoma"/>
            <family val="2"/>
          </rPr>
          <t>116295:</t>
        </r>
        <r>
          <rPr>
            <sz val="8"/>
            <color indexed="81"/>
            <rFont val="Tahoma"/>
            <family val="2"/>
          </rPr>
          <t xml:space="preserve">
Work Activity Center
(405)799-6911</t>
        </r>
      </text>
    </comment>
    <comment ref="B2504" authorId="0">
      <text>
        <r>
          <rPr>
            <b/>
            <sz val="8"/>
            <color indexed="81"/>
            <rFont val="Tahoma"/>
            <family val="2"/>
          </rPr>
          <t>116295:</t>
        </r>
        <r>
          <rPr>
            <sz val="8"/>
            <color indexed="81"/>
            <rFont val="Tahoma"/>
            <family val="2"/>
          </rPr>
          <t xml:space="preserve">
Work Activity Center
(405)799-6911</t>
        </r>
      </text>
    </comment>
    <comment ref="B2505" authorId="0">
      <text>
        <r>
          <rPr>
            <b/>
            <sz val="8"/>
            <color indexed="81"/>
            <rFont val="Tahoma"/>
            <family val="2"/>
          </rPr>
          <t>116295:</t>
        </r>
        <r>
          <rPr>
            <sz val="8"/>
            <color indexed="81"/>
            <rFont val="Tahoma"/>
            <family val="2"/>
          </rPr>
          <t xml:space="preserve">
Work Activity Center
(405)799-6911</t>
        </r>
      </text>
    </comment>
    <comment ref="B2506" authorId="0">
      <text>
        <r>
          <rPr>
            <b/>
            <sz val="8"/>
            <color indexed="81"/>
            <rFont val="Tahoma"/>
            <family val="2"/>
          </rPr>
          <t>116295:</t>
        </r>
        <r>
          <rPr>
            <sz val="8"/>
            <color indexed="81"/>
            <rFont val="Tahoma"/>
            <family val="2"/>
          </rPr>
          <t xml:space="preserve">
Work Activity Center
(405)799-6911</t>
        </r>
      </text>
    </comment>
    <comment ref="B2507" authorId="0">
      <text>
        <r>
          <rPr>
            <b/>
            <sz val="8"/>
            <color indexed="81"/>
            <rFont val="Tahoma"/>
            <family val="2"/>
          </rPr>
          <t>116295:</t>
        </r>
        <r>
          <rPr>
            <sz val="8"/>
            <color indexed="81"/>
            <rFont val="Tahoma"/>
            <family val="2"/>
          </rPr>
          <t xml:space="preserve">
Work Activity Center
(405)799-6911</t>
        </r>
      </text>
    </comment>
    <comment ref="B2508" authorId="0">
      <text>
        <r>
          <rPr>
            <b/>
            <sz val="8"/>
            <color indexed="81"/>
            <rFont val="Tahoma"/>
            <family val="2"/>
          </rPr>
          <t>116295:</t>
        </r>
        <r>
          <rPr>
            <sz val="8"/>
            <color indexed="81"/>
            <rFont val="Tahoma"/>
            <family val="2"/>
          </rPr>
          <t xml:space="preserve">
Work Activity Center
(405)799-6911</t>
        </r>
      </text>
    </comment>
    <comment ref="B2509" authorId="0">
      <text>
        <r>
          <rPr>
            <b/>
            <sz val="8"/>
            <color indexed="81"/>
            <rFont val="Tahoma"/>
            <family val="2"/>
          </rPr>
          <t>116295:</t>
        </r>
        <r>
          <rPr>
            <sz val="8"/>
            <color indexed="81"/>
            <rFont val="Tahoma"/>
            <family val="2"/>
          </rPr>
          <t xml:space="preserve">
Work Activity Center
(405)799-6911</t>
        </r>
      </text>
    </comment>
    <comment ref="B2510" authorId="0">
      <text>
        <r>
          <rPr>
            <b/>
            <sz val="8"/>
            <color indexed="81"/>
            <rFont val="Tahoma"/>
            <family val="2"/>
          </rPr>
          <t>116295:</t>
        </r>
        <r>
          <rPr>
            <sz val="8"/>
            <color indexed="81"/>
            <rFont val="Tahoma"/>
            <family val="2"/>
          </rPr>
          <t xml:space="preserve">
Work Activity Center
(405)799-6911</t>
        </r>
      </text>
    </comment>
    <comment ref="B2511" authorId="0">
      <text>
        <r>
          <rPr>
            <b/>
            <sz val="8"/>
            <color indexed="81"/>
            <rFont val="Tahoma"/>
            <family val="2"/>
          </rPr>
          <t>116295:</t>
        </r>
        <r>
          <rPr>
            <sz val="8"/>
            <color indexed="81"/>
            <rFont val="Tahoma"/>
            <family val="2"/>
          </rPr>
          <t xml:space="preserve">
Work Activity Center
(405)799-6911</t>
        </r>
      </text>
    </comment>
    <comment ref="B2512" authorId="0">
      <text>
        <r>
          <rPr>
            <b/>
            <sz val="8"/>
            <color indexed="81"/>
            <rFont val="Tahoma"/>
            <family val="2"/>
          </rPr>
          <t>116295:</t>
        </r>
        <r>
          <rPr>
            <sz val="8"/>
            <color indexed="81"/>
            <rFont val="Tahoma"/>
            <family val="2"/>
          </rPr>
          <t xml:space="preserve">
Work Activity Center
(405)799-6911</t>
        </r>
      </text>
    </comment>
    <comment ref="B2513" authorId="0">
      <text>
        <r>
          <rPr>
            <b/>
            <sz val="8"/>
            <color indexed="81"/>
            <rFont val="Tahoma"/>
            <family val="2"/>
          </rPr>
          <t>116295:</t>
        </r>
        <r>
          <rPr>
            <sz val="8"/>
            <color indexed="81"/>
            <rFont val="Tahoma"/>
            <family val="2"/>
          </rPr>
          <t xml:space="preserve">
Work Activity Center
(405)799-6911</t>
        </r>
      </text>
    </comment>
    <comment ref="B2514" authorId="0">
      <text>
        <r>
          <rPr>
            <b/>
            <sz val="8"/>
            <color indexed="81"/>
            <rFont val="Tahoma"/>
            <family val="2"/>
          </rPr>
          <t>116295:</t>
        </r>
        <r>
          <rPr>
            <sz val="8"/>
            <color indexed="81"/>
            <rFont val="Tahoma"/>
            <family val="2"/>
          </rPr>
          <t xml:space="preserve">
Work Activity Center
(405)799-6911</t>
        </r>
      </text>
    </comment>
    <comment ref="B2515" authorId="0">
      <text>
        <r>
          <rPr>
            <b/>
            <sz val="8"/>
            <color indexed="81"/>
            <rFont val="Tahoma"/>
            <family val="2"/>
          </rPr>
          <t>116295:</t>
        </r>
        <r>
          <rPr>
            <sz val="8"/>
            <color indexed="81"/>
            <rFont val="Tahoma"/>
            <family val="2"/>
          </rPr>
          <t xml:space="preserve">
Work Activity Center
(405)799-6911</t>
        </r>
      </text>
    </comment>
    <comment ref="B2516" authorId="0">
      <text>
        <r>
          <rPr>
            <b/>
            <sz val="8"/>
            <color indexed="81"/>
            <rFont val="Tahoma"/>
            <family val="2"/>
          </rPr>
          <t>116295:</t>
        </r>
        <r>
          <rPr>
            <sz val="8"/>
            <color indexed="81"/>
            <rFont val="Tahoma"/>
            <family val="2"/>
          </rPr>
          <t xml:space="preserve">
Work Activity Center
(405)799-6911</t>
        </r>
      </text>
    </comment>
    <comment ref="B2517" authorId="0">
      <text>
        <r>
          <rPr>
            <b/>
            <sz val="8"/>
            <color indexed="81"/>
            <rFont val="Tahoma"/>
            <family val="2"/>
          </rPr>
          <t>116295:</t>
        </r>
        <r>
          <rPr>
            <sz val="8"/>
            <color indexed="81"/>
            <rFont val="Tahoma"/>
            <family val="2"/>
          </rPr>
          <t xml:space="preserve">
Work Activity Center
(405)799-6911</t>
        </r>
      </text>
    </comment>
    <comment ref="B2518" authorId="0">
      <text>
        <r>
          <rPr>
            <b/>
            <sz val="8"/>
            <color indexed="81"/>
            <rFont val="Tahoma"/>
            <family val="2"/>
          </rPr>
          <t>116295:</t>
        </r>
        <r>
          <rPr>
            <sz val="8"/>
            <color indexed="81"/>
            <rFont val="Tahoma"/>
            <family val="2"/>
          </rPr>
          <t xml:space="preserve">
Work Activity Center
(405)799-6911</t>
        </r>
      </text>
    </comment>
    <comment ref="B2519" authorId="0">
      <text>
        <r>
          <rPr>
            <b/>
            <sz val="8"/>
            <color indexed="81"/>
            <rFont val="Tahoma"/>
            <family val="2"/>
          </rPr>
          <t>116295:</t>
        </r>
        <r>
          <rPr>
            <sz val="8"/>
            <color indexed="81"/>
            <rFont val="Tahoma"/>
            <family val="2"/>
          </rPr>
          <t xml:space="preserve">
Work Activity Center
(405)799-6911</t>
        </r>
      </text>
    </comment>
    <comment ref="B2520" authorId="0">
      <text>
        <r>
          <rPr>
            <b/>
            <sz val="8"/>
            <color indexed="81"/>
            <rFont val="Tahoma"/>
            <family val="2"/>
          </rPr>
          <t>116295:</t>
        </r>
        <r>
          <rPr>
            <sz val="8"/>
            <color indexed="81"/>
            <rFont val="Tahoma"/>
            <family val="2"/>
          </rPr>
          <t xml:space="preserve">
Work Activity Center
(405)799-6911</t>
        </r>
      </text>
    </comment>
    <comment ref="B2521" authorId="0">
      <text>
        <r>
          <rPr>
            <b/>
            <sz val="8"/>
            <color indexed="81"/>
            <rFont val="Tahoma"/>
            <family val="2"/>
          </rPr>
          <t>116295:</t>
        </r>
        <r>
          <rPr>
            <sz val="8"/>
            <color indexed="81"/>
            <rFont val="Tahoma"/>
            <family val="2"/>
          </rPr>
          <t xml:space="preserve">
Work Activity Center
(405)799-6911</t>
        </r>
      </text>
    </comment>
    <comment ref="B2522" authorId="0">
      <text>
        <r>
          <rPr>
            <b/>
            <sz val="8"/>
            <color indexed="81"/>
            <rFont val="Tahoma"/>
            <family val="2"/>
          </rPr>
          <t>116295:</t>
        </r>
        <r>
          <rPr>
            <sz val="8"/>
            <color indexed="81"/>
            <rFont val="Tahoma"/>
            <family val="2"/>
          </rPr>
          <t xml:space="preserve">
Work Activity Center
(405)799-6911</t>
        </r>
      </text>
    </comment>
    <comment ref="B2523" authorId="0">
      <text>
        <r>
          <rPr>
            <b/>
            <sz val="8"/>
            <color indexed="81"/>
            <rFont val="Tahoma"/>
            <family val="2"/>
          </rPr>
          <t>116295:</t>
        </r>
        <r>
          <rPr>
            <sz val="8"/>
            <color indexed="81"/>
            <rFont val="Tahoma"/>
            <family val="2"/>
          </rPr>
          <t xml:space="preserve">
Work Activity Center
(405)799-6911</t>
        </r>
      </text>
    </comment>
    <comment ref="B2524" authorId="0">
      <text>
        <r>
          <rPr>
            <b/>
            <sz val="8"/>
            <color indexed="81"/>
            <rFont val="Tahoma"/>
            <family val="2"/>
          </rPr>
          <t>116295:</t>
        </r>
        <r>
          <rPr>
            <sz val="8"/>
            <color indexed="81"/>
            <rFont val="Tahoma"/>
            <family val="2"/>
          </rPr>
          <t xml:space="preserve">
Work Activity Center
(405)799-6911</t>
        </r>
      </text>
    </comment>
    <comment ref="B2525" authorId="0">
      <text>
        <r>
          <rPr>
            <b/>
            <sz val="8"/>
            <color indexed="81"/>
            <rFont val="Tahoma"/>
            <family val="2"/>
          </rPr>
          <t>116295:</t>
        </r>
        <r>
          <rPr>
            <sz val="8"/>
            <color indexed="81"/>
            <rFont val="Tahoma"/>
            <family val="2"/>
          </rPr>
          <t xml:space="preserve">
Work Activity Center
(405)799-6911</t>
        </r>
      </text>
    </comment>
    <comment ref="B2526" authorId="0">
      <text>
        <r>
          <rPr>
            <b/>
            <sz val="8"/>
            <color indexed="81"/>
            <rFont val="Tahoma"/>
            <family val="2"/>
          </rPr>
          <t>116295:</t>
        </r>
        <r>
          <rPr>
            <sz val="8"/>
            <color indexed="81"/>
            <rFont val="Tahoma"/>
            <family val="2"/>
          </rPr>
          <t xml:space="preserve">
Work Activity Center
(405)799-6911</t>
        </r>
      </text>
    </comment>
    <comment ref="B2527" authorId="0">
      <text>
        <r>
          <rPr>
            <b/>
            <sz val="8"/>
            <color indexed="81"/>
            <rFont val="Tahoma"/>
            <family val="2"/>
          </rPr>
          <t>116295:</t>
        </r>
        <r>
          <rPr>
            <sz val="8"/>
            <color indexed="81"/>
            <rFont val="Tahoma"/>
            <family val="2"/>
          </rPr>
          <t xml:space="preserve">
Work Activity Center
(405)799-6911</t>
        </r>
      </text>
    </comment>
    <comment ref="B2528" authorId="0">
      <text>
        <r>
          <rPr>
            <b/>
            <sz val="8"/>
            <color indexed="81"/>
            <rFont val="Tahoma"/>
            <family val="2"/>
          </rPr>
          <t>116295:</t>
        </r>
        <r>
          <rPr>
            <sz val="8"/>
            <color indexed="81"/>
            <rFont val="Tahoma"/>
            <family val="2"/>
          </rPr>
          <t xml:space="preserve">
Work Activity Center
(405)799-6911</t>
        </r>
      </text>
    </comment>
    <comment ref="B2529" authorId="0">
      <text>
        <r>
          <rPr>
            <b/>
            <sz val="8"/>
            <color indexed="81"/>
            <rFont val="Tahoma"/>
            <family val="2"/>
          </rPr>
          <t>116295:</t>
        </r>
        <r>
          <rPr>
            <sz val="8"/>
            <color indexed="81"/>
            <rFont val="Tahoma"/>
            <family val="2"/>
          </rPr>
          <t xml:space="preserve">
Work Activity Center
(405)799-6911</t>
        </r>
      </text>
    </comment>
    <comment ref="B2530" authorId="0">
      <text>
        <r>
          <rPr>
            <b/>
            <sz val="8"/>
            <color indexed="81"/>
            <rFont val="Tahoma"/>
            <family val="2"/>
          </rPr>
          <t>116295:</t>
        </r>
        <r>
          <rPr>
            <sz val="8"/>
            <color indexed="81"/>
            <rFont val="Tahoma"/>
            <family val="2"/>
          </rPr>
          <t xml:space="preserve">
Work Activity Center
(405)799-6911</t>
        </r>
      </text>
    </comment>
    <comment ref="B2531" authorId="0">
      <text>
        <r>
          <rPr>
            <b/>
            <sz val="8"/>
            <color indexed="81"/>
            <rFont val="Tahoma"/>
            <family val="2"/>
          </rPr>
          <t>116295:</t>
        </r>
        <r>
          <rPr>
            <sz val="8"/>
            <color indexed="81"/>
            <rFont val="Tahoma"/>
            <family val="2"/>
          </rPr>
          <t xml:space="preserve">
Work Activity Center
(405)799-6911</t>
        </r>
      </text>
    </comment>
    <comment ref="B2532" authorId="0">
      <text>
        <r>
          <rPr>
            <b/>
            <sz val="8"/>
            <color indexed="81"/>
            <rFont val="Tahoma"/>
            <family val="2"/>
          </rPr>
          <t>116295:</t>
        </r>
        <r>
          <rPr>
            <sz val="8"/>
            <color indexed="81"/>
            <rFont val="Tahoma"/>
            <family val="2"/>
          </rPr>
          <t xml:space="preserve">
Work Activity Center
(405)799-6911</t>
        </r>
      </text>
    </comment>
    <comment ref="B2533" authorId="0">
      <text>
        <r>
          <rPr>
            <b/>
            <sz val="8"/>
            <color indexed="81"/>
            <rFont val="Tahoma"/>
            <family val="2"/>
          </rPr>
          <t>116295:</t>
        </r>
        <r>
          <rPr>
            <sz val="8"/>
            <color indexed="81"/>
            <rFont val="Tahoma"/>
            <family val="2"/>
          </rPr>
          <t xml:space="preserve">
Work Activity Center
(405)799-6911</t>
        </r>
      </text>
    </comment>
    <comment ref="B2534" authorId="0">
      <text>
        <r>
          <rPr>
            <b/>
            <sz val="8"/>
            <color indexed="81"/>
            <rFont val="Tahoma"/>
            <family val="2"/>
          </rPr>
          <t>116295:</t>
        </r>
        <r>
          <rPr>
            <sz val="8"/>
            <color indexed="81"/>
            <rFont val="Tahoma"/>
            <family val="2"/>
          </rPr>
          <t xml:space="preserve">
Work Activity Center
(405)799-6911</t>
        </r>
      </text>
    </comment>
    <comment ref="B2535" authorId="0">
      <text>
        <r>
          <rPr>
            <b/>
            <sz val="8"/>
            <color indexed="81"/>
            <rFont val="Tahoma"/>
            <family val="2"/>
          </rPr>
          <t>116295:</t>
        </r>
        <r>
          <rPr>
            <sz val="8"/>
            <color indexed="81"/>
            <rFont val="Tahoma"/>
            <family val="2"/>
          </rPr>
          <t xml:space="preserve">
Work Activity Center
(405)799-6911</t>
        </r>
      </text>
    </comment>
    <comment ref="B2536" authorId="0">
      <text>
        <r>
          <rPr>
            <b/>
            <sz val="8"/>
            <color indexed="81"/>
            <rFont val="Tahoma"/>
            <family val="2"/>
          </rPr>
          <t>116295:</t>
        </r>
        <r>
          <rPr>
            <sz val="8"/>
            <color indexed="81"/>
            <rFont val="Tahoma"/>
            <family val="2"/>
          </rPr>
          <t xml:space="preserve">
Work Activity Center
(405)799-6911</t>
        </r>
      </text>
    </comment>
    <comment ref="B2537" authorId="0">
      <text>
        <r>
          <rPr>
            <b/>
            <sz val="8"/>
            <color indexed="81"/>
            <rFont val="Tahoma"/>
            <family val="2"/>
          </rPr>
          <t>116295:</t>
        </r>
        <r>
          <rPr>
            <sz val="8"/>
            <color indexed="81"/>
            <rFont val="Tahoma"/>
            <family val="2"/>
          </rPr>
          <t xml:space="preserve">
Work Activity Center
(405)799-6911</t>
        </r>
      </text>
    </comment>
    <comment ref="B2538" authorId="0">
      <text>
        <r>
          <rPr>
            <b/>
            <sz val="8"/>
            <color indexed="81"/>
            <rFont val="Tahoma"/>
            <family val="2"/>
          </rPr>
          <t>116295:</t>
        </r>
        <r>
          <rPr>
            <sz val="8"/>
            <color indexed="81"/>
            <rFont val="Tahoma"/>
            <family val="2"/>
          </rPr>
          <t xml:space="preserve">
Work Activity Center
(405)799-6911</t>
        </r>
      </text>
    </comment>
    <comment ref="B2539" authorId="0">
      <text>
        <r>
          <rPr>
            <b/>
            <sz val="8"/>
            <color indexed="81"/>
            <rFont val="Tahoma"/>
            <family val="2"/>
          </rPr>
          <t>116295:</t>
        </r>
        <r>
          <rPr>
            <sz val="8"/>
            <color indexed="81"/>
            <rFont val="Tahoma"/>
            <family val="2"/>
          </rPr>
          <t xml:space="preserve">
Work Activity Center
(405)799-6911</t>
        </r>
      </text>
    </comment>
    <comment ref="B2540" authorId="0">
      <text>
        <r>
          <rPr>
            <b/>
            <sz val="8"/>
            <color indexed="81"/>
            <rFont val="Tahoma"/>
            <family val="2"/>
          </rPr>
          <t>116295:</t>
        </r>
        <r>
          <rPr>
            <sz val="8"/>
            <color indexed="81"/>
            <rFont val="Tahoma"/>
            <family val="2"/>
          </rPr>
          <t xml:space="preserve">
Work Activity Center
(405)799-6911</t>
        </r>
      </text>
    </comment>
    <comment ref="B2541" authorId="0">
      <text>
        <r>
          <rPr>
            <b/>
            <sz val="8"/>
            <color indexed="81"/>
            <rFont val="Tahoma"/>
            <family val="2"/>
          </rPr>
          <t>116295:</t>
        </r>
        <r>
          <rPr>
            <sz val="8"/>
            <color indexed="81"/>
            <rFont val="Tahoma"/>
            <family val="2"/>
          </rPr>
          <t xml:space="preserve">
Work Activity Center
(405)799-6911</t>
        </r>
      </text>
    </comment>
    <comment ref="B2542" authorId="0">
      <text>
        <r>
          <rPr>
            <b/>
            <sz val="8"/>
            <color indexed="81"/>
            <rFont val="Tahoma"/>
            <family val="2"/>
          </rPr>
          <t>116295:</t>
        </r>
        <r>
          <rPr>
            <sz val="8"/>
            <color indexed="81"/>
            <rFont val="Tahoma"/>
            <family val="2"/>
          </rPr>
          <t xml:space="preserve">
Work Activity Center
(405)799-6911</t>
        </r>
      </text>
    </comment>
    <comment ref="B2543" authorId="0">
      <text>
        <r>
          <rPr>
            <b/>
            <sz val="8"/>
            <color indexed="81"/>
            <rFont val="Tahoma"/>
            <family val="2"/>
          </rPr>
          <t>116295:</t>
        </r>
        <r>
          <rPr>
            <sz val="8"/>
            <color indexed="81"/>
            <rFont val="Tahoma"/>
            <family val="2"/>
          </rPr>
          <t xml:space="preserve">
Work Activity Center
(405)799-6911</t>
        </r>
      </text>
    </comment>
    <comment ref="B2544" authorId="0">
      <text>
        <r>
          <rPr>
            <b/>
            <sz val="8"/>
            <color indexed="81"/>
            <rFont val="Tahoma"/>
            <family val="2"/>
          </rPr>
          <t>116295:</t>
        </r>
        <r>
          <rPr>
            <sz val="8"/>
            <color indexed="81"/>
            <rFont val="Tahoma"/>
            <family val="2"/>
          </rPr>
          <t xml:space="preserve">
Work Activity Center
(405)799-6911</t>
        </r>
      </text>
    </comment>
    <comment ref="B2545" authorId="0">
      <text>
        <r>
          <rPr>
            <b/>
            <sz val="8"/>
            <color indexed="81"/>
            <rFont val="Tahoma"/>
            <family val="2"/>
          </rPr>
          <t>116295:</t>
        </r>
        <r>
          <rPr>
            <sz val="8"/>
            <color indexed="81"/>
            <rFont val="Tahoma"/>
            <family val="2"/>
          </rPr>
          <t xml:space="preserve">
Work Activity Center
(405)799-6911</t>
        </r>
      </text>
    </comment>
    <comment ref="B2546" authorId="0">
      <text>
        <r>
          <rPr>
            <b/>
            <sz val="8"/>
            <color indexed="81"/>
            <rFont val="Tahoma"/>
            <family val="2"/>
          </rPr>
          <t>116295:</t>
        </r>
        <r>
          <rPr>
            <sz val="8"/>
            <color indexed="81"/>
            <rFont val="Tahoma"/>
            <family val="2"/>
          </rPr>
          <t xml:space="preserve">
Work Activity Center
(405)799-6911</t>
        </r>
      </text>
    </comment>
    <comment ref="B2547" authorId="0">
      <text>
        <r>
          <rPr>
            <b/>
            <sz val="8"/>
            <color indexed="81"/>
            <rFont val="Tahoma"/>
            <family val="2"/>
          </rPr>
          <t>116295:</t>
        </r>
        <r>
          <rPr>
            <sz val="8"/>
            <color indexed="81"/>
            <rFont val="Tahoma"/>
            <family val="2"/>
          </rPr>
          <t xml:space="preserve">
Work Activity Center
(405)799-6911</t>
        </r>
      </text>
    </comment>
  </commentList>
</comments>
</file>

<file path=xl/comments2.xml><?xml version="1.0" encoding="utf-8"?>
<comments xmlns="http://schemas.openxmlformats.org/spreadsheetml/2006/main">
  <authors>
    <author>116295</author>
  </authors>
  <commentList>
    <comment ref="B143" authorId="0">
      <text>
        <r>
          <rPr>
            <b/>
            <sz val="8"/>
            <color indexed="81"/>
            <rFont val="Tahoma"/>
            <family val="2"/>
          </rPr>
          <t>116295:</t>
        </r>
        <r>
          <rPr>
            <sz val="8"/>
            <color indexed="81"/>
            <rFont val="Tahoma"/>
            <family val="2"/>
          </rPr>
          <t xml:space="preserve">
Sunshine Industries
(580)226-1444
sunshineindustires.com</t>
        </r>
      </text>
    </comment>
    <comment ref="B144" authorId="0">
      <text>
        <r>
          <rPr>
            <b/>
            <sz val="8"/>
            <color indexed="81"/>
            <rFont val="Tahoma"/>
            <family val="2"/>
          </rPr>
          <t>116295:</t>
        </r>
        <r>
          <rPr>
            <sz val="8"/>
            <color indexed="81"/>
            <rFont val="Tahoma"/>
            <family val="2"/>
          </rPr>
          <t xml:space="preserve">
Sunshine Industries
(580)226-1444
sunshineindustires.com</t>
        </r>
      </text>
    </comment>
    <comment ref="B145" authorId="0">
      <text>
        <r>
          <rPr>
            <b/>
            <sz val="8"/>
            <color indexed="81"/>
            <rFont val="Tahoma"/>
            <family val="2"/>
          </rPr>
          <t>116295:</t>
        </r>
        <r>
          <rPr>
            <sz val="8"/>
            <color indexed="81"/>
            <rFont val="Tahoma"/>
            <family val="2"/>
          </rPr>
          <t xml:space="preserve">
Sunshine Industries
(580)226-1444
sunshineindustires.com</t>
        </r>
      </text>
    </comment>
    <comment ref="B147" authorId="0">
      <text>
        <r>
          <rPr>
            <b/>
            <sz val="8"/>
            <color indexed="81"/>
            <rFont val="Tahoma"/>
            <family val="2"/>
          </rPr>
          <t>116295:</t>
        </r>
        <r>
          <rPr>
            <sz val="8"/>
            <color indexed="81"/>
            <rFont val="Tahoma"/>
            <family val="2"/>
          </rPr>
          <t xml:space="preserve">
Sunshine Industries
(580)226-1444
sunshineindustires.com</t>
        </r>
      </text>
    </comment>
    <comment ref="B148" authorId="0">
      <text>
        <r>
          <rPr>
            <b/>
            <sz val="8"/>
            <color indexed="81"/>
            <rFont val="Tahoma"/>
            <family val="2"/>
          </rPr>
          <t>116295:</t>
        </r>
        <r>
          <rPr>
            <sz val="8"/>
            <color indexed="81"/>
            <rFont val="Tahoma"/>
            <family val="2"/>
          </rPr>
          <t xml:space="preserve">
Sunshine Industries
(580)226-1444
sunshineindustires.com</t>
        </r>
      </text>
    </comment>
    <comment ref="B149" authorId="0">
      <text>
        <r>
          <rPr>
            <b/>
            <sz val="8"/>
            <color indexed="81"/>
            <rFont val="Tahoma"/>
            <family val="2"/>
          </rPr>
          <t>116295:</t>
        </r>
        <r>
          <rPr>
            <sz val="8"/>
            <color indexed="81"/>
            <rFont val="Tahoma"/>
            <family val="2"/>
          </rPr>
          <t xml:space="preserve">
Sunshine Industries
(580)226-1444
sunshineindustires.com</t>
        </r>
      </text>
    </comment>
    <comment ref="B150" authorId="0">
      <text>
        <r>
          <rPr>
            <b/>
            <sz val="8"/>
            <color indexed="81"/>
            <rFont val="Tahoma"/>
            <family val="2"/>
          </rPr>
          <t>116295:</t>
        </r>
        <r>
          <rPr>
            <sz val="8"/>
            <color indexed="81"/>
            <rFont val="Tahoma"/>
            <family val="2"/>
          </rPr>
          <t xml:space="preserve">
Sunshine Industries
(580)226-1444
sunshineindustires.com</t>
        </r>
      </text>
    </comment>
    <comment ref="B151" authorId="0">
      <text>
        <r>
          <rPr>
            <b/>
            <sz val="8"/>
            <color indexed="81"/>
            <rFont val="Tahoma"/>
            <family val="2"/>
          </rPr>
          <t>116295:</t>
        </r>
        <r>
          <rPr>
            <sz val="8"/>
            <color indexed="81"/>
            <rFont val="Tahoma"/>
            <family val="2"/>
          </rPr>
          <t xml:space="preserve">
Sunshine Industries
(580)226-1444
sunshineindustires.com</t>
        </r>
      </text>
    </comment>
    <comment ref="B152" authorId="0">
      <text>
        <r>
          <rPr>
            <b/>
            <sz val="8"/>
            <color indexed="81"/>
            <rFont val="Tahoma"/>
            <family val="2"/>
          </rPr>
          <t>116295:</t>
        </r>
        <r>
          <rPr>
            <sz val="8"/>
            <color indexed="81"/>
            <rFont val="Tahoma"/>
            <family val="2"/>
          </rPr>
          <t xml:space="preserve">
Sunshine Industries
(580)226-1444
sunshineindustires.com</t>
        </r>
      </text>
    </comment>
    <comment ref="B153" authorId="0">
      <text>
        <r>
          <rPr>
            <b/>
            <sz val="8"/>
            <color indexed="81"/>
            <rFont val="Tahoma"/>
            <family val="2"/>
          </rPr>
          <t>116295:</t>
        </r>
        <r>
          <rPr>
            <sz val="8"/>
            <color indexed="81"/>
            <rFont val="Tahoma"/>
            <family val="2"/>
          </rPr>
          <t xml:space="preserve">
Sunshine Industries
(580)226-1444
sunshineindustires.com</t>
        </r>
      </text>
    </comment>
    <comment ref="B154" authorId="0">
      <text>
        <r>
          <rPr>
            <b/>
            <sz val="8"/>
            <color indexed="81"/>
            <rFont val="Tahoma"/>
            <family val="2"/>
          </rPr>
          <t>116295:</t>
        </r>
        <r>
          <rPr>
            <sz val="8"/>
            <color indexed="81"/>
            <rFont val="Tahoma"/>
            <family val="2"/>
          </rPr>
          <t xml:space="preserve">
Sunshine Industries
(580)226-1444
sunshineindustires.com</t>
        </r>
      </text>
    </comment>
    <comment ref="B155" authorId="0">
      <text>
        <r>
          <rPr>
            <b/>
            <sz val="8"/>
            <color indexed="81"/>
            <rFont val="Tahoma"/>
            <family val="2"/>
          </rPr>
          <t>116295:</t>
        </r>
        <r>
          <rPr>
            <sz val="8"/>
            <color indexed="81"/>
            <rFont val="Tahoma"/>
            <family val="2"/>
          </rPr>
          <t xml:space="preserve">
Sunshine Industries
(580)226-1444
sunshineindustires.com</t>
        </r>
      </text>
    </comment>
    <comment ref="B156" authorId="0">
      <text>
        <r>
          <rPr>
            <b/>
            <sz val="8"/>
            <color indexed="81"/>
            <rFont val="Tahoma"/>
            <family val="2"/>
          </rPr>
          <t>116295:</t>
        </r>
        <r>
          <rPr>
            <sz val="8"/>
            <color indexed="81"/>
            <rFont val="Tahoma"/>
            <family val="2"/>
          </rPr>
          <t xml:space="preserve">
Sunshine Industries
(580)226-1444
sunshineindustires.com</t>
        </r>
      </text>
    </comment>
    <comment ref="B157" authorId="0">
      <text>
        <r>
          <rPr>
            <b/>
            <sz val="8"/>
            <color indexed="81"/>
            <rFont val="Tahoma"/>
            <family val="2"/>
          </rPr>
          <t>116295:</t>
        </r>
        <r>
          <rPr>
            <sz val="8"/>
            <color indexed="81"/>
            <rFont val="Tahoma"/>
            <family val="2"/>
          </rPr>
          <t xml:space="preserve">
Sunshine Industries
(580)226-1444
sunshineindustires.com</t>
        </r>
      </text>
    </comment>
    <comment ref="B158" authorId="0">
      <text>
        <r>
          <rPr>
            <b/>
            <sz val="8"/>
            <color indexed="81"/>
            <rFont val="Tahoma"/>
            <family val="2"/>
          </rPr>
          <t>116295:</t>
        </r>
        <r>
          <rPr>
            <sz val="8"/>
            <color indexed="81"/>
            <rFont val="Tahoma"/>
            <family val="2"/>
          </rPr>
          <t xml:space="preserve">
Sunshine Industries
(580)226-1444
sunshineindustires.com</t>
        </r>
      </text>
    </comment>
    <comment ref="B159" authorId="0">
      <text>
        <r>
          <rPr>
            <b/>
            <sz val="8"/>
            <color indexed="81"/>
            <rFont val="Tahoma"/>
            <family val="2"/>
          </rPr>
          <t>116295:</t>
        </r>
        <r>
          <rPr>
            <sz val="8"/>
            <color indexed="81"/>
            <rFont val="Tahoma"/>
            <family val="2"/>
          </rPr>
          <t xml:space="preserve">
Sunshine Industries
(580)226-1444
sunshineindustires.com</t>
        </r>
      </text>
    </comment>
    <comment ref="B160" authorId="0">
      <text>
        <r>
          <rPr>
            <b/>
            <sz val="8"/>
            <color indexed="81"/>
            <rFont val="Tahoma"/>
            <family val="2"/>
          </rPr>
          <t>116295:</t>
        </r>
        <r>
          <rPr>
            <sz val="8"/>
            <color indexed="81"/>
            <rFont val="Tahoma"/>
            <family val="2"/>
          </rPr>
          <t xml:space="preserve">
Sunshine Industries
(580)226-1444
sunshineindustires.com</t>
        </r>
      </text>
    </comment>
  </commentList>
</comments>
</file>

<file path=xl/comments3.xml><?xml version="1.0" encoding="utf-8"?>
<comments xmlns="http://schemas.openxmlformats.org/spreadsheetml/2006/main">
  <authors>
    <author>116295</author>
  </authors>
  <commentList>
    <comment ref="B2" authorId="0">
      <text>
        <r>
          <rPr>
            <b/>
            <sz val="8"/>
            <color indexed="81"/>
            <rFont val="Tahoma"/>
            <family val="2"/>
          </rPr>
          <t>116295:</t>
        </r>
        <r>
          <rPr>
            <sz val="8"/>
            <color indexed="81"/>
            <rFont val="Tahoma"/>
            <family val="2"/>
          </rPr>
          <t xml:space="preserve">
Center of Family Love
(405)263-4935</t>
        </r>
      </text>
    </comment>
    <comment ref="B3" authorId="0">
      <text>
        <r>
          <rPr>
            <b/>
            <sz val="8"/>
            <color indexed="81"/>
            <rFont val="Tahoma"/>
            <family val="2"/>
          </rPr>
          <t>116295:</t>
        </r>
        <r>
          <rPr>
            <sz val="8"/>
            <color indexed="81"/>
            <rFont val="Tahoma"/>
            <family val="2"/>
          </rPr>
          <t xml:space="preserve">
Center of Family Love
(405)263-4935</t>
        </r>
      </text>
    </comment>
    <comment ref="B4" authorId="0">
      <text>
        <r>
          <rPr>
            <b/>
            <sz val="8"/>
            <color indexed="81"/>
            <rFont val="Tahoma"/>
            <family val="2"/>
          </rPr>
          <t>116295:</t>
        </r>
        <r>
          <rPr>
            <sz val="8"/>
            <color indexed="81"/>
            <rFont val="Tahoma"/>
            <family val="2"/>
          </rPr>
          <t xml:space="preserve">
Center of Family Love
(405)263-4935</t>
        </r>
      </text>
    </comment>
    <comment ref="B5" authorId="0">
      <text>
        <r>
          <rPr>
            <b/>
            <sz val="8"/>
            <color indexed="81"/>
            <rFont val="Tahoma"/>
            <family val="2"/>
          </rPr>
          <t>116295:</t>
        </r>
        <r>
          <rPr>
            <sz val="8"/>
            <color indexed="81"/>
            <rFont val="Tahoma"/>
            <family val="2"/>
          </rPr>
          <t xml:space="preserve">
Center of Family Love
(405)263-4935</t>
        </r>
      </text>
    </comment>
    <comment ref="B6" authorId="0">
      <text>
        <r>
          <rPr>
            <b/>
            <sz val="8"/>
            <color indexed="81"/>
            <rFont val="Tahoma"/>
            <family val="2"/>
          </rPr>
          <t>116295:</t>
        </r>
        <r>
          <rPr>
            <sz val="8"/>
            <color indexed="81"/>
            <rFont val="Tahoma"/>
            <family val="2"/>
          </rPr>
          <t xml:space="preserve">
Center of Family Love
(405)263-4935</t>
        </r>
      </text>
    </comment>
    <comment ref="B7" authorId="0">
      <text>
        <r>
          <rPr>
            <b/>
            <sz val="8"/>
            <color indexed="81"/>
            <rFont val="Tahoma"/>
            <family val="2"/>
          </rPr>
          <t>116295:</t>
        </r>
        <r>
          <rPr>
            <sz val="8"/>
            <color indexed="81"/>
            <rFont val="Tahoma"/>
            <family val="2"/>
          </rPr>
          <t xml:space="preserve">
Center of Family Love
(405)263-4935</t>
        </r>
      </text>
    </comment>
    <comment ref="B8" authorId="0">
      <text>
        <r>
          <rPr>
            <b/>
            <sz val="8"/>
            <color indexed="81"/>
            <rFont val="Tahoma"/>
            <family val="2"/>
          </rPr>
          <t>116295:</t>
        </r>
        <r>
          <rPr>
            <sz val="8"/>
            <color indexed="81"/>
            <rFont val="Tahoma"/>
            <family val="2"/>
          </rPr>
          <t xml:space="preserve">
Center of Family Love
(405)263-4935</t>
        </r>
      </text>
    </comment>
    <comment ref="B9" authorId="0">
      <text>
        <r>
          <rPr>
            <b/>
            <sz val="8"/>
            <color indexed="81"/>
            <rFont val="Tahoma"/>
            <family val="2"/>
          </rPr>
          <t>116295:</t>
        </r>
        <r>
          <rPr>
            <sz val="8"/>
            <color indexed="81"/>
            <rFont val="Tahoma"/>
            <family val="2"/>
          </rPr>
          <t xml:space="preserve">
Center of Family Love
(405)263-4935</t>
        </r>
      </text>
    </comment>
    <comment ref="B10" authorId="0">
      <text>
        <r>
          <rPr>
            <b/>
            <sz val="8"/>
            <color indexed="81"/>
            <rFont val="Tahoma"/>
            <family val="2"/>
          </rPr>
          <t>116295:</t>
        </r>
        <r>
          <rPr>
            <sz val="8"/>
            <color indexed="81"/>
            <rFont val="Tahoma"/>
            <family val="2"/>
          </rPr>
          <t xml:space="preserve">
Center of Family Love
(405)263-4935</t>
        </r>
      </text>
    </comment>
    <comment ref="B11" authorId="0">
      <text>
        <r>
          <rPr>
            <b/>
            <sz val="8"/>
            <color indexed="81"/>
            <rFont val="Tahoma"/>
            <family val="2"/>
          </rPr>
          <t>116295:</t>
        </r>
        <r>
          <rPr>
            <sz val="8"/>
            <color indexed="81"/>
            <rFont val="Tahoma"/>
            <family val="2"/>
          </rPr>
          <t xml:space="preserve">
Center of Family Love
(405)263-4935</t>
        </r>
      </text>
    </comment>
    <comment ref="B12" authorId="0">
      <text>
        <r>
          <rPr>
            <b/>
            <sz val="8"/>
            <color indexed="81"/>
            <rFont val="Tahoma"/>
            <family val="2"/>
          </rPr>
          <t>116295:</t>
        </r>
        <r>
          <rPr>
            <sz val="8"/>
            <color indexed="81"/>
            <rFont val="Tahoma"/>
            <family val="2"/>
          </rPr>
          <t xml:space="preserve">
Center of Family Love
(405)263-4935</t>
        </r>
      </text>
    </comment>
    <comment ref="B13" authorId="0">
      <text>
        <r>
          <rPr>
            <b/>
            <sz val="8"/>
            <color indexed="81"/>
            <rFont val="Tahoma"/>
            <family val="2"/>
          </rPr>
          <t>116295:</t>
        </r>
        <r>
          <rPr>
            <sz val="8"/>
            <color indexed="81"/>
            <rFont val="Tahoma"/>
            <family val="2"/>
          </rPr>
          <t xml:space="preserve">
Center of Family Love
(405)263-4935</t>
        </r>
      </text>
    </comment>
    <comment ref="B14" authorId="0">
      <text>
        <r>
          <rPr>
            <b/>
            <sz val="8"/>
            <color indexed="81"/>
            <rFont val="Tahoma"/>
            <family val="2"/>
          </rPr>
          <t>116295:</t>
        </r>
        <r>
          <rPr>
            <sz val="8"/>
            <color indexed="81"/>
            <rFont val="Tahoma"/>
            <family val="2"/>
          </rPr>
          <t xml:space="preserve">
Center of Family Love
(405)263-4935</t>
        </r>
      </text>
    </comment>
    <comment ref="B15" authorId="0">
      <text>
        <r>
          <rPr>
            <b/>
            <sz val="8"/>
            <color indexed="81"/>
            <rFont val="Tahoma"/>
            <family val="2"/>
          </rPr>
          <t>116295:</t>
        </r>
        <r>
          <rPr>
            <sz val="8"/>
            <color indexed="81"/>
            <rFont val="Tahoma"/>
            <family val="2"/>
          </rPr>
          <t xml:space="preserve">
Center of Family Love
(405)263-4935</t>
        </r>
      </text>
    </comment>
    <comment ref="B16" authorId="0">
      <text>
        <r>
          <rPr>
            <b/>
            <sz val="8"/>
            <color indexed="81"/>
            <rFont val="Tahoma"/>
            <family val="2"/>
          </rPr>
          <t>116295:</t>
        </r>
        <r>
          <rPr>
            <sz val="8"/>
            <color indexed="81"/>
            <rFont val="Tahoma"/>
            <family val="2"/>
          </rPr>
          <t xml:space="preserve">
Center of Family Love
(405)263-4935</t>
        </r>
      </text>
    </comment>
  </commentList>
</comments>
</file>

<file path=xl/sharedStrings.xml><?xml version="1.0" encoding="utf-8"?>
<sst xmlns="http://schemas.openxmlformats.org/spreadsheetml/2006/main" count="16593" uniqueCount="935">
  <si>
    <t>Mpower</t>
  </si>
  <si>
    <t>Goodwill OKC</t>
  </si>
  <si>
    <t>Opportunity Center</t>
  </si>
  <si>
    <t>Vendor</t>
  </si>
  <si>
    <t>Able</t>
  </si>
  <si>
    <t>EARC</t>
  </si>
  <si>
    <t>Golden Rule</t>
  </si>
  <si>
    <t>Goodwill SW OK</t>
  </si>
  <si>
    <t>Help Works</t>
  </si>
  <si>
    <t>Home of Hope</t>
  </si>
  <si>
    <t>INCA</t>
  </si>
  <si>
    <t>Life Circles</t>
  </si>
  <si>
    <t>New Horizons</t>
  </si>
  <si>
    <t>Outback</t>
  </si>
  <si>
    <t>People Inc</t>
  </si>
  <si>
    <t>Sagebrush</t>
  </si>
  <si>
    <t>Sequoyah Therapy</t>
  </si>
  <si>
    <t>People First</t>
  </si>
  <si>
    <t>Southwest Enterprises</t>
  </si>
  <si>
    <t>Searchlight</t>
  </si>
  <si>
    <t>Item</t>
  </si>
  <si>
    <t>Description</t>
  </si>
  <si>
    <t>UOM</t>
  </si>
  <si>
    <t>Apex</t>
  </si>
  <si>
    <t>Dale Rodgers</t>
  </si>
  <si>
    <t>SW001</t>
  </si>
  <si>
    <t>SW917</t>
  </si>
  <si>
    <t>SW022</t>
  </si>
  <si>
    <t>SW916</t>
  </si>
  <si>
    <t>Galt</t>
  </si>
  <si>
    <t>SW800</t>
  </si>
  <si>
    <t>Garvin</t>
  </si>
  <si>
    <t>Goodwill
Tulsa</t>
  </si>
  <si>
    <t>SW801</t>
  </si>
  <si>
    <t>Kiamichi</t>
  </si>
  <si>
    <t>SW172</t>
  </si>
  <si>
    <t>SW131</t>
  </si>
  <si>
    <t>SW097</t>
  </si>
  <si>
    <t>Kibois</t>
  </si>
  <si>
    <t>SW700</t>
  </si>
  <si>
    <t>SW015</t>
  </si>
  <si>
    <t>McCalls</t>
  </si>
  <si>
    <t>SW177</t>
  </si>
  <si>
    <t>Meadows</t>
  </si>
  <si>
    <t>New View</t>
  </si>
  <si>
    <t>OPC</t>
  </si>
  <si>
    <t>SW772</t>
  </si>
  <si>
    <t>Options Inc</t>
  </si>
  <si>
    <t>Outreach</t>
  </si>
  <si>
    <t>SW203</t>
  </si>
  <si>
    <t>CORRECT FLUID:22 ml btl Whit-Multi-purp-universal app-no thinr req.~Multi-purpose correction fluid for everything safety, universal applications, no thinner requir- ed - 22 ml btl White</t>
  </si>
  <si>
    <t>Power Shop</t>
  </si>
  <si>
    <t>Quality Ent</t>
  </si>
  <si>
    <t>Rambo</t>
  </si>
  <si>
    <t>Reliant</t>
  </si>
  <si>
    <t>Rogers Cty</t>
  </si>
  <si>
    <t>SW915</t>
  </si>
  <si>
    <t>SCI</t>
  </si>
  <si>
    <t>SW104</t>
  </si>
  <si>
    <t>SW064</t>
  </si>
  <si>
    <t>SW078</t>
  </si>
  <si>
    <t>SW803</t>
  </si>
  <si>
    <t>Sertoma</t>
  </si>
  <si>
    <t>Sunshine</t>
  </si>
  <si>
    <t>WAC</t>
  </si>
  <si>
    <t>PS#</t>
  </si>
  <si>
    <t>$</t>
  </si>
  <si>
    <t>Building Cleaning Services</t>
  </si>
  <si>
    <t>Vinyl Tape</t>
  </si>
  <si>
    <t>Location Stake</t>
  </si>
  <si>
    <t>Eye Shields</t>
  </si>
  <si>
    <t>SW</t>
  </si>
  <si>
    <t>Security Guard Services</t>
  </si>
  <si>
    <t>Safety Vests</t>
  </si>
  <si>
    <t>Air Filters</t>
  </si>
  <si>
    <t>Freight Fee</t>
  </si>
  <si>
    <t>Binders</t>
  </si>
  <si>
    <t>Adjustable Picture Frames</t>
  </si>
  <si>
    <t>Preassembled Wood Picture Frames</t>
  </si>
  <si>
    <t>Plastic Picture Frames</t>
  </si>
  <si>
    <t>Frame Kits</t>
  </si>
  <si>
    <t>Permanent Clerical or Administrative Assistance</t>
  </si>
  <si>
    <t>Temporary Warehouse Staff</t>
  </si>
  <si>
    <t>Temp IT Software Developers</t>
  </si>
  <si>
    <t>Individual Health Assessment</t>
  </si>
  <si>
    <t>Employment Services</t>
  </si>
  <si>
    <t>Temp Personnel Services</t>
  </si>
  <si>
    <t>Computer Vocational Training Services</t>
  </si>
  <si>
    <t>Government Department Services</t>
  </si>
  <si>
    <t>Chairs</t>
  </si>
  <si>
    <t>Wall Clocks</t>
  </si>
  <si>
    <t>Signal Flare</t>
  </si>
  <si>
    <t>Folders</t>
  </si>
  <si>
    <t>Printer or Fax or Copier Cleaning Supplies</t>
  </si>
  <si>
    <t>Printer/Fax/Copier Drums</t>
  </si>
  <si>
    <t>Fax Ribbons</t>
  </si>
  <si>
    <t>Fusers</t>
  </si>
  <si>
    <t>Photoconductor or Imaging Units</t>
  </si>
  <si>
    <t>Ink Cartridges</t>
  </si>
  <si>
    <t>Printer or Facsimile Toner</t>
  </si>
  <si>
    <t>Ink Sticks</t>
  </si>
  <si>
    <t>Printer Maintenance Kit</t>
  </si>
  <si>
    <t>Printheads</t>
  </si>
  <si>
    <t>Typewriter Ribbon</t>
  </si>
  <si>
    <t>Facsimile Ribbons</t>
  </si>
  <si>
    <t>Printer Ribbon</t>
  </si>
  <si>
    <t>Calculator Ribbons</t>
  </si>
  <si>
    <t>Staples</t>
  </si>
  <si>
    <t>TONER:BRO Item # TN330-BRT, Brother toner,(Yld 1.5k) for Laser Printers HL-2140, HL-2170W, All in One MFC7440N, Multifunction Laser Printers. MFC7340, MFC7840W, Multifunction Laser Printer (DCP-7040) Monochrome Laser Printer (DCP-7030)</t>
  </si>
  <si>
    <t>Kit for Printer</t>
  </si>
  <si>
    <t>Transfer Rolls</t>
  </si>
  <si>
    <t>Toner Collectors</t>
  </si>
  <si>
    <t>Condoms</t>
  </si>
  <si>
    <t>Dried Beans</t>
  </si>
  <si>
    <t>Dipping Sauces or Condiments or Spreads</t>
  </si>
  <si>
    <t>Salad Dressing or Dips</t>
  </si>
  <si>
    <t>Jams or Jellies or Friut Preserves</t>
  </si>
  <si>
    <t>Spices or Extracts</t>
  </si>
  <si>
    <t>Seasoning Mix</t>
  </si>
  <si>
    <t>Cooking or Table Salt</t>
  </si>
  <si>
    <t>Natural Sugars or Sweetening Products</t>
  </si>
  <si>
    <t>Syrups</t>
  </si>
  <si>
    <t>Flavours or Extracts</t>
  </si>
  <si>
    <t>Coffee</t>
  </si>
  <si>
    <t>Shelf Stable Plain Pasta or Noodles</t>
  </si>
  <si>
    <t>Laundry Products</t>
  </si>
  <si>
    <t>Laundry Services</t>
  </si>
  <si>
    <t>Highway &amp; Road Maintenance Service</t>
  </si>
  <si>
    <t>Infant Diapers</t>
  </si>
  <si>
    <t>Hospital Underpads</t>
  </si>
  <si>
    <t>Disposable Personal Wipes</t>
  </si>
  <si>
    <t>Feminine Hygiene Products</t>
  </si>
  <si>
    <t>Document Destruction Services</t>
  </si>
  <si>
    <t>Emergency Medical Services First Aid Kits</t>
  </si>
  <si>
    <t>Urinal or Toilet Accessories</t>
  </si>
  <si>
    <t>Fire Hoses or Nozzles</t>
  </si>
  <si>
    <t>Recycling or Fluorescent Lamps</t>
  </si>
  <si>
    <t>Recycling of Lamp Ballasts</t>
  </si>
  <si>
    <t>Recycling of Hazardous Waste</t>
  </si>
  <si>
    <t>Shower Curtain or Assembly</t>
  </si>
  <si>
    <t>Domestic Disposable Stirrers</t>
  </si>
  <si>
    <t>Domestic Disposable Dishes</t>
  </si>
  <si>
    <t>Sweeteners</t>
  </si>
  <si>
    <t>Fecal Incontinence Collection Bag or Accessory</t>
  </si>
  <si>
    <t>Correction Fluid</t>
  </si>
  <si>
    <t>Erasers</t>
  </si>
  <si>
    <t>Mechanical Pencils</t>
  </si>
  <si>
    <t>Wooden Pencils</t>
  </si>
  <si>
    <t>Correction Film or Tape</t>
  </si>
  <si>
    <t>Underpants</t>
  </si>
  <si>
    <t>Brassieres</t>
  </si>
  <si>
    <t>Deodorizers</t>
  </si>
  <si>
    <t>Air Freshener Dispensers</t>
  </si>
  <si>
    <t>Medical Exam or Non Surgical Procedure Gloves</t>
  </si>
  <si>
    <t>Surgical Gloves</t>
  </si>
  <si>
    <t>Medical Staff Isolation or Surgical Masks</t>
  </si>
  <si>
    <t>Savings Mobilization Programs</t>
  </si>
  <si>
    <t>Facial Tissues</t>
  </si>
  <si>
    <t>Toilet Tissue</t>
  </si>
  <si>
    <t>Paper Towels</t>
  </si>
  <si>
    <t>Paper Towel Dispensers</t>
  </si>
  <si>
    <t>Toilet Tissue Dispensers</t>
  </si>
  <si>
    <t>Cleaning Cloths or Wipes</t>
  </si>
  <si>
    <t>Rags</t>
  </si>
  <si>
    <t>Soaps</t>
  </si>
  <si>
    <t>Hand or Body Lotion or Oil</t>
  </si>
  <si>
    <t>Skin Care Products</t>
  </si>
  <si>
    <t>Deodorants</t>
  </si>
  <si>
    <t>Hair Combs or Brushes</t>
  </si>
  <si>
    <t>Hair Care</t>
  </si>
  <si>
    <t>Shampoos</t>
  </si>
  <si>
    <t>Razors</t>
  </si>
  <si>
    <t>Shaving Creams</t>
  </si>
  <si>
    <t>Sandals</t>
  </si>
  <si>
    <t>Toothbrushes</t>
  </si>
  <si>
    <t>Toothbrush or Tumbler Holder</t>
  </si>
  <si>
    <t>Toothpaste</t>
  </si>
  <si>
    <t>Mouthwash</t>
  </si>
  <si>
    <t>Denture Adhesive</t>
  </si>
  <si>
    <t>Denture Cleaning Tablets</t>
  </si>
  <si>
    <t>Applicator Swabs and Cotton Balls</t>
  </si>
  <si>
    <t>Patient Care Admission Kits</t>
  </si>
  <si>
    <t>Socks</t>
  </si>
  <si>
    <t>Toilet Seat Covers</t>
  </si>
  <si>
    <t>Lip Balm</t>
  </si>
  <si>
    <t>Pen or Pencil Holders</t>
  </si>
  <si>
    <t>Ball Point Pens</t>
  </si>
  <si>
    <t>Rollerball Pens</t>
  </si>
  <si>
    <t>Fountain Pens</t>
  </si>
  <si>
    <t>Ink and Lead Refills</t>
  </si>
  <si>
    <t>Felt Pen</t>
  </si>
  <si>
    <t>Markers</t>
  </si>
  <si>
    <t>Marker Refills</t>
  </si>
  <si>
    <t>Highlighters</t>
  </si>
  <si>
    <t>Dry Erase Boards or Accessories</t>
  </si>
  <si>
    <t>Gel Pens</t>
  </si>
  <si>
    <t>Protective Gloves</t>
  </si>
  <si>
    <t>Read Write Compact Disc CD</t>
  </si>
  <si>
    <t>Blank Video Tapes</t>
  </si>
  <si>
    <t>Compact Disk Cases</t>
  </si>
  <si>
    <t>Digital Versatile Disk DVDs</t>
  </si>
  <si>
    <t>CD Duplication and Printing Services</t>
  </si>
  <si>
    <t>Television Related Services</t>
  </si>
  <si>
    <t>Read Write Digital Versatile Disk DVD</t>
  </si>
  <si>
    <t>Compact Disk CDs</t>
  </si>
  <si>
    <t>Cat Desc</t>
  </si>
  <si>
    <t>Cat</t>
  </si>
  <si>
    <t>Ln</t>
  </si>
  <si>
    <t>SUV</t>
  </si>
  <si>
    <t>MACARONI:100% pure semolina fl~Macaroni Cut 100% pure semolina flour salt &amp; water only container must be water proof, must be purchased in 20# boxes.~CUT, 100% PURE SEMOLINE FLOUR SALT &amp; WATER ONLY CONTAINER MU</t>
  </si>
  <si>
    <t>South Central (405)275-3851</t>
  </si>
  <si>
    <t>Able (405)329-3960</t>
  </si>
  <si>
    <t>EARC (405)341-3535</t>
  </si>
  <si>
    <t>Galt (405)488-2501</t>
  </si>
  <si>
    <t>Golden Rule (918)683-5505</t>
  </si>
  <si>
    <t>Goodwill OKC (405)278-7117</t>
  </si>
  <si>
    <t>Goodwill SW OK (580)355-2163</t>
  </si>
  <si>
    <t>Goodwill Tulsa (918)584-7291</t>
  </si>
  <si>
    <t>Help Works (918)287-1588</t>
  </si>
  <si>
    <t>Home of Hope (918)944-0415</t>
  </si>
  <si>
    <t>Kiamichi (580)326-7549</t>
  </si>
  <si>
    <t>Life Circles (405)247-2055</t>
  </si>
  <si>
    <t>McCall's (580)272-6655</t>
  </si>
  <si>
    <t>Mpower (405)377-0834</t>
  </si>
  <si>
    <t>New View OK (405)232-4644</t>
  </si>
  <si>
    <t>OK Production Center (918)456-1929</t>
  </si>
  <si>
    <t>Reliant Living (405)677-2421</t>
  </si>
  <si>
    <t>Rogers County WTC (918)944-0415</t>
  </si>
  <si>
    <t>Sagebrush (580)928-5715</t>
  </si>
  <si>
    <t>Sequoyah Therapy (918)775-7797</t>
  </si>
  <si>
    <t>Sunshine (580)226-1444</t>
  </si>
  <si>
    <t>Garvin CCLC (405)238-3888</t>
  </si>
  <si>
    <t>Apex (405)247-7377</t>
  </si>
  <si>
    <t>Dale Rogers (405)946-1079</t>
  </si>
  <si>
    <t>Printing Services</t>
  </si>
  <si>
    <t>Banner, Vinyl</t>
  </si>
  <si>
    <t>Call Center Operation</t>
  </si>
  <si>
    <t>Collating/Sorting Services</t>
  </si>
  <si>
    <t>Opportunity Center (580)765-6782</t>
  </si>
  <si>
    <t>Document Imaging Services</t>
  </si>
  <si>
    <t>Embroidery Services</t>
  </si>
  <si>
    <t>Imprinted Products &amp; Services</t>
  </si>
  <si>
    <t>Large Format Digital Printing</t>
  </si>
  <si>
    <t>Mailing Services</t>
  </si>
  <si>
    <t>Medals</t>
  </si>
  <si>
    <t>Napkin Monogramming</t>
  </si>
  <si>
    <t>Packaging Services</t>
  </si>
  <si>
    <t>Paper Shredding (non-secure)</t>
  </si>
  <si>
    <t>Plaques, All Types</t>
  </si>
  <si>
    <t>Promotional Items</t>
  </si>
  <si>
    <t>Recycling Services</t>
  </si>
  <si>
    <t>Screen Printed Products (+ silk)</t>
  </si>
  <si>
    <t>Screen Printing (include silk)</t>
  </si>
  <si>
    <t>Signs, All Types</t>
  </si>
  <si>
    <t>Tote Bags</t>
  </si>
  <si>
    <t>Trophies</t>
  </si>
  <si>
    <t>Washcloths</t>
  </si>
  <si>
    <t>Power Shop (580)580-4516</t>
  </si>
  <si>
    <t>Award Items</t>
  </si>
  <si>
    <t>Drug Testing Kits</t>
  </si>
  <si>
    <t>Biohazard Kits</t>
  </si>
  <si>
    <t>Assembly Services</t>
  </si>
  <si>
    <t>Litter Removal Services, Excluding Highway</t>
  </si>
  <si>
    <t>Mid Del Group Homes (405)732-8568</t>
  </si>
  <si>
    <t>Apron, Cloth &amp; Disposable</t>
  </si>
  <si>
    <t>Badges/Decals</t>
  </si>
  <si>
    <t>Bags, Laundry</t>
  </si>
  <si>
    <t>Bags, Sand</t>
  </si>
  <si>
    <t>Suitable to Procure</t>
  </si>
  <si>
    <t>Acrylic Awards</t>
  </si>
  <si>
    <t>EmployAbility (918)336-5928</t>
  </si>
  <si>
    <t>Faith 7 (405)275-4223</t>
  </si>
  <si>
    <t>Options Inc (918)473-2614</t>
  </si>
  <si>
    <t>Outback Resource (405)282-0205</t>
  </si>
  <si>
    <t>People, Inc. (918)775-7797</t>
  </si>
  <si>
    <t>Bedspreads</t>
  </si>
  <si>
    <t>Blankets, Disposable</t>
  </si>
  <si>
    <t>Braille Signage Services</t>
  </si>
  <si>
    <t>Candles</t>
  </si>
  <si>
    <t xml:space="preserve">Car Washing </t>
  </si>
  <si>
    <t>CNC Machining Services 
(manufacturing of metal and plastic parts)</t>
  </si>
  <si>
    <t>Southwest Enterprises (580)482-5040</t>
  </si>
  <si>
    <t>First Aid Kit Refill Service</t>
  </si>
  <si>
    <t>Greeting Cards, Hand-Made</t>
  </si>
  <si>
    <t>Grounds Maintenance</t>
  </si>
  <si>
    <t>Lawn Care Services (Grounds Maint)</t>
  </si>
  <si>
    <t>Machining Services, CNC (metal and plastic)</t>
  </si>
  <si>
    <t>Metal Parts, Manufactured</t>
  </si>
  <si>
    <t>Name Badges &amp; Name Tags</t>
  </si>
  <si>
    <t>Name Plates</t>
  </si>
  <si>
    <t>Nightgowns</t>
  </si>
  <si>
    <t>Paper Plates, Bowls &amp; Cups</t>
  </si>
  <si>
    <t>Photograph Enlargement</t>
  </si>
  <si>
    <t>Pillow Cases</t>
  </si>
  <si>
    <t>Pillows</t>
  </si>
  <si>
    <t>Pillows, CPAP</t>
  </si>
  <si>
    <t>Plastic Parts, Manufactured</t>
  </si>
  <si>
    <t>Print Management Services</t>
  </si>
  <si>
    <t>Reflective Arm &amp; Ankle Bands</t>
  </si>
  <si>
    <t>Reflective Belts</t>
  </si>
  <si>
    <t>Sheets &amp; Blankets</t>
  </si>
  <si>
    <t>Sleepwear</t>
  </si>
  <si>
    <t>Solid Waste Trash Removal</t>
  </si>
  <si>
    <t>Sweatbands</t>
  </si>
  <si>
    <t>Towels, Cloth, Dish, Terry</t>
  </si>
  <si>
    <t>Vehicle Cleaning &amp; Maintenance</t>
  </si>
  <si>
    <t>Wood Pallets</t>
  </si>
  <si>
    <t>SW320</t>
  </si>
  <si>
    <t>Qualified Organization</t>
  </si>
  <si>
    <t>ID#</t>
  </si>
  <si>
    <t>Website</t>
  </si>
  <si>
    <t>Phone</t>
  </si>
  <si>
    <t>P-Card</t>
  </si>
  <si>
    <t>Able Community Based Services</t>
  </si>
  <si>
    <t>0000074079</t>
  </si>
  <si>
    <t>300 N Crawford Ave
Norman, OK 73069</t>
  </si>
  <si>
    <t>www.ableok.org</t>
  </si>
  <si>
    <t>405-329-3960</t>
  </si>
  <si>
    <t>jane@ableok.org</t>
  </si>
  <si>
    <t>Yes</t>
  </si>
  <si>
    <t>Apex, Inc</t>
  </si>
  <si>
    <t>0000074292</t>
  </si>
  <si>
    <t>117 SE 1st St
Anadarko, OK 73005</t>
  </si>
  <si>
    <t>www.apexok.com</t>
  </si>
  <si>
    <t>405-247-7377</t>
  </si>
  <si>
    <t>Center of Family Love</t>
  </si>
  <si>
    <t>0000073908</t>
  </si>
  <si>
    <t>635 W Texas Ave
Okarche, OK  73762</t>
  </si>
  <si>
    <t>www.centeroffamilylove.org</t>
  </si>
  <si>
    <t>Dale Rogers Training Center</t>
  </si>
  <si>
    <t>0000072426</t>
  </si>
  <si>
    <t>2501 N Utah
Oklahoma City, OK  73107</t>
  </si>
  <si>
    <t>www.drtc.org</t>
  </si>
  <si>
    <t>405-946-1079</t>
  </si>
  <si>
    <t>mclaunch@drtc.org</t>
  </si>
  <si>
    <t>0000074392</t>
  </si>
  <si>
    <t>1617 S Main 
Jay, OK  74346</t>
  </si>
  <si>
    <t>www.delawarecountyfriendshiphomes.com</t>
  </si>
  <si>
    <t>No</t>
  </si>
  <si>
    <t>EARC Trails Workshop</t>
  </si>
  <si>
    <t>0000079082</t>
  </si>
  <si>
    <t>425 Westland Dr
Edmond, OK 73013</t>
  </si>
  <si>
    <t>www.earcinc.org</t>
  </si>
  <si>
    <t>EmployAbility, Inc.</t>
  </si>
  <si>
    <t>0000073089</t>
  </si>
  <si>
    <t>501 SW Virginia
Bartlesville, OK 74003</t>
  </si>
  <si>
    <t>www.employabilityok.com</t>
  </si>
  <si>
    <t>Faith 7 Activity Center</t>
  </si>
  <si>
    <t>0000057746</t>
  </si>
  <si>
    <t>301 S Kennedy
Shawnee, OK  74802</t>
  </si>
  <si>
    <t>405-275-4223</t>
  </si>
  <si>
    <t>kscrutchins@aol.com</t>
  </si>
  <si>
    <t>Galt Foundation</t>
  </si>
  <si>
    <t>0000067055</t>
  </si>
  <si>
    <t>www.galtfoundation.org</t>
  </si>
  <si>
    <t>0000074042</t>
  </si>
  <si>
    <t>1800 Enterprise Blvd
Pauls Valley, OK 73075</t>
  </si>
  <si>
    <t>www.gcclc.com</t>
  </si>
  <si>
    <t>Golden Rule of Muskogee, Inc.</t>
  </si>
  <si>
    <t>0000079316</t>
  </si>
  <si>
    <t>2022 W Shawnee St
Muskogee, OK 74401</t>
  </si>
  <si>
    <t>918-683-5505</t>
  </si>
  <si>
    <t>0000056324</t>
  </si>
  <si>
    <t>316 S Blackwelder Ave 
Oklahoma City, OK 73108</t>
  </si>
  <si>
    <t>www.okgoodwill.org</t>
  </si>
  <si>
    <t>Goodwill Industries of Southwest Oklahoma &amp; North Texas</t>
  </si>
  <si>
    <t>0000072443</t>
  </si>
  <si>
    <t>1210 Summit Ave
Lawton, OK 73501</t>
  </si>
  <si>
    <t>www.goodwillsont.org</t>
  </si>
  <si>
    <t>Goodwill Industries of Tulsa, Inc.</t>
  </si>
  <si>
    <t>0000056294</t>
  </si>
  <si>
    <t>2800 Southwest Blvd
Tulsa, OK 74107</t>
  </si>
  <si>
    <t>www.goodwilltulsa.org</t>
  </si>
  <si>
    <t>918-584-7291</t>
  </si>
  <si>
    <t>Help Works, Inc</t>
  </si>
  <si>
    <t>0000073658</t>
  </si>
  <si>
    <t>219 Lincoln St
Pawhuska, OK 74056</t>
  </si>
  <si>
    <t>0000064520</t>
  </si>
  <si>
    <t>960 W Hope Ave
Vinita, OK 74301</t>
  </si>
  <si>
    <t>www.homeofhope.com</t>
  </si>
  <si>
    <t>INCA Career Opportunities</t>
  </si>
  <si>
    <t>0000072872</t>
  </si>
  <si>
    <t>301 W 10th St
Atoka, OK 74525</t>
  </si>
  <si>
    <t>www.incacaa.org</t>
  </si>
  <si>
    <t>Kiamichi Opportunities, Inc.</t>
  </si>
  <si>
    <t>0000074288</t>
  </si>
  <si>
    <t>www.kiamichiopportunities.com</t>
  </si>
  <si>
    <t>0000072760</t>
  </si>
  <si>
    <t>www.kibois.org</t>
  </si>
  <si>
    <t>Life Circles, Inc.</t>
  </si>
  <si>
    <t>0000317874</t>
  </si>
  <si>
    <t>308 Wilson Rd
Weatherford, OK 73096</t>
  </si>
  <si>
    <t>McCall's Chapel School</t>
  </si>
  <si>
    <t>0000079007</t>
  </si>
  <si>
    <t>13546 County Rd 3600
Ada, OK 74820-1276</t>
  </si>
  <si>
    <t>0000073926</t>
  </si>
  <si>
    <t>1000 S Kelly Edmond, OK 73003</t>
  </si>
  <si>
    <t>www.meadowsoklahoma.com</t>
  </si>
  <si>
    <t>405-348-4470</t>
  </si>
  <si>
    <t>Mid-Del Group Homes Workshop</t>
  </si>
  <si>
    <t>0000074241</t>
  </si>
  <si>
    <t>1540 Republic Cir
Midwest City, OK 73110</t>
  </si>
  <si>
    <t>www.mdgh.org</t>
  </si>
  <si>
    <t>405-732-8568</t>
  </si>
  <si>
    <t>0000072956</t>
  </si>
  <si>
    <t>516 Expo Circle S
Stillwater, OK 74075</t>
  </si>
  <si>
    <t>405-377-0834</t>
  </si>
  <si>
    <t>New Horizons Unlimited, Inc.</t>
  </si>
  <si>
    <t>0000074187</t>
  </si>
  <si>
    <t>14773 CR 3544
Ada, OK 74821-2483</t>
  </si>
  <si>
    <t>0000056253</t>
  </si>
  <si>
    <t>501 N Douglas Ave
Oklahoma City, OK 73106</t>
  </si>
  <si>
    <t>www.newviewoklahoma.org</t>
  </si>
  <si>
    <t>405-232-4644</t>
  </si>
  <si>
    <t>Oklahoma Production Center, Inc.</t>
  </si>
  <si>
    <t>0000073947</t>
  </si>
  <si>
    <t>216 West Ave
Tahlequah, OK 74464</t>
  </si>
  <si>
    <t>www.opcdd.com</t>
  </si>
  <si>
    <t>918-456-1929</t>
  </si>
  <si>
    <t>opcdd@sbcglobal.net</t>
  </si>
  <si>
    <t>Options Inc.</t>
  </si>
  <si>
    <t>0000079067</t>
  </si>
  <si>
    <t>214 SE 2nd
Checotah, OK 74426-4004</t>
  </si>
  <si>
    <t>918-473-2614</t>
  </si>
  <si>
    <t>optionsinc@valornet.com</t>
  </si>
  <si>
    <t>Outback Resource Opportunities, Inc.</t>
  </si>
  <si>
    <t>0000250478</t>
  </si>
  <si>
    <t>1900 W Harrison Ave
Guthrie, OK 73044</t>
  </si>
  <si>
    <t>405-282-0205</t>
  </si>
  <si>
    <t>juliehp@cox.net</t>
  </si>
  <si>
    <t>Outreach Community Janitorial, Inc.</t>
  </si>
  <si>
    <t>0000337761</t>
  </si>
  <si>
    <t>208 Magnolia Blossom Ct
Yukon, OK  73099</t>
  </si>
  <si>
    <t>outreachcommunity@hotmail.com</t>
  </si>
  <si>
    <t>People, Inc. of Sequoyah County</t>
  </si>
  <si>
    <t>0000058596</t>
  </si>
  <si>
    <t>205 J.T. Stites
Sallisaw, OK 74955</t>
  </si>
  <si>
    <t>918-775-7797</t>
  </si>
  <si>
    <t>Power Shop, Inc.</t>
  </si>
  <si>
    <t>0000073769</t>
  </si>
  <si>
    <t>2103 W Beech
Duncan, OK 73533</t>
  </si>
  <si>
    <t>www.powershopinc.org</t>
  </si>
  <si>
    <t>Quality Enterprises of Lawton, Inc.</t>
  </si>
  <si>
    <t>0000074039</t>
  </si>
  <si>
    <t>414 SW Lee Blvd
Lawton, OK 73502</t>
  </si>
  <si>
    <t>580-248-1814</t>
  </si>
  <si>
    <t>qualityenterprisesoflawton@gmail.com</t>
  </si>
  <si>
    <t>Rambo Janitorial Service</t>
  </si>
  <si>
    <t>0000310116</t>
  </si>
  <si>
    <t>PO Box 30731
Midwest City, OK  73140</t>
  </si>
  <si>
    <t>adrambo@yahoo.com</t>
  </si>
  <si>
    <t>Reliant Living Centers of Oklahoma</t>
  </si>
  <si>
    <t>0000072437</t>
  </si>
  <si>
    <t>3317 SE 18th St
Del City, OK 73115</t>
  </si>
  <si>
    <t>www.reliantlivingcenters.com</t>
  </si>
  <si>
    <t>405-677-2421</t>
  </si>
  <si>
    <t>Rogers County Work Training Center</t>
  </si>
  <si>
    <t>0000068735</t>
  </si>
  <si>
    <t>2112 E.L. Anderson Blvd
Claremore, OK 74017</t>
  </si>
  <si>
    <t>Sagebrush, Inc.</t>
  </si>
  <si>
    <t>0000074374</t>
  </si>
  <si>
    <t>101 W Greer Ave
Sayre, OK  73662</t>
  </si>
  <si>
    <t>580-928-5715</t>
  </si>
  <si>
    <t>sagebrush.sayre@gmail.com</t>
  </si>
  <si>
    <t>Searchlight Center, Inc.</t>
  </si>
  <si>
    <t>0000058453</t>
  </si>
  <si>
    <t>902 S Park
Hobart, OK 73651</t>
  </si>
  <si>
    <t>580-726-6635</t>
  </si>
  <si>
    <t>Sequoyah Therapy, Inc.</t>
  </si>
  <si>
    <t>0000264980</t>
  </si>
  <si>
    <t>www.peopleinc.org</t>
  </si>
  <si>
    <t>Sertoma Handicapped Opportunity Programs, Inc. (SHOP)</t>
  </si>
  <si>
    <t>0000073316</t>
  </si>
  <si>
    <t>222 S Memorial
Tulsa, OK 74112</t>
  </si>
  <si>
    <t>www.sertomashop.com</t>
  </si>
  <si>
    <t>918-835-7467</t>
  </si>
  <si>
    <t>0000073549</t>
  </si>
  <si>
    <t>3324 Enterprise Blvd
Durant, OK 74701</t>
  </si>
  <si>
    <t>580-924-8509</t>
  </si>
  <si>
    <t>South Central Industries, Inc.</t>
  </si>
  <si>
    <t>0000073953</t>
  </si>
  <si>
    <t>130 N Louisa
Shawnee, OK 74802</t>
  </si>
  <si>
    <t>www.southcentralindustriesinc.com</t>
  </si>
  <si>
    <t>0000079014</t>
  </si>
  <si>
    <t>2208 Enterprise Dr
Altus, OK 73521</t>
  </si>
  <si>
    <t>www.socag.org</t>
  </si>
  <si>
    <t>Sunshine Industries, Inc.</t>
  </si>
  <si>
    <t>0000056794</t>
  </si>
  <si>
    <t>500 Park SE
Ardmore, OK 73401</t>
  </si>
  <si>
    <t>www.sunshine-industries.com</t>
  </si>
  <si>
    <t>580-226-1444</t>
  </si>
  <si>
    <t>Work Activity Center</t>
  </si>
  <si>
    <t>0000073367</t>
  </si>
  <si>
    <t>203 E Main St
Moore, OK 73160</t>
  </si>
  <si>
    <t>www.wacok.com</t>
  </si>
  <si>
    <t>405-799-6911</t>
  </si>
  <si>
    <t>wrkactyctr@yahoo.com</t>
  </si>
  <si>
    <t xml:space="preserve">918-253-6032
</t>
  </si>
  <si>
    <t xml:space="preserve">405-341-3535 </t>
  </si>
  <si>
    <t>918-336-5928</t>
  </si>
  <si>
    <t xml:space="preserve">405-235-4490
</t>
  </si>
  <si>
    <t xml:space="preserve">405-238-3888 </t>
  </si>
  <si>
    <t>405-278-7117</t>
  </si>
  <si>
    <t xml:space="preserve">580-355-2163 </t>
  </si>
  <si>
    <t>918-287-1588</t>
  </si>
  <si>
    <t>918-944-0415</t>
  </si>
  <si>
    <t>580-889-7393</t>
  </si>
  <si>
    <t>580-326-7549</t>
  </si>
  <si>
    <t>918-839-7405</t>
  </si>
  <si>
    <t xml:space="preserve">405 N 16th St
Hugo, OK 74743
</t>
  </si>
  <si>
    <t>ws1968@hotmail.com</t>
  </si>
  <si>
    <t>1711 College Ave
McAlester, OK 74501</t>
  </si>
  <si>
    <t>405-247-2055</t>
  </si>
  <si>
    <t>580-272-6655</t>
  </si>
  <si>
    <t>580-272-6836</t>
  </si>
  <si>
    <t>NewView Oklahoma</t>
  </si>
  <si>
    <t>MPower, Inc.</t>
  </si>
  <si>
    <t>580-252-4516</t>
  </si>
  <si>
    <t>405-706-5899</t>
  </si>
  <si>
    <t>jhalliday@shelteredwork.com</t>
  </si>
  <si>
    <t>405-275-3851</t>
  </si>
  <si>
    <t>580-482-5040</t>
  </si>
  <si>
    <t xml:space="preserve">103 E 32nd St 
Stillwater, OK 74074
</t>
  </si>
  <si>
    <t>Primary Email</t>
  </si>
  <si>
    <t xml:space="preserve">shammons@apexok.com </t>
  </si>
  <si>
    <t>execdirdcfh@brightok.net</t>
  </si>
  <si>
    <t>joyce@arcgrouphomes.org</t>
  </si>
  <si>
    <t>tbfoster@sbcglobal.net</t>
  </si>
  <si>
    <t>jweddington@okgoodwill.org</t>
  </si>
  <si>
    <t>jcrews@goodwillsont.org</t>
  </si>
  <si>
    <t>DOliver@GoodwillTulsa.org</t>
  </si>
  <si>
    <t>helpworks@sbcglobal.net</t>
  </si>
  <si>
    <t>greg.crawford@homeofhope.com</t>
  </si>
  <si>
    <t>incacodir@yahoo.com</t>
  </si>
  <si>
    <t>matt.gentry@kibois.org</t>
  </si>
  <si>
    <t>jennifer.bradshaw@joneshc.com</t>
  </si>
  <si>
    <t>t_doepke@yahoo.com</t>
  </si>
  <si>
    <t>meadowsokc@sbcglobal.net</t>
  </si>
  <si>
    <t>jray@mdgh.org</t>
  </si>
  <si>
    <t>director@mpowerok.org</t>
  </si>
  <si>
    <t>garywilsonphillips@yahoo.com</t>
  </si>
  <si>
    <t>Dloney@newviewoklahoma.org</t>
  </si>
  <si>
    <t>jharris@peopleinc.org</t>
  </si>
  <si>
    <t>tammy@powershopinc.org</t>
  </si>
  <si>
    <t>joe@reliantlivingcenters.com</t>
  </si>
  <si>
    <t>slinville@searchlightcenter.org</t>
  </si>
  <si>
    <t>www.searchlightcenter.org</t>
  </si>
  <si>
    <t>sertomaderick@sbcglobal.net</t>
  </si>
  <si>
    <t>scithanna@yahoo.com</t>
  </si>
  <si>
    <t>socag@swbell.net</t>
  </si>
  <si>
    <t>sunshine.marketing@yahoo.com</t>
  </si>
  <si>
    <t>Category</t>
  </si>
  <si>
    <t>Address</t>
  </si>
  <si>
    <t>McCall's</t>
  </si>
  <si>
    <t>MPower</t>
  </si>
  <si>
    <t>Jams or Jellies or Fruit Preserves</t>
  </si>
  <si>
    <t>3817 N Santa Fe, Ste 174
Oklahoma City, OK 73118</t>
  </si>
  <si>
    <t>State of Oklahoma</t>
  </si>
  <si>
    <t>State Use Program</t>
  </si>
  <si>
    <t>Procurement Schedule</t>
  </si>
  <si>
    <t>Timothy Harvey</t>
  </si>
  <si>
    <t>State Use Administrator and Contracting Officer</t>
  </si>
  <si>
    <t>Phone:  (405) 521-4474</t>
  </si>
  <si>
    <t>Email:  Timothy.Harvey@omes.ok.gov</t>
  </si>
  <si>
    <t>Table of Contents</t>
  </si>
  <si>
    <r>
      <rPr>
        <b/>
        <sz val="10"/>
        <rFont val="Calibri"/>
        <family val="2"/>
        <scheme val="minor"/>
      </rPr>
      <t>Qualified Org's:</t>
    </r>
    <r>
      <rPr>
        <sz val="10"/>
        <rFont val="Calibri"/>
        <family val="2"/>
        <scheme val="minor"/>
      </rPr>
      <t xml:space="preserve"> Each organization that has been approved by the State Use Committee</t>
    </r>
  </si>
  <si>
    <r>
      <rPr>
        <b/>
        <sz val="10"/>
        <rFont val="Calibri"/>
        <family val="2"/>
        <scheme val="minor"/>
      </rPr>
      <t>Each State Use Statewide Contract:</t>
    </r>
    <r>
      <rPr>
        <sz val="10"/>
        <rFont val="Calibri"/>
        <family val="2"/>
        <scheme val="minor"/>
      </rPr>
      <t xml:space="preserve"> The remaining tabs are the individual SWs to allow for easier searching and sorting.</t>
    </r>
  </si>
  <si>
    <t>405-263-4658</t>
  </si>
  <si>
    <t>despinosa@cflinc.org</t>
  </si>
  <si>
    <t>Fax:  (405) 521-4475</t>
  </si>
  <si>
    <t>Opportunity Center Inc.</t>
  </si>
  <si>
    <t>0000072734</t>
  </si>
  <si>
    <t>2225 N Union
Ponca City, OK 74601</t>
  </si>
  <si>
    <t>www.opcenterok.org</t>
  </si>
  <si>
    <t>580-765-6782</t>
  </si>
  <si>
    <t>jgrigsba@opcenterok.org</t>
  </si>
  <si>
    <t>As prescribed in the State Use Statute (Title 74, Chapter 48, Section 3004) this procurement schedule contains all products and services available by qualified organizations in the State Use Program.
This document was designed for use in Microsoft Excel, however a printable list of items is available in PDF. That same list has been made available on www.data.ok.gov.</t>
  </si>
  <si>
    <t>CEO@gcclc.com</t>
  </si>
  <si>
    <t>NOODLES:Egg #2 10lb (subject to availability, call vendor (580) 326-7548)</t>
  </si>
  <si>
    <t>PASTA:Macaroni #2 20lb (subject to availability,call vendor (580) 326-7548)</t>
  </si>
  <si>
    <t>PASTA:Spaghetti #1 10lb</t>
  </si>
  <si>
    <t>PASTA:Spaghetti #2 20lb (subject to availablity,call vendor (580) 326-7548)</t>
  </si>
  <si>
    <t>PASTA:Rotini #1 10lb</t>
  </si>
  <si>
    <t>PASTA:Rotini #1 20lb</t>
  </si>
  <si>
    <t>PASTA:Rotini #2 20lb (subject to availability, call vendor (580) 326-7548)</t>
  </si>
  <si>
    <t>PASTA:Penne #1 10lb</t>
  </si>
  <si>
    <t>PASTA:Penne #1 20lb</t>
  </si>
  <si>
    <t>PASTA:Penne#2 20lb (subject to availability, call vendor (580) 326-7548)</t>
  </si>
  <si>
    <t>PASTA:Ziti #1 10lb</t>
  </si>
  <si>
    <t>PASTA:Ziti #1 20lb</t>
  </si>
  <si>
    <t>PASTA:Ziti #2 20lb (subject to availability,call vendor (580) 326-7548)</t>
  </si>
  <si>
    <t>SERVICE: - Janitorial &amp; Custodial</t>
  </si>
  <si>
    <t>SW910</t>
  </si>
  <si>
    <t>Delaware County Friendship</t>
  </si>
  <si>
    <t>Center of Family Love (405)263-4935</t>
  </si>
  <si>
    <t>Delaware County Friendship Homes (918)253-6032</t>
  </si>
  <si>
    <t>OK Production Cntr</t>
  </si>
  <si>
    <t>South Central Ind</t>
  </si>
  <si>
    <r>
      <t xml:space="preserve">SAFETY VESTS: High-visibility (HV)
clothing, personal protective equipment
(PPE), highly reflective properties. See
catalog spreadsheet. Order from order
form. </t>
    </r>
    <r>
      <rPr>
        <b/>
        <sz val="10"/>
        <color theme="1"/>
        <rFont val="Calibri"/>
        <family val="2"/>
        <scheme val="minor"/>
      </rPr>
      <t>(See catalog for all items available.)</t>
    </r>
  </si>
  <si>
    <t>COOL NECK: Cool Neck Ties for the neck
or head, 42" long</t>
  </si>
  <si>
    <t>EA</t>
  </si>
  <si>
    <t>See Catalog</t>
  </si>
  <si>
    <r>
      <t xml:space="preserve">SAFETY SHIRTS: High-visibility (HV)
shirts, highly reflective properties.
See catalog spreadsheet. Order from
order form. </t>
    </r>
    <r>
      <rPr>
        <b/>
        <sz val="10"/>
        <color theme="1"/>
        <rFont val="Calibri"/>
        <family val="2"/>
        <scheme val="minor"/>
      </rPr>
      <t>(See catalog for all items available.)</t>
    </r>
  </si>
  <si>
    <r>
      <t xml:space="preserve">SAFETY PANTS: High-visibility (HV)
pants, highly reflective properties. See
catalog spreadsheet. Order from order
form. </t>
    </r>
    <r>
      <rPr>
        <b/>
        <sz val="10"/>
        <color theme="1"/>
        <rFont val="Calibri"/>
        <family val="2"/>
        <scheme val="minor"/>
      </rPr>
      <t>(See catalog for all items available.)</t>
    </r>
  </si>
  <si>
    <r>
      <t xml:space="preserve">SAFETY CLOTHING: Customized/Special
product requested with any modifications
from stock contract items. </t>
    </r>
    <r>
      <rPr>
        <b/>
        <sz val="10"/>
        <color theme="1"/>
        <rFont val="Calibri"/>
        <family val="2"/>
        <scheme val="minor"/>
      </rPr>
      <t>(See catalog for all items available.)</t>
    </r>
  </si>
  <si>
    <t>Safety Shirts</t>
  </si>
  <si>
    <t>Safety Pants</t>
  </si>
  <si>
    <t>Safety Clothing</t>
  </si>
  <si>
    <t>Outreach Community (405)922-0020</t>
  </si>
  <si>
    <t>Meadows (405)348-4470</t>
  </si>
  <si>
    <t>STP</t>
  </si>
  <si>
    <t>Work Activity Ctr</t>
  </si>
  <si>
    <t>South Central</t>
  </si>
  <si>
    <t>405-922-0020</t>
  </si>
  <si>
    <t>A8</t>
  </si>
  <si>
    <t>Mid Del</t>
  </si>
  <si>
    <t>Faith 7</t>
  </si>
  <si>
    <t>EmployAbility</t>
  </si>
  <si>
    <t>Greeting or note or post cards</t>
  </si>
  <si>
    <t>Bags</t>
  </si>
  <si>
    <t>Pallets</t>
  </si>
  <si>
    <t>Non ferrous powdered metal parts</t>
  </si>
  <si>
    <t>Waxes and oils</t>
  </si>
  <si>
    <t>Hospital Bedspreads</t>
  </si>
  <si>
    <t>Patient positioning cushions or pads or pillows</t>
  </si>
  <si>
    <t>Sweat control equipment or accessories</t>
  </si>
  <si>
    <t>Emergency medical services first aid kit cases or bags or accessories</t>
  </si>
  <si>
    <t>Braille devices for the physically challenged</t>
  </si>
  <si>
    <t>Sandbags or sandbag sets for rehabilitation or therapy</t>
  </si>
  <si>
    <t>Sterilization biological kit</t>
  </si>
  <si>
    <t>Narcotic test kits</t>
  </si>
  <si>
    <t>Safety apparel</t>
  </si>
  <si>
    <t>Protective aprons</t>
  </si>
  <si>
    <t>Laundry products</t>
  </si>
  <si>
    <t>Awards</t>
  </si>
  <si>
    <t>Plaques</t>
  </si>
  <si>
    <t>Blankets</t>
  </si>
  <si>
    <t>Dish towels</t>
  </si>
  <si>
    <t>Napkins</t>
  </si>
  <si>
    <t>Bath robes</t>
  </si>
  <si>
    <t>Signage</t>
  </si>
  <si>
    <t>Banners</t>
  </si>
  <si>
    <t>Badges or badge holders</t>
  </si>
  <si>
    <t>Name plates or tags</t>
  </si>
  <si>
    <t>Paper plates or trays</t>
  </si>
  <si>
    <t>Exterior grounds maintenance</t>
  </si>
  <si>
    <t>Industrial sewing services</t>
  </si>
  <si>
    <t>Screen industrial printing services</t>
  </si>
  <si>
    <t>Machining Services</t>
  </si>
  <si>
    <t>Transport vehicle cleaning</t>
  </si>
  <si>
    <t>Inorganic waste collection and disposal</t>
  </si>
  <si>
    <t>Nonhazardous waste disposal</t>
  </si>
  <si>
    <t>Recycling services</t>
  </si>
  <si>
    <t>Telemarketing</t>
  </si>
  <si>
    <t>Promotional merchandise</t>
  </si>
  <si>
    <t>Document destruction services</t>
  </si>
  <si>
    <t>Printer, scanner and multifunctional equipment maintenance</t>
  </si>
  <si>
    <t>Printing</t>
  </si>
  <si>
    <t>Photocopying</t>
  </si>
  <si>
    <t>Black and white copy or collating services</t>
  </si>
  <si>
    <t>Photographic services</t>
  </si>
  <si>
    <t>Grand Total</t>
  </si>
  <si>
    <r>
      <rPr>
        <b/>
        <sz val="10"/>
        <rFont val="Calibri"/>
        <family val="2"/>
        <scheme val="minor"/>
      </rPr>
      <t>Procure Sched:</t>
    </r>
    <r>
      <rPr>
        <sz val="10"/>
        <rFont val="Calibri"/>
        <family val="2"/>
        <scheme val="minor"/>
      </rPr>
      <t xml:space="preserve"> All products and services provided by Qualified Organizations, approved by the State Use Committee.</t>
    </r>
  </si>
  <si>
    <r>
      <rPr>
        <b/>
        <sz val="10"/>
        <rFont val="Calibri"/>
        <family val="2"/>
        <scheme val="minor"/>
      </rPr>
      <t>Suitable to Procure:</t>
    </r>
    <r>
      <rPr>
        <sz val="10"/>
        <rFont val="Calibri"/>
        <family val="2"/>
        <scheme val="minor"/>
      </rPr>
      <t xml:space="preserve"> 
These products and services are available from the State Use vendors but have not received a fair market price. The purchase of these products and services is not mandatory; however the Qualified Organization should be involved in the purchasing process. (i.e. RFPs, ITBs, phone quotes, etc.)</t>
    </r>
  </si>
  <si>
    <t>People First (580)924-8509</t>
  </si>
  <si>
    <t>Products</t>
  </si>
  <si>
    <t>Contract</t>
  </si>
  <si>
    <t>Services</t>
  </si>
  <si>
    <t>Custom File Folders</t>
  </si>
  <si>
    <t>Janitorial</t>
  </si>
  <si>
    <t>Flares, LED</t>
  </si>
  <si>
    <t>Unarmed Security</t>
  </si>
  <si>
    <t>Laundry Detergent, 50lb bx</t>
  </si>
  <si>
    <t>Laundry</t>
  </si>
  <si>
    <t>Safety Glasses</t>
  </si>
  <si>
    <t>Temporary Employment</t>
  </si>
  <si>
    <t>Safety Goggles</t>
  </si>
  <si>
    <t>Highway Litter Pick-up</t>
  </si>
  <si>
    <t>Survey Flags</t>
  </si>
  <si>
    <t>Duplication, Disc, CD</t>
  </si>
  <si>
    <t>Stakes</t>
  </si>
  <si>
    <t>Survey Flag Roll</t>
  </si>
  <si>
    <t>Fire Hoses</t>
  </si>
  <si>
    <t>Hose</t>
  </si>
  <si>
    <t>Recycle Kits</t>
  </si>
  <si>
    <t>Shower Curtains</t>
  </si>
  <si>
    <t>Floor Mats, Urinal</t>
  </si>
  <si>
    <t>Floor Mats, Toilet</t>
  </si>
  <si>
    <t>Work Gloves</t>
  </si>
  <si>
    <t>Disposable Diapers</t>
  </si>
  <si>
    <t>Underpads</t>
  </si>
  <si>
    <t>Disposable Wipes</t>
  </si>
  <si>
    <t>First Aid Kits</t>
  </si>
  <si>
    <t>First Aid Refills</t>
  </si>
  <si>
    <t>Santitary Napkins</t>
  </si>
  <si>
    <t>Tampons</t>
  </si>
  <si>
    <t>Toothbrush, Collis Curve</t>
  </si>
  <si>
    <t>Bath Systems</t>
  </si>
  <si>
    <t>Shampoo</t>
  </si>
  <si>
    <t>Binder Kits</t>
  </si>
  <si>
    <t>MSDS Binder Kits</t>
  </si>
  <si>
    <t>Desk Pen Sets</t>
  </si>
  <si>
    <t>Pens</t>
  </si>
  <si>
    <t>Pen Refills</t>
  </si>
  <si>
    <t>Refills</t>
  </si>
  <si>
    <t>Cassettes</t>
  </si>
  <si>
    <t>Recording Tapes</t>
  </si>
  <si>
    <t>Jewel Cases</t>
  </si>
  <si>
    <t>Sleeves, CD</t>
  </si>
  <si>
    <t>Disc</t>
  </si>
  <si>
    <t>CD</t>
  </si>
  <si>
    <t>CD-R</t>
  </si>
  <si>
    <t>CD-RW</t>
  </si>
  <si>
    <t>DVD</t>
  </si>
  <si>
    <t>DVD-R</t>
  </si>
  <si>
    <t>DVD-RW</t>
  </si>
  <si>
    <t>Blu Ray</t>
  </si>
  <si>
    <t>Digital Video Cassette</t>
  </si>
  <si>
    <t>Cleaning Kits</t>
  </si>
  <si>
    <t>Drums, Printer, Fax, Copier</t>
  </si>
  <si>
    <t>Toner</t>
  </si>
  <si>
    <t>Film Rolls</t>
  </si>
  <si>
    <t>Fuser Kits</t>
  </si>
  <si>
    <t>Imaging Kits</t>
  </si>
  <si>
    <t>Maintenance Kits</t>
  </si>
  <si>
    <t>Photoconductor Kits</t>
  </si>
  <si>
    <t>Printhead Cleaner</t>
  </si>
  <si>
    <t>Ribbon</t>
  </si>
  <si>
    <t>Staple Cartridges</t>
  </si>
  <si>
    <t>Transfer Kits</t>
  </si>
  <si>
    <t>Usage Kits</t>
  </si>
  <si>
    <t>Waste Bottles</t>
  </si>
  <si>
    <t>Ergonomic Chairs</t>
  </si>
  <si>
    <t>Correction Pens</t>
  </si>
  <si>
    <t>Pencils</t>
  </si>
  <si>
    <t>Pencil Lead</t>
  </si>
  <si>
    <t>Pencil Lead Refills</t>
  </si>
  <si>
    <t>Facial Tissue</t>
  </si>
  <si>
    <t>Bath Tissue</t>
  </si>
  <si>
    <t>Wipers</t>
  </si>
  <si>
    <t>Cleaning Cloths</t>
  </si>
  <si>
    <t>Liquid Hand Soap</t>
  </si>
  <si>
    <t>Bar Soap</t>
  </si>
  <si>
    <t>Body Wash</t>
  </si>
  <si>
    <t>Lotion</t>
  </si>
  <si>
    <t>Baby Powder</t>
  </si>
  <si>
    <t>Hair Brushs</t>
  </si>
  <si>
    <t>Hair Combs</t>
  </si>
  <si>
    <t>Hair Picks</t>
  </si>
  <si>
    <t>Hair Gels</t>
  </si>
  <si>
    <t>Hair Moisturizer</t>
  </si>
  <si>
    <t>Pomade</t>
  </si>
  <si>
    <t>Conditioner</t>
  </si>
  <si>
    <t>Razor</t>
  </si>
  <si>
    <t>Shave Cream</t>
  </si>
  <si>
    <t>Shave Gel</t>
  </si>
  <si>
    <t>After Shave</t>
  </si>
  <si>
    <t>Shoe Insoles</t>
  </si>
  <si>
    <t>Shower Shoes</t>
  </si>
  <si>
    <t>Toothbrush Holders</t>
  </si>
  <si>
    <t>Denture Cream</t>
  </si>
  <si>
    <t>Denture Cleaners</t>
  </si>
  <si>
    <t>Qtips</t>
  </si>
  <si>
    <t>Security Kits</t>
  </si>
  <si>
    <t>Correctional Facility Kits</t>
  </si>
  <si>
    <t>Pasta</t>
  </si>
  <si>
    <t>Exam Gloves</t>
  </si>
  <si>
    <t>Non Surgical Gloves</t>
  </si>
  <si>
    <t>Condiments</t>
  </si>
  <si>
    <t>Condiment Kits</t>
  </si>
  <si>
    <t>Spices</t>
  </si>
  <si>
    <t>Coffee Kits</t>
  </si>
  <si>
    <t>Beans</t>
  </si>
  <si>
    <t>Secure Document Destruction</t>
  </si>
  <si>
    <t>Diapers</t>
  </si>
  <si>
    <t>Incontinent Briefs</t>
  </si>
  <si>
    <t>Incontinence</t>
  </si>
  <si>
    <t>Incontinent Pads</t>
  </si>
  <si>
    <t>Flushable Wipes</t>
  </si>
  <si>
    <t>Deodorizer Dispensers</t>
  </si>
  <si>
    <t>Odor Control Foggers</t>
  </si>
  <si>
    <t>Toilet Rim Hangers</t>
  </si>
  <si>
    <t>Urinal Blocks</t>
  </si>
  <si>
    <t>Urinal Screens</t>
  </si>
  <si>
    <t>Cutlery</t>
  </si>
  <si>
    <t>Plastic Cutlery</t>
  </si>
  <si>
    <t>Plastic Dinnerware</t>
  </si>
  <si>
    <t>Filters, Air, Heat</t>
  </si>
  <si>
    <t>Briefs</t>
  </si>
  <si>
    <t>Underware</t>
  </si>
  <si>
    <t>Safety Apparel</t>
  </si>
  <si>
    <t>Picture Frames</t>
  </si>
  <si>
    <r>
      <rPr>
        <b/>
        <sz val="10"/>
        <rFont val="Calibri"/>
        <family val="2"/>
        <scheme val="minor"/>
      </rPr>
      <t>Mandatory:</t>
    </r>
    <r>
      <rPr>
        <sz val="10"/>
        <rFont val="Calibri"/>
        <family val="2"/>
        <scheme val="minor"/>
      </rPr>
      <t xml:space="preserve"> 
These products and services are have an established fair market value set and approved by the State Use Committee. Each of these items has been assigned to a State Use Statewide Contract. This tab was created to simplify the search for mandatory items. Further detail is provided on the respective contract.</t>
    </r>
  </si>
  <si>
    <t>Approved by State Use Committee on October 2, 2013</t>
  </si>
  <si>
    <t>Products and Services</t>
  </si>
  <si>
    <t>37..22</t>
  </si>
  <si>
    <t>Fax</t>
  </si>
  <si>
    <t>405-701-5304</t>
  </si>
  <si>
    <t>405-247-3936</t>
  </si>
  <si>
    <t>405-263-7106</t>
  </si>
  <si>
    <t>405-943-9710</t>
  </si>
  <si>
    <t>918-253-4818</t>
  </si>
  <si>
    <t>earctrails@coxinet.net</t>
  </si>
  <si>
    <t>918-337-2778</t>
  </si>
  <si>
    <t>405-273-2994</t>
  </si>
  <si>
    <t>405-488-2508 866-496-4160</t>
  </si>
  <si>
    <t>405-238-7730 405-238-3896</t>
  </si>
  <si>
    <t>918-683-4714</t>
  </si>
  <si>
    <t>405-552-3901</t>
  </si>
  <si>
    <t>580-355-2166 580-355-3096</t>
  </si>
  <si>
    <t>918-583-9010</t>
  </si>
  <si>
    <t>918-287-1294 918-287-9176</t>
  </si>
  <si>
    <t>918-341-3081</t>
  </si>
  <si>
    <t>580-889-4744</t>
  </si>
  <si>
    <t>918-647-3268</t>
  </si>
  <si>
    <t>405-247-5198 580-772-1918</t>
  </si>
  <si>
    <t>580-272-6653</t>
  </si>
  <si>
    <t>405-732-6615</t>
  </si>
  <si>
    <t>405-377-0860</t>
  </si>
  <si>
    <t>580-421-9490</t>
  </si>
  <si>
    <t>405-236-5438</t>
  </si>
  <si>
    <t>918-456-1969</t>
  </si>
  <si>
    <t>580-767-7715 580-765-5705</t>
  </si>
  <si>
    <t>918-473-1837</t>
  </si>
  <si>
    <t>405-282-6490</t>
  </si>
  <si>
    <t>405-427-7444</t>
  </si>
  <si>
    <t>918-776-2028</t>
  </si>
  <si>
    <t>580-252-6903</t>
  </si>
  <si>
    <t>580-248-3908</t>
  </si>
  <si>
    <t>405-455-2123</t>
  </si>
  <si>
    <t>405-672-2353</t>
  </si>
  <si>
    <t>580-928-5775</t>
  </si>
  <si>
    <t>580-726-3878</t>
  </si>
  <si>
    <t>918-835-3274</t>
  </si>
  <si>
    <t>580-924-1925</t>
  </si>
  <si>
    <t>405-275-7001</t>
  </si>
  <si>
    <t>580-482-5433</t>
  </si>
  <si>
    <t>580-226-1462</t>
  </si>
  <si>
    <t>405-793-0850</t>
  </si>
  <si>
    <t>405-340-5395</t>
  </si>
  <si>
    <t>405-341-0713 405-341-3240</t>
  </si>
  <si>
    <t>580-326-7540</t>
  </si>
  <si>
    <t>Delaware County 
Friendship Homes, Inc.</t>
  </si>
  <si>
    <t>Garvin County Community 
Living Center, Inc.</t>
  </si>
  <si>
    <t>Goodwill Industries of Central 
Oklahoma, Inc.</t>
  </si>
  <si>
    <t>Kibois Area Rural Enterprises 
(KARE)</t>
  </si>
  <si>
    <t>People First Industries of 
Bryan County Inc.</t>
  </si>
  <si>
    <t>The Meadows Center for 
Opportunity, Inc.</t>
  </si>
  <si>
    <t>FIRST AID: small utility kit-bandage, ointment, gauze, tape, spray, aspirin, gloves.</t>
  </si>
  <si>
    <t xml:space="preserve">FIRST AID: medium wall mounted-bandages, ointment, gauze, tape, spray, aspirin, gloves. </t>
  </si>
  <si>
    <t xml:space="preserve">GLOVE: Chilly Grippers, X-large, rubber Gloves </t>
  </si>
  <si>
    <t>GLOVE: Chilly Grippers, Large, rubber Gloves</t>
  </si>
  <si>
    <t>GLOVE: Chilly Grippers, Medium, rubber Gloves</t>
  </si>
  <si>
    <t>DZ</t>
  </si>
  <si>
    <t>GLOVE: Power Grip, Blue rubber palm, Size: X-Lg, cut abrasion and puncture resistant</t>
  </si>
  <si>
    <t>GLOVE: Power Grip, Blue rubber palm, Size: Med, cut abrasion and puncture resistant</t>
  </si>
  <si>
    <t>GLOVE-Leather:Sz S Driver Glove Leather Drive Glove, Size Small</t>
  </si>
  <si>
    <t>GLOVE-Leather:Sz Med Driver Glove Leather Drive Glove, Size Med</t>
  </si>
  <si>
    <t>GLOVE-Leather:Sz Large Driver Glove Leather Drive Glove, Size Large</t>
  </si>
  <si>
    <t>GLOVE-Leather:Sz XL Driver Glove Leather Drive Glove, Size XL</t>
  </si>
  <si>
    <t>GLOVE: Carpenter 13163, Medium. Standard grade pearl suede cowhide leather palm, full leather forefinger and fingertips, leather knuckle strap protector, continuous heel-pull, 2.5 in. rubberized safety cuff, soft cotton lining, comfortable wing thumb</t>
  </si>
  <si>
    <t>GLOVE: Carpenter 13163, Large. Standard grade pearl suede cowhide leather palm, full leather forefinger and fingertips, leather knuckle strap protector, continuous heel-pull, 2.5 in. rubberized safety cuff, soft cotton lining, comfortable wing thumb.</t>
  </si>
  <si>
    <t>GLOVE: Carpenter 13163, X-Large. Standard grade pearl suede cowhide leather palm, full leather forefinger and fingertips, leather knuckle strap protector, continuous heel-pull, 2.5 in. rubberized safety cuff, soft cotton lining, comfortable wing thumb</t>
  </si>
  <si>
    <t>1000000361</t>
  </si>
  <si>
    <t>GLOVE:Jersey,Soft Cotton, Brown, Large W/ Straight Thumb</t>
  </si>
  <si>
    <t>46181504</t>
  </si>
  <si>
    <t>1000000363</t>
  </si>
  <si>
    <t>1000000796</t>
  </si>
  <si>
    <t>41114205</t>
  </si>
  <si>
    <t>1000008946</t>
  </si>
  <si>
    <t>1000008947</t>
  </si>
  <si>
    <t>1000022973</t>
  </si>
  <si>
    <t>1000022974</t>
  </si>
  <si>
    <t>1000022975</t>
  </si>
  <si>
    <t>1000022976</t>
  </si>
  <si>
    <t>GLOVE: Powertex Pigskin, Medium. Grain pig skin, premium grade, full leather forefinger and fingertips, wing thumb, elastic back, velcro wrist strap.</t>
  </si>
  <si>
    <t>1000022977</t>
  </si>
  <si>
    <t>GLOVE: Powertex Pigskin, Large. Grain pig skin, premium grade, full leather forefinger and fingertips, wing thumb, elastic back, velcro wrist strap.</t>
  </si>
  <si>
    <t>1000022978</t>
  </si>
  <si>
    <t>GLOVE: Powertex Pigskin, X-Large. Grain pig skin, premium grade, full leather forefinger and fingertips, wing thumb, elastic back, velcro wrist strap.</t>
  </si>
  <si>
    <t>1000024643</t>
  </si>
  <si>
    <t>GLOVE:Power Grip, rubber Small- Blue textured rubber palm, 10 gauge grey poly/cotton knit liner. Size Small</t>
  </si>
  <si>
    <t>1000024644</t>
  </si>
  <si>
    <t>GLOVE:Power Grip, rubber Med- Blue textured rubber palm, 10 gauge grey poly/cotton knit liner. Size Medium</t>
  </si>
  <si>
    <t>1000024647</t>
  </si>
  <si>
    <t>Full Catalog</t>
  </si>
  <si>
    <t>Hand Sanitizer/Cleaner</t>
  </si>
  <si>
    <t xml:space="preserve">HAND SANITIZER:  Hand Cleaner, Sanitizer Gel &amp; Foam </t>
  </si>
  <si>
    <t>LOTION: Baby Oil, 6 oz. Sold by the dozen.</t>
  </si>
  <si>
    <t>LOTION: Baby 4 oz DZ- Baby Lotion, gentle and mild. 4 oz, sold by the dozen.</t>
  </si>
  <si>
    <t>LOTION:  Baby Oil, 4 oz. Sold by the dozen.</t>
  </si>
  <si>
    <t>DEODORANT:  Stick, 20z, clear Men's speed stick deodorant.  Scent active fresh. Sold by the dozen</t>
  </si>
  <si>
    <t xml:space="preserve">DEODORANT: Stick, 1.40oz, Clear Lady speed stick antiperspirant, invisible dry. Sold by the dozen. </t>
  </si>
  <si>
    <t xml:space="preserve">HAIR BRUSH: 7.75 in. L, DZ. 7.75 in. length, unbreakable, white color, vented hair brush, nylon bristles. Sold by the dozen. </t>
  </si>
  <si>
    <t xml:space="preserve">HAIR BRUSH: Block, Blk/Blk, DZ - Block hair brush, black w/ black bristles, 4.25 x 2.25 Sold by the dozen. </t>
  </si>
  <si>
    <t xml:space="preserve">HAIR COMB:  5 in. nylon, dozen, unbreakable, black comb. </t>
  </si>
  <si>
    <t xml:space="preserve">HAIR COMB:  7 in. nylon, dozen, unbreakable, black comb. </t>
  </si>
  <si>
    <t xml:space="preserve">HAIR COMB:  8 1/2 in. w/handle, black, wide tooth comb.  Sold by the </t>
  </si>
  <si>
    <t xml:space="preserve">HAIR PICK:  5 in. wide pick, black.  Sold by the dozen. </t>
  </si>
  <si>
    <t xml:space="preserve">HAIR GEL:  Super Hld 20 oz. DZ - Super Hold 20 oz styling gel, alcohol free, orange gel in clear, see-through bottle. Sold by the dozen </t>
  </si>
  <si>
    <t xml:space="preserve">HAIR MOISTURIZER: Oil 4 oz DZ - Castor Oil hair and scalp conditioner, 4 oz, Sold by the dozen. </t>
  </si>
  <si>
    <t xml:space="preserve">SHAMPOO: Dandruff rinse, 13.5 oz, DZ-Dandruff rinse, shampoo, 13.5oz, sold by the dozen </t>
  </si>
  <si>
    <t xml:space="preserve">CONDITIONER: 15oz, see through bottle.  Leading name brand. Sold by the dozen. </t>
  </si>
  <si>
    <t>McCalls Chapel School</t>
  </si>
  <si>
    <t xml:space="preserve">SANI NAPKIN: 360/CS, 30/bag, 12 Bags/CS beltless (non-dispens) Maxi-pads (self-adhesive) safety shield-tapered ends, bulk case. </t>
  </si>
  <si>
    <t>CA</t>
  </si>
  <si>
    <t>Sani Napkin</t>
  </si>
  <si>
    <t>SANI NAPKIN: 250/cs indv. Wrapped, beltless (non-dispensing) Maxi-pads, self-adhesive, safety shield, tapered ens, indvidually wrapped, 250/cs</t>
  </si>
  <si>
    <t>TAMPONS: Regular Size, (non-dispensing) cardboard applicator, comfort shape, flushable applicator, 500/cs</t>
  </si>
  <si>
    <t>TAMPON: Super Size, (non-dispensing) with cardboard applicator, comfort shape, 500/case</t>
  </si>
  <si>
    <t xml:space="preserve">WIPES: 600 total count. Disposable washcloth, alcohol free, preferred medical wipes, made with aloe vera, latex free, 9x13, 60 spun laced washcloths in a tub. 12 tubs/case. </t>
  </si>
  <si>
    <t>ca</t>
  </si>
  <si>
    <t>Wipes</t>
  </si>
  <si>
    <t>Sanitizer/Cleaner, Hand</t>
  </si>
  <si>
    <t>SHOWER SHOES: Unisex Small. Fits Men sz 5-6/Women sz 7-8. Slip on, PVC sandals, brown. 1.5 lbs ea pair Sold by the dozen.</t>
  </si>
  <si>
    <t>SHOWER SHOES: Unisex Medium. Men sz 7-8/Women sz 9-10. Slip on, PVC sandals, brown. 1.5 lbs ea pair.  Sold by the dozen</t>
  </si>
  <si>
    <t>SHOWER SHOES: Unisex Large. Mens sz 9-10. Women sz 11-12. Slip on, PVC sandals, brown. 1.5 lbs ea pair Sold by the dozen.</t>
  </si>
  <si>
    <t>SHOWER SHOES: Unisex X-Large. Men sz 11-12. Women sz 13-14. Slip on, PVC sandals, brown. 1.5 lbs ea pair. Sold by the dozen.</t>
  </si>
  <si>
    <t>SHOWER SHOES:Unisex 2X-Large. Men sz 13-14. Women sz 15-16. Slip on, PVC sandals, brown. 1.5 lbs ea pair. Sold by the dozen.</t>
  </si>
  <si>
    <t>SHOWER SHOES: Unisex 3X-Large. Men sz 15-16. Women sz 17-18. Slip on, PVC sandals, brown. 1.5 lbs ea pair. Sold by the dozen.</t>
  </si>
  <si>
    <t>SHOWER SHOES: Unisex Small. Men sz 5-6. Women sz 7-8. Slip on, pvc sandals white insole with black strap and outsole. Weigh 1 lb ea pair. Sold by the dozen.</t>
  </si>
  <si>
    <t xml:space="preserve">SHOWER SHOES:  Unisex Medium. Men sz 7-8. Women sz 9-10. Slip on, pvc sandals white insole with black strap and outsole. Weigh 1 lb ea pair. Sold by the dozen. </t>
  </si>
  <si>
    <t xml:space="preserve">SHOWER SHOES:  Unisex Large. Fits Men's shoe size 9-10. Women sz 11-12. Slip on, pvc sandals white insole with black strap and outsole. Weigh 1lb a pair. Sold by the dozen. </t>
  </si>
  <si>
    <t xml:space="preserve">SHOWER SHOES: Unisex Xlarge. Men sz 11-12. Women sz 13-14. Slip on pvc sandals white insole with black strap and outsole. Weigh 1 lb ea pair. Sold by the dozen. </t>
  </si>
  <si>
    <t xml:space="preserve">SHOWER SHOES: Unisex 2XLarge. Men sz 13-14. Women sz 15-16. Slip on, pvc sandals white insole with black strap and outsole. Weigh 1 lb ea pair. Sold by the dozen </t>
  </si>
  <si>
    <t xml:space="preserve">SHOWER SHOES: Unisex 3XLarge. Men sz 15-16. Women sz 17-18. Slip on , pvc sandals white insole with black strap and outsole. Weigh 1 lb ea pair. Sold by the dozen. </t>
  </si>
  <si>
    <t>Last Revision: 3-28-14</t>
  </si>
  <si>
    <t>MECHAN PENCIL: 0.5MM- Zebra Z-Grip, Ribbed rubber grip for writing comfort.
Clear barrel. Designer metal pocket
clip. Cap-covered eraser. Sold by the
dozen.</t>
  </si>
  <si>
    <t>MECHAN PENCIL: 0.7MM- Zebra Z-Grip, Ribbed rubber grip for writing comfort.
Clear barrel. Designer metal pocket
clip. Cap-covered eraser. Sold by the
dozen.</t>
  </si>
  <si>
    <t>MECHAN PENCIL: 0.7MM- Zebra M301, Lightweight, stylish stainless steel
barrel design. Non-slip grip. Sold by
the dozen.</t>
  </si>
  <si>
    <t>MECHAN PENCIL: 0.5MM- Zebra M301, Lightweight, stylish stainless steel
barrel design. Non-slip grip. Sold by
the dozen.</t>
  </si>
  <si>
    <t>MECHAN PENCIL: 0.5- Zebra Eco Jimnie, Made from 72% post-consumer recycled
materials, extra wide binder clip, soft
rubber grip. Sold by the dozen.</t>
  </si>
  <si>
    <t>MECHAN PENCIL: 0.7 - Zebra Z-Grip Max, Translucent wide barrel, extra large,
extra soft rubber grip. Cap-covered
eraser. Sold by the dozen.</t>
  </si>
  <si>
    <t>MECHAN PENCIL: 0.7MM- Zebra Erase Away, Inverse Textured grip with strong pocket
clip and durable eraser. Sold by the
dozen.</t>
  </si>
  <si>
    <t>hcrumley@galtfoundation.org</t>
  </si>
</sst>
</file>

<file path=xl/styles.xml><?xml version="1.0" encoding="utf-8"?>
<styleSheet xmlns="http://schemas.openxmlformats.org/spreadsheetml/2006/main">
  <numFmts count="1">
    <numFmt numFmtId="44" formatCode="_(&quot;$&quot;* #,##0.00_);_(&quot;$&quot;* \(#,##0.00\);_(&quot;$&quot;* &quot;-&quot;??_);_(@_)"/>
  </numFmts>
  <fonts count="23">
    <font>
      <sz val="11"/>
      <color theme="1"/>
      <name val="Calibri"/>
      <family val="2"/>
      <scheme val="minor"/>
    </font>
    <font>
      <sz val="10"/>
      <name val="Arial"/>
      <family val="2"/>
    </font>
    <font>
      <b/>
      <sz val="10"/>
      <color theme="1"/>
      <name val="Calibri"/>
      <family val="2"/>
      <scheme val="minor"/>
    </font>
    <font>
      <sz val="10"/>
      <color theme="1"/>
      <name val="Calibri"/>
      <family val="2"/>
      <scheme val="minor"/>
    </font>
    <font>
      <b/>
      <u/>
      <sz val="12"/>
      <color theme="1"/>
      <name val="Calibri"/>
      <family val="2"/>
      <scheme val="minor"/>
    </font>
    <font>
      <sz val="12"/>
      <color theme="1"/>
      <name val="Calibri"/>
      <family val="2"/>
      <scheme val="minor"/>
    </font>
    <font>
      <b/>
      <sz val="10"/>
      <color rgb="FF000000"/>
      <name val="Calibri"/>
      <family val="2"/>
      <scheme val="minor"/>
    </font>
    <font>
      <sz val="10"/>
      <name val="Calibri"/>
      <family val="2"/>
      <scheme val="minor"/>
    </font>
    <font>
      <sz val="10"/>
      <color rgb="FF000000"/>
      <name val="Calibri"/>
      <family val="2"/>
      <scheme val="minor"/>
    </font>
    <font>
      <u/>
      <sz val="10"/>
      <color indexed="12"/>
      <name val="Arial"/>
      <family val="2"/>
    </font>
    <font>
      <u/>
      <sz val="10"/>
      <color indexed="12"/>
      <name val="Calibri"/>
      <family val="2"/>
      <scheme val="minor"/>
    </font>
    <font>
      <b/>
      <sz val="10"/>
      <name val="Calibri"/>
      <family val="2"/>
      <scheme val="minor"/>
    </font>
    <font>
      <b/>
      <u/>
      <sz val="10"/>
      <name val="Calibri"/>
      <family val="2"/>
      <scheme val="minor"/>
    </font>
    <font>
      <sz val="10"/>
      <color theme="1"/>
      <name val="Calibri"/>
      <family val="2"/>
      <scheme val="minor"/>
    </font>
    <font>
      <sz val="8"/>
      <color indexed="81"/>
      <name val="Tahoma"/>
      <family val="2"/>
    </font>
    <font>
      <b/>
      <sz val="8"/>
      <color indexed="81"/>
      <name val="Tahoma"/>
      <family val="2"/>
    </font>
    <font>
      <sz val="10"/>
      <color rgb="FF333333"/>
      <name val="Calibri"/>
      <family val="2"/>
      <scheme val="minor"/>
    </font>
    <font>
      <sz val="10"/>
      <name val="Arial"/>
      <family val="2"/>
    </font>
    <font>
      <b/>
      <sz val="14"/>
      <name val="Arial"/>
      <family val="2"/>
    </font>
    <font>
      <b/>
      <sz val="16"/>
      <name val="Arial"/>
      <family val="2"/>
    </font>
    <font>
      <sz val="12"/>
      <name val="Arial"/>
      <family val="2"/>
    </font>
    <font>
      <sz val="10"/>
      <color theme="1"/>
      <name val="Calibri"/>
      <family val="2"/>
      <scheme val="minor"/>
    </font>
    <font>
      <sz val="10"/>
      <color theme="1"/>
      <name val="Calibri"/>
      <family val="2"/>
      <scheme val="minor"/>
    </font>
  </fonts>
  <fills count="4">
    <fill>
      <patternFill patternType="none"/>
    </fill>
    <fill>
      <patternFill patternType="gray125"/>
    </fill>
    <fill>
      <patternFill patternType="solid">
        <fgColor theme="0" tint="-0.14999847407452621"/>
        <bgColor theme="0" tint="-0.14999847407452621"/>
      </patternFill>
    </fill>
    <fill>
      <patternFill patternType="solid">
        <fgColor theme="0"/>
        <bgColor indexed="64"/>
      </patternFill>
    </fill>
  </fills>
  <borders count="21">
    <border>
      <left/>
      <right/>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thin">
        <color auto="1"/>
      </left>
      <right/>
      <top style="thin">
        <color indexed="64"/>
      </top>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1" fillId="0" borderId="0"/>
    <xf numFmtId="44" fontId="1" fillId="0" borderId="0" applyFont="0" applyFill="0" applyBorder="0" applyAlignment="0" applyProtection="0"/>
    <xf numFmtId="0" fontId="9" fillId="0" borderId="0" applyNumberFormat="0" applyFill="0" applyBorder="0" applyAlignment="0" applyProtection="0">
      <alignment vertical="top"/>
      <protection locked="0"/>
    </xf>
    <xf numFmtId="0" fontId="17" fillId="0" borderId="0"/>
  </cellStyleXfs>
  <cellXfs count="166">
    <xf numFmtId="0" fontId="0" fillId="0" borderId="0" xfId="0"/>
    <xf numFmtId="0" fontId="0" fillId="0" borderId="0" xfId="0" applyAlignment="1">
      <alignment horizontal="center"/>
    </xf>
    <xf numFmtId="0" fontId="3" fillId="0" borderId="6" xfId="0" applyFont="1" applyBorder="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top" wrapText="1"/>
    </xf>
    <xf numFmtId="0" fontId="3" fillId="0" borderId="6" xfId="0" applyFont="1" applyBorder="1" applyAlignment="1">
      <alignment horizontal="left" wrapText="1"/>
    </xf>
    <xf numFmtId="0" fontId="3" fillId="0" borderId="0" xfId="0" applyFont="1"/>
    <xf numFmtId="4" fontId="3" fillId="0" borderId="6" xfId="0" applyNumberFormat="1" applyFont="1" applyBorder="1" applyAlignment="1">
      <alignment wrapText="1"/>
    </xf>
    <xf numFmtId="4" fontId="3" fillId="0" borderId="0" xfId="0" applyNumberFormat="1" applyFont="1"/>
    <xf numFmtId="0" fontId="3" fillId="0" borderId="7" xfId="0" applyFont="1" applyBorder="1" applyAlignment="1">
      <alignment wrapText="1"/>
    </xf>
    <xf numFmtId="0" fontId="3" fillId="0" borderId="8" xfId="0" applyFont="1" applyBorder="1" applyAlignment="1">
      <alignment wrapText="1"/>
    </xf>
    <xf numFmtId="0" fontId="3" fillId="0" borderId="8" xfId="0" applyFont="1" applyBorder="1" applyAlignment="1">
      <alignment horizontal="left"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4" fontId="2" fillId="0" borderId="10" xfId="0" applyNumberFormat="1" applyFont="1" applyBorder="1" applyAlignment="1">
      <alignment horizontal="center" vertical="center" wrapText="1"/>
    </xf>
    <xf numFmtId="0" fontId="2" fillId="0" borderId="11" xfId="0" applyFont="1" applyBorder="1" applyAlignment="1">
      <alignment horizontal="center" vertical="center" wrapText="1"/>
    </xf>
    <xf numFmtId="0" fontId="3" fillId="0" borderId="12" xfId="0" applyFont="1" applyBorder="1" applyAlignment="1">
      <alignment wrapText="1"/>
    </xf>
    <xf numFmtId="0" fontId="3" fillId="0" borderId="13" xfId="0" applyFont="1" applyBorder="1" applyAlignment="1">
      <alignment wrapText="1"/>
    </xf>
    <xf numFmtId="0" fontId="3" fillId="0" borderId="13" xfId="0" applyFont="1" applyBorder="1" applyAlignment="1">
      <alignment horizontal="center" vertical="center" wrapText="1"/>
    </xf>
    <xf numFmtId="4" fontId="3" fillId="0" borderId="13" xfId="0" applyNumberFormat="1" applyFont="1" applyBorder="1" applyAlignment="1">
      <alignment wrapText="1"/>
    </xf>
    <xf numFmtId="0" fontId="3" fillId="0" borderId="14" xfId="0" applyFont="1" applyBorder="1" applyAlignment="1">
      <alignment wrapText="1"/>
    </xf>
    <xf numFmtId="0" fontId="3" fillId="2" borderId="6" xfId="0" applyFont="1" applyFill="1" applyBorder="1" applyAlignment="1">
      <alignment wrapText="1"/>
    </xf>
    <xf numFmtId="0" fontId="3" fillId="2" borderId="6" xfId="0" applyFont="1" applyFill="1" applyBorder="1" applyAlignment="1">
      <alignment horizontal="center" vertical="center" wrapText="1"/>
    </xf>
    <xf numFmtId="4" fontId="3" fillId="2" borderId="6" xfId="0" applyNumberFormat="1" applyFont="1" applyFill="1" applyBorder="1" applyAlignment="1">
      <alignment wrapText="1"/>
    </xf>
    <xf numFmtId="0" fontId="3" fillId="2" borderId="7" xfId="0" applyFont="1" applyFill="1" applyBorder="1" applyAlignment="1">
      <alignment wrapText="1"/>
    </xf>
    <xf numFmtId="0" fontId="3" fillId="2" borderId="8" xfId="0" applyFont="1" applyFill="1" applyBorder="1" applyAlignment="1">
      <alignment wrapText="1"/>
    </xf>
    <xf numFmtId="0" fontId="3" fillId="2" borderId="12" xfId="0" applyFont="1" applyFill="1" applyBorder="1" applyAlignment="1">
      <alignment wrapText="1"/>
    </xf>
    <xf numFmtId="0" fontId="3" fillId="2" borderId="13" xfId="0" applyFont="1" applyFill="1" applyBorder="1" applyAlignment="1">
      <alignment wrapText="1"/>
    </xf>
    <xf numFmtId="0" fontId="3" fillId="2" borderId="13" xfId="0" applyFont="1" applyFill="1" applyBorder="1" applyAlignment="1">
      <alignment horizontal="center" vertical="center" wrapText="1"/>
    </xf>
    <xf numFmtId="4" fontId="3" fillId="2" borderId="13" xfId="0" applyNumberFormat="1" applyFont="1" applyFill="1" applyBorder="1" applyAlignment="1">
      <alignment wrapText="1"/>
    </xf>
    <xf numFmtId="0" fontId="3" fillId="2" borderId="14" xfId="0" applyFont="1" applyFill="1" applyBorder="1" applyAlignment="1">
      <alignment wrapText="1"/>
    </xf>
    <xf numFmtId="0" fontId="3" fillId="0" borderId="6" xfId="0" applyFont="1" applyFill="1" applyBorder="1" applyAlignment="1">
      <alignment wrapText="1"/>
    </xf>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wrapText="1"/>
    </xf>
    <xf numFmtId="4" fontId="2" fillId="0" borderId="10" xfId="0" applyNumberFormat="1" applyFont="1" applyFill="1" applyBorder="1" applyAlignment="1">
      <alignment horizontal="center" vertical="center" wrapText="1"/>
    </xf>
    <xf numFmtId="0" fontId="2" fillId="0" borderId="11" xfId="0" applyFont="1" applyFill="1" applyBorder="1" applyAlignment="1">
      <alignment horizontal="center" vertical="center" wrapText="1"/>
    </xf>
    <xf numFmtId="0" fontId="3" fillId="0" borderId="7" xfId="0" applyFont="1" applyFill="1" applyBorder="1" applyAlignment="1">
      <alignment wrapText="1"/>
    </xf>
    <xf numFmtId="0" fontId="3" fillId="0" borderId="6" xfId="0" applyFont="1" applyFill="1" applyBorder="1" applyAlignment="1">
      <alignment horizontal="center" vertical="center" wrapText="1"/>
    </xf>
    <xf numFmtId="4" fontId="3" fillId="0" borderId="6" xfId="0" applyNumberFormat="1" applyFont="1" applyFill="1" applyBorder="1" applyAlignment="1">
      <alignment wrapText="1"/>
    </xf>
    <xf numFmtId="0" fontId="3" fillId="0" borderId="8" xfId="0" applyFont="1" applyFill="1" applyBorder="1" applyAlignment="1">
      <alignment wrapText="1"/>
    </xf>
    <xf numFmtId="0" fontId="3" fillId="0" borderId="12" xfId="0" applyFont="1" applyFill="1" applyBorder="1" applyAlignment="1">
      <alignment wrapText="1"/>
    </xf>
    <xf numFmtId="0" fontId="3" fillId="0" borderId="13" xfId="0" applyFont="1" applyFill="1" applyBorder="1" applyAlignment="1">
      <alignment wrapText="1"/>
    </xf>
    <xf numFmtId="0" fontId="3" fillId="0" borderId="13" xfId="0" applyFont="1" applyFill="1" applyBorder="1" applyAlignment="1">
      <alignment horizontal="center" vertical="center" wrapText="1"/>
    </xf>
    <xf numFmtId="4" fontId="3" fillId="0" borderId="13" xfId="0" applyNumberFormat="1" applyFont="1" applyFill="1" applyBorder="1" applyAlignment="1">
      <alignment wrapText="1"/>
    </xf>
    <xf numFmtId="0" fontId="3" fillId="0" borderId="14" xfId="0" applyFont="1" applyFill="1" applyBorder="1" applyAlignment="1">
      <alignment wrapText="1"/>
    </xf>
    <xf numFmtId="0" fontId="2" fillId="0" borderId="10" xfId="0" applyFont="1" applyFill="1" applyBorder="1" applyAlignment="1">
      <alignment horizontal="center" wrapText="1"/>
    </xf>
    <xf numFmtId="0" fontId="3" fillId="0" borderId="6" xfId="0" applyFont="1" applyFill="1" applyBorder="1" applyAlignment="1">
      <alignment horizontal="center" wrapText="1"/>
    </xf>
    <xf numFmtId="0" fontId="3" fillId="0" borderId="6" xfId="0" applyFont="1" applyFill="1" applyBorder="1" applyAlignment="1">
      <alignment horizontal="left" vertical="top" wrapText="1"/>
    </xf>
    <xf numFmtId="0" fontId="3" fillId="0" borderId="8" xfId="0" applyFont="1" applyFill="1" applyBorder="1" applyAlignment="1">
      <alignment horizontal="left" wrapText="1"/>
    </xf>
    <xf numFmtId="0" fontId="3" fillId="0" borderId="3" xfId="0" applyFont="1" applyFill="1" applyBorder="1"/>
    <xf numFmtId="0" fontId="3" fillId="0" borderId="3" xfId="0" applyFont="1" applyFill="1" applyBorder="1" applyAlignment="1">
      <alignment wrapText="1"/>
    </xf>
    <xf numFmtId="0" fontId="3" fillId="0" borderId="5" xfId="0" applyFont="1" applyFill="1" applyBorder="1"/>
    <xf numFmtId="0" fontId="5" fillId="0" borderId="0" xfId="0" applyFont="1"/>
    <xf numFmtId="0" fontId="8" fillId="0" borderId="15" xfId="1" applyFont="1" applyFill="1" applyBorder="1" applyAlignment="1">
      <alignment horizontal="left" vertical="top" wrapText="1"/>
    </xf>
    <xf numFmtId="0" fontId="7" fillId="0" borderId="0" xfId="1" applyFont="1"/>
    <xf numFmtId="49" fontId="8" fillId="0" borderId="15" xfId="1" applyNumberFormat="1" applyFont="1" applyFill="1" applyBorder="1" applyAlignment="1">
      <alignment horizontal="left" vertical="top"/>
    </xf>
    <xf numFmtId="0" fontId="10" fillId="0" borderId="15" xfId="3" applyFont="1" applyFill="1" applyBorder="1" applyAlignment="1" applyProtection="1">
      <alignment horizontal="left" vertical="top" wrapText="1"/>
    </xf>
    <xf numFmtId="0" fontId="7" fillId="0" borderId="15" xfId="1" applyFont="1" applyFill="1" applyBorder="1" applyAlignment="1">
      <alignment horizontal="left" vertical="top" wrapText="1"/>
    </xf>
    <xf numFmtId="0" fontId="7" fillId="0" borderId="15" xfId="1" applyFont="1" applyFill="1" applyBorder="1" applyAlignment="1">
      <alignment horizontal="left" vertical="top"/>
    </xf>
    <xf numFmtId="0" fontId="10" fillId="0" borderId="15" xfId="3" applyFont="1" applyBorder="1" applyAlignment="1" applyProtection="1">
      <alignment horizontal="left" vertical="top"/>
    </xf>
    <xf numFmtId="49" fontId="8" fillId="0" borderId="15" xfId="1" applyNumberFormat="1" applyFont="1" applyFill="1" applyBorder="1" applyAlignment="1">
      <alignment horizontal="left" vertical="top" wrapText="1"/>
    </xf>
    <xf numFmtId="49" fontId="7" fillId="0" borderId="15" xfId="1" applyNumberFormat="1" applyFont="1" applyFill="1" applyBorder="1" applyAlignment="1">
      <alignment horizontal="left" vertical="top"/>
    </xf>
    <xf numFmtId="0" fontId="6" fillId="0" borderId="15" xfId="1" applyFont="1" applyFill="1" applyBorder="1" applyAlignment="1">
      <alignment horizontal="center" vertical="top"/>
    </xf>
    <xf numFmtId="49" fontId="6" fillId="0" borderId="15" xfId="1" applyNumberFormat="1" applyFont="1" applyFill="1" applyBorder="1" applyAlignment="1">
      <alignment horizontal="center" vertical="top"/>
    </xf>
    <xf numFmtId="0" fontId="6" fillId="0" borderId="15" xfId="1" applyFont="1" applyFill="1" applyBorder="1" applyAlignment="1">
      <alignment horizontal="center" vertical="top" wrapText="1"/>
    </xf>
    <xf numFmtId="0" fontId="9" fillId="0" borderId="0" xfId="3" applyFont="1" applyAlignment="1" applyProtection="1">
      <alignment horizontal="left" vertical="top"/>
    </xf>
    <xf numFmtId="0" fontId="9" fillId="0" borderId="15" xfId="3" applyFont="1" applyFill="1" applyBorder="1" applyAlignment="1" applyProtection="1">
      <alignment horizontal="left" vertical="top" wrapText="1"/>
    </xf>
    <xf numFmtId="0" fontId="9" fillId="0" borderId="15" xfId="3" applyFont="1" applyFill="1" applyBorder="1" applyAlignment="1" applyProtection="1">
      <alignment horizontal="left" vertical="top"/>
    </xf>
    <xf numFmtId="0" fontId="3" fillId="0" borderId="17" xfId="0" applyFont="1" applyFill="1" applyBorder="1" applyAlignment="1">
      <alignment horizontal="center"/>
    </xf>
    <xf numFmtId="0" fontId="3" fillId="0" borderId="17" xfId="0" applyFont="1" applyFill="1" applyBorder="1" applyAlignment="1">
      <alignment horizontal="center" wrapText="1"/>
    </xf>
    <xf numFmtId="0" fontId="3" fillId="0" borderId="18" xfId="0" applyFont="1" applyFill="1" applyBorder="1" applyAlignment="1">
      <alignment horizontal="center"/>
    </xf>
    <xf numFmtId="0" fontId="3" fillId="0" borderId="0" xfId="0" applyFont="1" applyAlignment="1">
      <alignment horizontal="center"/>
    </xf>
    <xf numFmtId="0" fontId="12" fillId="0" borderId="0" xfId="1" applyFont="1"/>
    <xf numFmtId="0" fontId="2" fillId="0" borderId="10" xfId="0" applyFont="1" applyBorder="1" applyAlignment="1">
      <alignment horizontal="center" wrapText="1"/>
    </xf>
    <xf numFmtId="0" fontId="3" fillId="0" borderId="6" xfId="0" applyFont="1" applyBorder="1" applyAlignment="1">
      <alignment horizontal="center" wrapText="1"/>
    </xf>
    <xf numFmtId="0" fontId="2" fillId="0" borderId="10" xfId="0" applyFont="1" applyBorder="1" applyAlignment="1">
      <alignment horizontal="center" vertical="top" wrapText="1"/>
    </xf>
    <xf numFmtId="0" fontId="3" fillId="0" borderId="0" xfId="0" applyFont="1" applyAlignment="1">
      <alignment horizontal="left" vertical="top"/>
    </xf>
    <xf numFmtId="0" fontId="9" fillId="0" borderId="15" xfId="3" applyFill="1" applyBorder="1" applyAlignment="1" applyProtection="1">
      <alignment horizontal="left" vertical="top" wrapText="1"/>
    </xf>
    <xf numFmtId="4" fontId="9" fillId="0" borderId="6" xfId="3" applyNumberFormat="1" applyFill="1" applyBorder="1" applyAlignment="1" applyProtection="1">
      <alignment wrapText="1"/>
    </xf>
    <xf numFmtId="0" fontId="7" fillId="0" borderId="0" xfId="1" applyFont="1" applyAlignment="1">
      <alignment vertical="top" wrapText="1"/>
    </xf>
    <xf numFmtId="0" fontId="4" fillId="0" borderId="1" xfId="0" applyFont="1" applyFill="1" applyBorder="1" applyAlignment="1">
      <alignment horizontal="center"/>
    </xf>
    <xf numFmtId="0" fontId="4" fillId="0" borderId="16" xfId="0" applyFont="1" applyFill="1" applyBorder="1" applyAlignment="1">
      <alignment horizontal="center"/>
    </xf>
    <xf numFmtId="0" fontId="4" fillId="0" borderId="2" xfId="0" applyFont="1" applyFill="1" applyBorder="1" applyAlignment="1">
      <alignment horizontal="center"/>
    </xf>
    <xf numFmtId="0" fontId="3" fillId="0" borderId="4" xfId="0" applyFont="1" applyFill="1" applyBorder="1"/>
    <xf numFmtId="0" fontId="13" fillId="0" borderId="7" xfId="0" applyFont="1" applyBorder="1" applyAlignment="1">
      <alignment wrapText="1"/>
    </xf>
    <xf numFmtId="0" fontId="13" fillId="0" borderId="6" xfId="0" applyFont="1" applyBorder="1" applyAlignment="1">
      <alignment wrapText="1"/>
    </xf>
    <xf numFmtId="0" fontId="13" fillId="0" borderId="6" xfId="0" applyFont="1" applyBorder="1" applyAlignment="1">
      <alignment horizontal="center" wrapText="1"/>
    </xf>
    <xf numFmtId="4" fontId="13" fillId="0" borderId="6" xfId="0" applyNumberFormat="1" applyFont="1" applyBorder="1" applyAlignment="1">
      <alignment wrapText="1"/>
    </xf>
    <xf numFmtId="0" fontId="13" fillId="0" borderId="8" xfId="0" applyFont="1" applyBorder="1" applyAlignment="1">
      <alignment horizontal="left" wrapText="1"/>
    </xf>
    <xf numFmtId="0" fontId="13" fillId="0" borderId="7" xfId="0" applyFont="1" applyFill="1" applyBorder="1" applyAlignment="1">
      <alignment wrapText="1"/>
    </xf>
    <xf numFmtId="0" fontId="13" fillId="0" borderId="6" xfId="0" applyFont="1" applyFill="1" applyBorder="1" applyAlignment="1">
      <alignment wrapText="1"/>
    </xf>
    <xf numFmtId="0" fontId="13" fillId="0" borderId="6" xfId="0" applyFont="1" applyFill="1" applyBorder="1" applyAlignment="1">
      <alignment horizontal="center" wrapText="1"/>
    </xf>
    <xf numFmtId="4" fontId="13" fillId="0" borderId="6" xfId="0" applyNumberFormat="1" applyFont="1" applyFill="1" applyBorder="1" applyAlignment="1">
      <alignment wrapText="1"/>
    </xf>
    <xf numFmtId="0" fontId="3" fillId="0" borderId="3" xfId="0" applyFont="1" applyBorder="1" applyAlignment="1">
      <alignment horizontal="left" vertical="top" wrapText="1"/>
    </xf>
    <xf numFmtId="0" fontId="3" fillId="0" borderId="6" xfId="0" applyFont="1" applyFill="1" applyBorder="1"/>
    <xf numFmtId="0" fontId="3" fillId="0" borderId="17" xfId="0" applyFont="1" applyBorder="1" applyAlignment="1">
      <alignment wrapText="1"/>
    </xf>
    <xf numFmtId="0" fontId="3" fillId="0" borderId="6" xfId="0" applyFont="1" applyFill="1" applyBorder="1" applyAlignment="1">
      <alignment horizontal="center"/>
    </xf>
    <xf numFmtId="0" fontId="16" fillId="0" borderId="6" xfId="0" applyFont="1" applyBorder="1" applyAlignment="1">
      <alignment wrapText="1"/>
    </xf>
    <xf numFmtId="0" fontId="16" fillId="0" borderId="8" xfId="0" applyFont="1" applyBorder="1" applyAlignment="1">
      <alignment wrapText="1"/>
    </xf>
    <xf numFmtId="0" fontId="3" fillId="0" borderId="8" xfId="0" applyFont="1" applyFill="1" applyBorder="1"/>
    <xf numFmtId="0" fontId="16" fillId="0" borderId="8" xfId="0" applyFont="1" applyBorder="1"/>
    <xf numFmtId="0" fontId="0" fillId="0" borderId="0" xfId="0" pivotButton="1"/>
    <xf numFmtId="0" fontId="0" fillId="0" borderId="0" xfId="0" applyAlignment="1">
      <alignment horizontal="left"/>
    </xf>
    <xf numFmtId="0" fontId="17" fillId="0" borderId="0" xfId="4"/>
    <xf numFmtId="0" fontId="1" fillId="0" borderId="0" xfId="4" applyFont="1" applyAlignment="1">
      <alignment horizontal="center"/>
    </xf>
    <xf numFmtId="0" fontId="11" fillId="0" borderId="0" xfId="1" applyFont="1" applyAlignment="1">
      <alignment horizontal="center" vertical="top" wrapText="1"/>
    </xf>
    <xf numFmtId="0" fontId="3" fillId="0" borderId="13" xfId="0" applyFont="1" applyBorder="1" applyAlignment="1">
      <alignment horizontal="left" vertical="top" wrapText="1"/>
    </xf>
    <xf numFmtId="0" fontId="3" fillId="0" borderId="13" xfId="0" applyFont="1" applyBorder="1" applyAlignment="1">
      <alignment horizontal="center" wrapText="1"/>
    </xf>
    <xf numFmtId="0" fontId="0" fillId="0" borderId="0" xfId="0" applyAlignment="1">
      <alignment horizontal="left" vertical="top"/>
    </xf>
    <xf numFmtId="0" fontId="2" fillId="0" borderId="10" xfId="0" applyFont="1" applyFill="1" applyBorder="1" applyAlignment="1">
      <alignment horizontal="center" vertical="top" wrapText="1"/>
    </xf>
    <xf numFmtId="0" fontId="3" fillId="0" borderId="4" xfId="0" applyFont="1" applyFill="1" applyBorder="1" applyAlignment="1">
      <alignment horizontal="center"/>
    </xf>
    <xf numFmtId="0" fontId="3" fillId="0" borderId="19" xfId="0" applyFont="1" applyFill="1" applyBorder="1" applyAlignment="1">
      <alignment horizontal="center"/>
    </xf>
    <xf numFmtId="0" fontId="9" fillId="0" borderId="4" xfId="3" applyFill="1" applyBorder="1" applyAlignment="1" applyProtection="1">
      <alignment horizontal="center"/>
    </xf>
    <xf numFmtId="0" fontId="9" fillId="0" borderId="0" xfId="3" applyAlignment="1" applyProtection="1">
      <alignment horizontal="center"/>
    </xf>
    <xf numFmtId="0" fontId="9" fillId="0" borderId="3" xfId="3" applyFont="1" applyFill="1" applyBorder="1" applyAlignment="1" applyProtection="1">
      <alignment horizontal="left" vertical="top" wrapText="1"/>
    </xf>
    <xf numFmtId="0" fontId="9" fillId="0" borderId="3" xfId="3" applyFill="1" applyBorder="1" applyAlignment="1" applyProtection="1">
      <alignment horizontal="left" vertical="top" wrapText="1"/>
    </xf>
    <xf numFmtId="0" fontId="21" fillId="0" borderId="7" xfId="0" applyFont="1" applyBorder="1" applyAlignment="1">
      <alignment wrapText="1"/>
    </xf>
    <xf numFmtId="0" fontId="21" fillId="0" borderId="6" xfId="0" applyFont="1" applyBorder="1" applyAlignment="1">
      <alignment wrapText="1"/>
    </xf>
    <xf numFmtId="4" fontId="21" fillId="0" borderId="6" xfId="0" applyNumberFormat="1" applyFont="1" applyBorder="1" applyAlignment="1">
      <alignment wrapText="1"/>
    </xf>
    <xf numFmtId="0" fontId="3" fillId="0" borderId="0" xfId="0" applyFont="1" applyBorder="1" applyAlignment="1">
      <alignment horizontal="left" vertical="top" wrapText="1"/>
    </xf>
    <xf numFmtId="0" fontId="3" fillId="0" borderId="20" xfId="0" applyFont="1" applyBorder="1" applyAlignment="1">
      <alignment horizontal="left" vertical="top" wrapText="1"/>
    </xf>
    <xf numFmtId="0" fontId="21" fillId="0" borderId="6" xfId="0" applyFont="1" applyBorder="1" applyAlignment="1">
      <alignment horizontal="left" vertical="top" wrapText="1"/>
    </xf>
    <xf numFmtId="0" fontId="21" fillId="0" borderId="6" xfId="0" applyFont="1" applyBorder="1" applyAlignment="1">
      <alignment horizontal="center" wrapText="1"/>
    </xf>
    <xf numFmtId="0" fontId="21" fillId="0" borderId="8" xfId="0" applyFont="1" applyBorder="1" applyAlignment="1">
      <alignment horizontal="left" wrapText="1"/>
    </xf>
    <xf numFmtId="0" fontId="21" fillId="3" borderId="6" xfId="0" applyFont="1" applyFill="1" applyBorder="1" applyAlignment="1">
      <alignment wrapText="1"/>
    </xf>
    <xf numFmtId="4" fontId="3" fillId="3" borderId="6" xfId="0" applyNumberFormat="1" applyFont="1" applyFill="1" applyBorder="1" applyAlignment="1">
      <alignment wrapText="1"/>
    </xf>
    <xf numFmtId="0" fontId="21" fillId="0" borderId="8" xfId="0" applyFont="1" applyFill="1" applyBorder="1" applyAlignment="1">
      <alignment wrapText="1"/>
    </xf>
    <xf numFmtId="0" fontId="0" fillId="0" borderId="0" xfId="0" applyFill="1"/>
    <xf numFmtId="0" fontId="3" fillId="0" borderId="4" xfId="3" applyFont="1" applyFill="1" applyBorder="1" applyAlignment="1" applyProtection="1">
      <alignment horizontal="center"/>
    </xf>
    <xf numFmtId="0" fontId="9" fillId="0" borderId="0" xfId="3" applyFill="1" applyAlignment="1" applyProtection="1">
      <alignment horizontal="center"/>
    </xf>
    <xf numFmtId="0" fontId="3" fillId="0" borderId="0" xfId="0" applyFont="1" applyFill="1" applyBorder="1" applyAlignment="1">
      <alignment horizontal="center"/>
    </xf>
    <xf numFmtId="0" fontId="9" fillId="0" borderId="4" xfId="3" applyBorder="1" applyAlignment="1" applyProtection="1">
      <alignment horizontal="center"/>
    </xf>
    <xf numFmtId="0" fontId="21" fillId="0" borderId="0" xfId="0" applyFont="1" applyBorder="1" applyAlignment="1">
      <alignment wrapText="1"/>
    </xf>
    <xf numFmtId="0" fontId="21" fillId="3" borderId="0" xfId="0" applyFont="1" applyFill="1" applyBorder="1" applyAlignment="1">
      <alignment wrapText="1"/>
    </xf>
    <xf numFmtId="0" fontId="21" fillId="0" borderId="0" xfId="0" applyFont="1" applyBorder="1" applyAlignment="1">
      <alignment horizontal="center" wrapText="1"/>
    </xf>
    <xf numFmtId="4" fontId="3" fillId="0" borderId="0" xfId="0" applyNumberFormat="1" applyFont="1" applyBorder="1" applyAlignment="1">
      <alignment wrapText="1"/>
    </xf>
    <xf numFmtId="0" fontId="21" fillId="0" borderId="0" xfId="0" applyFont="1" applyFill="1" applyBorder="1" applyAlignment="1">
      <alignment wrapText="1"/>
    </xf>
    <xf numFmtId="0" fontId="9" fillId="0" borderId="0" xfId="3" applyFill="1" applyAlignment="1" applyProtection="1"/>
    <xf numFmtId="0" fontId="22" fillId="0" borderId="3" xfId="0" applyFont="1" applyFill="1" applyBorder="1"/>
    <xf numFmtId="0" fontId="22" fillId="0" borderId="4" xfId="0" applyFont="1" applyFill="1" applyBorder="1" applyAlignment="1">
      <alignment horizontal="center"/>
    </xf>
    <xf numFmtId="0" fontId="9" fillId="0" borderId="15" xfId="3" applyBorder="1" applyAlignment="1" applyProtection="1">
      <alignment horizontal="center"/>
    </xf>
    <xf numFmtId="0" fontId="22" fillId="0" borderId="7" xfId="0" applyFont="1" applyFill="1" applyBorder="1" applyAlignment="1">
      <alignment wrapText="1"/>
    </xf>
    <xf numFmtId="0" fontId="22" fillId="0" borderId="6" xfId="0" applyFont="1" applyFill="1" applyBorder="1" applyAlignment="1">
      <alignment wrapText="1"/>
    </xf>
    <xf numFmtId="0" fontId="22" fillId="0" borderId="6" xfId="0" applyFont="1" applyFill="1" applyBorder="1" applyAlignment="1">
      <alignment horizontal="center" vertical="center" wrapText="1"/>
    </xf>
    <xf numFmtId="4" fontId="22" fillId="0" borderId="6" xfId="0" applyNumberFormat="1" applyFont="1" applyFill="1" applyBorder="1" applyAlignment="1">
      <alignment wrapText="1"/>
    </xf>
    <xf numFmtId="0" fontId="22" fillId="0" borderId="8" xfId="0" applyFont="1" applyFill="1" applyBorder="1" applyAlignment="1">
      <alignment wrapText="1"/>
    </xf>
    <xf numFmtId="0" fontId="22" fillId="0" borderId="6" xfId="0" applyFont="1" applyFill="1" applyBorder="1" applyAlignment="1">
      <alignment horizontal="left" vertical="top" wrapText="1"/>
    </xf>
    <xf numFmtId="0" fontId="22" fillId="0" borderId="6" xfId="0" applyFont="1" applyFill="1" applyBorder="1" applyAlignment="1">
      <alignment horizontal="center" wrapText="1"/>
    </xf>
    <xf numFmtId="0" fontId="22" fillId="0" borderId="8" xfId="0" applyFont="1" applyFill="1" applyBorder="1" applyAlignment="1">
      <alignment horizontal="left" wrapText="1"/>
    </xf>
    <xf numFmtId="0" fontId="3" fillId="0" borderId="0" xfId="0" applyFont="1" applyFill="1" applyBorder="1" applyAlignment="1">
      <alignment wrapText="1"/>
    </xf>
    <xf numFmtId="0" fontId="3" fillId="0" borderId="20" xfId="0" applyFont="1" applyFill="1" applyBorder="1" applyAlignment="1">
      <alignment wrapText="1"/>
    </xf>
    <xf numFmtId="0" fontId="22" fillId="0" borderId="3" xfId="0" applyFont="1" applyFill="1" applyBorder="1" applyAlignment="1">
      <alignment horizontal="left" vertical="top" wrapText="1"/>
    </xf>
    <xf numFmtId="0" fontId="22" fillId="0" borderId="17" xfId="0" applyFont="1" applyFill="1" applyBorder="1" applyAlignment="1">
      <alignment wrapText="1"/>
    </xf>
    <xf numFmtId="0" fontId="3" fillId="0" borderId="3" xfId="0" applyFont="1" applyBorder="1" applyAlignment="1">
      <alignment wrapText="1"/>
    </xf>
    <xf numFmtId="0" fontId="3" fillId="0" borderId="5" xfId="0" applyFont="1" applyBorder="1" applyAlignment="1">
      <alignment horizontal="left" vertical="top" wrapText="1"/>
    </xf>
    <xf numFmtId="0" fontId="3" fillId="0" borderId="3" xfId="0" applyFont="1" applyFill="1" applyBorder="1" applyAlignment="1">
      <alignment horizontal="left" vertical="top" wrapText="1"/>
    </xf>
    <xf numFmtId="0" fontId="3" fillId="0" borderId="18" xfId="0" applyFont="1" applyBorder="1" applyAlignment="1">
      <alignment wrapText="1"/>
    </xf>
    <xf numFmtId="0" fontId="3" fillId="0" borderId="17" xfId="0" applyFont="1" applyFill="1" applyBorder="1" applyAlignment="1">
      <alignment wrapText="1"/>
    </xf>
    <xf numFmtId="0" fontId="22" fillId="0" borderId="6" xfId="0" applyFont="1" applyFill="1" applyBorder="1" applyAlignment="1">
      <alignment horizontal="left" wrapText="1"/>
    </xf>
    <xf numFmtId="0" fontId="22" fillId="0" borderId="0" xfId="0" applyFont="1" applyFill="1" applyBorder="1" applyAlignment="1">
      <alignment horizontal="left" wrapText="1"/>
    </xf>
    <xf numFmtId="0" fontId="18" fillId="0" borderId="0" xfId="4" applyFont="1" applyAlignment="1">
      <alignment horizontal="center"/>
    </xf>
    <xf numFmtId="0" fontId="19" fillId="0" borderId="0" xfId="4" applyFont="1" applyAlignment="1">
      <alignment horizontal="center"/>
    </xf>
    <xf numFmtId="0" fontId="20" fillId="0" borderId="0" xfId="4" applyFont="1" applyAlignment="1">
      <alignment horizontal="center"/>
    </xf>
    <xf numFmtId="0" fontId="1" fillId="0" borderId="0" xfId="4" applyFont="1" applyAlignment="1">
      <alignment horizontal="center"/>
    </xf>
    <xf numFmtId="0" fontId="11" fillId="0" borderId="0" xfId="1" applyFont="1" applyAlignment="1">
      <alignment horizontal="center" vertical="top" wrapText="1"/>
    </xf>
    <xf numFmtId="0" fontId="7" fillId="0" borderId="0" xfId="1" applyFont="1" applyAlignment="1">
      <alignment horizontal="left" vertical="top" wrapText="1"/>
    </xf>
  </cellXfs>
  <cellStyles count="5">
    <cellStyle name="Currency 2" xfId="2"/>
    <cellStyle name="Hyperlink" xfId="3" builtinId="8"/>
    <cellStyle name="Normal" xfId="0" builtinId="0"/>
    <cellStyle name="Normal 2" xfId="1"/>
    <cellStyle name="Normal 3" xfId="4"/>
  </cellStyles>
  <dxfs count="337">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fill>
        <patternFill patternType="none">
          <fgColor indexed="64"/>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numFmt numFmtId="4" formatCode="#,##0.00"/>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center" vertical="center"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bgColor auto="1"/>
        </patternFill>
      </fill>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bgColor indexed="65"/>
        </patternFill>
      </fill>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center"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left" vertical="top"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numFmt numFmtId="4" formatCode="#,##0.00"/>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center" vertical="center"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bgColor auto="1"/>
        </patternFill>
      </fill>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bgColor indexed="65"/>
        </patternFill>
      </fill>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numFmt numFmtId="4" formatCode="#,##0.00"/>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right style="thin">
          <color rgb="FF000000"/>
        </right>
        <top style="thin">
          <color rgb="FF000000"/>
        </top>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numFmt numFmtId="4" formatCode="#,##0.00"/>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center" vertical="center"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bgColor auto="1"/>
        </patternFill>
      </fill>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bgColor indexed="65"/>
        </patternFill>
      </fill>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center" vertical="center"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center" vertical="center"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fill>
        <patternFill patternType="none">
          <fgColor indexed="64"/>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center" vertical="center"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numFmt numFmtId="4" formatCode="#,##0.00"/>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center" vertical="center" textRotation="0" wrapText="1" indent="0" relative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readingOrder="0"/>
      <border diagonalUp="0" diagonalDown="0">
        <left/>
        <right style="thin">
          <color rgb="FF000000"/>
        </right>
        <top style="thin">
          <color rgb="FF000000"/>
        </top>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numFmt numFmtId="4" formatCode="#,##0.00"/>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center" vertical="center"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bgColor auto="1"/>
        </patternFill>
      </fill>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bgColor indexed="65"/>
        </patternFill>
      </fill>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fill>
        <patternFill patternType="none">
          <fgColor theme="0" tint="-0.14999847407452621"/>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center" vertical="center"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left/>
        <right style="thin">
          <color rgb="FF000000"/>
        </right>
        <top style="thin">
          <color rgb="FF000000"/>
        </top>
        <bottom style="thin">
          <color rgb="FF000000"/>
        </bottom>
        <vertical/>
        <horizontal/>
      </border>
    </dxf>
    <dxf>
      <border>
        <top style="thin">
          <color rgb="FF000000"/>
        </top>
        <vertical/>
        <horizontal/>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left style="thin">
          <color rgb="FF000000"/>
        </left>
        <right style="thin">
          <color rgb="FF000000"/>
        </right>
        <top/>
        <bottom/>
      </border>
    </dxf>
    <dxf>
      <border>
        <bottom style="thin">
          <color rgb="FF000000"/>
        </bottom>
        <vertical/>
        <horizontal/>
      </border>
    </dxf>
    <dxf>
      <font>
        <b/>
        <i val="0"/>
        <strike val="0"/>
        <condense val="0"/>
        <extend val="0"/>
        <outline val="0"/>
        <shadow val="0"/>
        <u val="none"/>
        <vertAlign val="baseline"/>
        <sz val="10"/>
        <color theme="1"/>
        <name val="Calibri"/>
        <scheme val="minor"/>
      </font>
      <fill>
        <patternFill patternType="none">
          <bgColor indexed="65"/>
        </patternFill>
      </fill>
      <alignment horizontal="center" vertical="center" textRotation="0" wrapText="1" indent="0" relative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numFmt numFmtId="4" formatCode="#,##0.00"/>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center" vertical="center"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top style="thin">
          <color rgb="FF000000"/>
        </top>
      </border>
    </dxf>
    <dxf>
      <border outline="0">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bgColor indexed="65"/>
        </patternFill>
      </fill>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numFmt numFmtId="4" formatCode="#,##0.00"/>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center" vertical="center"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bgColor auto="1"/>
        </patternFill>
      </fill>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bgColor indexed="65"/>
        </patternFill>
      </fill>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ill>
        <patternFill patternType="none">
          <bgColor auto="1"/>
        </patternFill>
      </fill>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numFmt numFmtId="4" formatCode="#,##0.00"/>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center" vertical="center"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center"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bgColor auto="1"/>
        </patternFill>
      </fill>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bgColor indexed="65"/>
        </patternFill>
      </fill>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
      <font>
        <strike val="0"/>
        <outline val="0"/>
        <shadow val="0"/>
        <vertAlign val="baseline"/>
        <sz val="10"/>
        <color theme="1"/>
        <name val="Calibri"/>
        <scheme val="minor"/>
      </font>
      <fill>
        <patternFill patternType="none">
          <fgColor indexed="64"/>
          <bgColor indexed="65"/>
        </patternFill>
      </fill>
      <border diagonalUp="0" diagonalDown="0" outline="0">
        <left/>
        <right/>
        <top style="thin">
          <color auto="1"/>
        </top>
        <bottom style="thin">
          <color auto="1"/>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bottom" textRotation="0" indent="0" relativeIndent="255" justifyLastLine="0" shrinkToFit="0" readingOrder="0"/>
      <border diagonalUp="0" diagonalDown="0" outline="0">
        <left/>
        <right/>
        <top style="thin">
          <color auto="1"/>
        </top>
        <bottom style="thin">
          <color auto="1"/>
        </bottom>
      </border>
    </dxf>
    <dxf>
      <font>
        <strike val="0"/>
        <outline val="0"/>
        <shadow val="0"/>
        <vertAlign val="baseline"/>
        <sz val="10"/>
        <color theme="1"/>
        <name val="Calibri"/>
        <scheme val="minor"/>
      </font>
      <fill>
        <patternFill patternType="none">
          <fgColor indexed="64"/>
          <bgColor indexed="65"/>
        </patternFill>
      </fill>
      <border diagonalUp="0" diagonalDown="0" outline="0">
        <left/>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vertAlign val="baseline"/>
        <sz val="10"/>
        <color theme="1"/>
        <name val="Calibri"/>
        <scheme val="minor"/>
      </font>
      <fill>
        <patternFill patternType="none">
          <fgColor indexed="64"/>
          <bgColor indexed="65"/>
        </patternFill>
      </fill>
      <alignment vertical="top" textRotation="0" indent="0" relativeIndent="0" justifyLastLine="0" shrinkToFit="0" readingOrder="0"/>
      <border diagonalUp="0" diagonalDown="0" outline="0"/>
    </dxf>
    <dxf>
      <border outline="0">
        <bottom style="thin">
          <color auto="1"/>
        </bottom>
      </border>
    </dxf>
    <dxf>
      <font>
        <b/>
        <i val="0"/>
        <strike val="0"/>
        <condense val="0"/>
        <extend val="0"/>
        <outline val="0"/>
        <shadow val="0"/>
        <u/>
        <vertAlign val="baseline"/>
        <sz val="12"/>
        <color theme="1"/>
        <name val="Calibri"/>
        <scheme val="minor"/>
      </font>
      <fill>
        <patternFill patternType="none">
          <fgColor indexed="64"/>
          <bgColor indexed="65"/>
        </patternFill>
      </fill>
      <alignment horizontal="center" vertical="bottom" textRotation="0" wrapText="0" indent="0" relative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bottom" textRotation="0" wrapText="0" indent="0" relativeIndent="0" justifyLastLine="0" shrinkToFit="0" readingOrder="0"/>
      <border diagonalUp="0" diagonalDown="0">
        <left style="thin">
          <color auto="1"/>
        </left>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ertAlign val="baseline"/>
        <sz val="12"/>
        <color theme="1"/>
        <name val="Calibri"/>
        <scheme val="minor"/>
      </font>
      <fill>
        <patternFill patternType="none">
          <fgColor indexed="64"/>
          <bgColor indexed="65"/>
        </patternFill>
      </fill>
      <alignment horizontal="center" vertical="bottom" textRotation="0" wrapText="0" indent="0"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bottom" textRotation="0" wrapText="0" indent="0" relativeIndent="0" justifyLastLine="0" shrinkToFit="0" readingOrder="0"/>
      <border diagonalUp="0" diagonalDown="0">
        <left style="thin">
          <color auto="1"/>
        </left>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ertAlign val="baseline"/>
        <sz val="12"/>
        <color theme="1"/>
        <name val="Calibri"/>
        <scheme val="minor"/>
      </font>
      <fill>
        <patternFill patternType="none">
          <fgColor indexed="64"/>
          <bgColor indexed="65"/>
        </patternFill>
      </fill>
      <alignment horizontal="center" vertical="bottom" textRotation="0" wrapText="0" indent="0"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scheme val="minor"/>
      </font>
      <alignment horizontal="left" vertical="bottom" textRotation="0" wrapText="1" indent="0" relative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center" vertical="bottom" textRotation="0" wrapText="1" indent="0" relativeIndent="255"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alignment horizontal="left" vertical="top" textRotation="0" wrapText="1" indent="0" relativeIndent="255"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readingOrder="0"/>
      <border diagonalUp="0" diagonalDown="0" outline="0">
        <left style="thin">
          <color rgb="FF000000"/>
        </left>
        <right style="thin">
          <color rgb="FF000000"/>
        </right>
        <top/>
        <bottom/>
      </border>
    </dxf>
  </dxfs>
  <tableStyles count="0" defaultTableStyle="TableStyleMedium9" defaultPivotStyle="PivotStyleLight16"/>
  <colors>
    <mruColors>
      <color rgb="FFFF5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https://www.ok.gov/dcs/solicit/app/solicitationDetail.php?conID=153" TargetMode="External"/></Relationships>
</file>

<file path=xl/drawings/drawing1.xml><?xml version="1.0" encoding="utf-8"?>
<xdr:wsDr xmlns:xdr="http://schemas.openxmlformats.org/drawingml/2006/spreadsheetDrawing" xmlns:a="http://schemas.openxmlformats.org/drawingml/2006/main">
  <xdr:twoCellAnchor editAs="oneCell">
    <xdr:from>
      <xdr:col>4</xdr:col>
      <xdr:colOff>28575</xdr:colOff>
      <xdr:row>0</xdr:row>
      <xdr:rowOff>66675</xdr:rowOff>
    </xdr:from>
    <xdr:to>
      <xdr:col>6</xdr:col>
      <xdr:colOff>9525</xdr:colOff>
      <xdr:row>7</xdr:row>
      <xdr:rowOff>143435</xdr:rowOff>
    </xdr:to>
    <xdr:pic>
      <xdr:nvPicPr>
        <xdr:cNvPr id="2" name="Picture 1" descr="http://upload.wikimedia.org/wikipedia/commons/thumb/5/50/Seal_of_Oklahoma_%28B%26W%29.svg/595px-Seal_of_Oklahoma_%28B%26W%29.svg.png"/>
        <xdr:cNvPicPr>
          <a:picLocks noChangeAspect="1" noChangeArrowheads="1"/>
        </xdr:cNvPicPr>
      </xdr:nvPicPr>
      <xdr:blipFill>
        <a:blip xmlns:r="http://schemas.openxmlformats.org/officeDocument/2006/relationships" r:embed="rId1" cstate="print"/>
        <a:srcRect/>
        <a:stretch>
          <a:fillRect/>
        </a:stretch>
      </xdr:blipFill>
      <xdr:spPr bwMode="auto">
        <a:xfrm>
          <a:off x="2466975" y="66675"/>
          <a:ext cx="1200150" cy="121023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1</xdr:row>
      <xdr:rowOff>0</xdr:rowOff>
    </xdr:from>
    <xdr:to>
      <xdr:col>11</xdr:col>
      <xdr:colOff>666750</xdr:colOff>
      <xdr:row>1</xdr:row>
      <xdr:rowOff>571500</xdr:rowOff>
    </xdr:to>
    <xdr:sp macro="" textlink="">
      <xdr:nvSpPr>
        <xdr:cNvPr id="1025" name="Text Box 1"/>
        <xdr:cNvSpPr txBox="1">
          <a:spLocks noChangeArrowheads="1"/>
        </xdr:cNvSpPr>
      </xdr:nvSpPr>
      <xdr:spPr bwMode="auto">
        <a:xfrm>
          <a:off x="8791575" y="161925"/>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000000"/>
              </a:solidFill>
              <a:latin typeface="Calibri"/>
            </a:rPr>
            <a:t>HOW TO ORDER: Go to SW916-Safety Apparel under the contract search at OK.gov. There is an excell catalog and an order</a:t>
          </a:r>
        </a:p>
        <a:p>
          <a:pPr algn="l" rtl="0">
            <a:defRPr sz="1000"/>
          </a:pPr>
          <a:r>
            <a:rPr lang="en-US" sz="1100" b="0" i="0" u="none" strike="noStrike" baseline="0">
              <a:solidFill>
                <a:srgbClr val="000000"/>
              </a:solidFill>
              <a:latin typeface="Calibri"/>
            </a:rPr>
            <a:t>form. Fax your order form to 1-405-247-3936 (must include the 405 or it will not go through) or email rclift@apexok.com</a:t>
          </a:r>
        </a:p>
        <a:p>
          <a:pPr algn="l" rtl="0">
            <a:defRPr sz="1000"/>
          </a:pPr>
          <a:r>
            <a:rPr lang="en-US" sz="1100" b="0" i="0" u="none" strike="noStrike" baseline="0">
              <a:solidFill>
                <a:srgbClr val="000000"/>
              </a:solidFill>
              <a:latin typeface="Calibri"/>
            </a:rPr>
            <a:t>or office@apexok.com.</a:t>
          </a:r>
        </a:p>
        <a:p>
          <a:pPr algn="l" rtl="0">
            <a:defRPr sz="1000"/>
          </a:pPr>
          <a:r>
            <a:rPr lang="en-US" sz="1100" b="0" i="0" u="none" strike="noStrike" baseline="0">
              <a:solidFill>
                <a:srgbClr val="000000"/>
              </a:solidFill>
              <a:latin typeface="Calibri"/>
            </a:rPr>
            <a:t>CONTRACT</a:t>
          </a:r>
        </a:p>
        <a:p>
          <a:pPr algn="l" rtl="0">
            <a:defRPr sz="1000"/>
          </a:pPr>
          <a:r>
            <a:rPr lang="en-US" sz="1100" b="0" i="0" u="none" strike="noStrike" baseline="0">
              <a:solidFill>
                <a:srgbClr val="000000"/>
              </a:solidFill>
              <a:latin typeface="Calibri"/>
            </a:rPr>
            <a:t>Dispatch via Print</a:t>
          </a:r>
        </a:p>
        <a:p>
          <a:pPr algn="l" rtl="0">
            <a:defRPr sz="1000"/>
          </a:pPr>
          <a:r>
            <a:rPr lang="en-US" sz="1100" b="0" i="0" u="none" strike="noStrike" baseline="0">
              <a:solidFill>
                <a:srgbClr val="000000"/>
              </a:solidFill>
              <a:latin typeface="Calibri"/>
            </a:rPr>
            <a:t>Contract ID</a:t>
          </a:r>
        </a:p>
        <a:p>
          <a:pPr algn="l" rtl="0">
            <a:defRPr sz="1000"/>
          </a:pPr>
          <a:r>
            <a:rPr lang="en-US" sz="1100" b="0" i="0" u="none" strike="noStrike" baseline="0">
              <a:solidFill>
                <a:srgbClr val="000000"/>
              </a:solidFill>
              <a:latin typeface="Calibri"/>
            </a:rPr>
            <a:t>0000000000000000000003621</a:t>
          </a:r>
        </a:p>
        <a:p>
          <a:pPr algn="l" rtl="0">
            <a:defRPr sz="1000"/>
          </a:pPr>
          <a:r>
            <a:rPr lang="en-US" sz="1100" b="0" i="0" u="none" strike="noStrike" baseline="0">
              <a:solidFill>
                <a:srgbClr val="000000"/>
              </a:solidFill>
              <a:latin typeface="Calibri"/>
            </a:rPr>
            <a:t>Page</a:t>
          </a:r>
        </a:p>
        <a:p>
          <a:pPr algn="l" rtl="0">
            <a:defRPr sz="1000"/>
          </a:pPr>
          <a:r>
            <a:rPr lang="en-US" sz="1100" b="0" i="0" u="none" strike="noStrike" baseline="0">
              <a:solidFill>
                <a:srgbClr val="000000"/>
              </a:solidFill>
              <a:latin typeface="Calibri"/>
            </a:rPr>
            <a:t>1 of 1</a:t>
          </a:r>
        </a:p>
        <a:p>
          <a:pPr algn="l" rtl="0">
            <a:defRPr sz="1000"/>
          </a:pPr>
          <a:r>
            <a:rPr lang="en-US" sz="1100" b="0" i="0" u="none" strike="noStrike" baseline="0">
              <a:solidFill>
                <a:srgbClr val="000000"/>
              </a:solidFill>
              <a:latin typeface="Calibri"/>
            </a:rPr>
            <a:t>Contract Dates</a:t>
          </a:r>
        </a:p>
        <a:p>
          <a:pPr algn="l" rtl="0">
            <a:defRPr sz="1000"/>
          </a:pPr>
          <a:r>
            <a:rPr lang="en-US" sz="1100" b="0" i="0" u="none" strike="noStrike" baseline="0">
              <a:solidFill>
                <a:srgbClr val="000000"/>
              </a:solidFill>
              <a:latin typeface="Calibri"/>
            </a:rPr>
            <a:t>10/21/2013 to 10/20/2099</a:t>
          </a:r>
        </a:p>
        <a:p>
          <a:pPr algn="l" rtl="0">
            <a:defRPr sz="1000"/>
          </a:pPr>
          <a:r>
            <a:rPr lang="en-US" sz="1100" b="0" i="0" u="none" strike="noStrike" baseline="0">
              <a:solidFill>
                <a:srgbClr val="000000"/>
              </a:solidFill>
              <a:latin typeface="Calibri"/>
            </a:rPr>
            <a:t>Currency</a:t>
          </a:r>
        </a:p>
        <a:p>
          <a:pPr algn="l" rtl="0">
            <a:defRPr sz="1000"/>
          </a:pPr>
          <a:r>
            <a:rPr lang="en-US" sz="1100" b="0" i="0" u="none" strike="noStrike" baseline="0">
              <a:solidFill>
                <a:srgbClr val="000000"/>
              </a:solidFill>
              <a:latin typeface="Calibri"/>
            </a:rPr>
            <a:t>USD</a:t>
          </a:r>
        </a:p>
        <a:p>
          <a:pPr algn="l" rtl="0">
            <a:defRPr sz="1000"/>
          </a:pPr>
          <a:r>
            <a:rPr lang="en-US" sz="1100" b="0" i="0" u="none" strike="noStrike" baseline="0">
              <a:solidFill>
                <a:srgbClr val="000000"/>
              </a:solidFill>
              <a:latin typeface="Calibri"/>
            </a:rPr>
            <a:t>Rate Type</a:t>
          </a:r>
        </a:p>
        <a:p>
          <a:pPr algn="l" rtl="0">
            <a:defRPr sz="1000"/>
          </a:pPr>
          <a:r>
            <a:rPr lang="en-US" sz="1100" b="0" i="0" u="none" strike="noStrike" baseline="0">
              <a:solidFill>
                <a:srgbClr val="000000"/>
              </a:solidFill>
              <a:latin typeface="Calibri"/>
            </a:rPr>
            <a:t>CRRNT</a:t>
          </a:r>
        </a:p>
        <a:p>
          <a:pPr algn="l" rtl="0">
            <a:defRPr sz="1000"/>
          </a:pPr>
          <a:r>
            <a:rPr lang="en-US" sz="1100" b="0" i="0" u="none" strike="noStrike" baseline="0">
              <a:solidFill>
                <a:srgbClr val="000000"/>
              </a:solidFill>
              <a:latin typeface="Calibri"/>
            </a:rPr>
            <a:t>Rate Date</a:t>
          </a:r>
        </a:p>
        <a:p>
          <a:pPr algn="l" rtl="0">
            <a:defRPr sz="1000"/>
          </a:pPr>
          <a:r>
            <a:rPr lang="en-US" sz="1100" b="0" i="0" u="none" strike="noStrike" baseline="0">
              <a:solidFill>
                <a:srgbClr val="000000"/>
              </a:solidFill>
              <a:latin typeface="Calibri"/>
            </a:rPr>
            <a:t>PO Date</a:t>
          </a:r>
        </a:p>
        <a:p>
          <a:pPr algn="l" rtl="0">
            <a:defRPr sz="1000"/>
          </a:pPr>
          <a:r>
            <a:rPr lang="en-US" sz="1100" b="0" i="0" u="none" strike="noStrike" baseline="0">
              <a:solidFill>
                <a:srgbClr val="000000"/>
              </a:solidFill>
              <a:latin typeface="Calibri"/>
            </a:rPr>
            <a:t>Description:</a:t>
          </a:r>
        </a:p>
        <a:p>
          <a:pPr algn="l" rtl="0">
            <a:defRPr sz="1000"/>
          </a:pPr>
          <a:r>
            <a:rPr lang="en-US" sz="1100" b="0" i="0" u="none" strike="noStrike" baseline="0">
              <a:solidFill>
                <a:srgbClr val="000000"/>
              </a:solidFill>
              <a:latin typeface="Calibri"/>
            </a:rPr>
            <a:t>SW916 SAFETY APPAREL</a:t>
          </a:r>
        </a:p>
        <a:p>
          <a:pPr algn="l" rtl="0">
            <a:defRPr sz="1000"/>
          </a:pPr>
          <a:r>
            <a:rPr lang="en-US" sz="1100" b="0" i="0" u="none" strike="noStrike" baseline="0">
              <a:solidFill>
                <a:srgbClr val="000000"/>
              </a:solidFill>
              <a:latin typeface="Calibri"/>
            </a:rPr>
            <a:t>Contract Maximum</a:t>
          </a:r>
        </a:p>
        <a:p>
          <a:pPr algn="l" rtl="0">
            <a:defRPr sz="1000"/>
          </a:pPr>
          <a:r>
            <a:rPr lang="en-US" sz="1100" b="0" i="0" u="none" strike="noStrike" baseline="0">
              <a:solidFill>
                <a:srgbClr val="000000"/>
              </a:solidFill>
              <a:latin typeface="Calibri"/>
            </a:rPr>
            <a:t>0.00</a:t>
          </a:r>
        </a:p>
        <a:p>
          <a:pPr algn="l" rtl="0">
            <a:defRPr sz="1000"/>
          </a:pPr>
          <a:r>
            <a:rPr lang="en-US" sz="1100" b="0" i="0" u="none" strike="noStrike" baseline="0">
              <a:solidFill>
                <a:srgbClr val="000000"/>
              </a:solidFill>
              <a:latin typeface="Calibri"/>
            </a:rPr>
            <a:t>TYPE: STATEWIDE</a:t>
          </a:r>
        </a:p>
        <a:p>
          <a:pPr algn="l" rtl="0">
            <a:defRPr sz="1000"/>
          </a:pPr>
          <a:r>
            <a:rPr lang="en-US" sz="1100" b="0" i="0" u="none" strike="noStrike" baseline="0">
              <a:solidFill>
                <a:srgbClr val="000000"/>
              </a:solidFill>
              <a:latin typeface="Calibri"/>
            </a:rPr>
            <a:t>State of Oklahoma</a:t>
          </a:r>
        </a:p>
        <a:p>
          <a:pPr algn="l" rtl="0">
            <a:defRPr sz="1000"/>
          </a:pPr>
          <a:r>
            <a:rPr lang="en-US" sz="1100" b="0" i="0" u="none" strike="noStrike" baseline="0">
              <a:solidFill>
                <a:srgbClr val="000000"/>
              </a:solidFill>
              <a:latin typeface="Calibri"/>
            </a:rPr>
            <a:t>Vendor ID 0000074292</a:t>
          </a:r>
        </a:p>
        <a:p>
          <a:pPr algn="l" rtl="0">
            <a:defRPr sz="1000"/>
          </a:pPr>
          <a:r>
            <a:rPr lang="en-US" sz="1100" b="0" i="0" u="none" strike="noStrike" baseline="0">
              <a:solidFill>
                <a:srgbClr val="000000"/>
              </a:solidFill>
              <a:latin typeface="Calibri"/>
            </a:rPr>
            <a:t>APEX INC</a:t>
          </a:r>
        </a:p>
        <a:p>
          <a:pPr algn="l" rtl="0">
            <a:defRPr sz="1000"/>
          </a:pPr>
          <a:r>
            <a:rPr lang="en-US" sz="1100" b="0" i="0" u="none" strike="noStrike" baseline="0">
              <a:solidFill>
                <a:srgbClr val="000000"/>
              </a:solidFill>
              <a:latin typeface="Calibri"/>
            </a:rPr>
            <a:t>PO BOX 804</a:t>
          </a:r>
        </a:p>
        <a:p>
          <a:pPr algn="l" rtl="0">
            <a:defRPr sz="1000"/>
          </a:pPr>
          <a:r>
            <a:rPr lang="en-US" sz="1100" b="0" i="0" u="none" strike="noStrike" baseline="0">
              <a:solidFill>
                <a:srgbClr val="000000"/>
              </a:solidFill>
              <a:latin typeface="Calibri"/>
            </a:rPr>
            <a:t>ANADARKO OK 73005-0804</a:t>
          </a:r>
        </a:p>
        <a:p>
          <a:pPr algn="l" rtl="0">
            <a:defRPr sz="1000"/>
          </a:pPr>
          <a:r>
            <a:rPr lang="en-US" sz="1100" b="0" i="0" u="none" strike="noStrike" baseline="0">
              <a:solidFill>
                <a:srgbClr val="000000"/>
              </a:solidFill>
              <a:latin typeface="Calibri"/>
            </a:rPr>
            <a:t>Tax Exempt? Y Tax Exempt ID:736017987</a:t>
          </a:r>
        </a:p>
        <a:p>
          <a:pPr algn="l" rtl="0">
            <a:defRPr sz="1000"/>
          </a:pPr>
          <a:r>
            <a:rPr lang="en-US" sz="1100" b="0" i="0" u="none" strike="noStrike" baseline="0">
              <a:solidFill>
                <a:srgbClr val="000000"/>
              </a:solidFill>
              <a:latin typeface="Calibri"/>
            </a:rPr>
            <a:t>Line # Cat CD / Item ID / Item Desc</a:t>
          </a:r>
        </a:p>
        <a:p>
          <a:pPr algn="l" rtl="0">
            <a:defRPr sz="1000"/>
          </a:pPr>
          <a:r>
            <a:rPr lang="en-US" sz="1100" b="0" i="0" u="none" strike="noStrike" baseline="0">
              <a:solidFill>
                <a:srgbClr val="000000"/>
              </a:solidFill>
              <a:latin typeface="Calibri"/>
            </a:rPr>
            <a:t>Minimum Order Maximum / Open</a:t>
          </a:r>
        </a:p>
        <a:p>
          <a:pPr algn="l" rtl="0">
            <a:defRPr sz="1000"/>
          </a:pPr>
          <a:r>
            <a:rPr lang="en-US" sz="1100" b="0" i="0" u="none" strike="noStrike" baseline="0">
              <a:solidFill>
                <a:srgbClr val="000000"/>
              </a:solidFill>
              <a:latin typeface="Calibri"/>
            </a:rPr>
            <a:t>Qty Amt Qty Amt</a:t>
          </a:r>
        </a:p>
        <a:p>
          <a:pPr algn="l" rtl="0">
            <a:defRPr sz="1000"/>
          </a:pPr>
          <a:r>
            <a:rPr lang="en-US" sz="1100" b="0" i="0" u="none" strike="noStrike" baseline="0">
              <a:solidFill>
                <a:srgbClr val="000000"/>
              </a:solidFill>
              <a:latin typeface="Calibri"/>
            </a:rPr>
            <a:t>Final =</a:t>
          </a:r>
        </a:p>
      </xdr:txBody>
    </xdr:sp>
    <xdr:clientData/>
  </xdr:twoCellAnchor>
  <xdr:twoCellAnchor>
    <xdr:from>
      <xdr:col>11</xdr:col>
      <xdr:colOff>0</xdr:colOff>
      <xdr:row>1</xdr:row>
      <xdr:rowOff>0</xdr:rowOff>
    </xdr:from>
    <xdr:to>
      <xdr:col>11</xdr:col>
      <xdr:colOff>666750</xdr:colOff>
      <xdr:row>1</xdr:row>
      <xdr:rowOff>571500</xdr:rowOff>
    </xdr:to>
    <xdr:sp macro="" textlink="">
      <xdr:nvSpPr>
        <xdr:cNvPr id="1026" name="Text Box 2"/>
        <xdr:cNvSpPr txBox="1">
          <a:spLocks noChangeArrowheads="1"/>
        </xdr:cNvSpPr>
      </xdr:nvSpPr>
      <xdr:spPr bwMode="auto">
        <a:xfrm>
          <a:off x="8791575" y="161925"/>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Calibri"/>
          </a:endParaRPr>
        </a:p>
      </xdr:txBody>
    </xdr:sp>
    <xdr:clientData/>
  </xdr:twoCellAnchor>
  <xdr:twoCellAnchor>
    <xdr:from>
      <xdr:col>2</xdr:col>
      <xdr:colOff>323853</xdr:colOff>
      <xdr:row>7</xdr:row>
      <xdr:rowOff>71538</xdr:rowOff>
    </xdr:from>
    <xdr:to>
      <xdr:col>6</xdr:col>
      <xdr:colOff>47630</xdr:colOff>
      <xdr:row>13</xdr:row>
      <xdr:rowOff>0</xdr:rowOff>
    </xdr:to>
    <xdr:sp macro="" textlink="">
      <xdr:nvSpPr>
        <xdr:cNvPr id="1028" name="Text Box 4">
          <a:hlinkClick xmlns:r="http://schemas.openxmlformats.org/officeDocument/2006/relationships" r:id="rId1"/>
        </xdr:cNvPr>
        <xdr:cNvSpPr txBox="1">
          <a:spLocks noChangeArrowheads="1"/>
        </xdr:cNvSpPr>
      </xdr:nvSpPr>
      <xdr:spPr bwMode="auto">
        <a:xfrm rot="16200000">
          <a:off x="3050436" y="1945530"/>
          <a:ext cx="1071462" cy="4276727"/>
        </a:xfrm>
        <a:prstGeom prst="rect">
          <a:avLst/>
        </a:prstGeom>
        <a:solidFill>
          <a:srgbClr val="FF5050"/>
        </a:solidFill>
        <a:ln w="9525">
          <a:solidFill>
            <a:srgbClr val="000000"/>
          </a:solidFill>
          <a:miter lim="800000"/>
          <a:headEnd/>
          <a:tailEnd/>
        </a:ln>
      </xdr:spPr>
      <xdr:txBody>
        <a:bodyPr vertOverflow="clip" wrap="square" lIns="27432" tIns="27432" rIns="0" bIns="0" anchor="t" upright="1"/>
        <a:lstStyle/>
        <a:p>
          <a:pPr algn="l" rtl="0">
            <a:defRPr sz="1000"/>
          </a:pPr>
          <a:r>
            <a:rPr lang="en-US" sz="1200" b="0" i="0" u="none" strike="noStrike" baseline="0">
              <a:solidFill>
                <a:sysClr val="windowText" lastClr="000000"/>
              </a:solidFill>
              <a:latin typeface="Calibri"/>
            </a:rPr>
            <a:t>HOW TO ORDER: Go to SW916-Safety Apparel. There is an excel catalog and an order</a:t>
          </a:r>
        </a:p>
        <a:p>
          <a:pPr algn="l" rtl="0">
            <a:defRPr sz="1000"/>
          </a:pPr>
          <a:r>
            <a:rPr lang="en-US" sz="1200" b="0" i="0" u="none" strike="noStrike" baseline="0">
              <a:solidFill>
                <a:sysClr val="windowText" lastClr="000000"/>
              </a:solidFill>
              <a:latin typeface="Calibri"/>
            </a:rPr>
            <a:t>form. Fax your order form to 1-405-247-3936 (must include the 405 or it will not go through) or email rclift@apexok.com</a:t>
          </a:r>
        </a:p>
        <a:p>
          <a:pPr algn="l" rtl="0">
            <a:defRPr sz="1000"/>
          </a:pPr>
          <a:r>
            <a:rPr lang="en-US" sz="1200" b="0" i="0" u="none" strike="noStrike" baseline="0">
              <a:solidFill>
                <a:sysClr val="windowText" lastClr="000000"/>
              </a:solidFill>
              <a:latin typeface="Calibri"/>
            </a:rPr>
            <a:t>or office@apexok.com.</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116295" refreshedDate="41596.614296064814" createdVersion="3" refreshedVersion="3" minRefreshableVersion="3" recordCount="284">
  <cacheSource type="worksheet">
    <worksheetSource name="Table1"/>
  </cacheSource>
  <cacheFields count="3">
    <cacheField name="Suitable to Procure" numFmtId="0">
      <sharedItems count="63">
        <s v="Acrylic Awards"/>
        <s v="Apron, Cloth &amp; Disposable"/>
        <s v="Assembly Services"/>
        <s v="Award Items"/>
        <s v="Badges/Decals"/>
        <s v="Bags, Laundry"/>
        <s v="Bags, Sand"/>
        <s v="Banner, Vinyl"/>
        <s v="Bedspreads"/>
        <s v="Biohazard Kits"/>
        <s v="Blankets, Disposable"/>
        <s v="Braille Signage Services"/>
        <s v="Call Center Operation"/>
        <s v="Candles"/>
        <s v="Car Washing "/>
        <s v="CNC Machining Services _x000a_(manufacturing of metal and plastic parts)"/>
        <s v="Collating/Sorting Services"/>
        <s v="Document Imaging Services"/>
        <s v="Drug Testing Kits"/>
        <s v="Embroidery Services"/>
        <s v="First Aid Kit Refill Service"/>
        <s v="Greeting Cards, Hand-Made"/>
        <s v="Grounds Maintenance"/>
        <s v="Imprinted Products &amp; Services"/>
        <s v="Large Format Digital Printing"/>
        <s v="Lawn Care Services (Grounds Maint)"/>
        <s v="Litter Removal Services, Excluding Highway"/>
        <s v="Machining Services, CNC (metal and plastic)"/>
        <s v="Mailing Services"/>
        <s v="Medals"/>
        <s v="Metal Parts, Manufactured"/>
        <s v="Name Badges &amp; Name Tags"/>
        <s v="Name Plates"/>
        <s v="Napkin Monogramming"/>
        <s v="Nightgowns"/>
        <s v="Packaging Services"/>
        <s v="Paper Plates, Bowls &amp; Cups"/>
        <s v="Paper Shredding (non-secure)"/>
        <s v="Photograph Enlargement"/>
        <s v="Pillow Cases"/>
        <s v="Pillows"/>
        <s v="Pillows, CPAP"/>
        <s v="Plaques, All Types"/>
        <s v="Plastic Parts, Manufactured"/>
        <s v="Print Management Services"/>
        <s v="Printing Services"/>
        <s v="Promotional Items"/>
        <s v="Recycling Services"/>
        <s v="Reflective Arm &amp; Ankle Bands"/>
        <s v="Reflective Belts"/>
        <s v="Screen Printed Products (+ silk)"/>
        <s v="Screen Printing (include silk)"/>
        <s v="Sheets &amp; Blankets"/>
        <s v="Signs, All Types"/>
        <s v="Sleepwear"/>
        <s v="Solid Waste Trash Removal"/>
        <s v="Sweatbands"/>
        <s v="Tote Bags"/>
        <s v="Towels, Cloth, Dish, Terry"/>
        <s v="Trophies"/>
        <s v="Vehicle Cleaning &amp; Maintenance"/>
        <s v="Washcloths"/>
        <s v="Wood Pallets"/>
      </sharedItems>
    </cacheField>
    <cacheField name="Category" numFmtId="0">
      <sharedItems containsSemiMixedTypes="0" containsString="0" containsNumber="1" containsInteger="1" minValue="14111605" maxValue="82130000"/>
    </cacheField>
    <cacheField name="Vendor" numFmtId="0">
      <sharedItems count="38">
        <s v="Dale Rogers (405)946-1079"/>
        <s v="Apex (405)247-7377"/>
        <s v="Kiamichi (580)326-7549"/>
        <s v="Power Shop (580)580-4516"/>
        <s v="Able (405)329-3960"/>
        <s v="EARC (405)341-3535"/>
        <s v="EmployAbility (918)336-5928"/>
        <s v="Faith 7 (405)275-4223"/>
        <s v="Galt (405)488-2501"/>
        <s v="Golden Rule (918)683-5505"/>
        <s v="Goodwill SW OK (580)355-2163"/>
        <s v="Goodwill Tulsa (918)584-7291"/>
        <s v="Help Works (918)287-1588"/>
        <s v="Home of Hope (918)944-0415"/>
        <s v="McCall's (580)272-6655"/>
        <s v="Meadows (405)348-4470"/>
        <s v="Mid Del Group Homes (405)732-8568"/>
        <s v="Mpower (405)377-0834"/>
        <s v="New View OK (405)232-4644"/>
        <s v="OK Production Center (918)456-1929"/>
        <s v="Options Inc (918)473-2614"/>
        <s v="Outback Resource (405)282-0205"/>
        <s v="People, Inc. (918)775-7797"/>
        <s v="Reliant Living (405)677-2421"/>
        <s v="Rogers County WTC (918)944-0415"/>
        <s v="Sequoyah Therapy (918)775-7797"/>
        <s v="South Central (405)275-3851"/>
        <s v="Sunshine (580)226-1444"/>
        <s v="Garvin CCLC (405)238-3888"/>
        <s v="Center of Family Love (405)263-4935"/>
        <s v="Delaware County Friendship Homes (918)253-6032"/>
        <s v="Opportunity Center (580)765-6782"/>
        <s v="OARC (580)256-9412"/>
        <s v="Southwest Enterprises (580)482-5040"/>
        <s v="Outreach Community (405)922-0020"/>
        <s v="Sagebrush (580)928-5715"/>
        <s v="Life Circles (405)247-2055"/>
        <s v="Goodwill OKC (405)278-711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84">
  <r>
    <x v="0"/>
    <n v="49101700"/>
    <x v="0"/>
  </r>
  <r>
    <x v="1"/>
    <n v="46181501"/>
    <x v="1"/>
  </r>
  <r>
    <x v="1"/>
    <n v="46181501"/>
    <x v="2"/>
  </r>
  <r>
    <x v="1"/>
    <n v="46181501"/>
    <x v="3"/>
  </r>
  <r>
    <x v="2"/>
    <n v="73151500"/>
    <x v="4"/>
  </r>
  <r>
    <x v="2"/>
    <n v="73151500"/>
    <x v="0"/>
  </r>
  <r>
    <x v="2"/>
    <n v="73151500"/>
    <x v="5"/>
  </r>
  <r>
    <x v="2"/>
    <n v="73151500"/>
    <x v="6"/>
  </r>
  <r>
    <x v="2"/>
    <n v="73151500"/>
    <x v="7"/>
  </r>
  <r>
    <x v="2"/>
    <n v="73151500"/>
    <x v="8"/>
  </r>
  <r>
    <x v="2"/>
    <n v="73151500"/>
    <x v="9"/>
  </r>
  <r>
    <x v="2"/>
    <n v="73151500"/>
    <x v="10"/>
  </r>
  <r>
    <x v="2"/>
    <n v="73151500"/>
    <x v="11"/>
  </r>
  <r>
    <x v="2"/>
    <n v="73151500"/>
    <x v="12"/>
  </r>
  <r>
    <x v="2"/>
    <n v="73151500"/>
    <x v="13"/>
  </r>
  <r>
    <x v="2"/>
    <n v="73151500"/>
    <x v="2"/>
  </r>
  <r>
    <x v="2"/>
    <n v="73151500"/>
    <x v="14"/>
  </r>
  <r>
    <x v="2"/>
    <n v="73151500"/>
    <x v="15"/>
  </r>
  <r>
    <x v="2"/>
    <n v="73151500"/>
    <x v="16"/>
  </r>
  <r>
    <x v="2"/>
    <n v="73151500"/>
    <x v="17"/>
  </r>
  <r>
    <x v="2"/>
    <n v="73151500"/>
    <x v="18"/>
  </r>
  <r>
    <x v="2"/>
    <n v="73151500"/>
    <x v="19"/>
  </r>
  <r>
    <x v="2"/>
    <n v="73151500"/>
    <x v="20"/>
  </r>
  <r>
    <x v="2"/>
    <n v="73151500"/>
    <x v="21"/>
  </r>
  <r>
    <x v="2"/>
    <n v="73151500"/>
    <x v="22"/>
  </r>
  <r>
    <x v="2"/>
    <n v="73151500"/>
    <x v="3"/>
  </r>
  <r>
    <x v="2"/>
    <n v="73151500"/>
    <x v="23"/>
  </r>
  <r>
    <x v="2"/>
    <n v="73151500"/>
    <x v="24"/>
  </r>
  <r>
    <x v="2"/>
    <n v="73151500"/>
    <x v="25"/>
  </r>
  <r>
    <x v="2"/>
    <n v="73151500"/>
    <x v="26"/>
  </r>
  <r>
    <x v="2"/>
    <n v="73151500"/>
    <x v="27"/>
  </r>
  <r>
    <x v="3"/>
    <n v="49101700"/>
    <x v="0"/>
  </r>
  <r>
    <x v="3"/>
    <n v="49101700"/>
    <x v="28"/>
  </r>
  <r>
    <x v="3"/>
    <n v="49101700"/>
    <x v="3"/>
  </r>
  <r>
    <x v="4"/>
    <n v="55121804"/>
    <x v="0"/>
  </r>
  <r>
    <x v="4"/>
    <n v="55121804"/>
    <x v="3"/>
  </r>
  <r>
    <x v="5"/>
    <n v="47131811"/>
    <x v="2"/>
  </r>
  <r>
    <x v="5"/>
    <n v="47131811"/>
    <x v="3"/>
  </r>
  <r>
    <x v="6"/>
    <n v="42251614"/>
    <x v="1"/>
  </r>
  <r>
    <x v="6"/>
    <n v="42251614"/>
    <x v="3"/>
  </r>
  <r>
    <x v="7"/>
    <n v="55121706"/>
    <x v="29"/>
  </r>
  <r>
    <x v="7"/>
    <n v="55121706"/>
    <x v="0"/>
  </r>
  <r>
    <x v="7"/>
    <n v="55121706"/>
    <x v="30"/>
  </r>
  <r>
    <x v="7"/>
    <n v="55121706"/>
    <x v="28"/>
  </r>
  <r>
    <x v="7"/>
    <n v="55121706"/>
    <x v="3"/>
  </r>
  <r>
    <x v="8"/>
    <n v="42132106"/>
    <x v="2"/>
  </r>
  <r>
    <x v="9"/>
    <n v="42281803"/>
    <x v="18"/>
  </r>
  <r>
    <x v="9"/>
    <n v="42281803"/>
    <x v="26"/>
  </r>
  <r>
    <x v="10"/>
    <n v="52121508"/>
    <x v="2"/>
  </r>
  <r>
    <x v="11"/>
    <n v="42211702"/>
    <x v="0"/>
  </r>
  <r>
    <x v="11"/>
    <n v="42211702"/>
    <x v="28"/>
  </r>
  <r>
    <x v="12"/>
    <n v="80141603"/>
    <x v="0"/>
  </r>
  <r>
    <x v="12"/>
    <n v="80141603"/>
    <x v="18"/>
  </r>
  <r>
    <x v="13"/>
    <n v="39112604"/>
    <x v="31"/>
  </r>
  <r>
    <x v="14"/>
    <n v="76111800"/>
    <x v="14"/>
  </r>
  <r>
    <x v="14"/>
    <n v="76111800"/>
    <x v="32"/>
  </r>
  <r>
    <x v="14"/>
    <n v="76111800"/>
    <x v="31"/>
  </r>
  <r>
    <x v="14"/>
    <n v="76111800"/>
    <x v="21"/>
  </r>
  <r>
    <x v="14"/>
    <n v="76111800"/>
    <x v="22"/>
  </r>
  <r>
    <x v="14"/>
    <n v="76111800"/>
    <x v="25"/>
  </r>
  <r>
    <x v="15"/>
    <n v="73181000"/>
    <x v="18"/>
  </r>
  <r>
    <x v="16"/>
    <n v="82121701"/>
    <x v="4"/>
  </r>
  <r>
    <x v="16"/>
    <n v="82121701"/>
    <x v="29"/>
  </r>
  <r>
    <x v="16"/>
    <n v="82121701"/>
    <x v="0"/>
  </r>
  <r>
    <x v="16"/>
    <n v="82121701"/>
    <x v="6"/>
  </r>
  <r>
    <x v="16"/>
    <n v="82121701"/>
    <x v="28"/>
  </r>
  <r>
    <x v="16"/>
    <n v="82121701"/>
    <x v="9"/>
  </r>
  <r>
    <x v="16"/>
    <n v="82121701"/>
    <x v="10"/>
  </r>
  <r>
    <x v="16"/>
    <n v="82121701"/>
    <x v="12"/>
  </r>
  <r>
    <x v="16"/>
    <n v="82121701"/>
    <x v="2"/>
  </r>
  <r>
    <x v="16"/>
    <n v="82121701"/>
    <x v="14"/>
  </r>
  <r>
    <x v="16"/>
    <n v="82121701"/>
    <x v="15"/>
  </r>
  <r>
    <x v="16"/>
    <n v="82121701"/>
    <x v="16"/>
  </r>
  <r>
    <x v="16"/>
    <n v="82121701"/>
    <x v="17"/>
  </r>
  <r>
    <x v="16"/>
    <n v="82121701"/>
    <x v="32"/>
  </r>
  <r>
    <x v="16"/>
    <n v="82121701"/>
    <x v="20"/>
  </r>
  <r>
    <x v="16"/>
    <n v="82121701"/>
    <x v="21"/>
  </r>
  <r>
    <x v="16"/>
    <n v="82121701"/>
    <x v="23"/>
  </r>
  <r>
    <x v="16"/>
    <n v="82121701"/>
    <x v="33"/>
  </r>
  <r>
    <x v="16"/>
    <n v="82121701"/>
    <x v="27"/>
  </r>
  <r>
    <x v="17"/>
    <n v="82121700"/>
    <x v="29"/>
  </r>
  <r>
    <x v="18"/>
    <n v="46151606"/>
    <x v="14"/>
  </r>
  <r>
    <x v="19"/>
    <n v="73141715"/>
    <x v="29"/>
  </r>
  <r>
    <x v="19"/>
    <n v="73141715"/>
    <x v="0"/>
  </r>
  <r>
    <x v="19"/>
    <n v="73141715"/>
    <x v="31"/>
  </r>
  <r>
    <x v="19"/>
    <n v="73141715"/>
    <x v="3"/>
  </r>
  <r>
    <x v="20"/>
    <n v="42171917"/>
    <x v="18"/>
  </r>
  <r>
    <x v="21"/>
    <n v="14111605"/>
    <x v="31"/>
  </r>
  <r>
    <x v="22"/>
    <n v="72102905"/>
    <x v="9"/>
  </r>
  <r>
    <x v="22"/>
    <n v="72102905"/>
    <x v="10"/>
  </r>
  <r>
    <x v="22"/>
    <n v="72102905"/>
    <x v="2"/>
  </r>
  <r>
    <x v="22"/>
    <n v="72102905"/>
    <x v="14"/>
  </r>
  <r>
    <x v="22"/>
    <n v="72102905"/>
    <x v="17"/>
  </r>
  <r>
    <x v="22"/>
    <n v="72102905"/>
    <x v="32"/>
  </r>
  <r>
    <x v="22"/>
    <n v="72102905"/>
    <x v="19"/>
  </r>
  <r>
    <x v="22"/>
    <n v="72102905"/>
    <x v="31"/>
  </r>
  <r>
    <x v="22"/>
    <n v="72102905"/>
    <x v="21"/>
  </r>
  <r>
    <x v="22"/>
    <n v="72102905"/>
    <x v="34"/>
  </r>
  <r>
    <x v="22"/>
    <n v="72102905"/>
    <x v="22"/>
  </r>
  <r>
    <x v="22"/>
    <n v="72102905"/>
    <x v="35"/>
  </r>
  <r>
    <x v="22"/>
    <n v="72102905"/>
    <x v="25"/>
  </r>
  <r>
    <x v="22"/>
    <n v="72102905"/>
    <x v="33"/>
  </r>
  <r>
    <x v="23"/>
    <n v="82121500"/>
    <x v="29"/>
  </r>
  <r>
    <x v="23"/>
    <n v="82121500"/>
    <x v="3"/>
  </r>
  <r>
    <x v="24"/>
    <n v="82121500"/>
    <x v="29"/>
  </r>
  <r>
    <x v="24"/>
    <n v="82121500"/>
    <x v="28"/>
  </r>
  <r>
    <x v="25"/>
    <n v="72102905"/>
    <x v="9"/>
  </r>
  <r>
    <x v="25"/>
    <n v="72102905"/>
    <x v="10"/>
  </r>
  <r>
    <x v="25"/>
    <n v="72102905"/>
    <x v="2"/>
  </r>
  <r>
    <x v="25"/>
    <n v="72102905"/>
    <x v="14"/>
  </r>
  <r>
    <x v="25"/>
    <n v="72102905"/>
    <x v="17"/>
  </r>
  <r>
    <x v="25"/>
    <n v="72102905"/>
    <x v="32"/>
  </r>
  <r>
    <x v="25"/>
    <n v="72102905"/>
    <x v="19"/>
  </r>
  <r>
    <x v="25"/>
    <n v="72102905"/>
    <x v="31"/>
  </r>
  <r>
    <x v="25"/>
    <n v="72102905"/>
    <x v="21"/>
  </r>
  <r>
    <x v="25"/>
    <n v="72102905"/>
    <x v="34"/>
  </r>
  <r>
    <x v="25"/>
    <n v="72102905"/>
    <x v="22"/>
  </r>
  <r>
    <x v="25"/>
    <n v="72102905"/>
    <x v="35"/>
  </r>
  <r>
    <x v="25"/>
    <n v="72102905"/>
    <x v="25"/>
  </r>
  <r>
    <x v="25"/>
    <n v="72102905"/>
    <x v="33"/>
  </r>
  <r>
    <x v="26"/>
    <n v="76121505"/>
    <x v="4"/>
  </r>
  <r>
    <x v="26"/>
    <n v="76121505"/>
    <x v="36"/>
  </r>
  <r>
    <x v="26"/>
    <n v="76121505"/>
    <x v="16"/>
  </r>
  <r>
    <x v="26"/>
    <n v="76121505"/>
    <x v="17"/>
  </r>
  <r>
    <x v="26"/>
    <n v="76121505"/>
    <x v="19"/>
  </r>
  <r>
    <x v="26"/>
    <n v="76121505"/>
    <x v="31"/>
  </r>
  <r>
    <x v="26"/>
    <n v="76121505"/>
    <x v="21"/>
  </r>
  <r>
    <x v="26"/>
    <n v="76121505"/>
    <x v="22"/>
  </r>
  <r>
    <x v="26"/>
    <n v="76121505"/>
    <x v="25"/>
  </r>
  <r>
    <x v="26"/>
    <n v="76121505"/>
    <x v="27"/>
  </r>
  <r>
    <x v="27"/>
    <n v="73181000"/>
    <x v="18"/>
  </r>
  <r>
    <x v="28"/>
    <n v="80141800"/>
    <x v="4"/>
  </r>
  <r>
    <x v="28"/>
    <n v="80141800"/>
    <x v="29"/>
  </r>
  <r>
    <x v="28"/>
    <n v="80141800"/>
    <x v="0"/>
  </r>
  <r>
    <x v="28"/>
    <n v="80141800"/>
    <x v="6"/>
  </r>
  <r>
    <x v="28"/>
    <n v="80141800"/>
    <x v="2"/>
  </r>
  <r>
    <x v="28"/>
    <n v="80141800"/>
    <x v="14"/>
  </r>
  <r>
    <x v="28"/>
    <n v="80141800"/>
    <x v="17"/>
  </r>
  <r>
    <x v="28"/>
    <n v="80141800"/>
    <x v="32"/>
  </r>
  <r>
    <x v="28"/>
    <n v="80141800"/>
    <x v="31"/>
  </r>
  <r>
    <x v="28"/>
    <n v="80141800"/>
    <x v="21"/>
  </r>
  <r>
    <x v="28"/>
    <n v="80141800"/>
    <x v="33"/>
  </r>
  <r>
    <x v="29"/>
    <n v="49101701"/>
    <x v="29"/>
  </r>
  <r>
    <x v="29"/>
    <n v="49101701"/>
    <x v="0"/>
  </r>
  <r>
    <x v="29"/>
    <n v="49101701"/>
    <x v="28"/>
  </r>
  <r>
    <x v="30"/>
    <n v="31132002"/>
    <x v="18"/>
  </r>
  <r>
    <x v="31"/>
    <n v="49101700"/>
    <x v="0"/>
  </r>
  <r>
    <x v="31"/>
    <n v="49101700"/>
    <x v="28"/>
  </r>
  <r>
    <x v="32"/>
    <n v="60101717"/>
    <x v="28"/>
  </r>
  <r>
    <x v="33"/>
    <n v="52121602"/>
    <x v="29"/>
  </r>
  <r>
    <x v="33"/>
    <n v="52121602"/>
    <x v="7"/>
  </r>
  <r>
    <x v="33"/>
    <n v="52121602"/>
    <x v="31"/>
  </r>
  <r>
    <x v="34"/>
    <n v="53102606"/>
    <x v="2"/>
  </r>
  <r>
    <x v="35"/>
    <n v="73151600"/>
    <x v="4"/>
  </r>
  <r>
    <x v="35"/>
    <n v="73151600"/>
    <x v="29"/>
  </r>
  <r>
    <x v="35"/>
    <n v="73151600"/>
    <x v="0"/>
  </r>
  <r>
    <x v="35"/>
    <n v="73151600"/>
    <x v="5"/>
  </r>
  <r>
    <x v="35"/>
    <n v="73151600"/>
    <x v="7"/>
  </r>
  <r>
    <x v="35"/>
    <n v="73151600"/>
    <x v="8"/>
  </r>
  <r>
    <x v="35"/>
    <n v="73151600"/>
    <x v="9"/>
  </r>
  <r>
    <x v="35"/>
    <n v="73151600"/>
    <x v="10"/>
  </r>
  <r>
    <x v="35"/>
    <n v="73151600"/>
    <x v="11"/>
  </r>
  <r>
    <x v="35"/>
    <n v="73151600"/>
    <x v="13"/>
  </r>
  <r>
    <x v="35"/>
    <n v="73151600"/>
    <x v="2"/>
  </r>
  <r>
    <x v="35"/>
    <n v="73151600"/>
    <x v="14"/>
  </r>
  <r>
    <x v="35"/>
    <n v="73151600"/>
    <x v="15"/>
  </r>
  <r>
    <x v="35"/>
    <n v="73151600"/>
    <x v="16"/>
  </r>
  <r>
    <x v="35"/>
    <n v="73151600"/>
    <x v="17"/>
  </r>
  <r>
    <x v="35"/>
    <n v="73151600"/>
    <x v="18"/>
  </r>
  <r>
    <x v="35"/>
    <n v="73151600"/>
    <x v="19"/>
  </r>
  <r>
    <x v="35"/>
    <n v="73151600"/>
    <x v="21"/>
  </r>
  <r>
    <x v="35"/>
    <n v="73151600"/>
    <x v="22"/>
  </r>
  <r>
    <x v="35"/>
    <n v="73151600"/>
    <x v="3"/>
  </r>
  <r>
    <x v="35"/>
    <n v="73151600"/>
    <x v="23"/>
  </r>
  <r>
    <x v="35"/>
    <n v="73151600"/>
    <x v="24"/>
  </r>
  <r>
    <x v="35"/>
    <n v="73151600"/>
    <x v="25"/>
  </r>
  <r>
    <x v="35"/>
    <n v="73151600"/>
    <x v="26"/>
  </r>
  <r>
    <x v="35"/>
    <n v="73151600"/>
    <x v="33"/>
  </r>
  <r>
    <x v="35"/>
    <n v="73151600"/>
    <x v="27"/>
  </r>
  <r>
    <x v="36"/>
    <n v="60122503"/>
    <x v="2"/>
  </r>
  <r>
    <x v="37"/>
    <n v="80161508"/>
    <x v="29"/>
  </r>
  <r>
    <x v="37"/>
    <n v="80161508"/>
    <x v="0"/>
  </r>
  <r>
    <x v="37"/>
    <n v="80161508"/>
    <x v="6"/>
  </r>
  <r>
    <x v="37"/>
    <n v="80161508"/>
    <x v="7"/>
  </r>
  <r>
    <x v="37"/>
    <n v="80161508"/>
    <x v="28"/>
  </r>
  <r>
    <x v="37"/>
    <n v="80161508"/>
    <x v="9"/>
  </r>
  <r>
    <x v="37"/>
    <n v="80161508"/>
    <x v="10"/>
  </r>
  <r>
    <x v="37"/>
    <n v="80161508"/>
    <x v="11"/>
  </r>
  <r>
    <x v="37"/>
    <n v="80161508"/>
    <x v="13"/>
  </r>
  <r>
    <x v="37"/>
    <n v="80161508"/>
    <x v="36"/>
  </r>
  <r>
    <x v="37"/>
    <n v="80161508"/>
    <x v="17"/>
  </r>
  <r>
    <x v="37"/>
    <n v="80161508"/>
    <x v="32"/>
  </r>
  <r>
    <x v="37"/>
    <n v="80161508"/>
    <x v="19"/>
  </r>
  <r>
    <x v="37"/>
    <n v="80161508"/>
    <x v="31"/>
  </r>
  <r>
    <x v="37"/>
    <n v="80161508"/>
    <x v="20"/>
  </r>
  <r>
    <x v="37"/>
    <n v="80161508"/>
    <x v="21"/>
  </r>
  <r>
    <x v="37"/>
    <n v="80161508"/>
    <x v="22"/>
  </r>
  <r>
    <x v="37"/>
    <n v="80161508"/>
    <x v="3"/>
  </r>
  <r>
    <x v="37"/>
    <n v="80161508"/>
    <x v="24"/>
  </r>
  <r>
    <x v="37"/>
    <n v="80161508"/>
    <x v="25"/>
  </r>
  <r>
    <x v="37"/>
    <n v="80161508"/>
    <x v="26"/>
  </r>
  <r>
    <x v="37"/>
    <n v="80161508"/>
    <x v="33"/>
  </r>
  <r>
    <x v="38"/>
    <n v="82130000"/>
    <x v="28"/>
  </r>
  <r>
    <x v="39"/>
    <n v="52121512"/>
    <x v="1"/>
  </r>
  <r>
    <x v="39"/>
    <n v="52121512"/>
    <x v="2"/>
  </r>
  <r>
    <x v="40"/>
    <n v="52121505"/>
    <x v="1"/>
  </r>
  <r>
    <x v="40"/>
    <n v="52121505"/>
    <x v="2"/>
  </r>
  <r>
    <x v="41"/>
    <n v="42141705"/>
    <x v="1"/>
  </r>
  <r>
    <x v="41"/>
    <n v="42141705"/>
    <x v="2"/>
  </r>
  <r>
    <x v="42"/>
    <n v="49101704"/>
    <x v="29"/>
  </r>
  <r>
    <x v="42"/>
    <n v="49101704"/>
    <x v="0"/>
  </r>
  <r>
    <x v="42"/>
    <n v="49101704"/>
    <x v="28"/>
  </r>
  <r>
    <x v="43"/>
    <n v="73181000"/>
    <x v="18"/>
  </r>
  <r>
    <x v="44"/>
    <n v="81112306"/>
    <x v="28"/>
  </r>
  <r>
    <x v="45"/>
    <n v="82121500"/>
    <x v="29"/>
  </r>
  <r>
    <x v="45"/>
    <n v="82121500"/>
    <x v="30"/>
  </r>
  <r>
    <x v="45"/>
    <n v="82121500"/>
    <x v="31"/>
  </r>
  <r>
    <x v="46"/>
    <n v="80141605"/>
    <x v="29"/>
  </r>
  <r>
    <x v="46"/>
    <n v="80141605"/>
    <x v="0"/>
  </r>
  <r>
    <x v="46"/>
    <n v="80141605"/>
    <x v="16"/>
  </r>
  <r>
    <x v="46"/>
    <n v="80141605"/>
    <x v="17"/>
  </r>
  <r>
    <x v="46"/>
    <n v="80141605"/>
    <x v="31"/>
  </r>
  <r>
    <x v="46"/>
    <n v="80141605"/>
    <x v="3"/>
  </r>
  <r>
    <x v="47"/>
    <n v="76122300"/>
    <x v="29"/>
  </r>
  <r>
    <x v="47"/>
    <n v="76122300"/>
    <x v="30"/>
  </r>
  <r>
    <x v="47"/>
    <n v="76122300"/>
    <x v="6"/>
  </r>
  <r>
    <x v="47"/>
    <n v="76122300"/>
    <x v="7"/>
  </r>
  <r>
    <x v="47"/>
    <n v="76122300"/>
    <x v="28"/>
  </r>
  <r>
    <x v="47"/>
    <n v="76122300"/>
    <x v="9"/>
  </r>
  <r>
    <x v="47"/>
    <n v="76122300"/>
    <x v="37"/>
  </r>
  <r>
    <x v="47"/>
    <n v="76122300"/>
    <x v="10"/>
  </r>
  <r>
    <x v="47"/>
    <n v="76122300"/>
    <x v="12"/>
  </r>
  <r>
    <x v="47"/>
    <n v="76122300"/>
    <x v="13"/>
  </r>
  <r>
    <x v="47"/>
    <n v="76122300"/>
    <x v="2"/>
  </r>
  <r>
    <x v="47"/>
    <n v="76122300"/>
    <x v="36"/>
  </r>
  <r>
    <x v="47"/>
    <n v="76122300"/>
    <x v="15"/>
  </r>
  <r>
    <x v="47"/>
    <n v="76122300"/>
    <x v="17"/>
  </r>
  <r>
    <x v="47"/>
    <n v="76122300"/>
    <x v="18"/>
  </r>
  <r>
    <x v="47"/>
    <n v="76122300"/>
    <x v="31"/>
  </r>
  <r>
    <x v="47"/>
    <n v="76122300"/>
    <x v="20"/>
  </r>
  <r>
    <x v="47"/>
    <n v="76122300"/>
    <x v="21"/>
  </r>
  <r>
    <x v="47"/>
    <n v="76122300"/>
    <x v="22"/>
  </r>
  <r>
    <x v="47"/>
    <n v="76122300"/>
    <x v="24"/>
  </r>
  <r>
    <x v="47"/>
    <n v="76122300"/>
    <x v="26"/>
  </r>
  <r>
    <x v="47"/>
    <n v="76122300"/>
    <x v="33"/>
  </r>
  <r>
    <x v="48"/>
    <n v="46181500"/>
    <x v="1"/>
  </r>
  <r>
    <x v="49"/>
    <n v="46181500"/>
    <x v="1"/>
  </r>
  <r>
    <x v="50"/>
    <n v="73151903"/>
    <x v="29"/>
  </r>
  <r>
    <x v="50"/>
    <n v="73151903"/>
    <x v="0"/>
  </r>
  <r>
    <x v="50"/>
    <n v="73151903"/>
    <x v="30"/>
  </r>
  <r>
    <x v="50"/>
    <n v="73151903"/>
    <x v="31"/>
  </r>
  <r>
    <x v="50"/>
    <n v="73151903"/>
    <x v="3"/>
  </r>
  <r>
    <x v="51"/>
    <n v="73151903"/>
    <x v="29"/>
  </r>
  <r>
    <x v="51"/>
    <n v="73151903"/>
    <x v="0"/>
  </r>
  <r>
    <x v="51"/>
    <n v="73151903"/>
    <x v="30"/>
  </r>
  <r>
    <x v="51"/>
    <n v="73151903"/>
    <x v="31"/>
  </r>
  <r>
    <x v="51"/>
    <n v="73151903"/>
    <x v="3"/>
  </r>
  <r>
    <x v="52"/>
    <n v="52121508"/>
    <x v="2"/>
  </r>
  <r>
    <x v="53"/>
    <n v="55121700"/>
    <x v="29"/>
  </r>
  <r>
    <x v="53"/>
    <n v="55121700"/>
    <x v="0"/>
  </r>
  <r>
    <x v="53"/>
    <n v="55121700"/>
    <x v="28"/>
  </r>
  <r>
    <x v="54"/>
    <n v="53102606"/>
    <x v="2"/>
  </r>
  <r>
    <x v="55"/>
    <n v="76121600"/>
    <x v="19"/>
  </r>
  <r>
    <x v="55"/>
    <n v="76121600"/>
    <x v="22"/>
  </r>
  <r>
    <x v="55"/>
    <n v="76121600"/>
    <x v="25"/>
  </r>
  <r>
    <x v="56"/>
    <n v="53102513"/>
    <x v="31"/>
  </r>
  <r>
    <x v="57"/>
    <n v="24111500"/>
    <x v="1"/>
  </r>
  <r>
    <x v="57"/>
    <n v="24111500"/>
    <x v="29"/>
  </r>
  <r>
    <x v="57"/>
    <n v="24111500"/>
    <x v="0"/>
  </r>
  <r>
    <x v="57"/>
    <n v="24111500"/>
    <x v="31"/>
  </r>
  <r>
    <x v="57"/>
    <n v="24111500"/>
    <x v="3"/>
  </r>
  <r>
    <x v="58"/>
    <n v="52121601"/>
    <x v="1"/>
  </r>
  <r>
    <x v="58"/>
    <n v="52121601"/>
    <x v="2"/>
  </r>
  <r>
    <x v="58"/>
    <n v="52121601"/>
    <x v="31"/>
  </r>
  <r>
    <x v="59"/>
    <n v="49101702"/>
    <x v="29"/>
  </r>
  <r>
    <x v="59"/>
    <n v="49101702"/>
    <x v="0"/>
  </r>
  <r>
    <x v="59"/>
    <n v="49101702"/>
    <x v="28"/>
  </r>
  <r>
    <x v="60"/>
    <n v="76111800"/>
    <x v="17"/>
  </r>
  <r>
    <x v="60"/>
    <n v="76111800"/>
    <x v="31"/>
  </r>
  <r>
    <x v="60"/>
    <n v="76111800"/>
    <x v="22"/>
  </r>
  <r>
    <x v="60"/>
    <n v="76111800"/>
    <x v="25"/>
  </r>
  <r>
    <x v="61"/>
    <n v="52121703"/>
    <x v="1"/>
  </r>
  <r>
    <x v="61"/>
    <n v="52121703"/>
    <x v="2"/>
  </r>
  <r>
    <x v="62"/>
    <n v="24112700"/>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rowHeaderCaption="Products and Services">
  <location ref="D3:D9" firstHeaderRow="1" firstDataRow="1" firstDataCol="1" rowPageCount="1" colPageCount="1"/>
  <pivotFields count="3">
    <pivotField axis="axisRow"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pivotField axis="axisPage" showAll="0">
      <items count="39">
        <item x="4"/>
        <item x="1"/>
        <item x="29"/>
        <item x="0"/>
        <item x="30"/>
        <item x="5"/>
        <item x="6"/>
        <item x="7"/>
        <item x="8"/>
        <item x="28"/>
        <item x="9"/>
        <item x="37"/>
        <item x="10"/>
        <item x="11"/>
        <item x="12"/>
        <item x="13"/>
        <item x="2"/>
        <item x="36"/>
        <item x="14"/>
        <item x="15"/>
        <item x="16"/>
        <item x="17"/>
        <item x="18"/>
        <item x="32"/>
        <item x="19"/>
        <item x="31"/>
        <item x="20"/>
        <item x="21"/>
        <item x="34"/>
        <item x="22"/>
        <item x="3"/>
        <item x="23"/>
        <item x="24"/>
        <item x="35"/>
        <item x="25"/>
        <item x="26"/>
        <item x="33"/>
        <item x="27"/>
        <item t="default"/>
      </items>
    </pivotField>
  </pivotFields>
  <rowFields count="1">
    <field x="0"/>
  </rowFields>
  <rowItems count="6">
    <i>
      <x v="2"/>
    </i>
    <i>
      <x v="16"/>
    </i>
    <i>
      <x v="26"/>
    </i>
    <i>
      <x v="28"/>
    </i>
    <i>
      <x v="35"/>
    </i>
    <i t="grand">
      <x/>
    </i>
  </rowItems>
  <colItems count="1">
    <i/>
  </colItems>
  <pageFields count="1">
    <pageField fld="2" item="0" hier="-1"/>
  </pageFields>
  <pivotTableStyleInfo name="PivotStyleLight16" showRowHeaders="1" showColHeaders="1" showRowStripes="0" showColStripes="0" showLastColumn="1"/>
</pivotTableDefinition>
</file>

<file path=xl/tables/table1.xml><?xml version="1.0" encoding="utf-8"?>
<table xmlns="http://schemas.openxmlformats.org/spreadsheetml/2006/main" id="2" name="Table2" displayName="Table2" ref="A1:J2547" totalsRowShown="0" headerRowDxfId="336" headerRowBorderDxfId="335" tableBorderDxfId="334" totalsRowBorderDxfId="333">
  <autoFilter ref="A1:J2547"/>
  <sortState ref="A2:J2547">
    <sortCondition ref="B1:B2547"/>
  </sortState>
  <tableColumns count="10">
    <tableColumn id="1" name="SW" dataDxfId="332"/>
    <tableColumn id="2" name="SUV" dataDxfId="331"/>
    <tableColumn id="3" name="PS#" dataDxfId="330"/>
    <tableColumn id="4" name="Ln" dataDxfId="329"/>
    <tableColumn id="5" name="Item" dataDxfId="328"/>
    <tableColumn id="6" name="Description" dataDxfId="327"/>
    <tableColumn id="7" name="UOM" dataDxfId="326">
      <calculatedColumnFormula>"TH"</calculatedColumnFormula>
    </tableColumn>
    <tableColumn id="8" name="$" dataDxfId="325"/>
    <tableColumn id="9" name="Cat" dataDxfId="324">
      <calculatedColumnFormula>"41114205"</calculatedColumnFormula>
    </tableColumn>
    <tableColumn id="10" name="Cat Desc" dataDxfId="323"/>
  </tableColumns>
  <tableStyleInfo name="TableStyleLight1" showFirstColumn="0" showLastColumn="0" showRowStripes="1" showColumnStripes="0"/>
</table>
</file>

<file path=xl/tables/table2.xml><?xml version="1.0" encoding="utf-8"?>
<table xmlns="http://schemas.openxmlformats.org/spreadsheetml/2006/main" id="24" name="Table125" displayName="Table125" ref="A1:B149" totalsRowShown="0" headerRowDxfId="322" headerRowBorderDxfId="321" tableBorderDxfId="320" totalsRowBorderDxfId="319">
  <autoFilter ref="A1:B149"/>
  <sortState ref="A2:B148">
    <sortCondition ref="A1:A147"/>
  </sortState>
  <tableColumns count="2">
    <tableColumn id="1" name="Products" dataDxfId="318"/>
    <tableColumn id="2" name="Contract" dataDxfId="317"/>
  </tableColumns>
  <tableStyleInfo name="TableStyleLight1" showFirstColumn="0" showLastColumn="0" showRowStripes="1" showColumnStripes="0"/>
</table>
</file>

<file path=xl/tables/table3.xml><?xml version="1.0" encoding="utf-8"?>
<table xmlns="http://schemas.openxmlformats.org/spreadsheetml/2006/main" id="25" name="Table226" displayName="Table226" ref="C1:D7" totalsRowShown="0" headerRowDxfId="316" headerRowBorderDxfId="315" tableBorderDxfId="314" totalsRowBorderDxfId="313">
  <autoFilter ref="C1:D7"/>
  <sortState ref="C2:D7">
    <sortCondition ref="C1:C7"/>
  </sortState>
  <tableColumns count="2">
    <tableColumn id="1" name="Services" dataDxfId="312"/>
    <tableColumn id="2" name="Contract" dataDxfId="311"/>
  </tableColumns>
  <tableStyleInfo name="TableStyleLight1" showFirstColumn="0" showLastColumn="0" showRowStripes="1" showColumnStripes="0"/>
</table>
</file>

<file path=xl/tables/table4.xml><?xml version="1.0" encoding="utf-8"?>
<table xmlns="http://schemas.openxmlformats.org/spreadsheetml/2006/main" id="8" name="Table1" displayName="Table1" ref="A1:C284" totalsRowShown="0" headerRowDxfId="310" dataDxfId="308" headerRowBorderDxfId="309" tableBorderDxfId="307" totalsRowBorderDxfId="306">
  <autoFilter ref="A1:C284"/>
  <sortState ref="A2:C290">
    <sortCondition ref="A1:A290"/>
  </sortState>
  <tableColumns count="3">
    <tableColumn id="1" name="Suitable to Procure" dataDxfId="305"/>
    <tableColumn id="3" name="Category" dataDxfId="304"/>
    <tableColumn id="2" name="Vendor" dataDxfId="303"/>
  </tableColumns>
  <tableStyleInfo name="TableStyleLight1" showFirstColumn="0" showLastColumn="0" showRowStripes="1" showColumnStripes="0"/>
</table>
</file>

<file path=xl/tables/table5.xml><?xml version="1.0" encoding="utf-8"?>
<table xmlns="http://schemas.openxmlformats.org/spreadsheetml/2006/main" id="3" name="Table3" displayName="Table3" ref="A1:K163" totalsRowShown="0" headerRowDxfId="302" dataDxfId="300" headerRowBorderDxfId="301" tableBorderDxfId="299" totalsRowBorderDxfId="298">
  <autoFilter ref="A1:K163"/>
  <sortState ref="A2:K163">
    <sortCondition ref="B1:B155"/>
  </sortState>
  <tableColumns count="11">
    <tableColumn id="1" name="SW" dataDxfId="297"/>
    <tableColumn id="2" name="SUV" dataDxfId="296"/>
    <tableColumn id="3" name="PS#" dataDxfId="295"/>
    <tableColumn id="4" name="Ln" dataDxfId="294"/>
    <tableColumn id="5" name="Item" dataDxfId="293"/>
    <tableColumn id="6" name="Description" dataDxfId="292"/>
    <tableColumn id="7" name="UOM" dataDxfId="291">
      <calculatedColumnFormula>"DZ"</calculatedColumnFormula>
    </tableColumn>
    <tableColumn id="8" name="$" dataDxfId="290"/>
    <tableColumn id="9" name="Cat" dataDxfId="289">
      <calculatedColumnFormula>"46181504"</calculatedColumnFormula>
    </tableColumn>
    <tableColumn id="10" name="Cat Desc" dataDxfId="288"/>
    <tableColumn id="11" name="Full Catalog" dataDxfId="287"/>
  </tableColumns>
  <tableStyleInfo name="TableStyleLight1" showFirstColumn="0" showLastColumn="0" showRowStripes="1" showColumnStripes="0"/>
</table>
</file>

<file path=xl/tables/table6.xml><?xml version="1.0" encoding="utf-8"?>
<table xmlns="http://schemas.openxmlformats.org/spreadsheetml/2006/main" id="4" name="Table4" displayName="Table4" ref="A1:J27" totalsRowShown="0" headerRowDxfId="286" dataDxfId="284" headerRowBorderDxfId="285" tableBorderDxfId="283" totalsRowBorderDxfId="282">
  <autoFilter ref="A1:J27"/>
  <sortState ref="A2:J27">
    <sortCondition ref="J1:J27"/>
  </sortState>
  <tableColumns count="10">
    <tableColumn id="1" name="SW" dataDxfId="281"/>
    <tableColumn id="2" name="SUV" dataDxfId="280"/>
    <tableColumn id="3" name="PS#" dataDxfId="279"/>
    <tableColumn id="4" name="Ln" dataDxfId="278"/>
    <tableColumn id="5" name="Item" dataDxfId="277"/>
    <tableColumn id="6" name="Description" dataDxfId="276"/>
    <tableColumn id="7" name="UOM" dataDxfId="275"/>
    <tableColumn id="8" name="$" dataDxfId="274"/>
    <tableColumn id="9" name="Cat" dataDxfId="273"/>
    <tableColumn id="10" name="Cat Desc" dataDxfId="272"/>
  </tableColumns>
  <tableStyleInfo name="TableStyleLight1" showFirstColumn="0" showLastColumn="0" showRowStripes="1" showColumnStripes="0"/>
</table>
</file>

<file path=xl/tables/table7.xml><?xml version="1.0" encoding="utf-8"?>
<table xmlns="http://schemas.openxmlformats.org/spreadsheetml/2006/main" id="5" name="Table5" displayName="Table5" ref="A1:J1612" totalsRowShown="0" headerRowDxfId="271" headerRowBorderDxfId="270" tableBorderDxfId="269" totalsRowBorderDxfId="268">
  <sortState ref="A2:J1668">
    <sortCondition ref="C1:C1668"/>
  </sortState>
  <tableColumns count="10">
    <tableColumn id="1" name="SW" dataDxfId="267"/>
    <tableColumn id="2" name="SUV" dataDxfId="266"/>
    <tableColumn id="3" name="PS#" dataDxfId="265"/>
    <tableColumn id="4" name="Ln" dataDxfId="264"/>
    <tableColumn id="5" name="Item" dataDxfId="263"/>
    <tableColumn id="6" name="Description" dataDxfId="262"/>
    <tableColumn id="7" name="UOM" dataDxfId="261">
      <calculatedColumnFormula>"EA"</calculatedColumnFormula>
    </tableColumn>
    <tableColumn id="8" name="$" dataDxfId="260"/>
    <tableColumn id="9" name="Cat" dataDxfId="259">
      <calculatedColumnFormula>"83121701"</calculatedColumnFormula>
    </tableColumn>
    <tableColumn id="10" name="Cat Desc" dataDxfId="258"/>
  </tableColumns>
  <tableStyleInfo name="TableStyleLight15" showFirstColumn="0" showLastColumn="0" showRowStripes="1" showColumnStripes="0"/>
</table>
</file>

<file path=xl/tables/table8.xml><?xml version="1.0" encoding="utf-8"?>
<table xmlns="http://schemas.openxmlformats.org/spreadsheetml/2006/main" id="6" name="Table6" displayName="Table6" ref="A1:J78" totalsRowShown="0" headerRowDxfId="257" dataDxfId="255" headerRowBorderDxfId="256" tableBorderDxfId="254" totalsRowBorderDxfId="253">
  <autoFilter ref="A1:J78"/>
  <sortState ref="A2:J78">
    <sortCondition ref="D1:D78"/>
  </sortState>
  <tableColumns count="10">
    <tableColumn id="1" name="SW" dataDxfId="252"/>
    <tableColumn id="2" name="SUV" dataDxfId="251"/>
    <tableColumn id="3" name="PS#" dataDxfId="250"/>
    <tableColumn id="4" name="Ln" dataDxfId="249"/>
    <tableColumn id="5" name="Item" dataDxfId="248"/>
    <tableColumn id="6" name="Description" dataDxfId="247"/>
    <tableColumn id="7" name="UOM" dataDxfId="246"/>
    <tableColumn id="8" name="$" dataDxfId="245"/>
    <tableColumn id="9" name="Cat" dataDxfId="244"/>
    <tableColumn id="10" name="Cat Desc" dataDxfId="243"/>
  </tableColumns>
  <tableStyleInfo name="TableStyleLight1" showFirstColumn="0" showLastColumn="0" showRowStripes="1" showColumnStripes="0"/>
</table>
</file>

<file path=xl/tables/table9.xml><?xml version="1.0" encoding="utf-8"?>
<table xmlns="http://schemas.openxmlformats.org/spreadsheetml/2006/main" id="7" name="Table7" displayName="Table7" ref="A1:J78" totalsRowShown="0" headerRowDxfId="242" dataDxfId="240" headerRowBorderDxfId="241" tableBorderDxfId="239" totalsRowBorderDxfId="238">
  <autoFilter ref="A1:J78"/>
  <sortState ref="A2:J67">
    <sortCondition ref="D1:D67"/>
  </sortState>
  <tableColumns count="10">
    <tableColumn id="1" name="SW" dataDxfId="237"/>
    <tableColumn id="2" name="SUV" dataDxfId="236"/>
    <tableColumn id="3" name="PS#" dataDxfId="235"/>
    <tableColumn id="4" name="Ln" dataDxfId="234"/>
    <tableColumn id="5" name="Item" dataDxfId="233"/>
    <tableColumn id="6" name="Description" dataDxfId="232"/>
    <tableColumn id="7" name="UOM" dataDxfId="231"/>
    <tableColumn id="8" name="$" dataDxfId="230"/>
    <tableColumn id="9" name="Cat" dataDxfId="229">
      <calculatedColumnFormula>"53131502"</calculatedColumnFormula>
    </tableColumn>
    <tableColumn id="10" name="Cat Desc" dataDxfId="228"/>
  </tableColumns>
  <tableStyleInfo name="TableStyleLight15" showFirstColumn="0" showLastColumn="0" showRowStripes="1" showColumnStripes="0"/>
</table>
</file>

<file path=xl/tables/table10.xml><?xml version="1.0" encoding="utf-8"?>
<table xmlns="http://schemas.openxmlformats.org/spreadsheetml/2006/main" id="9" name="Table9" displayName="Table9" ref="A1:J20" totalsRowShown="0" headerRowDxfId="227" headerRowBorderDxfId="226" tableBorderDxfId="225" totalsRowBorderDxfId="224">
  <autoFilter ref="A1:J20"/>
  <sortState ref="A2:J7">
    <sortCondition ref="D1:D7"/>
  </sortState>
  <tableColumns count="10">
    <tableColumn id="1" name="SW" dataDxfId="223"/>
    <tableColumn id="2" name="SUV" dataDxfId="222"/>
    <tableColumn id="3" name="PS#" dataDxfId="221"/>
    <tableColumn id="4" name="Ln" dataDxfId="220"/>
    <tableColumn id="5" name="Item" dataDxfId="219"/>
    <tableColumn id="6" name="Description" dataDxfId="218"/>
    <tableColumn id="7" name="UOM" dataDxfId="217"/>
    <tableColumn id="8" name="$" dataDxfId="216"/>
    <tableColumn id="9" name="Cat" dataDxfId="215">
      <calculatedColumnFormula>"50192902"</calculatedColumnFormula>
    </tableColumn>
    <tableColumn id="10" name="Cat Desc" dataDxfId="214"/>
  </tableColumns>
  <tableStyleInfo name="TableStyleLight1" showFirstColumn="0" showLastColumn="0" showRowStripes="1" showColumnStripes="0"/>
</table>
</file>

<file path=xl/tables/table11.xml><?xml version="1.0" encoding="utf-8"?>
<table xmlns="http://schemas.openxmlformats.org/spreadsheetml/2006/main" id="10" name="Table10" displayName="Table10" ref="A1:J76" totalsRowShown="0" headerRowDxfId="213" headerRowBorderDxfId="212" tableBorderDxfId="211" totalsRowBorderDxfId="210">
  <autoFilter ref="A1:J76"/>
  <sortState ref="A2:J76">
    <sortCondition ref="D1:D76"/>
  </sortState>
  <tableColumns count="10">
    <tableColumn id="1" name="SW" dataDxfId="209"/>
    <tableColumn id="2" name="SUV" dataDxfId="208"/>
    <tableColumn id="3" name="PS#" dataDxfId="207"/>
    <tableColumn id="4" name="Ln" dataDxfId="206"/>
    <tableColumn id="5" name="Item" dataDxfId="205"/>
    <tableColumn id="6" name="Description" dataDxfId="204"/>
    <tableColumn id="7" name="UOM" dataDxfId="203">
      <calculatedColumnFormula>"CA"</calculatedColumnFormula>
    </tableColumn>
    <tableColumn id="8" name="$" dataDxfId="202"/>
    <tableColumn id="9" name="Cat" dataDxfId="201">
      <calculatedColumnFormula>"42132205"</calculatedColumnFormula>
    </tableColumn>
    <tableColumn id="10" name="Cat Desc" dataDxfId="200"/>
  </tableColumns>
  <tableStyleInfo name="TableStyleLight1" showFirstColumn="0" showLastColumn="0" showRowStripes="1" showColumnStripes="0"/>
</table>
</file>

<file path=xl/tables/table12.xml><?xml version="1.0" encoding="utf-8"?>
<table xmlns="http://schemas.openxmlformats.org/spreadsheetml/2006/main" id="1" name="Table8" displayName="Table8" ref="A1:J70" totalsRowShown="0" headerRowDxfId="199" dataDxfId="197" headerRowBorderDxfId="198" tableBorderDxfId="196" totalsRowBorderDxfId="195">
  <autoFilter ref="A1:J70"/>
  <sortState ref="A2:J70">
    <sortCondition ref="D1:D70"/>
  </sortState>
  <tableColumns count="10">
    <tableColumn id="1" name="SW" dataDxfId="194"/>
    <tableColumn id="2" name="SUV" dataDxfId="193"/>
    <tableColumn id="3" name="PS#" dataDxfId="192"/>
    <tableColumn id="4" name="Ln" dataDxfId="191"/>
    <tableColumn id="5" name="Item" dataDxfId="190"/>
    <tableColumn id="6" name="Description" dataDxfId="189"/>
    <tableColumn id="7" name="UOM" dataDxfId="188"/>
    <tableColumn id="8" name="$" dataDxfId="187"/>
    <tableColumn id="9" name="Cat" dataDxfId="186"/>
    <tableColumn id="10" name="Cat Desc" dataDxfId="185"/>
  </tableColumns>
  <tableStyleInfo name="TableStyleLight1" showFirstColumn="0" showLastColumn="0" showRowStripes="1" showColumnStripes="0"/>
</table>
</file>

<file path=xl/tables/table13.xml><?xml version="1.0" encoding="utf-8"?>
<table xmlns="http://schemas.openxmlformats.org/spreadsheetml/2006/main" id="11" name="Table11" displayName="Table11" ref="A1:J10" totalsRowShown="0" headerRowDxfId="184" headerRowBorderDxfId="183" tableBorderDxfId="182" totalsRowBorderDxfId="181">
  <autoFilter ref="A1:J10"/>
  <tableColumns count="10">
    <tableColumn id="1" name="SW" dataDxfId="180"/>
    <tableColumn id="2" name="SUV" dataDxfId="179"/>
    <tableColumn id="3" name="PS#" dataDxfId="178"/>
    <tableColumn id="4" name="Ln" dataDxfId="177"/>
    <tableColumn id="5" name="Item" dataDxfId="176"/>
    <tableColumn id="6" name="Description" dataDxfId="175"/>
    <tableColumn id="7" name="UOM" dataDxfId="174">
      <calculatedColumnFormula>"LB"</calculatedColumnFormula>
    </tableColumn>
    <tableColumn id="8" name="$" dataDxfId="173"/>
    <tableColumn id="9" name="Cat" dataDxfId="172">
      <calculatedColumnFormula>"50101543"</calculatedColumnFormula>
    </tableColumn>
    <tableColumn id="10" name="Cat Desc" dataDxfId="171"/>
  </tableColumns>
  <tableStyleInfo showFirstColumn="0" showLastColumn="0" showRowStripes="1" showColumnStripes="0"/>
</table>
</file>

<file path=xl/tables/table14.xml><?xml version="1.0" encoding="utf-8"?>
<table xmlns="http://schemas.openxmlformats.org/spreadsheetml/2006/main" id="12" name="Table12" displayName="Table12" ref="A1:J2" totalsRowShown="0" headerRowDxfId="170" headerRowBorderDxfId="169" tableBorderDxfId="168" totalsRowBorderDxfId="167">
  <autoFilter ref="A1:J2"/>
  <tableColumns count="10">
    <tableColumn id="1" name="SW" dataDxfId="166"/>
    <tableColumn id="2" name="SUV" dataDxfId="165"/>
    <tableColumn id="3" name="PS#" dataDxfId="164"/>
    <tableColumn id="4" name="Ln" dataDxfId="163"/>
    <tableColumn id="5" name="Item" dataDxfId="162">
      <calculatedColumnFormula>"1000007507"</calculatedColumnFormula>
    </tableColumn>
    <tableColumn id="6" name="Description" dataDxfId="161">
      <calculatedColumnFormula>"SERVICE:Document Destruction - Shredding"</calculatedColumnFormula>
    </tableColumn>
    <tableColumn id="7" name="UOM" dataDxfId="160">
      <calculatedColumnFormula>"LB"</calculatedColumnFormula>
    </tableColumn>
    <tableColumn id="8" name="$" dataDxfId="159"/>
    <tableColumn id="9" name="Cat" dataDxfId="158">
      <calculatedColumnFormula>"80161508"</calculatedColumnFormula>
    </tableColumn>
    <tableColumn id="10" name="Cat Desc" dataDxfId="157"/>
  </tableColumns>
  <tableStyleInfo showFirstColumn="0" showLastColumn="0" showRowStripes="1" showColumnStripes="0"/>
</table>
</file>

<file path=xl/tables/table15.xml><?xml version="1.0" encoding="utf-8"?>
<table xmlns="http://schemas.openxmlformats.org/spreadsheetml/2006/main" id="13" name="Table13" displayName="Table13" ref="A1:J33" totalsRowShown="0" headerRowDxfId="156" headerRowBorderDxfId="155" tableBorderDxfId="154" totalsRowBorderDxfId="153">
  <autoFilter ref="A1:J33"/>
  <sortState ref="A2:J33">
    <sortCondition ref="D1:D33"/>
  </sortState>
  <tableColumns count="10">
    <tableColumn id="1" name="SW" dataDxfId="152"/>
    <tableColumn id="2" name="SUV" dataDxfId="151"/>
    <tableColumn id="3" name="PS#" dataDxfId="150"/>
    <tableColumn id="4" name="Ln" dataDxfId="149"/>
    <tableColumn id="5" name="Item" dataDxfId="148"/>
    <tableColumn id="6" name="Description" dataDxfId="147"/>
    <tableColumn id="7" name="UOM" dataDxfId="146">
      <calculatedColumnFormula>"CA"</calculatedColumnFormula>
    </tableColumn>
    <tableColumn id="8" name="$" dataDxfId="145"/>
    <tableColumn id="9" name="Cat" dataDxfId="144">
      <calculatedColumnFormula>"53102305"</calculatedColumnFormula>
    </tableColumn>
    <tableColumn id="10" name="Cat Desc" dataDxfId="143"/>
  </tableColumns>
  <tableStyleInfo showFirstColumn="0" showLastColumn="0" showRowStripes="1" showColumnStripes="0"/>
</table>
</file>

<file path=xl/tables/table16.xml><?xml version="1.0" encoding="utf-8"?>
<table xmlns="http://schemas.openxmlformats.org/spreadsheetml/2006/main" id="22" name="Table22" displayName="Table22" ref="A1:J24" totalsRowShown="0" headerRowDxfId="142" headerRowBorderDxfId="141" tableBorderDxfId="140" totalsRowBorderDxfId="139">
  <autoFilter ref="A1:J24"/>
  <sortState ref="A2:J24">
    <sortCondition ref="D1:D24"/>
  </sortState>
  <tableColumns count="10">
    <tableColumn id="1" name="SW" dataDxfId="138"/>
    <tableColumn id="2" name="SUV" dataDxfId="137"/>
    <tableColumn id="3" name="PS#" dataDxfId="136"/>
    <tableColumn id="4" name="Ln" dataDxfId="135"/>
    <tableColumn id="5" name="Item" dataDxfId="134"/>
    <tableColumn id="6" name="Description" dataDxfId="133"/>
    <tableColumn id="7" name="UOM" dataDxfId="132"/>
    <tableColumn id="8" name="$" dataDxfId="131"/>
    <tableColumn id="9" name="Cat" dataDxfId="130">
      <calculatedColumnFormula>"47131705"</calculatedColumnFormula>
    </tableColumn>
    <tableColumn id="10" name="Cat Desc" dataDxfId="129"/>
  </tableColumns>
  <tableStyleInfo name="TableStyleLight1" showFirstColumn="0" showLastColumn="0" showRowStripes="1" showColumnStripes="0"/>
</table>
</file>

<file path=xl/tables/table17.xml><?xml version="1.0" encoding="utf-8"?>
<table xmlns="http://schemas.openxmlformats.org/spreadsheetml/2006/main" id="14" name="Table14" displayName="Table14" ref="A1:J13" totalsRowShown="0" headerRowDxfId="128" headerRowBorderDxfId="127" tableBorderDxfId="126" totalsRowBorderDxfId="125">
  <autoFilter ref="A1:J13"/>
  <sortState ref="A2:J13">
    <sortCondition ref="D1:D13"/>
  </sortState>
  <tableColumns count="10">
    <tableColumn id="1" name="SW" dataDxfId="124"/>
    <tableColumn id="2" name="SUV" dataDxfId="123"/>
    <tableColumn id="3" name="PS#" dataDxfId="122"/>
    <tableColumn id="4" name="Ln" dataDxfId="121"/>
    <tableColumn id="5" name="Item" dataDxfId="120">
      <calculatedColumnFormula>"1000009566"</calculatedColumnFormula>
    </tableColumn>
    <tableColumn id="6" name="Description" dataDxfId="119">
      <calculatedColumnFormula>"SERVICES: Litter Removal"</calculatedColumnFormula>
    </tableColumn>
    <tableColumn id="7" name="UOM" dataDxfId="118">
      <calculatedColumnFormula>"AC"</calculatedColumnFormula>
    </tableColumn>
    <tableColumn id="8" name="$" dataDxfId="117"/>
    <tableColumn id="9" name="Cat" dataDxfId="116">
      <calculatedColumnFormula>"72141003"</calculatedColumnFormula>
    </tableColumn>
    <tableColumn id="10" name="Cat Desc" dataDxfId="115"/>
  </tableColumns>
  <tableStyleInfo showFirstColumn="0" showLastColumn="0" showRowStripes="1" showColumnStripes="0"/>
</table>
</file>

<file path=xl/tables/table18.xml><?xml version="1.0" encoding="utf-8"?>
<table xmlns="http://schemas.openxmlformats.org/spreadsheetml/2006/main" id="15" name="Table15" displayName="Table15" ref="A1:J15" totalsRowShown="0" headerRowDxfId="114" headerRowBorderDxfId="113" tableBorderDxfId="112" totalsRowBorderDxfId="111">
  <autoFilter ref="A1:J15"/>
  <sortState ref="A2:J15">
    <sortCondition ref="D1:D15"/>
  </sortState>
  <tableColumns count="10">
    <tableColumn id="1" name="SW" dataDxfId="110"/>
    <tableColumn id="2" name="SUV" dataDxfId="109"/>
    <tableColumn id="3" name="PS#" dataDxfId="108"/>
    <tableColumn id="4" name="Ln" dataDxfId="107"/>
    <tableColumn id="5" name="Item" dataDxfId="106"/>
    <tableColumn id="6" name="Description" dataDxfId="105"/>
    <tableColumn id="7" name="UOM" dataDxfId="104">
      <calculatedColumnFormula>"CA"</calculatedColumnFormula>
    </tableColumn>
    <tableColumn id="8" name="$" dataDxfId="103"/>
    <tableColumn id="9" name="Cat" dataDxfId="102"/>
    <tableColumn id="10" name="Cat Desc" dataDxfId="101"/>
  </tableColumns>
  <tableStyleInfo showFirstColumn="0" showLastColumn="0" showRowStripes="1" showColumnStripes="0"/>
</table>
</file>

<file path=xl/tables/table19.xml><?xml version="1.0" encoding="utf-8"?>
<table xmlns="http://schemas.openxmlformats.org/spreadsheetml/2006/main" id="16" name="Table16" displayName="Table16" ref="A1:J9" totalsRowShown="0" headerRowDxfId="100" dataDxfId="98" headerRowBorderDxfId="99" tableBorderDxfId="97" totalsRowBorderDxfId="96">
  <autoFilter ref="A1:J9"/>
  <sortState ref="A2:J9">
    <sortCondition ref="D1:D9"/>
  </sortState>
  <tableColumns count="10">
    <tableColumn id="1" name="SW" dataDxfId="95"/>
    <tableColumn id="2" name="SUV" dataDxfId="94"/>
    <tableColumn id="3" name="PS#" dataDxfId="93"/>
    <tableColumn id="4" name="Ln" dataDxfId="92"/>
    <tableColumn id="5" name="Item" dataDxfId="91"/>
    <tableColumn id="6" name="Description" dataDxfId="90"/>
    <tableColumn id="7" name="UOM" dataDxfId="89">
      <calculatedColumnFormula>"A8"</calculatedColumnFormula>
    </tableColumn>
    <tableColumn id="8" name="$" dataDxfId="88"/>
    <tableColumn id="9" name="Cat" dataDxfId="87"/>
    <tableColumn id="10" name="Cat Desc" dataDxfId="86"/>
  </tableColumns>
  <tableStyleInfo name="TableStyleLight1" showFirstColumn="0" showLastColumn="0" showRowStripes="1" showColumnStripes="0"/>
</table>
</file>

<file path=xl/tables/table20.xml><?xml version="1.0" encoding="utf-8"?>
<table xmlns="http://schemas.openxmlformats.org/spreadsheetml/2006/main" id="17" name="Table17" displayName="Table17" ref="A1:J2" totalsRowShown="0" headerRowDxfId="85" headerRowBorderDxfId="84" tableBorderDxfId="83" totalsRowBorderDxfId="82">
  <autoFilter ref="A1:J2"/>
  <tableColumns count="10">
    <tableColumn id="1" name="SW" dataDxfId="81"/>
    <tableColumn id="2" name="SUV" dataDxfId="80"/>
    <tableColumn id="3" name="PS#" dataDxfId="79"/>
    <tableColumn id="4" name="Ln" dataDxfId="78"/>
    <tableColumn id="5" name="Item" dataDxfId="77">
      <calculatedColumnFormula>"1000003823"</calculatedColumnFormula>
    </tableColumn>
    <tableColumn id="6" name="Description" dataDxfId="76">
      <calculatedColumnFormula>"CONDOMS:144/cs Pre-lube indv pkg in opaque mat~Condoms prelubricated, individualy packaged in opaque material, 144 per case.~CONDOMS, PRELUBRICATED, INDIVIDUALLY PACKAGED IN OPAQUE MATE"</calculatedColumnFormula>
    </tableColumn>
    <tableColumn id="7" name="UOM" dataDxfId="75">
      <calculatedColumnFormula>"CA"</calculatedColumnFormula>
    </tableColumn>
    <tableColumn id="8" name="$" dataDxfId="74"/>
    <tableColumn id="9" name="Cat" dataDxfId="73">
      <calculatedColumnFormula>"53131622"</calculatedColumnFormula>
    </tableColumn>
    <tableColumn id="10" name="Cat Desc" dataDxfId="72"/>
  </tableColumns>
  <tableStyleInfo name="TableStyleLight1" showFirstColumn="0" showLastColumn="0" showRowStripes="1" showColumnStripes="0"/>
</table>
</file>

<file path=xl/tables/table21.xml><?xml version="1.0" encoding="utf-8"?>
<table xmlns="http://schemas.openxmlformats.org/spreadsheetml/2006/main" id="18" name="Table18" displayName="Table18" ref="A1:J14" totalsRowShown="0" headerRowDxfId="71" dataDxfId="69" headerRowBorderDxfId="70" tableBorderDxfId="68" totalsRowBorderDxfId="67">
  <autoFilter ref="A1:J14"/>
  <sortState ref="A2:J14">
    <sortCondition ref="D1:D14"/>
  </sortState>
  <tableColumns count="10">
    <tableColumn id="1" name="SW" dataDxfId="66"/>
    <tableColumn id="2" name="SUV" dataDxfId="65"/>
    <tableColumn id="3" name="PS#" dataDxfId="64"/>
    <tableColumn id="4" name="Ln" dataDxfId="63"/>
    <tableColumn id="5" name="Item" dataDxfId="62"/>
    <tableColumn id="6" name="Description" dataDxfId="61"/>
    <tableColumn id="7" name="UOM" dataDxfId="60">
      <calculatedColumnFormula>"DZ"</calculatedColumnFormula>
    </tableColumn>
    <tableColumn id="8" name="$" dataDxfId="59"/>
    <tableColumn id="9" name="Cat" dataDxfId="58">
      <calculatedColumnFormula>"53102402"</calculatedColumnFormula>
    </tableColumn>
    <tableColumn id="10" name="Cat Desc" dataDxfId="57"/>
  </tableColumns>
  <tableStyleInfo name="TableStyleLight1" showFirstColumn="0" showLastColumn="0" showRowStripes="1" showColumnStripes="0"/>
</table>
</file>

<file path=xl/tables/table22.xml><?xml version="1.0" encoding="utf-8"?>
<table xmlns="http://schemas.openxmlformats.org/spreadsheetml/2006/main" id="23" name="Table23" displayName="Table23" ref="A1:J16" totalsRowShown="0" headerRowDxfId="56" headerRowBorderDxfId="55" tableBorderDxfId="54" totalsRowBorderDxfId="53">
  <autoFilter ref="A1:J16"/>
  <tableColumns count="10">
    <tableColumn id="1" name="SW" dataDxfId="52"/>
    <tableColumn id="2" name="SUV" dataDxfId="51"/>
    <tableColumn id="3" name="PS#" dataDxfId="50"/>
    <tableColumn id="4" name="Ln" dataDxfId="49"/>
    <tableColumn id="5" name="Item" dataDxfId="48"/>
    <tableColumn id="6" name="Description" dataDxfId="47"/>
    <tableColumn id="7" name="UOM" dataDxfId="46">
      <calculatedColumnFormula>"EA"</calculatedColumnFormula>
    </tableColumn>
    <tableColumn id="8" name="$" dataDxfId="45"/>
    <tableColumn id="9" name="Cat" dataDxfId="44">
      <calculatedColumnFormula>"40161505"</calculatedColumnFormula>
    </tableColumn>
    <tableColumn id="10" name="Cat Desc" dataDxfId="43"/>
  </tableColumns>
  <tableStyleInfo name="TableStyleLight1" showFirstColumn="0" showLastColumn="0" showRowStripes="1" showColumnStripes="0"/>
</table>
</file>

<file path=xl/tables/table23.xml><?xml version="1.0" encoding="utf-8"?>
<table xmlns="http://schemas.openxmlformats.org/spreadsheetml/2006/main" id="19" name="Table19" displayName="Table19" ref="A1:J20" totalsRowShown="0" headerRowDxfId="42" headerRowBorderDxfId="41" tableBorderDxfId="40" totalsRowBorderDxfId="39">
  <autoFilter ref="A1:J20"/>
  <sortState ref="A2:J20">
    <sortCondition ref="D1:D20"/>
  </sortState>
  <tableColumns count="10">
    <tableColumn id="1" name="SW" dataDxfId="38"/>
    <tableColumn id="2" name="SUV" dataDxfId="37"/>
    <tableColumn id="3" name="PS#" dataDxfId="36"/>
    <tableColumn id="4" name="Ln" dataDxfId="35"/>
    <tableColumn id="5" name="Item" dataDxfId="34"/>
    <tableColumn id="6" name="Description" dataDxfId="33"/>
    <tableColumn id="7" name="UOM" dataDxfId="32">
      <calculatedColumnFormula>"DZ"</calculatedColumnFormula>
    </tableColumn>
    <tableColumn id="8" name="$" dataDxfId="31"/>
    <tableColumn id="9" name="Cat" dataDxfId="30">
      <calculatedColumnFormula>"53102303"</calculatedColumnFormula>
    </tableColumn>
    <tableColumn id="10" name="Cat Desc" dataDxfId="29"/>
  </tableColumns>
  <tableStyleInfo showFirstColumn="0" showLastColumn="0" showRowStripes="1" showColumnStripes="0"/>
</table>
</file>

<file path=xl/tables/table24.xml><?xml version="1.0" encoding="utf-8"?>
<table xmlns="http://schemas.openxmlformats.org/spreadsheetml/2006/main" id="20" name="Table20" displayName="Table20" ref="A1:J6" totalsRowShown="0" headerRowDxfId="28" dataDxfId="26" headerRowBorderDxfId="27" tableBorderDxfId="25" totalsRowBorderDxfId="24">
  <autoFilter ref="A1:J6"/>
  <sortState ref="A2:J174">
    <sortCondition ref="D1:D174"/>
  </sortState>
  <tableColumns count="10">
    <tableColumn id="1" name="SW" dataDxfId="23"/>
    <tableColumn id="2" name="SUV" dataDxfId="22"/>
    <tableColumn id="3" name="PS#" dataDxfId="21"/>
    <tableColumn id="4" name="Ln" dataDxfId="20"/>
    <tableColumn id="5" name="Item" dataDxfId="19"/>
    <tableColumn id="6" name="Description" dataDxfId="18"/>
    <tableColumn id="7" name="UOM" dataDxfId="17"/>
    <tableColumn id="8" name="$" dataDxfId="16"/>
    <tableColumn id="9" name="Cat" dataDxfId="15"/>
    <tableColumn id="10" name="Cat Desc" dataDxfId="14"/>
  </tableColumns>
  <tableStyleInfo name="TableStyleLight1" showFirstColumn="0" showLastColumn="0" showRowStripes="1" showColumnStripes="0"/>
</table>
</file>

<file path=xl/tables/table25.xml><?xml version="1.0" encoding="utf-8"?>
<table xmlns="http://schemas.openxmlformats.org/spreadsheetml/2006/main" id="21" name="Table21" displayName="Table21" ref="A1:J16" totalsRowShown="0" headerRowDxfId="13" headerRowBorderDxfId="12" tableBorderDxfId="11" totalsRowBorderDxfId="10">
  <autoFilter ref="A1:J16"/>
  <sortState ref="A2:J16">
    <sortCondition ref="D1:D16"/>
  </sortState>
  <tableColumns count="10">
    <tableColumn id="1" name="SW" dataDxfId="9"/>
    <tableColumn id="2" name="SUV" dataDxfId="8"/>
    <tableColumn id="3" name="PS#" dataDxfId="7"/>
    <tableColumn id="4" name="Ln" dataDxfId="6"/>
    <tableColumn id="5" name="Item" dataDxfId="5"/>
    <tableColumn id="6" name="Description" dataDxfId="4"/>
    <tableColumn id="7" name="UOM" dataDxfId="3">
      <calculatedColumnFormula>"EA"</calculatedColumnFormula>
    </tableColumn>
    <tableColumn id="8" name="$" dataDxfId="2"/>
    <tableColumn id="9" name="Cat" dataDxfId="1"/>
    <tableColumn id="10" name="Cat Desc"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www.goodwilltulsa.org/" TargetMode="External"/><Relationship Id="rId18" Type="http://schemas.openxmlformats.org/officeDocument/2006/relationships/hyperlink" Target="http://www.meadowsoklahoma.com/" TargetMode="External"/><Relationship Id="rId26" Type="http://schemas.openxmlformats.org/officeDocument/2006/relationships/hyperlink" Target="http://www.southcentralindustriesinc.com/" TargetMode="External"/><Relationship Id="rId39" Type="http://schemas.openxmlformats.org/officeDocument/2006/relationships/hyperlink" Target="mailto:kscrutchins@aol.com" TargetMode="External"/><Relationship Id="rId21" Type="http://schemas.openxmlformats.org/officeDocument/2006/relationships/hyperlink" Target="http://www.powershopinc.org/" TargetMode="External"/><Relationship Id="rId34" Type="http://schemas.openxmlformats.org/officeDocument/2006/relationships/hyperlink" Target="mailto:shammons@apexok.com" TargetMode="External"/><Relationship Id="rId42" Type="http://schemas.openxmlformats.org/officeDocument/2006/relationships/hyperlink" Target="mailto:tbfoster@sbcglobal.net" TargetMode="External"/><Relationship Id="rId47" Type="http://schemas.openxmlformats.org/officeDocument/2006/relationships/hyperlink" Target="mailto:greg.crawford@homeofhope.com" TargetMode="External"/><Relationship Id="rId50" Type="http://schemas.openxmlformats.org/officeDocument/2006/relationships/hyperlink" Target="mailto:jennifer.bradshaw@joneshc.com" TargetMode="External"/><Relationship Id="rId55" Type="http://schemas.openxmlformats.org/officeDocument/2006/relationships/hyperlink" Target="mailto:garywilsonphillips@yahoo.com" TargetMode="External"/><Relationship Id="rId63" Type="http://schemas.openxmlformats.org/officeDocument/2006/relationships/hyperlink" Target="mailto:qualityenterprisesoflawton@gmail.com" TargetMode="External"/><Relationship Id="rId68" Type="http://schemas.openxmlformats.org/officeDocument/2006/relationships/hyperlink" Target="mailto:slinville@searchlightcenter.org" TargetMode="External"/><Relationship Id="rId76" Type="http://schemas.openxmlformats.org/officeDocument/2006/relationships/hyperlink" Target="http://www.opcenterok.org/" TargetMode="External"/><Relationship Id="rId7" Type="http://schemas.openxmlformats.org/officeDocument/2006/relationships/hyperlink" Target="http://www.earcinc.org/" TargetMode="External"/><Relationship Id="rId71" Type="http://schemas.openxmlformats.org/officeDocument/2006/relationships/hyperlink" Target="mailto:sertomaderick@sbcglobal.net" TargetMode="External"/><Relationship Id="rId2" Type="http://schemas.openxmlformats.org/officeDocument/2006/relationships/hyperlink" Target="http://www.drtc.org/" TargetMode="External"/><Relationship Id="rId16" Type="http://schemas.openxmlformats.org/officeDocument/2006/relationships/hyperlink" Target="http://www.kiamichiopportunities.com/" TargetMode="External"/><Relationship Id="rId29" Type="http://schemas.openxmlformats.org/officeDocument/2006/relationships/hyperlink" Target="http://www.wacok.com/" TargetMode="External"/><Relationship Id="rId11" Type="http://schemas.openxmlformats.org/officeDocument/2006/relationships/hyperlink" Target="http://www.okgoodwill.org/" TargetMode="External"/><Relationship Id="rId24" Type="http://schemas.openxmlformats.org/officeDocument/2006/relationships/hyperlink" Target="http://www.peopleinc.org/" TargetMode="External"/><Relationship Id="rId32" Type="http://schemas.openxmlformats.org/officeDocument/2006/relationships/hyperlink" Target="mailto:jhalliday@shelteredwork.com" TargetMode="External"/><Relationship Id="rId37" Type="http://schemas.openxmlformats.org/officeDocument/2006/relationships/hyperlink" Target="mailto:earctrails@coxinet.net" TargetMode="External"/><Relationship Id="rId40" Type="http://schemas.openxmlformats.org/officeDocument/2006/relationships/hyperlink" Target="mailto:hcrumley@galtfoundation.org" TargetMode="External"/><Relationship Id="rId45" Type="http://schemas.openxmlformats.org/officeDocument/2006/relationships/hyperlink" Target="mailto:DOliver@GoodwillTulsa.org" TargetMode="External"/><Relationship Id="rId53" Type="http://schemas.openxmlformats.org/officeDocument/2006/relationships/hyperlink" Target="mailto:jray@mdgh.org" TargetMode="External"/><Relationship Id="rId58" Type="http://schemas.openxmlformats.org/officeDocument/2006/relationships/hyperlink" Target="mailto:optionsinc@valornet.com" TargetMode="External"/><Relationship Id="rId66" Type="http://schemas.openxmlformats.org/officeDocument/2006/relationships/hyperlink" Target="mailto:greg.crawford@homeofhope.com" TargetMode="External"/><Relationship Id="rId74" Type="http://schemas.openxmlformats.org/officeDocument/2006/relationships/hyperlink" Target="mailto:sunshine.marketing@yahoo.com" TargetMode="External"/><Relationship Id="rId5" Type="http://schemas.openxmlformats.org/officeDocument/2006/relationships/hyperlink" Target="http://www.centeroffamilylove.org/" TargetMode="External"/><Relationship Id="rId15" Type="http://schemas.openxmlformats.org/officeDocument/2006/relationships/hyperlink" Target="http://www.incacaa.org/" TargetMode="External"/><Relationship Id="rId23" Type="http://schemas.openxmlformats.org/officeDocument/2006/relationships/hyperlink" Target="http://www.homeofhope.com/" TargetMode="External"/><Relationship Id="rId28" Type="http://schemas.openxmlformats.org/officeDocument/2006/relationships/hyperlink" Target="http://www.sunshine-industries.com/" TargetMode="External"/><Relationship Id="rId36" Type="http://schemas.openxmlformats.org/officeDocument/2006/relationships/hyperlink" Target="mailto:execdirdcfh@brightok.net" TargetMode="External"/><Relationship Id="rId49" Type="http://schemas.openxmlformats.org/officeDocument/2006/relationships/hyperlink" Target="mailto:matt.gentry@kibois.org" TargetMode="External"/><Relationship Id="rId57" Type="http://schemas.openxmlformats.org/officeDocument/2006/relationships/hyperlink" Target="mailto:opcdd@sbcglobal.net" TargetMode="External"/><Relationship Id="rId61" Type="http://schemas.openxmlformats.org/officeDocument/2006/relationships/hyperlink" Target="mailto:jharris@peopleinc.org" TargetMode="External"/><Relationship Id="rId10" Type="http://schemas.openxmlformats.org/officeDocument/2006/relationships/hyperlink" Target="http://www.gcclc.com/" TargetMode="External"/><Relationship Id="rId19" Type="http://schemas.openxmlformats.org/officeDocument/2006/relationships/hyperlink" Target="http://www.mdgh.org/" TargetMode="External"/><Relationship Id="rId31" Type="http://schemas.openxmlformats.org/officeDocument/2006/relationships/hyperlink" Target="mailto:ws1968@hotmail.com" TargetMode="External"/><Relationship Id="rId44" Type="http://schemas.openxmlformats.org/officeDocument/2006/relationships/hyperlink" Target="mailto:jcrews@goodwillsont.org" TargetMode="External"/><Relationship Id="rId52" Type="http://schemas.openxmlformats.org/officeDocument/2006/relationships/hyperlink" Target="mailto:meadowsokc@sbcglobal.net" TargetMode="External"/><Relationship Id="rId60" Type="http://schemas.openxmlformats.org/officeDocument/2006/relationships/hyperlink" Target="mailto:outreachcommunity@hotmail.com" TargetMode="External"/><Relationship Id="rId65" Type="http://schemas.openxmlformats.org/officeDocument/2006/relationships/hyperlink" Target="mailto:joe@reliantlivingcenters.com" TargetMode="External"/><Relationship Id="rId73" Type="http://schemas.openxmlformats.org/officeDocument/2006/relationships/hyperlink" Target="mailto:socag@swbell.net" TargetMode="External"/><Relationship Id="rId78" Type="http://schemas.openxmlformats.org/officeDocument/2006/relationships/printerSettings" Target="../printerSettings/printerSettings2.bin"/><Relationship Id="rId4" Type="http://schemas.openxmlformats.org/officeDocument/2006/relationships/hyperlink" Target="http://www.apexok.com/" TargetMode="External"/><Relationship Id="rId9" Type="http://schemas.openxmlformats.org/officeDocument/2006/relationships/hyperlink" Target="http://www.galtfoundation.org/" TargetMode="External"/><Relationship Id="rId14" Type="http://schemas.openxmlformats.org/officeDocument/2006/relationships/hyperlink" Target="http://www.homeofhope.com/" TargetMode="External"/><Relationship Id="rId22" Type="http://schemas.openxmlformats.org/officeDocument/2006/relationships/hyperlink" Target="http://www.reliantlivingcenters.com/" TargetMode="External"/><Relationship Id="rId27" Type="http://schemas.openxmlformats.org/officeDocument/2006/relationships/hyperlink" Target="http://www.socag.org/" TargetMode="External"/><Relationship Id="rId30" Type="http://schemas.openxmlformats.org/officeDocument/2006/relationships/hyperlink" Target="mailto:despinosa@cflinc.org" TargetMode="External"/><Relationship Id="rId35" Type="http://schemas.openxmlformats.org/officeDocument/2006/relationships/hyperlink" Target="mailto:mclaunch@drtc.org" TargetMode="External"/><Relationship Id="rId43" Type="http://schemas.openxmlformats.org/officeDocument/2006/relationships/hyperlink" Target="mailto:jweddington@okgoodwill.org" TargetMode="External"/><Relationship Id="rId48" Type="http://schemas.openxmlformats.org/officeDocument/2006/relationships/hyperlink" Target="mailto:incacodir@yahoo.com" TargetMode="External"/><Relationship Id="rId56" Type="http://schemas.openxmlformats.org/officeDocument/2006/relationships/hyperlink" Target="mailto:Dloney@newviewoklahoma.org" TargetMode="External"/><Relationship Id="rId64" Type="http://schemas.openxmlformats.org/officeDocument/2006/relationships/hyperlink" Target="mailto:adrambo@yahoo.com" TargetMode="External"/><Relationship Id="rId69" Type="http://schemas.openxmlformats.org/officeDocument/2006/relationships/hyperlink" Target="http://www.searchlightcenter.org/" TargetMode="External"/><Relationship Id="rId77" Type="http://schemas.openxmlformats.org/officeDocument/2006/relationships/hyperlink" Target="mailto:jgrigsba@opcenterok.org" TargetMode="External"/><Relationship Id="rId8" Type="http://schemas.openxmlformats.org/officeDocument/2006/relationships/hyperlink" Target="http://www.employabilityok.com/" TargetMode="External"/><Relationship Id="rId51" Type="http://schemas.openxmlformats.org/officeDocument/2006/relationships/hyperlink" Target="mailto:t_doepke@yahoo.com" TargetMode="External"/><Relationship Id="rId72" Type="http://schemas.openxmlformats.org/officeDocument/2006/relationships/hyperlink" Target="mailto:scithanna@yahoo.com" TargetMode="External"/><Relationship Id="rId3" Type="http://schemas.openxmlformats.org/officeDocument/2006/relationships/hyperlink" Target="http://www.ableok.org/" TargetMode="External"/><Relationship Id="rId12" Type="http://schemas.openxmlformats.org/officeDocument/2006/relationships/hyperlink" Target="http://www.goodwillsont.org/" TargetMode="External"/><Relationship Id="rId17" Type="http://schemas.openxmlformats.org/officeDocument/2006/relationships/hyperlink" Target="http://www.kibois.org/" TargetMode="External"/><Relationship Id="rId25" Type="http://schemas.openxmlformats.org/officeDocument/2006/relationships/hyperlink" Target="http://www.sertomashop.com/" TargetMode="External"/><Relationship Id="rId33" Type="http://schemas.openxmlformats.org/officeDocument/2006/relationships/hyperlink" Target="mailto:jane@ableok.org" TargetMode="External"/><Relationship Id="rId38" Type="http://schemas.openxmlformats.org/officeDocument/2006/relationships/hyperlink" Target="mailto:joyce@arcgrouphomes.org" TargetMode="External"/><Relationship Id="rId46" Type="http://schemas.openxmlformats.org/officeDocument/2006/relationships/hyperlink" Target="mailto:helpworks@sbcglobal.net" TargetMode="External"/><Relationship Id="rId59" Type="http://schemas.openxmlformats.org/officeDocument/2006/relationships/hyperlink" Target="mailto:juliehp@cox.net" TargetMode="External"/><Relationship Id="rId67" Type="http://schemas.openxmlformats.org/officeDocument/2006/relationships/hyperlink" Target="mailto:sagebrush.sayre@gmail.com" TargetMode="External"/><Relationship Id="rId20" Type="http://schemas.openxmlformats.org/officeDocument/2006/relationships/hyperlink" Target="http://www.opcdd.com/" TargetMode="External"/><Relationship Id="rId41" Type="http://schemas.openxmlformats.org/officeDocument/2006/relationships/hyperlink" Target="mailto:CEO@gcclc.com" TargetMode="External"/><Relationship Id="rId54" Type="http://schemas.openxmlformats.org/officeDocument/2006/relationships/hyperlink" Target="mailto:director@mpowerok.org" TargetMode="External"/><Relationship Id="rId62" Type="http://schemas.openxmlformats.org/officeDocument/2006/relationships/hyperlink" Target="mailto:tammy@powershopinc.org" TargetMode="External"/><Relationship Id="rId70" Type="http://schemas.openxmlformats.org/officeDocument/2006/relationships/hyperlink" Target="mailto:jharris@peopleinc.org" TargetMode="External"/><Relationship Id="rId75" Type="http://schemas.openxmlformats.org/officeDocument/2006/relationships/hyperlink" Target="mailto:wrkactyctr@yahoo.com" TargetMode="External"/><Relationship Id="rId1" Type="http://schemas.openxmlformats.org/officeDocument/2006/relationships/hyperlink" Target="http://www.newviewoklahoma.org/" TargetMode="External"/><Relationship Id="rId6" Type="http://schemas.openxmlformats.org/officeDocument/2006/relationships/hyperlink" Target="http://www.delawarecountyfriendshiphomes.com/" TargetMode="External"/></Relationships>
</file>

<file path=xl/worksheets/_rels/sheet3.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ok.gov/dcs/solicit/app/solicitationDetail.php?conID=153" TargetMode="External"/><Relationship Id="rId7" Type="http://schemas.openxmlformats.org/officeDocument/2006/relationships/table" Target="../tables/table1.xml"/><Relationship Id="rId2" Type="http://schemas.openxmlformats.org/officeDocument/2006/relationships/hyperlink" Target="https://www.ok.gov/dcs/solicit/app/solicitationDetail.php?conID=153" TargetMode="External"/><Relationship Id="rId1" Type="http://schemas.openxmlformats.org/officeDocument/2006/relationships/hyperlink" Target="https://www.ok.gov/dcs/solicit/app/solicitationDetail.php?conID=153" TargetMode="External"/><Relationship Id="rId6" Type="http://schemas.openxmlformats.org/officeDocument/2006/relationships/vmlDrawing" Target="../drawings/vmlDrawing1.vml"/><Relationship Id="rId5" Type="http://schemas.openxmlformats.org/officeDocument/2006/relationships/printerSettings" Target="../printerSettings/printerSettings3.bin"/><Relationship Id="rId4" Type="http://schemas.openxmlformats.org/officeDocument/2006/relationships/hyperlink" Target="https://www.ok.gov/dcs/solicit/app/solicitationDetail.php?conID=153"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ok.gov/dcs/solicit/app/solicitationDetail.php?conID=154" TargetMode="External"/><Relationship Id="rId117" Type="http://schemas.openxmlformats.org/officeDocument/2006/relationships/hyperlink" Target="https://www.ok.gov/dcs/solicit/app/solicitationDetail.php?conID=135" TargetMode="External"/><Relationship Id="rId21" Type="http://schemas.openxmlformats.org/officeDocument/2006/relationships/hyperlink" Target="https://www.ok.gov/dcs/solicit/app/solicitationDetail.php?conID=151" TargetMode="External"/><Relationship Id="rId42" Type="http://schemas.openxmlformats.org/officeDocument/2006/relationships/hyperlink" Target="https://www.ok.gov/dcs/solicit/app/solicitationDetail.php?conID=133" TargetMode="External"/><Relationship Id="rId47" Type="http://schemas.openxmlformats.org/officeDocument/2006/relationships/hyperlink" Target="https://www.ok.gov/dcs/solicit/app/solicitationDetail.php?conID=133" TargetMode="External"/><Relationship Id="rId63" Type="http://schemas.openxmlformats.org/officeDocument/2006/relationships/hyperlink" Target="https://www.ok.gov/dcs/solicit/app/solicitationDetail.php?conID=127" TargetMode="External"/><Relationship Id="rId68" Type="http://schemas.openxmlformats.org/officeDocument/2006/relationships/hyperlink" Target="https://www.ok.gov/dcs/solicit/app/solicitationDetail.php?conID=129" TargetMode="External"/><Relationship Id="rId84" Type="http://schemas.openxmlformats.org/officeDocument/2006/relationships/hyperlink" Target="https://www.ok.gov/dcs/solicit/app/solicitationDetail.php?conID=131" TargetMode="External"/><Relationship Id="rId89" Type="http://schemas.openxmlformats.org/officeDocument/2006/relationships/hyperlink" Target="https://www.ok.gov/dcs/solicit/app/solicitationDetail.php?conID=131" TargetMode="External"/><Relationship Id="rId112" Type="http://schemas.openxmlformats.org/officeDocument/2006/relationships/hyperlink" Target="https://www.ok.gov/dcs/solicit/app/solicitationDetail.php?conID=139" TargetMode="External"/><Relationship Id="rId16" Type="http://schemas.openxmlformats.org/officeDocument/2006/relationships/hyperlink" Target="https://www.ok.gov/dcs/solicit/app/solicitationDetail.php?conID=139" TargetMode="External"/><Relationship Id="rId107" Type="http://schemas.openxmlformats.org/officeDocument/2006/relationships/hyperlink" Target="https://www.ok.gov/dcs/solicit/app/solicitationDetail.php?conID=136" TargetMode="External"/><Relationship Id="rId11" Type="http://schemas.openxmlformats.org/officeDocument/2006/relationships/hyperlink" Target="https://www.ok.gov/dcs/solicit/app/solicitationDetail.php?conID=135" TargetMode="External"/><Relationship Id="rId32" Type="http://schemas.openxmlformats.org/officeDocument/2006/relationships/hyperlink" Target="https://www.ok.gov/dcs/solicit/app/solicitationDetail.php?conID=133" TargetMode="External"/><Relationship Id="rId37" Type="http://schemas.openxmlformats.org/officeDocument/2006/relationships/hyperlink" Target="https://www.ok.gov/dcs/solicit/app/solicitationDetail.php?conID=133" TargetMode="External"/><Relationship Id="rId53" Type="http://schemas.openxmlformats.org/officeDocument/2006/relationships/hyperlink" Target="https://www.ok.gov/dcs/solicit/app/solicitationDetail.php?conID=133" TargetMode="External"/><Relationship Id="rId58" Type="http://schemas.openxmlformats.org/officeDocument/2006/relationships/hyperlink" Target="https://www.ok.gov/dcs/solicit/app/solicitationDetail.php?conID=127" TargetMode="External"/><Relationship Id="rId74" Type="http://schemas.openxmlformats.org/officeDocument/2006/relationships/hyperlink" Target="https://www.ok.gov/dcs/solicit/app/solicitationDetail.php?conID=131" TargetMode="External"/><Relationship Id="rId79" Type="http://schemas.openxmlformats.org/officeDocument/2006/relationships/hyperlink" Target="https://www.ok.gov/dcs/solicit/app/solicitationDetail.php?conID=131" TargetMode="External"/><Relationship Id="rId102" Type="http://schemas.openxmlformats.org/officeDocument/2006/relationships/hyperlink" Target="https://www.ok.gov/dcs/solicit/app/solicitationDetail.php?conID=131" TargetMode="External"/><Relationship Id="rId123" Type="http://schemas.openxmlformats.org/officeDocument/2006/relationships/hyperlink" Target="https://www.ok.gov/dcs/solicit/app/solicitationDetail.php?conID=149" TargetMode="External"/><Relationship Id="rId5" Type="http://schemas.openxmlformats.org/officeDocument/2006/relationships/hyperlink" Target="https://www.ok.gov/dcs/solicit/app/solicitationDetail.php?conID=129" TargetMode="External"/><Relationship Id="rId90" Type="http://schemas.openxmlformats.org/officeDocument/2006/relationships/hyperlink" Target="https://www.ok.gov/dcs/solicit/app/solicitationDetail.php?conID=131" TargetMode="External"/><Relationship Id="rId95" Type="http://schemas.openxmlformats.org/officeDocument/2006/relationships/hyperlink" Target="https://www.ok.gov/dcs/solicit/app/solicitationDetail.php?conID=131" TargetMode="External"/><Relationship Id="rId19" Type="http://schemas.openxmlformats.org/officeDocument/2006/relationships/hyperlink" Target="https://www.ok.gov/dcs/solicit/app/solicitationDetail.php?conID=143" TargetMode="External"/><Relationship Id="rId14" Type="http://schemas.openxmlformats.org/officeDocument/2006/relationships/hyperlink" Target="https://www.ok.gov/dcs/solicit/app/solicitationDetail.php?conID=138" TargetMode="External"/><Relationship Id="rId22" Type="http://schemas.openxmlformats.org/officeDocument/2006/relationships/hyperlink" Target="https://www.ok.gov/dcs/solicit/app/solicitationDetail.php?conID=152" TargetMode="External"/><Relationship Id="rId27" Type="http://schemas.openxmlformats.org/officeDocument/2006/relationships/hyperlink" Target="https://www.ok.gov/dcs/solicit/app/solicitationDetail.php?conID=131" TargetMode="External"/><Relationship Id="rId30" Type="http://schemas.openxmlformats.org/officeDocument/2006/relationships/hyperlink" Target="https://www.ok.gov/dcs/solicit/app/solicitationDetail.php?conID=127" TargetMode="External"/><Relationship Id="rId35" Type="http://schemas.openxmlformats.org/officeDocument/2006/relationships/hyperlink" Target="https://www.ok.gov/dcs/solicit/app/solicitationDetail.php?conID=133" TargetMode="External"/><Relationship Id="rId43" Type="http://schemas.openxmlformats.org/officeDocument/2006/relationships/hyperlink" Target="https://www.ok.gov/dcs/solicit/app/solicitationDetail.php?conID=133" TargetMode="External"/><Relationship Id="rId48" Type="http://schemas.openxmlformats.org/officeDocument/2006/relationships/hyperlink" Target="https://www.ok.gov/dcs/solicit/app/solicitationDetail.php?conID=133" TargetMode="External"/><Relationship Id="rId56" Type="http://schemas.openxmlformats.org/officeDocument/2006/relationships/hyperlink" Target="https://www.ok.gov/dcs/solicit/app/solicitationDetail.php?conID=127" TargetMode="External"/><Relationship Id="rId64" Type="http://schemas.openxmlformats.org/officeDocument/2006/relationships/hyperlink" Target="https://www.ok.gov/dcs/solicit/app/solicitationDetail.php?conID=129" TargetMode="External"/><Relationship Id="rId69" Type="http://schemas.openxmlformats.org/officeDocument/2006/relationships/hyperlink" Target="https://www.ok.gov/dcs/solicit/app/solicitationDetail.php?conID=129" TargetMode="External"/><Relationship Id="rId77" Type="http://schemas.openxmlformats.org/officeDocument/2006/relationships/hyperlink" Target="https://www.ok.gov/dcs/solicit/app/solicitationDetail.php?conID=131" TargetMode="External"/><Relationship Id="rId100" Type="http://schemas.openxmlformats.org/officeDocument/2006/relationships/hyperlink" Target="https://www.ok.gov/dcs/solicit/app/solicitationDetail.php?conID=131" TargetMode="External"/><Relationship Id="rId105" Type="http://schemas.openxmlformats.org/officeDocument/2006/relationships/hyperlink" Target="https://www.ok.gov/dcs/solicit/app/solicitationDetail.php?conID=131" TargetMode="External"/><Relationship Id="rId113" Type="http://schemas.openxmlformats.org/officeDocument/2006/relationships/hyperlink" Target="https://www.ok.gov/dcs/solicit/app/solicitationDetail.php?conID=139" TargetMode="External"/><Relationship Id="rId118" Type="http://schemas.openxmlformats.org/officeDocument/2006/relationships/hyperlink" Target="https://www.ok.gov/dcs/solicit/app/solicitationDetail.php?conID=141" TargetMode="External"/><Relationship Id="rId126" Type="http://schemas.openxmlformats.org/officeDocument/2006/relationships/table" Target="../tables/table2.xml"/><Relationship Id="rId8" Type="http://schemas.openxmlformats.org/officeDocument/2006/relationships/hyperlink" Target="https://www.ok.gov/dcs/solicit/app/solicitationDetail.php?conID=133" TargetMode="External"/><Relationship Id="rId51" Type="http://schemas.openxmlformats.org/officeDocument/2006/relationships/hyperlink" Target="https://www.ok.gov/dcs/solicit/app/solicitationDetail.php?conID=133" TargetMode="External"/><Relationship Id="rId72" Type="http://schemas.openxmlformats.org/officeDocument/2006/relationships/hyperlink" Target="https://www.ok.gov/dcs/solicit/app/solicitationDetail.php?conID=131" TargetMode="External"/><Relationship Id="rId80" Type="http://schemas.openxmlformats.org/officeDocument/2006/relationships/hyperlink" Target="https://www.ok.gov/dcs/solicit/app/solicitationDetail.php?conID=131" TargetMode="External"/><Relationship Id="rId85" Type="http://schemas.openxmlformats.org/officeDocument/2006/relationships/hyperlink" Target="https://www.ok.gov/dcs/solicit/app/solicitationDetail.php?conID=131" TargetMode="External"/><Relationship Id="rId93" Type="http://schemas.openxmlformats.org/officeDocument/2006/relationships/hyperlink" Target="https://www.ok.gov/dcs/solicit/app/solicitationDetail.php?conID=131" TargetMode="External"/><Relationship Id="rId98" Type="http://schemas.openxmlformats.org/officeDocument/2006/relationships/hyperlink" Target="https://www.ok.gov/dcs/solicit/app/solicitationDetail.php?conID=131" TargetMode="External"/><Relationship Id="rId121" Type="http://schemas.openxmlformats.org/officeDocument/2006/relationships/hyperlink" Target="https://www.ok.gov/dcs/solicit/app/solicitationDetail.php?conID=141" TargetMode="External"/><Relationship Id="rId3" Type="http://schemas.openxmlformats.org/officeDocument/2006/relationships/hyperlink" Target="https://www.ok.gov/dcs/solicit/app/solicitationDetail.php?conID=131" TargetMode="External"/><Relationship Id="rId12" Type="http://schemas.openxmlformats.org/officeDocument/2006/relationships/hyperlink" Target="https://www.ok.gov/dcs/solicit/app/solicitationDetail.php?conID=135" TargetMode="External"/><Relationship Id="rId17" Type="http://schemas.openxmlformats.org/officeDocument/2006/relationships/hyperlink" Target="https://www.ok.gov/dcs/solicit/app/solicitationDetail.php?conID=141" TargetMode="External"/><Relationship Id="rId25" Type="http://schemas.openxmlformats.org/officeDocument/2006/relationships/hyperlink" Target="https://www.ok.gov/dcs/solicit/app/solicitationDetail.php?conID=153" TargetMode="External"/><Relationship Id="rId33" Type="http://schemas.openxmlformats.org/officeDocument/2006/relationships/hyperlink" Target="https://www.ok.gov/dcs/solicit/app/solicitationDetail.php?conID=133" TargetMode="External"/><Relationship Id="rId38" Type="http://schemas.openxmlformats.org/officeDocument/2006/relationships/hyperlink" Target="https://www.ok.gov/dcs/solicit/app/solicitationDetail.php?conID=133" TargetMode="External"/><Relationship Id="rId46" Type="http://schemas.openxmlformats.org/officeDocument/2006/relationships/hyperlink" Target="https://www.ok.gov/dcs/solicit/app/solicitationDetail.php?conID=133" TargetMode="External"/><Relationship Id="rId59" Type="http://schemas.openxmlformats.org/officeDocument/2006/relationships/hyperlink" Target="https://www.ok.gov/dcs/solicit/app/solicitationDetail.php?conID=127" TargetMode="External"/><Relationship Id="rId67" Type="http://schemas.openxmlformats.org/officeDocument/2006/relationships/hyperlink" Target="https://www.ok.gov/dcs/solicit/app/solicitationDetail.php?conID=129" TargetMode="External"/><Relationship Id="rId103" Type="http://schemas.openxmlformats.org/officeDocument/2006/relationships/hyperlink" Target="https://www.ok.gov/dcs/solicit/app/solicitationDetail.php?conID=131" TargetMode="External"/><Relationship Id="rId108" Type="http://schemas.openxmlformats.org/officeDocument/2006/relationships/hyperlink" Target="https://www.ok.gov/dcs/solicit/app/solicitationDetail.php?conID=143" TargetMode="External"/><Relationship Id="rId116" Type="http://schemas.openxmlformats.org/officeDocument/2006/relationships/hyperlink" Target="https://www.ok.gov/dcs/solicit/app/solicitationDetail.php?conID=139" TargetMode="External"/><Relationship Id="rId124" Type="http://schemas.openxmlformats.org/officeDocument/2006/relationships/hyperlink" Target="https://www.ok.gov/dcs/solicit/app/solicitationDetail.php?conID=131" TargetMode="External"/><Relationship Id="rId20" Type="http://schemas.openxmlformats.org/officeDocument/2006/relationships/hyperlink" Target="https://www.ok.gov/dcs/solicit/app/solicitationDetail.php?conID=147" TargetMode="External"/><Relationship Id="rId41" Type="http://schemas.openxmlformats.org/officeDocument/2006/relationships/hyperlink" Target="https://www.ok.gov/dcs/solicit/app/solicitationDetail.php?conID=133" TargetMode="External"/><Relationship Id="rId54" Type="http://schemas.openxmlformats.org/officeDocument/2006/relationships/hyperlink" Target="https://www.ok.gov/dcs/solicit/app/solicitationDetail.php?conID=133" TargetMode="External"/><Relationship Id="rId62" Type="http://schemas.openxmlformats.org/officeDocument/2006/relationships/hyperlink" Target="https://www.ok.gov/dcs/solicit/app/solicitationDetail.php?conID=127" TargetMode="External"/><Relationship Id="rId70" Type="http://schemas.openxmlformats.org/officeDocument/2006/relationships/hyperlink" Target="https://www.ok.gov/dcs/solicit/app/solicitationDetail.php?conID=136" TargetMode="External"/><Relationship Id="rId75" Type="http://schemas.openxmlformats.org/officeDocument/2006/relationships/hyperlink" Target="https://www.ok.gov/dcs/solicit/app/solicitationDetail.php?conID=131" TargetMode="External"/><Relationship Id="rId83" Type="http://schemas.openxmlformats.org/officeDocument/2006/relationships/hyperlink" Target="https://www.ok.gov/dcs/solicit/app/solicitationDetail.php?conID=131" TargetMode="External"/><Relationship Id="rId88" Type="http://schemas.openxmlformats.org/officeDocument/2006/relationships/hyperlink" Target="https://www.ok.gov/dcs/solicit/app/solicitationDetail.php?conID=131" TargetMode="External"/><Relationship Id="rId91" Type="http://schemas.openxmlformats.org/officeDocument/2006/relationships/hyperlink" Target="https://www.ok.gov/dcs/solicit/app/solicitationDetail.php?conID=131" TargetMode="External"/><Relationship Id="rId96" Type="http://schemas.openxmlformats.org/officeDocument/2006/relationships/hyperlink" Target="https://www.ok.gov/dcs/solicit/app/solicitationDetail.php?conID=131" TargetMode="External"/><Relationship Id="rId111" Type="http://schemas.openxmlformats.org/officeDocument/2006/relationships/hyperlink" Target="https://www.ok.gov/dcs/solicit/app/solicitationDetail.php?conID=141" TargetMode="External"/><Relationship Id="rId1" Type="http://schemas.openxmlformats.org/officeDocument/2006/relationships/hyperlink" Target="https://www.ok.gov/dcs/solicit/app/solicitationDetail.php?conID=127" TargetMode="External"/><Relationship Id="rId6" Type="http://schemas.openxmlformats.org/officeDocument/2006/relationships/hyperlink" Target="https://www.ok.gov/dcs/solicit/app/solicitationDetail.php?conID=129" TargetMode="External"/><Relationship Id="rId15" Type="http://schemas.openxmlformats.org/officeDocument/2006/relationships/hyperlink" Target="https://www.ok.gov/dcs/solicit/app/solicitationDetail.php?conID=139" TargetMode="External"/><Relationship Id="rId23" Type="http://schemas.openxmlformats.org/officeDocument/2006/relationships/hyperlink" Target="https://www.ok.gov/dcs/solicit/app/solicitationDetail.php?conID=152" TargetMode="External"/><Relationship Id="rId28" Type="http://schemas.openxmlformats.org/officeDocument/2006/relationships/hyperlink" Target="https://www.ok.gov/dcs/solicit/app/solicitationDetail.php?conID=142" TargetMode="External"/><Relationship Id="rId36" Type="http://schemas.openxmlformats.org/officeDocument/2006/relationships/hyperlink" Target="https://www.ok.gov/dcs/solicit/app/solicitationDetail.php?conID=133" TargetMode="External"/><Relationship Id="rId49" Type="http://schemas.openxmlformats.org/officeDocument/2006/relationships/hyperlink" Target="https://www.ok.gov/dcs/solicit/app/solicitationDetail.php?conID=133" TargetMode="External"/><Relationship Id="rId57" Type="http://schemas.openxmlformats.org/officeDocument/2006/relationships/hyperlink" Target="https://www.ok.gov/dcs/solicit/app/solicitationDetail.php?conID=127" TargetMode="External"/><Relationship Id="rId106" Type="http://schemas.openxmlformats.org/officeDocument/2006/relationships/hyperlink" Target="https://www.ok.gov/dcs/solicit/app/solicitationDetail.php?conID=136" TargetMode="External"/><Relationship Id="rId114" Type="http://schemas.openxmlformats.org/officeDocument/2006/relationships/hyperlink" Target="https://www.ok.gov/dcs/solicit/app/solicitationDetail.php?conID=139" TargetMode="External"/><Relationship Id="rId119" Type="http://schemas.openxmlformats.org/officeDocument/2006/relationships/hyperlink" Target="https://www.ok.gov/dcs/solicit/app/solicitationDetail.php?conID=141" TargetMode="External"/><Relationship Id="rId127" Type="http://schemas.openxmlformats.org/officeDocument/2006/relationships/table" Target="../tables/table3.xml"/><Relationship Id="rId10" Type="http://schemas.openxmlformats.org/officeDocument/2006/relationships/hyperlink" Target="https://www.ok.gov/dcs/solicit/app/solicitationDetail.php?conID=134" TargetMode="External"/><Relationship Id="rId31" Type="http://schemas.openxmlformats.org/officeDocument/2006/relationships/hyperlink" Target="https://www.ok.gov/dcs/solicit/app/solicitationDetail.php?conID=133" TargetMode="External"/><Relationship Id="rId44" Type="http://schemas.openxmlformats.org/officeDocument/2006/relationships/hyperlink" Target="https://www.ok.gov/dcs/solicit/app/solicitationDetail.php?conID=133" TargetMode="External"/><Relationship Id="rId52" Type="http://schemas.openxmlformats.org/officeDocument/2006/relationships/hyperlink" Target="https://www.ok.gov/dcs/solicit/app/solicitationDetail.php?conID=133" TargetMode="External"/><Relationship Id="rId60" Type="http://schemas.openxmlformats.org/officeDocument/2006/relationships/hyperlink" Target="https://www.ok.gov/dcs/solicit/app/solicitationDetail.php?conID=127" TargetMode="External"/><Relationship Id="rId65" Type="http://schemas.openxmlformats.org/officeDocument/2006/relationships/hyperlink" Target="https://www.ok.gov/dcs/solicit/app/solicitationDetail.php?conID=129" TargetMode="External"/><Relationship Id="rId73" Type="http://schemas.openxmlformats.org/officeDocument/2006/relationships/hyperlink" Target="https://www.ok.gov/dcs/solicit/app/solicitationDetail.php?conID=131" TargetMode="External"/><Relationship Id="rId78" Type="http://schemas.openxmlformats.org/officeDocument/2006/relationships/hyperlink" Target="https://www.ok.gov/dcs/solicit/app/solicitationDetail.php?conID=131" TargetMode="External"/><Relationship Id="rId81" Type="http://schemas.openxmlformats.org/officeDocument/2006/relationships/hyperlink" Target="https://www.ok.gov/dcs/solicit/app/solicitationDetail.php?conID=131" TargetMode="External"/><Relationship Id="rId86" Type="http://schemas.openxmlformats.org/officeDocument/2006/relationships/hyperlink" Target="https://www.ok.gov/dcs/solicit/app/solicitationDetail.php?conID=131" TargetMode="External"/><Relationship Id="rId94" Type="http://schemas.openxmlformats.org/officeDocument/2006/relationships/hyperlink" Target="https://www.ok.gov/dcs/solicit/app/solicitationDetail.php?conID=131" TargetMode="External"/><Relationship Id="rId99" Type="http://schemas.openxmlformats.org/officeDocument/2006/relationships/hyperlink" Target="https://www.ok.gov/dcs/solicit/app/solicitationDetail.php?conID=131" TargetMode="External"/><Relationship Id="rId101" Type="http://schemas.openxmlformats.org/officeDocument/2006/relationships/hyperlink" Target="https://www.ok.gov/dcs/solicit/app/solicitationDetail.php?conID=131" TargetMode="External"/><Relationship Id="rId122" Type="http://schemas.openxmlformats.org/officeDocument/2006/relationships/hyperlink" Target="https://www.ok.gov/dcs/solicit/app/solicitationDetail.php?conID=135" TargetMode="External"/><Relationship Id="rId4" Type="http://schemas.openxmlformats.org/officeDocument/2006/relationships/hyperlink" Target="https://www.ok.gov/dcs/solicit/app/solicitationDetail.php?conID=131" TargetMode="External"/><Relationship Id="rId9" Type="http://schemas.openxmlformats.org/officeDocument/2006/relationships/hyperlink" Target="https://www.ok.gov/dcs/solicit/app/solicitationDetail.php?conID=133" TargetMode="External"/><Relationship Id="rId13" Type="http://schemas.openxmlformats.org/officeDocument/2006/relationships/hyperlink" Target="https://www.ok.gov/dcs/solicit/app/solicitationDetail.php?conID=137" TargetMode="External"/><Relationship Id="rId18" Type="http://schemas.openxmlformats.org/officeDocument/2006/relationships/hyperlink" Target="https://www.ok.gov/dcs/solicit/app/solicitationDetail.php?conID=143" TargetMode="External"/><Relationship Id="rId39" Type="http://schemas.openxmlformats.org/officeDocument/2006/relationships/hyperlink" Target="https://www.ok.gov/dcs/solicit/app/solicitationDetail.php?conID=133" TargetMode="External"/><Relationship Id="rId109" Type="http://schemas.openxmlformats.org/officeDocument/2006/relationships/hyperlink" Target="https://www.ok.gov/dcs/solicit/app/solicitationDetail.php?conID=143" TargetMode="External"/><Relationship Id="rId34" Type="http://schemas.openxmlformats.org/officeDocument/2006/relationships/hyperlink" Target="https://www.ok.gov/dcs/solicit/app/solicitationDetail.php?conID=133" TargetMode="External"/><Relationship Id="rId50" Type="http://schemas.openxmlformats.org/officeDocument/2006/relationships/hyperlink" Target="https://www.ok.gov/dcs/solicit/app/solicitationDetail.php?conID=133" TargetMode="External"/><Relationship Id="rId55" Type="http://schemas.openxmlformats.org/officeDocument/2006/relationships/hyperlink" Target="https://www.ok.gov/dcs/solicit/app/solicitationDetail.php?conID=127" TargetMode="External"/><Relationship Id="rId76" Type="http://schemas.openxmlformats.org/officeDocument/2006/relationships/hyperlink" Target="https://www.ok.gov/dcs/solicit/app/solicitationDetail.php?conID=131" TargetMode="External"/><Relationship Id="rId97" Type="http://schemas.openxmlformats.org/officeDocument/2006/relationships/hyperlink" Target="https://www.ok.gov/dcs/solicit/app/solicitationDetail.php?conID=131" TargetMode="External"/><Relationship Id="rId104" Type="http://schemas.openxmlformats.org/officeDocument/2006/relationships/hyperlink" Target="https://www.ok.gov/dcs/solicit/app/solicitationDetail.php?conID=131" TargetMode="External"/><Relationship Id="rId120" Type="http://schemas.openxmlformats.org/officeDocument/2006/relationships/hyperlink" Target="https://www.ok.gov/dcs/solicit/app/solicitationDetail.php?conID=141" TargetMode="External"/><Relationship Id="rId125" Type="http://schemas.openxmlformats.org/officeDocument/2006/relationships/printerSettings" Target="../printerSettings/printerSettings4.bin"/><Relationship Id="rId7" Type="http://schemas.openxmlformats.org/officeDocument/2006/relationships/hyperlink" Target="https://www.ok.gov/dcs/solicit/app/solicitationDetail.php?conID=133" TargetMode="External"/><Relationship Id="rId71" Type="http://schemas.openxmlformats.org/officeDocument/2006/relationships/hyperlink" Target="https://www.ok.gov/dcs/solicit/app/solicitationDetail.php?conID=136" TargetMode="External"/><Relationship Id="rId92" Type="http://schemas.openxmlformats.org/officeDocument/2006/relationships/hyperlink" Target="https://www.ok.gov/dcs/solicit/app/solicitationDetail.php?conID=131" TargetMode="External"/><Relationship Id="rId2" Type="http://schemas.openxmlformats.org/officeDocument/2006/relationships/hyperlink" Target="https://www.ok.gov/dcs/solicit/app/solicitationDetail.php?conID=127" TargetMode="External"/><Relationship Id="rId29" Type="http://schemas.openxmlformats.org/officeDocument/2006/relationships/hyperlink" Target="https://www.ok.gov/dcs/solicit/app/solicitationDetail.php?conID=146" TargetMode="External"/><Relationship Id="rId24" Type="http://schemas.openxmlformats.org/officeDocument/2006/relationships/hyperlink" Target="https://www.ok.gov/dcs/solicit/app/solicitationDetail.php?conID=153" TargetMode="External"/><Relationship Id="rId40" Type="http://schemas.openxmlformats.org/officeDocument/2006/relationships/hyperlink" Target="https://www.ok.gov/dcs/solicit/app/solicitationDetail.php?conID=133" TargetMode="External"/><Relationship Id="rId45" Type="http://schemas.openxmlformats.org/officeDocument/2006/relationships/hyperlink" Target="https://www.ok.gov/dcs/solicit/app/solicitationDetail.php?conID=133" TargetMode="External"/><Relationship Id="rId66" Type="http://schemas.openxmlformats.org/officeDocument/2006/relationships/hyperlink" Target="https://www.ok.gov/dcs/solicit/app/solicitationDetail.php?conID=129" TargetMode="External"/><Relationship Id="rId87" Type="http://schemas.openxmlformats.org/officeDocument/2006/relationships/hyperlink" Target="https://www.ok.gov/dcs/solicit/app/solicitationDetail.php?conID=131" TargetMode="External"/><Relationship Id="rId110" Type="http://schemas.openxmlformats.org/officeDocument/2006/relationships/hyperlink" Target="https://www.ok.gov/dcs/solicit/app/solicitationDetail.php?conID=143" TargetMode="External"/><Relationship Id="rId115" Type="http://schemas.openxmlformats.org/officeDocument/2006/relationships/hyperlink" Target="https://www.ok.gov/dcs/solicit/app/solicitationDetail.php?conID=139" TargetMode="External"/><Relationship Id="rId61" Type="http://schemas.openxmlformats.org/officeDocument/2006/relationships/hyperlink" Target="https://www.ok.gov/dcs/solicit/app/solicitationDetail.php?conID=127" TargetMode="External"/><Relationship Id="rId82" Type="http://schemas.openxmlformats.org/officeDocument/2006/relationships/hyperlink" Target="https://www.ok.gov/dcs/solicit/app/solicitationDetail.php?conID=131"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6.bin"/><Relationship Id="rId1" Type="http://schemas.openxmlformats.org/officeDocument/2006/relationships/hyperlink" Target="https://www.ok.gov/dcs/solicit/app/solicitationDetail.php?conID=821" TargetMode="External"/><Relationship Id="rId5" Type="http://schemas.openxmlformats.org/officeDocument/2006/relationships/comments" Target="../comments2.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2.xml"/><Relationship Id="rId1"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3" Type="http://schemas.openxmlformats.org/officeDocument/2006/relationships/hyperlink" Target="https://www.ok.gov/dcs/solicit/app/solicitationDetail.php?conID=153" TargetMode="External"/><Relationship Id="rId7" Type="http://schemas.openxmlformats.org/officeDocument/2006/relationships/table" Target="../tables/table24.xml"/><Relationship Id="rId2" Type="http://schemas.openxmlformats.org/officeDocument/2006/relationships/hyperlink" Target="https://www.ok.gov/dcs/solicit/app/solicitationDetail.php?conID=153" TargetMode="External"/><Relationship Id="rId1" Type="http://schemas.openxmlformats.org/officeDocument/2006/relationships/hyperlink" Target="https://www.ok.gov/dcs/solicit/app/solicitationDetail.php?conID=153" TargetMode="External"/><Relationship Id="rId6" Type="http://schemas.openxmlformats.org/officeDocument/2006/relationships/drawing" Target="../drawings/drawing2.xml"/><Relationship Id="rId5" Type="http://schemas.openxmlformats.org/officeDocument/2006/relationships/printerSettings" Target="../printerSettings/printerSettings10.bin"/><Relationship Id="rId4" Type="http://schemas.openxmlformats.org/officeDocument/2006/relationships/hyperlink" Target="https://www.ok.gov/dcs/solicit/app/solicitationDetail.php?conID=153" TargetMode="Externa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dimension ref="A9:J39"/>
  <sheetViews>
    <sheetView tabSelected="1" zoomScaleNormal="100" workbookViewId="0">
      <selection activeCell="A37" sqref="A37:I37"/>
    </sheetView>
  </sheetViews>
  <sheetFormatPr defaultRowHeight="12.75"/>
  <cols>
    <col min="1" max="16384" width="9.140625" style="103"/>
  </cols>
  <sheetData>
    <row r="9" spans="1:10" ht="18">
      <c r="A9" s="160" t="s">
        <v>557</v>
      </c>
      <c r="B9" s="160"/>
      <c r="C9" s="160"/>
      <c r="D9" s="160"/>
      <c r="E9" s="160"/>
      <c r="F9" s="160"/>
      <c r="G9" s="160"/>
      <c r="H9" s="160"/>
      <c r="I9" s="160"/>
      <c r="J9" s="160"/>
    </row>
    <row r="10" spans="1:10" ht="18">
      <c r="A10" s="160" t="s">
        <v>558</v>
      </c>
      <c r="B10" s="160"/>
      <c r="C10" s="160"/>
      <c r="D10" s="160"/>
      <c r="E10" s="160"/>
      <c r="F10" s="160"/>
      <c r="G10" s="160"/>
      <c r="H10" s="160"/>
      <c r="I10" s="160"/>
      <c r="J10" s="160"/>
    </row>
    <row r="12" spans="1:10" ht="20.25">
      <c r="A12" s="161" t="s">
        <v>559</v>
      </c>
      <c r="B12" s="161"/>
      <c r="C12" s="161"/>
      <c r="D12" s="161"/>
      <c r="E12" s="161"/>
      <c r="F12" s="161"/>
      <c r="G12" s="161"/>
      <c r="H12" s="161"/>
      <c r="I12" s="161"/>
      <c r="J12" s="161"/>
    </row>
    <row r="13" spans="1:10" ht="15">
      <c r="A13" s="162" t="s">
        <v>793</v>
      </c>
      <c r="B13" s="162"/>
      <c r="C13" s="162"/>
      <c r="D13" s="162"/>
      <c r="E13" s="162"/>
      <c r="F13" s="162"/>
      <c r="G13" s="162"/>
      <c r="H13" s="162"/>
      <c r="I13" s="162"/>
      <c r="J13" s="162"/>
    </row>
    <row r="14" spans="1:10">
      <c r="A14" s="163" t="s">
        <v>926</v>
      </c>
      <c r="B14" s="163"/>
      <c r="C14" s="163"/>
      <c r="D14" s="163"/>
      <c r="E14" s="163"/>
      <c r="F14" s="163"/>
      <c r="G14" s="163"/>
      <c r="H14" s="163"/>
      <c r="I14" s="163"/>
      <c r="J14" s="163"/>
    </row>
    <row r="15" spans="1:10">
      <c r="A15" s="104"/>
      <c r="B15" s="104"/>
      <c r="C15" s="104"/>
      <c r="D15" s="104"/>
      <c r="E15" s="104"/>
      <c r="F15" s="104"/>
      <c r="G15" s="104"/>
      <c r="H15" s="104"/>
      <c r="I15" s="104"/>
      <c r="J15" s="104"/>
    </row>
    <row r="16" spans="1:10">
      <c r="A16" s="163" t="s">
        <v>560</v>
      </c>
      <c r="B16" s="163"/>
      <c r="C16" s="163"/>
      <c r="D16" s="163"/>
      <c r="E16" s="163"/>
      <c r="F16" s="163"/>
      <c r="G16" s="163"/>
      <c r="H16" s="163"/>
      <c r="I16" s="163"/>
      <c r="J16" s="163"/>
    </row>
    <row r="17" spans="1:10">
      <c r="A17" s="163" t="s">
        <v>561</v>
      </c>
      <c r="B17" s="163"/>
      <c r="C17" s="163"/>
      <c r="D17" s="163"/>
      <c r="E17" s="163"/>
      <c r="F17" s="163"/>
      <c r="G17" s="163"/>
      <c r="H17" s="163"/>
      <c r="I17" s="163"/>
      <c r="J17" s="163"/>
    </row>
    <row r="18" spans="1:10">
      <c r="A18" s="163" t="s">
        <v>562</v>
      </c>
      <c r="B18" s="163"/>
      <c r="C18" s="163"/>
      <c r="D18" s="163"/>
      <c r="E18" s="163"/>
      <c r="F18" s="163"/>
      <c r="G18" s="163"/>
      <c r="H18" s="163"/>
      <c r="I18" s="163"/>
      <c r="J18" s="163"/>
    </row>
    <row r="19" spans="1:10">
      <c r="A19" s="163" t="s">
        <v>569</v>
      </c>
      <c r="B19" s="163"/>
      <c r="C19" s="163"/>
      <c r="D19" s="163"/>
      <c r="E19" s="163"/>
      <c r="F19" s="163"/>
      <c r="G19" s="163"/>
      <c r="H19" s="163"/>
      <c r="I19" s="163"/>
      <c r="J19" s="163"/>
    </row>
    <row r="20" spans="1:10">
      <c r="A20" s="163" t="s">
        <v>563</v>
      </c>
      <c r="B20" s="163"/>
      <c r="C20" s="163"/>
      <c r="D20" s="163"/>
      <c r="E20" s="163"/>
      <c r="F20" s="163"/>
      <c r="G20" s="163"/>
      <c r="H20" s="163"/>
      <c r="I20" s="163"/>
      <c r="J20" s="163"/>
    </row>
    <row r="22" spans="1:10" ht="12.75" customHeight="1">
      <c r="A22" s="164" t="s">
        <v>576</v>
      </c>
      <c r="B22" s="164"/>
      <c r="C22" s="164"/>
      <c r="D22" s="164"/>
      <c r="E22" s="164"/>
      <c r="F22" s="164"/>
      <c r="G22" s="164"/>
      <c r="H22" s="164"/>
      <c r="I22" s="164"/>
      <c r="J22" s="105"/>
    </row>
    <row r="23" spans="1:10">
      <c r="A23" s="164"/>
      <c r="B23" s="164"/>
      <c r="C23" s="164"/>
      <c r="D23" s="164"/>
      <c r="E23" s="164"/>
      <c r="F23" s="164"/>
      <c r="G23" s="164"/>
      <c r="H23" s="164"/>
      <c r="I23" s="164"/>
      <c r="J23" s="105"/>
    </row>
    <row r="24" spans="1:10">
      <c r="A24" s="164"/>
      <c r="B24" s="164"/>
      <c r="C24" s="164"/>
      <c r="D24" s="164"/>
      <c r="E24" s="164"/>
      <c r="F24" s="164"/>
      <c r="G24" s="164"/>
      <c r="H24" s="164"/>
      <c r="I24" s="164"/>
      <c r="J24" s="105"/>
    </row>
    <row r="25" spans="1:10">
      <c r="A25" s="164"/>
      <c r="B25" s="164"/>
      <c r="C25" s="164"/>
      <c r="D25" s="164"/>
      <c r="E25" s="164"/>
      <c r="F25" s="164"/>
      <c r="G25" s="164"/>
      <c r="H25" s="164"/>
      <c r="I25" s="164"/>
      <c r="J25" s="105"/>
    </row>
    <row r="26" spans="1:10">
      <c r="A26" s="164"/>
      <c r="B26" s="164"/>
      <c r="C26" s="164"/>
      <c r="D26" s="164"/>
      <c r="E26" s="164"/>
      <c r="F26" s="164"/>
      <c r="G26" s="164"/>
      <c r="H26" s="164"/>
      <c r="I26" s="164"/>
      <c r="J26" s="105"/>
    </row>
    <row r="28" spans="1:10" s="54" customFormat="1">
      <c r="A28" s="72" t="s">
        <v>564</v>
      </c>
    </row>
    <row r="29" spans="1:10" s="54" customFormat="1"/>
    <row r="30" spans="1:10" s="54" customFormat="1">
      <c r="A30" s="54" t="s">
        <v>565</v>
      </c>
    </row>
    <row r="31" spans="1:10" s="54" customFormat="1"/>
    <row r="32" spans="1:10" s="54" customFormat="1" ht="12.75" customHeight="1">
      <c r="A32" s="165" t="s">
        <v>662</v>
      </c>
      <c r="B32" s="165"/>
      <c r="C32" s="165"/>
      <c r="D32" s="165"/>
      <c r="E32" s="165"/>
      <c r="F32" s="165"/>
      <c r="G32" s="165"/>
      <c r="H32" s="165"/>
      <c r="I32" s="165"/>
    </row>
    <row r="33" spans="1:10" s="54" customFormat="1">
      <c r="A33" s="165"/>
      <c r="B33" s="165"/>
      <c r="C33" s="165"/>
      <c r="D33" s="165"/>
      <c r="E33" s="165"/>
      <c r="F33" s="165"/>
      <c r="G33" s="165"/>
      <c r="H33" s="165"/>
      <c r="I33" s="165"/>
    </row>
    <row r="34" spans="1:10" s="54" customFormat="1"/>
    <row r="35" spans="1:10" s="54" customFormat="1" ht="65.25" customHeight="1">
      <c r="A35" s="165" t="s">
        <v>792</v>
      </c>
      <c r="B35" s="165"/>
      <c r="C35" s="165"/>
      <c r="D35" s="165"/>
      <c r="E35" s="165"/>
      <c r="F35" s="165"/>
      <c r="G35" s="165"/>
      <c r="H35" s="165"/>
      <c r="I35" s="165"/>
    </row>
    <row r="36" spans="1:10" s="54" customFormat="1"/>
    <row r="37" spans="1:10" s="54" customFormat="1" ht="54" customHeight="1">
      <c r="A37" s="165" t="s">
        <v>663</v>
      </c>
      <c r="B37" s="165"/>
      <c r="C37" s="165"/>
      <c r="D37" s="165"/>
      <c r="E37" s="165"/>
      <c r="F37" s="165"/>
      <c r="G37" s="165"/>
      <c r="H37" s="165"/>
      <c r="I37" s="165"/>
      <c r="J37" s="79"/>
    </row>
    <row r="38" spans="1:10" s="54" customFormat="1"/>
    <row r="39" spans="1:10" s="54" customFormat="1" ht="28.5" customHeight="1">
      <c r="A39" s="165" t="s">
        <v>566</v>
      </c>
      <c r="B39" s="165"/>
      <c r="C39" s="165"/>
      <c r="D39" s="165"/>
      <c r="E39" s="165"/>
      <c r="F39" s="165"/>
      <c r="G39" s="165"/>
      <c r="H39" s="165"/>
      <c r="I39" s="165"/>
      <c r="J39" s="79"/>
    </row>
  </sheetData>
  <mergeCells count="15">
    <mergeCell ref="A22:I26"/>
    <mergeCell ref="A32:I33"/>
    <mergeCell ref="A37:I37"/>
    <mergeCell ref="A39:I39"/>
    <mergeCell ref="A14:J14"/>
    <mergeCell ref="A18:J18"/>
    <mergeCell ref="A19:J19"/>
    <mergeCell ref="A20:J20"/>
    <mergeCell ref="A17:J17"/>
    <mergeCell ref="A35:I35"/>
    <mergeCell ref="A9:J9"/>
    <mergeCell ref="A10:J10"/>
    <mergeCell ref="A12:J12"/>
    <mergeCell ref="A13:J13"/>
    <mergeCell ref="A16:J16"/>
  </mergeCells>
  <pageMargins left="0.7" right="0.7" top="0.75" bottom="0.75" header="0.3" footer="0.3"/>
  <pageSetup orientation="portrait" r:id="rId1"/>
  <headerFooter>
    <oddFooter>&amp;LApproved by State Use Committee 2012-06-13</oddFooter>
  </headerFooter>
  <drawing r:id="rId2"/>
</worksheet>
</file>

<file path=xl/worksheets/sheet2.xml><?xml version="1.0" encoding="utf-8"?>
<worksheet xmlns="http://schemas.openxmlformats.org/spreadsheetml/2006/main" xmlns:r="http://schemas.openxmlformats.org/officeDocument/2006/relationships">
  <sheetPr codeName="Sheet4"/>
  <dimension ref="A1:H47"/>
  <sheetViews>
    <sheetView workbookViewId="0">
      <selection activeCell="J8" sqref="J8"/>
    </sheetView>
  </sheetViews>
  <sheetFormatPr defaultRowHeight="15"/>
  <cols>
    <col min="1" max="1" width="31" bestFit="1" customWidth="1"/>
    <col min="2" max="2" width="11" bestFit="1" customWidth="1"/>
    <col min="3" max="3" width="22" bestFit="1" customWidth="1"/>
    <col min="4" max="4" width="19.7109375" customWidth="1"/>
    <col min="5" max="5" width="12.140625" bestFit="1" customWidth="1"/>
    <col min="6" max="6" width="12.140625" customWidth="1"/>
    <col min="7" max="7" width="30" bestFit="1" customWidth="1"/>
    <col min="8" max="8" width="6.140625" bestFit="1" customWidth="1"/>
  </cols>
  <sheetData>
    <row r="1" spans="1:8">
      <c r="A1" s="62" t="s">
        <v>308</v>
      </c>
      <c r="B1" s="63" t="s">
        <v>309</v>
      </c>
      <c r="C1" s="62" t="s">
        <v>552</v>
      </c>
      <c r="D1" s="64" t="s">
        <v>310</v>
      </c>
      <c r="E1" s="62" t="s">
        <v>311</v>
      </c>
      <c r="F1" s="62" t="s">
        <v>796</v>
      </c>
      <c r="G1" s="62" t="s">
        <v>523</v>
      </c>
      <c r="H1" s="64" t="s">
        <v>312</v>
      </c>
    </row>
    <row r="2" spans="1:8" ht="25.5">
      <c r="A2" s="53" t="s">
        <v>313</v>
      </c>
      <c r="B2" s="55" t="s">
        <v>314</v>
      </c>
      <c r="C2" s="53" t="s">
        <v>315</v>
      </c>
      <c r="D2" s="56" t="s">
        <v>316</v>
      </c>
      <c r="E2" s="53" t="s">
        <v>317</v>
      </c>
      <c r="F2" s="53" t="s">
        <v>797</v>
      </c>
      <c r="G2" s="65" t="s">
        <v>318</v>
      </c>
      <c r="H2" s="53" t="s">
        <v>319</v>
      </c>
    </row>
    <row r="3" spans="1:8" ht="25.5">
      <c r="A3" s="53" t="s">
        <v>320</v>
      </c>
      <c r="B3" s="55" t="s">
        <v>321</v>
      </c>
      <c r="C3" s="53" t="s">
        <v>322</v>
      </c>
      <c r="D3" s="56" t="s">
        <v>323</v>
      </c>
      <c r="E3" s="53" t="s">
        <v>324</v>
      </c>
      <c r="F3" s="53" t="s">
        <v>798</v>
      </c>
      <c r="G3" s="114" t="s">
        <v>524</v>
      </c>
      <c r="H3" s="53" t="s">
        <v>319</v>
      </c>
    </row>
    <row r="4" spans="1:8" ht="25.5">
      <c r="A4" s="53" t="s">
        <v>325</v>
      </c>
      <c r="B4" s="55" t="s">
        <v>326</v>
      </c>
      <c r="C4" s="53" t="s">
        <v>327</v>
      </c>
      <c r="D4" s="56" t="s">
        <v>328</v>
      </c>
      <c r="E4" s="53" t="s">
        <v>567</v>
      </c>
      <c r="F4" s="53" t="s">
        <v>799</v>
      </c>
      <c r="G4" s="115" t="s">
        <v>568</v>
      </c>
      <c r="H4" s="53" t="s">
        <v>319</v>
      </c>
    </row>
    <row r="5" spans="1:8" ht="25.5">
      <c r="A5" s="53" t="s">
        <v>329</v>
      </c>
      <c r="B5" s="55" t="s">
        <v>330</v>
      </c>
      <c r="C5" s="53" t="s">
        <v>331</v>
      </c>
      <c r="D5" s="56" t="s">
        <v>332</v>
      </c>
      <c r="E5" s="53" t="s">
        <v>333</v>
      </c>
      <c r="F5" s="53" t="s">
        <v>800</v>
      </c>
      <c r="G5" s="65" t="s">
        <v>334</v>
      </c>
      <c r="H5" s="58" t="s">
        <v>319</v>
      </c>
    </row>
    <row r="6" spans="1:8" ht="25.5">
      <c r="A6" s="53" t="s">
        <v>842</v>
      </c>
      <c r="B6" s="55" t="s">
        <v>335</v>
      </c>
      <c r="C6" s="53" t="s">
        <v>336</v>
      </c>
      <c r="D6" s="56" t="s">
        <v>337</v>
      </c>
      <c r="E6" s="53" t="s">
        <v>497</v>
      </c>
      <c r="F6" s="53" t="s">
        <v>801</v>
      </c>
      <c r="G6" s="114" t="s">
        <v>525</v>
      </c>
      <c r="H6" s="53" t="s">
        <v>338</v>
      </c>
    </row>
    <row r="7" spans="1:8" ht="25.5">
      <c r="A7" s="53" t="s">
        <v>339</v>
      </c>
      <c r="B7" s="55" t="s">
        <v>340</v>
      </c>
      <c r="C7" s="53" t="s">
        <v>341</v>
      </c>
      <c r="D7" s="56" t="s">
        <v>342</v>
      </c>
      <c r="E7" s="53" t="s">
        <v>498</v>
      </c>
      <c r="F7" s="53" t="s">
        <v>840</v>
      </c>
      <c r="G7" s="77" t="s">
        <v>802</v>
      </c>
      <c r="H7" s="58" t="s">
        <v>338</v>
      </c>
    </row>
    <row r="8" spans="1:8" ht="25.5">
      <c r="A8" s="53" t="s">
        <v>343</v>
      </c>
      <c r="B8" s="55" t="s">
        <v>344</v>
      </c>
      <c r="C8" s="53" t="s">
        <v>345</v>
      </c>
      <c r="D8" s="56" t="s">
        <v>346</v>
      </c>
      <c r="E8" s="53" t="s">
        <v>499</v>
      </c>
      <c r="F8" s="53" t="s">
        <v>803</v>
      </c>
      <c r="G8" s="77" t="s">
        <v>526</v>
      </c>
      <c r="H8" s="58" t="s">
        <v>338</v>
      </c>
    </row>
    <row r="9" spans="1:8" ht="25.5">
      <c r="A9" s="53" t="s">
        <v>347</v>
      </c>
      <c r="B9" s="55" t="s">
        <v>348</v>
      </c>
      <c r="C9" s="53" t="s">
        <v>349</v>
      </c>
      <c r="D9" s="57"/>
      <c r="E9" s="53" t="s">
        <v>350</v>
      </c>
      <c r="F9" s="53" t="s">
        <v>804</v>
      </c>
      <c r="G9" s="66" t="s">
        <v>351</v>
      </c>
      <c r="H9" s="58" t="s">
        <v>319</v>
      </c>
    </row>
    <row r="10" spans="1:8" ht="25.5">
      <c r="A10" s="53" t="s">
        <v>352</v>
      </c>
      <c r="B10" s="55" t="s">
        <v>353</v>
      </c>
      <c r="C10" s="53" t="s">
        <v>556</v>
      </c>
      <c r="D10" s="59" t="s">
        <v>354</v>
      </c>
      <c r="E10" s="53" t="s">
        <v>500</v>
      </c>
      <c r="F10" s="53" t="s">
        <v>805</v>
      </c>
      <c r="G10" s="77" t="s">
        <v>934</v>
      </c>
      <c r="H10" s="58" t="s">
        <v>319</v>
      </c>
    </row>
    <row r="11" spans="1:8" ht="25.5">
      <c r="A11" s="53" t="s">
        <v>843</v>
      </c>
      <c r="B11" s="55" t="s">
        <v>355</v>
      </c>
      <c r="C11" s="53" t="s">
        <v>356</v>
      </c>
      <c r="D11" s="56" t="s">
        <v>357</v>
      </c>
      <c r="E11" s="53" t="s">
        <v>501</v>
      </c>
      <c r="F11" s="53" t="s">
        <v>806</v>
      </c>
      <c r="G11" s="77" t="s">
        <v>577</v>
      </c>
      <c r="H11" s="58" t="s">
        <v>319</v>
      </c>
    </row>
    <row r="12" spans="1:8" ht="25.5">
      <c r="A12" s="53" t="s">
        <v>358</v>
      </c>
      <c r="B12" s="55" t="s">
        <v>359</v>
      </c>
      <c r="C12" s="53" t="s">
        <v>360</v>
      </c>
      <c r="D12" s="57"/>
      <c r="E12" s="53" t="s">
        <v>361</v>
      </c>
      <c r="F12" s="53" t="s">
        <v>807</v>
      </c>
      <c r="G12" s="66" t="s">
        <v>527</v>
      </c>
      <c r="H12" s="58" t="s">
        <v>319</v>
      </c>
    </row>
    <row r="13" spans="1:8" ht="25.5">
      <c r="A13" s="53" t="s">
        <v>844</v>
      </c>
      <c r="B13" s="55" t="s">
        <v>362</v>
      </c>
      <c r="C13" s="53" t="s">
        <v>363</v>
      </c>
      <c r="D13" s="56" t="s">
        <v>364</v>
      </c>
      <c r="E13" s="53" t="s">
        <v>502</v>
      </c>
      <c r="F13" s="53" t="s">
        <v>808</v>
      </c>
      <c r="G13" s="66" t="s">
        <v>528</v>
      </c>
      <c r="H13" s="58" t="s">
        <v>338</v>
      </c>
    </row>
    <row r="14" spans="1:8" ht="25.5">
      <c r="A14" s="53" t="s">
        <v>365</v>
      </c>
      <c r="B14" s="55" t="s">
        <v>366</v>
      </c>
      <c r="C14" s="53" t="s">
        <v>367</v>
      </c>
      <c r="D14" s="56" t="s">
        <v>368</v>
      </c>
      <c r="E14" s="53" t="s">
        <v>503</v>
      </c>
      <c r="F14" s="53" t="s">
        <v>809</v>
      </c>
      <c r="G14" s="66" t="s">
        <v>529</v>
      </c>
      <c r="H14" s="53" t="s">
        <v>338</v>
      </c>
    </row>
    <row r="15" spans="1:8" ht="25.5">
      <c r="A15" s="53" t="s">
        <v>369</v>
      </c>
      <c r="B15" s="60" t="s">
        <v>370</v>
      </c>
      <c r="C15" s="53" t="s">
        <v>371</v>
      </c>
      <c r="D15" s="56" t="s">
        <v>372</v>
      </c>
      <c r="E15" s="53" t="s">
        <v>373</v>
      </c>
      <c r="F15" s="53" t="s">
        <v>810</v>
      </c>
      <c r="G15" s="66" t="s">
        <v>530</v>
      </c>
      <c r="H15" s="53" t="s">
        <v>319</v>
      </c>
    </row>
    <row r="16" spans="1:8" ht="25.5">
      <c r="A16" s="53" t="s">
        <v>374</v>
      </c>
      <c r="B16" s="55" t="s">
        <v>375</v>
      </c>
      <c r="C16" s="53" t="s">
        <v>376</v>
      </c>
      <c r="D16" s="57"/>
      <c r="E16" s="53" t="s">
        <v>504</v>
      </c>
      <c r="F16" s="53" t="s">
        <v>811</v>
      </c>
      <c r="G16" s="66" t="s">
        <v>531</v>
      </c>
      <c r="H16" s="58" t="s">
        <v>338</v>
      </c>
    </row>
    <row r="17" spans="1:8" ht="25.5">
      <c r="A17" s="53" t="s">
        <v>9</v>
      </c>
      <c r="B17" s="55" t="s">
        <v>377</v>
      </c>
      <c r="C17" s="53" t="s">
        <v>378</v>
      </c>
      <c r="D17" s="56" t="s">
        <v>379</v>
      </c>
      <c r="E17" s="53" t="s">
        <v>505</v>
      </c>
      <c r="F17" s="53" t="s">
        <v>812</v>
      </c>
      <c r="G17" s="66" t="s">
        <v>532</v>
      </c>
      <c r="H17" s="58" t="s">
        <v>338</v>
      </c>
    </row>
    <row r="18" spans="1:8" ht="25.5">
      <c r="A18" s="53" t="s">
        <v>380</v>
      </c>
      <c r="B18" s="55" t="s">
        <v>381</v>
      </c>
      <c r="C18" s="53" t="s">
        <v>382</v>
      </c>
      <c r="D18" s="56" t="s">
        <v>383</v>
      </c>
      <c r="E18" s="53" t="s">
        <v>506</v>
      </c>
      <c r="F18" s="53" t="s">
        <v>813</v>
      </c>
      <c r="G18" s="66" t="s">
        <v>533</v>
      </c>
      <c r="H18" s="53" t="s">
        <v>338</v>
      </c>
    </row>
    <row r="19" spans="1:8" ht="38.25">
      <c r="A19" s="53" t="s">
        <v>384</v>
      </c>
      <c r="B19" s="55" t="s">
        <v>385</v>
      </c>
      <c r="C19" s="53" t="s">
        <v>509</v>
      </c>
      <c r="D19" s="56" t="s">
        <v>386</v>
      </c>
      <c r="E19" s="53" t="s">
        <v>507</v>
      </c>
      <c r="F19" s="53" t="s">
        <v>841</v>
      </c>
      <c r="G19" s="66" t="s">
        <v>510</v>
      </c>
      <c r="H19" s="53" t="s">
        <v>319</v>
      </c>
    </row>
    <row r="20" spans="1:8" ht="25.5">
      <c r="A20" s="53" t="s">
        <v>845</v>
      </c>
      <c r="B20" s="55" t="s">
        <v>387</v>
      </c>
      <c r="C20" s="53" t="s">
        <v>511</v>
      </c>
      <c r="D20" s="56" t="s">
        <v>388</v>
      </c>
      <c r="E20" s="53" t="s">
        <v>508</v>
      </c>
      <c r="F20" s="53" t="s">
        <v>814</v>
      </c>
      <c r="G20" s="66" t="s">
        <v>534</v>
      </c>
      <c r="H20" s="58" t="s">
        <v>338</v>
      </c>
    </row>
    <row r="21" spans="1:8" ht="25.5">
      <c r="A21" s="53" t="s">
        <v>389</v>
      </c>
      <c r="B21" s="55" t="s">
        <v>390</v>
      </c>
      <c r="C21" s="53" t="s">
        <v>391</v>
      </c>
      <c r="D21" s="57"/>
      <c r="E21" s="53" t="s">
        <v>512</v>
      </c>
      <c r="F21" s="53" t="s">
        <v>815</v>
      </c>
      <c r="G21" s="66" t="s">
        <v>535</v>
      </c>
      <c r="H21" s="53" t="s">
        <v>338</v>
      </c>
    </row>
    <row r="22" spans="1:8" ht="25.5">
      <c r="A22" s="53" t="s">
        <v>392</v>
      </c>
      <c r="B22" s="55" t="s">
        <v>393</v>
      </c>
      <c r="C22" s="53" t="s">
        <v>394</v>
      </c>
      <c r="D22" s="57"/>
      <c r="E22" s="53" t="s">
        <v>513</v>
      </c>
      <c r="F22" s="53" t="s">
        <v>816</v>
      </c>
      <c r="G22" s="66" t="s">
        <v>536</v>
      </c>
      <c r="H22" s="53" t="s">
        <v>338</v>
      </c>
    </row>
    <row r="23" spans="1:8" ht="25.5">
      <c r="A23" s="53" t="s">
        <v>399</v>
      </c>
      <c r="B23" s="55" t="s">
        <v>400</v>
      </c>
      <c r="C23" s="53" t="s">
        <v>401</v>
      </c>
      <c r="D23" s="56" t="s">
        <v>402</v>
      </c>
      <c r="E23" s="53" t="s">
        <v>403</v>
      </c>
      <c r="F23" s="53" t="s">
        <v>817</v>
      </c>
      <c r="G23" s="66" t="s">
        <v>538</v>
      </c>
      <c r="H23" s="58" t="s">
        <v>338</v>
      </c>
    </row>
    <row r="24" spans="1:8" ht="25.5">
      <c r="A24" s="53" t="s">
        <v>516</v>
      </c>
      <c r="B24" s="55" t="s">
        <v>404</v>
      </c>
      <c r="C24" s="53" t="s">
        <v>405</v>
      </c>
      <c r="D24" s="57"/>
      <c r="E24" s="53" t="s">
        <v>406</v>
      </c>
      <c r="F24" s="53" t="s">
        <v>818</v>
      </c>
      <c r="G24" s="66" t="s">
        <v>539</v>
      </c>
      <c r="H24" s="53" t="s">
        <v>319</v>
      </c>
    </row>
    <row r="25" spans="1:8" ht="25.5">
      <c r="A25" s="53" t="s">
        <v>407</v>
      </c>
      <c r="B25" s="55" t="s">
        <v>408</v>
      </c>
      <c r="C25" s="53" t="s">
        <v>409</v>
      </c>
      <c r="D25" s="57"/>
      <c r="E25" s="53" t="s">
        <v>514</v>
      </c>
      <c r="F25" s="53" t="s">
        <v>819</v>
      </c>
      <c r="G25" s="66" t="s">
        <v>540</v>
      </c>
      <c r="H25" s="53" t="s">
        <v>338</v>
      </c>
    </row>
    <row r="26" spans="1:8" ht="25.5">
      <c r="A26" s="53" t="s">
        <v>515</v>
      </c>
      <c r="B26" s="55" t="s">
        <v>410</v>
      </c>
      <c r="C26" s="53" t="s">
        <v>411</v>
      </c>
      <c r="D26" s="56" t="s">
        <v>412</v>
      </c>
      <c r="E26" s="53" t="s">
        <v>413</v>
      </c>
      <c r="F26" s="53" t="s">
        <v>820</v>
      </c>
      <c r="G26" s="66" t="s">
        <v>541</v>
      </c>
      <c r="H26" s="58" t="s">
        <v>319</v>
      </c>
    </row>
    <row r="27" spans="1:8" ht="25.5">
      <c r="A27" s="53" t="s">
        <v>414</v>
      </c>
      <c r="B27" s="55" t="s">
        <v>415</v>
      </c>
      <c r="C27" s="53" t="s">
        <v>416</v>
      </c>
      <c r="D27" s="56" t="s">
        <v>417</v>
      </c>
      <c r="E27" s="53" t="s">
        <v>418</v>
      </c>
      <c r="F27" s="53" t="s">
        <v>821</v>
      </c>
      <c r="G27" s="66" t="s">
        <v>419</v>
      </c>
      <c r="H27" s="53" t="s">
        <v>319</v>
      </c>
    </row>
    <row r="28" spans="1:8" ht="25.5">
      <c r="A28" s="53" t="s">
        <v>570</v>
      </c>
      <c r="B28" s="55" t="s">
        <v>571</v>
      </c>
      <c r="C28" s="53" t="s">
        <v>572</v>
      </c>
      <c r="D28" s="77" t="s">
        <v>573</v>
      </c>
      <c r="E28" s="53" t="s">
        <v>574</v>
      </c>
      <c r="F28" s="53" t="s">
        <v>822</v>
      </c>
      <c r="G28" s="77" t="s">
        <v>575</v>
      </c>
      <c r="H28" s="53" t="s">
        <v>319</v>
      </c>
    </row>
    <row r="29" spans="1:8" ht="25.5">
      <c r="A29" s="53" t="s">
        <v>420</v>
      </c>
      <c r="B29" s="55" t="s">
        <v>421</v>
      </c>
      <c r="C29" s="53" t="s">
        <v>422</v>
      </c>
      <c r="D29" s="57"/>
      <c r="E29" s="53" t="s">
        <v>423</v>
      </c>
      <c r="F29" s="53" t="s">
        <v>823</v>
      </c>
      <c r="G29" s="66" t="s">
        <v>424</v>
      </c>
      <c r="H29" s="58" t="s">
        <v>338</v>
      </c>
    </row>
    <row r="30" spans="1:8" ht="25.5">
      <c r="A30" s="53" t="s">
        <v>425</v>
      </c>
      <c r="B30" s="55" t="s">
        <v>426</v>
      </c>
      <c r="C30" s="53" t="s">
        <v>427</v>
      </c>
      <c r="D30" s="57"/>
      <c r="E30" s="53" t="s">
        <v>428</v>
      </c>
      <c r="F30" s="53" t="s">
        <v>824</v>
      </c>
      <c r="G30" s="66" t="s">
        <v>429</v>
      </c>
      <c r="H30" s="58" t="s">
        <v>338</v>
      </c>
    </row>
    <row r="31" spans="1:8" ht="25.5">
      <c r="A31" s="53" t="s">
        <v>430</v>
      </c>
      <c r="B31" s="61" t="s">
        <v>431</v>
      </c>
      <c r="C31" s="53" t="s">
        <v>432</v>
      </c>
      <c r="D31" s="53"/>
      <c r="E31" s="53" t="s">
        <v>613</v>
      </c>
      <c r="F31" s="53" t="s">
        <v>825</v>
      </c>
      <c r="G31" s="67" t="s">
        <v>433</v>
      </c>
      <c r="H31" s="58" t="s">
        <v>338</v>
      </c>
    </row>
    <row r="32" spans="1:8" ht="25.5">
      <c r="A32" s="53" t="s">
        <v>846</v>
      </c>
      <c r="B32" s="55" t="s">
        <v>476</v>
      </c>
      <c r="C32" s="53" t="s">
        <v>477</v>
      </c>
      <c r="D32" s="57"/>
      <c r="E32" s="53" t="s">
        <v>478</v>
      </c>
      <c r="F32" s="53" t="s">
        <v>834</v>
      </c>
      <c r="G32" s="66" t="s">
        <v>519</v>
      </c>
      <c r="H32" s="58" t="s">
        <v>319</v>
      </c>
    </row>
    <row r="33" spans="1:8" ht="25.5">
      <c r="A33" s="53" t="s">
        <v>434</v>
      </c>
      <c r="B33" s="55" t="s">
        <v>435</v>
      </c>
      <c r="C33" s="53" t="s">
        <v>436</v>
      </c>
      <c r="D33" s="57"/>
      <c r="E33" s="53" t="s">
        <v>437</v>
      </c>
      <c r="F33" s="53" t="s">
        <v>826</v>
      </c>
      <c r="G33" s="66" t="s">
        <v>542</v>
      </c>
      <c r="H33" s="58" t="s">
        <v>338</v>
      </c>
    </row>
    <row r="34" spans="1:8" ht="25.5">
      <c r="A34" s="53" t="s">
        <v>438</v>
      </c>
      <c r="B34" s="55" t="s">
        <v>439</v>
      </c>
      <c r="C34" s="53" t="s">
        <v>440</v>
      </c>
      <c r="D34" s="56" t="s">
        <v>441</v>
      </c>
      <c r="E34" s="53" t="s">
        <v>517</v>
      </c>
      <c r="F34" s="53" t="s">
        <v>827</v>
      </c>
      <c r="G34" s="66" t="s">
        <v>543</v>
      </c>
      <c r="H34" s="58" t="s">
        <v>319</v>
      </c>
    </row>
    <row r="35" spans="1:8" ht="25.5">
      <c r="A35" s="53" t="s">
        <v>442</v>
      </c>
      <c r="B35" s="55" t="s">
        <v>443</v>
      </c>
      <c r="C35" s="53" t="s">
        <v>444</v>
      </c>
      <c r="D35" s="57"/>
      <c r="E35" s="53" t="s">
        <v>445</v>
      </c>
      <c r="F35" s="53" t="s">
        <v>828</v>
      </c>
      <c r="G35" s="66" t="s">
        <v>446</v>
      </c>
      <c r="H35" s="58" t="s">
        <v>338</v>
      </c>
    </row>
    <row r="36" spans="1:8" ht="25.5">
      <c r="A36" s="53" t="s">
        <v>447</v>
      </c>
      <c r="B36" s="55" t="s">
        <v>448</v>
      </c>
      <c r="C36" s="53" t="s">
        <v>449</v>
      </c>
      <c r="D36" s="57"/>
      <c r="E36" s="53" t="s">
        <v>518</v>
      </c>
      <c r="F36" s="53" t="s">
        <v>829</v>
      </c>
      <c r="G36" s="66" t="s">
        <v>450</v>
      </c>
      <c r="H36" s="58" t="s">
        <v>319</v>
      </c>
    </row>
    <row r="37" spans="1:8" ht="25.5">
      <c r="A37" s="53" t="s">
        <v>451</v>
      </c>
      <c r="B37" s="55" t="s">
        <v>452</v>
      </c>
      <c r="C37" s="53" t="s">
        <v>453</v>
      </c>
      <c r="D37" s="56" t="s">
        <v>454</v>
      </c>
      <c r="E37" s="53" t="s">
        <v>455</v>
      </c>
      <c r="F37" s="53" t="s">
        <v>830</v>
      </c>
      <c r="G37" s="66" t="s">
        <v>544</v>
      </c>
      <c r="H37" s="58" t="s">
        <v>338</v>
      </c>
    </row>
    <row r="38" spans="1:8" ht="25.5">
      <c r="A38" s="53" t="s">
        <v>456</v>
      </c>
      <c r="B38" s="55" t="s">
        <v>457</v>
      </c>
      <c r="C38" s="53" t="s">
        <v>458</v>
      </c>
      <c r="D38" s="56" t="s">
        <v>379</v>
      </c>
      <c r="E38" s="53" t="s">
        <v>505</v>
      </c>
      <c r="F38" s="53" t="s">
        <v>812</v>
      </c>
      <c r="G38" s="66" t="s">
        <v>532</v>
      </c>
      <c r="H38" s="58" t="s">
        <v>338</v>
      </c>
    </row>
    <row r="39" spans="1:8" ht="25.5">
      <c r="A39" s="53" t="s">
        <v>459</v>
      </c>
      <c r="B39" s="55" t="s">
        <v>460</v>
      </c>
      <c r="C39" s="53" t="s">
        <v>461</v>
      </c>
      <c r="D39" s="57"/>
      <c r="E39" s="53" t="s">
        <v>462</v>
      </c>
      <c r="F39" s="53" t="s">
        <v>831</v>
      </c>
      <c r="G39" s="66" t="s">
        <v>463</v>
      </c>
      <c r="H39" s="58" t="s">
        <v>338</v>
      </c>
    </row>
    <row r="40" spans="1:8" ht="25.5">
      <c r="A40" s="53" t="s">
        <v>464</v>
      </c>
      <c r="B40" s="55" t="s">
        <v>465</v>
      </c>
      <c r="C40" s="53" t="s">
        <v>466</v>
      </c>
      <c r="D40" s="66" t="s">
        <v>546</v>
      </c>
      <c r="E40" s="53" t="s">
        <v>467</v>
      </c>
      <c r="F40" s="53" t="s">
        <v>832</v>
      </c>
      <c r="G40" s="66" t="s">
        <v>545</v>
      </c>
      <c r="H40" s="58" t="s">
        <v>338</v>
      </c>
    </row>
    <row r="41" spans="1:8" ht="38.25">
      <c r="A41" s="53" t="s">
        <v>468</v>
      </c>
      <c r="B41" s="55" t="s">
        <v>469</v>
      </c>
      <c r="C41" s="53" t="s">
        <v>522</v>
      </c>
      <c r="D41" s="56" t="s">
        <v>470</v>
      </c>
      <c r="E41" s="53" t="s">
        <v>437</v>
      </c>
      <c r="F41" s="53" t="s">
        <v>826</v>
      </c>
      <c r="G41" s="66" t="s">
        <v>542</v>
      </c>
      <c r="H41" s="58" t="s">
        <v>338</v>
      </c>
    </row>
    <row r="42" spans="1:8" ht="25.5">
      <c r="A42" s="53" t="s">
        <v>471</v>
      </c>
      <c r="B42" s="55" t="s">
        <v>472</v>
      </c>
      <c r="C42" s="53" t="s">
        <v>473</v>
      </c>
      <c r="D42" s="56" t="s">
        <v>474</v>
      </c>
      <c r="E42" s="53" t="s">
        <v>475</v>
      </c>
      <c r="F42" s="53" t="s">
        <v>833</v>
      </c>
      <c r="G42" s="66" t="s">
        <v>547</v>
      </c>
      <c r="H42" s="58" t="s">
        <v>338</v>
      </c>
    </row>
    <row r="43" spans="1:8" ht="25.5">
      <c r="A43" s="53" t="s">
        <v>479</v>
      </c>
      <c r="B43" s="55" t="s">
        <v>480</v>
      </c>
      <c r="C43" s="53" t="s">
        <v>481</v>
      </c>
      <c r="D43" s="56" t="s">
        <v>482</v>
      </c>
      <c r="E43" s="53" t="s">
        <v>520</v>
      </c>
      <c r="F43" s="53" t="s">
        <v>835</v>
      </c>
      <c r="G43" s="66" t="s">
        <v>548</v>
      </c>
      <c r="H43" s="58" t="s">
        <v>319</v>
      </c>
    </row>
    <row r="44" spans="1:8" ht="25.5">
      <c r="A44" s="53" t="s">
        <v>18</v>
      </c>
      <c r="B44" s="55" t="s">
        <v>483</v>
      </c>
      <c r="C44" s="53" t="s">
        <v>484</v>
      </c>
      <c r="D44" s="56" t="s">
        <v>485</v>
      </c>
      <c r="E44" s="53" t="s">
        <v>521</v>
      </c>
      <c r="F44" s="53" t="s">
        <v>836</v>
      </c>
      <c r="G44" s="66" t="s">
        <v>549</v>
      </c>
      <c r="H44" s="58" t="s">
        <v>338</v>
      </c>
    </row>
    <row r="45" spans="1:8" ht="25.5">
      <c r="A45" s="53" t="s">
        <v>486</v>
      </c>
      <c r="B45" s="55" t="s">
        <v>487</v>
      </c>
      <c r="C45" s="53" t="s">
        <v>488</v>
      </c>
      <c r="D45" s="56" t="s">
        <v>489</v>
      </c>
      <c r="E45" s="53" t="s">
        <v>490</v>
      </c>
      <c r="F45" s="53" t="s">
        <v>837</v>
      </c>
      <c r="G45" s="66" t="s">
        <v>550</v>
      </c>
      <c r="H45" s="58" t="s">
        <v>319</v>
      </c>
    </row>
    <row r="46" spans="1:8" ht="25.5">
      <c r="A46" s="53" t="s">
        <v>847</v>
      </c>
      <c r="B46" s="55" t="s">
        <v>395</v>
      </c>
      <c r="C46" s="53" t="s">
        <v>396</v>
      </c>
      <c r="D46" s="56" t="s">
        <v>397</v>
      </c>
      <c r="E46" s="53" t="s">
        <v>398</v>
      </c>
      <c r="F46" s="53" t="s">
        <v>839</v>
      </c>
      <c r="G46" s="66" t="s">
        <v>537</v>
      </c>
      <c r="H46" s="58" t="s">
        <v>319</v>
      </c>
    </row>
    <row r="47" spans="1:8" ht="25.5">
      <c r="A47" s="53" t="s">
        <v>491</v>
      </c>
      <c r="B47" s="55" t="s">
        <v>492</v>
      </c>
      <c r="C47" s="53" t="s">
        <v>493</v>
      </c>
      <c r="D47" s="56" t="s">
        <v>494</v>
      </c>
      <c r="E47" s="53" t="s">
        <v>495</v>
      </c>
      <c r="F47" s="53" t="s">
        <v>838</v>
      </c>
      <c r="G47" s="66" t="s">
        <v>496</v>
      </c>
      <c r="H47" s="58" t="s">
        <v>319</v>
      </c>
    </row>
  </sheetData>
  <sortState ref="A2:H48">
    <sortCondition ref="A2:A48"/>
  </sortState>
  <hyperlinks>
    <hyperlink ref="D26" r:id="rId1"/>
    <hyperlink ref="D5" r:id="rId2"/>
    <hyperlink ref="D2" r:id="rId3"/>
    <hyperlink ref="D3" r:id="rId4"/>
    <hyperlink ref="D4" r:id="rId5"/>
    <hyperlink ref="D6" r:id="rId6"/>
    <hyperlink ref="D7" r:id="rId7"/>
    <hyperlink ref="D8" r:id="rId8"/>
    <hyperlink ref="D10" r:id="rId9"/>
    <hyperlink ref="D11" r:id="rId10"/>
    <hyperlink ref="D13" r:id="rId11"/>
    <hyperlink ref="D14" r:id="rId12"/>
    <hyperlink ref="D15" r:id="rId13"/>
    <hyperlink ref="D17" r:id="rId14"/>
    <hyperlink ref="D18" r:id="rId15"/>
    <hyperlink ref="D19" r:id="rId16"/>
    <hyperlink ref="D20" r:id="rId17"/>
    <hyperlink ref="D46" r:id="rId18"/>
    <hyperlink ref="D23" r:id="rId19"/>
    <hyperlink ref="D27" r:id="rId20"/>
    <hyperlink ref="D34" r:id="rId21"/>
    <hyperlink ref="D37" r:id="rId22"/>
    <hyperlink ref="D38" r:id="rId23"/>
    <hyperlink ref="D41" r:id="rId24"/>
    <hyperlink ref="D42" r:id="rId25"/>
    <hyperlink ref="D43" r:id="rId26"/>
    <hyperlink ref="D44" r:id="rId27"/>
    <hyperlink ref="D45" r:id="rId28"/>
    <hyperlink ref="D47" r:id="rId29"/>
    <hyperlink ref="G4" r:id="rId30"/>
    <hyperlink ref="G19" r:id="rId31"/>
    <hyperlink ref="G32" r:id="rId32"/>
    <hyperlink ref="G2" r:id="rId33"/>
    <hyperlink ref="G3" r:id="rId34"/>
    <hyperlink ref="G5" r:id="rId35"/>
    <hyperlink ref="G6" r:id="rId36"/>
    <hyperlink ref="G7" r:id="rId37"/>
    <hyperlink ref="G8" r:id="rId38"/>
    <hyperlink ref="G9" r:id="rId39"/>
    <hyperlink ref="G10" r:id="rId40"/>
    <hyperlink ref="G11" r:id="rId41"/>
    <hyperlink ref="G12" r:id="rId42"/>
    <hyperlink ref="G13" r:id="rId43"/>
    <hyperlink ref="G14" r:id="rId44"/>
    <hyperlink ref="G15" r:id="rId45"/>
    <hyperlink ref="G16" r:id="rId46"/>
    <hyperlink ref="G17" r:id="rId47"/>
    <hyperlink ref="G18" r:id="rId48"/>
    <hyperlink ref="G20" r:id="rId49"/>
    <hyperlink ref="G21" r:id="rId50"/>
    <hyperlink ref="G22" r:id="rId51"/>
    <hyperlink ref="G46" r:id="rId52"/>
    <hyperlink ref="G23" r:id="rId53"/>
    <hyperlink ref="G24" r:id="rId54"/>
    <hyperlink ref="G25" r:id="rId55"/>
    <hyperlink ref="G26" r:id="rId56"/>
    <hyperlink ref="G27" r:id="rId57"/>
    <hyperlink ref="G29" r:id="rId58"/>
    <hyperlink ref="G30" r:id="rId59"/>
    <hyperlink ref="G31" r:id="rId60"/>
    <hyperlink ref="G33" r:id="rId61"/>
    <hyperlink ref="G34" r:id="rId62"/>
    <hyperlink ref="G35" r:id="rId63"/>
    <hyperlink ref="G36" r:id="rId64"/>
    <hyperlink ref="G37" r:id="rId65"/>
    <hyperlink ref="G38" r:id="rId66"/>
    <hyperlink ref="G39" r:id="rId67"/>
    <hyperlink ref="G40" r:id="rId68"/>
    <hyperlink ref="D40" r:id="rId69"/>
    <hyperlink ref="G41" r:id="rId70"/>
    <hyperlink ref="G42" r:id="rId71"/>
    <hyperlink ref="G43" r:id="rId72"/>
    <hyperlink ref="G44" r:id="rId73"/>
    <hyperlink ref="G45" r:id="rId74"/>
    <hyperlink ref="G47" r:id="rId75"/>
    <hyperlink ref="D28" r:id="rId76"/>
    <hyperlink ref="G28" r:id="rId77"/>
  </hyperlinks>
  <pageMargins left="0.7" right="0.7" top="0.75" bottom="0.75" header="0.3" footer="0.3"/>
  <pageSetup orientation="portrait" r:id="rId78"/>
</worksheet>
</file>

<file path=xl/worksheets/sheet3.xml><?xml version="1.0" encoding="utf-8"?>
<worksheet xmlns="http://schemas.openxmlformats.org/spreadsheetml/2006/main" xmlns:r="http://schemas.openxmlformats.org/officeDocument/2006/relationships">
  <sheetPr codeName="Sheet3"/>
  <dimension ref="A1:J2547"/>
  <sheetViews>
    <sheetView workbookViewId="0">
      <pane ySplit="1" topLeftCell="A2" activePane="bottomLeft" state="frozen"/>
      <selection pane="bottomLeft" activeCell="L1880" sqref="L1880"/>
    </sheetView>
  </sheetViews>
  <sheetFormatPr defaultRowHeight="12.75"/>
  <cols>
    <col min="1" max="1" width="8.28515625" style="6" customWidth="1"/>
    <col min="2" max="2" width="11.85546875" style="6" customWidth="1"/>
    <col min="3" max="3" width="8.28515625" style="6" bestFit="1" customWidth="1"/>
    <col min="4" max="4" width="7.42578125" style="6" bestFit="1" customWidth="1"/>
    <col min="5" max="5" width="11" style="6" bestFit="1" customWidth="1"/>
    <col min="6" max="6" width="35.28515625" style="76" customWidth="1"/>
    <col min="7" max="7" width="7.140625" style="71" customWidth="1"/>
    <col min="8" max="8" width="7.28515625" style="8" bestFit="1" customWidth="1"/>
    <col min="9" max="9" width="9" style="6" bestFit="1" customWidth="1"/>
    <col min="10" max="10" width="24.7109375" style="6" customWidth="1"/>
    <col min="11" max="16384" width="9.140625" style="6"/>
  </cols>
  <sheetData>
    <row r="1" spans="1:10">
      <c r="A1" s="12" t="s">
        <v>71</v>
      </c>
      <c r="B1" s="13" t="s">
        <v>208</v>
      </c>
      <c r="C1" s="13" t="s">
        <v>65</v>
      </c>
      <c r="D1" s="13" t="s">
        <v>207</v>
      </c>
      <c r="E1" s="13" t="s">
        <v>20</v>
      </c>
      <c r="F1" s="75" t="s">
        <v>21</v>
      </c>
      <c r="G1" s="73" t="s">
        <v>22</v>
      </c>
      <c r="H1" s="14" t="s">
        <v>66</v>
      </c>
      <c r="I1" s="13" t="s">
        <v>206</v>
      </c>
      <c r="J1" s="15" t="s">
        <v>205</v>
      </c>
    </row>
    <row r="2" spans="1:10">
      <c r="A2" s="9" t="s">
        <v>25</v>
      </c>
      <c r="B2" s="2" t="s">
        <v>4</v>
      </c>
      <c r="C2" s="2">
        <v>3430</v>
      </c>
      <c r="D2" s="2">
        <v>1</v>
      </c>
      <c r="E2" s="2" t="str">
        <f>"1000009750"</f>
        <v>1000009750</v>
      </c>
      <c r="F2" s="4" t="s">
        <v>591</v>
      </c>
      <c r="G2" s="74" t="str">
        <f>"SF"</f>
        <v>SF</v>
      </c>
      <c r="H2" s="7">
        <v>0.01</v>
      </c>
      <c r="I2" s="2" t="str">
        <f>"76111501"</f>
        <v>76111501</v>
      </c>
      <c r="J2" s="10" t="s">
        <v>67</v>
      </c>
    </row>
    <row r="3" spans="1:10">
      <c r="A3" s="84"/>
      <c r="B3" s="2" t="s">
        <v>4</v>
      </c>
      <c r="C3" s="85"/>
      <c r="D3" s="85"/>
      <c r="E3" s="85" t="s">
        <v>610</v>
      </c>
      <c r="F3" s="49" t="s">
        <v>261</v>
      </c>
      <c r="G3" s="86"/>
      <c r="H3" s="87"/>
      <c r="I3" s="68">
        <v>73151500</v>
      </c>
      <c r="J3" s="99" t="s">
        <v>261</v>
      </c>
    </row>
    <row r="4" spans="1:10">
      <c r="A4" s="84"/>
      <c r="B4" s="2" t="s">
        <v>4</v>
      </c>
      <c r="C4" s="85"/>
      <c r="D4" s="85"/>
      <c r="E4" s="85" t="s">
        <v>610</v>
      </c>
      <c r="F4" s="49" t="s">
        <v>246</v>
      </c>
      <c r="G4" s="86"/>
      <c r="H4" s="87"/>
      <c r="I4" s="68">
        <v>73151600</v>
      </c>
      <c r="J4" s="99" t="s">
        <v>246</v>
      </c>
    </row>
    <row r="5" spans="1:10" ht="25.5">
      <c r="A5" s="84"/>
      <c r="B5" s="2" t="s">
        <v>4</v>
      </c>
      <c r="C5" s="85"/>
      <c r="D5" s="85"/>
      <c r="E5" s="85" t="s">
        <v>610</v>
      </c>
      <c r="F5" s="49" t="s">
        <v>262</v>
      </c>
      <c r="G5" s="86"/>
      <c r="H5" s="87"/>
      <c r="I5" s="68">
        <v>76121505</v>
      </c>
      <c r="J5" s="98" t="s">
        <v>650</v>
      </c>
    </row>
    <row r="6" spans="1:10">
      <c r="A6" s="84"/>
      <c r="B6" s="2" t="s">
        <v>4</v>
      </c>
      <c r="C6" s="85"/>
      <c r="D6" s="85"/>
      <c r="E6" s="85" t="s">
        <v>610</v>
      </c>
      <c r="F6" s="49" t="s">
        <v>243</v>
      </c>
      <c r="G6" s="86"/>
      <c r="H6" s="87"/>
      <c r="I6" s="68">
        <v>80141800</v>
      </c>
      <c r="J6" s="99" t="s">
        <v>243</v>
      </c>
    </row>
    <row r="7" spans="1:10" ht="25.5">
      <c r="A7" s="84"/>
      <c r="B7" s="2" t="s">
        <v>4</v>
      </c>
      <c r="C7" s="85"/>
      <c r="D7" s="85"/>
      <c r="E7" s="85" t="s">
        <v>610</v>
      </c>
      <c r="F7" s="49" t="s">
        <v>237</v>
      </c>
      <c r="G7" s="86"/>
      <c r="H7" s="87"/>
      <c r="I7" s="68">
        <v>82121701</v>
      </c>
      <c r="J7" s="98" t="s">
        <v>659</v>
      </c>
    </row>
    <row r="8" spans="1:10" ht="25.5">
      <c r="A8" s="36" t="s">
        <v>28</v>
      </c>
      <c r="B8" s="31" t="s">
        <v>23</v>
      </c>
      <c r="C8" s="31">
        <v>3621</v>
      </c>
      <c r="D8" s="31">
        <v>5</v>
      </c>
      <c r="E8" s="31">
        <v>1000000800</v>
      </c>
      <c r="F8" s="31" t="s">
        <v>599</v>
      </c>
      <c r="G8" s="37" t="s">
        <v>600</v>
      </c>
      <c r="H8" s="38">
        <v>3.5</v>
      </c>
      <c r="I8" s="31">
        <v>42143401</v>
      </c>
      <c r="J8" s="39" t="s">
        <v>625</v>
      </c>
    </row>
    <row r="9" spans="1:10" ht="51">
      <c r="A9" s="36" t="s">
        <v>28</v>
      </c>
      <c r="B9" s="31" t="s">
        <v>23</v>
      </c>
      <c r="C9" s="31">
        <v>3621</v>
      </c>
      <c r="D9" s="31">
        <v>4</v>
      </c>
      <c r="E9" s="31">
        <v>1000010597</v>
      </c>
      <c r="F9" s="31" t="s">
        <v>604</v>
      </c>
      <c r="G9" s="37" t="s">
        <v>600</v>
      </c>
      <c r="H9" s="78" t="s">
        <v>601</v>
      </c>
      <c r="I9" s="31">
        <v>46181507</v>
      </c>
      <c r="J9" s="39" t="s">
        <v>607</v>
      </c>
    </row>
    <row r="10" spans="1:10" ht="63.75">
      <c r="A10" s="36" t="s">
        <v>28</v>
      </c>
      <c r="B10" s="31" t="s">
        <v>23</v>
      </c>
      <c r="C10" s="31">
        <v>3621</v>
      </c>
      <c r="D10" s="31">
        <v>1</v>
      </c>
      <c r="E10" s="31">
        <v>1000029790</v>
      </c>
      <c r="F10" s="31" t="s">
        <v>598</v>
      </c>
      <c r="G10" s="37" t="s">
        <v>600</v>
      </c>
      <c r="H10" s="78" t="s">
        <v>601</v>
      </c>
      <c r="I10" s="31">
        <v>46181507</v>
      </c>
      <c r="J10" s="39" t="s">
        <v>73</v>
      </c>
    </row>
    <row r="11" spans="1:10" ht="63.75">
      <c r="A11" s="36" t="s">
        <v>28</v>
      </c>
      <c r="B11" s="31" t="s">
        <v>23</v>
      </c>
      <c r="C11" s="31">
        <v>3621</v>
      </c>
      <c r="D11" s="31">
        <v>2</v>
      </c>
      <c r="E11" s="31">
        <v>1000029791</v>
      </c>
      <c r="F11" s="31" t="s">
        <v>602</v>
      </c>
      <c r="G11" s="37" t="s">
        <v>600</v>
      </c>
      <c r="H11" s="78" t="s">
        <v>601</v>
      </c>
      <c r="I11" s="31">
        <v>46181526</v>
      </c>
      <c r="J11" s="39" t="s">
        <v>605</v>
      </c>
    </row>
    <row r="12" spans="1:10" ht="51">
      <c r="A12" s="36" t="s">
        <v>28</v>
      </c>
      <c r="B12" s="31" t="s">
        <v>23</v>
      </c>
      <c r="C12" s="31">
        <v>3621</v>
      </c>
      <c r="D12" s="31">
        <v>3</v>
      </c>
      <c r="E12" s="31">
        <v>1000029792</v>
      </c>
      <c r="F12" s="31" t="s">
        <v>603</v>
      </c>
      <c r="G12" s="37" t="s">
        <v>600</v>
      </c>
      <c r="H12" s="78" t="s">
        <v>601</v>
      </c>
      <c r="I12" s="31">
        <v>46181527</v>
      </c>
      <c r="J12" s="39" t="s">
        <v>606</v>
      </c>
    </row>
    <row r="13" spans="1:10">
      <c r="A13" s="84"/>
      <c r="B13" s="31" t="s">
        <v>23</v>
      </c>
      <c r="C13" s="85"/>
      <c r="D13" s="85"/>
      <c r="E13" s="85" t="s">
        <v>610</v>
      </c>
      <c r="F13" s="49" t="s">
        <v>254</v>
      </c>
      <c r="G13" s="86"/>
      <c r="H13" s="87"/>
      <c r="I13" s="68">
        <v>24111500</v>
      </c>
      <c r="J13" s="88" t="s">
        <v>619</v>
      </c>
    </row>
    <row r="14" spans="1:10" ht="25.5">
      <c r="A14" s="89"/>
      <c r="B14" s="31" t="s">
        <v>23</v>
      </c>
      <c r="C14" s="90"/>
      <c r="D14" s="90"/>
      <c r="E14" s="85" t="s">
        <v>610</v>
      </c>
      <c r="F14" s="49" t="s">
        <v>295</v>
      </c>
      <c r="G14" s="91"/>
      <c r="H14" s="92"/>
      <c r="I14" s="68">
        <v>42141705</v>
      </c>
      <c r="J14" s="48" t="s">
        <v>624</v>
      </c>
    </row>
    <row r="15" spans="1:10" ht="25.5">
      <c r="A15" s="89"/>
      <c r="B15" s="31" t="s">
        <v>23</v>
      </c>
      <c r="C15" s="90"/>
      <c r="D15" s="90"/>
      <c r="E15" s="85" t="s">
        <v>610</v>
      </c>
      <c r="F15" s="49" t="s">
        <v>267</v>
      </c>
      <c r="G15" s="91"/>
      <c r="H15" s="92"/>
      <c r="I15" s="68">
        <v>42251614</v>
      </c>
      <c r="J15" s="98" t="s">
        <v>628</v>
      </c>
    </row>
    <row r="16" spans="1:10">
      <c r="A16" s="84"/>
      <c r="B16" s="31" t="s">
        <v>23</v>
      </c>
      <c r="C16" s="85"/>
      <c r="D16" s="85"/>
      <c r="E16" s="85" t="s">
        <v>610</v>
      </c>
      <c r="F16" s="49" t="s">
        <v>298</v>
      </c>
      <c r="G16" s="86"/>
      <c r="H16" s="87"/>
      <c r="I16" s="68">
        <v>46181500</v>
      </c>
      <c r="J16" s="98" t="s">
        <v>631</v>
      </c>
    </row>
    <row r="17" spans="1:10">
      <c r="A17" s="84"/>
      <c r="B17" s="31" t="s">
        <v>23</v>
      </c>
      <c r="C17" s="85"/>
      <c r="D17" s="85"/>
      <c r="E17" s="85" t="s">
        <v>610</v>
      </c>
      <c r="F17" s="49" t="s">
        <v>299</v>
      </c>
      <c r="G17" s="86"/>
      <c r="H17" s="87"/>
      <c r="I17" s="68">
        <v>46181500</v>
      </c>
      <c r="J17" s="98" t="s">
        <v>631</v>
      </c>
    </row>
    <row r="18" spans="1:10">
      <c r="A18" s="89"/>
      <c r="B18" s="31" t="s">
        <v>23</v>
      </c>
      <c r="C18" s="90"/>
      <c r="D18" s="90"/>
      <c r="E18" s="85" t="s">
        <v>610</v>
      </c>
      <c r="F18" s="49" t="s">
        <v>264</v>
      </c>
      <c r="G18" s="91"/>
      <c r="H18" s="92"/>
      <c r="I18" s="68">
        <v>46181501</v>
      </c>
      <c r="J18" s="98" t="s">
        <v>632</v>
      </c>
    </row>
    <row r="19" spans="1:10">
      <c r="A19" s="89"/>
      <c r="B19" s="31" t="s">
        <v>23</v>
      </c>
      <c r="C19" s="90"/>
      <c r="D19" s="90"/>
      <c r="E19" s="85" t="s">
        <v>610</v>
      </c>
      <c r="F19" s="49" t="s">
        <v>294</v>
      </c>
      <c r="G19" s="91"/>
      <c r="H19" s="92"/>
      <c r="I19" s="68">
        <v>52121505</v>
      </c>
      <c r="J19" s="99" t="s">
        <v>294</v>
      </c>
    </row>
    <row r="20" spans="1:10">
      <c r="A20" s="89"/>
      <c r="B20" s="31" t="s">
        <v>23</v>
      </c>
      <c r="C20" s="90"/>
      <c r="D20" s="90"/>
      <c r="E20" s="85" t="s">
        <v>610</v>
      </c>
      <c r="F20" s="49" t="s">
        <v>293</v>
      </c>
      <c r="G20" s="91"/>
      <c r="H20" s="92"/>
      <c r="I20" s="68">
        <v>52121512</v>
      </c>
      <c r="J20" s="99" t="s">
        <v>293</v>
      </c>
    </row>
    <row r="21" spans="1:10">
      <c r="A21" s="84"/>
      <c r="B21" s="31" t="s">
        <v>23</v>
      </c>
      <c r="C21" s="85"/>
      <c r="D21" s="85"/>
      <c r="E21" s="85" t="s">
        <v>610</v>
      </c>
      <c r="F21" s="49" t="s">
        <v>304</v>
      </c>
      <c r="G21" s="86"/>
      <c r="H21" s="87"/>
      <c r="I21" s="68">
        <v>52121601</v>
      </c>
      <c r="J21" s="11" t="s">
        <v>637</v>
      </c>
    </row>
    <row r="22" spans="1:10">
      <c r="A22" s="84"/>
      <c r="B22" s="31" t="s">
        <v>23</v>
      </c>
      <c r="C22" s="85"/>
      <c r="D22" s="85"/>
      <c r="E22" s="85" t="s">
        <v>610</v>
      </c>
      <c r="F22" s="49" t="s">
        <v>256</v>
      </c>
      <c r="G22" s="86"/>
      <c r="H22" s="87"/>
      <c r="I22" s="68">
        <v>52121703</v>
      </c>
      <c r="J22" s="99" t="s">
        <v>256</v>
      </c>
    </row>
    <row r="23" spans="1:10" ht="25.5">
      <c r="A23" s="9" t="s">
        <v>27</v>
      </c>
      <c r="B23" s="2" t="s">
        <v>325</v>
      </c>
      <c r="C23" s="2">
        <v>2524</v>
      </c>
      <c r="D23" s="2">
        <v>16</v>
      </c>
      <c r="E23" s="2" t="str">
        <f>"1000008974"</f>
        <v>1000008974</v>
      </c>
      <c r="F23" s="4" t="str">
        <f>"SHIPPING: General Charges"</f>
        <v>SHIPPING: General Charges</v>
      </c>
      <c r="G23" s="74" t="str">
        <f t="shared" ref="G23:G86" si="0">"EA"</f>
        <v>EA</v>
      </c>
      <c r="H23" s="7">
        <v>0.01</v>
      </c>
      <c r="I23" s="2" t="str">
        <f>"78121603"</f>
        <v>78121603</v>
      </c>
      <c r="J23" s="10" t="s">
        <v>75</v>
      </c>
    </row>
    <row r="24" spans="1:10" ht="25.5">
      <c r="A24" s="9" t="s">
        <v>27</v>
      </c>
      <c r="B24" s="2" t="s">
        <v>325</v>
      </c>
      <c r="C24" s="2">
        <v>3201</v>
      </c>
      <c r="D24" s="2">
        <v>15</v>
      </c>
      <c r="E24" s="2" t="str">
        <f>"1000013305"</f>
        <v>1000013305</v>
      </c>
      <c r="F24" s="4" t="str">
        <f>"BINDERS:Wht, 0.5 size, O ring, 120pt-Maxtile solid construction"</f>
        <v>BINDERS:Wht, 0.5 size, O ring, 120pt-Maxtile solid construction</v>
      </c>
      <c r="G24" s="74" t="str">
        <f t="shared" si="0"/>
        <v>EA</v>
      </c>
      <c r="H24" s="7">
        <v>2.9</v>
      </c>
      <c r="I24" s="2" t="str">
        <f t="shared" ref="I24:I87" si="1">"44122003"</f>
        <v>44122003</v>
      </c>
      <c r="J24" s="10" t="s">
        <v>76</v>
      </c>
    </row>
    <row r="25" spans="1:10" ht="25.5">
      <c r="A25" s="9" t="s">
        <v>27</v>
      </c>
      <c r="B25" s="2" t="s">
        <v>325</v>
      </c>
      <c r="C25" s="2">
        <v>3201</v>
      </c>
      <c r="D25" s="2">
        <v>16</v>
      </c>
      <c r="E25" s="2" t="str">
        <f>"1000013306"</f>
        <v>1000013306</v>
      </c>
      <c r="F25" s="4" t="str">
        <f>"BINDERS:Lt Gry, 0.5 size, O ring, 120pt-Maxtile solid construction"</f>
        <v>BINDERS:Lt Gry, 0.5 size, O ring, 120pt-Maxtile solid construction</v>
      </c>
      <c r="G25" s="74" t="str">
        <f t="shared" si="0"/>
        <v>EA</v>
      </c>
      <c r="H25" s="7">
        <v>2.9</v>
      </c>
      <c r="I25" s="2" t="str">
        <f t="shared" si="1"/>
        <v>44122003</v>
      </c>
      <c r="J25" s="10" t="s">
        <v>76</v>
      </c>
    </row>
    <row r="26" spans="1:10" ht="25.5">
      <c r="A26" s="9" t="s">
        <v>27</v>
      </c>
      <c r="B26" s="2" t="s">
        <v>325</v>
      </c>
      <c r="C26" s="2">
        <v>3201</v>
      </c>
      <c r="D26" s="2">
        <v>17</v>
      </c>
      <c r="E26" s="2" t="str">
        <f>"1000013307"</f>
        <v>1000013307</v>
      </c>
      <c r="F26" s="4" t="str">
        <f>"BINDERS:Orng, 0.5 size, O ring, 120pt-Maxtile solid construction"</f>
        <v>BINDERS:Orng, 0.5 size, O ring, 120pt-Maxtile solid construction</v>
      </c>
      <c r="G26" s="74" t="str">
        <f t="shared" si="0"/>
        <v>EA</v>
      </c>
      <c r="H26" s="7">
        <v>2.9</v>
      </c>
      <c r="I26" s="2" t="str">
        <f t="shared" si="1"/>
        <v>44122003</v>
      </c>
      <c r="J26" s="10" t="s">
        <v>76</v>
      </c>
    </row>
    <row r="27" spans="1:10" ht="25.5">
      <c r="A27" s="9" t="s">
        <v>27</v>
      </c>
      <c r="B27" s="2" t="s">
        <v>325</v>
      </c>
      <c r="C27" s="2">
        <v>3201</v>
      </c>
      <c r="D27" s="2">
        <v>18</v>
      </c>
      <c r="E27" s="2" t="str">
        <f>"1000013308"</f>
        <v>1000013308</v>
      </c>
      <c r="F27" s="4" t="str">
        <f>"BINDERS:Yel, 0.5 size, O ring, 120pt-Maxtile solid construction"</f>
        <v>BINDERS:Yel, 0.5 size, O ring, 120pt-Maxtile solid construction</v>
      </c>
      <c r="G27" s="74" t="str">
        <f t="shared" si="0"/>
        <v>EA</v>
      </c>
      <c r="H27" s="7">
        <v>2.9</v>
      </c>
      <c r="I27" s="2" t="str">
        <f t="shared" si="1"/>
        <v>44122003</v>
      </c>
      <c r="J27" s="10" t="s">
        <v>76</v>
      </c>
    </row>
    <row r="28" spans="1:10" ht="25.5">
      <c r="A28" s="9" t="s">
        <v>27</v>
      </c>
      <c r="B28" s="2" t="s">
        <v>325</v>
      </c>
      <c r="C28" s="2">
        <v>3201</v>
      </c>
      <c r="D28" s="2">
        <v>19</v>
      </c>
      <c r="E28" s="2" t="str">
        <f>"1000013309"</f>
        <v>1000013309</v>
      </c>
      <c r="F28" s="4" t="str">
        <f>"BINDERS:Grn, 0.5 size, O ring, 120pt-Maxtile solid construction"</f>
        <v>BINDERS:Grn, 0.5 size, O ring, 120pt-Maxtile solid construction</v>
      </c>
      <c r="G28" s="74" t="str">
        <f t="shared" si="0"/>
        <v>EA</v>
      </c>
      <c r="H28" s="7">
        <v>2.9</v>
      </c>
      <c r="I28" s="2" t="str">
        <f t="shared" si="1"/>
        <v>44122003</v>
      </c>
      <c r="J28" s="10" t="s">
        <v>76</v>
      </c>
    </row>
    <row r="29" spans="1:10" ht="38.25">
      <c r="A29" s="9" t="s">
        <v>27</v>
      </c>
      <c r="B29" s="2" t="s">
        <v>325</v>
      </c>
      <c r="C29" s="2">
        <v>3201</v>
      </c>
      <c r="D29" s="2">
        <v>22</v>
      </c>
      <c r="E29" s="2" t="str">
        <f>"1000013310"</f>
        <v>1000013310</v>
      </c>
      <c r="F29" s="4" t="str">
        <f>"BINDERS:Blk, 0.5, clear view overlay front/back/spine, O ring, 120pt-Maxtile solid construction"</f>
        <v>BINDERS:Blk, 0.5, clear view overlay front/back/spine, O ring, 120pt-Maxtile solid construction</v>
      </c>
      <c r="G29" s="74" t="str">
        <f t="shared" si="0"/>
        <v>EA</v>
      </c>
      <c r="H29" s="7">
        <v>3.42</v>
      </c>
      <c r="I29" s="2" t="str">
        <f t="shared" si="1"/>
        <v>44122003</v>
      </c>
      <c r="J29" s="10" t="s">
        <v>76</v>
      </c>
    </row>
    <row r="30" spans="1:10" ht="38.25">
      <c r="A30" s="9" t="s">
        <v>27</v>
      </c>
      <c r="B30" s="2" t="s">
        <v>325</v>
      </c>
      <c r="C30" s="2">
        <v>3201</v>
      </c>
      <c r="D30" s="2">
        <v>23</v>
      </c>
      <c r="E30" s="2" t="str">
        <f>"1000013311"</f>
        <v>1000013311</v>
      </c>
      <c r="F30" s="4" t="str">
        <f>"BINDERS:Royl Blu, 0.5, clear view overlay front/back/spine, 120pt-Maxtile solid construction"</f>
        <v>BINDERS:Royl Blu, 0.5, clear view overlay front/back/spine, 120pt-Maxtile solid construction</v>
      </c>
      <c r="G30" s="74" t="str">
        <f t="shared" si="0"/>
        <v>EA</v>
      </c>
      <c r="H30" s="7">
        <v>3.42</v>
      </c>
      <c r="I30" s="2" t="str">
        <f t="shared" si="1"/>
        <v>44122003</v>
      </c>
      <c r="J30" s="10" t="s">
        <v>76</v>
      </c>
    </row>
    <row r="31" spans="1:10" ht="38.25">
      <c r="A31" s="9" t="s">
        <v>27</v>
      </c>
      <c r="B31" s="2" t="s">
        <v>325</v>
      </c>
      <c r="C31" s="2">
        <v>3201</v>
      </c>
      <c r="D31" s="2">
        <v>24</v>
      </c>
      <c r="E31" s="2" t="str">
        <f>"1000013312"</f>
        <v>1000013312</v>
      </c>
      <c r="F31" s="4" t="str">
        <f>"BINDERS:Red, 0.5, clear view overlay front/back/spine, O ring, 120pt-Maxtile solid construction"</f>
        <v>BINDERS:Red, 0.5, clear view overlay front/back/spine, O ring, 120pt-Maxtile solid construction</v>
      </c>
      <c r="G31" s="74" t="str">
        <f t="shared" si="0"/>
        <v>EA</v>
      </c>
      <c r="H31" s="7">
        <v>3.42</v>
      </c>
      <c r="I31" s="2" t="str">
        <f t="shared" si="1"/>
        <v>44122003</v>
      </c>
      <c r="J31" s="10" t="s">
        <v>76</v>
      </c>
    </row>
    <row r="32" spans="1:10" ht="38.25">
      <c r="A32" s="9" t="s">
        <v>27</v>
      </c>
      <c r="B32" s="2" t="s">
        <v>325</v>
      </c>
      <c r="C32" s="2">
        <v>3201</v>
      </c>
      <c r="D32" s="2">
        <v>25</v>
      </c>
      <c r="E32" s="2" t="str">
        <f>"1000013313"</f>
        <v>1000013313</v>
      </c>
      <c r="F32" s="4" t="str">
        <f>"BINDERS:Wht, 0.5, clear view overlay front/back/spine, 120pt-Maxtile solid construction"</f>
        <v>BINDERS:Wht, 0.5, clear view overlay front/back/spine, 120pt-Maxtile solid construction</v>
      </c>
      <c r="G32" s="74" t="str">
        <f t="shared" si="0"/>
        <v>EA</v>
      </c>
      <c r="H32" s="7">
        <v>3.42</v>
      </c>
      <c r="I32" s="2" t="str">
        <f t="shared" si="1"/>
        <v>44122003</v>
      </c>
      <c r="J32" s="10" t="s">
        <v>76</v>
      </c>
    </row>
    <row r="33" spans="1:10" ht="38.25">
      <c r="A33" s="9" t="s">
        <v>27</v>
      </c>
      <c r="B33" s="2" t="s">
        <v>325</v>
      </c>
      <c r="C33" s="2">
        <v>3201</v>
      </c>
      <c r="D33" s="2">
        <v>26</v>
      </c>
      <c r="E33" s="2" t="str">
        <f>"1000013314"</f>
        <v>1000013314</v>
      </c>
      <c r="F33" s="4" t="str">
        <f>"BINDERS:Lt Gry, 0.5, clear view overlay front/back/spine, O ring, 120pt-Maxtile solid construction"</f>
        <v>BINDERS:Lt Gry, 0.5, clear view overlay front/back/spine, O ring, 120pt-Maxtile solid construction</v>
      </c>
      <c r="G33" s="74" t="str">
        <f t="shared" si="0"/>
        <v>EA</v>
      </c>
      <c r="H33" s="7">
        <v>3.42</v>
      </c>
      <c r="I33" s="2" t="str">
        <f t="shared" si="1"/>
        <v>44122003</v>
      </c>
      <c r="J33" s="10" t="s">
        <v>76</v>
      </c>
    </row>
    <row r="34" spans="1:10" ht="38.25">
      <c r="A34" s="9" t="s">
        <v>27</v>
      </c>
      <c r="B34" s="2" t="s">
        <v>325</v>
      </c>
      <c r="C34" s="2">
        <v>3201</v>
      </c>
      <c r="D34" s="2">
        <v>27</v>
      </c>
      <c r="E34" s="2" t="str">
        <f>"1000013315"</f>
        <v>1000013315</v>
      </c>
      <c r="F34" s="4" t="str">
        <f>"BINDERS:Orng, 0.5, clear view overlay front/back/spine, O ring, 120pt-Maxtile solid construction"</f>
        <v>BINDERS:Orng, 0.5, clear view overlay front/back/spine, O ring, 120pt-Maxtile solid construction</v>
      </c>
      <c r="G34" s="74" t="str">
        <f t="shared" si="0"/>
        <v>EA</v>
      </c>
      <c r="H34" s="7">
        <v>3.42</v>
      </c>
      <c r="I34" s="2" t="str">
        <f t="shared" si="1"/>
        <v>44122003</v>
      </c>
      <c r="J34" s="10" t="s">
        <v>76</v>
      </c>
    </row>
    <row r="35" spans="1:10" ht="38.25">
      <c r="A35" s="9" t="s">
        <v>27</v>
      </c>
      <c r="B35" s="2" t="s">
        <v>325</v>
      </c>
      <c r="C35" s="2">
        <v>3201</v>
      </c>
      <c r="D35" s="2">
        <v>28</v>
      </c>
      <c r="E35" s="2" t="str">
        <f>"1000013316"</f>
        <v>1000013316</v>
      </c>
      <c r="F35" s="4" t="str">
        <f>"BINDERS:Yel, 0.5, clear view overlay front/back/spine, O ring, 120pt-Maxtile solid construction"</f>
        <v>BINDERS:Yel, 0.5, clear view overlay front/back/spine, O ring, 120pt-Maxtile solid construction</v>
      </c>
      <c r="G35" s="74" t="str">
        <f t="shared" si="0"/>
        <v>EA</v>
      </c>
      <c r="H35" s="7">
        <v>3.42</v>
      </c>
      <c r="I35" s="2" t="str">
        <f t="shared" si="1"/>
        <v>44122003</v>
      </c>
      <c r="J35" s="10" t="s">
        <v>76</v>
      </c>
    </row>
    <row r="36" spans="1:10" ht="38.25">
      <c r="A36" s="9" t="s">
        <v>27</v>
      </c>
      <c r="B36" s="2" t="s">
        <v>325</v>
      </c>
      <c r="C36" s="2">
        <v>3201</v>
      </c>
      <c r="D36" s="2">
        <v>29</v>
      </c>
      <c r="E36" s="2" t="str">
        <f>"1000013317"</f>
        <v>1000013317</v>
      </c>
      <c r="F36" s="4" t="str">
        <f>"BINDERS:Grn, 0.5, clear view overlay front/back/spine, O ring, 120pt-Maxtile solid construction"</f>
        <v>BINDERS:Grn, 0.5, clear view overlay front/back/spine, O ring, 120pt-Maxtile solid construction</v>
      </c>
      <c r="G36" s="74" t="str">
        <f t="shared" si="0"/>
        <v>EA</v>
      </c>
      <c r="H36" s="7">
        <v>3.42</v>
      </c>
      <c r="I36" s="2" t="str">
        <f t="shared" si="1"/>
        <v>44122003</v>
      </c>
      <c r="J36" s="10" t="s">
        <v>76</v>
      </c>
    </row>
    <row r="37" spans="1:10" ht="38.25">
      <c r="A37" s="9" t="s">
        <v>27</v>
      </c>
      <c r="B37" s="2" t="s">
        <v>325</v>
      </c>
      <c r="C37" s="2">
        <v>3201</v>
      </c>
      <c r="D37" s="2">
        <v>30</v>
      </c>
      <c r="E37" s="2" t="str">
        <f>"1000013318"</f>
        <v>1000013318</v>
      </c>
      <c r="F37" s="4" t="str">
        <f>"BINDERS:Burg, 0.5, clear view overlay front/back/spine, O ring, 120pt-Maxtile solid construction"</f>
        <v>BINDERS:Burg, 0.5, clear view overlay front/back/spine, O ring, 120pt-Maxtile solid construction</v>
      </c>
      <c r="G37" s="74" t="str">
        <f t="shared" si="0"/>
        <v>EA</v>
      </c>
      <c r="H37" s="7">
        <v>3.42</v>
      </c>
      <c r="I37" s="2" t="str">
        <f t="shared" si="1"/>
        <v>44122003</v>
      </c>
      <c r="J37" s="10" t="s">
        <v>76</v>
      </c>
    </row>
    <row r="38" spans="1:10" ht="38.25">
      <c r="A38" s="9" t="s">
        <v>27</v>
      </c>
      <c r="B38" s="2" t="s">
        <v>325</v>
      </c>
      <c r="C38" s="2">
        <v>3201</v>
      </c>
      <c r="D38" s="2">
        <v>31</v>
      </c>
      <c r="E38" s="2" t="str">
        <f>"1000013319"</f>
        <v>1000013319</v>
      </c>
      <c r="F38" s="4" t="str">
        <f>"BINDERS:Navy, 0.5, clear view overlay front/back/spine, O ring, 120pt-Maxtile solid construction"</f>
        <v>BINDERS:Navy, 0.5, clear view overlay front/back/spine, O ring, 120pt-Maxtile solid construction</v>
      </c>
      <c r="G38" s="74" t="str">
        <f t="shared" si="0"/>
        <v>EA</v>
      </c>
      <c r="H38" s="7">
        <v>3.42</v>
      </c>
      <c r="I38" s="2" t="str">
        <f t="shared" si="1"/>
        <v>44122003</v>
      </c>
      <c r="J38" s="10" t="s">
        <v>76</v>
      </c>
    </row>
    <row r="39" spans="1:10" ht="25.5">
      <c r="A39" s="9" t="s">
        <v>27</v>
      </c>
      <c r="B39" s="2" t="s">
        <v>325</v>
      </c>
      <c r="C39" s="2">
        <v>3201</v>
      </c>
      <c r="D39" s="2">
        <v>32</v>
      </c>
      <c r="E39" s="2" t="str">
        <f>"1000013320"</f>
        <v>1000013320</v>
      </c>
      <c r="F39" s="4" t="str">
        <f>"BINDERS:Blk, 1 size, O ring, 120pt-Maxtile solid construction"</f>
        <v>BINDERS:Blk, 1 size, O ring, 120pt-Maxtile solid construction</v>
      </c>
      <c r="G39" s="74" t="str">
        <f t="shared" si="0"/>
        <v>EA</v>
      </c>
      <c r="H39" s="7">
        <v>3.35</v>
      </c>
      <c r="I39" s="2" t="str">
        <f t="shared" si="1"/>
        <v>44122003</v>
      </c>
      <c r="J39" s="10" t="s">
        <v>76</v>
      </c>
    </row>
    <row r="40" spans="1:10" ht="25.5">
      <c r="A40" s="9" t="s">
        <v>27</v>
      </c>
      <c r="B40" s="2" t="s">
        <v>325</v>
      </c>
      <c r="C40" s="2">
        <v>3201</v>
      </c>
      <c r="D40" s="2">
        <v>33</v>
      </c>
      <c r="E40" s="2" t="str">
        <f>"1000013321"</f>
        <v>1000013321</v>
      </c>
      <c r="F40" s="4" t="str">
        <f>"BINDERS:Royl Blu, 1 size, O ring, 120pt-Maxtile solid construction"</f>
        <v>BINDERS:Royl Blu, 1 size, O ring, 120pt-Maxtile solid construction</v>
      </c>
      <c r="G40" s="74" t="str">
        <f t="shared" si="0"/>
        <v>EA</v>
      </c>
      <c r="H40" s="7">
        <v>3.35</v>
      </c>
      <c r="I40" s="2" t="str">
        <f t="shared" si="1"/>
        <v>44122003</v>
      </c>
      <c r="J40" s="10" t="s">
        <v>76</v>
      </c>
    </row>
    <row r="41" spans="1:10" ht="25.5">
      <c r="A41" s="9" t="s">
        <v>27</v>
      </c>
      <c r="B41" s="2" t="s">
        <v>325</v>
      </c>
      <c r="C41" s="2">
        <v>3201</v>
      </c>
      <c r="D41" s="2">
        <v>13</v>
      </c>
      <c r="E41" s="2" t="str">
        <f>"1000013322"</f>
        <v>1000013322</v>
      </c>
      <c r="F41" s="4" t="str">
        <f>"BINDERS:Blk, 0.5 size, O ring, 120pt-Maxtile solid construction"</f>
        <v>BINDERS:Blk, 0.5 size, O ring, 120pt-Maxtile solid construction</v>
      </c>
      <c r="G41" s="74" t="str">
        <f t="shared" si="0"/>
        <v>EA</v>
      </c>
      <c r="H41" s="7">
        <v>2.9</v>
      </c>
      <c r="I41" s="2" t="str">
        <f t="shared" si="1"/>
        <v>44122003</v>
      </c>
      <c r="J41" s="10" t="s">
        <v>76</v>
      </c>
    </row>
    <row r="42" spans="1:10" ht="25.5">
      <c r="A42" s="9" t="s">
        <v>27</v>
      </c>
      <c r="B42" s="2" t="s">
        <v>325</v>
      </c>
      <c r="C42" s="2">
        <v>3201</v>
      </c>
      <c r="D42" s="2">
        <v>14</v>
      </c>
      <c r="E42" s="2" t="str">
        <f>"1000013323"</f>
        <v>1000013323</v>
      </c>
      <c r="F42" s="4" t="str">
        <f>"BINDERS:Royl Blu, 0.5 size, O ring, 120pt-Maxtile solid construction"</f>
        <v>BINDERS:Royl Blu, 0.5 size, O ring, 120pt-Maxtile solid construction</v>
      </c>
      <c r="G42" s="74" t="str">
        <f t="shared" si="0"/>
        <v>EA</v>
      </c>
      <c r="H42" s="7">
        <v>2.9</v>
      </c>
      <c r="I42" s="2" t="str">
        <f t="shared" si="1"/>
        <v>44122003</v>
      </c>
      <c r="J42" s="10" t="s">
        <v>76</v>
      </c>
    </row>
    <row r="43" spans="1:10" ht="25.5">
      <c r="A43" s="9" t="s">
        <v>27</v>
      </c>
      <c r="B43" s="2" t="s">
        <v>325</v>
      </c>
      <c r="C43" s="2">
        <v>3201</v>
      </c>
      <c r="D43" s="2">
        <v>36</v>
      </c>
      <c r="E43" s="2" t="str">
        <f>"1000013324"</f>
        <v>1000013324</v>
      </c>
      <c r="F43" s="4" t="str">
        <f>"BINDERS:Lt Gry, 1 size, O ring, 120pt-Maxtile solid construction"</f>
        <v>BINDERS:Lt Gry, 1 size, O ring, 120pt-Maxtile solid construction</v>
      </c>
      <c r="G43" s="74" t="str">
        <f t="shared" si="0"/>
        <v>EA</v>
      </c>
      <c r="H43" s="7">
        <v>3.35</v>
      </c>
      <c r="I43" s="2" t="str">
        <f t="shared" si="1"/>
        <v>44122003</v>
      </c>
      <c r="J43" s="10" t="s">
        <v>76</v>
      </c>
    </row>
    <row r="44" spans="1:10" ht="25.5">
      <c r="A44" s="9" t="s">
        <v>27</v>
      </c>
      <c r="B44" s="2" t="s">
        <v>325</v>
      </c>
      <c r="C44" s="2">
        <v>3201</v>
      </c>
      <c r="D44" s="2">
        <v>37</v>
      </c>
      <c r="E44" s="2" t="str">
        <f>"1000013325"</f>
        <v>1000013325</v>
      </c>
      <c r="F44" s="4" t="str">
        <f>"BINDERS:Orng, 1 size, O ring, 120pt-Maxtile solid construction"</f>
        <v>BINDERS:Orng, 1 size, O ring, 120pt-Maxtile solid construction</v>
      </c>
      <c r="G44" s="74" t="str">
        <f t="shared" si="0"/>
        <v>EA</v>
      </c>
      <c r="H44" s="7">
        <v>3.35</v>
      </c>
      <c r="I44" s="2" t="str">
        <f t="shared" si="1"/>
        <v>44122003</v>
      </c>
      <c r="J44" s="10" t="s">
        <v>76</v>
      </c>
    </row>
    <row r="45" spans="1:10" ht="25.5">
      <c r="A45" s="9" t="s">
        <v>27</v>
      </c>
      <c r="B45" s="2" t="s">
        <v>325</v>
      </c>
      <c r="C45" s="2">
        <v>3201</v>
      </c>
      <c r="D45" s="2">
        <v>38</v>
      </c>
      <c r="E45" s="2" t="str">
        <f>"1000013326"</f>
        <v>1000013326</v>
      </c>
      <c r="F45" s="4" t="str">
        <f>"BINDERS:Yel, 1 size, O ring, 120pt-Maxtile solid construction"</f>
        <v>BINDERS:Yel, 1 size, O ring, 120pt-Maxtile solid construction</v>
      </c>
      <c r="G45" s="74" t="str">
        <f t="shared" si="0"/>
        <v>EA</v>
      </c>
      <c r="H45" s="7">
        <v>3.35</v>
      </c>
      <c r="I45" s="2" t="str">
        <f t="shared" si="1"/>
        <v>44122003</v>
      </c>
      <c r="J45" s="10" t="s">
        <v>76</v>
      </c>
    </row>
    <row r="46" spans="1:10" ht="25.5">
      <c r="A46" s="9" t="s">
        <v>27</v>
      </c>
      <c r="B46" s="2" t="s">
        <v>325</v>
      </c>
      <c r="C46" s="2">
        <v>3201</v>
      </c>
      <c r="D46" s="2">
        <v>39</v>
      </c>
      <c r="E46" s="2" t="str">
        <f>"1000013327"</f>
        <v>1000013327</v>
      </c>
      <c r="F46" s="4" t="str">
        <f>"BINDERS:Grn, 1 size, O ring, 120pt-Maxtile solid construction"</f>
        <v>BINDERS:Grn, 1 size, O ring, 120pt-Maxtile solid construction</v>
      </c>
      <c r="G46" s="74" t="str">
        <f t="shared" si="0"/>
        <v>EA</v>
      </c>
      <c r="H46" s="7">
        <v>3.35</v>
      </c>
      <c r="I46" s="2" t="str">
        <f t="shared" si="1"/>
        <v>44122003</v>
      </c>
      <c r="J46" s="10" t="s">
        <v>76</v>
      </c>
    </row>
    <row r="47" spans="1:10" ht="25.5">
      <c r="A47" s="9" t="s">
        <v>27</v>
      </c>
      <c r="B47" s="2" t="s">
        <v>325</v>
      </c>
      <c r="C47" s="2">
        <v>3201</v>
      </c>
      <c r="D47" s="2">
        <v>40</v>
      </c>
      <c r="E47" s="2" t="str">
        <f>"1000013328"</f>
        <v>1000013328</v>
      </c>
      <c r="F47" s="4" t="str">
        <f>"BINDERS:Burg, 1 size, O ring, 120pt-Maxtile solid construction"</f>
        <v>BINDERS:Burg, 1 size, O ring, 120pt-Maxtile solid construction</v>
      </c>
      <c r="G47" s="74" t="str">
        <f t="shared" si="0"/>
        <v>EA</v>
      </c>
      <c r="H47" s="7">
        <v>3.35</v>
      </c>
      <c r="I47" s="2" t="str">
        <f t="shared" si="1"/>
        <v>44122003</v>
      </c>
      <c r="J47" s="10" t="s">
        <v>76</v>
      </c>
    </row>
    <row r="48" spans="1:10" ht="25.5">
      <c r="A48" s="9" t="s">
        <v>27</v>
      </c>
      <c r="B48" s="2" t="s">
        <v>325</v>
      </c>
      <c r="C48" s="2">
        <v>3201</v>
      </c>
      <c r="D48" s="2">
        <v>41</v>
      </c>
      <c r="E48" s="2" t="str">
        <f>"1000013329"</f>
        <v>1000013329</v>
      </c>
      <c r="F48" s="4" t="str">
        <f>"BINDERS:Navy, 1 size, O ring, 120pt-Maxtile solid construction"</f>
        <v>BINDERS:Navy, 1 size, O ring, 120pt-Maxtile solid construction</v>
      </c>
      <c r="G48" s="74" t="str">
        <f t="shared" si="0"/>
        <v>EA</v>
      </c>
      <c r="H48" s="7">
        <v>3.35</v>
      </c>
      <c r="I48" s="2" t="str">
        <f t="shared" si="1"/>
        <v>44122003</v>
      </c>
      <c r="J48" s="10" t="s">
        <v>76</v>
      </c>
    </row>
    <row r="49" spans="1:10" ht="38.25">
      <c r="A49" s="9" t="s">
        <v>27</v>
      </c>
      <c r="B49" s="2" t="s">
        <v>325</v>
      </c>
      <c r="C49" s="2">
        <v>3201</v>
      </c>
      <c r="D49" s="2">
        <v>43</v>
      </c>
      <c r="E49" s="2" t="str">
        <f>"1000013330"</f>
        <v>1000013330</v>
      </c>
      <c r="F49" s="4" t="str">
        <f>"BINDERS:Blk, 1, clear view overlay front/back/spine, O ring, 120pt-Maxtile solid construction"</f>
        <v>BINDERS:Blk, 1, clear view overlay front/back/spine, O ring, 120pt-Maxtile solid construction</v>
      </c>
      <c r="G49" s="74" t="str">
        <f t="shared" si="0"/>
        <v>EA</v>
      </c>
      <c r="H49" s="7">
        <v>4.21</v>
      </c>
      <c r="I49" s="2" t="str">
        <f t="shared" si="1"/>
        <v>44122003</v>
      </c>
      <c r="J49" s="10" t="s">
        <v>76</v>
      </c>
    </row>
    <row r="50" spans="1:10" ht="38.25">
      <c r="A50" s="9" t="s">
        <v>27</v>
      </c>
      <c r="B50" s="2" t="s">
        <v>325</v>
      </c>
      <c r="C50" s="2">
        <v>3201</v>
      </c>
      <c r="D50" s="2">
        <v>44</v>
      </c>
      <c r="E50" s="2" t="str">
        <f>"1000013331"</f>
        <v>1000013331</v>
      </c>
      <c r="F50" s="4" t="str">
        <f>"BINDERS:Royl Blu, 1, clear view overlay front/back/spine, O ring, 120pt-Maxtile solid construction"</f>
        <v>BINDERS:Royl Blu, 1, clear view overlay front/back/spine, O ring, 120pt-Maxtile solid construction</v>
      </c>
      <c r="G50" s="74" t="str">
        <f t="shared" si="0"/>
        <v>EA</v>
      </c>
      <c r="H50" s="7">
        <v>4.21</v>
      </c>
      <c r="I50" s="2" t="str">
        <f t="shared" si="1"/>
        <v>44122003</v>
      </c>
      <c r="J50" s="10" t="s">
        <v>76</v>
      </c>
    </row>
    <row r="51" spans="1:10" ht="38.25">
      <c r="A51" s="9" t="s">
        <v>27</v>
      </c>
      <c r="B51" s="2" t="s">
        <v>325</v>
      </c>
      <c r="C51" s="2">
        <v>3201</v>
      </c>
      <c r="D51" s="2">
        <v>45</v>
      </c>
      <c r="E51" s="2" t="str">
        <f>"1000013332"</f>
        <v>1000013332</v>
      </c>
      <c r="F51" s="4" t="str">
        <f>"BINDERS:Red, 1, clear view overlay front/back/spine, O ring, 120pt-Maxtile solid construction"</f>
        <v>BINDERS:Red, 1, clear view overlay front/back/spine, O ring, 120pt-Maxtile solid construction</v>
      </c>
      <c r="G51" s="74" t="str">
        <f t="shared" si="0"/>
        <v>EA</v>
      </c>
      <c r="H51" s="7">
        <v>4.21</v>
      </c>
      <c r="I51" s="2" t="str">
        <f t="shared" si="1"/>
        <v>44122003</v>
      </c>
      <c r="J51" s="10" t="s">
        <v>76</v>
      </c>
    </row>
    <row r="52" spans="1:10" ht="38.25">
      <c r="A52" s="9" t="s">
        <v>27</v>
      </c>
      <c r="B52" s="2" t="s">
        <v>325</v>
      </c>
      <c r="C52" s="2">
        <v>3201</v>
      </c>
      <c r="D52" s="2">
        <v>46</v>
      </c>
      <c r="E52" s="2" t="str">
        <f>"1000013333"</f>
        <v>1000013333</v>
      </c>
      <c r="F52" s="4" t="str">
        <f>"BINDERS:Wht, 1, clear view overlay front/back/spine, O ring, 120pt-Maxtile solid construction"</f>
        <v>BINDERS:Wht, 1, clear view overlay front/back/spine, O ring, 120pt-Maxtile solid construction</v>
      </c>
      <c r="G52" s="74" t="str">
        <f t="shared" si="0"/>
        <v>EA</v>
      </c>
      <c r="H52" s="7">
        <v>4.21</v>
      </c>
      <c r="I52" s="2" t="str">
        <f t="shared" si="1"/>
        <v>44122003</v>
      </c>
      <c r="J52" s="10" t="s">
        <v>76</v>
      </c>
    </row>
    <row r="53" spans="1:10" ht="38.25">
      <c r="A53" s="9" t="s">
        <v>27</v>
      </c>
      <c r="B53" s="2" t="s">
        <v>325</v>
      </c>
      <c r="C53" s="2">
        <v>3201</v>
      </c>
      <c r="D53" s="2">
        <v>47</v>
      </c>
      <c r="E53" s="2" t="str">
        <f>"1000013334"</f>
        <v>1000013334</v>
      </c>
      <c r="F53" s="4" t="str">
        <f>"BINDERS:Lt Gry, 1, clear view overlay front/back/spine, O ring, 120pt-Maxtile solid construction"</f>
        <v>BINDERS:Lt Gry, 1, clear view overlay front/back/spine, O ring, 120pt-Maxtile solid construction</v>
      </c>
      <c r="G53" s="74" t="str">
        <f t="shared" si="0"/>
        <v>EA</v>
      </c>
      <c r="H53" s="7">
        <v>4.21</v>
      </c>
      <c r="I53" s="2" t="str">
        <f t="shared" si="1"/>
        <v>44122003</v>
      </c>
      <c r="J53" s="10" t="s">
        <v>76</v>
      </c>
    </row>
    <row r="54" spans="1:10" ht="38.25">
      <c r="A54" s="9" t="s">
        <v>27</v>
      </c>
      <c r="B54" s="2" t="s">
        <v>325</v>
      </c>
      <c r="C54" s="2">
        <v>3201</v>
      </c>
      <c r="D54" s="2">
        <v>48</v>
      </c>
      <c r="E54" s="2" t="str">
        <f>"1000013335"</f>
        <v>1000013335</v>
      </c>
      <c r="F54" s="4" t="str">
        <f>"BINDERS:Orng, 1, clear view overlay front/back/spine, O ring, 120pt-Maxtile solid construction"</f>
        <v>BINDERS:Orng, 1, clear view overlay front/back/spine, O ring, 120pt-Maxtile solid construction</v>
      </c>
      <c r="G54" s="74" t="str">
        <f t="shared" si="0"/>
        <v>EA</v>
      </c>
      <c r="H54" s="7">
        <v>4.21</v>
      </c>
      <c r="I54" s="2" t="str">
        <f t="shared" si="1"/>
        <v>44122003</v>
      </c>
      <c r="J54" s="10" t="s">
        <v>76</v>
      </c>
    </row>
    <row r="55" spans="1:10" ht="25.5">
      <c r="A55" s="9" t="s">
        <v>27</v>
      </c>
      <c r="B55" s="2" t="s">
        <v>325</v>
      </c>
      <c r="C55" s="2">
        <v>3201</v>
      </c>
      <c r="D55" s="2">
        <v>20</v>
      </c>
      <c r="E55" s="2" t="str">
        <f>"1000013336"</f>
        <v>1000013336</v>
      </c>
      <c r="F55" s="4" t="str">
        <f>"BINDERS:Burg, 0.5 size, O ring, 120pt-Maxtile solid construction"</f>
        <v>BINDERS:Burg, 0.5 size, O ring, 120pt-Maxtile solid construction</v>
      </c>
      <c r="G55" s="74" t="str">
        <f t="shared" si="0"/>
        <v>EA</v>
      </c>
      <c r="H55" s="7">
        <v>2.9</v>
      </c>
      <c r="I55" s="2" t="str">
        <f t="shared" si="1"/>
        <v>44122003</v>
      </c>
      <c r="J55" s="10" t="s">
        <v>76</v>
      </c>
    </row>
    <row r="56" spans="1:10" ht="25.5">
      <c r="A56" s="9" t="s">
        <v>27</v>
      </c>
      <c r="B56" s="2" t="s">
        <v>325</v>
      </c>
      <c r="C56" s="2">
        <v>3201</v>
      </c>
      <c r="D56" s="2">
        <v>21</v>
      </c>
      <c r="E56" s="2" t="str">
        <f>"1000013337"</f>
        <v>1000013337</v>
      </c>
      <c r="F56" s="4" t="str">
        <f>"BINDERS:Navy, 0.5 size, O ring, 120pt-Maxtile solid construction"</f>
        <v>BINDERS:Navy, 0.5 size, O ring, 120pt-Maxtile solid construction</v>
      </c>
      <c r="G56" s="74" t="str">
        <f t="shared" si="0"/>
        <v>EA</v>
      </c>
      <c r="H56" s="7">
        <v>2.9</v>
      </c>
      <c r="I56" s="2" t="str">
        <f t="shared" si="1"/>
        <v>44122003</v>
      </c>
      <c r="J56" s="10" t="s">
        <v>76</v>
      </c>
    </row>
    <row r="57" spans="1:10" ht="38.25">
      <c r="A57" s="9" t="s">
        <v>27</v>
      </c>
      <c r="B57" s="2" t="s">
        <v>325</v>
      </c>
      <c r="C57" s="2">
        <v>3201</v>
      </c>
      <c r="D57" s="2">
        <v>51</v>
      </c>
      <c r="E57" s="2" t="str">
        <f>"1000013338"</f>
        <v>1000013338</v>
      </c>
      <c r="F57" s="4" t="str">
        <f>"BINDERS:Burg, 1, clear view overlay front/back/spine, O ring, 120pt-Maxtile solid construction"</f>
        <v>BINDERS:Burg, 1, clear view overlay front/back/spine, O ring, 120pt-Maxtile solid construction</v>
      </c>
      <c r="G57" s="74" t="str">
        <f t="shared" si="0"/>
        <v>EA</v>
      </c>
      <c r="H57" s="7">
        <v>4.21</v>
      </c>
      <c r="I57" s="2" t="str">
        <f t="shared" si="1"/>
        <v>44122003</v>
      </c>
      <c r="J57" s="10" t="s">
        <v>76</v>
      </c>
    </row>
    <row r="58" spans="1:10" ht="38.25">
      <c r="A58" s="9" t="s">
        <v>27</v>
      </c>
      <c r="B58" s="2" t="s">
        <v>325</v>
      </c>
      <c r="C58" s="2">
        <v>3201</v>
      </c>
      <c r="D58" s="2">
        <v>52</v>
      </c>
      <c r="E58" s="2" t="str">
        <f>"1000013339"</f>
        <v>1000013339</v>
      </c>
      <c r="F58" s="4" t="str">
        <f>"BINDERS:Navy, 1, clear view overlay front/back/spine, O ring, 120pt-Maxtile solid construction"</f>
        <v>BINDERS:Navy, 1, clear view overlay front/back/spine, O ring, 120pt-Maxtile solid construction</v>
      </c>
      <c r="G58" s="74" t="str">
        <f t="shared" si="0"/>
        <v>EA</v>
      </c>
      <c r="H58" s="7">
        <v>4.21</v>
      </c>
      <c r="I58" s="2" t="str">
        <f t="shared" si="1"/>
        <v>44122003</v>
      </c>
      <c r="J58" s="10" t="s">
        <v>76</v>
      </c>
    </row>
    <row r="59" spans="1:10" ht="25.5">
      <c r="A59" s="9" t="s">
        <v>27</v>
      </c>
      <c r="B59" s="2" t="s">
        <v>325</v>
      </c>
      <c r="C59" s="2">
        <v>3201</v>
      </c>
      <c r="D59" s="2">
        <v>54</v>
      </c>
      <c r="E59" s="2" t="str">
        <f>"1000013340"</f>
        <v>1000013340</v>
      </c>
      <c r="F59" s="4" t="str">
        <f>"BINDERS:Blk, 1.5 size, O ring, 120pt-Maxtile solid construction"</f>
        <v>BINDERS:Blk, 1.5 size, O ring, 120pt-Maxtile solid construction</v>
      </c>
      <c r="G59" s="74" t="str">
        <f t="shared" si="0"/>
        <v>EA</v>
      </c>
      <c r="H59" s="7">
        <v>4.4000000000000004</v>
      </c>
      <c r="I59" s="2" t="str">
        <f t="shared" si="1"/>
        <v>44122003</v>
      </c>
      <c r="J59" s="10" t="s">
        <v>76</v>
      </c>
    </row>
    <row r="60" spans="1:10" ht="25.5">
      <c r="A60" s="9" t="s">
        <v>27</v>
      </c>
      <c r="B60" s="2" t="s">
        <v>325</v>
      </c>
      <c r="C60" s="2">
        <v>3201</v>
      </c>
      <c r="D60" s="2">
        <v>55</v>
      </c>
      <c r="E60" s="2" t="str">
        <f>"1000013341"</f>
        <v>1000013341</v>
      </c>
      <c r="F60" s="4" t="str">
        <f>"BINDERS:Royl Blu, 1.5 size, O ring, 120pt-Maxtile solid construction"</f>
        <v>BINDERS:Royl Blu, 1.5 size, O ring, 120pt-Maxtile solid construction</v>
      </c>
      <c r="G60" s="74" t="str">
        <f t="shared" si="0"/>
        <v>EA</v>
      </c>
      <c r="H60" s="7">
        <v>4.4000000000000004</v>
      </c>
      <c r="I60" s="2" t="str">
        <f t="shared" si="1"/>
        <v>44122003</v>
      </c>
      <c r="J60" s="10" t="s">
        <v>76</v>
      </c>
    </row>
    <row r="61" spans="1:10" ht="25.5">
      <c r="A61" s="9" t="s">
        <v>27</v>
      </c>
      <c r="B61" s="2" t="s">
        <v>325</v>
      </c>
      <c r="C61" s="2">
        <v>3201</v>
      </c>
      <c r="D61" s="2">
        <v>56</v>
      </c>
      <c r="E61" s="2" t="str">
        <f>"1000013342"</f>
        <v>1000013342</v>
      </c>
      <c r="F61" s="4" t="str">
        <f>"BINDERS:Red, 1.5 size, O ring, 120pt-Maxtile solid construction"</f>
        <v>BINDERS:Red, 1.5 size, O ring, 120pt-Maxtile solid construction</v>
      </c>
      <c r="G61" s="74" t="str">
        <f t="shared" si="0"/>
        <v>EA</v>
      </c>
      <c r="H61" s="7">
        <v>4.4000000000000004</v>
      </c>
      <c r="I61" s="2" t="str">
        <f t="shared" si="1"/>
        <v>44122003</v>
      </c>
      <c r="J61" s="10" t="s">
        <v>76</v>
      </c>
    </row>
    <row r="62" spans="1:10" ht="25.5">
      <c r="A62" s="9" t="s">
        <v>27</v>
      </c>
      <c r="B62" s="2" t="s">
        <v>325</v>
      </c>
      <c r="C62" s="2">
        <v>3201</v>
      </c>
      <c r="D62" s="2">
        <v>57</v>
      </c>
      <c r="E62" s="2" t="str">
        <f>"1000013343"</f>
        <v>1000013343</v>
      </c>
      <c r="F62" s="4" t="str">
        <f>"BINDERS:Wht, 1.5 size, O ring, 120pt-Maxtile solid construction"</f>
        <v>BINDERS:Wht, 1.5 size, O ring, 120pt-Maxtile solid construction</v>
      </c>
      <c r="G62" s="74" t="str">
        <f t="shared" si="0"/>
        <v>EA</v>
      </c>
      <c r="H62" s="7">
        <v>4.4000000000000004</v>
      </c>
      <c r="I62" s="2" t="str">
        <f t="shared" si="1"/>
        <v>44122003</v>
      </c>
      <c r="J62" s="10" t="s">
        <v>76</v>
      </c>
    </row>
    <row r="63" spans="1:10" ht="25.5">
      <c r="A63" s="9" t="s">
        <v>27</v>
      </c>
      <c r="B63" s="2" t="s">
        <v>325</v>
      </c>
      <c r="C63" s="2">
        <v>3201</v>
      </c>
      <c r="D63" s="2">
        <v>58</v>
      </c>
      <c r="E63" s="2" t="str">
        <f>"1000013344"</f>
        <v>1000013344</v>
      </c>
      <c r="F63" s="4" t="str">
        <f>"BINDERS:Lt Gry, 1.5 size, O ring, 120pt-Maxtile solid construction"</f>
        <v>BINDERS:Lt Gry, 1.5 size, O ring, 120pt-Maxtile solid construction</v>
      </c>
      <c r="G63" s="74" t="str">
        <f t="shared" si="0"/>
        <v>EA</v>
      </c>
      <c r="H63" s="7">
        <v>4.4000000000000004</v>
      </c>
      <c r="I63" s="2" t="str">
        <f t="shared" si="1"/>
        <v>44122003</v>
      </c>
      <c r="J63" s="10" t="s">
        <v>76</v>
      </c>
    </row>
    <row r="64" spans="1:10" ht="25.5">
      <c r="A64" s="9" t="s">
        <v>27</v>
      </c>
      <c r="B64" s="2" t="s">
        <v>325</v>
      </c>
      <c r="C64" s="2">
        <v>3201</v>
      </c>
      <c r="D64" s="2">
        <v>59</v>
      </c>
      <c r="E64" s="2" t="str">
        <f>"1000013345"</f>
        <v>1000013345</v>
      </c>
      <c r="F64" s="4" t="str">
        <f>"BINDERS:Orng, 1.5 size, O ring, 120pt-Maxtile solid construction"</f>
        <v>BINDERS:Orng, 1.5 size, O ring, 120pt-Maxtile solid construction</v>
      </c>
      <c r="G64" s="74" t="str">
        <f t="shared" si="0"/>
        <v>EA</v>
      </c>
      <c r="H64" s="7">
        <v>4.4000000000000004</v>
      </c>
      <c r="I64" s="2" t="str">
        <f t="shared" si="1"/>
        <v>44122003</v>
      </c>
      <c r="J64" s="10" t="s">
        <v>76</v>
      </c>
    </row>
    <row r="65" spans="1:10" ht="25.5">
      <c r="A65" s="9" t="s">
        <v>27</v>
      </c>
      <c r="B65" s="2" t="s">
        <v>325</v>
      </c>
      <c r="C65" s="2">
        <v>3201</v>
      </c>
      <c r="D65" s="2">
        <v>60</v>
      </c>
      <c r="E65" s="2" t="str">
        <f>"1000013346"</f>
        <v>1000013346</v>
      </c>
      <c r="F65" s="4" t="str">
        <f>"BINDERS:Yel, 1.5 size, O ring, 120pt-Maxtile solid construction"</f>
        <v>BINDERS:Yel, 1.5 size, O ring, 120pt-Maxtile solid construction</v>
      </c>
      <c r="G65" s="74" t="str">
        <f t="shared" si="0"/>
        <v>EA</v>
      </c>
      <c r="H65" s="7">
        <v>4.4000000000000004</v>
      </c>
      <c r="I65" s="2" t="str">
        <f t="shared" si="1"/>
        <v>44122003</v>
      </c>
      <c r="J65" s="10" t="s">
        <v>76</v>
      </c>
    </row>
    <row r="66" spans="1:10" ht="25.5">
      <c r="A66" s="9" t="s">
        <v>27</v>
      </c>
      <c r="B66" s="2" t="s">
        <v>325</v>
      </c>
      <c r="C66" s="2">
        <v>3201</v>
      </c>
      <c r="D66" s="2">
        <v>61</v>
      </c>
      <c r="E66" s="2" t="str">
        <f>"1000013347"</f>
        <v>1000013347</v>
      </c>
      <c r="F66" s="4" t="str">
        <f>"BINDERS:Grn, 1.5 size, O ring, 120pt-Maxtile solid construction"</f>
        <v>BINDERS:Grn, 1.5 size, O ring, 120pt-Maxtile solid construction</v>
      </c>
      <c r="G66" s="74" t="str">
        <f t="shared" si="0"/>
        <v>EA</v>
      </c>
      <c r="H66" s="7">
        <v>4.4000000000000004</v>
      </c>
      <c r="I66" s="2" t="str">
        <f t="shared" si="1"/>
        <v>44122003</v>
      </c>
      <c r="J66" s="10" t="s">
        <v>76</v>
      </c>
    </row>
    <row r="67" spans="1:10" ht="25.5">
      <c r="A67" s="9" t="s">
        <v>27</v>
      </c>
      <c r="B67" s="2" t="s">
        <v>325</v>
      </c>
      <c r="C67" s="2">
        <v>3201</v>
      </c>
      <c r="D67" s="2">
        <v>62</v>
      </c>
      <c r="E67" s="2" t="str">
        <f>"1000013348"</f>
        <v>1000013348</v>
      </c>
      <c r="F67" s="4" t="str">
        <f>"BINDERS:Burg, 1.5 size, O ring, 120pt-Maxtile solid construction"</f>
        <v>BINDERS:Burg, 1.5 size, O ring, 120pt-Maxtile solid construction</v>
      </c>
      <c r="G67" s="74" t="str">
        <f t="shared" si="0"/>
        <v>EA</v>
      </c>
      <c r="H67" s="7">
        <v>4.4000000000000004</v>
      </c>
      <c r="I67" s="2" t="str">
        <f t="shared" si="1"/>
        <v>44122003</v>
      </c>
      <c r="J67" s="10" t="s">
        <v>76</v>
      </c>
    </row>
    <row r="68" spans="1:10" ht="25.5">
      <c r="A68" s="9" t="s">
        <v>27</v>
      </c>
      <c r="B68" s="2" t="s">
        <v>325</v>
      </c>
      <c r="C68" s="2">
        <v>3201</v>
      </c>
      <c r="D68" s="2">
        <v>63</v>
      </c>
      <c r="E68" s="2" t="str">
        <f>"1000013349"</f>
        <v>1000013349</v>
      </c>
      <c r="F68" s="4" t="str">
        <f>"BINDERS:Navy, 1.5 size, O ring, 120pt-Maxtile solid construction"</f>
        <v>BINDERS:Navy, 1.5 size, O ring, 120pt-Maxtile solid construction</v>
      </c>
      <c r="G68" s="74" t="str">
        <f t="shared" si="0"/>
        <v>EA</v>
      </c>
      <c r="H68" s="7">
        <v>4.4000000000000004</v>
      </c>
      <c r="I68" s="2" t="str">
        <f t="shared" si="1"/>
        <v>44122003</v>
      </c>
      <c r="J68" s="10" t="s">
        <v>76</v>
      </c>
    </row>
    <row r="69" spans="1:10" ht="25.5">
      <c r="A69" s="9" t="s">
        <v>27</v>
      </c>
      <c r="B69" s="2" t="s">
        <v>325</v>
      </c>
      <c r="C69" s="2">
        <v>3201</v>
      </c>
      <c r="D69" s="2">
        <v>34</v>
      </c>
      <c r="E69" s="2" t="str">
        <f>"1000013350"</f>
        <v>1000013350</v>
      </c>
      <c r="F69" s="4" t="str">
        <f>"BINDERS:Red, 1 size, O ring, 120pt-Maxtile solid construction"</f>
        <v>BINDERS:Red, 1 size, O ring, 120pt-Maxtile solid construction</v>
      </c>
      <c r="G69" s="74" t="str">
        <f t="shared" si="0"/>
        <v>EA</v>
      </c>
      <c r="H69" s="7">
        <v>3.35</v>
      </c>
      <c r="I69" s="2" t="str">
        <f t="shared" si="1"/>
        <v>44122003</v>
      </c>
      <c r="J69" s="10" t="s">
        <v>76</v>
      </c>
    </row>
    <row r="70" spans="1:10" ht="25.5">
      <c r="A70" s="9" t="s">
        <v>27</v>
      </c>
      <c r="B70" s="2" t="s">
        <v>325</v>
      </c>
      <c r="C70" s="2">
        <v>3201</v>
      </c>
      <c r="D70" s="2">
        <v>35</v>
      </c>
      <c r="E70" s="2" t="str">
        <f>"1000013351"</f>
        <v>1000013351</v>
      </c>
      <c r="F70" s="4" t="str">
        <f>"BINDERS:Wht, 1 size, O ring, 120pt-Maxtile solid construction"</f>
        <v>BINDERS:Wht, 1 size, O ring, 120pt-Maxtile solid construction</v>
      </c>
      <c r="G70" s="74" t="str">
        <f t="shared" si="0"/>
        <v>EA</v>
      </c>
      <c r="H70" s="7">
        <v>3.35</v>
      </c>
      <c r="I70" s="2" t="str">
        <f t="shared" si="1"/>
        <v>44122003</v>
      </c>
      <c r="J70" s="10" t="s">
        <v>76</v>
      </c>
    </row>
    <row r="71" spans="1:10" ht="25.5">
      <c r="A71" s="9" t="s">
        <v>27</v>
      </c>
      <c r="B71" s="2" t="s">
        <v>325</v>
      </c>
      <c r="C71" s="2">
        <v>3201</v>
      </c>
      <c r="D71" s="2">
        <v>77</v>
      </c>
      <c r="E71" s="2" t="str">
        <f>"1000013352"</f>
        <v>1000013352</v>
      </c>
      <c r="F71" s="4" t="str">
        <f>"BINDERS:Red, 2 size, O ring, 120pt-Maxtile solid construction"</f>
        <v>BINDERS:Red, 2 size, O ring, 120pt-Maxtile solid construction</v>
      </c>
      <c r="G71" s="74" t="str">
        <f t="shared" si="0"/>
        <v>EA</v>
      </c>
      <c r="H71" s="7">
        <v>6.51</v>
      </c>
      <c r="I71" s="2" t="str">
        <f t="shared" si="1"/>
        <v>44122003</v>
      </c>
      <c r="J71" s="10" t="s">
        <v>76</v>
      </c>
    </row>
    <row r="72" spans="1:10" ht="25.5">
      <c r="A72" s="9" t="s">
        <v>27</v>
      </c>
      <c r="B72" s="2" t="s">
        <v>325</v>
      </c>
      <c r="C72" s="2">
        <v>3201</v>
      </c>
      <c r="D72" s="2">
        <v>78</v>
      </c>
      <c r="E72" s="2" t="str">
        <f>"1000013353"</f>
        <v>1000013353</v>
      </c>
      <c r="F72" s="4" t="str">
        <f>"BINDERS:Wht, 2 size, O ring, 120pt-Maxtile solid construction"</f>
        <v>BINDERS:Wht, 2 size, O ring, 120pt-Maxtile solid construction</v>
      </c>
      <c r="G72" s="74" t="str">
        <f t="shared" si="0"/>
        <v>EA</v>
      </c>
      <c r="H72" s="7">
        <v>6.51</v>
      </c>
      <c r="I72" s="2" t="str">
        <f t="shared" si="1"/>
        <v>44122003</v>
      </c>
      <c r="J72" s="10" t="s">
        <v>76</v>
      </c>
    </row>
    <row r="73" spans="1:10" ht="25.5">
      <c r="A73" s="9" t="s">
        <v>27</v>
      </c>
      <c r="B73" s="2" t="s">
        <v>325</v>
      </c>
      <c r="C73" s="2">
        <v>3201</v>
      </c>
      <c r="D73" s="2">
        <v>79</v>
      </c>
      <c r="E73" s="2" t="str">
        <f>"1000013354"</f>
        <v>1000013354</v>
      </c>
      <c r="F73" s="4" t="str">
        <f>"BINDERS:Lt Gry, 2 size, O ring, 120pt-Maxtile solid construction"</f>
        <v>BINDERS:Lt Gry, 2 size, O ring, 120pt-Maxtile solid construction</v>
      </c>
      <c r="G73" s="74" t="str">
        <f t="shared" si="0"/>
        <v>EA</v>
      </c>
      <c r="H73" s="7">
        <v>6.51</v>
      </c>
      <c r="I73" s="2" t="str">
        <f t="shared" si="1"/>
        <v>44122003</v>
      </c>
      <c r="J73" s="10" t="s">
        <v>76</v>
      </c>
    </row>
    <row r="74" spans="1:10" ht="25.5">
      <c r="A74" s="9" t="s">
        <v>27</v>
      </c>
      <c r="B74" s="2" t="s">
        <v>325</v>
      </c>
      <c r="C74" s="2">
        <v>3201</v>
      </c>
      <c r="D74" s="2">
        <v>80</v>
      </c>
      <c r="E74" s="2" t="str">
        <f>"1000013355"</f>
        <v>1000013355</v>
      </c>
      <c r="F74" s="4" t="str">
        <f>"BINDERS:Orng, 2 size, O ring, 120pt-Maxtile solid construction"</f>
        <v>BINDERS:Orng, 2 size, O ring, 120pt-Maxtile solid construction</v>
      </c>
      <c r="G74" s="74" t="str">
        <f t="shared" si="0"/>
        <v>EA</v>
      </c>
      <c r="H74" s="7">
        <v>6.51</v>
      </c>
      <c r="I74" s="2" t="str">
        <f t="shared" si="1"/>
        <v>44122003</v>
      </c>
      <c r="J74" s="10" t="s">
        <v>76</v>
      </c>
    </row>
    <row r="75" spans="1:10" ht="25.5">
      <c r="A75" s="9" t="s">
        <v>27</v>
      </c>
      <c r="B75" s="2" t="s">
        <v>325</v>
      </c>
      <c r="C75" s="2">
        <v>3201</v>
      </c>
      <c r="D75" s="2">
        <v>81</v>
      </c>
      <c r="E75" s="2" t="str">
        <f>"1000013356"</f>
        <v>1000013356</v>
      </c>
      <c r="F75" s="4" t="str">
        <f>"BINDERS:Yel, 2 size, O ring, 120pt-Maxtile solid construction"</f>
        <v>BINDERS:Yel, 2 size, O ring, 120pt-Maxtile solid construction</v>
      </c>
      <c r="G75" s="74" t="str">
        <f t="shared" si="0"/>
        <v>EA</v>
      </c>
      <c r="H75" s="7">
        <v>6.51</v>
      </c>
      <c r="I75" s="2" t="str">
        <f t="shared" si="1"/>
        <v>44122003</v>
      </c>
      <c r="J75" s="10" t="s">
        <v>76</v>
      </c>
    </row>
    <row r="76" spans="1:10" ht="25.5">
      <c r="A76" s="9" t="s">
        <v>27</v>
      </c>
      <c r="B76" s="2" t="s">
        <v>325</v>
      </c>
      <c r="C76" s="2">
        <v>3201</v>
      </c>
      <c r="D76" s="2">
        <v>82</v>
      </c>
      <c r="E76" s="2" t="str">
        <f>"1000013357"</f>
        <v>1000013357</v>
      </c>
      <c r="F76" s="4" t="str">
        <f>"BINDERS:Grn, 2 size, O ring, 120pt-Maxtile solid construction"</f>
        <v>BINDERS:Grn, 2 size, O ring, 120pt-Maxtile solid construction</v>
      </c>
      <c r="G76" s="74" t="str">
        <f t="shared" si="0"/>
        <v>EA</v>
      </c>
      <c r="H76" s="7">
        <v>6.51</v>
      </c>
      <c r="I76" s="2" t="str">
        <f t="shared" si="1"/>
        <v>44122003</v>
      </c>
      <c r="J76" s="10" t="s">
        <v>76</v>
      </c>
    </row>
    <row r="77" spans="1:10" ht="25.5">
      <c r="A77" s="9" t="s">
        <v>27</v>
      </c>
      <c r="B77" s="2" t="s">
        <v>325</v>
      </c>
      <c r="C77" s="2">
        <v>3201</v>
      </c>
      <c r="D77" s="2">
        <v>83</v>
      </c>
      <c r="E77" s="2" t="str">
        <f>"1000013358"</f>
        <v>1000013358</v>
      </c>
      <c r="F77" s="4" t="str">
        <f>"BINDERS:Burg, 2 size, O ring, 120pt-Maxtile solid construction"</f>
        <v>BINDERS:Burg, 2 size, O ring, 120pt-Maxtile solid construction</v>
      </c>
      <c r="G77" s="74" t="str">
        <f t="shared" si="0"/>
        <v>EA</v>
      </c>
      <c r="H77" s="7">
        <v>6.51</v>
      </c>
      <c r="I77" s="2" t="str">
        <f t="shared" si="1"/>
        <v>44122003</v>
      </c>
      <c r="J77" s="10" t="s">
        <v>76</v>
      </c>
    </row>
    <row r="78" spans="1:10" ht="25.5">
      <c r="A78" s="9" t="s">
        <v>27</v>
      </c>
      <c r="B78" s="2" t="s">
        <v>325</v>
      </c>
      <c r="C78" s="2">
        <v>3201</v>
      </c>
      <c r="D78" s="2">
        <v>84</v>
      </c>
      <c r="E78" s="2" t="str">
        <f>"1000013359"</f>
        <v>1000013359</v>
      </c>
      <c r="F78" s="4" t="str">
        <f>"BINDERS:Navy, 2 size, O ring, 120pt-Maxtile solid construction"</f>
        <v>BINDERS:Navy, 2 size, O ring, 120pt-Maxtile solid construction</v>
      </c>
      <c r="G78" s="74" t="str">
        <f t="shared" si="0"/>
        <v>EA</v>
      </c>
      <c r="H78" s="7">
        <v>6.51</v>
      </c>
      <c r="I78" s="2" t="str">
        <f t="shared" si="1"/>
        <v>44122003</v>
      </c>
      <c r="J78" s="10" t="s">
        <v>76</v>
      </c>
    </row>
    <row r="79" spans="1:10" ht="38.25">
      <c r="A79" s="9" t="s">
        <v>27</v>
      </c>
      <c r="B79" s="2" t="s">
        <v>325</v>
      </c>
      <c r="C79" s="2">
        <v>3201</v>
      </c>
      <c r="D79" s="2">
        <v>86</v>
      </c>
      <c r="E79" s="2" t="str">
        <f>"1000013360"</f>
        <v>1000013360</v>
      </c>
      <c r="F79" s="4" t="str">
        <f>"BINDERS:Blk, 2, clear view overlay front/back/spine, O ring, 120pt-Maxtile solid construction"</f>
        <v>BINDERS:Blk, 2, clear view overlay front/back/spine, O ring, 120pt-Maxtile solid construction</v>
      </c>
      <c r="G79" s="74" t="str">
        <f t="shared" si="0"/>
        <v>EA</v>
      </c>
      <c r="H79" s="7">
        <v>6.7</v>
      </c>
      <c r="I79" s="2" t="str">
        <f t="shared" si="1"/>
        <v>44122003</v>
      </c>
      <c r="J79" s="10" t="s">
        <v>76</v>
      </c>
    </row>
    <row r="80" spans="1:10" ht="38.25">
      <c r="A80" s="9" t="s">
        <v>27</v>
      </c>
      <c r="B80" s="2" t="s">
        <v>325</v>
      </c>
      <c r="C80" s="2">
        <v>3201</v>
      </c>
      <c r="D80" s="2">
        <v>87</v>
      </c>
      <c r="E80" s="2" t="str">
        <f>"1000013361"</f>
        <v>1000013361</v>
      </c>
      <c r="F80" s="4" t="str">
        <f>"BINDERS:Royl Blu, 2, clear view overlay front/back/spine, O ring, 120pt-Maxtile solid construction"</f>
        <v>BINDERS:Royl Blu, 2, clear view overlay front/back/spine, O ring, 120pt-Maxtile solid construction</v>
      </c>
      <c r="G80" s="74" t="str">
        <f t="shared" si="0"/>
        <v>EA</v>
      </c>
      <c r="H80" s="7">
        <v>6.7</v>
      </c>
      <c r="I80" s="2" t="str">
        <f t="shared" si="1"/>
        <v>44122003</v>
      </c>
      <c r="J80" s="10" t="s">
        <v>76</v>
      </c>
    </row>
    <row r="81" spans="1:10" ht="38.25">
      <c r="A81" s="9" t="s">
        <v>27</v>
      </c>
      <c r="B81" s="2" t="s">
        <v>325</v>
      </c>
      <c r="C81" s="2">
        <v>3201</v>
      </c>
      <c r="D81" s="2">
        <v>88</v>
      </c>
      <c r="E81" s="2" t="str">
        <f>"1000013362"</f>
        <v>1000013362</v>
      </c>
      <c r="F81" s="4" t="str">
        <f>"BINDERS:Red, 2, clear view overlay front/back/spine, O ring, 120pt-Maxtile solid construction"</f>
        <v>BINDERS:Red, 2, clear view overlay front/back/spine, O ring, 120pt-Maxtile solid construction</v>
      </c>
      <c r="G81" s="74" t="str">
        <f t="shared" si="0"/>
        <v>EA</v>
      </c>
      <c r="H81" s="7">
        <v>6.7</v>
      </c>
      <c r="I81" s="2" t="str">
        <f t="shared" si="1"/>
        <v>44122003</v>
      </c>
      <c r="J81" s="10" t="s">
        <v>76</v>
      </c>
    </row>
    <row r="82" spans="1:10" ht="38.25">
      <c r="A82" s="9" t="s">
        <v>27</v>
      </c>
      <c r="B82" s="2" t="s">
        <v>325</v>
      </c>
      <c r="C82" s="2">
        <v>3201</v>
      </c>
      <c r="D82" s="2">
        <v>89</v>
      </c>
      <c r="E82" s="2" t="str">
        <f>"1000013363"</f>
        <v>1000013363</v>
      </c>
      <c r="F82" s="4" t="str">
        <f>"BINDERS:Wht, 2, clear view overlay front/back/spine, O ring, 120pt-Maxtile solid construction"</f>
        <v>BINDERS:Wht, 2, clear view overlay front/back/spine, O ring, 120pt-Maxtile solid construction</v>
      </c>
      <c r="G82" s="74" t="str">
        <f t="shared" si="0"/>
        <v>EA</v>
      </c>
      <c r="H82" s="7">
        <v>6.7</v>
      </c>
      <c r="I82" s="2" t="str">
        <f t="shared" si="1"/>
        <v>44122003</v>
      </c>
      <c r="J82" s="10" t="s">
        <v>76</v>
      </c>
    </row>
    <row r="83" spans="1:10" ht="38.25">
      <c r="A83" s="9" t="s">
        <v>27</v>
      </c>
      <c r="B83" s="2" t="s">
        <v>325</v>
      </c>
      <c r="C83" s="2">
        <v>3201</v>
      </c>
      <c r="D83" s="2">
        <v>49</v>
      </c>
      <c r="E83" s="2" t="str">
        <f>"1000013364"</f>
        <v>1000013364</v>
      </c>
      <c r="F83" s="4" t="str">
        <f>"BINDERS:Yel, 1, clear view overlay front/back/spine, O ring, 120pt-Maxtile solid construction"</f>
        <v>BINDERS:Yel, 1, clear view overlay front/back/spine, O ring, 120pt-Maxtile solid construction</v>
      </c>
      <c r="G83" s="74" t="str">
        <f t="shared" si="0"/>
        <v>EA</v>
      </c>
      <c r="H83" s="7">
        <v>4.21</v>
      </c>
      <c r="I83" s="2" t="str">
        <f t="shared" si="1"/>
        <v>44122003</v>
      </c>
      <c r="J83" s="10" t="s">
        <v>76</v>
      </c>
    </row>
    <row r="84" spans="1:10" ht="38.25">
      <c r="A84" s="9" t="s">
        <v>27</v>
      </c>
      <c r="B84" s="2" t="s">
        <v>325</v>
      </c>
      <c r="C84" s="2">
        <v>3201</v>
      </c>
      <c r="D84" s="2">
        <v>50</v>
      </c>
      <c r="E84" s="2" t="str">
        <f>"1000013365"</f>
        <v>1000013365</v>
      </c>
      <c r="F84" s="4" t="str">
        <f>"BINDERS:Grn, 1, clear view overlay front/back/spine, O ring, 120pt-Maxtile solid construction"</f>
        <v>BINDERS:Grn, 1, clear view overlay front/back/spine, O ring, 120pt-Maxtile solid construction</v>
      </c>
      <c r="G84" s="74" t="str">
        <f t="shared" si="0"/>
        <v>EA</v>
      </c>
      <c r="H84" s="7">
        <v>4.21</v>
      </c>
      <c r="I84" s="2" t="str">
        <f t="shared" si="1"/>
        <v>44122003</v>
      </c>
      <c r="J84" s="10" t="s">
        <v>76</v>
      </c>
    </row>
    <row r="85" spans="1:10" ht="38.25">
      <c r="A85" s="9" t="s">
        <v>27</v>
      </c>
      <c r="B85" s="2" t="s">
        <v>325</v>
      </c>
      <c r="C85" s="2">
        <v>3201</v>
      </c>
      <c r="D85" s="2">
        <v>92</v>
      </c>
      <c r="E85" s="2" t="str">
        <f>"1000013366"</f>
        <v>1000013366</v>
      </c>
      <c r="F85" s="4" t="str">
        <f>"BINDERS:Yel, 2, clear view overlay front/back/spine, O ring, 120pt-Maxtile solid construction"</f>
        <v>BINDERS:Yel, 2, clear view overlay front/back/spine, O ring, 120pt-Maxtile solid construction</v>
      </c>
      <c r="G85" s="74" t="str">
        <f t="shared" si="0"/>
        <v>EA</v>
      </c>
      <c r="H85" s="7">
        <v>6.7</v>
      </c>
      <c r="I85" s="2" t="str">
        <f t="shared" si="1"/>
        <v>44122003</v>
      </c>
      <c r="J85" s="10" t="s">
        <v>76</v>
      </c>
    </row>
    <row r="86" spans="1:10" ht="38.25">
      <c r="A86" s="9" t="s">
        <v>27</v>
      </c>
      <c r="B86" s="2" t="s">
        <v>325</v>
      </c>
      <c r="C86" s="2">
        <v>3201</v>
      </c>
      <c r="D86" s="2">
        <v>93</v>
      </c>
      <c r="E86" s="2" t="str">
        <f>"1000013367"</f>
        <v>1000013367</v>
      </c>
      <c r="F86" s="4" t="str">
        <f>"BINDERS:Grn, 2, clear view overlay front/back/spine, O ring, 120pt-Maxtile solid construction"</f>
        <v>BINDERS:Grn, 2, clear view overlay front/back/spine, O ring, 120pt-Maxtile solid construction</v>
      </c>
      <c r="G86" s="74" t="str">
        <f t="shared" si="0"/>
        <v>EA</v>
      </c>
      <c r="H86" s="7">
        <v>6.7</v>
      </c>
      <c r="I86" s="2" t="str">
        <f t="shared" si="1"/>
        <v>44122003</v>
      </c>
      <c r="J86" s="10" t="s">
        <v>76</v>
      </c>
    </row>
    <row r="87" spans="1:10" ht="38.25">
      <c r="A87" s="9" t="s">
        <v>27</v>
      </c>
      <c r="B87" s="2" t="s">
        <v>325</v>
      </c>
      <c r="C87" s="2">
        <v>3201</v>
      </c>
      <c r="D87" s="2">
        <v>94</v>
      </c>
      <c r="E87" s="2" t="str">
        <f>"1000013368"</f>
        <v>1000013368</v>
      </c>
      <c r="F87" s="4" t="str">
        <f>"BINDERS:Burg, 2, clear view overlay front/back/spine, O ring, 120pt-Maxtile solid construction"</f>
        <v>BINDERS:Burg, 2, clear view overlay front/back/spine, O ring, 120pt-Maxtile solid construction</v>
      </c>
      <c r="G87" s="74" t="str">
        <f t="shared" ref="G87:G150" si="2">"EA"</f>
        <v>EA</v>
      </c>
      <c r="H87" s="7">
        <v>6.7</v>
      </c>
      <c r="I87" s="2" t="str">
        <f t="shared" si="1"/>
        <v>44122003</v>
      </c>
      <c r="J87" s="10" t="s">
        <v>76</v>
      </c>
    </row>
    <row r="88" spans="1:10" ht="38.25">
      <c r="A88" s="9" t="s">
        <v>27</v>
      </c>
      <c r="B88" s="2" t="s">
        <v>325</v>
      </c>
      <c r="C88" s="2">
        <v>3201</v>
      </c>
      <c r="D88" s="2">
        <v>95</v>
      </c>
      <c r="E88" s="2" t="str">
        <f>"1000013369"</f>
        <v>1000013369</v>
      </c>
      <c r="F88" s="4" t="str">
        <f>"BINDERS:Navy, 2, clear view overlay front/back/spine, O ring, 120pt-Maxtile solid construction"</f>
        <v>BINDERS:Navy, 2, clear view overlay front/back/spine, O ring, 120pt-Maxtile solid construction</v>
      </c>
      <c r="G88" s="74" t="str">
        <f t="shared" si="2"/>
        <v>EA</v>
      </c>
      <c r="H88" s="7">
        <v>6.7</v>
      </c>
      <c r="I88" s="2" t="str">
        <f t="shared" ref="I88:I151" si="3">"44122003"</f>
        <v>44122003</v>
      </c>
      <c r="J88" s="10" t="s">
        <v>76</v>
      </c>
    </row>
    <row r="89" spans="1:10" ht="25.5">
      <c r="A89" s="9" t="s">
        <v>27</v>
      </c>
      <c r="B89" s="2" t="s">
        <v>325</v>
      </c>
      <c r="C89" s="2">
        <v>3201</v>
      </c>
      <c r="D89" s="2">
        <v>97</v>
      </c>
      <c r="E89" s="2" t="str">
        <f>"1000013370"</f>
        <v>1000013370</v>
      </c>
      <c r="F89" s="4" t="str">
        <f>"BINDERS:Blk, 3 size, O ring, 120pt-Maxtile solid construction"</f>
        <v>BINDERS:Blk, 3 size, O ring, 120pt-Maxtile solid construction</v>
      </c>
      <c r="G89" s="74" t="str">
        <f t="shared" si="2"/>
        <v>EA</v>
      </c>
      <c r="H89" s="7">
        <v>7.9</v>
      </c>
      <c r="I89" s="2" t="str">
        <f t="shared" si="3"/>
        <v>44122003</v>
      </c>
      <c r="J89" s="10" t="s">
        <v>76</v>
      </c>
    </row>
    <row r="90" spans="1:10" ht="25.5">
      <c r="A90" s="9" t="s">
        <v>27</v>
      </c>
      <c r="B90" s="2" t="s">
        <v>325</v>
      </c>
      <c r="C90" s="2">
        <v>3201</v>
      </c>
      <c r="D90" s="2">
        <v>98</v>
      </c>
      <c r="E90" s="2" t="str">
        <f>"1000013371"</f>
        <v>1000013371</v>
      </c>
      <c r="F90" s="4" t="str">
        <f>"BINDERS:Royl Blu, 3 size, O ring, 120pt-Maxtile solid construction"</f>
        <v>BINDERS:Royl Blu, 3 size, O ring, 120pt-Maxtile solid construction</v>
      </c>
      <c r="G90" s="74" t="str">
        <f t="shared" si="2"/>
        <v>EA</v>
      </c>
      <c r="H90" s="7">
        <v>7.9</v>
      </c>
      <c r="I90" s="2" t="str">
        <f t="shared" si="3"/>
        <v>44122003</v>
      </c>
      <c r="J90" s="10" t="s">
        <v>76</v>
      </c>
    </row>
    <row r="91" spans="1:10" ht="25.5">
      <c r="A91" s="9" t="s">
        <v>27</v>
      </c>
      <c r="B91" s="2" t="s">
        <v>325</v>
      </c>
      <c r="C91" s="2">
        <v>3201</v>
      </c>
      <c r="D91" s="2">
        <v>99</v>
      </c>
      <c r="E91" s="2" t="str">
        <f>"1000013372"</f>
        <v>1000013372</v>
      </c>
      <c r="F91" s="4" t="str">
        <f>"BINDERS:Red, 3 size, O ring, 120pt-Maxtile solid construction"</f>
        <v>BINDERS:Red, 3 size, O ring, 120pt-Maxtile solid construction</v>
      </c>
      <c r="G91" s="74" t="str">
        <f t="shared" si="2"/>
        <v>EA</v>
      </c>
      <c r="H91" s="7">
        <v>7.9</v>
      </c>
      <c r="I91" s="2" t="str">
        <f t="shared" si="3"/>
        <v>44122003</v>
      </c>
      <c r="J91" s="10" t="s">
        <v>76</v>
      </c>
    </row>
    <row r="92" spans="1:10" ht="25.5">
      <c r="A92" s="9" t="s">
        <v>27</v>
      </c>
      <c r="B92" s="2" t="s">
        <v>325</v>
      </c>
      <c r="C92" s="2">
        <v>3201</v>
      </c>
      <c r="D92" s="2">
        <v>100</v>
      </c>
      <c r="E92" s="2" t="str">
        <f>"1000013373"</f>
        <v>1000013373</v>
      </c>
      <c r="F92" s="4" t="str">
        <f>"BINDERS:Wht, 3 size, O ring, 120pt-Maxtile solid construction"</f>
        <v>BINDERS:Wht, 3 size, O ring, 120pt-Maxtile solid construction</v>
      </c>
      <c r="G92" s="74" t="str">
        <f t="shared" si="2"/>
        <v>EA</v>
      </c>
      <c r="H92" s="7">
        <v>7.9</v>
      </c>
      <c r="I92" s="2" t="str">
        <f t="shared" si="3"/>
        <v>44122003</v>
      </c>
      <c r="J92" s="10" t="s">
        <v>76</v>
      </c>
    </row>
    <row r="93" spans="1:10" ht="25.5">
      <c r="A93" s="9" t="s">
        <v>27</v>
      </c>
      <c r="B93" s="2" t="s">
        <v>325</v>
      </c>
      <c r="C93" s="2">
        <v>3201</v>
      </c>
      <c r="D93" s="2">
        <v>101</v>
      </c>
      <c r="E93" s="2" t="str">
        <f>"1000013374"</f>
        <v>1000013374</v>
      </c>
      <c r="F93" s="4" t="str">
        <f>"BINDERS:Lt Gry, 3 size, O ring, 120pt-Maxtile solid construction"</f>
        <v>BINDERS:Lt Gry, 3 size, O ring, 120pt-Maxtile solid construction</v>
      </c>
      <c r="G93" s="74" t="str">
        <f t="shared" si="2"/>
        <v>EA</v>
      </c>
      <c r="H93" s="7">
        <v>7.9</v>
      </c>
      <c r="I93" s="2" t="str">
        <f t="shared" si="3"/>
        <v>44122003</v>
      </c>
      <c r="J93" s="10" t="s">
        <v>76</v>
      </c>
    </row>
    <row r="94" spans="1:10" ht="25.5">
      <c r="A94" s="9" t="s">
        <v>27</v>
      </c>
      <c r="B94" s="2" t="s">
        <v>325</v>
      </c>
      <c r="C94" s="2">
        <v>3201</v>
      </c>
      <c r="D94" s="2">
        <v>102</v>
      </c>
      <c r="E94" s="2" t="str">
        <f>"1000013375"</f>
        <v>1000013375</v>
      </c>
      <c r="F94" s="4" t="str">
        <f>"BINDERS:Orng, 3 size, O ring, 120pt-Maxtile solid construction"</f>
        <v>BINDERS:Orng, 3 size, O ring, 120pt-Maxtile solid construction</v>
      </c>
      <c r="G94" s="74" t="str">
        <f t="shared" si="2"/>
        <v>EA</v>
      </c>
      <c r="H94" s="7">
        <v>7.9</v>
      </c>
      <c r="I94" s="2" t="str">
        <f t="shared" si="3"/>
        <v>44122003</v>
      </c>
      <c r="J94" s="10" t="s">
        <v>76</v>
      </c>
    </row>
    <row r="95" spans="1:10" ht="25.5">
      <c r="A95" s="9" t="s">
        <v>27</v>
      </c>
      <c r="B95" s="2" t="s">
        <v>325</v>
      </c>
      <c r="C95" s="2">
        <v>3201</v>
      </c>
      <c r="D95" s="2">
        <v>103</v>
      </c>
      <c r="E95" s="2" t="str">
        <f>"1000013376"</f>
        <v>1000013376</v>
      </c>
      <c r="F95" s="4" t="str">
        <f>"BINDERS:Yel, 3 size, O ring, 120pt-Maxtile solid construction"</f>
        <v>BINDERS:Yel, 3 size, O ring, 120pt-Maxtile solid construction</v>
      </c>
      <c r="G95" s="74" t="str">
        <f t="shared" si="2"/>
        <v>EA</v>
      </c>
      <c r="H95" s="7">
        <v>7.9</v>
      </c>
      <c r="I95" s="2" t="str">
        <f t="shared" si="3"/>
        <v>44122003</v>
      </c>
      <c r="J95" s="10" t="s">
        <v>76</v>
      </c>
    </row>
    <row r="96" spans="1:10" ht="25.5">
      <c r="A96" s="9" t="s">
        <v>27</v>
      </c>
      <c r="B96" s="2" t="s">
        <v>325</v>
      </c>
      <c r="C96" s="2">
        <v>3201</v>
      </c>
      <c r="D96" s="2">
        <v>104</v>
      </c>
      <c r="E96" s="2" t="str">
        <f>"1000013377"</f>
        <v>1000013377</v>
      </c>
      <c r="F96" s="4" t="str">
        <f>"BINDERS:Grn, 3 size, O ring, 120pt-Maxtile solid construction"</f>
        <v>BINDERS:Grn, 3 size, O ring, 120pt-Maxtile solid construction</v>
      </c>
      <c r="G96" s="74" t="str">
        <f t="shared" si="2"/>
        <v>EA</v>
      </c>
      <c r="H96" s="7">
        <v>7.9</v>
      </c>
      <c r="I96" s="2" t="str">
        <f t="shared" si="3"/>
        <v>44122003</v>
      </c>
      <c r="J96" s="10" t="s">
        <v>76</v>
      </c>
    </row>
    <row r="97" spans="1:10" ht="25.5">
      <c r="A97" s="9" t="s">
        <v>27</v>
      </c>
      <c r="B97" s="2" t="s">
        <v>325</v>
      </c>
      <c r="C97" s="2">
        <v>3201</v>
      </c>
      <c r="D97" s="2">
        <v>75</v>
      </c>
      <c r="E97" s="2" t="str">
        <f>"1000013378"</f>
        <v>1000013378</v>
      </c>
      <c r="F97" s="4" t="str">
        <f>"BINDERS:Blk, 2 size, O ring, 120pt-Maxtile solid construction"</f>
        <v>BINDERS:Blk, 2 size, O ring, 120pt-Maxtile solid construction</v>
      </c>
      <c r="G97" s="74" t="str">
        <f t="shared" si="2"/>
        <v>EA</v>
      </c>
      <c r="H97" s="7">
        <v>6.51</v>
      </c>
      <c r="I97" s="2" t="str">
        <f t="shared" si="3"/>
        <v>44122003</v>
      </c>
      <c r="J97" s="10" t="s">
        <v>76</v>
      </c>
    </row>
    <row r="98" spans="1:10" ht="25.5">
      <c r="A98" s="9" t="s">
        <v>27</v>
      </c>
      <c r="B98" s="2" t="s">
        <v>325</v>
      </c>
      <c r="C98" s="2">
        <v>3201</v>
      </c>
      <c r="D98" s="2">
        <v>76</v>
      </c>
      <c r="E98" s="2" t="str">
        <f>"1000013379"</f>
        <v>1000013379</v>
      </c>
      <c r="F98" s="4" t="str">
        <f>"BINDERS:Royl Blu, 2 size, O ring, 120pt-Maxtile solid construction"</f>
        <v>BINDERS:Royl Blu, 2 size, O ring, 120pt-Maxtile solid construction</v>
      </c>
      <c r="G98" s="74" t="str">
        <f t="shared" si="2"/>
        <v>EA</v>
      </c>
      <c r="H98" s="7">
        <v>6.51</v>
      </c>
      <c r="I98" s="2" t="str">
        <f t="shared" si="3"/>
        <v>44122003</v>
      </c>
      <c r="J98" s="10" t="s">
        <v>76</v>
      </c>
    </row>
    <row r="99" spans="1:10" ht="38.25">
      <c r="A99" s="9" t="s">
        <v>27</v>
      </c>
      <c r="B99" s="2" t="s">
        <v>325</v>
      </c>
      <c r="C99" s="2">
        <v>3201</v>
      </c>
      <c r="D99" s="2">
        <v>108</v>
      </c>
      <c r="E99" s="2" t="str">
        <f>"1000013380"</f>
        <v>1000013380</v>
      </c>
      <c r="F99" s="4" t="str">
        <f>"BINDERS:Blk, 3, clear view overlay front/back/spine, O ring, 120pt-Maxtile solid construction"</f>
        <v>BINDERS:Blk, 3, clear view overlay front/back/spine, O ring, 120pt-Maxtile solid construction</v>
      </c>
      <c r="G99" s="74" t="str">
        <f t="shared" si="2"/>
        <v>EA</v>
      </c>
      <c r="H99" s="7">
        <v>8.1999999999999993</v>
      </c>
      <c r="I99" s="2" t="str">
        <f t="shared" si="3"/>
        <v>44122003</v>
      </c>
      <c r="J99" s="10" t="s">
        <v>76</v>
      </c>
    </row>
    <row r="100" spans="1:10" ht="38.25">
      <c r="A100" s="9" t="s">
        <v>27</v>
      </c>
      <c r="B100" s="2" t="s">
        <v>325</v>
      </c>
      <c r="C100" s="2">
        <v>3201</v>
      </c>
      <c r="D100" s="2">
        <v>109</v>
      </c>
      <c r="E100" s="2" t="str">
        <f>"1000013381"</f>
        <v>1000013381</v>
      </c>
      <c r="F100" s="4" t="str">
        <f>"BINDERS:Royl Blu, 3, clear view overlay front/back/spine, O ring, 120pt-Maxtile solid construction"</f>
        <v>BINDERS:Royl Blu, 3, clear view overlay front/back/spine, O ring, 120pt-Maxtile solid construction</v>
      </c>
      <c r="G100" s="74" t="str">
        <f t="shared" si="2"/>
        <v>EA</v>
      </c>
      <c r="H100" s="7">
        <v>8.1999999999999993</v>
      </c>
      <c r="I100" s="2" t="str">
        <f t="shared" si="3"/>
        <v>44122003</v>
      </c>
      <c r="J100" s="10" t="s">
        <v>76</v>
      </c>
    </row>
    <row r="101" spans="1:10" ht="38.25">
      <c r="A101" s="9" t="s">
        <v>27</v>
      </c>
      <c r="B101" s="2" t="s">
        <v>325</v>
      </c>
      <c r="C101" s="2">
        <v>3201</v>
      </c>
      <c r="D101" s="2">
        <v>110</v>
      </c>
      <c r="E101" s="2" t="str">
        <f>"1000013382"</f>
        <v>1000013382</v>
      </c>
      <c r="F101" s="4" t="str">
        <f>"BINDERS:Red, 3, clear view overlay front/back/spine, O ring, 120pt-Maxtile solid construction"</f>
        <v>BINDERS:Red, 3, clear view overlay front/back/spine, O ring, 120pt-Maxtile solid construction</v>
      </c>
      <c r="G101" s="74" t="str">
        <f t="shared" si="2"/>
        <v>EA</v>
      </c>
      <c r="H101" s="7">
        <v>8.1999999999999993</v>
      </c>
      <c r="I101" s="2" t="str">
        <f t="shared" si="3"/>
        <v>44122003</v>
      </c>
      <c r="J101" s="10" t="s">
        <v>76</v>
      </c>
    </row>
    <row r="102" spans="1:10" ht="38.25">
      <c r="A102" s="9" t="s">
        <v>27</v>
      </c>
      <c r="B102" s="2" t="s">
        <v>325</v>
      </c>
      <c r="C102" s="2">
        <v>3201</v>
      </c>
      <c r="D102" s="2">
        <v>111</v>
      </c>
      <c r="E102" s="2" t="str">
        <f>"1000013383"</f>
        <v>1000013383</v>
      </c>
      <c r="F102" s="4" t="str">
        <f>"BINDERS:Wht, 3, clear view overlay front/back/spine, O ring, 120pt-Maxtile solid construction"</f>
        <v>BINDERS:Wht, 3, clear view overlay front/back/spine, O ring, 120pt-Maxtile solid construction</v>
      </c>
      <c r="G102" s="74" t="str">
        <f t="shared" si="2"/>
        <v>EA</v>
      </c>
      <c r="H102" s="7">
        <v>8.1999999999999993</v>
      </c>
      <c r="I102" s="2" t="str">
        <f t="shared" si="3"/>
        <v>44122003</v>
      </c>
      <c r="J102" s="10" t="s">
        <v>76</v>
      </c>
    </row>
    <row r="103" spans="1:10" ht="38.25">
      <c r="A103" s="9" t="s">
        <v>27</v>
      </c>
      <c r="B103" s="2" t="s">
        <v>325</v>
      </c>
      <c r="C103" s="2">
        <v>3201</v>
      </c>
      <c r="D103" s="2">
        <v>112</v>
      </c>
      <c r="E103" s="2" t="str">
        <f>"1000013384"</f>
        <v>1000013384</v>
      </c>
      <c r="F103" s="4" t="str">
        <f>"BINDERS:Lt Gry, 3, clear view overlay front/back/spine, O ring, 120pt-Maxtile solid construction"</f>
        <v>BINDERS:Lt Gry, 3, clear view overlay front/back/spine, O ring, 120pt-Maxtile solid construction</v>
      </c>
      <c r="G103" s="74" t="str">
        <f t="shared" si="2"/>
        <v>EA</v>
      </c>
      <c r="H103" s="7">
        <v>8.1999999999999993</v>
      </c>
      <c r="I103" s="2" t="str">
        <f t="shared" si="3"/>
        <v>44122003</v>
      </c>
      <c r="J103" s="10" t="s">
        <v>76</v>
      </c>
    </row>
    <row r="104" spans="1:10" ht="38.25">
      <c r="A104" s="9" t="s">
        <v>27</v>
      </c>
      <c r="B104" s="2" t="s">
        <v>325</v>
      </c>
      <c r="C104" s="2">
        <v>3201</v>
      </c>
      <c r="D104" s="2">
        <v>113</v>
      </c>
      <c r="E104" s="2" t="str">
        <f>"1000013385"</f>
        <v>1000013385</v>
      </c>
      <c r="F104" s="4" t="str">
        <f>"BINDERS:Orng, 3, clear view overlay front/back/spine, O ring, 120pt-Maxtile solid construction"</f>
        <v>BINDERS:Orng, 3, clear view overlay front/back/spine, O ring, 120pt-Maxtile solid construction</v>
      </c>
      <c r="G104" s="74" t="str">
        <f t="shared" si="2"/>
        <v>EA</v>
      </c>
      <c r="H104" s="7">
        <v>8.1999999999999993</v>
      </c>
      <c r="I104" s="2" t="str">
        <f t="shared" si="3"/>
        <v>44122003</v>
      </c>
      <c r="J104" s="10" t="s">
        <v>76</v>
      </c>
    </row>
    <row r="105" spans="1:10" ht="38.25">
      <c r="A105" s="9" t="s">
        <v>27</v>
      </c>
      <c r="B105" s="2" t="s">
        <v>325</v>
      </c>
      <c r="C105" s="2">
        <v>3201</v>
      </c>
      <c r="D105" s="2">
        <v>114</v>
      </c>
      <c r="E105" s="2" t="str">
        <f>"1000013386"</f>
        <v>1000013386</v>
      </c>
      <c r="F105" s="4" t="str">
        <f>"BINDERS:Yel, 3, clear view overlay front/back/spine, O ring, 120pt-Maxtile solid construction"</f>
        <v>BINDERS:Yel, 3, clear view overlay front/back/spine, O ring, 120pt-Maxtile solid construction</v>
      </c>
      <c r="G105" s="74" t="str">
        <f t="shared" si="2"/>
        <v>EA</v>
      </c>
      <c r="H105" s="7">
        <v>8.1999999999999993</v>
      </c>
      <c r="I105" s="2" t="str">
        <f t="shared" si="3"/>
        <v>44122003</v>
      </c>
      <c r="J105" s="10" t="s">
        <v>76</v>
      </c>
    </row>
    <row r="106" spans="1:10" ht="38.25">
      <c r="A106" s="9" t="s">
        <v>27</v>
      </c>
      <c r="B106" s="2" t="s">
        <v>325</v>
      </c>
      <c r="C106" s="2">
        <v>3201</v>
      </c>
      <c r="D106" s="2">
        <v>115</v>
      </c>
      <c r="E106" s="2" t="str">
        <f>"1000013387"</f>
        <v>1000013387</v>
      </c>
      <c r="F106" s="4" t="str">
        <f>"BINDERS:Grn, 3, clear view overlay front/back/spine, O ring, 120pt-Maxtile solid construction"</f>
        <v>BINDERS:Grn, 3, clear view overlay front/back/spine, O ring, 120pt-Maxtile solid construction</v>
      </c>
      <c r="G106" s="74" t="str">
        <f t="shared" si="2"/>
        <v>EA</v>
      </c>
      <c r="H106" s="7">
        <v>8.1999999999999993</v>
      </c>
      <c r="I106" s="2" t="str">
        <f t="shared" si="3"/>
        <v>44122003</v>
      </c>
      <c r="J106" s="10" t="s">
        <v>76</v>
      </c>
    </row>
    <row r="107" spans="1:10" ht="25.5">
      <c r="A107" s="9" t="s">
        <v>27</v>
      </c>
      <c r="B107" s="2" t="s">
        <v>325</v>
      </c>
      <c r="C107" s="2">
        <v>3201</v>
      </c>
      <c r="D107" s="2">
        <v>117</v>
      </c>
      <c r="E107" s="2" t="str">
        <f>"1000013388"</f>
        <v>1000013388</v>
      </c>
      <c r="F107" s="4" t="str">
        <f>"BINDERS:Blk, 1, D slant, deluxe, 120pt-Maxtile solid construction"</f>
        <v>BINDERS:Blk, 1, D slant, deluxe, 120pt-Maxtile solid construction</v>
      </c>
      <c r="G107" s="74" t="str">
        <f t="shared" si="2"/>
        <v>EA</v>
      </c>
      <c r="H107" s="7">
        <v>3.86</v>
      </c>
      <c r="I107" s="2" t="str">
        <f t="shared" si="3"/>
        <v>44122003</v>
      </c>
      <c r="J107" s="10" t="s">
        <v>76</v>
      </c>
    </row>
    <row r="108" spans="1:10" ht="25.5">
      <c r="A108" s="9" t="s">
        <v>27</v>
      </c>
      <c r="B108" s="2" t="s">
        <v>325</v>
      </c>
      <c r="C108" s="2">
        <v>3201</v>
      </c>
      <c r="D108" s="2">
        <v>118</v>
      </c>
      <c r="E108" s="2" t="str">
        <f>"1000013389"</f>
        <v>1000013389</v>
      </c>
      <c r="F108" s="4" t="str">
        <f>"BINDERS:Royl Blu, 1, D slant, deluxe, 120pt-Maxtile solid construction"</f>
        <v>BINDERS:Royl Blu, 1, D slant, deluxe, 120pt-Maxtile solid construction</v>
      </c>
      <c r="G108" s="74" t="str">
        <f t="shared" si="2"/>
        <v>EA</v>
      </c>
      <c r="H108" s="7">
        <v>3.86</v>
      </c>
      <c r="I108" s="2" t="str">
        <f t="shared" si="3"/>
        <v>44122003</v>
      </c>
      <c r="J108" s="10" t="s">
        <v>76</v>
      </c>
    </row>
    <row r="109" spans="1:10" ht="25.5">
      <c r="A109" s="9" t="s">
        <v>27</v>
      </c>
      <c r="B109" s="2" t="s">
        <v>325</v>
      </c>
      <c r="C109" s="2">
        <v>3201</v>
      </c>
      <c r="D109" s="2">
        <v>119</v>
      </c>
      <c r="E109" s="2" t="str">
        <f>"1000013390"</f>
        <v>1000013390</v>
      </c>
      <c r="F109" s="4" t="str">
        <f>"BINDERS:Red, 1, D slant, deluxe, 120pt-Maxtile solid construction"</f>
        <v>BINDERS:Red, 1, D slant, deluxe, 120pt-Maxtile solid construction</v>
      </c>
      <c r="G109" s="74" t="str">
        <f t="shared" si="2"/>
        <v>EA</v>
      </c>
      <c r="H109" s="7">
        <v>3.86</v>
      </c>
      <c r="I109" s="2" t="str">
        <f t="shared" si="3"/>
        <v>44122003</v>
      </c>
      <c r="J109" s="10" t="s">
        <v>76</v>
      </c>
    </row>
    <row r="110" spans="1:10" ht="25.5">
      <c r="A110" s="9" t="s">
        <v>27</v>
      </c>
      <c r="B110" s="2" t="s">
        <v>325</v>
      </c>
      <c r="C110" s="2">
        <v>3201</v>
      </c>
      <c r="D110" s="2">
        <v>120</v>
      </c>
      <c r="E110" s="2" t="str">
        <f>"1000013391"</f>
        <v>1000013391</v>
      </c>
      <c r="F110" s="4" t="str">
        <f>"BINDERS:Wht, 1, D slant, deluxe, 120pt-Maxtile solid construction"</f>
        <v>BINDERS:Wht, 1, D slant, deluxe, 120pt-Maxtile solid construction</v>
      </c>
      <c r="G110" s="74" t="str">
        <f t="shared" si="2"/>
        <v>EA</v>
      </c>
      <c r="H110" s="7">
        <v>3.86</v>
      </c>
      <c r="I110" s="2" t="str">
        <f t="shared" si="3"/>
        <v>44122003</v>
      </c>
      <c r="J110" s="10" t="s">
        <v>76</v>
      </c>
    </row>
    <row r="111" spans="1:10" ht="38.25">
      <c r="A111" s="9" t="s">
        <v>27</v>
      </c>
      <c r="B111" s="2" t="s">
        <v>325</v>
      </c>
      <c r="C111" s="2">
        <v>3201</v>
      </c>
      <c r="D111" s="2">
        <v>90</v>
      </c>
      <c r="E111" s="2" t="str">
        <f>"1000013392"</f>
        <v>1000013392</v>
      </c>
      <c r="F111" s="4" t="str">
        <f>"BINDERS:Lt Gry, 2, clear view overlay front/back/spine, O ring, 120pt-Maxtile solid construction"</f>
        <v>BINDERS:Lt Gry, 2, clear view overlay front/back/spine, O ring, 120pt-Maxtile solid construction</v>
      </c>
      <c r="G111" s="74" t="str">
        <f t="shared" si="2"/>
        <v>EA</v>
      </c>
      <c r="H111" s="7">
        <v>6.7</v>
      </c>
      <c r="I111" s="2" t="str">
        <f t="shared" si="3"/>
        <v>44122003</v>
      </c>
      <c r="J111" s="10" t="s">
        <v>76</v>
      </c>
    </row>
    <row r="112" spans="1:10" ht="38.25">
      <c r="A112" s="9" t="s">
        <v>27</v>
      </c>
      <c r="B112" s="2" t="s">
        <v>325</v>
      </c>
      <c r="C112" s="2">
        <v>3201</v>
      </c>
      <c r="D112" s="2">
        <v>91</v>
      </c>
      <c r="E112" s="2" t="str">
        <f>"1000013393"</f>
        <v>1000013393</v>
      </c>
      <c r="F112" s="4" t="str">
        <f>"BINDERS:Orng, 2, clear view overlay front/back/spine, O ring, 120pt-Maxtile solid construction"</f>
        <v>BINDERS:Orng, 2, clear view overlay front/back/spine, O ring, 120pt-Maxtile solid construction</v>
      </c>
      <c r="G112" s="74" t="str">
        <f t="shared" si="2"/>
        <v>EA</v>
      </c>
      <c r="H112" s="7">
        <v>6.7</v>
      </c>
      <c r="I112" s="2" t="str">
        <f t="shared" si="3"/>
        <v>44122003</v>
      </c>
      <c r="J112" s="10" t="s">
        <v>76</v>
      </c>
    </row>
    <row r="113" spans="1:10" ht="25.5">
      <c r="A113" s="9" t="s">
        <v>27</v>
      </c>
      <c r="B113" s="2" t="s">
        <v>325</v>
      </c>
      <c r="C113" s="2">
        <v>3201</v>
      </c>
      <c r="D113" s="2">
        <v>123</v>
      </c>
      <c r="E113" s="2" t="str">
        <f>"1000013394"</f>
        <v>1000013394</v>
      </c>
      <c r="F113" s="4" t="str">
        <f>"BINDERS:Yel, 1, D slant, deluxe, 120pt-Maxtile solid construction"</f>
        <v>BINDERS:Yel, 1, D slant, deluxe, 120pt-Maxtile solid construction</v>
      </c>
      <c r="G113" s="74" t="str">
        <f t="shared" si="2"/>
        <v>EA</v>
      </c>
      <c r="H113" s="7">
        <v>3.86</v>
      </c>
      <c r="I113" s="2" t="str">
        <f t="shared" si="3"/>
        <v>44122003</v>
      </c>
      <c r="J113" s="10" t="s">
        <v>76</v>
      </c>
    </row>
    <row r="114" spans="1:10" ht="25.5">
      <c r="A114" s="9" t="s">
        <v>27</v>
      </c>
      <c r="B114" s="2" t="s">
        <v>325</v>
      </c>
      <c r="C114" s="2">
        <v>3201</v>
      </c>
      <c r="D114" s="2">
        <v>124</v>
      </c>
      <c r="E114" s="2" t="str">
        <f>"1000013395"</f>
        <v>1000013395</v>
      </c>
      <c r="F114" s="4" t="str">
        <f>"BINDERS:Grn, 1, D slant, deluxe, 120pt-Maxtile solid construction"</f>
        <v>BINDERS:Grn, 1, D slant, deluxe, 120pt-Maxtile solid construction</v>
      </c>
      <c r="G114" s="74" t="str">
        <f t="shared" si="2"/>
        <v>EA</v>
      </c>
      <c r="H114" s="7">
        <v>3.86</v>
      </c>
      <c r="I114" s="2" t="str">
        <f t="shared" si="3"/>
        <v>44122003</v>
      </c>
      <c r="J114" s="10" t="s">
        <v>76</v>
      </c>
    </row>
    <row r="115" spans="1:10" ht="25.5">
      <c r="A115" s="9" t="s">
        <v>27</v>
      </c>
      <c r="B115" s="2" t="s">
        <v>325</v>
      </c>
      <c r="C115" s="2">
        <v>3201</v>
      </c>
      <c r="D115" s="2">
        <v>125</v>
      </c>
      <c r="E115" s="2" t="str">
        <f>"1000013396"</f>
        <v>1000013396</v>
      </c>
      <c r="F115" s="4" t="str">
        <f>"BINDERS:Burg, 1, D slant, deluxe, 120pt-Maxtile solid construction"</f>
        <v>BINDERS:Burg, 1, D slant, deluxe, 120pt-Maxtile solid construction</v>
      </c>
      <c r="G115" s="74" t="str">
        <f t="shared" si="2"/>
        <v>EA</v>
      </c>
      <c r="H115" s="7">
        <v>3.86</v>
      </c>
      <c r="I115" s="2" t="str">
        <f t="shared" si="3"/>
        <v>44122003</v>
      </c>
      <c r="J115" s="10" t="s">
        <v>76</v>
      </c>
    </row>
    <row r="116" spans="1:10" ht="25.5">
      <c r="A116" s="9" t="s">
        <v>27</v>
      </c>
      <c r="B116" s="2" t="s">
        <v>325</v>
      </c>
      <c r="C116" s="2">
        <v>3201</v>
      </c>
      <c r="D116" s="2">
        <v>126</v>
      </c>
      <c r="E116" s="2" t="str">
        <f>"1000013397"</f>
        <v>1000013397</v>
      </c>
      <c r="F116" s="4" t="str">
        <f>"BINDERS:Navy, 1, D slant, deluxe, 120pt-Maxtile solid construction"</f>
        <v>BINDERS:Navy, 1, D slant, deluxe, 120pt-Maxtile solid construction</v>
      </c>
      <c r="G116" s="74" t="str">
        <f t="shared" si="2"/>
        <v>EA</v>
      </c>
      <c r="H116" s="7">
        <v>3.86</v>
      </c>
      <c r="I116" s="2" t="str">
        <f t="shared" si="3"/>
        <v>44122003</v>
      </c>
      <c r="J116" s="10" t="s">
        <v>76</v>
      </c>
    </row>
    <row r="117" spans="1:10" ht="38.25">
      <c r="A117" s="9" t="s">
        <v>27</v>
      </c>
      <c r="B117" s="2" t="s">
        <v>325</v>
      </c>
      <c r="C117" s="2">
        <v>3201</v>
      </c>
      <c r="D117" s="2">
        <v>128</v>
      </c>
      <c r="E117" s="2" t="str">
        <f>"1000013398"</f>
        <v>1000013398</v>
      </c>
      <c r="F117" s="4" t="str">
        <f>"BINDERS:Blk, 1, D, clear view overlay front/back/spine, deluxe, 120pt-Maxtile solid construction"</f>
        <v>BINDERS:Blk, 1, D, clear view overlay front/back/spine, deluxe, 120pt-Maxtile solid construction</v>
      </c>
      <c r="G117" s="74" t="str">
        <f t="shared" si="2"/>
        <v>EA</v>
      </c>
      <c r="H117" s="7">
        <v>5.41</v>
      </c>
      <c r="I117" s="2" t="str">
        <f t="shared" si="3"/>
        <v>44122003</v>
      </c>
      <c r="J117" s="10" t="s">
        <v>76</v>
      </c>
    </row>
    <row r="118" spans="1:10" ht="38.25">
      <c r="A118" s="9" t="s">
        <v>27</v>
      </c>
      <c r="B118" s="2" t="s">
        <v>325</v>
      </c>
      <c r="C118" s="2">
        <v>3201</v>
      </c>
      <c r="D118" s="2">
        <v>129</v>
      </c>
      <c r="E118" s="2" t="str">
        <f>"1000013399"</f>
        <v>1000013399</v>
      </c>
      <c r="F118" s="4" t="str">
        <f>"BINDERS:Royl Blu, 1, D, clear view overlay front/back/spine, deluxe, 120pt-Maxtile solid construction"</f>
        <v>BINDERS:Royl Blu, 1, D, clear view overlay front/back/spine, deluxe, 120pt-Maxtile solid construction</v>
      </c>
      <c r="G118" s="74" t="str">
        <f t="shared" si="2"/>
        <v>EA</v>
      </c>
      <c r="H118" s="7">
        <v>5.41</v>
      </c>
      <c r="I118" s="2" t="str">
        <f t="shared" si="3"/>
        <v>44122003</v>
      </c>
      <c r="J118" s="10" t="s">
        <v>76</v>
      </c>
    </row>
    <row r="119" spans="1:10" ht="38.25">
      <c r="A119" s="9" t="s">
        <v>27</v>
      </c>
      <c r="B119" s="2" t="s">
        <v>325</v>
      </c>
      <c r="C119" s="2">
        <v>3201</v>
      </c>
      <c r="D119" s="2">
        <v>130</v>
      </c>
      <c r="E119" s="2" t="str">
        <f>"1000013400"</f>
        <v>1000013400</v>
      </c>
      <c r="F119" s="4" t="str">
        <f>"BINDERS:Red, 1, D, clear view overlay front/back/spine, deluxe, 120pt-Maxtile solid construction"</f>
        <v>BINDERS:Red, 1, D, clear view overlay front/back/spine, deluxe, 120pt-Maxtile solid construction</v>
      </c>
      <c r="G119" s="74" t="str">
        <f t="shared" si="2"/>
        <v>EA</v>
      </c>
      <c r="H119" s="7">
        <v>5.41</v>
      </c>
      <c r="I119" s="2" t="str">
        <f t="shared" si="3"/>
        <v>44122003</v>
      </c>
      <c r="J119" s="10" t="s">
        <v>76</v>
      </c>
    </row>
    <row r="120" spans="1:10" ht="38.25">
      <c r="A120" s="9" t="s">
        <v>27</v>
      </c>
      <c r="B120" s="2" t="s">
        <v>325</v>
      </c>
      <c r="C120" s="2">
        <v>3201</v>
      </c>
      <c r="D120" s="2">
        <v>131</v>
      </c>
      <c r="E120" s="2" t="str">
        <f>"1000013401"</f>
        <v>1000013401</v>
      </c>
      <c r="F120" s="4" t="str">
        <f>"BINDERS:Wht, 1, D, clear view overlay front/back/spine, deluxe, 120pt-Maxtile solid construction"</f>
        <v>BINDERS:Wht, 1, D, clear view overlay front/back/spine, deluxe, 120pt-Maxtile solid construction</v>
      </c>
      <c r="G120" s="74" t="str">
        <f t="shared" si="2"/>
        <v>EA</v>
      </c>
      <c r="H120" s="7">
        <v>5.41</v>
      </c>
      <c r="I120" s="2" t="str">
        <f t="shared" si="3"/>
        <v>44122003</v>
      </c>
      <c r="J120" s="10" t="s">
        <v>76</v>
      </c>
    </row>
    <row r="121" spans="1:10" ht="38.25">
      <c r="A121" s="9" t="s">
        <v>27</v>
      </c>
      <c r="B121" s="2" t="s">
        <v>325</v>
      </c>
      <c r="C121" s="2">
        <v>3201</v>
      </c>
      <c r="D121" s="2">
        <v>132</v>
      </c>
      <c r="E121" s="2" t="str">
        <f>"1000013402"</f>
        <v>1000013402</v>
      </c>
      <c r="F121" s="4" t="str">
        <f>"BINDERS:Lt Gray, 1, D, clear view overlay front/back/spine, deluxe, 120pt-Maxtile solid construction"</f>
        <v>BINDERS:Lt Gray, 1, D, clear view overlay front/back/spine, deluxe, 120pt-Maxtile solid construction</v>
      </c>
      <c r="G121" s="74" t="str">
        <f t="shared" si="2"/>
        <v>EA</v>
      </c>
      <c r="H121" s="7">
        <v>5.41</v>
      </c>
      <c r="I121" s="2" t="str">
        <f t="shared" si="3"/>
        <v>44122003</v>
      </c>
      <c r="J121" s="10" t="s">
        <v>76</v>
      </c>
    </row>
    <row r="122" spans="1:10" ht="38.25">
      <c r="A122" s="9" t="s">
        <v>27</v>
      </c>
      <c r="B122" s="2" t="s">
        <v>325</v>
      </c>
      <c r="C122" s="2">
        <v>3201</v>
      </c>
      <c r="D122" s="2">
        <v>133</v>
      </c>
      <c r="E122" s="2" t="str">
        <f>"1000013403"</f>
        <v>1000013403</v>
      </c>
      <c r="F122" s="4" t="str">
        <f>"BINDERS:Orng, 1, D, clear view overlay front/back/spine, deluxe, 120pt-Maxtile solid construction"</f>
        <v>BINDERS:Orng, 1, D, clear view overlay front/back/spine, deluxe, 120pt-Maxtile solid construction</v>
      </c>
      <c r="G122" s="74" t="str">
        <f t="shared" si="2"/>
        <v>EA</v>
      </c>
      <c r="H122" s="7">
        <v>5.41</v>
      </c>
      <c r="I122" s="2" t="str">
        <f t="shared" si="3"/>
        <v>44122003</v>
      </c>
      <c r="J122" s="10" t="s">
        <v>76</v>
      </c>
    </row>
    <row r="123" spans="1:10" ht="38.25">
      <c r="A123" s="9" t="s">
        <v>27</v>
      </c>
      <c r="B123" s="2" t="s">
        <v>325</v>
      </c>
      <c r="C123" s="2">
        <v>3201</v>
      </c>
      <c r="D123" s="2">
        <v>134</v>
      </c>
      <c r="E123" s="2" t="str">
        <f>"1000013404"</f>
        <v>1000013404</v>
      </c>
      <c r="F123" s="4" t="str">
        <f>"BINDERS:Yel, 1, D, clear view overlay front/back/spine, deluxe, 120pt-Maxtile solid construction"</f>
        <v>BINDERS:Yel, 1, D, clear view overlay front/back/spine, deluxe, 120pt-Maxtile solid construction</v>
      </c>
      <c r="G123" s="74" t="str">
        <f t="shared" si="2"/>
        <v>EA</v>
      </c>
      <c r="H123" s="7">
        <v>5.41</v>
      </c>
      <c r="I123" s="2" t="str">
        <f t="shared" si="3"/>
        <v>44122003</v>
      </c>
      <c r="J123" s="10" t="s">
        <v>76</v>
      </c>
    </row>
    <row r="124" spans="1:10" ht="38.25">
      <c r="A124" s="9" t="s">
        <v>27</v>
      </c>
      <c r="B124" s="2" t="s">
        <v>325</v>
      </c>
      <c r="C124" s="2">
        <v>3201</v>
      </c>
      <c r="D124" s="2">
        <v>135</v>
      </c>
      <c r="E124" s="2" t="str">
        <f>"1000013405"</f>
        <v>1000013405</v>
      </c>
      <c r="F124" s="4" t="str">
        <f>"BINDERS:Grn, 1, D, clear view overlay front/back/spine, deluxe, 120pt-Maxtile solid construction"</f>
        <v>BINDERS:Grn, 1, D, clear view overlay front/back/spine, deluxe, 120pt-Maxtile solid construction</v>
      </c>
      <c r="G124" s="74" t="str">
        <f t="shared" si="2"/>
        <v>EA</v>
      </c>
      <c r="H124" s="7">
        <v>5.41</v>
      </c>
      <c r="I124" s="2" t="str">
        <f t="shared" si="3"/>
        <v>44122003</v>
      </c>
      <c r="J124" s="10" t="s">
        <v>76</v>
      </c>
    </row>
    <row r="125" spans="1:10" ht="25.5">
      <c r="A125" s="9" t="s">
        <v>27</v>
      </c>
      <c r="B125" s="2" t="s">
        <v>325</v>
      </c>
      <c r="C125" s="2">
        <v>3201</v>
      </c>
      <c r="D125" s="2">
        <v>105</v>
      </c>
      <c r="E125" s="2" t="str">
        <f>"1000013406"</f>
        <v>1000013406</v>
      </c>
      <c r="F125" s="4" t="str">
        <f>"BINDERS:Burg, 3 size, O ring, 120pt-Maxtile solid construction"</f>
        <v>BINDERS:Burg, 3 size, O ring, 120pt-Maxtile solid construction</v>
      </c>
      <c r="G125" s="74" t="str">
        <f t="shared" si="2"/>
        <v>EA</v>
      </c>
      <c r="H125" s="7">
        <v>7.9</v>
      </c>
      <c r="I125" s="2" t="str">
        <f t="shared" si="3"/>
        <v>44122003</v>
      </c>
      <c r="J125" s="10" t="s">
        <v>76</v>
      </c>
    </row>
    <row r="126" spans="1:10" ht="25.5">
      <c r="A126" s="9" t="s">
        <v>27</v>
      </c>
      <c r="B126" s="2" t="s">
        <v>325</v>
      </c>
      <c r="C126" s="2">
        <v>3201</v>
      </c>
      <c r="D126" s="2">
        <v>106</v>
      </c>
      <c r="E126" s="2" t="str">
        <f>"1000013407"</f>
        <v>1000013407</v>
      </c>
      <c r="F126" s="4" t="str">
        <f>"BINDERS:Navy, 3 size, O ring, 120pt-Maxtile solid construction"</f>
        <v>BINDERS:Navy, 3 size, O ring, 120pt-Maxtile solid construction</v>
      </c>
      <c r="G126" s="74" t="str">
        <f t="shared" si="2"/>
        <v>EA</v>
      </c>
      <c r="H126" s="7">
        <v>7.9</v>
      </c>
      <c r="I126" s="2" t="str">
        <f t="shared" si="3"/>
        <v>44122003</v>
      </c>
      <c r="J126" s="10" t="s">
        <v>76</v>
      </c>
    </row>
    <row r="127" spans="1:10" ht="25.5">
      <c r="A127" s="9" t="s">
        <v>27</v>
      </c>
      <c r="B127" s="2" t="s">
        <v>325</v>
      </c>
      <c r="C127" s="2">
        <v>3201</v>
      </c>
      <c r="D127" s="2">
        <v>139</v>
      </c>
      <c r="E127" s="2" t="str">
        <f>"1000013408"</f>
        <v>1000013408</v>
      </c>
      <c r="F127" s="4" t="str">
        <f>"BINDERS:Blk, 1.5, D slant, deluxe, 120pt-Maxtile solid construction"</f>
        <v>BINDERS:Blk, 1.5, D slant, deluxe, 120pt-Maxtile solid construction</v>
      </c>
      <c r="G127" s="74" t="str">
        <f t="shared" si="2"/>
        <v>EA</v>
      </c>
      <c r="H127" s="7">
        <v>6.4</v>
      </c>
      <c r="I127" s="2" t="str">
        <f t="shared" si="3"/>
        <v>44122003</v>
      </c>
      <c r="J127" s="10" t="s">
        <v>76</v>
      </c>
    </row>
    <row r="128" spans="1:10" ht="25.5">
      <c r="A128" s="9" t="s">
        <v>27</v>
      </c>
      <c r="B128" s="2" t="s">
        <v>325</v>
      </c>
      <c r="C128" s="2">
        <v>3201</v>
      </c>
      <c r="D128" s="2">
        <v>140</v>
      </c>
      <c r="E128" s="2" t="str">
        <f>"1000013409"</f>
        <v>1000013409</v>
      </c>
      <c r="F128" s="4" t="str">
        <f>"BINDERS:Royl Blu, 1.5, D slant, deluxe, 120pt-Maxtile solid construction"</f>
        <v>BINDERS:Royl Blu, 1.5, D slant, deluxe, 120pt-Maxtile solid construction</v>
      </c>
      <c r="G128" s="74" t="str">
        <f t="shared" si="2"/>
        <v>EA</v>
      </c>
      <c r="H128" s="7">
        <v>6.4</v>
      </c>
      <c r="I128" s="2" t="str">
        <f t="shared" si="3"/>
        <v>44122003</v>
      </c>
      <c r="J128" s="10" t="s">
        <v>76</v>
      </c>
    </row>
    <row r="129" spans="1:10" ht="25.5">
      <c r="A129" s="9" t="s">
        <v>27</v>
      </c>
      <c r="B129" s="2" t="s">
        <v>325</v>
      </c>
      <c r="C129" s="2">
        <v>3201</v>
      </c>
      <c r="D129" s="2">
        <v>141</v>
      </c>
      <c r="E129" s="2" t="str">
        <f>"1000013410"</f>
        <v>1000013410</v>
      </c>
      <c r="F129" s="4" t="str">
        <f>"BINDERS:Red, 1.5, D slant, deluxe, 120pt-Maxtile solid construction"</f>
        <v>BINDERS:Red, 1.5, D slant, deluxe, 120pt-Maxtile solid construction</v>
      </c>
      <c r="G129" s="74" t="str">
        <f t="shared" si="2"/>
        <v>EA</v>
      </c>
      <c r="H129" s="7">
        <v>6.4</v>
      </c>
      <c r="I129" s="2" t="str">
        <f t="shared" si="3"/>
        <v>44122003</v>
      </c>
      <c r="J129" s="10" t="s">
        <v>76</v>
      </c>
    </row>
    <row r="130" spans="1:10" ht="25.5">
      <c r="A130" s="9" t="s">
        <v>27</v>
      </c>
      <c r="B130" s="2" t="s">
        <v>325</v>
      </c>
      <c r="C130" s="2">
        <v>3201</v>
      </c>
      <c r="D130" s="2">
        <v>142</v>
      </c>
      <c r="E130" s="2" t="str">
        <f>"1000013411"</f>
        <v>1000013411</v>
      </c>
      <c r="F130" s="4" t="str">
        <f>"BINDERS:Wht, 1.5, D slant, deluxe, 120pt-Maxtile solid construction"</f>
        <v>BINDERS:Wht, 1.5, D slant, deluxe, 120pt-Maxtile solid construction</v>
      </c>
      <c r="G130" s="74" t="str">
        <f t="shared" si="2"/>
        <v>EA</v>
      </c>
      <c r="H130" s="7">
        <v>6.4</v>
      </c>
      <c r="I130" s="2" t="str">
        <f t="shared" si="3"/>
        <v>44122003</v>
      </c>
      <c r="J130" s="10" t="s">
        <v>76</v>
      </c>
    </row>
    <row r="131" spans="1:10" ht="25.5">
      <c r="A131" s="9" t="s">
        <v>27</v>
      </c>
      <c r="B131" s="2" t="s">
        <v>325</v>
      </c>
      <c r="C131" s="2">
        <v>3201</v>
      </c>
      <c r="D131" s="2">
        <v>143</v>
      </c>
      <c r="E131" s="2" t="str">
        <f>"1000013412"</f>
        <v>1000013412</v>
      </c>
      <c r="F131" s="4" t="str">
        <f>"BINDERS:Lt Gry, 1.5, D slant, deluxe, 120pt-Maxtile solid construction"</f>
        <v>BINDERS:Lt Gry, 1.5, D slant, deluxe, 120pt-Maxtile solid construction</v>
      </c>
      <c r="G131" s="74" t="str">
        <f t="shared" si="2"/>
        <v>EA</v>
      </c>
      <c r="H131" s="7">
        <v>6.4</v>
      </c>
      <c r="I131" s="2" t="str">
        <f t="shared" si="3"/>
        <v>44122003</v>
      </c>
      <c r="J131" s="10" t="s">
        <v>76</v>
      </c>
    </row>
    <row r="132" spans="1:10" ht="25.5">
      <c r="A132" s="9" t="s">
        <v>27</v>
      </c>
      <c r="B132" s="2" t="s">
        <v>325</v>
      </c>
      <c r="C132" s="2">
        <v>3201</v>
      </c>
      <c r="D132" s="2">
        <v>144</v>
      </c>
      <c r="E132" s="2" t="str">
        <f>"1000013413"</f>
        <v>1000013413</v>
      </c>
      <c r="F132" s="4" t="str">
        <f>"BINDERS:Orng, 1.5, D slant, deluxe, 120pt-Maxtile solid construction"</f>
        <v>BINDERS:Orng, 1.5, D slant, deluxe, 120pt-Maxtile solid construction</v>
      </c>
      <c r="G132" s="74" t="str">
        <f t="shared" si="2"/>
        <v>EA</v>
      </c>
      <c r="H132" s="7">
        <v>6.4</v>
      </c>
      <c r="I132" s="2" t="str">
        <f t="shared" si="3"/>
        <v>44122003</v>
      </c>
      <c r="J132" s="10" t="s">
        <v>76</v>
      </c>
    </row>
    <row r="133" spans="1:10" ht="25.5">
      <c r="A133" s="9" t="s">
        <v>27</v>
      </c>
      <c r="B133" s="2" t="s">
        <v>325</v>
      </c>
      <c r="C133" s="2">
        <v>3201</v>
      </c>
      <c r="D133" s="2">
        <v>145</v>
      </c>
      <c r="E133" s="2" t="str">
        <f>"1000013414"</f>
        <v>1000013414</v>
      </c>
      <c r="F133" s="4" t="str">
        <f>"BINDERS:Yel, 1.5, D slant, deluxe, 120pt-Maxtile solid construction"</f>
        <v>BINDERS:Yel, 1.5, D slant, deluxe, 120pt-Maxtile solid construction</v>
      </c>
      <c r="G133" s="74" t="str">
        <f t="shared" si="2"/>
        <v>EA</v>
      </c>
      <c r="H133" s="7">
        <v>6.4</v>
      </c>
      <c r="I133" s="2" t="str">
        <f t="shared" si="3"/>
        <v>44122003</v>
      </c>
      <c r="J133" s="10" t="s">
        <v>76</v>
      </c>
    </row>
    <row r="134" spans="1:10" ht="25.5">
      <c r="A134" s="9" t="s">
        <v>27</v>
      </c>
      <c r="B134" s="2" t="s">
        <v>325</v>
      </c>
      <c r="C134" s="2">
        <v>3201</v>
      </c>
      <c r="D134" s="2">
        <v>146</v>
      </c>
      <c r="E134" s="2" t="str">
        <f>"1000013415"</f>
        <v>1000013415</v>
      </c>
      <c r="F134" s="4" t="str">
        <f>"BINDERS:Grn, 1.5, D slant, deluxe, 120pt-Maxtile solid construction"</f>
        <v>BINDERS:Grn, 1.5, D slant, deluxe, 120pt-Maxtile solid construction</v>
      </c>
      <c r="G134" s="74" t="str">
        <f t="shared" si="2"/>
        <v>EA</v>
      </c>
      <c r="H134" s="7">
        <v>6.4</v>
      </c>
      <c r="I134" s="2" t="str">
        <f t="shared" si="3"/>
        <v>44122003</v>
      </c>
      <c r="J134" s="10" t="s">
        <v>76</v>
      </c>
    </row>
    <row r="135" spans="1:10" ht="25.5">
      <c r="A135" s="9" t="s">
        <v>27</v>
      </c>
      <c r="B135" s="2" t="s">
        <v>325</v>
      </c>
      <c r="C135" s="2">
        <v>3201</v>
      </c>
      <c r="D135" s="2">
        <v>147</v>
      </c>
      <c r="E135" s="2" t="str">
        <f>"1000013416"</f>
        <v>1000013416</v>
      </c>
      <c r="F135" s="4" t="str">
        <f>"BINDERS:Burg, 1.5, D slant, deluxe, 120pt-Maxtile solid construction"</f>
        <v>BINDERS:Burg, 1.5, D slant, deluxe, 120pt-Maxtile solid construction</v>
      </c>
      <c r="G135" s="74" t="str">
        <f t="shared" si="2"/>
        <v>EA</v>
      </c>
      <c r="H135" s="7">
        <v>6.4</v>
      </c>
      <c r="I135" s="2" t="str">
        <f t="shared" si="3"/>
        <v>44122003</v>
      </c>
      <c r="J135" s="10" t="s">
        <v>76</v>
      </c>
    </row>
    <row r="136" spans="1:10" ht="25.5">
      <c r="A136" s="9" t="s">
        <v>27</v>
      </c>
      <c r="B136" s="2" t="s">
        <v>325</v>
      </c>
      <c r="C136" s="2">
        <v>3201</v>
      </c>
      <c r="D136" s="2">
        <v>148</v>
      </c>
      <c r="E136" s="2" t="str">
        <f>"1000013417"</f>
        <v>1000013417</v>
      </c>
      <c r="F136" s="4" t="str">
        <f>"BINDERS:Navy, 1.5, D slant, deluxe, 120pt-Maxtile solid construction"</f>
        <v>BINDERS:Navy, 1.5, D slant, deluxe, 120pt-Maxtile solid construction</v>
      </c>
      <c r="G136" s="74" t="str">
        <f t="shared" si="2"/>
        <v>EA</v>
      </c>
      <c r="H136" s="7">
        <v>6.4</v>
      </c>
      <c r="I136" s="2" t="str">
        <f t="shared" si="3"/>
        <v>44122003</v>
      </c>
      <c r="J136" s="10" t="s">
        <v>76</v>
      </c>
    </row>
    <row r="137" spans="1:10" ht="38.25">
      <c r="A137" s="9" t="s">
        <v>27</v>
      </c>
      <c r="B137" s="2" t="s">
        <v>325</v>
      </c>
      <c r="C137" s="2">
        <v>3201</v>
      </c>
      <c r="D137" s="2">
        <v>150</v>
      </c>
      <c r="E137" s="2" t="str">
        <f>"1000013418"</f>
        <v>1000013418</v>
      </c>
      <c r="F137" s="4" t="str">
        <f>"BINDERS:Blk, 1.5, D, clear view overlay front/back/spine, deluxe, 120pt-Maxtile solid construction"</f>
        <v>BINDERS:Blk, 1.5, D, clear view overlay front/back/spine, deluxe, 120pt-Maxtile solid construction</v>
      </c>
      <c r="G137" s="74" t="str">
        <f t="shared" si="2"/>
        <v>EA</v>
      </c>
      <c r="H137" s="7">
        <v>6.74</v>
      </c>
      <c r="I137" s="2" t="str">
        <f t="shared" si="3"/>
        <v>44122003</v>
      </c>
      <c r="J137" s="10" t="s">
        <v>76</v>
      </c>
    </row>
    <row r="138" spans="1:10" ht="38.25">
      <c r="A138" s="9" t="s">
        <v>27</v>
      </c>
      <c r="B138" s="2" t="s">
        <v>325</v>
      </c>
      <c r="C138" s="2">
        <v>3201</v>
      </c>
      <c r="D138" s="2">
        <v>151</v>
      </c>
      <c r="E138" s="2" t="str">
        <f>"1000013419"</f>
        <v>1000013419</v>
      </c>
      <c r="F138" s="4" t="str">
        <f>"BINDERS:Royl Blu, 1.5, D, clear view overlay front/back/spine, deluxe, 120pt-Maxtile solid construction"</f>
        <v>BINDERS:Royl Blu, 1.5, D, clear view overlay front/back/spine, deluxe, 120pt-Maxtile solid construction</v>
      </c>
      <c r="G138" s="74" t="str">
        <f t="shared" si="2"/>
        <v>EA</v>
      </c>
      <c r="H138" s="7">
        <v>6.74</v>
      </c>
      <c r="I138" s="2" t="str">
        <f t="shared" si="3"/>
        <v>44122003</v>
      </c>
      <c r="J138" s="10" t="s">
        <v>76</v>
      </c>
    </row>
    <row r="139" spans="1:10" ht="25.5">
      <c r="A139" s="9" t="s">
        <v>27</v>
      </c>
      <c r="B139" s="2" t="s">
        <v>325</v>
      </c>
      <c r="C139" s="2">
        <v>3201</v>
      </c>
      <c r="D139" s="2">
        <v>121</v>
      </c>
      <c r="E139" s="2" t="str">
        <f>"1000013420"</f>
        <v>1000013420</v>
      </c>
      <c r="F139" s="4" t="str">
        <f>"BINDERS:Lt Gry, 1, D slant, deluxe, 120pt-Maxtile solid construction"</f>
        <v>BINDERS:Lt Gry, 1, D slant, deluxe, 120pt-Maxtile solid construction</v>
      </c>
      <c r="G139" s="74" t="str">
        <f t="shared" si="2"/>
        <v>EA</v>
      </c>
      <c r="H139" s="7">
        <v>3.86</v>
      </c>
      <c r="I139" s="2" t="str">
        <f t="shared" si="3"/>
        <v>44122003</v>
      </c>
      <c r="J139" s="10" t="s">
        <v>76</v>
      </c>
    </row>
    <row r="140" spans="1:10" ht="25.5">
      <c r="A140" s="9" t="s">
        <v>27</v>
      </c>
      <c r="B140" s="2" t="s">
        <v>325</v>
      </c>
      <c r="C140" s="2">
        <v>3201</v>
      </c>
      <c r="D140" s="2">
        <v>122</v>
      </c>
      <c r="E140" s="2" t="str">
        <f>"1000013421"</f>
        <v>1000013421</v>
      </c>
      <c r="F140" s="4" t="str">
        <f>"BINDERS:Orng, 1, D slant, deluxe, 120pt-Maxtile solid construction"</f>
        <v>BINDERS:Orng, 1, D slant, deluxe, 120pt-Maxtile solid construction</v>
      </c>
      <c r="G140" s="74" t="str">
        <f t="shared" si="2"/>
        <v>EA</v>
      </c>
      <c r="H140" s="7">
        <v>3.86</v>
      </c>
      <c r="I140" s="2" t="str">
        <f t="shared" si="3"/>
        <v>44122003</v>
      </c>
      <c r="J140" s="10" t="s">
        <v>76</v>
      </c>
    </row>
    <row r="141" spans="1:10" ht="38.25">
      <c r="A141" s="9" t="s">
        <v>27</v>
      </c>
      <c r="B141" s="2" t="s">
        <v>325</v>
      </c>
      <c r="C141" s="2">
        <v>3201</v>
      </c>
      <c r="D141" s="2">
        <v>154</v>
      </c>
      <c r="E141" s="2" t="str">
        <f>"1000013422"</f>
        <v>1000013422</v>
      </c>
      <c r="F141" s="4" t="str">
        <f>"BINDERS:Lt Gray, 1.5, D, clear view overlay front/back/spine, deluxe, 120pt-Maxtile solid construction"</f>
        <v>BINDERS:Lt Gray, 1.5, D, clear view overlay front/back/spine, deluxe, 120pt-Maxtile solid construction</v>
      </c>
      <c r="G141" s="74" t="str">
        <f t="shared" si="2"/>
        <v>EA</v>
      </c>
      <c r="H141" s="7">
        <v>6.74</v>
      </c>
      <c r="I141" s="2" t="str">
        <f t="shared" si="3"/>
        <v>44122003</v>
      </c>
      <c r="J141" s="10" t="s">
        <v>76</v>
      </c>
    </row>
    <row r="142" spans="1:10" ht="38.25">
      <c r="A142" s="9" t="s">
        <v>27</v>
      </c>
      <c r="B142" s="2" t="s">
        <v>325</v>
      </c>
      <c r="C142" s="2">
        <v>3201</v>
      </c>
      <c r="D142" s="2">
        <v>155</v>
      </c>
      <c r="E142" s="2" t="str">
        <f>"1000013423"</f>
        <v>1000013423</v>
      </c>
      <c r="F142" s="4" t="str">
        <f>"BINDERS:Orng, 1.5, D, clear view overlay front/back/spine, deluxe, 120pt-Maxtile solid construction"</f>
        <v>BINDERS:Orng, 1.5, D, clear view overlay front/back/spine, deluxe, 120pt-Maxtile solid construction</v>
      </c>
      <c r="G142" s="74" t="str">
        <f t="shared" si="2"/>
        <v>EA</v>
      </c>
      <c r="H142" s="7">
        <v>6.74</v>
      </c>
      <c r="I142" s="2" t="str">
        <f t="shared" si="3"/>
        <v>44122003</v>
      </c>
      <c r="J142" s="10" t="s">
        <v>76</v>
      </c>
    </row>
    <row r="143" spans="1:10" ht="38.25">
      <c r="A143" s="9" t="s">
        <v>27</v>
      </c>
      <c r="B143" s="2" t="s">
        <v>325</v>
      </c>
      <c r="C143" s="2">
        <v>3201</v>
      </c>
      <c r="D143" s="2">
        <v>156</v>
      </c>
      <c r="E143" s="2" t="str">
        <f>"1000013424"</f>
        <v>1000013424</v>
      </c>
      <c r="F143" s="4" t="str">
        <f>"BINDERS:Yel, 1.5, D, clear view overlay front/back/spine, deluxe, 120pt-Maxtile solid construction"</f>
        <v>BINDERS:Yel, 1.5, D, clear view overlay front/back/spine, deluxe, 120pt-Maxtile solid construction</v>
      </c>
      <c r="G143" s="74" t="str">
        <f t="shared" si="2"/>
        <v>EA</v>
      </c>
      <c r="H143" s="7">
        <v>6.74</v>
      </c>
      <c r="I143" s="2" t="str">
        <f t="shared" si="3"/>
        <v>44122003</v>
      </c>
      <c r="J143" s="10" t="s">
        <v>76</v>
      </c>
    </row>
    <row r="144" spans="1:10" ht="38.25">
      <c r="A144" s="9" t="s">
        <v>27</v>
      </c>
      <c r="B144" s="2" t="s">
        <v>325</v>
      </c>
      <c r="C144" s="2">
        <v>3201</v>
      </c>
      <c r="D144" s="2">
        <v>157</v>
      </c>
      <c r="E144" s="2" t="str">
        <f>"1000013425"</f>
        <v>1000013425</v>
      </c>
      <c r="F144" s="4" t="str">
        <f>"BINDERS:Grn, 1.5, D, clear view overlay front/back/spine, deluxe, 120pt-Maxtile solid construction"</f>
        <v>BINDERS:Grn, 1.5, D, clear view overlay front/back/spine, deluxe, 120pt-Maxtile solid construction</v>
      </c>
      <c r="G144" s="74" t="str">
        <f t="shared" si="2"/>
        <v>EA</v>
      </c>
      <c r="H144" s="7">
        <v>6.74</v>
      </c>
      <c r="I144" s="2" t="str">
        <f t="shared" si="3"/>
        <v>44122003</v>
      </c>
      <c r="J144" s="10" t="s">
        <v>76</v>
      </c>
    </row>
    <row r="145" spans="1:10" ht="38.25">
      <c r="A145" s="9" t="s">
        <v>27</v>
      </c>
      <c r="B145" s="2" t="s">
        <v>325</v>
      </c>
      <c r="C145" s="2">
        <v>3201</v>
      </c>
      <c r="D145" s="2">
        <v>158</v>
      </c>
      <c r="E145" s="2" t="str">
        <f>"1000013426"</f>
        <v>1000013426</v>
      </c>
      <c r="F145" s="4" t="str">
        <f>"BINDERS:Burg, 1.5, D, clear view overlay front/back/spine, deluxe, 120pt-Maxtile solid construction"</f>
        <v>BINDERS:Burg, 1.5, D, clear view overlay front/back/spine, deluxe, 120pt-Maxtile solid construction</v>
      </c>
      <c r="G145" s="74" t="str">
        <f t="shared" si="2"/>
        <v>EA</v>
      </c>
      <c r="H145" s="7">
        <v>6.74</v>
      </c>
      <c r="I145" s="2" t="str">
        <f t="shared" si="3"/>
        <v>44122003</v>
      </c>
      <c r="J145" s="10" t="s">
        <v>76</v>
      </c>
    </row>
    <row r="146" spans="1:10" ht="38.25">
      <c r="A146" s="9" t="s">
        <v>27</v>
      </c>
      <c r="B146" s="2" t="s">
        <v>325</v>
      </c>
      <c r="C146" s="2">
        <v>3201</v>
      </c>
      <c r="D146" s="2">
        <v>159</v>
      </c>
      <c r="E146" s="2" t="str">
        <f>"1000013427"</f>
        <v>1000013427</v>
      </c>
      <c r="F146" s="4" t="str">
        <f>"BINDERS:Navy, 1.5, D, clear view overlay front/back/spine, deluxe, 120pt-Maxtile solid construction"</f>
        <v>BINDERS:Navy, 1.5, D, clear view overlay front/back/spine, deluxe, 120pt-Maxtile solid construction</v>
      </c>
      <c r="G146" s="74" t="str">
        <f t="shared" si="2"/>
        <v>EA</v>
      </c>
      <c r="H146" s="7">
        <v>6.74</v>
      </c>
      <c r="I146" s="2" t="str">
        <f t="shared" si="3"/>
        <v>44122003</v>
      </c>
      <c r="J146" s="10" t="s">
        <v>76</v>
      </c>
    </row>
    <row r="147" spans="1:10" ht="25.5">
      <c r="A147" s="9" t="s">
        <v>27</v>
      </c>
      <c r="B147" s="2" t="s">
        <v>325</v>
      </c>
      <c r="C147" s="2">
        <v>3201</v>
      </c>
      <c r="D147" s="2">
        <v>161</v>
      </c>
      <c r="E147" s="2" t="str">
        <f>"1000013428"</f>
        <v>1000013428</v>
      </c>
      <c r="F147" s="4" t="str">
        <f>"BINDERS:Blk, 2, D slant, deluxe, 120pt-Maxtile solid construction"</f>
        <v>BINDERS:Blk, 2, D slant, deluxe, 120pt-Maxtile solid construction</v>
      </c>
      <c r="G147" s="74" t="str">
        <f t="shared" si="2"/>
        <v>EA</v>
      </c>
      <c r="H147" s="7">
        <v>6.56</v>
      </c>
      <c r="I147" s="2" t="str">
        <f t="shared" si="3"/>
        <v>44122003</v>
      </c>
      <c r="J147" s="10" t="s">
        <v>76</v>
      </c>
    </row>
    <row r="148" spans="1:10" ht="25.5">
      <c r="A148" s="9" t="s">
        <v>27</v>
      </c>
      <c r="B148" s="2" t="s">
        <v>325</v>
      </c>
      <c r="C148" s="2">
        <v>3201</v>
      </c>
      <c r="D148" s="2">
        <v>162</v>
      </c>
      <c r="E148" s="2" t="str">
        <f>"1000013429"</f>
        <v>1000013429</v>
      </c>
      <c r="F148" s="4" t="str">
        <f>"BINDERS:Royl Blu, 2, D slant, deluxe, 120pt-Maxtile solid construction"</f>
        <v>BINDERS:Royl Blu, 2, D slant, deluxe, 120pt-Maxtile solid construction</v>
      </c>
      <c r="G148" s="74" t="str">
        <f t="shared" si="2"/>
        <v>EA</v>
      </c>
      <c r="H148" s="7">
        <v>6.56</v>
      </c>
      <c r="I148" s="2" t="str">
        <f t="shared" si="3"/>
        <v>44122003</v>
      </c>
      <c r="J148" s="10" t="s">
        <v>76</v>
      </c>
    </row>
    <row r="149" spans="1:10" ht="25.5">
      <c r="A149" s="9" t="s">
        <v>27</v>
      </c>
      <c r="B149" s="2" t="s">
        <v>325</v>
      </c>
      <c r="C149" s="2">
        <v>3201</v>
      </c>
      <c r="D149" s="2">
        <v>163</v>
      </c>
      <c r="E149" s="2" t="str">
        <f>"1000013430"</f>
        <v>1000013430</v>
      </c>
      <c r="F149" s="4" t="str">
        <f>"BINDERS:Red, 2, D slant, deluxe, 120pt-Maxtile solid construction"</f>
        <v>BINDERS:Red, 2, D slant, deluxe, 120pt-Maxtile solid construction</v>
      </c>
      <c r="G149" s="74" t="str">
        <f t="shared" si="2"/>
        <v>EA</v>
      </c>
      <c r="H149" s="7">
        <v>6.56</v>
      </c>
      <c r="I149" s="2" t="str">
        <f t="shared" si="3"/>
        <v>44122003</v>
      </c>
      <c r="J149" s="10" t="s">
        <v>76</v>
      </c>
    </row>
    <row r="150" spans="1:10" ht="25.5">
      <c r="A150" s="9" t="s">
        <v>27</v>
      </c>
      <c r="B150" s="2" t="s">
        <v>325</v>
      </c>
      <c r="C150" s="2">
        <v>3201</v>
      </c>
      <c r="D150" s="2">
        <v>164</v>
      </c>
      <c r="E150" s="2" t="str">
        <f>"1000013431"</f>
        <v>1000013431</v>
      </c>
      <c r="F150" s="4" t="str">
        <f>"BINDERS:Wht, 2, D slant, deluxe, 120pt-Maxtile solid construction"</f>
        <v>BINDERS:Wht, 2, D slant, deluxe, 120pt-Maxtile solid construction</v>
      </c>
      <c r="G150" s="74" t="str">
        <f t="shared" si="2"/>
        <v>EA</v>
      </c>
      <c r="H150" s="7">
        <v>6.56</v>
      </c>
      <c r="I150" s="2" t="str">
        <f t="shared" si="3"/>
        <v>44122003</v>
      </c>
      <c r="J150" s="10" t="s">
        <v>76</v>
      </c>
    </row>
    <row r="151" spans="1:10" ht="25.5">
      <c r="A151" s="9" t="s">
        <v>27</v>
      </c>
      <c r="B151" s="2" t="s">
        <v>325</v>
      </c>
      <c r="C151" s="2">
        <v>3201</v>
      </c>
      <c r="D151" s="2">
        <v>165</v>
      </c>
      <c r="E151" s="2" t="str">
        <f>"1000013432"</f>
        <v>1000013432</v>
      </c>
      <c r="F151" s="4" t="str">
        <f>"BINDERS:Lt Gray, 2, D slant, deluxe, 120pt-Maxtile solid construction"</f>
        <v>BINDERS:Lt Gray, 2, D slant, deluxe, 120pt-Maxtile solid construction</v>
      </c>
      <c r="G151" s="74" t="str">
        <f t="shared" ref="G151:G214" si="4">"EA"</f>
        <v>EA</v>
      </c>
      <c r="H151" s="7">
        <v>6.56</v>
      </c>
      <c r="I151" s="2" t="str">
        <f t="shared" si="3"/>
        <v>44122003</v>
      </c>
      <c r="J151" s="10" t="s">
        <v>76</v>
      </c>
    </row>
    <row r="152" spans="1:10" ht="25.5">
      <c r="A152" s="9" t="s">
        <v>27</v>
      </c>
      <c r="B152" s="2" t="s">
        <v>325</v>
      </c>
      <c r="C152" s="2">
        <v>3201</v>
      </c>
      <c r="D152" s="2">
        <v>166</v>
      </c>
      <c r="E152" s="2" t="str">
        <f>"1000013433"</f>
        <v>1000013433</v>
      </c>
      <c r="F152" s="4" t="str">
        <f>"BINDERS:Orng, 2, D slant, deluxe, 120pt-Maxtile solid construction"</f>
        <v>BINDERS:Orng, 2, D slant, deluxe, 120pt-Maxtile solid construction</v>
      </c>
      <c r="G152" s="74" t="str">
        <f t="shared" si="4"/>
        <v>EA</v>
      </c>
      <c r="H152" s="7">
        <v>6.56</v>
      </c>
      <c r="I152" s="2" t="str">
        <f t="shared" ref="I152:I215" si="5">"44122003"</f>
        <v>44122003</v>
      </c>
      <c r="J152" s="10" t="s">
        <v>76</v>
      </c>
    </row>
    <row r="153" spans="1:10" ht="38.25">
      <c r="A153" s="9" t="s">
        <v>27</v>
      </c>
      <c r="B153" s="2" t="s">
        <v>325</v>
      </c>
      <c r="C153" s="2">
        <v>3201</v>
      </c>
      <c r="D153" s="2">
        <v>136</v>
      </c>
      <c r="E153" s="2" t="str">
        <f>"1000013434"</f>
        <v>1000013434</v>
      </c>
      <c r="F153" s="4" t="str">
        <f>"BINDERS:Burg, 1, D, clear view overlay front/back/spine, deluxe, 120pt-Maxtile solid construction"</f>
        <v>BINDERS:Burg, 1, D, clear view overlay front/back/spine, deluxe, 120pt-Maxtile solid construction</v>
      </c>
      <c r="G153" s="74" t="str">
        <f t="shared" si="4"/>
        <v>EA</v>
      </c>
      <c r="H153" s="7">
        <v>5.41</v>
      </c>
      <c r="I153" s="2" t="str">
        <f t="shared" si="5"/>
        <v>44122003</v>
      </c>
      <c r="J153" s="10" t="s">
        <v>76</v>
      </c>
    </row>
    <row r="154" spans="1:10" ht="38.25">
      <c r="A154" s="9" t="s">
        <v>27</v>
      </c>
      <c r="B154" s="2" t="s">
        <v>325</v>
      </c>
      <c r="C154" s="2">
        <v>3201</v>
      </c>
      <c r="D154" s="2">
        <v>137</v>
      </c>
      <c r="E154" s="2" t="str">
        <f>"1000013435"</f>
        <v>1000013435</v>
      </c>
      <c r="F154" s="4" t="str">
        <f>"BINDERS:Navy, 1, D, clear view overlay front/back/spine, deluxe, 120pt-Maxtile solid construction"</f>
        <v>BINDERS:Navy, 1, D, clear view overlay front/back/spine, deluxe, 120pt-Maxtile solid construction</v>
      </c>
      <c r="G154" s="74" t="str">
        <f t="shared" si="4"/>
        <v>EA</v>
      </c>
      <c r="H154" s="7">
        <v>5.41</v>
      </c>
      <c r="I154" s="2" t="str">
        <f t="shared" si="5"/>
        <v>44122003</v>
      </c>
      <c r="J154" s="10" t="s">
        <v>76</v>
      </c>
    </row>
    <row r="155" spans="1:10" ht="25.5">
      <c r="A155" s="9" t="s">
        <v>27</v>
      </c>
      <c r="B155" s="2" t="s">
        <v>325</v>
      </c>
      <c r="C155" s="2">
        <v>3201</v>
      </c>
      <c r="D155" s="2">
        <v>169</v>
      </c>
      <c r="E155" s="2" t="str">
        <f>"1000013436"</f>
        <v>1000013436</v>
      </c>
      <c r="F155" s="4" t="str">
        <f>"BINDERS:Burg, 2, D slant, deluxe, 120pt-Maxtile solid construction"</f>
        <v>BINDERS:Burg, 2, D slant, deluxe, 120pt-Maxtile solid construction</v>
      </c>
      <c r="G155" s="74" t="str">
        <f t="shared" si="4"/>
        <v>EA</v>
      </c>
      <c r="H155" s="7">
        <v>6.56</v>
      </c>
      <c r="I155" s="2" t="str">
        <f t="shared" si="5"/>
        <v>44122003</v>
      </c>
      <c r="J155" s="10" t="s">
        <v>76</v>
      </c>
    </row>
    <row r="156" spans="1:10" ht="25.5">
      <c r="A156" s="9" t="s">
        <v>27</v>
      </c>
      <c r="B156" s="2" t="s">
        <v>325</v>
      </c>
      <c r="C156" s="2">
        <v>3201</v>
      </c>
      <c r="D156" s="2">
        <v>170</v>
      </c>
      <c r="E156" s="2" t="str">
        <f>"1000013437"</f>
        <v>1000013437</v>
      </c>
      <c r="F156" s="4" t="str">
        <f>"BINDERS:Navy, 2, D slant, deluxe, 120pt-Maxtile solid construction"</f>
        <v>BINDERS:Navy, 2, D slant, deluxe, 120pt-Maxtile solid construction</v>
      </c>
      <c r="G156" s="74" t="str">
        <f t="shared" si="4"/>
        <v>EA</v>
      </c>
      <c r="H156" s="7">
        <v>6.56</v>
      </c>
      <c r="I156" s="2" t="str">
        <f t="shared" si="5"/>
        <v>44122003</v>
      </c>
      <c r="J156" s="10" t="s">
        <v>76</v>
      </c>
    </row>
    <row r="157" spans="1:10" ht="38.25">
      <c r="A157" s="9" t="s">
        <v>27</v>
      </c>
      <c r="B157" s="2" t="s">
        <v>325</v>
      </c>
      <c r="C157" s="2">
        <v>3201</v>
      </c>
      <c r="D157" s="2">
        <v>172</v>
      </c>
      <c r="E157" s="2" t="str">
        <f>"1000013438"</f>
        <v>1000013438</v>
      </c>
      <c r="F157" s="4" t="str">
        <f>"BINDERS:Blk, 2, D, clear view overlay front/back/spine, deluxe, 120pt-Maxtile solid construction"</f>
        <v>BINDERS:Blk, 2, D, clear view overlay front/back/spine, deluxe, 120pt-Maxtile solid construction</v>
      </c>
      <c r="G157" s="74" t="str">
        <f t="shared" si="4"/>
        <v>EA</v>
      </c>
      <c r="H157" s="7">
        <v>7.1</v>
      </c>
      <c r="I157" s="2" t="str">
        <f t="shared" si="5"/>
        <v>44122003</v>
      </c>
      <c r="J157" s="10" t="s">
        <v>76</v>
      </c>
    </row>
    <row r="158" spans="1:10" ht="38.25">
      <c r="A158" s="9" t="s">
        <v>27</v>
      </c>
      <c r="B158" s="2" t="s">
        <v>325</v>
      </c>
      <c r="C158" s="2">
        <v>3201</v>
      </c>
      <c r="D158" s="2">
        <v>173</v>
      </c>
      <c r="E158" s="2" t="str">
        <f>"1000013439"</f>
        <v>1000013439</v>
      </c>
      <c r="F158" s="4" t="str">
        <f>"BINDERS:Royl Blu, 2, D, clear view overlay front/back/spine, deluxe, 120pt-Maxtile solid construction"</f>
        <v>BINDERS:Royl Blu, 2, D, clear view overlay front/back/spine, deluxe, 120pt-Maxtile solid construction</v>
      </c>
      <c r="G158" s="74" t="str">
        <f t="shared" si="4"/>
        <v>EA</v>
      </c>
      <c r="H158" s="7">
        <v>7.1</v>
      </c>
      <c r="I158" s="2" t="str">
        <f t="shared" si="5"/>
        <v>44122003</v>
      </c>
      <c r="J158" s="10" t="s">
        <v>76</v>
      </c>
    </row>
    <row r="159" spans="1:10" ht="38.25">
      <c r="A159" s="9" t="s">
        <v>27</v>
      </c>
      <c r="B159" s="2" t="s">
        <v>325</v>
      </c>
      <c r="C159" s="2">
        <v>3201</v>
      </c>
      <c r="D159" s="2">
        <v>174</v>
      </c>
      <c r="E159" s="2" t="str">
        <f>"1000013440"</f>
        <v>1000013440</v>
      </c>
      <c r="F159" s="4" t="str">
        <f>"BINDERS:Red, 2, D, clear view overlay front/back/spine, deluxe, 120pt-Maxtile solid construction"</f>
        <v>BINDERS:Red, 2, D, clear view overlay front/back/spine, deluxe, 120pt-Maxtile solid construction</v>
      </c>
      <c r="G159" s="74" t="str">
        <f t="shared" si="4"/>
        <v>EA</v>
      </c>
      <c r="H159" s="7">
        <v>7.1</v>
      </c>
      <c r="I159" s="2" t="str">
        <f t="shared" si="5"/>
        <v>44122003</v>
      </c>
      <c r="J159" s="10" t="s">
        <v>76</v>
      </c>
    </row>
    <row r="160" spans="1:10" ht="38.25">
      <c r="A160" s="9" t="s">
        <v>27</v>
      </c>
      <c r="B160" s="2" t="s">
        <v>325</v>
      </c>
      <c r="C160" s="2">
        <v>3201</v>
      </c>
      <c r="D160" s="2">
        <v>175</v>
      </c>
      <c r="E160" s="2" t="str">
        <f>"1000013441"</f>
        <v>1000013441</v>
      </c>
      <c r="F160" s="4" t="str">
        <f>"BINDERS:Wht, 2, D, clear view overlay front/back/spine, deluxe, 120pt-Maxtile solid construction"</f>
        <v>BINDERS:Wht, 2, D, clear view overlay front/back/spine, deluxe, 120pt-Maxtile solid construction</v>
      </c>
      <c r="G160" s="74" t="str">
        <f t="shared" si="4"/>
        <v>EA</v>
      </c>
      <c r="H160" s="7">
        <v>7.1</v>
      </c>
      <c r="I160" s="2" t="str">
        <f t="shared" si="5"/>
        <v>44122003</v>
      </c>
      <c r="J160" s="10" t="s">
        <v>76</v>
      </c>
    </row>
    <row r="161" spans="1:10" ht="38.25">
      <c r="A161" s="9" t="s">
        <v>27</v>
      </c>
      <c r="B161" s="2" t="s">
        <v>325</v>
      </c>
      <c r="C161" s="2">
        <v>3201</v>
      </c>
      <c r="D161" s="2">
        <v>176</v>
      </c>
      <c r="E161" s="2" t="str">
        <f>"1000013442"</f>
        <v>1000013442</v>
      </c>
      <c r="F161" s="4" t="str">
        <f>"BINDERS:Lt Gray, 2, D, clear view overlay front/back/spine, deluxe, 120pt-Maxtile solid construction"</f>
        <v>BINDERS:Lt Gray, 2, D, clear view overlay front/back/spine, deluxe, 120pt-Maxtile solid construction</v>
      </c>
      <c r="G161" s="74" t="str">
        <f t="shared" si="4"/>
        <v>EA</v>
      </c>
      <c r="H161" s="7">
        <v>7.1</v>
      </c>
      <c r="I161" s="2" t="str">
        <f t="shared" si="5"/>
        <v>44122003</v>
      </c>
      <c r="J161" s="10" t="s">
        <v>76</v>
      </c>
    </row>
    <row r="162" spans="1:10" ht="38.25">
      <c r="A162" s="9" t="s">
        <v>27</v>
      </c>
      <c r="B162" s="2" t="s">
        <v>325</v>
      </c>
      <c r="C162" s="2">
        <v>3201</v>
      </c>
      <c r="D162" s="2">
        <v>177</v>
      </c>
      <c r="E162" s="2" t="str">
        <f>"1000013443"</f>
        <v>1000013443</v>
      </c>
      <c r="F162" s="4" t="str">
        <f>"BINDERS:Orng, 2, D, clear view overlay front/back/spine, deluxe, 120pt-Maxtile solid construction"</f>
        <v>BINDERS:Orng, 2, D, clear view overlay front/back/spine, deluxe, 120pt-Maxtile solid construction</v>
      </c>
      <c r="G162" s="74" t="str">
        <f t="shared" si="4"/>
        <v>EA</v>
      </c>
      <c r="H162" s="7">
        <v>7.1</v>
      </c>
      <c r="I162" s="2" t="str">
        <f t="shared" si="5"/>
        <v>44122003</v>
      </c>
      <c r="J162" s="10" t="s">
        <v>76</v>
      </c>
    </row>
    <row r="163" spans="1:10" ht="38.25">
      <c r="A163" s="9" t="s">
        <v>27</v>
      </c>
      <c r="B163" s="2" t="s">
        <v>325</v>
      </c>
      <c r="C163" s="2">
        <v>3201</v>
      </c>
      <c r="D163" s="2">
        <v>178</v>
      </c>
      <c r="E163" s="2" t="str">
        <f>"1000013444"</f>
        <v>1000013444</v>
      </c>
      <c r="F163" s="4" t="str">
        <f>"BINDERS:Yel, 2, D, clear view overlay front/back/spine, deluxe, 120pt-Maxtile solid construction"</f>
        <v>BINDERS:Yel, 2, D, clear view overlay front/back/spine, deluxe, 120pt-Maxtile solid construction</v>
      </c>
      <c r="G163" s="74" t="str">
        <f t="shared" si="4"/>
        <v>EA</v>
      </c>
      <c r="H163" s="7">
        <v>7.1</v>
      </c>
      <c r="I163" s="2" t="str">
        <f t="shared" si="5"/>
        <v>44122003</v>
      </c>
      <c r="J163" s="10" t="s">
        <v>76</v>
      </c>
    </row>
    <row r="164" spans="1:10" ht="38.25">
      <c r="A164" s="9" t="s">
        <v>27</v>
      </c>
      <c r="B164" s="2" t="s">
        <v>325</v>
      </c>
      <c r="C164" s="2">
        <v>3201</v>
      </c>
      <c r="D164" s="2">
        <v>179</v>
      </c>
      <c r="E164" s="2" t="str">
        <f>"1000013445"</f>
        <v>1000013445</v>
      </c>
      <c r="F164" s="4" t="str">
        <f>"BINDERS:Grn, 2, D, clear view overlay front/back/spine, deluxe, 120pt-Maxtile solid construction"</f>
        <v>BINDERS:Grn, 2, D, clear view overlay front/back/spine, deluxe, 120pt-Maxtile solid construction</v>
      </c>
      <c r="G164" s="74" t="str">
        <f t="shared" si="4"/>
        <v>EA</v>
      </c>
      <c r="H164" s="7">
        <v>7.1</v>
      </c>
      <c r="I164" s="2" t="str">
        <f t="shared" si="5"/>
        <v>44122003</v>
      </c>
      <c r="J164" s="10" t="s">
        <v>76</v>
      </c>
    </row>
    <row r="165" spans="1:10" ht="38.25">
      <c r="A165" s="9" t="s">
        <v>27</v>
      </c>
      <c r="B165" s="2" t="s">
        <v>325</v>
      </c>
      <c r="C165" s="2">
        <v>3201</v>
      </c>
      <c r="D165" s="2">
        <v>180</v>
      </c>
      <c r="E165" s="2" t="str">
        <f>"1000013446"</f>
        <v>1000013446</v>
      </c>
      <c r="F165" s="4" t="str">
        <f>"BINDERS:Burg, 2, D, clear view overlay front/back/spine, deluxe, 120pt-Maxtile solid construction"</f>
        <v>BINDERS:Burg, 2, D, clear view overlay front/back/spine, deluxe, 120pt-Maxtile solid construction</v>
      </c>
      <c r="G165" s="74" t="str">
        <f t="shared" si="4"/>
        <v>EA</v>
      </c>
      <c r="H165" s="7">
        <v>7.1</v>
      </c>
      <c r="I165" s="2" t="str">
        <f t="shared" si="5"/>
        <v>44122003</v>
      </c>
      <c r="J165" s="10" t="s">
        <v>76</v>
      </c>
    </row>
    <row r="166" spans="1:10" ht="38.25">
      <c r="A166" s="9" t="s">
        <v>27</v>
      </c>
      <c r="B166" s="2" t="s">
        <v>325</v>
      </c>
      <c r="C166" s="2">
        <v>3201</v>
      </c>
      <c r="D166" s="2">
        <v>181</v>
      </c>
      <c r="E166" s="2" t="str">
        <f>"1000013447"</f>
        <v>1000013447</v>
      </c>
      <c r="F166" s="4" t="str">
        <f>"BINDERS:Navy, 2, D, clear view overlay front/back/spine, deluxe, 120pt-Maxtile solid construction"</f>
        <v>BINDERS:Navy, 2, D, clear view overlay front/back/spine, deluxe, 120pt-Maxtile solid construction</v>
      </c>
      <c r="G166" s="74" t="str">
        <f t="shared" si="4"/>
        <v>EA</v>
      </c>
      <c r="H166" s="7">
        <v>7.1</v>
      </c>
      <c r="I166" s="2" t="str">
        <f t="shared" si="5"/>
        <v>44122003</v>
      </c>
      <c r="J166" s="10" t="s">
        <v>76</v>
      </c>
    </row>
    <row r="167" spans="1:10" ht="38.25">
      <c r="A167" s="9" t="s">
        <v>27</v>
      </c>
      <c r="B167" s="2" t="s">
        <v>325</v>
      </c>
      <c r="C167" s="2">
        <v>3201</v>
      </c>
      <c r="D167" s="2">
        <v>152</v>
      </c>
      <c r="E167" s="2" t="str">
        <f>"1000013448"</f>
        <v>1000013448</v>
      </c>
      <c r="F167" s="4" t="str">
        <f>"BINDERS:Red, 1.5, D, clear view overlay front/back/spine, deluxe, 120pt-Maxtile solid construction"</f>
        <v>BINDERS:Red, 1.5, D, clear view overlay front/back/spine, deluxe, 120pt-Maxtile solid construction</v>
      </c>
      <c r="G167" s="74" t="str">
        <f t="shared" si="4"/>
        <v>EA</v>
      </c>
      <c r="H167" s="7">
        <v>6.74</v>
      </c>
      <c r="I167" s="2" t="str">
        <f t="shared" si="5"/>
        <v>44122003</v>
      </c>
      <c r="J167" s="10" t="s">
        <v>76</v>
      </c>
    </row>
    <row r="168" spans="1:10" ht="38.25">
      <c r="A168" s="9" t="s">
        <v>27</v>
      </c>
      <c r="B168" s="2" t="s">
        <v>325</v>
      </c>
      <c r="C168" s="2">
        <v>3201</v>
      </c>
      <c r="D168" s="2">
        <v>153</v>
      </c>
      <c r="E168" s="2" t="str">
        <f>"1000013449"</f>
        <v>1000013449</v>
      </c>
      <c r="F168" s="4" t="str">
        <f>"BINDERS:Wht, 1.5, D, clear view overlay front/back/spine, deluxe, 120pt-Maxtile solid construction"</f>
        <v>BINDERS:Wht, 1.5, D, clear view overlay front/back/spine, deluxe, 120pt-Maxtile solid construction</v>
      </c>
      <c r="G168" s="74" t="str">
        <f t="shared" si="4"/>
        <v>EA</v>
      </c>
      <c r="H168" s="7">
        <v>6.74</v>
      </c>
      <c r="I168" s="2" t="str">
        <f t="shared" si="5"/>
        <v>44122003</v>
      </c>
      <c r="J168" s="10" t="s">
        <v>76</v>
      </c>
    </row>
    <row r="169" spans="1:10" ht="25.5">
      <c r="A169" s="9" t="s">
        <v>27</v>
      </c>
      <c r="B169" s="2" t="s">
        <v>325</v>
      </c>
      <c r="C169" s="2">
        <v>3201</v>
      </c>
      <c r="D169" s="2">
        <v>185</v>
      </c>
      <c r="E169" s="2" t="str">
        <f>"1000013450"</f>
        <v>1000013450</v>
      </c>
      <c r="F169" s="4" t="str">
        <f>"BINDERS:Red, 3, D slant, deluxe, 120pt-Maxtile solid construction"</f>
        <v>BINDERS:Red, 3, D slant, deluxe, 120pt-Maxtile solid construction</v>
      </c>
      <c r="G169" s="74" t="str">
        <f t="shared" si="4"/>
        <v>EA</v>
      </c>
      <c r="H169" s="7">
        <v>8.4</v>
      </c>
      <c r="I169" s="2" t="str">
        <f t="shared" si="5"/>
        <v>44122003</v>
      </c>
      <c r="J169" s="10" t="s">
        <v>76</v>
      </c>
    </row>
    <row r="170" spans="1:10" ht="25.5">
      <c r="A170" s="9" t="s">
        <v>27</v>
      </c>
      <c r="B170" s="2" t="s">
        <v>325</v>
      </c>
      <c r="C170" s="2">
        <v>3201</v>
      </c>
      <c r="D170" s="2">
        <v>186</v>
      </c>
      <c r="E170" s="2" t="str">
        <f>"1000013451"</f>
        <v>1000013451</v>
      </c>
      <c r="F170" s="4" t="str">
        <f>"BINDERS:Wht, 3, D slant, deluxe, 120pt-Maxtile solid construction"</f>
        <v>BINDERS:Wht, 3, D slant, deluxe, 120pt-Maxtile solid construction</v>
      </c>
      <c r="G170" s="74" t="str">
        <f t="shared" si="4"/>
        <v>EA</v>
      </c>
      <c r="H170" s="7">
        <v>8.4</v>
      </c>
      <c r="I170" s="2" t="str">
        <f t="shared" si="5"/>
        <v>44122003</v>
      </c>
      <c r="J170" s="10" t="s">
        <v>76</v>
      </c>
    </row>
    <row r="171" spans="1:10" ht="25.5">
      <c r="A171" s="9" t="s">
        <v>27</v>
      </c>
      <c r="B171" s="2" t="s">
        <v>325</v>
      </c>
      <c r="C171" s="2">
        <v>3201</v>
      </c>
      <c r="D171" s="2">
        <v>187</v>
      </c>
      <c r="E171" s="2" t="str">
        <f>"1000013452"</f>
        <v>1000013452</v>
      </c>
      <c r="F171" s="4" t="str">
        <f>"BINDERS:Lt Gray, 3, D slant, deluxe, 120pt-Maxtile solid construction"</f>
        <v>BINDERS:Lt Gray, 3, D slant, deluxe, 120pt-Maxtile solid construction</v>
      </c>
      <c r="G171" s="74" t="str">
        <f t="shared" si="4"/>
        <v>EA</v>
      </c>
      <c r="H171" s="7">
        <v>8.4</v>
      </c>
      <c r="I171" s="2" t="str">
        <f t="shared" si="5"/>
        <v>44122003</v>
      </c>
      <c r="J171" s="10" t="s">
        <v>76</v>
      </c>
    </row>
    <row r="172" spans="1:10" ht="25.5">
      <c r="A172" s="9" t="s">
        <v>27</v>
      </c>
      <c r="B172" s="2" t="s">
        <v>325</v>
      </c>
      <c r="C172" s="2">
        <v>3201</v>
      </c>
      <c r="D172" s="2">
        <v>188</v>
      </c>
      <c r="E172" s="2" t="str">
        <f>"1000013453"</f>
        <v>1000013453</v>
      </c>
      <c r="F172" s="4" t="str">
        <f>"BINDERS:Orng, 3, D slant, deluxe, 120pt-Maxtile solid construction"</f>
        <v>BINDERS:Orng, 3, D slant, deluxe, 120pt-Maxtile solid construction</v>
      </c>
      <c r="G172" s="74" t="str">
        <f t="shared" si="4"/>
        <v>EA</v>
      </c>
      <c r="H172" s="7">
        <v>8.4</v>
      </c>
      <c r="I172" s="2" t="str">
        <f t="shared" si="5"/>
        <v>44122003</v>
      </c>
      <c r="J172" s="10" t="s">
        <v>76</v>
      </c>
    </row>
    <row r="173" spans="1:10" ht="25.5">
      <c r="A173" s="9" t="s">
        <v>27</v>
      </c>
      <c r="B173" s="2" t="s">
        <v>325</v>
      </c>
      <c r="C173" s="2">
        <v>3201</v>
      </c>
      <c r="D173" s="2">
        <v>189</v>
      </c>
      <c r="E173" s="2" t="str">
        <f>"1000013454"</f>
        <v>1000013454</v>
      </c>
      <c r="F173" s="4" t="str">
        <f>"BINDERS:Yel, 3, D slant, deluxe, 120pt-Maxtile solid construction"</f>
        <v>BINDERS:Yel, 3, D slant, deluxe, 120pt-Maxtile solid construction</v>
      </c>
      <c r="G173" s="74" t="str">
        <f t="shared" si="4"/>
        <v>EA</v>
      </c>
      <c r="H173" s="7">
        <v>8.4</v>
      </c>
      <c r="I173" s="2" t="str">
        <f t="shared" si="5"/>
        <v>44122003</v>
      </c>
      <c r="J173" s="10" t="s">
        <v>76</v>
      </c>
    </row>
    <row r="174" spans="1:10" ht="25.5">
      <c r="A174" s="9" t="s">
        <v>27</v>
      </c>
      <c r="B174" s="2" t="s">
        <v>325</v>
      </c>
      <c r="C174" s="2">
        <v>3201</v>
      </c>
      <c r="D174" s="2">
        <v>190</v>
      </c>
      <c r="E174" s="2" t="str">
        <f>"1000013455"</f>
        <v>1000013455</v>
      </c>
      <c r="F174" s="4" t="str">
        <f>"BINDERS:Grn, 3, D slant, deluxe, 120pt-Maxtile solid construction"</f>
        <v>BINDERS:Grn, 3, D slant, deluxe, 120pt-Maxtile solid construction</v>
      </c>
      <c r="G174" s="74" t="str">
        <f t="shared" si="4"/>
        <v>EA</v>
      </c>
      <c r="H174" s="7">
        <v>8.4</v>
      </c>
      <c r="I174" s="2" t="str">
        <f t="shared" si="5"/>
        <v>44122003</v>
      </c>
      <c r="J174" s="10" t="s">
        <v>76</v>
      </c>
    </row>
    <row r="175" spans="1:10" ht="25.5">
      <c r="A175" s="9" t="s">
        <v>27</v>
      </c>
      <c r="B175" s="2" t="s">
        <v>325</v>
      </c>
      <c r="C175" s="2">
        <v>3201</v>
      </c>
      <c r="D175" s="2">
        <v>191</v>
      </c>
      <c r="E175" s="2" t="str">
        <f>"1000013456"</f>
        <v>1000013456</v>
      </c>
      <c r="F175" s="4" t="str">
        <f>"BINDERS:Burg, 3, D slant, deluxe, 120pt-Maxtile solid construction"</f>
        <v>BINDERS:Burg, 3, D slant, deluxe, 120pt-Maxtile solid construction</v>
      </c>
      <c r="G175" s="74" t="str">
        <f t="shared" si="4"/>
        <v>EA</v>
      </c>
      <c r="H175" s="7">
        <v>8.4</v>
      </c>
      <c r="I175" s="2" t="str">
        <f t="shared" si="5"/>
        <v>44122003</v>
      </c>
      <c r="J175" s="10" t="s">
        <v>76</v>
      </c>
    </row>
    <row r="176" spans="1:10" ht="25.5">
      <c r="A176" s="9" t="s">
        <v>27</v>
      </c>
      <c r="B176" s="2" t="s">
        <v>325</v>
      </c>
      <c r="C176" s="2">
        <v>3201</v>
      </c>
      <c r="D176" s="2">
        <v>192</v>
      </c>
      <c r="E176" s="2" t="str">
        <f>"1000013457"</f>
        <v>1000013457</v>
      </c>
      <c r="F176" s="4" t="str">
        <f>"BINDERS:Navy, 3, D slant, deluxe, 120pt-Maxtile solid construction"</f>
        <v>BINDERS:Navy, 3, D slant, deluxe, 120pt-Maxtile solid construction</v>
      </c>
      <c r="G176" s="74" t="str">
        <f t="shared" si="4"/>
        <v>EA</v>
      </c>
      <c r="H176" s="7">
        <v>8.4</v>
      </c>
      <c r="I176" s="2" t="str">
        <f t="shared" si="5"/>
        <v>44122003</v>
      </c>
      <c r="J176" s="10" t="s">
        <v>76</v>
      </c>
    </row>
    <row r="177" spans="1:10" ht="38.25">
      <c r="A177" s="9" t="s">
        <v>27</v>
      </c>
      <c r="B177" s="2" t="s">
        <v>325</v>
      </c>
      <c r="C177" s="2">
        <v>3201</v>
      </c>
      <c r="D177" s="2">
        <v>194</v>
      </c>
      <c r="E177" s="2" t="str">
        <f>"1000013458"</f>
        <v>1000013458</v>
      </c>
      <c r="F177" s="4" t="str">
        <f>"BINDERS:Blk, 3, D, clear view overlay front/back/spine, deluxe, 120pt-Maxtile solid construction"</f>
        <v>BINDERS:Blk, 3, D, clear view overlay front/back/spine, deluxe, 120pt-Maxtile solid construction</v>
      </c>
      <c r="G177" s="74" t="str">
        <f t="shared" si="4"/>
        <v>EA</v>
      </c>
      <c r="H177" s="7">
        <v>8.9</v>
      </c>
      <c r="I177" s="2" t="str">
        <f t="shared" si="5"/>
        <v>44122003</v>
      </c>
      <c r="J177" s="10" t="s">
        <v>76</v>
      </c>
    </row>
    <row r="178" spans="1:10" ht="38.25">
      <c r="A178" s="9" t="s">
        <v>27</v>
      </c>
      <c r="B178" s="2" t="s">
        <v>325</v>
      </c>
      <c r="C178" s="2">
        <v>3201</v>
      </c>
      <c r="D178" s="2">
        <v>195</v>
      </c>
      <c r="E178" s="2" t="str">
        <f>"1000013459"</f>
        <v>1000013459</v>
      </c>
      <c r="F178" s="4" t="str">
        <f>"BINDERS:Royl Blu, 3, D, clear view overlay front/back/spine, deluxe, 120pt-Maxtile solid construction"</f>
        <v>BINDERS:Royl Blu, 3, D, clear view overlay front/back/spine, deluxe, 120pt-Maxtile solid construction</v>
      </c>
      <c r="G178" s="74" t="str">
        <f t="shared" si="4"/>
        <v>EA</v>
      </c>
      <c r="H178" s="7">
        <v>8.9</v>
      </c>
      <c r="I178" s="2" t="str">
        <f t="shared" si="5"/>
        <v>44122003</v>
      </c>
      <c r="J178" s="10" t="s">
        <v>76</v>
      </c>
    </row>
    <row r="179" spans="1:10" ht="38.25">
      <c r="A179" s="9" t="s">
        <v>27</v>
      </c>
      <c r="B179" s="2" t="s">
        <v>325</v>
      </c>
      <c r="C179" s="2">
        <v>3201</v>
      </c>
      <c r="D179" s="2">
        <v>196</v>
      </c>
      <c r="E179" s="2" t="str">
        <f>"1000013460"</f>
        <v>1000013460</v>
      </c>
      <c r="F179" s="4" t="str">
        <f>"BINDERS:Red, 3, D, clear view overlay front/back/spine, deluxe, 120pt-Maxtile solid construction"</f>
        <v>BINDERS:Red, 3, D, clear view overlay front/back/spine, deluxe, 120pt-Maxtile solid construction</v>
      </c>
      <c r="G179" s="74" t="str">
        <f t="shared" si="4"/>
        <v>EA</v>
      </c>
      <c r="H179" s="7">
        <v>8.9</v>
      </c>
      <c r="I179" s="2" t="str">
        <f t="shared" si="5"/>
        <v>44122003</v>
      </c>
      <c r="J179" s="10" t="s">
        <v>76</v>
      </c>
    </row>
    <row r="180" spans="1:10" ht="38.25">
      <c r="A180" s="9" t="s">
        <v>27</v>
      </c>
      <c r="B180" s="2" t="s">
        <v>325</v>
      </c>
      <c r="C180" s="2">
        <v>3201</v>
      </c>
      <c r="D180" s="2">
        <v>197</v>
      </c>
      <c r="E180" s="2" t="str">
        <f>"1000013461"</f>
        <v>1000013461</v>
      </c>
      <c r="F180" s="4" t="str">
        <f>"BINDERS:Wht, 3, D, clear view overlay front/back/spine, deluxe, 120pt-Maxtile solid construction"</f>
        <v>BINDERS:Wht, 3, D, clear view overlay front/back/spine, deluxe, 120pt-Maxtile solid construction</v>
      </c>
      <c r="G180" s="74" t="str">
        <f t="shared" si="4"/>
        <v>EA</v>
      </c>
      <c r="H180" s="7">
        <v>8.9</v>
      </c>
      <c r="I180" s="2" t="str">
        <f t="shared" si="5"/>
        <v>44122003</v>
      </c>
      <c r="J180" s="10" t="s">
        <v>76</v>
      </c>
    </row>
    <row r="181" spans="1:10" ht="25.5">
      <c r="A181" s="9" t="s">
        <v>27</v>
      </c>
      <c r="B181" s="2" t="s">
        <v>325</v>
      </c>
      <c r="C181" s="2">
        <v>3201</v>
      </c>
      <c r="D181" s="2">
        <v>167</v>
      </c>
      <c r="E181" s="2" t="str">
        <f>"1000013462"</f>
        <v>1000013462</v>
      </c>
      <c r="F181" s="4" t="str">
        <f>"BINDERS:Yel, 2, D slant, deluxe, 120pt-Maxtile solid construction"</f>
        <v>BINDERS:Yel, 2, D slant, deluxe, 120pt-Maxtile solid construction</v>
      </c>
      <c r="G181" s="74" t="str">
        <f t="shared" si="4"/>
        <v>EA</v>
      </c>
      <c r="H181" s="7">
        <v>6.56</v>
      </c>
      <c r="I181" s="2" t="str">
        <f t="shared" si="5"/>
        <v>44122003</v>
      </c>
      <c r="J181" s="10" t="s">
        <v>76</v>
      </c>
    </row>
    <row r="182" spans="1:10" ht="25.5">
      <c r="A182" s="9" t="s">
        <v>27</v>
      </c>
      <c r="B182" s="2" t="s">
        <v>325</v>
      </c>
      <c r="C182" s="2">
        <v>3201</v>
      </c>
      <c r="D182" s="2">
        <v>168</v>
      </c>
      <c r="E182" s="2" t="str">
        <f>"1000013463"</f>
        <v>1000013463</v>
      </c>
      <c r="F182" s="4" t="str">
        <f>"BINDERS:Grn, 2, D slant, deluxe, 120pt-Maxtile solid construction"</f>
        <v>BINDERS:Grn, 2, D slant, deluxe, 120pt-Maxtile solid construction</v>
      </c>
      <c r="G182" s="74" t="str">
        <f t="shared" si="4"/>
        <v>EA</v>
      </c>
      <c r="H182" s="7">
        <v>6.56</v>
      </c>
      <c r="I182" s="2" t="str">
        <f t="shared" si="5"/>
        <v>44122003</v>
      </c>
      <c r="J182" s="10" t="s">
        <v>76</v>
      </c>
    </row>
    <row r="183" spans="1:10" ht="38.25">
      <c r="A183" s="9" t="s">
        <v>27</v>
      </c>
      <c r="B183" s="2" t="s">
        <v>325</v>
      </c>
      <c r="C183" s="2">
        <v>3201</v>
      </c>
      <c r="D183" s="2">
        <v>200</v>
      </c>
      <c r="E183" s="2" t="str">
        <f>"1000013464"</f>
        <v>1000013464</v>
      </c>
      <c r="F183" s="4" t="str">
        <f>"BINDERS:Yel, 3, D, clear view overlay front/back/spine, deluxe, 120pt-Maxtile solid construction"</f>
        <v>BINDERS:Yel, 3, D, clear view overlay front/back/spine, deluxe, 120pt-Maxtile solid construction</v>
      </c>
      <c r="G183" s="74" t="str">
        <f t="shared" si="4"/>
        <v>EA</v>
      </c>
      <c r="H183" s="7">
        <v>8.9</v>
      </c>
      <c r="I183" s="2" t="str">
        <f t="shared" si="5"/>
        <v>44122003</v>
      </c>
      <c r="J183" s="10" t="s">
        <v>76</v>
      </c>
    </row>
    <row r="184" spans="1:10" ht="38.25">
      <c r="A184" s="9" t="s">
        <v>27</v>
      </c>
      <c r="B184" s="2" t="s">
        <v>325</v>
      </c>
      <c r="C184" s="2">
        <v>3201</v>
      </c>
      <c r="D184" s="2">
        <v>201</v>
      </c>
      <c r="E184" s="2" t="str">
        <f>"1000013465"</f>
        <v>1000013465</v>
      </c>
      <c r="F184" s="4" t="str">
        <f>"BINDERS:Grn, 3, D, clear view overlay front/back/spine, deluxe, 120pt-Maxtile solid construction"</f>
        <v>BINDERS:Grn, 3, D, clear view overlay front/back/spine, deluxe, 120pt-Maxtile solid construction</v>
      </c>
      <c r="G184" s="74" t="str">
        <f t="shared" si="4"/>
        <v>EA</v>
      </c>
      <c r="H184" s="7">
        <v>8.9</v>
      </c>
      <c r="I184" s="2" t="str">
        <f t="shared" si="5"/>
        <v>44122003</v>
      </c>
      <c r="J184" s="10" t="s">
        <v>76</v>
      </c>
    </row>
    <row r="185" spans="1:10" ht="38.25">
      <c r="A185" s="9" t="s">
        <v>27</v>
      </c>
      <c r="B185" s="2" t="s">
        <v>325</v>
      </c>
      <c r="C185" s="2">
        <v>3201</v>
      </c>
      <c r="D185" s="2">
        <v>202</v>
      </c>
      <c r="E185" s="2" t="str">
        <f>"1000013466"</f>
        <v>1000013466</v>
      </c>
      <c r="F185" s="4" t="str">
        <f>"BINDERS:Burg, 3, D, clear view overlay front/back/spine, deluxe, 120pt-Maxtile solid construction"</f>
        <v>BINDERS:Burg, 3, D, clear view overlay front/back/spine, deluxe, 120pt-Maxtile solid construction</v>
      </c>
      <c r="G185" s="74" t="str">
        <f t="shared" si="4"/>
        <v>EA</v>
      </c>
      <c r="H185" s="7">
        <v>8.9</v>
      </c>
      <c r="I185" s="2" t="str">
        <f t="shared" si="5"/>
        <v>44122003</v>
      </c>
      <c r="J185" s="10" t="s">
        <v>76</v>
      </c>
    </row>
    <row r="186" spans="1:10" ht="38.25">
      <c r="A186" s="9" t="s">
        <v>27</v>
      </c>
      <c r="B186" s="2" t="s">
        <v>325</v>
      </c>
      <c r="C186" s="2">
        <v>3201</v>
      </c>
      <c r="D186" s="2">
        <v>203</v>
      </c>
      <c r="E186" s="2" t="str">
        <f>"1000013467"</f>
        <v>1000013467</v>
      </c>
      <c r="F186" s="4" t="str">
        <f>"BINDERS:Navy, 3, D, clear view overlay front/back/spine, deluxe, 120pt-Maxtile solid construction"</f>
        <v>BINDERS:Navy, 3, D, clear view overlay front/back/spine, deluxe, 120pt-Maxtile solid construction</v>
      </c>
      <c r="G186" s="74" t="str">
        <f t="shared" si="4"/>
        <v>EA</v>
      </c>
      <c r="H186" s="7">
        <v>8.9</v>
      </c>
      <c r="I186" s="2" t="str">
        <f t="shared" si="5"/>
        <v>44122003</v>
      </c>
      <c r="J186" s="10" t="s">
        <v>76</v>
      </c>
    </row>
    <row r="187" spans="1:10" ht="25.5">
      <c r="A187" s="9" t="s">
        <v>27</v>
      </c>
      <c r="B187" s="2" t="s">
        <v>325</v>
      </c>
      <c r="C187" s="2">
        <v>3201</v>
      </c>
      <c r="D187" s="2">
        <v>1</v>
      </c>
      <c r="E187" s="2" t="str">
        <f>"1000013468"</f>
        <v>1000013468</v>
      </c>
      <c r="F187" s="4" t="str">
        <f>"BINDERS:Blk, 1, economy, O ring"</f>
        <v>BINDERS:Blk, 1, economy, O ring</v>
      </c>
      <c r="G187" s="74" t="str">
        <f t="shared" si="4"/>
        <v>EA</v>
      </c>
      <c r="H187" s="7">
        <v>3.15</v>
      </c>
      <c r="I187" s="2" t="str">
        <f t="shared" si="5"/>
        <v>44122003</v>
      </c>
      <c r="J187" s="10" t="s">
        <v>76</v>
      </c>
    </row>
    <row r="188" spans="1:10" ht="25.5">
      <c r="A188" s="9" t="s">
        <v>27</v>
      </c>
      <c r="B188" s="2" t="s">
        <v>325</v>
      </c>
      <c r="C188" s="2">
        <v>3201</v>
      </c>
      <c r="D188" s="2">
        <v>3</v>
      </c>
      <c r="E188" s="2" t="str">
        <f>"1000013469"</f>
        <v>1000013469</v>
      </c>
      <c r="F188" s="4" t="str">
        <f>"BINDERS:Royl Blu, 1, economy, O ring"</f>
        <v>BINDERS:Royl Blu, 1, economy, O ring</v>
      </c>
      <c r="G188" s="74" t="str">
        <f t="shared" si="4"/>
        <v>EA</v>
      </c>
      <c r="H188" s="7">
        <v>3.15</v>
      </c>
      <c r="I188" s="2" t="str">
        <f t="shared" si="5"/>
        <v>44122003</v>
      </c>
      <c r="J188" s="10" t="s">
        <v>76</v>
      </c>
    </row>
    <row r="189" spans="1:10" ht="25.5">
      <c r="A189" s="9" t="s">
        <v>27</v>
      </c>
      <c r="B189" s="2" t="s">
        <v>325</v>
      </c>
      <c r="C189" s="2">
        <v>3201</v>
      </c>
      <c r="D189" s="2">
        <v>5</v>
      </c>
      <c r="E189" s="2" t="str">
        <f>"1000013470"</f>
        <v>1000013470</v>
      </c>
      <c r="F189" s="4" t="str">
        <f>"BINDERS:Wht, 1, economy, O ring"</f>
        <v>BINDERS:Wht, 1, economy, O ring</v>
      </c>
      <c r="G189" s="74" t="str">
        <f t="shared" si="4"/>
        <v>EA</v>
      </c>
      <c r="H189" s="7">
        <v>3.15</v>
      </c>
      <c r="I189" s="2" t="str">
        <f t="shared" si="5"/>
        <v>44122003</v>
      </c>
      <c r="J189" s="10" t="s">
        <v>76</v>
      </c>
    </row>
    <row r="190" spans="1:10" ht="25.5">
      <c r="A190" s="9" t="s">
        <v>27</v>
      </c>
      <c r="B190" s="2" t="s">
        <v>325</v>
      </c>
      <c r="C190" s="2">
        <v>3201</v>
      </c>
      <c r="D190" s="2">
        <v>2</v>
      </c>
      <c r="E190" s="2" t="str">
        <f>"1000013471"</f>
        <v>1000013471</v>
      </c>
      <c r="F190" s="4" t="str">
        <f>"BINDERS:Blk, 1, econ, clear view overlay, O ring"</f>
        <v>BINDERS:Blk, 1, econ, clear view overlay, O ring</v>
      </c>
      <c r="G190" s="74" t="str">
        <f t="shared" si="4"/>
        <v>EA</v>
      </c>
      <c r="H190" s="7">
        <v>3.22</v>
      </c>
      <c r="I190" s="2" t="str">
        <f t="shared" si="5"/>
        <v>44122003</v>
      </c>
      <c r="J190" s="10" t="s">
        <v>76</v>
      </c>
    </row>
    <row r="191" spans="1:10" ht="25.5">
      <c r="A191" s="9" t="s">
        <v>27</v>
      </c>
      <c r="B191" s="2" t="s">
        <v>325</v>
      </c>
      <c r="C191" s="2">
        <v>3201</v>
      </c>
      <c r="D191" s="2">
        <v>4</v>
      </c>
      <c r="E191" s="2" t="str">
        <f>"1000013472"</f>
        <v>1000013472</v>
      </c>
      <c r="F191" s="4" t="str">
        <f>"BINDERS:Royl Blu, 1, econ, clear view overlay, O ring"</f>
        <v>BINDERS:Royl Blu, 1, econ, clear view overlay, O ring</v>
      </c>
      <c r="G191" s="74" t="str">
        <f t="shared" si="4"/>
        <v>EA</v>
      </c>
      <c r="H191" s="7">
        <v>3.22</v>
      </c>
      <c r="I191" s="2" t="str">
        <f t="shared" si="5"/>
        <v>44122003</v>
      </c>
      <c r="J191" s="10" t="s">
        <v>76</v>
      </c>
    </row>
    <row r="192" spans="1:10" ht="25.5">
      <c r="A192" s="9" t="s">
        <v>27</v>
      </c>
      <c r="B192" s="2" t="s">
        <v>325</v>
      </c>
      <c r="C192" s="2">
        <v>3201</v>
      </c>
      <c r="D192" s="2">
        <v>6</v>
      </c>
      <c r="E192" s="2" t="str">
        <f>"1000013473"</f>
        <v>1000013473</v>
      </c>
      <c r="F192" s="4" t="str">
        <f>"BINDERS:Wht, 1, econ, clear view overlay, O ring"</f>
        <v>BINDERS:Wht, 1, econ, clear view overlay, O ring</v>
      </c>
      <c r="G192" s="74" t="str">
        <f t="shared" si="4"/>
        <v>EA</v>
      </c>
      <c r="H192" s="7">
        <v>3.22</v>
      </c>
      <c r="I192" s="2" t="str">
        <f t="shared" si="5"/>
        <v>44122003</v>
      </c>
      <c r="J192" s="10" t="s">
        <v>76</v>
      </c>
    </row>
    <row r="193" spans="1:10" ht="25.5">
      <c r="A193" s="9" t="s">
        <v>27</v>
      </c>
      <c r="B193" s="2" t="s">
        <v>325</v>
      </c>
      <c r="C193" s="2">
        <v>3201</v>
      </c>
      <c r="D193" s="2">
        <v>7</v>
      </c>
      <c r="E193" s="2" t="str">
        <f>"1000013474"</f>
        <v>1000013474</v>
      </c>
      <c r="F193" s="4" t="str">
        <f>"BINDERS:Blk, 2, economy, O ring"</f>
        <v>BINDERS:Blk, 2, economy, O ring</v>
      </c>
      <c r="G193" s="74" t="str">
        <f t="shared" si="4"/>
        <v>EA</v>
      </c>
      <c r="H193" s="7">
        <v>4.05</v>
      </c>
      <c r="I193" s="2" t="str">
        <f t="shared" si="5"/>
        <v>44122003</v>
      </c>
      <c r="J193" s="10" t="s">
        <v>76</v>
      </c>
    </row>
    <row r="194" spans="1:10" ht="25.5">
      <c r="A194" s="9" t="s">
        <v>27</v>
      </c>
      <c r="B194" s="2" t="s">
        <v>325</v>
      </c>
      <c r="C194" s="2">
        <v>3201</v>
      </c>
      <c r="D194" s="2">
        <v>9</v>
      </c>
      <c r="E194" s="2" t="str">
        <f>"1000013475"</f>
        <v>1000013475</v>
      </c>
      <c r="F194" s="4" t="str">
        <f>"BINDERS:Royl Blu, 2, economy, O ring"</f>
        <v>BINDERS:Royl Blu, 2, economy, O ring</v>
      </c>
      <c r="G194" s="74" t="str">
        <f t="shared" si="4"/>
        <v>EA</v>
      </c>
      <c r="H194" s="7">
        <v>4.05</v>
      </c>
      <c r="I194" s="2" t="str">
        <f t="shared" si="5"/>
        <v>44122003</v>
      </c>
      <c r="J194" s="10" t="s">
        <v>76</v>
      </c>
    </row>
    <row r="195" spans="1:10" ht="25.5">
      <c r="A195" s="9" t="s">
        <v>27</v>
      </c>
      <c r="B195" s="2" t="s">
        <v>325</v>
      </c>
      <c r="C195" s="2">
        <v>3201</v>
      </c>
      <c r="D195" s="2">
        <v>11</v>
      </c>
      <c r="E195" s="2" t="str">
        <f>"1000013476"</f>
        <v>1000013476</v>
      </c>
      <c r="F195" s="4" t="str">
        <f>"BINDERS:Wht, 2, economy, O ring"</f>
        <v>BINDERS:Wht, 2, economy, O ring</v>
      </c>
      <c r="G195" s="74" t="str">
        <f t="shared" si="4"/>
        <v>EA</v>
      </c>
      <c r="H195" s="7">
        <v>4.05</v>
      </c>
      <c r="I195" s="2" t="str">
        <f t="shared" si="5"/>
        <v>44122003</v>
      </c>
      <c r="J195" s="10" t="s">
        <v>76</v>
      </c>
    </row>
    <row r="196" spans="1:10" ht="25.5">
      <c r="A196" s="9" t="s">
        <v>27</v>
      </c>
      <c r="B196" s="2" t="s">
        <v>325</v>
      </c>
      <c r="C196" s="2">
        <v>3201</v>
      </c>
      <c r="D196" s="2">
        <v>183</v>
      </c>
      <c r="E196" s="2" t="str">
        <f>"1000013477"</f>
        <v>1000013477</v>
      </c>
      <c r="F196" s="4" t="str">
        <f>"BINDERS:Blk, 3, D slant, deluxe, 120pt-Maxtile solid construction"</f>
        <v>BINDERS:Blk, 3, D slant, deluxe, 120pt-Maxtile solid construction</v>
      </c>
      <c r="G196" s="74" t="str">
        <f t="shared" si="4"/>
        <v>EA</v>
      </c>
      <c r="H196" s="7">
        <v>8.4</v>
      </c>
      <c r="I196" s="2" t="str">
        <f t="shared" si="5"/>
        <v>44122003</v>
      </c>
      <c r="J196" s="10" t="s">
        <v>76</v>
      </c>
    </row>
    <row r="197" spans="1:10" ht="25.5">
      <c r="A197" s="9" t="s">
        <v>27</v>
      </c>
      <c r="B197" s="2" t="s">
        <v>325</v>
      </c>
      <c r="C197" s="2">
        <v>3201</v>
      </c>
      <c r="D197" s="2">
        <v>184</v>
      </c>
      <c r="E197" s="2" t="str">
        <f>"1000013478"</f>
        <v>1000013478</v>
      </c>
      <c r="F197" s="4" t="str">
        <f>"BINDERS:Royl Blu, 3, D slant, deluxe, 120pt-Maxtile solid construction"</f>
        <v>BINDERS:Royl Blu, 3, D slant, deluxe, 120pt-Maxtile solid construction</v>
      </c>
      <c r="G197" s="74" t="str">
        <f t="shared" si="4"/>
        <v>EA</v>
      </c>
      <c r="H197" s="7">
        <v>8.4</v>
      </c>
      <c r="I197" s="2" t="str">
        <f t="shared" si="5"/>
        <v>44122003</v>
      </c>
      <c r="J197" s="10" t="s">
        <v>76</v>
      </c>
    </row>
    <row r="198" spans="1:10" ht="25.5">
      <c r="A198" s="9" t="s">
        <v>27</v>
      </c>
      <c r="B198" s="2" t="s">
        <v>325</v>
      </c>
      <c r="C198" s="2">
        <v>3201</v>
      </c>
      <c r="D198" s="2">
        <v>12</v>
      </c>
      <c r="E198" s="2" t="str">
        <f>"1000013479"</f>
        <v>1000013479</v>
      </c>
      <c r="F198" s="4" t="str">
        <f>"BINDERS:Wht, 2, econ, clear view overlay, O ring"</f>
        <v>BINDERS:Wht, 2, econ, clear view overlay, O ring</v>
      </c>
      <c r="G198" s="74" t="str">
        <f t="shared" si="4"/>
        <v>EA</v>
      </c>
      <c r="H198" s="7">
        <v>4.1500000000000004</v>
      </c>
      <c r="I198" s="2" t="str">
        <f t="shared" si="5"/>
        <v>44122003</v>
      </c>
      <c r="J198" s="10" t="s">
        <v>76</v>
      </c>
    </row>
    <row r="199" spans="1:10" ht="38.25">
      <c r="A199" s="9" t="s">
        <v>27</v>
      </c>
      <c r="B199" s="2" t="s">
        <v>325</v>
      </c>
      <c r="C199" s="2">
        <v>3201</v>
      </c>
      <c r="D199" s="2">
        <v>65</v>
      </c>
      <c r="E199" s="2" t="str">
        <f>"1000013480"</f>
        <v>1000013480</v>
      </c>
      <c r="F199" s="4" t="str">
        <f>"BINDERS:Royl Blu, 1.5, clear view overlay ,deluxe, O ring, 120pt-Maxtile solid construction"</f>
        <v>BINDERS:Royl Blu, 1.5, clear view overlay ,deluxe, O ring, 120pt-Maxtile solid construction</v>
      </c>
      <c r="G199" s="74" t="str">
        <f t="shared" si="4"/>
        <v>EA</v>
      </c>
      <c r="H199" s="7">
        <v>5.9</v>
      </c>
      <c r="I199" s="2" t="str">
        <f t="shared" si="5"/>
        <v>44122003</v>
      </c>
      <c r="J199" s="10" t="s">
        <v>76</v>
      </c>
    </row>
    <row r="200" spans="1:10" ht="38.25">
      <c r="A200" s="9" t="s">
        <v>27</v>
      </c>
      <c r="B200" s="2" t="s">
        <v>325</v>
      </c>
      <c r="C200" s="2">
        <v>3201</v>
      </c>
      <c r="D200" s="2">
        <v>66</v>
      </c>
      <c r="E200" s="2" t="str">
        <f>"1000013481"</f>
        <v>1000013481</v>
      </c>
      <c r="F200" s="4" t="str">
        <f>"BINDERS:Red, 1.5, clear view overlay,deluxe, O ring, 120pt-Maxtile solid construction"</f>
        <v>BINDERS:Red, 1.5, clear view overlay,deluxe, O ring, 120pt-Maxtile solid construction</v>
      </c>
      <c r="G200" s="74" t="str">
        <f t="shared" si="4"/>
        <v>EA</v>
      </c>
      <c r="H200" s="7">
        <v>5.9</v>
      </c>
      <c r="I200" s="2" t="str">
        <f t="shared" si="5"/>
        <v>44122003</v>
      </c>
      <c r="J200" s="10" t="s">
        <v>76</v>
      </c>
    </row>
    <row r="201" spans="1:10" ht="38.25">
      <c r="A201" s="9" t="s">
        <v>27</v>
      </c>
      <c r="B201" s="2" t="s">
        <v>325</v>
      </c>
      <c r="C201" s="2">
        <v>3201</v>
      </c>
      <c r="D201" s="2">
        <v>67</v>
      </c>
      <c r="E201" s="2" t="str">
        <f>"1000013482"</f>
        <v>1000013482</v>
      </c>
      <c r="F201" s="4" t="str">
        <f>"BINDERS:Wht, 1.5, clear view overlay ,deluxe, O ring, 120pt-Maxtile solid construction"</f>
        <v>BINDERS:Wht, 1.5, clear view overlay ,deluxe, O ring, 120pt-Maxtile solid construction</v>
      </c>
      <c r="G201" s="74" t="str">
        <f t="shared" si="4"/>
        <v>EA</v>
      </c>
      <c r="H201" s="7">
        <v>5.9</v>
      </c>
      <c r="I201" s="2" t="str">
        <f t="shared" si="5"/>
        <v>44122003</v>
      </c>
      <c r="J201" s="10" t="s">
        <v>76</v>
      </c>
    </row>
    <row r="202" spans="1:10" ht="38.25">
      <c r="A202" s="9" t="s">
        <v>27</v>
      </c>
      <c r="B202" s="2" t="s">
        <v>325</v>
      </c>
      <c r="C202" s="2">
        <v>3201</v>
      </c>
      <c r="D202" s="2">
        <v>68</v>
      </c>
      <c r="E202" s="2" t="str">
        <f>"1000013483"</f>
        <v>1000013483</v>
      </c>
      <c r="F202" s="4" t="str">
        <f>"BINDERS:Lt Gray, 1.5, clear view overlay ,deluxe, O ring, 120pt-Maxtile solid construction"</f>
        <v>BINDERS:Lt Gray, 1.5, clear view overlay ,deluxe, O ring, 120pt-Maxtile solid construction</v>
      </c>
      <c r="G202" s="74" t="str">
        <f t="shared" si="4"/>
        <v>EA</v>
      </c>
      <c r="H202" s="7">
        <v>5.9</v>
      </c>
      <c r="I202" s="2" t="str">
        <f t="shared" si="5"/>
        <v>44122003</v>
      </c>
      <c r="J202" s="10" t="s">
        <v>76</v>
      </c>
    </row>
    <row r="203" spans="1:10" ht="38.25">
      <c r="A203" s="9" t="s">
        <v>27</v>
      </c>
      <c r="B203" s="2" t="s">
        <v>325</v>
      </c>
      <c r="C203" s="2">
        <v>3201</v>
      </c>
      <c r="D203" s="2">
        <v>69</v>
      </c>
      <c r="E203" s="2" t="str">
        <f>"1000013484"</f>
        <v>1000013484</v>
      </c>
      <c r="F203" s="4" t="str">
        <f>"BINDERS:Orng, 1.5, clear view overlay ,deluxe, O ring, 120pt-Maxtile solid construction"</f>
        <v>BINDERS:Orng, 1.5, clear view overlay ,deluxe, O ring, 120pt-Maxtile solid construction</v>
      </c>
      <c r="G203" s="74" t="str">
        <f t="shared" si="4"/>
        <v>EA</v>
      </c>
      <c r="H203" s="7">
        <v>5.9</v>
      </c>
      <c r="I203" s="2" t="str">
        <f t="shared" si="5"/>
        <v>44122003</v>
      </c>
      <c r="J203" s="10" t="s">
        <v>76</v>
      </c>
    </row>
    <row r="204" spans="1:10" ht="38.25">
      <c r="A204" s="9" t="s">
        <v>27</v>
      </c>
      <c r="B204" s="2" t="s">
        <v>325</v>
      </c>
      <c r="C204" s="2">
        <v>3201</v>
      </c>
      <c r="D204" s="2">
        <v>70</v>
      </c>
      <c r="E204" s="2" t="str">
        <f>"1000013485"</f>
        <v>1000013485</v>
      </c>
      <c r="F204" s="4" t="str">
        <f>"BINDERS:Yel, 1.5, clear view overlay ,deluxe, O ring, 120pt-Maxtile solid construction"</f>
        <v>BINDERS:Yel, 1.5, clear view overlay ,deluxe, O ring, 120pt-Maxtile solid construction</v>
      </c>
      <c r="G204" s="74" t="str">
        <f t="shared" si="4"/>
        <v>EA</v>
      </c>
      <c r="H204" s="7">
        <v>5.9</v>
      </c>
      <c r="I204" s="2" t="str">
        <f t="shared" si="5"/>
        <v>44122003</v>
      </c>
      <c r="J204" s="10" t="s">
        <v>76</v>
      </c>
    </row>
    <row r="205" spans="1:10" ht="38.25">
      <c r="A205" s="9" t="s">
        <v>27</v>
      </c>
      <c r="B205" s="2" t="s">
        <v>325</v>
      </c>
      <c r="C205" s="2">
        <v>3201</v>
      </c>
      <c r="D205" s="2">
        <v>71</v>
      </c>
      <c r="E205" s="2" t="str">
        <f>"1000013486"</f>
        <v>1000013486</v>
      </c>
      <c r="F205" s="4" t="str">
        <f>"BINDERS:Grn, 1.5, clear view overlay ,deluxe, O ring, 120pt-Maxtile solid construction"</f>
        <v>BINDERS:Grn, 1.5, clear view overlay ,deluxe, O ring, 120pt-Maxtile solid construction</v>
      </c>
      <c r="G205" s="74" t="str">
        <f t="shared" si="4"/>
        <v>EA</v>
      </c>
      <c r="H205" s="7">
        <v>5.9</v>
      </c>
      <c r="I205" s="2" t="str">
        <f t="shared" si="5"/>
        <v>44122003</v>
      </c>
      <c r="J205" s="10" t="s">
        <v>76</v>
      </c>
    </row>
    <row r="206" spans="1:10" ht="38.25">
      <c r="A206" s="9" t="s">
        <v>27</v>
      </c>
      <c r="B206" s="2" t="s">
        <v>325</v>
      </c>
      <c r="C206" s="2">
        <v>3201</v>
      </c>
      <c r="D206" s="2">
        <v>72</v>
      </c>
      <c r="E206" s="2" t="str">
        <f>"1000013487"</f>
        <v>1000013487</v>
      </c>
      <c r="F206" s="4" t="str">
        <f>"BINDERS:Burg, 1.5, clear view overlay ,deluxe, O ring, 120pt-Maxtile solid construction"</f>
        <v>BINDERS:Burg, 1.5, clear view overlay ,deluxe, O ring, 120pt-Maxtile solid construction</v>
      </c>
      <c r="G206" s="74" t="str">
        <f t="shared" si="4"/>
        <v>EA</v>
      </c>
      <c r="H206" s="7">
        <v>5.9</v>
      </c>
      <c r="I206" s="2" t="str">
        <f t="shared" si="5"/>
        <v>44122003</v>
      </c>
      <c r="J206" s="10" t="s">
        <v>76</v>
      </c>
    </row>
    <row r="207" spans="1:10" ht="38.25">
      <c r="A207" s="9" t="s">
        <v>27</v>
      </c>
      <c r="B207" s="2" t="s">
        <v>325</v>
      </c>
      <c r="C207" s="2">
        <v>3201</v>
      </c>
      <c r="D207" s="2">
        <v>73</v>
      </c>
      <c r="E207" s="2" t="str">
        <f>"1000013488"</f>
        <v>1000013488</v>
      </c>
      <c r="F207" s="4" t="str">
        <f>"BINDERS:Navy, 1.5, clear view overlay ,deluxe, O ring, 120pt-Maxtile solid construction"</f>
        <v>BINDERS:Navy, 1.5, clear view overlay ,deluxe, O ring, 120pt-Maxtile solid construction</v>
      </c>
      <c r="G207" s="74" t="str">
        <f t="shared" si="4"/>
        <v>EA</v>
      </c>
      <c r="H207" s="7">
        <v>5.9</v>
      </c>
      <c r="I207" s="2" t="str">
        <f t="shared" si="5"/>
        <v>44122003</v>
      </c>
      <c r="J207" s="10" t="s">
        <v>76</v>
      </c>
    </row>
    <row r="208" spans="1:10" ht="25.5">
      <c r="A208" s="9" t="s">
        <v>27</v>
      </c>
      <c r="B208" s="2" t="s">
        <v>325</v>
      </c>
      <c r="C208" s="2">
        <v>3201</v>
      </c>
      <c r="D208" s="2">
        <v>42</v>
      </c>
      <c r="E208" s="2" t="str">
        <f>"1000013489"</f>
        <v>1000013489</v>
      </c>
      <c r="F208" s="4" t="str">
        <f>"BINDERS:Purple, 1 size, O ring, 120pt-Maxtile solid construction"</f>
        <v>BINDERS:Purple, 1 size, O ring, 120pt-Maxtile solid construction</v>
      </c>
      <c r="G208" s="74" t="str">
        <f t="shared" si="4"/>
        <v>EA</v>
      </c>
      <c r="H208" s="7">
        <v>3.35</v>
      </c>
      <c r="I208" s="2" t="str">
        <f t="shared" si="5"/>
        <v>44122003</v>
      </c>
      <c r="J208" s="10" t="s">
        <v>76</v>
      </c>
    </row>
    <row r="209" spans="1:10" ht="38.25">
      <c r="A209" s="9" t="s">
        <v>27</v>
      </c>
      <c r="B209" s="2" t="s">
        <v>325</v>
      </c>
      <c r="C209" s="2">
        <v>3201</v>
      </c>
      <c r="D209" s="2">
        <v>53</v>
      </c>
      <c r="E209" s="2" t="str">
        <f>"1000013490"</f>
        <v>1000013490</v>
      </c>
      <c r="F209" s="4" t="str">
        <f>"BINDERS:Purple, 1, clear view overlay front/back/spine, O ring, 120pt-Maxtile solid construction"</f>
        <v>BINDERS:Purple, 1, clear view overlay front/back/spine, O ring, 120pt-Maxtile solid construction</v>
      </c>
      <c r="G209" s="74" t="str">
        <f t="shared" si="4"/>
        <v>EA</v>
      </c>
      <c r="H209" s="7">
        <v>4.21</v>
      </c>
      <c r="I209" s="2" t="str">
        <f t="shared" si="5"/>
        <v>44122003</v>
      </c>
      <c r="J209" s="10" t="s">
        <v>76</v>
      </c>
    </row>
    <row r="210" spans="1:10" ht="38.25">
      <c r="A210" s="9" t="s">
        <v>27</v>
      </c>
      <c r="B210" s="2" t="s">
        <v>325</v>
      </c>
      <c r="C210" s="2">
        <v>3201</v>
      </c>
      <c r="D210" s="2">
        <v>198</v>
      </c>
      <c r="E210" s="2" t="str">
        <f>"1000013491"</f>
        <v>1000013491</v>
      </c>
      <c r="F210" s="4" t="str">
        <f>"BINDERS:Lt Gray, 3, D, clear view overlay front/back/spine, deluxe, 120pt-Maxtile solid construction"</f>
        <v>BINDERS:Lt Gray, 3, D, clear view overlay front/back/spine, deluxe, 120pt-Maxtile solid construction</v>
      </c>
      <c r="G210" s="74" t="str">
        <f t="shared" si="4"/>
        <v>EA</v>
      </c>
      <c r="H210" s="7">
        <v>8.9</v>
      </c>
      <c r="I210" s="2" t="str">
        <f t="shared" si="5"/>
        <v>44122003</v>
      </c>
      <c r="J210" s="10" t="s">
        <v>76</v>
      </c>
    </row>
    <row r="211" spans="1:10" ht="38.25">
      <c r="A211" s="9" t="s">
        <v>27</v>
      </c>
      <c r="B211" s="2" t="s">
        <v>325</v>
      </c>
      <c r="C211" s="2">
        <v>3201</v>
      </c>
      <c r="D211" s="2">
        <v>199</v>
      </c>
      <c r="E211" s="2" t="str">
        <f>"1000013492"</f>
        <v>1000013492</v>
      </c>
      <c r="F211" s="4" t="str">
        <f>"BINDERS:Orng, 3, D, clear view overlay front/back/spine, deluxe, 120pt-Maxtile solid construction"</f>
        <v>BINDERS:Orng, 3, D, clear view overlay front/back/spine, deluxe, 120pt-Maxtile solid construction</v>
      </c>
      <c r="G211" s="74" t="str">
        <f t="shared" si="4"/>
        <v>EA</v>
      </c>
      <c r="H211" s="7">
        <v>8.9</v>
      </c>
      <c r="I211" s="2" t="str">
        <f t="shared" si="5"/>
        <v>44122003</v>
      </c>
      <c r="J211" s="10" t="s">
        <v>76</v>
      </c>
    </row>
    <row r="212" spans="1:10" ht="25.5">
      <c r="A212" s="9" t="s">
        <v>27</v>
      </c>
      <c r="B212" s="2" t="s">
        <v>325</v>
      </c>
      <c r="C212" s="2">
        <v>3201</v>
      </c>
      <c r="D212" s="2">
        <v>85</v>
      </c>
      <c r="E212" s="2" t="str">
        <f>"1000013493"</f>
        <v>1000013493</v>
      </c>
      <c r="F212" s="4" t="str">
        <f>"BINDERS:Purple, 2 size, O ring, 120pt-Maxtile solid construction"</f>
        <v>BINDERS:Purple, 2 size, O ring, 120pt-Maxtile solid construction</v>
      </c>
      <c r="G212" s="74" t="str">
        <f t="shared" si="4"/>
        <v>EA</v>
      </c>
      <c r="H212" s="7">
        <v>6.51</v>
      </c>
      <c r="I212" s="2" t="str">
        <f t="shared" si="5"/>
        <v>44122003</v>
      </c>
      <c r="J212" s="10" t="s">
        <v>76</v>
      </c>
    </row>
    <row r="213" spans="1:10" ht="38.25">
      <c r="A213" s="9" t="s">
        <v>27</v>
      </c>
      <c r="B213" s="2" t="s">
        <v>325</v>
      </c>
      <c r="C213" s="2">
        <v>3201</v>
      </c>
      <c r="D213" s="2">
        <v>96</v>
      </c>
      <c r="E213" s="2" t="str">
        <f>"1000013494"</f>
        <v>1000013494</v>
      </c>
      <c r="F213" s="4" t="str">
        <f>"BINDERS:Purple, 2, clear view overlay front/back/spine, O ring, 120pt-Maxtile solid construction"</f>
        <v>BINDERS:Purple, 2, clear view overlay front/back/spine, O ring, 120pt-Maxtile solid construction</v>
      </c>
      <c r="G213" s="74" t="str">
        <f t="shared" si="4"/>
        <v>EA</v>
      </c>
      <c r="H213" s="7">
        <v>6.7</v>
      </c>
      <c r="I213" s="2" t="str">
        <f t="shared" si="5"/>
        <v>44122003</v>
      </c>
      <c r="J213" s="10" t="s">
        <v>76</v>
      </c>
    </row>
    <row r="214" spans="1:10" ht="25.5">
      <c r="A214" s="9" t="s">
        <v>27</v>
      </c>
      <c r="B214" s="2" t="s">
        <v>325</v>
      </c>
      <c r="C214" s="2">
        <v>3201</v>
      </c>
      <c r="D214" s="2">
        <v>107</v>
      </c>
      <c r="E214" s="2" t="str">
        <f>"1000013495"</f>
        <v>1000013495</v>
      </c>
      <c r="F214" s="4" t="str">
        <f>"BINDERS:Purple, 3 size, O ring, 120pt-Maxtile solid construction"</f>
        <v>BINDERS:Purple, 3 size, O ring, 120pt-Maxtile solid construction</v>
      </c>
      <c r="G214" s="74" t="str">
        <f t="shared" si="4"/>
        <v>EA</v>
      </c>
      <c r="H214" s="7">
        <v>1</v>
      </c>
      <c r="I214" s="2" t="str">
        <f t="shared" si="5"/>
        <v>44122003</v>
      </c>
      <c r="J214" s="10" t="s">
        <v>76</v>
      </c>
    </row>
    <row r="215" spans="1:10" ht="38.25">
      <c r="A215" s="9" t="s">
        <v>27</v>
      </c>
      <c r="B215" s="2" t="s">
        <v>325</v>
      </c>
      <c r="C215" s="2">
        <v>3201</v>
      </c>
      <c r="D215" s="2">
        <v>116</v>
      </c>
      <c r="E215" s="2" t="str">
        <f>"1000013496"</f>
        <v>1000013496</v>
      </c>
      <c r="F215" s="4" t="str">
        <f>"BINDERS:Purple, 3, clear view overlay front/back/spine, O ring, 120pt-Maxtile solid construction"</f>
        <v>BINDERS:Purple, 3, clear view overlay front/back/spine, O ring, 120pt-Maxtile solid construction</v>
      </c>
      <c r="G215" s="74" t="str">
        <f t="shared" ref="G215:G234" si="6">"EA"</f>
        <v>EA</v>
      </c>
      <c r="H215" s="7">
        <v>8.1999999999999993</v>
      </c>
      <c r="I215" s="2" t="str">
        <f t="shared" si="5"/>
        <v>44122003</v>
      </c>
      <c r="J215" s="10" t="s">
        <v>76</v>
      </c>
    </row>
    <row r="216" spans="1:10" ht="25.5">
      <c r="A216" s="9" t="s">
        <v>27</v>
      </c>
      <c r="B216" s="2" t="s">
        <v>325</v>
      </c>
      <c r="C216" s="2">
        <v>3201</v>
      </c>
      <c r="D216" s="2">
        <v>127</v>
      </c>
      <c r="E216" s="2" t="str">
        <f>"1000013497"</f>
        <v>1000013497</v>
      </c>
      <c r="F216" s="4" t="str">
        <f>"BINDERS:Purple, 1, D slant, deluxe, 120pt-Maxtile solid construction"</f>
        <v>BINDERS:Purple, 1, D slant, deluxe, 120pt-Maxtile solid construction</v>
      </c>
      <c r="G216" s="74" t="str">
        <f t="shared" si="6"/>
        <v>EA</v>
      </c>
      <c r="H216" s="7">
        <v>3.86</v>
      </c>
      <c r="I216" s="2" t="str">
        <f t="shared" ref="I216:I235" si="7">"44122003"</f>
        <v>44122003</v>
      </c>
      <c r="J216" s="10" t="s">
        <v>76</v>
      </c>
    </row>
    <row r="217" spans="1:10" ht="38.25">
      <c r="A217" s="9" t="s">
        <v>27</v>
      </c>
      <c r="B217" s="2" t="s">
        <v>325</v>
      </c>
      <c r="C217" s="2">
        <v>3201</v>
      </c>
      <c r="D217" s="2">
        <v>138</v>
      </c>
      <c r="E217" s="2" t="str">
        <f>"1000013498"</f>
        <v>1000013498</v>
      </c>
      <c r="F217" s="4" t="str">
        <f>"BINDERS:Purple, 1, D, clear view overlay front/back/spine, deluxe, 120pt-Maxtile solid construction"</f>
        <v>BINDERS:Purple, 1, D, clear view overlay front/back/spine, deluxe, 120pt-Maxtile solid construction</v>
      </c>
      <c r="G217" s="74" t="str">
        <f t="shared" si="6"/>
        <v>EA</v>
      </c>
      <c r="H217" s="7">
        <v>5.41</v>
      </c>
      <c r="I217" s="2" t="str">
        <f t="shared" si="7"/>
        <v>44122003</v>
      </c>
      <c r="J217" s="10" t="s">
        <v>76</v>
      </c>
    </row>
    <row r="218" spans="1:10" ht="25.5">
      <c r="A218" s="9" t="s">
        <v>27</v>
      </c>
      <c r="B218" s="2" t="s">
        <v>325</v>
      </c>
      <c r="C218" s="2">
        <v>3201</v>
      </c>
      <c r="D218" s="2">
        <v>149</v>
      </c>
      <c r="E218" s="2" t="str">
        <f>"1000013499"</f>
        <v>1000013499</v>
      </c>
      <c r="F218" s="4" t="str">
        <f>"BINDERS:Purple, 1.5, D slant, deluxe, 120pt-Maxtile solid construction"</f>
        <v>BINDERS:Purple, 1.5, D slant, deluxe, 120pt-Maxtile solid construction</v>
      </c>
      <c r="G218" s="74" t="str">
        <f t="shared" si="6"/>
        <v>EA</v>
      </c>
      <c r="H218" s="7">
        <v>6.4</v>
      </c>
      <c r="I218" s="2" t="str">
        <f t="shared" si="7"/>
        <v>44122003</v>
      </c>
      <c r="J218" s="10" t="s">
        <v>76</v>
      </c>
    </row>
    <row r="219" spans="1:10" ht="38.25">
      <c r="A219" s="9" t="s">
        <v>27</v>
      </c>
      <c r="B219" s="2" t="s">
        <v>325</v>
      </c>
      <c r="C219" s="2">
        <v>3201</v>
      </c>
      <c r="D219" s="2">
        <v>160</v>
      </c>
      <c r="E219" s="2" t="str">
        <f>"1000013500"</f>
        <v>1000013500</v>
      </c>
      <c r="F219" s="4" t="str">
        <f>"BINDERS:Purple, 1.5, D, clear view overlay front/back/spine, deluxe, 120pt-Maxtile solid construction"</f>
        <v>BINDERS:Purple, 1.5, D, clear view overlay front/back/spine, deluxe, 120pt-Maxtile solid construction</v>
      </c>
      <c r="G219" s="74" t="str">
        <f t="shared" si="6"/>
        <v>EA</v>
      </c>
      <c r="H219" s="7">
        <v>6.74</v>
      </c>
      <c r="I219" s="2" t="str">
        <f t="shared" si="7"/>
        <v>44122003</v>
      </c>
      <c r="J219" s="10" t="s">
        <v>76</v>
      </c>
    </row>
    <row r="220" spans="1:10" ht="25.5">
      <c r="A220" s="9" t="s">
        <v>27</v>
      </c>
      <c r="B220" s="2" t="s">
        <v>325</v>
      </c>
      <c r="C220" s="2">
        <v>3201</v>
      </c>
      <c r="D220" s="2">
        <v>171</v>
      </c>
      <c r="E220" s="2" t="str">
        <f>"1000013501"</f>
        <v>1000013501</v>
      </c>
      <c r="F220" s="4" t="str">
        <f>"BINDERS:Purple, 2, D slant, deluxe, 120pt-Maxtile solid construction"</f>
        <v>BINDERS:Purple, 2, D slant, deluxe, 120pt-Maxtile solid construction</v>
      </c>
      <c r="G220" s="74" t="str">
        <f t="shared" si="6"/>
        <v>EA</v>
      </c>
      <c r="H220" s="7">
        <v>6.56</v>
      </c>
      <c r="I220" s="2" t="str">
        <f t="shared" si="7"/>
        <v>44122003</v>
      </c>
      <c r="J220" s="10" t="s">
        <v>76</v>
      </c>
    </row>
    <row r="221" spans="1:10" ht="38.25">
      <c r="A221" s="9" t="s">
        <v>27</v>
      </c>
      <c r="B221" s="2" t="s">
        <v>325</v>
      </c>
      <c r="C221" s="2">
        <v>3201</v>
      </c>
      <c r="D221" s="2">
        <v>182</v>
      </c>
      <c r="E221" s="2" t="str">
        <f>"1000013502"</f>
        <v>1000013502</v>
      </c>
      <c r="F221" s="4" t="str">
        <f>"BINDERS:Purple, 2, D, clear view overlay front/back/spine, deluxe, 120pt-Maxtile solid construction"</f>
        <v>BINDERS:Purple, 2, D, clear view overlay front/back/spine, deluxe, 120pt-Maxtile solid construction</v>
      </c>
      <c r="G221" s="74" t="str">
        <f t="shared" si="6"/>
        <v>EA</v>
      </c>
      <c r="H221" s="7">
        <v>7.1</v>
      </c>
      <c r="I221" s="2" t="str">
        <f t="shared" si="7"/>
        <v>44122003</v>
      </c>
      <c r="J221" s="10" t="s">
        <v>76</v>
      </c>
    </row>
    <row r="222" spans="1:10" ht="25.5">
      <c r="A222" s="9" t="s">
        <v>27</v>
      </c>
      <c r="B222" s="2" t="s">
        <v>325</v>
      </c>
      <c r="C222" s="2">
        <v>3201</v>
      </c>
      <c r="D222" s="2">
        <v>193</v>
      </c>
      <c r="E222" s="2" t="str">
        <f>"1000013503"</f>
        <v>1000013503</v>
      </c>
      <c r="F222" s="4" t="str">
        <f>"BINDERS:Purple, 3, D slant, deluxe, 120pt-Maxtile solid construction"</f>
        <v>BINDERS:Purple, 3, D slant, deluxe, 120pt-Maxtile solid construction</v>
      </c>
      <c r="G222" s="74" t="str">
        <f t="shared" si="6"/>
        <v>EA</v>
      </c>
      <c r="H222" s="7">
        <v>8.4</v>
      </c>
      <c r="I222" s="2" t="str">
        <f t="shared" si="7"/>
        <v>44122003</v>
      </c>
      <c r="J222" s="10" t="s">
        <v>76</v>
      </c>
    </row>
    <row r="223" spans="1:10" ht="38.25">
      <c r="A223" s="9" t="s">
        <v>27</v>
      </c>
      <c r="B223" s="2" t="s">
        <v>325</v>
      </c>
      <c r="C223" s="2">
        <v>3201</v>
      </c>
      <c r="D223" s="2">
        <v>204</v>
      </c>
      <c r="E223" s="2" t="str">
        <f>"1000013504"</f>
        <v>1000013504</v>
      </c>
      <c r="F223" s="4" t="str">
        <f>"BINDERS:Purple, 3, D, clear view overlay front/back/spine, deluxe, 120pt-Maxtile solid construction"</f>
        <v>BINDERS:Purple, 3, D, clear view overlay front/back/spine, deluxe, 120pt-Maxtile solid construction</v>
      </c>
      <c r="G223" s="74" t="str">
        <f t="shared" si="6"/>
        <v>EA</v>
      </c>
      <c r="H223" s="7">
        <v>8.9</v>
      </c>
      <c r="I223" s="2" t="str">
        <f t="shared" si="7"/>
        <v>44122003</v>
      </c>
      <c r="J223" s="10" t="s">
        <v>76</v>
      </c>
    </row>
    <row r="224" spans="1:10" ht="25.5">
      <c r="A224" s="9" t="s">
        <v>27</v>
      </c>
      <c r="B224" s="2" t="s">
        <v>325</v>
      </c>
      <c r="C224" s="2">
        <v>3201</v>
      </c>
      <c r="D224" s="2">
        <v>8</v>
      </c>
      <c r="E224" s="2" t="str">
        <f>"1000013505"</f>
        <v>1000013505</v>
      </c>
      <c r="F224" s="4" t="str">
        <f>"BINDERS:Blk, 2, econ, clear view overlay, O ring"</f>
        <v>BINDERS:Blk, 2, econ, clear view overlay, O ring</v>
      </c>
      <c r="G224" s="74" t="str">
        <f t="shared" si="6"/>
        <v>EA</v>
      </c>
      <c r="H224" s="7">
        <v>4.1500000000000004</v>
      </c>
      <c r="I224" s="2" t="str">
        <f t="shared" si="7"/>
        <v>44122003</v>
      </c>
      <c r="J224" s="10" t="s">
        <v>76</v>
      </c>
    </row>
    <row r="225" spans="1:10" ht="25.5">
      <c r="A225" s="9" t="s">
        <v>27</v>
      </c>
      <c r="B225" s="2" t="s">
        <v>325</v>
      </c>
      <c r="C225" s="2">
        <v>3201</v>
      </c>
      <c r="D225" s="2">
        <v>10</v>
      </c>
      <c r="E225" s="2" t="str">
        <f>"1000013506"</f>
        <v>1000013506</v>
      </c>
      <c r="F225" s="4" t="str">
        <f>"BINDERS:Royl Blu, 2, econ, clear view overlay, O ring"</f>
        <v>BINDERS:Royl Blu, 2, econ, clear view overlay, O ring</v>
      </c>
      <c r="G225" s="74" t="str">
        <f t="shared" si="6"/>
        <v>EA</v>
      </c>
      <c r="H225" s="7">
        <v>4.1500000000000004</v>
      </c>
      <c r="I225" s="2" t="str">
        <f t="shared" si="7"/>
        <v>44122003</v>
      </c>
      <c r="J225" s="10" t="s">
        <v>76</v>
      </c>
    </row>
    <row r="226" spans="1:10" ht="25.5">
      <c r="A226" s="9" t="s">
        <v>27</v>
      </c>
      <c r="B226" s="2" t="s">
        <v>325</v>
      </c>
      <c r="C226" s="2">
        <v>3201</v>
      </c>
      <c r="D226" s="2">
        <v>205</v>
      </c>
      <c r="E226" s="2" t="str">
        <f>"1000013507"</f>
        <v>1000013507</v>
      </c>
      <c r="F226" s="4" t="str">
        <f>"BINDERS:Stick On Labels for spine, accessories"</f>
        <v>BINDERS:Stick On Labels for spine, accessories</v>
      </c>
      <c r="G226" s="74" t="str">
        <f t="shared" si="6"/>
        <v>EA</v>
      </c>
      <c r="H226" s="7">
        <v>0.4</v>
      </c>
      <c r="I226" s="2" t="str">
        <f t="shared" si="7"/>
        <v>44122003</v>
      </c>
      <c r="J226" s="10" t="s">
        <v>76</v>
      </c>
    </row>
    <row r="227" spans="1:10" ht="25.5">
      <c r="A227" s="9" t="s">
        <v>27</v>
      </c>
      <c r="B227" s="2" t="s">
        <v>325</v>
      </c>
      <c r="C227" s="2">
        <v>3201</v>
      </c>
      <c r="D227" s="2">
        <v>206</v>
      </c>
      <c r="E227" s="2" t="str">
        <f>"1000013508"</f>
        <v>1000013508</v>
      </c>
      <c r="F227" s="4" t="str">
        <f>"BINDERS:Business Card holders, stick on, accessories"</f>
        <v>BINDERS:Business Card holders, stick on, accessories</v>
      </c>
      <c r="G227" s="74" t="str">
        <f t="shared" si="6"/>
        <v>EA</v>
      </c>
      <c r="H227" s="7">
        <v>0.4</v>
      </c>
      <c r="I227" s="2" t="str">
        <f t="shared" si="7"/>
        <v>44122003</v>
      </c>
      <c r="J227" s="10" t="s">
        <v>76</v>
      </c>
    </row>
    <row r="228" spans="1:10" ht="25.5">
      <c r="A228" s="9" t="s">
        <v>27</v>
      </c>
      <c r="B228" s="2" t="s">
        <v>325</v>
      </c>
      <c r="C228" s="2">
        <v>3201</v>
      </c>
      <c r="D228" s="2">
        <v>207</v>
      </c>
      <c r="E228" s="2" t="str">
        <f>"1000013509"</f>
        <v>1000013509</v>
      </c>
      <c r="F228" s="4" t="str">
        <f>"BINDERS:CD Rom holder, stick on, accessories"</f>
        <v>BINDERS:CD Rom holder, stick on, accessories</v>
      </c>
      <c r="G228" s="74" t="str">
        <f t="shared" si="6"/>
        <v>EA</v>
      </c>
      <c r="H228" s="7">
        <v>0.6</v>
      </c>
      <c r="I228" s="2" t="str">
        <f t="shared" si="7"/>
        <v>44122003</v>
      </c>
      <c r="J228" s="10" t="s">
        <v>76</v>
      </c>
    </row>
    <row r="229" spans="1:10" ht="25.5">
      <c r="A229" s="9" t="s">
        <v>27</v>
      </c>
      <c r="B229" s="2" t="s">
        <v>325</v>
      </c>
      <c r="C229" s="2">
        <v>3201</v>
      </c>
      <c r="D229" s="2">
        <v>208</v>
      </c>
      <c r="E229" s="2" t="str">
        <f>"1000013510"</f>
        <v>1000013510</v>
      </c>
      <c r="F229" s="4" t="str">
        <f>"BINDERS:3.5 Diskette holder, stick on, accessories"</f>
        <v>BINDERS:3.5 Diskette holder, stick on, accessories</v>
      </c>
      <c r="G229" s="74" t="str">
        <f t="shared" si="6"/>
        <v>EA</v>
      </c>
      <c r="H229" s="7">
        <v>0.6</v>
      </c>
      <c r="I229" s="2" t="str">
        <f t="shared" si="7"/>
        <v>44122003</v>
      </c>
      <c r="J229" s="10" t="s">
        <v>76</v>
      </c>
    </row>
    <row r="230" spans="1:10" ht="25.5">
      <c r="A230" s="9" t="s">
        <v>27</v>
      </c>
      <c r="B230" s="2" t="s">
        <v>325</v>
      </c>
      <c r="C230" s="2">
        <v>3201</v>
      </c>
      <c r="D230" s="2">
        <v>210</v>
      </c>
      <c r="E230" s="2" t="str">
        <f>"1000013511"</f>
        <v>1000013511</v>
      </c>
      <c r="F230" s="4" t="str">
        <f>"BINDERS:Loose Leaf Page Lifter, for all D binders, size 11x5"</f>
        <v>BINDERS:Loose Leaf Page Lifter, for all D binders, size 11x5</v>
      </c>
      <c r="G230" s="74" t="str">
        <f t="shared" si="6"/>
        <v>EA</v>
      </c>
      <c r="H230" s="7">
        <v>0.35</v>
      </c>
      <c r="I230" s="2" t="str">
        <f t="shared" si="7"/>
        <v>44122003</v>
      </c>
      <c r="J230" s="10" t="s">
        <v>76</v>
      </c>
    </row>
    <row r="231" spans="1:10" ht="25.5">
      <c r="A231" s="9" t="s">
        <v>27</v>
      </c>
      <c r="B231" s="2" t="s">
        <v>325</v>
      </c>
      <c r="C231" s="2">
        <v>3201</v>
      </c>
      <c r="D231" s="2">
        <v>209</v>
      </c>
      <c r="E231" s="2" t="str">
        <f>"1000013512"</f>
        <v>1000013512</v>
      </c>
      <c r="F231" s="4" t="str">
        <f>"BINDERS:Curved Type Loose Leaf Page Lifter, accessories"</f>
        <v>BINDERS:Curved Type Loose Leaf Page Lifter, accessories</v>
      </c>
      <c r="G231" s="74" t="str">
        <f t="shared" si="6"/>
        <v>EA</v>
      </c>
      <c r="H231" s="7">
        <v>0.25</v>
      </c>
      <c r="I231" s="2" t="str">
        <f t="shared" si="7"/>
        <v>44122003</v>
      </c>
      <c r="J231" s="10" t="s">
        <v>76</v>
      </c>
    </row>
    <row r="232" spans="1:10" ht="25.5">
      <c r="A232" s="9" t="s">
        <v>27</v>
      </c>
      <c r="B232" s="2" t="s">
        <v>325</v>
      </c>
      <c r="C232" s="2">
        <v>3201</v>
      </c>
      <c r="D232" s="2">
        <v>64</v>
      </c>
      <c r="E232" s="2" t="str">
        <f>"1000013513"</f>
        <v>1000013513</v>
      </c>
      <c r="F232" s="4" t="str">
        <f>"BINDERS:Purple, 1.5 size, O ring, 120pt-Maxtile solid construction"</f>
        <v>BINDERS:Purple, 1.5 size, O ring, 120pt-Maxtile solid construction</v>
      </c>
      <c r="G232" s="74" t="str">
        <f t="shared" si="6"/>
        <v>EA</v>
      </c>
      <c r="H232" s="7">
        <v>4.4000000000000004</v>
      </c>
      <c r="I232" s="2" t="str">
        <f t="shared" si="7"/>
        <v>44122003</v>
      </c>
      <c r="J232" s="10" t="s">
        <v>76</v>
      </c>
    </row>
    <row r="233" spans="1:10" ht="38.25">
      <c r="A233" s="9" t="s">
        <v>27</v>
      </c>
      <c r="B233" s="2" t="s">
        <v>325</v>
      </c>
      <c r="C233" s="2">
        <v>3201</v>
      </c>
      <c r="D233" s="2">
        <v>74</v>
      </c>
      <c r="E233" s="2" t="str">
        <f>"1000013514"</f>
        <v>1000013514</v>
      </c>
      <c r="F233" s="4" t="str">
        <f>"BINDERS:Purple, 1.5, clear view overlay front/back/spine, O ring, 120pt-Maxtile solid construction"</f>
        <v>BINDERS:Purple, 1.5, clear view overlay front/back/spine, O ring, 120pt-Maxtile solid construction</v>
      </c>
      <c r="G233" s="74" t="str">
        <f t="shared" si="6"/>
        <v>EA</v>
      </c>
      <c r="H233" s="7">
        <v>5.9</v>
      </c>
      <c r="I233" s="2" t="str">
        <f t="shared" si="7"/>
        <v>44122003</v>
      </c>
      <c r="J233" s="10" t="s">
        <v>76</v>
      </c>
    </row>
    <row r="234" spans="1:10" ht="38.25">
      <c r="A234" s="9" t="s">
        <v>27</v>
      </c>
      <c r="B234" s="2" t="s">
        <v>325</v>
      </c>
      <c r="C234" s="2">
        <v>3201</v>
      </c>
      <c r="D234" s="2">
        <v>211</v>
      </c>
      <c r="E234" s="2" t="str">
        <f>"1000022902"</f>
        <v>1000022902</v>
      </c>
      <c r="F234" s="4" t="str">
        <f>"BINDERS: Black, 1.5, clear view overlay ,deluxe, O ring, 120 pt, maxtile solid construction"</f>
        <v>BINDERS: Black, 1.5, clear view overlay ,deluxe, O ring, 120 pt, maxtile solid construction</v>
      </c>
      <c r="G234" s="74" t="str">
        <f t="shared" si="6"/>
        <v>EA</v>
      </c>
      <c r="H234" s="7">
        <v>5.9</v>
      </c>
      <c r="I234" s="2" t="str">
        <f t="shared" si="7"/>
        <v>44122003</v>
      </c>
      <c r="J234" s="10" t="s">
        <v>76</v>
      </c>
    </row>
    <row r="235" spans="1:10" ht="76.5">
      <c r="A235" s="9" t="s">
        <v>27</v>
      </c>
      <c r="B235" s="2" t="s">
        <v>325</v>
      </c>
      <c r="C235" s="2">
        <v>3201</v>
      </c>
      <c r="D235" s="2">
        <v>212</v>
      </c>
      <c r="E235" s="2" t="str">
        <f>"1000029091"</f>
        <v>1000029091</v>
      </c>
      <c r="F235" s="4" t="str">
        <f>"MSDS BINDER KIT: 1.5 in yellow deluxe O ring binder with clear view over lay. Powder coated, yellow wire rack with mounting bracket and hardware. 30 in chain w easy connectors and eye bolt assembly to attach binder to rack."</f>
        <v>MSDS BINDER KIT: 1.5 in yellow deluxe O ring binder with clear view over lay. Powder coated, yellow wire rack with mounting bracket and hardware. 30 in chain w easy connectors and eye bolt assembly to attach binder to rack.</v>
      </c>
      <c r="G235" s="74" t="str">
        <f>"KT"</f>
        <v>KT</v>
      </c>
      <c r="H235" s="7">
        <v>34.92</v>
      </c>
      <c r="I235" s="2" t="str">
        <f t="shared" si="7"/>
        <v>44122003</v>
      </c>
      <c r="J235" s="10" t="s">
        <v>76</v>
      </c>
    </row>
    <row r="236" spans="1:10" ht="63.75">
      <c r="A236" s="9" t="s">
        <v>592</v>
      </c>
      <c r="B236" s="2" t="s">
        <v>325</v>
      </c>
      <c r="C236" s="2">
        <v>2524</v>
      </c>
      <c r="D236" s="2">
        <v>1</v>
      </c>
      <c r="E236" s="2" t="str">
        <f>"1000000044"</f>
        <v>1000000044</v>
      </c>
      <c r="F236" s="4" t="str">
        <f>"PLEATED FILTERS:Std Capacity~Standard Capacity extended surface panel. 12 pleats per ft. Synthetic cotton blend reinforced media. Heavy die-cut cardboard frame. Anti- microbial."</f>
        <v>PLEATED FILTERS:Std Capacity~Standard Capacity extended surface panel. 12 pleats per ft. Synthetic cotton blend reinforced media. Heavy die-cut cardboard frame. Anti- microbial.</v>
      </c>
      <c r="G236" s="74" t="str">
        <f t="shared" ref="G236:G250" si="8">"EA"</f>
        <v>EA</v>
      </c>
      <c r="H236" s="7">
        <v>0.01</v>
      </c>
      <c r="I236" s="2" t="str">
        <f t="shared" ref="I236:I250" si="9">"40161505"</f>
        <v>40161505</v>
      </c>
      <c r="J236" s="10" t="s">
        <v>74</v>
      </c>
    </row>
    <row r="237" spans="1:10" ht="25.5">
      <c r="A237" s="9" t="s">
        <v>592</v>
      </c>
      <c r="B237" s="2" t="s">
        <v>325</v>
      </c>
      <c r="C237" s="2">
        <v>2524</v>
      </c>
      <c r="D237" s="2">
        <v>14</v>
      </c>
      <c r="E237" s="2" t="str">
        <f>"1000000129"</f>
        <v>1000000129</v>
      </c>
      <c r="F237" s="4" t="str">
        <f>"FILTER: Fiberglass filter, die cut."</f>
        <v>FILTER: Fiberglass filter, die cut.</v>
      </c>
      <c r="G237" s="74" t="str">
        <f t="shared" si="8"/>
        <v>EA</v>
      </c>
      <c r="H237" s="7">
        <v>0.01</v>
      </c>
      <c r="I237" s="2" t="str">
        <f t="shared" si="9"/>
        <v>40161505</v>
      </c>
      <c r="J237" s="10" t="s">
        <v>74</v>
      </c>
    </row>
    <row r="238" spans="1:10" ht="76.5">
      <c r="A238" s="9" t="s">
        <v>592</v>
      </c>
      <c r="B238" s="2" t="s">
        <v>325</v>
      </c>
      <c r="C238" s="2">
        <v>2524</v>
      </c>
      <c r="D238" s="2">
        <v>9</v>
      </c>
      <c r="E238" s="2" t="str">
        <f>"1000000197"</f>
        <v>1000000197</v>
      </c>
      <c r="F238" s="4" t="str">
        <f>"FILTER: Open Panel w/ AEGIS (TM) anti-microbial treated polyester media. Controls microorganisms including mold, mildew, fungi, yeasts, and bacteria, especially useful where allergies are a concern. Wire self-retaining frame."</f>
        <v>FILTER: Open Panel w/ AEGIS (TM) anti-microbial treated polyester media. Controls microorganisms including mold, mildew, fungi, yeasts, and bacteria, especially useful where allergies are a concern. Wire self-retaining frame.</v>
      </c>
      <c r="G238" s="74" t="str">
        <f t="shared" si="8"/>
        <v>EA</v>
      </c>
      <c r="H238" s="7">
        <v>0.01</v>
      </c>
      <c r="I238" s="2" t="str">
        <f t="shared" si="9"/>
        <v>40161505</v>
      </c>
      <c r="J238" s="10" t="s">
        <v>74</v>
      </c>
    </row>
    <row r="239" spans="1:10" ht="51">
      <c r="A239" s="9" t="s">
        <v>592</v>
      </c>
      <c r="B239" s="2" t="s">
        <v>325</v>
      </c>
      <c r="C239" s="2">
        <v>2524</v>
      </c>
      <c r="D239" s="2">
        <v>8</v>
      </c>
      <c r="E239" s="2" t="str">
        <f>"1000000198"</f>
        <v>1000000198</v>
      </c>
      <c r="F239" s="4" t="str">
        <f>"FILTER: 2in.Open Panel w/Scrim, thick self-sealing disposable polyester heat and air filters. Wire self-retaining frame. Dust holding capacity 291.8 gr. ASHRAE 52-76"</f>
        <v>FILTER: 2in.Open Panel w/Scrim, thick self-sealing disposable polyester heat and air filters. Wire self-retaining frame. Dust holding capacity 291.8 gr. ASHRAE 52-76</v>
      </c>
      <c r="G239" s="74" t="str">
        <f t="shared" si="8"/>
        <v>EA</v>
      </c>
      <c r="H239" s="7">
        <v>0.01</v>
      </c>
      <c r="I239" s="2" t="str">
        <f t="shared" si="9"/>
        <v>40161505</v>
      </c>
      <c r="J239" s="10" t="s">
        <v>74</v>
      </c>
    </row>
    <row r="240" spans="1:10" ht="25.5">
      <c r="A240" s="9" t="s">
        <v>592</v>
      </c>
      <c r="B240" s="2" t="s">
        <v>325</v>
      </c>
      <c r="C240" s="2">
        <v>2524</v>
      </c>
      <c r="D240" s="2">
        <v>15</v>
      </c>
      <c r="E240" s="2" t="str">
        <f>"1000000432"</f>
        <v>1000000432</v>
      </c>
      <c r="F240" s="4" t="str">
        <f>"FILTER:Custom cut. Price quoted upon request."</f>
        <v>FILTER:Custom cut. Price quoted upon request.</v>
      </c>
      <c r="G240" s="74" t="str">
        <f t="shared" si="8"/>
        <v>EA</v>
      </c>
      <c r="H240" s="7">
        <v>0.01</v>
      </c>
      <c r="I240" s="2" t="str">
        <f t="shared" si="9"/>
        <v>40161505</v>
      </c>
      <c r="J240" s="10" t="s">
        <v>74</v>
      </c>
    </row>
    <row r="241" spans="1:10" ht="38.25">
      <c r="A241" s="9" t="s">
        <v>592</v>
      </c>
      <c r="B241" s="2" t="s">
        <v>325</v>
      </c>
      <c r="C241" s="2">
        <v>2524</v>
      </c>
      <c r="D241" s="2">
        <v>6</v>
      </c>
      <c r="E241" s="2" t="str">
        <f>"1000000904"</f>
        <v>1000000904</v>
      </c>
      <c r="F241" s="4" t="str">
        <f>"FILTER:Utility roll w/ scrim, Air condition &amp; heat filters - Utility Rolls Polyester w/scrim"</f>
        <v>FILTER:Utility roll w/ scrim, Air condition &amp; heat filters - Utility Rolls Polyester w/scrim</v>
      </c>
      <c r="G241" s="74" t="str">
        <f t="shared" si="8"/>
        <v>EA</v>
      </c>
      <c r="H241" s="7">
        <v>0.01</v>
      </c>
      <c r="I241" s="2" t="str">
        <f t="shared" si="9"/>
        <v>40161505</v>
      </c>
      <c r="J241" s="10" t="s">
        <v>74</v>
      </c>
    </row>
    <row r="242" spans="1:10" ht="63.75">
      <c r="A242" s="9" t="s">
        <v>592</v>
      </c>
      <c r="B242" s="2" t="s">
        <v>325</v>
      </c>
      <c r="C242" s="2">
        <v>2524</v>
      </c>
      <c r="D242" s="2">
        <v>5</v>
      </c>
      <c r="E242" s="2" t="str">
        <f>"1000001010"</f>
        <v>1000001010</v>
      </c>
      <c r="F242" s="4" t="str">
        <f>"FILTER: 1in.Open Panel w/Scrim. Thick self-sealing disposable polyester heat and air filters. Dust holding capacity 201.3 gr. ASHRAE 52-76. Wire self-retaining type frame."</f>
        <v>FILTER: 1in.Open Panel w/Scrim. Thick self-sealing disposable polyester heat and air filters. Dust holding capacity 201.3 gr. ASHRAE 52-76. Wire self-retaining type frame.</v>
      </c>
      <c r="G242" s="74" t="str">
        <f t="shared" si="8"/>
        <v>EA</v>
      </c>
      <c r="H242" s="7">
        <v>0.01</v>
      </c>
      <c r="I242" s="2" t="str">
        <f t="shared" si="9"/>
        <v>40161505</v>
      </c>
      <c r="J242" s="10" t="s">
        <v>74</v>
      </c>
    </row>
    <row r="243" spans="1:10" ht="51">
      <c r="A243" s="9" t="s">
        <v>592</v>
      </c>
      <c r="B243" s="2" t="s">
        <v>325</v>
      </c>
      <c r="C243" s="2">
        <v>2524</v>
      </c>
      <c r="D243" s="2">
        <v>12</v>
      </c>
      <c r="E243" s="2" t="str">
        <f>"1000006799"</f>
        <v>1000006799</v>
      </c>
      <c r="F243" s="4" t="str">
        <f>"FILTER: Framed Polyester. Dual density self-sealing polyester filter with tack on down stream side. Heavy die cut cardboard frame."</f>
        <v>FILTER: Framed Polyester. Dual density self-sealing polyester filter with tack on down stream side. Heavy die cut cardboard frame.</v>
      </c>
      <c r="G243" s="74" t="str">
        <f t="shared" si="8"/>
        <v>EA</v>
      </c>
      <c r="H243" s="7">
        <v>0.01</v>
      </c>
      <c r="I243" s="2" t="str">
        <f t="shared" si="9"/>
        <v>40161505</v>
      </c>
      <c r="J243" s="10" t="s">
        <v>74</v>
      </c>
    </row>
    <row r="244" spans="1:10" ht="38.25">
      <c r="A244" s="9" t="s">
        <v>592</v>
      </c>
      <c r="B244" s="2" t="s">
        <v>325</v>
      </c>
      <c r="C244" s="2">
        <v>2524</v>
      </c>
      <c r="D244" s="2">
        <v>13</v>
      </c>
      <c r="E244" s="2" t="str">
        <f>"1000008678"</f>
        <v>1000008678</v>
      </c>
      <c r="F244" s="4" t="str">
        <f>"FILTER: Framed Polyester Aegis Element Filter. Anti-microbial treated for pollen and mold. Die cut."</f>
        <v>FILTER: Framed Polyester Aegis Element Filter. Anti-microbial treated for pollen and mold. Die cut.</v>
      </c>
      <c r="G244" s="74" t="str">
        <f t="shared" si="8"/>
        <v>EA</v>
      </c>
      <c r="H244" s="7">
        <v>0.01</v>
      </c>
      <c r="I244" s="2" t="str">
        <f t="shared" si="9"/>
        <v>40161505</v>
      </c>
      <c r="J244" s="10" t="s">
        <v>74</v>
      </c>
    </row>
    <row r="245" spans="1:10" ht="63.75">
      <c r="A245" s="9" t="s">
        <v>592</v>
      </c>
      <c r="B245" s="2" t="s">
        <v>325</v>
      </c>
      <c r="C245" s="2">
        <v>2524</v>
      </c>
      <c r="D245" s="2">
        <v>2</v>
      </c>
      <c r="E245" s="2" t="str">
        <f>"1000012359"</f>
        <v>1000012359</v>
      </c>
      <c r="F245" s="4" t="str">
        <f>"PLEATED FILTERS:High Capacity~High Capacity extended surface panel. 16 pleats per ft. Synthetic cotton blend reinforced media. Heavy die-cut cardboard frame. Anti- microbial."</f>
        <v>PLEATED FILTERS:High Capacity~High Capacity extended surface panel. 16 pleats per ft. Synthetic cotton blend reinforced media. Heavy die-cut cardboard frame. Anti- microbial.</v>
      </c>
      <c r="G245" s="74" t="str">
        <f t="shared" si="8"/>
        <v>EA</v>
      </c>
      <c r="H245" s="7">
        <v>0.01</v>
      </c>
      <c r="I245" s="2" t="str">
        <f t="shared" si="9"/>
        <v>40161505</v>
      </c>
      <c r="J245" s="10" t="s">
        <v>74</v>
      </c>
    </row>
    <row r="246" spans="1:10" ht="25.5">
      <c r="A246" s="9" t="s">
        <v>592</v>
      </c>
      <c r="B246" s="2" t="s">
        <v>325</v>
      </c>
      <c r="C246" s="2">
        <v>2524</v>
      </c>
      <c r="D246" s="2">
        <v>3</v>
      </c>
      <c r="E246" s="2" t="str">
        <f>"1000012360"</f>
        <v>1000012360</v>
      </c>
      <c r="F246" s="4" t="str">
        <f>"PRE-FILTER PAD: 1/4 IN. Polyester pad, no frame."</f>
        <v>PRE-FILTER PAD: 1/4 IN. Polyester pad, no frame.</v>
      </c>
      <c r="G246" s="74" t="str">
        <f t="shared" si="8"/>
        <v>EA</v>
      </c>
      <c r="H246" s="7">
        <v>0.01</v>
      </c>
      <c r="I246" s="2" t="str">
        <f t="shared" si="9"/>
        <v>40161505</v>
      </c>
      <c r="J246" s="10" t="s">
        <v>74</v>
      </c>
    </row>
    <row r="247" spans="1:10" ht="38.25">
      <c r="A247" s="9" t="s">
        <v>592</v>
      </c>
      <c r="B247" s="2" t="s">
        <v>325</v>
      </c>
      <c r="C247" s="2">
        <v>2524</v>
      </c>
      <c r="D247" s="2">
        <v>4</v>
      </c>
      <c r="E247" s="2" t="str">
        <f>"1000012361"</f>
        <v>1000012361</v>
      </c>
      <c r="F247" s="4" t="str">
        <f>"FILTER: Single Pocket Bag Filter.  Polyester media with tackifier.  One large pocket attached to a single wire."</f>
        <v>FILTER: Single Pocket Bag Filter.  Polyester media with tackifier.  One large pocket attached to a single wire.</v>
      </c>
      <c r="G247" s="74" t="str">
        <f t="shared" si="8"/>
        <v>EA</v>
      </c>
      <c r="H247" s="7">
        <v>0.01</v>
      </c>
      <c r="I247" s="2" t="str">
        <f t="shared" si="9"/>
        <v>40161505</v>
      </c>
      <c r="J247" s="10" t="s">
        <v>74</v>
      </c>
    </row>
    <row r="248" spans="1:10" ht="51">
      <c r="A248" s="9" t="s">
        <v>592</v>
      </c>
      <c r="B248" s="2" t="s">
        <v>325</v>
      </c>
      <c r="C248" s="2">
        <v>2524</v>
      </c>
      <c r="D248" s="2">
        <v>7</v>
      </c>
      <c r="E248" s="2" t="str">
        <f>"1000012362"</f>
        <v>1000012362</v>
      </c>
      <c r="F248" s="4" t="str">
        <f>"FILTER: Duals w/ tackifier. Dual polyester filter with tackifier on downstream side. Self-sealing and disposable. Wire self-retaining frame, encased."</f>
        <v>FILTER: Duals w/ tackifier. Dual polyester filter with tackifier on downstream side. Self-sealing and disposable. Wire self-retaining frame, encased.</v>
      </c>
      <c r="G248" s="74" t="str">
        <f t="shared" si="8"/>
        <v>EA</v>
      </c>
      <c r="H248" s="7">
        <v>0.01</v>
      </c>
      <c r="I248" s="2" t="str">
        <f t="shared" si="9"/>
        <v>40161505</v>
      </c>
      <c r="J248" s="10" t="s">
        <v>74</v>
      </c>
    </row>
    <row r="249" spans="1:10" ht="51">
      <c r="A249" s="9" t="s">
        <v>592</v>
      </c>
      <c r="B249" s="2" t="s">
        <v>325</v>
      </c>
      <c r="C249" s="2">
        <v>2524</v>
      </c>
      <c r="D249" s="2">
        <v>10</v>
      </c>
      <c r="E249" s="2" t="str">
        <f>"1000012363"</f>
        <v>1000012363</v>
      </c>
      <c r="F249" s="4" t="str">
        <f>"FILTER:Open Panel w/ tackifier.  Medial filter with tackifier on air leaving side ASHRAE 52-76 Dust holding capacity 269 gr. No scrim. Wire self-retaining frame."</f>
        <v>FILTER:Open Panel w/ tackifier.  Medial filter with tackifier on air leaving side ASHRAE 52-76 Dust holding capacity 269 gr. No scrim. Wire self-retaining frame.</v>
      </c>
      <c r="G249" s="74" t="str">
        <f t="shared" si="8"/>
        <v>EA</v>
      </c>
      <c r="H249" s="7">
        <v>0.01</v>
      </c>
      <c r="I249" s="2" t="str">
        <f t="shared" si="9"/>
        <v>40161505</v>
      </c>
      <c r="J249" s="10" t="s">
        <v>74</v>
      </c>
    </row>
    <row r="250" spans="1:10" ht="51">
      <c r="A250" s="9" t="s">
        <v>592</v>
      </c>
      <c r="B250" s="2" t="s">
        <v>325</v>
      </c>
      <c r="C250" s="2">
        <v>2524</v>
      </c>
      <c r="D250" s="2">
        <v>11</v>
      </c>
      <c r="E250" s="2" t="str">
        <f>"1000012364"</f>
        <v>1000012364</v>
      </c>
      <c r="F250" s="4" t="str">
        <f>"FILTER: Poly Dual.  Dual density, self-sealing polyester filter with tackifier on down stream side. Wire, self-retaining frame, encased."</f>
        <v>FILTER: Poly Dual.  Dual density, self-sealing polyester filter with tackifier on down stream side. Wire, self-retaining frame, encased.</v>
      </c>
      <c r="G250" s="74" t="str">
        <f t="shared" si="8"/>
        <v>EA</v>
      </c>
      <c r="H250" s="7">
        <v>0.01</v>
      </c>
      <c r="I250" s="2" t="str">
        <f t="shared" si="9"/>
        <v>40161505</v>
      </c>
      <c r="J250" s="10" t="s">
        <v>74</v>
      </c>
    </row>
    <row r="251" spans="1:10" ht="25.5">
      <c r="A251" s="84"/>
      <c r="B251" s="2" t="s">
        <v>325</v>
      </c>
      <c r="C251" s="85"/>
      <c r="D251" s="85"/>
      <c r="E251" s="85" t="s">
        <v>610</v>
      </c>
      <c r="F251" s="49" t="s">
        <v>254</v>
      </c>
      <c r="G251" s="86"/>
      <c r="H251" s="87"/>
      <c r="I251" s="68">
        <v>24111500</v>
      </c>
      <c r="J251" s="88" t="s">
        <v>619</v>
      </c>
    </row>
    <row r="252" spans="1:10" ht="25.5">
      <c r="A252" s="84"/>
      <c r="B252" s="2" t="s">
        <v>325</v>
      </c>
      <c r="C252" s="85"/>
      <c r="D252" s="85"/>
      <c r="E252" s="85" t="s">
        <v>610</v>
      </c>
      <c r="F252" s="49" t="s">
        <v>244</v>
      </c>
      <c r="G252" s="86"/>
      <c r="H252" s="87"/>
      <c r="I252" s="68">
        <v>49101701</v>
      </c>
      <c r="J252" s="99" t="s">
        <v>244</v>
      </c>
    </row>
    <row r="253" spans="1:10" ht="25.5">
      <c r="A253" s="84"/>
      <c r="B253" s="2" t="s">
        <v>325</v>
      </c>
      <c r="C253" s="85"/>
      <c r="D253" s="85"/>
      <c r="E253" s="85" t="s">
        <v>610</v>
      </c>
      <c r="F253" s="49" t="s">
        <v>255</v>
      </c>
      <c r="G253" s="86"/>
      <c r="H253" s="87"/>
      <c r="I253" s="68">
        <v>49101702</v>
      </c>
      <c r="J253" s="99" t="s">
        <v>255</v>
      </c>
    </row>
    <row r="254" spans="1:10" ht="25.5">
      <c r="A254" s="84"/>
      <c r="B254" s="2" t="s">
        <v>325</v>
      </c>
      <c r="C254" s="85"/>
      <c r="D254" s="85"/>
      <c r="E254" s="85" t="s">
        <v>610</v>
      </c>
      <c r="F254" s="49" t="s">
        <v>248</v>
      </c>
      <c r="G254" s="86"/>
      <c r="H254" s="87"/>
      <c r="I254" s="68">
        <v>49101704</v>
      </c>
      <c r="J254" s="99" t="s">
        <v>635</v>
      </c>
    </row>
    <row r="255" spans="1:10" ht="25.5">
      <c r="A255" s="84"/>
      <c r="B255" s="2" t="s">
        <v>325</v>
      </c>
      <c r="C255" s="85"/>
      <c r="D255" s="85"/>
      <c r="E255" s="85" t="s">
        <v>610</v>
      </c>
      <c r="F255" s="49" t="s">
        <v>245</v>
      </c>
      <c r="G255" s="86"/>
      <c r="H255" s="87"/>
      <c r="I255" s="68">
        <v>52121602</v>
      </c>
      <c r="J255" s="11" t="s">
        <v>638</v>
      </c>
    </row>
    <row r="256" spans="1:10" ht="25.5">
      <c r="A256" s="84"/>
      <c r="B256" s="2" t="s">
        <v>325</v>
      </c>
      <c r="C256" s="85"/>
      <c r="D256" s="85"/>
      <c r="E256" s="85" t="s">
        <v>610</v>
      </c>
      <c r="F256" s="49" t="s">
        <v>253</v>
      </c>
      <c r="G256" s="86"/>
      <c r="H256" s="87"/>
      <c r="I256" s="68">
        <v>55121700</v>
      </c>
      <c r="J256" s="11" t="s">
        <v>640</v>
      </c>
    </row>
    <row r="257" spans="1:10" ht="25.5">
      <c r="A257" s="84"/>
      <c r="B257" s="2" t="s">
        <v>325</v>
      </c>
      <c r="C257" s="85"/>
      <c r="D257" s="85"/>
      <c r="E257" s="85" t="s">
        <v>610</v>
      </c>
      <c r="F257" s="49" t="s">
        <v>235</v>
      </c>
      <c r="G257" s="86"/>
      <c r="H257" s="87"/>
      <c r="I257" s="68">
        <v>55121706</v>
      </c>
      <c r="J257" s="11" t="s">
        <v>641</v>
      </c>
    </row>
    <row r="258" spans="1:10" ht="25.5">
      <c r="A258" s="84"/>
      <c r="B258" s="2" t="s">
        <v>325</v>
      </c>
      <c r="C258" s="85"/>
      <c r="D258" s="85"/>
      <c r="E258" s="85" t="s">
        <v>610</v>
      </c>
      <c r="F258" s="49" t="s">
        <v>240</v>
      </c>
      <c r="G258" s="86"/>
      <c r="H258" s="87"/>
      <c r="I258" s="68">
        <v>73141715</v>
      </c>
      <c r="J258" s="98" t="s">
        <v>646</v>
      </c>
    </row>
    <row r="259" spans="1:10" ht="25.5">
      <c r="A259" s="84"/>
      <c r="B259" s="2" t="s">
        <v>325</v>
      </c>
      <c r="C259" s="85"/>
      <c r="D259" s="85"/>
      <c r="E259" s="85" t="s">
        <v>610</v>
      </c>
      <c r="F259" s="49" t="s">
        <v>246</v>
      </c>
      <c r="G259" s="86"/>
      <c r="H259" s="87"/>
      <c r="I259" s="68">
        <v>73151600</v>
      </c>
      <c r="J259" s="99" t="s">
        <v>246</v>
      </c>
    </row>
    <row r="260" spans="1:10" ht="25.5">
      <c r="A260" s="84"/>
      <c r="B260" s="2" t="s">
        <v>325</v>
      </c>
      <c r="C260" s="85"/>
      <c r="D260" s="85"/>
      <c r="E260" s="85" t="s">
        <v>610</v>
      </c>
      <c r="F260" s="49" t="s">
        <v>251</v>
      </c>
      <c r="G260" s="86"/>
      <c r="H260" s="87"/>
      <c r="I260" s="68">
        <v>73151903</v>
      </c>
      <c r="J260" s="98" t="s">
        <v>647</v>
      </c>
    </row>
    <row r="261" spans="1:10" ht="25.5">
      <c r="A261" s="84"/>
      <c r="B261" s="2" t="s">
        <v>325</v>
      </c>
      <c r="C261" s="85"/>
      <c r="D261" s="85"/>
      <c r="E261" s="85" t="s">
        <v>610</v>
      </c>
      <c r="F261" s="49" t="s">
        <v>252</v>
      </c>
      <c r="G261" s="86"/>
      <c r="H261" s="87"/>
      <c r="I261" s="68">
        <v>73151903</v>
      </c>
      <c r="J261" s="98" t="s">
        <v>647</v>
      </c>
    </row>
    <row r="262" spans="1:10" ht="25.5">
      <c r="A262" s="84"/>
      <c r="B262" s="2" t="s">
        <v>325</v>
      </c>
      <c r="C262" s="85"/>
      <c r="D262" s="85"/>
      <c r="E262" s="85" t="s">
        <v>610</v>
      </c>
      <c r="F262" s="49" t="s">
        <v>250</v>
      </c>
      <c r="G262" s="86"/>
      <c r="H262" s="87"/>
      <c r="I262" s="68">
        <v>76122300</v>
      </c>
      <c r="J262" s="98" t="s">
        <v>652</v>
      </c>
    </row>
    <row r="263" spans="1:10" ht="25.5">
      <c r="A263" s="84"/>
      <c r="B263" s="2" t="s">
        <v>325</v>
      </c>
      <c r="C263" s="85"/>
      <c r="D263" s="85"/>
      <c r="E263" s="85" t="s">
        <v>610</v>
      </c>
      <c r="F263" s="49" t="s">
        <v>249</v>
      </c>
      <c r="G263" s="86"/>
      <c r="H263" s="87"/>
      <c r="I263" s="68">
        <v>80141605</v>
      </c>
      <c r="J263" s="11" t="s">
        <v>654</v>
      </c>
    </row>
    <row r="264" spans="1:10" ht="25.5">
      <c r="A264" s="84"/>
      <c r="B264" s="2" t="s">
        <v>325</v>
      </c>
      <c r="C264" s="85"/>
      <c r="D264" s="85"/>
      <c r="E264" s="85" t="s">
        <v>610</v>
      </c>
      <c r="F264" s="49" t="s">
        <v>243</v>
      </c>
      <c r="G264" s="86"/>
      <c r="H264" s="87"/>
      <c r="I264" s="68">
        <v>80141800</v>
      </c>
      <c r="J264" s="99" t="s">
        <v>243</v>
      </c>
    </row>
    <row r="265" spans="1:10" ht="25.5">
      <c r="A265" s="84"/>
      <c r="B265" s="2" t="s">
        <v>325</v>
      </c>
      <c r="C265" s="85"/>
      <c r="D265" s="85"/>
      <c r="E265" s="85" t="s">
        <v>610</v>
      </c>
      <c r="F265" s="49" t="s">
        <v>247</v>
      </c>
      <c r="G265" s="86"/>
      <c r="H265" s="87"/>
      <c r="I265" s="68">
        <v>80161508</v>
      </c>
      <c r="J265" s="98" t="s">
        <v>655</v>
      </c>
    </row>
    <row r="266" spans="1:10" ht="25.5">
      <c r="A266" s="84"/>
      <c r="B266" s="2" t="s">
        <v>325</v>
      </c>
      <c r="C266" s="85"/>
      <c r="D266" s="85"/>
      <c r="E266" s="85" t="s">
        <v>610</v>
      </c>
      <c r="F266" s="49" t="s">
        <v>241</v>
      </c>
      <c r="G266" s="86"/>
      <c r="H266" s="87"/>
      <c r="I266" s="68">
        <v>82121500</v>
      </c>
      <c r="J266" s="11" t="s">
        <v>657</v>
      </c>
    </row>
    <row r="267" spans="1:10" ht="25.5">
      <c r="A267" s="84"/>
      <c r="B267" s="2" t="s">
        <v>325</v>
      </c>
      <c r="C267" s="85"/>
      <c r="D267" s="85"/>
      <c r="E267" s="85" t="s">
        <v>610</v>
      </c>
      <c r="F267" s="49" t="s">
        <v>242</v>
      </c>
      <c r="G267" s="86"/>
      <c r="H267" s="87"/>
      <c r="I267" s="68">
        <v>82121500</v>
      </c>
      <c r="J267" s="11" t="s">
        <v>657</v>
      </c>
    </row>
    <row r="268" spans="1:10" ht="25.5">
      <c r="A268" s="84"/>
      <c r="B268" s="2" t="s">
        <v>325</v>
      </c>
      <c r="C268" s="85"/>
      <c r="D268" s="85"/>
      <c r="E268" s="85" t="s">
        <v>610</v>
      </c>
      <c r="F268" s="49" t="s">
        <v>234</v>
      </c>
      <c r="G268" s="86"/>
      <c r="H268" s="87"/>
      <c r="I268" s="68">
        <v>82121500</v>
      </c>
      <c r="J268" s="11" t="s">
        <v>657</v>
      </c>
    </row>
    <row r="269" spans="1:10" ht="25.5">
      <c r="A269" s="84"/>
      <c r="B269" s="2" t="s">
        <v>325</v>
      </c>
      <c r="C269" s="85"/>
      <c r="D269" s="85"/>
      <c r="E269" s="85" t="s">
        <v>610</v>
      </c>
      <c r="F269" s="49" t="s">
        <v>239</v>
      </c>
      <c r="G269" s="86"/>
      <c r="H269" s="87"/>
      <c r="I269" s="68">
        <v>82121700</v>
      </c>
      <c r="J269" s="11" t="s">
        <v>658</v>
      </c>
    </row>
    <row r="270" spans="1:10" ht="25.5">
      <c r="A270" s="84"/>
      <c r="B270" s="2" t="s">
        <v>325</v>
      </c>
      <c r="C270" s="85"/>
      <c r="D270" s="85"/>
      <c r="E270" s="85" t="s">
        <v>610</v>
      </c>
      <c r="F270" s="49" t="s">
        <v>237</v>
      </c>
      <c r="G270" s="86"/>
      <c r="H270" s="87"/>
      <c r="I270" s="68">
        <v>82121701</v>
      </c>
      <c r="J270" s="98" t="s">
        <v>659</v>
      </c>
    </row>
    <row r="271" spans="1:10" ht="63.75">
      <c r="A271" s="9" t="s">
        <v>26</v>
      </c>
      <c r="B271" s="2" t="s">
        <v>24</v>
      </c>
      <c r="C271" s="2">
        <v>2963</v>
      </c>
      <c r="D271" s="2">
        <v>7</v>
      </c>
      <c r="E271" s="2" t="str">
        <f>"1000000190"</f>
        <v>1000000190</v>
      </c>
      <c r="F271" s="4" t="str">
        <f>"PICTURE FRAME:Econ #414223-3/4~Economy Grade Frame #414223, 3/4 Oak, 8.5 X 11 (certificate no mat)~#414223, 3/4 Oak, 8.5 X 11 (certificate no mat)"</f>
        <v>PICTURE FRAME:Econ #414223-3/4~Economy Grade Frame #414223, 3/4 Oak, 8.5 X 11 (certificate no mat)~#414223, 3/4 Oak, 8.5 X 11 (certificate no mat)</v>
      </c>
      <c r="G271" s="74" t="str">
        <f t="shared" ref="G271:G285" si="10">"EA"</f>
        <v>EA</v>
      </c>
      <c r="H271" s="7">
        <v>25</v>
      </c>
      <c r="I271" s="2" t="str">
        <f t="shared" ref="I271:I276" si="11">"60121405"</f>
        <v>60121405</v>
      </c>
      <c r="J271" s="10" t="s">
        <v>77</v>
      </c>
    </row>
    <row r="272" spans="1:10" ht="63.75">
      <c r="A272" s="9" t="s">
        <v>26</v>
      </c>
      <c r="B272" s="2" t="s">
        <v>24</v>
      </c>
      <c r="C272" s="2">
        <v>2963</v>
      </c>
      <c r="D272" s="2">
        <v>11</v>
      </c>
      <c r="E272" s="2" t="str">
        <f>"1000000194"</f>
        <v>1000000194</v>
      </c>
      <c r="F272" s="4" t="str">
        <f>"PICTURE FRAME:Econ#414223 3/4 ~Economy Grade Frame #414223, 3/4 Oak, 8.5 x 11 (no certificate or mat) 25 or more~#414223, 3/4 Oak, 8.5 x 11 (no certificate or mat) 25 or mo"</f>
        <v>PICTURE FRAME:Econ#414223 3/4 ~Economy Grade Frame #414223, 3/4 Oak, 8.5 x 11 (no certificate or mat) 25 or more~#414223, 3/4 Oak, 8.5 x 11 (no certificate or mat) 25 or mo</v>
      </c>
      <c r="G272" s="74" t="str">
        <f t="shared" si="10"/>
        <v>EA</v>
      </c>
      <c r="H272" s="7">
        <v>15</v>
      </c>
      <c r="I272" s="2" t="str">
        <f t="shared" si="11"/>
        <v>60121405</v>
      </c>
      <c r="J272" s="10" t="s">
        <v>77</v>
      </c>
    </row>
    <row r="273" spans="1:10" ht="63.75">
      <c r="A273" s="9" t="s">
        <v>26</v>
      </c>
      <c r="B273" s="2" t="s">
        <v>24</v>
      </c>
      <c r="C273" s="2">
        <v>2963</v>
      </c>
      <c r="D273" s="2">
        <v>6</v>
      </c>
      <c r="E273" s="2" t="str">
        <f>"1000000195"</f>
        <v>1000000195</v>
      </c>
      <c r="F273" s="4" t="str">
        <f>"PICTURE FRAME:Mid Grade 11 X 1~Mid Grade Frame Premium matting, single matted 11 X 14, #054BH, 1-7/8 polystyrene~Premium matting, single matted 11 X 14, #054BH, 1-7/8 polys"</f>
        <v>PICTURE FRAME:Mid Grade 11 X 1~Mid Grade Frame Premium matting, single matted 11 X 14, #054BH, 1-7/8 polystyrene~Premium matting, single matted 11 X 14, #054BH, 1-7/8 polys</v>
      </c>
      <c r="G273" s="74" t="str">
        <f t="shared" si="10"/>
        <v>EA</v>
      </c>
      <c r="H273" s="7">
        <v>97.9</v>
      </c>
      <c r="I273" s="2" t="str">
        <f t="shared" si="11"/>
        <v>60121405</v>
      </c>
      <c r="J273" s="10" t="s">
        <v>77</v>
      </c>
    </row>
    <row r="274" spans="1:10" ht="63.75">
      <c r="A274" s="9" t="s">
        <v>26</v>
      </c>
      <c r="B274" s="2" t="s">
        <v>24</v>
      </c>
      <c r="C274" s="2">
        <v>2963</v>
      </c>
      <c r="D274" s="2">
        <v>3</v>
      </c>
      <c r="E274" s="2" t="str">
        <f>"1000000196"</f>
        <v>1000000196</v>
      </c>
      <c r="F274" s="4" t="str">
        <f>"PICTURE FRAME:Prem Grade 11x14~Premium Grade Frame Premium matting, single matted 11 X 14, #305-416, 1-7/8, wood~Premium matting, single matted 11 X 14, #305-416, 1-7/8, wo"</f>
        <v>PICTURE FRAME:Prem Grade 11x14~Premium Grade Frame Premium matting, single matted 11 X 14, #305-416, 1-7/8, wood~Premium matting, single matted 11 X 14, #305-416, 1-7/8, wo</v>
      </c>
      <c r="G274" s="74" t="str">
        <f t="shared" si="10"/>
        <v>EA</v>
      </c>
      <c r="H274" s="7">
        <v>126</v>
      </c>
      <c r="I274" s="2" t="str">
        <f t="shared" si="11"/>
        <v>60121405</v>
      </c>
      <c r="J274" s="10" t="s">
        <v>77</v>
      </c>
    </row>
    <row r="275" spans="1:10" ht="38.25">
      <c r="A275" s="9" t="s">
        <v>26</v>
      </c>
      <c r="B275" s="2" t="s">
        <v>24</v>
      </c>
      <c r="C275" s="2">
        <v>2963</v>
      </c>
      <c r="D275" s="2">
        <v>14</v>
      </c>
      <c r="E275" s="2" t="str">
        <f>"1000000352"</f>
        <v>1000000352</v>
      </c>
      <c r="F275" s="4" t="str">
        <f>"PICTURE FRAMES: 25 or more, #110-864, polystyrene (black), economy grade frame, 11x14 (no certificate or mat)"</f>
        <v>PICTURE FRAMES: 25 or more, #110-864, polystyrene (black), economy grade frame, 11x14 (no certificate or mat)</v>
      </c>
      <c r="G275" s="74" t="str">
        <f t="shared" si="10"/>
        <v>EA</v>
      </c>
      <c r="H275" s="7">
        <v>22</v>
      </c>
      <c r="I275" s="2" t="str">
        <f t="shared" si="11"/>
        <v>60121405</v>
      </c>
      <c r="J275" s="10" t="s">
        <v>77</v>
      </c>
    </row>
    <row r="276" spans="1:10" ht="63.75">
      <c r="A276" s="9" t="s">
        <v>26</v>
      </c>
      <c r="B276" s="2" t="s">
        <v>24</v>
      </c>
      <c r="C276" s="2">
        <v>2963</v>
      </c>
      <c r="D276" s="2">
        <v>8</v>
      </c>
      <c r="E276" s="2" t="str">
        <f>"1000000353"</f>
        <v>1000000353</v>
      </c>
      <c r="F276" s="4" t="str">
        <f>"PICTURE FRAME:Econ#110-864-Pol~Economy Grade Frame #110-864, Polystyrene (black), 8.5 X 11 (certificate, no mat~#110-864, Polystyrene (black), 8.5 X 11 (certificate, no mat"</f>
        <v>PICTURE FRAME:Econ#110-864-Pol~Economy Grade Frame #110-864, Polystyrene (black), 8.5 X 11 (certificate, no mat~#110-864, Polystyrene (black), 8.5 X 11 (certificate, no mat</v>
      </c>
      <c r="G276" s="74" t="str">
        <f t="shared" si="10"/>
        <v>EA</v>
      </c>
      <c r="H276" s="7">
        <v>25</v>
      </c>
      <c r="I276" s="2" t="str">
        <f t="shared" si="11"/>
        <v>60121405</v>
      </c>
      <c r="J276" s="10" t="s">
        <v>77</v>
      </c>
    </row>
    <row r="277" spans="1:10" ht="25.5">
      <c r="A277" s="9" t="s">
        <v>26</v>
      </c>
      <c r="B277" s="2" t="s">
        <v>24</v>
      </c>
      <c r="C277" s="2">
        <v>2963</v>
      </c>
      <c r="D277" s="2">
        <v>9</v>
      </c>
      <c r="E277" s="2" t="str">
        <f>"1000000421"</f>
        <v>1000000421</v>
      </c>
      <c r="F277" s="4" t="str">
        <f>"FRAME:economy grade~Economy Grade Frame, Oak, 11 x 14, certificate, no mat"</f>
        <v>FRAME:economy grade~Economy Grade Frame, Oak, 11 x 14, certificate, no mat</v>
      </c>
      <c r="G277" s="74" t="str">
        <f t="shared" si="10"/>
        <v>EA</v>
      </c>
      <c r="H277" s="7">
        <v>40</v>
      </c>
      <c r="I277" s="2" t="str">
        <f>"60121401"</f>
        <v>60121401</v>
      </c>
      <c r="J277" s="10" t="s">
        <v>78</v>
      </c>
    </row>
    <row r="278" spans="1:10">
      <c r="A278" s="9" t="s">
        <v>26</v>
      </c>
      <c r="B278" s="2" t="s">
        <v>24</v>
      </c>
      <c r="C278" s="2">
        <v>2963</v>
      </c>
      <c r="D278" s="2">
        <v>15</v>
      </c>
      <c r="E278" s="2" t="str">
        <f>"1000000422"</f>
        <v>1000000422</v>
      </c>
      <c r="F278" s="4" t="str">
        <f>"FRAME:Custom Picture Frames"</f>
        <v>FRAME:Custom Picture Frames</v>
      </c>
      <c r="G278" s="74" t="str">
        <f t="shared" si="10"/>
        <v>EA</v>
      </c>
      <c r="H278" s="7">
        <v>0.01</v>
      </c>
      <c r="I278" s="2" t="str">
        <f>"60121415"</f>
        <v>60121415</v>
      </c>
      <c r="J278" s="10" t="s">
        <v>80</v>
      </c>
    </row>
    <row r="279" spans="1:10" ht="63.75">
      <c r="A279" s="9" t="s">
        <v>26</v>
      </c>
      <c r="B279" s="2" t="s">
        <v>24</v>
      </c>
      <c r="C279" s="2">
        <v>2963</v>
      </c>
      <c r="D279" s="2">
        <v>1</v>
      </c>
      <c r="E279" s="2" t="str">
        <f>"1000001520"</f>
        <v>1000001520</v>
      </c>
      <c r="F279" s="4" t="str">
        <f>"PICTURE FRAME:Prem Grade-17.75~Premium Grade Frame Premium matting, single matted 17.75 X 22.5, #305-416, 1-7/8 wood~Premium matting, single matted 17.75 X 22.5, #305-416, 1-7/8"</f>
        <v>PICTURE FRAME:Prem Grade-17.75~Premium Grade Frame Premium matting, single matted 17.75 X 22.5, #305-416, 1-7/8 wood~Premium matting, single matted 17.75 X 22.5, #305-416, 1-7/8</v>
      </c>
      <c r="G279" s="74" t="str">
        <f t="shared" si="10"/>
        <v>EA</v>
      </c>
      <c r="H279" s="7">
        <v>203.5</v>
      </c>
      <c r="I279" s="2" t="str">
        <f>"60121405"</f>
        <v>60121405</v>
      </c>
      <c r="J279" s="10" t="s">
        <v>77</v>
      </c>
    </row>
    <row r="280" spans="1:10" ht="76.5">
      <c r="A280" s="9" t="s">
        <v>26</v>
      </c>
      <c r="B280" s="2" t="s">
        <v>24</v>
      </c>
      <c r="C280" s="2">
        <v>2963</v>
      </c>
      <c r="D280" s="2">
        <v>12</v>
      </c>
      <c r="E280" s="2" t="str">
        <f>"1000001578"</f>
        <v>1000001578</v>
      </c>
      <c r="F280" s="4" t="str">
        <f>"PICTURE FRAME:Econ#110-864 Pol~Economy Grade Frame #110-864, Polystyrene (black), 8.5 X 11, (no certificate or mat) 25 or more~#110-864, Polystyrene (black), 8.5 X 11, (no certificate or"</f>
        <v>PICTURE FRAME:Econ#110-864 Pol~Economy Grade Frame #110-864, Polystyrene (black), 8.5 X 11, (no certificate or mat) 25 or more~#110-864, Polystyrene (black), 8.5 X 11, (no certificate or</v>
      </c>
      <c r="G280" s="74" t="str">
        <f t="shared" si="10"/>
        <v>EA</v>
      </c>
      <c r="H280" s="7">
        <v>15</v>
      </c>
      <c r="I280" s="2" t="str">
        <f>"60121405"</f>
        <v>60121405</v>
      </c>
      <c r="J280" s="10" t="s">
        <v>77</v>
      </c>
    </row>
    <row r="281" spans="1:10" ht="38.25">
      <c r="A281" s="9" t="s">
        <v>26</v>
      </c>
      <c r="B281" s="2" t="s">
        <v>24</v>
      </c>
      <c r="C281" s="2">
        <v>2963</v>
      </c>
      <c r="D281" s="2">
        <v>5</v>
      </c>
      <c r="E281" s="2" t="str">
        <f>"1000012015"</f>
        <v>1000012015</v>
      </c>
      <c r="F281" s="4" t="str">
        <f>"PICTURE FRAMES: Double matted 17.75X22.5, Mid Grade Frame, Premium Matting, #054BH, 1-7/8 Polystyrene"</f>
        <v>PICTURE FRAMES: Double matted 17.75X22.5, Mid Grade Frame, Premium Matting, #054BH, 1-7/8 Polystyrene</v>
      </c>
      <c r="G281" s="74" t="str">
        <f t="shared" si="10"/>
        <v>EA</v>
      </c>
      <c r="H281" s="7">
        <v>176</v>
      </c>
      <c r="I281" s="2" t="str">
        <f>"60121406"</f>
        <v>60121406</v>
      </c>
      <c r="J281" s="10" t="s">
        <v>79</v>
      </c>
    </row>
    <row r="282" spans="1:10" ht="38.25">
      <c r="A282" s="9" t="s">
        <v>26</v>
      </c>
      <c r="B282" s="2" t="s">
        <v>24</v>
      </c>
      <c r="C282" s="2">
        <v>2963</v>
      </c>
      <c r="D282" s="2">
        <v>2</v>
      </c>
      <c r="E282" s="2" t="str">
        <f>"1000012016"</f>
        <v>1000012016</v>
      </c>
      <c r="F282" s="4" t="str">
        <f>"PICTURE FRAMES: Premium Double Matted, premium grade frame &amp; matting, 17.75x22.5, #305-416, 1 7/8 wood"</f>
        <v>PICTURE FRAMES: Premium Double Matted, premium grade frame &amp; matting, 17.75x22.5, #305-416, 1 7/8 wood</v>
      </c>
      <c r="G282" s="74" t="str">
        <f t="shared" si="10"/>
        <v>EA</v>
      </c>
      <c r="H282" s="7">
        <v>220</v>
      </c>
      <c r="I282" s="2" t="str">
        <f>"60121401"</f>
        <v>60121401</v>
      </c>
      <c r="J282" s="10" t="s">
        <v>78</v>
      </c>
    </row>
    <row r="283" spans="1:10" ht="38.25">
      <c r="A283" s="9" t="s">
        <v>26</v>
      </c>
      <c r="B283" s="2" t="s">
        <v>24</v>
      </c>
      <c r="C283" s="2">
        <v>2963</v>
      </c>
      <c r="D283" s="2">
        <v>10</v>
      </c>
      <c r="E283" s="2" t="str">
        <f>"1000012017"</f>
        <v>1000012017</v>
      </c>
      <c r="F283" s="4" t="str">
        <f>"PICTURE FRAMES: Polystyrene (black), #110-864, economy grade frame, 11x14, (certificate, no mat)"</f>
        <v>PICTURE FRAMES: Polystyrene (black), #110-864, economy grade frame, 11x14, (certificate, no mat)</v>
      </c>
      <c r="G283" s="74" t="str">
        <f t="shared" si="10"/>
        <v>EA</v>
      </c>
      <c r="H283" s="7">
        <v>40</v>
      </c>
      <c r="I283" s="2" t="str">
        <f>"60121406"</f>
        <v>60121406</v>
      </c>
      <c r="J283" s="10" t="s">
        <v>79</v>
      </c>
    </row>
    <row r="284" spans="1:10" ht="38.25">
      <c r="A284" s="9" t="s">
        <v>26</v>
      </c>
      <c r="B284" s="2" t="s">
        <v>24</v>
      </c>
      <c r="C284" s="2">
        <v>2963</v>
      </c>
      <c r="D284" s="2">
        <v>13</v>
      </c>
      <c r="E284" s="2" t="str">
        <f>"1000012018"</f>
        <v>1000012018</v>
      </c>
      <c r="F284" s="4" t="str">
        <f>"PICTURE FRAMES: 25 or more, #414223, 3/4 Oak, economy grade frame, 11x14 (no certificate or mat)"</f>
        <v>PICTURE FRAMES: 25 or more, #414223, 3/4 Oak, economy grade frame, 11x14 (no certificate or mat)</v>
      </c>
      <c r="G284" s="74" t="str">
        <f t="shared" si="10"/>
        <v>EA</v>
      </c>
      <c r="H284" s="7">
        <v>22</v>
      </c>
      <c r="I284" s="2" t="str">
        <f>"60121401"</f>
        <v>60121401</v>
      </c>
      <c r="J284" s="10" t="s">
        <v>78</v>
      </c>
    </row>
    <row r="285" spans="1:10" ht="38.25">
      <c r="A285" s="9" t="s">
        <v>26</v>
      </c>
      <c r="B285" s="2" t="s">
        <v>24</v>
      </c>
      <c r="C285" s="2">
        <v>2963</v>
      </c>
      <c r="D285" s="2">
        <v>4</v>
      </c>
      <c r="E285" s="2" t="str">
        <f>"1000012019"</f>
        <v>1000012019</v>
      </c>
      <c r="F285" s="4" t="str">
        <f>"PICTURE FRAMES: Single matted 17.75X22.5, Mid Grade Frame, Premium Matting, #054BH, 1-7/8 Polystyrene"</f>
        <v>PICTURE FRAMES: Single matted 17.75X22.5, Mid Grade Frame, Premium Matting, #054BH, 1-7/8 Polystyrene</v>
      </c>
      <c r="G285" s="74" t="str">
        <f t="shared" si="10"/>
        <v>EA</v>
      </c>
      <c r="H285" s="7">
        <v>148.5</v>
      </c>
      <c r="I285" s="2" t="str">
        <f>"60121406"</f>
        <v>60121406</v>
      </c>
      <c r="J285" s="10" t="s">
        <v>79</v>
      </c>
    </row>
    <row r="286" spans="1:10">
      <c r="A286" s="84"/>
      <c r="B286" s="2" t="s">
        <v>24</v>
      </c>
      <c r="C286" s="85"/>
      <c r="D286" s="85"/>
      <c r="E286" s="85" t="s">
        <v>610</v>
      </c>
      <c r="F286" s="49" t="s">
        <v>254</v>
      </c>
      <c r="G286" s="86"/>
      <c r="H286" s="87"/>
      <c r="I286" s="68">
        <v>24111500</v>
      </c>
      <c r="J286" s="88" t="s">
        <v>619</v>
      </c>
    </row>
    <row r="287" spans="1:10" ht="25.5">
      <c r="A287" s="84"/>
      <c r="B287" s="2" t="s">
        <v>24</v>
      </c>
      <c r="C287" s="85"/>
      <c r="D287" s="85"/>
      <c r="E287" s="85" t="s">
        <v>610</v>
      </c>
      <c r="F287" s="49" t="s">
        <v>277</v>
      </c>
      <c r="G287" s="86"/>
      <c r="H287" s="87"/>
      <c r="I287" s="68">
        <v>42211702</v>
      </c>
      <c r="J287" s="98" t="s">
        <v>627</v>
      </c>
    </row>
    <row r="288" spans="1:10">
      <c r="A288" s="84"/>
      <c r="B288" s="2" t="s">
        <v>24</v>
      </c>
      <c r="C288" s="85"/>
      <c r="D288" s="85"/>
      <c r="E288" s="85" t="s">
        <v>610</v>
      </c>
      <c r="F288" s="49" t="s">
        <v>269</v>
      </c>
      <c r="G288" s="86"/>
      <c r="H288" s="87"/>
      <c r="I288" s="68">
        <v>49101700</v>
      </c>
      <c r="J288" s="11" t="s">
        <v>634</v>
      </c>
    </row>
    <row r="289" spans="1:10">
      <c r="A289" s="84"/>
      <c r="B289" s="2" t="s">
        <v>24</v>
      </c>
      <c r="C289" s="85"/>
      <c r="D289" s="85"/>
      <c r="E289" s="85" t="s">
        <v>610</v>
      </c>
      <c r="F289" s="49" t="s">
        <v>258</v>
      </c>
      <c r="G289" s="86"/>
      <c r="H289" s="87"/>
      <c r="I289" s="68">
        <v>49101700</v>
      </c>
      <c r="J289" s="11" t="s">
        <v>634</v>
      </c>
    </row>
    <row r="290" spans="1:10">
      <c r="A290" s="84"/>
      <c r="B290" s="2" t="s">
        <v>24</v>
      </c>
      <c r="C290" s="85"/>
      <c r="D290" s="85"/>
      <c r="E290" s="85" t="s">
        <v>610</v>
      </c>
      <c r="F290" s="49" t="s">
        <v>288</v>
      </c>
      <c r="G290" s="86"/>
      <c r="H290" s="87"/>
      <c r="I290" s="68">
        <v>49101700</v>
      </c>
      <c r="J290" s="11" t="s">
        <v>634</v>
      </c>
    </row>
    <row r="291" spans="1:10">
      <c r="A291" s="84"/>
      <c r="B291" s="2" t="s">
        <v>24</v>
      </c>
      <c r="C291" s="85"/>
      <c r="D291" s="85"/>
      <c r="E291" s="85" t="s">
        <v>610</v>
      </c>
      <c r="F291" s="49" t="s">
        <v>244</v>
      </c>
      <c r="G291" s="86"/>
      <c r="H291" s="87"/>
      <c r="I291" s="68">
        <v>49101701</v>
      </c>
      <c r="J291" s="99" t="s">
        <v>244</v>
      </c>
    </row>
    <row r="292" spans="1:10">
      <c r="A292" s="84"/>
      <c r="B292" s="2" t="s">
        <v>24</v>
      </c>
      <c r="C292" s="85"/>
      <c r="D292" s="85"/>
      <c r="E292" s="85" t="s">
        <v>610</v>
      </c>
      <c r="F292" s="49" t="s">
        <v>255</v>
      </c>
      <c r="G292" s="86"/>
      <c r="H292" s="87"/>
      <c r="I292" s="68">
        <v>49101702</v>
      </c>
      <c r="J292" s="99" t="s">
        <v>255</v>
      </c>
    </row>
    <row r="293" spans="1:10">
      <c r="A293" s="84"/>
      <c r="B293" s="2" t="s">
        <v>24</v>
      </c>
      <c r="C293" s="85"/>
      <c r="D293" s="85"/>
      <c r="E293" s="85" t="s">
        <v>610</v>
      </c>
      <c r="F293" s="49" t="s">
        <v>248</v>
      </c>
      <c r="G293" s="86"/>
      <c r="H293" s="87"/>
      <c r="I293" s="68">
        <v>49101704</v>
      </c>
      <c r="J293" s="99" t="s">
        <v>635</v>
      </c>
    </row>
    <row r="294" spans="1:10">
      <c r="A294" s="84"/>
      <c r="B294" s="2" t="s">
        <v>24</v>
      </c>
      <c r="C294" s="85"/>
      <c r="D294" s="85"/>
      <c r="E294" s="85" t="s">
        <v>610</v>
      </c>
      <c r="F294" s="49" t="s">
        <v>253</v>
      </c>
      <c r="G294" s="86"/>
      <c r="H294" s="87"/>
      <c r="I294" s="68">
        <v>55121700</v>
      </c>
      <c r="J294" s="11" t="s">
        <v>640</v>
      </c>
    </row>
    <row r="295" spans="1:10">
      <c r="A295" s="84"/>
      <c r="B295" s="2" t="s">
        <v>24</v>
      </c>
      <c r="C295" s="85"/>
      <c r="D295" s="85"/>
      <c r="E295" s="85" t="s">
        <v>610</v>
      </c>
      <c r="F295" s="49" t="s">
        <v>235</v>
      </c>
      <c r="G295" s="86"/>
      <c r="H295" s="87"/>
      <c r="I295" s="68">
        <v>55121706</v>
      </c>
      <c r="J295" s="11" t="s">
        <v>641</v>
      </c>
    </row>
    <row r="296" spans="1:10">
      <c r="A296" s="84"/>
      <c r="B296" s="2" t="s">
        <v>24</v>
      </c>
      <c r="C296" s="85"/>
      <c r="D296" s="85"/>
      <c r="E296" s="85" t="s">
        <v>610</v>
      </c>
      <c r="F296" s="49" t="s">
        <v>265</v>
      </c>
      <c r="G296" s="86"/>
      <c r="H296" s="87"/>
      <c r="I296" s="68">
        <v>55121804</v>
      </c>
      <c r="J296" s="11" t="s">
        <v>642</v>
      </c>
    </row>
    <row r="297" spans="1:10">
      <c r="A297" s="84"/>
      <c r="B297" s="2" t="s">
        <v>24</v>
      </c>
      <c r="C297" s="85"/>
      <c r="D297" s="85"/>
      <c r="E297" s="85" t="s">
        <v>610</v>
      </c>
      <c r="F297" s="49" t="s">
        <v>240</v>
      </c>
      <c r="G297" s="86"/>
      <c r="H297" s="87"/>
      <c r="I297" s="68">
        <v>73141715</v>
      </c>
      <c r="J297" s="98" t="s">
        <v>646</v>
      </c>
    </row>
    <row r="298" spans="1:10">
      <c r="A298" s="84"/>
      <c r="B298" s="2" t="s">
        <v>24</v>
      </c>
      <c r="C298" s="85"/>
      <c r="D298" s="85"/>
      <c r="E298" s="85" t="s">
        <v>610</v>
      </c>
      <c r="F298" s="49" t="s">
        <v>261</v>
      </c>
      <c r="G298" s="86"/>
      <c r="H298" s="87"/>
      <c r="I298" s="68">
        <v>73151500</v>
      </c>
      <c r="J298" s="99" t="s">
        <v>261</v>
      </c>
    </row>
    <row r="299" spans="1:10">
      <c r="A299" s="84"/>
      <c r="B299" s="2" t="s">
        <v>24</v>
      </c>
      <c r="C299" s="85"/>
      <c r="D299" s="85"/>
      <c r="E299" s="85" t="s">
        <v>610</v>
      </c>
      <c r="F299" s="49" t="s">
        <v>246</v>
      </c>
      <c r="G299" s="86"/>
      <c r="H299" s="87"/>
      <c r="I299" s="68">
        <v>73151600</v>
      </c>
      <c r="J299" s="99" t="s">
        <v>246</v>
      </c>
    </row>
    <row r="300" spans="1:10" ht="25.5">
      <c r="A300" s="84"/>
      <c r="B300" s="2" t="s">
        <v>24</v>
      </c>
      <c r="C300" s="85"/>
      <c r="D300" s="85"/>
      <c r="E300" s="85" t="s">
        <v>610</v>
      </c>
      <c r="F300" s="49" t="s">
        <v>251</v>
      </c>
      <c r="G300" s="86"/>
      <c r="H300" s="87"/>
      <c r="I300" s="68">
        <v>73151903</v>
      </c>
      <c r="J300" s="98" t="s">
        <v>647</v>
      </c>
    </row>
    <row r="301" spans="1:10" ht="25.5">
      <c r="A301" s="84"/>
      <c r="B301" s="2" t="s">
        <v>24</v>
      </c>
      <c r="C301" s="85"/>
      <c r="D301" s="85"/>
      <c r="E301" s="85" t="s">
        <v>610</v>
      </c>
      <c r="F301" s="49" t="s">
        <v>252</v>
      </c>
      <c r="G301" s="86"/>
      <c r="H301" s="87"/>
      <c r="I301" s="68">
        <v>73151903</v>
      </c>
      <c r="J301" s="98" t="s">
        <v>647</v>
      </c>
    </row>
    <row r="302" spans="1:10">
      <c r="A302" s="84"/>
      <c r="B302" s="2" t="s">
        <v>24</v>
      </c>
      <c r="C302" s="85"/>
      <c r="D302" s="85"/>
      <c r="E302" s="85" t="s">
        <v>610</v>
      </c>
      <c r="F302" s="49" t="s">
        <v>236</v>
      </c>
      <c r="G302" s="86"/>
      <c r="H302" s="87"/>
      <c r="I302" s="68">
        <v>80141603</v>
      </c>
      <c r="J302" s="11" t="s">
        <v>653</v>
      </c>
    </row>
    <row r="303" spans="1:10">
      <c r="A303" s="84"/>
      <c r="B303" s="2" t="s">
        <v>24</v>
      </c>
      <c r="C303" s="85"/>
      <c r="D303" s="85"/>
      <c r="E303" s="85" t="s">
        <v>610</v>
      </c>
      <c r="F303" s="49" t="s">
        <v>249</v>
      </c>
      <c r="G303" s="86"/>
      <c r="H303" s="87"/>
      <c r="I303" s="68">
        <v>80141605</v>
      </c>
      <c r="J303" s="11" t="s">
        <v>654</v>
      </c>
    </row>
    <row r="304" spans="1:10">
      <c r="A304" s="84"/>
      <c r="B304" s="2" t="s">
        <v>24</v>
      </c>
      <c r="C304" s="85"/>
      <c r="D304" s="85"/>
      <c r="E304" s="85" t="s">
        <v>610</v>
      </c>
      <c r="F304" s="49" t="s">
        <v>243</v>
      </c>
      <c r="G304" s="86"/>
      <c r="H304" s="87"/>
      <c r="I304" s="68">
        <v>80141800</v>
      </c>
      <c r="J304" s="99" t="s">
        <v>243</v>
      </c>
    </row>
    <row r="305" spans="1:10" ht="25.5">
      <c r="A305" s="84"/>
      <c r="B305" s="2" t="s">
        <v>24</v>
      </c>
      <c r="C305" s="85"/>
      <c r="D305" s="85"/>
      <c r="E305" s="85" t="s">
        <v>610</v>
      </c>
      <c r="F305" s="49" t="s">
        <v>247</v>
      </c>
      <c r="G305" s="86"/>
      <c r="H305" s="87"/>
      <c r="I305" s="68">
        <v>80161508</v>
      </c>
      <c r="J305" s="98" t="s">
        <v>655</v>
      </c>
    </row>
    <row r="306" spans="1:10" ht="25.5">
      <c r="A306" s="84"/>
      <c r="B306" s="2" t="s">
        <v>24</v>
      </c>
      <c r="C306" s="85"/>
      <c r="D306" s="85"/>
      <c r="E306" s="85" t="s">
        <v>610</v>
      </c>
      <c r="F306" s="49" t="s">
        <v>237</v>
      </c>
      <c r="G306" s="86"/>
      <c r="H306" s="87"/>
      <c r="I306" s="68">
        <v>82121701</v>
      </c>
      <c r="J306" s="98" t="s">
        <v>659</v>
      </c>
    </row>
    <row r="307" spans="1:10" ht="38.25">
      <c r="A307" s="9" t="s">
        <v>25</v>
      </c>
      <c r="B307" s="2" t="s">
        <v>593</v>
      </c>
      <c r="C307" s="2">
        <v>3496</v>
      </c>
      <c r="D307" s="2">
        <v>1</v>
      </c>
      <c r="E307" s="2" t="str">
        <f>"1000009750"</f>
        <v>1000009750</v>
      </c>
      <c r="F307" s="4" t="s">
        <v>591</v>
      </c>
      <c r="G307" s="74" t="str">
        <f>"SF"</f>
        <v>SF</v>
      </c>
      <c r="H307" s="7">
        <v>0.01</v>
      </c>
      <c r="I307" s="2" t="str">
        <f>"76111501"</f>
        <v>76111501</v>
      </c>
      <c r="J307" s="10" t="s">
        <v>67</v>
      </c>
    </row>
    <row r="308" spans="1:10" ht="38.25">
      <c r="A308" s="84"/>
      <c r="B308" s="2" t="s">
        <v>593</v>
      </c>
      <c r="C308" s="85"/>
      <c r="D308" s="85"/>
      <c r="E308" s="85" t="s">
        <v>610</v>
      </c>
      <c r="F308" s="49" t="s">
        <v>235</v>
      </c>
      <c r="G308" s="86"/>
      <c r="H308" s="87"/>
      <c r="I308" s="68">
        <v>55121706</v>
      </c>
      <c r="J308" s="11" t="s">
        <v>641</v>
      </c>
    </row>
    <row r="309" spans="1:10" ht="38.25">
      <c r="A309" s="84"/>
      <c r="B309" s="2" t="s">
        <v>593</v>
      </c>
      <c r="C309" s="85"/>
      <c r="D309" s="85"/>
      <c r="E309" s="85" t="s">
        <v>610</v>
      </c>
      <c r="F309" s="49" t="s">
        <v>251</v>
      </c>
      <c r="G309" s="86"/>
      <c r="H309" s="87"/>
      <c r="I309" s="68">
        <v>73151903</v>
      </c>
      <c r="J309" s="98" t="s">
        <v>647</v>
      </c>
    </row>
    <row r="310" spans="1:10" ht="38.25">
      <c r="A310" s="84"/>
      <c r="B310" s="2" t="s">
        <v>593</v>
      </c>
      <c r="C310" s="85"/>
      <c r="D310" s="85"/>
      <c r="E310" s="85" t="s">
        <v>610</v>
      </c>
      <c r="F310" s="49" t="s">
        <v>252</v>
      </c>
      <c r="G310" s="86"/>
      <c r="H310" s="87"/>
      <c r="I310" s="68">
        <v>73151903</v>
      </c>
      <c r="J310" s="98" t="s">
        <v>647</v>
      </c>
    </row>
    <row r="311" spans="1:10" ht="38.25">
      <c r="A311" s="84"/>
      <c r="B311" s="2" t="s">
        <v>593</v>
      </c>
      <c r="C311" s="85"/>
      <c r="D311" s="85"/>
      <c r="E311" s="85" t="s">
        <v>610</v>
      </c>
      <c r="F311" s="49" t="s">
        <v>250</v>
      </c>
      <c r="G311" s="86"/>
      <c r="H311" s="87"/>
      <c r="I311" s="68">
        <v>76122300</v>
      </c>
      <c r="J311" s="98" t="s">
        <v>652</v>
      </c>
    </row>
    <row r="312" spans="1:10" ht="38.25">
      <c r="A312" s="84"/>
      <c r="B312" s="2" t="s">
        <v>593</v>
      </c>
      <c r="C312" s="85"/>
      <c r="D312" s="85"/>
      <c r="E312" s="85" t="s">
        <v>610</v>
      </c>
      <c r="F312" s="49" t="s">
        <v>234</v>
      </c>
      <c r="G312" s="86"/>
      <c r="H312" s="87"/>
      <c r="I312" s="68">
        <v>82121500</v>
      </c>
      <c r="J312" s="11" t="s">
        <v>657</v>
      </c>
    </row>
    <row r="313" spans="1:10">
      <c r="A313" s="9" t="s">
        <v>25</v>
      </c>
      <c r="B313" s="2" t="s">
        <v>5</v>
      </c>
      <c r="C313" s="2">
        <v>3497</v>
      </c>
      <c r="D313" s="2">
        <v>1</v>
      </c>
      <c r="E313" s="2" t="str">
        <f>"1000009750"</f>
        <v>1000009750</v>
      </c>
      <c r="F313" s="4" t="s">
        <v>591</v>
      </c>
      <c r="G313" s="74" t="str">
        <f>"SF"</f>
        <v>SF</v>
      </c>
      <c r="H313" s="7">
        <v>0.01</v>
      </c>
      <c r="I313" s="2" t="str">
        <f>"76111501"</f>
        <v>76111501</v>
      </c>
      <c r="J313" s="10" t="s">
        <v>67</v>
      </c>
    </row>
    <row r="314" spans="1:10">
      <c r="A314" s="84"/>
      <c r="B314" s="2" t="s">
        <v>5</v>
      </c>
      <c r="C314" s="85"/>
      <c r="D314" s="85"/>
      <c r="E314" s="85" t="s">
        <v>610</v>
      </c>
      <c r="F314" s="49" t="s">
        <v>261</v>
      </c>
      <c r="G314" s="86"/>
      <c r="H314" s="87"/>
      <c r="I314" s="68">
        <v>73151500</v>
      </c>
      <c r="J314" s="99" t="s">
        <v>261</v>
      </c>
    </row>
    <row r="315" spans="1:10">
      <c r="A315" s="84"/>
      <c r="B315" s="2" t="s">
        <v>5</v>
      </c>
      <c r="C315" s="85"/>
      <c r="D315" s="85"/>
      <c r="E315" s="85" t="s">
        <v>610</v>
      </c>
      <c r="F315" s="49" t="s">
        <v>246</v>
      </c>
      <c r="G315" s="86"/>
      <c r="H315" s="87"/>
      <c r="I315" s="68">
        <v>73151600</v>
      </c>
      <c r="J315" s="99" t="s">
        <v>246</v>
      </c>
    </row>
    <row r="316" spans="1:10">
      <c r="A316" s="84"/>
      <c r="B316" s="85" t="s">
        <v>617</v>
      </c>
      <c r="C316" s="85"/>
      <c r="D316" s="85"/>
      <c r="E316" s="85" t="s">
        <v>610</v>
      </c>
      <c r="F316" s="49" t="s">
        <v>261</v>
      </c>
      <c r="G316" s="86"/>
      <c r="H316" s="87"/>
      <c r="I316" s="68">
        <v>73151500</v>
      </c>
      <c r="J316" s="99" t="s">
        <v>261</v>
      </c>
    </row>
    <row r="317" spans="1:10">
      <c r="A317" s="84"/>
      <c r="B317" s="85" t="s">
        <v>617</v>
      </c>
      <c r="C317" s="85"/>
      <c r="D317" s="85"/>
      <c r="E317" s="85" t="s">
        <v>610</v>
      </c>
      <c r="F317" s="49" t="s">
        <v>250</v>
      </c>
      <c r="G317" s="86"/>
      <c r="H317" s="87"/>
      <c r="I317" s="68">
        <v>76122300</v>
      </c>
      <c r="J317" s="98" t="s">
        <v>652</v>
      </c>
    </row>
    <row r="318" spans="1:10">
      <c r="A318" s="84"/>
      <c r="B318" s="85" t="s">
        <v>617</v>
      </c>
      <c r="C318" s="85"/>
      <c r="D318" s="85"/>
      <c r="E318" s="85" t="s">
        <v>610</v>
      </c>
      <c r="F318" s="49" t="s">
        <v>243</v>
      </c>
      <c r="G318" s="86"/>
      <c r="H318" s="87"/>
      <c r="I318" s="68">
        <v>80141800</v>
      </c>
      <c r="J318" s="99" t="s">
        <v>243</v>
      </c>
    </row>
    <row r="319" spans="1:10" ht="25.5">
      <c r="A319" s="84"/>
      <c r="B319" s="85" t="s">
        <v>617</v>
      </c>
      <c r="C319" s="85"/>
      <c r="D319" s="85"/>
      <c r="E319" s="85" t="s">
        <v>610</v>
      </c>
      <c r="F319" s="49" t="s">
        <v>247</v>
      </c>
      <c r="G319" s="86"/>
      <c r="H319" s="87"/>
      <c r="I319" s="68">
        <v>80161508</v>
      </c>
      <c r="J319" s="98" t="s">
        <v>655</v>
      </c>
    </row>
    <row r="320" spans="1:10" ht="25.5">
      <c r="A320" s="84"/>
      <c r="B320" s="85" t="s">
        <v>617</v>
      </c>
      <c r="C320" s="85"/>
      <c r="D320" s="85"/>
      <c r="E320" s="85" t="s">
        <v>610</v>
      </c>
      <c r="F320" s="49" t="s">
        <v>237</v>
      </c>
      <c r="G320" s="86"/>
      <c r="H320" s="87"/>
      <c r="I320" s="68">
        <v>82121701</v>
      </c>
      <c r="J320" s="98" t="s">
        <v>659</v>
      </c>
    </row>
    <row r="321" spans="1:10">
      <c r="A321" s="84"/>
      <c r="B321" s="85" t="s">
        <v>616</v>
      </c>
      <c r="C321" s="85"/>
      <c r="D321" s="85"/>
      <c r="E321" s="85" t="s">
        <v>610</v>
      </c>
      <c r="F321" s="49" t="s">
        <v>245</v>
      </c>
      <c r="G321" s="86"/>
      <c r="H321" s="87"/>
      <c r="I321" s="68">
        <v>52121602</v>
      </c>
      <c r="J321" s="11" t="s">
        <v>638</v>
      </c>
    </row>
    <row r="322" spans="1:10">
      <c r="A322" s="84"/>
      <c r="B322" s="85" t="s">
        <v>616</v>
      </c>
      <c r="C322" s="85"/>
      <c r="D322" s="85"/>
      <c r="E322" s="85" t="s">
        <v>610</v>
      </c>
      <c r="F322" s="49" t="s">
        <v>261</v>
      </c>
      <c r="G322" s="86"/>
      <c r="H322" s="87"/>
      <c r="I322" s="68">
        <v>73151500</v>
      </c>
      <c r="J322" s="99" t="s">
        <v>261</v>
      </c>
    </row>
    <row r="323" spans="1:10">
      <c r="A323" s="84"/>
      <c r="B323" s="85" t="s">
        <v>616</v>
      </c>
      <c r="C323" s="85"/>
      <c r="D323" s="85"/>
      <c r="E323" s="85" t="s">
        <v>610</v>
      </c>
      <c r="F323" s="49" t="s">
        <v>246</v>
      </c>
      <c r="G323" s="86"/>
      <c r="H323" s="87"/>
      <c r="I323" s="68">
        <v>73151600</v>
      </c>
      <c r="J323" s="99" t="s">
        <v>246</v>
      </c>
    </row>
    <row r="324" spans="1:10">
      <c r="A324" s="84"/>
      <c r="B324" s="85" t="s">
        <v>616</v>
      </c>
      <c r="C324" s="85"/>
      <c r="D324" s="85"/>
      <c r="E324" s="85" t="s">
        <v>610</v>
      </c>
      <c r="F324" s="49" t="s">
        <v>250</v>
      </c>
      <c r="G324" s="86"/>
      <c r="H324" s="87"/>
      <c r="I324" s="68">
        <v>76122300</v>
      </c>
      <c r="J324" s="98" t="s">
        <v>652</v>
      </c>
    </row>
    <row r="325" spans="1:10" ht="25.5">
      <c r="A325" s="84"/>
      <c r="B325" s="85" t="s">
        <v>616</v>
      </c>
      <c r="C325" s="85"/>
      <c r="D325" s="85"/>
      <c r="E325" s="85" t="s">
        <v>610</v>
      </c>
      <c r="F325" s="49" t="s">
        <v>247</v>
      </c>
      <c r="G325" s="86"/>
      <c r="H325" s="87"/>
      <c r="I325" s="68">
        <v>80161508</v>
      </c>
      <c r="J325" s="98" t="s">
        <v>655</v>
      </c>
    </row>
    <row r="326" spans="1:10" ht="76.5">
      <c r="A326" s="9" t="s">
        <v>25</v>
      </c>
      <c r="B326" s="2" t="s">
        <v>29</v>
      </c>
      <c r="C326" s="2">
        <v>3531</v>
      </c>
      <c r="D326" s="2">
        <v>3</v>
      </c>
      <c r="E326" s="2" t="str">
        <f>"1000013235"</f>
        <v>1000013235</v>
      </c>
      <c r="F326" s="4" t="str">
        <f>"FOLDERS: File, double top, letter size, manila, standard height(overall 11 3/4in x 9 1/2in), one-third cut, 11 point, 100/box, fastener in position 1, custom printed 2x4 label on cover, 5 custom printed tab dividers inside (REHAB SVCS)"</f>
        <v>FOLDERS: File, double top, letter size, manila, standard height(overall 11 3/4in x 9 1/2in), one-third cut, 11 point, 100/box, fastener in position 1, custom printed 2x4 label on cover, 5 custom printed tab dividers inside (REHAB SVCS)</v>
      </c>
      <c r="G326" s="74" t="str">
        <f>"BX"</f>
        <v>BX</v>
      </c>
      <c r="H326" s="7">
        <v>86.51</v>
      </c>
      <c r="I326" s="2" t="str">
        <f>"44122011"</f>
        <v>44122011</v>
      </c>
      <c r="J326" s="10" t="s">
        <v>92</v>
      </c>
    </row>
    <row r="327" spans="1:10" ht="63.75">
      <c r="A327" s="9" t="s">
        <v>25</v>
      </c>
      <c r="B327" s="2" t="s">
        <v>29</v>
      </c>
      <c r="C327" s="2">
        <v>3531</v>
      </c>
      <c r="D327" s="2">
        <v>2</v>
      </c>
      <c r="E327" s="2" t="str">
        <f>"1000023285"</f>
        <v>1000023285</v>
      </c>
      <c r="F327" s="4" t="str">
        <f>"FLARE: ZFlares-Z1R LED Rechargeable Safety Flare, 1 pc, A/C Adapter, Car Charger, Tote Bag. 16 LED lights, 8 flash patterns, waterproof to 80 ft. Flare Color/Light Color: Red/Red"</f>
        <v>FLARE: ZFlares-Z1R LED Rechargeable Safety Flare, 1 pc, A/C Adapter, Car Charger, Tote Bag. 16 LED lights, 8 flash patterns, waterproof to 80 ft. Flare Color/Light Color: Red/Red</v>
      </c>
      <c r="G327" s="74" t="str">
        <f t="shared" ref="G327:G344" si="12">"EA"</f>
        <v>EA</v>
      </c>
      <c r="H327" s="7">
        <v>24.65</v>
      </c>
      <c r="I327" s="2" t="str">
        <f>"39111714"</f>
        <v>39111714</v>
      </c>
      <c r="J327" s="10" t="s">
        <v>91</v>
      </c>
    </row>
    <row r="328" spans="1:10" ht="25.5">
      <c r="A328" s="9" t="s">
        <v>25</v>
      </c>
      <c r="B328" s="2" t="s">
        <v>29</v>
      </c>
      <c r="C328" s="2">
        <v>3531</v>
      </c>
      <c r="D328" s="2">
        <v>4</v>
      </c>
      <c r="E328" s="2" t="str">
        <f>"1000023286"</f>
        <v>1000023286</v>
      </c>
      <c r="F328" s="4" t="str">
        <f>"FOLDER: Worker's Comp-Custom. Worker's Compensation Court custom folder"</f>
        <v>FOLDER: Worker's Comp-Custom. Worker's Compensation Court custom folder</v>
      </c>
      <c r="G328" s="74" t="str">
        <f t="shared" si="12"/>
        <v>EA</v>
      </c>
      <c r="H328" s="7">
        <v>2.2999999999999998</v>
      </c>
      <c r="I328" s="2" t="str">
        <f>"44122011"</f>
        <v>44122011</v>
      </c>
      <c r="J328" s="10" t="s">
        <v>92</v>
      </c>
    </row>
    <row r="329" spans="1:10" ht="38.25">
      <c r="A329" s="9" t="s">
        <v>27</v>
      </c>
      <c r="B329" s="2" t="s">
        <v>29</v>
      </c>
      <c r="C329" s="2">
        <v>3205</v>
      </c>
      <c r="D329" s="2">
        <v>13</v>
      </c>
      <c r="E329" s="2" t="str">
        <f>"1000000804"</f>
        <v>1000000804</v>
      </c>
      <c r="F329" s="4" t="str">
        <f>"WALL CLOCK(Batt):12in face Wht-~Wall clock, quartz movement, battery operated 12 inch face 12 1/2 x 2 1/2, White."</f>
        <v>WALL CLOCK(Batt):12in face Wht-~Wall clock, quartz movement, battery operated 12 inch face 12 1/2 x 2 1/2, White.</v>
      </c>
      <c r="G329" s="74" t="str">
        <f t="shared" si="12"/>
        <v>EA</v>
      </c>
      <c r="H329" s="7">
        <v>31</v>
      </c>
      <c r="I329" s="2" t="str">
        <f>"54111601"</f>
        <v>54111601</v>
      </c>
      <c r="J329" s="10" t="s">
        <v>90</v>
      </c>
    </row>
    <row r="330" spans="1:10" ht="89.25">
      <c r="A330" s="9" t="s">
        <v>27</v>
      </c>
      <c r="B330" s="2" t="s">
        <v>29</v>
      </c>
      <c r="C330" s="2">
        <v>3205</v>
      </c>
      <c r="D330" s="2">
        <v>5</v>
      </c>
      <c r="E330" s="2" t="str">
        <f>"1000002523"</f>
        <v>1000002523</v>
      </c>
      <c r="F330" s="4" t="str">
        <f>"CHAIR:Ergo 5600 Series- Mid back-adj bac/ht/angle~Neutral Posture Ergonomic 5600 Series- Mid back, adjustable back height &amp; angle, adjustable seat height, medium seat, moderate contour, seat depth 17-19, seat width 23, adjustable arm height w/ 360 degree"</f>
        <v>CHAIR:Ergo 5600 Series- Mid back-adj bac/ht/angle~Neutral Posture Ergonomic 5600 Series- Mid back, adjustable back height &amp; angle, adjustable seat height, medium seat, moderate contour, seat depth 17-19, seat width 23, adjustable arm height w/ 360 degree</v>
      </c>
      <c r="G330" s="74" t="str">
        <f t="shared" si="12"/>
        <v>EA</v>
      </c>
      <c r="H330" s="7">
        <v>668.59</v>
      </c>
      <c r="I330" s="2" t="str">
        <f t="shared" ref="I330:I336" si="13">"56101504"</f>
        <v>56101504</v>
      </c>
      <c r="J330" s="10" t="s">
        <v>89</v>
      </c>
    </row>
    <row r="331" spans="1:10" ht="89.25">
      <c r="A331" s="9" t="s">
        <v>27</v>
      </c>
      <c r="B331" s="2" t="s">
        <v>29</v>
      </c>
      <c r="C331" s="2">
        <v>3205</v>
      </c>
      <c r="D331" s="2">
        <v>4</v>
      </c>
      <c r="E331" s="2" t="str">
        <f>"1000002547"</f>
        <v>1000002547</v>
      </c>
      <c r="F331" s="4" t="str">
        <f>"CHAIR:Ergo 8500 Series- Contour hi back/adj bk ht/angle~Neutral Posture Ergonomic 8500 Series- Contoured high back, adjustable back height &amp; angle, adjustable seat height, medium seat, moderate contour, seat depth 16-18, seat width 21, adjustable arm hei"</f>
        <v>CHAIR:Ergo 8500 Series- Contour hi back/adj bk ht/angle~Neutral Posture Ergonomic 8500 Series- Contoured high back, adjustable back height &amp; angle, adjustable seat height, medium seat, moderate contour, seat depth 16-18, seat width 21, adjustable arm hei</v>
      </c>
      <c r="G331" s="74" t="str">
        <f t="shared" si="12"/>
        <v>EA</v>
      </c>
      <c r="H331" s="7">
        <v>697.59</v>
      </c>
      <c r="I331" s="2" t="str">
        <f t="shared" si="13"/>
        <v>56101504</v>
      </c>
      <c r="J331" s="10" t="s">
        <v>89</v>
      </c>
    </row>
    <row r="332" spans="1:10" ht="89.25">
      <c r="A332" s="9" t="s">
        <v>27</v>
      </c>
      <c r="B332" s="2" t="s">
        <v>29</v>
      </c>
      <c r="C332" s="2">
        <v>3205</v>
      </c>
      <c r="D332" s="2">
        <v>7</v>
      </c>
      <c r="E332" s="2" t="str">
        <f>"1000002838"</f>
        <v>1000002838</v>
      </c>
      <c r="F332" s="4" t="str">
        <f>"CHAIR:Neutral Posture Ergonomic 5400 Series- Mid back, adjustable back height &amp; angle, adjustable seat height, small seat, minimal contour, seat depth 15-17, seat width 20, adjustable arm height w/ 360 degree arm pad rotation, inflatable lumbar."</f>
        <v>CHAIR:Neutral Posture Ergonomic 5400 Series- Mid back, adjustable back height &amp; angle, adjustable seat height, small seat, minimal contour, seat depth 15-17, seat width 20, adjustable arm height w/ 360 degree arm pad rotation, inflatable lumbar.</v>
      </c>
      <c r="G332" s="74" t="str">
        <f t="shared" si="12"/>
        <v>EA</v>
      </c>
      <c r="H332" s="7">
        <v>708.6</v>
      </c>
      <c r="I332" s="2" t="str">
        <f t="shared" si="13"/>
        <v>56101504</v>
      </c>
      <c r="J332" s="10" t="s">
        <v>89</v>
      </c>
    </row>
    <row r="333" spans="1:10" ht="89.25">
      <c r="A333" s="9" t="s">
        <v>27</v>
      </c>
      <c r="B333" s="2" t="s">
        <v>29</v>
      </c>
      <c r="C333" s="2">
        <v>3205</v>
      </c>
      <c r="D333" s="2">
        <v>1</v>
      </c>
      <c r="E333" s="2" t="str">
        <f>"1000002918"</f>
        <v>1000002918</v>
      </c>
      <c r="F333" s="4" t="str">
        <f>"CHAIR:Ergo Model 8600-H1-up back supp/combo 2-way~Ergonomic Model 8600 - H1, Upper back support is combined with a 2-way adjustabe headrest w/Tempu-Pedic memory foam. Inflatable lumbar &amp; variety of seat styles. Medium Seat, Moderate Contour."</f>
        <v>CHAIR:Ergo Model 8600-H1-up back supp/combo 2-way~Ergonomic Model 8600 - H1, Upper back support is combined with a 2-way adjustabe headrest w/Tempu-Pedic memory foam. Inflatable lumbar &amp; variety of seat styles. Medium Seat, Moderate Contour.</v>
      </c>
      <c r="G333" s="74" t="str">
        <f t="shared" si="12"/>
        <v>EA</v>
      </c>
      <c r="H333" s="7">
        <v>851.55</v>
      </c>
      <c r="I333" s="2" t="str">
        <f t="shared" si="13"/>
        <v>56101504</v>
      </c>
      <c r="J333" s="10" t="s">
        <v>89</v>
      </c>
    </row>
    <row r="334" spans="1:10" ht="89.25">
      <c r="A334" s="9" t="s">
        <v>27</v>
      </c>
      <c r="B334" s="2" t="s">
        <v>29</v>
      </c>
      <c r="C334" s="2">
        <v>3205</v>
      </c>
      <c r="D334" s="2">
        <v>6</v>
      </c>
      <c r="E334" s="2" t="str">
        <f>"1000003713"</f>
        <v>1000003713</v>
      </c>
      <c r="F334" s="4" t="str">
        <f>"CHAIR:Ergo 5500 Series- Mid back-adj bac/ht/angle~Neutral Posture Ergonomic 5500 Series- Mid back, adjustable back height &amp; angle, adjustable seat height, medium seat, minimal contour, seat depth 16-18, seat width 21, adjustable arm height w/ 360 degree"</f>
        <v>CHAIR:Ergo 5500 Series- Mid back-adj bac/ht/angle~Neutral Posture Ergonomic 5500 Series- Mid back, adjustable back height &amp; angle, adjustable seat height, medium seat, minimal contour, seat depth 16-18, seat width 21, adjustable arm height w/ 360 degree</v>
      </c>
      <c r="G334" s="74" t="str">
        <f t="shared" si="12"/>
        <v>EA</v>
      </c>
      <c r="H334" s="7">
        <v>639.57000000000005</v>
      </c>
      <c r="I334" s="2" t="str">
        <f t="shared" si="13"/>
        <v>56101504</v>
      </c>
      <c r="J334" s="10" t="s">
        <v>89</v>
      </c>
    </row>
    <row r="335" spans="1:10" ht="76.5">
      <c r="A335" s="9" t="s">
        <v>27</v>
      </c>
      <c r="B335" s="2" t="s">
        <v>29</v>
      </c>
      <c r="C335" s="2">
        <v>3205</v>
      </c>
      <c r="D335" s="2">
        <v>2</v>
      </c>
      <c r="E335" s="2" t="str">
        <f>"1000003739"</f>
        <v>1000003739</v>
      </c>
      <c r="F335" s="4" t="str">
        <f>"CHAIR:Ergo Model 8500 - H1, max comf-maxsupp relieve stressMed seat~Ergonomic Model 8500 - H1, Promotes maximum comfort, maximum support to relieve stress. Medium Seat, Minimal Contour."</f>
        <v>CHAIR:Ergo Model 8500 - H1, max comf-maxsupp relieve stressMed seat~Ergonomic Model 8500 - H1, Promotes maximum comfort, maximum support to relieve stress. Medium Seat, Minimal Contour.</v>
      </c>
      <c r="G335" s="74" t="str">
        <f t="shared" si="12"/>
        <v>EA</v>
      </c>
      <c r="H335" s="7">
        <v>822.54</v>
      </c>
      <c r="I335" s="2" t="str">
        <f t="shared" si="13"/>
        <v>56101504</v>
      </c>
      <c r="J335" s="10" t="s">
        <v>89</v>
      </c>
    </row>
    <row r="336" spans="1:10" ht="89.25">
      <c r="A336" s="9" t="s">
        <v>27</v>
      </c>
      <c r="B336" s="2" t="s">
        <v>29</v>
      </c>
      <c r="C336" s="2">
        <v>3205</v>
      </c>
      <c r="D336" s="2">
        <v>3</v>
      </c>
      <c r="E336" s="2" t="str">
        <f>"1000004504"</f>
        <v>1000004504</v>
      </c>
      <c r="F336" s="4" t="str">
        <f>"CHAIR:Neutral Post Ergonomic 8600 series-17-19, seat width 23,~Neutral Posture Ergonomic 8600 series-Contoured high back w/ adjustable back height &amp; angle, adjsutable seat height, medium seat, minimal contour, seat dept 17-19, seat width 23, adjustable a"</f>
        <v>CHAIR:Neutral Post Ergonomic 8600 series-17-19, seat width 23,~Neutral Posture Ergonomic 8600 series-Contoured high back w/ adjustable back height &amp; angle, adjsutable seat height, medium seat, minimal contour, seat dept 17-19, seat width 23, adjustable a</v>
      </c>
      <c r="G336" s="74" t="str">
        <f t="shared" si="12"/>
        <v>EA</v>
      </c>
      <c r="H336" s="7">
        <v>726.6</v>
      </c>
      <c r="I336" s="2" t="str">
        <f t="shared" si="13"/>
        <v>56101504</v>
      </c>
      <c r="J336" s="10" t="s">
        <v>89</v>
      </c>
    </row>
    <row r="337" spans="1:10" ht="38.25">
      <c r="A337" s="9" t="s">
        <v>27</v>
      </c>
      <c r="B337" s="2" t="s">
        <v>29</v>
      </c>
      <c r="C337" s="2">
        <v>3205</v>
      </c>
      <c r="D337" s="2">
        <v>8</v>
      </c>
      <c r="E337" s="2" t="str">
        <f>"1000022930"</f>
        <v>1000022930</v>
      </c>
      <c r="F337" s="4" t="str">
        <f>"WALL CLOCK(Batt):12in face Blk-Quartz movement, battery operated 12 inch face 12 1/2 x 2 1/2, Black"</f>
        <v>WALL CLOCK(Batt):12in face Blk-Quartz movement, battery operated 12 inch face 12 1/2 x 2 1/2, Black</v>
      </c>
      <c r="G337" s="74" t="str">
        <f t="shared" si="12"/>
        <v>EA</v>
      </c>
      <c r="H337" s="7">
        <v>26.96</v>
      </c>
      <c r="I337" s="2" t="str">
        <f>"54111601"</f>
        <v>54111601</v>
      </c>
      <c r="J337" s="10" t="s">
        <v>90</v>
      </c>
    </row>
    <row r="338" spans="1:10" ht="38.25">
      <c r="A338" s="9" t="s">
        <v>27</v>
      </c>
      <c r="B338" s="2" t="s">
        <v>29</v>
      </c>
      <c r="C338" s="2">
        <v>3205</v>
      </c>
      <c r="D338" s="2">
        <v>9</v>
      </c>
      <c r="E338" s="2" t="str">
        <f>"1000022931"</f>
        <v>1000022931</v>
      </c>
      <c r="F338" s="4" t="str">
        <f>"WALL CLOCK(Batt):12in face Brn-Quartz movement, battery operated 12 inch face 12 1/2 x 2 1/2, Brown"</f>
        <v>WALL CLOCK(Batt):12in face Brn-Quartz movement, battery operated 12 inch face 12 1/2 x 2 1/2, Brown</v>
      </c>
      <c r="G338" s="74" t="str">
        <f t="shared" si="12"/>
        <v>EA</v>
      </c>
      <c r="H338" s="7">
        <v>31</v>
      </c>
      <c r="I338" s="2" t="str">
        <f>"54111601"</f>
        <v>54111601</v>
      </c>
      <c r="J338" s="10" t="s">
        <v>90</v>
      </c>
    </row>
    <row r="339" spans="1:10" ht="51">
      <c r="A339" s="9" t="s">
        <v>27</v>
      </c>
      <c r="B339" s="2" t="s">
        <v>29</v>
      </c>
      <c r="C339" s="2">
        <v>3205</v>
      </c>
      <c r="D339" s="2">
        <v>10</v>
      </c>
      <c r="E339" s="2" t="str">
        <f>"1000022932"</f>
        <v>1000022932</v>
      </c>
      <c r="F339" s="4" t="str">
        <f>"WALL CLOCK:OK Emblem, Wht.-Quartz movement, custom State of Oklahoma emblem in color, 12 inch face, battery operated. 13 1/2 in. x 2 1/2 in., White"</f>
        <v>WALL CLOCK:OK Emblem, Wht.-Quartz movement, custom State of Oklahoma emblem in color, 12 inch face, battery operated. 13 1/2 in. x 2 1/2 in., White</v>
      </c>
      <c r="G339" s="74" t="str">
        <f t="shared" si="12"/>
        <v>EA</v>
      </c>
      <c r="H339" s="7">
        <v>30.08</v>
      </c>
      <c r="I339" s="2" t="str">
        <f>"54111601"</f>
        <v>54111601</v>
      </c>
      <c r="J339" s="10" t="s">
        <v>90</v>
      </c>
    </row>
    <row r="340" spans="1:10" ht="51">
      <c r="A340" s="9" t="s">
        <v>27</v>
      </c>
      <c r="B340" s="2" t="s">
        <v>29</v>
      </c>
      <c r="C340" s="2">
        <v>3205</v>
      </c>
      <c r="D340" s="2">
        <v>11</v>
      </c>
      <c r="E340" s="2" t="str">
        <f>"1000022933"</f>
        <v>1000022933</v>
      </c>
      <c r="F340" s="4" t="str">
        <f>"WALL CLOCK:OK Emblem, Blk-Quartz movement, custom State of Oklahoma emblem in color 12 inch face, battery operated. 13 1/2 in. x 2 1/2 in., Black"</f>
        <v>WALL CLOCK:OK Emblem, Blk-Quartz movement, custom State of Oklahoma emblem in color 12 inch face, battery operated. 13 1/2 in. x 2 1/2 in., Black</v>
      </c>
      <c r="G340" s="74" t="str">
        <f t="shared" si="12"/>
        <v>EA</v>
      </c>
      <c r="H340" s="7">
        <v>30.08</v>
      </c>
      <c r="I340" s="2" t="str">
        <f>"54111601"</f>
        <v>54111601</v>
      </c>
      <c r="J340" s="10" t="s">
        <v>90</v>
      </c>
    </row>
    <row r="341" spans="1:10" ht="51">
      <c r="A341" s="9" t="s">
        <v>27</v>
      </c>
      <c r="B341" s="2" t="s">
        <v>29</v>
      </c>
      <c r="C341" s="2">
        <v>3205</v>
      </c>
      <c r="D341" s="2">
        <v>12</v>
      </c>
      <c r="E341" s="2" t="str">
        <f>"1000022934"</f>
        <v>1000022934</v>
      </c>
      <c r="F341" s="4" t="str">
        <f>"WALL CLOCK:OK Emblem, Brn.-Quartz movement, custom State of Oklahoma emblem in color, 12 inch face, battery operated. 13 1/2 in. x 2 1/2 in., Brown"</f>
        <v>WALL CLOCK:OK Emblem, Brn.-Quartz movement, custom State of Oklahoma emblem in color, 12 inch face, battery operated. 13 1/2 in. x 2 1/2 in., Brown</v>
      </c>
      <c r="G341" s="74" t="str">
        <f t="shared" si="12"/>
        <v>EA</v>
      </c>
      <c r="H341" s="7">
        <v>30.08</v>
      </c>
      <c r="I341" s="2" t="str">
        <f>"54111601"</f>
        <v>54111601</v>
      </c>
      <c r="J341" s="10" t="s">
        <v>90</v>
      </c>
    </row>
    <row r="342" spans="1:10" ht="63.75">
      <c r="A342" s="9" t="s">
        <v>27</v>
      </c>
      <c r="B342" s="2" t="s">
        <v>29</v>
      </c>
      <c r="C342" s="2">
        <v>3205</v>
      </c>
      <c r="D342" s="2">
        <v>14</v>
      </c>
      <c r="E342" s="2" t="str">
        <f>"1000028653"</f>
        <v>1000028653</v>
      </c>
      <c r="F342" s="4" t="str">
        <f>"CHAIR:Ergo 6930 Series Large Chair - Neutral Posture 6930 Series Large Chair, wide, high back, large seat with deep contour, over-sized 360 degree swivel arms in urethane, grade 1 fabric."</f>
        <v>CHAIR:Ergo 6930 Series Large Chair - Neutral Posture 6930 Series Large Chair, wide, high back, large seat with deep contour, over-sized 360 degree swivel arms in urethane, grade 1 fabric.</v>
      </c>
      <c r="G342" s="74" t="str">
        <f t="shared" si="12"/>
        <v>EA</v>
      </c>
      <c r="H342" s="7">
        <v>802.46</v>
      </c>
      <c r="I342" s="2" t="str">
        <f>"56101504"</f>
        <v>56101504</v>
      </c>
      <c r="J342" s="10" t="s">
        <v>89</v>
      </c>
    </row>
    <row r="343" spans="1:10" ht="25.5">
      <c r="A343" s="9" t="s">
        <v>30</v>
      </c>
      <c r="B343" s="2" t="s">
        <v>29</v>
      </c>
      <c r="C343" s="2">
        <v>2836</v>
      </c>
      <c r="D343" s="2">
        <v>8</v>
      </c>
      <c r="E343" s="2" t="str">
        <f>"1000005726"</f>
        <v>1000005726</v>
      </c>
      <c r="F343" s="4" t="str">
        <f>"GOVT ITEMS:Motor Vehicle Report (M.V.R.)"</f>
        <v>GOVT ITEMS:Motor Vehicle Report (M.V.R.)</v>
      </c>
      <c r="G343" s="74" t="str">
        <f t="shared" si="12"/>
        <v>EA</v>
      </c>
      <c r="H343" s="7">
        <v>26</v>
      </c>
      <c r="I343" s="2" t="str">
        <f>"93151508"</f>
        <v>93151508</v>
      </c>
      <c r="J343" s="10" t="s">
        <v>88</v>
      </c>
    </row>
    <row r="344" spans="1:10">
      <c r="A344" s="9" t="s">
        <v>30</v>
      </c>
      <c r="B344" s="2" t="s">
        <v>29</v>
      </c>
      <c r="C344" s="2">
        <v>2836</v>
      </c>
      <c r="D344" s="2">
        <v>5</v>
      </c>
      <c r="E344" s="2" t="str">
        <f>"1000006338"</f>
        <v>1000006338</v>
      </c>
      <c r="F344" s="4" t="str">
        <f>"SERVICE:Background Check Services"</f>
        <v>SERVICE:Background Check Services</v>
      </c>
      <c r="G344" s="74" t="str">
        <f t="shared" si="12"/>
        <v>EA</v>
      </c>
      <c r="H344" s="7">
        <v>16</v>
      </c>
      <c r="I344" s="2" t="str">
        <f>"93141805"</f>
        <v>93141805</v>
      </c>
      <c r="J344" s="10" t="s">
        <v>85</v>
      </c>
    </row>
    <row r="345" spans="1:10" ht="38.25">
      <c r="A345" s="9" t="s">
        <v>30</v>
      </c>
      <c r="B345" s="2" t="s">
        <v>29</v>
      </c>
      <c r="C345" s="2">
        <v>2836</v>
      </c>
      <c r="D345" s="2">
        <v>4</v>
      </c>
      <c r="E345" s="2" t="str">
        <f>"1000006753"</f>
        <v>1000006753</v>
      </c>
      <c r="F345" s="4" t="str">
        <f>"SERVICE: clinical lab test ~ medical services, including clinical laboratory testing services"</f>
        <v>SERVICE: clinical lab test ~ medical services, including clinical laboratory testing services</v>
      </c>
      <c r="G345" s="74" t="str">
        <f t="shared" ref="G345:G350" si="14">"A8"</f>
        <v>A8</v>
      </c>
      <c r="H345" s="7">
        <v>0.01</v>
      </c>
      <c r="I345" s="2" t="str">
        <f>"85122201"</f>
        <v>85122201</v>
      </c>
      <c r="J345" s="10" t="s">
        <v>84</v>
      </c>
    </row>
    <row r="346" spans="1:10" ht="25.5">
      <c r="A346" s="9" t="s">
        <v>30</v>
      </c>
      <c r="B346" s="2" t="s">
        <v>29</v>
      </c>
      <c r="C346" s="2">
        <v>2836</v>
      </c>
      <c r="D346" s="2">
        <v>2</v>
      </c>
      <c r="E346" s="2" t="str">
        <f>"1000007332"</f>
        <v>1000007332</v>
      </c>
      <c r="F346" s="4" t="str">
        <f>"WAREHOUSE WORKERS:Warehouse Workers"</f>
        <v>WAREHOUSE WORKERS:Warehouse Workers</v>
      </c>
      <c r="G346" s="74" t="str">
        <f t="shared" si="14"/>
        <v>A8</v>
      </c>
      <c r="H346" s="7">
        <v>0.01</v>
      </c>
      <c r="I346" s="2" t="str">
        <f>"80111611"</f>
        <v>80111611</v>
      </c>
      <c r="J346" s="10" t="s">
        <v>82</v>
      </c>
    </row>
    <row r="347" spans="1:10" ht="38.25">
      <c r="A347" s="9" t="s">
        <v>30</v>
      </c>
      <c r="B347" s="2" t="s">
        <v>29</v>
      </c>
      <c r="C347" s="2">
        <v>2836</v>
      </c>
      <c r="D347" s="2">
        <v>3</v>
      </c>
      <c r="E347" s="2" t="str">
        <f>"1000007598"</f>
        <v>1000007598</v>
      </c>
      <c r="F347" s="4" t="str">
        <f>"TRAINING:Computer Programming Pers~Computer and Data Processing Programming Personnel"</f>
        <v>TRAINING:Computer Programming Pers~Computer and Data Processing Programming Personnel</v>
      </c>
      <c r="G347" s="74" t="str">
        <f t="shared" si="14"/>
        <v>A8</v>
      </c>
      <c r="H347" s="7">
        <v>0.01</v>
      </c>
      <c r="I347" s="2" t="str">
        <f>"80111608"</f>
        <v>80111608</v>
      </c>
      <c r="J347" s="10" t="s">
        <v>83</v>
      </c>
    </row>
    <row r="348" spans="1:10" ht="25.5">
      <c r="A348" s="9" t="s">
        <v>30</v>
      </c>
      <c r="B348" s="2" t="s">
        <v>29</v>
      </c>
      <c r="C348" s="2">
        <v>2836</v>
      </c>
      <c r="D348" s="2">
        <v>7</v>
      </c>
      <c r="E348" s="2" t="str">
        <f>"1000008556"</f>
        <v>1000008556</v>
      </c>
      <c r="F348" s="4" t="str">
        <f>"TRAINING:Computer training services"</f>
        <v>TRAINING:Computer training services</v>
      </c>
      <c r="G348" s="74" t="str">
        <f t="shared" si="14"/>
        <v>A8</v>
      </c>
      <c r="H348" s="7">
        <v>0.01</v>
      </c>
      <c r="I348" s="2" t="str">
        <f>"86101601"</f>
        <v>86101601</v>
      </c>
      <c r="J348" s="10" t="s">
        <v>87</v>
      </c>
    </row>
    <row r="349" spans="1:10" ht="38.25">
      <c r="A349" s="9" t="s">
        <v>30</v>
      </c>
      <c r="B349" s="2" t="s">
        <v>29</v>
      </c>
      <c r="C349" s="2">
        <v>2836</v>
      </c>
      <c r="D349" s="2">
        <v>1</v>
      </c>
      <c r="E349" s="2" t="str">
        <f>"1000008684"</f>
        <v>1000008684</v>
      </c>
      <c r="F349" s="4" t="str">
        <f>"PERSONNEL:Secretarial &amp; clerical~Secretarial and clerical personnel"</f>
        <v>PERSONNEL:Secretarial &amp; clerical~Secretarial and clerical personnel</v>
      </c>
      <c r="G349" s="74" t="str">
        <f t="shared" si="14"/>
        <v>A8</v>
      </c>
      <c r="H349" s="7">
        <v>0.01</v>
      </c>
      <c r="I349" s="2" t="str">
        <f>"80111706"</f>
        <v>80111706</v>
      </c>
      <c r="J349" s="10" t="s">
        <v>81</v>
      </c>
    </row>
    <row r="350" spans="1:10">
      <c r="A350" s="9" t="s">
        <v>30</v>
      </c>
      <c r="B350" s="2" t="s">
        <v>29</v>
      </c>
      <c r="C350" s="2">
        <v>2836</v>
      </c>
      <c r="D350" s="2">
        <v>6</v>
      </c>
      <c r="E350" s="2" t="str">
        <f>"1000008943"</f>
        <v>1000008943</v>
      </c>
      <c r="F350" s="4" t="str">
        <f>"PERSONNEL: Domestic Workers"</f>
        <v>PERSONNEL: Domestic Workers</v>
      </c>
      <c r="G350" s="74" t="str">
        <f t="shared" si="14"/>
        <v>A8</v>
      </c>
      <c r="H350" s="7">
        <v>0.01</v>
      </c>
      <c r="I350" s="2" t="str">
        <f>"80111600"</f>
        <v>80111600</v>
      </c>
      <c r="J350" s="10" t="s">
        <v>86</v>
      </c>
    </row>
    <row r="351" spans="1:10">
      <c r="A351" s="84"/>
      <c r="B351" s="2" t="s">
        <v>29</v>
      </c>
      <c r="C351" s="85"/>
      <c r="D351" s="85"/>
      <c r="E351" s="85" t="s">
        <v>610</v>
      </c>
      <c r="F351" s="49" t="s">
        <v>261</v>
      </c>
      <c r="G351" s="86"/>
      <c r="H351" s="87"/>
      <c r="I351" s="68">
        <v>73151500</v>
      </c>
      <c r="J351" s="99" t="s">
        <v>261</v>
      </c>
    </row>
    <row r="352" spans="1:10">
      <c r="A352" s="84"/>
      <c r="B352" s="2" t="s">
        <v>29</v>
      </c>
      <c r="C352" s="85"/>
      <c r="D352" s="85"/>
      <c r="E352" s="85" t="s">
        <v>610</v>
      </c>
      <c r="F352" s="49" t="s">
        <v>246</v>
      </c>
      <c r="G352" s="86"/>
      <c r="H352" s="87"/>
      <c r="I352" s="68">
        <v>73151600</v>
      </c>
      <c r="J352" s="99" t="s">
        <v>246</v>
      </c>
    </row>
    <row r="353" spans="1:10" ht="38.25">
      <c r="A353" s="9" t="s">
        <v>27</v>
      </c>
      <c r="B353" s="2" t="s">
        <v>31</v>
      </c>
      <c r="C353" s="2">
        <v>3204</v>
      </c>
      <c r="D353" s="2">
        <v>63</v>
      </c>
      <c r="E353" s="2" t="str">
        <f>"1000000004"</f>
        <v>1000000004</v>
      </c>
      <c r="F353" s="4" t="str">
        <f>"INK CART:BRO Item # LC31C-BRT, Cyan Ink cartridge for Brother PPF 1920C Multifunction Machine"</f>
        <v>INK CART:BRO Item # LC31C-BRT, Cyan Ink cartridge for Brother PPF 1920C Multifunction Machine</v>
      </c>
      <c r="G353" s="74" t="str">
        <f t="shared" ref="G353:G362" si="15">"EA"</f>
        <v>EA</v>
      </c>
      <c r="H353" s="7">
        <v>13</v>
      </c>
      <c r="I353" s="2" t="str">
        <f>"44103105"</f>
        <v>44103105</v>
      </c>
      <c r="J353" s="10" t="s">
        <v>98</v>
      </c>
    </row>
    <row r="354" spans="1:10" ht="38.25">
      <c r="A354" s="9" t="s">
        <v>27</v>
      </c>
      <c r="B354" s="2" t="s">
        <v>31</v>
      </c>
      <c r="C354" s="2">
        <v>3204</v>
      </c>
      <c r="D354" s="2">
        <v>422</v>
      </c>
      <c r="E354" s="2" t="str">
        <f>"1000000011"</f>
        <v>1000000011</v>
      </c>
      <c r="F354" s="4" t="str">
        <f>"PRINTHEAD CLEANER: Item C4964A-HEW, No. 83 Lt Cyan printhead/cleaner Designjet 5000 Series, Designjet 5500 Series"</f>
        <v>PRINTHEAD CLEANER: Item C4964A-HEW, No. 83 Lt Cyan printhead/cleaner Designjet 5000 Series, Designjet 5500 Series</v>
      </c>
      <c r="G354" s="74" t="str">
        <f t="shared" si="15"/>
        <v>EA</v>
      </c>
      <c r="H354" s="7">
        <v>175.98</v>
      </c>
      <c r="I354" s="2" t="str">
        <f>"44103110"</f>
        <v>44103110</v>
      </c>
      <c r="J354" s="10" t="s">
        <v>102</v>
      </c>
    </row>
    <row r="355" spans="1:10" ht="51">
      <c r="A355" s="9" t="s">
        <v>27</v>
      </c>
      <c r="B355" s="2" t="s">
        <v>31</v>
      </c>
      <c r="C355" s="2">
        <v>3204</v>
      </c>
      <c r="D355" s="2">
        <v>423</v>
      </c>
      <c r="E355" s="2" t="str">
        <f>"1000000012"</f>
        <v>1000000012</v>
      </c>
      <c r="F355" s="4" t="str">
        <f>"PRINTHEAD CLEANER: Item C4965A-HEW, No 83 Lt Magenta printhead/cleaner Designjet 5000 Series, Designjet 5500 Series"</f>
        <v>PRINTHEAD CLEANER: Item C4965A-HEW, No 83 Lt Magenta printhead/cleaner Designjet 5000 Series, Designjet 5500 Series</v>
      </c>
      <c r="G355" s="74" t="str">
        <f t="shared" si="15"/>
        <v>EA</v>
      </c>
      <c r="H355" s="7">
        <v>173.32</v>
      </c>
      <c r="I355" s="2" t="str">
        <f>"44103110"</f>
        <v>44103110</v>
      </c>
      <c r="J355" s="10" t="s">
        <v>102</v>
      </c>
    </row>
    <row r="356" spans="1:10" ht="51">
      <c r="A356" s="9" t="s">
        <v>27</v>
      </c>
      <c r="B356" s="2" t="s">
        <v>31</v>
      </c>
      <c r="C356" s="2">
        <v>3204</v>
      </c>
      <c r="D356" s="2">
        <v>750</v>
      </c>
      <c r="E356" s="2" t="str">
        <f>"1000000038"</f>
        <v>1000000038</v>
      </c>
      <c r="F356" s="4" t="str">
        <f>"TONER:HP Item # Q5949A-HEW, HP LaserJet Cartridge for HP All-in-One Printers LaserJet 3390, 1160 Series, LaserJet 1320 Series, LaserJet 3390, yields 2,500."</f>
        <v>TONER:HP Item # Q5949A-HEW, HP LaserJet Cartridge for HP All-in-One Printers LaserJet 3390, 1160 Series, LaserJet 1320 Series, LaserJet 3390, yields 2,500.</v>
      </c>
      <c r="G356" s="74" t="str">
        <f t="shared" si="15"/>
        <v>EA</v>
      </c>
      <c r="H356" s="7">
        <v>93.99</v>
      </c>
      <c r="I356" s="2" t="str">
        <f>"44103103"</f>
        <v>44103103</v>
      </c>
      <c r="J356" s="10" t="s">
        <v>99</v>
      </c>
    </row>
    <row r="357" spans="1:10" ht="38.25">
      <c r="A357" s="9" t="s">
        <v>27</v>
      </c>
      <c r="B357" s="2" t="s">
        <v>31</v>
      </c>
      <c r="C357" s="2">
        <v>3204</v>
      </c>
      <c r="D357" s="2">
        <v>689</v>
      </c>
      <c r="E357" s="2" t="str">
        <f>"1000000049"</f>
        <v>1000000049</v>
      </c>
      <c r="F357" s="4" t="str">
        <f>"TONER:HP:HP Item # C9733A-HEW, Magenta toner for HP Laser Printers Color LaserJet 5500 Smart Print,Series (Yld 12k)"</f>
        <v>TONER:HP:HP Item # C9733A-HEW, Magenta toner for HP Laser Printers Color LaserJet 5500 Smart Print,Series (Yld 12k)</v>
      </c>
      <c r="G357" s="74" t="str">
        <f t="shared" si="15"/>
        <v>EA</v>
      </c>
      <c r="H357" s="7">
        <v>393.99</v>
      </c>
      <c r="I357" s="2" t="str">
        <f>"44103103"</f>
        <v>44103103</v>
      </c>
      <c r="J357" s="10" t="s">
        <v>99</v>
      </c>
    </row>
    <row r="358" spans="1:10" ht="38.25">
      <c r="A358" s="9" t="s">
        <v>27</v>
      </c>
      <c r="B358" s="2" t="s">
        <v>31</v>
      </c>
      <c r="C358" s="2">
        <v>3204</v>
      </c>
      <c r="D358" s="2">
        <v>688</v>
      </c>
      <c r="E358" s="2" t="str">
        <f>"1000000050"</f>
        <v>1000000050</v>
      </c>
      <c r="F358" s="4" t="str">
        <f>"TONER:HP:HP Item # C9732A-HEW, Yellow toner for HP Laser Printers Color LaserJet 5500 Smart Print,Series (Yld 12k)"</f>
        <v>TONER:HP:HP Item # C9732A-HEW, Yellow toner for HP Laser Printers Color LaserJet 5500 Smart Print,Series (Yld 12k)</v>
      </c>
      <c r="G358" s="74" t="str">
        <f t="shared" si="15"/>
        <v>EA</v>
      </c>
      <c r="H358" s="7">
        <v>393.99</v>
      </c>
      <c r="I358" s="2" t="str">
        <f>"44103103"</f>
        <v>44103103</v>
      </c>
      <c r="J358" s="10" t="s">
        <v>99</v>
      </c>
    </row>
    <row r="359" spans="1:10" ht="38.25">
      <c r="A359" s="9" t="s">
        <v>27</v>
      </c>
      <c r="B359" s="2" t="s">
        <v>31</v>
      </c>
      <c r="C359" s="2">
        <v>3204</v>
      </c>
      <c r="D359" s="2">
        <v>578</v>
      </c>
      <c r="E359" s="2" t="str">
        <f>"1000000052"</f>
        <v>1000000052</v>
      </c>
      <c r="F359" s="4" t="str">
        <f>"TONER:CAN Item # FX6-CAN, Black Fax Toner for Canon Printers LC3170/3175 (Yld 5k)"</f>
        <v>TONER:CAN Item # FX6-CAN, Black Fax Toner for Canon Printers LC3170/3175 (Yld 5k)</v>
      </c>
      <c r="G359" s="74" t="str">
        <f t="shared" si="15"/>
        <v>EA</v>
      </c>
      <c r="H359" s="7">
        <v>119.32</v>
      </c>
      <c r="I359" s="2" t="str">
        <f>"44103103"</f>
        <v>44103103</v>
      </c>
      <c r="J359" s="10" t="s">
        <v>99</v>
      </c>
    </row>
    <row r="360" spans="1:10" ht="51">
      <c r="A360" s="9" t="s">
        <v>27</v>
      </c>
      <c r="B360" s="2" t="s">
        <v>31</v>
      </c>
      <c r="C360" s="2">
        <v>3204</v>
      </c>
      <c r="D360" s="2">
        <v>766</v>
      </c>
      <c r="E360" s="2" t="str">
        <f>"1000000055"</f>
        <v>1000000055</v>
      </c>
      <c r="F360" s="4" t="str">
        <f>"TONER:HP Item # Q6472A-HEW, Yellow Toner for Hewlett Packard Printers Color LaserJet 3600 , 3600dn, 3600n Printers (Yld 4k)"</f>
        <v>TONER:HP Item # Q6472A-HEW, Yellow Toner for Hewlett Packard Printers Color LaserJet 3600 , 3600dn, 3600n Printers (Yld 4k)</v>
      </c>
      <c r="G360" s="74" t="str">
        <f t="shared" si="15"/>
        <v>EA</v>
      </c>
      <c r="H360" s="7">
        <v>147.99</v>
      </c>
      <c r="I360" s="2" t="str">
        <f>"44103103"</f>
        <v>44103103</v>
      </c>
      <c r="J360" s="10" t="s">
        <v>99</v>
      </c>
    </row>
    <row r="361" spans="1:10" ht="25.5">
      <c r="A361" s="9" t="s">
        <v>27</v>
      </c>
      <c r="B361" s="2" t="s">
        <v>31</v>
      </c>
      <c r="C361" s="2">
        <v>3204</v>
      </c>
      <c r="D361" s="2">
        <v>279</v>
      </c>
      <c r="E361" s="2" t="str">
        <f>"1000000057"</f>
        <v>1000000057</v>
      </c>
      <c r="F361" s="4" t="str">
        <f>"INK CART:HP Item # C6578DN-HEW, No. 78 Ink Ctg, Tri-Color, Yield 450 pages"</f>
        <v>INK CART:HP Item # C6578DN-HEW, No. 78 Ink Ctg, Tri-Color, Yield 450 pages</v>
      </c>
      <c r="G361" s="74" t="str">
        <f t="shared" si="15"/>
        <v>EA</v>
      </c>
      <c r="H361" s="7">
        <v>41.99</v>
      </c>
      <c r="I361" s="2" t="str">
        <f>"44103105"</f>
        <v>44103105</v>
      </c>
      <c r="J361" s="10" t="s">
        <v>98</v>
      </c>
    </row>
    <row r="362" spans="1:10" ht="38.25">
      <c r="A362" s="9" t="s">
        <v>27</v>
      </c>
      <c r="B362" s="2" t="s">
        <v>31</v>
      </c>
      <c r="C362" s="2">
        <v>3204</v>
      </c>
      <c r="D362" s="2">
        <v>278</v>
      </c>
      <c r="E362" s="2" t="str">
        <f>"1000000058"</f>
        <v>1000000058</v>
      </c>
      <c r="F362" s="4" t="str">
        <f>"INK CART:HP Item # C6578AN-HEW, No. 78 Ink Ctg, High Yield,Tri-color Yield 970 pages"</f>
        <v>INK CART:HP Item # C6578AN-HEW, No. 78 Ink Ctg, High Yield,Tri-color Yield 970 pages</v>
      </c>
      <c r="G362" s="74" t="str">
        <f t="shared" si="15"/>
        <v>EA</v>
      </c>
      <c r="H362" s="7">
        <v>66.989999999999995</v>
      </c>
      <c r="I362" s="2" t="str">
        <f>"44103105"</f>
        <v>44103105</v>
      </c>
      <c r="J362" s="10" t="s">
        <v>98</v>
      </c>
    </row>
    <row r="363" spans="1:10" ht="38.25">
      <c r="A363" s="9" t="s">
        <v>27</v>
      </c>
      <c r="B363" s="2" t="s">
        <v>31</v>
      </c>
      <c r="C363" s="2">
        <v>3204</v>
      </c>
      <c r="D363" s="2">
        <v>55</v>
      </c>
      <c r="E363" s="2" t="str">
        <f>"1000000059"</f>
        <v>1000000059</v>
      </c>
      <c r="F363" s="4" t="str">
        <f>"FUSER KT:HP Item # Q3984A-HEW, Toner for Hewlett Packard Printers HP Laser Toner Fuser Kit 110V"</f>
        <v>FUSER KT:HP Item # Q3984A-HEW, Toner for Hewlett Packard Printers HP Laser Toner Fuser Kit 110V</v>
      </c>
      <c r="G363" s="74" t="str">
        <f>"KT"</f>
        <v>KT</v>
      </c>
      <c r="H363" s="7">
        <v>361.99</v>
      </c>
      <c r="I363" s="2" t="str">
        <f>"44103004"</f>
        <v>44103004</v>
      </c>
      <c r="J363" s="10" t="s">
        <v>96</v>
      </c>
    </row>
    <row r="364" spans="1:10" ht="38.25">
      <c r="A364" s="9" t="s">
        <v>27</v>
      </c>
      <c r="B364" s="2" t="s">
        <v>31</v>
      </c>
      <c r="C364" s="2">
        <v>3204</v>
      </c>
      <c r="D364" s="2">
        <v>724</v>
      </c>
      <c r="E364" s="2" t="str">
        <f>"1000000060"</f>
        <v>1000000060</v>
      </c>
      <c r="F364" s="4" t="str">
        <f>"TONER:HP Item # Q2613A-BC, Brand Compatible for HP 13A toner cartridge for LaserJet 1300/1300n Printers.(Yld 2,200)"</f>
        <v>TONER:HP Item # Q2613A-BC, Brand Compatible for HP 13A toner cartridge for LaserJet 1300/1300n Printers.(Yld 2,200)</v>
      </c>
      <c r="G364" s="74" t="str">
        <f t="shared" ref="G364:G374" si="16">"EA"</f>
        <v>EA</v>
      </c>
      <c r="H364" s="7">
        <v>61</v>
      </c>
      <c r="I364" s="2" t="str">
        <f>"44103103"</f>
        <v>44103103</v>
      </c>
      <c r="J364" s="10" t="s">
        <v>99</v>
      </c>
    </row>
    <row r="365" spans="1:10" ht="38.25">
      <c r="A365" s="9" t="s">
        <v>27</v>
      </c>
      <c r="B365" s="2" t="s">
        <v>31</v>
      </c>
      <c r="C365" s="2">
        <v>3204</v>
      </c>
      <c r="D365" s="2">
        <v>19</v>
      </c>
      <c r="E365" s="2" t="str">
        <f>"1000000061"</f>
        <v>1000000061</v>
      </c>
      <c r="F365" s="4" t="str">
        <f>"DRUM:HP Item # C9704A-HEW, Color LaserJet 2500 Imaging Drum (Yld 20k Black/5k Color)"</f>
        <v>DRUM:HP Item # C9704A-HEW, Color LaserJet 2500 Imaging Drum (Yld 20k Black/5k Color)</v>
      </c>
      <c r="G365" s="74" t="str">
        <f t="shared" si="16"/>
        <v>EA</v>
      </c>
      <c r="H365" s="7">
        <v>192.32</v>
      </c>
      <c r="I365" s="2" t="str">
        <f>"44103109"</f>
        <v>44103109</v>
      </c>
      <c r="J365" s="10" t="s">
        <v>94</v>
      </c>
    </row>
    <row r="366" spans="1:10" ht="38.25">
      <c r="A366" s="9" t="s">
        <v>27</v>
      </c>
      <c r="B366" s="2" t="s">
        <v>31</v>
      </c>
      <c r="C366" s="2">
        <v>3204</v>
      </c>
      <c r="D366" s="2">
        <v>679</v>
      </c>
      <c r="E366" s="2" t="str">
        <f>"1000000062"</f>
        <v>1000000062</v>
      </c>
      <c r="F366" s="4" t="str">
        <f>"TONER:HP Item # C9720A-HEW, Black Toner for Hewlett Packard Printers Color LaserJet 4600 (Yld 9k)"</f>
        <v>TONER:HP Item # C9720A-HEW, Black Toner for Hewlett Packard Printers Color LaserJet 4600 (Yld 9k)</v>
      </c>
      <c r="G366" s="74" t="str">
        <f t="shared" si="16"/>
        <v>EA</v>
      </c>
      <c r="H366" s="7">
        <v>202.99</v>
      </c>
      <c r="I366" s="2" t="str">
        <f>"44103103"</f>
        <v>44103103</v>
      </c>
      <c r="J366" s="10" t="s">
        <v>99</v>
      </c>
    </row>
    <row r="367" spans="1:10" ht="51">
      <c r="A367" s="9" t="s">
        <v>27</v>
      </c>
      <c r="B367" s="2" t="s">
        <v>31</v>
      </c>
      <c r="C367" s="2">
        <v>3204</v>
      </c>
      <c r="D367" s="2">
        <v>303</v>
      </c>
      <c r="E367" s="2" t="str">
        <f>"1000000064"</f>
        <v>1000000064</v>
      </c>
      <c r="F367" s="4" t="str">
        <f>"INK CART:HP Item # C9352AN-HEW, No. 22 Tri-Color Photo Ink (Yld 165) All-in-One Printers DeskJet, Officejet,Fax Machines, Inkjet Printers, and Photo Printers"</f>
        <v>INK CART:HP Item # C9352AN-HEW, No. 22 Tri-Color Photo Ink (Yld 165) All-in-One Printers DeskJet, Officejet,Fax Machines, Inkjet Printers, and Photo Printers</v>
      </c>
      <c r="G367" s="74" t="str">
        <f t="shared" si="16"/>
        <v>EA</v>
      </c>
      <c r="H367" s="7">
        <v>21.99</v>
      </c>
      <c r="I367" s="2" t="str">
        <f t="shared" ref="I367:I372" si="17">"44103105"</f>
        <v>44103105</v>
      </c>
      <c r="J367" s="10" t="s">
        <v>98</v>
      </c>
    </row>
    <row r="368" spans="1:10" ht="89.25">
      <c r="A368" s="9" t="s">
        <v>27</v>
      </c>
      <c r="B368" s="2" t="s">
        <v>31</v>
      </c>
      <c r="C368" s="2">
        <v>3204</v>
      </c>
      <c r="D368" s="2">
        <v>313</v>
      </c>
      <c r="E368" s="2" t="str">
        <f>"1000000065"</f>
        <v>1000000065</v>
      </c>
      <c r="F368" s="4" t="str">
        <f>"INK CART:HP Item # C9385AN-HEW, No.88 Vivera ink Black (Yld 620) for HP All-in-One Printers Officejet Pro L7580/L7590/L7650/L7680/L7780, Officejet Pro K5400 Series, K550 Series, HP Wide Format Printers Officejet Pro K8600 Series"</f>
        <v>INK CART:HP Item # C9385AN-HEW, No.88 Vivera ink Black (Yld 620) for HP All-in-One Printers Officejet Pro L7580/L7590/L7650/L7680/L7780, Officejet Pro K5400 Series, K550 Series, HP Wide Format Printers Officejet Pro K8600 Series</v>
      </c>
      <c r="G368" s="74" t="str">
        <f t="shared" si="16"/>
        <v>EA</v>
      </c>
      <c r="H368" s="7">
        <v>24.99</v>
      </c>
      <c r="I368" s="2" t="str">
        <f t="shared" si="17"/>
        <v>44103105</v>
      </c>
      <c r="J368" s="10" t="s">
        <v>98</v>
      </c>
    </row>
    <row r="369" spans="1:10" ht="89.25">
      <c r="A369" s="9" t="s">
        <v>27</v>
      </c>
      <c r="B369" s="2" t="s">
        <v>31</v>
      </c>
      <c r="C369" s="2">
        <v>3204</v>
      </c>
      <c r="D369" s="2">
        <v>207</v>
      </c>
      <c r="E369" s="2" t="str">
        <f>"1000000066"</f>
        <v>1000000066</v>
      </c>
      <c r="F369" s="4" t="str">
        <f>"INK CART:HP Item # C9386AN-HEW, No. 88 Vivera ink, Cyan (Yld 620) for HP All-in-One Printers Officejet Pro L7580/L7590/L7650/L7680/L7780 and Officejet Pro K5400 Series, K550 Series, HP Wide Format Printers Officejet Pro K8600 Series"</f>
        <v>INK CART:HP Item # C9386AN-HEW, No. 88 Vivera ink, Cyan (Yld 620) for HP All-in-One Printers Officejet Pro L7580/L7590/L7650/L7680/L7780 and Officejet Pro K5400 Series, K550 Series, HP Wide Format Printers Officejet Pro K8600 Series</v>
      </c>
      <c r="G369" s="74" t="str">
        <f t="shared" si="16"/>
        <v>EA</v>
      </c>
      <c r="H369" s="7">
        <v>17.989999999999998</v>
      </c>
      <c r="I369" s="2" t="str">
        <f t="shared" si="17"/>
        <v>44103105</v>
      </c>
      <c r="J369" s="10" t="s">
        <v>98</v>
      </c>
    </row>
    <row r="370" spans="1:10" ht="89.25">
      <c r="A370" s="9" t="s">
        <v>27</v>
      </c>
      <c r="B370" s="2" t="s">
        <v>31</v>
      </c>
      <c r="C370" s="2">
        <v>3204</v>
      </c>
      <c r="D370" s="2">
        <v>314</v>
      </c>
      <c r="E370" s="2" t="str">
        <f>"1000000067"</f>
        <v>1000000067</v>
      </c>
      <c r="F370" s="4" t="str">
        <f>"INK CART:HP Item # C9387AN-HEW, No.88 Vivera Ink Magenta (Yld 620) for HP All-in-One Printers Officejet Pro L7580/L7590/L7650/L7680/L7780 and Officejet Pro K5400 Series, K550 Series, HP Wide Format Printers Officejet Pro K8600 Series"</f>
        <v>INK CART:HP Item # C9387AN-HEW, No.88 Vivera Ink Magenta (Yld 620) for HP All-in-One Printers Officejet Pro L7580/L7590/L7650/L7680/L7780 and Officejet Pro K5400 Series, K550 Series, HP Wide Format Printers Officejet Pro K8600 Series</v>
      </c>
      <c r="G370" s="74" t="str">
        <f t="shared" si="16"/>
        <v>EA</v>
      </c>
      <c r="H370" s="7">
        <v>17.989999999999998</v>
      </c>
      <c r="I370" s="2" t="str">
        <f t="shared" si="17"/>
        <v>44103105</v>
      </c>
      <c r="J370" s="10" t="s">
        <v>98</v>
      </c>
    </row>
    <row r="371" spans="1:10" ht="89.25">
      <c r="A371" s="9" t="s">
        <v>27</v>
      </c>
      <c r="B371" s="2" t="s">
        <v>31</v>
      </c>
      <c r="C371" s="2">
        <v>3204</v>
      </c>
      <c r="D371" s="2">
        <v>315</v>
      </c>
      <c r="E371" s="2" t="str">
        <f>"1000000068"</f>
        <v>1000000068</v>
      </c>
      <c r="F371" s="4" t="str">
        <f>"INK CART:HP Item # C9388AN-HEW, No. 88 Vivera ink Yellow (Yld 620) for HP All-in-One Printers Officejet Pro L7580/L7590/L7650/L7680/L7780 and Officejet Pro K5400 Series, K550 Series, HP Wide Format Printers Officejet Pro K8600 Series"</f>
        <v>INK CART:HP Item # C9388AN-HEW, No. 88 Vivera ink Yellow (Yld 620) for HP All-in-One Printers Officejet Pro L7580/L7590/L7650/L7680/L7780 and Officejet Pro K5400 Series, K550 Series, HP Wide Format Printers Officejet Pro K8600 Series</v>
      </c>
      <c r="G371" s="74" t="str">
        <f t="shared" si="16"/>
        <v>EA</v>
      </c>
      <c r="H371" s="7">
        <v>17.989999999999998</v>
      </c>
      <c r="I371" s="2" t="str">
        <f t="shared" si="17"/>
        <v>44103105</v>
      </c>
      <c r="J371" s="10" t="s">
        <v>98</v>
      </c>
    </row>
    <row r="372" spans="1:10" ht="114.75">
      <c r="A372" s="9" t="s">
        <v>27</v>
      </c>
      <c r="B372" s="2" t="s">
        <v>31</v>
      </c>
      <c r="C372" s="2">
        <v>3204</v>
      </c>
      <c r="D372" s="2">
        <v>294</v>
      </c>
      <c r="E372" s="2" t="str">
        <f>"1000000069"</f>
        <v>1000000069</v>
      </c>
      <c r="F372" s="4" t="str">
        <f>"INK CART:HP Item # C8767WN-HEW, # 96 ink cartridge (Yld 860) for DeskJet 5740/5740xi/650/ 6520xi/6540/6540dt/6540xi/6840/6840dt/6840xi Officejet 6200/7310/7310xi/7410/7410xi Photo Smart 2610v/2610xi/2710/2710xi/8150/8150v/8150xi/8450/8450xi/PSC 2355"</f>
        <v>INK CART:HP Item # C8767WN-HEW, # 96 ink cartridge (Yld 860) for DeskJet 5740/5740xi/650/ 6520xi/6540/6540dt/6540xi/6840/6840dt/6840xi Officejet 6200/7310/7310xi/7410/7410xi Photo Smart 2610v/2610xi/2710/2710xi/8150/8150v/8150xi/8450/8450xi/PSC 2355</v>
      </c>
      <c r="G372" s="74" t="str">
        <f t="shared" si="16"/>
        <v>EA</v>
      </c>
      <c r="H372" s="7">
        <v>36.99</v>
      </c>
      <c r="I372" s="2" t="str">
        <f t="shared" si="17"/>
        <v>44103105</v>
      </c>
      <c r="J372" s="10" t="s">
        <v>98</v>
      </c>
    </row>
    <row r="373" spans="1:10" ht="38.25">
      <c r="A373" s="9" t="s">
        <v>27</v>
      </c>
      <c r="B373" s="2" t="s">
        <v>31</v>
      </c>
      <c r="C373" s="2">
        <v>3204</v>
      </c>
      <c r="D373" s="2">
        <v>657</v>
      </c>
      <c r="E373" s="2" t="str">
        <f>"1000000070"</f>
        <v>1000000070</v>
      </c>
      <c r="F373" s="4" t="str">
        <f>"TONER:HP Item #  C7115A-BC, Brand compatible, Toner for Hewlett Packard Printers 1200/1220 Series (yield 2.4k)"</f>
        <v>TONER:HP Item #  C7115A-BC, Brand compatible, Toner for Hewlett Packard Printers 1200/1220 Series (yield 2.4k)</v>
      </c>
      <c r="G373" s="74" t="str">
        <f t="shared" si="16"/>
        <v>EA</v>
      </c>
      <c r="H373" s="7">
        <v>56</v>
      </c>
      <c r="I373" s="2" t="str">
        <f>"44103103"</f>
        <v>44103103</v>
      </c>
      <c r="J373" s="10" t="s">
        <v>99</v>
      </c>
    </row>
    <row r="374" spans="1:10" ht="51">
      <c r="A374" s="9" t="s">
        <v>27</v>
      </c>
      <c r="B374" s="2" t="s">
        <v>31</v>
      </c>
      <c r="C374" s="2">
        <v>3204</v>
      </c>
      <c r="D374" s="2">
        <v>283</v>
      </c>
      <c r="E374" s="2" t="str">
        <f>"1000000081"</f>
        <v>1000000081</v>
      </c>
      <c r="F374" s="4" t="str">
        <f>"INK CART:HP Item # C6615DN-HEW, No. 15 Black Ink Cartridge for Hewlett Packard Printers, HP DeskJet 810C/812C/840/842, (Yld 415)"</f>
        <v>INK CART:HP Item # C6615DN-HEW, No. 15 Black Ink Cartridge for Hewlett Packard Printers, HP DeskJet 810C/812C/840/842, (Yld 415)</v>
      </c>
      <c r="G374" s="74" t="str">
        <f t="shared" si="16"/>
        <v>EA</v>
      </c>
      <c r="H374" s="7">
        <v>39.39</v>
      </c>
      <c r="I374" s="2" t="str">
        <f>"44103105"</f>
        <v>44103105</v>
      </c>
      <c r="J374" s="10" t="s">
        <v>98</v>
      </c>
    </row>
    <row r="375" spans="1:10" ht="63.75">
      <c r="A375" s="9" t="s">
        <v>27</v>
      </c>
      <c r="B375" s="2" t="s">
        <v>31</v>
      </c>
      <c r="C375" s="2">
        <v>3204</v>
      </c>
      <c r="D375" s="2">
        <v>53</v>
      </c>
      <c r="E375" s="2" t="str">
        <f>"1000000082"</f>
        <v>1000000082</v>
      </c>
      <c r="F375" s="4" t="str">
        <f>"FUSER KT:HP Item # C4197A-HEW, LaserJet 4500 Fuser Kit 110V HP Laser Printers Color LaserJet 4500 Series, 4550 Series, Yields: 100,000 pages for b/w, Yields up to 50,000 pages - color"</f>
        <v>FUSER KT:HP Item # C4197A-HEW, LaserJet 4500 Fuser Kit 110V HP Laser Printers Color LaserJet 4500 Series, 4550 Series, Yields: 100,000 pages for b/w, Yields up to 50,000 pages - color</v>
      </c>
      <c r="G375" s="74" t="str">
        <f>"KT"</f>
        <v>KT</v>
      </c>
      <c r="H375" s="7">
        <v>282</v>
      </c>
      <c r="I375" s="2" t="str">
        <f>"44103004"</f>
        <v>44103004</v>
      </c>
      <c r="J375" s="10" t="s">
        <v>96</v>
      </c>
    </row>
    <row r="376" spans="1:10" ht="51">
      <c r="A376" s="9" t="s">
        <v>27</v>
      </c>
      <c r="B376" s="2" t="s">
        <v>31</v>
      </c>
      <c r="C376" s="2">
        <v>3204</v>
      </c>
      <c r="D376" s="2">
        <v>652</v>
      </c>
      <c r="E376" s="2" t="str">
        <f>"1000000083"</f>
        <v>1000000083</v>
      </c>
      <c r="F376" s="4" t="str">
        <f>"TONER:HP Item # C4193A-BC, Brand compatible Magenta Toner for Hewlett Packard Printers Color Laser Jet 4500. (Yld 6k)"</f>
        <v>TONER:HP Item # C4193A-BC, Brand compatible Magenta Toner for Hewlett Packard Printers Color Laser Jet 4500. (Yld 6k)</v>
      </c>
      <c r="G376" s="74" t="str">
        <f t="shared" ref="G376:G402" si="18">"EA"</f>
        <v>EA</v>
      </c>
      <c r="H376" s="7">
        <v>76</v>
      </c>
      <c r="I376" s="2" t="str">
        <f>"44103103"</f>
        <v>44103103</v>
      </c>
      <c r="J376" s="10" t="s">
        <v>99</v>
      </c>
    </row>
    <row r="377" spans="1:10" ht="51">
      <c r="A377" s="9" t="s">
        <v>27</v>
      </c>
      <c r="B377" s="2" t="s">
        <v>31</v>
      </c>
      <c r="C377" s="2">
        <v>3204</v>
      </c>
      <c r="D377" s="2">
        <v>542</v>
      </c>
      <c r="E377" s="2" t="str">
        <f>"1000000086"</f>
        <v>1000000086</v>
      </c>
      <c r="F377" s="4" t="str">
        <f>"TONER:BRO Item # TN5000PF-BRT, Brother toner for IntelliFAX 2750/ 2650/ 3550/ 4350/ 4450/ 4550/ 4650/ 5000PF/ 6550/ 6650/ 7550/ 7650/ 7750 Toner (Yld 2.2k)"</f>
        <v>TONER:BRO Item # TN5000PF-BRT, Brother toner for IntelliFAX 2750/ 2650/ 3550/ 4350/ 4450/ 4550/ 4650/ 5000PF/ 6550/ 6650/ 7550/ 7650/ 7750 Toner (Yld 2.2k)</v>
      </c>
      <c r="G377" s="74" t="str">
        <f t="shared" si="18"/>
        <v>EA</v>
      </c>
      <c r="H377" s="7">
        <v>37.979999999999997</v>
      </c>
      <c r="I377" s="2" t="str">
        <f>"44103103"</f>
        <v>44103103</v>
      </c>
      <c r="J377" s="10" t="s">
        <v>99</v>
      </c>
    </row>
    <row r="378" spans="1:10" ht="38.25">
      <c r="A378" s="9" t="s">
        <v>27</v>
      </c>
      <c r="B378" s="2" t="s">
        <v>31</v>
      </c>
      <c r="C378" s="2">
        <v>3204</v>
      </c>
      <c r="D378" s="2">
        <v>80</v>
      </c>
      <c r="E378" s="2" t="str">
        <f>"1000000088"</f>
        <v>1000000088</v>
      </c>
      <c r="F378" s="4" t="str">
        <f>"INK CART:CAN Item # 8190A003-CAN, Black Ink Cartridge for Canon PIXMA ip90V/ I70/ I80/ IP90"</f>
        <v>INK CART:CAN Item # 8190A003-CAN, Black Ink Cartridge for Canon PIXMA ip90V/ I70/ I80/ IP90</v>
      </c>
      <c r="G378" s="74" t="str">
        <f t="shared" si="18"/>
        <v>EA</v>
      </c>
      <c r="H378" s="7">
        <v>18.32</v>
      </c>
      <c r="I378" s="2" t="str">
        <f>"44103105"</f>
        <v>44103105</v>
      </c>
      <c r="J378" s="10" t="s">
        <v>98</v>
      </c>
    </row>
    <row r="379" spans="1:10" ht="51">
      <c r="A379" s="9" t="s">
        <v>27</v>
      </c>
      <c r="B379" s="2" t="s">
        <v>31</v>
      </c>
      <c r="C379" s="2">
        <v>3204</v>
      </c>
      <c r="D379" s="2">
        <v>87</v>
      </c>
      <c r="E379" s="2" t="str">
        <f>"1000000089"</f>
        <v>1000000089</v>
      </c>
      <c r="F379" s="4" t="str">
        <f>"INK CART:CAN Item # 0884A003-CAN, Black Ink Cartridge (BX-3) for Canon Printers B540/550/640 Multipass 100/800/1000 Fax Inkjet Printer (Yld 2000)"</f>
        <v>INK CART:CAN Item # 0884A003-CAN, Black Ink Cartridge (BX-3) for Canon Printers B540/550/640 Multipass 100/800/1000 Fax Inkjet Printer (Yld 2000)</v>
      </c>
      <c r="G379" s="74" t="str">
        <f t="shared" si="18"/>
        <v>EA</v>
      </c>
      <c r="H379" s="7">
        <v>41</v>
      </c>
      <c r="I379" s="2" t="str">
        <f>"44103105"</f>
        <v>44103105</v>
      </c>
      <c r="J379" s="10" t="s">
        <v>98</v>
      </c>
    </row>
    <row r="380" spans="1:10" ht="38.25">
      <c r="A380" s="9" t="s">
        <v>27</v>
      </c>
      <c r="B380" s="2" t="s">
        <v>31</v>
      </c>
      <c r="C380" s="2">
        <v>3204</v>
      </c>
      <c r="D380" s="2">
        <v>936</v>
      </c>
      <c r="E380" s="2" t="str">
        <f>"1000000092"</f>
        <v>1000000092</v>
      </c>
      <c r="F380" s="4" t="str">
        <f>"TONER:SAM Item # CLP-510-D5Y-SAM, Yellow toner cartridge for Samsung CLP-510 Series, (Yld 5k)"</f>
        <v>TONER:SAM Item # CLP-510-D5Y-SAM, Yellow toner cartridge for Samsung CLP-510 Series, (Yld 5k)</v>
      </c>
      <c r="G380" s="74" t="str">
        <f t="shared" si="18"/>
        <v>EA</v>
      </c>
      <c r="H380" s="7">
        <v>137.11000000000001</v>
      </c>
      <c r="I380" s="2" t="str">
        <f>"44103103"</f>
        <v>44103103</v>
      </c>
      <c r="J380" s="10" t="s">
        <v>99</v>
      </c>
    </row>
    <row r="381" spans="1:10" ht="38.25">
      <c r="A381" s="9" t="s">
        <v>27</v>
      </c>
      <c r="B381" s="2" t="s">
        <v>31</v>
      </c>
      <c r="C381" s="2">
        <v>3204</v>
      </c>
      <c r="D381" s="2">
        <v>241</v>
      </c>
      <c r="E381" s="2" t="str">
        <f>"1000000100"</f>
        <v>1000000100</v>
      </c>
      <c r="F381" s="4" t="str">
        <f>"INK CART:HP Item # C4844A-HEW, No. 10 Ink Ctg, Black, HP 2000C/ 2500C/ DesignJet 500/ 800 (Yld 1.43k)"</f>
        <v>INK CART:HP Item # C4844A-HEW, No. 10 Ink Ctg, Black, HP 2000C/ 2500C/ DesignJet 500/ 800 (Yld 1.43k)</v>
      </c>
      <c r="G381" s="74" t="str">
        <f t="shared" si="18"/>
        <v>EA</v>
      </c>
      <c r="H381" s="7">
        <v>41.99</v>
      </c>
      <c r="I381" s="2" t="str">
        <f>"44103105"</f>
        <v>44103105</v>
      </c>
      <c r="J381" s="10" t="s">
        <v>98</v>
      </c>
    </row>
    <row r="382" spans="1:10" ht="38.25">
      <c r="A382" s="9" t="s">
        <v>27</v>
      </c>
      <c r="B382" s="2" t="s">
        <v>31</v>
      </c>
      <c r="C382" s="2">
        <v>3204</v>
      </c>
      <c r="D382" s="2">
        <v>774</v>
      </c>
      <c r="E382" s="2" t="str">
        <f>"1000000101"</f>
        <v>1000000101</v>
      </c>
      <c r="F382" s="4" t="str">
        <f>"TONER:HP Item # Q7553A-HEW, HP Laser toner for P2015,P2015DN, P2015N and P2015X (Yld 3k)"</f>
        <v>TONER:HP Item # Q7553A-HEW, HP Laser toner for P2015,P2015DN, P2015N and P2015X (Yld 3k)</v>
      </c>
      <c r="G382" s="74" t="str">
        <f t="shared" si="18"/>
        <v>EA</v>
      </c>
      <c r="H382" s="7">
        <v>91.99</v>
      </c>
      <c r="I382" s="2" t="str">
        <f>"44103103"</f>
        <v>44103103</v>
      </c>
      <c r="J382" s="10" t="s">
        <v>99</v>
      </c>
    </row>
    <row r="383" spans="1:10" ht="38.25">
      <c r="A383" s="9" t="s">
        <v>27</v>
      </c>
      <c r="B383" s="2" t="s">
        <v>31</v>
      </c>
      <c r="C383" s="2">
        <v>3204</v>
      </c>
      <c r="D383" s="2">
        <v>686</v>
      </c>
      <c r="E383" s="2" t="str">
        <f>"1000000106"</f>
        <v>1000000106</v>
      </c>
      <c r="F383" s="4" t="str">
        <f>"TONER:HP Item # C9730A-HEW, Black toner for HP Laser Printers Color LaserJet 5500 Series, Color LaserJet 5550 Series (Yld 13k)"</f>
        <v>TONER:HP Item # C9730A-HEW, Black toner for HP Laser Printers Color LaserJet 5500 Series, Color LaserJet 5550 Series (Yld 13k)</v>
      </c>
      <c r="G383" s="74" t="str">
        <f t="shared" si="18"/>
        <v>EA</v>
      </c>
      <c r="H383" s="7">
        <v>281.99</v>
      </c>
      <c r="I383" s="2" t="str">
        <f>"44103103"</f>
        <v>44103103</v>
      </c>
      <c r="J383" s="10" t="s">
        <v>99</v>
      </c>
    </row>
    <row r="384" spans="1:10" ht="38.25">
      <c r="A384" s="9" t="s">
        <v>27</v>
      </c>
      <c r="B384" s="2" t="s">
        <v>31</v>
      </c>
      <c r="C384" s="2">
        <v>3204</v>
      </c>
      <c r="D384" s="2">
        <v>687</v>
      </c>
      <c r="E384" s="2" t="str">
        <f>"1000000107"</f>
        <v>1000000107</v>
      </c>
      <c r="F384" s="4" t="str">
        <f>"TONER:HP Item # C9731A-HEW, Cyan toner for HP Laser Printers Color LaserJet 5500 Smart Print,Series (Yld 12k)"</f>
        <v>TONER:HP Item # C9731A-HEW, Cyan toner for HP Laser Printers Color LaserJet 5500 Smart Print,Series (Yld 12k)</v>
      </c>
      <c r="G384" s="74" t="str">
        <f t="shared" si="18"/>
        <v>EA</v>
      </c>
      <c r="H384" s="7">
        <v>393.99</v>
      </c>
      <c r="I384" s="2" t="str">
        <f>"44103103"</f>
        <v>44103103</v>
      </c>
      <c r="J384" s="10" t="s">
        <v>99</v>
      </c>
    </row>
    <row r="385" spans="1:10" ht="51">
      <c r="A385" s="9" t="s">
        <v>27</v>
      </c>
      <c r="B385" s="2" t="s">
        <v>31</v>
      </c>
      <c r="C385" s="2">
        <v>3204</v>
      </c>
      <c r="D385" s="2">
        <v>513</v>
      </c>
      <c r="E385" s="2" t="str">
        <f>"1000000118"</f>
        <v>1000000118</v>
      </c>
      <c r="F385" s="4" t="str">
        <f>"RIBBON:OKI Item # 52107001-OKI, Black Fabric Printer Ribbon designed for the Okidata Microline 520/521 Dot Matrix Printers"</f>
        <v>RIBBON:OKI Item # 52107001-OKI, Black Fabric Printer Ribbon designed for the Okidata Microline 520/521 Dot Matrix Printers</v>
      </c>
      <c r="G385" s="74" t="str">
        <f t="shared" si="18"/>
        <v>EA</v>
      </c>
      <c r="H385" s="7">
        <v>19</v>
      </c>
      <c r="I385" s="2" t="str">
        <f>"44103112"</f>
        <v>44103112</v>
      </c>
      <c r="J385" s="10" t="s">
        <v>105</v>
      </c>
    </row>
    <row r="386" spans="1:10" ht="38.25">
      <c r="A386" s="9" t="s">
        <v>27</v>
      </c>
      <c r="B386" s="2" t="s">
        <v>31</v>
      </c>
      <c r="C386" s="2">
        <v>3204</v>
      </c>
      <c r="D386" s="2">
        <v>896</v>
      </c>
      <c r="E386" s="2" t="str">
        <f>"1000000119"</f>
        <v>1000000119</v>
      </c>
      <c r="F386" s="4" t="str">
        <f>"TONER:OKI Item # 52106701-OKI, Toner for Okidata Printers Okidata 1000/1050/2200/2350/2400"</f>
        <v>TONER:OKI Item # 52106701-OKI, Toner for Okidata Printers Okidata 1000/1050/2200/2350/2400</v>
      </c>
      <c r="G386" s="74" t="str">
        <f t="shared" si="18"/>
        <v>EA</v>
      </c>
      <c r="H386" s="7">
        <v>36.06</v>
      </c>
      <c r="I386" s="2" t="str">
        <f>"44103103"</f>
        <v>44103103</v>
      </c>
      <c r="J386" s="10" t="s">
        <v>99</v>
      </c>
    </row>
    <row r="387" spans="1:10" ht="51">
      <c r="A387" s="9" t="s">
        <v>27</v>
      </c>
      <c r="B387" s="2" t="s">
        <v>31</v>
      </c>
      <c r="C387" s="2">
        <v>3204</v>
      </c>
      <c r="D387" s="2">
        <v>230</v>
      </c>
      <c r="E387" s="2" t="str">
        <f>"1000000176"</f>
        <v>1000000176</v>
      </c>
      <c r="F387" s="4" t="str">
        <f>"INK CART:HP Item # C4096A-HEW, Black printer cartridge for Hewlett Packard Printers, LaserJet 2100/2200 Series, (yield 5k)"</f>
        <v>INK CART:HP Item # C4096A-HEW, Black printer cartridge for Hewlett Packard Printers, LaserJet 2100/2200 Series, (yield 5k)</v>
      </c>
      <c r="G387" s="74" t="str">
        <f t="shared" si="18"/>
        <v>EA</v>
      </c>
      <c r="H387" s="7">
        <v>128.99</v>
      </c>
      <c r="I387" s="2" t="str">
        <f>"44103105"</f>
        <v>44103105</v>
      </c>
      <c r="J387" s="10" t="s">
        <v>98</v>
      </c>
    </row>
    <row r="388" spans="1:10" ht="38.25">
      <c r="A388" s="9" t="s">
        <v>27</v>
      </c>
      <c r="B388" s="2" t="s">
        <v>31</v>
      </c>
      <c r="C388" s="2">
        <v>3204</v>
      </c>
      <c r="D388" s="2">
        <v>65</v>
      </c>
      <c r="E388" s="2" t="str">
        <f>"1000000182"</f>
        <v>1000000182</v>
      </c>
      <c r="F388" s="4" t="str">
        <f>"INK CART:BRO Item # LC31Y-BRT, Yellow Ink Cartridge for Brother PPF 1920C Multifunction Machine"</f>
        <v>INK CART:BRO Item # LC31Y-BRT, Yellow Ink Cartridge for Brother PPF 1920C Multifunction Machine</v>
      </c>
      <c r="G388" s="74" t="str">
        <f t="shared" si="18"/>
        <v>EA</v>
      </c>
      <c r="H388" s="7">
        <v>13</v>
      </c>
      <c r="I388" s="2" t="str">
        <f>"44103105"</f>
        <v>44103105</v>
      </c>
      <c r="J388" s="10" t="s">
        <v>98</v>
      </c>
    </row>
    <row r="389" spans="1:10" ht="38.25">
      <c r="A389" s="9" t="s">
        <v>27</v>
      </c>
      <c r="B389" s="2" t="s">
        <v>31</v>
      </c>
      <c r="C389" s="2">
        <v>3204</v>
      </c>
      <c r="D389" s="2">
        <v>534</v>
      </c>
      <c r="E389" s="2" t="str">
        <f>"1000000183"</f>
        <v>1000000183</v>
      </c>
      <c r="F389" s="4" t="str">
        <f>"TONER:BRO Item # TN250-BRT, Laser Toner Cartridge for Brother PPF-2800/MFC-4800/6800 (Yld 2.2k)"</f>
        <v>TONER:BRO Item # TN250-BRT, Laser Toner Cartridge for Brother PPF-2800/MFC-4800/6800 (Yld 2.2k)</v>
      </c>
      <c r="G389" s="74" t="str">
        <f t="shared" si="18"/>
        <v>EA</v>
      </c>
      <c r="H389" s="7">
        <v>43.32</v>
      </c>
      <c r="I389" s="2" t="str">
        <f>"44103103"</f>
        <v>44103103</v>
      </c>
      <c r="J389" s="10" t="s">
        <v>99</v>
      </c>
    </row>
    <row r="390" spans="1:10" ht="114.75">
      <c r="A390" s="9" t="s">
        <v>27</v>
      </c>
      <c r="B390" s="2" t="s">
        <v>31</v>
      </c>
      <c r="C390" s="2">
        <v>3204</v>
      </c>
      <c r="D390" s="2">
        <v>287</v>
      </c>
      <c r="E390" s="2" t="str">
        <f>"1000000201"</f>
        <v>1000000201</v>
      </c>
      <c r="F390" s="4" t="str">
        <f>"INK CART:HP Item # C6657AN-HEW, # 57 Tri-Color Ink (Yld 450) PSC 1210/1210v/1210xi/1350/ 2110/2175/2175v/2175xi/2210/2410/2510 Officejet 4110/110 Digital Copier 410/ DeskJet 450ci/450cbi/450/51150/5550/5650/5650 w/Photosmart 7150/7260/7350/7550/7660/7760"</f>
        <v>INK CART:HP Item # C6657AN-HEW, # 57 Tri-Color Ink (Yld 450) PSC 1210/1210v/1210xi/1350/ 2110/2175/2175v/2175xi/2210/2410/2510 Officejet 4110/110 Digital Copier 410/ DeskJet 450ci/450cbi/450/51150/5550/5650/5650 w/Photosmart 7150/7260/7350/7550/7660/7760</v>
      </c>
      <c r="G390" s="74" t="str">
        <f t="shared" si="18"/>
        <v>EA</v>
      </c>
      <c r="H390" s="7">
        <v>43.99</v>
      </c>
      <c r="I390" s="2" t="str">
        <f>"44103105"</f>
        <v>44103105</v>
      </c>
      <c r="J390" s="10" t="s">
        <v>98</v>
      </c>
    </row>
    <row r="391" spans="1:10" ht="38.25">
      <c r="A391" s="9" t="s">
        <v>27</v>
      </c>
      <c r="B391" s="2" t="s">
        <v>31</v>
      </c>
      <c r="C391" s="2">
        <v>3204</v>
      </c>
      <c r="D391" s="2">
        <v>434</v>
      </c>
      <c r="E391" s="2" t="str">
        <f>"1000000219"</f>
        <v>1000000219</v>
      </c>
      <c r="F391" s="4" t="str">
        <f>"PRINTHEAD:HP Item # C4821A-HEW, No. 80 Printhead and Printhead Cleaner, Cyan, Design Jet 1000 1050/1055CM"</f>
        <v>PRINTHEAD:HP Item # C4821A-HEW, No. 80 Printhead and Printhead Cleaner, Cyan, Design Jet 1000 1050/1055CM</v>
      </c>
      <c r="G391" s="74" t="str">
        <f t="shared" si="18"/>
        <v>EA</v>
      </c>
      <c r="H391" s="7">
        <v>157.66</v>
      </c>
      <c r="I391" s="2" t="str">
        <f>"44103110"</f>
        <v>44103110</v>
      </c>
      <c r="J391" s="10" t="s">
        <v>102</v>
      </c>
    </row>
    <row r="392" spans="1:10" ht="38.25">
      <c r="A392" s="9" t="s">
        <v>27</v>
      </c>
      <c r="B392" s="2" t="s">
        <v>31</v>
      </c>
      <c r="C392" s="2">
        <v>3204</v>
      </c>
      <c r="D392" s="2">
        <v>435</v>
      </c>
      <c r="E392" s="2" t="str">
        <f>"1000000220"</f>
        <v>1000000220</v>
      </c>
      <c r="F392" s="4" t="str">
        <f>"PRINTHEAD:HP Item # C4822A-HEW, No. 80 Printhead and Printhead Cleaner, Magenta, Design Jet 1000/1050/1055CM"</f>
        <v>PRINTHEAD:HP Item # C4822A-HEW, No. 80 Printhead and Printhead Cleaner, Magenta, Design Jet 1000/1050/1055CM</v>
      </c>
      <c r="G392" s="74" t="str">
        <f t="shared" si="18"/>
        <v>EA</v>
      </c>
      <c r="H392" s="7">
        <v>157.66</v>
      </c>
      <c r="I392" s="2" t="str">
        <f>"44103110"</f>
        <v>44103110</v>
      </c>
      <c r="J392" s="10" t="s">
        <v>102</v>
      </c>
    </row>
    <row r="393" spans="1:10" ht="89.25">
      <c r="A393" s="9" t="s">
        <v>27</v>
      </c>
      <c r="B393" s="2" t="s">
        <v>31</v>
      </c>
      <c r="C393" s="2">
        <v>3204</v>
      </c>
      <c r="D393" s="2">
        <v>758</v>
      </c>
      <c r="E393" s="2" t="str">
        <f>"1000000242"</f>
        <v>1000000242</v>
      </c>
      <c r="F393" s="4" t="str">
        <f>"TONER:HP Item # Q6002A-HEW, Yellow Toner (Yld 2k) for HP All-in-One Printers Color LaserJet CM1015mfp, Color LaserJet CM1017mfp, HP Laser Printers Color LaserJet 1600, Color LaserJet 2600N, Color LaserJet 2605 Series, Color LaserJet CM1015mfp / CM1017mfp"</f>
        <v>TONER:HP Item # Q6002A-HEW, Yellow Toner (Yld 2k) for HP All-in-One Printers Color LaserJet CM1015mfp, Color LaserJet CM1017mfp, HP Laser Printers Color LaserJet 1600, Color LaserJet 2600N, Color LaserJet 2605 Series, Color LaserJet CM1015mfp / CM1017mfp</v>
      </c>
      <c r="G393" s="74" t="str">
        <f t="shared" si="18"/>
        <v>EA</v>
      </c>
      <c r="H393" s="7">
        <v>93.99</v>
      </c>
      <c r="I393" s="2" t="str">
        <f>"44103103"</f>
        <v>44103103</v>
      </c>
      <c r="J393" s="10" t="s">
        <v>99</v>
      </c>
    </row>
    <row r="394" spans="1:10" ht="38.25">
      <c r="A394" s="9" t="s">
        <v>27</v>
      </c>
      <c r="B394" s="2" t="s">
        <v>31</v>
      </c>
      <c r="C394" s="2">
        <v>3204</v>
      </c>
      <c r="D394" s="2">
        <v>433</v>
      </c>
      <c r="E394" s="2" t="str">
        <f>"1000000243"</f>
        <v>1000000243</v>
      </c>
      <c r="F394" s="4" t="str">
        <f>"PRINTHEAD:HP Item # C4820A-HEW, No. 80 Printhead and Printhead Cleaner, Black, HP Design Jet 1000 1050C/1055CM"</f>
        <v>PRINTHEAD:HP Item # C4820A-HEW, No. 80 Printhead and Printhead Cleaner, Black, HP Design Jet 1000 1050C/1055CM</v>
      </c>
      <c r="G394" s="74" t="str">
        <f t="shared" si="18"/>
        <v>EA</v>
      </c>
      <c r="H394" s="7">
        <v>155.32</v>
      </c>
      <c r="I394" s="2" t="str">
        <f>"44103110"</f>
        <v>44103110</v>
      </c>
      <c r="J394" s="10" t="s">
        <v>102</v>
      </c>
    </row>
    <row r="395" spans="1:10" ht="38.25">
      <c r="A395" s="9" t="s">
        <v>27</v>
      </c>
      <c r="B395" s="2" t="s">
        <v>31</v>
      </c>
      <c r="C395" s="2">
        <v>3204</v>
      </c>
      <c r="D395" s="2">
        <v>661</v>
      </c>
      <c r="E395" s="2" t="str">
        <f>"1000000273"</f>
        <v>1000000273</v>
      </c>
      <c r="F395" s="4" t="str">
        <f>"TONER:HP Item # C7115X-HEW, Black Toner for Hewlett Packard Printers HP 1200/1220 Series Toner (Yld 3.5k)"</f>
        <v>TONER:HP Item # C7115X-HEW, Black Toner for Hewlett Packard Printers HP 1200/1220 Series Toner (Yld 3.5k)</v>
      </c>
      <c r="G395" s="74" t="str">
        <f t="shared" si="18"/>
        <v>EA</v>
      </c>
      <c r="H395" s="7">
        <v>92.99</v>
      </c>
      <c r="I395" s="2" t="str">
        <f>"44103103"</f>
        <v>44103103</v>
      </c>
      <c r="J395" s="10" t="s">
        <v>99</v>
      </c>
    </row>
    <row r="396" spans="1:10" ht="38.25">
      <c r="A396" s="9" t="s">
        <v>27</v>
      </c>
      <c r="B396" s="2" t="s">
        <v>31</v>
      </c>
      <c r="C396" s="2">
        <v>3204</v>
      </c>
      <c r="D396" s="2">
        <v>579</v>
      </c>
      <c r="E396" s="2" t="str">
        <f>"1000000274"</f>
        <v>1000000274</v>
      </c>
      <c r="F396" s="4" t="str">
        <f>"TONER:CAN Item # FX7-BC, Brand Compatible Black Fax Toner for Canon Printers LC710 (Yld 4.5k)"</f>
        <v>TONER:CAN Item # FX7-BC, Brand Compatible Black Fax Toner for Canon Printers LC710 (Yld 4.5k)</v>
      </c>
      <c r="G396" s="74" t="str">
        <f t="shared" si="18"/>
        <v>EA</v>
      </c>
      <c r="H396" s="7">
        <v>86</v>
      </c>
      <c r="I396" s="2" t="str">
        <f>"44103103"</f>
        <v>44103103</v>
      </c>
      <c r="J396" s="10" t="s">
        <v>99</v>
      </c>
    </row>
    <row r="397" spans="1:10" ht="51">
      <c r="A397" s="9" t="s">
        <v>27</v>
      </c>
      <c r="B397" s="2" t="s">
        <v>31</v>
      </c>
      <c r="C397" s="2">
        <v>3204</v>
      </c>
      <c r="D397" s="2">
        <v>212</v>
      </c>
      <c r="E397" s="2" t="str">
        <f>"1000000281"</f>
        <v>1000000281</v>
      </c>
      <c r="F397" s="4" t="str">
        <f>"INK CART:HP Item # 51633M-HEW, Black ink for Hewlett Packard Printers, HP Portable DeskJet 300/310/320/340 (yld 750)"</f>
        <v>INK CART:HP Item # 51633M-HEW, Black ink for Hewlett Packard Printers, HP Portable DeskJet 300/310/320/340 (yld 750)</v>
      </c>
      <c r="G397" s="74" t="str">
        <f t="shared" si="18"/>
        <v>EA</v>
      </c>
      <c r="H397" s="7">
        <v>37</v>
      </c>
      <c r="I397" s="2" t="str">
        <f>"44103105"</f>
        <v>44103105</v>
      </c>
      <c r="J397" s="10" t="s">
        <v>98</v>
      </c>
    </row>
    <row r="398" spans="1:10" ht="38.25">
      <c r="A398" s="9" t="s">
        <v>27</v>
      </c>
      <c r="B398" s="2" t="s">
        <v>31</v>
      </c>
      <c r="C398" s="2">
        <v>3204</v>
      </c>
      <c r="D398" s="2">
        <v>663</v>
      </c>
      <c r="E398" s="2" t="str">
        <f>"1000000283"</f>
        <v>1000000283</v>
      </c>
      <c r="F398" s="4" t="str">
        <f>"TONER:HP Item # C8061A-HEW, Black Toner for Hewlett Packard Printers 4100 Series (Yld 6k)"</f>
        <v>TONER:HP Item # C8061A-HEW, Black Toner for Hewlett Packard Printers 4100 Series (Yld 6k)</v>
      </c>
      <c r="G398" s="74" t="str">
        <f t="shared" si="18"/>
        <v>EA</v>
      </c>
      <c r="H398" s="7">
        <v>109</v>
      </c>
      <c r="I398" s="2" t="str">
        <f>"44103103"</f>
        <v>44103103</v>
      </c>
      <c r="J398" s="10" t="s">
        <v>99</v>
      </c>
    </row>
    <row r="399" spans="1:10" ht="51">
      <c r="A399" s="9" t="s">
        <v>27</v>
      </c>
      <c r="B399" s="2" t="s">
        <v>31</v>
      </c>
      <c r="C399" s="2">
        <v>3204</v>
      </c>
      <c r="D399" s="2">
        <v>713</v>
      </c>
      <c r="E399" s="2" t="str">
        <f>"1000000284"</f>
        <v>1000000284</v>
      </c>
      <c r="F399" s="4" t="str">
        <f>"TONER:HP Item # Q1338A-BC, Black, Brand Compatible Toner for Hewlett Packard Printers HP LaserJet 4200 Laser Toner Printers (Yld 12k)"</f>
        <v>TONER:HP Item # Q1338A-BC, Black, Brand Compatible Toner for Hewlett Packard Printers HP LaserJet 4200 Laser Toner Printers (Yld 12k)</v>
      </c>
      <c r="G399" s="74" t="str">
        <f t="shared" si="18"/>
        <v>EA</v>
      </c>
      <c r="H399" s="7">
        <v>152</v>
      </c>
      <c r="I399" s="2" t="str">
        <f>"44103103"</f>
        <v>44103103</v>
      </c>
      <c r="J399" s="10" t="s">
        <v>99</v>
      </c>
    </row>
    <row r="400" spans="1:10" ht="25.5">
      <c r="A400" s="9" t="s">
        <v>27</v>
      </c>
      <c r="B400" s="2" t="s">
        <v>31</v>
      </c>
      <c r="C400" s="2">
        <v>3204</v>
      </c>
      <c r="D400" s="2">
        <v>715</v>
      </c>
      <c r="E400" s="2" t="str">
        <f>"1000000285"</f>
        <v>1000000285</v>
      </c>
      <c r="F400" s="4" t="str">
        <f>"TONER:HP Item # Q1338A-HEW, Black Toner for LaserJet 4200 Series (Yld 12k)"</f>
        <v>TONER:HP Item # Q1338A-HEW, Black Toner for LaserJet 4200 Series (Yld 12k)</v>
      </c>
      <c r="G400" s="74" t="str">
        <f t="shared" si="18"/>
        <v>EA</v>
      </c>
      <c r="H400" s="7">
        <v>175.99</v>
      </c>
      <c r="I400" s="2" t="str">
        <f>"44103103"</f>
        <v>44103103</v>
      </c>
      <c r="J400" s="10" t="s">
        <v>99</v>
      </c>
    </row>
    <row r="401" spans="1:10" ht="38.25">
      <c r="A401" s="9" t="s">
        <v>27</v>
      </c>
      <c r="B401" s="2" t="s">
        <v>31</v>
      </c>
      <c r="C401" s="2">
        <v>3204</v>
      </c>
      <c r="D401" s="2">
        <v>749</v>
      </c>
      <c r="E401" s="2" t="str">
        <f>"1000000312"</f>
        <v>1000000312</v>
      </c>
      <c r="F401" s="4" t="str">
        <f>"TONER:HP Item # Q5942X-HEW, Toner for Hewlett Packard Printers HP LC 4250/4350 High Yield (Yld 20k)"</f>
        <v>TONER:HP Item # Q5942X-HEW, Toner for Hewlett Packard Printers HP LC 4250/4350 High Yield (Yld 20k)</v>
      </c>
      <c r="G401" s="74" t="str">
        <f t="shared" si="18"/>
        <v>EA</v>
      </c>
      <c r="H401" s="7">
        <v>253.99</v>
      </c>
      <c r="I401" s="2" t="str">
        <f>"44103103"</f>
        <v>44103103</v>
      </c>
      <c r="J401" s="10" t="s">
        <v>99</v>
      </c>
    </row>
    <row r="402" spans="1:10" ht="25.5">
      <c r="A402" s="9" t="s">
        <v>27</v>
      </c>
      <c r="B402" s="2" t="s">
        <v>31</v>
      </c>
      <c r="C402" s="2">
        <v>3204</v>
      </c>
      <c r="D402" s="2">
        <v>937</v>
      </c>
      <c r="E402" s="2" t="str">
        <f>"1000000347"</f>
        <v>1000000347</v>
      </c>
      <c r="F402" s="4" t="str">
        <f>"TONER:SAM Item # CLP-510D7K-SAM, Black Toner for Samsung CLP 510 Series, (Yld 7k)"</f>
        <v>TONER:SAM Item # CLP-510D7K-SAM, Black Toner for Samsung CLP 510 Series, (Yld 7k)</v>
      </c>
      <c r="G402" s="74" t="str">
        <f t="shared" si="18"/>
        <v>EA</v>
      </c>
      <c r="H402" s="7">
        <v>102</v>
      </c>
      <c r="I402" s="2" t="str">
        <f>"44103103"</f>
        <v>44103103</v>
      </c>
      <c r="J402" s="10" t="s">
        <v>99</v>
      </c>
    </row>
    <row r="403" spans="1:10" ht="38.25">
      <c r="A403" s="9" t="s">
        <v>27</v>
      </c>
      <c r="B403" s="2" t="s">
        <v>31</v>
      </c>
      <c r="C403" s="2">
        <v>3204</v>
      </c>
      <c r="D403" s="2">
        <v>52</v>
      </c>
      <c r="E403" s="2" t="str">
        <f>"1000000356"</f>
        <v>1000000356</v>
      </c>
      <c r="F403" s="4" t="str">
        <f>"FUSER KT: Item # C9735A-HEW, Color LaserJet 500 Smart Print Fuser Kit 110v, Yields 150k"</f>
        <v>FUSER KT: Item # C9735A-HEW, Color LaserJet 500 Smart Print Fuser Kit 110v, Yields 150k</v>
      </c>
      <c r="G403" s="74" t="str">
        <f>"KT"</f>
        <v>KT</v>
      </c>
      <c r="H403" s="7">
        <v>364.66</v>
      </c>
      <c r="I403" s="2" t="str">
        <f>"44103004"</f>
        <v>44103004</v>
      </c>
      <c r="J403" s="10" t="s">
        <v>96</v>
      </c>
    </row>
    <row r="404" spans="1:10" ht="51">
      <c r="A404" s="9" t="s">
        <v>27</v>
      </c>
      <c r="B404" s="2" t="s">
        <v>31</v>
      </c>
      <c r="C404" s="2">
        <v>3204</v>
      </c>
      <c r="D404" s="2">
        <v>678</v>
      </c>
      <c r="E404" s="2" t="str">
        <f>"1000000357"</f>
        <v>1000000357</v>
      </c>
      <c r="F404" s="4" t="str">
        <f>"TONER:HP Item # C9720A-BC, Brand compatible Black Toner for Hewlett Packard Printers Color LaserJet 4600 (Yld 9k)"</f>
        <v>TONER:HP Item # C9720A-BC, Brand compatible Black Toner for Hewlett Packard Printers Color LaserJet 4600 (Yld 9k)</v>
      </c>
      <c r="G404" s="74" t="str">
        <f>"EA"</f>
        <v>EA</v>
      </c>
      <c r="H404" s="7">
        <v>129</v>
      </c>
      <c r="I404" s="2" t="str">
        <f>"44103103"</f>
        <v>44103103</v>
      </c>
      <c r="J404" s="10" t="s">
        <v>99</v>
      </c>
    </row>
    <row r="405" spans="1:10" ht="38.25">
      <c r="A405" s="9" t="s">
        <v>27</v>
      </c>
      <c r="B405" s="2" t="s">
        <v>31</v>
      </c>
      <c r="C405" s="2">
        <v>3204</v>
      </c>
      <c r="D405" s="2">
        <v>765</v>
      </c>
      <c r="E405" s="2" t="str">
        <f>"1000000358"</f>
        <v>1000000358</v>
      </c>
      <c r="F405" s="4" t="str">
        <f>"TONER:HP Item # Q6471A-HEW Cyan Toner for Hewlett Packard Printers LaserJet 3600, 3600dn, 3600n Printers. (Yld 4k)"</f>
        <v>TONER:HP Item # Q6471A-HEW Cyan Toner for Hewlett Packard Printers LaserJet 3600, 3600dn, 3600n Printers. (Yld 4k)</v>
      </c>
      <c r="G405" s="74" t="str">
        <f>"EA"</f>
        <v>EA</v>
      </c>
      <c r="H405" s="7">
        <v>147.99</v>
      </c>
      <c r="I405" s="2" t="str">
        <f>"44103103"</f>
        <v>44103103</v>
      </c>
      <c r="J405" s="10" t="s">
        <v>99</v>
      </c>
    </row>
    <row r="406" spans="1:10" ht="38.25">
      <c r="A406" s="9" t="s">
        <v>27</v>
      </c>
      <c r="B406" s="2" t="s">
        <v>31</v>
      </c>
      <c r="C406" s="2">
        <v>3204</v>
      </c>
      <c r="D406" s="2">
        <v>311</v>
      </c>
      <c r="E406" s="2" t="str">
        <f>"1000000359"</f>
        <v>1000000359</v>
      </c>
      <c r="F406" s="4" t="str">
        <f>"INK CART:HP Item # C9368AN-HEW, Grey Photo No. 100 for Hewlett Packard Printers"</f>
        <v>INK CART:HP Item # C9368AN-HEW, Grey Photo No. 100 for Hewlett Packard Printers</v>
      </c>
      <c r="G406" s="74" t="str">
        <f>"EA"</f>
        <v>EA</v>
      </c>
      <c r="H406" s="7">
        <v>29</v>
      </c>
      <c r="I406" s="2" t="str">
        <f>"44103105"</f>
        <v>44103105</v>
      </c>
      <c r="J406" s="10" t="s">
        <v>98</v>
      </c>
    </row>
    <row r="407" spans="1:10" ht="25.5">
      <c r="A407" s="9" t="s">
        <v>27</v>
      </c>
      <c r="B407" s="2" t="s">
        <v>31</v>
      </c>
      <c r="C407" s="2">
        <v>3204</v>
      </c>
      <c r="D407" s="2">
        <v>934</v>
      </c>
      <c r="E407" s="2" t="str">
        <f>"1000000393"</f>
        <v>1000000393</v>
      </c>
      <c r="F407" s="4" t="str">
        <f>"TONER:SAM Item #CLP-510D5C-SAM, Cyan toner for Samsung CLP-510 Series, (Yld 5k)"</f>
        <v>TONER:SAM Item #CLP-510D5C-SAM, Cyan toner for Samsung CLP-510 Series, (Yld 5k)</v>
      </c>
      <c r="G407" s="74" t="str">
        <f>"EA"</f>
        <v>EA</v>
      </c>
      <c r="H407" s="7">
        <v>139.65</v>
      </c>
      <c r="I407" s="2" t="str">
        <f>"44103103"</f>
        <v>44103103</v>
      </c>
      <c r="J407" s="10" t="s">
        <v>99</v>
      </c>
    </row>
    <row r="408" spans="1:10" ht="38.25">
      <c r="A408" s="9" t="s">
        <v>27</v>
      </c>
      <c r="B408" s="2" t="s">
        <v>31</v>
      </c>
      <c r="C408" s="2">
        <v>3204</v>
      </c>
      <c r="D408" s="2">
        <v>54</v>
      </c>
      <c r="E408" s="2" t="str">
        <f>"1000000394"</f>
        <v>1000000394</v>
      </c>
      <c r="F408" s="4" t="str">
        <f>"FUSER KT:HP Item # Q3676A-HEW, Toner for Hewlett Packard Printers Fuser Kit (110V) HP 4650"</f>
        <v>FUSER KT:HP Item # Q3676A-HEW, Toner for Hewlett Packard Printers Fuser Kit (110V) HP 4650</v>
      </c>
      <c r="G408" s="74" t="str">
        <f>"KT"</f>
        <v>KT</v>
      </c>
      <c r="H408" s="7">
        <v>343.66</v>
      </c>
      <c r="I408" s="2" t="str">
        <f>"44103004"</f>
        <v>44103004</v>
      </c>
      <c r="J408" s="10" t="s">
        <v>96</v>
      </c>
    </row>
    <row r="409" spans="1:10" ht="89.25">
      <c r="A409" s="9" t="s">
        <v>27</v>
      </c>
      <c r="B409" s="2" t="s">
        <v>31</v>
      </c>
      <c r="C409" s="2">
        <v>3204</v>
      </c>
      <c r="D409" s="2">
        <v>723</v>
      </c>
      <c r="E409" s="2" t="str">
        <f>"1000000439"</f>
        <v>1000000439</v>
      </c>
      <c r="F409" s="4" t="str">
        <f>"TONER:HP Item # Q2612A-HEW, Black Toner (Yld 2000) for HP All-in-One Printers 3015, 3020, 3030, 3050, 3052, 3055, LaserJet M1319f mfp and HP Laser Printers LaserJet 1010, 1012, 1018, 1020, 1022 Series, 3015, 3020, 3030, 3050, 3052, 3055"</f>
        <v>TONER:HP Item # Q2612A-HEW, Black Toner (Yld 2000) for HP All-in-One Printers 3015, 3020, 3030, 3050, 3052, 3055, LaserJet M1319f mfp and HP Laser Printers LaserJet 1010, 1012, 1018, 1020, 1022 Series, 3015, 3020, 3030, 3050, 3052, 3055</v>
      </c>
      <c r="G409" s="74" t="str">
        <f t="shared" ref="G409:G428" si="19">"EA"</f>
        <v>EA</v>
      </c>
      <c r="H409" s="7">
        <v>79.989999999999995</v>
      </c>
      <c r="I409" s="2" t="str">
        <f t="shared" ref="I409:I419" si="20">"44103103"</f>
        <v>44103103</v>
      </c>
      <c r="J409" s="10" t="s">
        <v>99</v>
      </c>
    </row>
    <row r="410" spans="1:10" ht="38.25">
      <c r="A410" s="9" t="s">
        <v>27</v>
      </c>
      <c r="B410" s="2" t="s">
        <v>31</v>
      </c>
      <c r="C410" s="2">
        <v>3204</v>
      </c>
      <c r="D410" s="2">
        <v>623</v>
      </c>
      <c r="E410" s="2" t="str">
        <f>"1000000440"</f>
        <v>1000000440</v>
      </c>
      <c r="F410" s="4" t="str">
        <f>"TONER:HP Item # C4092A-HEW, HP:1100/1100A Series Ultra Precise Toner for Hewlett Packard Printers (yld 2.5k)"</f>
        <v>TONER:HP Item # C4092A-HEW, HP:1100/1100A Series Ultra Precise Toner for Hewlett Packard Printers (yld 2.5k)</v>
      </c>
      <c r="G410" s="74" t="str">
        <f t="shared" si="19"/>
        <v>EA</v>
      </c>
      <c r="H410" s="7">
        <v>77.989999999999995</v>
      </c>
      <c r="I410" s="2" t="str">
        <f t="shared" si="20"/>
        <v>44103103</v>
      </c>
      <c r="J410" s="10" t="s">
        <v>99</v>
      </c>
    </row>
    <row r="411" spans="1:10" ht="38.25">
      <c r="A411" s="9" t="s">
        <v>27</v>
      </c>
      <c r="B411" s="2" t="s">
        <v>31</v>
      </c>
      <c r="C411" s="2">
        <v>3204</v>
      </c>
      <c r="D411" s="2">
        <v>659</v>
      </c>
      <c r="E411" s="2" t="str">
        <f>"1000000441"</f>
        <v>1000000441</v>
      </c>
      <c r="F411" s="4" t="str">
        <f>"TONER:HP Item # C7115A-HEW, Toner for Hewlett Packard Printers 1200/1220 Series (yield 2.4k)"</f>
        <v>TONER:HP Item # C7115A-HEW, Toner for Hewlett Packard Printers 1200/1220 Series (yield 2.4k)</v>
      </c>
      <c r="G411" s="74" t="str">
        <f t="shared" si="19"/>
        <v>EA</v>
      </c>
      <c r="H411" s="7">
        <v>83.99</v>
      </c>
      <c r="I411" s="2" t="str">
        <f t="shared" si="20"/>
        <v>44103103</v>
      </c>
      <c r="J411" s="10" t="s">
        <v>99</v>
      </c>
    </row>
    <row r="412" spans="1:10" ht="38.25">
      <c r="A412" s="9" t="s">
        <v>27</v>
      </c>
      <c r="B412" s="2" t="s">
        <v>31</v>
      </c>
      <c r="C412" s="2">
        <v>3204</v>
      </c>
      <c r="D412" s="2">
        <v>683</v>
      </c>
      <c r="E412" s="2" t="str">
        <f>"1000000448"</f>
        <v>1000000448</v>
      </c>
      <c r="F412" s="4" t="str">
        <f>"TONER:HP Item # C9722A-HEW, Yellow Toner for Hewlett Packard Printers Color LaserJet 4600 (Yld 8k)"</f>
        <v>TONER:HP Item # C9722A-HEW, Yellow Toner for Hewlett Packard Printers Color LaserJet 4600 (Yld 8k)</v>
      </c>
      <c r="G412" s="74" t="str">
        <f t="shared" si="19"/>
        <v>EA</v>
      </c>
      <c r="H412" s="7">
        <v>274.99</v>
      </c>
      <c r="I412" s="2" t="str">
        <f t="shared" si="20"/>
        <v>44103103</v>
      </c>
      <c r="J412" s="10" t="s">
        <v>99</v>
      </c>
    </row>
    <row r="413" spans="1:10" ht="51">
      <c r="A413" s="9" t="s">
        <v>27</v>
      </c>
      <c r="B413" s="2" t="s">
        <v>31</v>
      </c>
      <c r="C413" s="2">
        <v>3204</v>
      </c>
      <c r="D413" s="2">
        <v>599</v>
      </c>
      <c r="E413" s="2" t="str">
        <f>"1000000451"</f>
        <v>1000000451</v>
      </c>
      <c r="F413" s="4" t="str">
        <f>"TONER:HP Item # 92298A-HEW, LaserJet printer cartridge for Hewlett Packard Printers, HP 4/4M/4 Plus/4M Plus/5/5M/5N/ (yld 6.8k)"</f>
        <v>TONER:HP Item # 92298A-HEW, LaserJet printer cartridge for Hewlett Packard Printers, HP 4/4M/4 Plus/4M Plus/5/5M/5N/ (yld 6.8k)</v>
      </c>
      <c r="G413" s="74" t="str">
        <f t="shared" si="19"/>
        <v>EA</v>
      </c>
      <c r="H413" s="7">
        <v>131.99</v>
      </c>
      <c r="I413" s="2" t="str">
        <f t="shared" si="20"/>
        <v>44103103</v>
      </c>
      <c r="J413" s="10" t="s">
        <v>99</v>
      </c>
    </row>
    <row r="414" spans="1:10" ht="38.25">
      <c r="A414" s="9" t="s">
        <v>27</v>
      </c>
      <c r="B414" s="2" t="s">
        <v>31</v>
      </c>
      <c r="C414" s="2">
        <v>3204</v>
      </c>
      <c r="D414" s="2">
        <v>583</v>
      </c>
      <c r="E414" s="2" t="str">
        <f>"1000000452"</f>
        <v>1000000452</v>
      </c>
      <c r="F414" s="4" t="str">
        <f>"TONER:DEL Item # 1700-BC, Brand Compatible Black Toner for Dell Printers DELL P1700 (Yld 6k)"</f>
        <v>TONER:DEL Item # 1700-BC, Brand Compatible Black Toner for Dell Printers DELL P1700 (Yld 6k)</v>
      </c>
      <c r="G414" s="74" t="str">
        <f t="shared" si="19"/>
        <v>EA</v>
      </c>
      <c r="H414" s="7">
        <v>103</v>
      </c>
      <c r="I414" s="2" t="str">
        <f t="shared" si="20"/>
        <v>44103103</v>
      </c>
      <c r="J414" s="10" t="s">
        <v>99</v>
      </c>
    </row>
    <row r="415" spans="1:10" ht="51">
      <c r="A415" s="9" t="s">
        <v>27</v>
      </c>
      <c r="B415" s="2" t="s">
        <v>31</v>
      </c>
      <c r="C415" s="2">
        <v>3204</v>
      </c>
      <c r="D415" s="2">
        <v>781</v>
      </c>
      <c r="E415" s="2" t="str">
        <f>"1000000463"</f>
        <v>1000000463</v>
      </c>
      <c r="F415" s="4" t="str">
        <f>"TONER:HP Item # Q7581A-HEW,HP ColorSphere Cyan laser toner cartridge designed for the HP Color LaserJet 3800 laser toner printers (Yld 6k)"</f>
        <v>TONER:HP Item # Q7581A-HEW,HP ColorSphere Cyan laser toner cartridge designed for the HP Color LaserJet 3800 laser toner printers (Yld 6k)</v>
      </c>
      <c r="G415" s="74" t="str">
        <f t="shared" si="19"/>
        <v>EA</v>
      </c>
      <c r="H415" s="7">
        <v>192.99</v>
      </c>
      <c r="I415" s="2" t="str">
        <f t="shared" si="20"/>
        <v>44103103</v>
      </c>
      <c r="J415" s="10" t="s">
        <v>99</v>
      </c>
    </row>
    <row r="416" spans="1:10" ht="51">
      <c r="A416" s="9" t="s">
        <v>27</v>
      </c>
      <c r="B416" s="2" t="s">
        <v>31</v>
      </c>
      <c r="C416" s="2">
        <v>3204</v>
      </c>
      <c r="D416" s="2">
        <v>602</v>
      </c>
      <c r="E416" s="2" t="str">
        <f>"1000000469"</f>
        <v>1000000469</v>
      </c>
      <c r="F416" s="4" t="str">
        <f>"TONER:HP Item # 92298X-BC, Brand compatible, black toner for Hewlett Packard Printers, 4/4M/4+/4M+/5/5M/5N (yld 8.8k)"</f>
        <v>TONER:HP Item # 92298X-BC, Brand compatible, black toner for Hewlett Packard Printers, 4/4M/4+/4M+/5/5M/5N (yld 8.8k)</v>
      </c>
      <c r="G416" s="74" t="str">
        <f t="shared" si="19"/>
        <v>EA</v>
      </c>
      <c r="H416" s="7">
        <v>63</v>
      </c>
      <c r="I416" s="2" t="str">
        <f t="shared" si="20"/>
        <v>44103103</v>
      </c>
      <c r="J416" s="10" t="s">
        <v>99</v>
      </c>
    </row>
    <row r="417" spans="1:10" ht="38.25">
      <c r="A417" s="9" t="s">
        <v>27</v>
      </c>
      <c r="B417" s="2" t="s">
        <v>31</v>
      </c>
      <c r="C417" s="2">
        <v>3204</v>
      </c>
      <c r="D417" s="2">
        <v>630</v>
      </c>
      <c r="E417" s="2" t="str">
        <f>"1000000470"</f>
        <v>1000000470</v>
      </c>
      <c r="F417" s="4" t="str">
        <f>"TONER:HP Item # C4127X-BC, Brand compatible Toner for Hewlett Packard Printers 4000 Series (yld 10k)"</f>
        <v>TONER:HP Item # C4127X-BC, Brand compatible Toner for Hewlett Packard Printers 4000 Series (yld 10k)</v>
      </c>
      <c r="G417" s="74" t="str">
        <f t="shared" si="19"/>
        <v>EA</v>
      </c>
      <c r="H417" s="7">
        <v>91</v>
      </c>
      <c r="I417" s="2" t="str">
        <f t="shared" si="20"/>
        <v>44103103</v>
      </c>
      <c r="J417" s="10" t="s">
        <v>99</v>
      </c>
    </row>
    <row r="418" spans="1:10" ht="38.25">
      <c r="A418" s="9" t="s">
        <v>27</v>
      </c>
      <c r="B418" s="2" t="s">
        <v>31</v>
      </c>
      <c r="C418" s="2">
        <v>3204</v>
      </c>
      <c r="D418" s="2">
        <v>664</v>
      </c>
      <c r="E418" s="2" t="str">
        <f>"1000000471"</f>
        <v>1000000471</v>
      </c>
      <c r="F418" s="4" t="str">
        <f>"TONER:HP Item # C8061X-BC, Brand compatible Toner for Hewlett Packard Printers 4100 Series Toner (Yld 10k)"</f>
        <v>TONER:HP Item # C8061X-BC, Brand compatible Toner for Hewlett Packard Printers 4100 Series Toner (Yld 10k)</v>
      </c>
      <c r="G418" s="74" t="str">
        <f t="shared" si="19"/>
        <v>EA</v>
      </c>
      <c r="H418" s="7">
        <v>104</v>
      </c>
      <c r="I418" s="2" t="str">
        <f t="shared" si="20"/>
        <v>44103103</v>
      </c>
      <c r="J418" s="10" t="s">
        <v>99</v>
      </c>
    </row>
    <row r="419" spans="1:10" ht="38.25">
      <c r="A419" s="9" t="s">
        <v>27</v>
      </c>
      <c r="B419" s="2" t="s">
        <v>31</v>
      </c>
      <c r="C419" s="2">
        <v>3204</v>
      </c>
      <c r="D419" s="2">
        <v>615</v>
      </c>
      <c r="E419" s="2" t="str">
        <f>"1000000472"</f>
        <v>1000000472</v>
      </c>
      <c r="F419" s="4" t="str">
        <f>"TONER:HP Item # C3909A-BC, Brand compatible, black Toner for Hewlett Packard Printers, 5SI MX (yld 15k)"</f>
        <v>TONER:HP Item # C3909A-BC, Brand compatible, black Toner for Hewlett Packard Printers, 5SI MX (yld 15k)</v>
      </c>
      <c r="G419" s="74" t="str">
        <f t="shared" si="19"/>
        <v>EA</v>
      </c>
      <c r="H419" s="7">
        <v>135</v>
      </c>
      <c r="I419" s="2" t="str">
        <f t="shared" si="20"/>
        <v>44103103</v>
      </c>
      <c r="J419" s="10" t="s">
        <v>99</v>
      </c>
    </row>
    <row r="420" spans="1:10" ht="51">
      <c r="A420" s="9" t="s">
        <v>27</v>
      </c>
      <c r="B420" s="2" t="s">
        <v>31</v>
      </c>
      <c r="C420" s="2">
        <v>3204</v>
      </c>
      <c r="D420" s="2">
        <v>305</v>
      </c>
      <c r="E420" s="2" t="str">
        <f>"1000000504"</f>
        <v>1000000504</v>
      </c>
      <c r="F420" s="4" t="str">
        <f>"INK CART:HP Item # C9360AN-HEW, No. 102 Photo Gray Inkjet Cartridge designed for the HP Photosmart 8750 inkjet printers (23 ml yield)"</f>
        <v>INK CART:HP Item # C9360AN-HEW, No. 102 Photo Gray Inkjet Cartridge designed for the HP Photosmart 8750 inkjet printers (23 ml yield)</v>
      </c>
      <c r="G420" s="74" t="str">
        <f t="shared" si="19"/>
        <v>EA</v>
      </c>
      <c r="H420" s="7">
        <v>33.99</v>
      </c>
      <c r="I420" s="2" t="str">
        <f t="shared" ref="I420:I426" si="21">"44103105"</f>
        <v>44103105</v>
      </c>
      <c r="J420" s="10" t="s">
        <v>98</v>
      </c>
    </row>
    <row r="421" spans="1:10" ht="51">
      <c r="A421" s="9" t="s">
        <v>27</v>
      </c>
      <c r="B421" s="2" t="s">
        <v>31</v>
      </c>
      <c r="C421" s="2">
        <v>3204</v>
      </c>
      <c r="D421" s="2">
        <v>203</v>
      </c>
      <c r="E421" s="2" t="str">
        <f>"1000000511"</f>
        <v>1000000511</v>
      </c>
      <c r="F421" s="4" t="str">
        <f>"INK CART:EPS Item # T079620-EPS, Epson magenta high capacity inkjet cartridge designed for the Epson Stylus Photo 1400 inkjet printers"</f>
        <v>INK CART:EPS Item # T079620-EPS, Epson magenta high capacity inkjet cartridge designed for the Epson Stylus Photo 1400 inkjet printers</v>
      </c>
      <c r="G421" s="74" t="str">
        <f t="shared" si="19"/>
        <v>EA</v>
      </c>
      <c r="H421" s="7">
        <v>22.32</v>
      </c>
      <c r="I421" s="2" t="str">
        <f t="shared" si="21"/>
        <v>44103105</v>
      </c>
      <c r="J421" s="10" t="s">
        <v>98</v>
      </c>
    </row>
    <row r="422" spans="1:10" ht="51">
      <c r="A422" s="9" t="s">
        <v>27</v>
      </c>
      <c r="B422" s="2" t="s">
        <v>31</v>
      </c>
      <c r="C422" s="2">
        <v>3204</v>
      </c>
      <c r="D422" s="2">
        <v>189</v>
      </c>
      <c r="E422" s="2" t="str">
        <f>"1000000512"</f>
        <v>1000000512</v>
      </c>
      <c r="F422" s="4" t="str">
        <f>"INK CART:EPS Item # T069120-EPS, Ultra Black ink, smudge, fade and water resistant for the Epson CX5000 and CX6000 inkjet printers."</f>
        <v>INK CART:EPS Item # T069120-EPS, Ultra Black ink, smudge, fade and water resistant for the Epson CX5000 and CX6000 inkjet printers.</v>
      </c>
      <c r="G422" s="74" t="str">
        <f t="shared" si="19"/>
        <v>EA</v>
      </c>
      <c r="H422" s="7">
        <v>17.72</v>
      </c>
      <c r="I422" s="2" t="str">
        <f t="shared" si="21"/>
        <v>44103105</v>
      </c>
      <c r="J422" s="10" t="s">
        <v>98</v>
      </c>
    </row>
    <row r="423" spans="1:10" ht="38.25">
      <c r="A423" s="9" t="s">
        <v>27</v>
      </c>
      <c r="B423" s="2" t="s">
        <v>31</v>
      </c>
      <c r="C423" s="2">
        <v>3204</v>
      </c>
      <c r="D423" s="2">
        <v>122</v>
      </c>
      <c r="E423" s="2" t="str">
        <f>"1000000513"</f>
        <v>1000000513</v>
      </c>
      <c r="F423" s="4" t="str">
        <f>"INK CART:EPS Item # S020118-EPS, Black ink cartridge for Epson Printers Stylus Color 3000/Pro 5000 (Yld 3.2k)"</f>
        <v>INK CART:EPS Item # S020118-EPS, Black ink cartridge for Epson Printers Stylus Color 3000/Pro 5000 (Yld 3.2k)</v>
      </c>
      <c r="G423" s="74" t="str">
        <f t="shared" si="19"/>
        <v>EA</v>
      </c>
      <c r="H423" s="7">
        <v>65</v>
      </c>
      <c r="I423" s="2" t="str">
        <f t="shared" si="21"/>
        <v>44103105</v>
      </c>
      <c r="J423" s="10" t="s">
        <v>98</v>
      </c>
    </row>
    <row r="424" spans="1:10" ht="38.25">
      <c r="A424" s="9" t="s">
        <v>27</v>
      </c>
      <c r="B424" s="2" t="s">
        <v>31</v>
      </c>
      <c r="C424" s="2">
        <v>3204</v>
      </c>
      <c r="D424" s="2">
        <v>124</v>
      </c>
      <c r="E424" s="2" t="str">
        <f>"1000000514"</f>
        <v>1000000514</v>
      </c>
      <c r="F424" s="4" t="str">
        <f>"INK CART:EPS Item # S020126-EPS, Magenta Ink cartridges for Epson Printers Stylus Color 3000/Pro 5000 (Yld 2.1k)"</f>
        <v>INK CART:EPS Item # S020126-EPS, Magenta Ink cartridges for Epson Printers Stylus Color 3000/Pro 5000 (Yld 2.1k)</v>
      </c>
      <c r="G424" s="74" t="str">
        <f t="shared" si="19"/>
        <v>EA</v>
      </c>
      <c r="H424" s="7">
        <v>65</v>
      </c>
      <c r="I424" s="2" t="str">
        <f t="shared" si="21"/>
        <v>44103105</v>
      </c>
      <c r="J424" s="10" t="s">
        <v>98</v>
      </c>
    </row>
    <row r="425" spans="1:10" ht="38.25">
      <c r="A425" s="9" t="s">
        <v>27</v>
      </c>
      <c r="B425" s="2" t="s">
        <v>31</v>
      </c>
      <c r="C425" s="2">
        <v>3204</v>
      </c>
      <c r="D425" s="2">
        <v>145</v>
      </c>
      <c r="E425" s="2" t="str">
        <f>"1000000515"</f>
        <v>1000000515</v>
      </c>
      <c r="F425" s="4" t="str">
        <f>"INK CART:EPS Item # T034120-EPS. Photo Black Ink for Epson Printers Stylus Photo 2200 (Yld 628)"</f>
        <v>INK CART:EPS Item # T034120-EPS. Photo Black Ink for Epson Printers Stylus Photo 2200 (Yld 628)</v>
      </c>
      <c r="G425" s="74" t="str">
        <f t="shared" si="19"/>
        <v>EA</v>
      </c>
      <c r="H425" s="7">
        <v>11</v>
      </c>
      <c r="I425" s="2" t="str">
        <f t="shared" si="21"/>
        <v>44103105</v>
      </c>
      <c r="J425" s="10" t="s">
        <v>98</v>
      </c>
    </row>
    <row r="426" spans="1:10" ht="25.5">
      <c r="A426" s="9" t="s">
        <v>27</v>
      </c>
      <c r="B426" s="2" t="s">
        <v>31</v>
      </c>
      <c r="C426" s="2">
        <v>3204</v>
      </c>
      <c r="D426" s="2">
        <v>198</v>
      </c>
      <c r="E426" s="2" t="str">
        <f>"1000000523"</f>
        <v>1000000523</v>
      </c>
      <c r="F426" s="4" t="str">
        <f>"INK CART:EPS Item # T079120-EPS, Epson black stylus photo 1400 high capacity ink"</f>
        <v>INK CART:EPS Item # T079120-EPS, Epson black stylus photo 1400 high capacity ink</v>
      </c>
      <c r="G426" s="74" t="str">
        <f t="shared" si="19"/>
        <v>EA</v>
      </c>
      <c r="H426" s="7">
        <v>19</v>
      </c>
      <c r="I426" s="2" t="str">
        <f t="shared" si="21"/>
        <v>44103105</v>
      </c>
      <c r="J426" s="10" t="s">
        <v>98</v>
      </c>
    </row>
    <row r="427" spans="1:10" ht="25.5">
      <c r="A427" s="9" t="s">
        <v>27</v>
      </c>
      <c r="B427" s="2" t="s">
        <v>31</v>
      </c>
      <c r="C427" s="2">
        <v>3204</v>
      </c>
      <c r="D427" s="2">
        <v>728</v>
      </c>
      <c r="E427" s="2" t="str">
        <f>"1000000543"</f>
        <v>1000000543</v>
      </c>
      <c r="F427" s="4" t="str">
        <f>"TONER:HP Item # Q2613X-HEW, LaserJet 1300 Smart Print, Black Toner, (Yld 4k)"</f>
        <v>TONER:HP Item # Q2613X-HEW, LaserJet 1300 Smart Print, Black Toner, (Yld 4k)</v>
      </c>
      <c r="G427" s="74" t="str">
        <f t="shared" si="19"/>
        <v>EA</v>
      </c>
      <c r="H427" s="7">
        <v>118.99</v>
      </c>
      <c r="I427" s="2" t="str">
        <f>"44103103"</f>
        <v>44103103</v>
      </c>
      <c r="J427" s="10" t="s">
        <v>99</v>
      </c>
    </row>
    <row r="428" spans="1:10" ht="25.5">
      <c r="A428" s="9" t="s">
        <v>27</v>
      </c>
      <c r="B428" s="2" t="s">
        <v>31</v>
      </c>
      <c r="C428" s="2">
        <v>3204</v>
      </c>
      <c r="D428" s="2">
        <v>726</v>
      </c>
      <c r="E428" s="2" t="str">
        <f>"1000000553"</f>
        <v>1000000553</v>
      </c>
      <c r="F428" s="4" t="str">
        <f>"TONER:HP Item # Q2613A-HEW, LaserJet 1300 Smart Print Toner (Yld 2.5k)"</f>
        <v>TONER:HP Item # Q2613A-HEW, LaserJet 1300 Smart Print Toner (Yld 2.5k)</v>
      </c>
      <c r="G428" s="74" t="str">
        <f t="shared" si="19"/>
        <v>EA</v>
      </c>
      <c r="H428" s="7">
        <v>93.99</v>
      </c>
      <c r="I428" s="2" t="str">
        <f>"44103103"</f>
        <v>44103103</v>
      </c>
      <c r="J428" s="10" t="s">
        <v>99</v>
      </c>
    </row>
    <row r="429" spans="1:10" ht="63.75">
      <c r="A429" s="9" t="s">
        <v>27</v>
      </c>
      <c r="B429" s="2" t="s">
        <v>31</v>
      </c>
      <c r="C429" s="2">
        <v>3204</v>
      </c>
      <c r="D429" s="2">
        <v>413</v>
      </c>
      <c r="E429" s="2" t="str">
        <f>"1000000565"</f>
        <v>1000000565</v>
      </c>
      <c r="F429" s="4" t="str">
        <f>"MAINTEN. KIT: HP Item # Q5421A-HEW, HP maintenance kit. HP LaserJet 4250/4350 Series Printer includes fusing assembly, separation, transfer and feed roller for Tray 1, 2 feed rollers for 500 sheet tray."</f>
        <v>MAINTEN. KIT: HP Item # Q5421A-HEW, HP maintenance kit. HP LaserJet 4250/4350 Series Printer includes fusing assembly, separation, transfer and feed roller for Tray 1, 2 feed rollers for 500 sheet tray.</v>
      </c>
      <c r="G429" s="74" t="str">
        <f>"KT"</f>
        <v>KT</v>
      </c>
      <c r="H429" s="7">
        <v>308</v>
      </c>
      <c r="I429" s="2" t="str">
        <f>"44103125"</f>
        <v>44103125</v>
      </c>
      <c r="J429" s="10" t="s">
        <v>101</v>
      </c>
    </row>
    <row r="430" spans="1:10" ht="38.25">
      <c r="A430" s="9" t="s">
        <v>27</v>
      </c>
      <c r="B430" s="2" t="s">
        <v>31</v>
      </c>
      <c r="C430" s="2">
        <v>3204</v>
      </c>
      <c r="D430" s="2">
        <v>677</v>
      </c>
      <c r="E430" s="2" t="str">
        <f>"1000000572"</f>
        <v>1000000572</v>
      </c>
      <c r="F430" s="4" t="str">
        <f>"TONER:HP Item # C9703A-HEW, Magenta Toner for Hewlett Packard Printers HP LaserJet 2500 Smart Print (Yld 5k)"</f>
        <v>TONER:HP Item # C9703A-HEW, Magenta Toner for Hewlett Packard Printers HP LaserJet 2500 Smart Print (Yld 5k)</v>
      </c>
      <c r="G430" s="74" t="str">
        <f>"EA"</f>
        <v>EA</v>
      </c>
      <c r="H430" s="7">
        <v>112.99</v>
      </c>
      <c r="I430" s="2" t="str">
        <f>"44103103"</f>
        <v>44103103</v>
      </c>
      <c r="J430" s="10" t="s">
        <v>99</v>
      </c>
    </row>
    <row r="431" spans="1:10" ht="25.5">
      <c r="A431" s="9" t="s">
        <v>27</v>
      </c>
      <c r="B431" s="2" t="s">
        <v>31</v>
      </c>
      <c r="C431" s="2">
        <v>3204</v>
      </c>
      <c r="D431" s="2">
        <v>390</v>
      </c>
      <c r="E431" s="2" t="str">
        <f>"1000000587"</f>
        <v>1000000587</v>
      </c>
      <c r="F431" s="4" t="str">
        <f>"INK CART:PRI Item # 53324-PRI, Primera Color photo cartridge."</f>
        <v>INK CART:PRI Item # 53324-PRI, Primera Color photo cartridge.</v>
      </c>
      <c r="G431" s="74" t="str">
        <f>"EA"</f>
        <v>EA</v>
      </c>
      <c r="H431" s="7">
        <v>51</v>
      </c>
      <c r="I431" s="2" t="str">
        <f>"44103105"</f>
        <v>44103105</v>
      </c>
      <c r="J431" s="10" t="s">
        <v>98</v>
      </c>
    </row>
    <row r="432" spans="1:10" ht="51">
      <c r="A432" s="9" t="s">
        <v>27</v>
      </c>
      <c r="B432" s="2" t="s">
        <v>31</v>
      </c>
      <c r="C432" s="2">
        <v>3204</v>
      </c>
      <c r="D432" s="2">
        <v>437</v>
      </c>
      <c r="E432" s="2" t="str">
        <f>"1000000606"</f>
        <v>1000000606</v>
      </c>
      <c r="F432" s="4" t="str">
        <f>"PRINTHEAD:HP Item # C4890A-HEW, No. 80 Value Pack, Black (350 ml Ink Ctg, Printhead, Printhead Cleaner), DesignJet 1000 Series"</f>
        <v>PRINTHEAD:HP Item # C4890A-HEW, No. 80 Value Pack, Black (350 ml Ink Ctg, Printhead, Printhead Cleaner), DesignJet 1000 Series</v>
      </c>
      <c r="G432" s="74" t="str">
        <f>"PK"</f>
        <v>PK</v>
      </c>
      <c r="H432" s="7">
        <v>236</v>
      </c>
      <c r="I432" s="2" t="str">
        <f>"44103110"</f>
        <v>44103110</v>
      </c>
      <c r="J432" s="10" t="s">
        <v>102</v>
      </c>
    </row>
    <row r="433" spans="1:10" ht="38.25">
      <c r="A433" s="9" t="s">
        <v>27</v>
      </c>
      <c r="B433" s="2" t="s">
        <v>31</v>
      </c>
      <c r="C433" s="2">
        <v>3204</v>
      </c>
      <c r="D433" s="2">
        <v>438</v>
      </c>
      <c r="E433" s="2" t="str">
        <f>"1000000607"</f>
        <v>1000000607</v>
      </c>
      <c r="F433" s="4" t="str">
        <f>"PRINTHEAD:HP Item # C4891A-HEW, No. 80 Value Pack, Cyan (350 ml Ink Ctg, printhead and printhead cleaner)"</f>
        <v>PRINTHEAD:HP Item # C4891A-HEW, No. 80 Value Pack, Cyan (350 ml Ink Ctg, printhead and printhead cleaner)</v>
      </c>
      <c r="G433" s="74" t="str">
        <f>"PK"</f>
        <v>PK</v>
      </c>
      <c r="H433" s="7">
        <v>246</v>
      </c>
      <c r="I433" s="2" t="str">
        <f>"44103110"</f>
        <v>44103110</v>
      </c>
      <c r="J433" s="10" t="s">
        <v>102</v>
      </c>
    </row>
    <row r="434" spans="1:10" ht="25.5">
      <c r="A434" s="9" t="s">
        <v>27</v>
      </c>
      <c r="B434" s="2" t="s">
        <v>31</v>
      </c>
      <c r="C434" s="2">
        <v>3204</v>
      </c>
      <c r="D434" s="2">
        <v>396</v>
      </c>
      <c r="E434" s="2" t="str">
        <f>"1000000608"</f>
        <v>1000000608</v>
      </c>
      <c r="F434" s="4" t="str">
        <f>"INK CART:XER Item # 108R00607-XER. Xerox Phaser 8400 Yellow Ink, 3 pack"</f>
        <v>INK CART:XER Item # 108R00607-XER. Xerox Phaser 8400 Yellow Ink, 3 pack</v>
      </c>
      <c r="G434" s="74" t="str">
        <f>"PK"</f>
        <v>PK</v>
      </c>
      <c r="H434" s="7">
        <v>136</v>
      </c>
      <c r="I434" s="2" t="str">
        <f>"44103105"</f>
        <v>44103105</v>
      </c>
      <c r="J434" s="10" t="s">
        <v>98</v>
      </c>
    </row>
    <row r="435" spans="1:10" ht="38.25">
      <c r="A435" s="9" t="s">
        <v>27</v>
      </c>
      <c r="B435" s="2" t="s">
        <v>31</v>
      </c>
      <c r="C435" s="2">
        <v>3204</v>
      </c>
      <c r="D435" s="2">
        <v>293</v>
      </c>
      <c r="E435" s="2" t="str">
        <f>"1000000615"</f>
        <v>1000000615</v>
      </c>
      <c r="F435" s="4" t="str">
        <f>"INK CART:HP Item # C8766WN-HEW, No. 95 Tri-Color inkjet cartridge for Hewlett Packard Printers"</f>
        <v>INK CART:HP Item # C8766WN-HEW, No. 95 Tri-Color inkjet cartridge for Hewlett Packard Printers</v>
      </c>
      <c r="G435" s="74" t="str">
        <f t="shared" ref="G435:G445" si="22">"EA"</f>
        <v>EA</v>
      </c>
      <c r="H435" s="7">
        <v>31.99</v>
      </c>
      <c r="I435" s="2" t="str">
        <f>"44103105"</f>
        <v>44103105</v>
      </c>
      <c r="J435" s="10" t="s">
        <v>98</v>
      </c>
    </row>
    <row r="436" spans="1:10" ht="63.75">
      <c r="A436" s="9" t="s">
        <v>27</v>
      </c>
      <c r="B436" s="2" t="s">
        <v>31</v>
      </c>
      <c r="C436" s="2">
        <v>3204</v>
      </c>
      <c r="D436" s="2">
        <v>309</v>
      </c>
      <c r="E436" s="2" t="str">
        <f>"1000000616"</f>
        <v>1000000616</v>
      </c>
      <c r="F436" s="4" t="str">
        <f>"INK CART:HP Item # C9364WN-HEW,Hewlett Packard #98 Black ink for HP Printers Officejet, PhotoSmart, DeskJet, Photo Printers, Photosmart and Portable Printers."</f>
        <v>INK CART:HP Item # C9364WN-HEW,Hewlett Packard #98 Black ink for HP Printers Officejet, PhotoSmart, DeskJet, Photo Printers, Photosmart and Portable Printers.</v>
      </c>
      <c r="G436" s="74" t="str">
        <f t="shared" si="22"/>
        <v>EA</v>
      </c>
      <c r="H436" s="7">
        <v>25.99</v>
      </c>
      <c r="I436" s="2" t="str">
        <f>"44103105"</f>
        <v>44103105</v>
      </c>
      <c r="J436" s="10" t="s">
        <v>98</v>
      </c>
    </row>
    <row r="437" spans="1:10" ht="51">
      <c r="A437" s="9" t="s">
        <v>27</v>
      </c>
      <c r="B437" s="2" t="s">
        <v>31</v>
      </c>
      <c r="C437" s="2">
        <v>3204</v>
      </c>
      <c r="D437" s="2">
        <v>621</v>
      </c>
      <c r="E437" s="2" t="str">
        <f>"1000000623"</f>
        <v>1000000623</v>
      </c>
      <c r="F437" s="4" t="str">
        <f>"TONER:HP Item # C4092A-BC, Brand compatible, 1100/1100A Series Ultra Precise Toner for Hewlett Packard Printers, (yld 2.5k)"</f>
        <v>TONER:HP Item # C4092A-BC, Brand compatible, 1100/1100A Series Ultra Precise Toner for Hewlett Packard Printers, (yld 2.5k)</v>
      </c>
      <c r="G437" s="74" t="str">
        <f t="shared" si="22"/>
        <v>EA</v>
      </c>
      <c r="H437" s="7">
        <v>46</v>
      </c>
      <c r="I437" s="2" t="str">
        <f>"44103103"</f>
        <v>44103103</v>
      </c>
      <c r="J437" s="10" t="s">
        <v>99</v>
      </c>
    </row>
    <row r="438" spans="1:10" ht="38.25">
      <c r="A438" s="9" t="s">
        <v>27</v>
      </c>
      <c r="B438" s="2" t="s">
        <v>31</v>
      </c>
      <c r="C438" s="2">
        <v>3204</v>
      </c>
      <c r="D438" s="2">
        <v>610</v>
      </c>
      <c r="E438" s="2" t="str">
        <f>"1000000631"</f>
        <v>1000000631</v>
      </c>
      <c r="F438" s="4" t="str">
        <f>"TONER:HP Item # C3903A-HEW, Black Toner for Hewlett Packard Printers HP 5P/5MP/6P/6MP VX (Yld 4k)"</f>
        <v>TONER:HP Item # C3903A-HEW, Black Toner for Hewlett Packard Printers HP 5P/5MP/6P/6MP VX (Yld 4k)</v>
      </c>
      <c r="G438" s="74" t="str">
        <f t="shared" si="22"/>
        <v>EA</v>
      </c>
      <c r="H438" s="7">
        <v>111.16</v>
      </c>
      <c r="I438" s="2" t="str">
        <f>"44103103"</f>
        <v>44103103</v>
      </c>
      <c r="J438" s="10" t="s">
        <v>99</v>
      </c>
    </row>
    <row r="439" spans="1:10" ht="38.25">
      <c r="A439" s="9" t="s">
        <v>27</v>
      </c>
      <c r="B439" s="2" t="s">
        <v>31</v>
      </c>
      <c r="C439" s="2">
        <v>3204</v>
      </c>
      <c r="D439" s="2">
        <v>617</v>
      </c>
      <c r="E439" s="2" t="str">
        <f>"1000000632"</f>
        <v>1000000632</v>
      </c>
      <c r="F439" s="4" t="str">
        <f>"TONER:HP Item # C3909A-HEW, Black Toner for Hewlett Packard Printers HP 5SI MX (yield 15k)"</f>
        <v>TONER:HP Item # C3909A-HEW, Black Toner for Hewlett Packard Printers HP 5SI MX (yield 15k)</v>
      </c>
      <c r="G439" s="74" t="str">
        <f t="shared" si="22"/>
        <v>EA</v>
      </c>
      <c r="H439" s="7">
        <v>205</v>
      </c>
      <c r="I439" s="2" t="str">
        <f>"44103103"</f>
        <v>44103103</v>
      </c>
      <c r="J439" s="10" t="s">
        <v>99</v>
      </c>
    </row>
    <row r="440" spans="1:10" ht="38.25">
      <c r="A440" s="9" t="s">
        <v>27</v>
      </c>
      <c r="B440" s="2" t="s">
        <v>31</v>
      </c>
      <c r="C440" s="2">
        <v>3204</v>
      </c>
      <c r="D440" s="2">
        <v>675</v>
      </c>
      <c r="E440" s="2" t="str">
        <f>"1000000645"</f>
        <v>1000000645</v>
      </c>
      <c r="F440" s="4" t="str">
        <f>"TONER:HP Item # C9701A-HEW, Cyan Toner for Hewlett Packard Printers HP LaserJet 2500 Smart Print (Yld 5k)"</f>
        <v>TONER:HP Item # C9701A-HEW, Cyan Toner for Hewlett Packard Printers HP LaserJet 2500 Smart Print (Yld 5k)</v>
      </c>
      <c r="G440" s="74" t="str">
        <f t="shared" si="22"/>
        <v>EA</v>
      </c>
      <c r="H440" s="7">
        <v>112.99</v>
      </c>
      <c r="I440" s="2" t="str">
        <f>"44103103"</f>
        <v>44103103</v>
      </c>
      <c r="J440" s="10" t="s">
        <v>99</v>
      </c>
    </row>
    <row r="441" spans="1:10" ht="38.25">
      <c r="A441" s="9" t="s">
        <v>27</v>
      </c>
      <c r="B441" s="2" t="s">
        <v>31</v>
      </c>
      <c r="C441" s="2">
        <v>3204</v>
      </c>
      <c r="D441" s="2">
        <v>676</v>
      </c>
      <c r="E441" s="2" t="str">
        <f>"1000000646"</f>
        <v>1000000646</v>
      </c>
      <c r="F441" s="4" t="str">
        <f>"TONER:HP Item # C9702A-HEW, Yellow Toner for Hewlett Packard Printers HP LaserJet 2500 Smart Print (Yld 5k)"</f>
        <v>TONER:HP Item # C9702A-HEW, Yellow Toner for Hewlett Packard Printers HP LaserJet 2500 Smart Print (Yld 5k)</v>
      </c>
      <c r="G441" s="74" t="str">
        <f t="shared" si="22"/>
        <v>EA</v>
      </c>
      <c r="H441" s="7">
        <v>112.99</v>
      </c>
      <c r="I441" s="2" t="str">
        <f>"44103103"</f>
        <v>44103103</v>
      </c>
      <c r="J441" s="10" t="s">
        <v>99</v>
      </c>
    </row>
    <row r="442" spans="1:10" ht="51">
      <c r="A442" s="9" t="s">
        <v>27</v>
      </c>
      <c r="B442" s="2" t="s">
        <v>31</v>
      </c>
      <c r="C442" s="2">
        <v>3204</v>
      </c>
      <c r="D442" s="2">
        <v>202</v>
      </c>
      <c r="E442" s="2" t="str">
        <f>"1000000650"</f>
        <v>1000000650</v>
      </c>
      <c r="F442" s="4" t="str">
        <f>"INK CART:EPS Item # T079520-EPS, Epson Cyan high capacity inkjet cartridge designed for the Epson Stylus Photo 1400 inkjet printers"</f>
        <v>INK CART:EPS Item # T079520-EPS, Epson Cyan high capacity inkjet cartridge designed for the Epson Stylus Photo 1400 inkjet printers</v>
      </c>
      <c r="G442" s="74" t="str">
        <f t="shared" si="22"/>
        <v>EA</v>
      </c>
      <c r="H442" s="7">
        <v>22.32</v>
      </c>
      <c r="I442" s="2" t="str">
        <f>"44103105"</f>
        <v>44103105</v>
      </c>
      <c r="J442" s="10" t="s">
        <v>98</v>
      </c>
    </row>
    <row r="443" spans="1:10" ht="51">
      <c r="A443" s="9" t="s">
        <v>27</v>
      </c>
      <c r="B443" s="2" t="s">
        <v>31</v>
      </c>
      <c r="C443" s="2">
        <v>3204</v>
      </c>
      <c r="D443" s="2">
        <v>644</v>
      </c>
      <c r="E443" s="2" t="str">
        <f>"1000000663"</f>
        <v>1000000663</v>
      </c>
      <c r="F443" s="4" t="str">
        <f>"TONER:HP Item # C4182X-BC, Brand Compatible Toner for Hewlett Packard Printers HP 8100/N/DN Series Ultra Precise toner cartridge (Yld 20k)"</f>
        <v>TONER:HP Item # C4182X-BC, Brand Compatible Toner for Hewlett Packard Printers HP 8100/N/DN Series Ultra Precise toner cartridge (Yld 20k)</v>
      </c>
      <c r="G443" s="74" t="str">
        <f t="shared" si="22"/>
        <v>EA</v>
      </c>
      <c r="H443" s="7">
        <v>145</v>
      </c>
      <c r="I443" s="2" t="str">
        <f>"44103103"</f>
        <v>44103103</v>
      </c>
      <c r="J443" s="10" t="s">
        <v>99</v>
      </c>
    </row>
    <row r="444" spans="1:10" ht="38.25">
      <c r="A444" s="9" t="s">
        <v>27</v>
      </c>
      <c r="B444" s="2" t="s">
        <v>31</v>
      </c>
      <c r="C444" s="2">
        <v>3204</v>
      </c>
      <c r="D444" s="2">
        <v>859</v>
      </c>
      <c r="E444" s="2" t="str">
        <f>"1000000664"</f>
        <v>1000000664</v>
      </c>
      <c r="F444" s="4" t="str">
        <f>"TONER:MIC Item # C4182X-BCM, Brand Compatible for HP LaserJet 8100 MICR Toner (Yld 20k)"</f>
        <v>TONER:MIC Item # C4182X-BCM, Brand Compatible for HP LaserJet 8100 MICR Toner (Yld 20k)</v>
      </c>
      <c r="G444" s="74" t="str">
        <f t="shared" si="22"/>
        <v>EA</v>
      </c>
      <c r="H444" s="7">
        <v>413.12</v>
      </c>
      <c r="I444" s="2" t="str">
        <f>"44103103"</f>
        <v>44103103</v>
      </c>
      <c r="J444" s="10" t="s">
        <v>99</v>
      </c>
    </row>
    <row r="445" spans="1:10" ht="89.25">
      <c r="A445" s="9" t="s">
        <v>27</v>
      </c>
      <c r="B445" s="2" t="s">
        <v>31</v>
      </c>
      <c r="C445" s="2">
        <v>3204</v>
      </c>
      <c r="D445" s="2">
        <v>669</v>
      </c>
      <c r="E445" s="2" t="str">
        <f>"1000000665"</f>
        <v>1000000665</v>
      </c>
      <c r="F445" s="4" t="str">
        <f>"TONER:HP Item # C8543X-HEW, Black Toner for Hewlett Packard Printers for HP All-in-One Printers LaserJet 9040mfp, 9050mfp, M9040mfp, M9050mfp and HP Laser Printers LaserJet 9000 Series, 9040mfp, 9050 Series, 9050mfp, M9040mfp, M9050mfp (yield 30k)"</f>
        <v>TONER:HP Item # C8543X-HEW, Black Toner for Hewlett Packard Printers for HP All-in-One Printers LaserJet 9040mfp, 9050mfp, M9040mfp, M9050mfp and HP Laser Printers LaserJet 9000 Series, 9040mfp, 9050 Series, 9050mfp, M9040mfp, M9050mfp (yield 30k)</v>
      </c>
      <c r="G445" s="74" t="str">
        <f t="shared" si="22"/>
        <v>EA</v>
      </c>
      <c r="H445" s="7">
        <v>305.99</v>
      </c>
      <c r="I445" s="2" t="str">
        <f>"44103103"</f>
        <v>44103103</v>
      </c>
      <c r="J445" s="10" t="s">
        <v>99</v>
      </c>
    </row>
    <row r="446" spans="1:10" ht="38.25">
      <c r="A446" s="9" t="s">
        <v>27</v>
      </c>
      <c r="B446" s="2" t="s">
        <v>31</v>
      </c>
      <c r="C446" s="2">
        <v>3204</v>
      </c>
      <c r="D446" s="2">
        <v>331</v>
      </c>
      <c r="E446" s="2" t="str">
        <f>"1000000671"</f>
        <v>1000000671</v>
      </c>
      <c r="F446" s="4" t="str">
        <f>"INK CART:HP Item #C9435A, Light Magenta No. 85 Ink for DesignJet 30,90, and 130, 3 pk"</f>
        <v>INK CART:HP Item #C9435A, Light Magenta No. 85 Ink for DesignJet 30,90, and 130, 3 pk</v>
      </c>
      <c r="G446" s="74" t="str">
        <f>"PK"</f>
        <v>PK</v>
      </c>
      <c r="H446" s="7">
        <v>103</v>
      </c>
      <c r="I446" s="2" t="str">
        <f>"44103105"</f>
        <v>44103105</v>
      </c>
      <c r="J446" s="10" t="s">
        <v>98</v>
      </c>
    </row>
    <row r="447" spans="1:10" ht="38.25">
      <c r="A447" s="9" t="s">
        <v>27</v>
      </c>
      <c r="B447" s="2" t="s">
        <v>31</v>
      </c>
      <c r="C447" s="2">
        <v>3204</v>
      </c>
      <c r="D447" s="2">
        <v>776</v>
      </c>
      <c r="E447" s="2" t="str">
        <f>"1000000688"</f>
        <v>1000000688</v>
      </c>
      <c r="F447" s="4" t="str">
        <f>"TONER: HP Item # Q7553X-HEW, Black Laser Toner cartridge for P2015,P2015DN, P2015N and P2015X, (7K Yld)"</f>
        <v>TONER: HP Item # Q7553X-HEW, Black Laser Toner cartridge for P2015,P2015DN, P2015N and P2015X, (7K Yld)</v>
      </c>
      <c r="G447" s="74" t="str">
        <f>"EA"</f>
        <v>EA</v>
      </c>
      <c r="H447" s="7">
        <v>167.99</v>
      </c>
      <c r="I447" s="2" t="str">
        <f>"44103103"</f>
        <v>44103103</v>
      </c>
      <c r="J447" s="10" t="s">
        <v>99</v>
      </c>
    </row>
    <row r="448" spans="1:10" ht="25.5">
      <c r="A448" s="9" t="s">
        <v>27</v>
      </c>
      <c r="B448" s="2" t="s">
        <v>31</v>
      </c>
      <c r="C448" s="2">
        <v>3204</v>
      </c>
      <c r="D448" s="2">
        <v>412</v>
      </c>
      <c r="E448" s="2" t="str">
        <f>"1000000705"</f>
        <v>1000000705</v>
      </c>
      <c r="F448" s="4" t="str">
        <f>"MAINT. KIT:HP Item # Q2429A-HEW, LaserJet 2300 Maintenance Kit, 110V"</f>
        <v>MAINT. KIT:HP Item # Q2429A-HEW, LaserJet 2300 Maintenance Kit, 110V</v>
      </c>
      <c r="G448" s="74" t="str">
        <f>"KT"</f>
        <v>KT</v>
      </c>
      <c r="H448" s="7">
        <v>268</v>
      </c>
      <c r="I448" s="2" t="str">
        <f>"44103125"</f>
        <v>44103125</v>
      </c>
      <c r="J448" s="10" t="s">
        <v>101</v>
      </c>
    </row>
    <row r="449" spans="1:10" ht="51">
      <c r="A449" s="9" t="s">
        <v>27</v>
      </c>
      <c r="B449" s="2" t="s">
        <v>31</v>
      </c>
      <c r="C449" s="2">
        <v>3204</v>
      </c>
      <c r="D449" s="2">
        <v>992</v>
      </c>
      <c r="E449" s="2" t="str">
        <f>"1000000706"</f>
        <v>1000000706</v>
      </c>
      <c r="F449" s="4" t="str">
        <f>"TRANSFER KT:HP Item # C9734B-HEW, Laser Toner Image Transfer Kit for HP Color LaserJet 5500 Laser Toner Printers. (120,000 Page Yield)"</f>
        <v>TRANSFER KT:HP Item # C9734B-HEW, Laser Toner Image Transfer Kit for HP Color LaserJet 5500 Laser Toner Printers. (120,000 Page Yield)</v>
      </c>
      <c r="G449" s="74" t="str">
        <f>"KT"</f>
        <v>KT</v>
      </c>
      <c r="H449" s="7">
        <v>326.64999999999998</v>
      </c>
      <c r="I449" s="2" t="str">
        <f>"44103116"</f>
        <v>44103116</v>
      </c>
      <c r="J449" s="10" t="s">
        <v>109</v>
      </c>
    </row>
    <row r="450" spans="1:10" ht="25.5">
      <c r="A450" s="9" t="s">
        <v>27</v>
      </c>
      <c r="B450" s="2" t="s">
        <v>31</v>
      </c>
      <c r="C450" s="2">
        <v>3204</v>
      </c>
      <c r="D450" s="2">
        <v>733</v>
      </c>
      <c r="E450" s="2" t="str">
        <f>"1000000707"</f>
        <v>1000000707</v>
      </c>
      <c r="F450" s="4" t="str">
        <f>"TONER:HP Item # Q2671A-HEW, Cyan Toner for HP Color LaserJet 3500 (Yld 4k)"</f>
        <v>TONER:HP Item # Q2671A-HEW, Cyan Toner for HP Color LaserJet 3500 (Yld 4k)</v>
      </c>
      <c r="G450" s="74" t="str">
        <f t="shared" ref="G450:G464" si="23">"EA"</f>
        <v>EA</v>
      </c>
      <c r="H450" s="7">
        <v>147.99</v>
      </c>
      <c r="I450" s="2" t="str">
        <f>"44103103"</f>
        <v>44103103</v>
      </c>
      <c r="J450" s="10" t="s">
        <v>99</v>
      </c>
    </row>
    <row r="451" spans="1:10" ht="25.5">
      <c r="A451" s="9" t="s">
        <v>27</v>
      </c>
      <c r="B451" s="2" t="s">
        <v>31</v>
      </c>
      <c r="C451" s="2">
        <v>3204</v>
      </c>
      <c r="D451" s="2">
        <v>735</v>
      </c>
      <c r="E451" s="2" t="str">
        <f>"1000000708"</f>
        <v>1000000708</v>
      </c>
      <c r="F451" s="4" t="str">
        <f>"TONER:HP Item # Q2673A-HEW, Magenta Toner for HP Color LaserJet 3500 (Yld 4k)"</f>
        <v>TONER:HP Item # Q2673A-HEW, Magenta Toner for HP Color LaserJet 3500 (Yld 4k)</v>
      </c>
      <c r="G451" s="74" t="str">
        <f t="shared" si="23"/>
        <v>EA</v>
      </c>
      <c r="H451" s="7">
        <v>147.99</v>
      </c>
      <c r="I451" s="2" t="str">
        <f>"44103103"</f>
        <v>44103103</v>
      </c>
      <c r="J451" s="10" t="s">
        <v>99</v>
      </c>
    </row>
    <row r="452" spans="1:10" ht="25.5">
      <c r="A452" s="9" t="s">
        <v>27</v>
      </c>
      <c r="B452" s="2" t="s">
        <v>31</v>
      </c>
      <c r="C452" s="2">
        <v>3204</v>
      </c>
      <c r="D452" s="2">
        <v>734</v>
      </c>
      <c r="E452" s="2" t="str">
        <f>"1000000709"</f>
        <v>1000000709</v>
      </c>
      <c r="F452" s="4" t="str">
        <f>"TONER:HP Item# Q2672A-HEW Yellow Toner for HP Color LaserJet 3500(Yld 4k)"</f>
        <v>TONER:HP Item# Q2672A-HEW Yellow Toner for HP Color LaserJet 3500(Yld 4k)</v>
      </c>
      <c r="G452" s="74" t="str">
        <f t="shared" si="23"/>
        <v>EA</v>
      </c>
      <c r="H452" s="7">
        <v>147.99</v>
      </c>
      <c r="I452" s="2" t="str">
        <f>"44103103"</f>
        <v>44103103</v>
      </c>
      <c r="J452" s="10" t="s">
        <v>99</v>
      </c>
    </row>
    <row r="453" spans="1:10" ht="38.25">
      <c r="A453" s="9" t="s">
        <v>27</v>
      </c>
      <c r="B453" s="2" t="s">
        <v>31</v>
      </c>
      <c r="C453" s="2">
        <v>3204</v>
      </c>
      <c r="D453" s="2">
        <v>242</v>
      </c>
      <c r="E453" s="2" t="str">
        <f>"1000000721"</f>
        <v>1000000721</v>
      </c>
      <c r="F453" s="4" t="str">
        <f>"INK CART:HP Item # C4846A-HEW, No. 80 Ink Ctg, Cyan, 350ml, DesignJet 1000 Series (Yld 4.4k)"</f>
        <v>INK CART:HP Item # C4846A-HEW, No. 80 Ink Ctg, Cyan, 350ml, DesignJet 1000 Series (Yld 4.4k)</v>
      </c>
      <c r="G453" s="74" t="str">
        <f t="shared" si="23"/>
        <v>EA</v>
      </c>
      <c r="H453" s="7">
        <v>158.99</v>
      </c>
      <c r="I453" s="2" t="str">
        <f>"44103105"</f>
        <v>44103105</v>
      </c>
      <c r="J453" s="10" t="s">
        <v>98</v>
      </c>
    </row>
    <row r="454" spans="1:10" ht="25.5">
      <c r="A454" s="9" t="s">
        <v>27</v>
      </c>
      <c r="B454" s="2" t="s">
        <v>31</v>
      </c>
      <c r="C454" s="2">
        <v>3204</v>
      </c>
      <c r="D454" s="2">
        <v>537</v>
      </c>
      <c r="E454" s="2" t="str">
        <f>"1000000729"</f>
        <v>1000000729</v>
      </c>
      <c r="F454" s="4" t="str">
        <f>"TONER:BRO Item # TN350-BRO, Brother HL-2040/2070N Black toner yld 2.5k"</f>
        <v>TONER:BRO Item # TN350-BRO, Brother HL-2040/2070N Black toner yld 2.5k</v>
      </c>
      <c r="G454" s="74" t="str">
        <f t="shared" si="23"/>
        <v>EA</v>
      </c>
      <c r="H454" s="7">
        <v>72.66</v>
      </c>
      <c r="I454" s="2" t="str">
        <f>"44103103"</f>
        <v>44103103</v>
      </c>
      <c r="J454" s="10" t="s">
        <v>99</v>
      </c>
    </row>
    <row r="455" spans="1:10" ht="25.5">
      <c r="A455" s="9" t="s">
        <v>27</v>
      </c>
      <c r="B455" s="2" t="s">
        <v>31</v>
      </c>
      <c r="C455" s="2">
        <v>3204</v>
      </c>
      <c r="D455" s="2">
        <v>7</v>
      </c>
      <c r="E455" s="2" t="str">
        <f>"1000000730"</f>
        <v>1000000730</v>
      </c>
      <c r="F455" s="4" t="str">
        <f>"DRUM:BRO Item # DR-350-BRT, Brother Drum unit (Yld 12,000) HL2040, HL 2070N"</f>
        <v>DRUM:BRO Item # DR-350-BRT, Brother Drum unit (Yld 12,000) HL2040, HL 2070N</v>
      </c>
      <c r="G455" s="74" t="str">
        <f t="shared" si="23"/>
        <v>EA</v>
      </c>
      <c r="H455" s="7">
        <v>136.66</v>
      </c>
      <c r="I455" s="2" t="str">
        <f>"44103109"</f>
        <v>44103109</v>
      </c>
      <c r="J455" s="10" t="s">
        <v>94</v>
      </c>
    </row>
    <row r="456" spans="1:10" ht="25.5">
      <c r="A456" s="9" t="s">
        <v>27</v>
      </c>
      <c r="B456" s="2" t="s">
        <v>31</v>
      </c>
      <c r="C456" s="2">
        <v>3204</v>
      </c>
      <c r="D456" s="2">
        <v>768</v>
      </c>
      <c r="E456" s="2" t="str">
        <f>"1000000748"</f>
        <v>1000000748</v>
      </c>
      <c r="F456" s="4" t="str">
        <f>"TONER:HP Item # Q6511A-HEW, No. 11 Toner for LaserJet 2400,2420,2430 (Yld 6k)"</f>
        <v>TONER:HP Item # Q6511A-HEW, No. 11 Toner for LaserJet 2400,2420,2430 (Yld 6k)</v>
      </c>
      <c r="G456" s="74" t="str">
        <f t="shared" si="23"/>
        <v>EA</v>
      </c>
      <c r="H456" s="7">
        <v>140.99</v>
      </c>
      <c r="I456" s="2" t="str">
        <f>"44103103"</f>
        <v>44103103</v>
      </c>
      <c r="J456" s="10" t="s">
        <v>99</v>
      </c>
    </row>
    <row r="457" spans="1:10" ht="51">
      <c r="A457" s="9" t="s">
        <v>27</v>
      </c>
      <c r="B457" s="2" t="s">
        <v>31</v>
      </c>
      <c r="C457" s="2">
        <v>3204</v>
      </c>
      <c r="D457" s="2">
        <v>302</v>
      </c>
      <c r="E457" s="2" t="str">
        <f>"1000000749"</f>
        <v>1000000749</v>
      </c>
      <c r="F457" s="4" t="str">
        <f>"INK CART:HP Item # C9351AN-HEW,  No. 21 Black Photo ink (Yld 190) All-in-One Printers DeskJet , DeskJet, Officejet,  Fax Machines, and Photo Printers."</f>
        <v>INK CART:HP Item # C9351AN-HEW,  No. 21 Black Photo ink (Yld 190) All-in-One Printers DeskJet , DeskJet, Officejet,  Fax Machines, and Photo Printers.</v>
      </c>
      <c r="G457" s="74" t="str">
        <f t="shared" si="23"/>
        <v>EA</v>
      </c>
      <c r="H457" s="7">
        <v>15.99</v>
      </c>
      <c r="I457" s="2" t="str">
        <f>"44103105"</f>
        <v>44103105</v>
      </c>
      <c r="J457" s="10" t="s">
        <v>98</v>
      </c>
    </row>
    <row r="458" spans="1:10" ht="76.5">
      <c r="A458" s="9" t="s">
        <v>27</v>
      </c>
      <c r="B458" s="2" t="s">
        <v>31</v>
      </c>
      <c r="C458" s="2">
        <v>3204</v>
      </c>
      <c r="D458" s="2">
        <v>756</v>
      </c>
      <c r="E458" s="2" t="str">
        <f>"1000000774"</f>
        <v>1000000774</v>
      </c>
      <c r="F458" s="4" t="str">
        <f>"TONER:HP Item # Q6000A-HEW, Black Toner for Hewlett Packard Printers (Yld 2500) for HP All-in-One Printers Color LaserJet CM1015mfp, CM1017mfp, HP Laser Printers Color LaserJet 1600, 2600N, 2605 Series, CM1015mfp, CM1017mfp."</f>
        <v>TONER:HP Item # Q6000A-HEW, Black Toner for Hewlett Packard Printers (Yld 2500) for HP All-in-One Printers Color LaserJet CM1015mfp, CM1017mfp, HP Laser Printers Color LaserJet 1600, 2600N, 2605 Series, CM1015mfp, CM1017mfp.</v>
      </c>
      <c r="G458" s="74" t="str">
        <f t="shared" si="23"/>
        <v>EA</v>
      </c>
      <c r="H458" s="7">
        <v>84.99</v>
      </c>
      <c r="I458" s="2" t="str">
        <f>"44103103"</f>
        <v>44103103</v>
      </c>
      <c r="J458" s="10" t="s">
        <v>99</v>
      </c>
    </row>
    <row r="459" spans="1:10" ht="89.25">
      <c r="A459" s="9" t="s">
        <v>27</v>
      </c>
      <c r="B459" s="2" t="s">
        <v>31</v>
      </c>
      <c r="C459" s="2">
        <v>3204</v>
      </c>
      <c r="D459" s="2">
        <v>757</v>
      </c>
      <c r="E459" s="2" t="str">
        <f>"1000000775"</f>
        <v>1000000775</v>
      </c>
      <c r="F459" s="4" t="str">
        <f>"TONER:HP Item # Q6001A-HEW, Cyan Toner (Yld 2k) for HP All-in-One Printers Color LaserJet CM1015mfp, Color LaserJet CM1017mfp, HP Laser Printers Color LaserJet 1600, Color LaserJet 2600N, Color LaserJet 2605 Series, Color LaserJet CM1015mfp / CM1017mfp"</f>
        <v>TONER:HP Item # Q6001A-HEW, Cyan Toner (Yld 2k) for HP All-in-One Printers Color LaserJet CM1015mfp, Color LaserJet CM1017mfp, HP Laser Printers Color LaserJet 1600, Color LaserJet 2600N, Color LaserJet 2605 Series, Color LaserJet CM1015mfp / CM1017mfp</v>
      </c>
      <c r="G459" s="74" t="str">
        <f t="shared" si="23"/>
        <v>EA</v>
      </c>
      <c r="H459" s="7">
        <v>93.99</v>
      </c>
      <c r="I459" s="2" t="str">
        <f>"44103103"</f>
        <v>44103103</v>
      </c>
      <c r="J459" s="10" t="s">
        <v>99</v>
      </c>
    </row>
    <row r="460" spans="1:10" ht="38.25">
      <c r="A460" s="9" t="s">
        <v>27</v>
      </c>
      <c r="B460" s="2" t="s">
        <v>31</v>
      </c>
      <c r="C460" s="2">
        <v>3204</v>
      </c>
      <c r="D460" s="2">
        <v>464</v>
      </c>
      <c r="E460" s="2" t="str">
        <f>"1000000777"</f>
        <v>1000000777</v>
      </c>
      <c r="F460" s="4" t="str">
        <f>"PRINTHEAD: HP Item # C9381A, HP 88, Black/Yellow printhead for Officejet Pro K550 Printers"</f>
        <v>PRINTHEAD: HP Item # C9381A, HP 88, Black/Yellow printhead for Officejet Pro K550 Printers</v>
      </c>
      <c r="G460" s="74" t="str">
        <f t="shared" si="23"/>
        <v>EA</v>
      </c>
      <c r="H460" s="7">
        <v>77.989999999999995</v>
      </c>
      <c r="I460" s="2" t="str">
        <f>"44103110"</f>
        <v>44103110</v>
      </c>
      <c r="J460" s="10" t="s">
        <v>102</v>
      </c>
    </row>
    <row r="461" spans="1:10" ht="51">
      <c r="A461" s="9" t="s">
        <v>27</v>
      </c>
      <c r="B461" s="2" t="s">
        <v>31</v>
      </c>
      <c r="C461" s="2">
        <v>3204</v>
      </c>
      <c r="D461" s="2">
        <v>66</v>
      </c>
      <c r="E461" s="2" t="str">
        <f>"1000000807"</f>
        <v>1000000807</v>
      </c>
      <c r="F461" s="4" t="str">
        <f>"INK CART:BRO Item # LC41BK-BRT, Black Ink for Brother Intellifax 11840c/ 1940cn/ 2440/ MFC 210C/ 420CN/ 620CN/ 3240C/ 3340N/ 5440CN/ 5840CN"</f>
        <v>INK CART:BRO Item # LC41BK-BRT, Black Ink for Brother Intellifax 11840c/ 1940cn/ 2440/ MFC 210C/ 420CN/ 620CN/ 3240C/ 3340N/ 5440CN/ 5840CN</v>
      </c>
      <c r="G461" s="74" t="str">
        <f t="shared" si="23"/>
        <v>EA</v>
      </c>
      <c r="H461" s="7">
        <v>28.32</v>
      </c>
      <c r="I461" s="2" t="str">
        <f>"44103103"</f>
        <v>44103103</v>
      </c>
      <c r="J461" s="10" t="s">
        <v>99</v>
      </c>
    </row>
    <row r="462" spans="1:10" ht="25.5">
      <c r="A462" s="9" t="s">
        <v>27</v>
      </c>
      <c r="B462" s="2" t="s">
        <v>31</v>
      </c>
      <c r="C462" s="2">
        <v>3204</v>
      </c>
      <c r="D462" s="2">
        <v>59</v>
      </c>
      <c r="E462" s="2" t="str">
        <f>"1000000808"</f>
        <v>1000000808</v>
      </c>
      <c r="F462" s="4" t="str">
        <f>"INK CART:BRO Item # LC21C-BRT, Cyan ink for Brother MFC-3100C/5100C (yield 400)"</f>
        <v>INK CART:BRO Item # LC21C-BRT, Cyan ink for Brother MFC-3100C/5100C (yield 400)</v>
      </c>
      <c r="G462" s="74" t="str">
        <f t="shared" si="23"/>
        <v>EA</v>
      </c>
      <c r="H462" s="7">
        <v>15</v>
      </c>
      <c r="I462" s="2" t="str">
        <f>"44103103"</f>
        <v>44103103</v>
      </c>
      <c r="J462" s="10" t="s">
        <v>99</v>
      </c>
    </row>
    <row r="463" spans="1:10" ht="38.25">
      <c r="A463" s="9" t="s">
        <v>27</v>
      </c>
      <c r="B463" s="2" t="s">
        <v>31</v>
      </c>
      <c r="C463" s="2">
        <v>3204</v>
      </c>
      <c r="D463" s="2">
        <v>861</v>
      </c>
      <c r="E463" s="2" t="str">
        <f>"1000000849"</f>
        <v>1000000849</v>
      </c>
      <c r="F463" s="4" t="str">
        <f>"TONER:MIC Item # C8543X-MICR, Toner for Hewlett Packard Printers Troy LaserJet 9000, high yield (Yld 35k)"</f>
        <v>TONER:MIC Item # C8543X-MICR, Toner for Hewlett Packard Printers Troy LaserJet 9000, high yield (Yld 35k)</v>
      </c>
      <c r="G463" s="74" t="str">
        <f t="shared" si="23"/>
        <v>EA</v>
      </c>
      <c r="H463" s="7">
        <v>524</v>
      </c>
      <c r="I463" s="2" t="str">
        <f>"44103103"</f>
        <v>44103103</v>
      </c>
      <c r="J463" s="10" t="s">
        <v>99</v>
      </c>
    </row>
    <row r="464" spans="1:10" ht="114.75">
      <c r="A464" s="9" t="s">
        <v>27</v>
      </c>
      <c r="B464" s="2" t="s">
        <v>31</v>
      </c>
      <c r="C464" s="2">
        <v>3204</v>
      </c>
      <c r="D464" s="2">
        <v>286</v>
      </c>
      <c r="E464" s="2" t="str">
        <f>"1000000854"</f>
        <v>1000000854</v>
      </c>
      <c r="F464" s="4" t="str">
        <f>"INK CART:HP Item # C6656AN-HEW, No. 56 Black Ink (yld 450) PSC 1210/1210v/1210xi/1350/ 2110/2175/2175v/2175xi/2210/2410/2510 Officejet 4110/6110 Digital Copier 410 Deskjet 450ci/450cbi/450/51150/5550/5650/5650w/ Photosmart 7150/7260/7350/7550/7660/7760/7"</f>
        <v>INK CART:HP Item # C6656AN-HEW, No. 56 Black Ink (yld 450) PSC 1210/1210v/1210xi/1350/ 2110/2175/2175v/2175xi/2210/2410/2510 Officejet 4110/6110 Digital Copier 410 Deskjet 450ci/450cbi/450/51150/5550/5650/5650w/ Photosmart 7150/7260/7350/7550/7660/7760/7</v>
      </c>
      <c r="G464" s="74" t="str">
        <f t="shared" si="23"/>
        <v>EA</v>
      </c>
      <c r="H464" s="7">
        <v>25.99</v>
      </c>
      <c r="I464" s="2" t="str">
        <f>"44103105"</f>
        <v>44103105</v>
      </c>
      <c r="J464" s="10" t="s">
        <v>98</v>
      </c>
    </row>
    <row r="465" spans="1:10" ht="63.75">
      <c r="A465" s="9" t="s">
        <v>27</v>
      </c>
      <c r="B465" s="2" t="s">
        <v>31</v>
      </c>
      <c r="C465" s="2">
        <v>3204</v>
      </c>
      <c r="D465" s="2">
        <v>463</v>
      </c>
      <c r="E465" s="2" t="str">
        <f>"1000000890"</f>
        <v>1000000890</v>
      </c>
      <c r="F465" s="4" t="str">
        <f>"PRINTHEAD:HP Item # C5081A-HEW, No 90 Yellow Value pack includes 400 ml Yellow ink cartridge, print head and printhead cleaner for DesignJet 4000 and 4500 Series"</f>
        <v>PRINTHEAD:HP Item # C5081A-HEW, No 90 Yellow Value pack includes 400 ml Yellow ink cartridge, print head and printhead cleaner for DesignJet 4000 and 4500 Series</v>
      </c>
      <c r="G465" s="74" t="str">
        <f>"PK"</f>
        <v>PK</v>
      </c>
      <c r="H465" s="7">
        <v>260</v>
      </c>
      <c r="I465" s="2" t="str">
        <f>"44103110"</f>
        <v>44103110</v>
      </c>
      <c r="J465" s="10" t="s">
        <v>102</v>
      </c>
    </row>
    <row r="466" spans="1:10" ht="51">
      <c r="A466" s="9" t="s">
        <v>27</v>
      </c>
      <c r="B466" s="2" t="s">
        <v>31</v>
      </c>
      <c r="C466" s="2">
        <v>3204</v>
      </c>
      <c r="D466" s="2">
        <v>858</v>
      </c>
      <c r="E466" s="2" t="str">
        <f>"1000000895"</f>
        <v>1000000895</v>
      </c>
      <c r="F466" s="4" t="str">
        <f>"TONER:MIC Item # 92298A-BCM, Brand Compatible MICR Black Toner Cartridge for HP Troy 4/4M/4 Plus/4M Plus/5/5M/5N printers"</f>
        <v>TONER:MIC Item # 92298A-BCM, Brand Compatible MICR Black Toner Cartridge for HP Troy 4/4M/4 Plus/4M Plus/5/5M/5N printers</v>
      </c>
      <c r="G466" s="74" t="str">
        <f t="shared" ref="G466:G472" si="24">"EA"</f>
        <v>EA</v>
      </c>
      <c r="H466" s="7">
        <v>118</v>
      </c>
      <c r="I466" s="2" t="str">
        <f>"44103103"</f>
        <v>44103103</v>
      </c>
      <c r="J466" s="10" t="s">
        <v>99</v>
      </c>
    </row>
    <row r="467" spans="1:10" ht="25.5">
      <c r="A467" s="9" t="s">
        <v>27</v>
      </c>
      <c r="B467" s="2" t="s">
        <v>31</v>
      </c>
      <c r="C467" s="2">
        <v>3204</v>
      </c>
      <c r="D467" s="2">
        <v>721</v>
      </c>
      <c r="E467" s="2" t="str">
        <f>"1000000927"</f>
        <v>1000000927</v>
      </c>
      <c r="F467" s="4" t="str">
        <f>"TONER:HP Item # Q2610A-HEW, LaserJet 2300 Smart Print Toner (Yld 6k)"</f>
        <v>TONER:HP Item # Q2610A-HEW, LaserJet 2300 Smart Print Toner (Yld 6k)</v>
      </c>
      <c r="G467" s="74" t="str">
        <f t="shared" si="24"/>
        <v>EA</v>
      </c>
      <c r="H467" s="7">
        <v>156.99</v>
      </c>
      <c r="I467" s="2" t="str">
        <f>"44103103"</f>
        <v>44103103</v>
      </c>
      <c r="J467" s="10" t="s">
        <v>99</v>
      </c>
    </row>
    <row r="468" spans="1:10" ht="38.25">
      <c r="A468" s="9" t="s">
        <v>27</v>
      </c>
      <c r="B468" s="2" t="s">
        <v>31</v>
      </c>
      <c r="C468" s="2">
        <v>3204</v>
      </c>
      <c r="D468" s="2">
        <v>674</v>
      </c>
      <c r="E468" s="2" t="str">
        <f>"1000000928"</f>
        <v>1000000928</v>
      </c>
      <c r="F468" s="4" t="str">
        <f>"TONER:HP Item # C9700A-HEW, Black Toner for Hewlett Packard Printers HP LaserJet 2500 Smart Print (Yld 5k)"</f>
        <v>TONER:HP Item # C9700A-HEW, Black Toner for Hewlett Packard Printers HP LaserJet 2500 Smart Print (Yld 5k)</v>
      </c>
      <c r="G468" s="74" t="str">
        <f t="shared" si="24"/>
        <v>EA</v>
      </c>
      <c r="H468" s="7">
        <v>92.66</v>
      </c>
      <c r="I468" s="2" t="str">
        <f>"44103103"</f>
        <v>44103103</v>
      </c>
      <c r="J468" s="10" t="s">
        <v>99</v>
      </c>
    </row>
    <row r="469" spans="1:10" ht="38.25">
      <c r="A469" s="9" t="s">
        <v>27</v>
      </c>
      <c r="B469" s="2" t="s">
        <v>31</v>
      </c>
      <c r="C469" s="2">
        <v>3204</v>
      </c>
      <c r="D469" s="2">
        <v>235</v>
      </c>
      <c r="E469" s="2" t="str">
        <f>"1000000944"</f>
        <v>1000000944</v>
      </c>
      <c r="F469" s="4" t="str">
        <f>"INK CART:HP Item # C4836AN-HEW, No. 11 Ink Ctg, Cyan, DeskJet 2200/2250 (Yld 1.75k)"</f>
        <v>INK CART:HP Item # C4836AN-HEW, No. 11 Ink Ctg, Cyan, DeskJet 2200/2250 (Yld 1.75k)</v>
      </c>
      <c r="G469" s="74" t="str">
        <f t="shared" si="24"/>
        <v>EA</v>
      </c>
      <c r="H469" s="7">
        <v>39</v>
      </c>
      <c r="I469" s="2" t="str">
        <f>"44103105"</f>
        <v>44103105</v>
      </c>
      <c r="J469" s="10" t="s">
        <v>98</v>
      </c>
    </row>
    <row r="470" spans="1:10" ht="38.25">
      <c r="A470" s="9" t="s">
        <v>27</v>
      </c>
      <c r="B470" s="2" t="s">
        <v>31</v>
      </c>
      <c r="C470" s="2">
        <v>3204</v>
      </c>
      <c r="D470" s="2">
        <v>237</v>
      </c>
      <c r="E470" s="2" t="str">
        <f>"1000000945"</f>
        <v>1000000945</v>
      </c>
      <c r="F470" s="4" t="str">
        <f>"INK CART:HP Item # C4838AN-HEW, No. 11 Ink Ctg, Yellow, DeskJet 2200/2250 Series (Yld 1.75k)"</f>
        <v>INK CART:HP Item # C4838AN-HEW, No. 11 Ink Ctg, Yellow, DeskJet 2200/2250 Series (Yld 1.75k)</v>
      </c>
      <c r="G470" s="74" t="str">
        <f t="shared" si="24"/>
        <v>EA</v>
      </c>
      <c r="H470" s="7">
        <v>39</v>
      </c>
      <c r="I470" s="2" t="str">
        <f>"44103105"</f>
        <v>44103105</v>
      </c>
      <c r="J470" s="10" t="s">
        <v>98</v>
      </c>
    </row>
    <row r="471" spans="1:10" ht="38.25">
      <c r="A471" s="9" t="s">
        <v>27</v>
      </c>
      <c r="B471" s="2" t="s">
        <v>31</v>
      </c>
      <c r="C471" s="2">
        <v>3204</v>
      </c>
      <c r="D471" s="2">
        <v>64</v>
      </c>
      <c r="E471" s="2" t="str">
        <f>"1000001031"</f>
        <v>1000001031</v>
      </c>
      <c r="F471" s="4" t="str">
        <f>"INK CART:BRO Item # LC31M-BRT, Magenta Toner for Brother PPF 1920C Multifunction Machine"</f>
        <v>INK CART:BRO Item # LC31M-BRT, Magenta Toner for Brother PPF 1920C Multifunction Machine</v>
      </c>
      <c r="G471" s="74" t="str">
        <f t="shared" si="24"/>
        <v>EA</v>
      </c>
      <c r="H471" s="7">
        <v>13</v>
      </c>
      <c r="I471" s="2" t="str">
        <f>"44103105"</f>
        <v>44103105</v>
      </c>
      <c r="J471" s="10" t="s">
        <v>98</v>
      </c>
    </row>
    <row r="472" spans="1:10" ht="38.25">
      <c r="A472" s="9" t="s">
        <v>27</v>
      </c>
      <c r="B472" s="2" t="s">
        <v>31</v>
      </c>
      <c r="C472" s="2">
        <v>3204</v>
      </c>
      <c r="D472" s="2">
        <v>732</v>
      </c>
      <c r="E472" s="2" t="str">
        <f>"1000001063"</f>
        <v>1000001063</v>
      </c>
      <c r="F472" s="4" t="str">
        <f>"TONER:HP Item # Q2670A-HEW, HP 70A Black Toner Cartridge for Color LaserJet 3500/3700 Series printers. (Yld 6k)"</f>
        <v>TONER:HP Item # Q2670A-HEW, HP 70A Black Toner Cartridge for Color LaserJet 3500/3700 Series printers. (Yld 6k)</v>
      </c>
      <c r="G472" s="74" t="str">
        <f t="shared" si="24"/>
        <v>EA</v>
      </c>
      <c r="H472" s="7">
        <v>149.99</v>
      </c>
      <c r="I472" s="2" t="str">
        <f>"44103103"</f>
        <v>44103103</v>
      </c>
      <c r="J472" s="10" t="s">
        <v>99</v>
      </c>
    </row>
    <row r="473" spans="1:10" ht="38.25">
      <c r="A473" s="9" t="s">
        <v>27</v>
      </c>
      <c r="B473" s="2" t="s">
        <v>31</v>
      </c>
      <c r="C473" s="2">
        <v>3204</v>
      </c>
      <c r="D473" s="2">
        <v>960</v>
      </c>
      <c r="E473" s="2" t="str">
        <f>"1000001074"</f>
        <v>1000001074</v>
      </c>
      <c r="F473" s="4" t="str">
        <f>"TONER:XER Item # 016188300-TKT, Xerox Phaser 7700 Print Cartridge Kit, 4 per kit (cyan, magenta, yellow, black)"</f>
        <v>TONER:XER Item # 016188300-TKT, Xerox Phaser 7700 Print Cartridge Kit, 4 per kit (cyan, magenta, yellow, black)</v>
      </c>
      <c r="G473" s="74" t="str">
        <f>"KT"</f>
        <v>KT</v>
      </c>
      <c r="H473" s="7">
        <v>421</v>
      </c>
      <c r="I473" s="2" t="str">
        <f>"44103103"</f>
        <v>44103103</v>
      </c>
      <c r="J473" s="10" t="s">
        <v>98</v>
      </c>
    </row>
    <row r="474" spans="1:10" ht="25.5">
      <c r="A474" s="9" t="s">
        <v>27</v>
      </c>
      <c r="B474" s="2" t="s">
        <v>31</v>
      </c>
      <c r="C474" s="2">
        <v>3204</v>
      </c>
      <c r="D474" s="2">
        <v>962</v>
      </c>
      <c r="E474" s="2" t="str">
        <f>"1000001075"</f>
        <v>1000001075</v>
      </c>
      <c r="F474" s="4" t="str">
        <f>"TONER:XER Item # 016194400-TKT, Phaser 7700 Toner, Cyan, High capacity (Yld 10k)"</f>
        <v>TONER:XER Item # 016194400-TKT, Phaser 7700 Toner, Cyan, High capacity (Yld 10k)</v>
      </c>
      <c r="G474" s="74" t="str">
        <f t="shared" ref="G474:G483" si="25">"EA"</f>
        <v>EA</v>
      </c>
      <c r="H474" s="7">
        <v>258</v>
      </c>
      <c r="I474" s="2" t="str">
        <f>"44103103"</f>
        <v>44103103</v>
      </c>
      <c r="J474" s="10" t="s">
        <v>98</v>
      </c>
    </row>
    <row r="475" spans="1:10" ht="38.25">
      <c r="A475" s="9" t="s">
        <v>27</v>
      </c>
      <c r="B475" s="2" t="s">
        <v>31</v>
      </c>
      <c r="C475" s="2">
        <v>3204</v>
      </c>
      <c r="D475" s="2">
        <v>863</v>
      </c>
      <c r="E475" s="2" t="str">
        <f>"1000001093"</f>
        <v>1000001093</v>
      </c>
      <c r="F475" s="4" t="str">
        <f>"TONER:MIC Item # Q7553A-MICR, LaserJet P2015 HP Troy MICR cartridge (0281212001) (Yld 3k)"</f>
        <v>TONER:MIC Item # Q7553A-MICR, LaserJet P2015 HP Troy MICR cartridge (0281212001) (Yld 3k)</v>
      </c>
      <c r="G475" s="74" t="str">
        <f t="shared" si="25"/>
        <v>EA</v>
      </c>
      <c r="H475" s="7">
        <v>186</v>
      </c>
      <c r="I475" s="2" t="str">
        <f>"44103103"</f>
        <v>44103103</v>
      </c>
      <c r="J475" s="10" t="s">
        <v>99</v>
      </c>
    </row>
    <row r="476" spans="1:10" ht="38.25">
      <c r="A476" s="9" t="s">
        <v>27</v>
      </c>
      <c r="B476" s="2" t="s">
        <v>31</v>
      </c>
      <c r="C476" s="2">
        <v>3204</v>
      </c>
      <c r="D476" s="2">
        <v>862</v>
      </c>
      <c r="E476" s="2" t="str">
        <f>"1000001094"</f>
        <v>1000001094</v>
      </c>
      <c r="F476" s="4" t="str">
        <f>"TONER:MIC Item #: Q7551A-MICR, HP Troy MICR Cartridge (0281201001) for P3005 (Yld 6.5k)"</f>
        <v>TONER:MIC Item #: Q7551A-MICR, HP Troy MICR Cartridge (0281201001) for P3005 (Yld 6.5k)</v>
      </c>
      <c r="G476" s="74" t="str">
        <f t="shared" si="25"/>
        <v>EA</v>
      </c>
      <c r="H476" s="7">
        <v>265</v>
      </c>
      <c r="I476" s="2" t="str">
        <f>"44103103"</f>
        <v>44103103</v>
      </c>
      <c r="J476" s="10" t="s">
        <v>99</v>
      </c>
    </row>
    <row r="477" spans="1:10" ht="76.5">
      <c r="A477" s="9" t="s">
        <v>27</v>
      </c>
      <c r="B477" s="2" t="s">
        <v>31</v>
      </c>
      <c r="C477" s="2">
        <v>3204</v>
      </c>
      <c r="D477" s="2">
        <v>308</v>
      </c>
      <c r="E477" s="2" t="str">
        <f>"1000001137"</f>
        <v>1000001137</v>
      </c>
      <c r="F477" s="4" t="str">
        <f>"INK CART:HP Item # C9363WN-HEW No. 97 ink cartridges for DeskJet 5740/ 5748/ 6520 / 6540/ 6543/ 6840/ 6840dt/ 6843/ Officejet 7310/ 7313/ 7410/ 7413/Photo Smart 2713/ 8150/ 8153/ 8158/ 8450/ 8453/ 8458"</f>
        <v>INK CART:HP Item # C9363WN-HEW No. 97 ink cartridges for DeskJet 5740/ 5748/ 6520 / 6540/ 6543/ 6840/ 6840dt/ 6843/ Officejet 7310/ 7313/ 7410/ 7413/Photo Smart 2713/ 8150/ 8153/ 8158/ 8450/ 8453/ 8458</v>
      </c>
      <c r="G477" s="74" t="str">
        <f t="shared" si="25"/>
        <v>EA</v>
      </c>
      <c r="H477" s="7">
        <v>43.99</v>
      </c>
      <c r="I477" s="2" t="str">
        <f>"44103105"</f>
        <v>44103105</v>
      </c>
      <c r="J477" s="10" t="s">
        <v>98</v>
      </c>
    </row>
    <row r="478" spans="1:10" ht="25.5">
      <c r="A478" s="9" t="s">
        <v>27</v>
      </c>
      <c r="B478" s="2" t="s">
        <v>31</v>
      </c>
      <c r="C478" s="2">
        <v>3204</v>
      </c>
      <c r="D478" s="2">
        <v>580</v>
      </c>
      <c r="E478" s="2" t="str">
        <f>"1000001138"</f>
        <v>1000001138</v>
      </c>
      <c r="F478" s="4" t="str">
        <f>"TONER:CAN Item # FX7-CAN, Fax Toner for Canon Printers LC710 Fax Toner (Yld 4.5k)"</f>
        <v>TONER:CAN Item # FX7-CAN, Fax Toner for Canon Printers LC710 Fax Toner (Yld 4.5k)</v>
      </c>
      <c r="G478" s="74" t="str">
        <f t="shared" si="25"/>
        <v>EA</v>
      </c>
      <c r="H478" s="7">
        <v>116</v>
      </c>
      <c r="I478" s="2" t="str">
        <f t="shared" ref="I478:I483" si="26">"44103103"</f>
        <v>44103103</v>
      </c>
      <c r="J478" s="10" t="s">
        <v>99</v>
      </c>
    </row>
    <row r="479" spans="1:10" ht="38.25">
      <c r="A479" s="9" t="s">
        <v>27</v>
      </c>
      <c r="B479" s="2" t="s">
        <v>31</v>
      </c>
      <c r="C479" s="2">
        <v>3204</v>
      </c>
      <c r="D479" s="2">
        <v>736</v>
      </c>
      <c r="E479" s="2" t="str">
        <f>"1000001150"</f>
        <v>1000001150</v>
      </c>
      <c r="F479" s="4" t="str">
        <f>"TONER:HP Item # Q2681A-HEW, Cyan Toner for Hewlett Packard Printers LaserJet 3700 (Yld 6k)"</f>
        <v>TONER:HP Item # Q2681A-HEW, Cyan Toner for Hewlett Packard Printers LaserJet 3700 (Yld 6k)</v>
      </c>
      <c r="G479" s="74" t="str">
        <f t="shared" si="25"/>
        <v>EA</v>
      </c>
      <c r="H479" s="7">
        <v>192.99</v>
      </c>
      <c r="I479" s="2" t="str">
        <f t="shared" si="26"/>
        <v>44103103</v>
      </c>
      <c r="J479" s="10" t="s">
        <v>99</v>
      </c>
    </row>
    <row r="480" spans="1:10" ht="25.5">
      <c r="A480" s="9" t="s">
        <v>27</v>
      </c>
      <c r="B480" s="2" t="s">
        <v>31</v>
      </c>
      <c r="C480" s="2">
        <v>3204</v>
      </c>
      <c r="D480" s="2">
        <v>752</v>
      </c>
      <c r="E480" s="2" t="str">
        <f>"1000001152"</f>
        <v>1000001152</v>
      </c>
      <c r="F480" s="4" t="str">
        <f>"TONER:HP Item # Q5950A-HEW, LaserJet ColorSphere Black (Yld 11k)"</f>
        <v>TONER:HP Item # Q5950A-HEW, LaserJet ColorSphere Black (Yld 11k)</v>
      </c>
      <c r="G480" s="74" t="str">
        <f t="shared" si="25"/>
        <v>EA</v>
      </c>
      <c r="H480" s="7">
        <v>202.99</v>
      </c>
      <c r="I480" s="2" t="str">
        <f t="shared" si="26"/>
        <v>44103103</v>
      </c>
      <c r="J480" s="10" t="s">
        <v>99</v>
      </c>
    </row>
    <row r="481" spans="1:10" ht="38.25">
      <c r="A481" s="9" t="s">
        <v>27</v>
      </c>
      <c r="B481" s="2" t="s">
        <v>31</v>
      </c>
      <c r="C481" s="2">
        <v>3204</v>
      </c>
      <c r="D481" s="2">
        <v>755</v>
      </c>
      <c r="E481" s="2" t="str">
        <f>"1000001153"</f>
        <v>1000001153</v>
      </c>
      <c r="F481" s="4" t="str">
        <f>"TONER:HP Item # Q5953A-HEW, Magenta Laser toner cartridge for Color LaserJet 4700 (Yld 10k)"</f>
        <v>TONER:HP Item # Q5953A-HEW, Magenta Laser toner cartridge for Color LaserJet 4700 (Yld 10k)</v>
      </c>
      <c r="G481" s="74" t="str">
        <f t="shared" si="25"/>
        <v>EA</v>
      </c>
      <c r="H481" s="7">
        <v>318</v>
      </c>
      <c r="I481" s="2" t="str">
        <f t="shared" si="26"/>
        <v>44103103</v>
      </c>
      <c r="J481" s="10" t="s">
        <v>99</v>
      </c>
    </row>
    <row r="482" spans="1:10" ht="63.75">
      <c r="A482" s="9" t="s">
        <v>27</v>
      </c>
      <c r="B482" s="2" t="s">
        <v>31</v>
      </c>
      <c r="C482" s="2">
        <v>3204</v>
      </c>
      <c r="D482" s="2">
        <v>767</v>
      </c>
      <c r="E482" s="2" t="str">
        <f>"1000001154"</f>
        <v>1000001154</v>
      </c>
      <c r="F482" s="4" t="str">
        <f>"TONER:HP Item # Q6473A-HEW, Magenta Toner for Hewlett Packard Printers for HP Color LaserJet 3600, HP Color LaserJet 3600dn, HP Color LaserJet 3600n Printers (Yld 4k)"</f>
        <v>TONER:HP Item # Q6473A-HEW, Magenta Toner for Hewlett Packard Printers for HP Color LaserJet 3600, HP Color LaserJet 3600dn, HP Color LaserJet 3600n Printers (Yld 4k)</v>
      </c>
      <c r="G482" s="74" t="str">
        <f t="shared" si="25"/>
        <v>EA</v>
      </c>
      <c r="H482" s="7">
        <v>147.99</v>
      </c>
      <c r="I482" s="2" t="str">
        <f t="shared" si="26"/>
        <v>44103103</v>
      </c>
      <c r="J482" s="10" t="s">
        <v>99</v>
      </c>
    </row>
    <row r="483" spans="1:10" ht="38.25">
      <c r="A483" s="9" t="s">
        <v>27</v>
      </c>
      <c r="B483" s="2" t="s">
        <v>31</v>
      </c>
      <c r="C483" s="2">
        <v>3204</v>
      </c>
      <c r="D483" s="2">
        <v>963</v>
      </c>
      <c r="E483" s="2" t="str">
        <f>"1000001184"</f>
        <v>1000001184</v>
      </c>
      <c r="F483" s="4" t="str">
        <f>"TONER:XER Item # 016194500-TKT, Phaser 7700 Toner, Magenta, High capacity (Yld 10k)"</f>
        <v>TONER:XER Item # 016194500-TKT, Phaser 7700 Toner, Magenta, High capacity (Yld 10k)</v>
      </c>
      <c r="G483" s="74" t="str">
        <f t="shared" si="25"/>
        <v>EA</v>
      </c>
      <c r="H483" s="7">
        <v>257</v>
      </c>
      <c r="I483" s="2" t="str">
        <f t="shared" si="26"/>
        <v>44103103</v>
      </c>
      <c r="J483" s="10" t="s">
        <v>98</v>
      </c>
    </row>
    <row r="484" spans="1:10" ht="38.25">
      <c r="A484" s="9" t="s">
        <v>27</v>
      </c>
      <c r="B484" s="2" t="s">
        <v>31</v>
      </c>
      <c r="C484" s="2">
        <v>3204</v>
      </c>
      <c r="D484" s="2">
        <v>397</v>
      </c>
      <c r="E484" s="2" t="str">
        <f>"1000001185"</f>
        <v>1000001185</v>
      </c>
      <c r="F484" s="4" t="str">
        <f>"INK STICKS:XER Item # 108R00604-XER, Xerox Phaser 8400 Black Ink Sticks (Yld 3.4k) 3 pack"</f>
        <v>INK STICKS:XER Item # 108R00604-XER, Xerox Phaser 8400 Black Ink Sticks (Yld 3.4k) 3 pack</v>
      </c>
      <c r="G484" s="74" t="str">
        <f>"PK"</f>
        <v>PK</v>
      </c>
      <c r="H484" s="7">
        <v>91</v>
      </c>
      <c r="I484" s="2" t="str">
        <f>"44103106"</f>
        <v>44103106</v>
      </c>
      <c r="J484" s="10" t="s">
        <v>100</v>
      </c>
    </row>
    <row r="485" spans="1:10" ht="89.25">
      <c r="A485" s="9" t="s">
        <v>27</v>
      </c>
      <c r="B485" s="2" t="s">
        <v>31</v>
      </c>
      <c r="C485" s="2">
        <v>3204</v>
      </c>
      <c r="D485" s="2">
        <v>722</v>
      </c>
      <c r="E485" s="2" t="str">
        <f>"1000001207"</f>
        <v>1000001207</v>
      </c>
      <c r="F485" s="4" t="str">
        <f>"TONER:HP Item # Q2612A-BC, Brand Compatible Black Toner (Yld 2000) for HP All-in-One Printers 3015, 3020, 3030, 3050, 3052, 3055, LaserJet M1319f mfp and HP Laser Printers LaserJet 1010, 1012, 1018, 1020, 1022 Series, 3015, 3020, 3030, 3050, 3052, 3055"</f>
        <v>TONER:HP Item # Q2612A-BC, Brand Compatible Black Toner (Yld 2000) for HP All-in-One Printers 3015, 3020, 3030, 3050, 3052, 3055, LaserJet M1319f mfp and HP Laser Printers LaserJet 1010, 1012, 1018, 1020, 1022 Series, 3015, 3020, 3030, 3050, 3052, 3055</v>
      </c>
      <c r="G485" s="74" t="str">
        <f t="shared" ref="G485:G502" si="27">"EA"</f>
        <v>EA</v>
      </c>
      <c r="H485" s="7">
        <v>62</v>
      </c>
      <c r="I485" s="2" t="str">
        <f>"44103103"</f>
        <v>44103103</v>
      </c>
      <c r="J485" s="10" t="s">
        <v>99</v>
      </c>
    </row>
    <row r="486" spans="1:10" ht="38.25">
      <c r="A486" s="9" t="s">
        <v>27</v>
      </c>
      <c r="B486" s="2" t="s">
        <v>31</v>
      </c>
      <c r="C486" s="2">
        <v>3204</v>
      </c>
      <c r="D486" s="2">
        <v>740</v>
      </c>
      <c r="E486" s="2" t="str">
        <f>"1000001209"</f>
        <v>1000001209</v>
      </c>
      <c r="F486" s="4" t="str">
        <f>"TONER:HP Item # Q3961A-HEW, Cyan Toner for Hewlett Packard Printers HP 2550 (Yld 4k)"</f>
        <v>TONER:HP Item # Q3961A-HEW, Cyan Toner for Hewlett Packard Printers HP 2550 (Yld 4k)</v>
      </c>
      <c r="G486" s="74" t="str">
        <f t="shared" si="27"/>
        <v>EA</v>
      </c>
      <c r="H486" s="7">
        <v>112.99</v>
      </c>
      <c r="I486" s="2" t="str">
        <f>"44103103"</f>
        <v>44103103</v>
      </c>
      <c r="J486" s="10" t="s">
        <v>99</v>
      </c>
    </row>
    <row r="487" spans="1:10" ht="38.25">
      <c r="A487" s="9" t="s">
        <v>27</v>
      </c>
      <c r="B487" s="2" t="s">
        <v>31</v>
      </c>
      <c r="C487" s="2">
        <v>3204</v>
      </c>
      <c r="D487" s="2">
        <v>742</v>
      </c>
      <c r="E487" s="2" t="str">
        <f>"1000001210"</f>
        <v>1000001210</v>
      </c>
      <c r="F487" s="4" t="str">
        <f>"TONER:HP Item # Q3963A-HEW, Magenta Toner for Hewlett Packard Printers SP 2550 (Yld 4k)"</f>
        <v>TONER:HP Item # Q3963A-HEW, Magenta Toner for Hewlett Packard Printers SP 2550 (Yld 4k)</v>
      </c>
      <c r="G487" s="74" t="str">
        <f t="shared" si="27"/>
        <v>EA</v>
      </c>
      <c r="H487" s="7">
        <v>112.99</v>
      </c>
      <c r="I487" s="2" t="str">
        <f>"44103103"</f>
        <v>44103103</v>
      </c>
      <c r="J487" s="10" t="s">
        <v>99</v>
      </c>
    </row>
    <row r="488" spans="1:10" ht="38.25">
      <c r="A488" s="9" t="s">
        <v>27</v>
      </c>
      <c r="B488" s="2" t="s">
        <v>31</v>
      </c>
      <c r="C488" s="2">
        <v>3204</v>
      </c>
      <c r="D488" s="2">
        <v>741</v>
      </c>
      <c r="E488" s="2" t="str">
        <f>"1000001211"</f>
        <v>1000001211</v>
      </c>
      <c r="F488" s="4" t="str">
        <f>"TONER:HP Item # Q3962A-HEW, Yellow Toner for Hewlett Packard Printers SP 2550 (Yld 4k)"</f>
        <v>TONER:HP Item # Q3962A-HEW, Yellow Toner for Hewlett Packard Printers SP 2550 (Yld 4k)</v>
      </c>
      <c r="G488" s="74" t="str">
        <f t="shared" si="27"/>
        <v>EA</v>
      </c>
      <c r="H488" s="7">
        <v>112.99</v>
      </c>
      <c r="I488" s="2" t="str">
        <f>"44103103"</f>
        <v>44103103</v>
      </c>
      <c r="J488" s="10" t="s">
        <v>99</v>
      </c>
    </row>
    <row r="489" spans="1:10" ht="51">
      <c r="A489" s="9" t="s">
        <v>27</v>
      </c>
      <c r="B489" s="2" t="s">
        <v>31</v>
      </c>
      <c r="C489" s="2">
        <v>3204</v>
      </c>
      <c r="D489" s="2">
        <v>81</v>
      </c>
      <c r="E489" s="2" t="str">
        <f>"1000001227"</f>
        <v>1000001227</v>
      </c>
      <c r="F489" s="4" t="str">
        <f>"INK CART:CAN Item # 0615B002-CAN, Black Ink PG-40 (Yld 490) for Canon Printers IP1600, IP620D, IP6220D, MP170 AND MP750 printers"</f>
        <v>INK CART:CAN Item # 0615B002-CAN, Black Ink PG-40 (Yld 490) for Canon Printers IP1600, IP620D, IP6220D, MP170 AND MP750 printers</v>
      </c>
      <c r="G489" s="74" t="str">
        <f t="shared" si="27"/>
        <v>EA</v>
      </c>
      <c r="H489" s="7">
        <v>23.66</v>
      </c>
      <c r="I489" s="2" t="str">
        <f>"44103105"</f>
        <v>44103105</v>
      </c>
      <c r="J489" s="10" t="s">
        <v>98</v>
      </c>
    </row>
    <row r="490" spans="1:10" ht="38.25">
      <c r="A490" s="9" t="s">
        <v>27</v>
      </c>
      <c r="B490" s="2" t="s">
        <v>31</v>
      </c>
      <c r="C490" s="2">
        <v>3204</v>
      </c>
      <c r="D490" s="2">
        <v>563</v>
      </c>
      <c r="E490" s="2" t="str">
        <f>"1000001228"</f>
        <v>1000001228</v>
      </c>
      <c r="F490" s="4" t="str">
        <f>"TONER:CAN Item # 6647A003AA-CAN, Black Toner GPR-6 (Yld15k) for ImageRunner 2200/2800/3300"</f>
        <v>TONER:CAN Item # 6647A003AA-CAN, Black Toner GPR-6 (Yld15k) for ImageRunner 2200/2800/3300</v>
      </c>
      <c r="G490" s="74" t="str">
        <f t="shared" si="27"/>
        <v>EA</v>
      </c>
      <c r="H490" s="7">
        <v>45</v>
      </c>
      <c r="I490" s="2" t="str">
        <f>"44103103"</f>
        <v>44103103</v>
      </c>
      <c r="J490" s="10" t="s">
        <v>99</v>
      </c>
    </row>
    <row r="491" spans="1:10" ht="38.25">
      <c r="A491" s="9" t="s">
        <v>27</v>
      </c>
      <c r="B491" s="2" t="s">
        <v>31</v>
      </c>
      <c r="C491" s="2">
        <v>3204</v>
      </c>
      <c r="D491" s="2">
        <v>567</v>
      </c>
      <c r="E491" s="2" t="str">
        <f>"1000001229"</f>
        <v>1000001229</v>
      </c>
      <c r="F491" s="4" t="str">
        <f>"TONER:CAN Item # 8489A001AA-CAN, Black Toner for ImageClass MF5530, MF5550, X25 (Yld 2.5k)"</f>
        <v>TONER:CAN Item # 8489A001AA-CAN, Black Toner for ImageClass MF5530, MF5550, X25 (Yld 2.5k)</v>
      </c>
      <c r="G491" s="74" t="str">
        <f t="shared" si="27"/>
        <v>EA</v>
      </c>
      <c r="H491" s="7">
        <v>88.65</v>
      </c>
      <c r="I491" s="2" t="str">
        <f>"44103103"</f>
        <v>44103103</v>
      </c>
      <c r="J491" s="10" t="s">
        <v>99</v>
      </c>
    </row>
    <row r="492" spans="1:10" ht="38.25">
      <c r="A492" s="9" t="s">
        <v>27</v>
      </c>
      <c r="B492" s="2" t="s">
        <v>31</v>
      </c>
      <c r="C492" s="2">
        <v>3204</v>
      </c>
      <c r="D492" s="2">
        <v>660</v>
      </c>
      <c r="E492" s="2" t="str">
        <f>"1000001242"</f>
        <v>1000001242</v>
      </c>
      <c r="F492" s="4" t="str">
        <f>"TONER:HP Item # C7115X-BC, Brand compatible Toner for Hewlett Packard Printers 1200/1220 Series (Yld 3.5k)"</f>
        <v>TONER:HP Item # C7115X-BC, Brand compatible Toner for Hewlett Packard Printers 1200/1220 Series (Yld 3.5k)</v>
      </c>
      <c r="G492" s="74" t="str">
        <f t="shared" si="27"/>
        <v>EA</v>
      </c>
      <c r="H492" s="7">
        <v>66</v>
      </c>
      <c r="I492" s="2" t="str">
        <f>"44103103"</f>
        <v>44103103</v>
      </c>
      <c r="J492" s="10" t="s">
        <v>99</v>
      </c>
    </row>
    <row r="493" spans="1:10" ht="38.25">
      <c r="A493" s="9" t="s">
        <v>27</v>
      </c>
      <c r="B493" s="2" t="s">
        <v>31</v>
      </c>
      <c r="C493" s="2">
        <v>3204</v>
      </c>
      <c r="D493" s="2">
        <v>751</v>
      </c>
      <c r="E493" s="2" t="str">
        <f>"1000001262"</f>
        <v>1000001262</v>
      </c>
      <c r="F493" s="4" t="str">
        <f>"TONER:HP Item # Q5949X-HEW, Toner for Hewlett Packard Printers HP LaserJet 1320 Smart Print (Yld 6k)"</f>
        <v>TONER:HP Item # Q5949X-HEW, Toner for Hewlett Packard Printers HP LaserJet 1320 Smart Print (Yld 6k)</v>
      </c>
      <c r="G493" s="74" t="str">
        <f t="shared" si="27"/>
        <v>EA</v>
      </c>
      <c r="H493" s="7">
        <v>170.99</v>
      </c>
      <c r="I493" s="2" t="str">
        <f>"44103103"</f>
        <v>44103103</v>
      </c>
      <c r="J493" s="10" t="s">
        <v>99</v>
      </c>
    </row>
    <row r="494" spans="1:10" ht="38.25">
      <c r="A494" s="9" t="s">
        <v>27</v>
      </c>
      <c r="B494" s="2" t="s">
        <v>31</v>
      </c>
      <c r="C494" s="2">
        <v>3204</v>
      </c>
      <c r="D494" s="2">
        <v>764</v>
      </c>
      <c r="E494" s="2" t="str">
        <f>"1000001285"</f>
        <v>1000001285</v>
      </c>
      <c r="F494" s="4" t="str">
        <f>"TONER:HP Item # Q6470A-HEW, Black Toner for Hewlett Packard Printers HP LaserJet 3600/3800, (Yld 6k)"</f>
        <v>TONER:HP Item # Q6470A-HEW, Black Toner for Hewlett Packard Printers HP LaserJet 3600/3800, (Yld 6k)</v>
      </c>
      <c r="G494" s="74" t="str">
        <f t="shared" si="27"/>
        <v>EA</v>
      </c>
      <c r="H494" s="7">
        <v>150</v>
      </c>
      <c r="I494" s="2" t="str">
        <f>"44103103"</f>
        <v>44103103</v>
      </c>
      <c r="J494" s="10" t="s">
        <v>99</v>
      </c>
    </row>
    <row r="495" spans="1:10" ht="25.5">
      <c r="A495" s="9" t="s">
        <v>27</v>
      </c>
      <c r="B495" s="2" t="s">
        <v>31</v>
      </c>
      <c r="C495" s="2">
        <v>3204</v>
      </c>
      <c r="D495" s="2">
        <v>20</v>
      </c>
      <c r="E495" s="2" t="str">
        <f>"1000001292"</f>
        <v>1000001292</v>
      </c>
      <c r="F495" s="4" t="str">
        <f>"DRUM:HP Item # Q3964A-HEW, CLJ 2550 Imaging Drum Unit"</f>
        <v>DRUM:HP Item # Q3964A-HEW, CLJ 2550 Imaging Drum Unit</v>
      </c>
      <c r="G495" s="74" t="str">
        <f t="shared" si="27"/>
        <v>EA</v>
      </c>
      <c r="H495" s="7">
        <v>186.49</v>
      </c>
      <c r="I495" s="2" t="str">
        <f>"44103109"</f>
        <v>44103109</v>
      </c>
      <c r="J495" s="10" t="s">
        <v>94</v>
      </c>
    </row>
    <row r="496" spans="1:10" ht="38.25">
      <c r="A496" s="9" t="s">
        <v>27</v>
      </c>
      <c r="B496" s="2" t="s">
        <v>31</v>
      </c>
      <c r="C496" s="2">
        <v>3204</v>
      </c>
      <c r="D496" s="2">
        <v>632</v>
      </c>
      <c r="E496" s="2" t="str">
        <f>"1000001304"</f>
        <v>1000001304</v>
      </c>
      <c r="F496" s="4" t="str">
        <f>"TONER:HP Item # C4127X-HEW, Toner for Hewlett Packard Printers HP 4000Series (Yld 10k)"</f>
        <v>TONER:HP Item # C4127X-HEW, Toner for Hewlett Packard Printers HP 4000Series (Yld 10k)</v>
      </c>
      <c r="G496" s="74" t="str">
        <f t="shared" si="27"/>
        <v>EA</v>
      </c>
      <c r="H496" s="7">
        <v>167.99</v>
      </c>
      <c r="I496" s="2" t="str">
        <f>"44103103"</f>
        <v>44103103</v>
      </c>
      <c r="J496" s="10" t="s">
        <v>99</v>
      </c>
    </row>
    <row r="497" spans="1:10" ht="51">
      <c r="A497" s="9" t="s">
        <v>27</v>
      </c>
      <c r="B497" s="2" t="s">
        <v>31</v>
      </c>
      <c r="C497" s="2">
        <v>3204</v>
      </c>
      <c r="D497" s="2">
        <v>860</v>
      </c>
      <c r="E497" s="2" t="str">
        <f>"1000001305"</f>
        <v>1000001305</v>
      </c>
      <c r="F497" s="4" t="str">
        <f>"TONER:MIC Item # C8061X-BCM, Brand Compatible MICR Toner Cartridge (02216117) for HP Troy 4100 Series (Yld 10k)"</f>
        <v>TONER:MIC Item # C8061X-BCM, Brand Compatible MICR Toner Cartridge (02216117) for HP Troy 4100 Series (Yld 10k)</v>
      </c>
      <c r="G497" s="74" t="str">
        <f t="shared" si="27"/>
        <v>EA</v>
      </c>
      <c r="H497" s="7">
        <v>202</v>
      </c>
      <c r="I497" s="2" t="str">
        <f>"44103103"</f>
        <v>44103103</v>
      </c>
      <c r="J497" s="10" t="s">
        <v>99</v>
      </c>
    </row>
    <row r="498" spans="1:10" ht="38.25">
      <c r="A498" s="9" t="s">
        <v>27</v>
      </c>
      <c r="B498" s="2" t="s">
        <v>31</v>
      </c>
      <c r="C498" s="2">
        <v>3204</v>
      </c>
      <c r="D498" s="2">
        <v>665</v>
      </c>
      <c r="E498" s="2" t="str">
        <f>"1000001306"</f>
        <v>1000001306</v>
      </c>
      <c r="F498" s="4" t="str">
        <f>"TONER:HP Item # C8061X-HEW, Toner for Hewlett Packard Printers HP 4100 Series Toner (Yld 10k)"</f>
        <v>TONER:HP Item # C8061X-HEW, Toner for Hewlett Packard Printers HP 4100 Series Toner (Yld 10k)</v>
      </c>
      <c r="G498" s="74" t="str">
        <f t="shared" si="27"/>
        <v>EA</v>
      </c>
      <c r="H498" s="7">
        <v>167.99</v>
      </c>
      <c r="I498" s="2" t="str">
        <f>"44103103"</f>
        <v>44103103</v>
      </c>
      <c r="J498" s="10" t="s">
        <v>99</v>
      </c>
    </row>
    <row r="499" spans="1:10" ht="38.25">
      <c r="A499" s="9" t="s">
        <v>27</v>
      </c>
      <c r="B499" s="2" t="s">
        <v>31</v>
      </c>
      <c r="C499" s="2">
        <v>3204</v>
      </c>
      <c r="D499" s="2">
        <v>436</v>
      </c>
      <c r="E499" s="2" t="str">
        <f>"1000001337"</f>
        <v>1000001337</v>
      </c>
      <c r="F499" s="4" t="str">
        <f>"PRINTHEAD:HP Item # C4823A-HEW, No. 80 Printhead and Printhead Cleaner, Yellow, Design Jet 1000/1050/1055CM"</f>
        <v>PRINTHEAD:HP Item # C4823A-HEW, No. 80 Printhead and Printhead Cleaner, Yellow, Design Jet 1000/1050/1055CM</v>
      </c>
      <c r="G499" s="74" t="str">
        <f t="shared" si="27"/>
        <v>EA</v>
      </c>
      <c r="H499" s="7">
        <v>157.66</v>
      </c>
      <c r="I499" s="2" t="str">
        <f>"44103110"</f>
        <v>44103110</v>
      </c>
      <c r="J499" s="10" t="s">
        <v>102</v>
      </c>
    </row>
    <row r="500" spans="1:10" ht="38.25">
      <c r="A500" s="9" t="s">
        <v>27</v>
      </c>
      <c r="B500" s="2" t="s">
        <v>31</v>
      </c>
      <c r="C500" s="2">
        <v>3204</v>
      </c>
      <c r="D500" s="2">
        <v>245</v>
      </c>
      <c r="E500" s="2" t="str">
        <f>"1000001338"</f>
        <v>1000001338</v>
      </c>
      <c r="F500" s="4" t="str">
        <f>"INK CART:HP Item # C4871A-HEW, No. 80 Ink Ctg, Black, (Yld 4.4k) DesignJet 1000/1050/1055 Series"</f>
        <v>INK CART:HP Item # C4871A-HEW, No. 80 Ink Ctg, Black, (Yld 4.4k) DesignJet 1000/1050/1055 Series</v>
      </c>
      <c r="G500" s="74" t="str">
        <f t="shared" si="27"/>
        <v>EA</v>
      </c>
      <c r="H500" s="7">
        <v>158.99</v>
      </c>
      <c r="I500" s="2" t="str">
        <f>"44103105"</f>
        <v>44103105</v>
      </c>
      <c r="J500" s="10" t="s">
        <v>98</v>
      </c>
    </row>
    <row r="501" spans="1:10" ht="38.25">
      <c r="A501" s="9" t="s">
        <v>27</v>
      </c>
      <c r="B501" s="2" t="s">
        <v>31</v>
      </c>
      <c r="C501" s="2">
        <v>3204</v>
      </c>
      <c r="D501" s="2">
        <v>221</v>
      </c>
      <c r="E501" s="2" t="str">
        <f>"1000001346"</f>
        <v>1000001346</v>
      </c>
      <c r="F501" s="4" t="str">
        <f>"INK CART:HP Item # 51645A-HEW, Black ink cartridge for Hewlett Packard Printers, HP DeskJet 700/710c/712c/720c (Yld 1.1k)"</f>
        <v>INK CART:HP Item # 51645A-HEW, Black ink cartridge for Hewlett Packard Printers, HP DeskJet 700/710c/712c/720c (Yld 1.1k)</v>
      </c>
      <c r="G501" s="74" t="str">
        <f t="shared" si="27"/>
        <v>EA</v>
      </c>
      <c r="H501" s="7">
        <v>34</v>
      </c>
      <c r="I501" s="2" t="str">
        <f>"44103105"</f>
        <v>44103105</v>
      </c>
      <c r="J501" s="10" t="s">
        <v>98</v>
      </c>
    </row>
    <row r="502" spans="1:10" ht="38.25">
      <c r="A502" s="9" t="s">
        <v>27</v>
      </c>
      <c r="B502" s="2" t="s">
        <v>31</v>
      </c>
      <c r="C502" s="2">
        <v>3204</v>
      </c>
      <c r="D502" s="2">
        <v>62</v>
      </c>
      <c r="E502" s="2" t="str">
        <f>"1000001365"</f>
        <v>1000001365</v>
      </c>
      <c r="F502" s="4" t="str">
        <f>"INK CART:BRO Item # LC31BK-BRT, Black Ink (Yld 500) for Brother PPF 1920C Multifunction Machine"</f>
        <v>INK CART:BRO Item # LC31BK-BRT, Black Ink (Yld 500) for Brother PPF 1920C Multifunction Machine</v>
      </c>
      <c r="G502" s="74" t="str">
        <f t="shared" si="27"/>
        <v>EA</v>
      </c>
      <c r="H502" s="7">
        <v>23</v>
      </c>
      <c r="I502" s="2" t="str">
        <f>"44103105"</f>
        <v>44103105</v>
      </c>
      <c r="J502" s="10" t="s">
        <v>98</v>
      </c>
    </row>
    <row r="503" spans="1:10" ht="38.25">
      <c r="A503" s="9" t="s">
        <v>27</v>
      </c>
      <c r="B503" s="2" t="s">
        <v>31</v>
      </c>
      <c r="C503" s="2">
        <v>3204</v>
      </c>
      <c r="D503" s="2">
        <v>395</v>
      </c>
      <c r="E503" s="2" t="str">
        <f>"1000001378"</f>
        <v>1000001378</v>
      </c>
      <c r="F503" s="4" t="str">
        <f>"INK CART:XER Item # 108R00606-XER, Xerox Phaser 8400 Magenta Ink (Yld 3400) 3 pack"</f>
        <v>INK CART:XER Item # 108R00606-XER, Xerox Phaser 8400 Magenta Ink (Yld 3400) 3 pack</v>
      </c>
      <c r="G503" s="74" t="str">
        <f>"PK"</f>
        <v>PK</v>
      </c>
      <c r="H503" s="7">
        <v>136</v>
      </c>
      <c r="I503" s="2" t="str">
        <f>"44103105"</f>
        <v>44103105</v>
      </c>
      <c r="J503" s="10" t="s">
        <v>98</v>
      </c>
    </row>
    <row r="504" spans="1:10" ht="38.25">
      <c r="A504" s="9" t="s">
        <v>27</v>
      </c>
      <c r="B504" s="2" t="s">
        <v>31</v>
      </c>
      <c r="C504" s="2">
        <v>3204</v>
      </c>
      <c r="D504" s="2">
        <v>477</v>
      </c>
      <c r="E504" s="2" t="str">
        <f>"1000001399"</f>
        <v>1000001399</v>
      </c>
      <c r="F504" s="4" t="str">
        <f>"PRINTHEAD: Item C4963A-HEW, No. 83 Yellow printhead/cleaner Designjet 5000 Series, Designjet 5500 Series"</f>
        <v>PRINTHEAD: Item C4963A-HEW, No. 83 Yellow printhead/cleaner Designjet 5000 Series, Designjet 5500 Series</v>
      </c>
      <c r="G504" s="74" t="str">
        <f>"EA"</f>
        <v>EA</v>
      </c>
      <c r="H504" s="7">
        <v>172.98</v>
      </c>
      <c r="I504" s="2" t="str">
        <f>"44103110"</f>
        <v>44103110</v>
      </c>
      <c r="J504" s="10" t="s">
        <v>102</v>
      </c>
    </row>
    <row r="505" spans="1:10" ht="63.75">
      <c r="A505" s="9" t="s">
        <v>27</v>
      </c>
      <c r="B505" s="2" t="s">
        <v>31</v>
      </c>
      <c r="C505" s="2">
        <v>3204</v>
      </c>
      <c r="D505" s="2">
        <v>462</v>
      </c>
      <c r="E505" s="2" t="str">
        <f>"1000001408"</f>
        <v>1000001408</v>
      </c>
      <c r="F505" s="4" t="str">
        <f>"PRINTHEAD:HP Item # C5080A-HEW, No 90 Magenta Value pack includes 400 ml Magenta ink cartridge, print head and printhead cleaner for DesignJet 4000 and 4500 Series"</f>
        <v>PRINTHEAD:HP Item # C5080A-HEW, No 90 Magenta Value pack includes 400 ml Magenta ink cartridge, print head and printhead cleaner for DesignJet 4000 and 4500 Series</v>
      </c>
      <c r="G505" s="74" t="str">
        <f>"PK"</f>
        <v>PK</v>
      </c>
      <c r="H505" s="7">
        <v>260</v>
      </c>
      <c r="I505" s="2" t="str">
        <f>"44103110"</f>
        <v>44103110</v>
      </c>
      <c r="J505" s="10" t="s">
        <v>102</v>
      </c>
    </row>
    <row r="506" spans="1:10" ht="63.75">
      <c r="A506" s="9" t="s">
        <v>27</v>
      </c>
      <c r="B506" s="2" t="s">
        <v>31</v>
      </c>
      <c r="C506" s="2">
        <v>3204</v>
      </c>
      <c r="D506" s="2">
        <v>460</v>
      </c>
      <c r="E506" s="2" t="str">
        <f>"1000001429"</f>
        <v>1000001429</v>
      </c>
      <c r="F506" s="4" t="str">
        <f>"PRINTHEAD:HP Item # C5078A-HEW, No. 90 Black Value pack includes 400 ml Black ink cartridge, print head and printhead cleaner for DesignJet 4000 and 4500 Series"</f>
        <v>PRINTHEAD:HP Item # C5078A-HEW, No. 90 Black Value pack includes 400 ml Black ink cartridge, print head and printhead cleaner for DesignJet 4000 and 4500 Series</v>
      </c>
      <c r="G506" s="74" t="str">
        <f>"PK"</f>
        <v>PK</v>
      </c>
      <c r="H506" s="7">
        <v>229</v>
      </c>
      <c r="I506" s="2" t="str">
        <f>"44103110"</f>
        <v>44103110</v>
      </c>
      <c r="J506" s="10" t="s">
        <v>102</v>
      </c>
    </row>
    <row r="507" spans="1:10" ht="63.75">
      <c r="A507" s="9" t="s">
        <v>27</v>
      </c>
      <c r="B507" s="2" t="s">
        <v>31</v>
      </c>
      <c r="C507" s="2">
        <v>3204</v>
      </c>
      <c r="D507" s="2">
        <v>461</v>
      </c>
      <c r="E507" s="2" t="str">
        <f>"1000001430"</f>
        <v>1000001430</v>
      </c>
      <c r="F507" s="4" t="str">
        <f>"PRINTHEAD:HP Item # C5079A-HEW No 90 Cyan Value pack includes 400 ml Cyan ink cartridge, print head and printhead cleaner for DesignJet 4000 and 4500 Series"</f>
        <v>PRINTHEAD:HP Item # C5079A-HEW No 90 Cyan Value pack includes 400 ml Cyan ink cartridge, print head and printhead cleaner for DesignJet 4000 and 4500 Series</v>
      </c>
      <c r="G507" s="74" t="str">
        <f>"PK"</f>
        <v>PK</v>
      </c>
      <c r="H507" s="7">
        <v>260</v>
      </c>
      <c r="I507" s="2" t="str">
        <f>"44103110"</f>
        <v>44103110</v>
      </c>
      <c r="J507" s="10" t="s">
        <v>102</v>
      </c>
    </row>
    <row r="508" spans="1:10" ht="38.25">
      <c r="A508" s="9" t="s">
        <v>27</v>
      </c>
      <c r="B508" s="2" t="s">
        <v>31</v>
      </c>
      <c r="C508" s="2">
        <v>3204</v>
      </c>
      <c r="D508" s="2">
        <v>566</v>
      </c>
      <c r="E508" s="2" t="str">
        <f>"1000001444"</f>
        <v>1000001444</v>
      </c>
      <c r="F508" s="4" t="str">
        <f>"TONER:CAN Item # 7833A001AA-CAN, Toner for Canon Printers (NR) S-35 ctg.for Imageclass (Yld 35k)"</f>
        <v>TONER:CAN Item # 7833A001AA-CAN, Toner for Canon Printers (NR) S-35 ctg.for Imageclass (Yld 35k)</v>
      </c>
      <c r="G508" s="74" t="str">
        <f t="shared" ref="G508:G514" si="28">"EA"</f>
        <v>EA</v>
      </c>
      <c r="H508" s="7">
        <v>140.66</v>
      </c>
      <c r="I508" s="2" t="str">
        <f>"44103103"</f>
        <v>44103103</v>
      </c>
      <c r="J508" s="10" t="s">
        <v>99</v>
      </c>
    </row>
    <row r="509" spans="1:10" ht="51">
      <c r="A509" s="9" t="s">
        <v>27</v>
      </c>
      <c r="B509" s="2" t="s">
        <v>31</v>
      </c>
      <c r="C509" s="2">
        <v>3204</v>
      </c>
      <c r="D509" s="2">
        <v>573</v>
      </c>
      <c r="E509" s="2" t="str">
        <f>"1000001445"</f>
        <v>1000001445</v>
      </c>
      <c r="F509" s="4" t="str">
        <f>"TONER:CAN Item # FX3-BC, Brand Compatible Fax Toner Cartridge for Canon L2060/L3500/L4000/L4500 Multipass 6000 (Yld 4k)"</f>
        <v>TONER:CAN Item # FX3-BC, Brand Compatible Fax Toner Cartridge for Canon L2060/L3500/L4000/L4500 Multipass 6000 (Yld 4k)</v>
      </c>
      <c r="G509" s="74" t="str">
        <f t="shared" si="28"/>
        <v>EA</v>
      </c>
      <c r="H509" s="7">
        <v>72</v>
      </c>
      <c r="I509" s="2" t="str">
        <f>"44103103"</f>
        <v>44103103</v>
      </c>
      <c r="J509" s="10" t="s">
        <v>99</v>
      </c>
    </row>
    <row r="510" spans="1:10" ht="51">
      <c r="A510" s="9" t="s">
        <v>27</v>
      </c>
      <c r="B510" s="2" t="s">
        <v>31</v>
      </c>
      <c r="C510" s="2">
        <v>3204</v>
      </c>
      <c r="D510" s="2">
        <v>67</v>
      </c>
      <c r="E510" s="2" t="str">
        <f>"1000001468"</f>
        <v>1000001468</v>
      </c>
      <c r="F510" s="4" t="str">
        <f>"INK CART:BRO Item # LC41C-BRT, Cyan Ink for Brother Intellifax 1840c/1940cn /2440 MFC 210C/420CN/620CN/ 3240C/3340N/5440CN/5840CN"</f>
        <v>INK CART:BRO Item # LC41C-BRT, Cyan Ink for Brother Intellifax 1840c/1940cn /2440 MFC 210C/420CN/620CN/ 3240C/3340N/5440CN/5840CN</v>
      </c>
      <c r="G510" s="74" t="str">
        <f t="shared" si="28"/>
        <v>EA</v>
      </c>
      <c r="H510" s="7">
        <v>14.99</v>
      </c>
      <c r="I510" s="2" t="str">
        <f>"44103105"</f>
        <v>44103105</v>
      </c>
      <c r="J510" s="10" t="s">
        <v>98</v>
      </c>
    </row>
    <row r="511" spans="1:10" ht="51">
      <c r="A511" s="9" t="s">
        <v>27</v>
      </c>
      <c r="B511" s="2" t="s">
        <v>31</v>
      </c>
      <c r="C511" s="2">
        <v>3204</v>
      </c>
      <c r="D511" s="2">
        <v>68</v>
      </c>
      <c r="E511" s="2" t="str">
        <f>"1000001469"</f>
        <v>1000001469</v>
      </c>
      <c r="F511" s="4" t="str">
        <f>"INK CART:BRO Item # LC41M-BRT, Magenta Ink for Brother Intellifax 1840c/1940cn /2440 MFC 210C/420CN/620CN/ 3240C/3340N/5440CN/5840CN"</f>
        <v>INK CART:BRO Item # LC41M-BRT, Magenta Ink for Brother Intellifax 1840c/1940cn /2440 MFC 210C/420CN/620CN/ 3240C/3340N/5440CN/5840CN</v>
      </c>
      <c r="G511" s="74" t="str">
        <f t="shared" si="28"/>
        <v>EA</v>
      </c>
      <c r="H511" s="7">
        <v>14.99</v>
      </c>
      <c r="I511" s="2" t="str">
        <f>"44103105"</f>
        <v>44103105</v>
      </c>
      <c r="J511" s="10" t="s">
        <v>98</v>
      </c>
    </row>
    <row r="512" spans="1:10" ht="51">
      <c r="A512" s="9" t="s">
        <v>27</v>
      </c>
      <c r="B512" s="2" t="s">
        <v>31</v>
      </c>
      <c r="C512" s="2">
        <v>3204</v>
      </c>
      <c r="D512" s="2">
        <v>69</v>
      </c>
      <c r="E512" s="2" t="str">
        <f>"1000001470"</f>
        <v>1000001470</v>
      </c>
      <c r="F512" s="4" t="str">
        <f>"INK CART:BRO Item # LC41Y-BRT, Yellow Ink for Brother Intellifax 1840c/1940cn /2440 MFC 210C/420CN/620CN/ 3240C/3340N/5440CN/5840CN"</f>
        <v>INK CART:BRO Item # LC41Y-BRT, Yellow Ink for Brother Intellifax 1840c/1940cn /2440 MFC 210C/420CN/620CN/ 3240C/3340N/5440CN/5840CN</v>
      </c>
      <c r="G512" s="74" t="str">
        <f t="shared" si="28"/>
        <v>EA</v>
      </c>
      <c r="H512" s="7">
        <v>14.99</v>
      </c>
      <c r="I512" s="2" t="str">
        <f>"44103105"</f>
        <v>44103105</v>
      </c>
      <c r="J512" s="10" t="s">
        <v>98</v>
      </c>
    </row>
    <row r="513" spans="1:10" ht="38.25">
      <c r="A513" s="9" t="s">
        <v>27</v>
      </c>
      <c r="B513" s="2" t="s">
        <v>31</v>
      </c>
      <c r="C513" s="2">
        <v>3204</v>
      </c>
      <c r="D513" s="2">
        <v>685</v>
      </c>
      <c r="E513" s="2" t="str">
        <f>"1000001495"</f>
        <v>1000001495</v>
      </c>
      <c r="F513" s="4" t="str">
        <f>"TONER:HP Item # C9723A-HEW, Magenta Toner for Hewlett Packard Printers Color LaserJet 4600 (Yld 8k)"</f>
        <v>TONER:HP Item # C9723A-HEW, Magenta Toner for Hewlett Packard Printers Color LaserJet 4600 (Yld 8k)</v>
      </c>
      <c r="G513" s="74" t="str">
        <f t="shared" si="28"/>
        <v>EA</v>
      </c>
      <c r="H513" s="7">
        <v>274.99</v>
      </c>
      <c r="I513" s="2" t="str">
        <f>"44103103"</f>
        <v>44103103</v>
      </c>
      <c r="J513" s="10" t="s">
        <v>99</v>
      </c>
    </row>
    <row r="514" spans="1:10" ht="51">
      <c r="A514" s="9" t="s">
        <v>27</v>
      </c>
      <c r="B514" s="2" t="s">
        <v>31</v>
      </c>
      <c r="C514" s="2">
        <v>3204</v>
      </c>
      <c r="D514" s="2">
        <v>290</v>
      </c>
      <c r="E514" s="2" t="str">
        <f>"1000001508"</f>
        <v>1000001508</v>
      </c>
      <c r="F514" s="4" t="str">
        <f>"INK CART:HP Item # C8727AN-HEW, No. 27 Black ink cartridge for Hewlett Packard Printers DeskJet 3320/3420/3425 (Yld 200)"</f>
        <v>INK CART:HP Item # C8727AN-HEW, No. 27 Black ink cartridge for Hewlett Packard Printers DeskJet 3320/3420/3425 (Yld 200)</v>
      </c>
      <c r="G514" s="74" t="str">
        <f t="shared" si="28"/>
        <v>EA</v>
      </c>
      <c r="H514" s="7">
        <v>21.99</v>
      </c>
      <c r="I514" s="2" t="str">
        <f>"44103105"</f>
        <v>44103105</v>
      </c>
      <c r="J514" s="10" t="s">
        <v>98</v>
      </c>
    </row>
    <row r="515" spans="1:10" ht="51">
      <c r="A515" s="9" t="s">
        <v>27</v>
      </c>
      <c r="B515" s="2" t="s">
        <v>31</v>
      </c>
      <c r="C515" s="2">
        <v>3204</v>
      </c>
      <c r="D515" s="2">
        <v>439</v>
      </c>
      <c r="E515" s="2" t="str">
        <f>"1000001521"</f>
        <v>1000001521</v>
      </c>
      <c r="F515" s="4" t="str">
        <f>"PRINTHEAD:HP Item # C4893A-HEW, No. 80 Value Pack, Yellow (350 ml Ink Ctg, Printhead, Printhead Cleaner), DesignJet 1000 Series"</f>
        <v>PRINTHEAD:HP Item # C4893A-HEW, No. 80 Value Pack, Yellow (350 ml Ink Ctg, Printhead, Printhead Cleaner), DesignJet 1000 Series</v>
      </c>
      <c r="G515" s="74" t="str">
        <f>"PK"</f>
        <v>PK</v>
      </c>
      <c r="H515" s="7">
        <v>254</v>
      </c>
      <c r="I515" s="2" t="str">
        <f>"44103110"</f>
        <v>44103110</v>
      </c>
      <c r="J515" s="10" t="s">
        <v>102</v>
      </c>
    </row>
    <row r="516" spans="1:10" ht="38.25">
      <c r="A516" s="9" t="s">
        <v>27</v>
      </c>
      <c r="B516" s="2" t="s">
        <v>31</v>
      </c>
      <c r="C516" s="2">
        <v>3204</v>
      </c>
      <c r="D516" s="2">
        <v>771</v>
      </c>
      <c r="E516" s="2" t="str">
        <f>"1000001522"</f>
        <v>1000001522</v>
      </c>
      <c r="F516" s="4" t="str">
        <f>"TONER:HP Item # Q7551A-HEW, Black Toner Cartridge for LaserJet P3005 (Yld 6.5k)"</f>
        <v>TONER:HP Item # Q7551A-HEW, Black Toner Cartridge for LaserJet P3005 (Yld 6.5k)</v>
      </c>
      <c r="G516" s="74" t="str">
        <f t="shared" ref="G516:G534" si="29">"EA"</f>
        <v>EA</v>
      </c>
      <c r="H516" s="7">
        <v>146.99</v>
      </c>
      <c r="I516" s="2" t="str">
        <f>"44103103"</f>
        <v>44103103</v>
      </c>
      <c r="J516" s="10" t="s">
        <v>99</v>
      </c>
    </row>
    <row r="517" spans="1:10" ht="38.25">
      <c r="A517" s="9" t="s">
        <v>27</v>
      </c>
      <c r="B517" s="2" t="s">
        <v>31</v>
      </c>
      <c r="C517" s="2">
        <v>3204</v>
      </c>
      <c r="D517" s="2">
        <v>512</v>
      </c>
      <c r="E517" s="2" t="str">
        <f>"1000001530"</f>
        <v>1000001530</v>
      </c>
      <c r="F517" s="4" t="str">
        <f>"RIBBON:OKI Item # 52106001-OKI, Black, nylon ribbon for Okidata Printers ML 590/591"</f>
        <v>RIBBON:OKI Item # 52106001-OKI, Black, nylon ribbon for Okidata Printers ML 590/591</v>
      </c>
      <c r="G517" s="74" t="str">
        <f t="shared" si="29"/>
        <v>EA</v>
      </c>
      <c r="H517" s="7">
        <v>19</v>
      </c>
      <c r="I517" s="2" t="str">
        <f>"44103112"</f>
        <v>44103112</v>
      </c>
      <c r="J517" s="10" t="s">
        <v>105</v>
      </c>
    </row>
    <row r="518" spans="1:10" ht="51">
      <c r="A518" s="9" t="s">
        <v>27</v>
      </c>
      <c r="B518" s="2" t="s">
        <v>31</v>
      </c>
      <c r="C518" s="2">
        <v>3204</v>
      </c>
      <c r="D518" s="2">
        <v>291</v>
      </c>
      <c r="E518" s="2" t="str">
        <f>"1000001533"</f>
        <v>1000001533</v>
      </c>
      <c r="F518" s="4" t="str">
        <f>"INK CART:HP Item # C8728AN-HEW, No. 28 ink cartridge, Tri-Color toner for Hewlett Packard Printers DeskJet 3320/3420/3425 (Yld 190)"</f>
        <v>INK CART:HP Item # C8728AN-HEW, No. 28 ink cartridge, Tri-Color toner for Hewlett Packard Printers DeskJet 3320/3420/3425 (Yld 190)</v>
      </c>
      <c r="G518" s="74" t="str">
        <f t="shared" si="29"/>
        <v>EA</v>
      </c>
      <c r="H518" s="7">
        <v>27.99</v>
      </c>
      <c r="I518" s="2" t="str">
        <f>"44103105"</f>
        <v>44103105</v>
      </c>
      <c r="J518" s="10" t="s">
        <v>98</v>
      </c>
    </row>
    <row r="519" spans="1:10" ht="38.25">
      <c r="A519" s="9" t="s">
        <v>27</v>
      </c>
      <c r="B519" s="2" t="s">
        <v>31</v>
      </c>
      <c r="C519" s="2">
        <v>3204</v>
      </c>
      <c r="D519" s="2">
        <v>285</v>
      </c>
      <c r="E519" s="2" t="str">
        <f>"1000001534"</f>
        <v>1000001534</v>
      </c>
      <c r="F519" s="4" t="str">
        <f>"INK CART:HP Item # C6628AN-HEW, No. 19 Black Ink Cartridge (Yld 485) for Hewlett Packard Printers HP DeskJet 350/350CBi."</f>
        <v>INK CART:HP Item # C6628AN-HEW, No. 19 Black Ink Cartridge (Yld 485) for Hewlett Packard Printers HP DeskJet 350/350CBi.</v>
      </c>
      <c r="G519" s="74" t="str">
        <f t="shared" si="29"/>
        <v>EA</v>
      </c>
      <c r="H519" s="7">
        <v>39</v>
      </c>
      <c r="I519" s="2" t="str">
        <f>"44103105"</f>
        <v>44103105</v>
      </c>
      <c r="J519" s="10" t="s">
        <v>98</v>
      </c>
    </row>
    <row r="520" spans="1:10" ht="38.25">
      <c r="A520" s="9" t="s">
        <v>27</v>
      </c>
      <c r="B520" s="2" t="s">
        <v>31</v>
      </c>
      <c r="C520" s="2">
        <v>3204</v>
      </c>
      <c r="D520" s="2">
        <v>211</v>
      </c>
      <c r="E520" s="2" t="str">
        <f>"1000001535"</f>
        <v>1000001535</v>
      </c>
      <c r="F520" s="4" t="str">
        <f>"INK CART:HP Item # 51629A-HEW, Black ink for Hewlett Packard Printers, HP DeskJet 600/ 660C/ 670TV/ 680/ 690C (yld 650)"</f>
        <v>INK CART:HP Item # 51629A-HEW, Black ink for Hewlett Packard Printers, HP DeskJet 600/ 660C/ 670TV/ 680/ 690C (yld 650)</v>
      </c>
      <c r="G520" s="74" t="str">
        <f t="shared" si="29"/>
        <v>EA</v>
      </c>
      <c r="H520" s="7">
        <v>39.22</v>
      </c>
      <c r="I520" s="2" t="str">
        <f>"44103105"</f>
        <v>44103105</v>
      </c>
      <c r="J520" s="10" t="s">
        <v>98</v>
      </c>
    </row>
    <row r="521" spans="1:10" ht="38.25">
      <c r="A521" s="9" t="s">
        <v>27</v>
      </c>
      <c r="B521" s="2" t="s">
        <v>31</v>
      </c>
      <c r="C521" s="2">
        <v>3204</v>
      </c>
      <c r="D521" s="2">
        <v>222</v>
      </c>
      <c r="E521" s="2" t="str">
        <f>"1000001536"</f>
        <v>1000001536</v>
      </c>
      <c r="F521" s="4" t="str">
        <f>"INK CART:HP Item # 51649A-HEW, HP 49 Color, high capacity inkjet cartridge Hewlett Packard Printers, (yld 315)"</f>
        <v>INK CART:HP Item # 51649A-HEW, HP 49 Color, high capacity inkjet cartridge Hewlett Packard Printers, (yld 315)</v>
      </c>
      <c r="G521" s="74" t="str">
        <f t="shared" si="29"/>
        <v>EA</v>
      </c>
      <c r="H521" s="7">
        <v>40</v>
      </c>
      <c r="I521" s="2" t="str">
        <f>"44103105"</f>
        <v>44103105</v>
      </c>
      <c r="J521" s="10" t="s">
        <v>98</v>
      </c>
    </row>
    <row r="522" spans="1:10" ht="38.25">
      <c r="A522" s="9" t="s">
        <v>27</v>
      </c>
      <c r="B522" s="2" t="s">
        <v>31</v>
      </c>
      <c r="C522" s="2">
        <v>3204</v>
      </c>
      <c r="D522" s="2">
        <v>282</v>
      </c>
      <c r="E522" s="2" t="str">
        <f>"1000001537"</f>
        <v>1000001537</v>
      </c>
      <c r="F522" s="4" t="str">
        <f>"INK CART:HP Item # C6614DN-HEW, No. 20 Ink Ctg, Black, (Yld 325) DeskJet 610/612/640/642/648 HP Fax 925"</f>
        <v>INK CART:HP Item # C6614DN-HEW, No. 20 Ink Ctg, Black, (Yld 325) DeskJet 610/612/640/642/648 HP Fax 925</v>
      </c>
      <c r="G522" s="74" t="str">
        <f t="shared" si="29"/>
        <v>EA</v>
      </c>
      <c r="H522" s="7">
        <v>35</v>
      </c>
      <c r="I522" s="2" t="str">
        <f>"44103105"</f>
        <v>44103105</v>
      </c>
      <c r="J522" s="10" t="s">
        <v>98</v>
      </c>
    </row>
    <row r="523" spans="1:10" ht="51">
      <c r="A523" s="9" t="s">
        <v>27</v>
      </c>
      <c r="B523" s="2" t="s">
        <v>31</v>
      </c>
      <c r="C523" s="2">
        <v>3204</v>
      </c>
      <c r="D523" s="2">
        <v>557</v>
      </c>
      <c r="E523" s="2" t="str">
        <f>"1000001553"</f>
        <v>1000001553</v>
      </c>
      <c r="F523" s="4" t="str">
        <f>"TONER:CAN Item # 1492A002AA-CAN, Toner for Canon Printers (E-20) PC 210/300/310/320/330/330L/530/ 550/710/ 720/730/740 (Yld 2k)"</f>
        <v>TONER:CAN Item # 1492A002AA-CAN, Toner for Canon Printers (E-20) PC 210/300/310/320/330/330L/530/ 550/710/ 720/730/740 (Yld 2k)</v>
      </c>
      <c r="G523" s="74" t="str">
        <f t="shared" si="29"/>
        <v>EA</v>
      </c>
      <c r="H523" s="7">
        <v>92</v>
      </c>
      <c r="I523" s="2" t="str">
        <f>"44103103"</f>
        <v>44103103</v>
      </c>
      <c r="J523" s="10" t="s">
        <v>98</v>
      </c>
    </row>
    <row r="524" spans="1:10" ht="63.75">
      <c r="A524" s="9" t="s">
        <v>27</v>
      </c>
      <c r="B524" s="2" t="s">
        <v>31</v>
      </c>
      <c r="C524" s="2">
        <v>3204</v>
      </c>
      <c r="D524" s="2">
        <v>229</v>
      </c>
      <c r="E524" s="2" t="str">
        <f>"1000001568"</f>
        <v>1000001568</v>
      </c>
      <c r="F524" s="4" t="str">
        <f>"INK CART:HP Item # C1823D-HEW, Tri-Color Photo ink cartridge for Hewlett Packard Printers, HP DeskJet 710C/712C/720C/722C/880C/648/690 (yield 445)"</f>
        <v>INK CART:HP Item # C1823D-HEW, Tri-Color Photo ink cartridge for Hewlett Packard Printers, HP DeskJet 710C/712C/720C/722C/880C/648/690 (yield 445)</v>
      </c>
      <c r="G524" s="74" t="str">
        <f t="shared" si="29"/>
        <v>EA</v>
      </c>
      <c r="H524" s="7">
        <v>48.32</v>
      </c>
      <c r="I524" s="2" t="str">
        <f>"44103105"</f>
        <v>44103105</v>
      </c>
      <c r="J524" s="10" t="s">
        <v>98</v>
      </c>
    </row>
    <row r="525" spans="1:10" ht="51">
      <c r="A525" s="9" t="s">
        <v>27</v>
      </c>
      <c r="B525" s="2" t="s">
        <v>31</v>
      </c>
      <c r="C525" s="2">
        <v>3204</v>
      </c>
      <c r="D525" s="2">
        <v>539</v>
      </c>
      <c r="E525" s="2" t="str">
        <f>"1000001582"</f>
        <v>1000001582</v>
      </c>
      <c r="F525" s="4" t="str">
        <f>"TONER:BRO Item # TN430-BRT, Toner for Brother Printers Brother HL 1240/1250/1270N Toner Cartridge (Yld 3K)"</f>
        <v>TONER:BRO Item # TN430-BRT, Toner for Brother Printers Brother HL 1240/1250/1270N Toner Cartridge (Yld 3K)</v>
      </c>
      <c r="G525" s="74" t="str">
        <f t="shared" si="29"/>
        <v>EA</v>
      </c>
      <c r="H525" s="7">
        <v>68.819999999999993</v>
      </c>
      <c r="I525" s="2" t="str">
        <f>"44103103"</f>
        <v>44103103</v>
      </c>
      <c r="J525" s="10" t="s">
        <v>99</v>
      </c>
    </row>
    <row r="526" spans="1:10" ht="38.25">
      <c r="A526" s="9" t="s">
        <v>27</v>
      </c>
      <c r="B526" s="2" t="s">
        <v>31</v>
      </c>
      <c r="C526" s="2">
        <v>3204</v>
      </c>
      <c r="D526" s="2">
        <v>541</v>
      </c>
      <c r="E526" s="2" t="str">
        <f>"1000001583"</f>
        <v>1000001583</v>
      </c>
      <c r="F526" s="4" t="str">
        <f>"TONER:BRO Item # TN460-BRT, Toner for Brother Printers Brother HL 1240/1250/1270N Toner Cartridge (Yld 6k)"</f>
        <v>TONER:BRO Item # TN460-BRT, Toner for Brother Printers Brother HL 1240/1250/1270N Toner Cartridge (Yld 6k)</v>
      </c>
      <c r="G526" s="74" t="str">
        <f t="shared" si="29"/>
        <v>EA</v>
      </c>
      <c r="H526" s="7">
        <v>95.96</v>
      </c>
      <c r="I526" s="2" t="str">
        <f>"44103103"</f>
        <v>44103103</v>
      </c>
      <c r="J526" s="10" t="s">
        <v>99</v>
      </c>
    </row>
    <row r="527" spans="1:10" ht="38.25">
      <c r="A527" s="9" t="s">
        <v>27</v>
      </c>
      <c r="B527" s="2" t="s">
        <v>31</v>
      </c>
      <c r="C527" s="2">
        <v>3204</v>
      </c>
      <c r="D527" s="2">
        <v>10</v>
      </c>
      <c r="E527" s="2" t="str">
        <f>"1000001584"</f>
        <v>1000001584</v>
      </c>
      <c r="F527" s="4" t="str">
        <f>"DRUM:BRO Item # DR400-BRT, Drum Cartridge for Brother HL-1240/1250/1270N (Yield 20k)"</f>
        <v>DRUM:BRO Item # DR400-BRT, Drum Cartridge for Brother HL-1240/1250/1270N (Yield 20k)</v>
      </c>
      <c r="G527" s="74" t="str">
        <f t="shared" si="29"/>
        <v>EA</v>
      </c>
      <c r="H527" s="7">
        <v>182.66</v>
      </c>
      <c r="I527" s="2" t="str">
        <f>"44103109"</f>
        <v>44103109</v>
      </c>
      <c r="J527" s="10" t="s">
        <v>94</v>
      </c>
    </row>
    <row r="528" spans="1:10" ht="38.25">
      <c r="A528" s="9" t="s">
        <v>27</v>
      </c>
      <c r="B528" s="2" t="s">
        <v>31</v>
      </c>
      <c r="C528" s="2">
        <v>3204</v>
      </c>
      <c r="D528" s="2">
        <v>148</v>
      </c>
      <c r="E528" s="2" t="str">
        <f>"1000001641"</f>
        <v>1000001641</v>
      </c>
      <c r="F528" s="4" t="str">
        <f>"INK CART:EPS Item # T034420-EPS, Yellow Ink for Epson Printers Stylus Photo 2200 Inkjet Cartridge (Yld 440)"</f>
        <v>INK CART:EPS Item # T034420-EPS, Yellow Ink for Epson Printers Stylus Photo 2200 Inkjet Cartridge (Yld 440)</v>
      </c>
      <c r="G528" s="74" t="str">
        <f t="shared" si="29"/>
        <v>EA</v>
      </c>
      <c r="H528" s="7">
        <v>11</v>
      </c>
      <c r="I528" s="2" t="str">
        <f>"44103105"</f>
        <v>44103105</v>
      </c>
      <c r="J528" s="10" t="s">
        <v>98</v>
      </c>
    </row>
    <row r="529" spans="1:10" ht="38.25">
      <c r="A529" s="9" t="s">
        <v>27</v>
      </c>
      <c r="B529" s="2" t="s">
        <v>31</v>
      </c>
      <c r="C529" s="2">
        <v>3204</v>
      </c>
      <c r="D529" s="2">
        <v>150</v>
      </c>
      <c r="E529" s="2" t="str">
        <f>"1000001642"</f>
        <v>1000001642</v>
      </c>
      <c r="F529" s="4" t="str">
        <f>"INK CART:EPS Item # T034620-EPS, Light Magenta Ink for Epson Printers Stylus Photo 2200 Inkjet Cartridge (Yld 440)"</f>
        <v>INK CART:EPS Item # T034620-EPS, Light Magenta Ink for Epson Printers Stylus Photo 2200 Inkjet Cartridge (Yld 440)</v>
      </c>
      <c r="G529" s="74" t="str">
        <f t="shared" si="29"/>
        <v>EA</v>
      </c>
      <c r="H529" s="7">
        <v>11</v>
      </c>
      <c r="I529" s="2" t="str">
        <f>"44103105"</f>
        <v>44103105</v>
      </c>
      <c r="J529" s="10" t="s">
        <v>98</v>
      </c>
    </row>
    <row r="530" spans="1:10" ht="38.25">
      <c r="A530" s="9" t="s">
        <v>27</v>
      </c>
      <c r="B530" s="2" t="s">
        <v>31</v>
      </c>
      <c r="C530" s="2">
        <v>3204</v>
      </c>
      <c r="D530" s="2">
        <v>151</v>
      </c>
      <c r="E530" s="2" t="str">
        <f>"1000001643"</f>
        <v>1000001643</v>
      </c>
      <c r="F530" s="4" t="str">
        <f>"INK CART:EPS Item # T034720-EPS, Light Black Ink for Epson Printers Stylus Photo 2200 Inkjet Cartridge, (Yld 440)"</f>
        <v>INK CART:EPS Item # T034720-EPS, Light Black Ink for Epson Printers Stylus Photo 2200 Inkjet Cartridge, (Yld 440)</v>
      </c>
      <c r="G530" s="74" t="str">
        <f t="shared" si="29"/>
        <v>EA</v>
      </c>
      <c r="H530" s="7">
        <v>12</v>
      </c>
      <c r="I530" s="2" t="str">
        <f>"44103105"</f>
        <v>44103105</v>
      </c>
      <c r="J530" s="10" t="s">
        <v>98</v>
      </c>
    </row>
    <row r="531" spans="1:10" ht="51">
      <c r="A531" s="9" t="s">
        <v>27</v>
      </c>
      <c r="B531" s="2" t="s">
        <v>31</v>
      </c>
      <c r="C531" s="2">
        <v>3204</v>
      </c>
      <c r="D531" s="2">
        <v>746</v>
      </c>
      <c r="E531" s="2" t="str">
        <f>"1000001656"</f>
        <v>1000001656</v>
      </c>
      <c r="F531" s="4" t="str">
        <f>"TONER:HP Item # Q5942A-HEW, HP Laser Printers LaserJet 4240N, LaserJet 4250 Series, LaserJet 4350 Series, Yields:10,000 pages"</f>
        <v>TONER:HP Item # Q5942A-HEW, HP Laser Printers LaserJet 4240N, LaserJet 4250 Series, LaserJet 4350 Series, Yields:10,000 pages</v>
      </c>
      <c r="G531" s="74" t="str">
        <f t="shared" si="29"/>
        <v>EA</v>
      </c>
      <c r="H531" s="7">
        <v>166.99</v>
      </c>
      <c r="I531" s="2" t="str">
        <f>"44103103"</f>
        <v>44103103</v>
      </c>
      <c r="J531" s="10" t="s">
        <v>99</v>
      </c>
    </row>
    <row r="532" spans="1:10" ht="38.25">
      <c r="A532" s="9" t="s">
        <v>27</v>
      </c>
      <c r="B532" s="2" t="s">
        <v>31</v>
      </c>
      <c r="C532" s="2">
        <v>3204</v>
      </c>
      <c r="D532" s="2">
        <v>574</v>
      </c>
      <c r="E532" s="2" t="str">
        <f>"1000001659"</f>
        <v>1000001659</v>
      </c>
      <c r="F532" s="4" t="str">
        <f>"TONER:CAN Item # FX3-CAN, Toner for Canon Printers L2060/L3500/L4000/L4500 Multipass 6000 (Yld 4k)"</f>
        <v>TONER:CAN Item # FX3-CAN, Toner for Canon Printers L2060/L3500/L4000/L4500 Multipass 6000 (Yld 4k)</v>
      </c>
      <c r="G532" s="74" t="str">
        <f t="shared" si="29"/>
        <v>EA</v>
      </c>
      <c r="H532" s="7">
        <v>88.49</v>
      </c>
      <c r="I532" s="2" t="str">
        <f>"44103103"</f>
        <v>44103103</v>
      </c>
      <c r="J532" s="10" t="s">
        <v>99</v>
      </c>
    </row>
    <row r="533" spans="1:10" ht="51">
      <c r="A533" s="9" t="s">
        <v>27</v>
      </c>
      <c r="B533" s="2" t="s">
        <v>31</v>
      </c>
      <c r="C533" s="2">
        <v>3204</v>
      </c>
      <c r="D533" s="2">
        <v>572</v>
      </c>
      <c r="E533" s="2" t="str">
        <f>"1000001660"</f>
        <v>1000001660</v>
      </c>
      <c r="F533" s="4" t="str">
        <f>"TONER:CAN Item # FX2-CAN, Fax Toner Cartridges for Canon Printers L5000/L5500/L7000/7100/7500/7700 (Yld 4k)"</f>
        <v>TONER:CAN Item # FX2-CAN, Fax Toner Cartridges for Canon Printers L5000/L5500/L7000/7100/7500/7700 (Yld 4k)</v>
      </c>
      <c r="G533" s="74" t="str">
        <f t="shared" si="29"/>
        <v>EA</v>
      </c>
      <c r="H533" s="7">
        <v>93</v>
      </c>
      <c r="I533" s="2" t="str">
        <f>"44103103"</f>
        <v>44103103</v>
      </c>
      <c r="J533" s="10" t="s">
        <v>99</v>
      </c>
    </row>
    <row r="534" spans="1:10" ht="38.25">
      <c r="A534" s="9" t="s">
        <v>27</v>
      </c>
      <c r="B534" s="2" t="s">
        <v>31</v>
      </c>
      <c r="C534" s="2">
        <v>3204</v>
      </c>
      <c r="D534" s="2">
        <v>577</v>
      </c>
      <c r="E534" s="2" t="str">
        <f>"1000001661"</f>
        <v>1000001661</v>
      </c>
      <c r="F534" s="4" t="str">
        <f>"TONER:CAN Item # FX6-BC, Brand Compatible Fax Toner for Canon Printers LC3170/3175 (Yld 5k)"</f>
        <v>TONER:CAN Item # FX6-BC, Brand Compatible Fax Toner for Canon Printers LC3170/3175 (Yld 5k)</v>
      </c>
      <c r="G534" s="74" t="str">
        <f t="shared" si="29"/>
        <v>EA</v>
      </c>
      <c r="H534" s="7">
        <v>99</v>
      </c>
      <c r="I534" s="2" t="str">
        <f>"44103103"</f>
        <v>44103103</v>
      </c>
      <c r="J534" s="10" t="s">
        <v>99</v>
      </c>
    </row>
    <row r="535" spans="1:10" ht="51">
      <c r="A535" s="9" t="s">
        <v>27</v>
      </c>
      <c r="B535" s="2" t="s">
        <v>31</v>
      </c>
      <c r="C535" s="2">
        <v>3204</v>
      </c>
      <c r="D535" s="2">
        <v>478</v>
      </c>
      <c r="E535" s="2" t="str">
        <f>"1000001662"</f>
        <v>1000001662</v>
      </c>
      <c r="F535" s="4" t="str">
        <f>"PRINTHEAD:HP tem # C4892A-HEW, No. 80 Value Pack, Magenta (350 ml Ink Ctg, Printhead, Printhead Cleaner), DesignJet 1000 Series"</f>
        <v>PRINTHEAD:HP tem # C4892A-HEW, No. 80 Value Pack, Magenta (350 ml Ink Ctg, Printhead, Printhead Cleaner), DesignJet 1000 Series</v>
      </c>
      <c r="G535" s="74" t="str">
        <f>"PK"</f>
        <v>PK</v>
      </c>
      <c r="H535" s="7">
        <v>246</v>
      </c>
      <c r="I535" s="2" t="str">
        <f>"44103110"</f>
        <v>44103110</v>
      </c>
      <c r="J535" s="10" t="s">
        <v>102</v>
      </c>
    </row>
    <row r="536" spans="1:10" ht="38.25">
      <c r="A536" s="9" t="s">
        <v>27</v>
      </c>
      <c r="B536" s="2" t="s">
        <v>31</v>
      </c>
      <c r="C536" s="2">
        <v>3204</v>
      </c>
      <c r="D536" s="2">
        <v>35</v>
      </c>
      <c r="E536" s="2" t="str">
        <f>"1000001667"</f>
        <v>1000001667</v>
      </c>
      <c r="F536" s="4" t="str">
        <f>"DRUM:PAN Item # KXFA84-PAN, Drum Unit for Panasonic Fax Machines, KX-FL541, KX-FL 511, KX-FL611, KX-FLM651"</f>
        <v>DRUM:PAN Item # KXFA84-PAN, Drum Unit for Panasonic Fax Machines, KX-FL541, KX-FL 511, KX-FL611, KX-FLM651</v>
      </c>
      <c r="G536" s="74" t="str">
        <f>"EA"</f>
        <v>EA</v>
      </c>
      <c r="H536" s="7">
        <v>109.99</v>
      </c>
      <c r="I536" s="2" t="str">
        <f>"44103109"</f>
        <v>44103109</v>
      </c>
      <c r="J536" s="10" t="s">
        <v>94</v>
      </c>
    </row>
    <row r="537" spans="1:10" ht="38.25">
      <c r="A537" s="9" t="s">
        <v>27</v>
      </c>
      <c r="B537" s="2" t="s">
        <v>31</v>
      </c>
      <c r="C537" s="2">
        <v>3204</v>
      </c>
      <c r="D537" s="2">
        <v>899</v>
      </c>
      <c r="E537" s="2" t="str">
        <f>"1000001668"</f>
        <v>1000001668</v>
      </c>
      <c r="F537" s="4" t="str">
        <f>"TONER:PAN Item # KXFA76-PAN, Fax Toner for Panasonic Printers, Panasonic KX-FL501/521 (Yld 2k)"</f>
        <v>TONER:PAN Item # KXFA76-PAN, Fax Toner for Panasonic Printers, Panasonic KX-FL501/521 (Yld 2k)</v>
      </c>
      <c r="G537" s="74" t="str">
        <f>"EA"</f>
        <v>EA</v>
      </c>
      <c r="H537" s="7">
        <v>36</v>
      </c>
      <c r="I537" s="2" t="str">
        <f>"44103103"</f>
        <v>44103103</v>
      </c>
      <c r="J537" s="10" t="s">
        <v>99</v>
      </c>
    </row>
    <row r="538" spans="1:10" ht="25.5">
      <c r="A538" s="9" t="s">
        <v>27</v>
      </c>
      <c r="B538" s="2" t="s">
        <v>31</v>
      </c>
      <c r="C538" s="2">
        <v>3204</v>
      </c>
      <c r="D538" s="2">
        <v>520</v>
      </c>
      <c r="E538" s="2" t="str">
        <f>"1000001669"</f>
        <v>1000001669</v>
      </c>
      <c r="F538" s="4" t="str">
        <f>"RIBBON:PAN Item # SKX-ECK-PAN, Panasonic Correction Typewriter Ribbon"</f>
        <v>RIBBON:PAN Item # SKX-ECK-PAN, Panasonic Correction Typewriter Ribbon</v>
      </c>
      <c r="G538" s="74" t="str">
        <f>"EA"</f>
        <v>EA</v>
      </c>
      <c r="H538" s="7">
        <v>4</v>
      </c>
      <c r="I538" s="2" t="str">
        <f>"44102606"</f>
        <v>44102606</v>
      </c>
      <c r="J538" s="10" t="s">
        <v>103</v>
      </c>
    </row>
    <row r="539" spans="1:10" ht="25.5">
      <c r="A539" s="9" t="s">
        <v>27</v>
      </c>
      <c r="B539" s="2" t="s">
        <v>31</v>
      </c>
      <c r="C539" s="2">
        <v>3204</v>
      </c>
      <c r="D539" s="2">
        <v>976</v>
      </c>
      <c r="E539" s="2" t="str">
        <f>"1000001683"</f>
        <v>1000001683</v>
      </c>
      <c r="F539" s="4" t="str">
        <f>"TONER:XER Item # 108R00605-XER, Xerox Phaser 8400 Cyan Ink, 3 pack (Yld 3400)"</f>
        <v>TONER:XER Item # 108R00605-XER, Xerox Phaser 8400 Cyan Ink, 3 pack (Yld 3400)</v>
      </c>
      <c r="G539" s="74" t="str">
        <f>"KT"</f>
        <v>KT</v>
      </c>
      <c r="H539" s="7">
        <v>134</v>
      </c>
      <c r="I539" s="2" t="str">
        <f>"44103103"</f>
        <v>44103103</v>
      </c>
      <c r="J539" s="10" t="s">
        <v>98</v>
      </c>
    </row>
    <row r="540" spans="1:10" ht="63.75">
      <c r="A540" s="9" t="s">
        <v>27</v>
      </c>
      <c r="B540" s="2" t="s">
        <v>31</v>
      </c>
      <c r="C540" s="2">
        <v>3204</v>
      </c>
      <c r="D540" s="2">
        <v>507</v>
      </c>
      <c r="E540" s="2" t="str">
        <f>"1000001759"</f>
        <v>1000001759</v>
      </c>
      <c r="F540" s="4" t="str">
        <f>"RIBBON:OKI Item # 42377801-OKI, Self-inking black printer ribbon cartridge designed for the Okidata Microline 420 / 421 / 490 / 491 dot matrix printers (4 million characters yield)"</f>
        <v>RIBBON:OKI Item # 42377801-OKI, Self-inking black printer ribbon cartridge designed for the Okidata Microline 420 / 421 / 490 / 491 dot matrix printers (4 million characters yield)</v>
      </c>
      <c r="G540" s="74" t="str">
        <f t="shared" ref="G540:G548" si="30">"EA"</f>
        <v>EA</v>
      </c>
      <c r="H540" s="7">
        <v>18</v>
      </c>
      <c r="I540" s="2" t="str">
        <f>"44103112"</f>
        <v>44103112</v>
      </c>
      <c r="J540" s="10" t="s">
        <v>105</v>
      </c>
    </row>
    <row r="541" spans="1:10" ht="89.25">
      <c r="A541" s="9" t="s">
        <v>27</v>
      </c>
      <c r="B541" s="2" t="s">
        <v>31</v>
      </c>
      <c r="C541" s="2">
        <v>3204</v>
      </c>
      <c r="D541" s="2">
        <v>759</v>
      </c>
      <c r="E541" s="2" t="str">
        <f>"1000001780"</f>
        <v>1000001780</v>
      </c>
      <c r="F541" s="4" t="str">
        <f>"TONER:HP Item # Q6003A-HEW, Magenta Toner (Yld 2k) for HP All-in-One Printers Color LaserJet CM1015mfp, Color LaserJet CM1017mfp, HP Laser Printers Color LaserJet 1600, Color LaserJet 2600N, Color LaserJet 2605 Series, Color LaserJet CM1015mfp / CM1017mf"</f>
        <v>TONER:HP Item # Q6003A-HEW, Magenta Toner (Yld 2k) for HP All-in-One Printers Color LaserJet CM1015mfp, Color LaserJet CM1017mfp, HP Laser Printers Color LaserJet 1600, Color LaserJet 2600N, Color LaserJet 2605 Series, Color LaserJet CM1015mfp / CM1017mf</v>
      </c>
      <c r="G541" s="74" t="str">
        <f t="shared" si="30"/>
        <v>EA</v>
      </c>
      <c r="H541" s="7">
        <v>93.99</v>
      </c>
      <c r="I541" s="2" t="str">
        <f>"44103103"</f>
        <v>44103103</v>
      </c>
      <c r="J541" s="10" t="s">
        <v>99</v>
      </c>
    </row>
    <row r="542" spans="1:10" ht="38.25">
      <c r="A542" s="9" t="s">
        <v>27</v>
      </c>
      <c r="B542" s="2" t="s">
        <v>31</v>
      </c>
      <c r="C542" s="2">
        <v>3204</v>
      </c>
      <c r="D542" s="2">
        <v>146</v>
      </c>
      <c r="E542" s="2" t="str">
        <f>"1000001781"</f>
        <v>1000001781</v>
      </c>
      <c r="F542" s="4" t="str">
        <f>"INK CART:EPS Item # T034220-EPS, Cyan Ink for Epson Printers Stylus Photo 2200 Inkjet Cartridge (Yld 440)"</f>
        <v>INK CART:EPS Item # T034220-EPS, Cyan Ink for Epson Printers Stylus Photo 2200 Inkjet Cartridge (Yld 440)</v>
      </c>
      <c r="G542" s="74" t="str">
        <f t="shared" si="30"/>
        <v>EA</v>
      </c>
      <c r="H542" s="7">
        <v>12</v>
      </c>
      <c r="I542" s="2" t="str">
        <f>"44103105"</f>
        <v>44103105</v>
      </c>
      <c r="J542" s="10" t="s">
        <v>98</v>
      </c>
    </row>
    <row r="543" spans="1:10" ht="38.25">
      <c r="A543" s="9" t="s">
        <v>27</v>
      </c>
      <c r="B543" s="2" t="s">
        <v>31</v>
      </c>
      <c r="C543" s="2">
        <v>3204</v>
      </c>
      <c r="D543" s="2">
        <v>147</v>
      </c>
      <c r="E543" s="2" t="str">
        <f>"1000001782"</f>
        <v>1000001782</v>
      </c>
      <c r="F543" s="4" t="str">
        <f>"INK CART:EPS Item # T034320-EPS, Magenta Ink for Epson Printers Stylus Photo 2200 Inkjet Cartridge (Yld 440)"</f>
        <v>INK CART:EPS Item # T034320-EPS, Magenta Ink for Epson Printers Stylus Photo 2200 Inkjet Cartridge (Yld 440)</v>
      </c>
      <c r="G543" s="74" t="str">
        <f t="shared" si="30"/>
        <v>EA</v>
      </c>
      <c r="H543" s="7">
        <v>12</v>
      </c>
      <c r="I543" s="2" t="str">
        <f>"44103105"</f>
        <v>44103105</v>
      </c>
      <c r="J543" s="10" t="s">
        <v>98</v>
      </c>
    </row>
    <row r="544" spans="1:10" ht="38.25">
      <c r="A544" s="9" t="s">
        <v>27</v>
      </c>
      <c r="B544" s="2" t="s">
        <v>31</v>
      </c>
      <c r="C544" s="2">
        <v>3204</v>
      </c>
      <c r="D544" s="2">
        <v>284</v>
      </c>
      <c r="E544" s="2" t="str">
        <f>"1000001789"</f>
        <v>1000001789</v>
      </c>
      <c r="F544" s="4" t="str">
        <f>"INK CART:HP Item # C6625AN-HEW, No. 17 ink cartridge Tri-Color for Hewlett Packard Printers, HP DeskJet 840/842 (yield 430)"</f>
        <v>INK CART:HP Item # C6625AN-HEW, No. 17 ink cartridge Tri-Color for Hewlett Packard Printers, HP DeskJet 840/842 (yield 430)</v>
      </c>
      <c r="G544" s="74" t="str">
        <f t="shared" si="30"/>
        <v>EA</v>
      </c>
      <c r="H544" s="7">
        <v>38</v>
      </c>
      <c r="I544" s="2" t="str">
        <f>"44103105"</f>
        <v>44103105</v>
      </c>
      <c r="J544" s="10" t="s">
        <v>98</v>
      </c>
    </row>
    <row r="545" spans="1:10" ht="76.5">
      <c r="A545" s="9" t="s">
        <v>27</v>
      </c>
      <c r="B545" s="2" t="s">
        <v>31</v>
      </c>
      <c r="C545" s="2">
        <v>3204</v>
      </c>
      <c r="D545" s="2">
        <v>312</v>
      </c>
      <c r="E545" s="2" t="str">
        <f>"1000001817"</f>
        <v>1000001817</v>
      </c>
      <c r="F545" s="4" t="str">
        <f>"INK CART:HP Item # C9369WN-HEW, No.99 Photo ink cartridge for DeskJet 5740/6540/6840, Photosmart 2610/8150/8450, Officejet 6210/7310/7410 and PSC 2355 inkjet printers"</f>
        <v>INK CART:HP Item # C9369WN-HEW, No.99 Photo ink cartridge for DeskJet 5740/6540/6840, Photosmart 2610/8150/8450, Officejet 6210/7310/7410 and PSC 2355 inkjet printers</v>
      </c>
      <c r="G545" s="74" t="str">
        <f t="shared" si="30"/>
        <v>EA</v>
      </c>
      <c r="H545" s="7">
        <v>31.99</v>
      </c>
      <c r="I545" s="2" t="str">
        <f>"44103105"</f>
        <v>44103105</v>
      </c>
      <c r="J545" s="10" t="s">
        <v>98</v>
      </c>
    </row>
    <row r="546" spans="1:10" ht="38.25">
      <c r="A546" s="9" t="s">
        <v>27</v>
      </c>
      <c r="B546" s="2" t="s">
        <v>31</v>
      </c>
      <c r="C546" s="2">
        <v>3204</v>
      </c>
      <c r="D546" s="2">
        <v>465</v>
      </c>
      <c r="E546" s="2" t="str">
        <f>"1000001818"</f>
        <v>1000001818</v>
      </c>
      <c r="F546" s="4" t="str">
        <f>"PRINTHEAD: HP Item # C9382A, HP 88, Cyan/Magenta printhead for Officejet Pro K550 Printers"</f>
        <v>PRINTHEAD: HP Item # C9382A, HP 88, Cyan/Magenta printhead for Officejet Pro K550 Printers</v>
      </c>
      <c r="G546" s="74" t="str">
        <f t="shared" si="30"/>
        <v>EA</v>
      </c>
      <c r="H546" s="7">
        <v>77.989999999999995</v>
      </c>
      <c r="I546" s="2" t="str">
        <f>"44103110"</f>
        <v>44103110</v>
      </c>
      <c r="J546" s="10" t="s">
        <v>102</v>
      </c>
    </row>
    <row r="547" spans="1:10" ht="38.25">
      <c r="A547" s="9" t="s">
        <v>27</v>
      </c>
      <c r="B547" s="2" t="s">
        <v>31</v>
      </c>
      <c r="C547" s="2">
        <v>3204</v>
      </c>
      <c r="D547" s="2">
        <v>727</v>
      </c>
      <c r="E547" s="2" t="str">
        <f>"1000001822"</f>
        <v>1000001822</v>
      </c>
      <c r="F547" s="4" t="str">
        <f>"TONER:HP Item # Q2613X-BC, Brand compatible for Hewlett Packard LaserJet 1300, Black Toner, (Yld 4k)"</f>
        <v>TONER:HP Item # Q2613X-BC, Brand compatible for Hewlett Packard LaserJet 1300, Black Toner, (Yld 4k)</v>
      </c>
      <c r="G547" s="74" t="str">
        <f t="shared" si="30"/>
        <v>EA</v>
      </c>
      <c r="H547" s="7">
        <v>69</v>
      </c>
      <c r="I547" s="2" t="str">
        <f>"44103103"</f>
        <v>44103103</v>
      </c>
      <c r="J547" s="10" t="s">
        <v>99</v>
      </c>
    </row>
    <row r="548" spans="1:10" ht="38.25">
      <c r="A548" s="9" t="s">
        <v>27</v>
      </c>
      <c r="B548" s="2" t="s">
        <v>31</v>
      </c>
      <c r="C548" s="2">
        <v>3204</v>
      </c>
      <c r="D548" s="2">
        <v>681</v>
      </c>
      <c r="E548" s="2" t="str">
        <f>"1000001854"</f>
        <v>1000001854</v>
      </c>
      <c r="F548" s="4" t="str">
        <f>"TONER:HP Item # C9721A-HEW, Cyan Toner for Hewlett Packard Printers Color LaserJet 4600 (Yld 8k)"</f>
        <v>TONER:HP Item # C9721A-HEW, Cyan Toner for Hewlett Packard Printers Color LaserJet 4600 (Yld 8k)</v>
      </c>
      <c r="G548" s="74" t="str">
        <f t="shared" si="30"/>
        <v>EA</v>
      </c>
      <c r="H548" s="7">
        <v>274.99</v>
      </c>
      <c r="I548" s="2" t="str">
        <f>"44103103"</f>
        <v>44103103</v>
      </c>
      <c r="J548" s="10" t="s">
        <v>99</v>
      </c>
    </row>
    <row r="549" spans="1:10" ht="38.25">
      <c r="A549" s="9" t="s">
        <v>27</v>
      </c>
      <c r="B549" s="2" t="s">
        <v>31</v>
      </c>
      <c r="C549" s="2">
        <v>3204</v>
      </c>
      <c r="D549" s="2">
        <v>415</v>
      </c>
      <c r="E549" s="2" t="str">
        <f>"1000001862"</f>
        <v>1000001862</v>
      </c>
      <c r="F549" s="4" t="str">
        <f>"MAINT. KIT: XER Item # 108R00603-XER, Xerox Phaser 8400 Maintenance Kit, Extended Capacity (Yld 30k)"</f>
        <v>MAINT. KIT: XER Item # 108R00603-XER, Xerox Phaser 8400 Maintenance Kit, Extended Capacity (Yld 30k)</v>
      </c>
      <c r="G549" s="74" t="str">
        <f>"KT"</f>
        <v>KT</v>
      </c>
      <c r="H549" s="7">
        <v>181</v>
      </c>
      <c r="I549" s="2" t="str">
        <f>"44103125"</f>
        <v>44103125</v>
      </c>
      <c r="J549" s="10" t="s">
        <v>101</v>
      </c>
    </row>
    <row r="550" spans="1:10" ht="38.25">
      <c r="A550" s="9" t="s">
        <v>27</v>
      </c>
      <c r="B550" s="2" t="s">
        <v>31</v>
      </c>
      <c r="C550" s="2">
        <v>3204</v>
      </c>
      <c r="D550" s="2">
        <v>955</v>
      </c>
      <c r="E550" s="2" t="str">
        <f>"1000001881"</f>
        <v>1000001881</v>
      </c>
      <c r="F550" s="4" t="str">
        <f>"TONER:SHR Item # FO50ND-SHR, Sharp Toner Cartridge for Sharp 4400, FO4450, DC500 Fax Models"</f>
        <v>TONER:SHR Item # FO50ND-SHR, Sharp Toner Cartridge for Sharp 4400, FO4450, DC500 Fax Models</v>
      </c>
      <c r="G550" s="74" t="str">
        <f t="shared" ref="G550:G566" si="31">"EA"</f>
        <v>EA</v>
      </c>
      <c r="H550" s="7">
        <v>147.36000000000001</v>
      </c>
      <c r="I550" s="2" t="str">
        <f>"44103103"</f>
        <v>44103103</v>
      </c>
      <c r="J550" s="10" t="s">
        <v>98</v>
      </c>
    </row>
    <row r="551" spans="1:10" ht="51">
      <c r="A551" s="9" t="s">
        <v>27</v>
      </c>
      <c r="B551" s="2" t="s">
        <v>31</v>
      </c>
      <c r="C551" s="2">
        <v>3204</v>
      </c>
      <c r="D551" s="2">
        <v>39</v>
      </c>
      <c r="E551" s="2" t="str">
        <f>"1000001882"</f>
        <v>1000001882</v>
      </c>
      <c r="F551" s="4" t="str">
        <f>"DRUM:SHR Item # FO47DR-SHR, Sharp Fax imaging unit, Drum for FO4400, FO4450, FO4700, FO4970, FO5550, FO5800, FO6700 Fax Models, (Yld 20k)"</f>
        <v>DRUM:SHR Item # FO47DR-SHR, Sharp Fax imaging unit, Drum for FO4400, FO4450, FO4700, FO4970, FO5550, FO5800, FO6700 Fax Models, (Yld 20k)</v>
      </c>
      <c r="G551" s="74" t="str">
        <f t="shared" si="31"/>
        <v>EA</v>
      </c>
      <c r="H551" s="7">
        <v>103.82</v>
      </c>
      <c r="I551" s="2" t="str">
        <f>"44103109"</f>
        <v>44103109</v>
      </c>
      <c r="J551" s="10" t="s">
        <v>94</v>
      </c>
    </row>
    <row r="552" spans="1:10" ht="51">
      <c r="A552" s="9" t="s">
        <v>27</v>
      </c>
      <c r="B552" s="2" t="s">
        <v>31</v>
      </c>
      <c r="C552" s="2">
        <v>3204</v>
      </c>
      <c r="D552" s="2">
        <v>954</v>
      </c>
      <c r="E552" s="2" t="str">
        <f>"1000001883"</f>
        <v>1000001883</v>
      </c>
      <c r="F552" s="4" t="str">
        <f>"TONER: SHR Item # FO47ND-SHR, Sharp toner for FO4400, FO4450, FO4700, FO4970, FO5550, FO5800, FO6700 Fax Models, (Yld 6k)"</f>
        <v>TONER: SHR Item # FO47ND-SHR, Sharp toner for FO4400, FO4450, FO4700, FO4970, FO5550, FO5800, FO6700 Fax Models, (Yld 6k)</v>
      </c>
      <c r="G552" s="74" t="str">
        <f t="shared" si="31"/>
        <v>EA</v>
      </c>
      <c r="H552" s="7">
        <v>128</v>
      </c>
      <c r="I552" s="2" t="str">
        <f>"44103103"</f>
        <v>44103103</v>
      </c>
      <c r="J552" s="10" t="s">
        <v>98</v>
      </c>
    </row>
    <row r="553" spans="1:10" ht="38.25">
      <c r="A553" s="9" t="s">
        <v>27</v>
      </c>
      <c r="B553" s="2" t="s">
        <v>31</v>
      </c>
      <c r="C553" s="2">
        <v>3204</v>
      </c>
      <c r="D553" s="2">
        <v>656</v>
      </c>
      <c r="E553" s="2" t="str">
        <f>"1000001889"</f>
        <v>1000001889</v>
      </c>
      <c r="F553" s="4" t="str">
        <f>"TONER:HP Item # C4873A-HEW, DesignJet 1000/1050/1055 No. 80 Ink Ctg, Yellow, Series (Yld 2.2k)"</f>
        <v>TONER:HP Item # C4873A-HEW, DesignJet 1000/1050/1055 No. 80 Ink Ctg, Yellow, Series (Yld 2.2k)</v>
      </c>
      <c r="G553" s="74" t="str">
        <f t="shared" si="31"/>
        <v>EA</v>
      </c>
      <c r="H553" s="7">
        <v>90</v>
      </c>
      <c r="I553" s="2" t="str">
        <f>"44103103"</f>
        <v>44103103</v>
      </c>
      <c r="J553" s="10" t="s">
        <v>99</v>
      </c>
    </row>
    <row r="554" spans="1:10" ht="51">
      <c r="A554" s="9" t="s">
        <v>27</v>
      </c>
      <c r="B554" s="2" t="s">
        <v>31</v>
      </c>
      <c r="C554" s="2">
        <v>3204</v>
      </c>
      <c r="D554" s="2">
        <v>210</v>
      </c>
      <c r="E554" s="2" t="str">
        <f>"1000001890"</f>
        <v>1000001890</v>
      </c>
      <c r="F554" s="4" t="str">
        <f>"INK CART:HP Item # 51626A-HEW, High capacity, black ink cartridge for Hewlett Packard Printers, HP DeskJet 200/400/500 (yld 1k)"</f>
        <v>INK CART:HP Item # 51626A-HEW, High capacity, black ink cartridge for Hewlett Packard Printers, HP DeskJet 200/400/500 (yld 1k)</v>
      </c>
      <c r="G554" s="74" t="str">
        <f t="shared" si="31"/>
        <v>EA</v>
      </c>
      <c r="H554" s="7">
        <v>38</v>
      </c>
      <c r="I554" s="2" t="str">
        <f>"44103105"</f>
        <v>44103105</v>
      </c>
      <c r="J554" s="10" t="s">
        <v>98</v>
      </c>
    </row>
    <row r="555" spans="1:10" ht="38.25">
      <c r="A555" s="9" t="s">
        <v>27</v>
      </c>
      <c r="B555" s="2" t="s">
        <v>31</v>
      </c>
      <c r="C555" s="2">
        <v>3204</v>
      </c>
      <c r="D555" s="2">
        <v>236</v>
      </c>
      <c r="E555" s="2" t="str">
        <f>"1000001891"</f>
        <v>1000001891</v>
      </c>
      <c r="F555" s="4" t="str">
        <f>"INK CART:HP Item # C4837AN-HEW, No. 11 Ink Ctg, Magenta, DeskJet 2200/2250 Series (Yld 1.75k)"</f>
        <v>INK CART:HP Item # C4837AN-HEW, No. 11 Ink Ctg, Magenta, DeskJet 2200/2250 Series (Yld 1.75k)</v>
      </c>
      <c r="G555" s="74" t="str">
        <f t="shared" si="31"/>
        <v>EA</v>
      </c>
      <c r="H555" s="7">
        <v>39</v>
      </c>
      <c r="I555" s="2" t="str">
        <f>"44103105"</f>
        <v>44103105</v>
      </c>
      <c r="J555" s="10" t="s">
        <v>98</v>
      </c>
    </row>
    <row r="556" spans="1:10" ht="51">
      <c r="A556" s="9" t="s">
        <v>27</v>
      </c>
      <c r="B556" s="2" t="s">
        <v>31</v>
      </c>
      <c r="C556" s="2">
        <v>3204</v>
      </c>
      <c r="D556" s="2">
        <v>783</v>
      </c>
      <c r="E556" s="2" t="str">
        <f>"1000001898"</f>
        <v>1000001898</v>
      </c>
      <c r="F556" s="4" t="str">
        <f>"TONER:HP Item # Q7583A-HEW, HP ColorSphere Magenta laser toner cartridge for HP Color LaserJet 3800 laser toner printers (Yld 6k)"</f>
        <v>TONER:HP Item # Q7583A-HEW, HP ColorSphere Magenta laser toner cartridge for HP Color LaserJet 3800 laser toner printers (Yld 6k)</v>
      </c>
      <c r="G556" s="74" t="str">
        <f t="shared" si="31"/>
        <v>EA</v>
      </c>
      <c r="H556" s="7">
        <v>192.99</v>
      </c>
      <c r="I556" s="2" t="str">
        <f>"44103103"</f>
        <v>44103103</v>
      </c>
      <c r="J556" s="10" t="s">
        <v>99</v>
      </c>
    </row>
    <row r="557" spans="1:10" ht="51">
      <c r="A557" s="9" t="s">
        <v>27</v>
      </c>
      <c r="B557" s="2" t="s">
        <v>31</v>
      </c>
      <c r="C557" s="2">
        <v>3204</v>
      </c>
      <c r="D557" s="2">
        <v>782</v>
      </c>
      <c r="E557" s="2" t="str">
        <f>"1000001899"</f>
        <v>1000001899</v>
      </c>
      <c r="F557" s="4" t="str">
        <f>"TONER:HP Item # Q7582A-HEW, HP ColorSphere Yellow laser toner cartridge for HP Color LaserJet 3800 laser toner printers (Yld 6k)"</f>
        <v>TONER:HP Item # Q7582A-HEW, HP ColorSphere Yellow laser toner cartridge for HP Color LaserJet 3800 laser toner printers (Yld 6k)</v>
      </c>
      <c r="G557" s="74" t="str">
        <f t="shared" si="31"/>
        <v>EA</v>
      </c>
      <c r="H557" s="7">
        <v>192.99</v>
      </c>
      <c r="I557" s="2" t="str">
        <f>"44103103"</f>
        <v>44103103</v>
      </c>
      <c r="J557" s="10" t="s">
        <v>99</v>
      </c>
    </row>
    <row r="558" spans="1:10" ht="38.25">
      <c r="A558" s="9" t="s">
        <v>27</v>
      </c>
      <c r="B558" s="2" t="s">
        <v>31</v>
      </c>
      <c r="C558" s="2">
        <v>3204</v>
      </c>
      <c r="D558" s="2">
        <v>696</v>
      </c>
      <c r="E558" s="2" t="str">
        <f>"1000001913"</f>
        <v>1000001913</v>
      </c>
      <c r="F558" s="4" t="str">
        <f>"TONER:HP Item # CB540A Black Toner for Color LaserJet CP1515N, CP1518NI, CP1215, CM1312 MFP printers (Yld 2.2k)"</f>
        <v>TONER:HP Item # CB540A Black Toner for Color LaserJet CP1515N, CP1518NI, CP1215, CM1312 MFP printers (Yld 2.2k)</v>
      </c>
      <c r="G558" s="74" t="str">
        <f t="shared" si="31"/>
        <v>EA</v>
      </c>
      <c r="H558" s="7">
        <v>79.989999999999995</v>
      </c>
      <c r="I558" s="2" t="str">
        <f>"44103103"</f>
        <v>44103103</v>
      </c>
      <c r="J558" s="10" t="s">
        <v>98</v>
      </c>
    </row>
    <row r="559" spans="1:10" ht="51">
      <c r="A559" s="9" t="s">
        <v>27</v>
      </c>
      <c r="B559" s="2" t="s">
        <v>31</v>
      </c>
      <c r="C559" s="2">
        <v>3204</v>
      </c>
      <c r="D559" s="2">
        <v>698</v>
      </c>
      <c r="E559" s="2" t="str">
        <f>"1000001914"</f>
        <v>1000001914</v>
      </c>
      <c r="F559" s="4" t="str">
        <f>"TONER:HP Item # CB542A-HEW, Yellow Toner for Color LaserJet CP1515N, CP1518NI, CP1215, CM1312 MFP printers (Yld 1.4k)"</f>
        <v>TONER:HP Item # CB542A-HEW, Yellow Toner for Color LaserJet CP1515N, CP1518NI, CP1215, CM1312 MFP printers (Yld 1.4k)</v>
      </c>
      <c r="G559" s="74" t="str">
        <f t="shared" si="31"/>
        <v>EA</v>
      </c>
      <c r="H559" s="7">
        <v>72.989999999999995</v>
      </c>
      <c r="I559" s="2" t="str">
        <f>"44103103"</f>
        <v>44103103</v>
      </c>
      <c r="J559" s="10" t="s">
        <v>99</v>
      </c>
    </row>
    <row r="560" spans="1:10" ht="38.25">
      <c r="A560" s="9" t="s">
        <v>27</v>
      </c>
      <c r="B560" s="2" t="s">
        <v>31</v>
      </c>
      <c r="C560" s="2">
        <v>3204</v>
      </c>
      <c r="D560" s="2">
        <v>739</v>
      </c>
      <c r="E560" s="2" t="str">
        <f>"1000001915"</f>
        <v>1000001915</v>
      </c>
      <c r="F560" s="4" t="str">
        <f>"TONER:HP Item # Q3960A-HEW, Black Laser Toner for Hewlett Packard Printers LaserJet 2550 (Yld 5k)"</f>
        <v>TONER:HP Item # Q3960A-HEW, Black Laser Toner for Hewlett Packard Printers LaserJet 2550 (Yld 5k)</v>
      </c>
      <c r="G560" s="74" t="str">
        <f t="shared" si="31"/>
        <v>EA</v>
      </c>
      <c r="H560" s="7">
        <v>94</v>
      </c>
      <c r="I560" s="2" t="str">
        <f>"44103103"</f>
        <v>44103103</v>
      </c>
      <c r="J560" s="10" t="s">
        <v>99</v>
      </c>
    </row>
    <row r="561" spans="1:10" ht="51">
      <c r="A561" s="9" t="s">
        <v>27</v>
      </c>
      <c r="B561" s="2" t="s">
        <v>31</v>
      </c>
      <c r="C561" s="2">
        <v>3204</v>
      </c>
      <c r="D561" s="2">
        <v>201</v>
      </c>
      <c r="E561" s="2" t="str">
        <f>"1000001931"</f>
        <v>1000001931</v>
      </c>
      <c r="F561" s="4" t="str">
        <f>"INK CART:EPS Item # T079420-EPS, Epson yellow high capacity inkjet cartridge designed for the Epson Stylus Photo 1400 inkjet printers"</f>
        <v>INK CART:EPS Item # T079420-EPS, Epson yellow high capacity inkjet cartridge designed for the Epson Stylus Photo 1400 inkjet printers</v>
      </c>
      <c r="G561" s="74" t="str">
        <f t="shared" si="31"/>
        <v>EA</v>
      </c>
      <c r="H561" s="7">
        <v>19</v>
      </c>
      <c r="I561" s="2" t="str">
        <f>"44103105"</f>
        <v>44103105</v>
      </c>
      <c r="J561" s="10" t="s">
        <v>98</v>
      </c>
    </row>
    <row r="562" spans="1:10" ht="38.25">
      <c r="A562" s="9" t="s">
        <v>27</v>
      </c>
      <c r="B562" s="2" t="s">
        <v>31</v>
      </c>
      <c r="C562" s="2">
        <v>3204</v>
      </c>
      <c r="D562" s="2">
        <v>753</v>
      </c>
      <c r="E562" s="2" t="str">
        <f>"1000001933"</f>
        <v>1000001933</v>
      </c>
      <c r="F562" s="4" t="str">
        <f>"TONER:HP Item # Q5951A-HEW, Cyan Toner for Hewlett Packard Printers LaserJet ColorSphere (Yld 10k)"</f>
        <v>TONER:HP Item # Q5951A-HEW, Cyan Toner for Hewlett Packard Printers LaserJet ColorSphere (Yld 10k)</v>
      </c>
      <c r="G562" s="74" t="str">
        <f t="shared" si="31"/>
        <v>EA</v>
      </c>
      <c r="H562" s="7">
        <v>287.99</v>
      </c>
      <c r="I562" s="2" t="str">
        <f>"44103103"</f>
        <v>44103103</v>
      </c>
      <c r="J562" s="10" t="s">
        <v>99</v>
      </c>
    </row>
    <row r="563" spans="1:10" ht="76.5">
      <c r="A563" s="9" t="s">
        <v>27</v>
      </c>
      <c r="B563" s="2" t="s">
        <v>31</v>
      </c>
      <c r="C563" s="2">
        <v>3204</v>
      </c>
      <c r="D563" s="2">
        <v>288</v>
      </c>
      <c r="E563" s="2" t="str">
        <f>"1000001939"</f>
        <v>1000001939</v>
      </c>
      <c r="F563" s="4" t="str">
        <f>"INK CART:HP Item # C6658AN-HEW, No. 58 Black InkJet Cartridge (450 yld) PSC 2110/ 2175/ 2175v/ 2175xi/ 2210 Officejet 6110/ 450ci/ 450cbi/ 450/ 51150/ 5550/ 5650 w/Photosmart 7150/ 7260/ 7350/ 7550/ 7660/ 7760/ 7960"</f>
        <v>INK CART:HP Item # C6658AN-HEW, No. 58 Black InkJet Cartridge (450 yld) PSC 2110/ 2175/ 2175v/ 2175xi/ 2210 Officejet 6110/ 450ci/ 450cbi/ 450/ 51150/ 5550/ 5650 w/Photosmart 7150/ 7260/ 7350/ 7550/ 7660/ 7760/ 7960</v>
      </c>
      <c r="G563" s="74" t="str">
        <f t="shared" si="31"/>
        <v>EA</v>
      </c>
      <c r="H563" s="7">
        <v>31.99</v>
      </c>
      <c r="I563" s="2" t="str">
        <f>"44103105"</f>
        <v>44103105</v>
      </c>
      <c r="J563" s="10" t="s">
        <v>98</v>
      </c>
    </row>
    <row r="564" spans="1:10" ht="89.25">
      <c r="A564" s="9" t="s">
        <v>27</v>
      </c>
      <c r="B564" s="2" t="s">
        <v>31</v>
      </c>
      <c r="C564" s="2">
        <v>3204</v>
      </c>
      <c r="D564" s="2">
        <v>320</v>
      </c>
      <c r="E564" s="2" t="str">
        <f>"1000001940"</f>
        <v>1000001940</v>
      </c>
      <c r="F564" s="4" t="str">
        <f>"INK CART:HP Item # C9396AN-HEW: No. 88 Large Black Ink Cartridge (Yld 2450) for HP All-in-One Printers Officejet Pro L7580/L7590/L7650/L7680/L7780 and Officejet Pro K5400 Series, K550 Series, HP Wide Format Printers Officejet Pro K8600 Series"</f>
        <v>INK CART:HP Item # C9396AN-HEW: No. 88 Large Black Ink Cartridge (Yld 2450) for HP All-in-One Printers Officejet Pro L7580/L7590/L7650/L7680/L7780 and Officejet Pro K5400 Series, K550 Series, HP Wide Format Printers Officejet Pro K8600 Series</v>
      </c>
      <c r="G564" s="74" t="str">
        <f t="shared" si="31"/>
        <v>EA</v>
      </c>
      <c r="H564" s="7">
        <v>49.99</v>
      </c>
      <c r="I564" s="2" t="str">
        <f>"44103105"</f>
        <v>44103105</v>
      </c>
      <c r="J564" s="10" t="s">
        <v>98</v>
      </c>
    </row>
    <row r="565" spans="1:10" ht="38.25">
      <c r="A565" s="9" t="s">
        <v>27</v>
      </c>
      <c r="B565" s="2" t="s">
        <v>31</v>
      </c>
      <c r="C565" s="2">
        <v>3204</v>
      </c>
      <c r="D565" s="2">
        <v>772</v>
      </c>
      <c r="E565" s="2" t="str">
        <f>"1000001942"</f>
        <v>1000001942</v>
      </c>
      <c r="F565" s="4" t="str">
        <f>"TONER:HP Item # Q7551X, Black print cartridge, high capacity, (Yld 13k) for LaserJet P3005"</f>
        <v>TONER:HP Item # Q7551X, Black print cartridge, high capacity, (Yld 13k) for LaserJet P3005</v>
      </c>
      <c r="G565" s="74" t="str">
        <f t="shared" si="31"/>
        <v>EA</v>
      </c>
      <c r="H565" s="7">
        <v>243.99</v>
      </c>
      <c r="I565" s="2" t="str">
        <f>"44103103"</f>
        <v>44103103</v>
      </c>
      <c r="J565" s="10" t="s">
        <v>99</v>
      </c>
    </row>
    <row r="566" spans="1:10" ht="38.25">
      <c r="A566" s="9" t="s">
        <v>27</v>
      </c>
      <c r="B566" s="2" t="s">
        <v>31</v>
      </c>
      <c r="C566" s="2">
        <v>3204</v>
      </c>
      <c r="D566" s="2">
        <v>340</v>
      </c>
      <c r="E566" s="2" t="str">
        <f>"1000016919"</f>
        <v>1000016919</v>
      </c>
      <c r="F566" s="4" t="str">
        <f>"INK CART:HP Item # C9457A-HEW, HP No. 70 Green ink for Z3100 large format printer 130 ml"</f>
        <v>INK CART:HP Item # C9457A-HEW, HP No. 70 Green ink for Z3100 large format printer 130 ml</v>
      </c>
      <c r="G566" s="74" t="str">
        <f t="shared" si="31"/>
        <v>EA</v>
      </c>
      <c r="H566" s="7">
        <v>83.92</v>
      </c>
      <c r="I566" s="2" t="str">
        <f>"44103105"</f>
        <v>44103105</v>
      </c>
      <c r="J566" s="10" t="s">
        <v>98</v>
      </c>
    </row>
    <row r="567" spans="1:10" ht="38.25">
      <c r="A567" s="9" t="s">
        <v>27</v>
      </c>
      <c r="B567" s="2" t="s">
        <v>31</v>
      </c>
      <c r="C567" s="2">
        <v>3204</v>
      </c>
      <c r="D567" s="2">
        <v>416</v>
      </c>
      <c r="E567" s="2" t="str">
        <f>"1000016920"</f>
        <v>1000016920</v>
      </c>
      <c r="F567" s="4" t="str">
        <f>"MAINT. KIT:XER Item # 108R00675-XER, Maintenance Kit for Xerox Phaser 8500, 8550, 8560, 8560MFP Printers"</f>
        <v>MAINT. KIT:XER Item # 108R00675-XER, Maintenance Kit for Xerox Phaser 8500, 8550, 8560, 8560MFP Printers</v>
      </c>
      <c r="G567" s="74" t="str">
        <f>"KT"</f>
        <v>KT</v>
      </c>
      <c r="H567" s="7">
        <v>137.65</v>
      </c>
      <c r="I567" s="2" t="str">
        <f>"44103125"</f>
        <v>44103125</v>
      </c>
      <c r="J567" s="10" t="s">
        <v>101</v>
      </c>
    </row>
    <row r="568" spans="1:10" ht="51">
      <c r="A568" s="9" t="s">
        <v>27</v>
      </c>
      <c r="B568" s="2" t="s">
        <v>31</v>
      </c>
      <c r="C568" s="2">
        <v>3204</v>
      </c>
      <c r="D568" s="2">
        <v>421</v>
      </c>
      <c r="E568" s="2" t="str">
        <f>"1000016922"</f>
        <v>1000016922</v>
      </c>
      <c r="F568" s="4" t="str">
        <f>"PHOTOCONDUCTOR:LEX Item # E250X22G-LEX, Photoconductor Unit for Lexmark E250, E350, E352, E450 Printers, 30,000 Yield."</f>
        <v>PHOTOCONDUCTOR:LEX Item # E250X22G-LEX, Photoconductor Unit for Lexmark E250, E350, E352, E450 Printers, 30,000 Yield.</v>
      </c>
      <c r="G568" s="74" t="str">
        <f>"EA"</f>
        <v>EA</v>
      </c>
      <c r="H568" s="7">
        <v>46</v>
      </c>
      <c r="I568" s="2" t="str">
        <f>"44101706"</f>
        <v>44101706</v>
      </c>
      <c r="J568" s="10" t="s">
        <v>97</v>
      </c>
    </row>
    <row r="569" spans="1:10" ht="38.25">
      <c r="A569" s="9" t="s">
        <v>27</v>
      </c>
      <c r="B569" s="2" t="s">
        <v>31</v>
      </c>
      <c r="C569" s="2">
        <v>3204</v>
      </c>
      <c r="D569" s="2">
        <v>444</v>
      </c>
      <c r="E569" s="2" t="str">
        <f>"1000016923"</f>
        <v>1000016923</v>
      </c>
      <c r="F569" s="4" t="str">
        <f>"PRINTHEAD:HP Item # C4954A-HEW, HP DeskJet 5000 No. 81 Printhead and cleaner, Light Cyan"</f>
        <v>PRINTHEAD:HP Item # C4954A-HEW, HP DeskJet 5000 No. 81 Printhead and cleaner, Light Cyan</v>
      </c>
      <c r="G569" s="74" t="str">
        <f>"EA"</f>
        <v>EA</v>
      </c>
      <c r="H569" s="7">
        <v>154</v>
      </c>
      <c r="I569" s="2" t="str">
        <f>"44103110"</f>
        <v>44103110</v>
      </c>
      <c r="J569" s="10" t="s">
        <v>102</v>
      </c>
    </row>
    <row r="570" spans="1:10" ht="51">
      <c r="A570" s="9" t="s">
        <v>27</v>
      </c>
      <c r="B570" s="2" t="s">
        <v>31</v>
      </c>
      <c r="C570" s="2">
        <v>3204</v>
      </c>
      <c r="D570" s="2">
        <v>479</v>
      </c>
      <c r="E570" s="2" t="str">
        <f>"1000016925"</f>
        <v>1000016925</v>
      </c>
      <c r="F570" s="4" t="str">
        <f>"RIBBON:BRO Item # 7020-BRT, Brother Black correctable typewriter ribbon for Brother 1030 ,1230, 7020,and 17020 typewriters"</f>
        <v>RIBBON:BRO Item # 7020-BRT, Brother Black correctable typewriter ribbon for Brother 1030 ,1230, 7020,and 17020 typewriters</v>
      </c>
      <c r="G570" s="74" t="str">
        <f>"EA"</f>
        <v>EA</v>
      </c>
      <c r="H570" s="7">
        <v>7.56</v>
      </c>
      <c r="I570" s="2" t="str">
        <f>"44102606"</f>
        <v>44102606</v>
      </c>
      <c r="J570" s="10" t="s">
        <v>103</v>
      </c>
    </row>
    <row r="571" spans="1:10" ht="51">
      <c r="A571" s="9" t="s">
        <v>27</v>
      </c>
      <c r="B571" s="2" t="s">
        <v>31</v>
      </c>
      <c r="C571" s="2">
        <v>3204</v>
      </c>
      <c r="D571" s="2">
        <v>481</v>
      </c>
      <c r="E571" s="2" t="str">
        <f>"1000016926"</f>
        <v>1000016926</v>
      </c>
      <c r="F571" s="4" t="str">
        <f>"RIBBON:BRO Item # PC201-BC, Brand Compatible to Brother IntelliFAX 1170/ 1270/ 1570MC/ MFC1770/ 1870MC/ 1970MC Ribbon Cartridge (Yld 450)"</f>
        <v>RIBBON:BRO Item # PC201-BC, Brand Compatible to Brother IntelliFAX 1170/ 1270/ 1570MC/ MFC1770/ 1870MC/ 1970MC Ribbon Cartridge (Yld 450)</v>
      </c>
      <c r="G571" s="74" t="str">
        <f>"EA"</f>
        <v>EA</v>
      </c>
      <c r="H571" s="7">
        <v>25</v>
      </c>
      <c r="I571" s="2" t="str">
        <f>"44103117"</f>
        <v>44103117</v>
      </c>
      <c r="J571" s="10" t="s">
        <v>104</v>
      </c>
    </row>
    <row r="572" spans="1:10" ht="51">
      <c r="A572" s="9" t="s">
        <v>27</v>
      </c>
      <c r="B572" s="2" t="s">
        <v>31</v>
      </c>
      <c r="C572" s="2">
        <v>3204</v>
      </c>
      <c r="D572" s="2">
        <v>482</v>
      </c>
      <c r="E572" s="2" t="str">
        <f>"1000016927"</f>
        <v>1000016927</v>
      </c>
      <c r="F572" s="4" t="str">
        <f>"RIBBON:BRO Item # PC201-BRT, Brother Thermal Ribbon cartridge for IntelliFAX 1170/ 1270/ 1570MC/ MFC1770/ 1870MC/ 1970MC (Yld 450)"</f>
        <v>RIBBON:BRO Item # PC201-BRT, Brother Thermal Ribbon cartridge for IntelliFAX 1170/ 1270/ 1570MC/ MFC1770/ 1870MC/ 1970MC (Yld 450)</v>
      </c>
      <c r="G572" s="74" t="str">
        <f>"EA"</f>
        <v>EA</v>
      </c>
      <c r="H572" s="7">
        <v>33.659999999999997</v>
      </c>
      <c r="I572" s="2" t="str">
        <f>"44103117"</f>
        <v>44103117</v>
      </c>
      <c r="J572" s="10" t="s">
        <v>104</v>
      </c>
    </row>
    <row r="573" spans="1:10" ht="51">
      <c r="A573" s="9" t="s">
        <v>27</v>
      </c>
      <c r="B573" s="2" t="s">
        <v>31</v>
      </c>
      <c r="C573" s="2">
        <v>3204</v>
      </c>
      <c r="D573" s="2">
        <v>483</v>
      </c>
      <c r="E573" s="2" t="str">
        <f>"1000016928"</f>
        <v>1000016928</v>
      </c>
      <c r="F573" s="4" t="str">
        <f>"RIBBON:BRO Item # PC304RF-BRT, Brother Black Ribbon Refill for IntelliFAX IntelliFAX 750/ 770/ 870MC/ MFC970MC (Yld 1k) 4 per package"</f>
        <v>RIBBON:BRO Item # PC304RF-BRT, Brother Black Ribbon Refill for IntelliFAX IntelliFAX 750/ 770/ 870MC/ MFC970MC (Yld 1k) 4 per package</v>
      </c>
      <c r="G573" s="74" t="str">
        <f>"PK"</f>
        <v>PK</v>
      </c>
      <c r="H573" s="7">
        <v>68</v>
      </c>
      <c r="I573" s="2" t="str">
        <f>"44103117"</f>
        <v>44103117</v>
      </c>
      <c r="J573" s="10" t="s">
        <v>104</v>
      </c>
    </row>
    <row r="574" spans="1:10" ht="51">
      <c r="A574" s="9" t="s">
        <v>27</v>
      </c>
      <c r="B574" s="2" t="s">
        <v>31</v>
      </c>
      <c r="C574" s="2">
        <v>3204</v>
      </c>
      <c r="D574" s="2">
        <v>485</v>
      </c>
      <c r="E574" s="2" t="str">
        <f>"1000016929"</f>
        <v>1000016929</v>
      </c>
      <c r="F574" s="4" t="str">
        <f>"RIBBON:BRO Item # PC91-BRT, Brother Ribbon Kit for IntelliFAX 900/950M/980M/1500ML, Kit includes one frame, one ribbon (Yld 500)"</f>
        <v>RIBBON:BRO Item # PC91-BRT, Brother Ribbon Kit for IntelliFAX 900/950M/980M/1500ML, Kit includes one frame, one ribbon (Yld 500)</v>
      </c>
      <c r="G574" s="74" t="str">
        <f>"KT"</f>
        <v>KT</v>
      </c>
      <c r="H574" s="7">
        <v>29</v>
      </c>
      <c r="I574" s="2" t="str">
        <f>"44103117"</f>
        <v>44103117</v>
      </c>
      <c r="J574" s="10" t="s">
        <v>104</v>
      </c>
    </row>
    <row r="575" spans="1:10" ht="38.25">
      <c r="A575" s="9" t="s">
        <v>27</v>
      </c>
      <c r="B575" s="2" t="s">
        <v>31</v>
      </c>
      <c r="C575" s="2">
        <v>3204</v>
      </c>
      <c r="D575" s="2">
        <v>486</v>
      </c>
      <c r="E575" s="2" t="str">
        <f>"1000016930"</f>
        <v>1000016930</v>
      </c>
      <c r="F575" s="4" t="str">
        <f>"RIBBON:BRO Item # PC92RF-BRT, Brother Refill Ribbon for IntelliFAX 900/ 950M/ 980M/ 1500ML (Yld 1k) 2 per package"</f>
        <v>RIBBON:BRO Item # PC92RF-BRT, Brother Refill Ribbon for IntelliFAX 900/ 950M/ 980M/ 1500ML (Yld 1k) 2 per package</v>
      </c>
      <c r="G575" s="74" t="str">
        <f>"PK"</f>
        <v>PK</v>
      </c>
      <c r="H575" s="7">
        <v>49</v>
      </c>
      <c r="I575" s="2" t="str">
        <f>"44103117"</f>
        <v>44103117</v>
      </c>
      <c r="J575" s="10" t="s">
        <v>104</v>
      </c>
    </row>
    <row r="576" spans="1:10" ht="38.25">
      <c r="A576" s="9" t="s">
        <v>27</v>
      </c>
      <c r="B576" s="2" t="s">
        <v>31</v>
      </c>
      <c r="C576" s="2">
        <v>3204</v>
      </c>
      <c r="D576" s="2">
        <v>445</v>
      </c>
      <c r="E576" s="2" t="str">
        <f>"1000016932"</f>
        <v>1000016932</v>
      </c>
      <c r="F576" s="4" t="str">
        <f>"PRINTHEAD:HP Item # C4955A-HEW, HP DeskJet 5000 No. 81 Printhead and cleaner, Light Magenta"</f>
        <v>PRINTHEAD:HP Item # C4955A-HEW, HP DeskJet 5000 No. 81 Printhead and cleaner, Light Magenta</v>
      </c>
      <c r="G576" s="74" t="str">
        <f>"EA"</f>
        <v>EA</v>
      </c>
      <c r="H576" s="7">
        <v>150</v>
      </c>
      <c r="I576" s="2" t="str">
        <f>"44103110"</f>
        <v>44103110</v>
      </c>
      <c r="J576" s="10" t="s">
        <v>102</v>
      </c>
    </row>
    <row r="577" spans="1:10" ht="63.75">
      <c r="A577" s="9" t="s">
        <v>27</v>
      </c>
      <c r="B577" s="2" t="s">
        <v>31</v>
      </c>
      <c r="C577" s="2">
        <v>3204</v>
      </c>
      <c r="D577" s="2">
        <v>998</v>
      </c>
      <c r="E577" s="2" t="str">
        <f>"1000016933"</f>
        <v>1000016933</v>
      </c>
      <c r="F577" s="4" t="str">
        <f>"USAGE KIT:IBM Item # 90H3567-IBM, Toner Usage Kit for IBM Infoprint 32 &amp; 40 Printers, Low Volt, 300,000 pages yield. It contains Fuser, Manual Feed Pick-up Roller, Bians Transfer Roll."</f>
        <v>USAGE KIT:IBM Item # 90H3567-IBM, Toner Usage Kit for IBM Infoprint 32 &amp; 40 Printers, Low Volt, 300,000 pages yield. It contains Fuser, Manual Feed Pick-up Roller, Bians Transfer Roll.</v>
      </c>
      <c r="G577" s="74" t="str">
        <f>"KT"</f>
        <v>KT</v>
      </c>
      <c r="H577" s="7">
        <v>661</v>
      </c>
      <c r="I577" s="2" t="str">
        <f>"44103116"</f>
        <v>44103116</v>
      </c>
      <c r="J577" s="10" t="s">
        <v>109</v>
      </c>
    </row>
    <row r="578" spans="1:10" ht="38.25">
      <c r="A578" s="9" t="s">
        <v>27</v>
      </c>
      <c r="B578" s="2" t="s">
        <v>31</v>
      </c>
      <c r="C578" s="2">
        <v>3204</v>
      </c>
      <c r="D578" s="2">
        <v>966</v>
      </c>
      <c r="E578" s="2" t="str">
        <f>"1000016934"</f>
        <v>1000016934</v>
      </c>
      <c r="F578" s="4" t="str">
        <f>"TONER:XER Item # 106R00653-XER, Xerox Cyan toner cartridge for the Phaser 7750 (Yld 22K)"</f>
        <v>TONER:XER Item # 106R00653-XER, Xerox Cyan toner cartridge for the Phaser 7750 (Yld 22K)</v>
      </c>
      <c r="G578" s="74" t="str">
        <f t="shared" ref="G578:G587" si="32">"EA"</f>
        <v>EA</v>
      </c>
      <c r="H578" s="7">
        <v>371</v>
      </c>
      <c r="I578" s="2" t="str">
        <f>"44103105"</f>
        <v>44103105</v>
      </c>
      <c r="J578" s="10" t="s">
        <v>98</v>
      </c>
    </row>
    <row r="579" spans="1:10" ht="38.25">
      <c r="A579" s="9" t="s">
        <v>27</v>
      </c>
      <c r="B579" s="2" t="s">
        <v>31</v>
      </c>
      <c r="C579" s="2">
        <v>3204</v>
      </c>
      <c r="D579" s="2">
        <v>967</v>
      </c>
      <c r="E579" s="2" t="str">
        <f>"1000016935"</f>
        <v>1000016935</v>
      </c>
      <c r="F579" s="4" t="str">
        <f>"TONER:XER Item # 106R00654-XER, Magenta Toner Cartridge for Xerox Phaser 7750 (Yld 22k)"</f>
        <v>TONER:XER Item # 106R00654-XER, Magenta Toner Cartridge for Xerox Phaser 7750 (Yld 22k)</v>
      </c>
      <c r="G579" s="74" t="str">
        <f t="shared" si="32"/>
        <v>EA</v>
      </c>
      <c r="H579" s="7">
        <v>371</v>
      </c>
      <c r="I579" s="2" t="str">
        <f>"44103105"</f>
        <v>44103105</v>
      </c>
      <c r="J579" s="10" t="s">
        <v>98</v>
      </c>
    </row>
    <row r="580" spans="1:10" ht="38.25">
      <c r="A580" s="9" t="s">
        <v>27</v>
      </c>
      <c r="B580" s="2" t="s">
        <v>31</v>
      </c>
      <c r="C580" s="2">
        <v>3204</v>
      </c>
      <c r="D580" s="2">
        <v>968</v>
      </c>
      <c r="E580" s="2" t="str">
        <f>"1000016936"</f>
        <v>1000016936</v>
      </c>
      <c r="F580" s="4" t="str">
        <f>"TONER:XER Item # 106R00655-XER, Xerox Yellow toner cartridge for the Phaser 7750 (Yld 22K)"</f>
        <v>TONER:XER Item # 106R00655-XER, Xerox Yellow toner cartridge for the Phaser 7750 (Yld 22K)</v>
      </c>
      <c r="G580" s="74" t="str">
        <f t="shared" si="32"/>
        <v>EA</v>
      </c>
      <c r="H580" s="7">
        <v>371</v>
      </c>
      <c r="I580" s="2" t="str">
        <f>"44103105"</f>
        <v>44103105</v>
      </c>
      <c r="J580" s="10" t="s">
        <v>98</v>
      </c>
    </row>
    <row r="581" spans="1:10" ht="25.5">
      <c r="A581" s="9" t="s">
        <v>27</v>
      </c>
      <c r="B581" s="2" t="s">
        <v>31</v>
      </c>
      <c r="C581" s="2">
        <v>3204</v>
      </c>
      <c r="D581" s="2">
        <v>969</v>
      </c>
      <c r="E581" s="2" t="str">
        <f>"1000016937"</f>
        <v>1000016937</v>
      </c>
      <c r="F581" s="4" t="str">
        <f>"TONER:XER Item # 106R00672-XER, Cyan Toner Cartridge for Xerox Phaser 6250"</f>
        <v>TONER:XER Item # 106R00672-XER, Cyan Toner Cartridge for Xerox Phaser 6250</v>
      </c>
      <c r="G581" s="74" t="str">
        <f t="shared" si="32"/>
        <v>EA</v>
      </c>
      <c r="H581" s="7">
        <v>239</v>
      </c>
      <c r="I581" s="2" t="str">
        <f>"44103105"</f>
        <v>44103105</v>
      </c>
      <c r="J581" s="10" t="s">
        <v>98</v>
      </c>
    </row>
    <row r="582" spans="1:10" ht="38.25">
      <c r="A582" s="9" t="s">
        <v>27</v>
      </c>
      <c r="B582" s="2" t="s">
        <v>31</v>
      </c>
      <c r="C582" s="2">
        <v>3204</v>
      </c>
      <c r="D582" s="2">
        <v>970</v>
      </c>
      <c r="E582" s="2" t="str">
        <f>"1000016938"</f>
        <v>1000016938</v>
      </c>
      <c r="F582" s="4" t="str">
        <f>"TONER:XER Item # 106R00673-XER, Magenta Toner Cartridge for Xerox Phaser 6250"</f>
        <v>TONER:XER Item # 106R00673-XER, Magenta Toner Cartridge for Xerox Phaser 6250</v>
      </c>
      <c r="G582" s="74" t="str">
        <f t="shared" si="32"/>
        <v>EA</v>
      </c>
      <c r="H582" s="7">
        <v>239</v>
      </c>
      <c r="I582" s="2" t="str">
        <f>"44103105"</f>
        <v>44103105</v>
      </c>
      <c r="J582" s="10" t="s">
        <v>98</v>
      </c>
    </row>
    <row r="583" spans="1:10" ht="51">
      <c r="A583" s="9" t="s">
        <v>27</v>
      </c>
      <c r="B583" s="2" t="s">
        <v>31</v>
      </c>
      <c r="C583" s="2">
        <v>3204</v>
      </c>
      <c r="D583" s="2">
        <v>1001</v>
      </c>
      <c r="E583" s="2" t="str">
        <f>"1000016939"</f>
        <v>1000016939</v>
      </c>
      <c r="F583" s="4" t="str">
        <f>"WASTE BTL:QMS Item # 1710584001-QMS, Waste Toner Bottle for QMS Magicolor 5430 / 5430DL / 5440 series / 5440DL and QMS Minolta 5430"</f>
        <v>WASTE BTL:QMS Item # 1710584001-QMS, Waste Toner Bottle for QMS Magicolor 5430 / 5430DL / 5440 series / 5440DL and QMS Minolta 5430</v>
      </c>
      <c r="G583" s="74" t="str">
        <f t="shared" si="32"/>
        <v>EA</v>
      </c>
      <c r="H583" s="7">
        <v>30</v>
      </c>
      <c r="I583" s="2" t="str">
        <f>"44103120"</f>
        <v>44103120</v>
      </c>
      <c r="J583" s="10" t="s">
        <v>111</v>
      </c>
    </row>
    <row r="584" spans="1:10" ht="38.25">
      <c r="A584" s="9" t="s">
        <v>27</v>
      </c>
      <c r="B584" s="2" t="s">
        <v>31</v>
      </c>
      <c r="C584" s="2">
        <v>3204</v>
      </c>
      <c r="D584" s="2">
        <v>1002</v>
      </c>
      <c r="E584" s="2" t="str">
        <f>"1000016940"</f>
        <v>1000016940</v>
      </c>
      <c r="F584" s="4" t="str">
        <f>"WASTE BTL:XER Item # 016189100-TKT, Xerox Tektronix Waste Bottle for Xerox Phaser 7700"</f>
        <v>WASTE BTL:XER Item # 016189100-TKT, Xerox Tektronix Waste Bottle for Xerox Phaser 7700</v>
      </c>
      <c r="G584" s="74" t="str">
        <f t="shared" si="32"/>
        <v>EA</v>
      </c>
      <c r="H584" s="7">
        <v>31</v>
      </c>
      <c r="I584" s="2" t="str">
        <f>"44103120"</f>
        <v>44103120</v>
      </c>
      <c r="J584" s="10" t="s">
        <v>111</v>
      </c>
    </row>
    <row r="585" spans="1:10" ht="38.25">
      <c r="A585" s="9" t="s">
        <v>27</v>
      </c>
      <c r="B585" s="2" t="s">
        <v>31</v>
      </c>
      <c r="C585" s="2">
        <v>3204</v>
      </c>
      <c r="D585" s="2">
        <v>980</v>
      </c>
      <c r="E585" s="2" t="str">
        <f>"1000016941"</f>
        <v>1000016941</v>
      </c>
      <c r="F585" s="4" t="str">
        <f>"TONER:XER Item # 113R95-XER, Toner Cartridge for Xerox DocuPrint N17 &amp; 4517 Monochrome Laser Printer"</f>
        <v>TONER:XER Item # 113R95-XER, Toner Cartridge for Xerox DocuPrint N17 &amp; 4517 Monochrome Laser Printer</v>
      </c>
      <c r="G585" s="74" t="str">
        <f t="shared" si="32"/>
        <v>EA</v>
      </c>
      <c r="H585" s="7">
        <v>152</v>
      </c>
      <c r="I585" s="2" t="str">
        <f>"44103105"</f>
        <v>44103105</v>
      </c>
      <c r="J585" s="10" t="s">
        <v>98</v>
      </c>
    </row>
    <row r="586" spans="1:10" ht="38.25">
      <c r="A586" s="9" t="s">
        <v>27</v>
      </c>
      <c r="B586" s="2" t="s">
        <v>31</v>
      </c>
      <c r="C586" s="2">
        <v>3204</v>
      </c>
      <c r="D586" s="2">
        <v>981</v>
      </c>
      <c r="E586" s="2" t="str">
        <f>"1000016942"</f>
        <v>1000016942</v>
      </c>
      <c r="F586" s="4" t="str">
        <f>"TONER:XER Item # 6R1267-XER, Xerox Yellow toner cartridge, 21,000 page yield for a Xerox 7132 workcenter copier"</f>
        <v>TONER:XER Item # 6R1267-XER, Xerox Yellow toner cartridge, 21,000 page yield for a Xerox 7132 workcenter copier</v>
      </c>
      <c r="G586" s="74" t="str">
        <f t="shared" si="32"/>
        <v>EA</v>
      </c>
      <c r="H586" s="7">
        <v>166</v>
      </c>
      <c r="I586" s="2" t="str">
        <f>"44103105"</f>
        <v>44103105</v>
      </c>
      <c r="J586" s="10" t="s">
        <v>98</v>
      </c>
    </row>
    <row r="587" spans="1:10" ht="51">
      <c r="A587" s="9" t="s">
        <v>27</v>
      </c>
      <c r="B587" s="2" t="s">
        <v>31</v>
      </c>
      <c r="C587" s="2">
        <v>3204</v>
      </c>
      <c r="D587" s="2">
        <v>982</v>
      </c>
      <c r="E587" s="2" t="str">
        <f>"1000016943"</f>
        <v>1000016943</v>
      </c>
      <c r="F587" s="4" t="str">
        <f>"TONER:XER Item # 6R1268-XER, Xerox Magenta laser toner cartridge designed for the Xerox WorkCentre 7132 laser toner printers (8,000 page yield)"</f>
        <v>TONER:XER Item # 6R1268-XER, Xerox Magenta laser toner cartridge designed for the Xerox WorkCentre 7132 laser toner printers (8,000 page yield)</v>
      </c>
      <c r="G587" s="74" t="str">
        <f t="shared" si="32"/>
        <v>EA</v>
      </c>
      <c r="H587" s="7">
        <v>170</v>
      </c>
      <c r="I587" s="2" t="str">
        <f>"44103105"</f>
        <v>44103105</v>
      </c>
      <c r="J587" s="10" t="s">
        <v>98</v>
      </c>
    </row>
    <row r="588" spans="1:10" ht="63.75">
      <c r="A588" s="9" t="s">
        <v>27</v>
      </c>
      <c r="B588" s="2" t="s">
        <v>31</v>
      </c>
      <c r="C588" s="2">
        <v>3204</v>
      </c>
      <c r="D588" s="2">
        <v>983</v>
      </c>
      <c r="E588" s="2" t="str">
        <f>"1000016944"</f>
        <v>1000016944</v>
      </c>
      <c r="F588" s="4" t="str">
        <f>"TONER:XER Item # 6R244-XER, Black Dry Ink Toner Cartridge for Xerox 5018, 5021, 5028, 5034, 5328, 5334, 5624, 5626, 5818, 5820, 5828, 5830, BookMark 21. 2 cartridges per carton, (Yld 10k)"</f>
        <v>TONER:XER Item # 6R244-XER, Black Dry Ink Toner Cartridge for Xerox 5018, 5021, 5028, 5034, 5328, 5334, 5624, 5626, 5818, 5820, 5828, 5830, BookMark 21. 2 cartridges per carton, (Yld 10k)</v>
      </c>
      <c r="G588" s="74" t="str">
        <f>"CT"</f>
        <v>CT</v>
      </c>
      <c r="H588" s="7">
        <v>134</v>
      </c>
      <c r="I588" s="2" t="str">
        <f>"44103105"</f>
        <v>44103105</v>
      </c>
      <c r="J588" s="10" t="s">
        <v>98</v>
      </c>
    </row>
    <row r="589" spans="1:10" ht="38.25">
      <c r="A589" s="9" t="s">
        <v>27</v>
      </c>
      <c r="B589" s="2" t="s">
        <v>31</v>
      </c>
      <c r="C589" s="2">
        <v>3204</v>
      </c>
      <c r="D589" s="2">
        <v>984</v>
      </c>
      <c r="E589" s="2" t="str">
        <f>"1000016945"</f>
        <v>1000016945</v>
      </c>
      <c r="F589" s="4" t="str">
        <f>"TONER:XER Item # 6R90293-XER, Standard-Capacity Black Toner Cartridge for Xerox Phaser 1235 LED Color Printers, (Yld 5K)"</f>
        <v>TONER:XER Item # 6R90293-XER, Standard-Capacity Black Toner Cartridge for Xerox Phaser 1235 LED Color Printers, (Yld 5K)</v>
      </c>
      <c r="G589" s="74" t="str">
        <f t="shared" ref="G589:G611" si="33">"EA"</f>
        <v>EA</v>
      </c>
      <c r="H589" s="7">
        <v>72</v>
      </c>
      <c r="I589" s="2" t="str">
        <f>"44103105"</f>
        <v>44103105</v>
      </c>
      <c r="J589" s="10" t="s">
        <v>98</v>
      </c>
    </row>
    <row r="590" spans="1:10" ht="38.25">
      <c r="A590" s="9" t="s">
        <v>27</v>
      </c>
      <c r="B590" s="2" t="s">
        <v>31</v>
      </c>
      <c r="C590" s="2">
        <v>3204</v>
      </c>
      <c r="D590" s="2">
        <v>493</v>
      </c>
      <c r="E590" s="2" t="str">
        <f>"1000016946"</f>
        <v>1000016946</v>
      </c>
      <c r="F590" s="4" t="str">
        <f>"RIBBON:EPS Item # ERC38BR-EPS, Epson ERC-34/TM300 Series/TM2155 Black/Red POS Ribbon"</f>
        <v>RIBBON:EPS Item # ERC38BR-EPS, Epson ERC-34/TM300 Series/TM2155 Black/Red POS Ribbon</v>
      </c>
      <c r="G590" s="74" t="str">
        <f t="shared" si="33"/>
        <v>EA</v>
      </c>
      <c r="H590" s="7">
        <v>6</v>
      </c>
      <c r="I590" s="2" t="str">
        <f>"44103112"</f>
        <v>44103112</v>
      </c>
      <c r="J590" s="10" t="s">
        <v>105</v>
      </c>
    </row>
    <row r="591" spans="1:10" ht="25.5">
      <c r="A591" s="9" t="s">
        <v>27</v>
      </c>
      <c r="B591" s="2" t="s">
        <v>31</v>
      </c>
      <c r="C591" s="2">
        <v>3204</v>
      </c>
      <c r="D591" s="2">
        <v>495</v>
      </c>
      <c r="E591" s="2" t="str">
        <f>"1000016947"</f>
        <v>1000016947</v>
      </c>
      <c r="F591" s="4" t="str">
        <f>"RIBBON:EPS Item # S015329-EPS, Epson FX-890 black nylon ribbon"</f>
        <v>RIBBON:EPS Item # S015329-EPS, Epson FX-890 black nylon ribbon</v>
      </c>
      <c r="G591" s="74" t="str">
        <f t="shared" si="33"/>
        <v>EA</v>
      </c>
      <c r="H591" s="7">
        <v>8</v>
      </c>
      <c r="I591" s="2" t="str">
        <f>"44103112"</f>
        <v>44103112</v>
      </c>
      <c r="J591" s="10" t="s">
        <v>105</v>
      </c>
    </row>
    <row r="592" spans="1:10" ht="25.5">
      <c r="A592" s="9" t="s">
        <v>27</v>
      </c>
      <c r="B592" s="2" t="s">
        <v>31</v>
      </c>
      <c r="C592" s="2">
        <v>3204</v>
      </c>
      <c r="D592" s="2">
        <v>496</v>
      </c>
      <c r="E592" s="2" t="str">
        <f>"1000016948"</f>
        <v>1000016948</v>
      </c>
      <c r="F592" s="4" t="str">
        <f>"RIBBON:FUJ Item # 0601-FUG, Fujitsu I. Ribbon Black DL3300, 3400, 3600"</f>
        <v>RIBBON:FUJ Item # 0601-FUG, Fujitsu I. Ribbon Black DL3300, 3400, 3600</v>
      </c>
      <c r="G592" s="74" t="str">
        <f t="shared" si="33"/>
        <v>EA</v>
      </c>
      <c r="H592" s="7">
        <v>20.84</v>
      </c>
      <c r="I592" s="2" t="str">
        <f>"44103112"</f>
        <v>44103112</v>
      </c>
      <c r="J592" s="10" t="s">
        <v>105</v>
      </c>
    </row>
    <row r="593" spans="1:10" ht="38.25">
      <c r="A593" s="9" t="s">
        <v>27</v>
      </c>
      <c r="B593" s="2" t="s">
        <v>31</v>
      </c>
      <c r="C593" s="2">
        <v>3204</v>
      </c>
      <c r="D593" s="2">
        <v>487</v>
      </c>
      <c r="E593" s="2" t="str">
        <f>"1000016950"</f>
        <v>1000016950</v>
      </c>
      <c r="F593" s="4" t="str">
        <f>"RIBBON: DEC Item # LA30RKA-DEC, LA-30N Black Nylon Cartridge (Yld 2mil characters)"</f>
        <v>RIBBON: DEC Item # LA30RKA-DEC, LA-30N Black Nylon Cartridge (Yld 2mil characters)</v>
      </c>
      <c r="G593" s="74" t="str">
        <f t="shared" si="33"/>
        <v>EA</v>
      </c>
      <c r="H593" s="7">
        <v>14</v>
      </c>
      <c r="I593" s="2" t="str">
        <f>"44103112"</f>
        <v>44103112</v>
      </c>
      <c r="J593" s="10" t="s">
        <v>105</v>
      </c>
    </row>
    <row r="594" spans="1:10" ht="38.25">
      <c r="A594" s="9" t="s">
        <v>27</v>
      </c>
      <c r="B594" s="2" t="s">
        <v>31</v>
      </c>
      <c r="C594" s="2">
        <v>3204</v>
      </c>
      <c r="D594" s="2">
        <v>125</v>
      </c>
      <c r="E594" s="2" t="str">
        <f>"1000016951"</f>
        <v>1000016951</v>
      </c>
      <c r="F594" s="4" t="str">
        <f>"INK CART: EPS Item # S020130-EPS, Epson Stylus Color 3000/Pro 5000 Cyan Ink Cartridge (Yld 2.1k)"</f>
        <v>INK CART: EPS Item # S020130-EPS, Epson Stylus Color 3000/Pro 5000 Cyan Ink Cartridge (Yld 2.1k)</v>
      </c>
      <c r="G594" s="74" t="str">
        <f t="shared" si="33"/>
        <v>EA</v>
      </c>
      <c r="H594" s="7">
        <v>65</v>
      </c>
      <c r="I594" s="2" t="str">
        <f>"44103105"</f>
        <v>44103105</v>
      </c>
      <c r="J594" s="10" t="s">
        <v>98</v>
      </c>
    </row>
    <row r="595" spans="1:10" ht="25.5">
      <c r="A595" s="9" t="s">
        <v>27</v>
      </c>
      <c r="B595" s="2" t="s">
        <v>31</v>
      </c>
      <c r="C595" s="2">
        <v>3204</v>
      </c>
      <c r="D595" s="2">
        <v>127</v>
      </c>
      <c r="E595" s="2" t="str">
        <f>"1000016952"</f>
        <v>1000016952</v>
      </c>
      <c r="F595" s="4" t="str">
        <f>"INK CART: EPS Item # S189108-EPS, Epson Black InkJet Cartridge for Stylus 740/800"</f>
        <v>INK CART: EPS Item # S189108-EPS, Epson Black InkJet Cartridge for Stylus 740/800</v>
      </c>
      <c r="G595" s="74" t="str">
        <f t="shared" si="33"/>
        <v>EA</v>
      </c>
      <c r="H595" s="7">
        <v>31</v>
      </c>
      <c r="I595" s="2" t="str">
        <f>"44103105"</f>
        <v>44103105</v>
      </c>
      <c r="J595" s="10" t="s">
        <v>98</v>
      </c>
    </row>
    <row r="596" spans="1:10" ht="38.25">
      <c r="A596" s="9" t="s">
        <v>27</v>
      </c>
      <c r="B596" s="2" t="s">
        <v>31</v>
      </c>
      <c r="C596" s="2">
        <v>3204</v>
      </c>
      <c r="D596" s="2">
        <v>58</v>
      </c>
      <c r="E596" s="2" t="str">
        <f>"1000016953"</f>
        <v>1000016953</v>
      </c>
      <c r="F596" s="4" t="str">
        <f>"INK CART:BRO Item # LC21BK-BRT, Brother Black ink cartridge for MFC-3100C/5100C (Yld 800)"</f>
        <v>INK CART:BRO Item # LC21BK-BRT, Brother Black ink cartridge for MFC-3100C/5100C (Yld 800)</v>
      </c>
      <c r="G596" s="74" t="str">
        <f t="shared" si="33"/>
        <v>EA</v>
      </c>
      <c r="H596" s="7">
        <v>24</v>
      </c>
      <c r="I596" s="2" t="str">
        <f>"44103105"</f>
        <v>44103105</v>
      </c>
      <c r="J596" s="10" t="s">
        <v>98</v>
      </c>
    </row>
    <row r="597" spans="1:10" ht="38.25">
      <c r="A597" s="9" t="s">
        <v>27</v>
      </c>
      <c r="B597" s="2" t="s">
        <v>31</v>
      </c>
      <c r="C597" s="2">
        <v>3204</v>
      </c>
      <c r="D597" s="2">
        <v>60</v>
      </c>
      <c r="E597" s="2" t="str">
        <f>"1000016954"</f>
        <v>1000016954</v>
      </c>
      <c r="F597" s="4" t="str">
        <f>"INK CART:BRO Item # LC21M-BRT, Brother Magenta ink cartridge for MFC-3100C/5100C (Yld 400)"</f>
        <v>INK CART:BRO Item # LC21M-BRT, Brother Magenta ink cartridge for MFC-3100C/5100C (Yld 400)</v>
      </c>
      <c r="G597" s="74" t="str">
        <f t="shared" si="33"/>
        <v>EA</v>
      </c>
      <c r="H597" s="7">
        <v>15</v>
      </c>
      <c r="I597" s="2" t="str">
        <f>"44103105"</f>
        <v>44103105</v>
      </c>
      <c r="J597" s="10" t="s">
        <v>98</v>
      </c>
    </row>
    <row r="598" spans="1:10" ht="38.25">
      <c r="A598" s="9" t="s">
        <v>27</v>
      </c>
      <c r="B598" s="2" t="s">
        <v>31</v>
      </c>
      <c r="C598" s="2">
        <v>3204</v>
      </c>
      <c r="D598" s="2">
        <v>61</v>
      </c>
      <c r="E598" s="2" t="str">
        <f>"1000016955"</f>
        <v>1000016955</v>
      </c>
      <c r="F598" s="4" t="str">
        <f>"INK CART:BRO Item # LC21Y-BRT, Brother Yellow ink cartridge for MFC-3100C/5100C (Yld 400)"</f>
        <v>INK CART:BRO Item # LC21Y-BRT, Brother Yellow ink cartridge for MFC-3100C/5100C (Yld 400)</v>
      </c>
      <c r="G598" s="74" t="str">
        <f t="shared" si="33"/>
        <v>EA</v>
      </c>
      <c r="H598" s="7">
        <v>15</v>
      </c>
      <c r="I598" s="2" t="str">
        <f>"44103105"</f>
        <v>44103105</v>
      </c>
      <c r="J598" s="10" t="s">
        <v>98</v>
      </c>
    </row>
    <row r="599" spans="1:10" ht="38.25">
      <c r="A599" s="9" t="s">
        <v>27</v>
      </c>
      <c r="B599" s="2" t="s">
        <v>31</v>
      </c>
      <c r="C599" s="2">
        <v>3204</v>
      </c>
      <c r="D599" s="2">
        <v>505</v>
      </c>
      <c r="E599" s="2" t="str">
        <f>"1000016956"</f>
        <v>1000016956</v>
      </c>
      <c r="F599" s="4" t="str">
        <f>"RIBBON:LEX Item # 13L0034-LEX, Lexmark Black printer ribbon designed for the Lexmark 4227 Plus dot matrix printers."</f>
        <v>RIBBON:LEX Item # 13L0034-LEX, Lexmark Black printer ribbon designed for the Lexmark 4227 Plus dot matrix printers.</v>
      </c>
      <c r="G599" s="74" t="str">
        <f t="shared" si="33"/>
        <v>EA</v>
      </c>
      <c r="H599" s="7">
        <v>50.82</v>
      </c>
      <c r="I599" s="2" t="str">
        <f>"44103112"</f>
        <v>44103112</v>
      </c>
      <c r="J599" s="10" t="s">
        <v>105</v>
      </c>
    </row>
    <row r="600" spans="1:10" ht="38.25">
      <c r="A600" s="9" t="s">
        <v>27</v>
      </c>
      <c r="B600" s="2" t="s">
        <v>31</v>
      </c>
      <c r="C600" s="2">
        <v>3204</v>
      </c>
      <c r="D600" s="2">
        <v>506</v>
      </c>
      <c r="E600" s="2" t="str">
        <f>"1000016957"</f>
        <v>1000016957</v>
      </c>
      <c r="F600" s="4" t="str">
        <f>"RIBBON:LEX Item # 6328829-LEX, Lexmark Nylon Ribbon for IBM Proprinter 4201/II/III Printers"</f>
        <v>RIBBON:LEX Item # 6328829-LEX, Lexmark Nylon Ribbon for IBM Proprinter 4201/II/III Printers</v>
      </c>
      <c r="G600" s="74" t="str">
        <f t="shared" si="33"/>
        <v>EA</v>
      </c>
      <c r="H600" s="7">
        <v>16</v>
      </c>
      <c r="I600" s="2" t="str">
        <f>"44103112"</f>
        <v>44103112</v>
      </c>
      <c r="J600" s="10" t="s">
        <v>105</v>
      </c>
    </row>
    <row r="601" spans="1:10" ht="51">
      <c r="A601" s="9" t="s">
        <v>27</v>
      </c>
      <c r="B601" s="2" t="s">
        <v>31</v>
      </c>
      <c r="C601" s="2">
        <v>3204</v>
      </c>
      <c r="D601" s="2">
        <v>500</v>
      </c>
      <c r="E601" s="2" t="str">
        <f>"1000016958"</f>
        <v>1000016958</v>
      </c>
      <c r="F601" s="4" t="str">
        <f>"RIBBON:IBM Item # 6475399-IBM, IBM printer ribbon, 64 character US print band .095 standard band designed for the IBM 6262 dot matrix printers"</f>
        <v>RIBBON:IBM Item # 6475399-IBM, IBM printer ribbon, 64 character US print band .095 standard band designed for the IBM 6262 dot matrix printers</v>
      </c>
      <c r="G601" s="74" t="str">
        <f t="shared" si="33"/>
        <v>EA</v>
      </c>
      <c r="H601" s="7">
        <v>536</v>
      </c>
      <c r="I601" s="2" t="str">
        <f>"44103112"</f>
        <v>44103112</v>
      </c>
      <c r="J601" s="10" t="s">
        <v>105</v>
      </c>
    </row>
    <row r="602" spans="1:10" ht="51">
      <c r="A602" s="9" t="s">
        <v>27</v>
      </c>
      <c r="B602" s="2" t="s">
        <v>31</v>
      </c>
      <c r="C602" s="2">
        <v>3204</v>
      </c>
      <c r="D602" s="2">
        <v>425</v>
      </c>
      <c r="E602" s="2" t="str">
        <f>"1000016959"</f>
        <v>1000016959</v>
      </c>
      <c r="F602" s="4" t="str">
        <f>"PRINTHEAD:HP Item # C4800A-HEW, HP No. 10 Printhead, Black for HP 2000C/2500C/DesignJet Colorpro GA/CAD (Yld 12k)"</f>
        <v>PRINTHEAD:HP Item # C4800A-HEW, HP No. 10 Printhead, Black for HP 2000C/2500C/DesignJet Colorpro GA/CAD (Yld 12k)</v>
      </c>
      <c r="G602" s="74" t="str">
        <f t="shared" si="33"/>
        <v>EA</v>
      </c>
      <c r="H602" s="7">
        <v>37</v>
      </c>
      <c r="I602" s="2" t="str">
        <f t="shared" ref="I602:I613" si="34">"44103110"</f>
        <v>44103110</v>
      </c>
      <c r="J602" s="10" t="s">
        <v>102</v>
      </c>
    </row>
    <row r="603" spans="1:10" ht="38.25">
      <c r="A603" s="9" t="s">
        <v>27</v>
      </c>
      <c r="B603" s="2" t="s">
        <v>31</v>
      </c>
      <c r="C603" s="2">
        <v>3204</v>
      </c>
      <c r="D603" s="2">
        <v>426</v>
      </c>
      <c r="E603" s="2" t="str">
        <f>"1000016960"</f>
        <v>1000016960</v>
      </c>
      <c r="F603" s="4" t="str">
        <f>"PRINTHEAD:HP Item # C4801A-HEW, HP No. 10 Printhead, Cyan,(Yld 12k) for HP 2000C/2500C/DesignJet"</f>
        <v>PRINTHEAD:HP Item # C4801A-HEW, HP No. 10 Printhead, Cyan,(Yld 12k) for HP 2000C/2500C/DesignJet</v>
      </c>
      <c r="G603" s="74" t="str">
        <f t="shared" si="33"/>
        <v>EA</v>
      </c>
      <c r="H603" s="7">
        <v>36</v>
      </c>
      <c r="I603" s="2" t="str">
        <f t="shared" si="34"/>
        <v>44103110</v>
      </c>
      <c r="J603" s="10" t="s">
        <v>102</v>
      </c>
    </row>
    <row r="604" spans="1:10" ht="38.25">
      <c r="A604" s="9" t="s">
        <v>27</v>
      </c>
      <c r="B604" s="2" t="s">
        <v>31</v>
      </c>
      <c r="C604" s="2">
        <v>3204</v>
      </c>
      <c r="D604" s="2">
        <v>427</v>
      </c>
      <c r="E604" s="2" t="str">
        <f>"1000016961"</f>
        <v>1000016961</v>
      </c>
      <c r="F604" s="4" t="str">
        <f>"PRINTHEAD:HP Item # C4802A-HEW, HP No. 10 Printhead, Magenta, (Yld 12k) HP 2000C/2500C/DesignJet"</f>
        <v>PRINTHEAD:HP Item # C4802A-HEW, HP No. 10 Printhead, Magenta, (Yld 12k) HP 2000C/2500C/DesignJet</v>
      </c>
      <c r="G604" s="74" t="str">
        <f t="shared" si="33"/>
        <v>EA</v>
      </c>
      <c r="H604" s="7">
        <v>36</v>
      </c>
      <c r="I604" s="2" t="str">
        <f t="shared" si="34"/>
        <v>44103110</v>
      </c>
      <c r="J604" s="10" t="s">
        <v>102</v>
      </c>
    </row>
    <row r="605" spans="1:10" ht="38.25">
      <c r="A605" s="9" t="s">
        <v>27</v>
      </c>
      <c r="B605" s="2" t="s">
        <v>31</v>
      </c>
      <c r="C605" s="2">
        <v>3204</v>
      </c>
      <c r="D605" s="2">
        <v>428</v>
      </c>
      <c r="E605" s="2" t="str">
        <f>"1000016962"</f>
        <v>1000016962</v>
      </c>
      <c r="F605" s="4" t="str">
        <f>"PRINTHEAD:HP Item # C4803A-HEW, HP No. 10 Printhead, Yellow (Yld 12k) HP 2000C/2500C/DesignJet"</f>
        <v>PRINTHEAD:HP Item # C4803A-HEW, HP No. 10 Printhead, Yellow (Yld 12k) HP 2000C/2500C/DesignJet</v>
      </c>
      <c r="G605" s="74" t="str">
        <f t="shared" si="33"/>
        <v>EA</v>
      </c>
      <c r="H605" s="7">
        <v>36</v>
      </c>
      <c r="I605" s="2" t="str">
        <f t="shared" si="34"/>
        <v>44103110</v>
      </c>
      <c r="J605" s="10" t="s">
        <v>102</v>
      </c>
    </row>
    <row r="606" spans="1:10" ht="51">
      <c r="A606" s="9" t="s">
        <v>27</v>
      </c>
      <c r="B606" s="2" t="s">
        <v>31</v>
      </c>
      <c r="C606" s="2">
        <v>3204</v>
      </c>
      <c r="D606" s="2">
        <v>429</v>
      </c>
      <c r="E606" s="2" t="str">
        <f>"1000016963"</f>
        <v>1000016963</v>
      </c>
      <c r="F606" s="4" t="str">
        <f>"PRINTHEAD:HP Item # C4810A-HEW, HP No. 11 Printhead, Black for DesignJet 500/ 500PS/ 800/ 800PS/ DeskJet 2200/ 2250 (Yld 16k)"</f>
        <v>PRINTHEAD:HP Item # C4810A-HEW, HP No. 11 Printhead, Black for DesignJet 500/ 500PS/ 800/ 800PS/ DeskJet 2200/ 2250 (Yld 16k)</v>
      </c>
      <c r="G606" s="74" t="str">
        <f t="shared" si="33"/>
        <v>EA</v>
      </c>
      <c r="H606" s="7">
        <v>41.99</v>
      </c>
      <c r="I606" s="2" t="str">
        <f t="shared" si="34"/>
        <v>44103110</v>
      </c>
      <c r="J606" s="10" t="s">
        <v>102</v>
      </c>
    </row>
    <row r="607" spans="1:10" ht="51">
      <c r="A607" s="9" t="s">
        <v>27</v>
      </c>
      <c r="B607" s="2" t="s">
        <v>31</v>
      </c>
      <c r="C607" s="2">
        <v>3204</v>
      </c>
      <c r="D607" s="2">
        <v>430</v>
      </c>
      <c r="E607" s="2" t="str">
        <f>"1000016964"</f>
        <v>1000016964</v>
      </c>
      <c r="F607" s="4" t="str">
        <f>"PRINTHEAD:HP Item # C4811A-HEW, HP No. 11 Printhead, Cyan DesignJet 500/500PS/800/ 800PS/DeskJet 2200/2250, (Yld 24k)"</f>
        <v>PRINTHEAD:HP Item # C4811A-HEW, HP No. 11 Printhead, Cyan DesignJet 500/500PS/800/ 800PS/DeskJet 2200/2250, (Yld 24k)</v>
      </c>
      <c r="G607" s="74" t="str">
        <f t="shared" si="33"/>
        <v>EA</v>
      </c>
      <c r="H607" s="7">
        <v>41.99</v>
      </c>
      <c r="I607" s="2" t="str">
        <f t="shared" si="34"/>
        <v>44103110</v>
      </c>
      <c r="J607" s="10" t="s">
        <v>102</v>
      </c>
    </row>
    <row r="608" spans="1:10" ht="51">
      <c r="A608" s="9" t="s">
        <v>27</v>
      </c>
      <c r="B608" s="2" t="s">
        <v>31</v>
      </c>
      <c r="C608" s="2">
        <v>3204</v>
      </c>
      <c r="D608" s="2">
        <v>431</v>
      </c>
      <c r="E608" s="2" t="str">
        <f>"1000016965"</f>
        <v>1000016965</v>
      </c>
      <c r="F608" s="4" t="str">
        <f>"PRINTHEAD:HP Item # C4812A-HEW, HP No. 11 Printhead, Magenta, DesignJet 500/ 500PS/ 800/ 800PS/ DeskJet 2200/2250 (Yld 24k)"</f>
        <v>PRINTHEAD:HP Item # C4812A-HEW, HP No. 11 Printhead, Magenta, DesignJet 500/ 500PS/ 800/ 800PS/ DeskJet 2200/2250 (Yld 24k)</v>
      </c>
      <c r="G608" s="74" t="str">
        <f t="shared" si="33"/>
        <v>EA</v>
      </c>
      <c r="H608" s="7">
        <v>41.99</v>
      </c>
      <c r="I608" s="2" t="str">
        <f t="shared" si="34"/>
        <v>44103110</v>
      </c>
      <c r="J608" s="10" t="s">
        <v>102</v>
      </c>
    </row>
    <row r="609" spans="1:10" ht="51">
      <c r="A609" s="9" t="s">
        <v>27</v>
      </c>
      <c r="B609" s="2" t="s">
        <v>31</v>
      </c>
      <c r="C609" s="2">
        <v>3204</v>
      </c>
      <c r="D609" s="2">
        <v>446</v>
      </c>
      <c r="E609" s="2" t="str">
        <f>"1000016966"</f>
        <v>1000016966</v>
      </c>
      <c r="F609" s="4" t="str">
        <f>"PRINTHEAD:HP Item # C4960A-HEW, HP No. 83 Black printhead/cleaner Wide Format Printers Designjet 5000 Series, Designjet 5500 Series"</f>
        <v>PRINTHEAD:HP Item # C4960A-HEW, HP No. 83 Black printhead/cleaner Wide Format Printers Designjet 5000 Series, Designjet 5500 Series</v>
      </c>
      <c r="G609" s="74" t="str">
        <f t="shared" si="33"/>
        <v>EA</v>
      </c>
      <c r="H609" s="7">
        <v>174.82</v>
      </c>
      <c r="I609" s="2" t="str">
        <f t="shared" si="34"/>
        <v>44103110</v>
      </c>
      <c r="J609" s="10" t="s">
        <v>102</v>
      </c>
    </row>
    <row r="610" spans="1:10" ht="51">
      <c r="A610" s="9" t="s">
        <v>27</v>
      </c>
      <c r="B610" s="2" t="s">
        <v>31</v>
      </c>
      <c r="C610" s="2">
        <v>3204</v>
      </c>
      <c r="D610" s="2">
        <v>447</v>
      </c>
      <c r="E610" s="2" t="str">
        <f>"1000016967"</f>
        <v>1000016967</v>
      </c>
      <c r="F610" s="4" t="str">
        <f>"PRINTHEAD:HP Item # C4961A-HEW, HP No. 83 Cyan printhead/cleaner for Wide format printers designjet 5000 series and Designjet 5500 series"</f>
        <v>PRINTHEAD:HP Item # C4961A-HEW, HP No. 83 Cyan printhead/cleaner for Wide format printers designjet 5000 series and Designjet 5500 series</v>
      </c>
      <c r="G610" s="74" t="str">
        <f t="shared" si="33"/>
        <v>EA</v>
      </c>
      <c r="H610" s="7">
        <v>178.32</v>
      </c>
      <c r="I610" s="2" t="str">
        <f t="shared" si="34"/>
        <v>44103110</v>
      </c>
      <c r="J610" s="10" t="s">
        <v>102</v>
      </c>
    </row>
    <row r="611" spans="1:10" ht="38.25">
      <c r="A611" s="9" t="s">
        <v>27</v>
      </c>
      <c r="B611" s="2" t="s">
        <v>31</v>
      </c>
      <c r="C611" s="2">
        <v>3204</v>
      </c>
      <c r="D611" s="2">
        <v>448</v>
      </c>
      <c r="E611" s="2" t="str">
        <f>"1000016968"</f>
        <v>1000016968</v>
      </c>
      <c r="F611" s="4" t="str">
        <f>"PRINTHEAD:HP Item # C4962A-HEW, HP No. 83 Magenta printhead/cleaner Designjet 5000 Series, Designjet 5500 Series"</f>
        <v>PRINTHEAD:HP Item # C4962A-HEW, HP No. 83 Magenta printhead/cleaner Designjet 5000 Series, Designjet 5500 Series</v>
      </c>
      <c r="G611" s="74" t="str">
        <f t="shared" si="33"/>
        <v>EA</v>
      </c>
      <c r="H611" s="7">
        <v>178.32</v>
      </c>
      <c r="I611" s="2" t="str">
        <f t="shared" si="34"/>
        <v>44103110</v>
      </c>
      <c r="J611" s="10" t="s">
        <v>102</v>
      </c>
    </row>
    <row r="612" spans="1:10" ht="51">
      <c r="A612" s="9" t="s">
        <v>27</v>
      </c>
      <c r="B612" s="2" t="s">
        <v>31</v>
      </c>
      <c r="C612" s="2">
        <v>3204</v>
      </c>
      <c r="D612" s="2">
        <v>449</v>
      </c>
      <c r="E612" s="2" t="str">
        <f>"1000016969"</f>
        <v>1000016969</v>
      </c>
      <c r="F612" s="4" t="str">
        <f>"PRINTHEAD:HP Item # C4990A-HEW, HP No. 81 Ink Cartridge. HP Ink Black Value Pack Cartridge/ Printhead/ Cleaner for Designjet 5000/ 5500 Series"</f>
        <v>PRINTHEAD:HP Item # C4990A-HEW, HP No. 81 Ink Cartridge. HP Ink Black Value Pack Cartridge/ Printhead/ Cleaner for Designjet 5000/ 5500 Series</v>
      </c>
      <c r="G612" s="74" t="str">
        <f>"PK"</f>
        <v>PK</v>
      </c>
      <c r="H612" s="7">
        <v>374</v>
      </c>
      <c r="I612" s="2" t="str">
        <f t="shared" si="34"/>
        <v>44103110</v>
      </c>
      <c r="J612" s="10" t="s">
        <v>102</v>
      </c>
    </row>
    <row r="613" spans="1:10" ht="51">
      <c r="A613" s="9" t="s">
        <v>27</v>
      </c>
      <c r="B613" s="2" t="s">
        <v>31</v>
      </c>
      <c r="C613" s="2">
        <v>3204</v>
      </c>
      <c r="D613" s="2">
        <v>450</v>
      </c>
      <c r="E613" s="2" t="str">
        <f>"1000016970"</f>
        <v>1000016970</v>
      </c>
      <c r="F613" s="4" t="str">
        <f>"PRINTHEAD:HP Item # C4991A-HEW, HP No. 81 Ink Cartridge. HP Ink Cyan Value Pack Cartridge/ Printhead/ Cleaner for Designjet 5000/ 5500 Series"</f>
        <v>PRINTHEAD:HP Item # C4991A-HEW, HP No. 81 Ink Cartridge. HP Ink Cyan Value Pack Cartridge/ Printhead/ Cleaner for Designjet 5000/ 5500 Series</v>
      </c>
      <c r="G613" s="74" t="str">
        <f>"PK"</f>
        <v>PK</v>
      </c>
      <c r="H613" s="7">
        <v>374</v>
      </c>
      <c r="I613" s="2" t="str">
        <f t="shared" si="34"/>
        <v>44103110</v>
      </c>
      <c r="J613" s="10" t="s">
        <v>102</v>
      </c>
    </row>
    <row r="614" spans="1:10" ht="38.25">
      <c r="A614" s="9" t="s">
        <v>27</v>
      </c>
      <c r="B614" s="2" t="s">
        <v>31</v>
      </c>
      <c r="C614" s="2">
        <v>3204</v>
      </c>
      <c r="D614" s="2">
        <v>997</v>
      </c>
      <c r="E614" s="2" t="str">
        <f>"1000016971"</f>
        <v>1000016971</v>
      </c>
      <c r="F614" s="4" t="str">
        <f>"TRANSFER RL: XER Item # 108R00592-XER, Transfer Roller for Xerox Phaser 6250 Printer"</f>
        <v>TRANSFER RL: XER Item # 108R00592-XER, Transfer Roller for Xerox Phaser 6250 Printer</v>
      </c>
      <c r="G614" s="74" t="str">
        <f>"EA"</f>
        <v>EA</v>
      </c>
      <c r="H614" s="7">
        <v>156</v>
      </c>
      <c r="I614" s="2" t="str">
        <f>"44103104"</f>
        <v>44103104</v>
      </c>
      <c r="J614" s="10" t="s">
        <v>110</v>
      </c>
    </row>
    <row r="615" spans="1:10" ht="38.25">
      <c r="A615" s="9" t="s">
        <v>27</v>
      </c>
      <c r="B615" s="2" t="s">
        <v>31</v>
      </c>
      <c r="C615" s="2">
        <v>3204</v>
      </c>
      <c r="D615" s="2">
        <v>419</v>
      </c>
      <c r="E615" s="2" t="str">
        <f>"1000016972"</f>
        <v>1000016972</v>
      </c>
      <c r="F615" s="4" t="str">
        <f>"PHOTOCONDUCTOR KIT: LEX # 12L0251-LEX, Lexmark Photoconductor Kit for Optra W 810 (Yld 90k)"</f>
        <v>PHOTOCONDUCTOR KIT: LEX # 12L0251-LEX, Lexmark Photoconductor Kit for Optra W 810 (Yld 90k)</v>
      </c>
      <c r="G615" s="74" t="str">
        <f>"KT"</f>
        <v>KT</v>
      </c>
      <c r="H615" s="7">
        <v>534</v>
      </c>
      <c r="I615" s="2" t="str">
        <f>"44101706"</f>
        <v>44101706</v>
      </c>
      <c r="J615" s="10" t="s">
        <v>97</v>
      </c>
    </row>
    <row r="616" spans="1:10" ht="38.25">
      <c r="A616" s="9" t="s">
        <v>27</v>
      </c>
      <c r="B616" s="2" t="s">
        <v>31</v>
      </c>
      <c r="C616" s="2">
        <v>3204</v>
      </c>
      <c r="D616" s="2">
        <v>418</v>
      </c>
      <c r="E616" s="2" t="str">
        <f>"1000016973"</f>
        <v>1000016973</v>
      </c>
      <c r="F616" s="4" t="str">
        <f>"PHOTOCONDUCTOR KIT:LEX # 12A8302-LEX, Lexmark Toner photoconductor kit for E232/ 232t/ 330/ 332n/ 332tn (Yld 30k)"</f>
        <v>PHOTOCONDUCTOR KIT:LEX # 12A8302-LEX, Lexmark Toner photoconductor kit for E232/ 232t/ 330/ 332n/ 332tn (Yld 30k)</v>
      </c>
      <c r="G616" s="74" t="str">
        <f>"KT"</f>
        <v>KT</v>
      </c>
      <c r="H616" s="7">
        <v>75</v>
      </c>
      <c r="I616" s="2" t="str">
        <f>"44101706"</f>
        <v>44101706</v>
      </c>
      <c r="J616" s="10" t="s">
        <v>97</v>
      </c>
    </row>
    <row r="617" spans="1:10" ht="38.25">
      <c r="A617" s="9" t="s">
        <v>27</v>
      </c>
      <c r="B617" s="2" t="s">
        <v>31</v>
      </c>
      <c r="C617" s="2">
        <v>3204</v>
      </c>
      <c r="D617" s="2">
        <v>420</v>
      </c>
      <c r="E617" s="2" t="str">
        <f>"1000016974"</f>
        <v>1000016974</v>
      </c>
      <c r="F617" s="4" t="str">
        <f>"PHOTOCONDUCTOR:LEX # 69G8257-LEX, Lexmark Photoconductor Unit for Lexmark Optra E/E+ (Yld 20k)"</f>
        <v>PHOTOCONDUCTOR:LEX # 69G8257-LEX, Lexmark Photoconductor Unit for Lexmark Optra E/E+ (Yld 20k)</v>
      </c>
      <c r="G617" s="74" t="str">
        <f t="shared" ref="G617:G630" si="35">"EA"</f>
        <v>EA</v>
      </c>
      <c r="H617" s="7">
        <v>134</v>
      </c>
      <c r="I617" s="2" t="str">
        <f>"44101706"</f>
        <v>44101706</v>
      </c>
      <c r="J617" s="10" t="s">
        <v>97</v>
      </c>
    </row>
    <row r="618" spans="1:10" ht="63.75">
      <c r="A618" s="9" t="s">
        <v>27</v>
      </c>
      <c r="B618" s="2" t="s">
        <v>31</v>
      </c>
      <c r="C618" s="2">
        <v>3204</v>
      </c>
      <c r="D618" s="2">
        <v>424</v>
      </c>
      <c r="E618" s="2" t="str">
        <f>"1000016975"</f>
        <v>1000016975</v>
      </c>
      <c r="F618" s="4" t="str">
        <f>"PRINTHEAD:CAN Item # 0899A003-CAN, Canon BC-21E, Printhead with multicolor ink cartridge, BJC 2000/2010/2500/3000/4000 Series (Yld 2k)"</f>
        <v>PRINTHEAD:CAN Item # 0899A003-CAN, Canon BC-21E, Printhead with multicolor ink cartridge, BJC 2000/2010/2500/3000/4000 Series (Yld 2k)</v>
      </c>
      <c r="G618" s="74" t="str">
        <f t="shared" si="35"/>
        <v>EA</v>
      </c>
      <c r="H618" s="7">
        <v>56</v>
      </c>
      <c r="I618" s="2" t="str">
        <f t="shared" ref="I618:I626" si="36">"44103110"</f>
        <v>44103110</v>
      </c>
      <c r="J618" s="10" t="s">
        <v>102</v>
      </c>
    </row>
    <row r="619" spans="1:10" ht="38.25">
      <c r="A619" s="9" t="s">
        <v>27</v>
      </c>
      <c r="B619" s="2" t="s">
        <v>31</v>
      </c>
      <c r="C619" s="2">
        <v>3204</v>
      </c>
      <c r="D619" s="2">
        <v>458</v>
      </c>
      <c r="E619" s="2" t="str">
        <f>"1000016976"</f>
        <v>1000016976</v>
      </c>
      <c r="F619" s="4" t="str">
        <f>"PRINTHEAD:HP Item # C5025A-HEW, HP No. 12 Printhead, Magenta, HP 3000 Business Inkjet (Yld 48k)"</f>
        <v>PRINTHEAD:HP Item # C5025A-HEW, HP No. 12 Printhead, Magenta, HP 3000 Business Inkjet (Yld 48k)</v>
      </c>
      <c r="G619" s="74" t="str">
        <f t="shared" si="35"/>
        <v>EA</v>
      </c>
      <c r="H619" s="7">
        <v>82</v>
      </c>
      <c r="I619" s="2" t="str">
        <f t="shared" si="36"/>
        <v>44103110</v>
      </c>
      <c r="J619" s="10" t="s">
        <v>102</v>
      </c>
    </row>
    <row r="620" spans="1:10" ht="38.25">
      <c r="A620" s="9" t="s">
        <v>27</v>
      </c>
      <c r="B620" s="2" t="s">
        <v>31</v>
      </c>
      <c r="C620" s="2">
        <v>3204</v>
      </c>
      <c r="D620" s="2">
        <v>459</v>
      </c>
      <c r="E620" s="2" t="str">
        <f>"1000016977"</f>
        <v>1000016977</v>
      </c>
      <c r="F620" s="4" t="str">
        <f>"PRINTHEAD:HP Item # C5026A-HEW, HP No. 12 Printhead, Yellow HP 3000 Business Inkjet, (Yld 48k)"</f>
        <v>PRINTHEAD:HP Item # C5026A-HEW, HP No. 12 Printhead, Yellow HP 3000 Business Inkjet, (Yld 48k)</v>
      </c>
      <c r="G620" s="74" t="str">
        <f t="shared" si="35"/>
        <v>EA</v>
      </c>
      <c r="H620" s="7">
        <v>82</v>
      </c>
      <c r="I620" s="2" t="str">
        <f t="shared" si="36"/>
        <v>44103110</v>
      </c>
      <c r="J620" s="10" t="s">
        <v>102</v>
      </c>
    </row>
    <row r="621" spans="1:10" ht="51">
      <c r="A621" s="9" t="s">
        <v>27</v>
      </c>
      <c r="B621" s="2" t="s">
        <v>31</v>
      </c>
      <c r="C621" s="2">
        <v>3204</v>
      </c>
      <c r="D621" s="2">
        <v>466</v>
      </c>
      <c r="E621" s="2" t="str">
        <f>"1000016978"</f>
        <v>1000016978</v>
      </c>
      <c r="F621" s="4" t="str">
        <f>"PRINTHEAD:HP Item # C9405A-HEW, HP No. 70 Printhead, Light Magenta / Light Cyan for Designjet Z2100, Z3100 series and Photosmart Pro B8850 Printers."</f>
        <v>PRINTHEAD:HP Item # C9405A-HEW, HP No. 70 Printhead, Light Magenta / Light Cyan for Designjet Z2100, Z3100 series and Photosmart Pro B8850 Printers.</v>
      </c>
      <c r="G621" s="74" t="str">
        <f t="shared" si="35"/>
        <v>EA</v>
      </c>
      <c r="H621" s="7">
        <v>64</v>
      </c>
      <c r="I621" s="2" t="str">
        <f t="shared" si="36"/>
        <v>44103110</v>
      </c>
      <c r="J621" s="10" t="s">
        <v>102</v>
      </c>
    </row>
    <row r="622" spans="1:10" ht="51">
      <c r="A622" s="9" t="s">
        <v>27</v>
      </c>
      <c r="B622" s="2" t="s">
        <v>31</v>
      </c>
      <c r="C622" s="2">
        <v>3204</v>
      </c>
      <c r="D622" s="2">
        <v>467</v>
      </c>
      <c r="E622" s="2" t="str">
        <f>"1000016979"</f>
        <v>1000016979</v>
      </c>
      <c r="F622" s="4" t="str">
        <f>"PRINTHEAD:HP Item # C9406A-HEW, HP No. 70 Magenta / Yellow Printhead for Designjet Z2100, Z3100 series and Photosmart Pro B8850 Printers."</f>
        <v>PRINTHEAD:HP Item # C9406A-HEW, HP No. 70 Magenta / Yellow Printhead for Designjet Z2100, Z3100 series and Photosmart Pro B8850 Printers.</v>
      </c>
      <c r="G622" s="74" t="str">
        <f t="shared" si="35"/>
        <v>EA</v>
      </c>
      <c r="H622" s="7">
        <v>60</v>
      </c>
      <c r="I622" s="2" t="str">
        <f t="shared" si="36"/>
        <v>44103110</v>
      </c>
      <c r="J622" s="10" t="s">
        <v>102</v>
      </c>
    </row>
    <row r="623" spans="1:10" ht="51">
      <c r="A623" s="9" t="s">
        <v>27</v>
      </c>
      <c r="B623" s="2" t="s">
        <v>31</v>
      </c>
      <c r="C623" s="2">
        <v>3204</v>
      </c>
      <c r="D623" s="2">
        <v>468</v>
      </c>
      <c r="E623" s="2" t="str">
        <f>"1000016980"</f>
        <v>1000016980</v>
      </c>
      <c r="F623" s="4" t="str">
        <f>"PRINTHEAD:HP Item # C9407A-HEW, HP No. 70 Printhead, Photo Black / Light Grey for Designjet Z2100, Z3100 series and Photosmart Pro B8850 Printers."</f>
        <v>PRINTHEAD:HP Item # C9407A-HEW, HP No. 70 Printhead, Photo Black / Light Grey for Designjet Z2100, Z3100 series and Photosmart Pro B8850 Printers.</v>
      </c>
      <c r="G623" s="74" t="str">
        <f t="shared" si="35"/>
        <v>EA</v>
      </c>
      <c r="H623" s="7">
        <v>64</v>
      </c>
      <c r="I623" s="2" t="str">
        <f t="shared" si="36"/>
        <v>44103110</v>
      </c>
      <c r="J623" s="10" t="s">
        <v>102</v>
      </c>
    </row>
    <row r="624" spans="1:10" ht="51">
      <c r="A624" s="9" t="s">
        <v>27</v>
      </c>
      <c r="B624" s="2" t="s">
        <v>31</v>
      </c>
      <c r="C624" s="2">
        <v>3204</v>
      </c>
      <c r="D624" s="2">
        <v>469</v>
      </c>
      <c r="E624" s="2" t="str">
        <f>"1000016981"</f>
        <v>1000016981</v>
      </c>
      <c r="F624" s="4" t="str">
        <f>"PRINTHEAD:HP Item # C9408A-HEW, HP No. 70 Printhead, Blue / Green for Designjet Z2100, Z3100 series and Photosmart Pro B8850 Printers."</f>
        <v>PRINTHEAD:HP Item # C9408A-HEW, HP No. 70 Printhead, Blue / Green for Designjet Z2100, Z3100 series and Photosmart Pro B8850 Printers.</v>
      </c>
      <c r="G624" s="74" t="str">
        <f t="shared" si="35"/>
        <v>EA</v>
      </c>
      <c r="H624" s="7">
        <v>66</v>
      </c>
      <c r="I624" s="2" t="str">
        <f t="shared" si="36"/>
        <v>44103110</v>
      </c>
      <c r="J624" s="10" t="s">
        <v>102</v>
      </c>
    </row>
    <row r="625" spans="1:10" ht="51">
      <c r="A625" s="9" t="s">
        <v>27</v>
      </c>
      <c r="B625" s="2" t="s">
        <v>31</v>
      </c>
      <c r="C625" s="2">
        <v>3204</v>
      </c>
      <c r="D625" s="2">
        <v>470</v>
      </c>
      <c r="E625" s="2" t="str">
        <f>"1000016982"</f>
        <v>1000016982</v>
      </c>
      <c r="F625" s="4" t="str">
        <f>"PRINTHEAD:HP Item # C9409A-HEW, HP No. 70 Printhead, Black / Red for Designjet Z2100, Z3100 series and Photosmart Pro B8850 Printers."</f>
        <v>PRINTHEAD:HP Item # C9409A-HEW, HP No. 70 Printhead, Black / Red for Designjet Z2100, Z3100 series and Photosmart Pro B8850 Printers.</v>
      </c>
      <c r="G625" s="74" t="str">
        <f t="shared" si="35"/>
        <v>EA</v>
      </c>
      <c r="H625" s="7">
        <v>65</v>
      </c>
      <c r="I625" s="2" t="str">
        <f t="shared" si="36"/>
        <v>44103110</v>
      </c>
      <c r="J625" s="10" t="s">
        <v>102</v>
      </c>
    </row>
    <row r="626" spans="1:10" ht="51">
      <c r="A626" s="9" t="s">
        <v>27</v>
      </c>
      <c r="B626" s="2" t="s">
        <v>31</v>
      </c>
      <c r="C626" s="2">
        <v>3204</v>
      </c>
      <c r="D626" s="2">
        <v>432</v>
      </c>
      <c r="E626" s="2" t="str">
        <f>"1000016983"</f>
        <v>1000016983</v>
      </c>
      <c r="F626" s="4" t="str">
        <f>"PRINTHEAD:HP Item # C4813A-HEW, HP No. 11 Printhead, Yellow, DesignJet 500/ 500PS/ 800/ 800PS/ DeskJet 2200/2250 (Yld 24k)"</f>
        <v>PRINTHEAD:HP Item # C4813A-HEW, HP No. 11 Printhead, Yellow, DesignJet 500/ 500PS/ 800/ 800PS/ DeskJet 2200/2250 (Yld 24k)</v>
      </c>
      <c r="G626" s="74" t="str">
        <f t="shared" si="35"/>
        <v>EA</v>
      </c>
      <c r="H626" s="7">
        <v>41.99</v>
      </c>
      <c r="I626" s="2" t="str">
        <f t="shared" si="36"/>
        <v>44103110</v>
      </c>
      <c r="J626" s="10" t="s">
        <v>102</v>
      </c>
    </row>
    <row r="627" spans="1:10" ht="38.25">
      <c r="A627" s="9" t="s">
        <v>27</v>
      </c>
      <c r="B627" s="2" t="s">
        <v>31</v>
      </c>
      <c r="C627" s="2">
        <v>3204</v>
      </c>
      <c r="D627" s="2">
        <v>56</v>
      </c>
      <c r="E627" s="2" t="str">
        <f>"1000016984"</f>
        <v>1000016984</v>
      </c>
      <c r="F627" s="4" t="str">
        <f>"FUSER:XER Item # 016188700-XER, Xerox Tektronix Fuser for Xerox Phaser 7700 Printers, 110 Volt (Yld 60k)"</f>
        <v>FUSER:XER Item # 016188700-XER, Xerox Tektronix Fuser for Xerox Phaser 7700 Printers, 110 Volt (Yld 60k)</v>
      </c>
      <c r="G627" s="74" t="str">
        <f t="shared" si="35"/>
        <v>EA</v>
      </c>
      <c r="H627" s="7">
        <v>251</v>
      </c>
      <c r="I627" s="2" t="str">
        <f>"44103004"</f>
        <v>44103004</v>
      </c>
      <c r="J627" s="10" t="s">
        <v>96</v>
      </c>
    </row>
    <row r="628" spans="1:10" ht="38.25">
      <c r="A628" s="9" t="s">
        <v>27</v>
      </c>
      <c r="B628" s="2" t="s">
        <v>31</v>
      </c>
      <c r="C628" s="2">
        <v>3204</v>
      </c>
      <c r="D628" s="2">
        <v>441</v>
      </c>
      <c r="E628" s="2" t="str">
        <f>"1000016985"</f>
        <v>1000016985</v>
      </c>
      <c r="F628" s="4" t="str">
        <f>"PRINTHEAD:HP Item # C4921A-HEW, HP No. 14 Printhead, Cyan, CP 1160 Series (Yld 30k)"</f>
        <v>PRINTHEAD:HP Item # C4921A-HEW, HP No. 14 Printhead, Cyan, CP 1160 Series (Yld 30k)</v>
      </c>
      <c r="G628" s="74" t="str">
        <f t="shared" si="35"/>
        <v>EA</v>
      </c>
      <c r="H628" s="7">
        <v>38</v>
      </c>
      <c r="I628" s="2" t="str">
        <f t="shared" ref="I628:I642" si="37">"44103110"</f>
        <v>44103110</v>
      </c>
      <c r="J628" s="10" t="s">
        <v>102</v>
      </c>
    </row>
    <row r="629" spans="1:10" ht="38.25">
      <c r="A629" s="9" t="s">
        <v>27</v>
      </c>
      <c r="B629" s="2" t="s">
        <v>31</v>
      </c>
      <c r="C629" s="2">
        <v>3204</v>
      </c>
      <c r="D629" s="2">
        <v>442</v>
      </c>
      <c r="E629" s="2" t="str">
        <f>"1000016986"</f>
        <v>1000016986</v>
      </c>
      <c r="F629" s="4" t="str">
        <f>"PRINTHEAD:HP Item # C4922A-HEW, HP No. 14 Printhead, Magenta, CP 1160 Series, (Yld 30k)"</f>
        <v>PRINTHEAD:HP Item # C4922A-HEW, HP No. 14 Printhead, Magenta, CP 1160 Series, (Yld 30k)</v>
      </c>
      <c r="G629" s="74" t="str">
        <f t="shared" si="35"/>
        <v>EA</v>
      </c>
      <c r="H629" s="7">
        <v>38</v>
      </c>
      <c r="I629" s="2" t="str">
        <f t="shared" si="37"/>
        <v>44103110</v>
      </c>
      <c r="J629" s="10" t="s">
        <v>102</v>
      </c>
    </row>
    <row r="630" spans="1:10" ht="38.25">
      <c r="A630" s="9" t="s">
        <v>27</v>
      </c>
      <c r="B630" s="2" t="s">
        <v>31</v>
      </c>
      <c r="C630" s="2">
        <v>3204</v>
      </c>
      <c r="D630" s="2">
        <v>443</v>
      </c>
      <c r="E630" s="2" t="str">
        <f>"1000016987"</f>
        <v>1000016987</v>
      </c>
      <c r="F630" s="4" t="str">
        <f>"PRINTHEAD:HP Item # C4923A-HEW, HP No. 14 Printhead, Yellow, CP 1160 Series (Yld 30k)"</f>
        <v>PRINTHEAD:HP Item # C4923A-HEW, HP No. 14 Printhead, Yellow, CP 1160 Series (Yld 30k)</v>
      </c>
      <c r="G630" s="74" t="str">
        <f t="shared" si="35"/>
        <v>EA</v>
      </c>
      <c r="H630" s="7">
        <v>38</v>
      </c>
      <c r="I630" s="2" t="str">
        <f t="shared" si="37"/>
        <v>44103110</v>
      </c>
      <c r="J630" s="10" t="s">
        <v>102</v>
      </c>
    </row>
    <row r="631" spans="1:10" ht="51">
      <c r="A631" s="9" t="s">
        <v>27</v>
      </c>
      <c r="B631" s="2" t="s">
        <v>31</v>
      </c>
      <c r="C631" s="2">
        <v>3204</v>
      </c>
      <c r="D631" s="2">
        <v>452</v>
      </c>
      <c r="E631" s="2" t="str">
        <f>"1000016988"</f>
        <v>1000016988</v>
      </c>
      <c r="F631" s="4" t="str">
        <f>"PRINTHEAD:HP Item # C4993A-HEW, HP No. 81 Ink Cartridge. HP Ink Yellow Value Pack Cartridge/ Printhead/ Cleaner for Designjet 5000/ 5500 Series"</f>
        <v>PRINTHEAD:HP Item # C4993A-HEW, HP No. 81 Ink Cartridge. HP Ink Yellow Value Pack Cartridge/ Printhead/ Cleaner for Designjet 5000/ 5500 Series</v>
      </c>
      <c r="G631" s="74" t="str">
        <f>"PK"</f>
        <v>PK</v>
      </c>
      <c r="H631" s="7">
        <v>334</v>
      </c>
      <c r="I631" s="2" t="str">
        <f t="shared" si="37"/>
        <v>44103110</v>
      </c>
      <c r="J631" s="10" t="s">
        <v>102</v>
      </c>
    </row>
    <row r="632" spans="1:10" ht="51">
      <c r="A632" s="9" t="s">
        <v>27</v>
      </c>
      <c r="B632" s="2" t="s">
        <v>31</v>
      </c>
      <c r="C632" s="2">
        <v>3204</v>
      </c>
      <c r="D632" s="2">
        <v>453</v>
      </c>
      <c r="E632" s="2" t="str">
        <f>"1000016989"</f>
        <v>1000016989</v>
      </c>
      <c r="F632" s="4" t="str">
        <f>"PRINTHEAD:HP Item # C4994A-HEW, HP No. 81 Ink Cartridge. HP Ink Light Cyan Value Pack Cartridge/ Printhead/ Cleaner for Designjet 5000/ 5500 Series"</f>
        <v>PRINTHEAD:HP Item # C4994A-HEW, HP No. 81 Ink Cartridge. HP Ink Light Cyan Value Pack Cartridge/ Printhead/ Cleaner for Designjet 5000/ 5500 Series</v>
      </c>
      <c r="G632" s="74" t="str">
        <f>"PK"</f>
        <v>PK</v>
      </c>
      <c r="H632" s="7">
        <v>374</v>
      </c>
      <c r="I632" s="2" t="str">
        <f t="shared" si="37"/>
        <v>44103110</v>
      </c>
      <c r="J632" s="10" t="s">
        <v>102</v>
      </c>
    </row>
    <row r="633" spans="1:10" ht="51">
      <c r="A633" s="9" t="s">
        <v>27</v>
      </c>
      <c r="B633" s="2" t="s">
        <v>31</v>
      </c>
      <c r="C633" s="2">
        <v>3204</v>
      </c>
      <c r="D633" s="2">
        <v>454</v>
      </c>
      <c r="E633" s="2" t="str">
        <f>"1000016990"</f>
        <v>1000016990</v>
      </c>
      <c r="F633" s="4" t="str">
        <f>"PRINTHEAD:HP Item # C4995A-HEW, HP No. 81 Ink Cartridge. HP Ink Light Magenta Value Pack Cartridge/ Printhead/ Cleaner for Designjet 5000/ 5500 Series"</f>
        <v>PRINTHEAD:HP Item # C4995A-HEW, HP No. 81 Ink Cartridge. HP Ink Light Magenta Value Pack Cartridge/ Printhead/ Cleaner for Designjet 5000/ 5500 Series</v>
      </c>
      <c r="G633" s="74" t="str">
        <f>"PK"</f>
        <v>PK</v>
      </c>
      <c r="H633" s="7">
        <v>371</v>
      </c>
      <c r="I633" s="2" t="str">
        <f t="shared" si="37"/>
        <v>44103110</v>
      </c>
      <c r="J633" s="10" t="s">
        <v>102</v>
      </c>
    </row>
    <row r="634" spans="1:10" ht="38.25">
      <c r="A634" s="9" t="s">
        <v>27</v>
      </c>
      <c r="B634" s="2" t="s">
        <v>31</v>
      </c>
      <c r="C634" s="2">
        <v>3204</v>
      </c>
      <c r="D634" s="2">
        <v>455</v>
      </c>
      <c r="E634" s="2" t="str">
        <f>"1000016991"</f>
        <v>1000016991</v>
      </c>
      <c r="F634" s="4" t="str">
        <f>"PRINTHEAD:HP Item # C5019A-HEW, HP Black Printhead, High Resolution for DesignJet 10PS/20PS/50PS HP 120 Ctg,"</f>
        <v>PRINTHEAD:HP Item # C5019A-HEW, HP Black Printhead, High Resolution for DesignJet 10PS/20PS/50PS HP 120 Ctg,</v>
      </c>
      <c r="G634" s="74" t="str">
        <f t="shared" ref="G634:G639" si="38">"EA"</f>
        <v>EA</v>
      </c>
      <c r="H634" s="7">
        <v>41</v>
      </c>
      <c r="I634" s="2" t="str">
        <f t="shared" si="37"/>
        <v>44103110</v>
      </c>
      <c r="J634" s="10" t="s">
        <v>102</v>
      </c>
    </row>
    <row r="635" spans="1:10" ht="38.25">
      <c r="A635" s="9" t="s">
        <v>27</v>
      </c>
      <c r="B635" s="2" t="s">
        <v>31</v>
      </c>
      <c r="C635" s="2">
        <v>3204</v>
      </c>
      <c r="D635" s="2">
        <v>456</v>
      </c>
      <c r="E635" s="2" t="str">
        <f>"1000016992"</f>
        <v>1000016992</v>
      </c>
      <c r="F635" s="4" t="str">
        <f>"PRINTHEAD:HP Item # C5023A-HEW, HP No. 12 Printhead, Black, (Yld 32k) HP 3000 Business Inkjet"</f>
        <v>PRINTHEAD:HP Item # C5023A-HEW, HP No. 12 Printhead, Black, (Yld 32k) HP 3000 Business Inkjet</v>
      </c>
      <c r="G635" s="74" t="str">
        <f t="shared" si="38"/>
        <v>EA</v>
      </c>
      <c r="H635" s="7">
        <v>82</v>
      </c>
      <c r="I635" s="2" t="str">
        <f t="shared" si="37"/>
        <v>44103110</v>
      </c>
      <c r="J635" s="10" t="s">
        <v>102</v>
      </c>
    </row>
    <row r="636" spans="1:10" ht="38.25">
      <c r="A636" s="9" t="s">
        <v>27</v>
      </c>
      <c r="B636" s="2" t="s">
        <v>31</v>
      </c>
      <c r="C636" s="2">
        <v>3204</v>
      </c>
      <c r="D636" s="2">
        <v>457</v>
      </c>
      <c r="E636" s="2" t="str">
        <f>"1000016993"</f>
        <v>1000016993</v>
      </c>
      <c r="F636" s="4" t="str">
        <f>"PRINTHEAD:HP Item # C5024A-HEW, HP No. 12 Printhead, Cyan, HP 3000 Business Inkjet (Yld 48k)"</f>
        <v>PRINTHEAD:HP Item # C5024A-HEW, HP No. 12 Printhead, Cyan, HP 3000 Business Inkjet (Yld 48k)</v>
      </c>
      <c r="G636" s="74" t="str">
        <f t="shared" si="38"/>
        <v>EA</v>
      </c>
      <c r="H636" s="7">
        <v>82</v>
      </c>
      <c r="I636" s="2" t="str">
        <f t="shared" si="37"/>
        <v>44103110</v>
      </c>
      <c r="J636" s="10" t="s">
        <v>102</v>
      </c>
    </row>
    <row r="637" spans="1:10" ht="51">
      <c r="A637" s="9" t="s">
        <v>27</v>
      </c>
      <c r="B637" s="2" t="s">
        <v>31</v>
      </c>
      <c r="C637" s="2">
        <v>3204</v>
      </c>
      <c r="D637" s="2">
        <v>471</v>
      </c>
      <c r="E637" s="2" t="str">
        <f>"1000016994"</f>
        <v>1000016994</v>
      </c>
      <c r="F637" s="4" t="str">
        <f>"PRINTHEAD:HP Item # C9410A-HEW, HP No. 70 Printhead, Gloss enhancer for Designjet Z2100 and Z3100 series Printers."</f>
        <v>PRINTHEAD:HP Item # C9410A-HEW, HP No. 70 Printhead, Gloss enhancer for Designjet Z2100 and Z3100 series Printers.</v>
      </c>
      <c r="G637" s="74" t="str">
        <f t="shared" si="38"/>
        <v>EA</v>
      </c>
      <c r="H637" s="7">
        <v>64</v>
      </c>
      <c r="I637" s="2" t="str">
        <f t="shared" si="37"/>
        <v>44103110</v>
      </c>
      <c r="J637" s="10" t="s">
        <v>102</v>
      </c>
    </row>
    <row r="638" spans="1:10" ht="25.5">
      <c r="A638" s="9" t="s">
        <v>27</v>
      </c>
      <c r="B638" s="2" t="s">
        <v>31</v>
      </c>
      <c r="C638" s="2">
        <v>3204</v>
      </c>
      <c r="D638" s="2">
        <v>472</v>
      </c>
      <c r="E638" s="2" t="str">
        <f>"1000016995"</f>
        <v>1000016995</v>
      </c>
      <c r="F638" s="4" t="str">
        <f>"PRINTHEAD:HP Item # C9420A-HEW, HP No. 85 Cyan Printhead designjet 30, 130 ,90"</f>
        <v>PRINTHEAD:HP Item # C9420A-HEW, HP No. 85 Cyan Printhead designjet 30, 130 ,90</v>
      </c>
      <c r="G638" s="74" t="str">
        <f t="shared" si="38"/>
        <v>EA</v>
      </c>
      <c r="H638" s="7">
        <v>42</v>
      </c>
      <c r="I638" s="2" t="str">
        <f t="shared" si="37"/>
        <v>44103110</v>
      </c>
      <c r="J638" s="10" t="s">
        <v>102</v>
      </c>
    </row>
    <row r="639" spans="1:10" ht="38.25">
      <c r="A639" s="9" t="s">
        <v>27</v>
      </c>
      <c r="B639" s="2" t="s">
        <v>31</v>
      </c>
      <c r="C639" s="2">
        <v>3204</v>
      </c>
      <c r="D639" s="2">
        <v>473</v>
      </c>
      <c r="E639" s="2" t="str">
        <f>"1000016996"</f>
        <v>1000016996</v>
      </c>
      <c r="F639" s="4" t="str">
        <f>"PRINTHEAD:HP Item # C9421A-HEW, HP No. 85 Magenta Printhead designjet 30, 130 ,90"</f>
        <v>PRINTHEAD:HP Item # C9421A-HEW, HP No. 85 Magenta Printhead designjet 30, 130 ,90</v>
      </c>
      <c r="G639" s="74" t="str">
        <f t="shared" si="38"/>
        <v>EA</v>
      </c>
      <c r="H639" s="7">
        <v>42</v>
      </c>
      <c r="I639" s="2" t="str">
        <f t="shared" si="37"/>
        <v>44103110</v>
      </c>
      <c r="J639" s="10" t="s">
        <v>102</v>
      </c>
    </row>
    <row r="640" spans="1:10" ht="51">
      <c r="A640" s="9" t="s">
        <v>27</v>
      </c>
      <c r="B640" s="2" t="s">
        <v>31</v>
      </c>
      <c r="C640" s="2">
        <v>3204</v>
      </c>
      <c r="D640" s="2">
        <v>451</v>
      </c>
      <c r="E640" s="2" t="str">
        <f>"1000016997"</f>
        <v>1000016997</v>
      </c>
      <c r="F640" s="4" t="str">
        <f>"PRINTHEAD:HP Item # C4992A-HEW, HP No. 81 Ink Cartridge. HP Ink Magenta Value Pack Cartridge/ Printhead/ Cleaner for Designjet 5000/ 5500 Series"</f>
        <v>PRINTHEAD:HP Item # C4992A-HEW, HP No. 81 Ink Cartridge. HP Ink Magenta Value Pack Cartridge/ Printhead/ Cleaner for Designjet 5000/ 5500 Series</v>
      </c>
      <c r="G640" s="74" t="str">
        <f>"PK"</f>
        <v>PK</v>
      </c>
      <c r="H640" s="7">
        <v>374</v>
      </c>
      <c r="I640" s="2" t="str">
        <f t="shared" si="37"/>
        <v>44103110</v>
      </c>
      <c r="J640" s="10" t="s">
        <v>102</v>
      </c>
    </row>
    <row r="641" spans="1:10" ht="38.25">
      <c r="A641" s="9" t="s">
        <v>27</v>
      </c>
      <c r="B641" s="2" t="s">
        <v>31</v>
      </c>
      <c r="C641" s="2">
        <v>3204</v>
      </c>
      <c r="D641" s="2">
        <v>475</v>
      </c>
      <c r="E641" s="2" t="str">
        <f>"1000016998"</f>
        <v>1000016998</v>
      </c>
      <c r="F641" s="4" t="str">
        <f>"PRINTHEAD:HP Item # C9423A-HEW, HP No. 85 Light Cyan Printhead for DesignJet 31/130/90"</f>
        <v>PRINTHEAD:HP Item # C9423A-HEW, HP No. 85 Light Cyan Printhead for DesignJet 31/130/90</v>
      </c>
      <c r="G641" s="74" t="str">
        <f t="shared" ref="G641:G672" si="39">"EA"</f>
        <v>EA</v>
      </c>
      <c r="H641" s="7">
        <v>41</v>
      </c>
      <c r="I641" s="2" t="str">
        <f t="shared" si="37"/>
        <v>44103110</v>
      </c>
      <c r="J641" s="10" t="s">
        <v>102</v>
      </c>
    </row>
    <row r="642" spans="1:10" ht="38.25">
      <c r="A642" s="9" t="s">
        <v>27</v>
      </c>
      <c r="B642" s="2" t="s">
        <v>31</v>
      </c>
      <c r="C642" s="2">
        <v>3204</v>
      </c>
      <c r="D642" s="2">
        <v>476</v>
      </c>
      <c r="E642" s="2" t="str">
        <f>"1000016999"</f>
        <v>1000016999</v>
      </c>
      <c r="F642" s="4" t="str">
        <f>"PRINTHEAD:HP Item # C9424A-HEW, HP No. 85 Light Magenta Printhead designjet 30, 130 ,90"</f>
        <v>PRINTHEAD:HP Item # C9424A-HEW, HP No. 85 Light Magenta Printhead designjet 30, 130 ,90</v>
      </c>
      <c r="G642" s="74" t="str">
        <f t="shared" si="39"/>
        <v>EA</v>
      </c>
      <c r="H642" s="7">
        <v>41</v>
      </c>
      <c r="I642" s="2" t="str">
        <f t="shared" si="37"/>
        <v>44103110</v>
      </c>
      <c r="J642" s="10" t="s">
        <v>102</v>
      </c>
    </row>
    <row r="643" spans="1:10" ht="38.25">
      <c r="A643" s="9" t="s">
        <v>27</v>
      </c>
      <c r="B643" s="2" t="s">
        <v>31</v>
      </c>
      <c r="C643" s="2">
        <v>3204</v>
      </c>
      <c r="D643" s="2">
        <v>528</v>
      </c>
      <c r="E643" s="2" t="str">
        <f>"1000017000"</f>
        <v>1000017000</v>
      </c>
      <c r="F643" s="4" t="str">
        <f>"STAPLE CART:HP Item # C8092A-HEW, HP Staple Cartridge for HP Laserjet 9000 series, 5,000 staples per cartridge"</f>
        <v>STAPLE CART:HP Item # C8092A-HEW, HP Staple Cartridge for HP Laserjet 9000 series, 5,000 staples per cartridge</v>
      </c>
      <c r="G643" s="74" t="str">
        <f t="shared" si="39"/>
        <v>EA</v>
      </c>
      <c r="H643" s="7">
        <v>30</v>
      </c>
      <c r="I643" s="2" t="str">
        <f>"44122107"</f>
        <v>44122107</v>
      </c>
      <c r="J643" s="10" t="s">
        <v>107</v>
      </c>
    </row>
    <row r="644" spans="1:10" ht="63.75">
      <c r="A644" s="9" t="s">
        <v>27</v>
      </c>
      <c r="B644" s="2" t="s">
        <v>31</v>
      </c>
      <c r="C644" s="2">
        <v>3204</v>
      </c>
      <c r="D644" s="2">
        <v>527</v>
      </c>
      <c r="E644" s="2" t="str">
        <f>"1000017001"</f>
        <v>1000017001</v>
      </c>
      <c r="F644" s="4" t="str">
        <f>"STAPLE CART:HP Item # C8091A-HEW, HP Laser toner staple refill designed for the Hewlett Packard HP Color LaserJet 9500mfp laser toner printers (5,000 staples)"</f>
        <v>STAPLE CART:HP Item # C8091A-HEW, HP Laser toner staple refill designed for the Hewlett Packard HP Color LaserJet 9500mfp laser toner printers (5,000 staples)</v>
      </c>
      <c r="G644" s="74" t="str">
        <f t="shared" si="39"/>
        <v>EA</v>
      </c>
      <c r="H644" s="7">
        <v>30</v>
      </c>
      <c r="I644" s="2" t="str">
        <f>"44122107"</f>
        <v>44122107</v>
      </c>
      <c r="J644" s="10" t="s">
        <v>107</v>
      </c>
    </row>
    <row r="645" spans="1:10" ht="38.25">
      <c r="A645" s="9" t="s">
        <v>27</v>
      </c>
      <c r="B645" s="2" t="s">
        <v>31</v>
      </c>
      <c r="C645" s="2">
        <v>3204</v>
      </c>
      <c r="D645" s="2">
        <v>9</v>
      </c>
      <c r="E645" s="2" t="str">
        <f>"1000017002"</f>
        <v>1000017002</v>
      </c>
      <c r="F645" s="4" t="str">
        <f>"DRUM:BRO Item # DR400-BC, Brand Compatible Drum Cartridge for Brother HL-1240/1250/1270N (Yield 20k)"</f>
        <v>DRUM:BRO Item # DR400-BC, Brand Compatible Drum Cartridge for Brother HL-1240/1250/1270N (Yield 20k)</v>
      </c>
      <c r="G645" s="74" t="str">
        <f t="shared" si="39"/>
        <v>EA</v>
      </c>
      <c r="H645" s="7">
        <v>140</v>
      </c>
      <c r="I645" s="2" t="str">
        <f t="shared" ref="I645:I651" si="40">"44103109"</f>
        <v>44103109</v>
      </c>
      <c r="J645" s="10" t="s">
        <v>94</v>
      </c>
    </row>
    <row r="646" spans="1:10" ht="25.5">
      <c r="A646" s="9" t="s">
        <v>27</v>
      </c>
      <c r="B646" s="2" t="s">
        <v>31</v>
      </c>
      <c r="C646" s="2">
        <v>3204</v>
      </c>
      <c r="D646" s="2">
        <v>18</v>
      </c>
      <c r="E646" s="2" t="str">
        <f>"1000017003"</f>
        <v>1000017003</v>
      </c>
      <c r="F646" s="4" t="str">
        <f>"DRUM:HP Item # C8563A-HEW, HP Magenta Drum for LaserJet 9500 (Yld 40k)"</f>
        <v>DRUM:HP Item # C8563A-HEW, HP Magenta Drum for LaserJet 9500 (Yld 40k)</v>
      </c>
      <c r="G646" s="74" t="str">
        <f t="shared" si="39"/>
        <v>EA</v>
      </c>
      <c r="H646" s="7">
        <v>515</v>
      </c>
      <c r="I646" s="2" t="str">
        <f t="shared" si="40"/>
        <v>44103109</v>
      </c>
      <c r="J646" s="10" t="s">
        <v>94</v>
      </c>
    </row>
    <row r="647" spans="1:10" ht="38.25">
      <c r="A647" s="9" t="s">
        <v>27</v>
      </c>
      <c r="B647" s="2" t="s">
        <v>31</v>
      </c>
      <c r="C647" s="2">
        <v>3204</v>
      </c>
      <c r="D647" s="2">
        <v>21</v>
      </c>
      <c r="E647" s="2" t="str">
        <f>"1000017004"</f>
        <v>1000017004</v>
      </c>
      <c r="F647" s="4" t="str">
        <f>"DRUM:LEX Item # 10S0150-BC, Brand compatible toner/drum unit for Lexmark Optra E210 (Yld 2k)"</f>
        <v>DRUM:LEX Item # 10S0150-BC, Brand compatible toner/drum unit for Lexmark Optra E210 (Yld 2k)</v>
      </c>
      <c r="G647" s="74" t="str">
        <f t="shared" si="39"/>
        <v>EA</v>
      </c>
      <c r="H647" s="7">
        <v>73</v>
      </c>
      <c r="I647" s="2" t="str">
        <f t="shared" si="40"/>
        <v>44103109</v>
      </c>
      <c r="J647" s="10" t="s">
        <v>94</v>
      </c>
    </row>
    <row r="648" spans="1:10" ht="38.25">
      <c r="A648" s="9" t="s">
        <v>27</v>
      </c>
      <c r="B648" s="2" t="s">
        <v>31</v>
      </c>
      <c r="C648" s="2">
        <v>3204</v>
      </c>
      <c r="D648" s="2">
        <v>22</v>
      </c>
      <c r="E648" s="2" t="str">
        <f>"1000017005"</f>
        <v>1000017005</v>
      </c>
      <c r="F648" s="4" t="str">
        <f>"DRUM:LEX Item # 10S0150-LEX, Lexmark toner/drum unit for Lexmark Optra E210 (Yld 2k)"</f>
        <v>DRUM:LEX Item # 10S0150-LEX, Lexmark toner/drum unit for Lexmark Optra E210 (Yld 2k)</v>
      </c>
      <c r="G648" s="74" t="str">
        <f t="shared" si="39"/>
        <v>EA</v>
      </c>
      <c r="H648" s="7">
        <v>88</v>
      </c>
      <c r="I648" s="2" t="str">
        <f t="shared" si="40"/>
        <v>44103109</v>
      </c>
      <c r="J648" s="10" t="s">
        <v>94</v>
      </c>
    </row>
    <row r="649" spans="1:10" ht="51">
      <c r="A649" s="9" t="s">
        <v>27</v>
      </c>
      <c r="B649" s="2" t="s">
        <v>31</v>
      </c>
      <c r="C649" s="2">
        <v>3204</v>
      </c>
      <c r="D649" s="2">
        <v>24</v>
      </c>
      <c r="E649" s="2" t="str">
        <f>"1000017006"</f>
        <v>1000017006</v>
      </c>
      <c r="F649" s="4" t="str">
        <f>"DRUM:OKI Item # 41962801-OKI, Okidata Type C4 Yellow Drum C7100, C7300, C7500, C7550, C7350 Series Digital Printers (Yld 30k)"</f>
        <v>DRUM:OKI Item # 41962801-OKI, Okidata Type C4 Yellow Drum C7100, C7300, C7500, C7550, C7350 Series Digital Printers (Yld 30k)</v>
      </c>
      <c r="G649" s="74" t="str">
        <f t="shared" si="39"/>
        <v>EA</v>
      </c>
      <c r="H649" s="7">
        <v>154</v>
      </c>
      <c r="I649" s="2" t="str">
        <f t="shared" si="40"/>
        <v>44103109</v>
      </c>
      <c r="J649" s="10" t="s">
        <v>94</v>
      </c>
    </row>
    <row r="650" spans="1:10" ht="38.25">
      <c r="A650" s="9" t="s">
        <v>27</v>
      </c>
      <c r="B650" s="2" t="s">
        <v>31</v>
      </c>
      <c r="C650" s="2">
        <v>3204</v>
      </c>
      <c r="D650" s="2">
        <v>23</v>
      </c>
      <c r="E650" s="2" t="str">
        <f>"1000017007"</f>
        <v>1000017007</v>
      </c>
      <c r="F650" s="4" t="str">
        <f>"DRUM:OKI Item # 40433318-OKI, Drum for Okidata Okifax 5700, 5750, 5900, 5950 Fax Machines (Yld 20k)"</f>
        <v>DRUM:OKI Item # 40433318-OKI, Drum for Okidata Okifax 5700, 5750, 5900, 5950 Fax Machines (Yld 20k)</v>
      </c>
      <c r="G650" s="74" t="str">
        <f t="shared" si="39"/>
        <v>EA</v>
      </c>
      <c r="H650" s="7">
        <v>238.15</v>
      </c>
      <c r="I650" s="2" t="str">
        <f t="shared" si="40"/>
        <v>44103109</v>
      </c>
      <c r="J650" s="10" t="s">
        <v>94</v>
      </c>
    </row>
    <row r="651" spans="1:10" ht="51">
      <c r="A651" s="9" t="s">
        <v>27</v>
      </c>
      <c r="B651" s="2" t="s">
        <v>31</v>
      </c>
      <c r="C651" s="2">
        <v>3204</v>
      </c>
      <c r="D651" s="2">
        <v>25</v>
      </c>
      <c r="E651" s="2" t="str">
        <f>"1000017008"</f>
        <v>1000017008</v>
      </c>
      <c r="F651" s="4" t="str">
        <f>"DRUM:OKI Item # 41962802-OKI, Okidata Type C4 Magenta Drum C7100, C7300, C7350, C7550, C7500 Series Digital Printers (Yld 30k)"</f>
        <v>DRUM:OKI Item # 41962802-OKI, Okidata Type C4 Magenta Drum C7100, C7300, C7350, C7550, C7500 Series Digital Printers (Yld 30k)</v>
      </c>
      <c r="G651" s="74" t="str">
        <f t="shared" si="39"/>
        <v>EA</v>
      </c>
      <c r="H651" s="7">
        <v>154</v>
      </c>
      <c r="I651" s="2" t="str">
        <f t="shared" si="40"/>
        <v>44103109</v>
      </c>
      <c r="J651" s="10" t="s">
        <v>94</v>
      </c>
    </row>
    <row r="652" spans="1:10" ht="38.25">
      <c r="A652" s="9" t="s">
        <v>27</v>
      </c>
      <c r="B652" s="2" t="s">
        <v>31</v>
      </c>
      <c r="C652" s="2">
        <v>3204</v>
      </c>
      <c r="D652" s="2">
        <v>440</v>
      </c>
      <c r="E652" s="2" t="str">
        <f>"1000017009"</f>
        <v>1000017009</v>
      </c>
      <c r="F652" s="4" t="str">
        <f>"PRINTHEAD:HP Item # C4920A-HEW, HP No. 14 Printhead, Black, for CP 1160 Series, (Yld 8ml)"</f>
        <v>PRINTHEAD:HP Item # C4920A-HEW, HP No. 14 Printhead, Black, for CP 1160 Series, (Yld 8ml)</v>
      </c>
      <c r="G652" s="74" t="str">
        <f t="shared" si="39"/>
        <v>EA</v>
      </c>
      <c r="H652" s="7">
        <v>38</v>
      </c>
      <c r="I652" s="2" t="str">
        <f>"44103110"</f>
        <v>44103110</v>
      </c>
      <c r="J652" s="10" t="s">
        <v>102</v>
      </c>
    </row>
    <row r="653" spans="1:10" ht="38.25">
      <c r="A653" s="9" t="s">
        <v>27</v>
      </c>
      <c r="B653" s="2" t="s">
        <v>31</v>
      </c>
      <c r="C653" s="2">
        <v>3204</v>
      </c>
      <c r="D653" s="2">
        <v>42</v>
      </c>
      <c r="E653" s="2" t="str">
        <f>"1000017010"</f>
        <v>1000017010</v>
      </c>
      <c r="F653" s="4" t="str">
        <f>"DRUM:XER Item # 113R663-XER, Black Laser Drum Unit for WorkCentre Pro 412, M15 &amp; FaxCentre F12 Printers (Yld 15k)"</f>
        <v>DRUM:XER Item # 113R663-XER, Black Laser Drum Unit for WorkCentre Pro 412, M15 &amp; FaxCentre F12 Printers (Yld 15k)</v>
      </c>
      <c r="G653" s="74" t="str">
        <f t="shared" si="39"/>
        <v>EA</v>
      </c>
      <c r="H653" s="7">
        <v>100</v>
      </c>
      <c r="I653" s="2" t="str">
        <f>"44103109"</f>
        <v>44103109</v>
      </c>
      <c r="J653" s="10" t="s">
        <v>94</v>
      </c>
    </row>
    <row r="654" spans="1:10" ht="51">
      <c r="A654" s="9" t="s">
        <v>27</v>
      </c>
      <c r="B654" s="2" t="s">
        <v>31</v>
      </c>
      <c r="C654" s="2">
        <v>3204</v>
      </c>
      <c r="D654" s="2">
        <v>503</v>
      </c>
      <c r="E654" s="2" t="str">
        <f>"1000017013"</f>
        <v>1000017013</v>
      </c>
      <c r="F654" s="4" t="str">
        <f>"RIBBON:LEX Item # 1040400-LEX, Lexmark Printer Ribbon for 6262 printer. General Purpose, black nylon 14.25 x 20 yd (Yld 1.5 million characters)"</f>
        <v>RIBBON:LEX Item # 1040400-LEX, Lexmark Printer Ribbon for 6262 printer. General Purpose, black nylon 14.25 x 20 yd (Yld 1.5 million characters)</v>
      </c>
      <c r="G654" s="74" t="str">
        <f t="shared" si="39"/>
        <v>EA</v>
      </c>
      <c r="H654" s="7">
        <v>84</v>
      </c>
      <c r="I654" s="2" t="str">
        <f>"44103112"</f>
        <v>44103112</v>
      </c>
      <c r="J654" s="10" t="s">
        <v>105</v>
      </c>
    </row>
    <row r="655" spans="1:10" ht="51">
      <c r="A655" s="9" t="s">
        <v>27</v>
      </c>
      <c r="B655" s="2" t="s">
        <v>31</v>
      </c>
      <c r="C655" s="2">
        <v>3204</v>
      </c>
      <c r="D655" s="2">
        <v>504</v>
      </c>
      <c r="E655" s="2" t="str">
        <f>"1000017014"</f>
        <v>1000017014</v>
      </c>
      <c r="F655" s="4" t="str">
        <f>"RIBBON:LEX Item # 11A3540-LEX, Lexmark Black Nylon Ribbon with Re-Inker for IBM 2380/2381/2390/2391, PPS II &amp; Other Printers"</f>
        <v>RIBBON:LEX Item # 11A3540-LEX, Lexmark Black Nylon Ribbon with Re-Inker for IBM 2380/2381/2390/2391, PPS II &amp; Other Printers</v>
      </c>
      <c r="G655" s="74" t="str">
        <f t="shared" si="39"/>
        <v>EA</v>
      </c>
      <c r="H655" s="7">
        <v>14</v>
      </c>
      <c r="I655" s="2" t="str">
        <f>"44103112"</f>
        <v>44103112</v>
      </c>
      <c r="J655" s="10" t="s">
        <v>105</v>
      </c>
    </row>
    <row r="656" spans="1:10" ht="63.75">
      <c r="A656" s="9" t="s">
        <v>27</v>
      </c>
      <c r="B656" s="2" t="s">
        <v>31</v>
      </c>
      <c r="C656" s="2">
        <v>3204</v>
      </c>
      <c r="D656" s="2">
        <v>514</v>
      </c>
      <c r="E656" s="2" t="str">
        <f>"1000017015"</f>
        <v>1000017015</v>
      </c>
      <c r="F656" s="4" t="str">
        <f>"RIBBON:PAN Item # KXFA53-PAN, Panasonic Fax Thermal Ribbon for KX -FP 80 / FP 81 / FP 85 / FP151 / FP155 / FP195 / FP86 / FPC 91 / FPC 95 / FPC161 / FPC165 / FPC175 / FPC91 / FPC96"</f>
        <v>RIBBON:PAN Item # KXFA53-PAN, Panasonic Fax Thermal Ribbon for KX -FP 80 / FP 81 / FP 85 / FP151 / FP155 / FP195 / FP86 / FPC 91 / FPC 95 / FPC161 / FPC165 / FPC175 / FPC91 / FPC96</v>
      </c>
      <c r="G656" s="74" t="str">
        <f t="shared" si="39"/>
        <v>EA</v>
      </c>
      <c r="H656" s="7">
        <v>18</v>
      </c>
      <c r="I656" s="2" t="str">
        <f>"44103117"</f>
        <v>44103117</v>
      </c>
      <c r="J656" s="10" t="s">
        <v>104</v>
      </c>
    </row>
    <row r="657" spans="1:10" ht="38.25">
      <c r="A657" s="9" t="s">
        <v>27</v>
      </c>
      <c r="B657" s="2" t="s">
        <v>31</v>
      </c>
      <c r="C657" s="2">
        <v>3204</v>
      </c>
      <c r="D657" s="2">
        <v>515</v>
      </c>
      <c r="E657" s="2" t="str">
        <f>"1000017016"</f>
        <v>1000017016</v>
      </c>
      <c r="F657" s="4" t="str">
        <f>"RIBBON:PAN Item # KXFA55-PAN, Thermal Transfer Ribbon for Panasonic Fax machines KXFP81/85"</f>
        <v>RIBBON:PAN Item # KXFA55-PAN, Thermal Transfer Ribbon for Panasonic Fax machines KXFP81/85</v>
      </c>
      <c r="G657" s="74" t="str">
        <f t="shared" si="39"/>
        <v>EA</v>
      </c>
      <c r="H657" s="7">
        <v>32</v>
      </c>
      <c r="I657" s="2" t="str">
        <f>"44103117"</f>
        <v>44103117</v>
      </c>
      <c r="J657" s="10" t="s">
        <v>104</v>
      </c>
    </row>
    <row r="658" spans="1:10" ht="63.75">
      <c r="A658" s="9" t="s">
        <v>27</v>
      </c>
      <c r="B658" s="2" t="s">
        <v>31</v>
      </c>
      <c r="C658" s="2">
        <v>3204</v>
      </c>
      <c r="D658" s="2">
        <v>516</v>
      </c>
      <c r="E658" s="2" t="str">
        <f>"1000017017"</f>
        <v>1000017017</v>
      </c>
      <c r="F658" s="4" t="str">
        <f>"RIBBON:PAN Item # KXFA65-PAN, Fax Thermal Ribbon (Yld 330) for plain paper fax machines KX -FHD301 / -FM106 / -FPC135 / FP101 / FP105 / FP121 / FPC141 / FPW11"</f>
        <v>RIBBON:PAN Item # KXFA65-PAN, Fax Thermal Ribbon (Yld 330) for plain paper fax machines KX -FHD301 / -FM106 / -FPC135 / FP101 / FP105 / FP121 / FPC141 / FPW11</v>
      </c>
      <c r="G658" s="74" t="str">
        <f t="shared" si="39"/>
        <v>EA</v>
      </c>
      <c r="H658" s="7">
        <v>35</v>
      </c>
      <c r="I658" s="2" t="str">
        <f>"44103117"</f>
        <v>44103117</v>
      </c>
      <c r="J658" s="10" t="s">
        <v>104</v>
      </c>
    </row>
    <row r="659" spans="1:10" ht="51">
      <c r="A659" s="9" t="s">
        <v>27</v>
      </c>
      <c r="B659" s="2" t="s">
        <v>31</v>
      </c>
      <c r="C659" s="2">
        <v>3204</v>
      </c>
      <c r="D659" s="2">
        <v>517</v>
      </c>
      <c r="E659" s="2" t="str">
        <f>"1000017018"</f>
        <v>1000017018</v>
      </c>
      <c r="F659" s="4" t="str">
        <f>"RIBBON:PAN Item # KXP115-PAN, Panasonic, Black Nylon Ribbon for Panasonic KXP1150, KXP1180, KXP1180i, KXP1191, KXP1695, KXP2000 printers"</f>
        <v>RIBBON:PAN Item # KXP115-PAN, Panasonic, Black Nylon Ribbon for Panasonic KXP1150, KXP1180, KXP1180i, KXP1191, KXP1695, KXP2000 printers</v>
      </c>
      <c r="G659" s="74" t="str">
        <f t="shared" si="39"/>
        <v>EA</v>
      </c>
      <c r="H659" s="7">
        <v>14</v>
      </c>
      <c r="I659" s="2" t="str">
        <f>"44103112"</f>
        <v>44103112</v>
      </c>
      <c r="J659" s="10" t="s">
        <v>105</v>
      </c>
    </row>
    <row r="660" spans="1:10" ht="51">
      <c r="A660" s="9" t="s">
        <v>27</v>
      </c>
      <c r="B660" s="2" t="s">
        <v>31</v>
      </c>
      <c r="C660" s="2">
        <v>3204</v>
      </c>
      <c r="D660" s="2">
        <v>518</v>
      </c>
      <c r="E660" s="2" t="str">
        <f>"1000017019"</f>
        <v>1000017019</v>
      </c>
      <c r="F660" s="4" t="str">
        <f>"RIBBON:PAN Item # KXP145-PAN, Panasonic, Black, Nylon Ribbon for Panasonic KXP1123, KXP1124, KXP1124i, KXP2023 Printers"</f>
        <v>RIBBON:PAN Item # KXP145-PAN, Panasonic, Black, Nylon Ribbon for Panasonic KXP1123, KXP1124, KXP1124i, KXP2023 Printers</v>
      </c>
      <c r="G660" s="74" t="str">
        <f t="shared" si="39"/>
        <v>EA</v>
      </c>
      <c r="H660" s="7">
        <v>5</v>
      </c>
      <c r="I660" s="2" t="str">
        <f>"44103112"</f>
        <v>44103112</v>
      </c>
      <c r="J660" s="10" t="s">
        <v>105</v>
      </c>
    </row>
    <row r="661" spans="1:10" ht="51">
      <c r="A661" s="9" t="s">
        <v>27</v>
      </c>
      <c r="B661" s="2" t="s">
        <v>31</v>
      </c>
      <c r="C661" s="2">
        <v>3204</v>
      </c>
      <c r="D661" s="2">
        <v>519</v>
      </c>
      <c r="E661" s="2" t="str">
        <f>"1000017020"</f>
        <v>1000017020</v>
      </c>
      <c r="F661" s="4" t="str">
        <f>"RIBBON:PAN Item # KXP155-PAN, Panasonic, Black Nylon Ribbon for KXP1624, KXP1654, KXP2624, KXP3624 Printers"</f>
        <v>RIBBON:PAN Item # KXP155-PAN, Panasonic, Black Nylon Ribbon for KXP1624, KXP1654, KXP2624, KXP3624 Printers</v>
      </c>
      <c r="G661" s="74" t="str">
        <f t="shared" si="39"/>
        <v>EA</v>
      </c>
      <c r="H661" s="7">
        <v>14</v>
      </c>
      <c r="I661" s="2" t="str">
        <f>"44103112"</f>
        <v>44103112</v>
      </c>
      <c r="J661" s="10" t="s">
        <v>105</v>
      </c>
    </row>
    <row r="662" spans="1:10" ht="51">
      <c r="A662" s="9" t="s">
        <v>27</v>
      </c>
      <c r="B662" s="2" t="s">
        <v>31</v>
      </c>
      <c r="C662" s="2">
        <v>3204</v>
      </c>
      <c r="D662" s="2">
        <v>521</v>
      </c>
      <c r="E662" s="2" t="str">
        <f>"1000017021"</f>
        <v>1000017021</v>
      </c>
      <c r="F662" s="4" t="str">
        <f>"RIBBON:SHA Item # EC888C-BC, Brand Compatible printer ribbon for Sharp Calculators, black and red ribbons (Replaces BR80C ribbon)"</f>
        <v>RIBBON:SHA Item # EC888C-BC, Brand Compatible printer ribbon for Sharp Calculators, black and red ribbons (Replaces BR80C ribbon)</v>
      </c>
      <c r="G662" s="74" t="str">
        <f t="shared" si="39"/>
        <v>EA</v>
      </c>
      <c r="H662" s="7">
        <v>3</v>
      </c>
      <c r="I662" s="2" t="str">
        <f>"44101805"</f>
        <v>44101805</v>
      </c>
      <c r="J662" s="10" t="s">
        <v>106</v>
      </c>
    </row>
    <row r="663" spans="1:10" ht="51">
      <c r="A663" s="9" t="s">
        <v>27</v>
      </c>
      <c r="B663" s="2" t="s">
        <v>31</v>
      </c>
      <c r="C663" s="2">
        <v>3204</v>
      </c>
      <c r="D663" s="2">
        <v>488</v>
      </c>
      <c r="E663" s="2" t="str">
        <f>"1000017022"</f>
        <v>1000017022</v>
      </c>
      <c r="F663" s="4" t="str">
        <f>"RIBBON:EPS Item # 7753-EPS, Epson Black Fabric Printer Ribbon for Epson LQ-200/ 300/ 500/ 800/ L1000/ AP3000/ 4000/ 5000"</f>
        <v>RIBBON:EPS Item # 7753-EPS, Epson Black Fabric Printer Ribbon for Epson LQ-200/ 300/ 500/ 800/ L1000/ AP3000/ 4000/ 5000</v>
      </c>
      <c r="G663" s="74" t="str">
        <f t="shared" si="39"/>
        <v>EA</v>
      </c>
      <c r="H663" s="7">
        <v>7</v>
      </c>
      <c r="I663" s="2" t="str">
        <f>"44103112"</f>
        <v>44103112</v>
      </c>
      <c r="J663" s="10" t="s">
        <v>105</v>
      </c>
    </row>
    <row r="664" spans="1:10" ht="51">
      <c r="A664" s="9" t="s">
        <v>27</v>
      </c>
      <c r="B664" s="2" t="s">
        <v>31</v>
      </c>
      <c r="C664" s="2">
        <v>3204</v>
      </c>
      <c r="D664" s="2">
        <v>2</v>
      </c>
      <c r="E664" s="2" t="str">
        <f>"1000017023"</f>
        <v>1000017023</v>
      </c>
      <c r="F664" s="4" t="str">
        <f>"DRUM:BRO Item # DR200-BC, Brand Compatible HL Drum for 720/ 730/ 760/ 3550/ 3650/ 4350/ 4450/ 4550/ 4650/ 6550/ 6650/ 7550/ 7650/ 7750 (Yld 20k)"</f>
        <v>DRUM:BRO Item # DR200-BC, Brand Compatible HL Drum for 720/ 730/ 760/ 3550/ 3650/ 4350/ 4450/ 4550/ 4650/ 6550/ 6650/ 7550/ 7650/ 7750 (Yld 20k)</v>
      </c>
      <c r="G664" s="74" t="str">
        <f t="shared" si="39"/>
        <v>EA</v>
      </c>
      <c r="H664" s="7">
        <v>153</v>
      </c>
      <c r="I664" s="2" t="str">
        <f t="shared" ref="I664:I675" si="41">"44103109"</f>
        <v>44103109</v>
      </c>
      <c r="J664" s="10" t="s">
        <v>94</v>
      </c>
    </row>
    <row r="665" spans="1:10" ht="51">
      <c r="A665" s="9" t="s">
        <v>27</v>
      </c>
      <c r="B665" s="2" t="s">
        <v>31</v>
      </c>
      <c r="C665" s="2">
        <v>3204</v>
      </c>
      <c r="D665" s="2">
        <v>3</v>
      </c>
      <c r="E665" s="2" t="str">
        <f>"1000017024"</f>
        <v>1000017024</v>
      </c>
      <c r="F665" s="4" t="str">
        <f>"DRUM:BRO Item # DR200-BRT, HL Drum for 720/ 730/ 760/ 3550/ 3650/ 4350/ 4450/ 4550/ 4650/ 6550/ 6650/ 7550/ 7650/ 7750 (Yld 20k)"</f>
        <v>DRUM:BRO Item # DR200-BRT, HL Drum for 720/ 730/ 760/ 3550/ 3650/ 4350/ 4450/ 4550/ 4650/ 6550/ 6650/ 7550/ 7650/ 7750 (Yld 20k)</v>
      </c>
      <c r="G665" s="74" t="str">
        <f t="shared" si="39"/>
        <v>EA</v>
      </c>
      <c r="H665" s="7">
        <v>214.66</v>
      </c>
      <c r="I665" s="2" t="str">
        <f t="shared" si="41"/>
        <v>44103109</v>
      </c>
      <c r="J665" s="10" t="s">
        <v>94</v>
      </c>
    </row>
    <row r="666" spans="1:10" ht="38.25">
      <c r="A666" s="9" t="s">
        <v>27</v>
      </c>
      <c r="B666" s="2" t="s">
        <v>31</v>
      </c>
      <c r="C666" s="2">
        <v>3204</v>
      </c>
      <c r="D666" s="2">
        <v>4</v>
      </c>
      <c r="E666" s="2" t="str">
        <f>"1000017025"</f>
        <v>1000017025</v>
      </c>
      <c r="F666" s="4" t="str">
        <f>"DRUM:BRO Item # DR250-BC, Brand Compatible Brother Fax Drum Unit for PPF-2800/MFC-4800/6800 (Yld 20k)"</f>
        <v>DRUM:BRO Item # DR250-BC, Brand Compatible Brother Fax Drum Unit for PPF-2800/MFC-4800/6800 (Yld 20k)</v>
      </c>
      <c r="G666" s="74" t="str">
        <f t="shared" si="39"/>
        <v>EA</v>
      </c>
      <c r="H666" s="7">
        <v>97</v>
      </c>
      <c r="I666" s="2" t="str">
        <f t="shared" si="41"/>
        <v>44103109</v>
      </c>
      <c r="J666" s="10" t="s">
        <v>94</v>
      </c>
    </row>
    <row r="667" spans="1:10" ht="38.25">
      <c r="A667" s="9" t="s">
        <v>27</v>
      </c>
      <c r="B667" s="2" t="s">
        <v>31</v>
      </c>
      <c r="C667" s="2">
        <v>3204</v>
      </c>
      <c r="D667" s="2">
        <v>5</v>
      </c>
      <c r="E667" s="2" t="str">
        <f>"1000017026"</f>
        <v>1000017026</v>
      </c>
      <c r="F667" s="4" t="str">
        <f>"DRUM:BRO Item # DR250-BRT, Brother Fax Drum Unit for PPF-2800/MFC-4800/6800 (Yld 20k)"</f>
        <v>DRUM:BRO Item # DR250-BRT, Brother Fax Drum Unit for PPF-2800/MFC-4800/6800 (Yld 20k)</v>
      </c>
      <c r="G667" s="74" t="str">
        <f t="shared" si="39"/>
        <v>EA</v>
      </c>
      <c r="H667" s="7">
        <v>196.49</v>
      </c>
      <c r="I667" s="2" t="str">
        <f t="shared" si="41"/>
        <v>44103109</v>
      </c>
      <c r="J667" s="10" t="s">
        <v>94</v>
      </c>
    </row>
    <row r="668" spans="1:10" ht="38.25">
      <c r="A668" s="9" t="s">
        <v>27</v>
      </c>
      <c r="B668" s="2" t="s">
        <v>31</v>
      </c>
      <c r="C668" s="2">
        <v>3204</v>
      </c>
      <c r="D668" s="2">
        <v>6</v>
      </c>
      <c r="E668" s="2" t="str">
        <f>"1000017027"</f>
        <v>1000017027</v>
      </c>
      <c r="F668" s="4" t="str">
        <f>"DRUM:BRO Item # DR350-BC, Brand Compatible Brother Drum unit for HL2040, HL 2070N"</f>
        <v>DRUM:BRO Item # DR350-BC, Brand Compatible Brother Drum unit for HL2040, HL 2070N</v>
      </c>
      <c r="G668" s="74" t="str">
        <f t="shared" si="39"/>
        <v>EA</v>
      </c>
      <c r="H668" s="7">
        <v>92</v>
      </c>
      <c r="I668" s="2" t="str">
        <f t="shared" si="41"/>
        <v>44103109</v>
      </c>
      <c r="J668" s="10" t="s">
        <v>94</v>
      </c>
    </row>
    <row r="669" spans="1:10" ht="51">
      <c r="A669" s="9" t="s">
        <v>27</v>
      </c>
      <c r="B669" s="2" t="s">
        <v>31</v>
      </c>
      <c r="C669" s="2">
        <v>3204</v>
      </c>
      <c r="D669" s="2">
        <v>8</v>
      </c>
      <c r="E669" s="2" t="str">
        <f>"1000017028"</f>
        <v>1000017028</v>
      </c>
      <c r="F669" s="4" t="str">
        <f>"DRUM:BRO Item # DR360-BRT, Brother drum, for HL-2140, HL-2170W laser printers and MFC 7440N and MFC7840W (Yld 12k)"</f>
        <v>DRUM:BRO Item # DR360-BRT, Brother drum, for HL-2140, HL-2170W laser printers and MFC 7440N and MFC7840W (Yld 12k)</v>
      </c>
      <c r="G669" s="74" t="str">
        <f t="shared" si="39"/>
        <v>EA</v>
      </c>
      <c r="H669" s="7">
        <v>108.32</v>
      </c>
      <c r="I669" s="2" t="str">
        <f t="shared" si="41"/>
        <v>44103109</v>
      </c>
      <c r="J669" s="10" t="s">
        <v>94</v>
      </c>
    </row>
    <row r="670" spans="1:10" ht="25.5">
      <c r="A670" s="9" t="s">
        <v>27</v>
      </c>
      <c r="B670" s="2" t="s">
        <v>31</v>
      </c>
      <c r="C670" s="2">
        <v>3204</v>
      </c>
      <c r="D670" s="2">
        <v>32</v>
      </c>
      <c r="E670" s="2" t="str">
        <f>"1000017029"</f>
        <v>1000017029</v>
      </c>
      <c r="F670" s="4" t="str">
        <f>"DRUM:OKI Item # 42126661-OKI, Okidata black drum for C3200N (Yld 15k)"</f>
        <v>DRUM:OKI Item # 42126661-OKI, Okidata black drum for C3200N (Yld 15k)</v>
      </c>
      <c r="G670" s="74" t="str">
        <f t="shared" si="39"/>
        <v>EA</v>
      </c>
      <c r="H670" s="7">
        <v>119</v>
      </c>
      <c r="I670" s="2" t="str">
        <f t="shared" si="41"/>
        <v>44103109</v>
      </c>
      <c r="J670" s="10" t="s">
        <v>94</v>
      </c>
    </row>
    <row r="671" spans="1:10" ht="51">
      <c r="A671" s="9" t="s">
        <v>27</v>
      </c>
      <c r="B671" s="2" t="s">
        <v>31</v>
      </c>
      <c r="C671" s="2">
        <v>3204</v>
      </c>
      <c r="D671" s="2">
        <v>34</v>
      </c>
      <c r="E671" s="2" t="str">
        <f>"1000017030"</f>
        <v>1000017030</v>
      </c>
      <c r="F671" s="4" t="str">
        <f>"DRUM:OKI Item # 56116901, Image Drum Kit for Okidata Fax Machines, Okifax 5050, 5300 Plus, 5600 Plus, 1050, 2450, 5250, 5650 &amp; 5680. (Yld. 20k)"</f>
        <v>DRUM:OKI Item # 56116901, Image Drum Kit for Okidata Fax Machines, Okifax 5050, 5300 Plus, 5600 Plus, 1050, 2450, 5250, 5650 &amp; 5680. (Yld. 20k)</v>
      </c>
      <c r="G671" s="74" t="str">
        <f t="shared" si="39"/>
        <v>EA</v>
      </c>
      <c r="H671" s="7">
        <v>214</v>
      </c>
      <c r="I671" s="2" t="str">
        <f t="shared" si="41"/>
        <v>44103109</v>
      </c>
      <c r="J671" s="10" t="s">
        <v>94</v>
      </c>
    </row>
    <row r="672" spans="1:10" ht="38.25">
      <c r="A672" s="9" t="s">
        <v>27</v>
      </c>
      <c r="B672" s="2" t="s">
        <v>31</v>
      </c>
      <c r="C672" s="2">
        <v>3204</v>
      </c>
      <c r="D672" s="2">
        <v>36</v>
      </c>
      <c r="E672" s="2" t="str">
        <f>"1000017031"</f>
        <v>1000017031</v>
      </c>
      <c r="F672" s="4" t="str">
        <f>"DRUM:QMS Item # 1710520001-QMS, Magicolor 2300DL/2350EN OPC Drum (Yld 45k)"</f>
        <v>DRUM:QMS Item # 1710520001-QMS, Magicolor 2300DL/2350EN OPC Drum (Yld 45k)</v>
      </c>
      <c r="G672" s="74" t="str">
        <f t="shared" si="39"/>
        <v>EA</v>
      </c>
      <c r="H672" s="7">
        <v>158</v>
      </c>
      <c r="I672" s="2" t="str">
        <f t="shared" si="41"/>
        <v>44103109</v>
      </c>
      <c r="J672" s="10" t="s">
        <v>94</v>
      </c>
    </row>
    <row r="673" spans="1:10" ht="51">
      <c r="A673" s="9" t="s">
        <v>27</v>
      </c>
      <c r="B673" s="2" t="s">
        <v>31</v>
      </c>
      <c r="C673" s="2">
        <v>3204</v>
      </c>
      <c r="D673" s="2">
        <v>37</v>
      </c>
      <c r="E673" s="2" t="str">
        <f>"1000017032"</f>
        <v>1000017032</v>
      </c>
      <c r="F673" s="4" t="str">
        <f>"DRUM:SHA Item # AL100DR-SHR, Sharp Drum for Sharp AL-1000/1010/1041/1200/1215/1220/1250/1340/1451 Copiers (Yld 18k)"</f>
        <v>DRUM:SHA Item # AL100DR-SHR, Sharp Drum for Sharp AL-1000/1010/1041/1200/1215/1220/1250/1340/1451 Copiers (Yld 18k)</v>
      </c>
      <c r="G673" s="74" t="str">
        <f t="shared" ref="G673:G696" si="42">"EA"</f>
        <v>EA</v>
      </c>
      <c r="H673" s="7">
        <v>199</v>
      </c>
      <c r="I673" s="2" t="str">
        <f t="shared" si="41"/>
        <v>44103109</v>
      </c>
      <c r="J673" s="10" t="s">
        <v>94</v>
      </c>
    </row>
    <row r="674" spans="1:10" ht="38.25">
      <c r="A674" s="9" t="s">
        <v>27</v>
      </c>
      <c r="B674" s="2" t="s">
        <v>31</v>
      </c>
      <c r="C674" s="2">
        <v>3204</v>
      </c>
      <c r="D674" s="2">
        <v>38</v>
      </c>
      <c r="E674" s="2" t="str">
        <f>"1000017033"</f>
        <v>1000017033</v>
      </c>
      <c r="F674" s="4" t="str">
        <f>"DRUM:SHA Item # FO45DR-SHR, Sharp Drum for FO4500, FO5500, FO5600, FO6500, FO6550 Fax Models.(Yld 20k)"</f>
        <v>DRUM:SHA Item # FO45DR-SHR, Sharp Drum for FO4500, FO5500, FO5600, FO6500, FO6550 Fax Models.(Yld 20k)</v>
      </c>
      <c r="G674" s="74" t="str">
        <f t="shared" si="42"/>
        <v>EA</v>
      </c>
      <c r="H674" s="7">
        <v>107</v>
      </c>
      <c r="I674" s="2" t="str">
        <f t="shared" si="41"/>
        <v>44103109</v>
      </c>
      <c r="J674" s="10" t="s">
        <v>94</v>
      </c>
    </row>
    <row r="675" spans="1:10" ht="51">
      <c r="A675" s="9" t="s">
        <v>27</v>
      </c>
      <c r="B675" s="2" t="s">
        <v>31</v>
      </c>
      <c r="C675" s="2">
        <v>3204</v>
      </c>
      <c r="D675" s="2">
        <v>40</v>
      </c>
      <c r="E675" s="2" t="str">
        <f>"1000017034"</f>
        <v>1000017034</v>
      </c>
      <c r="F675" s="4" t="str">
        <f>"DRUM:XER Item # 113R00671-XER, Drum Cartridge for Xerox C20, M20, M20i, FaxCentre 2218, WorkCentre 4118p, 4118x (Yld 20k)"</f>
        <v>DRUM:XER Item # 113R00671-XER, Drum Cartridge for Xerox C20, M20, M20i, FaxCentre 2218, WorkCentre 4118p, 4118x (Yld 20k)</v>
      </c>
      <c r="G675" s="74" t="str">
        <f t="shared" si="42"/>
        <v>EA</v>
      </c>
      <c r="H675" s="7">
        <v>107.16</v>
      </c>
      <c r="I675" s="2" t="str">
        <f t="shared" si="41"/>
        <v>44103109</v>
      </c>
      <c r="J675" s="10" t="s">
        <v>94</v>
      </c>
    </row>
    <row r="676" spans="1:10" ht="25.5">
      <c r="A676" s="9" t="s">
        <v>27</v>
      </c>
      <c r="B676" s="2" t="s">
        <v>31</v>
      </c>
      <c r="C676" s="2">
        <v>3204</v>
      </c>
      <c r="D676" s="2">
        <v>474</v>
      </c>
      <c r="E676" s="2" t="str">
        <f>"1000017035"</f>
        <v>1000017035</v>
      </c>
      <c r="F676" s="4" t="str">
        <f>"PRINTHEAD:HP Item # C9422A-HEW, HP No. 85 Yellow Printhead designjet 30, 130 ,90"</f>
        <v>PRINTHEAD:HP Item # C9422A-HEW, HP No. 85 Yellow Printhead designjet 30, 130 ,90</v>
      </c>
      <c r="G676" s="74" t="str">
        <f t="shared" si="42"/>
        <v>EA</v>
      </c>
      <c r="H676" s="7">
        <v>42</v>
      </c>
      <c r="I676" s="2" t="str">
        <f>"44103110"</f>
        <v>44103110</v>
      </c>
      <c r="J676" s="10" t="s">
        <v>102</v>
      </c>
    </row>
    <row r="677" spans="1:10" ht="51">
      <c r="A677" s="9" t="s">
        <v>27</v>
      </c>
      <c r="B677" s="2" t="s">
        <v>31</v>
      </c>
      <c r="C677" s="2">
        <v>3204</v>
      </c>
      <c r="D677" s="2">
        <v>509</v>
      </c>
      <c r="E677" s="2" t="str">
        <f>"1000017036"</f>
        <v>1000017036</v>
      </c>
      <c r="F677" s="4" t="str">
        <f>"RIBBON:OKI Item # 52103601-OKI, Black Nylon Fabric Printer Ribbon for Okidata Microline Printers ML 393/395/393C/393+/393C+/395C Series."</f>
        <v>RIBBON:OKI Item # 52103601-OKI, Black Nylon Fabric Printer Ribbon for Okidata Microline Printers ML 393/395/393C/393+/393C+/395C Series.</v>
      </c>
      <c r="G677" s="74" t="str">
        <f t="shared" si="42"/>
        <v>EA</v>
      </c>
      <c r="H677" s="7">
        <v>34</v>
      </c>
      <c r="I677" s="2" t="str">
        <f>"44103112"</f>
        <v>44103112</v>
      </c>
      <c r="J677" s="10" t="s">
        <v>105</v>
      </c>
    </row>
    <row r="678" spans="1:10" ht="38.25">
      <c r="A678" s="9" t="s">
        <v>27</v>
      </c>
      <c r="B678" s="2" t="s">
        <v>31</v>
      </c>
      <c r="C678" s="2">
        <v>3204</v>
      </c>
      <c r="D678" s="2">
        <v>510</v>
      </c>
      <c r="E678" s="2" t="str">
        <f>"1000017037"</f>
        <v>1000017037</v>
      </c>
      <c r="F678" s="4" t="str">
        <f>"RIBBON:OKI Item # 52104001-OKI, Black Nylon Ribbon for Okidata ML 380 / 390 / 390Turbo / 391 / 391Turbo"</f>
        <v>RIBBON:OKI Item # 52104001-OKI, Black Nylon Ribbon for Okidata ML 380 / 390 / 390Turbo / 391 / 391Turbo</v>
      </c>
      <c r="G678" s="74" t="str">
        <f t="shared" si="42"/>
        <v>EA</v>
      </c>
      <c r="H678" s="7">
        <v>15</v>
      </c>
      <c r="I678" s="2" t="str">
        <f>"44103112"</f>
        <v>44103112</v>
      </c>
      <c r="J678" s="10" t="s">
        <v>105</v>
      </c>
    </row>
    <row r="679" spans="1:10" ht="38.25">
      <c r="A679" s="9" t="s">
        <v>27</v>
      </c>
      <c r="B679" s="2" t="s">
        <v>31</v>
      </c>
      <c r="C679" s="2">
        <v>3204</v>
      </c>
      <c r="D679" s="2">
        <v>511</v>
      </c>
      <c r="E679" s="2" t="str">
        <f>"1000017038"</f>
        <v>1000017038</v>
      </c>
      <c r="F679" s="4" t="str">
        <f>"RIBBON:OKI Item # 52105801-OKI, Black Fabric Printer Ribbon for Okidata Pacemark 3410 Printer."</f>
        <v>RIBBON:OKI Item # 52105801-OKI, Black Fabric Printer Ribbon for Okidata Pacemark 3410 Printer.</v>
      </c>
      <c r="G679" s="74" t="str">
        <f t="shared" si="42"/>
        <v>EA</v>
      </c>
      <c r="H679" s="7">
        <v>43</v>
      </c>
      <c r="I679" s="2" t="str">
        <f>"44103112"</f>
        <v>44103112</v>
      </c>
      <c r="J679" s="10" t="s">
        <v>105</v>
      </c>
    </row>
    <row r="680" spans="1:10" ht="51">
      <c r="A680" s="9" t="s">
        <v>27</v>
      </c>
      <c r="B680" s="2" t="s">
        <v>31</v>
      </c>
      <c r="C680" s="2">
        <v>3204</v>
      </c>
      <c r="D680" s="2">
        <v>76</v>
      </c>
      <c r="E680" s="2" t="str">
        <f>"1000017039"</f>
        <v>1000017039</v>
      </c>
      <c r="F680" s="4" t="str">
        <f>"INK CART:BRO Item # LC61M-BRT, Brother Magenta Ink for MFC290C,MFC490CW, MFC790CW, MFC5490CN, MFC5890CW, DCP165C, DPC385CN, DPC585CW (325 Yld)"</f>
        <v>INK CART:BRO Item # LC61M-BRT, Brother Magenta Ink for MFC290C,MFC490CW, MFC790CW, MFC5490CN, MFC5890CW, DCP165C, DPC385CN, DPC585CW (325 Yld)</v>
      </c>
      <c r="G680" s="74" t="str">
        <f t="shared" si="42"/>
        <v>EA</v>
      </c>
      <c r="H680" s="7">
        <v>11.99</v>
      </c>
      <c r="I680" s="2" t="str">
        <f>"44103105"</f>
        <v>44103105</v>
      </c>
      <c r="J680" s="10" t="s">
        <v>98</v>
      </c>
    </row>
    <row r="681" spans="1:10" ht="51">
      <c r="A681" s="9" t="s">
        <v>27</v>
      </c>
      <c r="B681" s="2" t="s">
        <v>31</v>
      </c>
      <c r="C681" s="2">
        <v>3204</v>
      </c>
      <c r="D681" s="2">
        <v>77</v>
      </c>
      <c r="E681" s="2" t="str">
        <f>"1000017040"</f>
        <v>1000017040</v>
      </c>
      <c r="F681" s="4" t="str">
        <f>"INK CART:BRO Item # LC61Y-BRT, Brother Yellow Ink for MFC290C,MFC490CW, MFC790CW, MFC5490CN, MFC5890CW, DCP165C, DPC385CN, DPC585CW (325 Yld)"</f>
        <v>INK CART:BRO Item # LC61Y-BRT, Brother Yellow Ink for MFC290C,MFC490CW, MFC790CW, MFC5490CN, MFC5890CW, DCP165C, DPC385CN, DPC585CW (325 Yld)</v>
      </c>
      <c r="G681" s="74" t="str">
        <f t="shared" si="42"/>
        <v>EA</v>
      </c>
      <c r="H681" s="7">
        <v>11.99</v>
      </c>
      <c r="I681" s="2" t="str">
        <f>"44103105"</f>
        <v>44103105</v>
      </c>
      <c r="J681" s="10" t="s">
        <v>98</v>
      </c>
    </row>
    <row r="682" spans="1:10" ht="63.75">
      <c r="A682" s="9" t="s">
        <v>27</v>
      </c>
      <c r="B682" s="2" t="s">
        <v>31</v>
      </c>
      <c r="C682" s="2">
        <v>3204</v>
      </c>
      <c r="D682" s="2">
        <v>78</v>
      </c>
      <c r="E682" s="2" t="str">
        <f>"1000017041"</f>
        <v>1000017041</v>
      </c>
      <c r="F682" s="4" t="str">
        <f>"INK CART:BRO Item # LC65HYBKS-BRT, Brother black high capacity inkjet cartridge designed for the Brother MFC-5890CN / MFC-6490CW inkjet printers (900 page yield)"</f>
        <v>INK CART:BRO Item # LC65HYBKS-BRT, Brother black high capacity inkjet cartridge designed for the Brother MFC-5890CN / MFC-6490CW inkjet printers (900 page yield)</v>
      </c>
      <c r="G682" s="74" t="str">
        <f t="shared" si="42"/>
        <v>EA</v>
      </c>
      <c r="H682" s="7">
        <v>94</v>
      </c>
      <c r="I682" s="2" t="str">
        <f>"44103105"</f>
        <v>44103105</v>
      </c>
      <c r="J682" s="10" t="s">
        <v>98</v>
      </c>
    </row>
    <row r="683" spans="1:10" ht="51">
      <c r="A683" s="9" t="s">
        <v>27</v>
      </c>
      <c r="B683" s="2" t="s">
        <v>31</v>
      </c>
      <c r="C683" s="2">
        <v>3204</v>
      </c>
      <c r="D683" s="2">
        <v>480</v>
      </c>
      <c r="E683" s="2" t="str">
        <f>"1000017042"</f>
        <v>1000017042</v>
      </c>
      <c r="F683" s="4" t="str">
        <f>"RIBBON:BRO Item # PC101-BRT, Brother Thermal Ribbon for IntelliFAX 150/ 1250/ 1350/ 1550 MC/ MFC1450/ 1550/ 1750/ 1850/ 1950 (Yld 750)"</f>
        <v>RIBBON:BRO Item # PC101-BRT, Brother Thermal Ribbon for IntelliFAX 150/ 1250/ 1350/ 1550 MC/ MFC1450/ 1550/ 1750/ 1850/ 1950 (Yld 750)</v>
      </c>
      <c r="G683" s="74" t="str">
        <f t="shared" si="42"/>
        <v>EA</v>
      </c>
      <c r="H683" s="7">
        <v>40</v>
      </c>
      <c r="I683" s="2" t="str">
        <f>"44103117"</f>
        <v>44103117</v>
      </c>
      <c r="J683" s="10" t="s">
        <v>104</v>
      </c>
    </row>
    <row r="684" spans="1:10" ht="38.25">
      <c r="A684" s="9" t="s">
        <v>27</v>
      </c>
      <c r="B684" s="2" t="s">
        <v>31</v>
      </c>
      <c r="C684" s="2">
        <v>3204</v>
      </c>
      <c r="D684" s="2">
        <v>79</v>
      </c>
      <c r="E684" s="2" t="str">
        <f>"1000017043"</f>
        <v>1000017043</v>
      </c>
      <c r="F684" s="4" t="str">
        <f>"INK CART:BRO Item # PC301-BRT, Brother Thermal Print Cartridge for IntelliFAX 750/ 770/ 870MC/ MFC970MC (Yld 250)"</f>
        <v>INK CART:BRO Item # PC301-BRT, Brother Thermal Print Cartridge for IntelliFAX 750/ 770/ 870MC/ MFC970MC (Yld 250)</v>
      </c>
      <c r="G684" s="74" t="str">
        <f t="shared" si="42"/>
        <v>EA</v>
      </c>
      <c r="H684" s="7">
        <v>28.06</v>
      </c>
      <c r="I684" s="2" t="str">
        <f>"44103105"</f>
        <v>44103105</v>
      </c>
      <c r="J684" s="10" t="s">
        <v>98</v>
      </c>
    </row>
    <row r="685" spans="1:10" ht="51">
      <c r="A685" s="9" t="s">
        <v>27</v>
      </c>
      <c r="B685" s="2" t="s">
        <v>31</v>
      </c>
      <c r="C685" s="2">
        <v>3204</v>
      </c>
      <c r="D685" s="2">
        <v>484</v>
      </c>
      <c r="E685" s="2" t="str">
        <f>"1000017044"</f>
        <v>1000017044</v>
      </c>
      <c r="F685" s="4" t="str">
        <f>"RIBBON:BRO Item # PC401-BRT, Brother Black Thermal Print Cartridge (Yld 150 pages) for Intellfax 560/580MC/MFC-660MC"</f>
        <v>RIBBON:BRO Item # PC401-BRT, Brother Black Thermal Print Cartridge (Yld 150 pages) for Intellfax 560/580MC/MFC-660MC</v>
      </c>
      <c r="G685" s="74" t="str">
        <f t="shared" si="42"/>
        <v>EA</v>
      </c>
      <c r="H685" s="7">
        <v>24</v>
      </c>
      <c r="I685" s="2" t="str">
        <f>"44103117"</f>
        <v>44103117</v>
      </c>
      <c r="J685" s="10" t="s">
        <v>104</v>
      </c>
    </row>
    <row r="686" spans="1:10" ht="76.5">
      <c r="A686" s="9" t="s">
        <v>27</v>
      </c>
      <c r="B686" s="2" t="s">
        <v>31</v>
      </c>
      <c r="C686" s="2">
        <v>3204</v>
      </c>
      <c r="D686" s="2">
        <v>522</v>
      </c>
      <c r="E686" s="2" t="str">
        <f>"1000017045"</f>
        <v>1000017045</v>
      </c>
      <c r="F686" s="4" t="str">
        <f>"RIBBON:SHA Item # FO15CR-SHR, Sharp Thermal Transfer Ink Ribbon for Sharp Plain Paper Fax, for use with Sharp 1660, 1850, UX500, 510, 510A, 600M, 1000, 1100, 1300, 1400, FO 1450, 1460, 1470, 1650"</f>
        <v>RIBBON:SHA Item # FO15CR-SHR, Sharp Thermal Transfer Ink Ribbon for Sharp Plain Paper Fax, for use with Sharp 1660, 1850, UX500, 510, 510A, 600M, 1000, 1100, 1300, 1400, FO 1450, 1460, 1470, 1650</v>
      </c>
      <c r="G686" s="74" t="str">
        <f t="shared" si="42"/>
        <v>EA</v>
      </c>
      <c r="H686" s="7">
        <v>37</v>
      </c>
      <c r="I686" s="2" t="str">
        <f>"44103117"</f>
        <v>44103117</v>
      </c>
      <c r="J686" s="10" t="s">
        <v>104</v>
      </c>
    </row>
    <row r="687" spans="1:10" ht="89.25">
      <c r="A687" s="9" t="s">
        <v>27</v>
      </c>
      <c r="B687" s="2" t="s">
        <v>31</v>
      </c>
      <c r="C687" s="2">
        <v>3204</v>
      </c>
      <c r="D687" s="2">
        <v>523</v>
      </c>
      <c r="E687" s="2" t="str">
        <f>"1000017046"</f>
        <v>1000017046</v>
      </c>
      <c r="F687" s="4" t="str">
        <f>"RIBBON:SHA Item # UX15CR-SHR, Thermal Transfer Imaging Film Ribbon. Sharp UX 1460 /1650 /1660 / 1850/510 510A/600M/FO1450/-1000/-1100/-1300/-1400/-1460/-1650/-1660/-1850/-500/-510/-510A/-600M/-FO1450/1000/1100/1300/1400/500"</f>
        <v>RIBBON:SHA Item # UX15CR-SHR, Thermal Transfer Imaging Film Ribbon. Sharp UX 1460 /1650 /1660 / 1850/510 510A/600M/FO1450/-1000/-1100/-1300/-1400/-1460/-1650/-1660/-1850/-500/-510/-510A/-600M/-FO1450/1000/1100/1300/1400/500</v>
      </c>
      <c r="G687" s="74" t="str">
        <f t="shared" si="42"/>
        <v>EA</v>
      </c>
      <c r="H687" s="7">
        <v>35</v>
      </c>
      <c r="I687" s="2" t="str">
        <f>"44103117"</f>
        <v>44103117</v>
      </c>
      <c r="J687" s="10" t="s">
        <v>104</v>
      </c>
    </row>
    <row r="688" spans="1:10" ht="51">
      <c r="A688" s="9" t="s">
        <v>27</v>
      </c>
      <c r="B688" s="2" t="s">
        <v>31</v>
      </c>
      <c r="C688" s="2">
        <v>3204</v>
      </c>
      <c r="D688" s="2">
        <v>490</v>
      </c>
      <c r="E688" s="2" t="str">
        <f>"1000017047"</f>
        <v>1000017047</v>
      </c>
      <c r="F688" s="4" t="str">
        <f>"RIBBON:EPS Item # 8750-EPS, Epson, Black Fabric Printer Ribbon for MX/ FX/ RX80 Series/ T1000/ AP2000/ 85,6,6E/ LX800 Black Nylon (Yld 3mil characters)"</f>
        <v>RIBBON:EPS Item # 8750-EPS, Epson, Black Fabric Printer Ribbon for MX/ FX/ RX80 Series/ T1000/ AP2000/ 85,6,6E/ LX800 Black Nylon (Yld 3mil characters)</v>
      </c>
      <c r="G688" s="74" t="str">
        <f t="shared" si="42"/>
        <v>EA</v>
      </c>
      <c r="H688" s="7">
        <v>6</v>
      </c>
      <c r="I688" s="2" t="str">
        <f>"44103112"</f>
        <v>44103112</v>
      </c>
      <c r="J688" s="10" t="s">
        <v>105</v>
      </c>
    </row>
    <row r="689" spans="1:10" ht="38.25">
      <c r="A689" s="9" t="s">
        <v>27</v>
      </c>
      <c r="B689" s="2" t="s">
        <v>31</v>
      </c>
      <c r="C689" s="2">
        <v>3204</v>
      </c>
      <c r="D689" s="2">
        <v>11</v>
      </c>
      <c r="E689" s="2" t="str">
        <f>"1000017048"</f>
        <v>1000017048</v>
      </c>
      <c r="F689" s="4" t="str">
        <f>"DRUM:BRO Item # DR520-BRT, Brother Drum for LaserJet HL5250DN, HL5240 high yield (25k)"</f>
        <v>DRUM:BRO Item # DR520-BRT, Brother Drum for LaserJet HL5250DN, HL5240 high yield (25k)</v>
      </c>
      <c r="G689" s="74" t="str">
        <f t="shared" si="42"/>
        <v>EA</v>
      </c>
      <c r="H689" s="7">
        <v>207.66</v>
      </c>
      <c r="I689" s="2" t="str">
        <f>"44103109"</f>
        <v>44103109</v>
      </c>
      <c r="J689" s="10" t="s">
        <v>94</v>
      </c>
    </row>
    <row r="690" spans="1:10" ht="38.25">
      <c r="A690" s="9" t="s">
        <v>27</v>
      </c>
      <c r="B690" s="2" t="s">
        <v>31</v>
      </c>
      <c r="C690" s="2">
        <v>3204</v>
      </c>
      <c r="D690" s="2">
        <v>12</v>
      </c>
      <c r="E690" s="2" t="str">
        <f>"1000017049"</f>
        <v>1000017049</v>
      </c>
      <c r="F690" s="4" t="str">
        <f>"DRUM:CAN Item # 6812A001AA-CAN, Canon PC-1060/1080F Toner/Drum (Yld 4k)"</f>
        <v>DRUM:CAN Item # 6812A001AA-CAN, Canon PC-1060/1080F Toner/Drum (Yld 4k)</v>
      </c>
      <c r="G690" s="74" t="str">
        <f t="shared" si="42"/>
        <v>EA</v>
      </c>
      <c r="H690" s="7">
        <v>150</v>
      </c>
      <c r="I690" s="2" t="str">
        <f>"44103109"</f>
        <v>44103109</v>
      </c>
      <c r="J690" s="10" t="s">
        <v>94</v>
      </c>
    </row>
    <row r="691" spans="1:10" ht="25.5">
      <c r="A691" s="9" t="s">
        <v>27</v>
      </c>
      <c r="B691" s="2" t="s">
        <v>31</v>
      </c>
      <c r="C691" s="2">
        <v>3204</v>
      </c>
      <c r="D691" s="2">
        <v>15</v>
      </c>
      <c r="E691" s="2" t="str">
        <f>"1000017052"</f>
        <v>1000017052</v>
      </c>
      <c r="F691" s="4" t="str">
        <f>"DRUM:HP Item # C8560A-HEW, HP Black drum for LaserJet 9500 (Yld 40k)"</f>
        <v>DRUM:HP Item # C8560A-HEW, HP Black drum for LaserJet 9500 (Yld 40k)</v>
      </c>
      <c r="G691" s="74" t="str">
        <f t="shared" si="42"/>
        <v>EA</v>
      </c>
      <c r="H691" s="7">
        <v>331</v>
      </c>
      <c r="I691" s="2" t="str">
        <f>"44103109"</f>
        <v>44103109</v>
      </c>
      <c r="J691" s="10" t="s">
        <v>94</v>
      </c>
    </row>
    <row r="692" spans="1:10" ht="25.5">
      <c r="A692" s="9" t="s">
        <v>27</v>
      </c>
      <c r="B692" s="2" t="s">
        <v>31</v>
      </c>
      <c r="C692" s="2">
        <v>3204</v>
      </c>
      <c r="D692" s="2">
        <v>16</v>
      </c>
      <c r="E692" s="2" t="str">
        <f>"1000017053"</f>
        <v>1000017053</v>
      </c>
      <c r="F692" s="4" t="str">
        <f>"DRUM:HP Item # C8561A-HEW, HP Cyan Drum for LaserJet 9500 (Yld 40k)"</f>
        <v>DRUM:HP Item # C8561A-HEW, HP Cyan Drum for LaserJet 9500 (Yld 40k)</v>
      </c>
      <c r="G692" s="74" t="str">
        <f t="shared" si="42"/>
        <v>EA</v>
      </c>
      <c r="H692" s="7">
        <v>515</v>
      </c>
      <c r="I692" s="2" t="str">
        <f>"44103109"</f>
        <v>44103109</v>
      </c>
      <c r="J692" s="10" t="s">
        <v>94</v>
      </c>
    </row>
    <row r="693" spans="1:10" ht="25.5">
      <c r="A693" s="9" t="s">
        <v>27</v>
      </c>
      <c r="B693" s="2" t="s">
        <v>31</v>
      </c>
      <c r="C693" s="2">
        <v>3204</v>
      </c>
      <c r="D693" s="2">
        <v>17</v>
      </c>
      <c r="E693" s="2" t="str">
        <f>"1000017054"</f>
        <v>1000017054</v>
      </c>
      <c r="F693" s="4" t="str">
        <f>"DRUM:HP Item # C8562A-HEW, HP Yellow Drum for LaserJet 9500 (Yld 40k)"</f>
        <v>DRUM:HP Item # C8562A-HEW, HP Yellow Drum for LaserJet 9500 (Yld 40k)</v>
      </c>
      <c r="G693" s="74" t="str">
        <f t="shared" si="42"/>
        <v>EA</v>
      </c>
      <c r="H693" s="7">
        <v>515</v>
      </c>
      <c r="I693" s="2" t="str">
        <f>"44103109"</f>
        <v>44103109</v>
      </c>
      <c r="J693" s="10" t="s">
        <v>94</v>
      </c>
    </row>
    <row r="694" spans="1:10" ht="25.5">
      <c r="A694" s="9" t="s">
        <v>27</v>
      </c>
      <c r="B694" s="2" t="s">
        <v>31</v>
      </c>
      <c r="C694" s="2">
        <v>3204</v>
      </c>
      <c r="D694" s="2">
        <v>50</v>
      </c>
      <c r="E694" s="2" t="str">
        <f>"1000017055"</f>
        <v>1000017055</v>
      </c>
      <c r="F694" s="4" t="str">
        <f>"FUSER KIT:HP Item # C9725A-HEW, HP LJ4600 Fuser Kit, 110V w Fuser (Yld 150k)"</f>
        <v>FUSER KIT:HP Item # C9725A-HEW, HP LJ4600 Fuser Kit, 110V w Fuser (Yld 150k)</v>
      </c>
      <c r="G694" s="74" t="str">
        <f t="shared" si="42"/>
        <v>EA</v>
      </c>
      <c r="H694" s="7">
        <v>310.32</v>
      </c>
      <c r="I694" s="2" t="str">
        <f>"44103004"</f>
        <v>44103004</v>
      </c>
      <c r="J694" s="10" t="s">
        <v>96</v>
      </c>
    </row>
    <row r="695" spans="1:10" ht="38.25">
      <c r="A695" s="9" t="s">
        <v>27</v>
      </c>
      <c r="B695" s="2" t="s">
        <v>31</v>
      </c>
      <c r="C695" s="2">
        <v>3204</v>
      </c>
      <c r="D695" s="2">
        <v>51</v>
      </c>
      <c r="E695" s="2" t="str">
        <f>"1000017056"</f>
        <v>1000017056</v>
      </c>
      <c r="F695" s="4" t="str">
        <f>"FUSER KIT:HP Item # Q3655A-HEW, HP Fuser Kit for Color LaserJet 3500 3700 printers, 110-127V"</f>
        <v>FUSER KIT:HP Item # Q3655A-HEW, HP Fuser Kit for Color LaserJet 3500 3700 printers, 110-127V</v>
      </c>
      <c r="G695" s="74" t="str">
        <f t="shared" si="42"/>
        <v>EA</v>
      </c>
      <c r="H695" s="7">
        <v>77</v>
      </c>
      <c r="I695" s="2" t="str">
        <f>"44103004"</f>
        <v>44103004</v>
      </c>
      <c r="J695" s="10" t="s">
        <v>96</v>
      </c>
    </row>
    <row r="696" spans="1:10" ht="25.5">
      <c r="A696" s="9" t="s">
        <v>27</v>
      </c>
      <c r="B696" s="2" t="s">
        <v>31</v>
      </c>
      <c r="C696" s="2">
        <v>3204</v>
      </c>
      <c r="D696" s="2">
        <v>57</v>
      </c>
      <c r="E696" s="2" t="str">
        <f>"1000017057"</f>
        <v>1000017057</v>
      </c>
      <c r="F696" s="4" t="str">
        <f>"IMAGING UNIT:XER # 108R00591-XER, Xerox Imaging Unit for Phaser 6250"</f>
        <v>IMAGING UNIT:XER # 108R00591-XER, Xerox Imaging Unit for Phaser 6250</v>
      </c>
      <c r="G696" s="74" t="str">
        <f t="shared" si="42"/>
        <v>EA</v>
      </c>
      <c r="H696" s="7">
        <v>351</v>
      </c>
      <c r="I696" s="2" t="str">
        <f>"44101706"</f>
        <v>44101706</v>
      </c>
      <c r="J696" s="10" t="s">
        <v>97</v>
      </c>
    </row>
    <row r="697" spans="1:10" ht="38.25">
      <c r="A697" s="9" t="s">
        <v>27</v>
      </c>
      <c r="B697" s="2" t="s">
        <v>31</v>
      </c>
      <c r="C697" s="2">
        <v>3204</v>
      </c>
      <c r="D697" s="2">
        <v>398</v>
      </c>
      <c r="E697" s="2" t="str">
        <f>"1000017058"</f>
        <v>1000017058</v>
      </c>
      <c r="F697" s="4" t="str">
        <f>"INK STICK:XER Item # 108R00608-XER, Xerox Black Solid Ink Sticks for Xerox Phaser 8400, 6 per package (Yld 6.8k)"</f>
        <v>INK STICK:XER Item # 108R00608-XER, Xerox Black Solid Ink Sticks for Xerox Phaser 8400, 6 per package (Yld 6.8k)</v>
      </c>
      <c r="G697" s="74" t="str">
        <f>"PK"</f>
        <v>PK</v>
      </c>
      <c r="H697" s="7">
        <v>147</v>
      </c>
      <c r="I697" s="2" t="str">
        <f>"44103109"</f>
        <v>44103109</v>
      </c>
      <c r="J697" s="10" t="s">
        <v>94</v>
      </c>
    </row>
    <row r="698" spans="1:10" ht="38.25">
      <c r="A698" s="9" t="s">
        <v>27</v>
      </c>
      <c r="B698" s="2" t="s">
        <v>31</v>
      </c>
      <c r="C698" s="2">
        <v>3204</v>
      </c>
      <c r="D698" s="2">
        <v>399</v>
      </c>
      <c r="E698" s="2" t="str">
        <f>"1000017059"</f>
        <v>1000017059</v>
      </c>
      <c r="F698" s="4" t="str">
        <f>"INK STICK:XER Item # 108R00668-XER, Black Ink Stick Refills for Xerox Phaser 8500, 8550, 3 per package"</f>
        <v>INK STICK:XER Item # 108R00668-XER, Black Ink Stick Refills for Xerox Phaser 8500, 8550, 3 per package</v>
      </c>
      <c r="G698" s="74" t="str">
        <f>"PK"</f>
        <v>PK</v>
      </c>
      <c r="H698" s="7">
        <v>70</v>
      </c>
      <c r="I698" s="2" t="str">
        <f>"44103109"</f>
        <v>44103109</v>
      </c>
      <c r="J698" s="10" t="s">
        <v>94</v>
      </c>
    </row>
    <row r="699" spans="1:10" ht="51">
      <c r="A699" s="9" t="s">
        <v>27</v>
      </c>
      <c r="B699" s="2" t="s">
        <v>31</v>
      </c>
      <c r="C699" s="2">
        <v>3204</v>
      </c>
      <c r="D699" s="2">
        <v>400</v>
      </c>
      <c r="E699" s="2" t="str">
        <f>"1000017060"</f>
        <v>1000017060</v>
      </c>
      <c r="F699" s="4" t="str">
        <f>"INK STICK:XER Item # 108R00669-XER, Cyan Ink Stick Refills for Xerox Phaser 8500 / 8500DN / 8500N / 8550 / 8550DP / 8550DT / 8550DX, 3 per package"</f>
        <v>INK STICK:XER Item # 108R00669-XER, Cyan Ink Stick Refills for Xerox Phaser 8500 / 8500DN / 8500N / 8550 / 8550DP / 8550DT / 8550DX, 3 per package</v>
      </c>
      <c r="G699" s="74" t="str">
        <f>"PK"</f>
        <v>PK</v>
      </c>
      <c r="H699" s="7">
        <v>114</v>
      </c>
      <c r="I699" s="2" t="str">
        <f>"44103109"</f>
        <v>44103109</v>
      </c>
      <c r="J699" s="10" t="s">
        <v>94</v>
      </c>
    </row>
    <row r="700" spans="1:10" ht="38.25">
      <c r="A700" s="9" t="s">
        <v>27</v>
      </c>
      <c r="B700" s="2" t="s">
        <v>31</v>
      </c>
      <c r="C700" s="2">
        <v>3204</v>
      </c>
      <c r="D700" s="2">
        <v>1</v>
      </c>
      <c r="E700" s="2" t="str">
        <f>"1000017061"</f>
        <v>1000017061</v>
      </c>
      <c r="F700" s="4" t="str">
        <f>"CLEANING KIT: HP item # C8554A-HEW, HP image cleaning kit (Yld 50k) for LJ 9500 series"</f>
        <v>CLEANING KIT: HP item # C8554A-HEW, HP image cleaning kit (Yld 50k) for LJ 9500 series</v>
      </c>
      <c r="G700" s="74" t="str">
        <f>"KT"</f>
        <v>KT</v>
      </c>
      <c r="H700" s="7">
        <v>51</v>
      </c>
      <c r="I700" s="2" t="str">
        <f>"44103107"</f>
        <v>44103107</v>
      </c>
      <c r="J700" s="10" t="s">
        <v>93</v>
      </c>
    </row>
    <row r="701" spans="1:10" ht="51">
      <c r="A701" s="9" t="s">
        <v>27</v>
      </c>
      <c r="B701" s="2" t="s">
        <v>31</v>
      </c>
      <c r="C701" s="2">
        <v>3204</v>
      </c>
      <c r="D701" s="2">
        <v>27</v>
      </c>
      <c r="E701" s="2" t="str">
        <f>"1000017062"</f>
        <v>1000017062</v>
      </c>
      <c r="F701" s="4" t="str">
        <f>"DRUM:OKI Item # 41962804-OKI, Okidata Type C4 Black Drum C7100, C7300, C7350, C7550, C7500 Series Digital Printers (Yld 30k)"</f>
        <v>DRUM:OKI Item # 41962804-OKI, Okidata Type C4 Black Drum C7100, C7300, C7350, C7550, C7500 Series Digital Printers (Yld 30k)</v>
      </c>
      <c r="G701" s="74" t="str">
        <f>"EA"</f>
        <v>EA</v>
      </c>
      <c r="H701" s="7">
        <v>149</v>
      </c>
      <c r="I701" s="2" t="str">
        <f>"44103109"</f>
        <v>44103109</v>
      </c>
      <c r="J701" s="10" t="s">
        <v>94</v>
      </c>
    </row>
    <row r="702" spans="1:10" ht="38.25">
      <c r="A702" s="9" t="s">
        <v>27</v>
      </c>
      <c r="B702" s="2" t="s">
        <v>31</v>
      </c>
      <c r="C702" s="2">
        <v>3204</v>
      </c>
      <c r="D702" s="2">
        <v>28</v>
      </c>
      <c r="E702" s="2" t="str">
        <f>"1000017063"</f>
        <v>1000017063</v>
      </c>
      <c r="F702" s="4" t="str">
        <f>"DRUM:OKI Item # 42126601-OKI, Yellow Image Drum Unit for Okidata C5100N &amp; C5300N Printers"</f>
        <v>DRUM:OKI Item # 42126601-OKI, Yellow Image Drum Unit for Okidata C5100N &amp; C5300N Printers</v>
      </c>
      <c r="G702" s="74" t="str">
        <f>"EA"</f>
        <v>EA</v>
      </c>
      <c r="H702" s="7">
        <v>108</v>
      </c>
      <c r="I702" s="2" t="str">
        <f>"44103109"</f>
        <v>44103109</v>
      </c>
      <c r="J702" s="10" t="s">
        <v>94</v>
      </c>
    </row>
    <row r="703" spans="1:10" ht="38.25">
      <c r="A703" s="9" t="s">
        <v>27</v>
      </c>
      <c r="B703" s="2" t="s">
        <v>31</v>
      </c>
      <c r="C703" s="2">
        <v>3204</v>
      </c>
      <c r="D703" s="2">
        <v>29</v>
      </c>
      <c r="E703" s="2" t="str">
        <f>"1000017064"</f>
        <v>1000017064</v>
      </c>
      <c r="F703" s="4" t="str">
        <f>"DRUM:OKI Item # 42126602-OKI, Magenta Image Drum Unit for Okidata C5100N &amp; C5300N Printers"</f>
        <v>DRUM:OKI Item # 42126602-OKI, Magenta Image Drum Unit for Okidata C5100N &amp; C5300N Printers</v>
      </c>
      <c r="G703" s="74" t="str">
        <f>"EA"</f>
        <v>EA</v>
      </c>
      <c r="H703" s="7">
        <v>108</v>
      </c>
      <c r="I703" s="2" t="str">
        <f>"44103109"</f>
        <v>44103109</v>
      </c>
      <c r="J703" s="10" t="s">
        <v>94</v>
      </c>
    </row>
    <row r="704" spans="1:10" ht="38.25">
      <c r="A704" s="9" t="s">
        <v>27</v>
      </c>
      <c r="B704" s="2" t="s">
        <v>31</v>
      </c>
      <c r="C704" s="2">
        <v>3204</v>
      </c>
      <c r="D704" s="2">
        <v>30</v>
      </c>
      <c r="E704" s="2" t="str">
        <f>"1000017065"</f>
        <v>1000017065</v>
      </c>
      <c r="F704" s="4" t="str">
        <f>"DRUM:OKI Item # 42126603-OKI, Cyan Image Drum Unit for Okidata C5100N &amp; C5300N Printers"</f>
        <v>DRUM:OKI Item # 42126603-OKI, Cyan Image Drum Unit for Okidata C5100N &amp; C5300N Printers</v>
      </c>
      <c r="G704" s="74" t="str">
        <f>"EA"</f>
        <v>EA</v>
      </c>
      <c r="H704" s="7">
        <v>108</v>
      </c>
      <c r="I704" s="2" t="str">
        <f>"44103109"</f>
        <v>44103109</v>
      </c>
      <c r="J704" s="10" t="s">
        <v>94</v>
      </c>
    </row>
    <row r="705" spans="1:10" ht="38.25">
      <c r="A705" s="9" t="s">
        <v>27</v>
      </c>
      <c r="B705" s="2" t="s">
        <v>31</v>
      </c>
      <c r="C705" s="2">
        <v>3204</v>
      </c>
      <c r="D705" s="2">
        <v>31</v>
      </c>
      <c r="E705" s="2" t="str">
        <f>"1000017066"</f>
        <v>1000017066</v>
      </c>
      <c r="F705" s="4" t="str">
        <f>"DRUM:OKI Item # 42126604-OKI, Black Image Drum Unit for Okidata C5100N &amp; C5300N Printers."</f>
        <v>DRUM:OKI Item # 42126604-OKI, Black Image Drum Unit for Okidata C5100N &amp; C5300N Printers.</v>
      </c>
      <c r="G705" s="74" t="str">
        <f>"EA"</f>
        <v>EA</v>
      </c>
      <c r="H705" s="7">
        <v>85</v>
      </c>
      <c r="I705" s="2" t="str">
        <f>"44103109"</f>
        <v>44103109</v>
      </c>
      <c r="J705" s="10" t="s">
        <v>94</v>
      </c>
    </row>
    <row r="706" spans="1:10" ht="51">
      <c r="A706" s="9" t="s">
        <v>27</v>
      </c>
      <c r="B706" s="2" t="s">
        <v>31</v>
      </c>
      <c r="C706" s="2">
        <v>3204</v>
      </c>
      <c r="D706" s="2">
        <v>407</v>
      </c>
      <c r="E706" s="2" t="str">
        <f>"1000017067"</f>
        <v>1000017067</v>
      </c>
      <c r="F706" s="4" t="str">
        <f>"INK STICK:XER Item # 108R00726-XER, Xerox Black solid ink sticks, 3,400 page yield, 3 ink sticks per package for Xerox Phaser 8560, 8560MFP printers"</f>
        <v>INK STICK:XER Item # 108R00726-XER, Xerox Black solid ink sticks, 3,400 page yield, 3 ink sticks per package for Xerox Phaser 8560, 8560MFP printers</v>
      </c>
      <c r="G706" s="74" t="str">
        <f>"PK"</f>
        <v>PK</v>
      </c>
      <c r="H706" s="7">
        <v>81.99</v>
      </c>
      <c r="I706" s="2" t="str">
        <f>"44103106"</f>
        <v>44103106</v>
      </c>
      <c r="J706" s="10" t="s">
        <v>100</v>
      </c>
    </row>
    <row r="707" spans="1:10" ht="51">
      <c r="A707" s="9" t="s">
        <v>27</v>
      </c>
      <c r="B707" s="2" t="s">
        <v>31</v>
      </c>
      <c r="C707" s="2">
        <v>3204</v>
      </c>
      <c r="D707" s="2">
        <v>408</v>
      </c>
      <c r="E707" s="2" t="str">
        <f>"1000017068"</f>
        <v>1000017068</v>
      </c>
      <c r="F707" s="4" t="str">
        <f>"MAINT. KIT:HP Item # C3914-HEW, HP LaserJet 8100 Maintenance Kit,110V. Includes fuser assembly, transfer roller, eight feed separation rollers."</f>
        <v>MAINT. KIT:HP Item # C3914-HEW, HP LaserJet 8100 Maintenance Kit,110V. Includes fuser assembly, transfer roller, eight feed separation rollers.</v>
      </c>
      <c r="G707" s="74" t="str">
        <f t="shared" ref="G707:G712" si="43">"KT"</f>
        <v>KT</v>
      </c>
      <c r="H707" s="7">
        <v>424</v>
      </c>
      <c r="I707" s="2" t="str">
        <f>"44103125"</f>
        <v>44103125</v>
      </c>
      <c r="J707" s="10" t="s">
        <v>101</v>
      </c>
    </row>
    <row r="708" spans="1:10" ht="38.25">
      <c r="A708" s="9" t="s">
        <v>27</v>
      </c>
      <c r="B708" s="2" t="s">
        <v>31</v>
      </c>
      <c r="C708" s="2">
        <v>3204</v>
      </c>
      <c r="D708" s="2">
        <v>409</v>
      </c>
      <c r="E708" s="2" t="str">
        <f>"1000017069"</f>
        <v>1000017069</v>
      </c>
      <c r="F708" s="4" t="str">
        <f>"MAINT. KIT:HP Item # C411867902-HEW, HP 4000/4050 Maintenance Kit 110V (Yld 200k)"</f>
        <v>MAINT. KIT:HP Item # C411867902-HEW, HP 4000/4050 Maintenance Kit 110V (Yld 200k)</v>
      </c>
      <c r="G708" s="74" t="str">
        <f t="shared" si="43"/>
        <v>KT</v>
      </c>
      <c r="H708" s="7">
        <v>274</v>
      </c>
      <c r="I708" s="2">
        <v>44103125</v>
      </c>
      <c r="J708" s="10" t="s">
        <v>101</v>
      </c>
    </row>
    <row r="709" spans="1:10" ht="63.75">
      <c r="A709" s="9" t="s">
        <v>27</v>
      </c>
      <c r="B709" s="2" t="s">
        <v>31</v>
      </c>
      <c r="C709" s="2">
        <v>3204</v>
      </c>
      <c r="D709" s="2">
        <v>410</v>
      </c>
      <c r="E709" s="2" t="str">
        <f>"1000017070"</f>
        <v>1000017070</v>
      </c>
      <c r="F709" s="4" t="str">
        <f>"MAINT. KIT:HP Item # C8057A-HEW, HP Maintenance Kit for HP LaserJet 4100 includes three separation rollers, transfer roller, three paper feed rollers, pickup roller"</f>
        <v>MAINT. KIT:HP Item # C8057A-HEW, HP Maintenance Kit for HP LaserJet 4100 includes three separation rollers, transfer roller, three paper feed rollers, pickup roller</v>
      </c>
      <c r="G709" s="74" t="str">
        <f t="shared" si="43"/>
        <v>KT</v>
      </c>
      <c r="H709" s="7">
        <v>285</v>
      </c>
      <c r="I709" s="2" t="str">
        <f>"44103125"</f>
        <v>44103125</v>
      </c>
      <c r="J709" s="10" t="s">
        <v>101</v>
      </c>
    </row>
    <row r="710" spans="1:10" ht="63.75">
      <c r="A710" s="9" t="s">
        <v>27</v>
      </c>
      <c r="B710" s="2" t="s">
        <v>31</v>
      </c>
      <c r="C710" s="2">
        <v>3204</v>
      </c>
      <c r="D710" s="2">
        <v>411</v>
      </c>
      <c r="E710" s="2" t="str">
        <f>"1000017071"</f>
        <v>1000017071</v>
      </c>
      <c r="F710" s="4" t="str">
        <f>"MAINT. KIT:HP Item # C9152A-HEW, HP LaserJet 9000 Maintenance Kit includes fusing assembly, seven feed/separation rollers, two pickup rollers and one transfer roller."</f>
        <v>MAINT. KIT:HP Item # C9152A-HEW, HP LaserJet 9000 Maintenance Kit includes fusing assembly, seven feed/separation rollers, two pickup rollers and one transfer roller.</v>
      </c>
      <c r="G710" s="74" t="str">
        <f t="shared" si="43"/>
        <v>KT</v>
      </c>
      <c r="H710" s="7">
        <v>462</v>
      </c>
      <c r="I710" s="2" t="str">
        <f>"44103125"</f>
        <v>44103125</v>
      </c>
      <c r="J710" s="10" t="s">
        <v>101</v>
      </c>
    </row>
    <row r="711" spans="1:10" ht="25.5">
      <c r="A711" s="9" t="s">
        <v>27</v>
      </c>
      <c r="B711" s="2" t="s">
        <v>31</v>
      </c>
      <c r="C711" s="2">
        <v>3204</v>
      </c>
      <c r="D711" s="2">
        <v>414</v>
      </c>
      <c r="E711" s="2" t="str">
        <f>"1000017072"</f>
        <v>1000017072</v>
      </c>
      <c r="F711" s="4" t="str">
        <f>"MAINT. KIT:HP Item # Q5997A-HEW, Maintenance Kit for HP LaserJet 4345"</f>
        <v>MAINT. KIT:HP Item # Q5997A-HEW, Maintenance Kit for HP LaserJet 4345</v>
      </c>
      <c r="G711" s="74" t="str">
        <f t="shared" si="43"/>
        <v>KT</v>
      </c>
      <c r="H711" s="7">
        <v>105</v>
      </c>
      <c r="I711" s="2" t="str">
        <f>"44103125"</f>
        <v>44103125</v>
      </c>
      <c r="J711" s="10" t="s">
        <v>101</v>
      </c>
    </row>
    <row r="712" spans="1:10" ht="51">
      <c r="A712" s="9" t="s">
        <v>27</v>
      </c>
      <c r="B712" s="2" t="s">
        <v>31</v>
      </c>
      <c r="C712" s="2">
        <v>3204</v>
      </c>
      <c r="D712" s="2">
        <v>417</v>
      </c>
      <c r="E712" s="2" t="str">
        <f>"1000017073"</f>
        <v>1000017073</v>
      </c>
      <c r="F712" s="4" t="str">
        <f>"MAINT. KIT:XER Item # 108R00676-XER, Extended Capacity Maintenance Kit for Xerox Phaser 8500, 8550, 8560, 8560MFP Printers"</f>
        <v>MAINT. KIT:XER Item # 108R00676-XER, Extended Capacity Maintenance Kit for Xerox Phaser 8500, 8550, 8560, 8560MFP Printers</v>
      </c>
      <c r="G712" s="74" t="str">
        <f t="shared" si="43"/>
        <v>KT</v>
      </c>
      <c r="H712" s="7">
        <v>192.32</v>
      </c>
      <c r="I712" s="2" t="str">
        <f>"44103125"</f>
        <v>44103125</v>
      </c>
      <c r="J712" s="10" t="s">
        <v>101</v>
      </c>
    </row>
    <row r="713" spans="1:10" ht="38.25">
      <c r="A713" s="9" t="s">
        <v>27</v>
      </c>
      <c r="B713" s="2" t="s">
        <v>31</v>
      </c>
      <c r="C713" s="2">
        <v>3204</v>
      </c>
      <c r="D713" s="2">
        <v>41</v>
      </c>
      <c r="E713" s="2" t="str">
        <f>"1000017074"</f>
        <v>1000017074</v>
      </c>
      <c r="F713" s="4" t="str">
        <f>"DRUM:XER Item # 113R457-XER, Xerox Drum unit for Work Centre Pro 575, 555 Fax machines (Yld 20k)"</f>
        <v>DRUM:XER Item # 113R457-XER, Xerox Drum unit for Work Centre Pro 575, 555 Fax machines (Yld 20k)</v>
      </c>
      <c r="G713" s="74" t="str">
        <f t="shared" ref="G713:G736" si="44">"EA"</f>
        <v>EA</v>
      </c>
      <c r="H713" s="7">
        <v>171</v>
      </c>
      <c r="I713" s="2" t="str">
        <f>"44103109"</f>
        <v>44103109</v>
      </c>
      <c r="J713" s="10" t="s">
        <v>94</v>
      </c>
    </row>
    <row r="714" spans="1:10" ht="38.25">
      <c r="A714" s="9" t="s">
        <v>27</v>
      </c>
      <c r="B714" s="2" t="s">
        <v>31</v>
      </c>
      <c r="C714" s="2">
        <v>3204</v>
      </c>
      <c r="D714" s="2">
        <v>525</v>
      </c>
      <c r="E714" s="2" t="str">
        <f>"1000017075"</f>
        <v>1000017075</v>
      </c>
      <c r="F714" s="4" t="str">
        <f>"RIBBON:SHA Item # UX5CR-SHR, Thermal Transfer Film Refill Ribbon for UX P100 / -P200 Fax Machine, (Yld 150)"</f>
        <v>RIBBON:SHA Item # UX5CR-SHR, Thermal Transfer Film Refill Ribbon for UX P100 / -P200 Fax Machine, (Yld 150)</v>
      </c>
      <c r="G714" s="74" t="str">
        <f t="shared" si="44"/>
        <v>EA</v>
      </c>
      <c r="H714" s="7">
        <v>21</v>
      </c>
      <c r="I714" s="2" t="str">
        <f>"44103117"</f>
        <v>44103117</v>
      </c>
      <c r="J714" s="10" t="s">
        <v>104</v>
      </c>
    </row>
    <row r="715" spans="1:10" ht="38.25">
      <c r="A715" s="9" t="s">
        <v>27</v>
      </c>
      <c r="B715" s="2" t="s">
        <v>31</v>
      </c>
      <c r="C715" s="2">
        <v>3204</v>
      </c>
      <c r="D715" s="2">
        <v>536</v>
      </c>
      <c r="E715" s="2" t="str">
        <f>"1000017077"</f>
        <v>1000017077</v>
      </c>
      <c r="F715" s="4" t="str">
        <f>"TONER:BRO Item # TN350-BC, Brand Compatible Black Toner for Brother HL-2040/2070N (Yld 2.5k)"</f>
        <v>TONER:BRO Item # TN350-BC, Brand Compatible Black Toner for Brother HL-2040/2070N (Yld 2.5k)</v>
      </c>
      <c r="G715" s="74" t="str">
        <f t="shared" si="44"/>
        <v>EA</v>
      </c>
      <c r="H715" s="7">
        <v>52</v>
      </c>
      <c r="I715" s="2" t="str">
        <f t="shared" ref="I715:I724" si="45">"44103105"</f>
        <v>44103105</v>
      </c>
      <c r="J715" s="10" t="s">
        <v>98</v>
      </c>
    </row>
    <row r="716" spans="1:10" ht="51">
      <c r="A716" s="9" t="s">
        <v>27</v>
      </c>
      <c r="B716" s="2" t="s">
        <v>31</v>
      </c>
      <c r="C716" s="2">
        <v>3204</v>
      </c>
      <c r="D716" s="2">
        <v>538</v>
      </c>
      <c r="E716" s="2" t="str">
        <f>"1000017078"</f>
        <v>1000017078</v>
      </c>
      <c r="F716" s="4" t="str">
        <f>"TONER:BRO Item # TN430-BC, Brand Compatible Toner for Brother Printers Brother HL 1240/1250/1270N Toner Cartridge (Yld 3K)"</f>
        <v>TONER:BRO Item # TN430-BC, Brand Compatible Toner for Brother Printers Brother HL 1240/1250/1270N Toner Cartridge (Yld 3K)</v>
      </c>
      <c r="G716" s="74" t="str">
        <f t="shared" si="44"/>
        <v>EA</v>
      </c>
      <c r="H716" s="7">
        <v>50</v>
      </c>
      <c r="I716" s="2" t="str">
        <f t="shared" si="45"/>
        <v>44103105</v>
      </c>
      <c r="J716" s="10" t="s">
        <v>98</v>
      </c>
    </row>
    <row r="717" spans="1:10" ht="51">
      <c r="A717" s="9" t="s">
        <v>27</v>
      </c>
      <c r="B717" s="2" t="s">
        <v>31</v>
      </c>
      <c r="C717" s="2">
        <v>3204</v>
      </c>
      <c r="D717" s="2">
        <v>540</v>
      </c>
      <c r="E717" s="2" t="str">
        <f>"1000017079"</f>
        <v>1000017079</v>
      </c>
      <c r="F717" s="4" t="str">
        <f>"TONER:BRO Item # TN460-BC, Brand Compatible for Brother Toner HL1240/1250/1270N PPF-4750/5750 (Yld 6k)"</f>
        <v>TONER:BRO Item # TN460-BC, Brand Compatible for Brother Toner HL1240/1250/1270N PPF-4750/5750 (Yld 6k)</v>
      </c>
      <c r="G717" s="74" t="str">
        <f t="shared" si="44"/>
        <v>EA</v>
      </c>
      <c r="H717" s="7">
        <v>67</v>
      </c>
      <c r="I717" s="2" t="str">
        <f t="shared" si="45"/>
        <v>44103105</v>
      </c>
      <c r="J717" s="10" t="s">
        <v>98</v>
      </c>
    </row>
    <row r="718" spans="1:10" ht="25.5">
      <c r="A718" s="9" t="s">
        <v>27</v>
      </c>
      <c r="B718" s="2" t="s">
        <v>31</v>
      </c>
      <c r="C718" s="2">
        <v>3204</v>
      </c>
      <c r="D718" s="2">
        <v>543</v>
      </c>
      <c r="E718" s="2" t="str">
        <f>"1000017080"</f>
        <v>1000017080</v>
      </c>
      <c r="F718" s="4" t="str">
        <f>"TONER:BRO Item # TN540-BRT, Brother Black toner for HL 5140/5150 (Yld 3.5k)"</f>
        <v>TONER:BRO Item # TN540-BRT, Brother Black toner for HL 5140/5150 (Yld 3.5k)</v>
      </c>
      <c r="G718" s="74" t="str">
        <f t="shared" si="44"/>
        <v>EA</v>
      </c>
      <c r="H718" s="7">
        <v>81.22</v>
      </c>
      <c r="I718" s="2" t="str">
        <f t="shared" si="45"/>
        <v>44103105</v>
      </c>
      <c r="J718" s="10" t="s">
        <v>98</v>
      </c>
    </row>
    <row r="719" spans="1:10" ht="38.25">
      <c r="A719" s="9" t="s">
        <v>27</v>
      </c>
      <c r="B719" s="2" t="s">
        <v>31</v>
      </c>
      <c r="C719" s="2">
        <v>3204</v>
      </c>
      <c r="D719" s="2">
        <v>544</v>
      </c>
      <c r="E719" s="2" t="str">
        <f>"1000017081"</f>
        <v>1000017081</v>
      </c>
      <c r="F719" s="4" t="str">
        <f>"TONER:BRO Item # TN550-BRO, Brother Black laser toner for HL-5250DN &amp; HL-5240 / MFC 8460 (Yld 3.5k)"</f>
        <v>TONER:BRO Item # TN550-BRO, Brother Black laser toner for HL-5250DN &amp; HL-5240 / MFC 8460 (Yld 3.5k)</v>
      </c>
      <c r="G719" s="74" t="str">
        <f t="shared" si="44"/>
        <v>EA</v>
      </c>
      <c r="H719" s="7">
        <v>89.49</v>
      </c>
      <c r="I719" s="2" t="str">
        <f t="shared" si="45"/>
        <v>44103105</v>
      </c>
      <c r="J719" s="10" t="s">
        <v>98</v>
      </c>
    </row>
    <row r="720" spans="1:10" ht="38.25">
      <c r="A720" s="9" t="s">
        <v>27</v>
      </c>
      <c r="B720" s="2" t="s">
        <v>31</v>
      </c>
      <c r="C720" s="2">
        <v>3204</v>
      </c>
      <c r="D720" s="2">
        <v>545</v>
      </c>
      <c r="E720" s="2" t="str">
        <f>"1000017082"</f>
        <v>1000017082</v>
      </c>
      <c r="F720" s="4" t="str">
        <f>"TONER:BRO Item # TN570-BRT, Brother Black Toner cartridge, high yield for MFC-8220, F/HL5140 (Yld 6700)"</f>
        <v>TONER:BRO Item # TN570-BRT, Brother Black Toner cartridge, high yield for MFC-8220, F/HL5140 (Yld 6700)</v>
      </c>
      <c r="G720" s="74" t="str">
        <f t="shared" si="44"/>
        <v>EA</v>
      </c>
      <c r="H720" s="7">
        <v>107.99</v>
      </c>
      <c r="I720" s="2" t="str">
        <f t="shared" si="45"/>
        <v>44103105</v>
      </c>
      <c r="J720" s="10" t="s">
        <v>98</v>
      </c>
    </row>
    <row r="721" spans="1:10" ht="38.25">
      <c r="A721" s="9" t="s">
        <v>27</v>
      </c>
      <c r="B721" s="2" t="s">
        <v>31</v>
      </c>
      <c r="C721" s="2">
        <v>3204</v>
      </c>
      <c r="D721" s="2">
        <v>546</v>
      </c>
      <c r="E721" s="2" t="str">
        <f>"1000017083"</f>
        <v>1000017083</v>
      </c>
      <c r="F721" s="4" t="str">
        <f>"TONER:BRO Item # TN580-BRT, Brother LaserJet HL5250DN, HL5240, high yield toner (Yld 7k)"</f>
        <v>TONER:BRO Item # TN580-BRT, Brother LaserJet HL5250DN, HL5240, high yield toner (Yld 7k)</v>
      </c>
      <c r="G721" s="74" t="str">
        <f t="shared" si="44"/>
        <v>EA</v>
      </c>
      <c r="H721" s="7">
        <v>114.99</v>
      </c>
      <c r="I721" s="2" t="str">
        <f t="shared" si="45"/>
        <v>44103105</v>
      </c>
      <c r="J721" s="10" t="s">
        <v>98</v>
      </c>
    </row>
    <row r="722" spans="1:10" ht="51">
      <c r="A722" s="9" t="s">
        <v>27</v>
      </c>
      <c r="B722" s="2" t="s">
        <v>31</v>
      </c>
      <c r="C722" s="2">
        <v>3204</v>
      </c>
      <c r="D722" s="2">
        <v>70</v>
      </c>
      <c r="E722" s="2" t="str">
        <f>"1000017084"</f>
        <v>1000017084</v>
      </c>
      <c r="F722" s="4" t="str">
        <f>"INK CART:BRO Item # LC51BK-BRT, Brother Black ink cartridge for FAX 1860C, 2480C, MFC2480C, MFC240CN, MFC685CW, MFC3360C, MFC5460CN (Yld 500)"</f>
        <v>INK CART:BRO Item # LC51BK-BRT, Brother Black ink cartridge for FAX 1860C, 2480C, MFC2480C, MFC240CN, MFC685CW, MFC3360C, MFC5460CN (Yld 500)</v>
      </c>
      <c r="G722" s="74" t="str">
        <f t="shared" si="44"/>
        <v>EA</v>
      </c>
      <c r="H722" s="7">
        <v>27.06</v>
      </c>
      <c r="I722" s="2" t="str">
        <f t="shared" si="45"/>
        <v>44103105</v>
      </c>
      <c r="J722" s="10" t="s">
        <v>98</v>
      </c>
    </row>
    <row r="723" spans="1:10" ht="51">
      <c r="A723" s="9" t="s">
        <v>27</v>
      </c>
      <c r="B723" s="2" t="s">
        <v>31</v>
      </c>
      <c r="C723" s="2">
        <v>3204</v>
      </c>
      <c r="D723" s="2">
        <v>71</v>
      </c>
      <c r="E723" s="2" t="str">
        <f>"1000017085"</f>
        <v>1000017085</v>
      </c>
      <c r="F723" s="4" t="str">
        <f>"INK CART:BRO Item # LC51C-BRT, Brother Cyan ink cartridge for FAX 1860C, 2480C, MFC2480C, MFC240CN, MFC685CW, MFC3360C, MFC5460CN (Yld 500)"</f>
        <v>INK CART:BRO Item # LC51C-BRT, Brother Cyan ink cartridge for FAX 1860C, 2480C, MFC2480C, MFC240CN, MFC685CW, MFC3360C, MFC5460CN (Yld 500)</v>
      </c>
      <c r="G723" s="74" t="str">
        <f t="shared" si="44"/>
        <v>EA</v>
      </c>
      <c r="H723" s="7">
        <v>16.82</v>
      </c>
      <c r="I723" s="2" t="str">
        <f t="shared" si="45"/>
        <v>44103105</v>
      </c>
      <c r="J723" s="10" t="s">
        <v>98</v>
      </c>
    </row>
    <row r="724" spans="1:10" ht="63.75">
      <c r="A724" s="9" t="s">
        <v>27</v>
      </c>
      <c r="B724" s="2" t="s">
        <v>31</v>
      </c>
      <c r="C724" s="2">
        <v>3204</v>
      </c>
      <c r="D724" s="2">
        <v>72</v>
      </c>
      <c r="E724" s="2" t="str">
        <f>"1000017086"</f>
        <v>1000017086</v>
      </c>
      <c r="F724" s="4" t="str">
        <f>"INK CART:BRO Item # LC51M-BRT, Brother Magenta ink cartridge for FAX 1860C, 2480C, MFC2480C, MFC240CN, MFC685CW, MFC3360C, MFC5460CN (Yld 500)"</f>
        <v>INK CART:BRO Item # LC51M-BRT, Brother Magenta ink cartridge for FAX 1860C, 2480C, MFC2480C, MFC240CN, MFC685CW, MFC3360C, MFC5460CN (Yld 500)</v>
      </c>
      <c r="G724" s="74" t="str">
        <f t="shared" si="44"/>
        <v>EA</v>
      </c>
      <c r="H724" s="7">
        <v>16.82</v>
      </c>
      <c r="I724" s="2" t="str">
        <f t="shared" si="45"/>
        <v>44103105</v>
      </c>
      <c r="J724" s="10" t="s">
        <v>98</v>
      </c>
    </row>
    <row r="725" spans="1:10" ht="51">
      <c r="A725" s="9" t="s">
        <v>27</v>
      </c>
      <c r="B725" s="2" t="s">
        <v>31</v>
      </c>
      <c r="C725" s="2">
        <v>3204</v>
      </c>
      <c r="D725" s="2">
        <v>508</v>
      </c>
      <c r="E725" s="2" t="str">
        <f>"1000017087"</f>
        <v>1000017087</v>
      </c>
      <c r="F725" s="4" t="str">
        <f>"RIBBON:OKI Item # 52102001-OKI, Black Fabric Printer Ribbon for the Okidata Microline 100 Series / 320 / 320T / 321 / 321T Dot Matrix Printers"</f>
        <v>RIBBON:OKI Item # 52102001-OKI, Black Fabric Printer Ribbon for the Okidata Microline 100 Series / 320 / 320T / 321 / 321T Dot Matrix Printers</v>
      </c>
      <c r="G725" s="74" t="str">
        <f t="shared" si="44"/>
        <v>EA</v>
      </c>
      <c r="H725" s="7">
        <v>12</v>
      </c>
      <c r="I725" s="2" t="str">
        <f>"44103112"</f>
        <v>44103112</v>
      </c>
      <c r="J725" s="10" t="s">
        <v>105</v>
      </c>
    </row>
    <row r="726" spans="1:10" ht="63.75">
      <c r="A726" s="9" t="s">
        <v>27</v>
      </c>
      <c r="B726" s="2" t="s">
        <v>31</v>
      </c>
      <c r="C726" s="2">
        <v>3204</v>
      </c>
      <c r="D726" s="2">
        <v>74</v>
      </c>
      <c r="E726" s="2" t="str">
        <f>"1000017088"</f>
        <v>1000017088</v>
      </c>
      <c r="F726" s="4" t="str">
        <f>"INK CART:BRO Item # LC61BK-BRT, Brother Black ink MFC290C,MFC490CW, MFC790CW, MFC5490CN, MFC5890CW, DCP165C, DPC385CN, DPC585CW 450 yield"</f>
        <v>INK CART:BRO Item # LC61BK-BRT, Brother Black ink MFC290C,MFC490CW, MFC790CW, MFC5490CN, MFC5890CW, DCP165C, DPC385CN, DPC585CW 450 yield</v>
      </c>
      <c r="G726" s="74" t="str">
        <f t="shared" si="44"/>
        <v>EA</v>
      </c>
      <c r="H726" s="7">
        <v>25.99</v>
      </c>
      <c r="I726" s="2" t="str">
        <f t="shared" ref="I726:I736" si="46">"44103105"</f>
        <v>44103105</v>
      </c>
      <c r="J726" s="10" t="s">
        <v>98</v>
      </c>
    </row>
    <row r="727" spans="1:10" ht="63.75">
      <c r="A727" s="9" t="s">
        <v>27</v>
      </c>
      <c r="B727" s="2" t="s">
        <v>31</v>
      </c>
      <c r="C727" s="2">
        <v>3204</v>
      </c>
      <c r="D727" s="2">
        <v>75</v>
      </c>
      <c r="E727" s="2" t="str">
        <f>"1000017089"</f>
        <v>1000017089</v>
      </c>
      <c r="F727" s="4" t="str">
        <f>"INK CART:BRO Item # LC61C-BRT, Brother Cyan Ink (Yld 325) for MFC290C,MFC490CW, MFC790CW, MFC5490CN, MFC5890CW, DCP165C, DPC385CN, DPC585CW"</f>
        <v>INK CART:BRO Item # LC61C-BRT, Brother Cyan Ink (Yld 325) for MFC290C,MFC490CW, MFC790CW, MFC5490CN, MFC5890CW, DCP165C, DPC385CN, DPC585CW</v>
      </c>
      <c r="G727" s="74" t="str">
        <f t="shared" si="44"/>
        <v>EA</v>
      </c>
      <c r="H727" s="7">
        <v>11.99</v>
      </c>
      <c r="I727" s="2" t="str">
        <f t="shared" si="46"/>
        <v>44103105</v>
      </c>
      <c r="J727" s="10" t="s">
        <v>98</v>
      </c>
    </row>
    <row r="728" spans="1:10" ht="51">
      <c r="A728" s="9" t="s">
        <v>27</v>
      </c>
      <c r="B728" s="2" t="s">
        <v>31</v>
      </c>
      <c r="C728" s="2">
        <v>3204</v>
      </c>
      <c r="D728" s="2">
        <v>85</v>
      </c>
      <c r="E728" s="2" t="str">
        <f>"1000017090"</f>
        <v>1000017090</v>
      </c>
      <c r="F728" s="4" t="str">
        <f>"INK CART:CAN item # 0619B002-CAN, Canon CL-52 photo ink cartridge for IP1600, IP6210D, MP170 and MP750 printers"</f>
        <v>INK CART:CAN item # 0619B002-CAN, Canon CL-52 photo ink cartridge for IP1600, IP6210D, MP170 and MP750 printers</v>
      </c>
      <c r="G728" s="74" t="str">
        <f t="shared" si="44"/>
        <v>EA</v>
      </c>
      <c r="H728" s="7">
        <v>25</v>
      </c>
      <c r="I728" s="2" t="str">
        <f t="shared" si="46"/>
        <v>44103105</v>
      </c>
      <c r="J728" s="10" t="s">
        <v>98</v>
      </c>
    </row>
    <row r="729" spans="1:10" ht="51">
      <c r="A729" s="9" t="s">
        <v>27</v>
      </c>
      <c r="B729" s="2" t="s">
        <v>31</v>
      </c>
      <c r="C729" s="2">
        <v>3204</v>
      </c>
      <c r="D729" s="2">
        <v>86</v>
      </c>
      <c r="E729" s="2" t="str">
        <f>"1000017091"</f>
        <v>1000017091</v>
      </c>
      <c r="F729" s="4" t="str">
        <f>"INK CART:CAN Item # 0628B002-CAN, Canon PGI-5 Black inkjet cartridge designed for the Canon PIXMA iP4200 / iP5200 / iP5200R inkjet printers"</f>
        <v>INK CART:CAN Item # 0628B002-CAN, Canon PGI-5 Black inkjet cartridge designed for the Canon PIXMA iP4200 / iP5200 / iP5200R inkjet printers</v>
      </c>
      <c r="G729" s="74" t="str">
        <f t="shared" si="44"/>
        <v>EA</v>
      </c>
      <c r="H729" s="7">
        <v>19.32</v>
      </c>
      <c r="I729" s="2" t="str">
        <f t="shared" si="46"/>
        <v>44103105</v>
      </c>
      <c r="J729" s="10" t="s">
        <v>98</v>
      </c>
    </row>
    <row r="730" spans="1:10" ht="63.75">
      <c r="A730" s="9" t="s">
        <v>27</v>
      </c>
      <c r="B730" s="2" t="s">
        <v>31</v>
      </c>
      <c r="C730" s="2">
        <v>3204</v>
      </c>
      <c r="D730" s="2">
        <v>88</v>
      </c>
      <c r="E730" s="2" t="str">
        <f>"1000017092"</f>
        <v>1000017092</v>
      </c>
      <c r="F730" s="4" t="str">
        <f>"INK CART:CAN Item # 0885A003-CAN, Canon BC-05 Canon tri-color inkjet cartridge designed for the Canon BJC 150 / 210/ 240/ 250/ 255/ 1000 inkjet printers (300 Yld)"</f>
        <v>INK CART:CAN Item # 0885A003-CAN, Canon BC-05 Canon tri-color inkjet cartridge designed for the Canon BJC 150 / 210/ 240/ 250/ 255/ 1000 inkjet printers (300 Yld)</v>
      </c>
      <c r="G730" s="74" t="str">
        <f t="shared" si="44"/>
        <v>EA</v>
      </c>
      <c r="H730" s="7">
        <v>40</v>
      </c>
      <c r="I730" s="2" t="str">
        <f t="shared" si="46"/>
        <v>44103105</v>
      </c>
      <c r="J730" s="10" t="s">
        <v>98</v>
      </c>
    </row>
    <row r="731" spans="1:10" ht="51">
      <c r="A731" s="9" t="s">
        <v>27</v>
      </c>
      <c r="B731" s="2" t="s">
        <v>31</v>
      </c>
      <c r="C731" s="2">
        <v>3204</v>
      </c>
      <c r="D731" s="2">
        <v>89</v>
      </c>
      <c r="E731" s="2" t="str">
        <f>"1000017094"</f>
        <v>1000017094</v>
      </c>
      <c r="F731" s="4" t="str">
        <f>"INK CART:CAN Item # 0905A003-CAN, Canon BC-10 Black toner cartridge BJC 30/50/70/80/ Star Writer 300/350C/4000 (Yld 3k)"</f>
        <v>INK CART:CAN Item # 0905A003-CAN, Canon BC-10 Black toner cartridge BJC 30/50/70/80/ Star Writer 300/350C/4000 (Yld 3k)</v>
      </c>
      <c r="G731" s="74" t="str">
        <f t="shared" si="44"/>
        <v>EA</v>
      </c>
      <c r="H731" s="7">
        <v>42</v>
      </c>
      <c r="I731" s="2" t="str">
        <f t="shared" si="46"/>
        <v>44103105</v>
      </c>
      <c r="J731" s="10" t="s">
        <v>98</v>
      </c>
    </row>
    <row r="732" spans="1:10" ht="38.25">
      <c r="A732" s="9" t="s">
        <v>27</v>
      </c>
      <c r="B732" s="2" t="s">
        <v>31</v>
      </c>
      <c r="C732" s="2">
        <v>3204</v>
      </c>
      <c r="D732" s="2">
        <v>90</v>
      </c>
      <c r="E732" s="2" t="str">
        <f>"1000017095"</f>
        <v>1000017095</v>
      </c>
      <c r="F732" s="4" t="str">
        <f>"INK CART:CAN Item # 0907A003-CAN, Canon BC-11E, BJC 50/70/80 Series Tri-Color Cartridge (Yld 4k)"</f>
        <v>INK CART:CAN Item # 0907A003-CAN, Canon BC-11E, BJC 50/70/80 Series Tri-Color Cartridge (Yld 4k)</v>
      </c>
      <c r="G732" s="74" t="str">
        <f t="shared" si="44"/>
        <v>EA</v>
      </c>
      <c r="H732" s="7">
        <v>47</v>
      </c>
      <c r="I732" s="2" t="str">
        <f t="shared" si="46"/>
        <v>44103105</v>
      </c>
      <c r="J732" s="10" t="s">
        <v>98</v>
      </c>
    </row>
    <row r="733" spans="1:10" ht="51">
      <c r="A733" s="9" t="s">
        <v>27</v>
      </c>
      <c r="B733" s="2" t="s">
        <v>31</v>
      </c>
      <c r="C733" s="2">
        <v>3204</v>
      </c>
      <c r="D733" s="2">
        <v>91</v>
      </c>
      <c r="E733" s="2" t="str">
        <f>"1000017096"</f>
        <v>1000017096</v>
      </c>
      <c r="F733" s="4" t="str">
        <f>"INK CART:CAN Item # 0954A003-CAN, Canon BCI-21BK, BJC 2000/2010/2500/ 3000/4000/41/42/43/Black Tank Refill for BC21 (Yld 200)"</f>
        <v>INK CART:CAN Item # 0954A003-CAN, Canon BCI-21BK, BJC 2000/2010/2500/ 3000/4000/41/42/43/Black Tank Refill for BC21 (Yld 200)</v>
      </c>
      <c r="G733" s="74" t="str">
        <f t="shared" si="44"/>
        <v>EA</v>
      </c>
      <c r="H733" s="7">
        <v>10</v>
      </c>
      <c r="I733" s="2" t="str">
        <f t="shared" si="46"/>
        <v>44103105</v>
      </c>
      <c r="J733" s="10" t="s">
        <v>98</v>
      </c>
    </row>
    <row r="734" spans="1:10" ht="38.25">
      <c r="A734" s="9" t="s">
        <v>27</v>
      </c>
      <c r="B734" s="2" t="s">
        <v>31</v>
      </c>
      <c r="C734" s="2">
        <v>3204</v>
      </c>
      <c r="D734" s="2">
        <v>529</v>
      </c>
      <c r="E734" s="2" t="str">
        <f>"1000017097"</f>
        <v>1000017097</v>
      </c>
      <c r="F734" s="4" t="str">
        <f>"TONER:BRO Item # TN04C-BRT, Brother Cyan toner for HL2700CN/MFC-9420CN (Yld 6.6k)"</f>
        <v>TONER:BRO Item # TN04C-BRT, Brother Cyan toner for HL2700CN/MFC-9420CN (Yld 6.6k)</v>
      </c>
      <c r="G734" s="74" t="str">
        <f t="shared" si="44"/>
        <v>EA</v>
      </c>
      <c r="H734" s="7">
        <v>167</v>
      </c>
      <c r="I734" s="2" t="str">
        <f t="shared" si="46"/>
        <v>44103105</v>
      </c>
      <c r="J734" s="10" t="s">
        <v>98</v>
      </c>
    </row>
    <row r="735" spans="1:10" ht="38.25">
      <c r="A735" s="9" t="s">
        <v>27</v>
      </c>
      <c r="B735" s="2" t="s">
        <v>31</v>
      </c>
      <c r="C735" s="2">
        <v>3204</v>
      </c>
      <c r="D735" s="2">
        <v>530</v>
      </c>
      <c r="E735" s="2" t="str">
        <f>"1000017098"</f>
        <v>1000017098</v>
      </c>
      <c r="F735" s="4" t="str">
        <f>"TONER:BRO Item # TN04M-BRT, Brother Magenta toner for HL2700CN/MFC-9420CN (Yld 6.6k)"</f>
        <v>TONER:BRO Item # TN04M-BRT, Brother Magenta toner for HL2700CN/MFC-9420CN (Yld 6.6k)</v>
      </c>
      <c r="G735" s="74" t="str">
        <f t="shared" si="44"/>
        <v>EA</v>
      </c>
      <c r="H735" s="7">
        <v>167</v>
      </c>
      <c r="I735" s="2" t="str">
        <f t="shared" si="46"/>
        <v>44103105</v>
      </c>
      <c r="J735" s="10" t="s">
        <v>98</v>
      </c>
    </row>
    <row r="736" spans="1:10" ht="38.25">
      <c r="A736" s="9" t="s">
        <v>27</v>
      </c>
      <c r="B736" s="2" t="s">
        <v>31</v>
      </c>
      <c r="C736" s="2">
        <v>3204</v>
      </c>
      <c r="D736" s="2">
        <v>531</v>
      </c>
      <c r="E736" s="2" t="str">
        <f>"1000017099"</f>
        <v>1000017099</v>
      </c>
      <c r="F736" s="4" t="str">
        <f>"TONER:BRO Item # TN04Y-BRT, Brother Yellow toner for HL2700CN/MFC-9420CN (Yld 6.6k)"</f>
        <v>TONER:BRO Item # TN04Y-BRT, Brother Yellow toner for HL2700CN/MFC-9420CN (Yld 6.6k)</v>
      </c>
      <c r="G736" s="74" t="str">
        <f t="shared" si="44"/>
        <v>EA</v>
      </c>
      <c r="H736" s="7">
        <v>167</v>
      </c>
      <c r="I736" s="2" t="str">
        <f t="shared" si="46"/>
        <v>44103105</v>
      </c>
      <c r="J736" s="10" t="s">
        <v>98</v>
      </c>
    </row>
    <row r="737" spans="1:10" ht="63.75">
      <c r="A737" s="9" t="s">
        <v>27</v>
      </c>
      <c r="B737" s="2" t="s">
        <v>31</v>
      </c>
      <c r="C737" s="2">
        <v>3204</v>
      </c>
      <c r="D737" s="2">
        <v>524</v>
      </c>
      <c r="E737" s="2" t="str">
        <f>"1000017100"</f>
        <v>1000017100</v>
      </c>
      <c r="F737" s="4" t="str">
        <f>"RIBBON:SHA Item # UX3CR-SHR, Thermal Transfer Imaging Film Ribbon for Sharp Fax machines, UX 300 / 305 / 330L / 340L / 355L / 460 / 465L / 470. 2 ribbons per box. (Yld 100)"</f>
        <v>RIBBON:SHA Item # UX3CR-SHR, Thermal Transfer Imaging Film Ribbon for Sharp Fax machines, UX 300 / 305 / 330L / 340L / 355L / 460 / 465L / 470. 2 ribbons per box. (Yld 100)</v>
      </c>
      <c r="G737" s="74" t="str">
        <f>"BX"</f>
        <v>BX</v>
      </c>
      <c r="H737" s="7">
        <v>25</v>
      </c>
      <c r="I737" s="2" t="str">
        <f>"44103117"</f>
        <v>44103117</v>
      </c>
      <c r="J737" s="10" t="s">
        <v>104</v>
      </c>
    </row>
    <row r="738" spans="1:10" ht="51">
      <c r="A738" s="9" t="s">
        <v>27</v>
      </c>
      <c r="B738" s="2" t="s">
        <v>31</v>
      </c>
      <c r="C738" s="2">
        <v>3204</v>
      </c>
      <c r="D738" s="2">
        <v>533</v>
      </c>
      <c r="E738" s="2" t="str">
        <f>"1000017101"</f>
        <v>1000017101</v>
      </c>
      <c r="F738" s="4" t="str">
        <f>"TONER:BRO Item # TN250-BC, Brand Compatible Laser Toner Cartridge for Brother PPF-2800/ MFC-4800/ 6800 (Yld2.2k)"</f>
        <v>TONER:BRO Item # TN250-BC, Brand Compatible Laser Toner Cartridge for Brother PPF-2800/ MFC-4800/ 6800 (Yld2.2k)</v>
      </c>
      <c r="G738" s="74" t="str">
        <f t="shared" ref="G738:G760" si="47">"EA"</f>
        <v>EA</v>
      </c>
      <c r="H738" s="7">
        <v>29</v>
      </c>
      <c r="I738" s="2" t="str">
        <f t="shared" ref="I738:I746" si="48">"44103105"</f>
        <v>44103105</v>
      </c>
      <c r="J738" s="10" t="s">
        <v>98</v>
      </c>
    </row>
    <row r="739" spans="1:10" ht="89.25">
      <c r="A739" s="9" t="s">
        <v>27</v>
      </c>
      <c r="B739" s="2" t="s">
        <v>31</v>
      </c>
      <c r="C739" s="2">
        <v>3204</v>
      </c>
      <c r="D739" s="2">
        <v>535</v>
      </c>
      <c r="E739" s="2" t="str">
        <f>"1000017102"</f>
        <v>1000017102</v>
      </c>
      <c r="F739" s="4" t="s">
        <v>108</v>
      </c>
      <c r="G739" s="74" t="str">
        <f t="shared" si="47"/>
        <v>EA</v>
      </c>
      <c r="H739" s="7">
        <v>48.32</v>
      </c>
      <c r="I739" s="2" t="str">
        <f t="shared" si="48"/>
        <v>44103105</v>
      </c>
      <c r="J739" s="10" t="s">
        <v>98</v>
      </c>
    </row>
    <row r="740" spans="1:10" ht="38.25">
      <c r="A740" s="9" t="s">
        <v>27</v>
      </c>
      <c r="B740" s="2" t="s">
        <v>31</v>
      </c>
      <c r="C740" s="2">
        <v>3204</v>
      </c>
      <c r="D740" s="2">
        <v>551</v>
      </c>
      <c r="E740" s="2" t="str">
        <f>"1000017103"</f>
        <v>1000017103</v>
      </c>
      <c r="F740" s="4" t="str">
        <f>"TONER:CAN Item # 1381A004AA-CAN, Canon, NPG10, NP 6050 Black Toner (Yld 30k)"</f>
        <v>TONER:CAN Item # 1381A004AA-CAN, Canon, NPG10, NP 6050 Black Toner (Yld 30k)</v>
      </c>
      <c r="G740" s="74" t="str">
        <f t="shared" si="47"/>
        <v>EA</v>
      </c>
      <c r="H740" s="7">
        <v>85</v>
      </c>
      <c r="I740" s="2" t="str">
        <f t="shared" si="48"/>
        <v>44103105</v>
      </c>
      <c r="J740" s="10" t="s">
        <v>98</v>
      </c>
    </row>
    <row r="741" spans="1:10" ht="38.25">
      <c r="A741" s="9" t="s">
        <v>27</v>
      </c>
      <c r="B741" s="2" t="s">
        <v>31</v>
      </c>
      <c r="C741" s="2">
        <v>3204</v>
      </c>
      <c r="D741" s="2">
        <v>552</v>
      </c>
      <c r="E741" s="2" t="str">
        <f>"1000017104"</f>
        <v>1000017104</v>
      </c>
      <c r="F741" s="4" t="str">
        <f>"TONER:CAN Item # 1382A003AA-CAN, Canon NPG-11, NP 6012/ 6012F/ 6412/ 6412F/7130 Black Toner (Yld 5k)"</f>
        <v>TONER:CAN Item # 1382A003AA-CAN, Canon NPG-11, NP 6012/ 6012F/ 6412/ 6412F/7130 Black Toner (Yld 5k)</v>
      </c>
      <c r="G741" s="74" t="str">
        <f t="shared" si="47"/>
        <v>EA</v>
      </c>
      <c r="H741" s="7">
        <v>43</v>
      </c>
      <c r="I741" s="2" t="str">
        <f t="shared" si="48"/>
        <v>44103105</v>
      </c>
      <c r="J741" s="10" t="s">
        <v>98</v>
      </c>
    </row>
    <row r="742" spans="1:10" ht="51">
      <c r="A742" s="9" t="s">
        <v>27</v>
      </c>
      <c r="B742" s="2" t="s">
        <v>31</v>
      </c>
      <c r="C742" s="2">
        <v>3204</v>
      </c>
      <c r="D742" s="2">
        <v>553</v>
      </c>
      <c r="E742" s="2" t="str">
        <f>"1000017105"</f>
        <v>1000017105</v>
      </c>
      <c r="F742" s="4" t="str">
        <f>"TONER:CAN Item # 1388A003AA-CAN, Canon ImageRunner 210/210E/210S/ GP200/200D/ 200F/200S/215/2005 Toner (Yld 9.6k)"</f>
        <v>TONER:CAN Item # 1388A003AA-CAN, Canon ImageRunner 210/210E/210S/ GP200/200D/ 200F/200S/215/2005 Toner (Yld 9.6k)</v>
      </c>
      <c r="G742" s="74" t="str">
        <f t="shared" si="47"/>
        <v>EA</v>
      </c>
      <c r="H742" s="7">
        <v>41</v>
      </c>
      <c r="I742" s="2" t="str">
        <f t="shared" si="48"/>
        <v>44103105</v>
      </c>
      <c r="J742" s="10" t="s">
        <v>98</v>
      </c>
    </row>
    <row r="743" spans="1:10" ht="38.25">
      <c r="A743" s="9" t="s">
        <v>27</v>
      </c>
      <c r="B743" s="2" t="s">
        <v>31</v>
      </c>
      <c r="C743" s="2">
        <v>3204</v>
      </c>
      <c r="D743" s="2">
        <v>554</v>
      </c>
      <c r="E743" s="2" t="str">
        <f>"1000017106"</f>
        <v>1000017106</v>
      </c>
      <c r="F743" s="4" t="str">
        <f>"TONER:CAN Item # 1474A002AA-CAN, Canon A-30, PC 1/ 2/ 3/ 5/ 6RE/ 7/ 8/ 11/ 12/ 65 Toner Cartridge (Yld 3k)"</f>
        <v>TONER:CAN Item # 1474A002AA-CAN, Canon A-30, PC 1/ 2/ 3/ 5/ 6RE/ 7/ 8/ 11/ 12/ 65 Toner Cartridge (Yld 3k)</v>
      </c>
      <c r="G743" s="74" t="str">
        <f t="shared" si="47"/>
        <v>EA</v>
      </c>
      <c r="H743" s="7">
        <v>125</v>
      </c>
      <c r="I743" s="2" t="str">
        <f t="shared" si="48"/>
        <v>44103105</v>
      </c>
      <c r="J743" s="10" t="s">
        <v>98</v>
      </c>
    </row>
    <row r="744" spans="1:10" ht="51">
      <c r="A744" s="9" t="s">
        <v>27</v>
      </c>
      <c r="B744" s="2" t="s">
        <v>31</v>
      </c>
      <c r="C744" s="2">
        <v>3204</v>
      </c>
      <c r="D744" s="2">
        <v>555</v>
      </c>
      <c r="E744" s="2" t="str">
        <f>"1000017107"</f>
        <v>1000017107</v>
      </c>
      <c r="F744" s="4" t="str">
        <f>"TONER:CAN Item # 1491A002AA-BC, Canon E-40 Brand Compatible for PC 210/ 300/ 310/ 320/ 330/ 330L/ 530/ 550/ 710/ 720 /730/740 (Yld 4k)"</f>
        <v>TONER:CAN Item # 1491A002AA-BC, Canon E-40 Brand Compatible for PC 210/ 300/ 310/ 320/ 330/ 330L/ 530/ 550/ 710/ 720 /730/740 (Yld 4k)</v>
      </c>
      <c r="G744" s="74" t="str">
        <f t="shared" si="47"/>
        <v>EA</v>
      </c>
      <c r="H744" s="7">
        <v>109</v>
      </c>
      <c r="I744" s="2" t="str">
        <f t="shared" si="48"/>
        <v>44103105</v>
      </c>
      <c r="J744" s="10" t="s">
        <v>98</v>
      </c>
    </row>
    <row r="745" spans="1:10" ht="38.25">
      <c r="A745" s="9" t="s">
        <v>27</v>
      </c>
      <c r="B745" s="2" t="s">
        <v>31</v>
      </c>
      <c r="C745" s="2">
        <v>3204</v>
      </c>
      <c r="D745" s="2">
        <v>556</v>
      </c>
      <c r="E745" s="2" t="str">
        <f>"1000017108"</f>
        <v>1000017108</v>
      </c>
      <c r="F745" s="4" t="str">
        <f>"TONER:CAN Item # 1491A002AA-CAN, Canon E-40 PC 210/ 300/310/ 320/330/ 330L/ 530/550/710/720 /730/740 (Yld 4k)"</f>
        <v>TONER:CAN Item # 1491A002AA-CAN, Canon E-40 PC 210/ 300/310/ 320/330/ 330L/ 530/550/710/720 /730/740 (Yld 4k)</v>
      </c>
      <c r="G745" s="74" t="str">
        <f t="shared" si="47"/>
        <v>EA</v>
      </c>
      <c r="H745" s="7">
        <v>159.66</v>
      </c>
      <c r="I745" s="2" t="str">
        <f t="shared" si="48"/>
        <v>44103105</v>
      </c>
      <c r="J745" s="10" t="s">
        <v>98</v>
      </c>
    </row>
    <row r="746" spans="1:10" ht="51">
      <c r="A746" s="9" t="s">
        <v>27</v>
      </c>
      <c r="B746" s="2" t="s">
        <v>31</v>
      </c>
      <c r="C746" s="2">
        <v>3204</v>
      </c>
      <c r="D746" s="2">
        <v>96</v>
      </c>
      <c r="E746" s="2" t="str">
        <f>"1000017109"</f>
        <v>1000017109</v>
      </c>
      <c r="F746" s="4" t="str">
        <f>"INK CART:CAN Item # 1899B002-CAN, Canon PG-30 pigmented black inkjet print cartridge, for Pixma IP1800, MP140, MP210, MP470 inkjet printers"</f>
        <v>INK CART:CAN Item # 1899B002-CAN, Canon PG-30 pigmented black inkjet print cartridge, for Pixma IP1800, MP140, MP210, MP470 inkjet printers</v>
      </c>
      <c r="G746" s="74" t="str">
        <f t="shared" si="47"/>
        <v>EA</v>
      </c>
      <c r="H746" s="7">
        <v>18</v>
      </c>
      <c r="I746" s="2" t="str">
        <f t="shared" si="48"/>
        <v>44103105</v>
      </c>
      <c r="J746" s="10" t="s">
        <v>98</v>
      </c>
    </row>
    <row r="747" spans="1:10" ht="38.25">
      <c r="A747" s="9" t="s">
        <v>27</v>
      </c>
      <c r="B747" s="2" t="s">
        <v>31</v>
      </c>
      <c r="C747" s="2">
        <v>3204</v>
      </c>
      <c r="D747" s="2">
        <v>999</v>
      </c>
      <c r="E747" s="2" t="str">
        <f>"1000017110"</f>
        <v>1000017110</v>
      </c>
      <c r="F747" s="4" t="str">
        <f>"WASTE BTL:BRO Item # WT4CL-BRT, Brother Waste Toner Cartridge for MFC-9420CN and HL-2700CN (Yld 12k)"</f>
        <v>WASTE BTL:BRO Item # WT4CL-BRT, Brother Waste Toner Cartridge for MFC-9420CN and HL-2700CN (Yld 12k)</v>
      </c>
      <c r="G747" s="74" t="str">
        <f t="shared" si="47"/>
        <v>EA</v>
      </c>
      <c r="H747" s="7">
        <v>15</v>
      </c>
      <c r="I747" s="2" t="str">
        <f>"44103120"</f>
        <v>44103120</v>
      </c>
      <c r="J747" s="10" t="s">
        <v>111</v>
      </c>
    </row>
    <row r="748" spans="1:10" ht="51">
      <c r="A748" s="9" t="s">
        <v>27</v>
      </c>
      <c r="B748" s="2" t="s">
        <v>31</v>
      </c>
      <c r="C748" s="2">
        <v>3204</v>
      </c>
      <c r="D748" s="2">
        <v>547</v>
      </c>
      <c r="E748" s="2" t="str">
        <f>"1000017111"</f>
        <v>1000017111</v>
      </c>
      <c r="F748" s="4" t="str">
        <f>"TONER:CAN Item # 0263B001A-CAN, Canon No. 104 black laser toner cartridge designed for the Canon FaxPhone L120 laser toner fax machine (Yld 2k)"</f>
        <v>TONER:CAN Item # 0263B001A-CAN, Canon No. 104 black laser toner cartridge designed for the Canon FaxPhone L120 laser toner fax machine (Yld 2k)</v>
      </c>
      <c r="G748" s="74" t="str">
        <f t="shared" si="47"/>
        <v>EA</v>
      </c>
      <c r="H748" s="7">
        <v>79.66</v>
      </c>
      <c r="I748" s="2" t="str">
        <f t="shared" ref="I748:I791" si="49">"44103105"</f>
        <v>44103105</v>
      </c>
      <c r="J748" s="10" t="s">
        <v>98</v>
      </c>
    </row>
    <row r="749" spans="1:10" ht="63.75">
      <c r="A749" s="9" t="s">
        <v>27</v>
      </c>
      <c r="B749" s="2" t="s">
        <v>31</v>
      </c>
      <c r="C749" s="2">
        <v>3204</v>
      </c>
      <c r="D749" s="2">
        <v>548</v>
      </c>
      <c r="E749" s="2" t="str">
        <f>"1000017112"</f>
        <v>1000017112</v>
      </c>
      <c r="F749" s="4" t="str">
        <f>"TONER:CAN Item # 0264B001AA-CAN, Canon black toner cartridge, Canon All-in-One Machines imageCLASS MF6530, MF6540, MF6550, MF6560, MF6580, MF6590, (Yld 5k)"</f>
        <v>TONER:CAN Item # 0264B001AA-CAN, Canon black toner cartridge, Canon All-in-One Machines imageCLASS MF6530, MF6540, MF6550, MF6560, MF6580, MF6590, (Yld 5k)</v>
      </c>
      <c r="G749" s="74" t="str">
        <f t="shared" si="47"/>
        <v>EA</v>
      </c>
      <c r="H749" s="7">
        <v>167</v>
      </c>
      <c r="I749" s="2" t="str">
        <f t="shared" si="49"/>
        <v>44103105</v>
      </c>
      <c r="J749" s="10" t="s">
        <v>98</v>
      </c>
    </row>
    <row r="750" spans="1:10" ht="51">
      <c r="A750" s="9" t="s">
        <v>27</v>
      </c>
      <c r="B750" s="2" t="s">
        <v>31</v>
      </c>
      <c r="C750" s="2">
        <v>3204</v>
      </c>
      <c r="D750" s="2">
        <v>73</v>
      </c>
      <c r="E750" s="2" t="str">
        <f>"1000017113"</f>
        <v>1000017113</v>
      </c>
      <c r="F750" s="4" t="str">
        <f>"INK CART:BRO Item # LC51Y-BRT, Brother Yellow ink cartridge for FAX 1860C, 2480C, MFC2480C, MFC240CN, MFC685CW, MFC3360C, MFC5460CN (Yld 500)"</f>
        <v>INK CART:BRO Item # LC51Y-BRT, Brother Yellow ink cartridge for FAX 1860C, 2480C, MFC2480C, MFC240CN, MFC685CW, MFC3360C, MFC5460CN (Yld 500)</v>
      </c>
      <c r="G750" s="74" t="str">
        <f t="shared" si="47"/>
        <v>EA</v>
      </c>
      <c r="H750" s="7">
        <v>16.82</v>
      </c>
      <c r="I750" s="2" t="str">
        <f t="shared" si="49"/>
        <v>44103105</v>
      </c>
      <c r="J750" s="10" t="s">
        <v>98</v>
      </c>
    </row>
    <row r="751" spans="1:10" ht="51">
      <c r="A751" s="9" t="s">
        <v>27</v>
      </c>
      <c r="B751" s="2" t="s">
        <v>31</v>
      </c>
      <c r="C751" s="2">
        <v>3204</v>
      </c>
      <c r="D751" s="2">
        <v>83</v>
      </c>
      <c r="E751" s="2" t="str">
        <f>"1000017114"</f>
        <v>1000017114</v>
      </c>
      <c r="F751" s="4" t="str">
        <f>"INK CART:CAN Item # 0617B002-CAN, Canon CL-41 color cartridge IP1600, IP6210D, IP6220D, MP170 AND MP750 printers"</f>
        <v>INK CART:CAN Item # 0617B002-CAN, Canon CL-41 color cartridge IP1600, IP6210D, IP6220D, MP170 AND MP750 printers</v>
      </c>
      <c r="G751" s="74" t="str">
        <f t="shared" si="47"/>
        <v>EA</v>
      </c>
      <c r="H751" s="7">
        <v>28.66</v>
      </c>
      <c r="I751" s="2" t="str">
        <f t="shared" si="49"/>
        <v>44103105</v>
      </c>
      <c r="J751" s="10" t="s">
        <v>98</v>
      </c>
    </row>
    <row r="752" spans="1:10" ht="38.25">
      <c r="A752" s="9" t="s">
        <v>27</v>
      </c>
      <c r="B752" s="2" t="s">
        <v>31</v>
      </c>
      <c r="C752" s="2">
        <v>3204</v>
      </c>
      <c r="D752" s="2">
        <v>84</v>
      </c>
      <c r="E752" s="2" t="str">
        <f>"1000017115"</f>
        <v>1000017115</v>
      </c>
      <c r="F752" s="4" t="str">
        <f>"INK CART:CAN Item # 0618B002-CAN, Canon CL-51 Color IP1600, IP6210D, IP6220D, MP170 and MP750 printers"</f>
        <v>INK CART:CAN Item # 0618B002-CAN, Canon CL-51 Color IP1600, IP6210D, IP6220D, MP170 and MP750 printers</v>
      </c>
      <c r="G752" s="74" t="str">
        <f t="shared" si="47"/>
        <v>EA</v>
      </c>
      <c r="H752" s="7">
        <v>37</v>
      </c>
      <c r="I752" s="2" t="str">
        <f t="shared" si="49"/>
        <v>44103105</v>
      </c>
      <c r="J752" s="10" t="s">
        <v>98</v>
      </c>
    </row>
    <row r="753" spans="1:10" ht="51">
      <c r="A753" s="9" t="s">
        <v>27</v>
      </c>
      <c r="B753" s="2" t="s">
        <v>31</v>
      </c>
      <c r="C753" s="2">
        <v>3204</v>
      </c>
      <c r="D753" s="2">
        <v>98</v>
      </c>
      <c r="E753" s="2" t="str">
        <f>"1000017116"</f>
        <v>1000017116</v>
      </c>
      <c r="F753" s="4" t="str">
        <f>"INK CART:CAN Item # 4479A003-CAN, Canon BCI-3EBK, BJC 6000/S450/S600 S750 Black Ink Tank Refill for BC-30E (Yld 500) (AKA F473131400)"</f>
        <v>INK CART:CAN Item # 4479A003-CAN, Canon BCI-3EBK, BJC 6000/S450/S600 S750 Black Ink Tank Refill for BC-30E (Yld 500) (AKA F473131400)</v>
      </c>
      <c r="G753" s="74" t="str">
        <f t="shared" si="47"/>
        <v>EA</v>
      </c>
      <c r="H753" s="7">
        <v>19</v>
      </c>
      <c r="I753" s="2" t="str">
        <f t="shared" si="49"/>
        <v>44103105</v>
      </c>
      <c r="J753" s="10" t="s">
        <v>98</v>
      </c>
    </row>
    <row r="754" spans="1:10" ht="38.25">
      <c r="A754" s="9" t="s">
        <v>27</v>
      </c>
      <c r="B754" s="2" t="s">
        <v>31</v>
      </c>
      <c r="C754" s="2">
        <v>3204</v>
      </c>
      <c r="D754" s="2">
        <v>99</v>
      </c>
      <c r="E754" s="2" t="str">
        <f>"1000017117"</f>
        <v>1000017117</v>
      </c>
      <c r="F754" s="4" t="str">
        <f>"INK CART:CAN Item # 4480A003-CAN, Canon BCI-3EC, BJC 6000/S450/S600 S750 Cyan Ink Tank Refill for BC-31E"</f>
        <v>INK CART:CAN Item # 4480A003-CAN, Canon BCI-3EC, BJC 6000/S450/S600 S750 Cyan Ink Tank Refill for BC-31E</v>
      </c>
      <c r="G754" s="74" t="str">
        <f t="shared" si="47"/>
        <v>EA</v>
      </c>
      <c r="H754" s="7">
        <v>13</v>
      </c>
      <c r="I754" s="2" t="str">
        <f t="shared" si="49"/>
        <v>44103105</v>
      </c>
      <c r="J754" s="10" t="s">
        <v>98</v>
      </c>
    </row>
    <row r="755" spans="1:10" ht="38.25">
      <c r="A755" s="9" t="s">
        <v>27</v>
      </c>
      <c r="B755" s="2" t="s">
        <v>31</v>
      </c>
      <c r="C755" s="2">
        <v>3204</v>
      </c>
      <c r="D755" s="2">
        <v>100</v>
      </c>
      <c r="E755" s="2" t="str">
        <f>"1000017118"</f>
        <v>1000017118</v>
      </c>
      <c r="F755" s="4" t="str">
        <f>"INK CART:CAN Item # 4481A003-CAN, Canon BCI-3EM BJC 6000/S450/S600/ S750 Magenta Ink Tank Refill for BC-31E"</f>
        <v>INK CART:CAN Item # 4481A003-CAN, Canon BCI-3EM BJC 6000/S450/S600/ S750 Magenta Ink Tank Refill for BC-31E</v>
      </c>
      <c r="G755" s="74" t="str">
        <f t="shared" si="47"/>
        <v>EA</v>
      </c>
      <c r="H755" s="7">
        <v>13</v>
      </c>
      <c r="I755" s="2" t="str">
        <f t="shared" si="49"/>
        <v>44103105</v>
      </c>
      <c r="J755" s="10" t="s">
        <v>98</v>
      </c>
    </row>
    <row r="756" spans="1:10" ht="51">
      <c r="A756" s="9" t="s">
        <v>27</v>
      </c>
      <c r="B756" s="2" t="s">
        <v>31</v>
      </c>
      <c r="C756" s="2">
        <v>3204</v>
      </c>
      <c r="D756" s="2">
        <v>101</v>
      </c>
      <c r="E756" s="2" t="str">
        <f>"1000017119"</f>
        <v>1000017119</v>
      </c>
      <c r="F756" s="4" t="str">
        <f>"INK CART:CAN Item # 4482A003-CAN, Canon BCI-3EY BJC 6000/S450/S600/ S750 Yellow Ink Tank Refill for BC-31E (AKA F473161400)"</f>
        <v>INK CART:CAN Item # 4482A003-CAN, Canon BCI-3EY BJC 6000/S450/S600/ S750 Yellow Ink Tank Refill for BC-31E (AKA F473161400)</v>
      </c>
      <c r="G756" s="74" t="str">
        <f t="shared" si="47"/>
        <v>EA</v>
      </c>
      <c r="H756" s="7">
        <v>13</v>
      </c>
      <c r="I756" s="2" t="str">
        <f t="shared" si="49"/>
        <v>44103105</v>
      </c>
      <c r="J756" s="10" t="s">
        <v>98</v>
      </c>
    </row>
    <row r="757" spans="1:10" ht="38.25">
      <c r="A757" s="9" t="s">
        <v>27</v>
      </c>
      <c r="B757" s="2" t="s">
        <v>31</v>
      </c>
      <c r="C757" s="2">
        <v>3204</v>
      </c>
      <c r="D757" s="2">
        <v>102</v>
      </c>
      <c r="E757" s="2" t="str">
        <f>"1000017120"</f>
        <v>1000017120</v>
      </c>
      <c r="F757" s="4" t="str">
        <f>"INK CART:CAN Item # 4705A003-CAN, Canon BCI-6Bk S800/BJC8200 Black Ink (AKA F473221400)"</f>
        <v>INK CART:CAN Item # 4705A003-CAN, Canon BCI-6Bk S800/BJC8200 Black Ink (AKA F473221400)</v>
      </c>
      <c r="G757" s="74" t="str">
        <f t="shared" si="47"/>
        <v>EA</v>
      </c>
      <c r="H757" s="7">
        <v>14.82</v>
      </c>
      <c r="I757" s="2" t="str">
        <f t="shared" si="49"/>
        <v>44103105</v>
      </c>
      <c r="J757" s="10" t="s">
        <v>98</v>
      </c>
    </row>
    <row r="758" spans="1:10" ht="38.25">
      <c r="A758" s="9" t="s">
        <v>27</v>
      </c>
      <c r="B758" s="2" t="s">
        <v>31</v>
      </c>
      <c r="C758" s="2">
        <v>3204</v>
      </c>
      <c r="D758" s="2">
        <v>103</v>
      </c>
      <c r="E758" s="2" t="str">
        <f>"1000017121"</f>
        <v>1000017121</v>
      </c>
      <c r="F758" s="4" t="str">
        <f>"INK CART:CAN Item # 4706A003-CAN, Canon BCI-6C S800/BJC8200 Cyan Ink (AKA F473231400)"</f>
        <v>INK CART:CAN Item # 4706A003-CAN, Canon BCI-6C S800/BJC8200 Cyan Ink (AKA F473231400)</v>
      </c>
      <c r="G758" s="74" t="str">
        <f t="shared" si="47"/>
        <v>EA</v>
      </c>
      <c r="H758" s="7">
        <v>14.99</v>
      </c>
      <c r="I758" s="2" t="str">
        <f t="shared" si="49"/>
        <v>44103105</v>
      </c>
      <c r="J758" s="10" t="s">
        <v>98</v>
      </c>
    </row>
    <row r="759" spans="1:10" ht="25.5">
      <c r="A759" s="9" t="s">
        <v>27</v>
      </c>
      <c r="B759" s="2" t="s">
        <v>31</v>
      </c>
      <c r="C759" s="2">
        <v>3204</v>
      </c>
      <c r="D759" s="2">
        <v>104</v>
      </c>
      <c r="E759" s="2" t="str">
        <f>"1000017122"</f>
        <v>1000017122</v>
      </c>
      <c r="F759" s="4" t="str">
        <f>"INK CART:CAN Item # 4707A003-CAN, Canon BCI-6M S800/BJC8200 Magenta Ink"</f>
        <v>INK CART:CAN Item # 4707A003-CAN, Canon BCI-6M S800/BJC8200 Magenta Ink</v>
      </c>
      <c r="G759" s="74" t="str">
        <f t="shared" si="47"/>
        <v>EA</v>
      </c>
      <c r="H759" s="7">
        <v>14.99</v>
      </c>
      <c r="I759" s="2" t="str">
        <f t="shared" si="49"/>
        <v>44103105</v>
      </c>
      <c r="J759" s="10" t="s">
        <v>98</v>
      </c>
    </row>
    <row r="760" spans="1:10" ht="51">
      <c r="A760" s="9" t="s">
        <v>27</v>
      </c>
      <c r="B760" s="2" t="s">
        <v>31</v>
      </c>
      <c r="C760" s="2">
        <v>3204</v>
      </c>
      <c r="D760" s="2">
        <v>92</v>
      </c>
      <c r="E760" s="2" t="str">
        <f>"1000017123"</f>
        <v>1000017123</v>
      </c>
      <c r="F760" s="4" t="str">
        <f>"INK CART:CAN Item # 0955A003-CAN, Canon BCI-21C, BJC 2000/2010/2500/4000/41/42/43/C3000 3-Color Tank Refill for BC21 (Yld 200)"</f>
        <v>INK CART:CAN Item # 0955A003-CAN, Canon BCI-21C, BJC 2000/2010/2500/4000/41/42/43/C3000 3-Color Tank Refill for BC21 (Yld 200)</v>
      </c>
      <c r="G760" s="74" t="str">
        <f t="shared" si="47"/>
        <v>EA</v>
      </c>
      <c r="H760" s="7">
        <v>27</v>
      </c>
      <c r="I760" s="2" t="str">
        <f t="shared" si="49"/>
        <v>44103105</v>
      </c>
      <c r="J760" s="10" t="s">
        <v>98</v>
      </c>
    </row>
    <row r="761" spans="1:10" ht="51">
      <c r="A761" s="9" t="s">
        <v>27</v>
      </c>
      <c r="B761" s="2" t="s">
        <v>31</v>
      </c>
      <c r="C761" s="2">
        <v>3204</v>
      </c>
      <c r="D761" s="2">
        <v>93</v>
      </c>
      <c r="E761" s="2" t="str">
        <f>"1000017124"</f>
        <v>1000017124</v>
      </c>
      <c r="F761" s="4" t="str">
        <f>"INK CART:CAN Item # 0956A003-CAN, Canon BCI-10 black inkjet cartridges designed for the Canon BJ 30/BJC 50/BJC 70/BJC 80 (3/kt)"</f>
        <v>INK CART:CAN Item # 0956A003-CAN, Canon BCI-10 black inkjet cartridges designed for the Canon BJ 30/BJC 50/BJC 70/BJC 80 (3/kt)</v>
      </c>
      <c r="G761" s="74" t="str">
        <f>"KT"</f>
        <v>KT</v>
      </c>
      <c r="H761" s="7">
        <v>18</v>
      </c>
      <c r="I761" s="2" t="str">
        <f t="shared" si="49"/>
        <v>44103105</v>
      </c>
      <c r="J761" s="10" t="s">
        <v>98</v>
      </c>
    </row>
    <row r="762" spans="1:10" ht="38.25">
      <c r="A762" s="9" t="s">
        <v>27</v>
      </c>
      <c r="B762" s="2" t="s">
        <v>31</v>
      </c>
      <c r="C762" s="2">
        <v>3204</v>
      </c>
      <c r="D762" s="2">
        <v>94</v>
      </c>
      <c r="E762" s="2" t="str">
        <f>"1000017125"</f>
        <v>1000017125</v>
      </c>
      <c r="F762" s="4" t="str">
        <f>"INK CART:CAN Item # 0957A003-CAN, Canon BCI-11BK, BJC 50/BJC 70/BJC 80 Series Black Tank (3/package) (Yld 30)"</f>
        <v>INK CART:CAN Item # 0957A003-CAN, Canon BCI-11BK, BJC 50/BJC 70/BJC 80 Series Black Tank (3/package) (Yld 30)</v>
      </c>
      <c r="G762" s="74" t="str">
        <f>"PK"</f>
        <v>PK</v>
      </c>
      <c r="H762" s="7">
        <v>15</v>
      </c>
      <c r="I762" s="2" t="str">
        <f t="shared" si="49"/>
        <v>44103105</v>
      </c>
      <c r="J762" s="10" t="s">
        <v>98</v>
      </c>
    </row>
    <row r="763" spans="1:10" ht="38.25">
      <c r="A763" s="9" t="s">
        <v>27</v>
      </c>
      <c r="B763" s="2" t="s">
        <v>31</v>
      </c>
      <c r="C763" s="2">
        <v>3204</v>
      </c>
      <c r="D763" s="2">
        <v>532</v>
      </c>
      <c r="E763" s="2" t="str">
        <f>"1000017126"</f>
        <v>1000017126</v>
      </c>
      <c r="F763" s="4" t="str">
        <f>"TONER:BRO Item # TN200HL-BRT, Brother Laser Toner cartridge for HL 720/730/760 (Yld 2.2k)"</f>
        <v>TONER:BRO Item # TN200HL-BRT, Brother Laser Toner cartridge for HL 720/730/760 (Yld 2.2k)</v>
      </c>
      <c r="G763" s="74" t="str">
        <f>"EA"</f>
        <v>EA</v>
      </c>
      <c r="H763" s="7">
        <v>31</v>
      </c>
      <c r="I763" s="2" t="str">
        <f t="shared" si="49"/>
        <v>44103105</v>
      </c>
      <c r="J763" s="10" t="s">
        <v>98</v>
      </c>
    </row>
    <row r="764" spans="1:10" ht="38.25">
      <c r="A764" s="9" t="s">
        <v>27</v>
      </c>
      <c r="B764" s="2" t="s">
        <v>31</v>
      </c>
      <c r="C764" s="2">
        <v>3204</v>
      </c>
      <c r="D764" s="2">
        <v>549</v>
      </c>
      <c r="E764" s="2" t="str">
        <f>"1000017127"</f>
        <v>1000017127</v>
      </c>
      <c r="F764" s="4" t="str">
        <f>"TONER:CAN Item # 1376A003AA-CAN, Canon, NPG-5 NP 3030/3050 Toner Cartridge (Yld 13.6k)"</f>
        <v>TONER:CAN Item # 1376A003AA-CAN, Canon, NPG-5 NP 3030/3050 Toner Cartridge (Yld 13.6k)</v>
      </c>
      <c r="G764" s="74" t="str">
        <f>"EA"</f>
        <v>EA</v>
      </c>
      <c r="H764" s="7">
        <v>62</v>
      </c>
      <c r="I764" s="2" t="str">
        <f t="shared" si="49"/>
        <v>44103105</v>
      </c>
      <c r="J764" s="10" t="s">
        <v>98</v>
      </c>
    </row>
    <row r="765" spans="1:10" ht="38.25">
      <c r="A765" s="9" t="s">
        <v>27</v>
      </c>
      <c r="B765" s="2" t="s">
        <v>31</v>
      </c>
      <c r="C765" s="2">
        <v>3204</v>
      </c>
      <c r="D765" s="2">
        <v>550</v>
      </c>
      <c r="E765" s="2" t="str">
        <f>"1000017128"</f>
        <v>1000017128</v>
      </c>
      <c r="F765" s="4" t="str">
        <f>"TONER:CAN Item # 1379A004AA-CAN, Canon NPG-9, NP 6016/6521 Toner Cartridge (2/package) (Yld 7.6k)"</f>
        <v>TONER:CAN Item # 1379A004AA-CAN, Canon NPG-9, NP 6016/6521 Toner Cartridge (2/package) (Yld 7.6k)</v>
      </c>
      <c r="G765" s="74" t="str">
        <f>"PK"</f>
        <v>PK</v>
      </c>
      <c r="H765" s="7">
        <v>77</v>
      </c>
      <c r="I765" s="2" t="str">
        <f t="shared" si="49"/>
        <v>44103105</v>
      </c>
      <c r="J765" s="10" t="s">
        <v>98</v>
      </c>
    </row>
    <row r="766" spans="1:10" ht="38.25">
      <c r="A766" s="9" t="s">
        <v>27</v>
      </c>
      <c r="B766" s="2" t="s">
        <v>31</v>
      </c>
      <c r="C766" s="2">
        <v>3204</v>
      </c>
      <c r="D766" s="2">
        <v>565</v>
      </c>
      <c r="E766" s="2" t="str">
        <f>"1000017129"</f>
        <v>1000017129</v>
      </c>
      <c r="F766" s="4" t="str">
        <f>"TONER:CAN Item # 7814A003AA-CAN, Canon 1370 F Digital Copier Black Toner GPR-10 (Yld 5.3k)"</f>
        <v>TONER:CAN Item # 7814A003AA-CAN, Canon 1370 F Digital Copier Black Toner GPR-10 (Yld 5.3k)</v>
      </c>
      <c r="G766" s="74" t="str">
        <f>"EA"</f>
        <v>EA</v>
      </c>
      <c r="H766" s="7">
        <v>31.99</v>
      </c>
      <c r="I766" s="2" t="str">
        <f t="shared" si="49"/>
        <v>44103105</v>
      </c>
      <c r="J766" s="10" t="s">
        <v>98</v>
      </c>
    </row>
    <row r="767" spans="1:10" ht="25.5">
      <c r="A767" s="9" t="s">
        <v>27</v>
      </c>
      <c r="B767" s="2" t="s">
        <v>31</v>
      </c>
      <c r="C767" s="2">
        <v>3204</v>
      </c>
      <c r="D767" s="2">
        <v>110</v>
      </c>
      <c r="E767" s="2" t="str">
        <f>"1000017130"</f>
        <v>1000017130</v>
      </c>
      <c r="F767" s="4" t="str">
        <f>"INK CART:CAN Item # 8191A003-CAN, Canon i70 BCI-15 Ink Tank Multi -Clr"</f>
        <v>INK CART:CAN Item # 8191A003-CAN, Canon i70 BCI-15 Ink Tank Multi -Clr</v>
      </c>
      <c r="G767" s="74" t="str">
        <f>"EA"</f>
        <v>EA</v>
      </c>
      <c r="H767" s="7">
        <v>26.66</v>
      </c>
      <c r="I767" s="2" t="str">
        <f t="shared" si="49"/>
        <v>44103105</v>
      </c>
      <c r="J767" s="10" t="s">
        <v>98</v>
      </c>
    </row>
    <row r="768" spans="1:10" ht="51">
      <c r="A768" s="9" t="s">
        <v>27</v>
      </c>
      <c r="B768" s="2" t="s">
        <v>31</v>
      </c>
      <c r="C768" s="2">
        <v>3204</v>
      </c>
      <c r="D768" s="2">
        <v>568</v>
      </c>
      <c r="E768" s="2" t="str">
        <f>"1000017131"</f>
        <v>1000017131</v>
      </c>
      <c r="F768" s="4" t="str">
        <f>"TONER:CAN Item # 9634A003-CAN, Canon GPR-16 black toner cartridge for Imagerunner 3035, 3045, 3530, 3570, and 4570"</f>
        <v>TONER:CAN Item # 9634A003-CAN, Canon GPR-16 black toner cartridge for Imagerunner 3035, 3045, 3530, 3570, and 4570</v>
      </c>
      <c r="G768" s="74" t="str">
        <f>"EA"</f>
        <v>EA</v>
      </c>
      <c r="H768" s="7">
        <v>65</v>
      </c>
      <c r="I768" s="2" t="str">
        <f t="shared" si="49"/>
        <v>44103105</v>
      </c>
      <c r="J768" s="10" t="s">
        <v>98</v>
      </c>
    </row>
    <row r="769" spans="1:10" ht="51">
      <c r="A769" s="9" t="s">
        <v>27</v>
      </c>
      <c r="B769" s="2" t="s">
        <v>31</v>
      </c>
      <c r="C769" s="2">
        <v>3204</v>
      </c>
      <c r="D769" s="2">
        <v>111</v>
      </c>
      <c r="E769" s="2" t="str">
        <f>"1000017132"</f>
        <v>1000017132</v>
      </c>
      <c r="F769" s="4" t="str">
        <f>"INK CART:CAN Item # 9818A003-CAN, Canon BCI 16 color inkjet cartridges (2 per package) designed for the Canon Selphy DS-700, Pixma iP90"</f>
        <v>INK CART:CAN Item # 9818A003-CAN, Canon BCI 16 color inkjet cartridges (2 per package) designed for the Canon Selphy DS-700, Pixma iP90</v>
      </c>
      <c r="G769" s="74" t="str">
        <f>"PK"</f>
        <v>PK</v>
      </c>
      <c r="H769" s="7">
        <v>29.66</v>
      </c>
      <c r="I769" s="2" t="str">
        <f t="shared" si="49"/>
        <v>44103105</v>
      </c>
      <c r="J769" s="10" t="s">
        <v>98</v>
      </c>
    </row>
    <row r="770" spans="1:10" ht="63.75">
      <c r="A770" s="9" t="s">
        <v>27</v>
      </c>
      <c r="B770" s="2" t="s">
        <v>31</v>
      </c>
      <c r="C770" s="2">
        <v>3204</v>
      </c>
      <c r="D770" s="2">
        <v>569</v>
      </c>
      <c r="E770" s="2" t="str">
        <f>"1000017133"</f>
        <v>1000017133</v>
      </c>
      <c r="F770" s="4" t="str">
        <f>"TONER:CAN Item # C4127XR-REM, Remanufactured Black toner for Canon Laser Printers LBP-52X, HP Laser Printers LaserJet 4000 Series, LaserJet 4050 Series (Yld 10k)"</f>
        <v>TONER:CAN Item # C4127XR-REM, Remanufactured Black toner for Canon Laser Printers LBP-52X, HP Laser Printers LaserJet 4000 Series, LaserJet 4050 Series (Yld 10k)</v>
      </c>
      <c r="G770" s="74" t="str">
        <f t="shared" ref="G770:G788" si="50">"EA"</f>
        <v>EA</v>
      </c>
      <c r="H770" s="7">
        <v>64</v>
      </c>
      <c r="I770" s="2" t="str">
        <f t="shared" si="49"/>
        <v>44103105</v>
      </c>
      <c r="J770" s="10" t="s">
        <v>98</v>
      </c>
    </row>
    <row r="771" spans="1:10" ht="38.25">
      <c r="A771" s="9" t="s">
        <v>27</v>
      </c>
      <c r="B771" s="2" t="s">
        <v>31</v>
      </c>
      <c r="C771" s="2">
        <v>3204</v>
      </c>
      <c r="D771" s="2">
        <v>112</v>
      </c>
      <c r="E771" s="2" t="str">
        <f>"1000017134"</f>
        <v>1000017134</v>
      </c>
      <c r="F771" s="4" t="str">
        <f>"INK CART:CAN Item # CLI-36-CAN, Canon 1511B002 color ink for Pixma Mini 260, IP100 and 260 printers"</f>
        <v>INK CART:CAN Item # CLI-36-CAN, Canon 1511B002 color ink for Pixma Mini 260, IP100 and 260 printers</v>
      </c>
      <c r="G771" s="74" t="str">
        <f t="shared" si="50"/>
        <v>EA</v>
      </c>
      <c r="H771" s="7">
        <v>20.99</v>
      </c>
      <c r="I771" s="2" t="str">
        <f t="shared" si="49"/>
        <v>44103105</v>
      </c>
      <c r="J771" s="10" t="s">
        <v>98</v>
      </c>
    </row>
    <row r="772" spans="1:10" ht="38.25">
      <c r="A772" s="9" t="s">
        <v>27</v>
      </c>
      <c r="B772" s="2" t="s">
        <v>31</v>
      </c>
      <c r="C772" s="2">
        <v>3204</v>
      </c>
      <c r="D772" s="2">
        <v>113</v>
      </c>
      <c r="E772" s="2" t="str">
        <f>"1000017135"</f>
        <v>1000017135</v>
      </c>
      <c r="F772" s="4" t="str">
        <f>"INK CART:CAN Item # CLI-8BK-CAN, Canon ink Black IP4200 IP5200 5200R 6600D MP500 MP780"</f>
        <v>INK CART:CAN Item # CLI-8BK-CAN, Canon ink Black IP4200 IP5200 5200R 6600D MP500 MP780</v>
      </c>
      <c r="G772" s="74" t="str">
        <f t="shared" si="50"/>
        <v>EA</v>
      </c>
      <c r="H772" s="7">
        <v>16.32</v>
      </c>
      <c r="I772" s="2" t="str">
        <f t="shared" si="49"/>
        <v>44103105</v>
      </c>
      <c r="J772" s="10" t="s">
        <v>98</v>
      </c>
    </row>
    <row r="773" spans="1:10" ht="51">
      <c r="A773" s="9" t="s">
        <v>27</v>
      </c>
      <c r="B773" s="2" t="s">
        <v>31</v>
      </c>
      <c r="C773" s="2">
        <v>3204</v>
      </c>
      <c r="D773" s="2">
        <v>97</v>
      </c>
      <c r="E773" s="2" t="str">
        <f>"1000017136"</f>
        <v>1000017136</v>
      </c>
      <c r="F773" s="4" t="str">
        <f>"INK CART:CAN Item # 1900B002-CAN, Canon CL-31 tri-color (cyan, magenta, yellow) inkjet print cartridge, for Pixma IP1800, MP140, MP210, MP470"</f>
        <v>INK CART:CAN Item # 1900B002-CAN, Canon CL-31 tri-color (cyan, magenta, yellow) inkjet print cartridge, for Pixma IP1800, MP140, MP210, MP470</v>
      </c>
      <c r="G773" s="74" t="str">
        <f t="shared" si="50"/>
        <v>EA</v>
      </c>
      <c r="H773" s="7">
        <v>21</v>
      </c>
      <c r="I773" s="2" t="str">
        <f t="shared" si="49"/>
        <v>44103105</v>
      </c>
      <c r="J773" s="10" t="s">
        <v>98</v>
      </c>
    </row>
    <row r="774" spans="1:10" ht="51">
      <c r="A774" s="9" t="s">
        <v>27</v>
      </c>
      <c r="B774" s="2" t="s">
        <v>31</v>
      </c>
      <c r="C774" s="2">
        <v>3204</v>
      </c>
      <c r="D774" s="2">
        <v>558</v>
      </c>
      <c r="E774" s="2" t="str">
        <f>"1000017137"</f>
        <v>1000017137</v>
      </c>
      <c r="F774" s="4" t="str">
        <f>"TONER:CAN Item # 3708A001AA-CAN, Canon NP 30/50/60/90 Positive Micrographic Toner Cartridge (MP20 P01) (Yld 3k)"</f>
        <v>TONER:CAN Item # 3708A001AA-CAN, Canon NP 30/50/60/90 Positive Micrographic Toner Cartridge (MP20 P01) (Yld 3k)</v>
      </c>
      <c r="G774" s="74" t="str">
        <f t="shared" si="50"/>
        <v>EA</v>
      </c>
      <c r="H774" s="7">
        <v>149</v>
      </c>
      <c r="I774" s="2" t="str">
        <f t="shared" si="49"/>
        <v>44103105</v>
      </c>
      <c r="J774" s="10" t="s">
        <v>98</v>
      </c>
    </row>
    <row r="775" spans="1:10" ht="51">
      <c r="A775" s="9" t="s">
        <v>27</v>
      </c>
      <c r="B775" s="2" t="s">
        <v>31</v>
      </c>
      <c r="C775" s="2">
        <v>3204</v>
      </c>
      <c r="D775" s="2">
        <v>559</v>
      </c>
      <c r="E775" s="2" t="str">
        <f>"1000017138"</f>
        <v>1000017138</v>
      </c>
      <c r="F775" s="4" t="str">
        <f>"TONER:CAN Item # 3708A007AA-CAN (Replaces 3708A005AA) Canon NP20N/30/ 50/ 60/ 90 Negative Micrographic Toner Cartridge (MP20 N01) (Yld 3k)"</f>
        <v>TONER:CAN Item # 3708A007AA-CAN (Replaces 3708A005AA) Canon NP20N/30/ 50/ 60/ 90 Negative Micrographic Toner Cartridge (MP20 N01) (Yld 3k)</v>
      </c>
      <c r="G775" s="74" t="str">
        <f t="shared" si="50"/>
        <v>EA</v>
      </c>
      <c r="H775" s="7">
        <v>142</v>
      </c>
      <c r="I775" s="2" t="str">
        <f t="shared" si="49"/>
        <v>44103105</v>
      </c>
      <c r="J775" s="10" t="s">
        <v>98</v>
      </c>
    </row>
    <row r="776" spans="1:10" ht="38.25">
      <c r="A776" s="9" t="s">
        <v>27</v>
      </c>
      <c r="B776" s="2" t="s">
        <v>31</v>
      </c>
      <c r="C776" s="2">
        <v>3204</v>
      </c>
      <c r="D776" s="2">
        <v>82</v>
      </c>
      <c r="E776" s="2" t="str">
        <f>"1000017139"</f>
        <v>1000017139</v>
      </c>
      <c r="F776" s="4" t="str">
        <f>"INK CART:CAN Item # 0616B002-CAN, Canon PG-50 Black IP1600, IP6210D, IP6220D, MP170 AND MP750 printers"</f>
        <v>INK CART:CAN Item # 0616B002-CAN, Canon PG-50 Black IP1600, IP6210D, IP6220D, MP170 AND MP750 printers</v>
      </c>
      <c r="G776" s="74" t="str">
        <f t="shared" si="50"/>
        <v>EA</v>
      </c>
      <c r="H776" s="7">
        <v>32</v>
      </c>
      <c r="I776" s="2" t="str">
        <f t="shared" si="49"/>
        <v>44103105</v>
      </c>
      <c r="J776" s="10" t="s">
        <v>98</v>
      </c>
    </row>
    <row r="777" spans="1:10" ht="38.25">
      <c r="A777" s="9" t="s">
        <v>27</v>
      </c>
      <c r="B777" s="2" t="s">
        <v>31</v>
      </c>
      <c r="C777" s="2">
        <v>3204</v>
      </c>
      <c r="D777" s="2">
        <v>562</v>
      </c>
      <c r="E777" s="2" t="str">
        <f>"1000017141"</f>
        <v>1000017141</v>
      </c>
      <c r="F777" s="4" t="str">
        <f>"TONER:CAN Item # 4234A003AA-CAN, Canon GPR-4 ImageRunner 5000/6000 GPR4 Black Toner (Yld 33k)"</f>
        <v>TONER:CAN Item # 4234A003AA-CAN, Canon GPR-4 ImageRunner 5000/6000 GPR4 Black Toner (Yld 33k)</v>
      </c>
      <c r="G777" s="74" t="str">
        <f t="shared" si="50"/>
        <v>EA</v>
      </c>
      <c r="H777" s="7">
        <v>77</v>
      </c>
      <c r="I777" s="2" t="str">
        <f t="shared" si="49"/>
        <v>44103105</v>
      </c>
      <c r="J777" s="10" t="s">
        <v>98</v>
      </c>
    </row>
    <row r="778" spans="1:10" ht="38.25">
      <c r="A778" s="9" t="s">
        <v>27</v>
      </c>
      <c r="B778" s="2" t="s">
        <v>31</v>
      </c>
      <c r="C778" s="2">
        <v>3204</v>
      </c>
      <c r="D778" s="2">
        <v>571</v>
      </c>
      <c r="E778" s="2" t="str">
        <f>"1000017142"</f>
        <v>1000017142</v>
      </c>
      <c r="F778" s="4" t="str">
        <f>"TONER:CAN Item # FX2-BC, Brand Compatible for Canon Laser Fax 5000/ 5500/ 7000/ 7100/ 7500/ 7700 (Yld 4k)"</f>
        <v>TONER:CAN Item # FX2-BC, Brand Compatible for Canon Laser Fax 5000/ 5500/ 7000/ 7100/ 7500/ 7700 (Yld 4k)</v>
      </c>
      <c r="G778" s="74" t="str">
        <f t="shared" si="50"/>
        <v>EA</v>
      </c>
      <c r="H778" s="7">
        <v>73</v>
      </c>
      <c r="I778" s="2" t="str">
        <f t="shared" si="49"/>
        <v>44103105</v>
      </c>
      <c r="J778" s="10" t="s">
        <v>98</v>
      </c>
    </row>
    <row r="779" spans="1:10" ht="38.25">
      <c r="A779" s="9" t="s">
        <v>27</v>
      </c>
      <c r="B779" s="2" t="s">
        <v>31</v>
      </c>
      <c r="C779" s="2">
        <v>3204</v>
      </c>
      <c r="D779" s="2">
        <v>575</v>
      </c>
      <c r="E779" s="2" t="str">
        <f>"1000017143"</f>
        <v>1000017143</v>
      </c>
      <c r="F779" s="4" t="str">
        <f>"TONER:CAN Item # FX4-BC, Brand Compatible for Canon LC8500/9000/9500 Black Fax Toner (Yld 4k)"</f>
        <v>TONER:CAN Item # FX4-BC, Brand Compatible for Canon LC8500/9000/9500 Black Fax Toner (Yld 4k)</v>
      </c>
      <c r="G779" s="74" t="str">
        <f t="shared" si="50"/>
        <v>EA</v>
      </c>
      <c r="H779" s="7">
        <v>77</v>
      </c>
      <c r="I779" s="2" t="str">
        <f t="shared" si="49"/>
        <v>44103105</v>
      </c>
      <c r="J779" s="10" t="s">
        <v>98</v>
      </c>
    </row>
    <row r="780" spans="1:10" ht="38.25">
      <c r="A780" s="9" t="s">
        <v>27</v>
      </c>
      <c r="B780" s="2" t="s">
        <v>31</v>
      </c>
      <c r="C780" s="2">
        <v>3204</v>
      </c>
      <c r="D780" s="2">
        <v>576</v>
      </c>
      <c r="E780" s="2" t="str">
        <f>"1000017144"</f>
        <v>1000017144</v>
      </c>
      <c r="F780" s="4" t="str">
        <f>"TONER:CAN Item # FX4-CAN, Canon Black fax toner cartridge for LC8500/9000/9500 (Yld 4k)"</f>
        <v>TONER:CAN Item # FX4-CAN, Canon Black fax toner cartridge for LC8500/9000/9500 (Yld 4k)</v>
      </c>
      <c r="G780" s="74" t="str">
        <f t="shared" si="50"/>
        <v>EA</v>
      </c>
      <c r="H780" s="7">
        <v>94</v>
      </c>
      <c r="I780" s="2" t="str">
        <f t="shared" si="49"/>
        <v>44103105</v>
      </c>
      <c r="J780" s="10" t="s">
        <v>98</v>
      </c>
    </row>
    <row r="781" spans="1:10" ht="25.5">
      <c r="A781" s="9" t="s">
        <v>27</v>
      </c>
      <c r="B781" s="2" t="s">
        <v>31</v>
      </c>
      <c r="C781" s="2">
        <v>3204</v>
      </c>
      <c r="D781" s="2">
        <v>581</v>
      </c>
      <c r="E781" s="2" t="str">
        <f>"1000017145"</f>
        <v>1000017145</v>
      </c>
      <c r="F781" s="4" t="str">
        <f>"TONER:CAN Item # FX8-CAN, Canon Toner Cartridge for LC510 Fax (Yld 3,500)"</f>
        <v>TONER:CAN Item # FX8-CAN, Canon Toner Cartridge for LC510 Fax (Yld 3,500)</v>
      </c>
      <c r="G781" s="74" t="str">
        <f t="shared" si="50"/>
        <v>EA</v>
      </c>
      <c r="H781" s="7">
        <v>114</v>
      </c>
      <c r="I781" s="2" t="str">
        <f t="shared" si="49"/>
        <v>44103105</v>
      </c>
      <c r="J781" s="10" t="s">
        <v>98</v>
      </c>
    </row>
    <row r="782" spans="1:10" ht="38.25">
      <c r="A782" s="9" t="s">
        <v>27</v>
      </c>
      <c r="B782" s="2" t="s">
        <v>31</v>
      </c>
      <c r="C782" s="2">
        <v>3204</v>
      </c>
      <c r="D782" s="2">
        <v>120</v>
      </c>
      <c r="E782" s="2" t="str">
        <f>"1000017146"</f>
        <v>1000017146</v>
      </c>
      <c r="F782" s="4" t="str">
        <f>"INK CART:CAN Item # PGI-35-CAN, Canon Black ink tank for Pixma IP100 photo printers"</f>
        <v>INK CART:CAN Item # PGI-35-CAN, Canon Black ink tank for Pixma IP100 photo printers</v>
      </c>
      <c r="G782" s="74" t="str">
        <f t="shared" si="50"/>
        <v>EA</v>
      </c>
      <c r="H782" s="7">
        <v>18.86</v>
      </c>
      <c r="I782" s="2" t="str">
        <f t="shared" si="49"/>
        <v>44103105</v>
      </c>
      <c r="J782" s="10" t="s">
        <v>98</v>
      </c>
    </row>
    <row r="783" spans="1:10" ht="25.5">
      <c r="A783" s="9" t="s">
        <v>27</v>
      </c>
      <c r="B783" s="2" t="s">
        <v>31</v>
      </c>
      <c r="C783" s="2">
        <v>3204</v>
      </c>
      <c r="D783" s="2">
        <v>582</v>
      </c>
      <c r="E783" s="2" t="str">
        <f>"1000017147"</f>
        <v>1000017147</v>
      </c>
      <c r="F783" s="4" t="str">
        <f>"TONER:CSR Item # 370QB012-CS, Copystar TK-18CS Toner (Yld 6k)"</f>
        <v>TONER:CSR Item # 370QB012-CS, Copystar TK-18CS Toner (Yld 6k)</v>
      </c>
      <c r="G783" s="74" t="str">
        <f t="shared" si="50"/>
        <v>EA</v>
      </c>
      <c r="H783" s="7">
        <v>85</v>
      </c>
      <c r="I783" s="2" t="str">
        <f t="shared" si="49"/>
        <v>44103105</v>
      </c>
      <c r="J783" s="10" t="s">
        <v>98</v>
      </c>
    </row>
    <row r="784" spans="1:10" ht="25.5">
      <c r="A784" s="9" t="s">
        <v>27</v>
      </c>
      <c r="B784" s="2" t="s">
        <v>31</v>
      </c>
      <c r="C784" s="2">
        <v>3204</v>
      </c>
      <c r="D784" s="2">
        <v>584</v>
      </c>
      <c r="E784" s="2" t="str">
        <f>"1000017148"</f>
        <v>1000017148</v>
      </c>
      <c r="F784" s="4" t="str">
        <f>"TONER:DEL Item # 1600-BC, Brand Compatible toner for Dell 1600N"</f>
        <v>TONER:DEL Item # 1600-BC, Brand Compatible toner for Dell 1600N</v>
      </c>
      <c r="G784" s="74" t="str">
        <f t="shared" si="50"/>
        <v>EA</v>
      </c>
      <c r="H784" s="7">
        <v>68</v>
      </c>
      <c r="I784" s="2" t="str">
        <f t="shared" si="49"/>
        <v>44103105</v>
      </c>
      <c r="J784" s="10" t="s">
        <v>98</v>
      </c>
    </row>
    <row r="785" spans="1:10" ht="25.5">
      <c r="A785" s="9" t="s">
        <v>27</v>
      </c>
      <c r="B785" s="2" t="s">
        <v>31</v>
      </c>
      <c r="C785" s="2">
        <v>3204</v>
      </c>
      <c r="D785" s="2">
        <v>585</v>
      </c>
      <c r="E785" s="2" t="str">
        <f>"1000017149"</f>
        <v>1000017149</v>
      </c>
      <c r="F785" s="4" t="str">
        <f>"TONER:DEL Item # 2500-MSE, Brand Compatible toner for Dell S2500, S2500N"</f>
        <v>TONER:DEL Item # 2500-MSE, Brand Compatible toner for Dell S2500, S2500N</v>
      </c>
      <c r="G785" s="74" t="str">
        <f t="shared" si="50"/>
        <v>EA</v>
      </c>
      <c r="H785" s="7">
        <v>169</v>
      </c>
      <c r="I785" s="2" t="str">
        <f t="shared" si="49"/>
        <v>44103105</v>
      </c>
      <c r="J785" s="10" t="s">
        <v>98</v>
      </c>
    </row>
    <row r="786" spans="1:10" ht="38.25">
      <c r="A786" s="9" t="s">
        <v>27</v>
      </c>
      <c r="B786" s="2" t="s">
        <v>31</v>
      </c>
      <c r="C786" s="2">
        <v>3204</v>
      </c>
      <c r="D786" s="2">
        <v>105</v>
      </c>
      <c r="E786" s="2" t="str">
        <f>"1000017150"</f>
        <v>1000017150</v>
      </c>
      <c r="F786" s="4" t="str">
        <f>"INK CART:CAN Item # 4708A003-CAN, Canon, BCI-6Y S800/BJC8200 Yellow Ink (AKA F473251400)"</f>
        <v>INK CART:CAN Item # 4708A003-CAN, Canon, BCI-6Y S800/BJC8200 Yellow Ink (AKA F473251400)</v>
      </c>
      <c r="G786" s="74" t="str">
        <f t="shared" si="50"/>
        <v>EA</v>
      </c>
      <c r="H786" s="7">
        <v>14.99</v>
      </c>
      <c r="I786" s="2" t="str">
        <f t="shared" si="49"/>
        <v>44103105</v>
      </c>
      <c r="J786" s="10" t="s">
        <v>98</v>
      </c>
    </row>
    <row r="787" spans="1:10" ht="38.25">
      <c r="A787" s="9" t="s">
        <v>27</v>
      </c>
      <c r="B787" s="2" t="s">
        <v>31</v>
      </c>
      <c r="C787" s="2">
        <v>3204</v>
      </c>
      <c r="D787" s="2">
        <v>106</v>
      </c>
      <c r="E787" s="2" t="str">
        <f>"1000017151"</f>
        <v>1000017151</v>
      </c>
      <c r="F787" s="4" t="str">
        <f>"INK CART:CAN Item # 4709A003-CAN, Canon BCI-6PC S800/BJC8200 Photo Cyan Ink"</f>
        <v>INK CART:CAN Item # 4709A003-CAN, Canon BCI-6PC S800/BJC8200 Photo Cyan Ink</v>
      </c>
      <c r="G787" s="74" t="str">
        <f t="shared" si="50"/>
        <v>EA</v>
      </c>
      <c r="H787" s="7">
        <v>14.99</v>
      </c>
      <c r="I787" s="2" t="str">
        <f t="shared" si="49"/>
        <v>44103105</v>
      </c>
      <c r="J787" s="10" t="s">
        <v>98</v>
      </c>
    </row>
    <row r="788" spans="1:10" ht="38.25">
      <c r="A788" s="9" t="s">
        <v>27</v>
      </c>
      <c r="B788" s="2" t="s">
        <v>31</v>
      </c>
      <c r="C788" s="2">
        <v>3204</v>
      </c>
      <c r="D788" s="2">
        <v>107</v>
      </c>
      <c r="E788" s="2" t="str">
        <f>"1000017152"</f>
        <v>1000017152</v>
      </c>
      <c r="F788" s="4" t="str">
        <f>"INK CART:CAN Item # 4710A003-CAN, Canon BCI-6PM S800/BJC8200 Photo Magenta Ink (AKA F473271400)"</f>
        <v>INK CART:CAN Item # 4710A003-CAN, Canon BCI-6PM S800/BJC8200 Photo Magenta Ink (AKA F473271400)</v>
      </c>
      <c r="G788" s="74" t="str">
        <f t="shared" si="50"/>
        <v>EA</v>
      </c>
      <c r="H788" s="7">
        <v>14.99</v>
      </c>
      <c r="I788" s="2" t="str">
        <f t="shared" si="49"/>
        <v>44103105</v>
      </c>
      <c r="J788" s="10" t="s">
        <v>98</v>
      </c>
    </row>
    <row r="789" spans="1:10" ht="38.25">
      <c r="A789" s="9" t="s">
        <v>27</v>
      </c>
      <c r="B789" s="2" t="s">
        <v>31</v>
      </c>
      <c r="C789" s="2">
        <v>3204</v>
      </c>
      <c r="D789" s="2">
        <v>95</v>
      </c>
      <c r="E789" s="2" t="str">
        <f>"1000017153"</f>
        <v>1000017153</v>
      </c>
      <c r="F789" s="4" t="str">
        <f>"INK CART:CAN Item # 0958A003-CAN, Canon BCI-11C, BJC 50/BJC 70/BJC 80 Series Color Tank (3/bx) (Yld 240)"</f>
        <v>INK CART:CAN Item # 0958A003-CAN, Canon BCI-11C, BJC 50/BJC 70/BJC 80 Series Color Tank (3/bx) (Yld 240)</v>
      </c>
      <c r="G789" s="74" t="str">
        <f>"BX"</f>
        <v>BX</v>
      </c>
      <c r="H789" s="7">
        <v>24</v>
      </c>
      <c r="I789" s="2" t="str">
        <f t="shared" si="49"/>
        <v>44103105</v>
      </c>
      <c r="J789" s="10" t="s">
        <v>98</v>
      </c>
    </row>
    <row r="790" spans="1:10" ht="25.5">
      <c r="A790" s="9" t="s">
        <v>27</v>
      </c>
      <c r="B790" s="2" t="s">
        <v>31</v>
      </c>
      <c r="C790" s="2">
        <v>3204</v>
      </c>
      <c r="D790" s="2">
        <v>108</v>
      </c>
      <c r="E790" s="2" t="str">
        <f>"1000017154"</f>
        <v>1000017154</v>
      </c>
      <c r="F790" s="4" t="str">
        <f>"INK CART:CAN Item # 6881A003AA-CAN, Canon BCI-24 S200/S300 Black Ink"</f>
        <v>INK CART:CAN Item # 6881A003AA-CAN, Canon BCI-24 S200/S300 Black Ink</v>
      </c>
      <c r="G790" s="74" t="str">
        <f t="shared" ref="G790:G821" si="51">"EA"</f>
        <v>EA</v>
      </c>
      <c r="H790" s="7">
        <v>8</v>
      </c>
      <c r="I790" s="2" t="str">
        <f t="shared" si="49"/>
        <v>44103105</v>
      </c>
      <c r="J790" s="10" t="s">
        <v>98</v>
      </c>
    </row>
    <row r="791" spans="1:10" ht="38.25">
      <c r="A791" s="9" t="s">
        <v>27</v>
      </c>
      <c r="B791" s="2" t="s">
        <v>31</v>
      </c>
      <c r="C791" s="2">
        <v>3204</v>
      </c>
      <c r="D791" s="2">
        <v>109</v>
      </c>
      <c r="E791" s="2" t="str">
        <f>"1000017155"</f>
        <v>1000017155</v>
      </c>
      <c r="F791" s="4" t="str">
        <f>"INK CART:CAN Item # 6882A019-CAN (Replaces 6882A003AA) Canon BCI-24 S200/S300 Canon Color Ink"</f>
        <v>INK CART:CAN Item # 6882A019-CAN (Replaces 6882A003AA) Canon BCI-24 S200/S300 Canon Color Ink</v>
      </c>
      <c r="G791" s="74" t="str">
        <f t="shared" si="51"/>
        <v>EA</v>
      </c>
      <c r="H791" s="7">
        <v>19</v>
      </c>
      <c r="I791" s="2" t="str">
        <f t="shared" si="49"/>
        <v>44103105</v>
      </c>
      <c r="J791" s="10" t="s">
        <v>98</v>
      </c>
    </row>
    <row r="792" spans="1:10" ht="51">
      <c r="A792" s="9" t="s">
        <v>27</v>
      </c>
      <c r="B792" s="2" t="s">
        <v>31</v>
      </c>
      <c r="C792" s="2">
        <v>3204</v>
      </c>
      <c r="D792" s="2">
        <v>491</v>
      </c>
      <c r="E792" s="2" t="str">
        <f>"1000017156"</f>
        <v>1000017156</v>
      </c>
      <c r="F792" s="4" t="str">
        <f>"RIBBON:EPS Item # 8755-EPS, Epson Black Nylon (Yld 2mil characters) MX/FX/RX100 Series/ 1170/ 286/ 286E/ 1050/ T750/ AP2500"</f>
        <v>RIBBON:EPS Item # 8755-EPS, Epson Black Nylon (Yld 2mil characters) MX/FX/RX100 Series/ 1170/ 286/ 286E/ 1050/ T750/ AP2500</v>
      </c>
      <c r="G792" s="74" t="str">
        <f t="shared" si="51"/>
        <v>EA</v>
      </c>
      <c r="H792" s="7">
        <v>9</v>
      </c>
      <c r="I792" s="2" t="str">
        <f>"44102606"</f>
        <v>44102606</v>
      </c>
      <c r="J792" s="10" t="s">
        <v>103</v>
      </c>
    </row>
    <row r="793" spans="1:10" ht="25.5">
      <c r="A793" s="9" t="s">
        <v>27</v>
      </c>
      <c r="B793" s="2" t="s">
        <v>31</v>
      </c>
      <c r="C793" s="2">
        <v>3204</v>
      </c>
      <c r="D793" s="2">
        <v>492</v>
      </c>
      <c r="E793" s="2" t="str">
        <f>"1000017157"</f>
        <v>1000017157</v>
      </c>
      <c r="F793" s="4" t="str">
        <f>"RIBBON:EPS Item # 8766, Epson, DFX-5000/5000+/8000/8500 Black"</f>
        <v>RIBBON:EPS Item # 8766, Epson, DFX-5000/5000+/8000/8500 Black</v>
      </c>
      <c r="G793" s="74" t="str">
        <f t="shared" si="51"/>
        <v>EA</v>
      </c>
      <c r="H793" s="7">
        <v>32</v>
      </c>
      <c r="I793" s="2" t="str">
        <f>"44103112"</f>
        <v>44103112</v>
      </c>
      <c r="J793" s="10" t="s">
        <v>105</v>
      </c>
    </row>
    <row r="794" spans="1:10" ht="38.25">
      <c r="A794" s="9" t="s">
        <v>27</v>
      </c>
      <c r="B794" s="2" t="s">
        <v>31</v>
      </c>
      <c r="C794" s="2">
        <v>3204</v>
      </c>
      <c r="D794" s="2">
        <v>494</v>
      </c>
      <c r="E794" s="2" t="str">
        <f>"1000017158"</f>
        <v>1000017158</v>
      </c>
      <c r="F794" s="4" t="str">
        <f>"RIBBON:EPS Item # S015086-EPS, Epson Black Nylon Ribbon for LQ-2070/ 2080/ 2170/ 2180/ FX2170/ FX2180 printer"</f>
        <v>RIBBON:EPS Item # S015086-EPS, Epson Black Nylon Ribbon for LQ-2070/ 2080/ 2170/ 2180/ FX2170/ FX2180 printer</v>
      </c>
      <c r="G794" s="74" t="str">
        <f t="shared" si="51"/>
        <v>EA</v>
      </c>
      <c r="H794" s="7">
        <v>34</v>
      </c>
      <c r="I794" s="2" t="str">
        <f>"44103112"</f>
        <v>44103112</v>
      </c>
      <c r="J794" s="10" t="s">
        <v>105</v>
      </c>
    </row>
    <row r="795" spans="1:10" ht="51">
      <c r="A795" s="9" t="s">
        <v>27</v>
      </c>
      <c r="B795" s="2" t="s">
        <v>31</v>
      </c>
      <c r="C795" s="2">
        <v>3204</v>
      </c>
      <c r="D795" s="2">
        <v>121</v>
      </c>
      <c r="E795" s="2" t="str">
        <f>"1000017159"</f>
        <v>1000017159</v>
      </c>
      <c r="F795" s="4" t="str">
        <f>"INK CART:EPS Item # S020093-EPS. Epson T050 Black Inkjet Cartridge. Consolidated Part No. for S020093 and S020187 for Epson Stylus 400/500/600"</f>
        <v>INK CART:EPS Item # S020093-EPS. Epson T050 Black Inkjet Cartridge. Consolidated Part No. for S020093 and S020187 for Epson Stylus 400/500/600</v>
      </c>
      <c r="G795" s="74" t="str">
        <f t="shared" si="51"/>
        <v>EA</v>
      </c>
      <c r="H795" s="7">
        <v>18</v>
      </c>
      <c r="I795" s="2" t="str">
        <f t="shared" ref="I795:I815" si="52">"44103105"</f>
        <v>44103105</v>
      </c>
      <c r="J795" s="10" t="s">
        <v>98</v>
      </c>
    </row>
    <row r="796" spans="1:10" ht="38.25">
      <c r="A796" s="9" t="s">
        <v>27</v>
      </c>
      <c r="B796" s="2" t="s">
        <v>31</v>
      </c>
      <c r="C796" s="2">
        <v>3204</v>
      </c>
      <c r="D796" s="2">
        <v>123</v>
      </c>
      <c r="E796" s="2" t="str">
        <f>"1000017160"</f>
        <v>1000017160</v>
      </c>
      <c r="F796" s="4" t="str">
        <f>"INK CART:EPS Item # S020122-EPS, Epson, Stylus Color 3000/Pro 5000 Yellow Ink Cartridge (Yld 2.1k)"</f>
        <v>INK CART:EPS Item # S020122-EPS, Epson, Stylus Color 3000/Pro 5000 Yellow Ink Cartridge (Yld 2.1k)</v>
      </c>
      <c r="G796" s="74" t="str">
        <f t="shared" si="51"/>
        <v>EA</v>
      </c>
      <c r="H796" s="7">
        <v>65</v>
      </c>
      <c r="I796" s="2" t="str">
        <f t="shared" si="52"/>
        <v>44103105</v>
      </c>
      <c r="J796" s="10" t="s">
        <v>98</v>
      </c>
    </row>
    <row r="797" spans="1:10" ht="38.25">
      <c r="A797" s="9" t="s">
        <v>27</v>
      </c>
      <c r="B797" s="2" t="s">
        <v>31</v>
      </c>
      <c r="C797" s="2">
        <v>3204</v>
      </c>
      <c r="D797" s="2">
        <v>128</v>
      </c>
      <c r="E797" s="2" t="str">
        <f>"1000017161"</f>
        <v>1000017161</v>
      </c>
      <c r="F797" s="4" t="str">
        <f>"INK CART:EPS Item # S191089-EPS, Epson Color Ink Cartridge for Stylus 400/440/600/800"</f>
        <v>INK CART:EPS Item # S191089-EPS, Epson Color Ink Cartridge for Stylus 400/440/600/800</v>
      </c>
      <c r="G797" s="74" t="str">
        <f t="shared" si="51"/>
        <v>EA</v>
      </c>
      <c r="H797" s="7">
        <v>29</v>
      </c>
      <c r="I797" s="2" t="str">
        <f t="shared" si="52"/>
        <v>44103105</v>
      </c>
      <c r="J797" s="10" t="s">
        <v>98</v>
      </c>
    </row>
    <row r="798" spans="1:10" ht="38.25">
      <c r="A798" s="9" t="s">
        <v>27</v>
      </c>
      <c r="B798" s="2" t="s">
        <v>31</v>
      </c>
      <c r="C798" s="2">
        <v>3204</v>
      </c>
      <c r="D798" s="2">
        <v>130</v>
      </c>
      <c r="E798" s="2" t="str">
        <f>"1000017162"</f>
        <v>1000017162</v>
      </c>
      <c r="F798" s="4" t="str">
        <f>"INK CART:EPS Item # T003011-EPS, Epson Stylus Color 900/900N/980/980N Black Ink Cartridge(Yld 840)"</f>
        <v>INK CART:EPS Item # T003011-EPS, Epson Stylus Color 900/900N/980/980N Black Ink Cartridge(Yld 840)</v>
      </c>
      <c r="G798" s="74" t="str">
        <f t="shared" si="51"/>
        <v>EA</v>
      </c>
      <c r="H798" s="7">
        <v>33</v>
      </c>
      <c r="I798" s="2" t="str">
        <f t="shared" si="52"/>
        <v>44103105</v>
      </c>
      <c r="J798" s="10" t="s">
        <v>98</v>
      </c>
    </row>
    <row r="799" spans="1:10" ht="38.25">
      <c r="A799" s="9" t="s">
        <v>27</v>
      </c>
      <c r="B799" s="2" t="s">
        <v>31</v>
      </c>
      <c r="C799" s="2">
        <v>3204</v>
      </c>
      <c r="D799" s="2">
        <v>114</v>
      </c>
      <c r="E799" s="2" t="str">
        <f>"1000017163"</f>
        <v>1000017163</v>
      </c>
      <c r="F799" s="4" t="str">
        <f>"INK CART:CAN Item # CLI-8C-CAN, Canon ink Cyan IP4200 IP5200 5200R 6600D MP500 MP780"</f>
        <v>INK CART:CAN Item # CLI-8C-CAN, Canon ink Cyan IP4200 IP5200 5200R 6600D MP500 MP780</v>
      </c>
      <c r="G799" s="74" t="str">
        <f t="shared" si="51"/>
        <v>EA</v>
      </c>
      <c r="H799" s="7">
        <v>16.32</v>
      </c>
      <c r="I799" s="2" t="str">
        <f t="shared" si="52"/>
        <v>44103105</v>
      </c>
      <c r="J799" s="10" t="s">
        <v>98</v>
      </c>
    </row>
    <row r="800" spans="1:10" ht="38.25">
      <c r="A800" s="9" t="s">
        <v>27</v>
      </c>
      <c r="B800" s="2" t="s">
        <v>31</v>
      </c>
      <c r="C800" s="2">
        <v>3204</v>
      </c>
      <c r="D800" s="2">
        <v>115</v>
      </c>
      <c r="E800" s="2" t="str">
        <f>"1000017164"</f>
        <v>1000017164</v>
      </c>
      <c r="F800" s="4" t="str">
        <f>"INK CART:CAN Item # CLI-8M-CAN, Canon ink Magenta IP4200 IP5200 5200R 6600D MP500 MP780"</f>
        <v>INK CART:CAN Item # CLI-8M-CAN, Canon ink Magenta IP4200 IP5200 5200R 6600D MP500 MP780</v>
      </c>
      <c r="G800" s="74" t="str">
        <f t="shared" si="51"/>
        <v>EA</v>
      </c>
      <c r="H800" s="7">
        <v>16.32</v>
      </c>
      <c r="I800" s="2" t="str">
        <f t="shared" si="52"/>
        <v>44103105</v>
      </c>
      <c r="J800" s="10" t="s">
        <v>98</v>
      </c>
    </row>
    <row r="801" spans="1:10" ht="38.25">
      <c r="A801" s="9" t="s">
        <v>27</v>
      </c>
      <c r="B801" s="2" t="s">
        <v>31</v>
      </c>
      <c r="C801" s="2">
        <v>3204</v>
      </c>
      <c r="D801" s="2">
        <v>116</v>
      </c>
      <c r="E801" s="2" t="str">
        <f>"1000017165"</f>
        <v>1000017165</v>
      </c>
      <c r="F801" s="4" t="str">
        <f>"INK CART:CAN Item # CLI-8PC-CAN, Canon ink photo Cyan IP4200 IP5200 5200R 6600D MP500 MP780"</f>
        <v>INK CART:CAN Item # CLI-8PC-CAN, Canon ink photo Cyan IP4200 IP5200 5200R 6600D MP500 MP780</v>
      </c>
      <c r="G801" s="74" t="str">
        <f t="shared" si="51"/>
        <v>EA</v>
      </c>
      <c r="H801" s="7">
        <v>16.32</v>
      </c>
      <c r="I801" s="2" t="str">
        <f t="shared" si="52"/>
        <v>44103105</v>
      </c>
      <c r="J801" s="10" t="s">
        <v>98</v>
      </c>
    </row>
    <row r="802" spans="1:10" ht="38.25">
      <c r="A802" s="9" t="s">
        <v>27</v>
      </c>
      <c r="B802" s="2" t="s">
        <v>31</v>
      </c>
      <c r="C802" s="2">
        <v>3204</v>
      </c>
      <c r="D802" s="2">
        <v>118</v>
      </c>
      <c r="E802" s="2" t="str">
        <f>"1000017167"</f>
        <v>1000017167</v>
      </c>
      <c r="F802" s="4" t="str">
        <f>"INK CART:CAN Item # CLI-8PY-CAN, Canon ink photo Yellow IP4200 IP5200 5200R 6600D MP500 MP781"</f>
        <v>INK CART:CAN Item # CLI-8PY-CAN, Canon ink photo Yellow IP4200 IP5200 5200R 6600D MP500 MP781</v>
      </c>
      <c r="G802" s="74" t="str">
        <f t="shared" si="51"/>
        <v>EA</v>
      </c>
      <c r="H802" s="7">
        <v>13</v>
      </c>
      <c r="I802" s="2" t="str">
        <f t="shared" si="52"/>
        <v>44103105</v>
      </c>
      <c r="J802" s="10" t="s">
        <v>98</v>
      </c>
    </row>
    <row r="803" spans="1:10" ht="38.25">
      <c r="A803" s="9" t="s">
        <v>27</v>
      </c>
      <c r="B803" s="2" t="s">
        <v>31</v>
      </c>
      <c r="C803" s="2">
        <v>3204</v>
      </c>
      <c r="D803" s="2">
        <v>119</v>
      </c>
      <c r="E803" s="2" t="str">
        <f>"1000017168"</f>
        <v>1000017168</v>
      </c>
      <c r="F803" s="4" t="str">
        <f>"INK CART:CAN Item # CLI-8Y-CAN, Canon ink yellow IP4200 IP5200 5200R 6600D MP500 MP780"</f>
        <v>INK CART:CAN Item # CLI-8Y-CAN, Canon ink yellow IP4200 IP5200 5200R 6600D MP500 MP780</v>
      </c>
      <c r="G803" s="74" t="str">
        <f t="shared" si="51"/>
        <v>EA</v>
      </c>
      <c r="H803" s="7">
        <v>16.32</v>
      </c>
      <c r="I803" s="2" t="str">
        <f t="shared" si="52"/>
        <v>44103105</v>
      </c>
      <c r="J803" s="10" t="s">
        <v>98</v>
      </c>
    </row>
    <row r="804" spans="1:10" ht="38.25">
      <c r="A804" s="9" t="s">
        <v>27</v>
      </c>
      <c r="B804" s="2" t="s">
        <v>31</v>
      </c>
      <c r="C804" s="2">
        <v>3204</v>
      </c>
      <c r="D804" s="2">
        <v>137</v>
      </c>
      <c r="E804" s="2" t="str">
        <f>"1000017169"</f>
        <v>1000017169</v>
      </c>
      <c r="F804" s="4" t="str">
        <f>"INK CART:EPS Item # T026201-EPS, Epson Stylus Color 820 Black Inkjet Cartridge (Yld 370)"</f>
        <v>INK CART:EPS Item # T026201-EPS, Epson Stylus Color 820 Black Inkjet Cartridge (Yld 370)</v>
      </c>
      <c r="G804" s="74" t="str">
        <f t="shared" si="51"/>
        <v>EA</v>
      </c>
      <c r="H804" s="7">
        <v>26</v>
      </c>
      <c r="I804" s="2" t="str">
        <f t="shared" si="52"/>
        <v>44103105</v>
      </c>
      <c r="J804" s="10" t="s">
        <v>98</v>
      </c>
    </row>
    <row r="805" spans="1:10" ht="38.25">
      <c r="A805" s="9" t="s">
        <v>27</v>
      </c>
      <c r="B805" s="2" t="s">
        <v>31</v>
      </c>
      <c r="C805" s="2">
        <v>3204</v>
      </c>
      <c r="D805" s="2">
        <v>138</v>
      </c>
      <c r="E805" s="2" t="str">
        <f>"1000017170"</f>
        <v>1000017170</v>
      </c>
      <c r="F805" s="4" t="str">
        <f>"INK CART:EPS Item # T027201-EPS, Epson Stylus Photo 820 InkJet Cartridge, Color (Yld 220)"</f>
        <v>INK CART:EPS Item # T027201-EPS, Epson Stylus Photo 820 InkJet Cartridge, Color (Yld 220)</v>
      </c>
      <c r="G805" s="74" t="str">
        <f t="shared" si="51"/>
        <v>EA</v>
      </c>
      <c r="H805" s="7">
        <v>22</v>
      </c>
      <c r="I805" s="2" t="str">
        <f t="shared" si="52"/>
        <v>44103105</v>
      </c>
      <c r="J805" s="10" t="s">
        <v>98</v>
      </c>
    </row>
    <row r="806" spans="1:10" ht="38.25">
      <c r="A806" s="9" t="s">
        <v>27</v>
      </c>
      <c r="B806" s="2" t="s">
        <v>31</v>
      </c>
      <c r="C806" s="2">
        <v>3204</v>
      </c>
      <c r="D806" s="2">
        <v>139</v>
      </c>
      <c r="E806" s="2" t="str">
        <f>"1000017171"</f>
        <v>1000017171</v>
      </c>
      <c r="F806" s="4" t="str">
        <f>"INK CART:EPS Item # T032120-EPS, Epson Stylus C80/C82 Inkjet Cartridge Black (Yld 870)"</f>
        <v>INK CART:EPS Item # T032120-EPS, Epson Stylus C80/C82 Inkjet Cartridge Black (Yld 870)</v>
      </c>
      <c r="G806" s="74" t="str">
        <f t="shared" si="51"/>
        <v>EA</v>
      </c>
      <c r="H806" s="7">
        <v>35</v>
      </c>
      <c r="I806" s="2" t="str">
        <f t="shared" si="52"/>
        <v>44103105</v>
      </c>
      <c r="J806" s="10" t="s">
        <v>98</v>
      </c>
    </row>
    <row r="807" spans="1:10" ht="38.25">
      <c r="A807" s="9" t="s">
        <v>27</v>
      </c>
      <c r="B807" s="2" t="s">
        <v>31</v>
      </c>
      <c r="C807" s="2">
        <v>3204</v>
      </c>
      <c r="D807" s="2">
        <v>140</v>
      </c>
      <c r="E807" s="2" t="str">
        <f>"1000017172"</f>
        <v>1000017172</v>
      </c>
      <c r="F807" s="4" t="str">
        <f>"INK CART:EPS Item # T033120-EPS, Epson Ink cartridge, Black for Stylus Photo 960 Printer"</f>
        <v>INK CART:EPS Item # T033120-EPS, Epson Ink cartridge, Black for Stylus Photo 960 Printer</v>
      </c>
      <c r="G807" s="74" t="str">
        <f t="shared" si="51"/>
        <v>EA</v>
      </c>
      <c r="H807" s="7">
        <v>13</v>
      </c>
      <c r="I807" s="2" t="str">
        <f t="shared" si="52"/>
        <v>44103105</v>
      </c>
      <c r="J807" s="10" t="s">
        <v>98</v>
      </c>
    </row>
    <row r="808" spans="1:10" ht="38.25">
      <c r="A808" s="9" t="s">
        <v>27</v>
      </c>
      <c r="B808" s="2" t="s">
        <v>31</v>
      </c>
      <c r="C808" s="2">
        <v>3204</v>
      </c>
      <c r="D808" s="2">
        <v>141</v>
      </c>
      <c r="E808" s="2" t="str">
        <f>"1000017173"</f>
        <v>1000017173</v>
      </c>
      <c r="F808" s="4" t="str">
        <f>"INK CART:EPS Item # T033220-EPS, Epson Ink cartridge, Cyan for Stylus Photo 960 Printer"</f>
        <v>INK CART:EPS Item # T033220-EPS, Epson Ink cartridge, Cyan for Stylus Photo 960 Printer</v>
      </c>
      <c r="G808" s="74" t="str">
        <f t="shared" si="51"/>
        <v>EA</v>
      </c>
      <c r="H808" s="7">
        <v>13</v>
      </c>
      <c r="I808" s="2" t="str">
        <f t="shared" si="52"/>
        <v>44103105</v>
      </c>
      <c r="J808" s="10" t="s">
        <v>98</v>
      </c>
    </row>
    <row r="809" spans="1:10" ht="38.25">
      <c r="A809" s="9" t="s">
        <v>27</v>
      </c>
      <c r="B809" s="2" t="s">
        <v>31</v>
      </c>
      <c r="C809" s="2">
        <v>3204</v>
      </c>
      <c r="D809" s="2">
        <v>142</v>
      </c>
      <c r="E809" s="2" t="str">
        <f>"1000017174"</f>
        <v>1000017174</v>
      </c>
      <c r="F809" s="4" t="str">
        <f>"INK CART:EPS Item # T033420-EPS, Epson Ink cartridge, Yellow for Stylus Photo 960 Printer (Yld 460)"</f>
        <v>INK CART:EPS Item # T033420-EPS, Epson Ink cartridge, Yellow for Stylus Photo 960 Printer (Yld 460)</v>
      </c>
      <c r="G809" s="74" t="str">
        <f t="shared" si="51"/>
        <v>EA</v>
      </c>
      <c r="H809" s="7">
        <v>13</v>
      </c>
      <c r="I809" s="2" t="str">
        <f t="shared" si="52"/>
        <v>44103105</v>
      </c>
      <c r="J809" s="10" t="s">
        <v>98</v>
      </c>
    </row>
    <row r="810" spans="1:10" ht="38.25">
      <c r="A810" s="9" t="s">
        <v>27</v>
      </c>
      <c r="B810" s="2" t="s">
        <v>31</v>
      </c>
      <c r="C810" s="2">
        <v>3204</v>
      </c>
      <c r="D810" s="2">
        <v>143</v>
      </c>
      <c r="E810" s="2" t="str">
        <f>"1000017175"</f>
        <v>1000017175</v>
      </c>
      <c r="F810" s="4" t="str">
        <f>"INK CART:EPS Item # T033520-EPS, Epson Ink cartridge, Light Cyan for Stylus Photo 960 Printer"</f>
        <v>INK CART:EPS Item # T033520-EPS, Epson Ink cartridge, Light Cyan for Stylus Photo 960 Printer</v>
      </c>
      <c r="G810" s="74" t="str">
        <f t="shared" si="51"/>
        <v>EA</v>
      </c>
      <c r="H810" s="7">
        <v>13</v>
      </c>
      <c r="I810" s="2" t="str">
        <f t="shared" si="52"/>
        <v>44103105</v>
      </c>
      <c r="J810" s="10" t="s">
        <v>98</v>
      </c>
    </row>
    <row r="811" spans="1:10" ht="38.25">
      <c r="A811" s="9" t="s">
        <v>27</v>
      </c>
      <c r="B811" s="2" t="s">
        <v>31</v>
      </c>
      <c r="C811" s="2">
        <v>3204</v>
      </c>
      <c r="D811" s="2">
        <v>586</v>
      </c>
      <c r="E811" s="2" t="str">
        <f>"1000017176"</f>
        <v>1000017176</v>
      </c>
      <c r="F811" s="4" t="str">
        <f>"TONER:DEL Item # 5200N-MSE, Brand Compatible toner cartridge for Dell M5200, M5300 (Yld 21k)"</f>
        <v>TONER:DEL Item # 5200N-MSE, Brand Compatible toner cartridge for Dell M5200, M5300 (Yld 21k)</v>
      </c>
      <c r="G811" s="74" t="str">
        <f t="shared" si="51"/>
        <v>EA</v>
      </c>
      <c r="H811" s="7">
        <v>156</v>
      </c>
      <c r="I811" s="2" t="str">
        <f t="shared" si="52"/>
        <v>44103105</v>
      </c>
      <c r="J811" s="10" t="s">
        <v>98</v>
      </c>
    </row>
    <row r="812" spans="1:10" ht="38.25">
      <c r="A812" s="9" t="s">
        <v>27</v>
      </c>
      <c r="B812" s="2" t="s">
        <v>31</v>
      </c>
      <c r="C812" s="2">
        <v>3204</v>
      </c>
      <c r="D812" s="2">
        <v>587</v>
      </c>
      <c r="E812" s="2" t="str">
        <f>"1000017177"</f>
        <v>1000017177</v>
      </c>
      <c r="F812" s="4" t="str">
        <f>"TONER:DEL Item # 5210-BC, Brand Compatible toner cartridge for Dell 5210N/5310N"</f>
        <v>TONER:DEL Item # 5210-BC, Brand Compatible toner cartridge for Dell 5210N/5310N</v>
      </c>
      <c r="G812" s="74" t="str">
        <f t="shared" si="51"/>
        <v>EA</v>
      </c>
      <c r="H812" s="7">
        <v>163</v>
      </c>
      <c r="I812" s="2" t="str">
        <f t="shared" si="52"/>
        <v>44103105</v>
      </c>
      <c r="J812" s="10" t="s">
        <v>98</v>
      </c>
    </row>
    <row r="813" spans="1:10" ht="38.25">
      <c r="A813" s="9" t="s">
        <v>27</v>
      </c>
      <c r="B813" s="2" t="s">
        <v>31</v>
      </c>
      <c r="C813" s="2">
        <v>3204</v>
      </c>
      <c r="D813" s="2">
        <v>588</v>
      </c>
      <c r="E813" s="2" t="str">
        <f>"1000017178"</f>
        <v>1000017178</v>
      </c>
      <c r="F813" s="4" t="str">
        <f>"TONER:DEL Item # P1500-MSE, Brand Compatible Black toner for Dell P1500, (Yld 6k)"</f>
        <v>TONER:DEL Item # P1500-MSE, Brand Compatible Black toner for Dell P1500, (Yld 6k)</v>
      </c>
      <c r="G813" s="74" t="str">
        <f t="shared" si="51"/>
        <v>EA</v>
      </c>
      <c r="H813" s="7">
        <v>86</v>
      </c>
      <c r="I813" s="2" t="str">
        <f t="shared" si="52"/>
        <v>44103105</v>
      </c>
      <c r="J813" s="10" t="s">
        <v>98</v>
      </c>
    </row>
    <row r="814" spans="1:10" ht="38.25">
      <c r="A814" s="9" t="s">
        <v>27</v>
      </c>
      <c r="B814" s="2" t="s">
        <v>31</v>
      </c>
      <c r="C814" s="2">
        <v>3204</v>
      </c>
      <c r="D814" s="2">
        <v>564</v>
      </c>
      <c r="E814" s="2" t="str">
        <f>"1000017179"</f>
        <v>1000017179</v>
      </c>
      <c r="F814" s="4" t="str">
        <f>"TONER:CAN Item # 6836A003AA-CAN, Canon GPR-8 Black Toner (Yld 7.85k) for ImageRunner 1600/2000/2010F"</f>
        <v>TONER:CAN Item # 6836A003AA-CAN, Canon GPR-8 Black Toner (Yld 7.85k) for ImageRunner 1600/2000/2010F</v>
      </c>
      <c r="G814" s="74" t="str">
        <f t="shared" si="51"/>
        <v>EA</v>
      </c>
      <c r="H814" s="7">
        <v>28</v>
      </c>
      <c r="I814" s="2" t="str">
        <f t="shared" si="52"/>
        <v>44103105</v>
      </c>
      <c r="J814" s="10" t="s">
        <v>98</v>
      </c>
    </row>
    <row r="815" spans="1:10" ht="25.5">
      <c r="A815" s="9" t="s">
        <v>27</v>
      </c>
      <c r="B815" s="2" t="s">
        <v>31</v>
      </c>
      <c r="C815" s="2">
        <v>3204</v>
      </c>
      <c r="D815" s="2">
        <v>590</v>
      </c>
      <c r="E815" s="2" t="str">
        <f>"1000017180"</f>
        <v>1000017180</v>
      </c>
      <c r="F815" s="4" t="str">
        <f>"TONER:EPS Item # S020187-EPS, Epson Black Photo 440/640/750/1200"</f>
        <v>TONER:EPS Item # S020187-EPS, Epson Black Photo 440/640/750/1200</v>
      </c>
      <c r="G815" s="74" t="str">
        <f t="shared" si="51"/>
        <v>EA</v>
      </c>
      <c r="H815" s="7">
        <v>23</v>
      </c>
      <c r="I815" s="2" t="str">
        <f t="shared" si="52"/>
        <v>44103105</v>
      </c>
      <c r="J815" s="10" t="s">
        <v>98</v>
      </c>
    </row>
    <row r="816" spans="1:10" ht="51">
      <c r="A816" s="9" t="s">
        <v>27</v>
      </c>
      <c r="B816" s="2" t="s">
        <v>31</v>
      </c>
      <c r="C816" s="2">
        <v>3204</v>
      </c>
      <c r="D816" s="2">
        <v>489</v>
      </c>
      <c r="E816" s="2" t="str">
        <f>"1000017181"</f>
        <v>1000017181</v>
      </c>
      <c r="F816" s="4" t="str">
        <f>"RIBBON:EPS Item # 7754-EPS, Epson Black HD Nylon (Yld 3mil characters) LQ-1000/ 1010/ 1050/ 1050+/ 1170/ 1170+/ L750/ AP4500/ AP5500"</f>
        <v>RIBBON:EPS Item # 7754-EPS, Epson Black HD Nylon (Yld 3mil characters) LQ-1000/ 1010/ 1050/ 1050+/ 1170/ 1170+/ L750/ AP4500/ AP5500</v>
      </c>
      <c r="G816" s="74" t="str">
        <f t="shared" si="51"/>
        <v>EA</v>
      </c>
      <c r="H816" s="7">
        <v>9.7799999999999994</v>
      </c>
      <c r="I816" s="2" t="str">
        <f>"44102606"</f>
        <v>44102606</v>
      </c>
      <c r="J816" s="10" t="s">
        <v>103</v>
      </c>
    </row>
    <row r="817" spans="1:10" ht="25.5">
      <c r="A817" s="9" t="s">
        <v>27</v>
      </c>
      <c r="B817" s="2" t="s">
        <v>31</v>
      </c>
      <c r="C817" s="2">
        <v>3204</v>
      </c>
      <c r="D817" s="2">
        <v>157</v>
      </c>
      <c r="E817" s="2" t="str">
        <f>"1000017182"</f>
        <v>1000017182</v>
      </c>
      <c r="F817" s="4" t="str">
        <f>"INK CART:EPS Item # T042220-EPS, Epson Stylus C82 Inkjet Cartridge, Cyan (Yld 420)"</f>
        <v>INK CART:EPS Item # T042220-EPS, Epson Stylus C82 Inkjet Cartridge, Cyan (Yld 420)</v>
      </c>
      <c r="G817" s="74" t="str">
        <f t="shared" si="51"/>
        <v>EA</v>
      </c>
      <c r="H817" s="7">
        <v>14</v>
      </c>
      <c r="I817" s="2" t="str">
        <f t="shared" ref="I817:I848" si="53">"44103105"</f>
        <v>44103105</v>
      </c>
      <c r="J817" s="10" t="s">
        <v>98</v>
      </c>
    </row>
    <row r="818" spans="1:10" ht="38.25">
      <c r="A818" s="9" t="s">
        <v>27</v>
      </c>
      <c r="B818" s="2" t="s">
        <v>31</v>
      </c>
      <c r="C818" s="2">
        <v>3204</v>
      </c>
      <c r="D818" s="2">
        <v>158</v>
      </c>
      <c r="E818" s="2" t="str">
        <f>"1000017183"</f>
        <v>1000017183</v>
      </c>
      <c r="F818" s="4" t="str">
        <f>"INK CART:EPS Item # T042320-EPS, Epson Stylus C82 Inkjet Cartridge, Magenta (Yld 420)"</f>
        <v>INK CART:EPS Item # T042320-EPS, Epson Stylus C82 Inkjet Cartridge, Magenta (Yld 420)</v>
      </c>
      <c r="G818" s="74" t="str">
        <f t="shared" si="51"/>
        <v>EA</v>
      </c>
      <c r="H818" s="7">
        <v>13</v>
      </c>
      <c r="I818" s="2" t="str">
        <f t="shared" si="53"/>
        <v>44103105</v>
      </c>
      <c r="J818" s="10" t="s">
        <v>98</v>
      </c>
    </row>
    <row r="819" spans="1:10" ht="38.25">
      <c r="A819" s="9" t="s">
        <v>27</v>
      </c>
      <c r="B819" s="2" t="s">
        <v>31</v>
      </c>
      <c r="C819" s="2">
        <v>3204</v>
      </c>
      <c r="D819" s="2">
        <v>159</v>
      </c>
      <c r="E819" s="2" t="str">
        <f>"1000017184"</f>
        <v>1000017184</v>
      </c>
      <c r="F819" s="4" t="str">
        <f>"INK CART:EPS Item # T042420-EPS, Epson Stylus C82 Inkjet Cartridge, Yellow (Yld 420)"</f>
        <v>INK CART:EPS Item # T042420-EPS, Epson Stylus C82 Inkjet Cartridge, Yellow (Yld 420)</v>
      </c>
      <c r="G819" s="74" t="str">
        <f t="shared" si="51"/>
        <v>EA</v>
      </c>
      <c r="H819" s="7">
        <v>13</v>
      </c>
      <c r="I819" s="2" t="str">
        <f t="shared" si="53"/>
        <v>44103105</v>
      </c>
      <c r="J819" s="10" t="s">
        <v>98</v>
      </c>
    </row>
    <row r="820" spans="1:10" ht="38.25">
      <c r="A820" s="9" t="s">
        <v>27</v>
      </c>
      <c r="B820" s="2" t="s">
        <v>31</v>
      </c>
      <c r="C820" s="2">
        <v>3204</v>
      </c>
      <c r="D820" s="2">
        <v>160</v>
      </c>
      <c r="E820" s="2" t="str">
        <f>"1000017185"</f>
        <v>1000017185</v>
      </c>
      <c r="F820" s="4" t="str">
        <f>"INK CART:EPS Item # T043120-EPS, Epson Stylus C64/C84/CX6400 High Yld High Capacity Black Ink Ctg"</f>
        <v>INK CART:EPS Item # T043120-EPS, Epson Stylus C64/C84/CX6400 High Yld High Capacity Black Ink Ctg</v>
      </c>
      <c r="G820" s="74" t="str">
        <f t="shared" si="51"/>
        <v>EA</v>
      </c>
      <c r="H820" s="7">
        <v>35</v>
      </c>
      <c r="I820" s="2" t="str">
        <f t="shared" si="53"/>
        <v>44103105</v>
      </c>
      <c r="J820" s="10" t="s">
        <v>98</v>
      </c>
    </row>
    <row r="821" spans="1:10" ht="38.25">
      <c r="A821" s="9" t="s">
        <v>27</v>
      </c>
      <c r="B821" s="2" t="s">
        <v>31</v>
      </c>
      <c r="C821" s="2">
        <v>3204</v>
      </c>
      <c r="D821" s="2">
        <v>161</v>
      </c>
      <c r="E821" s="2" t="str">
        <f>"1000017186"</f>
        <v>1000017186</v>
      </c>
      <c r="F821" s="4" t="str">
        <f>"INK CART:EPS Item # T044120-EPS, Epson Stylus C64/C84/CX6400 Black Ink Ctg (Yld 400)"</f>
        <v>INK CART:EPS Item # T044120-EPS, Epson Stylus C64/C84/CX6400 Black Ink Ctg (Yld 400)</v>
      </c>
      <c r="G821" s="74" t="str">
        <f t="shared" si="51"/>
        <v>EA</v>
      </c>
      <c r="H821" s="7">
        <v>25</v>
      </c>
      <c r="I821" s="2" t="str">
        <f t="shared" si="53"/>
        <v>44103105</v>
      </c>
      <c r="J821" s="10" t="s">
        <v>98</v>
      </c>
    </row>
    <row r="822" spans="1:10" ht="38.25">
      <c r="A822" s="9" t="s">
        <v>27</v>
      </c>
      <c r="B822" s="2" t="s">
        <v>31</v>
      </c>
      <c r="C822" s="2">
        <v>3204</v>
      </c>
      <c r="D822" s="2">
        <v>162</v>
      </c>
      <c r="E822" s="2" t="str">
        <f>"1000017187"</f>
        <v>1000017187</v>
      </c>
      <c r="F822" s="4" t="str">
        <f>"INK CART:EPS Item # T044220-EPS, Epson Stylus C64/C84/CX6400 Cyan Ink Ctg (Yld 400)"</f>
        <v>INK CART:EPS Item # T044220-EPS, Epson Stylus C64/C84/CX6400 Cyan Ink Ctg (Yld 400)</v>
      </c>
      <c r="G822" s="74" t="str">
        <f t="shared" ref="G822:G849" si="54">"EA"</f>
        <v>EA</v>
      </c>
      <c r="H822" s="7">
        <v>12</v>
      </c>
      <c r="I822" s="2" t="str">
        <f t="shared" si="53"/>
        <v>44103105</v>
      </c>
      <c r="J822" s="10" t="s">
        <v>98</v>
      </c>
    </row>
    <row r="823" spans="1:10" ht="38.25">
      <c r="A823" s="9" t="s">
        <v>27</v>
      </c>
      <c r="B823" s="2" t="s">
        <v>31</v>
      </c>
      <c r="C823" s="2">
        <v>3204</v>
      </c>
      <c r="D823" s="2">
        <v>163</v>
      </c>
      <c r="E823" s="2" t="str">
        <f>"1000017188"</f>
        <v>1000017188</v>
      </c>
      <c r="F823" s="4" t="str">
        <f>"INK CART:EPS Item # T044320-EPS, Epson Stylus C64/C84/CX6400 Magenta Ink Ctg (Yld 400)"</f>
        <v>INK CART:EPS Item # T044320-EPS, Epson Stylus C64/C84/CX6400 Magenta Ink Ctg (Yld 400)</v>
      </c>
      <c r="G823" s="74" t="str">
        <f t="shared" si="54"/>
        <v>EA</v>
      </c>
      <c r="H823" s="7">
        <v>12</v>
      </c>
      <c r="I823" s="2" t="str">
        <f t="shared" si="53"/>
        <v>44103105</v>
      </c>
      <c r="J823" s="10" t="s">
        <v>98</v>
      </c>
    </row>
    <row r="824" spans="1:10" ht="38.25">
      <c r="A824" s="9" t="s">
        <v>27</v>
      </c>
      <c r="B824" s="2" t="s">
        <v>31</v>
      </c>
      <c r="C824" s="2">
        <v>3204</v>
      </c>
      <c r="D824" s="2">
        <v>164</v>
      </c>
      <c r="E824" s="2" t="str">
        <f>"1000017189"</f>
        <v>1000017189</v>
      </c>
      <c r="F824" s="4" t="str">
        <f>"INK CART:EPS Item # T044420-EPS, Epson Stylus C64/C84/CX6400 Yellow Ink Ctg (Yld 400)"</f>
        <v>INK CART:EPS Item # T044420-EPS, Epson Stylus C64/C84/CX6400 Yellow Ink Ctg (Yld 400)</v>
      </c>
      <c r="G824" s="74" t="str">
        <f t="shared" si="54"/>
        <v>EA</v>
      </c>
      <c r="H824" s="7">
        <v>12</v>
      </c>
      <c r="I824" s="2" t="str">
        <f t="shared" si="53"/>
        <v>44103105</v>
      </c>
      <c r="J824" s="10" t="s">
        <v>98</v>
      </c>
    </row>
    <row r="825" spans="1:10" ht="51">
      <c r="A825" s="9" t="s">
        <v>27</v>
      </c>
      <c r="B825" s="2" t="s">
        <v>31</v>
      </c>
      <c r="C825" s="2">
        <v>3204</v>
      </c>
      <c r="D825" s="2">
        <v>131</v>
      </c>
      <c r="E825" s="2" t="str">
        <f>"1000017190"</f>
        <v>1000017190</v>
      </c>
      <c r="F825" s="4" t="str">
        <f>"INK CART:EPS Item # T007201-EPS, Epson Black Cartridge (Yld 375) Stylus Photo 780/ 870/ 875DC/ 875DCS/ 890/ 1270/ 1280"</f>
        <v>INK CART:EPS Item # T007201-EPS, Epson Black Cartridge (Yld 375) Stylus Photo 780/ 870/ 875DC/ 875DCS/ 890/ 1270/ 1280</v>
      </c>
      <c r="G825" s="74" t="str">
        <f t="shared" si="54"/>
        <v>EA</v>
      </c>
      <c r="H825" s="7">
        <v>29.06</v>
      </c>
      <c r="I825" s="2" t="str">
        <f t="shared" si="53"/>
        <v>44103105</v>
      </c>
      <c r="J825" s="10" t="s">
        <v>98</v>
      </c>
    </row>
    <row r="826" spans="1:10" ht="38.25">
      <c r="A826" s="9" t="s">
        <v>27</v>
      </c>
      <c r="B826" s="2" t="s">
        <v>31</v>
      </c>
      <c r="C826" s="2">
        <v>3204</v>
      </c>
      <c r="D826" s="2">
        <v>132</v>
      </c>
      <c r="E826" s="2" t="str">
        <f>"1000017191"</f>
        <v>1000017191</v>
      </c>
      <c r="F826" s="4" t="str">
        <f>"INK CART:EPS Item # T009201-EPS, Epson Color Cartridge (Yld 330) Stylus Photo 1270/1280"</f>
        <v>INK CART:EPS Item # T009201-EPS, Epson Color Cartridge (Yld 330) Stylus Photo 1270/1280</v>
      </c>
      <c r="G826" s="74" t="str">
        <f t="shared" si="54"/>
        <v>EA</v>
      </c>
      <c r="H826" s="7">
        <v>33.76</v>
      </c>
      <c r="I826" s="2" t="str">
        <f t="shared" si="53"/>
        <v>44103105</v>
      </c>
      <c r="J826" s="10" t="s">
        <v>98</v>
      </c>
    </row>
    <row r="827" spans="1:10" ht="38.25">
      <c r="A827" s="9" t="s">
        <v>27</v>
      </c>
      <c r="B827" s="2" t="s">
        <v>31</v>
      </c>
      <c r="C827" s="2">
        <v>3204</v>
      </c>
      <c r="D827" s="2">
        <v>117</v>
      </c>
      <c r="E827" s="2" t="str">
        <f>"1000017192"</f>
        <v>1000017192</v>
      </c>
      <c r="F827" s="4" t="str">
        <f>"INK CART:CAN Item # CLI-8PM-CAN, Canon ink photo Magenta IP4200 IP5200 5200R 6600D MP500 MP780"</f>
        <v>INK CART:CAN Item # CLI-8PM-CAN, Canon ink photo Magenta IP4200 IP5200 5200R 6600D MP500 MP780</v>
      </c>
      <c r="G827" s="74" t="str">
        <f t="shared" si="54"/>
        <v>EA</v>
      </c>
      <c r="H827" s="7">
        <v>16.32</v>
      </c>
      <c r="I827" s="2" t="str">
        <f t="shared" si="53"/>
        <v>44103105</v>
      </c>
      <c r="J827" s="10" t="s">
        <v>98</v>
      </c>
    </row>
    <row r="828" spans="1:10" ht="25.5">
      <c r="A828" s="9" t="s">
        <v>27</v>
      </c>
      <c r="B828" s="2" t="s">
        <v>31</v>
      </c>
      <c r="C828" s="2">
        <v>3204</v>
      </c>
      <c r="D828" s="2">
        <v>134</v>
      </c>
      <c r="E828" s="2" t="str">
        <f>"1000017193"</f>
        <v>1000017193</v>
      </c>
      <c r="F828" s="4" t="str">
        <f>"INK CART:EPS Item # T018201-EPS, Epson Stylus Color 777 Color Cartridge (Yld 150)"</f>
        <v>INK CART:EPS Item # T018201-EPS, Epson Stylus Color 777 Color Cartridge (Yld 150)</v>
      </c>
      <c r="G828" s="74" t="str">
        <f t="shared" si="54"/>
        <v>EA</v>
      </c>
      <c r="H828" s="7">
        <v>25</v>
      </c>
      <c r="I828" s="2" t="str">
        <f t="shared" si="53"/>
        <v>44103105</v>
      </c>
      <c r="J828" s="10" t="s">
        <v>98</v>
      </c>
    </row>
    <row r="829" spans="1:10" ht="38.25">
      <c r="A829" s="9" t="s">
        <v>27</v>
      </c>
      <c r="B829" s="2" t="s">
        <v>31</v>
      </c>
      <c r="C829" s="2">
        <v>3204</v>
      </c>
      <c r="D829" s="2">
        <v>135</v>
      </c>
      <c r="E829" s="2" t="str">
        <f>"1000017194"</f>
        <v>1000017194</v>
      </c>
      <c r="F829" s="4" t="str">
        <f>"INK CART:EPS Item # T019201-EPS, Epson Stylus Color 880 Black Ink Cartridge (Yld 190)"</f>
        <v>INK CART:EPS Item # T019201-EPS, Epson Stylus Color 880 Black Ink Cartridge (Yld 190)</v>
      </c>
      <c r="G829" s="74" t="str">
        <f t="shared" si="54"/>
        <v>EA</v>
      </c>
      <c r="H829" s="7">
        <v>27</v>
      </c>
      <c r="I829" s="2" t="str">
        <f t="shared" si="53"/>
        <v>44103105</v>
      </c>
      <c r="J829" s="10" t="s">
        <v>98</v>
      </c>
    </row>
    <row r="830" spans="1:10" ht="25.5">
      <c r="A830" s="9" t="s">
        <v>27</v>
      </c>
      <c r="B830" s="2" t="s">
        <v>31</v>
      </c>
      <c r="C830" s="2">
        <v>3204</v>
      </c>
      <c r="D830" s="2">
        <v>136</v>
      </c>
      <c r="E830" s="2" t="str">
        <f>"1000017195"</f>
        <v>1000017195</v>
      </c>
      <c r="F830" s="4" t="str">
        <f>"INK CART:EPS Item # T020201-EPS, Epson Stylus Color 880 Color Cartridge (Yld 150)"</f>
        <v>INK CART:EPS Item # T020201-EPS, Epson Stylus Color 880 Color Cartridge (Yld 150)</v>
      </c>
      <c r="G830" s="74" t="str">
        <f t="shared" si="54"/>
        <v>EA</v>
      </c>
      <c r="H830" s="7">
        <v>25</v>
      </c>
      <c r="I830" s="2" t="str">
        <f t="shared" si="53"/>
        <v>44103105</v>
      </c>
      <c r="J830" s="10" t="s">
        <v>98</v>
      </c>
    </row>
    <row r="831" spans="1:10" ht="38.25">
      <c r="A831" s="9" t="s">
        <v>27</v>
      </c>
      <c r="B831" s="2" t="s">
        <v>31</v>
      </c>
      <c r="C831" s="2">
        <v>3204</v>
      </c>
      <c r="D831" s="2">
        <v>170</v>
      </c>
      <c r="E831" s="2" t="str">
        <f>"1000017196"</f>
        <v>1000017196</v>
      </c>
      <c r="F831" s="4" t="str">
        <f>"INK CART:EPS Item # T048520-EPS, Epson Light Cyan Ink Ctg (Yld 430) Stylus Photo R300/300M/RX500"</f>
        <v>INK CART:EPS Item # T048520-EPS, Epson Light Cyan Ink Ctg (Yld 430) Stylus Photo R300/300M/RX500</v>
      </c>
      <c r="G831" s="74" t="str">
        <f t="shared" si="54"/>
        <v>EA</v>
      </c>
      <c r="H831" s="7">
        <v>13</v>
      </c>
      <c r="I831" s="2" t="str">
        <f t="shared" si="53"/>
        <v>44103105</v>
      </c>
      <c r="J831" s="10" t="s">
        <v>98</v>
      </c>
    </row>
    <row r="832" spans="1:10" ht="38.25">
      <c r="A832" s="9" t="s">
        <v>27</v>
      </c>
      <c r="B832" s="2" t="s">
        <v>31</v>
      </c>
      <c r="C832" s="2">
        <v>3204</v>
      </c>
      <c r="D832" s="2">
        <v>171</v>
      </c>
      <c r="E832" s="2" t="str">
        <f>"1000017197"</f>
        <v>1000017197</v>
      </c>
      <c r="F832" s="4" t="str">
        <f>"INK CART:EPS Item # T048620;EPS, Epson Light Magenta Ink Ctg Yld 430 Stylus Photo R300/300M/RX500"</f>
        <v>INK CART:EPS Item # T048620;EPS, Epson Light Magenta Ink Ctg Yld 430 Stylus Photo R300/300M/RX500</v>
      </c>
      <c r="G832" s="74" t="str">
        <f t="shared" si="54"/>
        <v>EA</v>
      </c>
      <c r="H832" s="7">
        <v>13</v>
      </c>
      <c r="I832" s="2" t="str">
        <f t="shared" si="53"/>
        <v>44103105</v>
      </c>
      <c r="J832" s="10" t="s">
        <v>98</v>
      </c>
    </row>
    <row r="833" spans="1:10" ht="25.5">
      <c r="A833" s="9" t="s">
        <v>27</v>
      </c>
      <c r="B833" s="2" t="s">
        <v>31</v>
      </c>
      <c r="C833" s="2">
        <v>3204</v>
      </c>
      <c r="D833" s="2">
        <v>172</v>
      </c>
      <c r="E833" s="2" t="str">
        <f>"1000017198"</f>
        <v>1000017198</v>
      </c>
      <c r="F833" s="4" t="str">
        <f>"INK CART:EPS Item # T054020-EPS, Epson R800 Ultra Chrome gloss optimizer"</f>
        <v>INK CART:EPS Item # T054020-EPS, Epson R800 Ultra Chrome gloss optimizer</v>
      </c>
      <c r="G833" s="74" t="str">
        <f t="shared" si="54"/>
        <v>EA</v>
      </c>
      <c r="H833" s="7">
        <v>14</v>
      </c>
      <c r="I833" s="2" t="str">
        <f t="shared" si="53"/>
        <v>44103105</v>
      </c>
      <c r="J833" s="10" t="s">
        <v>98</v>
      </c>
    </row>
    <row r="834" spans="1:10" ht="25.5">
      <c r="A834" s="9" t="s">
        <v>27</v>
      </c>
      <c r="B834" s="2" t="s">
        <v>31</v>
      </c>
      <c r="C834" s="2">
        <v>3204</v>
      </c>
      <c r="D834" s="2">
        <v>173</v>
      </c>
      <c r="E834" s="2" t="str">
        <f>"1000017199"</f>
        <v>1000017199</v>
      </c>
      <c r="F834" s="4" t="str">
        <f>"INK CART:EPS Item # T054120-EPS, Epson R800 Ultra Chrome photo black"</f>
        <v>INK CART:EPS Item # T054120-EPS, Epson R800 Ultra Chrome photo black</v>
      </c>
      <c r="G834" s="74" t="str">
        <f t="shared" si="54"/>
        <v>EA</v>
      </c>
      <c r="H834" s="7">
        <v>17.989999999999998</v>
      </c>
      <c r="I834" s="2" t="str">
        <f t="shared" si="53"/>
        <v>44103105</v>
      </c>
      <c r="J834" s="10" t="s">
        <v>98</v>
      </c>
    </row>
    <row r="835" spans="1:10" ht="25.5">
      <c r="A835" s="9" t="s">
        <v>27</v>
      </c>
      <c r="B835" s="2" t="s">
        <v>31</v>
      </c>
      <c r="C835" s="2">
        <v>3204</v>
      </c>
      <c r="D835" s="2">
        <v>174</v>
      </c>
      <c r="E835" s="2" t="str">
        <f>"1000017200"</f>
        <v>1000017200</v>
      </c>
      <c r="F835" s="4" t="str">
        <f>"INK CART:EPS Item # T054220-EPS, Epson R800 Ultra Chrome Cyan"</f>
        <v>INK CART:EPS Item # T054220-EPS, Epson R800 Ultra Chrome Cyan</v>
      </c>
      <c r="G835" s="74" t="str">
        <f t="shared" si="54"/>
        <v>EA</v>
      </c>
      <c r="H835" s="7">
        <v>17.989999999999998</v>
      </c>
      <c r="I835" s="2" t="str">
        <f t="shared" si="53"/>
        <v>44103105</v>
      </c>
      <c r="J835" s="10" t="s">
        <v>98</v>
      </c>
    </row>
    <row r="836" spans="1:10" ht="25.5">
      <c r="A836" s="9" t="s">
        <v>27</v>
      </c>
      <c r="B836" s="2" t="s">
        <v>31</v>
      </c>
      <c r="C836" s="2">
        <v>3204</v>
      </c>
      <c r="D836" s="2">
        <v>175</v>
      </c>
      <c r="E836" s="2" t="str">
        <f>"1000017201"</f>
        <v>1000017201</v>
      </c>
      <c r="F836" s="4" t="str">
        <f>"INK CART:EPS Item # T054320-EPS, Epson R800 Ultra Chrome Magenta"</f>
        <v>INK CART:EPS Item # T054320-EPS, Epson R800 Ultra Chrome Magenta</v>
      </c>
      <c r="G836" s="74" t="str">
        <f t="shared" si="54"/>
        <v>EA</v>
      </c>
      <c r="H836" s="7">
        <v>17.989999999999998</v>
      </c>
      <c r="I836" s="2" t="str">
        <f t="shared" si="53"/>
        <v>44103105</v>
      </c>
      <c r="J836" s="10" t="s">
        <v>98</v>
      </c>
    </row>
    <row r="837" spans="1:10" ht="25.5">
      <c r="A837" s="9" t="s">
        <v>27</v>
      </c>
      <c r="B837" s="2" t="s">
        <v>31</v>
      </c>
      <c r="C837" s="2">
        <v>3204</v>
      </c>
      <c r="D837" s="2">
        <v>176</v>
      </c>
      <c r="E837" s="2" t="str">
        <f>"1000017202"</f>
        <v>1000017202</v>
      </c>
      <c r="F837" s="4" t="str">
        <f>"INK CART:EPS Item # T054420-EPS, Epson R800 Ultra Chrome Yellow"</f>
        <v>INK CART:EPS Item # T054420-EPS, Epson R800 Ultra Chrome Yellow</v>
      </c>
      <c r="G837" s="74" t="str">
        <f t="shared" si="54"/>
        <v>EA</v>
      </c>
      <c r="H837" s="7">
        <v>17.989999999999998</v>
      </c>
      <c r="I837" s="2" t="str">
        <f t="shared" si="53"/>
        <v>44103105</v>
      </c>
      <c r="J837" s="10" t="s">
        <v>98</v>
      </c>
    </row>
    <row r="838" spans="1:10" ht="25.5">
      <c r="A838" s="9" t="s">
        <v>27</v>
      </c>
      <c r="B838" s="2" t="s">
        <v>31</v>
      </c>
      <c r="C838" s="2">
        <v>3204</v>
      </c>
      <c r="D838" s="2">
        <v>177</v>
      </c>
      <c r="E838" s="2" t="str">
        <f>"1000017203"</f>
        <v>1000017203</v>
      </c>
      <c r="F838" s="4" t="str">
        <f>"INK CART:EPS Item # T054720-EPS, Epson R800 Ultra Chrome red"</f>
        <v>INK CART:EPS Item # T054720-EPS, Epson R800 Ultra Chrome red</v>
      </c>
      <c r="G838" s="74" t="str">
        <f t="shared" si="54"/>
        <v>EA</v>
      </c>
      <c r="H838" s="7">
        <v>17.989999999999998</v>
      </c>
      <c r="I838" s="2" t="str">
        <f t="shared" si="53"/>
        <v>44103105</v>
      </c>
      <c r="J838" s="10" t="s">
        <v>98</v>
      </c>
    </row>
    <row r="839" spans="1:10" ht="25.5">
      <c r="A839" s="9" t="s">
        <v>27</v>
      </c>
      <c r="B839" s="2" t="s">
        <v>31</v>
      </c>
      <c r="C839" s="2">
        <v>3204</v>
      </c>
      <c r="D839" s="2">
        <v>178</v>
      </c>
      <c r="E839" s="2" t="str">
        <f>"1000017204"</f>
        <v>1000017204</v>
      </c>
      <c r="F839" s="4" t="str">
        <f>"INK CART:EPS Item # T054820-EPS, Epson R800 Ultra Chrome matte black"</f>
        <v>INK CART:EPS Item # T054820-EPS, Epson R800 Ultra Chrome matte black</v>
      </c>
      <c r="G839" s="74" t="str">
        <f t="shared" si="54"/>
        <v>EA</v>
      </c>
      <c r="H839" s="7">
        <v>17.989999999999998</v>
      </c>
      <c r="I839" s="2" t="str">
        <f t="shared" si="53"/>
        <v>44103105</v>
      </c>
      <c r="J839" s="10" t="s">
        <v>98</v>
      </c>
    </row>
    <row r="840" spans="1:10" ht="38.25">
      <c r="A840" s="9" t="s">
        <v>27</v>
      </c>
      <c r="B840" s="2" t="s">
        <v>31</v>
      </c>
      <c r="C840" s="2">
        <v>3204</v>
      </c>
      <c r="D840" s="2">
        <v>144</v>
      </c>
      <c r="E840" s="2" t="str">
        <f>"1000017205"</f>
        <v>1000017205</v>
      </c>
      <c r="F840" s="4" t="str">
        <f>"INK CART:EPS Item # T033620-EPS, Epson Ink cartridge, Magenta for Stylus Photo 960 Printer"</f>
        <v>INK CART:EPS Item # T033620-EPS, Epson Ink cartridge, Magenta for Stylus Photo 960 Printer</v>
      </c>
      <c r="G840" s="74" t="str">
        <f t="shared" si="54"/>
        <v>EA</v>
      </c>
      <c r="H840" s="7">
        <v>13</v>
      </c>
      <c r="I840" s="2" t="str">
        <f t="shared" si="53"/>
        <v>44103105</v>
      </c>
      <c r="J840" s="10" t="s">
        <v>98</v>
      </c>
    </row>
    <row r="841" spans="1:10" ht="25.5">
      <c r="A841" s="9" t="s">
        <v>27</v>
      </c>
      <c r="B841" s="2" t="s">
        <v>31</v>
      </c>
      <c r="C841" s="2">
        <v>3204</v>
      </c>
      <c r="D841" s="2">
        <v>589</v>
      </c>
      <c r="E841" s="2" t="str">
        <f>"1000017206"</f>
        <v>1000017206</v>
      </c>
      <c r="F841" s="4" t="str">
        <f>"TONER:DEL Item # W5300-MSE, Brand Compatible toner for Dell W5600N"</f>
        <v>TONER:DEL Item # W5300-MSE, Brand Compatible toner for Dell W5600N</v>
      </c>
      <c r="G841" s="74" t="str">
        <f t="shared" si="54"/>
        <v>EA</v>
      </c>
      <c r="H841" s="7">
        <v>166</v>
      </c>
      <c r="I841" s="2" t="str">
        <f t="shared" si="53"/>
        <v>44103105</v>
      </c>
      <c r="J841" s="10" t="s">
        <v>98</v>
      </c>
    </row>
    <row r="842" spans="1:10" ht="38.25">
      <c r="A842" s="9" t="s">
        <v>27</v>
      </c>
      <c r="B842" s="2" t="s">
        <v>31</v>
      </c>
      <c r="C842" s="2">
        <v>3204</v>
      </c>
      <c r="D842" s="2">
        <v>152</v>
      </c>
      <c r="E842" s="2" t="str">
        <f>"1000017207"</f>
        <v>1000017207</v>
      </c>
      <c r="F842" s="4" t="str">
        <f>"INK CART:EPS Item # T034820-EPS, Epson Stylus Photo 2200 Inkjet Cartridge, Matte Black (Yld 440)"</f>
        <v>INK CART:EPS Item # T034820-EPS, Epson Stylus Photo 2200 Inkjet Cartridge, Matte Black (Yld 440)</v>
      </c>
      <c r="G842" s="74" t="str">
        <f t="shared" si="54"/>
        <v>EA</v>
      </c>
      <c r="H842" s="7">
        <v>12</v>
      </c>
      <c r="I842" s="2" t="str">
        <f t="shared" si="53"/>
        <v>44103105</v>
      </c>
      <c r="J842" s="10" t="s">
        <v>98</v>
      </c>
    </row>
    <row r="843" spans="1:10" ht="25.5">
      <c r="A843" s="9" t="s">
        <v>27</v>
      </c>
      <c r="B843" s="2" t="s">
        <v>31</v>
      </c>
      <c r="C843" s="2">
        <v>3204</v>
      </c>
      <c r="D843" s="2">
        <v>155</v>
      </c>
      <c r="E843" s="2" t="str">
        <f>"1000017208"</f>
        <v>1000017208</v>
      </c>
      <c r="F843" s="4" t="str">
        <f>"INK CART:EPS Item # T040120-EPS, Epson Stylus C62 Inkjet Cartridge, Black (Yld 600)"</f>
        <v>INK CART:EPS Item # T040120-EPS, Epson Stylus C62 Inkjet Cartridge, Black (Yld 600)</v>
      </c>
      <c r="G843" s="74" t="str">
        <f t="shared" si="54"/>
        <v>EA</v>
      </c>
      <c r="H843" s="7">
        <v>29</v>
      </c>
      <c r="I843" s="2" t="str">
        <f t="shared" si="53"/>
        <v>44103105</v>
      </c>
      <c r="J843" s="10" t="s">
        <v>98</v>
      </c>
    </row>
    <row r="844" spans="1:10" ht="25.5">
      <c r="A844" s="9" t="s">
        <v>27</v>
      </c>
      <c r="B844" s="2" t="s">
        <v>31</v>
      </c>
      <c r="C844" s="2">
        <v>3204</v>
      </c>
      <c r="D844" s="2">
        <v>156</v>
      </c>
      <c r="E844" s="2" t="str">
        <f>"1000017209"</f>
        <v>1000017209</v>
      </c>
      <c r="F844" s="4" t="str">
        <f>"INK CART:EPS Item # T041020-EPS, Epson Stylus C62 Inkjet Cartridge, Color (Yld 300)"</f>
        <v>INK CART:EPS Item # T041020-EPS, Epson Stylus C62 Inkjet Cartridge, Color (Yld 300)</v>
      </c>
      <c r="G844" s="74" t="str">
        <f t="shared" si="54"/>
        <v>EA</v>
      </c>
      <c r="H844" s="7">
        <v>28</v>
      </c>
      <c r="I844" s="2" t="str">
        <f t="shared" si="53"/>
        <v>44103105</v>
      </c>
      <c r="J844" s="10" t="s">
        <v>98</v>
      </c>
    </row>
    <row r="845" spans="1:10" ht="38.25">
      <c r="A845" s="9" t="s">
        <v>27</v>
      </c>
      <c r="B845" s="2" t="s">
        <v>31</v>
      </c>
      <c r="C845" s="2">
        <v>3204</v>
      </c>
      <c r="D845" s="2">
        <v>183</v>
      </c>
      <c r="E845" s="2" t="str">
        <f>"1000017210"</f>
        <v>1000017210</v>
      </c>
      <c r="F845" s="4" t="str">
        <f>"INK CART:EPS Item # T059520-EPS, Epson Photo Stylus R2400 Light Cyan UltraChrome K3 ink cartridge"</f>
        <v>INK CART:EPS Item # T059520-EPS, Epson Photo Stylus R2400 Light Cyan UltraChrome K3 ink cartridge</v>
      </c>
      <c r="G845" s="74" t="str">
        <f t="shared" si="54"/>
        <v>EA</v>
      </c>
      <c r="H845" s="7">
        <v>17.66</v>
      </c>
      <c r="I845" s="2" t="str">
        <f t="shared" si="53"/>
        <v>44103105</v>
      </c>
      <c r="J845" s="10" t="s">
        <v>98</v>
      </c>
    </row>
    <row r="846" spans="1:10" ht="25.5">
      <c r="A846" s="9" t="s">
        <v>27</v>
      </c>
      <c r="B846" s="2" t="s">
        <v>31</v>
      </c>
      <c r="C846" s="2">
        <v>3204</v>
      </c>
      <c r="D846" s="2">
        <v>184</v>
      </c>
      <c r="E846" s="2" t="str">
        <f>"1000017211"</f>
        <v>1000017211</v>
      </c>
      <c r="F846" s="4" t="str">
        <f>"INK CART:EPS Item # T0601-EPS, Epson Stylus C88 black ink"</f>
        <v>INK CART:EPS Item # T0601-EPS, Epson Stylus C88 black ink</v>
      </c>
      <c r="G846" s="74" t="str">
        <f t="shared" si="54"/>
        <v>EA</v>
      </c>
      <c r="H846" s="7">
        <v>21.92</v>
      </c>
      <c r="I846" s="2" t="str">
        <f t="shared" si="53"/>
        <v>44103105</v>
      </c>
      <c r="J846" s="10" t="s">
        <v>98</v>
      </c>
    </row>
    <row r="847" spans="1:10" ht="63.75">
      <c r="A847" s="9" t="s">
        <v>27</v>
      </c>
      <c r="B847" s="2" t="s">
        <v>31</v>
      </c>
      <c r="C847" s="2">
        <v>3204</v>
      </c>
      <c r="D847" s="2">
        <v>185</v>
      </c>
      <c r="E847" s="2" t="str">
        <f>"1000017212"</f>
        <v>1000017212</v>
      </c>
      <c r="F847" s="4" t="str">
        <f>"INK CART:EPS Item # T060220-EPS, Epson Cyan ink for Epson All-in-One Machines Stylus CX3800, CX3810, CX4200, CX4800, CX5800F, CX7800 and Epson Inkjet Printers Stylus C68, Stylus C88 Series"</f>
        <v>INK CART:EPS Item # T060220-EPS, Epson Cyan ink for Epson All-in-One Machines Stylus CX3800, CX3810, CX4200, CX4800, CX5800F, CX7800 and Epson Inkjet Printers Stylus C68, Stylus C88 Series</v>
      </c>
      <c r="G847" s="74" t="str">
        <f t="shared" si="54"/>
        <v>EA</v>
      </c>
      <c r="H847" s="7">
        <v>15.26</v>
      </c>
      <c r="I847" s="2" t="str">
        <f t="shared" si="53"/>
        <v>44103105</v>
      </c>
      <c r="J847" s="10" t="s">
        <v>98</v>
      </c>
    </row>
    <row r="848" spans="1:10" ht="63.75">
      <c r="A848" s="9" t="s">
        <v>27</v>
      </c>
      <c r="B848" s="2" t="s">
        <v>31</v>
      </c>
      <c r="C848" s="2">
        <v>3204</v>
      </c>
      <c r="D848" s="2">
        <v>186</v>
      </c>
      <c r="E848" s="2" t="str">
        <f>"1000017213"</f>
        <v>1000017213</v>
      </c>
      <c r="F848" s="4" t="str">
        <f>"INK CART:EPS Item # T060320-EPS, Epson Magenta ink Epson All-in-One Machines Stylus CX3800, CX3810, CX4200, CX4800, CX5800F, CX7800 and Epson Inkjet Printers Stylus C68, Stylus C88 Series"</f>
        <v>INK CART:EPS Item # T060320-EPS, Epson Magenta ink Epson All-in-One Machines Stylus CX3800, CX3810, CX4200, CX4800, CX5800F, CX7800 and Epson Inkjet Printers Stylus C68, Stylus C88 Series</v>
      </c>
      <c r="G848" s="74" t="str">
        <f t="shared" si="54"/>
        <v>EA</v>
      </c>
      <c r="H848" s="7">
        <v>14</v>
      </c>
      <c r="I848" s="2" t="str">
        <f t="shared" si="53"/>
        <v>44103105</v>
      </c>
      <c r="J848" s="10" t="s">
        <v>98</v>
      </c>
    </row>
    <row r="849" spans="1:10" ht="63.75">
      <c r="A849" s="9" t="s">
        <v>27</v>
      </c>
      <c r="B849" s="2" t="s">
        <v>31</v>
      </c>
      <c r="C849" s="2">
        <v>3204</v>
      </c>
      <c r="D849" s="2">
        <v>187</v>
      </c>
      <c r="E849" s="2" t="str">
        <f>"1000017214"</f>
        <v>1000017214</v>
      </c>
      <c r="F849" s="4" t="str">
        <f>"INK CART:EPS Item # T060420-EPS, Epson Yellow ink Epson All-in-One Machines Stylus CX3800, CX3810, CX4200, CX4800, CX5800F, CX7800 and Epson Inkjet Printers Stylus C68, Stylus C88 Series"</f>
        <v>INK CART:EPS Item # T060420-EPS, Epson Yellow ink Epson All-in-One Machines Stylus CX3800, CX3810, CX4200, CX4800, CX5800F, CX7800 and Epson Inkjet Printers Stylus C68, Stylus C88 Series</v>
      </c>
      <c r="G849" s="74" t="str">
        <f t="shared" si="54"/>
        <v>EA</v>
      </c>
      <c r="H849" s="7">
        <v>14</v>
      </c>
      <c r="I849" s="2" t="str">
        <f t="shared" ref="I849:I885" si="55">"44103105"</f>
        <v>44103105</v>
      </c>
      <c r="J849" s="10" t="s">
        <v>98</v>
      </c>
    </row>
    <row r="850" spans="1:10" ht="63.75">
      <c r="A850" s="9" t="s">
        <v>27</v>
      </c>
      <c r="B850" s="2" t="s">
        <v>31</v>
      </c>
      <c r="C850" s="2">
        <v>3204</v>
      </c>
      <c r="D850" s="2">
        <v>188</v>
      </c>
      <c r="E850" s="2" t="str">
        <f>"1000017215"</f>
        <v>1000017215</v>
      </c>
      <c r="F850" s="4" t="str">
        <f>"INK CART:EPS Item # T068120-EPS, Epson Durabrite black high capacity dual pack Epson stylus C120/CX5000/Cx6000/CX7000F/CX8400/CX9400F. (Yld 370 per cartridge) 2/package"</f>
        <v>INK CART:EPS Item # T068120-EPS, Epson Durabrite black high capacity dual pack Epson stylus C120/CX5000/Cx6000/CX7000F/CX8400/CX9400F. (Yld 370 per cartridge) 2/package</v>
      </c>
      <c r="G850" s="74" t="str">
        <f>"PK"</f>
        <v>PK</v>
      </c>
      <c r="H850" s="7">
        <v>39</v>
      </c>
      <c r="I850" s="2" t="str">
        <f t="shared" si="55"/>
        <v>44103105</v>
      </c>
      <c r="J850" s="10" t="s">
        <v>98</v>
      </c>
    </row>
    <row r="851" spans="1:10" ht="51">
      <c r="A851" s="9" t="s">
        <v>27</v>
      </c>
      <c r="B851" s="2" t="s">
        <v>31</v>
      </c>
      <c r="C851" s="2">
        <v>3204</v>
      </c>
      <c r="D851" s="2">
        <v>190</v>
      </c>
      <c r="E851" s="2" t="str">
        <f>"1000017216"</f>
        <v>1000017216</v>
      </c>
      <c r="F851" s="4" t="str">
        <f>"INK CART:EPS Item # T069320-EPS, Epson durable ultra Magenta ink, smudge, fade and water resistant for the Epson CX5000 and CX6000 inkjet printers."</f>
        <v>INK CART:EPS Item # T069320-EPS, Epson durable ultra Magenta ink, smudge, fade and water resistant for the Epson CX5000 and CX6000 inkjet printers.</v>
      </c>
      <c r="G851" s="74" t="str">
        <f>"EA"</f>
        <v>EA</v>
      </c>
      <c r="H851" s="7">
        <v>14.19</v>
      </c>
      <c r="I851" s="2" t="str">
        <f t="shared" si="55"/>
        <v>44103105</v>
      </c>
      <c r="J851" s="10" t="s">
        <v>98</v>
      </c>
    </row>
    <row r="852" spans="1:10" ht="51">
      <c r="A852" s="9" t="s">
        <v>27</v>
      </c>
      <c r="B852" s="2" t="s">
        <v>31</v>
      </c>
      <c r="C852" s="2">
        <v>3204</v>
      </c>
      <c r="D852" s="2">
        <v>191</v>
      </c>
      <c r="E852" s="2" t="str">
        <f>"1000017217"</f>
        <v>1000017217</v>
      </c>
      <c r="F852" s="4" t="str">
        <f>"INK CART:EPS Item # T069420-EPS, Epson durable ultra yellow ink, smudge, fade and water resistant for the Epson CX5000 and CX6000 inkjet printers. ."</f>
        <v>INK CART:EPS Item # T069420-EPS, Epson durable ultra yellow ink, smudge, fade and water resistant for the Epson CX5000 and CX6000 inkjet printers. .</v>
      </c>
      <c r="G852" s="74" t="str">
        <f>"EA"</f>
        <v>EA</v>
      </c>
      <c r="H852" s="7">
        <v>14.19</v>
      </c>
      <c r="I852" s="2" t="str">
        <f t="shared" si="55"/>
        <v>44103105</v>
      </c>
      <c r="J852" s="10" t="s">
        <v>98</v>
      </c>
    </row>
    <row r="853" spans="1:10" ht="38.25">
      <c r="A853" s="9" t="s">
        <v>27</v>
      </c>
      <c r="B853" s="2" t="s">
        <v>31</v>
      </c>
      <c r="C853" s="2">
        <v>3204</v>
      </c>
      <c r="D853" s="2">
        <v>165</v>
      </c>
      <c r="E853" s="2" t="str">
        <f>"1000017218"</f>
        <v>1000017218</v>
      </c>
      <c r="F853" s="4" t="str">
        <f>"INK CART:EPS Item # T044520-EPS, Epson T044520 ink for C84 multi pack includes Cyan, Magenta and Yellow"</f>
        <v>INK CART:EPS Item # T044520-EPS, Epson T044520 ink for C84 multi pack includes Cyan, Magenta and Yellow</v>
      </c>
      <c r="G853" s="74" t="str">
        <f>"PK"</f>
        <v>PK</v>
      </c>
      <c r="H853" s="7">
        <v>38</v>
      </c>
      <c r="I853" s="2" t="str">
        <f t="shared" si="55"/>
        <v>44103105</v>
      </c>
      <c r="J853" s="10" t="s">
        <v>98</v>
      </c>
    </row>
    <row r="854" spans="1:10" ht="25.5">
      <c r="A854" s="9" t="s">
        <v>27</v>
      </c>
      <c r="B854" s="2" t="s">
        <v>31</v>
      </c>
      <c r="C854" s="2">
        <v>3204</v>
      </c>
      <c r="D854" s="2">
        <v>133</v>
      </c>
      <c r="E854" s="2" t="str">
        <f>"1000017219"</f>
        <v>1000017219</v>
      </c>
      <c r="F854" s="4" t="str">
        <f>"INK CART:EPS Item # T017201-EPS, Epson Stylus Color 777 Black Cartridge (Yld 190)"</f>
        <v>INK CART:EPS Item # T017201-EPS, Epson Stylus Color 777 Black Cartridge (Yld 190)</v>
      </c>
      <c r="G854" s="74" t="str">
        <f t="shared" ref="G854:G874" si="56">"EA"</f>
        <v>EA</v>
      </c>
      <c r="H854" s="7">
        <v>30</v>
      </c>
      <c r="I854" s="2" t="str">
        <f t="shared" si="55"/>
        <v>44103105</v>
      </c>
      <c r="J854" s="10" t="s">
        <v>98</v>
      </c>
    </row>
    <row r="855" spans="1:10" ht="38.25">
      <c r="A855" s="9" t="s">
        <v>27</v>
      </c>
      <c r="B855" s="2" t="s">
        <v>31</v>
      </c>
      <c r="C855" s="2">
        <v>3204</v>
      </c>
      <c r="D855" s="2">
        <v>168</v>
      </c>
      <c r="E855" s="2" t="str">
        <f>"1000017220"</f>
        <v>1000017220</v>
      </c>
      <c r="F855" s="4" t="str">
        <f>"INK CART:EPS Item # T048320-EPS, Epson Magenta Ink Ctg Stylus Photo R300/300M/RX500"</f>
        <v>INK CART:EPS Item # T048320-EPS, Epson Magenta Ink Ctg Stylus Photo R300/300M/RX500</v>
      </c>
      <c r="G855" s="74" t="str">
        <f t="shared" si="56"/>
        <v>EA</v>
      </c>
      <c r="H855" s="7">
        <v>15.09</v>
      </c>
      <c r="I855" s="2" t="str">
        <f t="shared" si="55"/>
        <v>44103105</v>
      </c>
      <c r="J855" s="10" t="s">
        <v>98</v>
      </c>
    </row>
    <row r="856" spans="1:10" ht="38.25">
      <c r="A856" s="9" t="s">
        <v>27</v>
      </c>
      <c r="B856" s="2" t="s">
        <v>31</v>
      </c>
      <c r="C856" s="2">
        <v>3204</v>
      </c>
      <c r="D856" s="2">
        <v>169</v>
      </c>
      <c r="E856" s="2" t="str">
        <f>"1000017221"</f>
        <v>1000017221</v>
      </c>
      <c r="F856" s="4" t="str">
        <f>"INK CART:EPS Item # T048420-EPS, Epson Yellow Ink Ctg Stylus Photo R300/300M/RX500"</f>
        <v>INK CART:EPS Item # T048420-EPS, Epson Yellow Ink Ctg Stylus Photo R300/300M/RX500</v>
      </c>
      <c r="G856" s="74" t="str">
        <f t="shared" si="56"/>
        <v>EA</v>
      </c>
      <c r="H856" s="7">
        <v>13</v>
      </c>
      <c r="I856" s="2" t="str">
        <f t="shared" si="55"/>
        <v>44103105</v>
      </c>
      <c r="J856" s="10" t="s">
        <v>98</v>
      </c>
    </row>
    <row r="857" spans="1:10" ht="63.75">
      <c r="A857" s="9" t="s">
        <v>27</v>
      </c>
      <c r="B857" s="2" t="s">
        <v>31</v>
      </c>
      <c r="C857" s="2">
        <v>3204</v>
      </c>
      <c r="D857" s="2">
        <v>195</v>
      </c>
      <c r="E857" s="2" t="str">
        <f>"1000017222"</f>
        <v>1000017222</v>
      </c>
      <c r="F857" s="4" t="str">
        <f>"INK CART:EPS Item # T078420-EPS, Epson 78 Yellow Ink Cartridge for Epson All-in-One Machines Stylus Photo RX580/ RX595/ RX680, Epson Photo Printers Stylus Photo R260/ R280/ R380/ RX580"</f>
        <v>INK CART:EPS Item # T078420-EPS, Epson 78 Yellow Ink Cartridge for Epson All-in-One Machines Stylus Photo RX580/ RX595/ RX680, Epson Photo Printers Stylus Photo R260/ R280/ R380/ RX580</v>
      </c>
      <c r="G857" s="74" t="str">
        <f t="shared" si="56"/>
        <v>EA</v>
      </c>
      <c r="H857" s="7">
        <v>14.19</v>
      </c>
      <c r="I857" s="2" t="str">
        <f t="shared" si="55"/>
        <v>44103105</v>
      </c>
      <c r="J857" s="10" t="s">
        <v>98</v>
      </c>
    </row>
    <row r="858" spans="1:10" ht="63.75">
      <c r="A858" s="9" t="s">
        <v>27</v>
      </c>
      <c r="B858" s="2" t="s">
        <v>31</v>
      </c>
      <c r="C858" s="2">
        <v>3204</v>
      </c>
      <c r="D858" s="2">
        <v>196</v>
      </c>
      <c r="E858" s="2" t="str">
        <f>"1000017223"</f>
        <v>1000017223</v>
      </c>
      <c r="F858" s="4" t="str">
        <f>"INK CART:EPS Item # T078520-EPS, Epson 78 Light Cyan Ink Cartridge for Epson All-in-One Machines Stylus Photo RX580/ RX595/ RX680, Epson Photo Printers Stylus Photo R260/ R280/ R380/ RX580"</f>
        <v>INK CART:EPS Item # T078520-EPS, Epson 78 Light Cyan Ink Cartridge for Epson All-in-One Machines Stylus Photo RX580/ RX595/ RX680, Epson Photo Printers Stylus Photo R260/ R280/ R380/ RX580</v>
      </c>
      <c r="G858" s="74" t="str">
        <f t="shared" si="56"/>
        <v>EA</v>
      </c>
      <c r="H858" s="7">
        <v>14.19</v>
      </c>
      <c r="I858" s="2" t="str">
        <f t="shared" si="55"/>
        <v>44103105</v>
      </c>
      <c r="J858" s="10" t="s">
        <v>98</v>
      </c>
    </row>
    <row r="859" spans="1:10" ht="63.75">
      <c r="A859" s="9" t="s">
        <v>27</v>
      </c>
      <c r="B859" s="2" t="s">
        <v>31</v>
      </c>
      <c r="C859" s="2">
        <v>3204</v>
      </c>
      <c r="D859" s="2">
        <v>197</v>
      </c>
      <c r="E859" s="2" t="str">
        <f>"1000017224"</f>
        <v>1000017224</v>
      </c>
      <c r="F859" s="4" t="str">
        <f>"INK CART:EPS Item # T078620-EPS, Epson 78 Light Magenta Ink Cartridge for Epson All-in-One Machines Stylus Photo RX580/ RX595/ RX680, Epson Photo Printers Stylus Photo R260/ R280/ R380/ RX580"</f>
        <v>INK CART:EPS Item # T078620-EPS, Epson 78 Light Magenta Ink Cartridge for Epson All-in-One Machines Stylus Photo RX580/ RX595/ RX680, Epson Photo Printers Stylus Photo R260/ R280/ R380/ RX580</v>
      </c>
      <c r="G859" s="74" t="str">
        <f t="shared" si="56"/>
        <v>EA</v>
      </c>
      <c r="H859" s="7">
        <v>14.19</v>
      </c>
      <c r="I859" s="2" t="str">
        <f t="shared" si="55"/>
        <v>44103105</v>
      </c>
      <c r="J859" s="10" t="s">
        <v>98</v>
      </c>
    </row>
    <row r="860" spans="1:10" ht="51">
      <c r="A860" s="9" t="s">
        <v>27</v>
      </c>
      <c r="B860" s="2" t="s">
        <v>31</v>
      </c>
      <c r="C860" s="2">
        <v>3204</v>
      </c>
      <c r="D860" s="2">
        <v>199</v>
      </c>
      <c r="E860" s="2" t="str">
        <f>"1000017225"</f>
        <v>1000017225</v>
      </c>
      <c r="F860" s="4" t="str">
        <f>"INK CART:EPS Item # T079220-EPS, Epson Cyan high capacity inkjet cartridge designed for the Epson Stylus Photo 1400 inkjet printers"</f>
        <v>INK CART:EPS Item # T079220-EPS, Epson Cyan high capacity inkjet cartridge designed for the Epson Stylus Photo 1400 inkjet printers</v>
      </c>
      <c r="G860" s="74" t="str">
        <f t="shared" si="56"/>
        <v>EA</v>
      </c>
      <c r="H860" s="7">
        <v>19</v>
      </c>
      <c r="I860" s="2" t="str">
        <f t="shared" si="55"/>
        <v>44103105</v>
      </c>
      <c r="J860" s="10" t="s">
        <v>98</v>
      </c>
    </row>
    <row r="861" spans="1:10" ht="51">
      <c r="A861" s="9" t="s">
        <v>27</v>
      </c>
      <c r="B861" s="2" t="s">
        <v>31</v>
      </c>
      <c r="C861" s="2">
        <v>3204</v>
      </c>
      <c r="D861" s="2">
        <v>200</v>
      </c>
      <c r="E861" s="2" t="str">
        <f>"1000017226"</f>
        <v>1000017226</v>
      </c>
      <c r="F861" s="4" t="str">
        <f>"INK CART:EPS Item # T079320-EPS, Epson magenta high capacity inkjet cartridge designed for the Epson Stylus Photo 1400 inkjet printers"</f>
        <v>INK CART:EPS Item # T079320-EPS, Epson magenta high capacity inkjet cartridge designed for the Epson Stylus Photo 1400 inkjet printers</v>
      </c>
      <c r="G861" s="74" t="str">
        <f t="shared" si="56"/>
        <v>EA</v>
      </c>
      <c r="H861" s="7">
        <v>22.32</v>
      </c>
      <c r="I861" s="2" t="str">
        <f t="shared" si="55"/>
        <v>44103105</v>
      </c>
      <c r="J861" s="10" t="s">
        <v>98</v>
      </c>
    </row>
    <row r="862" spans="1:10" ht="51">
      <c r="A862" s="9" t="s">
        <v>27</v>
      </c>
      <c r="B862" s="2" t="s">
        <v>31</v>
      </c>
      <c r="C862" s="2">
        <v>3204</v>
      </c>
      <c r="D862" s="2">
        <v>204</v>
      </c>
      <c r="E862" s="2" t="str">
        <f>"1000017227"</f>
        <v>1000017227</v>
      </c>
      <c r="F862" s="4" t="str">
        <f>"INK CART:EPS Item # T088120-EPS, Epson No. 88 black ink cartridge for Stylus CX7400, CX4400, NX400, NX300, NX200, and NX100 features DuraBrite Ultra ink"</f>
        <v>INK CART:EPS Item # T088120-EPS, Epson No. 88 black ink cartridge for Stylus CX7400, CX4400, NX400, NX300, NX200, and NX100 features DuraBrite Ultra ink</v>
      </c>
      <c r="G862" s="74" t="str">
        <f t="shared" si="56"/>
        <v>EA</v>
      </c>
      <c r="H862" s="7">
        <v>13.66</v>
      </c>
      <c r="I862" s="2" t="str">
        <f t="shared" si="55"/>
        <v>44103105</v>
      </c>
      <c r="J862" s="10" t="s">
        <v>98</v>
      </c>
    </row>
    <row r="863" spans="1:10" ht="51">
      <c r="A863" s="9" t="s">
        <v>27</v>
      </c>
      <c r="B863" s="2" t="s">
        <v>31</v>
      </c>
      <c r="C863" s="2">
        <v>3204</v>
      </c>
      <c r="D863" s="2">
        <v>205</v>
      </c>
      <c r="E863" s="2" t="str">
        <f>"1000017228"</f>
        <v>1000017228</v>
      </c>
      <c r="F863" s="4" t="str">
        <f>"INK CART:EPS Item #T069220-EPS, Epson durable ultra Cyan ink, smudge, fade and water resistant for the Epson CX5000 and CX6000 inkjet printers."</f>
        <v>INK CART:EPS Item #T069220-EPS, Epson durable ultra Cyan ink, smudge, fade and water resistant for the Epson CX5000 and CX6000 inkjet printers.</v>
      </c>
      <c r="G863" s="74" t="str">
        <f t="shared" si="56"/>
        <v>EA</v>
      </c>
      <c r="H863" s="7">
        <v>14.19</v>
      </c>
      <c r="I863" s="2" t="str">
        <f t="shared" si="55"/>
        <v>44103105</v>
      </c>
      <c r="J863" s="10" t="s">
        <v>98</v>
      </c>
    </row>
    <row r="864" spans="1:10" ht="51">
      <c r="A864" s="9" t="s">
        <v>27</v>
      </c>
      <c r="B864" s="2" t="s">
        <v>31</v>
      </c>
      <c r="C864" s="2">
        <v>3204</v>
      </c>
      <c r="D864" s="2">
        <v>206</v>
      </c>
      <c r="E864" s="2" t="str">
        <f>"1000017229"</f>
        <v>1000017229</v>
      </c>
      <c r="F864" s="4" t="str">
        <f>"INK CART:HEW Item # C4906AN-HEW, HP 940XL Black inkjet cartridge, high capacity 2,200 page yield, for Officejet Pro 8500 inkjet printers."</f>
        <v>INK CART:HEW Item # C4906AN-HEW, HP 940XL Black inkjet cartridge, high capacity 2,200 page yield, for Officejet Pro 8500 inkjet printers.</v>
      </c>
      <c r="G864" s="74" t="str">
        <f t="shared" si="56"/>
        <v>EA</v>
      </c>
      <c r="H864" s="7">
        <v>38.99</v>
      </c>
      <c r="I864" s="2" t="str">
        <f t="shared" si="55"/>
        <v>44103105</v>
      </c>
      <c r="J864" s="10" t="s">
        <v>98</v>
      </c>
    </row>
    <row r="865" spans="1:10" ht="25.5">
      <c r="A865" s="9" t="s">
        <v>27</v>
      </c>
      <c r="B865" s="2" t="s">
        <v>31</v>
      </c>
      <c r="C865" s="2">
        <v>3204</v>
      </c>
      <c r="D865" s="2">
        <v>179</v>
      </c>
      <c r="E865" s="2" t="str">
        <f>"1000017230"</f>
        <v>1000017230</v>
      </c>
      <c r="F865" s="4" t="str">
        <f>"INK CART:EPS Item # T054920-EPS, Epson R800 Ultra Chrome blue"</f>
        <v>INK CART:EPS Item # T054920-EPS, Epson R800 Ultra Chrome blue</v>
      </c>
      <c r="G865" s="74" t="str">
        <f t="shared" si="56"/>
        <v>EA</v>
      </c>
      <c r="H865" s="7">
        <v>14</v>
      </c>
      <c r="I865" s="2" t="str">
        <f t="shared" si="55"/>
        <v>44103105</v>
      </c>
      <c r="J865" s="10" t="s">
        <v>98</v>
      </c>
    </row>
    <row r="866" spans="1:10" ht="38.25">
      <c r="A866" s="9" t="s">
        <v>27</v>
      </c>
      <c r="B866" s="2" t="s">
        <v>31</v>
      </c>
      <c r="C866" s="2">
        <v>3204</v>
      </c>
      <c r="D866" s="2">
        <v>149</v>
      </c>
      <c r="E866" s="2" t="str">
        <f>"1000017231"</f>
        <v>1000017231</v>
      </c>
      <c r="F866" s="4" t="str">
        <f>"INK CART:EPS Item # T034520-EPS, Epson Stylus Photo 2200 Inkjet Cartridge, Light Cyan (Yld 440)"</f>
        <v>INK CART:EPS Item # T034520-EPS, Epson Stylus Photo 2200 Inkjet Cartridge, Light Cyan (Yld 440)</v>
      </c>
      <c r="G866" s="74" t="str">
        <f t="shared" si="56"/>
        <v>EA</v>
      </c>
      <c r="H866" s="7">
        <v>12</v>
      </c>
      <c r="I866" s="2" t="str">
        <f t="shared" si="55"/>
        <v>44103105</v>
      </c>
      <c r="J866" s="10" t="s">
        <v>98</v>
      </c>
    </row>
    <row r="867" spans="1:10" ht="38.25">
      <c r="A867" s="9" t="s">
        <v>27</v>
      </c>
      <c r="B867" s="2" t="s">
        <v>31</v>
      </c>
      <c r="C867" s="2">
        <v>3204</v>
      </c>
      <c r="D867" s="2">
        <v>182</v>
      </c>
      <c r="E867" s="2" t="str">
        <f>"1000017232"</f>
        <v>1000017232</v>
      </c>
      <c r="F867" s="4" t="str">
        <f>"INK CART:EPS Item # T059320-EPS, Epson Photo Stylus R2400 Magenta UltraChrome K3 ink cartridge"</f>
        <v>INK CART:EPS Item # T059320-EPS, Epson Photo Stylus R2400 Magenta UltraChrome K3 ink cartridge</v>
      </c>
      <c r="G867" s="74" t="str">
        <f t="shared" si="56"/>
        <v>EA</v>
      </c>
      <c r="H867" s="7">
        <v>18.32</v>
      </c>
      <c r="I867" s="2" t="str">
        <f t="shared" si="55"/>
        <v>44103105</v>
      </c>
      <c r="J867" s="10" t="s">
        <v>98</v>
      </c>
    </row>
    <row r="868" spans="1:10" ht="38.25">
      <c r="A868" s="9" t="s">
        <v>27</v>
      </c>
      <c r="B868" s="2" t="s">
        <v>31</v>
      </c>
      <c r="C868" s="2">
        <v>3204</v>
      </c>
      <c r="D868" s="2">
        <v>217</v>
      </c>
      <c r="E868" s="2" t="str">
        <f>"1000017234"</f>
        <v>1000017234</v>
      </c>
      <c r="F868" s="4" t="str">
        <f>"INK CART:HP Item # 51641A-HEW, HP Cartridge,Tri-Color (Yld 360) DeskJet 820C/ 850C/ 855C/ 870C/ 1000C/ 1100C"</f>
        <v>INK CART:HP Item # 51641A-HEW, HP Cartridge,Tri-Color (Yld 360) DeskJet 820C/ 850C/ 855C/ 870C/ 1000C/ 1100C</v>
      </c>
      <c r="G868" s="74" t="str">
        <f t="shared" si="56"/>
        <v>EA</v>
      </c>
      <c r="H868" s="7">
        <v>42</v>
      </c>
      <c r="I868" s="2" t="str">
        <f t="shared" si="55"/>
        <v>44103105</v>
      </c>
      <c r="J868" s="10" t="s">
        <v>98</v>
      </c>
    </row>
    <row r="869" spans="1:10" ht="38.25">
      <c r="A869" s="9" t="s">
        <v>27</v>
      </c>
      <c r="B869" s="2" t="s">
        <v>31</v>
      </c>
      <c r="C869" s="2">
        <v>3204</v>
      </c>
      <c r="D869" s="2">
        <v>218</v>
      </c>
      <c r="E869" s="2" t="str">
        <f>"1000017235"</f>
        <v>1000017235</v>
      </c>
      <c r="F869" s="4" t="str">
        <f>"INK CART:HP Item # 51644C-HEW, HP Ink Cartridge, Cyan (Yld 365) for DesignJet 350C/ 750C/ 755CM/ 450C/ 455CA/ 488C"</f>
        <v>INK CART:HP Item # 51644C-HEW, HP Ink Cartridge, Cyan (Yld 365) for DesignJet 350C/ 750C/ 755CM/ 450C/ 455CA/ 488C</v>
      </c>
      <c r="G869" s="74" t="str">
        <f t="shared" si="56"/>
        <v>EA</v>
      </c>
      <c r="H869" s="7">
        <v>36</v>
      </c>
      <c r="I869" s="2" t="str">
        <f t="shared" si="55"/>
        <v>44103105</v>
      </c>
      <c r="J869" s="10" t="s">
        <v>98</v>
      </c>
    </row>
    <row r="870" spans="1:10" ht="38.25">
      <c r="A870" s="9" t="s">
        <v>27</v>
      </c>
      <c r="B870" s="2" t="s">
        <v>31</v>
      </c>
      <c r="C870" s="2">
        <v>3204</v>
      </c>
      <c r="D870" s="2">
        <v>219</v>
      </c>
      <c r="E870" s="2" t="str">
        <f>"1000017236"</f>
        <v>1000017236</v>
      </c>
      <c r="F870" s="4" t="str">
        <f>"INK CART:HP Item # 51644M-HEW, HP Ink Cartridge, Magenta (Yld 365) for DesignJet 350C/ 750C/ 755CM/ 450C/455CA/ 488C"</f>
        <v>INK CART:HP Item # 51644M-HEW, HP Ink Cartridge, Magenta (Yld 365) for DesignJet 350C/ 750C/ 755CM/ 450C/455CA/ 488C</v>
      </c>
      <c r="G870" s="74" t="str">
        <f t="shared" si="56"/>
        <v>EA</v>
      </c>
      <c r="H870" s="7">
        <v>36</v>
      </c>
      <c r="I870" s="2" t="str">
        <f t="shared" si="55"/>
        <v>44103105</v>
      </c>
      <c r="J870" s="10" t="s">
        <v>98</v>
      </c>
    </row>
    <row r="871" spans="1:10" ht="51">
      <c r="A871" s="9" t="s">
        <v>27</v>
      </c>
      <c r="B871" s="2" t="s">
        <v>31</v>
      </c>
      <c r="C871" s="2">
        <v>3204</v>
      </c>
      <c r="D871" s="2">
        <v>220</v>
      </c>
      <c r="E871" s="2" t="str">
        <f>"1000017237"</f>
        <v>1000017237</v>
      </c>
      <c r="F871" s="4" t="str">
        <f>"INK CART:HP Item # 51644Y-HEW, HP DesignJet 350C/750C/ 755CM/ 450C/ 455CA/ 488C Ink Cartridge, Yellow (Yld 365)"</f>
        <v>INK CART:HP Item # 51644Y-HEW, HP DesignJet 350C/750C/ 755CM/ 450C/ 455CA/ 488C Ink Cartridge, Yellow (Yld 365)</v>
      </c>
      <c r="G871" s="74" t="str">
        <f t="shared" si="56"/>
        <v>EA</v>
      </c>
      <c r="H871" s="7">
        <v>36</v>
      </c>
      <c r="I871" s="2" t="str">
        <f t="shared" si="55"/>
        <v>44103105</v>
      </c>
      <c r="J871" s="10" t="s">
        <v>98</v>
      </c>
    </row>
    <row r="872" spans="1:10" ht="38.25">
      <c r="A872" s="9" t="s">
        <v>27</v>
      </c>
      <c r="B872" s="2" t="s">
        <v>31</v>
      </c>
      <c r="C872" s="2">
        <v>3204</v>
      </c>
      <c r="D872" s="2">
        <v>223</v>
      </c>
      <c r="E872" s="2" t="str">
        <f>"1000017238"</f>
        <v>1000017238</v>
      </c>
      <c r="F872" s="4" t="str">
        <f>"INK CART:HP Item # 51650M-HEW, HP 50 Magenta Ink Cartridge for DesignJet 250C/650C (Yld 410)"</f>
        <v>INK CART:HP Item # 51650M-HEW, HP 50 Magenta Ink Cartridge for DesignJet 250C/650C (Yld 410)</v>
      </c>
      <c r="G872" s="74" t="str">
        <f t="shared" si="56"/>
        <v>EA</v>
      </c>
      <c r="H872" s="7">
        <v>38</v>
      </c>
      <c r="I872" s="2" t="str">
        <f t="shared" si="55"/>
        <v>44103105</v>
      </c>
      <c r="J872" s="10" t="s">
        <v>98</v>
      </c>
    </row>
    <row r="873" spans="1:10" ht="38.25">
      <c r="A873" s="9" t="s">
        <v>27</v>
      </c>
      <c r="B873" s="2" t="s">
        <v>31</v>
      </c>
      <c r="C873" s="2">
        <v>3204</v>
      </c>
      <c r="D873" s="2">
        <v>224</v>
      </c>
      <c r="E873" s="2" t="str">
        <f>"1000017239"</f>
        <v>1000017239</v>
      </c>
      <c r="F873" s="4" t="str">
        <f>"INK CART:HP Item # 51650Y-HEW, HP 50 Yellow Ink Cartridge for DesignJet 250C/650C (Yld 410)"</f>
        <v>INK CART:HP Item # 51650Y-HEW, HP 50 Yellow Ink Cartridge for DesignJet 250C/650C (Yld 410)</v>
      </c>
      <c r="G873" s="74" t="str">
        <f t="shared" si="56"/>
        <v>EA</v>
      </c>
      <c r="H873" s="7">
        <v>38</v>
      </c>
      <c r="I873" s="2" t="str">
        <f t="shared" si="55"/>
        <v>44103105</v>
      </c>
      <c r="J873" s="10" t="s">
        <v>98</v>
      </c>
    </row>
    <row r="874" spans="1:10" ht="38.25">
      <c r="A874" s="9" t="s">
        <v>27</v>
      </c>
      <c r="B874" s="2" t="s">
        <v>31</v>
      </c>
      <c r="C874" s="2">
        <v>3204</v>
      </c>
      <c r="D874" s="2">
        <v>591</v>
      </c>
      <c r="E874" s="2" t="str">
        <f>"1000017240"</f>
        <v>1000017240</v>
      </c>
      <c r="F874" s="4" t="str">
        <f>"TONER:HP Item # 92274A-BC, Brand Compatible Cartridge (Yld 3.3k) for Hewlett Packard 4L/4ML/4P/4MP PX Black Toner"</f>
        <v>TONER:HP Item # 92274A-BC, Brand Compatible Cartridge (Yld 3.3k) for Hewlett Packard 4L/4ML/4P/4MP PX Black Toner</v>
      </c>
      <c r="G874" s="74" t="str">
        <f t="shared" si="56"/>
        <v>EA</v>
      </c>
      <c r="H874" s="7">
        <v>72</v>
      </c>
      <c r="I874" s="2" t="str">
        <f t="shared" si="55"/>
        <v>44103105</v>
      </c>
      <c r="J874" s="10" t="s">
        <v>98</v>
      </c>
    </row>
    <row r="875" spans="1:10" ht="89.25">
      <c r="A875" s="9" t="s">
        <v>27</v>
      </c>
      <c r="B875" s="2" t="s">
        <v>31</v>
      </c>
      <c r="C875" s="2">
        <v>3204</v>
      </c>
      <c r="D875" s="2">
        <v>192</v>
      </c>
      <c r="E875" s="2" t="str">
        <f>"1000017241"</f>
        <v>1000017241</v>
      </c>
      <c r="F875" s="4" t="str">
        <f>"INK CART:EPS Item # T069520-EPS, Epson Durabrite Ultra ink, multipack, includes Cyan, Magenta, Yellow ink crtg. Smudge, fade and water resistant for Epson NX400, NX300, NX200, NX100, CX9400F, CX8400, CX700F, CX6000, CX5000V, CX5000 and C120 Stylus print"</f>
        <v>INK CART:EPS Item # T069520-EPS, Epson Durabrite Ultra ink, multipack, includes Cyan, Magenta, Yellow ink crtg. Smudge, fade and water resistant for Epson NX400, NX300, NX200, NX100, CX9400F, CX8400, CX700F, CX6000, CX5000V, CX5000 and C120 Stylus print</v>
      </c>
      <c r="G875" s="74" t="str">
        <f>"PK"</f>
        <v>PK</v>
      </c>
      <c r="H875" s="7">
        <v>37</v>
      </c>
      <c r="I875" s="2" t="str">
        <f t="shared" si="55"/>
        <v>44103105</v>
      </c>
      <c r="J875" s="10" t="s">
        <v>98</v>
      </c>
    </row>
    <row r="876" spans="1:10" ht="51">
      <c r="A876" s="9" t="s">
        <v>27</v>
      </c>
      <c r="B876" s="2" t="s">
        <v>31</v>
      </c>
      <c r="C876" s="2">
        <v>3204</v>
      </c>
      <c r="D876" s="2">
        <v>193</v>
      </c>
      <c r="E876" s="2" t="str">
        <f>"1000017242"</f>
        <v>1000017242</v>
      </c>
      <c r="F876" s="4" t="str">
        <f>"INK CART:EPS Item # T078120-EPS, Epson 78 Black Ink Cartridge for Stylus Photo RX580/ RX595/RX680/ R260/ R280/R380/ RX580"</f>
        <v>INK CART:EPS Item # T078120-EPS, Epson 78 Black Ink Cartridge for Stylus Photo RX580/ RX595/RX680/ R260/ R280/R380/ RX580</v>
      </c>
      <c r="G876" s="74" t="str">
        <f t="shared" ref="G876:G907" si="57">"EA"</f>
        <v>EA</v>
      </c>
      <c r="H876" s="7">
        <v>17.260000000000002</v>
      </c>
      <c r="I876" s="2" t="str">
        <f t="shared" si="55"/>
        <v>44103105</v>
      </c>
      <c r="J876" s="10" t="s">
        <v>98</v>
      </c>
    </row>
    <row r="877" spans="1:10" ht="38.25">
      <c r="A877" s="9" t="s">
        <v>27</v>
      </c>
      <c r="B877" s="2" t="s">
        <v>31</v>
      </c>
      <c r="C877" s="2">
        <v>3204</v>
      </c>
      <c r="D877" s="2">
        <v>166</v>
      </c>
      <c r="E877" s="2" t="str">
        <f>"1000017243"</f>
        <v>1000017243</v>
      </c>
      <c r="F877" s="4" t="str">
        <f>"INK CART:EPS Item # T048120-EPS, Epson Black InkCtg (Yld 630) Stylus Photo R300/300M/RX500"</f>
        <v>INK CART:EPS Item # T048120-EPS, Epson Black InkCtg (Yld 630) Stylus Photo R300/300M/RX500</v>
      </c>
      <c r="G877" s="74" t="str">
        <f t="shared" si="57"/>
        <v>EA</v>
      </c>
      <c r="H877" s="7">
        <v>19.32</v>
      </c>
      <c r="I877" s="2" t="str">
        <f t="shared" si="55"/>
        <v>44103105</v>
      </c>
      <c r="J877" s="10" t="s">
        <v>98</v>
      </c>
    </row>
    <row r="878" spans="1:10" ht="38.25">
      <c r="A878" s="9" t="s">
        <v>27</v>
      </c>
      <c r="B878" s="2" t="s">
        <v>31</v>
      </c>
      <c r="C878" s="2">
        <v>3204</v>
      </c>
      <c r="D878" s="2">
        <v>167</v>
      </c>
      <c r="E878" s="2" t="str">
        <f>"1000017244"</f>
        <v>1000017244</v>
      </c>
      <c r="F878" s="4" t="str">
        <f>"INK CART:EPS Item # T048220-EPS, Epson Stylus Photo Cyan Inkjet R300/ R330M/R50"</f>
        <v>INK CART:EPS Item # T048220-EPS, Epson Stylus Photo Cyan Inkjet R300/ R330M/R50</v>
      </c>
      <c r="G878" s="74" t="str">
        <f t="shared" si="57"/>
        <v>EA</v>
      </c>
      <c r="H878" s="7">
        <v>13</v>
      </c>
      <c r="I878" s="2" t="str">
        <f t="shared" si="55"/>
        <v>44103105</v>
      </c>
      <c r="J878" s="10" t="s">
        <v>98</v>
      </c>
    </row>
    <row r="879" spans="1:10" ht="63.75">
      <c r="A879" s="9" t="s">
        <v>27</v>
      </c>
      <c r="B879" s="2" t="s">
        <v>31</v>
      </c>
      <c r="C879" s="2">
        <v>3204</v>
      </c>
      <c r="D879" s="2">
        <v>1027</v>
      </c>
      <c r="E879" s="2" t="str">
        <f>"1000017245"</f>
        <v>1000017245</v>
      </c>
      <c r="F879" s="4" t="str">
        <f>"INK CART:EPS Item # T078320-EPS, Epson 78 Magenta Ink Cartridge for Epson All-in-One Machine: Stylus Photo RX580/ RX595/ RX680. Epson Photo Printers: Stylus Photo R260/ R280/ R380/ RX580"</f>
        <v>INK CART:EPS Item # T078320-EPS, Epson 78 Magenta Ink Cartridge for Epson All-in-One Machine: Stylus Photo RX580/ RX595/ RX680. Epson Photo Printers: Stylus Photo R260/ R280/ R380/ RX580</v>
      </c>
      <c r="G879" s="74" t="str">
        <f t="shared" si="57"/>
        <v>EA</v>
      </c>
      <c r="H879" s="7">
        <v>14.19</v>
      </c>
      <c r="I879" s="2" t="str">
        <f t="shared" si="55"/>
        <v>44103105</v>
      </c>
      <c r="J879" s="10" t="s">
        <v>99</v>
      </c>
    </row>
    <row r="880" spans="1:10" ht="51">
      <c r="A880" s="9" t="s">
        <v>27</v>
      </c>
      <c r="B880" s="2" t="s">
        <v>31</v>
      </c>
      <c r="C880" s="2">
        <v>3204</v>
      </c>
      <c r="D880" s="2">
        <v>598</v>
      </c>
      <c r="E880" s="2" t="str">
        <f>"1000017248"</f>
        <v>1000017248</v>
      </c>
      <c r="F880" s="4" t="str">
        <f>"TONER:HP Item # 92298A-BC, Brand Compatible Black toner for Hewlett Packard 4/4M/4 Plus/4M Plus/5/5M/5N EX (Yld 6.8k)"</f>
        <v>TONER:HP Item # 92298A-BC, Brand Compatible Black toner for Hewlett Packard 4/4M/4 Plus/4M Plus/5/5M/5N EX (Yld 6.8k)</v>
      </c>
      <c r="G880" s="74" t="str">
        <f t="shared" si="57"/>
        <v>EA</v>
      </c>
      <c r="H880" s="7">
        <v>72</v>
      </c>
      <c r="I880" s="2" t="str">
        <f t="shared" si="55"/>
        <v>44103105</v>
      </c>
      <c r="J880" s="10" t="s">
        <v>98</v>
      </c>
    </row>
    <row r="881" spans="1:10" ht="63.75">
      <c r="A881" s="9" t="s">
        <v>27</v>
      </c>
      <c r="B881" s="2" t="s">
        <v>31</v>
      </c>
      <c r="C881" s="2">
        <v>3204</v>
      </c>
      <c r="D881" s="2">
        <v>600</v>
      </c>
      <c r="E881" s="2" t="str">
        <f>"1000017249"</f>
        <v>1000017249</v>
      </c>
      <c r="F881" s="4" t="str">
        <f>"TONER:HP Item # 92298A-MICR, HP 98A Black MICR Toner Cartridge for HP LaserJet 4 / 4 4M 4Plus 4MPlus / 4M / 4MPlus / 4Plus / 5 / 5 5M 5N 5Se / 5M / 5N / 5Se (Yld 6.8k)"</f>
        <v>TONER:HP Item # 92298A-MICR, HP 98A Black MICR Toner Cartridge for HP LaserJet 4 / 4 4M 4Plus 4MPlus / 4M / 4MPlus / 4Plus / 5 / 5 5M 5N 5Se / 5M / 5N / 5Se (Yld 6.8k)</v>
      </c>
      <c r="G881" s="74" t="str">
        <f t="shared" si="57"/>
        <v>EA</v>
      </c>
      <c r="H881" s="7">
        <v>195</v>
      </c>
      <c r="I881" s="2" t="str">
        <f t="shared" si="55"/>
        <v>44103105</v>
      </c>
      <c r="J881" s="10" t="s">
        <v>98</v>
      </c>
    </row>
    <row r="882" spans="1:10" ht="51">
      <c r="A882" s="9" t="s">
        <v>27</v>
      </c>
      <c r="B882" s="2" t="s">
        <v>31</v>
      </c>
      <c r="C882" s="2">
        <v>3204</v>
      </c>
      <c r="D882" s="2">
        <v>601</v>
      </c>
      <c r="E882" s="2" t="str">
        <f>"1000017250"</f>
        <v>1000017250</v>
      </c>
      <c r="F882" s="4" t="str">
        <f>"TONER:HP Item # 92298AR-REM, HP Remanufactured 4/4M/4 Plus/4M Plus/5/5M/5N EX Black Toner Cartridge (Yld 6.8k) NLLD"</f>
        <v>TONER:HP Item # 92298AR-REM, HP Remanufactured 4/4M/4 Plus/4M Plus/5/5M/5N EX Black Toner Cartridge (Yld 6.8k) NLLD</v>
      </c>
      <c r="G882" s="74" t="str">
        <f t="shared" si="57"/>
        <v>EA</v>
      </c>
      <c r="H882" s="7">
        <v>55</v>
      </c>
      <c r="I882" s="2" t="str">
        <f t="shared" si="55"/>
        <v>44103105</v>
      </c>
      <c r="J882" s="10" t="s">
        <v>98</v>
      </c>
    </row>
    <row r="883" spans="1:10" ht="38.25">
      <c r="A883" s="9" t="s">
        <v>27</v>
      </c>
      <c r="B883" s="2" t="s">
        <v>31</v>
      </c>
      <c r="C883" s="2">
        <v>3204</v>
      </c>
      <c r="D883" s="2">
        <v>225</v>
      </c>
      <c r="E883" s="2" t="str">
        <f>"1000017251"</f>
        <v>1000017251</v>
      </c>
      <c r="F883" s="4" t="str">
        <f>"INK CART:HP Item # C1806A-HEW, HP Black ink cartridge for DeskJet 2000CP/ 2500CP/ 3000CP/ 3800CP"</f>
        <v>INK CART:HP Item # C1806A-HEW, HP Black ink cartridge for DeskJet 2000CP/ 2500CP/ 3000CP/ 3800CP</v>
      </c>
      <c r="G883" s="74" t="str">
        <f t="shared" si="57"/>
        <v>EA</v>
      </c>
      <c r="H883" s="7">
        <v>164</v>
      </c>
      <c r="I883" s="2" t="str">
        <f t="shared" si="55"/>
        <v>44103105</v>
      </c>
      <c r="J883" s="10" t="s">
        <v>98</v>
      </c>
    </row>
    <row r="884" spans="1:10" ht="38.25">
      <c r="A884" s="9" t="s">
        <v>27</v>
      </c>
      <c r="B884" s="2" t="s">
        <v>31</v>
      </c>
      <c r="C884" s="2">
        <v>3204</v>
      </c>
      <c r="D884" s="2">
        <v>226</v>
      </c>
      <c r="E884" s="2" t="str">
        <f>"1000017252"</f>
        <v>1000017252</v>
      </c>
      <c r="F884" s="4" t="str">
        <f>"INK CART:HP Item # C1807A-HEW, HP Ink Cartridge, Cyan for DesignJet 2000CP/ 2500CP/ 3000CP/ 3800CP Series (Yld 400)"</f>
        <v>INK CART:HP Item # C1807A-HEW, HP Ink Cartridge, Cyan for DesignJet 2000CP/ 2500CP/ 3000CP/ 3800CP Series (Yld 400)</v>
      </c>
      <c r="G884" s="74" t="str">
        <f t="shared" si="57"/>
        <v>EA</v>
      </c>
      <c r="H884" s="7">
        <v>164</v>
      </c>
      <c r="I884" s="2" t="str">
        <f t="shared" si="55"/>
        <v>44103105</v>
      </c>
      <c r="J884" s="10" t="s">
        <v>98</v>
      </c>
    </row>
    <row r="885" spans="1:10" ht="38.25">
      <c r="A885" s="9" t="s">
        <v>27</v>
      </c>
      <c r="B885" s="2" t="s">
        <v>31</v>
      </c>
      <c r="C885" s="2">
        <v>3204</v>
      </c>
      <c r="D885" s="2">
        <v>227</v>
      </c>
      <c r="E885" s="2" t="str">
        <f>"1000017253"</f>
        <v>1000017253</v>
      </c>
      <c r="F885" s="4" t="str">
        <f>"INK CART:HP Item # C1808A-HEW, HP Ink Cartridge, Magenta (Yld 400) for DesignJet 2000CP/ 2500CP/ 3000CP/ 3800CP Series"</f>
        <v>INK CART:HP Item # C1808A-HEW, HP Ink Cartridge, Magenta (Yld 400) for DesignJet 2000CP/ 2500CP/ 3000CP/ 3800CP Series</v>
      </c>
      <c r="G885" s="74" t="str">
        <f t="shared" si="57"/>
        <v>EA</v>
      </c>
      <c r="H885" s="7">
        <v>164</v>
      </c>
      <c r="I885" s="2" t="str">
        <f t="shared" si="55"/>
        <v>44103105</v>
      </c>
      <c r="J885" s="10" t="s">
        <v>98</v>
      </c>
    </row>
    <row r="886" spans="1:10" ht="38.25">
      <c r="A886" s="9" t="s">
        <v>27</v>
      </c>
      <c r="B886" s="2" t="s">
        <v>31</v>
      </c>
      <c r="C886" s="2">
        <v>3204</v>
      </c>
      <c r="D886" s="2">
        <v>990</v>
      </c>
      <c r="E886" s="2" t="str">
        <f>"1000017254"</f>
        <v>1000017254</v>
      </c>
      <c r="F886" s="4" t="str">
        <f>"TRANSFER KIT:HP Item # C4154A-HEW, HP Color LaserJet 8500 Transfer Kit (Yld 150k black, 75k color)"</f>
        <v>TRANSFER KIT:HP Item # C4154A-HEW, HP Color LaserJet 8500 Transfer Kit (Yld 150k black, 75k color)</v>
      </c>
      <c r="G886" s="74" t="str">
        <f t="shared" si="57"/>
        <v>EA</v>
      </c>
      <c r="H886" s="7">
        <v>448</v>
      </c>
      <c r="I886" s="2" t="str">
        <f>"44103116"</f>
        <v>44103116</v>
      </c>
      <c r="J886" s="10" t="s">
        <v>109</v>
      </c>
    </row>
    <row r="887" spans="1:10" ht="38.25">
      <c r="A887" s="9" t="s">
        <v>27</v>
      </c>
      <c r="B887" s="2" t="s">
        <v>31</v>
      </c>
      <c r="C887" s="2">
        <v>3204</v>
      </c>
      <c r="D887" s="2">
        <v>208</v>
      </c>
      <c r="E887" s="2" t="str">
        <f>"1000017255"</f>
        <v>1000017255</v>
      </c>
      <c r="F887" s="4" t="str">
        <f>"INK CART:HP Item # 51604A-HEW, HP Black Ink Cartridge for HP ThinkJet, QuietJet Printers, 500 page yield."</f>
        <v>INK CART:HP Item # 51604A-HEW, HP Black Ink Cartridge for HP ThinkJet, QuietJet Printers, 500 page yield.</v>
      </c>
      <c r="G887" s="74" t="str">
        <f t="shared" si="57"/>
        <v>EA</v>
      </c>
      <c r="H887" s="7">
        <v>15.32</v>
      </c>
      <c r="I887" s="2" t="str">
        <f t="shared" ref="I887:I911" si="58">"44103105"</f>
        <v>44103105</v>
      </c>
      <c r="J887" s="10" t="s">
        <v>98</v>
      </c>
    </row>
    <row r="888" spans="1:10" ht="38.25">
      <c r="A888" s="9" t="s">
        <v>27</v>
      </c>
      <c r="B888" s="2" t="s">
        <v>31</v>
      </c>
      <c r="C888" s="2">
        <v>3204</v>
      </c>
      <c r="D888" s="2">
        <v>180</v>
      </c>
      <c r="E888" s="2" t="str">
        <f>"1000017256"</f>
        <v>1000017256</v>
      </c>
      <c r="F888" s="4" t="str">
        <f>"INK CART:EPS Item # T059120-EPS, Epson Photo Black Ink Cartridge - Stylus Photo R2400"</f>
        <v>INK CART:EPS Item # T059120-EPS, Epson Photo Black Ink Cartridge - Stylus Photo R2400</v>
      </c>
      <c r="G888" s="74" t="str">
        <f t="shared" si="57"/>
        <v>EA</v>
      </c>
      <c r="H888" s="7">
        <v>17.66</v>
      </c>
      <c r="I888" s="2" t="str">
        <f t="shared" si="58"/>
        <v>44103105</v>
      </c>
      <c r="J888" s="10" t="s">
        <v>98</v>
      </c>
    </row>
    <row r="889" spans="1:10" ht="38.25">
      <c r="A889" s="9" t="s">
        <v>27</v>
      </c>
      <c r="B889" s="2" t="s">
        <v>31</v>
      </c>
      <c r="C889" s="2">
        <v>3204</v>
      </c>
      <c r="D889" s="2">
        <v>181</v>
      </c>
      <c r="E889" s="2" t="str">
        <f>"1000017257"</f>
        <v>1000017257</v>
      </c>
      <c r="F889" s="4" t="str">
        <f>"INK CART:EPS Item # T059220-EPS, Epson Photo Stylus R2400 Cyan UltraChrome K3 ink cartridge"</f>
        <v>INK CART:EPS Item # T059220-EPS, Epson Photo Stylus R2400 Cyan UltraChrome K3 ink cartridge</v>
      </c>
      <c r="G889" s="74" t="str">
        <f t="shared" si="57"/>
        <v>EA</v>
      </c>
      <c r="H889" s="7">
        <v>17.66</v>
      </c>
      <c r="I889" s="2" t="str">
        <f t="shared" si="58"/>
        <v>44103105</v>
      </c>
      <c r="J889" s="10" t="s">
        <v>98</v>
      </c>
    </row>
    <row r="890" spans="1:10" ht="38.25">
      <c r="A890" s="9" t="s">
        <v>27</v>
      </c>
      <c r="B890" s="2" t="s">
        <v>31</v>
      </c>
      <c r="C890" s="2">
        <v>3204</v>
      </c>
      <c r="D890" s="2">
        <v>609</v>
      </c>
      <c r="E890" s="2" t="str">
        <f>"1000017260"</f>
        <v>1000017260</v>
      </c>
      <c r="F890" s="4" t="str">
        <f>"TONER:HP Item # C3903A-BC, Brand Compatible Black toner cartridge for HP 5P/5MP/6P/6MP (Yld 4k)"</f>
        <v>TONER:HP Item # C3903A-BC, Brand Compatible Black toner cartridge for HP 5P/5MP/6P/6MP (Yld 4k)</v>
      </c>
      <c r="G890" s="74" t="str">
        <f t="shared" si="57"/>
        <v>EA</v>
      </c>
      <c r="H890" s="7">
        <v>62</v>
      </c>
      <c r="I890" s="2" t="str">
        <f t="shared" si="58"/>
        <v>44103105</v>
      </c>
      <c r="J890" s="10" t="s">
        <v>98</v>
      </c>
    </row>
    <row r="891" spans="1:10" ht="38.25">
      <c r="A891" s="9" t="s">
        <v>27</v>
      </c>
      <c r="B891" s="2" t="s">
        <v>31</v>
      </c>
      <c r="C891" s="2">
        <v>3204</v>
      </c>
      <c r="D891" s="2">
        <v>611</v>
      </c>
      <c r="E891" s="2" t="str">
        <f>"1000017261"</f>
        <v>1000017261</v>
      </c>
      <c r="F891" s="4" t="str">
        <f>"TONER:HP Item # C3903AR-REM, Remanufactured Black toner for HP 5P/5MP/6P/6MP"</f>
        <v>TONER:HP Item # C3903AR-REM, Remanufactured Black toner for HP 5P/5MP/6P/6MP</v>
      </c>
      <c r="G891" s="74" t="str">
        <f t="shared" si="57"/>
        <v>EA</v>
      </c>
      <c r="H891" s="7">
        <v>40</v>
      </c>
      <c r="I891" s="2" t="str">
        <f t="shared" si="58"/>
        <v>44103105</v>
      </c>
      <c r="J891" s="10" t="s">
        <v>98</v>
      </c>
    </row>
    <row r="892" spans="1:10" ht="38.25">
      <c r="A892" s="9" t="s">
        <v>27</v>
      </c>
      <c r="B892" s="2" t="s">
        <v>31</v>
      </c>
      <c r="C892" s="2">
        <v>3204</v>
      </c>
      <c r="D892" s="2">
        <v>612</v>
      </c>
      <c r="E892" s="2" t="str">
        <f>"1000017262"</f>
        <v>1000017262</v>
      </c>
      <c r="F892" s="4" t="str">
        <f>"TONER:HP Item # C3906A-BC, Brand Compatible Black toner cartridge for HP 5L/6L/3100 AX (Yld 2.5k)"</f>
        <v>TONER:HP Item # C3906A-BC, Brand Compatible Black toner cartridge for HP 5L/6L/3100 AX (Yld 2.5k)</v>
      </c>
      <c r="G892" s="74" t="str">
        <f t="shared" si="57"/>
        <v>EA</v>
      </c>
      <c r="H892" s="7">
        <v>52</v>
      </c>
      <c r="I892" s="2" t="str">
        <f t="shared" si="58"/>
        <v>44103105</v>
      </c>
      <c r="J892" s="10" t="s">
        <v>98</v>
      </c>
    </row>
    <row r="893" spans="1:10" ht="38.25">
      <c r="A893" s="9" t="s">
        <v>27</v>
      </c>
      <c r="B893" s="2" t="s">
        <v>31</v>
      </c>
      <c r="C893" s="2">
        <v>3204</v>
      </c>
      <c r="D893" s="2">
        <v>614</v>
      </c>
      <c r="E893" s="2" t="str">
        <f>"1000017264"</f>
        <v>1000017264</v>
      </c>
      <c r="F893" s="4" t="str">
        <f>"TONER:HP Item # C3906AR-REM, Remanufactured Black toner for HP 5L/6L/3100 AX"</f>
        <v>TONER:HP Item # C3906AR-REM, Remanufactured Black toner for HP 5L/6L/3100 AX</v>
      </c>
      <c r="G893" s="74" t="str">
        <f t="shared" si="57"/>
        <v>EA</v>
      </c>
      <c r="H893" s="7">
        <v>37</v>
      </c>
      <c r="I893" s="2" t="str">
        <f t="shared" si="58"/>
        <v>44103105</v>
      </c>
      <c r="J893" s="10" t="s">
        <v>98</v>
      </c>
    </row>
    <row r="894" spans="1:10" ht="38.25">
      <c r="A894" s="9" t="s">
        <v>27</v>
      </c>
      <c r="B894" s="2" t="s">
        <v>31</v>
      </c>
      <c r="C894" s="2">
        <v>3204</v>
      </c>
      <c r="D894" s="2">
        <v>616</v>
      </c>
      <c r="E894" s="2" t="str">
        <f>"1000017265"</f>
        <v>1000017265</v>
      </c>
      <c r="F894" s="4" t="str">
        <f>"TONER:HP Item # C3909A-BCM, Brand Compatible MICR Toner for 5SI MX, Black cartridge (Yld 15k)"</f>
        <v>TONER:HP Item # C3909A-BCM, Brand Compatible MICR Toner for 5SI MX, Black cartridge (Yld 15k)</v>
      </c>
      <c r="G894" s="74" t="str">
        <f t="shared" si="57"/>
        <v>EA</v>
      </c>
      <c r="H894" s="7">
        <v>179</v>
      </c>
      <c r="I894" s="2" t="str">
        <f t="shared" si="58"/>
        <v>44103105</v>
      </c>
      <c r="J894" s="10" t="s">
        <v>98</v>
      </c>
    </row>
    <row r="895" spans="1:10" ht="38.25">
      <c r="A895" s="9" t="s">
        <v>27</v>
      </c>
      <c r="B895" s="2" t="s">
        <v>31</v>
      </c>
      <c r="C895" s="2">
        <v>3204</v>
      </c>
      <c r="D895" s="2">
        <v>619</v>
      </c>
      <c r="E895" s="2" t="str">
        <f>"1000017267"</f>
        <v>1000017267</v>
      </c>
      <c r="F895" s="4" t="str">
        <f>"TONER:HP Item # C3909AR-REM, Remanufactured Black toner cartridge for 5SI MX (Yld 15k)"</f>
        <v>TONER:HP Item # C3909AR-REM, Remanufactured Black toner cartridge for 5SI MX (Yld 15k)</v>
      </c>
      <c r="G895" s="74" t="str">
        <f t="shared" si="57"/>
        <v>EA</v>
      </c>
      <c r="H895" s="7">
        <v>108</v>
      </c>
      <c r="I895" s="2" t="str">
        <f t="shared" si="58"/>
        <v>44103105</v>
      </c>
      <c r="J895" s="10" t="s">
        <v>98</v>
      </c>
    </row>
    <row r="896" spans="1:10" ht="25.5">
      <c r="A896" s="9" t="s">
        <v>27</v>
      </c>
      <c r="B896" s="2" t="s">
        <v>31</v>
      </c>
      <c r="C896" s="2">
        <v>3204</v>
      </c>
      <c r="D896" s="2">
        <v>592</v>
      </c>
      <c r="E896" s="2" t="str">
        <f>"1000017268"</f>
        <v>1000017268</v>
      </c>
      <c r="F896" s="4" t="str">
        <f>"TONER:HP Item # 92274A-HEW, HP Black Toner 4L/4ML/4P/4MP PX (Yld 3.3k)"</f>
        <v>TONER:HP Item # 92274A-HEW, HP Black Toner 4L/4ML/4P/4MP PX (Yld 3.3k)</v>
      </c>
      <c r="G896" s="74" t="str">
        <f t="shared" si="57"/>
        <v>EA</v>
      </c>
      <c r="H896" s="7">
        <v>117</v>
      </c>
      <c r="I896" s="2" t="str">
        <f t="shared" si="58"/>
        <v>44103105</v>
      </c>
      <c r="J896" s="10" t="s">
        <v>98</v>
      </c>
    </row>
    <row r="897" spans="1:10" ht="38.25">
      <c r="A897" s="9" t="s">
        <v>27</v>
      </c>
      <c r="B897" s="2" t="s">
        <v>31</v>
      </c>
      <c r="C897" s="2">
        <v>3204</v>
      </c>
      <c r="D897" s="2">
        <v>593</v>
      </c>
      <c r="E897" s="2" t="str">
        <f>"1000017269"</f>
        <v>1000017269</v>
      </c>
      <c r="F897" s="4" t="str">
        <f>"TONER:HP Item # 92274A-MICR, MICR Toner Cartridge (Yld 3.3k) for 4L/4ML/4P/4MP PX"</f>
        <v>TONER:HP Item # 92274A-MICR, MICR Toner Cartridge (Yld 3.3k) for 4L/4ML/4P/4MP PX</v>
      </c>
      <c r="G897" s="74" t="str">
        <f t="shared" si="57"/>
        <v>EA</v>
      </c>
      <c r="H897" s="7">
        <v>90</v>
      </c>
      <c r="I897" s="2" t="str">
        <f t="shared" si="58"/>
        <v>44103105</v>
      </c>
      <c r="J897" s="10" t="s">
        <v>98</v>
      </c>
    </row>
    <row r="898" spans="1:10" ht="63.75">
      <c r="A898" s="9" t="s">
        <v>27</v>
      </c>
      <c r="B898" s="2" t="s">
        <v>31</v>
      </c>
      <c r="C898" s="2">
        <v>3204</v>
      </c>
      <c r="D898" s="2">
        <v>194</v>
      </c>
      <c r="E898" s="2" t="str">
        <f>"1000017270"</f>
        <v>1000017270</v>
      </c>
      <c r="F898" s="4" t="str">
        <f>"INK CART:EPS Item # T078220-EPS, Epson 78 Cyan Ink Cartridge for Epson All-in-One Machine: Stylus Photo RX580/ RX595/ RX680. Epson Photo Printers: Stylus Photo R260/ R280/ R380/ RX580"</f>
        <v>INK CART:EPS Item # T078220-EPS, Epson 78 Cyan Ink Cartridge for Epson All-in-One Machine: Stylus Photo RX580/ RX595/ RX680. Epson Photo Printers: Stylus Photo R260/ R280/ R380/ RX580</v>
      </c>
      <c r="G898" s="74" t="str">
        <f t="shared" si="57"/>
        <v>EA</v>
      </c>
      <c r="H898" s="7">
        <v>14.19</v>
      </c>
      <c r="I898" s="2" t="str">
        <f t="shared" si="58"/>
        <v>44103105</v>
      </c>
      <c r="J898" s="10" t="s">
        <v>98</v>
      </c>
    </row>
    <row r="899" spans="1:10" ht="51">
      <c r="A899" s="9" t="s">
        <v>27</v>
      </c>
      <c r="B899" s="2" t="s">
        <v>31</v>
      </c>
      <c r="C899" s="2">
        <v>3204</v>
      </c>
      <c r="D899" s="2">
        <v>595</v>
      </c>
      <c r="E899" s="2" t="str">
        <f>"1000017271"</f>
        <v>1000017271</v>
      </c>
      <c r="F899" s="4" t="str">
        <f>"TONER:HP Item # 92291A-BC, Brand Compatible for Hewlett Packard 3SI/3SI Plus/4SI/4SIMX NX Toner Cartridge (Yld 10.2k)"</f>
        <v>TONER:HP Item # 92291A-BC, Brand Compatible for Hewlett Packard 3SI/3SI Plus/4SI/4SIMX NX Toner Cartridge (Yld 10.2k)</v>
      </c>
      <c r="G899" s="74" t="str">
        <f t="shared" si="57"/>
        <v>EA</v>
      </c>
      <c r="H899" s="7">
        <v>91</v>
      </c>
      <c r="I899" s="2" t="str">
        <f t="shared" si="58"/>
        <v>44103105</v>
      </c>
      <c r="J899" s="10" t="s">
        <v>98</v>
      </c>
    </row>
    <row r="900" spans="1:10" ht="38.25">
      <c r="A900" s="9" t="s">
        <v>27</v>
      </c>
      <c r="B900" s="2" t="s">
        <v>31</v>
      </c>
      <c r="C900" s="2">
        <v>3204</v>
      </c>
      <c r="D900" s="2">
        <v>596</v>
      </c>
      <c r="E900" s="2" t="str">
        <f>"1000017272"</f>
        <v>1000017272</v>
      </c>
      <c r="F900" s="4" t="str">
        <f>"TONER:HP Item # 92291A-REM, Remanufactured toner cartridge for HP 3SI/3SI Plus/4SI/4SIMX NX Blk (Yld 10.2k)"</f>
        <v>TONER:HP Item # 92291A-REM, Remanufactured toner cartridge for HP 3SI/3SI Plus/4SI/4SIMX NX Blk (Yld 10.2k)</v>
      </c>
      <c r="G900" s="74" t="str">
        <f t="shared" si="57"/>
        <v>EA</v>
      </c>
      <c r="H900" s="7">
        <v>93</v>
      </c>
      <c r="I900" s="2" t="str">
        <f t="shared" si="58"/>
        <v>44103105</v>
      </c>
      <c r="J900" s="10" t="s">
        <v>98</v>
      </c>
    </row>
    <row r="901" spans="1:10" ht="51">
      <c r="A901" s="9" t="s">
        <v>27</v>
      </c>
      <c r="B901" s="2" t="s">
        <v>31</v>
      </c>
      <c r="C901" s="2">
        <v>3204</v>
      </c>
      <c r="D901" s="2">
        <v>629</v>
      </c>
      <c r="E901" s="2" t="str">
        <f>"1000017273"</f>
        <v>1000017273</v>
      </c>
      <c r="F901" s="4" t="str">
        <f>"TONER:HP Item # C4127A-REM, Remanufactured Black laser toner cartridge designed for HP 4000/4050 Toner (Yld 10k)"</f>
        <v>TONER:HP Item # C4127A-REM, Remanufactured Black laser toner cartridge designed for HP 4000/4050 Toner (Yld 10k)</v>
      </c>
      <c r="G901" s="74" t="str">
        <f t="shared" si="57"/>
        <v>EA</v>
      </c>
      <c r="H901" s="7">
        <v>79</v>
      </c>
      <c r="I901" s="2" t="str">
        <f t="shared" si="58"/>
        <v>44103105</v>
      </c>
      <c r="J901" s="10" t="s">
        <v>98</v>
      </c>
    </row>
    <row r="902" spans="1:10" ht="38.25">
      <c r="A902" s="9" t="s">
        <v>27</v>
      </c>
      <c r="B902" s="2" t="s">
        <v>31</v>
      </c>
      <c r="C902" s="2">
        <v>3204</v>
      </c>
      <c r="D902" s="2">
        <v>631</v>
      </c>
      <c r="E902" s="2" t="str">
        <f>"1000017274"</f>
        <v>1000017274</v>
      </c>
      <c r="F902" s="4" t="str">
        <f>"TONER:HP Item # C4127X-BCM, Brand Compatible 4000 Series MICR Toner (Yld 10k)"</f>
        <v>TONER:HP Item # C4127X-BCM, Brand Compatible 4000 Series MICR Toner (Yld 10k)</v>
      </c>
      <c r="G902" s="74" t="str">
        <f t="shared" si="57"/>
        <v>EA</v>
      </c>
      <c r="H902" s="7">
        <v>233</v>
      </c>
      <c r="I902" s="2" t="str">
        <f t="shared" si="58"/>
        <v>44103105</v>
      </c>
      <c r="J902" s="10" t="s">
        <v>98</v>
      </c>
    </row>
    <row r="903" spans="1:10" ht="38.25">
      <c r="A903" s="9" t="s">
        <v>27</v>
      </c>
      <c r="B903" s="2" t="s">
        <v>31</v>
      </c>
      <c r="C903" s="2">
        <v>3204</v>
      </c>
      <c r="D903" s="2">
        <v>633</v>
      </c>
      <c r="E903" s="2" t="str">
        <f>"1000017275"</f>
        <v>1000017275</v>
      </c>
      <c r="F903" s="4" t="str">
        <f>"TONER:HP Item # C4129X-BC, Brand Compatible Toner Cartridge (Yld 10k) for HP 5000"</f>
        <v>TONER:HP Item # C4129X-BC, Brand Compatible Toner Cartridge (Yld 10k) for HP 5000</v>
      </c>
      <c r="G903" s="74" t="str">
        <f t="shared" si="57"/>
        <v>EA</v>
      </c>
      <c r="H903" s="7">
        <v>76</v>
      </c>
      <c r="I903" s="2" t="str">
        <f t="shared" si="58"/>
        <v>44103105</v>
      </c>
      <c r="J903" s="10" t="s">
        <v>98</v>
      </c>
    </row>
    <row r="904" spans="1:10" ht="38.25">
      <c r="A904" s="9" t="s">
        <v>27</v>
      </c>
      <c r="B904" s="2" t="s">
        <v>31</v>
      </c>
      <c r="C904" s="2">
        <v>3204</v>
      </c>
      <c r="D904" s="2">
        <v>634</v>
      </c>
      <c r="E904" s="2" t="str">
        <f>"1000017276"</f>
        <v>1000017276</v>
      </c>
      <c r="F904" s="4" t="str">
        <f>"TONER:HP Item # C4129X-BCM, Brand Compatible for 5000, MICR Toner UltraPrec.(Yld 10k)"</f>
        <v>TONER:HP Item # C4129X-BCM, Brand Compatible for 5000, MICR Toner UltraPrec.(Yld 10k)</v>
      </c>
      <c r="G904" s="74" t="str">
        <f t="shared" si="57"/>
        <v>EA</v>
      </c>
      <c r="H904" s="7">
        <v>185</v>
      </c>
      <c r="I904" s="2" t="str">
        <f t="shared" si="58"/>
        <v>44103105</v>
      </c>
      <c r="J904" s="10" t="s">
        <v>98</v>
      </c>
    </row>
    <row r="905" spans="1:10" ht="38.25">
      <c r="A905" s="9" t="s">
        <v>27</v>
      </c>
      <c r="B905" s="2" t="s">
        <v>31</v>
      </c>
      <c r="C905" s="2">
        <v>3204</v>
      </c>
      <c r="D905" s="2">
        <v>635</v>
      </c>
      <c r="E905" s="2" t="str">
        <f>"1000017277"</f>
        <v>1000017277</v>
      </c>
      <c r="F905" s="4" t="str">
        <f>"TONER:HP Item # C4129X-HEW, HP UltraPrecise Toner for Laserjet 5000 (Yld 10k)"</f>
        <v>TONER:HP Item # C4129X-HEW, HP UltraPrecise Toner for Laserjet 5000 (Yld 10k)</v>
      </c>
      <c r="G905" s="74" t="str">
        <f t="shared" si="57"/>
        <v>EA</v>
      </c>
      <c r="H905" s="7">
        <v>215.99</v>
      </c>
      <c r="I905" s="2" t="str">
        <f t="shared" si="58"/>
        <v>44103105</v>
      </c>
      <c r="J905" s="10" t="s">
        <v>98</v>
      </c>
    </row>
    <row r="906" spans="1:10" ht="51">
      <c r="A906" s="9" t="s">
        <v>27</v>
      </c>
      <c r="B906" s="2" t="s">
        <v>31</v>
      </c>
      <c r="C906" s="2">
        <v>3204</v>
      </c>
      <c r="D906" s="2">
        <v>636</v>
      </c>
      <c r="E906" s="2" t="str">
        <f>"1000017278"</f>
        <v>1000017278</v>
      </c>
      <c r="F906" s="4" t="str">
        <f>"TONER:HP Item # C4149A-BC, Brand Compatible for Hewlett Packard Color LaserJet 8500 Toner Cartridge, Black (Yld 17k)"</f>
        <v>TONER:HP Item # C4149A-BC, Brand Compatible for Hewlett Packard Color LaserJet 8500 Toner Cartridge, Black (Yld 17k)</v>
      </c>
      <c r="G906" s="74" t="str">
        <f t="shared" si="57"/>
        <v>EA</v>
      </c>
      <c r="H906" s="7">
        <v>87</v>
      </c>
      <c r="I906" s="2" t="str">
        <f t="shared" si="58"/>
        <v>44103105</v>
      </c>
      <c r="J906" s="10" t="s">
        <v>98</v>
      </c>
    </row>
    <row r="907" spans="1:10" ht="25.5">
      <c r="A907" s="9" t="s">
        <v>27</v>
      </c>
      <c r="B907" s="2" t="s">
        <v>31</v>
      </c>
      <c r="C907" s="2">
        <v>3204</v>
      </c>
      <c r="D907" s="2">
        <v>637</v>
      </c>
      <c r="E907" s="2" t="str">
        <f>"1000017279"</f>
        <v>1000017279</v>
      </c>
      <c r="F907" s="4" t="str">
        <f>"TONER:HP Item # C4149A-HEW, HP Black Color LaserJet 8500 Toner (Yld 17k)"</f>
        <v>TONER:HP Item # C4149A-HEW, HP Black Color LaserJet 8500 Toner (Yld 17k)</v>
      </c>
      <c r="G907" s="74" t="str">
        <f t="shared" si="57"/>
        <v>EA</v>
      </c>
      <c r="H907" s="7">
        <v>129</v>
      </c>
      <c r="I907" s="2" t="str">
        <f t="shared" si="58"/>
        <v>44103105</v>
      </c>
      <c r="J907" s="10" t="s">
        <v>98</v>
      </c>
    </row>
    <row r="908" spans="1:10" ht="51">
      <c r="A908" s="9" t="s">
        <v>27</v>
      </c>
      <c r="B908" s="2" t="s">
        <v>31</v>
      </c>
      <c r="C908" s="2">
        <v>3204</v>
      </c>
      <c r="D908" s="2">
        <v>638</v>
      </c>
      <c r="E908" s="2" t="str">
        <f>"1000017280"</f>
        <v>1000017280</v>
      </c>
      <c r="F908" s="4" t="str">
        <f>"TONER:HP Item # C4150A-BC, Brand Compatible for Hewlett Packard Color LaserJet 8500 Toner Cartridge, Cyan (Yld 8.5k)"</f>
        <v>TONER:HP Item # C4150A-BC, Brand Compatible for Hewlett Packard Color LaserJet 8500 Toner Cartridge, Cyan (Yld 8.5k)</v>
      </c>
      <c r="G908" s="74" t="str">
        <f t="shared" ref="G908:G939" si="59">"EA"</f>
        <v>EA</v>
      </c>
      <c r="H908" s="7">
        <v>135</v>
      </c>
      <c r="I908" s="2" t="str">
        <f t="shared" si="58"/>
        <v>44103105</v>
      </c>
      <c r="J908" s="10" t="s">
        <v>98</v>
      </c>
    </row>
    <row r="909" spans="1:10" ht="38.25">
      <c r="A909" s="9" t="s">
        <v>27</v>
      </c>
      <c r="B909" s="2" t="s">
        <v>31</v>
      </c>
      <c r="C909" s="2">
        <v>3204</v>
      </c>
      <c r="D909" s="2">
        <v>228</v>
      </c>
      <c r="E909" s="2" t="str">
        <f>"1000017281"</f>
        <v>1000017281</v>
      </c>
      <c r="F909" s="4" t="str">
        <f>"INK CART:HP Item # C1809A-HEW, HP Ink Cartridge, Yellow for DesignJet 2000CP/ 2500CP/ 3000CP (Yld 400)"</f>
        <v>INK CART:HP Item # C1809A-HEW, HP Ink Cartridge, Yellow for DesignJet 2000CP/ 2500CP/ 3000CP (Yld 400)</v>
      </c>
      <c r="G909" s="74" t="str">
        <f t="shared" si="59"/>
        <v>EA</v>
      </c>
      <c r="H909" s="7">
        <v>164</v>
      </c>
      <c r="I909" s="2" t="str">
        <f t="shared" si="58"/>
        <v>44103105</v>
      </c>
      <c r="J909" s="10" t="s">
        <v>98</v>
      </c>
    </row>
    <row r="910" spans="1:10" ht="51">
      <c r="A910" s="9" t="s">
        <v>27</v>
      </c>
      <c r="B910" s="2" t="s">
        <v>31</v>
      </c>
      <c r="C910" s="2">
        <v>3204</v>
      </c>
      <c r="D910" s="2">
        <v>213</v>
      </c>
      <c r="E910" s="2" t="str">
        <f>"1000017283"</f>
        <v>1000017283</v>
      </c>
      <c r="F910" s="4" t="str">
        <f>"INK CART:HP Item # 51640A-HEW, HP 40 black ink cartridge for DeskJet 1200C, DesignJet 230/ 250C/ 330/ 350C/ 450C/ 650C Ink Cartridge, Black (Yld 1,100)"</f>
        <v>INK CART:HP Item # 51640A-HEW, HP 40 black ink cartridge for DeskJet 1200C, DesignJet 230/ 250C/ 330/ 350C/ 450C/ 650C Ink Cartridge, Black (Yld 1,100)</v>
      </c>
      <c r="G910" s="74" t="str">
        <f t="shared" si="59"/>
        <v>EA</v>
      </c>
      <c r="H910" s="7">
        <v>37.22</v>
      </c>
      <c r="I910" s="2" t="str">
        <f t="shared" si="58"/>
        <v>44103105</v>
      </c>
      <c r="J910" s="10" t="s">
        <v>98</v>
      </c>
    </row>
    <row r="911" spans="1:10" ht="38.25">
      <c r="A911" s="9" t="s">
        <v>27</v>
      </c>
      <c r="B911" s="2" t="s">
        <v>31</v>
      </c>
      <c r="C911" s="2">
        <v>3204</v>
      </c>
      <c r="D911" s="2">
        <v>608</v>
      </c>
      <c r="E911" s="2" t="str">
        <f>"1000017284"</f>
        <v>1000017284</v>
      </c>
      <c r="F911" s="4" t="str">
        <f>"TONER:HP Item # C3900A-MICR, MICR Black MICR Toner for Laserjet 4V/4MV (Yld 8.1k)"</f>
        <v>TONER:HP Item # C3900A-MICR, MICR Black MICR Toner for Laserjet 4V/4MV (Yld 8.1k)</v>
      </c>
      <c r="G911" s="74" t="str">
        <f t="shared" si="59"/>
        <v>EA</v>
      </c>
      <c r="H911" s="7">
        <v>139</v>
      </c>
      <c r="I911" s="2" t="str">
        <f t="shared" si="58"/>
        <v>44103105</v>
      </c>
      <c r="J911" s="10" t="s">
        <v>98</v>
      </c>
    </row>
    <row r="912" spans="1:10" ht="38.25">
      <c r="A912" s="9" t="s">
        <v>27</v>
      </c>
      <c r="B912" s="2" t="s">
        <v>31</v>
      </c>
      <c r="C912" s="2">
        <v>3204</v>
      </c>
      <c r="D912" s="2">
        <v>49</v>
      </c>
      <c r="E912" s="2" t="str">
        <f>"1000017285"</f>
        <v>1000017285</v>
      </c>
      <c r="F912" s="4" t="str">
        <f>"FUSER KIT:HP Item # C4155A-HEW, HP Color LaserJet 8500 Fuser Kit 110V (Yld 100k)"</f>
        <v>FUSER KIT:HP Item # C4155A-HEW, HP Color LaserJet 8500 Fuser Kit 110V (Yld 100k)</v>
      </c>
      <c r="G912" s="74" t="str">
        <f t="shared" si="59"/>
        <v>EA</v>
      </c>
      <c r="H912" s="7">
        <v>363</v>
      </c>
      <c r="I912" s="2" t="str">
        <f>"44103004"</f>
        <v>44103004</v>
      </c>
      <c r="J912" s="10" t="s">
        <v>96</v>
      </c>
    </row>
    <row r="913" spans="1:10" ht="51">
      <c r="A913" s="9" t="s">
        <v>27</v>
      </c>
      <c r="B913" s="2" t="s">
        <v>31</v>
      </c>
      <c r="C913" s="2">
        <v>3204</v>
      </c>
      <c r="D913" s="2">
        <v>645</v>
      </c>
      <c r="E913" s="2" t="str">
        <f>"1000017286"</f>
        <v>1000017286</v>
      </c>
      <c r="F913" s="4" t="str">
        <f>"TONER:HP Item # C4182X-HEW, HP Black Ultraprecise Laser Toner Cartridge for 8100/N/DN Series UltraPrecise Toner (Yld 20k)"</f>
        <v>TONER:HP Item # C4182X-HEW, HP Black Ultraprecise Laser Toner Cartridge for 8100/N/DN Series UltraPrecise Toner (Yld 20k)</v>
      </c>
      <c r="G913" s="74" t="str">
        <f t="shared" si="59"/>
        <v>EA</v>
      </c>
      <c r="H913" s="7">
        <v>260.99</v>
      </c>
      <c r="I913" s="2" t="str">
        <f t="shared" ref="I913:I944" si="60">"44103105"</f>
        <v>44103105</v>
      </c>
      <c r="J913" s="10" t="s">
        <v>98</v>
      </c>
    </row>
    <row r="914" spans="1:10" ht="38.25">
      <c r="A914" s="9" t="s">
        <v>27</v>
      </c>
      <c r="B914" s="2" t="s">
        <v>31</v>
      </c>
      <c r="C914" s="2">
        <v>3204</v>
      </c>
      <c r="D914" s="2">
        <v>646</v>
      </c>
      <c r="E914" s="2" t="str">
        <f>"1000017287"</f>
        <v>1000017287</v>
      </c>
      <c r="F914" s="4" t="str">
        <f>"TONER:HP Item # C4182X-MICR, LaserJet 8100 MICR Toner Cartridge (0281023001) (Yld 20k)"</f>
        <v>TONER:HP Item # C4182X-MICR, LaserJet 8100 MICR Toner Cartridge (0281023001) (Yld 20k)</v>
      </c>
      <c r="G914" s="74" t="str">
        <f t="shared" si="59"/>
        <v>EA</v>
      </c>
      <c r="H914" s="7">
        <v>486</v>
      </c>
      <c r="I914" s="2" t="str">
        <f t="shared" si="60"/>
        <v>44103105</v>
      </c>
      <c r="J914" s="10" t="s">
        <v>98</v>
      </c>
    </row>
    <row r="915" spans="1:10" ht="38.25">
      <c r="A915" s="9" t="s">
        <v>27</v>
      </c>
      <c r="B915" s="2" t="s">
        <v>31</v>
      </c>
      <c r="C915" s="2">
        <v>3204</v>
      </c>
      <c r="D915" s="2">
        <v>647</v>
      </c>
      <c r="E915" s="2" t="str">
        <f>"1000017288"</f>
        <v>1000017288</v>
      </c>
      <c r="F915" s="4" t="str">
        <f>"TONER:HP Item # C4182XR-REM, Remanufactured LaserJet 8100 Series Toner Cartridge (Yld 20k)"</f>
        <v>TONER:HP Item # C4182XR-REM, Remanufactured LaserJet 8100 Series Toner Cartridge (Yld 20k)</v>
      </c>
      <c r="G915" s="74" t="str">
        <f t="shared" si="59"/>
        <v>EA</v>
      </c>
      <c r="H915" s="7">
        <v>102</v>
      </c>
      <c r="I915" s="2" t="str">
        <f t="shared" si="60"/>
        <v>44103105</v>
      </c>
      <c r="J915" s="10" t="s">
        <v>98</v>
      </c>
    </row>
    <row r="916" spans="1:10" ht="38.25">
      <c r="A916" s="9" t="s">
        <v>27</v>
      </c>
      <c r="B916" s="2" t="s">
        <v>31</v>
      </c>
      <c r="C916" s="2">
        <v>3204</v>
      </c>
      <c r="D916" s="2">
        <v>648</v>
      </c>
      <c r="E916" s="2" t="str">
        <f>"1000017289"</f>
        <v>1000017289</v>
      </c>
      <c r="F916" s="4" t="str">
        <f>"TONER:HP Item # C4191A-BC, Brand Compatible Black toner cartridge for Color LaserJet 4500 (Yld 9k)"</f>
        <v>TONER:HP Item # C4191A-BC, Brand Compatible Black toner cartridge for Color LaserJet 4500 (Yld 9k)</v>
      </c>
      <c r="G916" s="74" t="str">
        <f t="shared" si="59"/>
        <v>EA</v>
      </c>
      <c r="H916" s="7">
        <v>63</v>
      </c>
      <c r="I916" s="2" t="str">
        <f t="shared" si="60"/>
        <v>44103105</v>
      </c>
      <c r="J916" s="10" t="s">
        <v>98</v>
      </c>
    </row>
    <row r="917" spans="1:10" ht="25.5">
      <c r="A917" s="9" t="s">
        <v>27</v>
      </c>
      <c r="B917" s="2" t="s">
        <v>31</v>
      </c>
      <c r="C917" s="2">
        <v>3204</v>
      </c>
      <c r="D917" s="2">
        <v>649</v>
      </c>
      <c r="E917" s="2" t="str">
        <f>"1000017290"</f>
        <v>1000017290</v>
      </c>
      <c r="F917" s="4" t="str">
        <f>"TONER:HP Item # C4191A-HEW, Black toner for HP Color LaserJet 4500 (Yld 9k)"</f>
        <v>TONER:HP Item # C4191A-HEW, Black toner for HP Color LaserJet 4500 (Yld 9k)</v>
      </c>
      <c r="G917" s="74" t="str">
        <f t="shared" si="59"/>
        <v>EA</v>
      </c>
      <c r="H917" s="7">
        <v>139</v>
      </c>
      <c r="I917" s="2" t="str">
        <f t="shared" si="60"/>
        <v>44103105</v>
      </c>
      <c r="J917" s="10" t="s">
        <v>98</v>
      </c>
    </row>
    <row r="918" spans="1:10" ht="38.25">
      <c r="A918" s="9" t="s">
        <v>27</v>
      </c>
      <c r="B918" s="2" t="s">
        <v>31</v>
      </c>
      <c r="C918" s="2">
        <v>3204</v>
      </c>
      <c r="D918" s="2">
        <v>650</v>
      </c>
      <c r="E918" s="2" t="str">
        <f>"1000017291"</f>
        <v>1000017291</v>
      </c>
      <c r="F918" s="4" t="str">
        <f>"TONER:HP Item # C4192A-BC, Brand Compatible Cyan Toner for HP LaserJet 4500 (Yld 6k)"</f>
        <v>TONER:HP Item # C4192A-BC, Brand Compatible Cyan Toner for HP LaserJet 4500 (Yld 6k)</v>
      </c>
      <c r="G918" s="74" t="str">
        <f t="shared" si="59"/>
        <v>EA</v>
      </c>
      <c r="H918" s="7">
        <v>96</v>
      </c>
      <c r="I918" s="2" t="str">
        <f t="shared" si="60"/>
        <v>44103105</v>
      </c>
      <c r="J918" s="10" t="s">
        <v>98</v>
      </c>
    </row>
    <row r="919" spans="1:10" ht="38.25">
      <c r="A919" s="9" t="s">
        <v>27</v>
      </c>
      <c r="B919" s="2" t="s">
        <v>31</v>
      </c>
      <c r="C919" s="2">
        <v>3204</v>
      </c>
      <c r="D919" s="2">
        <v>654</v>
      </c>
      <c r="E919" s="2" t="str">
        <f>"1000017292"</f>
        <v>1000017292</v>
      </c>
      <c r="F919" s="4" t="str">
        <f>"TONER:HP Item # C4194A-BC, Brand Compatible Yellow Toner for HP Color LaserJet 4500 (Yld 6k)"</f>
        <v>TONER:HP Item # C4194A-BC, Brand Compatible Yellow Toner for HP Color LaserJet 4500 (Yld 6k)</v>
      </c>
      <c r="G919" s="74" t="str">
        <f t="shared" si="59"/>
        <v>EA</v>
      </c>
      <c r="H919" s="7">
        <v>76</v>
      </c>
      <c r="I919" s="2" t="str">
        <f t="shared" si="60"/>
        <v>44103105</v>
      </c>
      <c r="J919" s="10" t="s">
        <v>98</v>
      </c>
    </row>
    <row r="920" spans="1:10" ht="38.25">
      <c r="A920" s="9" t="s">
        <v>27</v>
      </c>
      <c r="B920" s="2" t="s">
        <v>31</v>
      </c>
      <c r="C920" s="2">
        <v>3204</v>
      </c>
      <c r="D920" s="2">
        <v>622</v>
      </c>
      <c r="E920" s="2" t="str">
        <f>"1000017293"</f>
        <v>1000017293</v>
      </c>
      <c r="F920" s="4" t="str">
        <f>"TONER:HP Item # C4092A-BCM, Brand Compatible for HP LaserJet 1100/1100A MICR Toner (Yld 2.5k)"</f>
        <v>TONER:HP Item # C4092A-BCM, Brand Compatible for HP LaserJet 1100/1100A MICR Toner (Yld 2.5k)</v>
      </c>
      <c r="G920" s="74" t="str">
        <f t="shared" si="59"/>
        <v>EA</v>
      </c>
      <c r="H920" s="7">
        <v>153</v>
      </c>
      <c r="I920" s="2" t="str">
        <f t="shared" si="60"/>
        <v>44103105</v>
      </c>
      <c r="J920" s="10" t="s">
        <v>98</v>
      </c>
    </row>
    <row r="921" spans="1:10" ht="38.25">
      <c r="A921" s="9" t="s">
        <v>27</v>
      </c>
      <c r="B921" s="2" t="s">
        <v>31</v>
      </c>
      <c r="C921" s="2">
        <v>3204</v>
      </c>
      <c r="D921" s="2">
        <v>624</v>
      </c>
      <c r="E921" s="2" t="str">
        <f>"1000017294"</f>
        <v>1000017294</v>
      </c>
      <c r="F921" s="4" t="str">
        <f>"TONER:HP Item # C4096A-BC, Brand Compatible Black toner for HP 2100/2200 Series (Yld 5k)"</f>
        <v>TONER:HP Item # C4096A-BC, Brand Compatible Black toner for HP 2100/2200 Series (Yld 5k)</v>
      </c>
      <c r="G921" s="74" t="str">
        <f t="shared" si="59"/>
        <v>EA</v>
      </c>
      <c r="H921" s="7">
        <v>77</v>
      </c>
      <c r="I921" s="2" t="str">
        <f t="shared" si="60"/>
        <v>44103105</v>
      </c>
      <c r="J921" s="10" t="s">
        <v>98</v>
      </c>
    </row>
    <row r="922" spans="1:10" ht="25.5">
      <c r="A922" s="9" t="s">
        <v>27</v>
      </c>
      <c r="B922" s="2" t="s">
        <v>31</v>
      </c>
      <c r="C922" s="2">
        <v>3204</v>
      </c>
      <c r="D922" s="2">
        <v>625</v>
      </c>
      <c r="E922" s="2" t="str">
        <f>"1000017295"</f>
        <v>1000017295</v>
      </c>
      <c r="F922" s="4" t="str">
        <f>"TONER:HP Item # C4096A-BCM, Brand Compatible 2100/2200 Toner MICR"</f>
        <v>TONER:HP Item # C4096A-BCM, Brand Compatible 2100/2200 Toner MICR</v>
      </c>
      <c r="G922" s="74" t="str">
        <f t="shared" si="59"/>
        <v>EA</v>
      </c>
      <c r="H922" s="7">
        <v>145</v>
      </c>
      <c r="I922" s="2" t="str">
        <f t="shared" si="60"/>
        <v>44103105</v>
      </c>
      <c r="J922" s="10" t="s">
        <v>98</v>
      </c>
    </row>
    <row r="923" spans="1:10" ht="38.25">
      <c r="A923" s="9" t="s">
        <v>27</v>
      </c>
      <c r="B923" s="2" t="s">
        <v>31</v>
      </c>
      <c r="C923" s="2">
        <v>3204</v>
      </c>
      <c r="D923" s="2">
        <v>594</v>
      </c>
      <c r="E923" s="2" t="str">
        <f>"1000017296"</f>
        <v>1000017296</v>
      </c>
      <c r="F923" s="4" t="str">
        <f>"TONER:HP Item # 92275A-BC, Brand Compatible Toner Cartridge for Hewlett Packard (Yld 3k) IIP/IIP Plus/IIIP LX Black"</f>
        <v>TONER:HP Item # 92275A-BC, Brand Compatible Toner Cartridge for Hewlett Packard (Yld 3k) IIP/IIP Plus/IIIP LX Black</v>
      </c>
      <c r="G923" s="74" t="str">
        <f t="shared" si="59"/>
        <v>EA</v>
      </c>
      <c r="H923" s="7">
        <v>84</v>
      </c>
      <c r="I923" s="2" t="str">
        <f t="shared" si="60"/>
        <v>44103105</v>
      </c>
      <c r="J923" s="10" t="s">
        <v>98</v>
      </c>
    </row>
    <row r="924" spans="1:10" ht="38.25">
      <c r="A924" s="9" t="s">
        <v>27</v>
      </c>
      <c r="B924" s="2" t="s">
        <v>31</v>
      </c>
      <c r="C924" s="2">
        <v>3204</v>
      </c>
      <c r="D924" s="2">
        <v>238</v>
      </c>
      <c r="E924" s="2" t="str">
        <f>"1000017297"</f>
        <v>1000017297</v>
      </c>
      <c r="F924" s="4" t="str">
        <f>"INK CART:HP Item # C4841A-HEW, No. 10 Cyan Ink Cartridge for HP 2000C/2500C (Yld 1.65k)"</f>
        <v>INK CART:HP Item # C4841A-HEW, No. 10 Cyan Ink Cartridge for HP 2000C/2500C (Yld 1.65k)</v>
      </c>
      <c r="G924" s="74" t="str">
        <f t="shared" si="59"/>
        <v>EA</v>
      </c>
      <c r="H924" s="7">
        <v>38</v>
      </c>
      <c r="I924" s="2" t="str">
        <f t="shared" si="60"/>
        <v>44103105</v>
      </c>
      <c r="J924" s="10" t="s">
        <v>98</v>
      </c>
    </row>
    <row r="925" spans="1:10" ht="38.25">
      <c r="A925" s="9" t="s">
        <v>27</v>
      </c>
      <c r="B925" s="2" t="s">
        <v>31</v>
      </c>
      <c r="C925" s="2">
        <v>3204</v>
      </c>
      <c r="D925" s="2">
        <v>239</v>
      </c>
      <c r="E925" s="2" t="str">
        <f>"1000017298"</f>
        <v>1000017298</v>
      </c>
      <c r="F925" s="4" t="str">
        <f>"INK CART:HP Item # C4842A-HEW, HP No. 10 Ink Ctg, Yellow, HP 2000C/2500C (Yld 1.65k)"</f>
        <v>INK CART:HP Item # C4842A-HEW, HP No. 10 Ink Ctg, Yellow, HP 2000C/2500C (Yld 1.65k)</v>
      </c>
      <c r="G925" s="74" t="str">
        <f t="shared" si="59"/>
        <v>EA</v>
      </c>
      <c r="H925" s="7">
        <v>38</v>
      </c>
      <c r="I925" s="2" t="str">
        <f t="shared" si="60"/>
        <v>44103105</v>
      </c>
      <c r="J925" s="10" t="s">
        <v>98</v>
      </c>
    </row>
    <row r="926" spans="1:10" ht="38.25">
      <c r="A926" s="9" t="s">
        <v>27</v>
      </c>
      <c r="B926" s="2" t="s">
        <v>31</v>
      </c>
      <c r="C926" s="2">
        <v>3204</v>
      </c>
      <c r="D926" s="2">
        <v>240</v>
      </c>
      <c r="E926" s="2" t="str">
        <f>"1000017299"</f>
        <v>1000017299</v>
      </c>
      <c r="F926" s="4" t="str">
        <f>"INK CART:HP Item # C4843A-HEW, HP No. 10 Ink Ctg, Magenta, HP 2000C/2500C (Yld 1.65k)"</f>
        <v>INK CART:HP Item # C4843A-HEW, HP No. 10 Ink Ctg, Magenta, HP 2000C/2500C (Yld 1.65k)</v>
      </c>
      <c r="G926" s="74" t="str">
        <f t="shared" si="59"/>
        <v>EA</v>
      </c>
      <c r="H926" s="7">
        <v>38</v>
      </c>
      <c r="I926" s="2" t="str">
        <f t="shared" si="60"/>
        <v>44103105</v>
      </c>
      <c r="J926" s="10" t="s">
        <v>98</v>
      </c>
    </row>
    <row r="927" spans="1:10" ht="38.25">
      <c r="A927" s="9" t="s">
        <v>27</v>
      </c>
      <c r="B927" s="2" t="s">
        <v>31</v>
      </c>
      <c r="C927" s="2">
        <v>3204</v>
      </c>
      <c r="D927" s="2">
        <v>243</v>
      </c>
      <c r="E927" s="2" t="str">
        <f>"1000017300"</f>
        <v>1000017300</v>
      </c>
      <c r="F927" s="4" t="str">
        <f>"INK CART:HP Item # C4847A-HEW, HP No. 80 Ink Ctg, Magenta (Yld 4.4k), DesignJet 1000/ 1050/ 1055"</f>
        <v>INK CART:HP Item # C4847A-HEW, HP No. 80 Ink Ctg, Magenta (Yld 4.4k), DesignJet 1000/ 1050/ 1055</v>
      </c>
      <c r="G927" s="74" t="str">
        <f t="shared" si="59"/>
        <v>EA</v>
      </c>
      <c r="H927" s="7">
        <v>158.99</v>
      </c>
      <c r="I927" s="2" t="str">
        <f t="shared" si="60"/>
        <v>44103105</v>
      </c>
      <c r="J927" s="10" t="s">
        <v>98</v>
      </c>
    </row>
    <row r="928" spans="1:10" ht="38.25">
      <c r="A928" s="9" t="s">
        <v>27</v>
      </c>
      <c r="B928" s="2" t="s">
        <v>31</v>
      </c>
      <c r="C928" s="2">
        <v>3204</v>
      </c>
      <c r="D928" s="2">
        <v>244</v>
      </c>
      <c r="E928" s="2" t="str">
        <f>"1000017301"</f>
        <v>1000017301</v>
      </c>
      <c r="F928" s="4" t="str">
        <f>"INK CART:HP Item # C4848A-HEW, HP No. 80 Ink Ctg, Yellow, (Yld 4.4k) DesignJet 1000/1050/1055 Series"</f>
        <v>INK CART:HP Item # C4848A-HEW, HP No. 80 Ink Ctg, Yellow, (Yld 4.4k) DesignJet 1000/1050/1055 Series</v>
      </c>
      <c r="G928" s="74" t="str">
        <f t="shared" si="59"/>
        <v>EA</v>
      </c>
      <c r="H928" s="7">
        <v>158.99</v>
      </c>
      <c r="I928" s="2" t="str">
        <f t="shared" si="60"/>
        <v>44103105</v>
      </c>
      <c r="J928" s="10" t="s">
        <v>98</v>
      </c>
    </row>
    <row r="929" spans="1:10" ht="38.25">
      <c r="A929" s="9" t="s">
        <v>27</v>
      </c>
      <c r="B929" s="2" t="s">
        <v>31</v>
      </c>
      <c r="C929" s="2">
        <v>3204</v>
      </c>
      <c r="D929" s="2">
        <v>246</v>
      </c>
      <c r="E929" s="2" t="str">
        <f>"1000017302"</f>
        <v>1000017302</v>
      </c>
      <c r="F929" s="4" t="str">
        <f>"INK CART:HP Item # C4902AN-HEW, HP No. 940 Black inkjet cartridge, (Yld 1000), for Officejet Pro 8500 inkjet printers"</f>
        <v>INK CART:HP Item # C4902AN-HEW, HP No. 940 Black inkjet cartridge, (Yld 1000), for Officejet Pro 8500 inkjet printers</v>
      </c>
      <c r="G929" s="74" t="str">
        <f t="shared" si="59"/>
        <v>EA</v>
      </c>
      <c r="H929" s="7">
        <v>26.99</v>
      </c>
      <c r="I929" s="2" t="str">
        <f t="shared" si="60"/>
        <v>44103105</v>
      </c>
      <c r="J929" s="10" t="s">
        <v>98</v>
      </c>
    </row>
    <row r="930" spans="1:10" ht="38.25">
      <c r="A930" s="9" t="s">
        <v>27</v>
      </c>
      <c r="B930" s="2" t="s">
        <v>31</v>
      </c>
      <c r="C930" s="2">
        <v>3204</v>
      </c>
      <c r="D930" s="2">
        <v>247</v>
      </c>
      <c r="E930" s="2" t="str">
        <f>"1000017303"</f>
        <v>1000017303</v>
      </c>
      <c r="F930" s="4" t="str">
        <f>"INK CART:HP Item # C4903AN-HEW, HP No. 940 Cyan inkjet cartridge, (Yld 900) for Officejet Pro 8500 inkjet printers"</f>
        <v>INK CART:HP Item # C4903AN-HEW, HP No. 940 Cyan inkjet cartridge, (Yld 900) for Officejet Pro 8500 inkjet printers</v>
      </c>
      <c r="G930" s="74" t="str">
        <f t="shared" si="59"/>
        <v>EA</v>
      </c>
      <c r="H930" s="7">
        <v>20.99</v>
      </c>
      <c r="I930" s="2" t="str">
        <f t="shared" si="60"/>
        <v>44103105</v>
      </c>
      <c r="J930" s="10" t="s">
        <v>98</v>
      </c>
    </row>
    <row r="931" spans="1:10" ht="38.25">
      <c r="A931" s="9" t="s">
        <v>27</v>
      </c>
      <c r="B931" s="2" t="s">
        <v>31</v>
      </c>
      <c r="C931" s="2">
        <v>3204</v>
      </c>
      <c r="D931" s="2">
        <v>248</v>
      </c>
      <c r="E931" s="2" t="str">
        <f>"1000017304"</f>
        <v>1000017304</v>
      </c>
      <c r="F931" s="4" t="str">
        <f>"INK CART:HP Item # C4904AN-HEW, HP No. 940 Magenta inkjet cartridge, (Yld 900) for Officejet Pro 8500 inkjet printers"</f>
        <v>INK CART:HP Item # C4904AN-HEW, HP No. 940 Magenta inkjet cartridge, (Yld 900) for Officejet Pro 8500 inkjet printers</v>
      </c>
      <c r="G931" s="74" t="str">
        <f t="shared" si="59"/>
        <v>EA</v>
      </c>
      <c r="H931" s="7">
        <v>20.99</v>
      </c>
      <c r="I931" s="2" t="str">
        <f t="shared" si="60"/>
        <v>44103105</v>
      </c>
      <c r="J931" s="10" t="s">
        <v>98</v>
      </c>
    </row>
    <row r="932" spans="1:10" ht="25.5">
      <c r="A932" s="9" t="s">
        <v>27</v>
      </c>
      <c r="B932" s="2" t="s">
        <v>31</v>
      </c>
      <c r="C932" s="2">
        <v>3204</v>
      </c>
      <c r="D932" s="2">
        <v>639</v>
      </c>
      <c r="E932" s="2" t="str">
        <f>"1000017305"</f>
        <v>1000017305</v>
      </c>
      <c r="F932" s="4" t="str">
        <f>"TONER:HP Item # C4150A-HEW, HP Color LaserJet 8500 Toner Cyan (Yld 8.5k)"</f>
        <v>TONER:HP Item # C4150A-HEW, HP Color LaserJet 8500 Toner Cyan (Yld 8.5k)</v>
      </c>
      <c r="G932" s="74" t="str">
        <f t="shared" si="59"/>
        <v>EA</v>
      </c>
      <c r="H932" s="7">
        <v>196</v>
      </c>
      <c r="I932" s="2" t="str">
        <f t="shared" si="60"/>
        <v>44103105</v>
      </c>
      <c r="J932" s="10" t="s">
        <v>98</v>
      </c>
    </row>
    <row r="933" spans="1:10" ht="51">
      <c r="A933" s="9" t="s">
        <v>27</v>
      </c>
      <c r="B933" s="2" t="s">
        <v>31</v>
      </c>
      <c r="C933" s="2">
        <v>3204</v>
      </c>
      <c r="D933" s="2">
        <v>640</v>
      </c>
      <c r="E933" s="2" t="str">
        <f>"1000017306"</f>
        <v>1000017306</v>
      </c>
      <c r="F933" s="4" t="str">
        <f>"TONER:HP Item # C4151A-BC, Brand Compatible for Hewlett Packard Color LaserJet 8500 Toner Cartridge, Magenta (Yld 8.5k)"</f>
        <v>TONER:HP Item # C4151A-BC, Brand Compatible for Hewlett Packard Color LaserJet 8500 Toner Cartridge, Magenta (Yld 8.5k)</v>
      </c>
      <c r="G933" s="74" t="str">
        <f t="shared" si="59"/>
        <v>EA</v>
      </c>
      <c r="H933" s="7">
        <v>135</v>
      </c>
      <c r="I933" s="2" t="str">
        <f t="shared" si="60"/>
        <v>44103105</v>
      </c>
      <c r="J933" s="10" t="s">
        <v>98</v>
      </c>
    </row>
    <row r="934" spans="1:10" ht="25.5">
      <c r="A934" s="9" t="s">
        <v>27</v>
      </c>
      <c r="B934" s="2" t="s">
        <v>31</v>
      </c>
      <c r="C934" s="2">
        <v>3204</v>
      </c>
      <c r="D934" s="2">
        <v>641</v>
      </c>
      <c r="E934" s="2" t="str">
        <f>"1000017307"</f>
        <v>1000017307</v>
      </c>
      <c r="F934" s="4" t="str">
        <f>"TONER:HP Item # C4151A-HEW, HP Color LaserJet 8500 Toner, Magenta (Yld 8.5k)"</f>
        <v>TONER:HP Item # C4151A-HEW, HP Color LaserJet 8500 Toner, Magenta (Yld 8.5k)</v>
      </c>
      <c r="G934" s="74" t="str">
        <f t="shared" si="59"/>
        <v>EA</v>
      </c>
      <c r="H934" s="7">
        <v>197</v>
      </c>
      <c r="I934" s="2" t="str">
        <f t="shared" si="60"/>
        <v>44103105</v>
      </c>
      <c r="J934" s="10" t="s">
        <v>98</v>
      </c>
    </row>
    <row r="935" spans="1:10" ht="38.25">
      <c r="A935" s="9" t="s">
        <v>27</v>
      </c>
      <c r="B935" s="2" t="s">
        <v>31</v>
      </c>
      <c r="C935" s="2">
        <v>3204</v>
      </c>
      <c r="D935" s="2">
        <v>606</v>
      </c>
      <c r="E935" s="2" t="str">
        <f>"1000017308"</f>
        <v>1000017308</v>
      </c>
      <c r="F935" s="4" t="str">
        <f>"TONER:HP Item # C3900A-BC, Brand Compatible Black toner for HP LaserJet 4V/4MV (Yld 8.1k)"</f>
        <v>TONER:HP Item # C3900A-BC, Brand Compatible Black toner for HP LaserJet 4V/4MV (Yld 8.1k)</v>
      </c>
      <c r="G935" s="74" t="str">
        <f t="shared" si="59"/>
        <v>EA</v>
      </c>
      <c r="H935" s="7">
        <v>110</v>
      </c>
      <c r="I935" s="2" t="str">
        <f t="shared" si="60"/>
        <v>44103105</v>
      </c>
      <c r="J935" s="10" t="s">
        <v>98</v>
      </c>
    </row>
    <row r="936" spans="1:10" ht="25.5">
      <c r="A936" s="9" t="s">
        <v>27</v>
      </c>
      <c r="B936" s="2" t="s">
        <v>31</v>
      </c>
      <c r="C936" s="2">
        <v>3204</v>
      </c>
      <c r="D936" s="2">
        <v>607</v>
      </c>
      <c r="E936" s="2" t="str">
        <f>"1000017309"</f>
        <v>1000017309</v>
      </c>
      <c r="F936" s="4" t="str">
        <f>"TONER:HP Item # C3900A-HEW, HP Black toner for HP LaserJet 4V/4MV (Yld 8.1k)"</f>
        <v>TONER:HP Item # C3900A-HEW, HP Black toner for HP LaserJet 4V/4MV (Yld 8.1k)</v>
      </c>
      <c r="G936" s="74" t="str">
        <f t="shared" si="59"/>
        <v>EA</v>
      </c>
      <c r="H936" s="7">
        <v>139</v>
      </c>
      <c r="I936" s="2" t="str">
        <f t="shared" si="60"/>
        <v>44103105</v>
      </c>
      <c r="J936" s="10" t="s">
        <v>98</v>
      </c>
    </row>
    <row r="937" spans="1:10" ht="38.25">
      <c r="A937" s="9" t="s">
        <v>27</v>
      </c>
      <c r="B937" s="2" t="s">
        <v>31</v>
      </c>
      <c r="C937" s="2">
        <v>3204</v>
      </c>
      <c r="D937" s="2">
        <v>254</v>
      </c>
      <c r="E937" s="2" t="str">
        <f>"1000017310"</f>
        <v>1000017310</v>
      </c>
      <c r="F937" s="4" t="str">
        <f>"INK CART:HP Item # C4912A-HEW, HP No. 82 Ink Ctg, Magenta, DesignJet 500/500PS/800/800PS"</f>
        <v>INK CART:HP Item # C4912A-HEW, HP No. 82 Ink Ctg, Magenta, DesignJet 500/500PS/800/800PS</v>
      </c>
      <c r="G937" s="74" t="str">
        <f t="shared" si="59"/>
        <v>EA</v>
      </c>
      <c r="H937" s="7">
        <v>45.69</v>
      </c>
      <c r="I937" s="2" t="str">
        <f t="shared" si="60"/>
        <v>44103105</v>
      </c>
      <c r="J937" s="10" t="s">
        <v>98</v>
      </c>
    </row>
    <row r="938" spans="1:10" ht="38.25">
      <c r="A938" s="9" t="s">
        <v>27</v>
      </c>
      <c r="B938" s="2" t="s">
        <v>31</v>
      </c>
      <c r="C938" s="2">
        <v>3204</v>
      </c>
      <c r="D938" s="2">
        <v>255</v>
      </c>
      <c r="E938" s="2" t="str">
        <f>"1000017311"</f>
        <v>1000017311</v>
      </c>
      <c r="F938" s="4" t="str">
        <f>"INK CART:HP Item # C4913A-HEW, HP No. 82 Ink Ctg, Yellow, for DesignJet 500/500PS/800/800PS"</f>
        <v>INK CART:HP Item # C4913A-HEW, HP No. 82 Ink Ctg, Yellow, for DesignJet 500/500PS/800/800PS</v>
      </c>
      <c r="G938" s="74" t="str">
        <f t="shared" si="59"/>
        <v>EA</v>
      </c>
      <c r="H938" s="7">
        <v>45.69</v>
      </c>
      <c r="I938" s="2" t="str">
        <f t="shared" si="60"/>
        <v>44103105</v>
      </c>
      <c r="J938" s="10" t="s">
        <v>98</v>
      </c>
    </row>
    <row r="939" spans="1:10" ht="38.25">
      <c r="A939" s="9" t="s">
        <v>27</v>
      </c>
      <c r="B939" s="2" t="s">
        <v>31</v>
      </c>
      <c r="C939" s="2">
        <v>3204</v>
      </c>
      <c r="D939" s="2">
        <v>256</v>
      </c>
      <c r="E939" s="2" t="str">
        <f>"1000017312"</f>
        <v>1000017312</v>
      </c>
      <c r="F939" s="4" t="str">
        <f>"INK CART:HP Item # C4930A-HEW, HP No. 81 Dye Ink Cartridge, Black, HP Designjet 5000/5500 (Yld 1k)"</f>
        <v>INK CART:HP Item # C4930A-HEW, HP No. 81 Dye Ink Cartridge, Black, HP Designjet 5000/5500 (Yld 1k)</v>
      </c>
      <c r="G939" s="74" t="str">
        <f t="shared" si="59"/>
        <v>EA</v>
      </c>
      <c r="H939" s="7">
        <v>226</v>
      </c>
      <c r="I939" s="2" t="str">
        <f t="shared" si="60"/>
        <v>44103105</v>
      </c>
      <c r="J939" s="10" t="s">
        <v>98</v>
      </c>
    </row>
    <row r="940" spans="1:10" ht="38.25">
      <c r="A940" s="9" t="s">
        <v>27</v>
      </c>
      <c r="B940" s="2" t="s">
        <v>31</v>
      </c>
      <c r="C940" s="2">
        <v>3204</v>
      </c>
      <c r="D940" s="2">
        <v>257</v>
      </c>
      <c r="E940" s="2" t="str">
        <f>"1000017313"</f>
        <v>1000017313</v>
      </c>
      <c r="F940" s="4" t="str">
        <f>"INK CART:HP Item # C4931A-HEW, HP No. 81 Dye Ink Cartridge, Cyan, HP Designjet 5000/5500 (Yld 1k)"</f>
        <v>INK CART:HP Item # C4931A-HEW, HP No. 81 Dye Ink Cartridge, Cyan, HP Designjet 5000/5500 (Yld 1k)</v>
      </c>
      <c r="G940" s="74" t="str">
        <f t="shared" ref="G940:G971" si="61">"EA"</f>
        <v>EA</v>
      </c>
      <c r="H940" s="7">
        <v>220</v>
      </c>
      <c r="I940" s="2" t="str">
        <f t="shared" si="60"/>
        <v>44103105</v>
      </c>
      <c r="J940" s="10" t="s">
        <v>98</v>
      </c>
    </row>
    <row r="941" spans="1:10" ht="38.25">
      <c r="A941" s="9" t="s">
        <v>27</v>
      </c>
      <c r="B941" s="2" t="s">
        <v>31</v>
      </c>
      <c r="C941" s="2">
        <v>3204</v>
      </c>
      <c r="D941" s="2">
        <v>258</v>
      </c>
      <c r="E941" s="2" t="str">
        <f>"1000017314"</f>
        <v>1000017314</v>
      </c>
      <c r="F941" s="4" t="str">
        <f>"INK CART:HP Item # C4932A-HEW, HP No. 81 Dye Ink Cartridge, Magenta, HP Designjet 5000/5500 (Yld 1k)"</f>
        <v>INK CART:HP Item # C4932A-HEW, HP No. 81 Dye Ink Cartridge, Magenta, HP Designjet 5000/5500 (Yld 1k)</v>
      </c>
      <c r="G941" s="74" t="str">
        <f t="shared" si="61"/>
        <v>EA</v>
      </c>
      <c r="H941" s="7">
        <v>220</v>
      </c>
      <c r="I941" s="2" t="str">
        <f t="shared" si="60"/>
        <v>44103105</v>
      </c>
      <c r="J941" s="10" t="s">
        <v>98</v>
      </c>
    </row>
    <row r="942" spans="1:10" ht="38.25">
      <c r="A942" s="9" t="s">
        <v>27</v>
      </c>
      <c r="B942" s="2" t="s">
        <v>31</v>
      </c>
      <c r="C942" s="2">
        <v>3204</v>
      </c>
      <c r="D942" s="2">
        <v>259</v>
      </c>
      <c r="E942" s="2" t="str">
        <f>"1000017315"</f>
        <v>1000017315</v>
      </c>
      <c r="F942" s="4" t="str">
        <f>"INK CART:HP Item # C4933A-HEW, HP No. 81 Dye Ink Cartridge, Yellow, HP Designjet 5000/5500 (Yld 1k)"</f>
        <v>INK CART:HP Item # C4933A-HEW, HP No. 81 Dye Ink Cartridge, Yellow, HP Designjet 5000/5500 (Yld 1k)</v>
      </c>
      <c r="G942" s="74" t="str">
        <f t="shared" si="61"/>
        <v>EA</v>
      </c>
      <c r="H942" s="7">
        <v>220</v>
      </c>
      <c r="I942" s="2" t="str">
        <f t="shared" si="60"/>
        <v>44103105</v>
      </c>
      <c r="J942" s="10" t="s">
        <v>98</v>
      </c>
    </row>
    <row r="943" spans="1:10" ht="38.25">
      <c r="A943" s="9" t="s">
        <v>27</v>
      </c>
      <c r="B943" s="2" t="s">
        <v>31</v>
      </c>
      <c r="C943" s="2">
        <v>3204</v>
      </c>
      <c r="D943" s="2">
        <v>260</v>
      </c>
      <c r="E943" s="2" t="str">
        <f>"1000017316"</f>
        <v>1000017316</v>
      </c>
      <c r="F943" s="4" t="str">
        <f>"INK CART:HP Item # C4934A-HEW, HP No. 81 Dye Ink Cartridge, Light Cyan, HP Designjet5000/5500 (Yld 1k)"</f>
        <v>INK CART:HP Item # C4934A-HEW, HP No. 81 Dye Ink Cartridge, Light Cyan, HP Designjet5000/5500 (Yld 1k)</v>
      </c>
      <c r="G943" s="74" t="str">
        <f t="shared" si="61"/>
        <v>EA</v>
      </c>
      <c r="H943" s="7">
        <v>220</v>
      </c>
      <c r="I943" s="2" t="str">
        <f t="shared" si="60"/>
        <v>44103105</v>
      </c>
      <c r="J943" s="10" t="s">
        <v>98</v>
      </c>
    </row>
    <row r="944" spans="1:10" ht="38.25">
      <c r="A944" s="9" t="s">
        <v>27</v>
      </c>
      <c r="B944" s="2" t="s">
        <v>31</v>
      </c>
      <c r="C944" s="2">
        <v>3204</v>
      </c>
      <c r="D944" s="2">
        <v>261</v>
      </c>
      <c r="E944" s="2" t="str">
        <f>"1000017317"</f>
        <v>1000017317</v>
      </c>
      <c r="F944" s="4" t="str">
        <f>"INK CART:HP Item # C4935A-HEW, HP No. 81 Dye Ink Cartridge, Light Magenta Designjet 5000/5500 (Yld 1k)"</f>
        <v>INK CART:HP Item # C4935A-HEW, HP No. 81 Dye Ink Cartridge, Light Magenta Designjet 5000/5500 (Yld 1k)</v>
      </c>
      <c r="G944" s="74" t="str">
        <f t="shared" si="61"/>
        <v>EA</v>
      </c>
      <c r="H944" s="7">
        <v>220</v>
      </c>
      <c r="I944" s="2" t="str">
        <f t="shared" si="60"/>
        <v>44103105</v>
      </c>
      <c r="J944" s="10" t="s">
        <v>98</v>
      </c>
    </row>
    <row r="945" spans="1:10" ht="51">
      <c r="A945" s="9" t="s">
        <v>27</v>
      </c>
      <c r="B945" s="2" t="s">
        <v>31</v>
      </c>
      <c r="C945" s="2">
        <v>3204</v>
      </c>
      <c r="D945" s="2">
        <v>991</v>
      </c>
      <c r="E945" s="2" t="str">
        <f>"1000017318"</f>
        <v>1000017318</v>
      </c>
      <c r="F945" s="4" t="str">
        <f>"TRANSFER KIT:HP Item # C4196A-HEW, HP Transfer Kit for HP Color LaserJet 4500/4550 series, 100,000 pages (black), 25,000 pages (color)"</f>
        <v>TRANSFER KIT:HP Item # C4196A-HEW, HP Transfer Kit for HP Color LaserJet 4500/4550 series, 100,000 pages (black), 25,000 pages (color)</v>
      </c>
      <c r="G945" s="74" t="str">
        <f t="shared" si="61"/>
        <v>EA</v>
      </c>
      <c r="H945" s="7">
        <v>241</v>
      </c>
      <c r="I945" s="2" t="str">
        <f>"44103116"</f>
        <v>44103116</v>
      </c>
      <c r="J945" s="10" t="s">
        <v>109</v>
      </c>
    </row>
    <row r="946" spans="1:10" ht="38.25">
      <c r="A946" s="9" t="s">
        <v>27</v>
      </c>
      <c r="B946" s="2" t="s">
        <v>31</v>
      </c>
      <c r="C946" s="2">
        <v>3204</v>
      </c>
      <c r="D946" s="2">
        <v>231</v>
      </c>
      <c r="E946" s="2" t="str">
        <f>"1000017319"</f>
        <v>1000017319</v>
      </c>
      <c r="F946" s="4" t="str">
        <f>"INK CART:HP Item # C4804A-HEW, HP No. 12 Ink Business Ink 3000 Ctg. Cyan, HP 3300 (Yld 3.3k)"</f>
        <v>INK CART:HP Item # C4804A-HEW, HP No. 12 Ink Business Ink 3000 Ctg. Cyan, HP 3300 (Yld 3.3k)</v>
      </c>
      <c r="G946" s="74" t="str">
        <f t="shared" si="61"/>
        <v>EA</v>
      </c>
      <c r="H946" s="7">
        <v>76</v>
      </c>
      <c r="I946" s="2" t="str">
        <f t="shared" ref="I946:I976" si="62">"44103105"</f>
        <v>44103105</v>
      </c>
      <c r="J946" s="10" t="s">
        <v>98</v>
      </c>
    </row>
    <row r="947" spans="1:10" ht="38.25">
      <c r="A947" s="9" t="s">
        <v>27</v>
      </c>
      <c r="B947" s="2" t="s">
        <v>31</v>
      </c>
      <c r="C947" s="2">
        <v>3204</v>
      </c>
      <c r="D947" s="2">
        <v>232</v>
      </c>
      <c r="E947" s="2" t="str">
        <f>"1000017320"</f>
        <v>1000017320</v>
      </c>
      <c r="F947" s="4" t="str">
        <f>"INK CART:HP Item # C4805A-HEW, HP No. 12 Ink Ctg. Magenta, HP 3000/3300 (Yld 3.3k)"</f>
        <v>INK CART:HP Item # C4805A-HEW, HP No. 12 Ink Ctg. Magenta, HP 3000/3300 (Yld 3.3k)</v>
      </c>
      <c r="G947" s="74" t="str">
        <f t="shared" si="61"/>
        <v>EA</v>
      </c>
      <c r="H947" s="7">
        <v>76</v>
      </c>
      <c r="I947" s="2" t="str">
        <f t="shared" si="62"/>
        <v>44103105</v>
      </c>
      <c r="J947" s="10" t="s">
        <v>98</v>
      </c>
    </row>
    <row r="948" spans="1:10" ht="38.25">
      <c r="A948" s="9" t="s">
        <v>27</v>
      </c>
      <c r="B948" s="2" t="s">
        <v>31</v>
      </c>
      <c r="C948" s="2">
        <v>3204</v>
      </c>
      <c r="D948" s="2">
        <v>626</v>
      </c>
      <c r="E948" s="2" t="str">
        <f>"1000017321"</f>
        <v>1000017321</v>
      </c>
      <c r="F948" s="4" t="str">
        <f>"TONER:HP Item # C4127A-BC, Brand Compatible Black toner for HP 4000 Series (Yld 6k)"</f>
        <v>TONER:HP Item # C4127A-BC, Brand Compatible Black toner for HP 4000 Series (Yld 6k)</v>
      </c>
      <c r="G948" s="74" t="str">
        <f t="shared" si="61"/>
        <v>EA</v>
      </c>
      <c r="H948" s="7">
        <v>72</v>
      </c>
      <c r="I948" s="2" t="str">
        <f t="shared" si="62"/>
        <v>44103105</v>
      </c>
      <c r="J948" s="10" t="s">
        <v>98</v>
      </c>
    </row>
    <row r="949" spans="1:10" ht="38.25">
      <c r="A949" s="9" t="s">
        <v>27</v>
      </c>
      <c r="B949" s="2" t="s">
        <v>31</v>
      </c>
      <c r="C949" s="2">
        <v>3204</v>
      </c>
      <c r="D949" s="2">
        <v>627</v>
      </c>
      <c r="E949" s="2" t="str">
        <f>"1000017322"</f>
        <v>1000017322</v>
      </c>
      <c r="F949" s="4" t="str">
        <f>"TONER:HP Item # C4127A-BCM, Brand Compatible 4000 Series MICR Toner (Yld 6k)"</f>
        <v>TONER:HP Item # C4127A-BCM, Brand Compatible 4000 Series MICR Toner (Yld 6k)</v>
      </c>
      <c r="G949" s="74" t="str">
        <f t="shared" si="61"/>
        <v>EA</v>
      </c>
      <c r="H949" s="7">
        <v>140</v>
      </c>
      <c r="I949" s="2" t="str">
        <f t="shared" si="62"/>
        <v>44103105</v>
      </c>
      <c r="J949" s="10" t="s">
        <v>98</v>
      </c>
    </row>
    <row r="950" spans="1:10" ht="51">
      <c r="A950" s="9" t="s">
        <v>27</v>
      </c>
      <c r="B950" s="2" t="s">
        <v>31</v>
      </c>
      <c r="C950" s="2">
        <v>3204</v>
      </c>
      <c r="D950" s="2">
        <v>267</v>
      </c>
      <c r="E950" s="2" t="str">
        <f>"1000017323"</f>
        <v>1000017323</v>
      </c>
      <c r="F950" s="4" t="str">
        <f>"INK CART:HP Item # C4945A-HEW, HP No. 83 Light Magenta InkJet Cartridge for Designjet 5000/5500PS UV/5500 UV, 680 ml."</f>
        <v>INK CART:HP Item # C4945A-HEW, HP No. 83 Light Magenta InkJet Cartridge for Designjet 5000/5500PS UV/5500 UV, 680 ml.</v>
      </c>
      <c r="G950" s="74" t="str">
        <f t="shared" si="61"/>
        <v>EA</v>
      </c>
      <c r="H950" s="7">
        <v>295</v>
      </c>
      <c r="I950" s="2" t="str">
        <f t="shared" si="62"/>
        <v>44103105</v>
      </c>
      <c r="J950" s="10" t="s">
        <v>98</v>
      </c>
    </row>
    <row r="951" spans="1:10" ht="51">
      <c r="A951" s="9" t="s">
        <v>27</v>
      </c>
      <c r="B951" s="2" t="s">
        <v>31</v>
      </c>
      <c r="C951" s="2">
        <v>3204</v>
      </c>
      <c r="D951" s="2">
        <v>270</v>
      </c>
      <c r="E951" s="2" t="str">
        <f>"1000017324"</f>
        <v>1000017324</v>
      </c>
      <c r="F951" s="4" t="str">
        <f>"INK CART:HP Item # C5016A-HEW, HP 84 Ink Cartridge. HP Black InkJet Cartridge for Designjet 10PS, 120, 130, 20PS, 50PS, 90 Printers, 69ml"</f>
        <v>INK CART:HP Item # C5016A-HEW, HP 84 Ink Cartridge. HP Black InkJet Cartridge for Designjet 10PS, 120, 130, 20PS, 50PS, 90 Printers, 69ml</v>
      </c>
      <c r="G951" s="74" t="str">
        <f t="shared" si="61"/>
        <v>EA</v>
      </c>
      <c r="H951" s="7">
        <v>41</v>
      </c>
      <c r="I951" s="2" t="str">
        <f t="shared" si="62"/>
        <v>44103105</v>
      </c>
      <c r="J951" s="10" t="s">
        <v>98</v>
      </c>
    </row>
    <row r="952" spans="1:10" ht="38.25">
      <c r="A952" s="9" t="s">
        <v>27</v>
      </c>
      <c r="B952" s="2" t="s">
        <v>31</v>
      </c>
      <c r="C952" s="2">
        <v>3204</v>
      </c>
      <c r="D952" s="2">
        <v>271</v>
      </c>
      <c r="E952" s="2" t="str">
        <f>"1000017325"</f>
        <v>1000017325</v>
      </c>
      <c r="F952" s="4" t="str">
        <f>"INK CART:HP Item # C5058A-HEW, HP No. 90 Black wide format cartridge for HP Designjet 4000/4000ps (Yld 400ml)"</f>
        <v>INK CART:HP Item # C5058A-HEW, HP No. 90 Black wide format cartridge for HP Designjet 4000/4000ps (Yld 400ml)</v>
      </c>
      <c r="G952" s="74" t="str">
        <f t="shared" si="61"/>
        <v>EA</v>
      </c>
      <c r="H952" s="7">
        <v>166.32</v>
      </c>
      <c r="I952" s="2" t="str">
        <f t="shared" si="62"/>
        <v>44103105</v>
      </c>
      <c r="J952" s="10" t="s">
        <v>98</v>
      </c>
    </row>
    <row r="953" spans="1:10" ht="51">
      <c r="A953" s="9" t="s">
        <v>27</v>
      </c>
      <c r="B953" s="2" t="s">
        <v>31</v>
      </c>
      <c r="C953" s="2">
        <v>3204</v>
      </c>
      <c r="D953" s="2">
        <v>272</v>
      </c>
      <c r="E953" s="2" t="str">
        <f>"1000017326"</f>
        <v>1000017326</v>
      </c>
      <c r="F953" s="4" t="str">
        <f>"INK CART:HP Item # C5060A-HEW, HP No. 90 Cyan inkjet cartridge designed for the HP DesignJet 4000 / 4000ps inkjet printers (225 ml)"</f>
        <v>INK CART:HP Item # C5060A-HEW, HP No. 90 Cyan inkjet cartridge designed for the HP DesignJet 4000 / 4000ps inkjet printers (225 ml)</v>
      </c>
      <c r="G953" s="74" t="str">
        <f t="shared" si="61"/>
        <v>EA</v>
      </c>
      <c r="H953" s="7">
        <v>146</v>
      </c>
      <c r="I953" s="2" t="str">
        <f t="shared" si="62"/>
        <v>44103105</v>
      </c>
      <c r="J953" s="10" t="s">
        <v>98</v>
      </c>
    </row>
    <row r="954" spans="1:10" ht="51">
      <c r="A954" s="9" t="s">
        <v>27</v>
      </c>
      <c r="B954" s="2" t="s">
        <v>31</v>
      </c>
      <c r="C954" s="2">
        <v>3204</v>
      </c>
      <c r="D954" s="2">
        <v>273</v>
      </c>
      <c r="E954" s="2" t="str">
        <f>"1000017327"</f>
        <v>1000017327</v>
      </c>
      <c r="F954" s="4" t="str">
        <f>"INK CART:HP Item # C5061A-HEW, HP No. 90 Cyan high capacity inkjet cartridge designed for the HP DesignJet 4000 / 4000ps inkjet printers (400 ml)"</f>
        <v>INK CART:HP Item # C5061A-HEW, HP No. 90 Cyan high capacity inkjet cartridge designed for the HP DesignJet 4000 / 4000ps inkjet printers (400 ml)</v>
      </c>
      <c r="G954" s="74" t="str">
        <f t="shared" si="61"/>
        <v>EA</v>
      </c>
      <c r="H954" s="7">
        <v>183</v>
      </c>
      <c r="I954" s="2" t="str">
        <f t="shared" si="62"/>
        <v>44103105</v>
      </c>
      <c r="J954" s="10" t="s">
        <v>98</v>
      </c>
    </row>
    <row r="955" spans="1:10" ht="25.5">
      <c r="A955" s="9" t="s">
        <v>27</v>
      </c>
      <c r="B955" s="2" t="s">
        <v>31</v>
      </c>
      <c r="C955" s="2">
        <v>3204</v>
      </c>
      <c r="D955" s="2">
        <v>274</v>
      </c>
      <c r="E955" s="2" t="str">
        <f>"1000017328"</f>
        <v>1000017328</v>
      </c>
      <c r="F955" s="4" t="str">
        <f>"INK CART:HP Item # C5062A-HEW, HP No. 90 Magenta inkjet cartridge 225ml"</f>
        <v>INK CART:HP Item # C5062A-HEW, HP No. 90 Magenta inkjet cartridge 225ml</v>
      </c>
      <c r="G955" s="74" t="str">
        <f t="shared" si="61"/>
        <v>EA</v>
      </c>
      <c r="H955" s="7">
        <v>146</v>
      </c>
      <c r="I955" s="2" t="str">
        <f t="shared" si="62"/>
        <v>44103105</v>
      </c>
      <c r="J955" s="10" t="s">
        <v>98</v>
      </c>
    </row>
    <row r="956" spans="1:10" ht="25.5">
      <c r="A956" s="9" t="s">
        <v>27</v>
      </c>
      <c r="B956" s="2" t="s">
        <v>31</v>
      </c>
      <c r="C956" s="2">
        <v>3204</v>
      </c>
      <c r="D956" s="2">
        <v>275</v>
      </c>
      <c r="E956" s="2" t="str">
        <f>"1000017329"</f>
        <v>1000017329</v>
      </c>
      <c r="F956" s="4" t="str">
        <f>"INK CART:HP Item # C5063A-HEW, HP No. 90 Magenta inkjet cartridge 400ml"</f>
        <v>INK CART:HP Item # C5063A-HEW, HP No. 90 Magenta inkjet cartridge 400ml</v>
      </c>
      <c r="G956" s="74" t="str">
        <f t="shared" si="61"/>
        <v>EA</v>
      </c>
      <c r="H956" s="7">
        <v>183</v>
      </c>
      <c r="I956" s="2" t="str">
        <f t="shared" si="62"/>
        <v>44103105</v>
      </c>
      <c r="J956" s="10" t="s">
        <v>98</v>
      </c>
    </row>
    <row r="957" spans="1:10" ht="38.25">
      <c r="A957" s="9" t="s">
        <v>27</v>
      </c>
      <c r="B957" s="2" t="s">
        <v>31</v>
      </c>
      <c r="C957" s="2">
        <v>3204</v>
      </c>
      <c r="D957" s="2">
        <v>276</v>
      </c>
      <c r="E957" s="2" t="str">
        <f>"1000017330"</f>
        <v>1000017330</v>
      </c>
      <c r="F957" s="4" t="str">
        <f>"INK CART:HP Item # C5064A-HEW, HP No. 90 Yellow inkjet cartridge for DesignJet 4000, 4500 series, 225ML"</f>
        <v>INK CART:HP Item # C5064A-HEW, HP No. 90 Yellow inkjet cartridge for DesignJet 4000, 4500 series, 225ML</v>
      </c>
      <c r="G957" s="74" t="str">
        <f t="shared" si="61"/>
        <v>EA</v>
      </c>
      <c r="H957" s="7">
        <v>146</v>
      </c>
      <c r="I957" s="2" t="str">
        <f t="shared" si="62"/>
        <v>44103105</v>
      </c>
      <c r="J957" s="10" t="s">
        <v>98</v>
      </c>
    </row>
    <row r="958" spans="1:10" ht="38.25">
      <c r="A958" s="9" t="s">
        <v>27</v>
      </c>
      <c r="B958" s="2" t="s">
        <v>31</v>
      </c>
      <c r="C958" s="2">
        <v>3204</v>
      </c>
      <c r="D958" s="2">
        <v>249</v>
      </c>
      <c r="E958" s="2" t="str">
        <f>"1000017331"</f>
        <v>1000017331</v>
      </c>
      <c r="F958" s="4" t="str">
        <f>"INK CART:HP Item # C4905AN-HEW, HP No. 940 Yellow inkjet cartridge, (Yld 900) for Officejet Pro 8500 inkjet printers"</f>
        <v>INK CART:HP Item # C4905AN-HEW, HP No. 940 Yellow inkjet cartridge, (Yld 900) for Officejet Pro 8500 inkjet printers</v>
      </c>
      <c r="G958" s="74" t="str">
        <f t="shared" si="61"/>
        <v>EA</v>
      </c>
      <c r="H958" s="7">
        <v>20.99</v>
      </c>
      <c r="I958" s="2" t="str">
        <f t="shared" si="62"/>
        <v>44103105</v>
      </c>
      <c r="J958" s="10" t="s">
        <v>98</v>
      </c>
    </row>
    <row r="959" spans="1:10" ht="51">
      <c r="A959" s="9" t="s">
        <v>27</v>
      </c>
      <c r="B959" s="2" t="s">
        <v>31</v>
      </c>
      <c r="C959" s="2">
        <v>3204</v>
      </c>
      <c r="D959" s="2">
        <v>250</v>
      </c>
      <c r="E959" s="2" t="str">
        <f>"1000017332"</f>
        <v>1000017332</v>
      </c>
      <c r="F959" s="4" t="str">
        <f>"INK CART:HP Item # C4907AN-HEW, HP 940XL Cyan inkjet cartridge, high capacity 1,400 page yield for Officejet Pro 8500 inkjet printers"</f>
        <v>INK CART:HP Item # C4907AN-HEW, HP 940XL Cyan inkjet cartridge, high capacity 1,400 page yield for Officejet Pro 8500 inkjet printers</v>
      </c>
      <c r="G959" s="74" t="str">
        <f t="shared" si="61"/>
        <v>EA</v>
      </c>
      <c r="H959" s="7">
        <v>27.99</v>
      </c>
      <c r="I959" s="2" t="str">
        <f t="shared" si="62"/>
        <v>44103105</v>
      </c>
      <c r="J959" s="10" t="s">
        <v>98</v>
      </c>
    </row>
    <row r="960" spans="1:10" ht="51">
      <c r="A960" s="9" t="s">
        <v>27</v>
      </c>
      <c r="B960" s="2" t="s">
        <v>31</v>
      </c>
      <c r="C960" s="2">
        <v>3204</v>
      </c>
      <c r="D960" s="2">
        <v>251</v>
      </c>
      <c r="E960" s="2" t="str">
        <f>"1000017333"</f>
        <v>1000017333</v>
      </c>
      <c r="F960" s="4" t="str">
        <f>"INK CART:HP Item # C4908AN-HEW, HP 940XL Magenta inkjet cartridge, high capacity 1,400 page yield for Officejet Pro 8500 inkjet printers"</f>
        <v>INK CART:HP Item # C4908AN-HEW, HP 940XL Magenta inkjet cartridge, high capacity 1,400 page yield for Officejet Pro 8500 inkjet printers</v>
      </c>
      <c r="G960" s="74" t="str">
        <f t="shared" si="61"/>
        <v>EA</v>
      </c>
      <c r="H960" s="7">
        <v>27.99</v>
      </c>
      <c r="I960" s="2" t="str">
        <f t="shared" si="62"/>
        <v>44103105</v>
      </c>
      <c r="J960" s="10" t="s">
        <v>98</v>
      </c>
    </row>
    <row r="961" spans="1:10" ht="51">
      <c r="A961" s="9" t="s">
        <v>27</v>
      </c>
      <c r="B961" s="2" t="s">
        <v>31</v>
      </c>
      <c r="C961" s="2">
        <v>3204</v>
      </c>
      <c r="D961" s="2">
        <v>642</v>
      </c>
      <c r="E961" s="2" t="str">
        <f>"1000017334"</f>
        <v>1000017334</v>
      </c>
      <c r="F961" s="4" t="str">
        <f>"TONER:HP Item # C4152A-BC, Brand Compatible for Hewlett Packard Color LaserJet 8500 Toner Cartridge, Yellow (Yld 8.5k)"</f>
        <v>TONER:HP Item # C4152A-BC, Brand Compatible for Hewlett Packard Color LaserJet 8500 Toner Cartridge, Yellow (Yld 8.5k)</v>
      </c>
      <c r="G961" s="74" t="str">
        <f t="shared" si="61"/>
        <v>EA</v>
      </c>
      <c r="H961" s="7">
        <v>135</v>
      </c>
      <c r="I961" s="2" t="str">
        <f t="shared" si="62"/>
        <v>44103105</v>
      </c>
      <c r="J961" s="10" t="s">
        <v>98</v>
      </c>
    </row>
    <row r="962" spans="1:10" ht="25.5">
      <c r="A962" s="9" t="s">
        <v>27</v>
      </c>
      <c r="B962" s="2" t="s">
        <v>31</v>
      </c>
      <c r="C962" s="2">
        <v>3204</v>
      </c>
      <c r="D962" s="2">
        <v>643</v>
      </c>
      <c r="E962" s="2" t="str">
        <f>"1000017335"</f>
        <v>1000017335</v>
      </c>
      <c r="F962" s="4" t="str">
        <f>"TONER:HP Item # C4152A-HEW, HP Color LaserJet 8500 Toner Yellow (Yld 8.5k)"</f>
        <v>TONER:HP Item # C4152A-HEW, HP Color LaserJet 8500 Toner Yellow (Yld 8.5k)</v>
      </c>
      <c r="G962" s="74" t="str">
        <f t="shared" si="61"/>
        <v>EA</v>
      </c>
      <c r="H962" s="7">
        <v>197</v>
      </c>
      <c r="I962" s="2" t="str">
        <f t="shared" si="62"/>
        <v>44103105</v>
      </c>
      <c r="J962" s="10" t="s">
        <v>98</v>
      </c>
    </row>
    <row r="963" spans="1:10" ht="38.25">
      <c r="A963" s="9" t="s">
        <v>27</v>
      </c>
      <c r="B963" s="2" t="s">
        <v>31</v>
      </c>
      <c r="C963" s="2">
        <v>3204</v>
      </c>
      <c r="D963" s="2">
        <v>666</v>
      </c>
      <c r="E963" s="2" t="str">
        <f>"1000017336"</f>
        <v>1000017336</v>
      </c>
      <c r="F963" s="4" t="str">
        <f>"TONER:HP Item # C8061X-MICR, HP 61X High-Yield Black Printer cartridge for LaserJet 4100 Series (Yld 10k)"</f>
        <v>TONER:HP Item # C8061X-MICR, HP 61X High-Yield Black Printer cartridge for LaserJet 4100 Series (Yld 10k)</v>
      </c>
      <c r="G963" s="74" t="str">
        <f t="shared" si="61"/>
        <v>EA</v>
      </c>
      <c r="H963" s="7">
        <v>345</v>
      </c>
      <c r="I963" s="2" t="str">
        <f t="shared" si="62"/>
        <v>44103105</v>
      </c>
      <c r="J963" s="10" t="s">
        <v>98</v>
      </c>
    </row>
    <row r="964" spans="1:10" ht="38.25">
      <c r="A964" s="9" t="s">
        <v>27</v>
      </c>
      <c r="B964" s="2" t="s">
        <v>31</v>
      </c>
      <c r="C964" s="2">
        <v>3204</v>
      </c>
      <c r="D964" s="2">
        <v>667</v>
      </c>
      <c r="E964" s="2" t="str">
        <f>"1000017337"</f>
        <v>1000017337</v>
      </c>
      <c r="F964" s="4" t="str">
        <f>"TONER:HP Item # C8061XR-REM, HP Remanufactured toner cartridge for HP 4100 Series (Yld 10k)"</f>
        <v>TONER:HP Item # C8061XR-REM, HP Remanufactured toner cartridge for HP 4100 Series (Yld 10k)</v>
      </c>
      <c r="G964" s="74" t="str">
        <f t="shared" si="61"/>
        <v>EA</v>
      </c>
      <c r="H964" s="7">
        <v>81</v>
      </c>
      <c r="I964" s="2" t="str">
        <f t="shared" si="62"/>
        <v>44103105</v>
      </c>
      <c r="J964" s="10" t="s">
        <v>98</v>
      </c>
    </row>
    <row r="965" spans="1:10" ht="63.75">
      <c r="A965" s="9" t="s">
        <v>27</v>
      </c>
      <c r="B965" s="2" t="s">
        <v>31</v>
      </c>
      <c r="C965" s="2">
        <v>3204</v>
      </c>
      <c r="D965" s="2">
        <v>668</v>
      </c>
      <c r="E965" s="2" t="str">
        <f>"1000017338"</f>
        <v>1000017338</v>
      </c>
      <c r="F965" s="4" t="str">
        <f>"TONER:HP Item # C8543X-BC, Brand Compatible for Hewlett Packard, Black High Capacity Laser Toner Cartridge designed for the HP LaserJet 9000 Laser Toner Printers (30,000 yield)."</f>
        <v>TONER:HP Item # C8543X-BC, Brand Compatible for Hewlett Packard, Black High Capacity Laser Toner Cartridge designed for the HP LaserJet 9000 Laser Toner Printers (30,000 yield).</v>
      </c>
      <c r="G965" s="74" t="str">
        <f t="shared" si="61"/>
        <v>EA</v>
      </c>
      <c r="H965" s="7">
        <v>226</v>
      </c>
      <c r="I965" s="2" t="str">
        <f t="shared" si="62"/>
        <v>44103105</v>
      </c>
      <c r="J965" s="10" t="s">
        <v>98</v>
      </c>
    </row>
    <row r="966" spans="1:10" ht="38.25">
      <c r="A966" s="9" t="s">
        <v>27</v>
      </c>
      <c r="B966" s="2" t="s">
        <v>31</v>
      </c>
      <c r="C966" s="2">
        <v>3204</v>
      </c>
      <c r="D966" s="2">
        <v>670</v>
      </c>
      <c r="E966" s="2" t="str">
        <f>"1000017339"</f>
        <v>1000017339</v>
      </c>
      <c r="F966" s="4" t="str">
        <f>"TONER:HP Item # C8550A-HEW, HP Black toner for LJ 9500 Smart Print and 9500 All-in-one. Yield: 25k"</f>
        <v>TONER:HP Item # C8550A-HEW, HP Black toner for LJ 9500 Smart Print and 9500 All-in-one. Yield: 25k</v>
      </c>
      <c r="G966" s="74" t="str">
        <f t="shared" si="61"/>
        <v>EA</v>
      </c>
      <c r="H966" s="7">
        <v>169</v>
      </c>
      <c r="I966" s="2" t="str">
        <f t="shared" si="62"/>
        <v>44103105</v>
      </c>
      <c r="J966" s="10" t="s">
        <v>98</v>
      </c>
    </row>
    <row r="967" spans="1:10" ht="38.25">
      <c r="A967" s="9" t="s">
        <v>27</v>
      </c>
      <c r="B967" s="2" t="s">
        <v>31</v>
      </c>
      <c r="C967" s="2">
        <v>3204</v>
      </c>
      <c r="D967" s="2">
        <v>671</v>
      </c>
      <c r="E967" s="2" t="str">
        <f>"1000017340"</f>
        <v>1000017340</v>
      </c>
      <c r="F967" s="4" t="str">
        <f>"TONER:HP Item # C8551A-HEW, HP Cyan toner for HP LJ 9500 Smart Print. Yields: 25k"</f>
        <v>TONER:HP Item # C8551A-HEW, HP Cyan toner for HP LJ 9500 Smart Print. Yields: 25k</v>
      </c>
      <c r="G967" s="74" t="str">
        <f t="shared" si="61"/>
        <v>EA</v>
      </c>
      <c r="H967" s="7">
        <v>344</v>
      </c>
      <c r="I967" s="2" t="str">
        <f t="shared" si="62"/>
        <v>44103105</v>
      </c>
      <c r="J967" s="10" t="s">
        <v>98</v>
      </c>
    </row>
    <row r="968" spans="1:10" ht="38.25">
      <c r="A968" s="9" t="s">
        <v>27</v>
      </c>
      <c r="B968" s="2" t="s">
        <v>31</v>
      </c>
      <c r="C968" s="2">
        <v>3204</v>
      </c>
      <c r="D968" s="2">
        <v>672</v>
      </c>
      <c r="E968" s="2" t="str">
        <f>"1000017341"</f>
        <v>1000017341</v>
      </c>
      <c r="F968" s="4" t="str">
        <f>"TONER:HP Item # C8552A-HEW, HP Yellow Toner Cartridge for HP LaserJet 9500, (Yld 25k)"</f>
        <v>TONER:HP Item # C8552A-HEW, HP Yellow Toner Cartridge for HP LaserJet 9500, (Yld 25k)</v>
      </c>
      <c r="G968" s="74" t="str">
        <f t="shared" si="61"/>
        <v>EA</v>
      </c>
      <c r="H968" s="7">
        <v>344</v>
      </c>
      <c r="I968" s="2" t="str">
        <f t="shared" si="62"/>
        <v>44103105</v>
      </c>
      <c r="J968" s="10" t="s">
        <v>98</v>
      </c>
    </row>
    <row r="969" spans="1:10" ht="38.25">
      <c r="A969" s="9" t="s">
        <v>27</v>
      </c>
      <c r="B969" s="2" t="s">
        <v>31</v>
      </c>
      <c r="C969" s="2">
        <v>3204</v>
      </c>
      <c r="D969" s="2">
        <v>673</v>
      </c>
      <c r="E969" s="2" t="str">
        <f>"1000017342"</f>
        <v>1000017342</v>
      </c>
      <c r="F969" s="4" t="str">
        <f>"TONER:HP Item # C8553A-HEW, HP Magenta Toner Cartridge for HP LaserJet 9500, (Yld 25k)"</f>
        <v>TONER:HP Item # C8553A-HEW, HP Magenta Toner Cartridge for HP LaserJet 9500, (Yld 25k)</v>
      </c>
      <c r="G969" s="74" t="str">
        <f t="shared" si="61"/>
        <v>EA</v>
      </c>
      <c r="H969" s="7">
        <v>344</v>
      </c>
      <c r="I969" s="2" t="str">
        <f t="shared" si="62"/>
        <v>44103105</v>
      </c>
      <c r="J969" s="10" t="s">
        <v>98</v>
      </c>
    </row>
    <row r="970" spans="1:10" ht="38.25">
      <c r="A970" s="9" t="s">
        <v>27</v>
      </c>
      <c r="B970" s="2" t="s">
        <v>31</v>
      </c>
      <c r="C970" s="2">
        <v>3204</v>
      </c>
      <c r="D970" s="2">
        <v>289</v>
      </c>
      <c r="E970" s="2" t="str">
        <f>"1000017343"</f>
        <v>1000017343</v>
      </c>
      <c r="F970" s="4" t="str">
        <f>"INK CART:HP Item # C8721WN-HEW, HP No. 02 Black ink Photosmart 3210, 3310, 8250, Yields 660 pages"</f>
        <v>INK CART:HP Item # C8721WN-HEW, HP No. 02 Black ink Photosmart 3210, 3310, 8250, Yields 660 pages</v>
      </c>
      <c r="G970" s="74" t="str">
        <f t="shared" si="61"/>
        <v>EA</v>
      </c>
      <c r="H970" s="7">
        <v>21.99</v>
      </c>
      <c r="I970" s="2" t="str">
        <f t="shared" si="62"/>
        <v>44103105</v>
      </c>
      <c r="J970" s="10" t="s">
        <v>98</v>
      </c>
    </row>
    <row r="971" spans="1:10" ht="38.25">
      <c r="A971" s="9" t="s">
        <v>27</v>
      </c>
      <c r="B971" s="2" t="s">
        <v>31</v>
      </c>
      <c r="C971" s="2">
        <v>3204</v>
      </c>
      <c r="D971" s="2">
        <v>262</v>
      </c>
      <c r="E971" s="2" t="str">
        <f>"1000017344"</f>
        <v>1000017344</v>
      </c>
      <c r="F971" s="4" t="str">
        <f>"INK CART:HP Item # C4940A-HEW, HP No. 83 Black InkJet Cartridge for Designjet 5000/5500PS UV/5500 UV, 680ml."</f>
        <v>INK CART:HP Item # C4940A-HEW, HP No. 83 Black InkJet Cartridge for Designjet 5000/5500PS UV/5500 UV, 680ml.</v>
      </c>
      <c r="G971" s="74" t="str">
        <f t="shared" si="61"/>
        <v>EA</v>
      </c>
      <c r="H971" s="7">
        <v>295</v>
      </c>
      <c r="I971" s="2" t="str">
        <f t="shared" si="62"/>
        <v>44103105</v>
      </c>
      <c r="J971" s="10" t="s">
        <v>98</v>
      </c>
    </row>
    <row r="972" spans="1:10" ht="38.25">
      <c r="A972" s="9" t="s">
        <v>27</v>
      </c>
      <c r="B972" s="2" t="s">
        <v>31</v>
      </c>
      <c r="C972" s="2">
        <v>3204</v>
      </c>
      <c r="D972" s="2">
        <v>263</v>
      </c>
      <c r="E972" s="2" t="str">
        <f>"1000017345"</f>
        <v>1000017345</v>
      </c>
      <c r="F972" s="4" t="str">
        <f>"INK CART:HP Item # C4941A-HEW, HP No. 83 Cyan InkJet Cartridge for Designjet 5000/5500PS UV/5500 UV, 680 ml."</f>
        <v>INK CART:HP Item # C4941A-HEW, HP No. 83 Cyan InkJet Cartridge for Designjet 5000/5500PS UV/5500 UV, 680 ml.</v>
      </c>
      <c r="G972" s="74" t="str">
        <f t="shared" ref="G972:G992" si="63">"EA"</f>
        <v>EA</v>
      </c>
      <c r="H972" s="7">
        <v>295</v>
      </c>
      <c r="I972" s="2" t="str">
        <f t="shared" si="62"/>
        <v>44103105</v>
      </c>
      <c r="J972" s="10" t="s">
        <v>98</v>
      </c>
    </row>
    <row r="973" spans="1:10" ht="38.25">
      <c r="A973" s="9" t="s">
        <v>27</v>
      </c>
      <c r="B973" s="2" t="s">
        <v>31</v>
      </c>
      <c r="C973" s="2">
        <v>3204</v>
      </c>
      <c r="D973" s="2">
        <v>264</v>
      </c>
      <c r="E973" s="2" t="str">
        <f>"1000017346"</f>
        <v>1000017346</v>
      </c>
      <c r="F973" s="4" t="str">
        <f>"INK CART:HP Item # C4942A-HEW, HP No. 83 Magenta InkJet Cartridge for Designjet 5000/5500PS UV/5500 UV, 680 ml."</f>
        <v>INK CART:HP Item # C4942A-HEW, HP No. 83 Magenta InkJet Cartridge for Designjet 5000/5500PS UV/5500 UV, 680 ml.</v>
      </c>
      <c r="G973" s="74" t="str">
        <f t="shared" si="63"/>
        <v>EA</v>
      </c>
      <c r="H973" s="7">
        <v>295</v>
      </c>
      <c r="I973" s="2" t="str">
        <f t="shared" si="62"/>
        <v>44103105</v>
      </c>
      <c r="J973" s="10" t="s">
        <v>98</v>
      </c>
    </row>
    <row r="974" spans="1:10" ht="38.25">
      <c r="A974" s="9" t="s">
        <v>27</v>
      </c>
      <c r="B974" s="2" t="s">
        <v>31</v>
      </c>
      <c r="C974" s="2">
        <v>3204</v>
      </c>
      <c r="D974" s="2">
        <v>233</v>
      </c>
      <c r="E974" s="2" t="str">
        <f>"1000017347"</f>
        <v>1000017347</v>
      </c>
      <c r="F974" s="4" t="str">
        <f>"INK CART:HP Item # C4806A-HEW, HP No. 12 Ink Ctg. Yellow, HP 3000/3300 (Yld 3.3k)"</f>
        <v>INK CART:HP Item # C4806A-HEW, HP No. 12 Ink Ctg. Yellow, HP 3000/3300 (Yld 3.3k)</v>
      </c>
      <c r="G974" s="74" t="str">
        <f t="shared" si="63"/>
        <v>EA</v>
      </c>
      <c r="H974" s="7">
        <v>76</v>
      </c>
      <c r="I974" s="2" t="str">
        <f t="shared" si="62"/>
        <v>44103105</v>
      </c>
      <c r="J974" s="10" t="s">
        <v>98</v>
      </c>
    </row>
    <row r="975" spans="1:10" ht="38.25">
      <c r="A975" s="9" t="s">
        <v>27</v>
      </c>
      <c r="B975" s="2" t="s">
        <v>31</v>
      </c>
      <c r="C975" s="2">
        <v>3204</v>
      </c>
      <c r="D975" s="2">
        <v>234</v>
      </c>
      <c r="E975" s="2" t="str">
        <f>"1000017348"</f>
        <v>1000017348</v>
      </c>
      <c r="F975" s="4" t="str">
        <f>"INK CART:HP Item # C4814A-HEW, HP No. 13 Black Business inkjet 1000/1100/1200 series Officejet Pro K850 series"</f>
        <v>INK CART:HP Item # C4814A-HEW, HP No. 13 Black Business inkjet 1000/1100/1200 series Officejet Pro K850 series</v>
      </c>
      <c r="G975" s="74" t="str">
        <f t="shared" si="63"/>
        <v>EA</v>
      </c>
      <c r="H975" s="7">
        <v>28</v>
      </c>
      <c r="I975" s="2" t="str">
        <f t="shared" si="62"/>
        <v>44103105</v>
      </c>
      <c r="J975" s="10" t="s">
        <v>98</v>
      </c>
    </row>
    <row r="976" spans="1:10" ht="38.25">
      <c r="A976" s="9" t="s">
        <v>27</v>
      </c>
      <c r="B976" s="2" t="s">
        <v>31</v>
      </c>
      <c r="C976" s="2">
        <v>3204</v>
      </c>
      <c r="D976" s="2">
        <v>299</v>
      </c>
      <c r="E976" s="2" t="str">
        <f>"1000017349"</f>
        <v>1000017349</v>
      </c>
      <c r="F976" s="4" t="str">
        <f>"INK CART:HP Item # C8775WN-HEW, HP No. 02 Light Magenta ink Photosmart 3210,3310,8250"</f>
        <v>INK CART:HP Item # C8775WN-HEW, HP No. 02 Light Magenta ink Photosmart 3210,3310,8250</v>
      </c>
      <c r="G976" s="74" t="str">
        <f t="shared" si="63"/>
        <v>EA</v>
      </c>
      <c r="H976" s="7">
        <v>11.99</v>
      </c>
      <c r="I976" s="2" t="str">
        <f t="shared" si="62"/>
        <v>44103105</v>
      </c>
      <c r="J976" s="10" t="s">
        <v>98</v>
      </c>
    </row>
    <row r="977" spans="1:10" ht="38.25">
      <c r="A977" s="9" t="s">
        <v>27</v>
      </c>
      <c r="B977" s="2" t="s">
        <v>31</v>
      </c>
      <c r="C977" s="2">
        <v>3204</v>
      </c>
      <c r="D977" s="2">
        <v>620</v>
      </c>
      <c r="E977" s="2" t="str">
        <f>"1000017350"</f>
        <v>1000017350</v>
      </c>
      <c r="F977" s="4" t="str">
        <f>"TONER:HP Item # C3909X-BC, Brand Compatible Black toner for HP 5 SI High Yield (17k)"</f>
        <v>TONER:HP Item # C3909X-BC, Brand Compatible Black toner for HP 5 SI High Yield (17k)</v>
      </c>
      <c r="G977" s="74" t="str">
        <f t="shared" si="63"/>
        <v>EA</v>
      </c>
      <c r="H977" s="7">
        <v>128</v>
      </c>
      <c r="I977" s="2" t="str">
        <f>"44103103"</f>
        <v>44103103</v>
      </c>
      <c r="J977" s="10" t="s">
        <v>99</v>
      </c>
    </row>
    <row r="978" spans="1:10" ht="38.25">
      <c r="A978" s="9" t="s">
        <v>27</v>
      </c>
      <c r="B978" s="2" t="s">
        <v>31</v>
      </c>
      <c r="C978" s="2">
        <v>3204</v>
      </c>
      <c r="D978" s="2">
        <v>304</v>
      </c>
      <c r="E978" s="2" t="str">
        <f>"1000017353"</f>
        <v>1000017353</v>
      </c>
      <c r="F978" s="4" t="str">
        <f>"INK CART:HP Item # C9359AN-HEW, HP No. 59 Gray Photo Inkjet 7960/7760/7660/245/145"</f>
        <v>INK CART:HP Item # C9359AN-HEW, HP No. 59 Gray Photo Inkjet 7960/7760/7660/245/145</v>
      </c>
      <c r="G978" s="74" t="str">
        <f t="shared" si="63"/>
        <v>EA</v>
      </c>
      <c r="H978" s="7">
        <v>28</v>
      </c>
      <c r="I978" s="2" t="str">
        <f t="shared" ref="I978:I999" si="64">"44103105"</f>
        <v>44103105</v>
      </c>
      <c r="J978" s="10" t="s">
        <v>98</v>
      </c>
    </row>
    <row r="979" spans="1:10" ht="25.5">
      <c r="A979" s="9" t="s">
        <v>27</v>
      </c>
      <c r="B979" s="2" t="s">
        <v>31</v>
      </c>
      <c r="C979" s="2">
        <v>3204</v>
      </c>
      <c r="D979" s="2">
        <v>306</v>
      </c>
      <c r="E979" s="2" t="str">
        <f>"1000017354"</f>
        <v>1000017354</v>
      </c>
      <c r="F979" s="4" t="str">
        <f>"INK CART:HP Item # C9361WN-HEW, HP #93 Tri color inkjet cartridge"</f>
        <v>INK CART:HP Item # C9361WN-HEW, HP #93 Tri color inkjet cartridge</v>
      </c>
      <c r="G979" s="74" t="str">
        <f t="shared" si="63"/>
        <v>EA</v>
      </c>
      <c r="H979" s="7">
        <v>25.99</v>
      </c>
      <c r="I979" s="2" t="str">
        <f t="shared" si="64"/>
        <v>44103105</v>
      </c>
      <c r="J979" s="10" t="s">
        <v>98</v>
      </c>
    </row>
    <row r="980" spans="1:10" ht="38.25">
      <c r="A980" s="9" t="s">
        <v>27</v>
      </c>
      <c r="B980" s="2" t="s">
        <v>31</v>
      </c>
      <c r="C980" s="2">
        <v>3204</v>
      </c>
      <c r="D980" s="2">
        <v>307</v>
      </c>
      <c r="E980" s="2" t="str">
        <f>"1000017355"</f>
        <v>1000017355</v>
      </c>
      <c r="F980" s="4" t="str">
        <f>"INK CART:HP Item # C9362WN-HEW, HP #92 Black ink. (Yld 220) Works with Deskjet, Officejet, Photosmart &amp; PSC units"</f>
        <v>INK CART:HP Item # C9362WN-HEW, HP #92 Black ink. (Yld 220) Works with Deskjet, Officejet, Photosmart &amp; PSC units</v>
      </c>
      <c r="G980" s="74" t="str">
        <f t="shared" si="63"/>
        <v>EA</v>
      </c>
      <c r="H980" s="7">
        <v>15.99</v>
      </c>
      <c r="I980" s="2" t="str">
        <f t="shared" si="64"/>
        <v>44103105</v>
      </c>
      <c r="J980" s="10" t="s">
        <v>98</v>
      </c>
    </row>
    <row r="981" spans="1:10" ht="51">
      <c r="A981" s="9" t="s">
        <v>27</v>
      </c>
      <c r="B981" s="2" t="s">
        <v>31</v>
      </c>
      <c r="C981" s="2">
        <v>3204</v>
      </c>
      <c r="D981" s="2">
        <v>310</v>
      </c>
      <c r="E981" s="2" t="str">
        <f>"1000017356"</f>
        <v>1000017356</v>
      </c>
      <c r="F981" s="4" t="str">
        <f>"INK CART:HP Item # C9365AN-HEW, HP 101 Ink Cartridge. Photo Blue Inkjet Cartridge for Photosmart 8750, Cartridge. (Yld 13 ml)"</f>
        <v>INK CART:HP Item # C9365AN-HEW, HP 101 Ink Cartridge. Photo Blue Inkjet Cartridge for Photosmart 8750, Cartridge. (Yld 13 ml)</v>
      </c>
      <c r="G981" s="74" t="str">
        <f t="shared" si="63"/>
        <v>EA</v>
      </c>
      <c r="H981" s="7">
        <v>28.99</v>
      </c>
      <c r="I981" s="2" t="str">
        <f t="shared" si="64"/>
        <v>44103105</v>
      </c>
      <c r="J981" s="10" t="s">
        <v>98</v>
      </c>
    </row>
    <row r="982" spans="1:10" ht="25.5">
      <c r="A982" s="9" t="s">
        <v>27</v>
      </c>
      <c r="B982" s="2" t="s">
        <v>31</v>
      </c>
      <c r="C982" s="2">
        <v>3204</v>
      </c>
      <c r="D982" s="2">
        <v>277</v>
      </c>
      <c r="E982" s="2" t="str">
        <f>"1000017357"</f>
        <v>1000017357</v>
      </c>
      <c r="F982" s="4" t="str">
        <f>"INK CART:HP Item # C5065A-HEW, HP No. 90 Yellow inkjet cartridge 400ml"</f>
        <v>INK CART:HP Item # C5065A-HEW, HP No. 90 Yellow inkjet cartridge 400ml</v>
      </c>
      <c r="G982" s="74" t="str">
        <f t="shared" si="63"/>
        <v>EA</v>
      </c>
      <c r="H982" s="7">
        <v>183</v>
      </c>
      <c r="I982" s="2" t="str">
        <f t="shared" si="64"/>
        <v>44103105</v>
      </c>
      <c r="J982" s="10" t="s">
        <v>98</v>
      </c>
    </row>
    <row r="983" spans="1:10" ht="38.25">
      <c r="A983" s="9" t="s">
        <v>27</v>
      </c>
      <c r="B983" s="2" t="s">
        <v>31</v>
      </c>
      <c r="C983" s="2">
        <v>3204</v>
      </c>
      <c r="D983" s="2">
        <v>280</v>
      </c>
      <c r="E983" s="2" t="str">
        <f>"1000017358"</f>
        <v>1000017358</v>
      </c>
      <c r="F983" s="4" t="str">
        <f>"INK CART:HP Item # C6602A-HEW, HP Addmaster IJ 6000 Black POS Inkjet Ctg (7M Character)"</f>
        <v>INK CART:HP Item # C6602A-HEW, HP Addmaster IJ 6000 Black POS Inkjet Ctg (7M Character)</v>
      </c>
      <c r="G983" s="74" t="str">
        <f t="shared" si="63"/>
        <v>EA</v>
      </c>
      <c r="H983" s="7">
        <v>21.32</v>
      </c>
      <c r="I983" s="2" t="str">
        <f t="shared" si="64"/>
        <v>44103105</v>
      </c>
      <c r="J983" s="10" t="s">
        <v>98</v>
      </c>
    </row>
    <row r="984" spans="1:10" ht="38.25">
      <c r="A984" s="9" t="s">
        <v>27</v>
      </c>
      <c r="B984" s="2" t="s">
        <v>31</v>
      </c>
      <c r="C984" s="2">
        <v>3204</v>
      </c>
      <c r="D984" s="2">
        <v>281</v>
      </c>
      <c r="E984" s="2" t="str">
        <f>"1000017359"</f>
        <v>1000017359</v>
      </c>
      <c r="F984" s="4" t="str">
        <f>"INK CART:HP Item # C6602R-HEW, HP Addmaster IJ 6000 Red POS Inkjet Ctg (7M Character)"</f>
        <v>INK CART:HP Item # C6602R-HEW, HP Addmaster IJ 6000 Red POS Inkjet Ctg (7M Character)</v>
      </c>
      <c r="G984" s="74" t="str">
        <f t="shared" si="63"/>
        <v>EA</v>
      </c>
      <c r="H984" s="7">
        <v>21.64</v>
      </c>
      <c r="I984" s="2" t="str">
        <f t="shared" si="64"/>
        <v>44103105</v>
      </c>
      <c r="J984" s="10" t="s">
        <v>98</v>
      </c>
    </row>
    <row r="985" spans="1:10" ht="51">
      <c r="A985" s="9" t="s">
        <v>27</v>
      </c>
      <c r="B985" s="2" t="s">
        <v>31</v>
      </c>
      <c r="C985" s="2">
        <v>3204</v>
      </c>
      <c r="D985" s="2">
        <v>252</v>
      </c>
      <c r="E985" s="2" t="str">
        <f>"1000017360"</f>
        <v>1000017360</v>
      </c>
      <c r="F985" s="4" t="str">
        <f>"INK CART:HP Item # C4909AN-HEW, HP 940XL Yellow inkjet cartridge, high capacity 1,400 page yield for Officejet Pro 8500 inkjet printers"</f>
        <v>INK CART:HP Item # C4909AN-HEW, HP 940XL Yellow inkjet cartridge, high capacity 1,400 page yield for Officejet Pro 8500 inkjet printers</v>
      </c>
      <c r="G985" s="74" t="str">
        <f t="shared" si="63"/>
        <v>EA</v>
      </c>
      <c r="H985" s="7">
        <v>27.99</v>
      </c>
      <c r="I985" s="2" t="str">
        <f t="shared" si="64"/>
        <v>44103105</v>
      </c>
      <c r="J985" s="10" t="s">
        <v>98</v>
      </c>
    </row>
    <row r="986" spans="1:10" ht="38.25">
      <c r="A986" s="9" t="s">
        <v>27</v>
      </c>
      <c r="B986" s="2" t="s">
        <v>31</v>
      </c>
      <c r="C986" s="2">
        <v>3204</v>
      </c>
      <c r="D986" s="2">
        <v>253</v>
      </c>
      <c r="E986" s="2" t="str">
        <f>"1000017361"</f>
        <v>1000017361</v>
      </c>
      <c r="F986" s="4" t="str">
        <f>"INK CART:HP Item # C4911A-HEW, HP No. 82 Ink Ctg, Cyan, DesignJet 500/500PS/800/800PS"</f>
        <v>INK CART:HP Item # C4911A-HEW, HP No. 82 Ink Ctg, Cyan, DesignJet 500/500PS/800/800PS</v>
      </c>
      <c r="G986" s="74" t="str">
        <f t="shared" si="63"/>
        <v>EA</v>
      </c>
      <c r="H986" s="7">
        <v>46</v>
      </c>
      <c r="I986" s="2" t="str">
        <f t="shared" si="64"/>
        <v>44103105</v>
      </c>
      <c r="J986" s="10" t="s">
        <v>98</v>
      </c>
    </row>
    <row r="987" spans="1:10" ht="38.25">
      <c r="A987" s="9" t="s">
        <v>27</v>
      </c>
      <c r="B987" s="2" t="s">
        <v>31</v>
      </c>
      <c r="C987" s="2">
        <v>3204</v>
      </c>
      <c r="D987" s="2">
        <v>322</v>
      </c>
      <c r="E987" s="2" t="str">
        <f>"1000017362"</f>
        <v>1000017362</v>
      </c>
      <c r="F987" s="4" t="str">
        <f>"INK CART:HP Item # C9398A-HEW, HP No. 72 Cyan Ink for DesignJet T1100 and T610 Printers, 69ml."</f>
        <v>INK CART:HP Item # C9398A-HEW, HP No. 72 Cyan Ink for DesignJet T1100 and T610 Printers, 69ml.</v>
      </c>
      <c r="G987" s="74" t="str">
        <f t="shared" si="63"/>
        <v>EA</v>
      </c>
      <c r="H987" s="7">
        <v>64</v>
      </c>
      <c r="I987" s="2" t="str">
        <f t="shared" si="64"/>
        <v>44103105</v>
      </c>
      <c r="J987" s="10" t="s">
        <v>98</v>
      </c>
    </row>
    <row r="988" spans="1:10" ht="38.25">
      <c r="A988" s="9" t="s">
        <v>27</v>
      </c>
      <c r="B988" s="2" t="s">
        <v>31</v>
      </c>
      <c r="C988" s="2">
        <v>3204</v>
      </c>
      <c r="D988" s="2">
        <v>323</v>
      </c>
      <c r="E988" s="2" t="str">
        <f>"1000017363"</f>
        <v>1000017363</v>
      </c>
      <c r="F988" s="4" t="str">
        <f>"INK CART:HP Item # C9399A-HEW, HP No. 72 Magenta Ink for DesignJet T1100 and T610 Printers, 69ml"</f>
        <v>INK CART:HP Item # C9399A-HEW, HP No. 72 Magenta Ink for DesignJet T1100 and T610 Printers, 69ml</v>
      </c>
      <c r="G988" s="74" t="str">
        <f t="shared" si="63"/>
        <v>EA</v>
      </c>
      <c r="H988" s="7">
        <v>64</v>
      </c>
      <c r="I988" s="2" t="str">
        <f t="shared" si="64"/>
        <v>44103105</v>
      </c>
      <c r="J988" s="10" t="s">
        <v>98</v>
      </c>
    </row>
    <row r="989" spans="1:10" ht="38.25">
      <c r="A989" s="9" t="s">
        <v>27</v>
      </c>
      <c r="B989" s="2" t="s">
        <v>31</v>
      </c>
      <c r="C989" s="2">
        <v>3204</v>
      </c>
      <c r="D989" s="2">
        <v>324</v>
      </c>
      <c r="E989" s="2" t="str">
        <f>"1000017364"</f>
        <v>1000017364</v>
      </c>
      <c r="F989" s="4" t="str">
        <f>"INK CART:HP Item # C9400A-HEW, HP No. 72 Yellow Ink for DesignJet T1100 and T610 Printers, 69ml."</f>
        <v>INK CART:HP Item # C9400A-HEW, HP No. 72 Yellow Ink for DesignJet T1100 and T610 Printers, 69ml.</v>
      </c>
      <c r="G989" s="74" t="str">
        <f t="shared" si="63"/>
        <v>EA</v>
      </c>
      <c r="H989" s="7">
        <v>64</v>
      </c>
      <c r="I989" s="2" t="str">
        <f t="shared" si="64"/>
        <v>44103105</v>
      </c>
      <c r="J989" s="10" t="s">
        <v>98</v>
      </c>
    </row>
    <row r="990" spans="1:10" ht="38.25">
      <c r="A990" s="9" t="s">
        <v>27</v>
      </c>
      <c r="B990" s="2" t="s">
        <v>31</v>
      </c>
      <c r="C990" s="2">
        <v>3204</v>
      </c>
      <c r="D990" s="2">
        <v>325</v>
      </c>
      <c r="E990" s="2" t="str">
        <f>"1000017365"</f>
        <v>1000017365</v>
      </c>
      <c r="F990" s="4" t="str">
        <f>"INK CART:HP Item # C9401A-HEW, HP No. 72 Gray ink for T1100 and T610 inkjet printers 69ml"</f>
        <v>INK CART:HP Item # C9401A-HEW, HP No. 72 Gray ink for T1100 and T610 inkjet printers 69ml</v>
      </c>
      <c r="G990" s="74" t="str">
        <f t="shared" si="63"/>
        <v>EA</v>
      </c>
      <c r="H990" s="7">
        <v>49.89</v>
      </c>
      <c r="I990" s="2" t="str">
        <f t="shared" si="64"/>
        <v>44103105</v>
      </c>
      <c r="J990" s="10" t="s">
        <v>98</v>
      </c>
    </row>
    <row r="991" spans="1:10" ht="38.25">
      <c r="A991" s="9" t="s">
        <v>27</v>
      </c>
      <c r="B991" s="2" t="s">
        <v>31</v>
      </c>
      <c r="C991" s="2">
        <v>3204</v>
      </c>
      <c r="D991" s="2">
        <v>326</v>
      </c>
      <c r="E991" s="2" t="str">
        <f>"1000017366"</f>
        <v>1000017366</v>
      </c>
      <c r="F991" s="4" t="str">
        <f>"INK CART:HP Item # C9426A-HEW, HP No. 85 Magenta Ink Cartridge for DesignJet 30,130, 90"</f>
        <v>INK CART:HP Item # C9426A-HEW, HP No. 85 Magenta Ink Cartridge for DesignJet 30,130, 90</v>
      </c>
      <c r="G991" s="74" t="str">
        <f t="shared" si="63"/>
        <v>EA</v>
      </c>
      <c r="H991" s="7">
        <v>40</v>
      </c>
      <c r="I991" s="2" t="str">
        <f t="shared" si="64"/>
        <v>44103105</v>
      </c>
      <c r="J991" s="10" t="s">
        <v>98</v>
      </c>
    </row>
    <row r="992" spans="1:10" ht="38.25">
      <c r="A992" s="9" t="s">
        <v>27</v>
      </c>
      <c r="B992" s="2" t="s">
        <v>31</v>
      </c>
      <c r="C992" s="2">
        <v>3204</v>
      </c>
      <c r="D992" s="2">
        <v>327</v>
      </c>
      <c r="E992" s="2" t="str">
        <f>"1000017367"</f>
        <v>1000017367</v>
      </c>
      <c r="F992" s="4" t="str">
        <f>"INK CART:HP Item # C9430A-HEW, HP No. 84 Black ink cartridge for Designjet, 3 per package"</f>
        <v>INK CART:HP Item # C9430A-HEW, HP No. 84 Black ink cartridge for Designjet, 3 per package</v>
      </c>
      <c r="G992" s="74" t="str">
        <f t="shared" si="63"/>
        <v>EA</v>
      </c>
      <c r="H992" s="7">
        <v>99</v>
      </c>
      <c r="I992" s="2" t="str">
        <f t="shared" si="64"/>
        <v>44103105</v>
      </c>
      <c r="J992" s="10" t="s">
        <v>98</v>
      </c>
    </row>
    <row r="993" spans="1:10" ht="38.25">
      <c r="A993" s="9" t="s">
        <v>27</v>
      </c>
      <c r="B993" s="2" t="s">
        <v>31</v>
      </c>
      <c r="C993" s="2">
        <v>3204</v>
      </c>
      <c r="D993" s="2">
        <v>328</v>
      </c>
      <c r="E993" s="2" t="str">
        <f>"1000017368"</f>
        <v>1000017368</v>
      </c>
      <c r="F993" s="4" t="str">
        <f>"INK CART:HP Item # C9431A-HEW, HP No. 85 Cyan ink cartridge for Designjet 30, 130, 90 HP printers, 3 per package"</f>
        <v>INK CART:HP Item # C9431A-HEW, HP No. 85 Cyan ink cartridge for Designjet 30, 130, 90 HP printers, 3 per package</v>
      </c>
      <c r="G993" s="74" t="str">
        <f>"PK"</f>
        <v>PK</v>
      </c>
      <c r="H993" s="7">
        <v>92</v>
      </c>
      <c r="I993" s="2" t="str">
        <f t="shared" si="64"/>
        <v>44103105</v>
      </c>
      <c r="J993" s="10" t="s">
        <v>98</v>
      </c>
    </row>
    <row r="994" spans="1:10" ht="38.25">
      <c r="A994" s="9" t="s">
        <v>27</v>
      </c>
      <c r="B994" s="2" t="s">
        <v>31</v>
      </c>
      <c r="C994" s="2">
        <v>3204</v>
      </c>
      <c r="D994" s="2">
        <v>329</v>
      </c>
      <c r="E994" s="2" t="str">
        <f>"1000017369"</f>
        <v>1000017369</v>
      </c>
      <c r="F994" s="4" t="str">
        <f>"INK CART:HP Item # C9433A-HEW, No. 85 Yellow ink cartridge for Designjet 30,130,90 HP printers, 3 per package"</f>
        <v>INK CART:HP Item # C9433A-HEW, No. 85 Yellow ink cartridge for Designjet 30,130,90 HP printers, 3 per package</v>
      </c>
      <c r="G994" s="74" t="str">
        <f>"PK"</f>
        <v>PK</v>
      </c>
      <c r="H994" s="7">
        <v>103</v>
      </c>
      <c r="I994" s="2" t="str">
        <f t="shared" si="64"/>
        <v>44103105</v>
      </c>
      <c r="J994" s="10" t="s">
        <v>98</v>
      </c>
    </row>
    <row r="995" spans="1:10" ht="25.5">
      <c r="A995" s="9" t="s">
        <v>27</v>
      </c>
      <c r="B995" s="2" t="s">
        <v>31</v>
      </c>
      <c r="C995" s="2">
        <v>3204</v>
      </c>
      <c r="D995" s="2">
        <v>292</v>
      </c>
      <c r="E995" s="2" t="str">
        <f>"1000017370"</f>
        <v>1000017370</v>
      </c>
      <c r="F995" s="4" t="str">
        <f>"INK CART:HP Item # C8765WN, HP No. 94 Yields up to 480 pages BLK IJ cart Deskjet"</f>
        <v>INK CART:HP Item # C8765WN, HP No. 94 Yields up to 480 pages BLK IJ cart Deskjet</v>
      </c>
      <c r="G995" s="74" t="str">
        <f>"EA"</f>
        <v>EA</v>
      </c>
      <c r="H995" s="7">
        <v>25.99</v>
      </c>
      <c r="I995" s="2" t="str">
        <f t="shared" si="64"/>
        <v>44103105</v>
      </c>
      <c r="J995" s="10" t="s">
        <v>98</v>
      </c>
    </row>
    <row r="996" spans="1:10" ht="38.25">
      <c r="A996" s="9" t="s">
        <v>27</v>
      </c>
      <c r="B996" s="2" t="s">
        <v>31</v>
      </c>
      <c r="C996" s="2">
        <v>3204</v>
      </c>
      <c r="D996" s="2">
        <v>295</v>
      </c>
      <c r="E996" s="2" t="str">
        <f>"1000017371"</f>
        <v>1000017371</v>
      </c>
      <c r="F996" s="4" t="str">
        <f>"INK CART:HP Item # C8771WN-HEW, HP No. 02 Dark Cyan ink,Photosmart 3210,3310,8250"</f>
        <v>INK CART:HP Item # C8771WN-HEW, HP No. 02 Dark Cyan ink,Photosmart 3210,3310,8250</v>
      </c>
      <c r="G996" s="74" t="str">
        <f>"EA"</f>
        <v>EA</v>
      </c>
      <c r="H996" s="7">
        <v>11.99</v>
      </c>
      <c r="I996" s="2" t="str">
        <f t="shared" si="64"/>
        <v>44103105</v>
      </c>
      <c r="J996" s="10" t="s">
        <v>98</v>
      </c>
    </row>
    <row r="997" spans="1:10" ht="38.25">
      <c r="A997" s="9" t="s">
        <v>27</v>
      </c>
      <c r="B997" s="2" t="s">
        <v>31</v>
      </c>
      <c r="C997" s="2">
        <v>3204</v>
      </c>
      <c r="D997" s="2">
        <v>296</v>
      </c>
      <c r="E997" s="2" t="str">
        <f>"1000017372"</f>
        <v>1000017372</v>
      </c>
      <c r="F997" s="4" t="str">
        <f>"INK CART:HP Item # C8772WN-HEW, HP No. 02 Magenta ink Photosmart 3210,3310,8250"</f>
        <v>INK CART:HP Item # C8772WN-HEW, HP No. 02 Magenta ink Photosmart 3210,3310,8250</v>
      </c>
      <c r="G997" s="74" t="str">
        <f>"EA"</f>
        <v>EA</v>
      </c>
      <c r="H997" s="7">
        <v>11.99</v>
      </c>
      <c r="I997" s="2" t="str">
        <f t="shared" si="64"/>
        <v>44103105</v>
      </c>
      <c r="J997" s="10" t="s">
        <v>98</v>
      </c>
    </row>
    <row r="998" spans="1:10" ht="38.25">
      <c r="A998" s="9" t="s">
        <v>27</v>
      </c>
      <c r="B998" s="2" t="s">
        <v>31</v>
      </c>
      <c r="C998" s="2">
        <v>3204</v>
      </c>
      <c r="D998" s="2">
        <v>265</v>
      </c>
      <c r="E998" s="2" t="str">
        <f>"1000017373"</f>
        <v>1000017373</v>
      </c>
      <c r="F998" s="4" t="str">
        <f>"INK CART:HP Item # C4943A-HEW, HP No. 83 Yellow InkJet Cartridge for Designjet 5000/5500PS UV/5500 UV, 680 ml."</f>
        <v>INK CART:HP Item # C4943A-HEW, HP No. 83 Yellow InkJet Cartridge for Designjet 5000/5500PS UV/5500 UV, 680 ml.</v>
      </c>
      <c r="G998" s="74" t="str">
        <f>"EA"</f>
        <v>EA</v>
      </c>
      <c r="H998" s="7">
        <v>295</v>
      </c>
      <c r="I998" s="2" t="str">
        <f t="shared" si="64"/>
        <v>44103105</v>
      </c>
      <c r="J998" s="10" t="s">
        <v>98</v>
      </c>
    </row>
    <row r="999" spans="1:10" ht="38.25">
      <c r="A999" s="9" t="s">
        <v>27</v>
      </c>
      <c r="B999" s="2" t="s">
        <v>31</v>
      </c>
      <c r="C999" s="2">
        <v>3204</v>
      </c>
      <c r="D999" s="2">
        <v>266</v>
      </c>
      <c r="E999" s="2" t="str">
        <f>"1000017374"</f>
        <v>1000017374</v>
      </c>
      <c r="F999" s="4" t="str">
        <f>"INK CART:HP Item # C4944A-HEW, HP No. 83 Light Cyan InkJet Cartridge for Designjet 5000/5500PS UV/5500 UV, 680 ml."</f>
        <v>INK CART:HP Item # C4944A-HEW, HP No. 83 Light Cyan InkJet Cartridge for Designjet 5000/5500PS UV/5500 UV, 680 ml.</v>
      </c>
      <c r="G999" s="74" t="str">
        <f>"EA"</f>
        <v>EA</v>
      </c>
      <c r="H999" s="7">
        <v>295</v>
      </c>
      <c r="I999" s="2" t="str">
        <f t="shared" si="64"/>
        <v>44103105</v>
      </c>
      <c r="J999" s="10" t="s">
        <v>98</v>
      </c>
    </row>
    <row r="1000" spans="1:10" ht="63.75">
      <c r="A1000" s="9" t="s">
        <v>27</v>
      </c>
      <c r="B1000" s="2" t="s">
        <v>31</v>
      </c>
      <c r="C1000" s="2">
        <v>3204</v>
      </c>
      <c r="D1000" s="2">
        <v>46</v>
      </c>
      <c r="E1000" s="2" t="str">
        <f>"1000017375"</f>
        <v>1000017375</v>
      </c>
      <c r="F1000" s="4" t="str">
        <f>"FILM ROLL:PAN Item # KXFA92-PAN, Panasonic Film Roll Refills for KX-FPG376/ KX-FPG381/ FPG377/ FPG378/ FPG379/ FPG391/ FPG550/ KX-FG6550/ KX-FP145, 2/Box"</f>
        <v>FILM ROLL:PAN Item # KXFA92-PAN, Panasonic Film Roll Refills for KX-FPG376/ KX-FPG381/ FPG377/ FPG378/ FPG379/ FPG391/ FPG550/ KX-FG6550/ KX-FP145, 2/Box</v>
      </c>
      <c r="G1000" s="74" t="str">
        <f>"BX"</f>
        <v>BX</v>
      </c>
      <c r="H1000" s="7">
        <v>25</v>
      </c>
      <c r="I1000" s="2" t="str">
        <f>"44103117"</f>
        <v>44103117</v>
      </c>
      <c r="J1000" s="10" t="s">
        <v>95</v>
      </c>
    </row>
    <row r="1001" spans="1:10" ht="51">
      <c r="A1001" s="9" t="s">
        <v>27</v>
      </c>
      <c r="B1001" s="2" t="s">
        <v>31</v>
      </c>
      <c r="C1001" s="2">
        <v>3204</v>
      </c>
      <c r="D1001" s="2">
        <v>47</v>
      </c>
      <c r="E1001" s="2" t="str">
        <f>E1002</f>
        <v>1000017377</v>
      </c>
      <c r="F1001" s="4" t="str">
        <f>"FILM ROLL:PAN Item # KXFA93-PAN, Panasonic Film Cartridge for Panafax KX-FHD331, KXFHD351, KXFPG371 Fax Machines"</f>
        <v>FILM ROLL:PAN Item # KXFA93-PAN, Panasonic Film Cartridge for Panafax KX-FHD331, KXFHD351, KXFPG371 Fax Machines</v>
      </c>
      <c r="G1001" s="74" t="str">
        <f>"EA"</f>
        <v>EA</v>
      </c>
      <c r="H1001" s="7">
        <v>28.48</v>
      </c>
      <c r="I1001" s="2" t="str">
        <f>"44103117"</f>
        <v>44103117</v>
      </c>
      <c r="J1001" s="10" t="s">
        <v>95</v>
      </c>
    </row>
    <row r="1002" spans="1:10" ht="38.25">
      <c r="A1002" s="9" t="s">
        <v>27</v>
      </c>
      <c r="B1002" s="2" t="s">
        <v>31</v>
      </c>
      <c r="C1002" s="2">
        <v>3204</v>
      </c>
      <c r="D1002" s="2">
        <v>48</v>
      </c>
      <c r="E1002" s="2" t="str">
        <f>"1000017377"</f>
        <v>1000017377</v>
      </c>
      <c r="F1002" s="4" t="str">
        <f>"FUSER KIT:HEW Item # C8556A-HEW, HP fuser kit 110 &amp; 220 volts for LJ 9500 series (Yld 100k)"</f>
        <v>FUSER KIT:HEW Item # C8556A-HEW, HP fuser kit 110 &amp; 220 volts for LJ 9500 series (Yld 100k)</v>
      </c>
      <c r="G1002" s="74" t="str">
        <f>"EA"</f>
        <v>EA</v>
      </c>
      <c r="H1002" s="7">
        <v>280</v>
      </c>
      <c r="I1002" s="2" t="str">
        <f>"44103004"</f>
        <v>44103004</v>
      </c>
      <c r="J1002" s="10" t="s">
        <v>96</v>
      </c>
    </row>
    <row r="1003" spans="1:10" ht="51">
      <c r="A1003" s="9" t="s">
        <v>27</v>
      </c>
      <c r="B1003" s="2" t="s">
        <v>31</v>
      </c>
      <c r="C1003" s="2">
        <v>3204</v>
      </c>
      <c r="D1003" s="2">
        <v>401</v>
      </c>
      <c r="E1003" s="2" t="str">
        <f>"1000017378"</f>
        <v>1000017378</v>
      </c>
      <c r="F1003" s="4" t="str">
        <f>"INK STICK:XER Item # 108R00670-XER, Magenta Ink Stick Refills for Xerox Phaser 8500 / 8500DN / 8500N / 8550 / 8550DP / 8550DT / 8550DX, 3 per package"</f>
        <v>INK STICK:XER Item # 108R00670-XER, Magenta Ink Stick Refills for Xerox Phaser 8500 / 8500DN / 8500N / 8550 / 8550DP / 8550DT / 8550DX, 3 per package</v>
      </c>
      <c r="G1003" s="74" t="str">
        <f t="shared" ref="G1003:G1008" si="65">"PK"</f>
        <v>PK</v>
      </c>
      <c r="H1003" s="7">
        <v>110</v>
      </c>
      <c r="I1003" s="2" t="str">
        <f>"44103109"</f>
        <v>44103109</v>
      </c>
      <c r="J1003" s="10" t="s">
        <v>94</v>
      </c>
    </row>
    <row r="1004" spans="1:10" ht="51">
      <c r="A1004" s="9" t="s">
        <v>27</v>
      </c>
      <c r="B1004" s="2" t="s">
        <v>31</v>
      </c>
      <c r="C1004" s="2">
        <v>3204</v>
      </c>
      <c r="D1004" s="2">
        <v>402</v>
      </c>
      <c r="E1004" s="2" t="str">
        <f>"1000017379"</f>
        <v>1000017379</v>
      </c>
      <c r="F1004" s="4" t="str">
        <f>"INK STICK:XER Item # 108R00671-XER, Yellow Ink Stick Refills for Xerox Phaser 8500 / 8500DN / 8500N / 8550 / 8550DP / 8550DT / 8550DX, 3 per package"</f>
        <v>INK STICK:XER Item # 108R00671-XER, Yellow Ink Stick Refills for Xerox Phaser 8500 / 8500DN / 8500N / 8550 / 8550DP / 8550DT / 8550DX, 3 per package</v>
      </c>
      <c r="G1004" s="74" t="str">
        <f t="shared" si="65"/>
        <v>PK</v>
      </c>
      <c r="H1004" s="7">
        <v>110</v>
      </c>
      <c r="I1004" s="2" t="str">
        <f>"44103109"</f>
        <v>44103109</v>
      </c>
      <c r="J1004" s="10" t="s">
        <v>94</v>
      </c>
    </row>
    <row r="1005" spans="1:10" ht="51">
      <c r="A1005" s="9" t="s">
        <v>27</v>
      </c>
      <c r="B1005" s="2" t="s">
        <v>31</v>
      </c>
      <c r="C1005" s="2">
        <v>3204</v>
      </c>
      <c r="D1005" s="2">
        <v>403</v>
      </c>
      <c r="E1005" s="2" t="str">
        <f>"1000017380"</f>
        <v>1000017380</v>
      </c>
      <c r="F1005" s="4" t="str">
        <f>"INK STICK:XER Item # 108R00672-XER, Black Ink Stick Refills for Xerox Phaser 8500 / 8500DN / 8500N / 8550 / 8550DP / 8550DT / 8550DX, 6 per package"</f>
        <v>INK STICK:XER Item # 108R00672-XER, Black Ink Stick Refills for Xerox Phaser 8500 / 8500DN / 8500N / 8550 / 8550DP / 8550DT / 8550DX, 6 per package</v>
      </c>
      <c r="G1005" s="74" t="str">
        <f t="shared" si="65"/>
        <v>PK</v>
      </c>
      <c r="H1005" s="7">
        <v>106</v>
      </c>
      <c r="I1005" s="2" t="str">
        <f>"44103109"</f>
        <v>44103109</v>
      </c>
      <c r="J1005" s="10" t="s">
        <v>94</v>
      </c>
    </row>
    <row r="1006" spans="1:10" ht="51">
      <c r="A1006" s="9" t="s">
        <v>27</v>
      </c>
      <c r="B1006" s="2" t="s">
        <v>31</v>
      </c>
      <c r="C1006" s="2">
        <v>3204</v>
      </c>
      <c r="D1006" s="2">
        <v>404</v>
      </c>
      <c r="E1006" s="2" t="str">
        <f>"1000017381"</f>
        <v>1000017381</v>
      </c>
      <c r="F1006" s="4" t="str">
        <f>"INK STICK:XER Item # 108R00723-XER, Xerox Cyan solid ink sticks, 3,400 page yield, 3 ink sticks per package for Xerox Phaser 8560, 8560MFP printers"</f>
        <v>INK STICK:XER Item # 108R00723-XER, Xerox Cyan solid ink sticks, 3,400 page yield, 3 ink sticks per package for Xerox Phaser 8560, 8560MFP printers</v>
      </c>
      <c r="G1006" s="74" t="str">
        <f t="shared" si="65"/>
        <v>PK</v>
      </c>
      <c r="H1006" s="7">
        <v>125.82</v>
      </c>
      <c r="I1006" s="2" t="str">
        <f>"44103106"</f>
        <v>44103106</v>
      </c>
      <c r="J1006" s="10" t="s">
        <v>100</v>
      </c>
    </row>
    <row r="1007" spans="1:10" ht="51">
      <c r="A1007" s="9" t="s">
        <v>27</v>
      </c>
      <c r="B1007" s="2" t="s">
        <v>31</v>
      </c>
      <c r="C1007" s="2">
        <v>3204</v>
      </c>
      <c r="D1007" s="2">
        <v>405</v>
      </c>
      <c r="E1007" s="2" t="str">
        <f>"1000017382"</f>
        <v>1000017382</v>
      </c>
      <c r="F1007" s="4" t="str">
        <f>"INK STICK:XER Item # 108R00724-XER, Xerox Magenta solid ink sticks, 3,400 page yield, 3 ink sticks per package for Xerox Phaser 8560, 8560MFP printers"</f>
        <v>INK STICK:XER Item # 108R00724-XER, Xerox Magenta solid ink sticks, 3,400 page yield, 3 ink sticks per package for Xerox Phaser 8560, 8560MFP printers</v>
      </c>
      <c r="G1007" s="74" t="str">
        <f t="shared" si="65"/>
        <v>PK</v>
      </c>
      <c r="H1007" s="7">
        <v>127.66</v>
      </c>
      <c r="I1007" s="2" t="str">
        <f>"44103106"</f>
        <v>44103106</v>
      </c>
      <c r="J1007" s="10" t="s">
        <v>100</v>
      </c>
    </row>
    <row r="1008" spans="1:10" ht="51">
      <c r="A1008" s="9" t="s">
        <v>27</v>
      </c>
      <c r="B1008" s="2" t="s">
        <v>31</v>
      </c>
      <c r="C1008" s="2">
        <v>3204</v>
      </c>
      <c r="D1008" s="2">
        <v>406</v>
      </c>
      <c r="E1008" s="2" t="str">
        <f>"1000017383"</f>
        <v>1000017383</v>
      </c>
      <c r="F1008" s="4" t="str">
        <f>"INK STICK:XER Item # 108R00725-XER, Xerox Yellow solid ink sticks, 3,400 page yield, 3 ink sticks per package for Xerox Phaser 8560, 8560MFP printers"</f>
        <v>INK STICK:XER Item # 108R00725-XER, Xerox Yellow solid ink sticks, 3,400 page yield, 3 ink sticks per package for Xerox Phaser 8560, 8560MFP printers</v>
      </c>
      <c r="G1008" s="74" t="str">
        <f t="shared" si="65"/>
        <v>PK</v>
      </c>
      <c r="H1008" s="7">
        <v>125.82</v>
      </c>
      <c r="I1008" s="2" t="str">
        <f>"44103106"</f>
        <v>44103106</v>
      </c>
      <c r="J1008" s="10" t="s">
        <v>100</v>
      </c>
    </row>
    <row r="1009" spans="1:10" ht="51">
      <c r="A1009" s="9" t="s">
        <v>27</v>
      </c>
      <c r="B1009" s="2" t="s">
        <v>31</v>
      </c>
      <c r="C1009" s="2">
        <v>3204</v>
      </c>
      <c r="D1009" s="2">
        <v>26</v>
      </c>
      <c r="E1009" s="2" t="str">
        <f>"1000017384"</f>
        <v>1000017384</v>
      </c>
      <c r="F1009" s="4" t="str">
        <f>"DRUM:OKI Item # 41962803-OKI, Okidata Type C4 Cyan Drum C7100, C7300, C7350, C7550, C7500 Series Digital Printers ( Yld 30k)"</f>
        <v>DRUM:OKI Item # 41962803-OKI, Okidata Type C4 Cyan Drum C7100, C7300, C7350, C7550, C7500 Series Digital Printers ( Yld 30k)</v>
      </c>
      <c r="G1009" s="74" t="str">
        <f t="shared" ref="G1009:G1029" si="66">"EA"</f>
        <v>EA</v>
      </c>
      <c r="H1009" s="7">
        <v>154</v>
      </c>
      <c r="I1009" s="2" t="str">
        <f>"44103109"</f>
        <v>44103109</v>
      </c>
      <c r="J1009" s="10" t="s">
        <v>94</v>
      </c>
    </row>
    <row r="1010" spans="1:10" ht="38.25">
      <c r="A1010" s="9" t="s">
        <v>27</v>
      </c>
      <c r="B1010" s="2" t="s">
        <v>31</v>
      </c>
      <c r="C1010" s="2">
        <v>3204</v>
      </c>
      <c r="D1010" s="2">
        <v>658</v>
      </c>
      <c r="E1010" s="2" t="str">
        <f>"1000017385"</f>
        <v>1000017385</v>
      </c>
      <c r="F1010" s="4" t="str">
        <f>"TONER:HP Item # C7115A-BCM, Brand Compatible 1200/1220 Series MICR Toner (Yld 3.5k)"</f>
        <v>TONER:HP Item # C7115A-BCM, Brand Compatible 1200/1220 Series MICR Toner (Yld 3.5k)</v>
      </c>
      <c r="G1010" s="74" t="str">
        <f t="shared" si="66"/>
        <v>EA</v>
      </c>
      <c r="H1010" s="7">
        <v>128</v>
      </c>
      <c r="I1010" s="2" t="str">
        <f t="shared" ref="I1010:I1023" si="67">"44103105"</f>
        <v>44103105</v>
      </c>
      <c r="J1010" s="10" t="s">
        <v>98</v>
      </c>
    </row>
    <row r="1011" spans="1:10" ht="38.25">
      <c r="A1011" s="9" t="s">
        <v>27</v>
      </c>
      <c r="B1011" s="2" t="s">
        <v>31</v>
      </c>
      <c r="C1011" s="2">
        <v>3204</v>
      </c>
      <c r="D1011" s="2">
        <v>662</v>
      </c>
      <c r="E1011" s="2" t="str">
        <f>"1000017386"</f>
        <v>1000017386</v>
      </c>
      <c r="F1011" s="4" t="str">
        <f>"TONER:HP Item # C7115XR-REM, Remanufactured toner for HP 1200/1220 Series"</f>
        <v>TONER:HP Item # C7115XR-REM, Remanufactured toner for HP 1200/1220 Series</v>
      </c>
      <c r="G1011" s="74" t="str">
        <f t="shared" si="66"/>
        <v>EA</v>
      </c>
      <c r="H1011" s="7">
        <v>62</v>
      </c>
      <c r="I1011" s="2" t="str">
        <f t="shared" si="67"/>
        <v>44103105</v>
      </c>
      <c r="J1011" s="10" t="s">
        <v>98</v>
      </c>
    </row>
    <row r="1012" spans="1:10" ht="38.25">
      <c r="A1012" s="9" t="s">
        <v>27</v>
      </c>
      <c r="B1012" s="2" t="s">
        <v>31</v>
      </c>
      <c r="C1012" s="2">
        <v>3204</v>
      </c>
      <c r="D1012" s="2">
        <v>321</v>
      </c>
      <c r="E1012" s="2" t="str">
        <f>"1000017387"</f>
        <v>1000017387</v>
      </c>
      <c r="F1012" s="4" t="str">
        <f>"INK CART:HP Item # C9397A-HEW, HP No. 72 photo black Vivera ink cartridge, 69 ML for T1100 and T610 inkjet printers."</f>
        <v>INK CART:HP Item # C9397A-HEW, HP No. 72 photo black Vivera ink cartridge, 69 ML for T1100 and T610 inkjet printers.</v>
      </c>
      <c r="G1012" s="74" t="str">
        <f t="shared" si="66"/>
        <v>EA</v>
      </c>
      <c r="H1012" s="7">
        <v>49.89</v>
      </c>
      <c r="I1012" s="2" t="str">
        <f t="shared" si="67"/>
        <v>44103105</v>
      </c>
      <c r="J1012" s="10" t="s">
        <v>98</v>
      </c>
    </row>
    <row r="1013" spans="1:10" ht="38.25">
      <c r="A1013" s="9" t="s">
        <v>27</v>
      </c>
      <c r="B1013" s="2" t="s">
        <v>31</v>
      </c>
      <c r="C1013" s="2">
        <v>3204</v>
      </c>
      <c r="D1013" s="2">
        <v>335</v>
      </c>
      <c r="E1013" s="2" t="str">
        <f>"1000017388"</f>
        <v>1000017388</v>
      </c>
      <c r="F1013" s="4" t="str">
        <f>"INK CART:HP Item # C9451A-HEW, HP No. 70 Light Gray ink for Z3100 large format printer 130 ml"</f>
        <v>INK CART:HP Item # C9451A-HEW, HP No. 70 Light Gray ink for Z3100 large format printer 130 ml</v>
      </c>
      <c r="G1013" s="74" t="str">
        <f t="shared" si="66"/>
        <v>EA</v>
      </c>
      <c r="H1013" s="7">
        <v>83.92</v>
      </c>
      <c r="I1013" s="2" t="str">
        <f t="shared" si="67"/>
        <v>44103105</v>
      </c>
      <c r="J1013" s="10" t="s">
        <v>98</v>
      </c>
    </row>
    <row r="1014" spans="1:10" ht="38.25">
      <c r="A1014" s="9" t="s">
        <v>27</v>
      </c>
      <c r="B1014" s="2" t="s">
        <v>31</v>
      </c>
      <c r="C1014" s="2">
        <v>3204</v>
      </c>
      <c r="D1014" s="2">
        <v>336</v>
      </c>
      <c r="E1014" s="2" t="str">
        <f>"1000017389"</f>
        <v>1000017389</v>
      </c>
      <c r="F1014" s="4" t="str">
        <f>"INK CART:HP Item # C9453A-HEW, HP No. 70 Magenta ink for Z3100 large format printer 130 ml"</f>
        <v>INK CART:HP Item # C9453A-HEW, HP No. 70 Magenta ink for Z3100 large format printer 130 ml</v>
      </c>
      <c r="G1014" s="74" t="str">
        <f t="shared" si="66"/>
        <v>EA</v>
      </c>
      <c r="H1014" s="7">
        <v>83.92</v>
      </c>
      <c r="I1014" s="2" t="str">
        <f t="shared" si="67"/>
        <v>44103105</v>
      </c>
      <c r="J1014" s="10" t="s">
        <v>98</v>
      </c>
    </row>
    <row r="1015" spans="1:10" ht="38.25">
      <c r="A1015" s="9" t="s">
        <v>27</v>
      </c>
      <c r="B1015" s="2" t="s">
        <v>31</v>
      </c>
      <c r="C1015" s="2">
        <v>3204</v>
      </c>
      <c r="D1015" s="2">
        <v>337</v>
      </c>
      <c r="E1015" s="2" t="str">
        <f>"1000017390"</f>
        <v>1000017390</v>
      </c>
      <c r="F1015" s="4" t="str">
        <f>"INK CART:HP Item # C9454A-HEW, HP No. 70 Yellow ink for Z3100 large format printer 130ml"</f>
        <v>INK CART:HP Item # C9454A-HEW, HP No. 70 Yellow ink for Z3100 large format printer 130ml</v>
      </c>
      <c r="G1015" s="74" t="str">
        <f t="shared" si="66"/>
        <v>EA</v>
      </c>
      <c r="H1015" s="7">
        <v>83.92</v>
      </c>
      <c r="I1015" s="2" t="str">
        <f t="shared" si="67"/>
        <v>44103105</v>
      </c>
      <c r="J1015" s="10" t="s">
        <v>98</v>
      </c>
    </row>
    <row r="1016" spans="1:10" ht="38.25">
      <c r="A1016" s="9" t="s">
        <v>27</v>
      </c>
      <c r="B1016" s="2" t="s">
        <v>31</v>
      </c>
      <c r="C1016" s="2">
        <v>3204</v>
      </c>
      <c r="D1016" s="2">
        <v>338</v>
      </c>
      <c r="E1016" s="2" t="str">
        <f>"1000017391"</f>
        <v>1000017391</v>
      </c>
      <c r="F1016" s="4" t="str">
        <f>"INK CART:HP Item # C9455A-HEW, HP No. 70 Light Magenta ink for Z3100 large format printer 130ml"</f>
        <v>INK CART:HP Item # C9455A-HEW, HP No. 70 Light Magenta ink for Z3100 large format printer 130ml</v>
      </c>
      <c r="G1016" s="74" t="str">
        <f t="shared" si="66"/>
        <v>EA</v>
      </c>
      <c r="H1016" s="7">
        <v>83.92</v>
      </c>
      <c r="I1016" s="2" t="str">
        <f t="shared" si="67"/>
        <v>44103105</v>
      </c>
      <c r="J1016" s="10" t="s">
        <v>98</v>
      </c>
    </row>
    <row r="1017" spans="1:10" ht="38.25">
      <c r="A1017" s="9" t="s">
        <v>27</v>
      </c>
      <c r="B1017" s="2" t="s">
        <v>31</v>
      </c>
      <c r="C1017" s="2">
        <v>3204</v>
      </c>
      <c r="D1017" s="2">
        <v>339</v>
      </c>
      <c r="E1017" s="2" t="str">
        <f>"1000017392"</f>
        <v>1000017392</v>
      </c>
      <c r="F1017" s="4" t="str">
        <f>"INK CART:HP Item # C9456A-HEW, HP No. 70 Red ink 130 ml for A2100 and Z3100 large format printer"</f>
        <v>INK CART:HP Item # C9456A-HEW, HP No. 70 Red ink 130 ml for A2100 and Z3100 large format printer</v>
      </c>
      <c r="G1017" s="74" t="str">
        <f t="shared" si="66"/>
        <v>EA</v>
      </c>
      <c r="H1017" s="7">
        <v>83.92</v>
      </c>
      <c r="I1017" s="2" t="str">
        <f t="shared" si="67"/>
        <v>44103105</v>
      </c>
      <c r="J1017" s="10" t="s">
        <v>98</v>
      </c>
    </row>
    <row r="1018" spans="1:10" ht="38.25">
      <c r="A1018" s="9" t="s">
        <v>27</v>
      </c>
      <c r="B1018" s="2" t="s">
        <v>31</v>
      </c>
      <c r="C1018" s="2">
        <v>3204</v>
      </c>
      <c r="D1018" s="2">
        <v>341</v>
      </c>
      <c r="E1018" s="2" t="str">
        <f>"1000017393"</f>
        <v>1000017393</v>
      </c>
      <c r="F1018" s="4" t="str">
        <f>"INK CART:HP Item # C9458A-HEW, HP No. 70 Blue ink for Z2100 &amp; Z3100 large format printer 130ml"</f>
        <v>INK CART:HP Item # C9458A-HEW, HP No. 70 Blue ink for Z2100 &amp; Z3100 large format printer 130ml</v>
      </c>
      <c r="G1018" s="74" t="str">
        <f t="shared" si="66"/>
        <v>EA</v>
      </c>
      <c r="H1018" s="7">
        <v>83.92</v>
      </c>
      <c r="I1018" s="2" t="str">
        <f t="shared" si="67"/>
        <v>44103105</v>
      </c>
      <c r="J1018" s="10" t="s">
        <v>98</v>
      </c>
    </row>
    <row r="1019" spans="1:10" ht="38.25">
      <c r="A1019" s="9" t="s">
        <v>27</v>
      </c>
      <c r="B1019" s="2" t="s">
        <v>31</v>
      </c>
      <c r="C1019" s="2">
        <v>3204</v>
      </c>
      <c r="D1019" s="2">
        <v>342</v>
      </c>
      <c r="E1019" s="2" t="str">
        <f>"1000017394"</f>
        <v>1000017394</v>
      </c>
      <c r="F1019" s="4" t="str">
        <f>"INK CART:HP Item # C9459A-HEW, HP No. 70 Gloss Enhancer for Designjet Z2100 &amp; Z3100 series"</f>
        <v>INK CART:HP Item # C9459A-HEW, HP No. 70 Gloss Enhancer for Designjet Z2100 &amp; Z3100 series</v>
      </c>
      <c r="G1019" s="74" t="str">
        <f t="shared" si="66"/>
        <v>EA</v>
      </c>
      <c r="H1019" s="7">
        <v>70</v>
      </c>
      <c r="I1019" s="2" t="str">
        <f t="shared" si="67"/>
        <v>44103105</v>
      </c>
      <c r="J1019" s="10" t="s">
        <v>98</v>
      </c>
    </row>
    <row r="1020" spans="1:10" ht="38.25">
      <c r="A1020" s="9" t="s">
        <v>27</v>
      </c>
      <c r="B1020" s="2" t="s">
        <v>31</v>
      </c>
      <c r="C1020" s="2">
        <v>3204</v>
      </c>
      <c r="D1020" s="2">
        <v>680</v>
      </c>
      <c r="E1020" s="2" t="str">
        <f>"1000017395"</f>
        <v>1000017395</v>
      </c>
      <c r="F1020" s="4" t="str">
        <f>"TONER:HP Item # C9721A-BC, Brand Compatible Cyan toner for Color LaserJet 4600"</f>
        <v>TONER:HP Item # C9721A-BC, Brand Compatible Cyan toner for Color LaserJet 4600</v>
      </c>
      <c r="G1020" s="74" t="str">
        <f t="shared" si="66"/>
        <v>EA</v>
      </c>
      <c r="H1020" s="7">
        <v>178</v>
      </c>
      <c r="I1020" s="2" t="str">
        <f t="shared" si="67"/>
        <v>44103105</v>
      </c>
      <c r="J1020" s="10" t="s">
        <v>98</v>
      </c>
    </row>
    <row r="1021" spans="1:10" ht="38.25">
      <c r="A1021" s="9" t="s">
        <v>27</v>
      </c>
      <c r="B1021" s="2" t="s">
        <v>31</v>
      </c>
      <c r="C1021" s="2">
        <v>3204</v>
      </c>
      <c r="D1021" s="2">
        <v>316</v>
      </c>
      <c r="E1021" s="2" t="str">
        <f>"1000017396"</f>
        <v>1000017396</v>
      </c>
      <c r="F1021" s="4" t="str">
        <f>"INK CART:HP Item # C9390A-HEW, HP No. 70 Light Cyan ink for Z3100 large format printer 130ml"</f>
        <v>INK CART:HP Item # C9390A-HEW, HP No. 70 Light Cyan ink for Z3100 large format printer 130ml</v>
      </c>
      <c r="G1021" s="74" t="str">
        <f t="shared" si="66"/>
        <v>EA</v>
      </c>
      <c r="H1021" s="7">
        <v>83.92</v>
      </c>
      <c r="I1021" s="2" t="str">
        <f t="shared" si="67"/>
        <v>44103105</v>
      </c>
      <c r="J1021" s="10" t="s">
        <v>98</v>
      </c>
    </row>
    <row r="1022" spans="1:10" ht="51">
      <c r="A1022" s="9" t="s">
        <v>27</v>
      </c>
      <c r="B1022" s="2" t="s">
        <v>31</v>
      </c>
      <c r="C1022" s="2">
        <v>3204</v>
      </c>
      <c r="D1022" s="2">
        <v>317</v>
      </c>
      <c r="E1022" s="2" t="str">
        <f>"1000017397"</f>
        <v>1000017397</v>
      </c>
      <c r="F1022" s="4" t="str">
        <f>"INK CART:HP Item # C9391AN-HEW, HP No. 88 large Cyan Ink Cartridge TIJ 4.0 Inkjet cartridge with Vivera inks OfficeJet Pro K550"</f>
        <v>INK CART:HP Item # C9391AN-HEW, HP No. 88 large Cyan Ink Cartridge TIJ 4.0 Inkjet cartridge with Vivera inks OfficeJet Pro K550</v>
      </c>
      <c r="G1022" s="74" t="str">
        <f t="shared" si="66"/>
        <v>EA</v>
      </c>
      <c r="H1022" s="7">
        <v>27.99</v>
      </c>
      <c r="I1022" s="2" t="str">
        <f t="shared" si="67"/>
        <v>44103105</v>
      </c>
      <c r="J1022" s="10" t="s">
        <v>98</v>
      </c>
    </row>
    <row r="1023" spans="1:10" ht="51">
      <c r="A1023" s="9" t="s">
        <v>27</v>
      </c>
      <c r="B1023" s="2" t="s">
        <v>31</v>
      </c>
      <c r="C1023" s="2">
        <v>3204</v>
      </c>
      <c r="D1023" s="2">
        <v>318</v>
      </c>
      <c r="E1023" s="2" t="str">
        <f>"1000017398"</f>
        <v>1000017398</v>
      </c>
      <c r="F1023" s="4" t="str">
        <f>"INK CART:HP Item # C9392-HEW, HP No. 88 large Magenta Ink Cartridge TIJ 4.0 Inkjet cartridge with Vivera inks OfficeJet Pro K550"</f>
        <v>INK CART:HP Item # C9392-HEW, HP No. 88 large Magenta Ink Cartridge TIJ 4.0 Inkjet cartridge with Vivera inks OfficeJet Pro K550</v>
      </c>
      <c r="G1023" s="74" t="str">
        <f t="shared" si="66"/>
        <v>EA</v>
      </c>
      <c r="H1023" s="7">
        <v>27.99</v>
      </c>
      <c r="I1023" s="2" t="str">
        <f t="shared" si="67"/>
        <v>44103105</v>
      </c>
      <c r="J1023" s="10" t="s">
        <v>98</v>
      </c>
    </row>
    <row r="1024" spans="1:10" ht="25.5">
      <c r="A1024" s="9" t="s">
        <v>27</v>
      </c>
      <c r="B1024" s="2" t="s">
        <v>31</v>
      </c>
      <c r="C1024" s="2">
        <v>3204</v>
      </c>
      <c r="D1024" s="2">
        <v>43</v>
      </c>
      <c r="E1024" s="2" t="str">
        <f>"1000017399"</f>
        <v>1000017399</v>
      </c>
      <c r="F1024" s="4" t="str">
        <f>"DRUM:XER Item # 13R573-XER, Drum for WorkCentre Pro 215 (Yld 18k)"</f>
        <v>DRUM:XER Item # 13R573-XER, Drum for WorkCentre Pro 215 (Yld 18k)</v>
      </c>
      <c r="G1024" s="74" t="str">
        <f t="shared" si="66"/>
        <v>EA</v>
      </c>
      <c r="H1024" s="7">
        <v>169</v>
      </c>
      <c r="I1024" s="2" t="str">
        <f>"44103109"</f>
        <v>44103109</v>
      </c>
      <c r="J1024" s="10" t="s">
        <v>94</v>
      </c>
    </row>
    <row r="1025" spans="1:10" ht="76.5">
      <c r="A1025" s="9" t="s">
        <v>27</v>
      </c>
      <c r="B1025" s="2" t="s">
        <v>31</v>
      </c>
      <c r="C1025" s="2">
        <v>3204</v>
      </c>
      <c r="D1025" s="2">
        <v>45</v>
      </c>
      <c r="E1025" s="2" t="str">
        <f>"1000017400"</f>
        <v>1000017400</v>
      </c>
      <c r="F1025" s="4" t="str">
        <f>"FILM ROLL:PAN Item # KXFA133-PAN, Thermal Transfer Film Roll Refill Ribbon for Panasonic Fax machines F1000/ F1006/ F1020/ F1050/ F1070/ F1100/ F1150/ F1200 and Panafax KX-F929 (Yld 650)"</f>
        <v>FILM ROLL:PAN Item # KXFA133-PAN, Thermal Transfer Film Roll Refill Ribbon for Panasonic Fax machines F1000/ F1006/ F1020/ F1050/ F1070/ F1100/ F1150/ F1200 and Panafax KX-F929 (Yld 650)</v>
      </c>
      <c r="G1025" s="74" t="str">
        <f t="shared" si="66"/>
        <v>EA</v>
      </c>
      <c r="H1025" s="7">
        <v>44</v>
      </c>
      <c r="I1025" s="2" t="str">
        <f>"44103117"</f>
        <v>44103117</v>
      </c>
      <c r="J1025" s="10" t="s">
        <v>95</v>
      </c>
    </row>
    <row r="1026" spans="1:10" ht="63.75">
      <c r="A1026" s="9" t="s">
        <v>27</v>
      </c>
      <c r="B1026" s="2" t="s">
        <v>31</v>
      </c>
      <c r="C1026" s="2">
        <v>3204</v>
      </c>
      <c r="D1026" s="2">
        <v>345</v>
      </c>
      <c r="E1026" s="2" t="str">
        <f>"1000017401"</f>
        <v>1000017401</v>
      </c>
      <c r="F1026" s="4" t="str">
        <f>"INK CART:HP Item # CB335WN-HEW, HP No. 74 Black inkjet cartridge HP Deskjet-Officejet-Photosmart C4200| D4200| C4300| C5200| J5700 series. (Yld 200 pages)"</f>
        <v>INK CART:HP Item # CB335WN-HEW, HP No. 74 Black inkjet cartridge HP Deskjet-Officejet-Photosmart C4200| D4200| C4300| C5200| J5700 series. (Yld 200 pages)</v>
      </c>
      <c r="G1026" s="74" t="str">
        <f t="shared" si="66"/>
        <v>EA</v>
      </c>
      <c r="H1026" s="7">
        <v>15.99</v>
      </c>
      <c r="I1026" s="2" t="str">
        <f t="shared" ref="I1026:I1057" si="68">"44103105"</f>
        <v>44103105</v>
      </c>
      <c r="J1026" s="10" t="s">
        <v>98</v>
      </c>
    </row>
    <row r="1027" spans="1:10" ht="63.75">
      <c r="A1027" s="9" t="s">
        <v>27</v>
      </c>
      <c r="B1027" s="2" t="s">
        <v>31</v>
      </c>
      <c r="C1027" s="2">
        <v>3204</v>
      </c>
      <c r="D1027" s="2">
        <v>346</v>
      </c>
      <c r="E1027" s="2" t="str">
        <f>"1000017402"</f>
        <v>1000017402</v>
      </c>
      <c r="F1027" s="4" t="str">
        <f>"INK CART:HP Item # CB336WN-HEW, HP 74XL Black ink (Yld 750) for HP officejet J5700 / J5725 / J5730 / J5735 / J5738 / J5740 / J5750 / J5780 / J5783 / J5785 / J5788 / J5790 inkjet printers"</f>
        <v>INK CART:HP Item # CB336WN-HEW, HP 74XL Black ink (Yld 750) for HP officejet J5700 / J5725 / J5730 / J5735 / J5738 / J5740 / J5750 / J5780 / J5783 / J5785 / J5788 / J5790 inkjet printers</v>
      </c>
      <c r="G1027" s="74" t="str">
        <f t="shared" si="66"/>
        <v>EA</v>
      </c>
      <c r="H1027" s="7">
        <v>41.99</v>
      </c>
      <c r="I1027" s="2" t="str">
        <f t="shared" si="68"/>
        <v>44103105</v>
      </c>
      <c r="J1027" s="10" t="s">
        <v>98</v>
      </c>
    </row>
    <row r="1028" spans="1:10" ht="51">
      <c r="A1028" s="9" t="s">
        <v>27</v>
      </c>
      <c r="B1028" s="2" t="s">
        <v>31</v>
      </c>
      <c r="C1028" s="2">
        <v>3204</v>
      </c>
      <c r="D1028" s="2">
        <v>347</v>
      </c>
      <c r="E1028" s="2" t="str">
        <f>"1000017403"</f>
        <v>1000017403</v>
      </c>
      <c r="F1028" s="4" t="str">
        <f>"INK CART:HP Item # CB337WN-HEW, HP No. 75 tricolor inkjet cartridge for HP Deskjet Officejet Photosmart C4200| D4200| C4300| C5200| J5700 series.(Yld 170 pgs)"</f>
        <v>INK CART:HP Item # CB337WN-HEW, HP No. 75 tricolor inkjet cartridge for HP Deskjet Officejet Photosmart C4200| D4200| C4300| C5200| J5700 series.(Yld 170 pgs)</v>
      </c>
      <c r="G1028" s="74" t="str">
        <f t="shared" si="66"/>
        <v>EA</v>
      </c>
      <c r="H1028" s="7">
        <v>20.99</v>
      </c>
      <c r="I1028" s="2" t="str">
        <f t="shared" si="68"/>
        <v>44103105</v>
      </c>
      <c r="J1028" s="10" t="s">
        <v>98</v>
      </c>
    </row>
    <row r="1029" spans="1:10" ht="63.75">
      <c r="A1029" s="9" t="s">
        <v>27</v>
      </c>
      <c r="B1029" s="2" t="s">
        <v>31</v>
      </c>
      <c r="C1029" s="2">
        <v>3204</v>
      </c>
      <c r="D1029" s="2">
        <v>348</v>
      </c>
      <c r="E1029" s="2" t="str">
        <f>"1000017404"</f>
        <v>1000017404</v>
      </c>
      <c r="F1029" s="4" t="str">
        <f>"INK CART:HP Item # CB338WN-HEW, HP 75XL Tri-Color ink (Yld 520) for OfficeJet, HP All-in-One Printers, Officejet, Photosmart, HP Inkjet Printers Deskjet, and HP Photo Printers Deskjet Series"</f>
        <v>INK CART:HP Item # CB338WN-HEW, HP 75XL Tri-Color ink (Yld 520) for OfficeJet, HP All-in-One Printers, Officejet, Photosmart, HP Inkjet Printers Deskjet, and HP Photo Printers Deskjet Series</v>
      </c>
      <c r="G1029" s="74" t="str">
        <f t="shared" si="66"/>
        <v>EA</v>
      </c>
      <c r="H1029" s="7">
        <v>49.99</v>
      </c>
      <c r="I1029" s="2" t="str">
        <f t="shared" si="68"/>
        <v>44103105</v>
      </c>
      <c r="J1029" s="10" t="s">
        <v>98</v>
      </c>
    </row>
    <row r="1030" spans="1:10" ht="38.25">
      <c r="A1030" s="9" t="s">
        <v>27</v>
      </c>
      <c r="B1030" s="2" t="s">
        <v>31</v>
      </c>
      <c r="C1030" s="2">
        <v>3204</v>
      </c>
      <c r="D1030" s="2">
        <v>349</v>
      </c>
      <c r="E1030" s="2" t="str">
        <f>"1000017405"</f>
        <v>1000017405</v>
      </c>
      <c r="F1030" s="4" t="str">
        <f>"INK CART:HP Item # CB339A-HEW, HP No. 70 matte black 130ML twin pack for Z2100 and Z3100 printers"</f>
        <v>INK CART:HP Item # CB339A-HEW, HP No. 70 matte black 130ML twin pack for Z2100 and Z3100 printers</v>
      </c>
      <c r="G1030" s="74" t="str">
        <f>"PK"</f>
        <v>PK</v>
      </c>
      <c r="H1030" s="7">
        <v>119</v>
      </c>
      <c r="I1030" s="2" t="str">
        <f t="shared" si="68"/>
        <v>44103105</v>
      </c>
      <c r="J1030" s="10" t="s">
        <v>98</v>
      </c>
    </row>
    <row r="1031" spans="1:10" ht="38.25">
      <c r="A1031" s="9" t="s">
        <v>27</v>
      </c>
      <c r="B1031" s="2" t="s">
        <v>31</v>
      </c>
      <c r="C1031" s="2">
        <v>3204</v>
      </c>
      <c r="D1031" s="2">
        <v>350</v>
      </c>
      <c r="E1031" s="2" t="str">
        <f>"1000017406"</f>
        <v>1000017406</v>
      </c>
      <c r="F1031" s="4" t="str">
        <f>"INK CART:HP Item # CB340A-HEW, HP No. 70 photo Black 130ML toner, twin pack for Z2100, Z3200 and Z3100 series printers"</f>
        <v>INK CART:HP Item # CB340A-HEW, HP No. 70 photo Black 130ML toner, twin pack for Z2100, Z3200 and Z3100 series printers</v>
      </c>
      <c r="G1031" s="74" t="str">
        <f>"PK"</f>
        <v>PK</v>
      </c>
      <c r="H1031" s="7">
        <v>120</v>
      </c>
      <c r="I1031" s="2" t="str">
        <f t="shared" si="68"/>
        <v>44103105</v>
      </c>
      <c r="J1031" s="10" t="s">
        <v>98</v>
      </c>
    </row>
    <row r="1032" spans="1:10" ht="51">
      <c r="A1032" s="9" t="s">
        <v>27</v>
      </c>
      <c r="B1032" s="2" t="s">
        <v>31</v>
      </c>
      <c r="C1032" s="2">
        <v>3204</v>
      </c>
      <c r="D1032" s="2">
        <v>351</v>
      </c>
      <c r="E1032" s="2" t="str">
        <f>"1000017407"</f>
        <v>1000017407</v>
      </c>
      <c r="F1032" s="4" t="str">
        <f>"INK CART:HP Item # CB341A-HEW, HP No. 70 Gray ink cartridge for HP Designjet Z2100, Z3100, and Z3200 series wide format printers (twin pack)"</f>
        <v>INK CART:HP Item # CB341A-HEW, HP No. 70 Gray ink cartridge for HP Designjet Z2100, Z3100, and Z3200 series wide format printers (twin pack)</v>
      </c>
      <c r="G1032" s="74" t="str">
        <f>"PK"</f>
        <v>PK</v>
      </c>
      <c r="H1032" s="7">
        <v>118</v>
      </c>
      <c r="I1032" s="2" t="str">
        <f t="shared" si="68"/>
        <v>44103105</v>
      </c>
      <c r="J1032" s="10" t="s">
        <v>98</v>
      </c>
    </row>
    <row r="1033" spans="1:10" ht="38.25">
      <c r="A1033" s="9" t="s">
        <v>27</v>
      </c>
      <c r="B1033" s="2" t="s">
        <v>31</v>
      </c>
      <c r="C1033" s="2">
        <v>3204</v>
      </c>
      <c r="D1033" s="2">
        <v>352</v>
      </c>
      <c r="E1033" s="2" t="str">
        <f>"1000017408"</f>
        <v>1000017408</v>
      </c>
      <c r="F1033" s="4" t="str">
        <f>"INK CART:HP Item # CB342A-HEW, HP No. Light Gray 130ML twin pack for Z2100 Z3200, AND Z3100 printers"</f>
        <v>INK CART:HP Item # CB342A-HEW, HP No. Light Gray 130ML twin pack for Z2100 Z3200, AND Z3100 printers</v>
      </c>
      <c r="G1033" s="74" t="str">
        <f>"PK"</f>
        <v>PK</v>
      </c>
      <c r="H1033" s="7">
        <v>119</v>
      </c>
      <c r="I1033" s="2" t="str">
        <f t="shared" si="68"/>
        <v>44103105</v>
      </c>
      <c r="J1033" s="10" t="s">
        <v>98</v>
      </c>
    </row>
    <row r="1034" spans="1:10" ht="38.25">
      <c r="A1034" s="9" t="s">
        <v>27</v>
      </c>
      <c r="B1034" s="2" t="s">
        <v>31</v>
      </c>
      <c r="C1034" s="2">
        <v>3204</v>
      </c>
      <c r="D1034" s="2">
        <v>330</v>
      </c>
      <c r="E1034" s="2" t="str">
        <f>"1000017409"</f>
        <v>1000017409</v>
      </c>
      <c r="F1034" s="4" t="str">
        <f>"INK CART:HP Item # C9434A-HEW, No. 85 Light Cyan ink cartridge for Designjet 30,130,90 HP printers, 3 per package"</f>
        <v>INK CART:HP Item # C9434A-HEW, No. 85 Light Cyan ink cartridge for Designjet 30,130,90 HP printers, 3 per package</v>
      </c>
      <c r="G1034" s="74" t="str">
        <f>"PK"</f>
        <v>PK</v>
      </c>
      <c r="H1034" s="7">
        <v>103</v>
      </c>
      <c r="I1034" s="2" t="str">
        <f t="shared" si="68"/>
        <v>44103105</v>
      </c>
      <c r="J1034" s="10" t="s">
        <v>98</v>
      </c>
    </row>
    <row r="1035" spans="1:10" ht="38.25">
      <c r="A1035" s="9" t="s">
        <v>27</v>
      </c>
      <c r="B1035" s="2" t="s">
        <v>31</v>
      </c>
      <c r="C1035" s="2">
        <v>3204</v>
      </c>
      <c r="D1035" s="2">
        <v>332</v>
      </c>
      <c r="E1035" s="2" t="str">
        <f>"1000017410"</f>
        <v>1000017410</v>
      </c>
      <c r="F1035" s="4" t="str">
        <f>"INK CART:HP Item # C9448A-HEW, HP No. 70 matte black ink for Z3100 large format printer 130ml"</f>
        <v>INK CART:HP Item # C9448A-HEW, HP No. 70 matte black ink for Z3100 large format printer 130ml</v>
      </c>
      <c r="G1035" s="74" t="str">
        <f>"EA"</f>
        <v>EA</v>
      </c>
      <c r="H1035" s="7">
        <v>83.92</v>
      </c>
      <c r="I1035" s="2" t="str">
        <f t="shared" si="68"/>
        <v>44103105</v>
      </c>
      <c r="J1035" s="10" t="s">
        <v>98</v>
      </c>
    </row>
    <row r="1036" spans="1:10" ht="38.25">
      <c r="A1036" s="9" t="s">
        <v>27</v>
      </c>
      <c r="B1036" s="2" t="s">
        <v>31</v>
      </c>
      <c r="C1036" s="2">
        <v>3204</v>
      </c>
      <c r="D1036" s="2">
        <v>333</v>
      </c>
      <c r="E1036" s="2" t="str">
        <f>"1000017411"</f>
        <v>1000017411</v>
      </c>
      <c r="F1036" s="4" t="str">
        <f>"INK CART:HP Item # C9449A-HEW, HP No. 70 photo black ink for Z3100 large format printer 130ml"</f>
        <v>INK CART:HP Item # C9449A-HEW, HP No. 70 photo black ink for Z3100 large format printer 130ml</v>
      </c>
      <c r="G1036" s="74" t="str">
        <f>"EA"</f>
        <v>EA</v>
      </c>
      <c r="H1036" s="7">
        <v>78</v>
      </c>
      <c r="I1036" s="2" t="str">
        <f t="shared" si="68"/>
        <v>44103105</v>
      </c>
      <c r="J1036" s="10" t="s">
        <v>98</v>
      </c>
    </row>
    <row r="1037" spans="1:10" ht="25.5">
      <c r="A1037" s="9" t="s">
        <v>27</v>
      </c>
      <c r="B1037" s="2" t="s">
        <v>31</v>
      </c>
      <c r="C1037" s="2">
        <v>3204</v>
      </c>
      <c r="D1037" s="2">
        <v>297</v>
      </c>
      <c r="E1037" s="2" t="str">
        <f>"1000017412"</f>
        <v>1000017412</v>
      </c>
      <c r="F1037" s="4" t="str">
        <f>"INK CART:HP Item # C8773WN-HEW, HP No. 02 Yellow ink Photosmart 3210,3310,8250"</f>
        <v>INK CART:HP Item # C8773WN-HEW, HP No. 02 Yellow ink Photosmart 3210,3310,8250</v>
      </c>
      <c r="G1037" s="74" t="str">
        <f>"EA"</f>
        <v>EA</v>
      </c>
      <c r="H1037" s="7">
        <v>11.99</v>
      </c>
      <c r="I1037" s="2" t="str">
        <f t="shared" si="68"/>
        <v>44103105</v>
      </c>
      <c r="J1037" s="10" t="s">
        <v>98</v>
      </c>
    </row>
    <row r="1038" spans="1:10" ht="38.25">
      <c r="A1038" s="9" t="s">
        <v>27</v>
      </c>
      <c r="B1038" s="2" t="s">
        <v>31</v>
      </c>
      <c r="C1038" s="2">
        <v>3204</v>
      </c>
      <c r="D1038" s="2">
        <v>298</v>
      </c>
      <c r="E1038" s="2" t="str">
        <f>"1000017413"</f>
        <v>1000017413</v>
      </c>
      <c r="F1038" s="4" t="str">
        <f>"INK CART:HP Item # C8774WN-HEW, HP No. 02 Light Cyan ink Photosmart 3210,3310,8250"</f>
        <v>INK CART:HP Item # C8774WN-HEW, HP No. 02 Light Cyan ink Photosmart 3210,3310,8250</v>
      </c>
      <c r="G1038" s="74" t="str">
        <f>"EA"</f>
        <v>EA</v>
      </c>
      <c r="H1038" s="7">
        <v>11.99</v>
      </c>
      <c r="I1038" s="2" t="str">
        <f t="shared" si="68"/>
        <v>44103105</v>
      </c>
      <c r="J1038" s="10" t="s">
        <v>98</v>
      </c>
    </row>
    <row r="1039" spans="1:10" ht="51">
      <c r="A1039" s="9" t="s">
        <v>27</v>
      </c>
      <c r="B1039" s="2" t="s">
        <v>31</v>
      </c>
      <c r="C1039" s="2">
        <v>3204</v>
      </c>
      <c r="D1039" s="2">
        <v>358</v>
      </c>
      <c r="E1039" s="2" t="str">
        <f>"1000017414"</f>
        <v>1000017414</v>
      </c>
      <c r="F1039" s="4" t="str">
        <f>"INK CART:HP Item # CB349A-HEW, HP No.70, Blue ink cartridge, 130ML, 2 per package for the HP Designjet Z3200 and Z3100 Photo Printer series"</f>
        <v>INK CART:HP Item # CB349A-HEW, HP No.70, Blue ink cartridge, 130ML, 2 per package for the HP Designjet Z3200 and Z3100 Photo Printer series</v>
      </c>
      <c r="G1039" s="74" t="str">
        <f>"PK"</f>
        <v>PK</v>
      </c>
      <c r="H1039" s="7">
        <v>118</v>
      </c>
      <c r="I1039" s="2" t="str">
        <f t="shared" si="68"/>
        <v>44103105</v>
      </c>
      <c r="J1039" s="10" t="s">
        <v>98</v>
      </c>
    </row>
    <row r="1040" spans="1:10" ht="38.25">
      <c r="A1040" s="9" t="s">
        <v>27</v>
      </c>
      <c r="B1040" s="2" t="s">
        <v>31</v>
      </c>
      <c r="C1040" s="2">
        <v>3204</v>
      </c>
      <c r="D1040" s="2">
        <v>359</v>
      </c>
      <c r="E1040" s="2" t="str">
        <f>"1000017415"</f>
        <v>1000017415</v>
      </c>
      <c r="F1040" s="4" t="str">
        <f>"INK CART:HP Item # CB350A-HEW, HP Gloss enhancer, 130ML for the HP Designjet Z3200 and Z3100 Photo Printer series"</f>
        <v>INK CART:HP Item # CB350A-HEW, HP Gloss enhancer, 130ML for the HP Designjet Z3200 and Z3100 Photo Printer series</v>
      </c>
      <c r="G1040" s="74" t="str">
        <f>"EA"</f>
        <v>EA</v>
      </c>
      <c r="H1040" s="7">
        <v>90</v>
      </c>
      <c r="I1040" s="2" t="str">
        <f t="shared" si="68"/>
        <v>44103105</v>
      </c>
      <c r="J1040" s="10" t="s">
        <v>98</v>
      </c>
    </row>
    <row r="1041" spans="1:10" ht="38.25">
      <c r="A1041" s="9" t="s">
        <v>27</v>
      </c>
      <c r="B1041" s="2" t="s">
        <v>31</v>
      </c>
      <c r="C1041" s="2">
        <v>3204</v>
      </c>
      <c r="D1041" s="2">
        <v>360</v>
      </c>
      <c r="E1041" s="2" t="str">
        <f>"1000017416"</f>
        <v>1000017416</v>
      </c>
      <c r="F1041" s="4" t="str">
        <f>"INK CART:HP Item # CB351A-HEW, HP N. 70 Light Cyan 130ML, twin pack for Z2100, Z3200 and Z3100 printers"</f>
        <v>INK CART:HP Item # CB351A-HEW, HP N. 70 Light Cyan 130ML, twin pack for Z2100, Z3200 and Z3100 printers</v>
      </c>
      <c r="G1041" s="74" t="str">
        <f>"PK"</f>
        <v>PK</v>
      </c>
      <c r="H1041" s="7">
        <v>119</v>
      </c>
      <c r="I1041" s="2" t="str">
        <f t="shared" si="68"/>
        <v>44103105</v>
      </c>
      <c r="J1041" s="10" t="s">
        <v>98</v>
      </c>
    </row>
    <row r="1042" spans="1:10" ht="51">
      <c r="A1042" s="9" t="s">
        <v>27</v>
      </c>
      <c r="B1042" s="2" t="s">
        <v>31</v>
      </c>
      <c r="C1042" s="2">
        <v>3204</v>
      </c>
      <c r="D1042" s="2">
        <v>690</v>
      </c>
      <c r="E1042" s="2" t="str">
        <f>"1000017417"</f>
        <v>1000017417</v>
      </c>
      <c r="F1042" s="4" t="str">
        <f>"TONER:HP Item # CB400A-HEW, HP Laserjet Colorsphere Black print cartridge for HP Color LaserJet CP4005/ CP4005dn/ CP4005n Printers. Page Yield: 7,500 pages"</f>
        <v>TONER:HP Item # CB400A-HEW, HP Laserjet Colorsphere Black print cartridge for HP Color LaserJet CP4005/ CP4005dn/ CP4005n Printers. Page Yield: 7,500 pages</v>
      </c>
      <c r="G1042" s="74" t="str">
        <f t="shared" ref="G1042:G1057" si="69">"EA"</f>
        <v>EA</v>
      </c>
      <c r="H1042" s="7">
        <v>182.99</v>
      </c>
      <c r="I1042" s="2" t="str">
        <f t="shared" si="68"/>
        <v>44103105</v>
      </c>
      <c r="J1042" s="10" t="s">
        <v>98</v>
      </c>
    </row>
    <row r="1043" spans="1:10" ht="51">
      <c r="A1043" s="9" t="s">
        <v>27</v>
      </c>
      <c r="B1043" s="2" t="s">
        <v>31</v>
      </c>
      <c r="C1043" s="2">
        <v>3204</v>
      </c>
      <c r="D1043" s="2">
        <v>691</v>
      </c>
      <c r="E1043" s="2" t="str">
        <f>"1000017418"</f>
        <v>1000017418</v>
      </c>
      <c r="F1043" s="4" t="str">
        <f>"TONER:HP Item # CB401A-HEW, HP Laserjet Colorsphere Cyan print cartridge for HP Color LaserJet CP4005/ CP4005dn/ CP4005n Printers. Page Yield: 7,500 pages"</f>
        <v>TONER:HP Item # CB401A-HEW, HP Laserjet Colorsphere Cyan print cartridge for HP Color LaserJet CP4005/ CP4005dn/ CP4005n Printers. Page Yield: 7,500 pages</v>
      </c>
      <c r="G1043" s="74" t="str">
        <f t="shared" si="69"/>
        <v>EA</v>
      </c>
      <c r="H1043" s="7">
        <v>271.99</v>
      </c>
      <c r="I1043" s="2" t="str">
        <f t="shared" si="68"/>
        <v>44103105</v>
      </c>
      <c r="J1043" s="10" t="s">
        <v>98</v>
      </c>
    </row>
    <row r="1044" spans="1:10" ht="51">
      <c r="A1044" s="9" t="s">
        <v>27</v>
      </c>
      <c r="B1044" s="2" t="s">
        <v>31</v>
      </c>
      <c r="C1044" s="2">
        <v>3204</v>
      </c>
      <c r="D1044" s="2">
        <v>692</v>
      </c>
      <c r="E1044" s="2" t="str">
        <f>"1000017419"</f>
        <v>1000017419</v>
      </c>
      <c r="F1044" s="4" t="str">
        <f>"TONER:HP Item # CB402A-HEW, HP Laserjet Yellow color laser jet print cartridge for HP Color LaserJet CP4005, CP4005n, CP4005dn (Yld 7.5k)"</f>
        <v>TONER:HP Item # CB402A-HEW, HP Laserjet Yellow color laser jet print cartridge for HP Color LaserJet CP4005, CP4005n, CP4005dn (Yld 7.5k)</v>
      </c>
      <c r="G1044" s="74" t="str">
        <f t="shared" si="69"/>
        <v>EA</v>
      </c>
      <c r="H1044" s="7">
        <v>271.99</v>
      </c>
      <c r="I1044" s="2" t="str">
        <f t="shared" si="68"/>
        <v>44103105</v>
      </c>
      <c r="J1044" s="10" t="s">
        <v>98</v>
      </c>
    </row>
    <row r="1045" spans="1:10" ht="63.75">
      <c r="A1045" s="9" t="s">
        <v>27</v>
      </c>
      <c r="B1045" s="2" t="s">
        <v>31</v>
      </c>
      <c r="C1045" s="2">
        <v>3204</v>
      </c>
      <c r="D1045" s="2">
        <v>693</v>
      </c>
      <c r="E1045" s="2" t="str">
        <f>"1000017420"</f>
        <v>1000017420</v>
      </c>
      <c r="F1045" s="4" t="str">
        <f>"TONER:HP Item # CB403A-HEW, HP Laserjet CB400 Colorsphere Magenta print cartridge for HP Color LaserJet CP4005/ CP4005dn/ CP4005n Printers. Page Yield: 7,500 pages"</f>
        <v>TONER:HP Item # CB403A-HEW, HP Laserjet CB400 Colorsphere Magenta print cartridge for HP Color LaserJet CP4005/ CP4005dn/ CP4005n Printers. Page Yield: 7,500 pages</v>
      </c>
      <c r="G1045" s="74" t="str">
        <f t="shared" si="69"/>
        <v>EA</v>
      </c>
      <c r="H1045" s="7">
        <v>271.99</v>
      </c>
      <c r="I1045" s="2" t="str">
        <f t="shared" si="68"/>
        <v>44103105</v>
      </c>
      <c r="J1045" s="10" t="s">
        <v>98</v>
      </c>
    </row>
    <row r="1046" spans="1:10" ht="38.25">
      <c r="A1046" s="9" t="s">
        <v>27</v>
      </c>
      <c r="B1046" s="2" t="s">
        <v>31</v>
      </c>
      <c r="C1046" s="2">
        <v>3204</v>
      </c>
      <c r="D1046" s="2">
        <v>682</v>
      </c>
      <c r="E1046" s="2" t="str">
        <f>"1000017421"</f>
        <v>1000017421</v>
      </c>
      <c r="F1046" s="4" t="str">
        <f>"TONER:HP Item # C9722A-BC, Brand Compatible Yellow Toner Cartridge for Color LaserJet 4600"</f>
        <v>TONER:HP Item # C9722A-BC, Brand Compatible Yellow Toner Cartridge for Color LaserJet 4600</v>
      </c>
      <c r="G1046" s="74" t="str">
        <f t="shared" si="69"/>
        <v>EA</v>
      </c>
      <c r="H1046" s="7">
        <v>156</v>
      </c>
      <c r="I1046" s="2" t="str">
        <f t="shared" si="68"/>
        <v>44103105</v>
      </c>
      <c r="J1046" s="10" t="s">
        <v>98</v>
      </c>
    </row>
    <row r="1047" spans="1:10" ht="38.25">
      <c r="A1047" s="9" t="s">
        <v>27</v>
      </c>
      <c r="B1047" s="2" t="s">
        <v>31</v>
      </c>
      <c r="C1047" s="2">
        <v>3204</v>
      </c>
      <c r="D1047" s="2">
        <v>684</v>
      </c>
      <c r="E1047" s="2" t="str">
        <f>"1000017422"</f>
        <v>1000017422</v>
      </c>
      <c r="F1047" s="4" t="str">
        <f>"TONER:HP Item # C9723A-BC, Brand Compatible Magenta toner for Color LaserJet 4600 (Yld 8k)"</f>
        <v>TONER:HP Item # C9723A-BC, Brand Compatible Magenta toner for Color LaserJet 4600 (Yld 8k)</v>
      </c>
      <c r="G1047" s="74" t="str">
        <f t="shared" si="69"/>
        <v>EA</v>
      </c>
      <c r="H1047" s="7">
        <v>172</v>
      </c>
      <c r="I1047" s="2" t="str">
        <f t="shared" si="68"/>
        <v>44103105</v>
      </c>
      <c r="J1047" s="10" t="s">
        <v>98</v>
      </c>
    </row>
    <row r="1048" spans="1:10" ht="51">
      <c r="A1048" s="9" t="s">
        <v>27</v>
      </c>
      <c r="B1048" s="2" t="s">
        <v>31</v>
      </c>
      <c r="C1048" s="2">
        <v>3204</v>
      </c>
      <c r="D1048" s="2">
        <v>343</v>
      </c>
      <c r="E1048" s="2" t="str">
        <f>"1000017423"</f>
        <v>1000017423</v>
      </c>
      <c r="F1048" s="4" t="str">
        <f>"INK CART:HP Item # CB304AN-HEW, HP No. 110 tri-color Vivera ink cartridge, for Photosmart A432,A433, A434, A436, A516, A616, and A716 printers"</f>
        <v>INK CART:HP Item # CB304AN-HEW, HP No. 110 tri-color Vivera ink cartridge, for Photosmart A432,A433, A434, A436, A516, A616, and A716 printers</v>
      </c>
      <c r="G1048" s="74" t="str">
        <f t="shared" si="69"/>
        <v>EA</v>
      </c>
      <c r="H1048" s="7">
        <v>32</v>
      </c>
      <c r="I1048" s="2" t="str">
        <f t="shared" si="68"/>
        <v>44103105</v>
      </c>
      <c r="J1048" s="10" t="s">
        <v>98</v>
      </c>
    </row>
    <row r="1049" spans="1:10" ht="38.25">
      <c r="A1049" s="9" t="s">
        <v>27</v>
      </c>
      <c r="B1049" s="2" t="s">
        <v>31</v>
      </c>
      <c r="C1049" s="2">
        <v>3204</v>
      </c>
      <c r="D1049" s="2">
        <v>344</v>
      </c>
      <c r="E1049" s="2" t="str">
        <f>"1000017424"</f>
        <v>1000017424</v>
      </c>
      <c r="F1049" s="4" t="str">
        <f>"INK CART:HP Item # CB334AN-HEW, HP No. 54 Black ink for DeskJet F4140, F4135, (Yld 600)"</f>
        <v>INK CART:HP Item # CB334AN-HEW, HP No. 54 Black ink for DeskJet F4140, F4135, (Yld 600)</v>
      </c>
      <c r="G1049" s="74" t="str">
        <f t="shared" si="69"/>
        <v>EA</v>
      </c>
      <c r="H1049" s="7">
        <v>36.99</v>
      </c>
      <c r="I1049" s="2" t="str">
        <f t="shared" si="68"/>
        <v>44103105</v>
      </c>
      <c r="J1049" s="10" t="s">
        <v>98</v>
      </c>
    </row>
    <row r="1050" spans="1:10" ht="51">
      <c r="A1050" s="9" t="s">
        <v>27</v>
      </c>
      <c r="B1050" s="2" t="s">
        <v>31</v>
      </c>
      <c r="C1050" s="2">
        <v>3204</v>
      </c>
      <c r="D1050" s="2">
        <v>319</v>
      </c>
      <c r="E1050" s="2" t="str">
        <f>"1000017425"</f>
        <v>1000017425</v>
      </c>
      <c r="F1050" s="4" t="str">
        <f>"INK CART:HP Item # C9393AN-HEW, HP No. 88 large Yellow Ink Cartridge TIJ 4.0 Inkjet OfficeJet Pro K550cartridge with Vivera inks OfficeJet Pro K550"</f>
        <v>INK CART:HP Item # C9393AN-HEW, HP No. 88 large Yellow Ink Cartridge TIJ 4.0 Inkjet OfficeJet Pro K550cartridge with Vivera inks OfficeJet Pro K550</v>
      </c>
      <c r="G1050" s="74" t="str">
        <f t="shared" si="69"/>
        <v>EA</v>
      </c>
      <c r="H1050" s="7">
        <v>27.99</v>
      </c>
      <c r="I1050" s="2" t="str">
        <f t="shared" si="68"/>
        <v>44103105</v>
      </c>
      <c r="J1050" s="10" t="s">
        <v>98</v>
      </c>
    </row>
    <row r="1051" spans="1:10" ht="38.25">
      <c r="A1051" s="9" t="s">
        <v>27</v>
      </c>
      <c r="B1051" s="2" t="s">
        <v>31</v>
      </c>
      <c r="C1051" s="2">
        <v>3204</v>
      </c>
      <c r="D1051" s="2">
        <v>702</v>
      </c>
      <c r="E1051" s="2" t="str">
        <f>"1000017426"</f>
        <v>1000017426</v>
      </c>
      <c r="F1051" s="4" t="str">
        <f>"TONER:HP Item # CC530A-HEW, HP Black Toner Cartridge Color LaserJet CP2025/CM2320 MFP (Yld 3.5)"</f>
        <v>TONER:HP Item # CC530A-HEW, HP Black Toner Cartridge Color LaserJet CP2025/CM2320 MFP (Yld 3.5)</v>
      </c>
      <c r="G1051" s="74" t="str">
        <f t="shared" si="69"/>
        <v>EA</v>
      </c>
      <c r="H1051" s="7">
        <v>124.99</v>
      </c>
      <c r="I1051" s="2" t="str">
        <f t="shared" si="68"/>
        <v>44103105</v>
      </c>
      <c r="J1051" s="10" t="s">
        <v>98</v>
      </c>
    </row>
    <row r="1052" spans="1:10" ht="38.25">
      <c r="A1052" s="9" t="s">
        <v>27</v>
      </c>
      <c r="B1052" s="2" t="s">
        <v>31</v>
      </c>
      <c r="C1052" s="2">
        <v>3204</v>
      </c>
      <c r="D1052" s="2">
        <v>703</v>
      </c>
      <c r="E1052" s="2" t="str">
        <f>"1000017427"</f>
        <v>1000017427</v>
      </c>
      <c r="F1052" s="4" t="str">
        <f>"TONER:HP Item # CC531A-HEW, HP Cyan Print Cartridge for Color LaserJet CP2025/CM2320 MFP (Yld 2.8k)"</f>
        <v>TONER:HP Item # CC531A-HEW, HP Cyan Print Cartridge for Color LaserJet CP2025/CM2320 MFP (Yld 2.8k)</v>
      </c>
      <c r="G1052" s="74" t="str">
        <f t="shared" si="69"/>
        <v>EA</v>
      </c>
      <c r="H1052" s="7">
        <v>122.99</v>
      </c>
      <c r="I1052" s="2" t="str">
        <f t="shared" si="68"/>
        <v>44103105</v>
      </c>
      <c r="J1052" s="10" t="s">
        <v>98</v>
      </c>
    </row>
    <row r="1053" spans="1:10" ht="38.25">
      <c r="A1053" s="9" t="s">
        <v>27</v>
      </c>
      <c r="B1053" s="2" t="s">
        <v>31</v>
      </c>
      <c r="C1053" s="2">
        <v>3204</v>
      </c>
      <c r="D1053" s="2">
        <v>704</v>
      </c>
      <c r="E1053" s="2" t="str">
        <f>"1000017428"</f>
        <v>1000017428</v>
      </c>
      <c r="F1053" s="4" t="str">
        <f>"TONER:HP Item # CC532A-HEW, HP Yellow Print Cartridge for Color LaserJet CP2025/ CM2320 MFP (Yld 2.8k)"</f>
        <v>TONER:HP Item # CC532A-HEW, HP Yellow Print Cartridge for Color LaserJet CP2025/ CM2320 MFP (Yld 2.8k)</v>
      </c>
      <c r="G1053" s="74" t="str">
        <f t="shared" si="69"/>
        <v>EA</v>
      </c>
      <c r="H1053" s="7">
        <v>122.99</v>
      </c>
      <c r="I1053" s="2" t="str">
        <f t="shared" si="68"/>
        <v>44103105</v>
      </c>
      <c r="J1053" s="10" t="s">
        <v>98</v>
      </c>
    </row>
    <row r="1054" spans="1:10" ht="38.25">
      <c r="A1054" s="9" t="s">
        <v>27</v>
      </c>
      <c r="B1054" s="2" t="s">
        <v>31</v>
      </c>
      <c r="C1054" s="2">
        <v>3204</v>
      </c>
      <c r="D1054" s="2">
        <v>705</v>
      </c>
      <c r="E1054" s="2" t="str">
        <f>"1000017429"</f>
        <v>1000017429</v>
      </c>
      <c r="F1054" s="4" t="str">
        <f>"TONER:HP Item # CC533A-HEW, HP Magenta Print Cartridge for Color LaserJet CP2025/CM2320 MFP (Yld 2.8k)"</f>
        <v>TONER:HP Item # CC533A-HEW, HP Magenta Print Cartridge for Color LaserJet CP2025/CM2320 MFP (Yld 2.8k)</v>
      </c>
      <c r="G1054" s="74" t="str">
        <f t="shared" si="69"/>
        <v>EA</v>
      </c>
      <c r="H1054" s="7">
        <v>122.99</v>
      </c>
      <c r="I1054" s="2" t="str">
        <f t="shared" si="68"/>
        <v>44103105</v>
      </c>
      <c r="J1054" s="10" t="s">
        <v>98</v>
      </c>
    </row>
    <row r="1055" spans="1:10" ht="38.25">
      <c r="A1055" s="9" t="s">
        <v>27</v>
      </c>
      <c r="B1055" s="2" t="s">
        <v>31</v>
      </c>
      <c r="C1055" s="2">
        <v>3204</v>
      </c>
      <c r="D1055" s="2">
        <v>361</v>
      </c>
      <c r="E1055" s="2" t="str">
        <f>"1000017430"</f>
        <v>1000017430</v>
      </c>
      <c r="F1055" s="4" t="str">
        <f>"INK CART:HP Item # CC635-HEW, HP No. 701 Black inkjet print cartridge, 350 page yield for 640 fax"</f>
        <v>INK CART:HP Item # CC635-HEW, HP No. 701 Black inkjet print cartridge, 350 page yield for 640 fax</v>
      </c>
      <c r="G1055" s="74" t="str">
        <f t="shared" si="69"/>
        <v>EA</v>
      </c>
      <c r="H1055" s="7">
        <v>36.99</v>
      </c>
      <c r="I1055" s="2" t="str">
        <f t="shared" si="68"/>
        <v>44103105</v>
      </c>
      <c r="J1055" s="10" t="s">
        <v>98</v>
      </c>
    </row>
    <row r="1056" spans="1:10" ht="51">
      <c r="A1056" s="9" t="s">
        <v>27</v>
      </c>
      <c r="B1056" s="2" t="s">
        <v>31</v>
      </c>
      <c r="C1056" s="2">
        <v>3204</v>
      </c>
      <c r="D1056" s="2">
        <v>362</v>
      </c>
      <c r="E1056" s="2" t="str">
        <f>"1000017431"</f>
        <v>1000017431</v>
      </c>
      <c r="F1056" s="4" t="str">
        <f>"INK CART:HP Item # CC640WN-HEW, HP No. 60 Black ink for deskjet D2500/D2530/2560/F4200 (Yld 200 pages)"</f>
        <v>INK CART:HP Item # CC640WN-HEW, HP No. 60 Black ink for deskjet D2500/D2530/2560/F4200 (Yld 200 pages)</v>
      </c>
      <c r="G1056" s="74" t="str">
        <f t="shared" si="69"/>
        <v>EA</v>
      </c>
      <c r="H1056" s="7">
        <v>15.99</v>
      </c>
      <c r="I1056" s="2" t="str">
        <f t="shared" si="68"/>
        <v>44103105</v>
      </c>
      <c r="J1056" s="10" t="s">
        <v>98</v>
      </c>
    </row>
    <row r="1057" spans="1:10" ht="51">
      <c r="A1057" s="9" t="s">
        <v>27</v>
      </c>
      <c r="B1057" s="2" t="s">
        <v>31</v>
      </c>
      <c r="C1057" s="2">
        <v>3204</v>
      </c>
      <c r="D1057" s="2">
        <v>363</v>
      </c>
      <c r="E1057" s="2" t="str">
        <f>"1000017432"</f>
        <v>1000017432</v>
      </c>
      <c r="F1057" s="4" t="str">
        <f>"INK CART:HP Item # CC641WN-HEW, HP No. 60 XL Black ink for DeskJet D2500/D2530/2560/F4200 high yield 600 page"</f>
        <v>INK CART:HP Item # CC641WN-HEW, HP No. 60 XL Black ink for DeskJet D2500/D2530/2560/F4200 high yield 600 page</v>
      </c>
      <c r="G1057" s="74" t="str">
        <f t="shared" si="69"/>
        <v>EA</v>
      </c>
      <c r="H1057" s="7">
        <v>36.99</v>
      </c>
      <c r="I1057" s="2" t="str">
        <f t="shared" si="68"/>
        <v>44103105</v>
      </c>
      <c r="J1057" s="10" t="s">
        <v>98</v>
      </c>
    </row>
    <row r="1058" spans="1:10" ht="38.25">
      <c r="A1058" s="9" t="s">
        <v>27</v>
      </c>
      <c r="B1058" s="2" t="s">
        <v>31</v>
      </c>
      <c r="C1058" s="2">
        <v>3204</v>
      </c>
      <c r="D1058" s="2">
        <v>353</v>
      </c>
      <c r="E1058" s="2" t="str">
        <f>"1000017433"</f>
        <v>1000017433</v>
      </c>
      <c r="F1058" s="4" t="str">
        <f>"INK CART:HP Item # CB344A-HEW, HP No. 70 Magenta 130ML twin pack for Z2100, Z3200 and Z3100 printers"</f>
        <v>INK CART:HP Item # CB344A-HEW, HP No. 70 Magenta 130ML twin pack for Z2100, Z3200 and Z3100 printers</v>
      </c>
      <c r="G1058" s="74" t="str">
        <f>"PK"</f>
        <v>PK</v>
      </c>
      <c r="H1058" s="7">
        <v>118</v>
      </c>
      <c r="I1058" s="2" t="str">
        <f t="shared" ref="I1058:I1075" si="70">"44103105"</f>
        <v>44103105</v>
      </c>
      <c r="J1058" s="10" t="s">
        <v>98</v>
      </c>
    </row>
    <row r="1059" spans="1:10" ht="38.25">
      <c r="A1059" s="9" t="s">
        <v>27</v>
      </c>
      <c r="B1059" s="2" t="s">
        <v>31</v>
      </c>
      <c r="C1059" s="2">
        <v>3204</v>
      </c>
      <c r="D1059" s="2">
        <v>354</v>
      </c>
      <c r="E1059" s="2" t="str">
        <f>"1000017434"</f>
        <v>1000017434</v>
      </c>
      <c r="F1059" s="4" t="str">
        <f>"INK CART:HP Item # CB345A-HEW, HP No. 70 Yellow 130ML twin pack for Z2100, Z3200 and Z3100 printers"</f>
        <v>INK CART:HP Item # CB345A-HEW, HP No. 70 Yellow 130ML twin pack for Z2100, Z3200 and Z3100 printers</v>
      </c>
      <c r="G1059" s="74" t="str">
        <f>"PK"</f>
        <v>PK</v>
      </c>
      <c r="H1059" s="7">
        <v>119</v>
      </c>
      <c r="I1059" s="2" t="str">
        <f t="shared" si="70"/>
        <v>44103105</v>
      </c>
      <c r="J1059" s="10" t="s">
        <v>98</v>
      </c>
    </row>
    <row r="1060" spans="1:10" ht="38.25">
      <c r="A1060" s="9" t="s">
        <v>27</v>
      </c>
      <c r="B1060" s="2" t="s">
        <v>31</v>
      </c>
      <c r="C1060" s="2">
        <v>3204</v>
      </c>
      <c r="D1060" s="2">
        <v>355</v>
      </c>
      <c r="E1060" s="2" t="str">
        <f>"1000017435"</f>
        <v>1000017435</v>
      </c>
      <c r="F1060" s="4" t="str">
        <f>"INK CART:HP Item # CB346A-HEW, HP No. 70 Light Magenta 130ML twin pack or Z2100, Z3200 AND Z3100 printers"</f>
        <v>INK CART:HP Item # CB346A-HEW, HP No. 70 Light Magenta 130ML twin pack or Z2100, Z3200 AND Z3100 printers</v>
      </c>
      <c r="G1060" s="74" t="str">
        <f>"PK"</f>
        <v>PK</v>
      </c>
      <c r="H1060" s="7">
        <v>118</v>
      </c>
      <c r="I1060" s="2" t="str">
        <f t="shared" si="70"/>
        <v>44103105</v>
      </c>
      <c r="J1060" s="10" t="s">
        <v>98</v>
      </c>
    </row>
    <row r="1061" spans="1:10" ht="51">
      <c r="A1061" s="9" t="s">
        <v>27</v>
      </c>
      <c r="B1061" s="2" t="s">
        <v>31</v>
      </c>
      <c r="C1061" s="2">
        <v>3204</v>
      </c>
      <c r="D1061" s="2">
        <v>356</v>
      </c>
      <c r="E1061" s="2" t="str">
        <f>"1000017436"</f>
        <v>1000017436</v>
      </c>
      <c r="F1061" s="4" t="str">
        <f>"INK CART:HP Item # CB347A-HEW, HP No. 70 Red ink cartridges 130ML , 2 per package, for Designjet Z3100 and Z2100 photo printer series."</f>
        <v>INK CART:HP Item # CB347A-HEW, HP No. 70 Red ink cartridges 130ML , 2 per package, for Designjet Z3100 and Z2100 photo printer series.</v>
      </c>
      <c r="G1061" s="74" t="str">
        <f>"PK"</f>
        <v>PK</v>
      </c>
      <c r="H1061" s="7">
        <v>118</v>
      </c>
      <c r="I1061" s="2" t="str">
        <f t="shared" si="70"/>
        <v>44103105</v>
      </c>
      <c r="J1061" s="10" t="s">
        <v>98</v>
      </c>
    </row>
    <row r="1062" spans="1:10" ht="38.25">
      <c r="A1062" s="9" t="s">
        <v>27</v>
      </c>
      <c r="B1062" s="2" t="s">
        <v>31</v>
      </c>
      <c r="C1062" s="2">
        <v>3204</v>
      </c>
      <c r="D1062" s="2">
        <v>334</v>
      </c>
      <c r="E1062" s="2" t="str">
        <f>"1000017437"</f>
        <v>1000017437</v>
      </c>
      <c r="F1062" s="4" t="str">
        <f>"INK CART:HP Item # C9450A-HEW, HP No. 70 Gray ink for Z3100 large format printer 130ml"</f>
        <v>INK CART:HP Item # C9450A-HEW, HP No. 70 Gray ink for Z3100 large format printer 130ml</v>
      </c>
      <c r="G1062" s="74" t="str">
        <f>"EA"</f>
        <v>EA</v>
      </c>
      <c r="H1062" s="7">
        <v>83.92</v>
      </c>
      <c r="I1062" s="2" t="str">
        <f t="shared" si="70"/>
        <v>44103105</v>
      </c>
      <c r="J1062" s="10" t="s">
        <v>98</v>
      </c>
    </row>
    <row r="1063" spans="1:10" ht="51">
      <c r="A1063" s="9" t="s">
        <v>27</v>
      </c>
      <c r="B1063" s="2" t="s">
        <v>31</v>
      </c>
      <c r="C1063" s="2">
        <v>3204</v>
      </c>
      <c r="D1063" s="2">
        <v>357</v>
      </c>
      <c r="E1063" s="2" t="str">
        <f>"1000017438"</f>
        <v>1000017438</v>
      </c>
      <c r="F1063" s="4" t="str">
        <f>"INK CART:HP Item # CB348A-HEW, HP No.70 Green ink cartridges, 130ML, 2 per package, for Designjet Z3200, Z3100 and Z2100 photo printer series"</f>
        <v>INK CART:HP Item # CB348A-HEW, HP No.70 Green ink cartridges, 130ML, 2 per package, for Designjet Z3200, Z3100 and Z2100 photo printer series</v>
      </c>
      <c r="G1063" s="74" t="str">
        <f>"PK"</f>
        <v>PK</v>
      </c>
      <c r="H1063" s="7">
        <v>118</v>
      </c>
      <c r="I1063" s="2" t="str">
        <f t="shared" si="70"/>
        <v>44103105</v>
      </c>
      <c r="J1063" s="10" t="s">
        <v>98</v>
      </c>
    </row>
    <row r="1064" spans="1:10" ht="63.75">
      <c r="A1064" s="9" t="s">
        <v>27</v>
      </c>
      <c r="B1064" s="2" t="s">
        <v>31</v>
      </c>
      <c r="C1064" s="2">
        <v>3204</v>
      </c>
      <c r="D1064" s="2">
        <v>370</v>
      </c>
      <c r="E1064" s="2" t="str">
        <f>"1000017439"</f>
        <v>1000017439</v>
      </c>
      <c r="F1064" s="4" t="str">
        <f>"INK CART:HP Item # CD974AN-HEW, HP 920XL Yellow Officejet Ink Cartridge, 700 page for the HP Officejet 6500 Wireless All-in-One and Officejet 6500 All-In-One printers"</f>
        <v>INK CART:HP Item # CD974AN-HEW, HP 920XL Yellow Officejet Ink Cartridge, 700 page for the HP Officejet 6500 Wireless All-in-One and Officejet 6500 All-In-One printers</v>
      </c>
      <c r="G1064" s="74" t="str">
        <f t="shared" ref="G1064:G1075" si="71">"EA"</f>
        <v>EA</v>
      </c>
      <c r="H1064" s="7">
        <v>16</v>
      </c>
      <c r="I1064" s="2" t="str">
        <f t="shared" si="70"/>
        <v>44103105</v>
      </c>
      <c r="J1064" s="10" t="s">
        <v>98</v>
      </c>
    </row>
    <row r="1065" spans="1:10" ht="63.75">
      <c r="A1065" s="9" t="s">
        <v>27</v>
      </c>
      <c r="B1065" s="2" t="s">
        <v>31</v>
      </c>
      <c r="C1065" s="2">
        <v>3204</v>
      </c>
      <c r="D1065" s="2">
        <v>371</v>
      </c>
      <c r="E1065" s="2" t="str">
        <f>"1000017440"</f>
        <v>1000017440</v>
      </c>
      <c r="F1065" s="4" t="str">
        <f>"INK CART:HP Item # CD975AN-HEW, HP 920XL Black Officejet Ink Cartridge, 1200 page for the HP Officejet 6500 Wireless All-in-One and Officejet 6500 All-In-One printers"</f>
        <v>INK CART:HP Item # CD975AN-HEW, HP 920XL Black Officejet Ink Cartridge, 1200 page for the HP Officejet 6500 Wireless All-in-One and Officejet 6500 All-In-One printers</v>
      </c>
      <c r="G1065" s="74" t="str">
        <f t="shared" si="71"/>
        <v>EA</v>
      </c>
      <c r="H1065" s="7">
        <v>34.99</v>
      </c>
      <c r="I1065" s="2" t="str">
        <f t="shared" si="70"/>
        <v>44103105</v>
      </c>
      <c r="J1065" s="10" t="s">
        <v>98</v>
      </c>
    </row>
    <row r="1066" spans="1:10" ht="51">
      <c r="A1066" s="9" t="s">
        <v>27</v>
      </c>
      <c r="B1066" s="2" t="s">
        <v>31</v>
      </c>
      <c r="C1066" s="2">
        <v>3204</v>
      </c>
      <c r="D1066" s="2">
        <v>706</v>
      </c>
      <c r="E1066" s="2" t="str">
        <f>"1000017441"</f>
        <v>1000017441</v>
      </c>
      <c r="F1066" s="4" t="str">
        <f>"TONER:HP Item # CE250X-HEW, HP Black laser toner cartridge, High capacity (Yld 10,500), for CM3530 and CP3525 MPF printers"</f>
        <v>TONER:HP Item # CE250X-HEW, HP Black laser toner cartridge, High capacity (Yld 10,500), for CM3530 and CP3525 MPF printers</v>
      </c>
      <c r="G1066" s="74" t="str">
        <f t="shared" si="71"/>
        <v>EA</v>
      </c>
      <c r="H1066" s="7">
        <v>215</v>
      </c>
      <c r="I1066" s="2" t="str">
        <f t="shared" si="70"/>
        <v>44103105</v>
      </c>
      <c r="J1066" s="10" t="s">
        <v>98</v>
      </c>
    </row>
    <row r="1067" spans="1:10" ht="38.25">
      <c r="A1067" s="9" t="s">
        <v>27</v>
      </c>
      <c r="B1067" s="2" t="s">
        <v>31</v>
      </c>
      <c r="C1067" s="2">
        <v>3204</v>
      </c>
      <c r="D1067" s="2">
        <v>707</v>
      </c>
      <c r="E1067" s="2" t="str">
        <f>"1000017442"</f>
        <v>1000017442</v>
      </c>
      <c r="F1067" s="4" t="str">
        <f>"TONER:HP Item # CE251A-HEW, HP Cyan laser toner cartridge,(Yld 7k) for CM3530 and CP3525 printers"</f>
        <v>TONER:HP Item # CE251A-HEW, HP Cyan laser toner cartridge,(Yld 7k) for CM3530 and CP3525 printers</v>
      </c>
      <c r="G1067" s="74" t="str">
        <f t="shared" si="71"/>
        <v>EA</v>
      </c>
      <c r="H1067" s="7">
        <v>269.99</v>
      </c>
      <c r="I1067" s="2" t="str">
        <f t="shared" si="70"/>
        <v>44103105</v>
      </c>
      <c r="J1067" s="10" t="s">
        <v>98</v>
      </c>
    </row>
    <row r="1068" spans="1:10" ht="38.25">
      <c r="A1068" s="9" t="s">
        <v>27</v>
      </c>
      <c r="B1068" s="2" t="s">
        <v>31</v>
      </c>
      <c r="C1068" s="2">
        <v>3204</v>
      </c>
      <c r="D1068" s="2">
        <v>708</v>
      </c>
      <c r="E1068" s="2" t="str">
        <f>"1000017443"</f>
        <v>1000017443</v>
      </c>
      <c r="F1068" s="4" t="str">
        <f>"TONER:HP Item # CE252A-HEW, HP Yellow laser toner cartridge, (Yld 7k) for CM3530 and CP3525 printers"</f>
        <v>TONER:HP Item # CE252A-HEW, HP Yellow laser toner cartridge, (Yld 7k) for CM3530 and CP3525 printers</v>
      </c>
      <c r="G1068" s="74" t="str">
        <f t="shared" si="71"/>
        <v>EA</v>
      </c>
      <c r="H1068" s="7">
        <v>269.99</v>
      </c>
      <c r="I1068" s="2" t="str">
        <f t="shared" si="70"/>
        <v>44103105</v>
      </c>
      <c r="J1068" s="10" t="s">
        <v>98</v>
      </c>
    </row>
    <row r="1069" spans="1:10" ht="38.25">
      <c r="A1069" s="9" t="s">
        <v>27</v>
      </c>
      <c r="B1069" s="2" t="s">
        <v>31</v>
      </c>
      <c r="C1069" s="2">
        <v>3204</v>
      </c>
      <c r="D1069" s="2">
        <v>709</v>
      </c>
      <c r="E1069" s="2" t="str">
        <f>"1000017444"</f>
        <v>1000017444</v>
      </c>
      <c r="F1069" s="4" t="str">
        <f>"TONER:HP Item # CE253A-HEW, HP Magenta laser toner cartridge, (Yld 7k) for CM3530 and CP3525 printers"</f>
        <v>TONER:HP Item # CE253A-HEW, HP Magenta laser toner cartridge, (Yld 7k) for CM3530 and CP3525 printers</v>
      </c>
      <c r="G1069" s="74" t="str">
        <f t="shared" si="71"/>
        <v>EA</v>
      </c>
      <c r="H1069" s="7">
        <v>269.99</v>
      </c>
      <c r="I1069" s="2" t="str">
        <f t="shared" si="70"/>
        <v>44103105</v>
      </c>
      <c r="J1069" s="10" t="s">
        <v>98</v>
      </c>
    </row>
    <row r="1070" spans="1:10" ht="51">
      <c r="A1070" s="9" t="s">
        <v>27</v>
      </c>
      <c r="B1070" s="2" t="s">
        <v>31</v>
      </c>
      <c r="C1070" s="2">
        <v>3204</v>
      </c>
      <c r="D1070" s="2">
        <v>710</v>
      </c>
      <c r="E1070" s="2" t="str">
        <f>"1000017445"</f>
        <v>1000017445</v>
      </c>
      <c r="F1070" s="4" t="str">
        <f>"TONER:HP Item # CE505A-HEW, HP laser toner, 2,300 page yield for Laserjet P2055x, P2055dn, P2055d, P2035n, and P2035 laser printers"</f>
        <v>TONER:HP Item # CE505A-HEW, HP laser toner, 2,300 page yield for Laserjet P2055x, P2055dn, P2055d, P2035n, and P2035 laser printers</v>
      </c>
      <c r="G1070" s="74" t="str">
        <f t="shared" si="71"/>
        <v>EA</v>
      </c>
      <c r="H1070" s="7">
        <v>90.99</v>
      </c>
      <c r="I1070" s="2" t="str">
        <f t="shared" si="70"/>
        <v>44103105</v>
      </c>
      <c r="J1070" s="10" t="s">
        <v>98</v>
      </c>
    </row>
    <row r="1071" spans="1:10" ht="38.25">
      <c r="A1071" s="9" t="s">
        <v>27</v>
      </c>
      <c r="B1071" s="2" t="s">
        <v>31</v>
      </c>
      <c r="C1071" s="2">
        <v>3204</v>
      </c>
      <c r="D1071" s="2">
        <v>694</v>
      </c>
      <c r="E1071" s="2" t="str">
        <f>"1000017446"</f>
        <v>1000017446</v>
      </c>
      <c r="F1071" s="4" t="str">
        <f>"TONER:HP Item # CB435A-HEW, HP 35A Black Laser cartridge works with HP LaserJet P1005/P1006 printers. (Yld 1.5k)"</f>
        <v>TONER:HP Item # CB435A-HEW, HP 35A Black Laser cartridge works with HP LaserJet P1005/P1006 printers. (Yld 1.5k)</v>
      </c>
      <c r="G1071" s="74" t="str">
        <f t="shared" si="71"/>
        <v>EA</v>
      </c>
      <c r="H1071" s="7">
        <v>68.989999999999995</v>
      </c>
      <c r="I1071" s="2" t="str">
        <f t="shared" si="70"/>
        <v>44103105</v>
      </c>
      <c r="J1071" s="10" t="s">
        <v>98</v>
      </c>
    </row>
    <row r="1072" spans="1:10" ht="38.25">
      <c r="A1072" s="9" t="s">
        <v>27</v>
      </c>
      <c r="B1072" s="2" t="s">
        <v>31</v>
      </c>
      <c r="C1072" s="2">
        <v>3204</v>
      </c>
      <c r="D1072" s="2">
        <v>695</v>
      </c>
      <c r="E1072" s="2" t="str">
        <f>"1000017447"</f>
        <v>1000017447</v>
      </c>
      <c r="F1072" s="4" t="str">
        <f>"TONER:HP Item # CB436A-HEW, HP36A Black Print Cartridge for Laserjet P1505/P1505n, M1522 (Yld 2k)"</f>
        <v>TONER:HP Item # CB436A-HEW, HP36A Black Print Cartridge for Laserjet P1505/P1505n, M1522 (Yld 2k)</v>
      </c>
      <c r="G1072" s="74" t="str">
        <f t="shared" si="71"/>
        <v>EA</v>
      </c>
      <c r="H1072" s="7">
        <v>79.989999999999995</v>
      </c>
      <c r="I1072" s="2" t="str">
        <f t="shared" si="70"/>
        <v>44103105</v>
      </c>
      <c r="J1072" s="10" t="s">
        <v>98</v>
      </c>
    </row>
    <row r="1073" spans="1:10" ht="51">
      <c r="A1073" s="9" t="s">
        <v>27</v>
      </c>
      <c r="B1073" s="2" t="s">
        <v>31</v>
      </c>
      <c r="C1073" s="2">
        <v>3204</v>
      </c>
      <c r="D1073" s="2">
        <v>697</v>
      </c>
      <c r="E1073" s="2" t="str">
        <f>"1000017448"</f>
        <v>1000017448</v>
      </c>
      <c r="F1073" s="4" t="str">
        <f>"TONER:HP Item # CB541A-HEW, HP Cyan toner for Color LaserJet CP1515N, CP1518NI, CP1215, CM1312 MFP printers, (Yld 1.4k)"</f>
        <v>TONER:HP Item # CB541A-HEW, HP Cyan toner for Color LaserJet CP1515N, CP1518NI, CP1215, CM1312 MFP printers, (Yld 1.4k)</v>
      </c>
      <c r="G1073" s="74" t="str">
        <f t="shared" si="71"/>
        <v>EA</v>
      </c>
      <c r="H1073" s="7">
        <v>72.989999999999995</v>
      </c>
      <c r="I1073" s="2" t="str">
        <f t="shared" si="70"/>
        <v>44103105</v>
      </c>
      <c r="J1073" s="10" t="s">
        <v>98</v>
      </c>
    </row>
    <row r="1074" spans="1:10" ht="51">
      <c r="A1074" s="9" t="s">
        <v>27</v>
      </c>
      <c r="B1074" s="2" t="s">
        <v>31</v>
      </c>
      <c r="C1074" s="2">
        <v>3204</v>
      </c>
      <c r="D1074" s="2">
        <v>699</v>
      </c>
      <c r="E1074" s="2" t="str">
        <f>"1000017449"</f>
        <v>1000017449</v>
      </c>
      <c r="F1074" s="4" t="str">
        <f>"TONER:HP Item # CB543A-HEW, HP Magenta toner for Color LaserJet CP1515N, CP1518NI, CP1215, CM1312 MFP printers, (Yld 1.4k)"</f>
        <v>TONER:HP Item # CB543A-HEW, HP Magenta toner for Color LaserJet CP1515N, CP1518NI, CP1215, CM1312 MFP printers, (Yld 1.4k)</v>
      </c>
      <c r="G1074" s="74" t="str">
        <f t="shared" si="71"/>
        <v>EA</v>
      </c>
      <c r="H1074" s="7">
        <v>72.989999999999995</v>
      </c>
      <c r="I1074" s="2" t="str">
        <f t="shared" si="70"/>
        <v>44103105</v>
      </c>
      <c r="J1074" s="10" t="s">
        <v>98</v>
      </c>
    </row>
    <row r="1075" spans="1:10" ht="38.25">
      <c r="A1075" s="9" t="s">
        <v>27</v>
      </c>
      <c r="B1075" s="2" t="s">
        <v>31</v>
      </c>
      <c r="C1075" s="2">
        <v>3204</v>
      </c>
      <c r="D1075" s="2">
        <v>700</v>
      </c>
      <c r="E1075" s="2" t="str">
        <f>"1000017450"</f>
        <v>1000017450</v>
      </c>
      <c r="F1075" s="4" t="str">
        <f>"TONER:HP Item # CC364A-HEW, HP Black toner cartridge for Laserjet P4014, P4015 and P4515 series printers, (Yld 10k)"</f>
        <v>TONER:HP Item # CC364A-HEW, HP Black toner cartridge for Laserjet P4014, P4015 and P4515 series printers, (Yld 10k)</v>
      </c>
      <c r="G1075" s="74" t="str">
        <f t="shared" si="71"/>
        <v>EA</v>
      </c>
      <c r="H1075" s="7">
        <v>175.99</v>
      </c>
      <c r="I1075" s="2" t="str">
        <f t="shared" si="70"/>
        <v>44103105</v>
      </c>
      <c r="J1075" s="10" t="s">
        <v>98</v>
      </c>
    </row>
    <row r="1076" spans="1:10" ht="51">
      <c r="A1076" s="9" t="s">
        <v>27</v>
      </c>
      <c r="B1076" s="2" t="s">
        <v>31</v>
      </c>
      <c r="C1076" s="2">
        <v>3204</v>
      </c>
      <c r="D1076" s="2">
        <v>701</v>
      </c>
      <c r="E1076" s="2" t="str">
        <f>"1000017451"</f>
        <v>1000017451</v>
      </c>
      <c r="F1076" s="4" t="str">
        <f>"TONER:HP Item # CC530AD-HEW, HP Black colorsphere toner cartridge, 2 per package, (Yld 7k) for CP2025 and CM2320 MFP printers"</f>
        <v>TONER:HP Item # CC530AD-HEW, HP Black colorsphere toner cartridge, 2 per package, (Yld 7k) for CP2025 and CM2320 MFP printers</v>
      </c>
      <c r="G1076" s="74" t="str">
        <f>"PK"</f>
        <v>PK</v>
      </c>
      <c r="H1076" s="7">
        <v>177.99</v>
      </c>
      <c r="I1076" s="2" t="str">
        <f>"44103103"</f>
        <v>44103103</v>
      </c>
      <c r="J1076" s="10" t="s">
        <v>99</v>
      </c>
    </row>
    <row r="1077" spans="1:10" ht="38.25">
      <c r="A1077" s="9" t="s">
        <v>27</v>
      </c>
      <c r="B1077" s="2" t="s">
        <v>31</v>
      </c>
      <c r="C1077" s="2">
        <v>3204</v>
      </c>
      <c r="D1077" s="2">
        <v>720</v>
      </c>
      <c r="E1077" s="2" t="str">
        <f>"1000017452"</f>
        <v>1000017452</v>
      </c>
      <c r="F1077" s="4" t="str">
        <f>"TONER:HP Item # Q2610A-BCM, Brand Compatible MICR (Yld 6k) for HP 2300 Smart Print Toner"</f>
        <v>TONER:HP Item # Q2610A-BCM, Brand Compatible MICR (Yld 6k) for HP 2300 Smart Print Toner</v>
      </c>
      <c r="G1077" s="74" t="str">
        <f t="shared" ref="G1077:G1121" si="72">"EA"</f>
        <v>EA</v>
      </c>
      <c r="H1077" s="7">
        <v>179</v>
      </c>
      <c r="I1077" s="2" t="str">
        <f t="shared" ref="I1077:I1082" si="73">"44103105"</f>
        <v>44103105</v>
      </c>
      <c r="J1077" s="10" t="s">
        <v>98</v>
      </c>
    </row>
    <row r="1078" spans="1:10" ht="38.25">
      <c r="A1078" s="9" t="s">
        <v>27</v>
      </c>
      <c r="B1078" s="2" t="s">
        <v>31</v>
      </c>
      <c r="C1078" s="2">
        <v>3204</v>
      </c>
      <c r="D1078" s="2">
        <v>725</v>
      </c>
      <c r="E1078" s="2" t="str">
        <f>"1000017453"</f>
        <v>1000017453</v>
      </c>
      <c r="F1078" s="4" t="str">
        <f>"TONER:HP Item # Q2613A-BCM, Brand Compatible MICR for HP 1300 LaserJet (Yld 2.5k)"</f>
        <v>TONER:HP Item # Q2613A-BCM, Brand Compatible MICR for HP 1300 LaserJet (Yld 2.5k)</v>
      </c>
      <c r="G1078" s="74" t="str">
        <f t="shared" si="72"/>
        <v>EA</v>
      </c>
      <c r="H1078" s="7">
        <v>148</v>
      </c>
      <c r="I1078" s="2" t="str">
        <f t="shared" si="73"/>
        <v>44103105</v>
      </c>
      <c r="J1078" s="10" t="s">
        <v>98</v>
      </c>
    </row>
    <row r="1079" spans="1:10" ht="38.25">
      <c r="A1079" s="9" t="s">
        <v>27</v>
      </c>
      <c r="B1079" s="2" t="s">
        <v>31</v>
      </c>
      <c r="C1079" s="2">
        <v>3204</v>
      </c>
      <c r="D1079" s="2">
        <v>729</v>
      </c>
      <c r="E1079" s="2" t="str">
        <f>"1000017454"</f>
        <v>1000017454</v>
      </c>
      <c r="F1079" s="4" t="str">
        <f>"TONER:HP Item # Q2624A-BC, Brand Compatible for Hewlett Packard LaserJet 1150 Toner cartridge, (Yld 2.5k)"</f>
        <v>TONER:HP Item # Q2624A-BC, Brand Compatible for Hewlett Packard LaserJet 1150 Toner cartridge, (Yld 2.5k)</v>
      </c>
      <c r="G1079" s="74" t="str">
        <f t="shared" si="72"/>
        <v>EA</v>
      </c>
      <c r="H1079" s="7">
        <v>65</v>
      </c>
      <c r="I1079" s="2" t="str">
        <f t="shared" si="73"/>
        <v>44103105</v>
      </c>
      <c r="J1079" s="10" t="s">
        <v>98</v>
      </c>
    </row>
    <row r="1080" spans="1:10" ht="25.5">
      <c r="A1080" s="9" t="s">
        <v>27</v>
      </c>
      <c r="B1080" s="2" t="s">
        <v>31</v>
      </c>
      <c r="C1080" s="2">
        <v>3204</v>
      </c>
      <c r="D1080" s="2">
        <v>730</v>
      </c>
      <c r="E1080" s="2" t="str">
        <f>"1000017455"</f>
        <v>1000017455</v>
      </c>
      <c r="F1080" s="4" t="str">
        <f>"TONER:HP Item # Q2624A-HEW, HP LJ 1150 Toner Cartridge (Yld 2.5k)"</f>
        <v>TONER:HP Item # Q2624A-HEW, HP LJ 1150 Toner Cartridge (Yld 2.5k)</v>
      </c>
      <c r="G1080" s="74" t="str">
        <f t="shared" si="72"/>
        <v>EA</v>
      </c>
      <c r="H1080" s="7">
        <v>79</v>
      </c>
      <c r="I1080" s="2" t="str">
        <f t="shared" si="73"/>
        <v>44103105</v>
      </c>
      <c r="J1080" s="10" t="s">
        <v>98</v>
      </c>
    </row>
    <row r="1081" spans="1:10" ht="25.5">
      <c r="A1081" s="9" t="s">
        <v>27</v>
      </c>
      <c r="B1081" s="2" t="s">
        <v>31</v>
      </c>
      <c r="C1081" s="2">
        <v>3204</v>
      </c>
      <c r="D1081" s="2">
        <v>737</v>
      </c>
      <c r="E1081" s="2" t="str">
        <f>"1000017456"</f>
        <v>1000017456</v>
      </c>
      <c r="F1081" s="4" t="str">
        <f>"TONER:HP Item # Q2682A-HEW, HP Yellow toner (Yld 6k) for LJ3700"</f>
        <v>TONER:HP Item # Q2682A-HEW, HP Yellow toner (Yld 6k) for LJ3700</v>
      </c>
      <c r="G1081" s="74" t="str">
        <f t="shared" si="72"/>
        <v>EA</v>
      </c>
      <c r="H1081" s="7">
        <v>192.99</v>
      </c>
      <c r="I1081" s="2" t="str">
        <f t="shared" si="73"/>
        <v>44103105</v>
      </c>
      <c r="J1081" s="10" t="s">
        <v>98</v>
      </c>
    </row>
    <row r="1082" spans="1:10" ht="51">
      <c r="A1082" s="9" t="s">
        <v>27</v>
      </c>
      <c r="B1082" s="2" t="s">
        <v>31</v>
      </c>
      <c r="C1082" s="2">
        <v>3204</v>
      </c>
      <c r="D1082" s="2">
        <v>738</v>
      </c>
      <c r="E1082" s="2" t="str">
        <f>"1000017457"</f>
        <v>1000017457</v>
      </c>
      <c r="F1082" s="4" t="str">
        <f>"TONER:HP Item # Q2683A-HEW, HP Magenta Laser Toner Cartridge for HP Color LaserJet 3700 Series Laser Toner Printers (Yld 6k)"</f>
        <v>TONER:HP Item # Q2683A-HEW, HP Magenta Laser Toner Cartridge for HP Color LaserJet 3700 Series Laser Toner Printers (Yld 6k)</v>
      </c>
      <c r="G1082" s="74" t="str">
        <f t="shared" si="72"/>
        <v>EA</v>
      </c>
      <c r="H1082" s="7">
        <v>192.99</v>
      </c>
      <c r="I1082" s="2" t="str">
        <f t="shared" si="73"/>
        <v>44103105</v>
      </c>
      <c r="J1082" s="10" t="s">
        <v>98</v>
      </c>
    </row>
    <row r="1083" spans="1:10" ht="38.25">
      <c r="A1083" s="9" t="s">
        <v>27</v>
      </c>
      <c r="B1083" s="2" t="s">
        <v>31</v>
      </c>
      <c r="C1083" s="2">
        <v>3204</v>
      </c>
      <c r="D1083" s="2">
        <v>993</v>
      </c>
      <c r="E1083" s="2" t="str">
        <f>"1000017458"</f>
        <v>1000017458</v>
      </c>
      <c r="F1083" s="4" t="str">
        <f>"TRANSFER KIT:HP Item # Q3658A-HEW, HP Transfer kit for LaserJet 3500/3700 (Yld 60k)"</f>
        <v>TRANSFER KIT:HP Item # Q3658A-HEW, HP Transfer kit for LaserJet 3500/3700 (Yld 60k)</v>
      </c>
      <c r="G1083" s="74" t="str">
        <f t="shared" si="72"/>
        <v>EA</v>
      </c>
      <c r="H1083" s="7">
        <v>128.32</v>
      </c>
      <c r="I1083" s="2" t="str">
        <f>"44103116"</f>
        <v>44103116</v>
      </c>
      <c r="J1083" s="10" t="s">
        <v>109</v>
      </c>
    </row>
    <row r="1084" spans="1:10" ht="51">
      <c r="A1084" s="9" t="s">
        <v>27</v>
      </c>
      <c r="B1084" s="2" t="s">
        <v>31</v>
      </c>
      <c r="C1084" s="2">
        <v>3204</v>
      </c>
      <c r="D1084" s="2">
        <v>364</v>
      </c>
      <c r="E1084" s="2" t="str">
        <f>"1000017459"</f>
        <v>1000017459</v>
      </c>
      <c r="F1084" s="4" t="str">
        <f>"INK CART:HP Item # CC643WN-HEW, HP No. 60 tricolor ink for deskjet D2500/D2530/2560/F4200 standard yield 165 page"</f>
        <v>INK CART:HP Item # CC643WN-HEW, HP No. 60 tricolor ink for deskjet D2500/D2530/2560/F4200 standard yield 165 page</v>
      </c>
      <c r="G1084" s="74" t="str">
        <f t="shared" si="72"/>
        <v>EA</v>
      </c>
      <c r="H1084" s="7">
        <v>20.99</v>
      </c>
      <c r="I1084" s="2" t="str">
        <f t="shared" ref="I1084:I1107" si="74">"44103105"</f>
        <v>44103105</v>
      </c>
      <c r="J1084" s="10" t="s">
        <v>98</v>
      </c>
    </row>
    <row r="1085" spans="1:10" ht="38.25">
      <c r="A1085" s="9" t="s">
        <v>27</v>
      </c>
      <c r="B1085" s="2" t="s">
        <v>31</v>
      </c>
      <c r="C1085" s="2">
        <v>3204</v>
      </c>
      <c r="D1085" s="2">
        <v>365</v>
      </c>
      <c r="E1085" s="2" t="str">
        <f>"1000017460"</f>
        <v>1000017460</v>
      </c>
      <c r="F1085" s="4" t="str">
        <f>"INK CART:HP Item # CC653AN-HEW, HP No. 901 Black ink for Officejet 4500/4580/4640/4680 (Yld 200)"</f>
        <v>INK CART:HP Item # CC653AN-HEW, HP No. 901 Black ink for Officejet 4500/4580/4640/4680 (Yld 200)</v>
      </c>
      <c r="G1085" s="74" t="str">
        <f t="shared" si="72"/>
        <v>EA</v>
      </c>
      <c r="H1085" s="7">
        <v>15.99</v>
      </c>
      <c r="I1085" s="2" t="str">
        <f t="shared" si="74"/>
        <v>44103105</v>
      </c>
      <c r="J1085" s="10" t="s">
        <v>98</v>
      </c>
    </row>
    <row r="1086" spans="1:10" ht="25.5">
      <c r="A1086" s="9" t="s">
        <v>27</v>
      </c>
      <c r="B1086" s="2" t="s">
        <v>31</v>
      </c>
      <c r="C1086" s="2">
        <v>3204</v>
      </c>
      <c r="D1086" s="2">
        <v>366</v>
      </c>
      <c r="E1086" s="2" t="str">
        <f>"1000017461"</f>
        <v>1000017461</v>
      </c>
      <c r="F1086" s="4" t="str">
        <f>"INK CART:HP Item # CC654AN-HEW, HP No. 901 XL Black inkjet cartridge (Yld 700)"</f>
        <v>INK CART:HP Item # CC654AN-HEW, HP No. 901 XL Black inkjet cartridge (Yld 700)</v>
      </c>
      <c r="G1086" s="74" t="str">
        <f t="shared" si="72"/>
        <v>EA</v>
      </c>
      <c r="H1086" s="7">
        <v>38.99</v>
      </c>
      <c r="I1086" s="2" t="str">
        <f t="shared" si="74"/>
        <v>44103105</v>
      </c>
      <c r="J1086" s="10" t="s">
        <v>98</v>
      </c>
    </row>
    <row r="1087" spans="1:10" ht="25.5">
      <c r="A1087" s="9" t="s">
        <v>27</v>
      </c>
      <c r="B1087" s="2" t="s">
        <v>31</v>
      </c>
      <c r="C1087" s="2">
        <v>3204</v>
      </c>
      <c r="D1087" s="2">
        <v>367</v>
      </c>
      <c r="E1087" s="2" t="str">
        <f>"1000017462"</f>
        <v>1000017462</v>
      </c>
      <c r="F1087" s="4" t="str">
        <f>"INK CART:HP Item # CC656AN-HEW, HP No. 901 Tri-color inkjet cartridge (Yld 360)"</f>
        <v>INK CART:HP Item # CC656AN-HEW, HP No. 901 Tri-color inkjet cartridge (Yld 360)</v>
      </c>
      <c r="G1087" s="74" t="str">
        <f t="shared" si="72"/>
        <v>EA</v>
      </c>
      <c r="H1087" s="7">
        <v>29.99</v>
      </c>
      <c r="I1087" s="2" t="str">
        <f t="shared" si="74"/>
        <v>44103105</v>
      </c>
      <c r="J1087" s="10" t="s">
        <v>98</v>
      </c>
    </row>
    <row r="1088" spans="1:10" ht="63.75">
      <c r="A1088" s="9" t="s">
        <v>27</v>
      </c>
      <c r="B1088" s="2" t="s">
        <v>31</v>
      </c>
      <c r="C1088" s="2">
        <v>3204</v>
      </c>
      <c r="D1088" s="2">
        <v>368</v>
      </c>
      <c r="E1088" s="2" t="str">
        <f>"1000017463"</f>
        <v>1000017463</v>
      </c>
      <c r="F1088" s="4" t="str">
        <f>"INK CART:HP Item # CD972AN-HEW, HP 920XL Cyan Officejet Ink Cartridge, 700 page for the HP Officejet 6500 Wireless All-in-One and Officejet 6500 All-In-One printers"</f>
        <v>INK CART:HP Item # CD972AN-HEW, HP 920XL Cyan Officejet Ink Cartridge, 700 page for the HP Officejet 6500 Wireless All-in-One and Officejet 6500 All-In-One printers</v>
      </c>
      <c r="G1088" s="74" t="str">
        <f t="shared" si="72"/>
        <v>EA</v>
      </c>
      <c r="H1088" s="7">
        <v>16</v>
      </c>
      <c r="I1088" s="2" t="str">
        <f t="shared" si="74"/>
        <v>44103105</v>
      </c>
      <c r="J1088" s="10" t="s">
        <v>98</v>
      </c>
    </row>
    <row r="1089" spans="1:10" ht="63.75">
      <c r="A1089" s="9" t="s">
        <v>27</v>
      </c>
      <c r="B1089" s="2" t="s">
        <v>31</v>
      </c>
      <c r="C1089" s="2">
        <v>3204</v>
      </c>
      <c r="D1089" s="2">
        <v>369</v>
      </c>
      <c r="E1089" s="2" t="str">
        <f>"1000017464"</f>
        <v>1000017464</v>
      </c>
      <c r="F1089" s="4" t="str">
        <f>"INK CART:HP Item # CD973AN-HEW, HP 920XL Magenta Officejet Ink Cartridge, 700 page for the HP Officejet 6500 Wireless All-in-One and Officejet 6500 All-In-One printers"</f>
        <v>INK CART:HP Item # CD973AN-HEW, HP 920XL Magenta Officejet Ink Cartridge, 700 page for the HP Officejet 6500 Wireless All-in-One and Officejet 6500 All-In-One printers</v>
      </c>
      <c r="G1089" s="74" t="str">
        <f t="shared" si="72"/>
        <v>EA</v>
      </c>
      <c r="H1089" s="7">
        <v>16</v>
      </c>
      <c r="I1089" s="2" t="str">
        <f t="shared" si="74"/>
        <v>44103105</v>
      </c>
      <c r="J1089" s="10" t="s">
        <v>98</v>
      </c>
    </row>
    <row r="1090" spans="1:10" ht="38.25">
      <c r="A1090" s="9" t="s">
        <v>27</v>
      </c>
      <c r="B1090" s="2" t="s">
        <v>31</v>
      </c>
      <c r="C1090" s="2">
        <v>3204</v>
      </c>
      <c r="D1090" s="2">
        <v>760</v>
      </c>
      <c r="E1090" s="2" t="str">
        <f>"1000017465"</f>
        <v>1000017465</v>
      </c>
      <c r="F1090" s="4" t="str">
        <f>"TONER:HP Item # Q6460A-HEW, HP Black laser toner cartridge for HP Color LaserJet 4730 mfp laser toner printers (12K Yld)"</f>
        <v>TONER:HP Item # Q6460A-HEW, HP Black laser toner cartridge for HP Color LaserJet 4730 mfp laser toner printers (12K Yld)</v>
      </c>
      <c r="G1090" s="74" t="str">
        <f t="shared" si="72"/>
        <v>EA</v>
      </c>
      <c r="H1090" s="7">
        <v>154.99</v>
      </c>
      <c r="I1090" s="2" t="str">
        <f t="shared" si="74"/>
        <v>44103105</v>
      </c>
      <c r="J1090" s="10" t="s">
        <v>98</v>
      </c>
    </row>
    <row r="1091" spans="1:10" ht="51">
      <c r="A1091" s="9" t="s">
        <v>27</v>
      </c>
      <c r="B1091" s="2" t="s">
        <v>31</v>
      </c>
      <c r="C1091" s="2">
        <v>3204</v>
      </c>
      <c r="D1091" s="2">
        <v>761</v>
      </c>
      <c r="E1091" s="2" t="str">
        <f>"1000017466"</f>
        <v>1000017466</v>
      </c>
      <c r="F1091" s="4" t="str">
        <f>"TONER:HP Item # Q6461-HEW, HP Cyan Toner Cartridge for HP Color Laserjet 4730mfp &amp; CM4730 Series Printers (12K Yld)"</f>
        <v>TONER:HP Item # Q6461-HEW, HP Cyan Toner Cartridge for HP Color Laserjet 4730mfp &amp; CM4730 Series Printers (12K Yld)</v>
      </c>
      <c r="G1091" s="74" t="str">
        <f t="shared" si="72"/>
        <v>EA</v>
      </c>
      <c r="H1091" s="7">
        <v>334.99</v>
      </c>
      <c r="I1091" s="2" t="str">
        <f t="shared" si="74"/>
        <v>44103105</v>
      </c>
      <c r="J1091" s="10" t="s">
        <v>98</v>
      </c>
    </row>
    <row r="1092" spans="1:10" ht="38.25">
      <c r="A1092" s="9" t="s">
        <v>27</v>
      </c>
      <c r="B1092" s="2" t="s">
        <v>31</v>
      </c>
      <c r="C1092" s="2">
        <v>3204</v>
      </c>
      <c r="D1092" s="2">
        <v>762</v>
      </c>
      <c r="E1092" s="2" t="str">
        <f>"1000017467"</f>
        <v>1000017467</v>
      </c>
      <c r="F1092" s="4" t="str">
        <f>"TONER:HP Item # Q6462A-HEW, HP Yellow laser toner cartridge LJ 4730 Toner (12K Yld)"</f>
        <v>TONER:HP Item # Q6462A-HEW, HP Yellow laser toner cartridge LJ 4730 Toner (12K Yld)</v>
      </c>
      <c r="G1092" s="74" t="str">
        <f t="shared" si="72"/>
        <v>EA</v>
      </c>
      <c r="H1092" s="7">
        <v>334.99</v>
      </c>
      <c r="I1092" s="2" t="str">
        <f t="shared" si="74"/>
        <v>44103105</v>
      </c>
      <c r="J1092" s="10" t="s">
        <v>98</v>
      </c>
    </row>
    <row r="1093" spans="1:10" ht="38.25">
      <c r="A1093" s="9" t="s">
        <v>27</v>
      </c>
      <c r="B1093" s="2" t="s">
        <v>31</v>
      </c>
      <c r="C1093" s="2">
        <v>3204</v>
      </c>
      <c r="D1093" s="2">
        <v>763</v>
      </c>
      <c r="E1093" s="2" t="str">
        <f>"1000017468"</f>
        <v>1000017468</v>
      </c>
      <c r="F1093" s="4" t="str">
        <f>"TONER:HP Item # Q6463A-HEW, HP Magenta laser toner cartridge LJ 4730 Toner (12K Yld)"</f>
        <v>TONER:HP Item # Q6463A-HEW, HP Magenta laser toner cartridge LJ 4730 Toner (12K Yld)</v>
      </c>
      <c r="G1093" s="74" t="str">
        <f t="shared" si="72"/>
        <v>EA</v>
      </c>
      <c r="H1093" s="7">
        <v>334.99</v>
      </c>
      <c r="I1093" s="2" t="str">
        <f t="shared" si="74"/>
        <v>44103105</v>
      </c>
      <c r="J1093" s="10" t="s">
        <v>98</v>
      </c>
    </row>
    <row r="1094" spans="1:10" ht="38.25">
      <c r="A1094" s="9" t="s">
        <v>27</v>
      </c>
      <c r="B1094" s="2" t="s">
        <v>31</v>
      </c>
      <c r="C1094" s="2">
        <v>3204</v>
      </c>
      <c r="D1094" s="2">
        <v>769</v>
      </c>
      <c r="E1094" s="2" t="str">
        <f>"1000017469"</f>
        <v>1000017469</v>
      </c>
      <c r="F1094" s="4" t="str">
        <f>"TONER:HP Item # Q6511X-HEW, HP No. 11 toner for LaserJet 2400, 2420, 2430 high yield (Yld 12k)"</f>
        <v>TONER:HP Item # Q6511X-HEW, HP No. 11 toner for LaserJet 2400, 2420, 2430 high yield (Yld 12k)</v>
      </c>
      <c r="G1094" s="74" t="str">
        <f t="shared" si="72"/>
        <v>EA</v>
      </c>
      <c r="H1094" s="7">
        <v>232.99</v>
      </c>
      <c r="I1094" s="2" t="str">
        <f t="shared" si="74"/>
        <v>44103105</v>
      </c>
      <c r="J1094" s="10" t="s">
        <v>98</v>
      </c>
    </row>
    <row r="1095" spans="1:10" ht="38.25">
      <c r="A1095" s="9" t="s">
        <v>27</v>
      </c>
      <c r="B1095" s="2" t="s">
        <v>31</v>
      </c>
      <c r="C1095" s="2">
        <v>3204</v>
      </c>
      <c r="D1095" s="2">
        <v>770</v>
      </c>
      <c r="E1095" s="2" t="str">
        <f>"1000017470"</f>
        <v>1000017470</v>
      </c>
      <c r="F1095" s="4" t="str">
        <f>"TONER:HP Item # Q7516A-HEW, HP Black toner cartridge for the 5200 series (Yld 12K)"</f>
        <v>TONER:HP Item # Q7516A-HEW, HP Black toner cartridge for the 5200 series (Yld 12K)</v>
      </c>
      <c r="G1095" s="74" t="str">
        <f t="shared" si="72"/>
        <v>EA</v>
      </c>
      <c r="H1095" s="7">
        <v>203</v>
      </c>
      <c r="I1095" s="2" t="str">
        <f t="shared" si="74"/>
        <v>44103105</v>
      </c>
      <c r="J1095" s="10" t="s">
        <v>98</v>
      </c>
    </row>
    <row r="1096" spans="1:10" ht="25.5">
      <c r="A1096" s="9" t="s">
        <v>27</v>
      </c>
      <c r="B1096" s="2" t="s">
        <v>31</v>
      </c>
      <c r="C1096" s="2">
        <v>3204</v>
      </c>
      <c r="D1096" s="2">
        <v>711</v>
      </c>
      <c r="E1096" s="2" t="str">
        <f>"1000017471"</f>
        <v>1000017471</v>
      </c>
      <c r="F1096" s="4" t="str">
        <f>"TONER:HP Item # CE505X-HEW, HP Black Toner for P2055, high yield (Yld 6.5k)"</f>
        <v>TONER:HP Item # CE505X-HEW, HP Black Toner for P2055, high yield (Yld 6.5k)</v>
      </c>
      <c r="G1096" s="74" t="str">
        <f t="shared" si="72"/>
        <v>EA</v>
      </c>
      <c r="H1096" s="7">
        <v>165.99</v>
      </c>
      <c r="I1096" s="2" t="str">
        <f t="shared" si="74"/>
        <v>44103105</v>
      </c>
      <c r="J1096" s="10" t="s">
        <v>98</v>
      </c>
    </row>
    <row r="1097" spans="1:10" ht="38.25">
      <c r="A1097" s="9" t="s">
        <v>27</v>
      </c>
      <c r="B1097" s="2" t="s">
        <v>31</v>
      </c>
      <c r="C1097" s="2">
        <v>3204</v>
      </c>
      <c r="D1097" s="2">
        <v>712</v>
      </c>
      <c r="E1097" s="2" t="str">
        <f>"1000017472"</f>
        <v>1000017472</v>
      </c>
      <c r="F1097" s="4" t="str">
        <f>"TONER:HP Item # CE505X-MICR, Troy High Yield MICR (0281501001) for Hewlett Packard P2055 black (Yld 6.5k)"</f>
        <v>TONER:HP Item # CE505X-MICR, Troy High Yield MICR (0281501001) for Hewlett Packard P2055 black (Yld 6.5k)</v>
      </c>
      <c r="G1097" s="74" t="str">
        <f t="shared" si="72"/>
        <v>EA</v>
      </c>
      <c r="H1097" s="7">
        <v>301</v>
      </c>
      <c r="I1097" s="2" t="str">
        <f t="shared" si="74"/>
        <v>44103105</v>
      </c>
      <c r="J1097" s="10" t="s">
        <v>98</v>
      </c>
    </row>
    <row r="1098" spans="1:10" ht="38.25">
      <c r="A1098" s="9" t="s">
        <v>27</v>
      </c>
      <c r="B1098" s="2" t="s">
        <v>31</v>
      </c>
      <c r="C1098" s="2">
        <v>3204</v>
      </c>
      <c r="D1098" s="2">
        <v>714</v>
      </c>
      <c r="E1098" s="2" t="str">
        <f>"1000017473"</f>
        <v>1000017473</v>
      </c>
      <c r="F1098" s="4" t="str">
        <f>"TONER:HP Item # Q1338A-BCM, Brand Compatible MICR Blk Print Cartridge (02213815) for HP LJ 4200"</f>
        <v>TONER:HP Item # Q1338A-BCM, Brand Compatible MICR Blk Print Cartridge (02213815) for HP LJ 4200</v>
      </c>
      <c r="G1098" s="74" t="str">
        <f t="shared" si="72"/>
        <v>EA</v>
      </c>
      <c r="H1098" s="7">
        <v>273</v>
      </c>
      <c r="I1098" s="2" t="str">
        <f t="shared" si="74"/>
        <v>44103105</v>
      </c>
      <c r="J1098" s="10" t="s">
        <v>98</v>
      </c>
    </row>
    <row r="1099" spans="1:10" ht="38.25">
      <c r="A1099" s="9" t="s">
        <v>27</v>
      </c>
      <c r="B1099" s="2" t="s">
        <v>31</v>
      </c>
      <c r="C1099" s="2">
        <v>3204</v>
      </c>
      <c r="D1099" s="2">
        <v>716</v>
      </c>
      <c r="E1099" s="2" t="str">
        <f>"1000017474"</f>
        <v>1000017474</v>
      </c>
      <c r="F1099" s="4" t="str">
        <f>"TONER:HP Item # Q1339A-BC, Brand Compatible for Hewlett Packard LaserJet 4300, laser toner, black"</f>
        <v>TONER:HP Item # Q1339A-BC, Brand Compatible for Hewlett Packard LaserJet 4300, laser toner, black</v>
      </c>
      <c r="G1099" s="74" t="str">
        <f t="shared" si="72"/>
        <v>EA</v>
      </c>
      <c r="H1099" s="7">
        <v>166</v>
      </c>
      <c r="I1099" s="2" t="str">
        <f t="shared" si="74"/>
        <v>44103105</v>
      </c>
      <c r="J1099" s="10" t="s">
        <v>98</v>
      </c>
    </row>
    <row r="1100" spans="1:10" ht="38.25">
      <c r="A1100" s="9" t="s">
        <v>27</v>
      </c>
      <c r="B1100" s="2" t="s">
        <v>31</v>
      </c>
      <c r="C1100" s="2">
        <v>3204</v>
      </c>
      <c r="D1100" s="2">
        <v>717</v>
      </c>
      <c r="E1100" s="2" t="str">
        <f>"1000017475"</f>
        <v>1000017475</v>
      </c>
      <c r="F1100" s="4" t="str">
        <f>"TONER:HP Item # Q1339A-BCM, Brand Compatible LJ 4300 MICR Toner Blk (Yld:18K)"</f>
        <v>TONER:HP Item # Q1339A-BCM, Brand Compatible LJ 4300 MICR Toner Blk (Yld:18K)</v>
      </c>
      <c r="G1100" s="74" t="str">
        <f t="shared" si="72"/>
        <v>EA</v>
      </c>
      <c r="H1100" s="7">
        <v>320</v>
      </c>
      <c r="I1100" s="2" t="str">
        <f t="shared" si="74"/>
        <v>44103105</v>
      </c>
      <c r="J1100" s="10" t="s">
        <v>98</v>
      </c>
    </row>
    <row r="1101" spans="1:10" ht="25.5">
      <c r="A1101" s="9" t="s">
        <v>27</v>
      </c>
      <c r="B1101" s="2" t="s">
        <v>31</v>
      </c>
      <c r="C1101" s="2">
        <v>3204</v>
      </c>
      <c r="D1101" s="2">
        <v>718</v>
      </c>
      <c r="E1101" s="2" t="str">
        <f>"1000017476"</f>
        <v>1000017476</v>
      </c>
      <c r="F1101" s="4" t="str">
        <f>"TONER:HP Item # Q1339A-HEW, HP LJ 4300 Smart Print Toner (Yld 18k)"</f>
        <v>TONER:HP Item # Q1339A-HEW, HP LJ 4300 Smart Print Toner (Yld 18k)</v>
      </c>
      <c r="G1101" s="74" t="str">
        <f t="shared" si="72"/>
        <v>EA</v>
      </c>
      <c r="H1101" s="7">
        <v>232.99</v>
      </c>
      <c r="I1101" s="2" t="str">
        <f t="shared" si="74"/>
        <v>44103105</v>
      </c>
      <c r="J1101" s="10" t="s">
        <v>98</v>
      </c>
    </row>
    <row r="1102" spans="1:10" ht="38.25">
      <c r="A1102" s="9" t="s">
        <v>27</v>
      </c>
      <c r="B1102" s="2" t="s">
        <v>31</v>
      </c>
      <c r="C1102" s="2">
        <v>3204</v>
      </c>
      <c r="D1102" s="2">
        <v>719</v>
      </c>
      <c r="E1102" s="2" t="str">
        <f>"1000017477"</f>
        <v>1000017477</v>
      </c>
      <c r="F1102" s="4" t="str">
        <f>"TONER:HP Item # Q2610A-BC, Brand Compatible for LJ2300 Lsr Tnr, Black Cartridge (Yld 6k)"</f>
        <v>TONER:HP Item # Q2610A-BC, Brand Compatible for LJ2300 Lsr Tnr, Black Cartridge (Yld 6k)</v>
      </c>
      <c r="G1102" s="74" t="str">
        <f t="shared" si="72"/>
        <v>EA</v>
      </c>
      <c r="H1102" s="7">
        <v>97</v>
      </c>
      <c r="I1102" s="2" t="str">
        <f t="shared" si="74"/>
        <v>44103105</v>
      </c>
      <c r="J1102" s="10" t="s">
        <v>98</v>
      </c>
    </row>
    <row r="1103" spans="1:10" ht="38.25">
      <c r="A1103" s="9" t="s">
        <v>27</v>
      </c>
      <c r="B1103" s="2" t="s">
        <v>31</v>
      </c>
      <c r="C1103" s="2">
        <v>3204</v>
      </c>
      <c r="D1103" s="2">
        <v>785</v>
      </c>
      <c r="E1103" s="2" t="str">
        <f>"1000017479"</f>
        <v>1000017479</v>
      </c>
      <c r="F1103" s="4" t="str">
        <f>"TONER:IBM Item # 28P2492-IBM, Toner cartridge for IBM Infoprint 1120/1125 (Yld 20k)"</f>
        <v>TONER:IBM Item # 28P2492-IBM, Toner cartridge for IBM Infoprint 1120/1125 (Yld 20k)</v>
      </c>
      <c r="G1103" s="74" t="str">
        <f t="shared" si="72"/>
        <v>EA</v>
      </c>
      <c r="H1103" s="7">
        <v>349</v>
      </c>
      <c r="I1103" s="2" t="str">
        <f t="shared" si="74"/>
        <v>44103105</v>
      </c>
      <c r="J1103" s="10" t="s">
        <v>98</v>
      </c>
    </row>
    <row r="1104" spans="1:10" ht="38.25">
      <c r="A1104" s="9" t="s">
        <v>27</v>
      </c>
      <c r="B1104" s="2" t="s">
        <v>31</v>
      </c>
      <c r="C1104" s="2">
        <v>3204</v>
      </c>
      <c r="D1104" s="2">
        <v>786</v>
      </c>
      <c r="E1104" s="2" t="str">
        <f>"1000017480"</f>
        <v>1000017480</v>
      </c>
      <c r="F1104" s="4" t="str">
        <f>"TONER:IBM Item # 63H2401-IBM,Black toner cartridge for IBM Network Printer 16 (Yld 10k)"</f>
        <v>TONER:IBM Item # 63H2401-IBM,Black toner cartridge for IBM Network Printer 16 (Yld 10k)</v>
      </c>
      <c r="G1104" s="74" t="str">
        <f t="shared" si="72"/>
        <v>EA</v>
      </c>
      <c r="H1104" s="7">
        <v>204</v>
      </c>
      <c r="I1104" s="2" t="str">
        <f t="shared" si="74"/>
        <v>44103105</v>
      </c>
      <c r="J1104" s="10" t="s">
        <v>98</v>
      </c>
    </row>
    <row r="1105" spans="1:10" ht="38.25">
      <c r="A1105" s="9" t="s">
        <v>27</v>
      </c>
      <c r="B1105" s="2" t="s">
        <v>31</v>
      </c>
      <c r="C1105" s="2">
        <v>3204</v>
      </c>
      <c r="D1105" s="2">
        <v>787</v>
      </c>
      <c r="E1105" s="2" t="str">
        <f>"1000017481"</f>
        <v>1000017481</v>
      </c>
      <c r="F1105" s="4" t="str">
        <f>"TONER:IBM Item # 90H0748-BC, Brand Compatible Black toner cartridge for IBM InfoPrint 20/4320 (Yld 14k)"</f>
        <v>TONER:IBM Item # 90H0748-BC, Brand Compatible Black toner cartridge for IBM InfoPrint 20/4320 (Yld 14k)</v>
      </c>
      <c r="G1105" s="74" t="str">
        <f t="shared" si="72"/>
        <v>EA</v>
      </c>
      <c r="H1105" s="7">
        <v>169</v>
      </c>
      <c r="I1105" s="2" t="str">
        <f t="shared" si="74"/>
        <v>44103105</v>
      </c>
      <c r="J1105" s="10" t="s">
        <v>98</v>
      </c>
    </row>
    <row r="1106" spans="1:10" ht="38.25">
      <c r="A1106" s="9" t="s">
        <v>27</v>
      </c>
      <c r="B1106" s="2" t="s">
        <v>31</v>
      </c>
      <c r="C1106" s="2">
        <v>3204</v>
      </c>
      <c r="D1106" s="2">
        <v>788</v>
      </c>
      <c r="E1106" s="2" t="str">
        <f>"1000017482"</f>
        <v>1000017482</v>
      </c>
      <c r="F1106" s="4" t="str">
        <f>"TONER:IBM Item # 90H3566-BC, Brand Compatible Black toner cartridge for IBM InfoPrint 32/40/4332 (Yld 23k)"</f>
        <v>TONER:IBM Item # 90H3566-BC, Brand Compatible Black toner cartridge for IBM InfoPrint 32/40/4332 (Yld 23k)</v>
      </c>
      <c r="G1106" s="74" t="str">
        <f t="shared" si="72"/>
        <v>EA</v>
      </c>
      <c r="H1106" s="7">
        <v>146</v>
      </c>
      <c r="I1106" s="2" t="str">
        <f t="shared" si="74"/>
        <v>44103105</v>
      </c>
      <c r="J1106" s="10" t="s">
        <v>98</v>
      </c>
    </row>
    <row r="1107" spans="1:10" ht="38.25">
      <c r="A1107" s="9" t="s">
        <v>27</v>
      </c>
      <c r="B1107" s="2" t="s">
        <v>31</v>
      </c>
      <c r="C1107" s="2">
        <v>3204</v>
      </c>
      <c r="D1107" s="2">
        <v>789</v>
      </c>
      <c r="E1107" s="2" t="str">
        <f>"1000017483"</f>
        <v>1000017483</v>
      </c>
      <c r="F1107" s="4" t="str">
        <f>"TONER:IBM Item # 90H3566-IBM, Black toner cartridge for IBM InfoPrint 32/40/4332 (Yld 23k)"</f>
        <v>TONER:IBM Item # 90H3566-IBM, Black toner cartridge for IBM InfoPrint 32/40/4332 (Yld 23k)</v>
      </c>
      <c r="G1107" s="74" t="str">
        <f t="shared" si="72"/>
        <v>EA</v>
      </c>
      <c r="H1107" s="7">
        <v>297</v>
      </c>
      <c r="I1107" s="2" t="str">
        <f t="shared" si="74"/>
        <v>44103105</v>
      </c>
      <c r="J1107" s="10" t="s">
        <v>98</v>
      </c>
    </row>
    <row r="1108" spans="1:10" ht="25.5">
      <c r="A1108" s="9" t="s">
        <v>27</v>
      </c>
      <c r="B1108" s="2" t="s">
        <v>31</v>
      </c>
      <c r="C1108" s="2">
        <v>3204</v>
      </c>
      <c r="D1108" s="2">
        <v>994</v>
      </c>
      <c r="E1108" s="2" t="str">
        <f>"1000017484"</f>
        <v>1000017484</v>
      </c>
      <c r="F1108" s="4" t="str">
        <f>"TRANSFER KIT:HP Item # Q3675A-HEW, HP Color LaserJet 4600 Transfer Kit (Yld 120k)"</f>
        <v>TRANSFER KIT:HP Item # Q3675A-HEW, HP Color LaserJet 4600 Transfer Kit (Yld 120k)</v>
      </c>
      <c r="G1108" s="74" t="str">
        <f t="shared" si="72"/>
        <v>EA</v>
      </c>
      <c r="H1108" s="7">
        <v>312.99</v>
      </c>
      <c r="I1108" s="2" t="str">
        <f>"44103116"</f>
        <v>44103116</v>
      </c>
      <c r="J1108" s="10" t="s">
        <v>109</v>
      </c>
    </row>
    <row r="1109" spans="1:10" ht="25.5">
      <c r="A1109" s="9" t="s">
        <v>27</v>
      </c>
      <c r="B1109" s="2" t="s">
        <v>31</v>
      </c>
      <c r="C1109" s="2">
        <v>3204</v>
      </c>
      <c r="D1109" s="2">
        <v>743</v>
      </c>
      <c r="E1109" s="2" t="str">
        <f>"1000017485"</f>
        <v>1000017485</v>
      </c>
      <c r="F1109" s="4" t="str">
        <f>"TONER:HP Item # Q3971A-HEW, HP SP 2550 Cyan Toner Ctg (Yld 2k)"</f>
        <v>TONER:HP Item # Q3971A-HEW, HP SP 2550 Cyan Toner Ctg (Yld 2k)</v>
      </c>
      <c r="G1109" s="74" t="str">
        <f t="shared" si="72"/>
        <v>EA</v>
      </c>
      <c r="H1109" s="7">
        <v>83.99</v>
      </c>
      <c r="I1109" s="2" t="str">
        <f t="shared" ref="I1109:I1140" si="75">"44103105"</f>
        <v>44103105</v>
      </c>
      <c r="J1109" s="10" t="s">
        <v>98</v>
      </c>
    </row>
    <row r="1110" spans="1:10" ht="25.5">
      <c r="A1110" s="9" t="s">
        <v>27</v>
      </c>
      <c r="B1110" s="2" t="s">
        <v>31</v>
      </c>
      <c r="C1110" s="2">
        <v>3204</v>
      </c>
      <c r="D1110" s="2">
        <v>744</v>
      </c>
      <c r="E1110" s="2" t="str">
        <f>"1000017486"</f>
        <v>1000017486</v>
      </c>
      <c r="F1110" s="4" t="str">
        <f>"TONER:HP Item # Q3972A-HEW, HP SP 2550 Yellow Toner Ctg (Yld 2k)"</f>
        <v>TONER:HP Item # Q3972A-HEW, HP SP 2550 Yellow Toner Ctg (Yld 2k)</v>
      </c>
      <c r="G1110" s="74" t="str">
        <f t="shared" si="72"/>
        <v>EA</v>
      </c>
      <c r="H1110" s="7">
        <v>83.99</v>
      </c>
      <c r="I1110" s="2" t="str">
        <f t="shared" si="75"/>
        <v>44103105</v>
      </c>
      <c r="J1110" s="10" t="s">
        <v>98</v>
      </c>
    </row>
    <row r="1111" spans="1:10" ht="25.5">
      <c r="A1111" s="9" t="s">
        <v>27</v>
      </c>
      <c r="B1111" s="2" t="s">
        <v>31</v>
      </c>
      <c r="C1111" s="2">
        <v>3204</v>
      </c>
      <c r="D1111" s="2">
        <v>745</v>
      </c>
      <c r="E1111" s="2" t="str">
        <f>"1000017487"</f>
        <v>1000017487</v>
      </c>
      <c r="F1111" s="4" t="str">
        <f>"TONER:HP Item # Q3973A-HEW, HP SP 2550 Magenta Toner Ctg (Yld 2k)"</f>
        <v>TONER:HP Item # Q3973A-HEW, HP SP 2550 Magenta Toner Ctg (Yld 2k)</v>
      </c>
      <c r="G1111" s="74" t="str">
        <f t="shared" si="72"/>
        <v>EA</v>
      </c>
      <c r="H1111" s="7">
        <v>83.99</v>
      </c>
      <c r="I1111" s="2" t="str">
        <f t="shared" si="75"/>
        <v>44103105</v>
      </c>
      <c r="J1111" s="10" t="s">
        <v>98</v>
      </c>
    </row>
    <row r="1112" spans="1:10" ht="51">
      <c r="A1112" s="9" t="s">
        <v>27</v>
      </c>
      <c r="B1112" s="2" t="s">
        <v>31</v>
      </c>
      <c r="C1112" s="2">
        <v>3204</v>
      </c>
      <c r="D1112" s="2">
        <v>747</v>
      </c>
      <c r="E1112" s="2" t="str">
        <f>"1000017488"</f>
        <v>1000017488</v>
      </c>
      <c r="F1112" s="4" t="str">
        <f>"TONER:HP Item # Q5942A-MICR, HP Troy 02-81135-001 MICR cartridge, TROY MICR 4250/4350, HP LaserJet 4250/4350 Printers only. -"</f>
        <v>TONER:HP Item # Q5942A-MICR, HP Troy 02-81135-001 MICR cartridge, TROY MICR 4250/4350, HP LaserJet 4250/4350 Printers only. -</v>
      </c>
      <c r="G1112" s="74" t="str">
        <f t="shared" si="72"/>
        <v>EA</v>
      </c>
      <c r="H1112" s="7">
        <v>423</v>
      </c>
      <c r="I1112" s="2" t="str">
        <f t="shared" si="75"/>
        <v>44103105</v>
      </c>
      <c r="J1112" s="10" t="s">
        <v>98</v>
      </c>
    </row>
    <row r="1113" spans="1:10" ht="38.25">
      <c r="A1113" s="9" t="s">
        <v>27</v>
      </c>
      <c r="B1113" s="2" t="s">
        <v>31</v>
      </c>
      <c r="C1113" s="2">
        <v>3204</v>
      </c>
      <c r="D1113" s="2">
        <v>748</v>
      </c>
      <c r="E1113" s="2" t="str">
        <f>"1000017489"</f>
        <v>1000017489</v>
      </c>
      <c r="F1113" s="4" t="str">
        <f>"TONER:HP Item # Q5942X-BC, Brand Compatible Black toner for Color LaserJet 4250/4350 laser toner printers (Yld 20k)"</f>
        <v>TONER:HP Item # Q5942X-BC, Brand Compatible Black toner for Color LaserJet 4250/4350 laser toner printers (Yld 20k)</v>
      </c>
      <c r="G1113" s="74" t="str">
        <f t="shared" si="72"/>
        <v>EA</v>
      </c>
      <c r="H1113" s="7">
        <v>166</v>
      </c>
      <c r="I1113" s="2" t="str">
        <f t="shared" si="75"/>
        <v>44103105</v>
      </c>
      <c r="J1113" s="10" t="s">
        <v>98</v>
      </c>
    </row>
    <row r="1114" spans="1:10" ht="25.5">
      <c r="A1114" s="9" t="s">
        <v>27</v>
      </c>
      <c r="B1114" s="2" t="s">
        <v>31</v>
      </c>
      <c r="C1114" s="2">
        <v>3204</v>
      </c>
      <c r="D1114" s="2">
        <v>754</v>
      </c>
      <c r="E1114" s="2" t="str">
        <f>"1000017490"</f>
        <v>1000017490</v>
      </c>
      <c r="F1114" s="4" t="str">
        <f>"TONER:HP item # Q5952A-HEW, HP LaserJet ColorSphere Yellow"</f>
        <v>TONER:HP item # Q5952A-HEW, HP LaserJet ColorSphere Yellow</v>
      </c>
      <c r="G1114" s="74" t="str">
        <f t="shared" si="72"/>
        <v>EA</v>
      </c>
      <c r="H1114" s="7">
        <v>318</v>
      </c>
      <c r="I1114" s="2" t="str">
        <f t="shared" si="75"/>
        <v>44103105</v>
      </c>
      <c r="J1114" s="10" t="s">
        <v>98</v>
      </c>
    </row>
    <row r="1115" spans="1:10" ht="38.25">
      <c r="A1115" s="9" t="s">
        <v>27</v>
      </c>
      <c r="B1115" s="2" t="s">
        <v>31</v>
      </c>
      <c r="C1115" s="2">
        <v>3204</v>
      </c>
      <c r="D1115" s="2">
        <v>796</v>
      </c>
      <c r="E1115" s="2" t="str">
        <f>"1000017491"</f>
        <v>1000017491</v>
      </c>
      <c r="F1115" s="4" t="str">
        <f>"TONER:LEX Item # 08A0477-BC, Brand Compatible High Yield Toner for Lexmark E320/E322 (Yld 6k)"</f>
        <v>TONER:LEX Item # 08A0477-BC, Brand Compatible High Yield Toner for Lexmark E320/E322 (Yld 6k)</v>
      </c>
      <c r="G1115" s="74" t="str">
        <f t="shared" si="72"/>
        <v>EA</v>
      </c>
      <c r="H1115" s="7">
        <v>100</v>
      </c>
      <c r="I1115" s="2" t="str">
        <f t="shared" si="75"/>
        <v>44103105</v>
      </c>
      <c r="J1115" s="10" t="s">
        <v>98</v>
      </c>
    </row>
    <row r="1116" spans="1:10" ht="38.25">
      <c r="A1116" s="9" t="s">
        <v>27</v>
      </c>
      <c r="B1116" s="2" t="s">
        <v>31</v>
      </c>
      <c r="C1116" s="2">
        <v>3204</v>
      </c>
      <c r="D1116" s="2">
        <v>797</v>
      </c>
      <c r="E1116" s="2" t="str">
        <f>"1000017492"</f>
        <v>1000017492</v>
      </c>
      <c r="F1116" s="4" t="str">
        <f>"TONER:LEX Item # 08A0477-LEX, Lexmark Toner Cartridge, High-yield for E320/E322, (Yld 6k)"</f>
        <v>TONER:LEX Item # 08A0477-LEX, Lexmark Toner Cartridge, High-yield for E320/E322, (Yld 6k)</v>
      </c>
      <c r="G1116" s="74" t="str">
        <f t="shared" si="72"/>
        <v>EA</v>
      </c>
      <c r="H1116" s="7">
        <v>190</v>
      </c>
      <c r="I1116" s="2" t="str">
        <f t="shared" si="75"/>
        <v>44103105</v>
      </c>
      <c r="J1116" s="10" t="s">
        <v>98</v>
      </c>
    </row>
    <row r="1117" spans="1:10" ht="38.25">
      <c r="A1117" s="9" t="s">
        <v>27</v>
      </c>
      <c r="B1117" s="2" t="s">
        <v>31</v>
      </c>
      <c r="C1117" s="2">
        <v>3204</v>
      </c>
      <c r="D1117" s="2">
        <v>799</v>
      </c>
      <c r="E1117" s="2" t="str">
        <f>"1000017493"</f>
        <v>1000017493</v>
      </c>
      <c r="F1117" s="4" t="str">
        <f>"TONER:LEX Item # 10B042C-LEX, Lexmark Cyan Toner for Lexmark C750 Series &amp; X750e Printers (Yld 15k)"</f>
        <v>TONER:LEX Item # 10B042C-LEX, Lexmark Cyan Toner for Lexmark C750 Series &amp; X750e Printers (Yld 15k)</v>
      </c>
      <c r="G1117" s="74" t="str">
        <f t="shared" si="72"/>
        <v>EA</v>
      </c>
      <c r="H1117" s="7">
        <v>443</v>
      </c>
      <c r="I1117" s="2" t="str">
        <f t="shared" si="75"/>
        <v>44103105</v>
      </c>
      <c r="J1117" s="10" t="s">
        <v>98</v>
      </c>
    </row>
    <row r="1118" spans="1:10" ht="38.25">
      <c r="A1118" s="9" t="s">
        <v>27</v>
      </c>
      <c r="B1118" s="2" t="s">
        <v>31</v>
      </c>
      <c r="C1118" s="2">
        <v>3204</v>
      </c>
      <c r="D1118" s="2">
        <v>800</v>
      </c>
      <c r="E1118" s="2" t="str">
        <f>"1000017494"</f>
        <v>1000017494</v>
      </c>
      <c r="F1118" s="4" t="str">
        <f>"TONER:LEX Item # 10B042K-LEX, Lexmark Black Toner for Lexmark C750 Series &amp; X750e Printers (Yld 15k)"</f>
        <v>TONER:LEX Item # 10B042K-LEX, Lexmark Black Toner for Lexmark C750 Series &amp; X750e Printers (Yld 15k)</v>
      </c>
      <c r="G1118" s="74" t="str">
        <f t="shared" si="72"/>
        <v>EA</v>
      </c>
      <c r="H1118" s="7">
        <v>217</v>
      </c>
      <c r="I1118" s="2" t="str">
        <f t="shared" si="75"/>
        <v>44103105</v>
      </c>
      <c r="J1118" s="10" t="s">
        <v>98</v>
      </c>
    </row>
    <row r="1119" spans="1:10" ht="38.25">
      <c r="A1119" s="9" t="s">
        <v>27</v>
      </c>
      <c r="B1119" s="2" t="s">
        <v>31</v>
      </c>
      <c r="C1119" s="2">
        <v>3204</v>
      </c>
      <c r="D1119" s="2">
        <v>801</v>
      </c>
      <c r="E1119" s="2" t="str">
        <f>"1000017495"</f>
        <v>1000017495</v>
      </c>
      <c r="F1119" s="4" t="str">
        <f>"TONER:LEX Item # 10B042M-LEX, Lexmark Magenta Toner for Lexmark C750 Series &amp; X750e Printers (Yld 15k)"</f>
        <v>TONER:LEX Item # 10B042M-LEX, Lexmark Magenta Toner for Lexmark C750 Series &amp; X750e Printers (Yld 15k)</v>
      </c>
      <c r="G1119" s="74" t="str">
        <f t="shared" si="72"/>
        <v>EA</v>
      </c>
      <c r="H1119" s="7">
        <v>443</v>
      </c>
      <c r="I1119" s="2" t="str">
        <f t="shared" si="75"/>
        <v>44103105</v>
      </c>
      <c r="J1119" s="10" t="s">
        <v>98</v>
      </c>
    </row>
    <row r="1120" spans="1:10" ht="38.25">
      <c r="A1120" s="9" t="s">
        <v>27</v>
      </c>
      <c r="B1120" s="2" t="s">
        <v>31</v>
      </c>
      <c r="C1120" s="2">
        <v>3204</v>
      </c>
      <c r="D1120" s="2">
        <v>802</v>
      </c>
      <c r="E1120" s="2" t="str">
        <f>"1000017496"</f>
        <v>1000017496</v>
      </c>
      <c r="F1120" s="4" t="str">
        <f>"TONER:LEX Item # 10B042Y-LEX, Lexmark Yellow Toner for Lexmark C750 Series &amp; X750e Printers (Yld 15k)"</f>
        <v>TONER:LEX Item # 10B042Y-LEX, Lexmark Yellow Toner for Lexmark C750 Series &amp; X750e Printers (Yld 15k)</v>
      </c>
      <c r="G1120" s="74" t="str">
        <f t="shared" si="72"/>
        <v>EA</v>
      </c>
      <c r="H1120" s="7">
        <v>443</v>
      </c>
      <c r="I1120" s="2" t="str">
        <f t="shared" si="75"/>
        <v>44103105</v>
      </c>
      <c r="J1120" s="10" t="s">
        <v>98</v>
      </c>
    </row>
    <row r="1121" spans="1:10" ht="51">
      <c r="A1121" s="9" t="s">
        <v>27</v>
      </c>
      <c r="B1121" s="2" t="s">
        <v>31</v>
      </c>
      <c r="C1121" s="2">
        <v>3204</v>
      </c>
      <c r="D1121" s="2">
        <v>773</v>
      </c>
      <c r="E1121" s="2" t="str">
        <f>"1000017497"</f>
        <v>1000017497</v>
      </c>
      <c r="F1121" s="4" t="str">
        <f>"TONER:HP Item # Q7551X-MICR, HP MICR high yield toner (0281200001). (Yld 13k) for HP P3005 series, 3005d, 3005dt, Secure and Secure Ex printers"</f>
        <v>TONER:HP Item # Q7551X-MICR, HP MICR high yield toner (0281200001). (Yld 13k) for HP P3005 series, 3005d, 3005dt, Secure and Secure Ex printers</v>
      </c>
      <c r="G1121" s="74" t="str">
        <f t="shared" si="72"/>
        <v>EA</v>
      </c>
      <c r="H1121" s="7">
        <v>432</v>
      </c>
      <c r="I1121" s="2" t="str">
        <f t="shared" si="75"/>
        <v>44103105</v>
      </c>
      <c r="J1121" s="10" t="s">
        <v>98</v>
      </c>
    </row>
    <row r="1122" spans="1:10" ht="51">
      <c r="A1122" s="9" t="s">
        <v>27</v>
      </c>
      <c r="B1122" s="2" t="s">
        <v>31</v>
      </c>
      <c r="C1122" s="2">
        <v>3204</v>
      </c>
      <c r="D1122" s="2">
        <v>775</v>
      </c>
      <c r="E1122" s="2" t="str">
        <f>"1000017498"</f>
        <v>1000017498</v>
      </c>
      <c r="F1122" s="4" t="str">
        <f>"TONER:HP Item # Q7553XD-HEW, Black toner print cartridges, 53X, high capacity 14,000 page yield, for Laserjet P2015, M2727NF MFP, 2/package"</f>
        <v>TONER:HP Item # Q7553XD-HEW, Black toner print cartridges, 53X, high capacity 14,000 page yield, for Laserjet P2015, M2727NF MFP, 2/package</v>
      </c>
      <c r="G1122" s="74" t="str">
        <f>"PK"</f>
        <v>PK</v>
      </c>
      <c r="H1122" s="7">
        <v>301.99</v>
      </c>
      <c r="I1122" s="2" t="str">
        <f t="shared" si="75"/>
        <v>44103105</v>
      </c>
      <c r="J1122" s="10" t="s">
        <v>98</v>
      </c>
    </row>
    <row r="1123" spans="1:10" ht="38.25">
      <c r="A1123" s="9" t="s">
        <v>27</v>
      </c>
      <c r="B1123" s="2" t="s">
        <v>31</v>
      </c>
      <c r="C1123" s="2">
        <v>3204</v>
      </c>
      <c r="D1123" s="2">
        <v>777</v>
      </c>
      <c r="E1123" s="2" t="str">
        <f>"1000017499"</f>
        <v>1000017499</v>
      </c>
      <c r="F1123" s="4" t="str">
        <f>"TONER:HP Item # Q7560A-HEW, HP Black Toner Cartridge for Laserjet 3000 series (Yld 6.5k)"</f>
        <v>TONER:HP Item # Q7560A-HEW, HP Black Toner Cartridge for Laserjet 3000 series (Yld 6.5k)</v>
      </c>
      <c r="G1123" s="74" t="str">
        <f>"EA"</f>
        <v>EA</v>
      </c>
      <c r="H1123" s="7">
        <v>152.99</v>
      </c>
      <c r="I1123" s="2" t="str">
        <f t="shared" si="75"/>
        <v>44103105</v>
      </c>
      <c r="J1123" s="10" t="s">
        <v>98</v>
      </c>
    </row>
    <row r="1124" spans="1:10" ht="38.25">
      <c r="A1124" s="9" t="s">
        <v>27</v>
      </c>
      <c r="B1124" s="2" t="s">
        <v>31</v>
      </c>
      <c r="C1124" s="2">
        <v>3204</v>
      </c>
      <c r="D1124" s="2">
        <v>778</v>
      </c>
      <c r="E1124" s="2" t="str">
        <f>"1000017500"</f>
        <v>1000017500</v>
      </c>
      <c r="F1124" s="4" t="str">
        <f>"TONER:HP Item # Q7561A-HEW, HP Cyan Toner Cartridge for Laserjet 3000, (3.5k yld)"</f>
        <v>TONER:HP Item # Q7561A-HEW, HP Cyan Toner Cartridge for Laserjet 3000, (3.5k yld)</v>
      </c>
      <c r="G1124" s="74" t="str">
        <f>"EA"</f>
        <v>EA</v>
      </c>
      <c r="H1124" s="7">
        <v>144.99</v>
      </c>
      <c r="I1124" s="2" t="str">
        <f t="shared" si="75"/>
        <v>44103105</v>
      </c>
      <c r="J1124" s="10" t="s">
        <v>98</v>
      </c>
    </row>
    <row r="1125" spans="1:10" ht="38.25">
      <c r="A1125" s="9" t="s">
        <v>27</v>
      </c>
      <c r="B1125" s="2" t="s">
        <v>31</v>
      </c>
      <c r="C1125" s="2">
        <v>3204</v>
      </c>
      <c r="D1125" s="2">
        <v>779</v>
      </c>
      <c r="E1125" s="2" t="str">
        <f>"1000017501"</f>
        <v>1000017501</v>
      </c>
      <c r="F1125" s="4" t="str">
        <f>"TONER:HP Item # Q7562A-HEW, HP yellow laser toner cartridge for Laserjet 3000 laser toner printers (Yld 3.5k)"</f>
        <v>TONER:HP Item # Q7562A-HEW, HP yellow laser toner cartridge for Laserjet 3000 laser toner printers (Yld 3.5k)</v>
      </c>
      <c r="G1125" s="74" t="str">
        <f>"EA"</f>
        <v>EA</v>
      </c>
      <c r="H1125" s="7">
        <v>144.99</v>
      </c>
      <c r="I1125" s="2" t="str">
        <f t="shared" si="75"/>
        <v>44103105</v>
      </c>
      <c r="J1125" s="10" t="s">
        <v>98</v>
      </c>
    </row>
    <row r="1126" spans="1:10" ht="38.25">
      <c r="A1126" s="9" t="s">
        <v>27</v>
      </c>
      <c r="B1126" s="2" t="s">
        <v>31</v>
      </c>
      <c r="C1126" s="2">
        <v>3204</v>
      </c>
      <c r="D1126" s="2">
        <v>780</v>
      </c>
      <c r="E1126" s="2" t="str">
        <f>"1000017502"</f>
        <v>1000017502</v>
      </c>
      <c r="F1126" s="4" t="str">
        <f>"TONER:HP Item # Q7563-HEW, HP Magenta Toner Cartridge for Color LaserJet 3000 Series, (Yld 3.5k)"</f>
        <v>TONER:HP Item # Q7563-HEW, HP Magenta Toner Cartridge for Color LaserJet 3000 Series, (Yld 3.5k)</v>
      </c>
      <c r="G1126" s="74" t="str">
        <f>"EA"</f>
        <v>EA</v>
      </c>
      <c r="H1126" s="7">
        <v>144.99</v>
      </c>
      <c r="I1126" s="2" t="str">
        <f t="shared" si="75"/>
        <v>44103105</v>
      </c>
      <c r="J1126" s="10" t="s">
        <v>98</v>
      </c>
    </row>
    <row r="1127" spans="1:10" ht="89.25">
      <c r="A1127" s="9" t="s">
        <v>27</v>
      </c>
      <c r="B1127" s="2" t="s">
        <v>31</v>
      </c>
      <c r="C1127" s="2">
        <v>3204</v>
      </c>
      <c r="D1127" s="2">
        <v>372</v>
      </c>
      <c r="E1127" s="2" t="str">
        <f>"1000017503"</f>
        <v>1000017503</v>
      </c>
      <c r="F1127" s="4" t="str">
        <f>"INK CART:HP Item # Q7964AN-HEW, HP Photo value pack. 1 ea. vivera ink Blk, Cyan, Lt. Cyan, Magenta, Lt. Magenta, Yellow, 150 sheets 4x6 borderless adv. photo paper, glossy 9 mil for Photosmart 8250PSC 7280, 3110, C6180, 3210, 3310 Series, C7180, C5180"</f>
        <v>INK CART:HP Item # Q7964AN-HEW, HP Photo value pack. 1 ea. vivera ink Blk, Cyan, Lt. Cyan, Magenta, Lt. Magenta, Yellow, 150 sheets 4x6 borderless adv. photo paper, glossy 9 mil for Photosmart 8250PSC 7280, 3110, C6180, 3210, 3310 Series, C7180, C5180</v>
      </c>
      <c r="G1127" s="74" t="str">
        <f>"PK"</f>
        <v>PK</v>
      </c>
      <c r="H1127" s="7">
        <v>43.99</v>
      </c>
      <c r="I1127" s="2" t="str">
        <f t="shared" si="75"/>
        <v>44103105</v>
      </c>
      <c r="J1127" s="10" t="s">
        <v>98</v>
      </c>
    </row>
    <row r="1128" spans="1:10" ht="38.25">
      <c r="A1128" s="9" t="s">
        <v>27</v>
      </c>
      <c r="B1128" s="2" t="s">
        <v>31</v>
      </c>
      <c r="C1128" s="2">
        <v>3204</v>
      </c>
      <c r="D1128" s="2">
        <v>808</v>
      </c>
      <c r="E1128" s="2" t="str">
        <f>"1000017504"</f>
        <v>1000017504</v>
      </c>
      <c r="F1128" s="4" t="str">
        <f>"TONER:LEX Item # 12A5745-BC, Brand compatible toner for Lexmark Optra T 610/612/614/616 (Yld 25k)"</f>
        <v>TONER:LEX Item # 12A5745-BC, Brand compatible toner for Lexmark Optra T 610/612/614/616 (Yld 25k)</v>
      </c>
      <c r="G1128" s="74" t="str">
        <f t="shared" ref="G1128:G1159" si="76">"EA"</f>
        <v>EA</v>
      </c>
      <c r="H1128" s="7">
        <v>136</v>
      </c>
      <c r="I1128" s="2" t="str">
        <f t="shared" si="75"/>
        <v>44103105</v>
      </c>
      <c r="J1128" s="10" t="s">
        <v>98</v>
      </c>
    </row>
    <row r="1129" spans="1:10" ht="38.25">
      <c r="A1129" s="9" t="s">
        <v>27</v>
      </c>
      <c r="B1129" s="2" t="s">
        <v>31</v>
      </c>
      <c r="C1129" s="2">
        <v>3204</v>
      </c>
      <c r="D1129" s="2">
        <v>809</v>
      </c>
      <c r="E1129" s="2" t="str">
        <f>"1000017505"</f>
        <v>1000017505</v>
      </c>
      <c r="F1129" s="4" t="str">
        <f>"TONER:LEX Item # 12A5840-LEX, Lexmark toner cartridge for Lexmark Optra T 610/612/614/616 (Yld 10k)"</f>
        <v>TONER:LEX Item # 12A5840-LEX, Lexmark toner cartridge for Lexmark Optra T 610/612/614/616 (Yld 10k)</v>
      </c>
      <c r="G1129" s="74" t="str">
        <f t="shared" si="76"/>
        <v>EA</v>
      </c>
      <c r="H1129" s="7">
        <v>201</v>
      </c>
      <c r="I1129" s="2" t="str">
        <f t="shared" si="75"/>
        <v>44103105</v>
      </c>
      <c r="J1129" s="10" t="s">
        <v>98</v>
      </c>
    </row>
    <row r="1130" spans="1:10" ht="38.25">
      <c r="A1130" s="9" t="s">
        <v>27</v>
      </c>
      <c r="B1130" s="2" t="s">
        <v>31</v>
      </c>
      <c r="C1130" s="2">
        <v>3204</v>
      </c>
      <c r="D1130" s="2">
        <v>810</v>
      </c>
      <c r="E1130" s="2" t="str">
        <f>"1000017506"</f>
        <v>1000017506</v>
      </c>
      <c r="F1130" s="4" t="str">
        <f>"TONER:LEX Item # 12A5845-LEX, Lexmark Black toner cartridge for Lexmark Optra T 610/612/614/616 (Yld 25k)"</f>
        <v>TONER:LEX Item # 12A5845-LEX, Lexmark Black toner cartridge for Lexmark Optra T 610/612/614/616 (Yld 25k)</v>
      </c>
      <c r="G1130" s="74" t="str">
        <f t="shared" si="76"/>
        <v>EA</v>
      </c>
      <c r="H1130" s="7">
        <v>365.32</v>
      </c>
      <c r="I1130" s="2" t="str">
        <f t="shared" si="75"/>
        <v>44103105</v>
      </c>
      <c r="J1130" s="10" t="s">
        <v>98</v>
      </c>
    </row>
    <row r="1131" spans="1:10" ht="38.25">
      <c r="A1131" s="9" t="s">
        <v>27</v>
      </c>
      <c r="B1131" s="2" t="s">
        <v>31</v>
      </c>
      <c r="C1131" s="2">
        <v>3204</v>
      </c>
      <c r="D1131" s="2">
        <v>811</v>
      </c>
      <c r="E1131" s="2" t="str">
        <f>"1000017507"</f>
        <v>1000017507</v>
      </c>
      <c r="F1131" s="4" t="str">
        <f>"TONER:LEX Item # 12A6735-BC, Brand Compatible High Yield Toner for Lexmark T520, T522, X520, X522 printers, (Yld 20k)"</f>
        <v>TONER:LEX Item # 12A6735-BC, Brand Compatible High Yield Toner for Lexmark T520, T522, X520, X522 printers, (Yld 20k)</v>
      </c>
      <c r="G1131" s="74" t="str">
        <f t="shared" si="76"/>
        <v>EA</v>
      </c>
      <c r="H1131" s="7">
        <v>159</v>
      </c>
      <c r="I1131" s="2" t="str">
        <f t="shared" si="75"/>
        <v>44103105</v>
      </c>
      <c r="J1131" s="10" t="s">
        <v>98</v>
      </c>
    </row>
    <row r="1132" spans="1:10" ht="38.25">
      <c r="A1132" s="9" t="s">
        <v>27</v>
      </c>
      <c r="B1132" s="2" t="s">
        <v>31</v>
      </c>
      <c r="C1132" s="2">
        <v>3204</v>
      </c>
      <c r="D1132" s="2">
        <v>812</v>
      </c>
      <c r="E1132" s="2" t="str">
        <f>"1000017508"</f>
        <v>1000017508</v>
      </c>
      <c r="F1132" s="4" t="str">
        <f>"TONER:LEX Item # 12A6830-LEX, Lexmark toner cartridge for Optra T 520/522 (Yld 7.5k)"</f>
        <v>TONER:LEX Item # 12A6830-LEX, Lexmark toner cartridge for Optra T 520/522 (Yld 7.5k)</v>
      </c>
      <c r="G1132" s="74" t="str">
        <f t="shared" si="76"/>
        <v>EA</v>
      </c>
      <c r="H1132" s="7">
        <v>189</v>
      </c>
      <c r="I1132" s="2" t="str">
        <f t="shared" si="75"/>
        <v>44103105</v>
      </c>
      <c r="J1132" s="10" t="s">
        <v>98</v>
      </c>
    </row>
    <row r="1133" spans="1:10" ht="38.25">
      <c r="A1133" s="9" t="s">
        <v>27</v>
      </c>
      <c r="B1133" s="2" t="s">
        <v>31</v>
      </c>
      <c r="C1133" s="2">
        <v>3204</v>
      </c>
      <c r="D1133" s="2">
        <v>813</v>
      </c>
      <c r="E1133" s="2" t="str">
        <f>"1000017509"</f>
        <v>1000017509</v>
      </c>
      <c r="F1133" s="4" t="str">
        <f>"TONER:LEX Item # 12A6835-LEX, Lexmark toner cartridge for Optra T 520/522 (Yld 20k)"</f>
        <v>TONER:LEX Item # 12A6835-LEX, Lexmark toner cartridge for Optra T 520/522 (Yld 20k)</v>
      </c>
      <c r="G1133" s="74" t="str">
        <f t="shared" si="76"/>
        <v>EA</v>
      </c>
      <c r="H1133" s="7">
        <v>364.66</v>
      </c>
      <c r="I1133" s="2" t="str">
        <f t="shared" si="75"/>
        <v>44103105</v>
      </c>
      <c r="J1133" s="10" t="s">
        <v>98</v>
      </c>
    </row>
    <row r="1134" spans="1:10" ht="51">
      <c r="A1134" s="9" t="s">
        <v>27</v>
      </c>
      <c r="B1134" s="2" t="s">
        <v>31</v>
      </c>
      <c r="C1134" s="2">
        <v>3204</v>
      </c>
      <c r="D1134" s="2">
        <v>790</v>
      </c>
      <c r="E1134" s="2" t="str">
        <f>"1000017510"</f>
        <v>1000017510</v>
      </c>
      <c r="F1134" s="4" t="str">
        <f>"TONER:KON Item # 4161106-MNL, Konica Minolta Black Laser Toner Cartridge for the Konica Minolta SP 2000 / 3000 Laser Toner Printers"</f>
        <v>TONER:KON Item # 4161106-MNL, Konica Minolta Black Laser Toner Cartridge for the Konica Minolta SP 2000 / 3000 Laser Toner Printers</v>
      </c>
      <c r="G1134" s="74" t="str">
        <f t="shared" si="76"/>
        <v>EA</v>
      </c>
      <c r="H1134" s="7">
        <v>191</v>
      </c>
      <c r="I1134" s="2" t="str">
        <f t="shared" si="75"/>
        <v>44103105</v>
      </c>
      <c r="J1134" s="10" t="s">
        <v>98</v>
      </c>
    </row>
    <row r="1135" spans="1:10" ht="38.25">
      <c r="A1135" s="9" t="s">
        <v>27</v>
      </c>
      <c r="B1135" s="2" t="s">
        <v>31</v>
      </c>
      <c r="C1135" s="2">
        <v>3204</v>
      </c>
      <c r="D1135" s="2">
        <v>791</v>
      </c>
      <c r="E1135" s="2" t="str">
        <f>"1000017511"</f>
        <v>1000017511</v>
      </c>
      <c r="F1135" s="4" t="str">
        <f>"TONER:KON Item # 950246-KNI, Konica Black Toner Cartridge for Konica 7022, 7130, 7222, 7228 copiers. (Yld 30k)"</f>
        <v>TONER:KON Item # 950246-KNI, Konica Black Toner Cartridge for Konica 7022, 7130, 7222, 7228 copiers. (Yld 30k)</v>
      </c>
      <c r="G1135" s="74" t="str">
        <f t="shared" si="76"/>
        <v>EA</v>
      </c>
      <c r="H1135" s="7">
        <v>114</v>
      </c>
      <c r="I1135" s="2" t="str">
        <f t="shared" si="75"/>
        <v>44103105</v>
      </c>
      <c r="J1135" s="10" t="s">
        <v>98</v>
      </c>
    </row>
    <row r="1136" spans="1:10" ht="51">
      <c r="A1136" s="9" t="s">
        <v>27</v>
      </c>
      <c r="B1136" s="2" t="s">
        <v>31</v>
      </c>
      <c r="C1136" s="2">
        <v>3204</v>
      </c>
      <c r="D1136" s="2">
        <v>792</v>
      </c>
      <c r="E1136" s="2" t="str">
        <f>"1000017512"</f>
        <v>1000017512</v>
      </c>
      <c r="F1136" s="4" t="str">
        <f>"TONER:KYO Item # TK332-MTA, Kyocera black laser toner cartridge for Kyocera Mita FS-4000DN laser toner printers (20,000 page yield)"</f>
        <v>TONER:KYO Item # TK332-MTA, Kyocera black laser toner cartridge for Kyocera Mita FS-4000DN laser toner printers (20,000 page yield)</v>
      </c>
      <c r="G1136" s="74" t="str">
        <f t="shared" si="76"/>
        <v>EA</v>
      </c>
      <c r="H1136" s="7">
        <v>86.65</v>
      </c>
      <c r="I1136" s="2" t="str">
        <f t="shared" si="75"/>
        <v>44103105</v>
      </c>
      <c r="J1136" s="10" t="s">
        <v>98</v>
      </c>
    </row>
    <row r="1137" spans="1:10" ht="25.5">
      <c r="A1137" s="9" t="s">
        <v>27</v>
      </c>
      <c r="B1137" s="2" t="s">
        <v>31</v>
      </c>
      <c r="C1137" s="2">
        <v>3204</v>
      </c>
      <c r="D1137" s="2">
        <v>793</v>
      </c>
      <c r="E1137" s="2" t="str">
        <f>"1000017513"</f>
        <v>1000017513</v>
      </c>
      <c r="F1137" s="4" t="str">
        <f>"TONER:KYO Item # TK-67-MTA, Black Toner Cartridge for FS3820N &amp; FS3830N Printers"</f>
        <v>TONER:KYO Item # TK-67-MTA, Black Toner Cartridge for FS3820N &amp; FS3830N Printers</v>
      </c>
      <c r="G1137" s="74" t="str">
        <f t="shared" si="76"/>
        <v>EA</v>
      </c>
      <c r="H1137" s="7">
        <v>111</v>
      </c>
      <c r="I1137" s="2" t="str">
        <f t="shared" si="75"/>
        <v>44103105</v>
      </c>
      <c r="J1137" s="10" t="s">
        <v>98</v>
      </c>
    </row>
    <row r="1138" spans="1:10" ht="51">
      <c r="A1138" s="9" t="s">
        <v>27</v>
      </c>
      <c r="B1138" s="2" t="s">
        <v>31</v>
      </c>
      <c r="C1138" s="2">
        <v>3204</v>
      </c>
      <c r="D1138" s="2">
        <v>794</v>
      </c>
      <c r="E1138" s="2" t="str">
        <f>"1000017514"</f>
        <v>1000017514</v>
      </c>
      <c r="F1138" s="4" t="str">
        <f>"TONER:LAN Item # 4910282-LAN, Lanier toner cartridge for Lanier 210/1240/1260/1290 MFD Toner/Developer (Yld 7.5k)"</f>
        <v>TONER:LAN Item # 4910282-LAN, Lanier toner cartridge for Lanier 210/1240/1260/1290 MFD Toner/Developer (Yld 7.5k)</v>
      </c>
      <c r="G1138" s="74" t="str">
        <f t="shared" si="76"/>
        <v>EA</v>
      </c>
      <c r="H1138" s="7">
        <v>116</v>
      </c>
      <c r="I1138" s="2" t="str">
        <f t="shared" si="75"/>
        <v>44103105</v>
      </c>
      <c r="J1138" s="10" t="s">
        <v>98</v>
      </c>
    </row>
    <row r="1139" spans="1:10" ht="38.25">
      <c r="A1139" s="9" t="s">
        <v>27</v>
      </c>
      <c r="B1139" s="2" t="s">
        <v>31</v>
      </c>
      <c r="C1139" s="2">
        <v>3204</v>
      </c>
      <c r="D1139" s="2">
        <v>795</v>
      </c>
      <c r="E1139" s="2" t="str">
        <f>"1000017516"</f>
        <v>1000017516</v>
      </c>
      <c r="F1139" s="4" t="str">
        <f>"TONER:LEX Item # 08A0476-LEX, Lexmark Toner Cartridge for E320/E322 Laser Printers, (Yld 3k)"</f>
        <v>TONER:LEX Item # 08A0476-LEX, Lexmark Toner Cartridge for E320/E322 Laser Printers, (Yld 3k)</v>
      </c>
      <c r="G1139" s="74" t="str">
        <f t="shared" si="76"/>
        <v>EA</v>
      </c>
      <c r="H1139" s="7">
        <v>102</v>
      </c>
      <c r="I1139" s="2" t="str">
        <f t="shared" si="75"/>
        <v>44103105</v>
      </c>
      <c r="J1139" s="10" t="s">
        <v>98</v>
      </c>
    </row>
    <row r="1140" spans="1:10" ht="25.5">
      <c r="A1140" s="9" t="s">
        <v>27</v>
      </c>
      <c r="B1140" s="2" t="s">
        <v>31</v>
      </c>
      <c r="C1140" s="2">
        <v>3204</v>
      </c>
      <c r="D1140" s="2">
        <v>822</v>
      </c>
      <c r="E1140" s="2" t="str">
        <f>"1000017517"</f>
        <v>1000017517</v>
      </c>
      <c r="F1140" s="4" t="str">
        <f>"TONER:LEX Item # 12A7462-LEX, Lexmark toner cartridge for T630/632/634 (Yld 21k)"</f>
        <v>TONER:LEX Item # 12A7462-LEX, Lexmark toner cartridge for T630/632/634 (Yld 21k)</v>
      </c>
      <c r="G1140" s="74" t="str">
        <f t="shared" si="76"/>
        <v>EA</v>
      </c>
      <c r="H1140" s="7">
        <v>378.32</v>
      </c>
      <c r="I1140" s="2" t="str">
        <f t="shared" si="75"/>
        <v>44103105</v>
      </c>
      <c r="J1140" s="10" t="s">
        <v>98</v>
      </c>
    </row>
    <row r="1141" spans="1:10" ht="38.25">
      <c r="A1141" s="9" t="s">
        <v>27</v>
      </c>
      <c r="B1141" s="2" t="s">
        <v>31</v>
      </c>
      <c r="C1141" s="2">
        <v>3204</v>
      </c>
      <c r="D1141" s="2">
        <v>823</v>
      </c>
      <c r="E1141" s="2" t="str">
        <f>"1000017518"</f>
        <v>1000017518</v>
      </c>
      <c r="F1141" s="4" t="str">
        <f>"TONER:LEX Item # 12B0090-BC, Brand Compatible toner cartridge, Black for Optra W 820 (Yld 30k)"</f>
        <v>TONER:LEX Item # 12B0090-BC, Brand Compatible toner cartridge, Black for Optra W 820 (Yld 30k)</v>
      </c>
      <c r="G1141" s="74" t="str">
        <f t="shared" si="76"/>
        <v>EA</v>
      </c>
      <c r="H1141" s="7">
        <v>148</v>
      </c>
      <c r="I1141" s="2" t="str">
        <f t="shared" ref="I1141:I1172" si="77">"44103105"</f>
        <v>44103105</v>
      </c>
      <c r="J1141" s="10" t="s">
        <v>98</v>
      </c>
    </row>
    <row r="1142" spans="1:10" ht="25.5">
      <c r="A1142" s="9" t="s">
        <v>27</v>
      </c>
      <c r="B1142" s="2" t="s">
        <v>31</v>
      </c>
      <c r="C1142" s="2">
        <v>3204</v>
      </c>
      <c r="D1142" s="2">
        <v>824</v>
      </c>
      <c r="E1142" s="2" t="str">
        <f>"1000017519"</f>
        <v>1000017519</v>
      </c>
      <c r="F1142" s="4" t="str">
        <f>"TONER:LEX Item # 12B0090-LEX, Lexmark toner cartridge for Optra W 820 (Yld 30k)"</f>
        <v>TONER:LEX Item # 12B0090-LEX, Lexmark toner cartridge for Optra W 820 (Yld 30k)</v>
      </c>
      <c r="G1142" s="74" t="str">
        <f t="shared" si="76"/>
        <v>EA</v>
      </c>
      <c r="H1142" s="7">
        <v>316</v>
      </c>
      <c r="I1142" s="2" t="str">
        <f t="shared" si="77"/>
        <v>44103105</v>
      </c>
      <c r="J1142" s="10" t="s">
        <v>98</v>
      </c>
    </row>
    <row r="1143" spans="1:10" ht="63.75">
      <c r="A1143" s="9" t="s">
        <v>27</v>
      </c>
      <c r="B1143" s="2" t="s">
        <v>31</v>
      </c>
      <c r="C1143" s="2">
        <v>3204</v>
      </c>
      <c r="D1143" s="2">
        <v>825</v>
      </c>
      <c r="E1143" s="2" t="str">
        <f>"1000017521"</f>
        <v>1000017521</v>
      </c>
      <c r="F1143" s="4" t="str">
        <f>"TONER:LEX Item # 13400HC-LEX, Black toner cartridge for Lexmark 1000/1020/1100/2030/2050/2055/3000, ExecJet IIC, IBM 4076, MEDLEY 4sx, WINWRITER 100 / 150C"</f>
        <v>TONER:LEX Item # 13400HC-LEX, Black toner cartridge for Lexmark 1000/1020/1100/2030/2050/2055/3000, ExecJet IIC, IBM 4076, MEDLEY 4sx, WINWRITER 100 / 150C</v>
      </c>
      <c r="G1143" s="74" t="str">
        <f t="shared" si="76"/>
        <v>EA</v>
      </c>
      <c r="H1143" s="7">
        <v>37</v>
      </c>
      <c r="I1143" s="2" t="str">
        <f t="shared" si="77"/>
        <v>44103105</v>
      </c>
      <c r="J1143" s="10" t="s">
        <v>98</v>
      </c>
    </row>
    <row r="1144" spans="1:10" ht="51">
      <c r="A1144" s="9" t="s">
        <v>27</v>
      </c>
      <c r="B1144" s="2" t="s">
        <v>31</v>
      </c>
      <c r="C1144" s="2">
        <v>3204</v>
      </c>
      <c r="D1144" s="2">
        <v>803</v>
      </c>
      <c r="E1144" s="2" t="str">
        <f>"1000017522"</f>
        <v>1000017522</v>
      </c>
      <c r="F1144" s="4" t="str">
        <f>"TONER:LEX Item # 10N0016-LEX, Lexmark 16 Standard-Yield Black Inkjet Cartridge for Z13/23/33/Compaq IJ650 Ink Cartridge, Black, (Yld 410)"</f>
        <v>TONER:LEX Item # 10N0016-LEX, Lexmark 16 Standard-Yield Black Inkjet Cartridge for Z13/23/33/Compaq IJ650 Ink Cartridge, Black, (Yld 410)</v>
      </c>
      <c r="G1144" s="74" t="str">
        <f t="shared" si="76"/>
        <v>EA</v>
      </c>
      <c r="H1144" s="7">
        <v>39.32</v>
      </c>
      <c r="I1144" s="2" t="str">
        <f t="shared" si="77"/>
        <v>44103105</v>
      </c>
      <c r="J1144" s="10" t="s">
        <v>98</v>
      </c>
    </row>
    <row r="1145" spans="1:10" ht="51">
      <c r="A1145" s="9" t="s">
        <v>27</v>
      </c>
      <c r="B1145" s="2" t="s">
        <v>31</v>
      </c>
      <c r="C1145" s="2">
        <v>3204</v>
      </c>
      <c r="D1145" s="2">
        <v>804</v>
      </c>
      <c r="E1145" s="2" t="str">
        <f>"1000017523"</f>
        <v>1000017523</v>
      </c>
      <c r="F1145" s="4" t="str">
        <f>"TONER:LEX Item # 10N0026-LEX, Lexmark 26 Standard-Yield Color Inkjet Cartridge for Z13/ 23/ 33/ Compaq IJ650 Ink Cartridge, Color, High Resolution (Yld 275)"</f>
        <v>TONER:LEX Item # 10N0026-LEX, Lexmark 26 Standard-Yield Color Inkjet Cartridge for Z13/ 23/ 33/ Compaq IJ650 Ink Cartridge, Color, High Resolution (Yld 275)</v>
      </c>
      <c r="G1145" s="74" t="str">
        <f t="shared" si="76"/>
        <v>EA</v>
      </c>
      <c r="H1145" s="7">
        <v>36</v>
      </c>
      <c r="I1145" s="2" t="str">
        <f t="shared" si="77"/>
        <v>44103105</v>
      </c>
      <c r="J1145" s="10" t="s">
        <v>98</v>
      </c>
    </row>
    <row r="1146" spans="1:10" ht="89.25">
      <c r="A1146" s="9" t="s">
        <v>27</v>
      </c>
      <c r="B1146" s="2" t="s">
        <v>31</v>
      </c>
      <c r="C1146" s="2">
        <v>3204</v>
      </c>
      <c r="D1146" s="2">
        <v>805</v>
      </c>
      <c r="E1146" s="2" t="str">
        <f>"1000017524"</f>
        <v>1000017524</v>
      </c>
      <c r="F1146" s="4" t="str">
        <f>"TONER:LEX Item # 10N0217-LEX, Lexmark No. 17 Black ink cartridge, compatible with Lexmark Z13, Z23, Z25, Z33, Z35, Z515, Z605, Z615 and inkjet printers, Lexmark X75, X1150, X1185 and X2250 multifunction printers and Compaq IJ650 inkjet printer"</f>
        <v>TONER:LEX Item # 10N0217-LEX, Lexmark No. 17 Black ink cartridge, compatible with Lexmark Z13, Z23, Z25, Z33, Z35, Z515, Z605, Z615 and inkjet printers, Lexmark X75, X1150, X1185 and X2250 multifunction printers and Compaq IJ650 inkjet printer</v>
      </c>
      <c r="G1146" s="74" t="str">
        <f t="shared" si="76"/>
        <v>EA</v>
      </c>
      <c r="H1146" s="7">
        <v>22</v>
      </c>
      <c r="I1146" s="2" t="str">
        <f t="shared" si="77"/>
        <v>44103105</v>
      </c>
      <c r="J1146" s="10" t="s">
        <v>98</v>
      </c>
    </row>
    <row r="1147" spans="1:10" ht="51">
      <c r="A1147" s="9" t="s">
        <v>27</v>
      </c>
      <c r="B1147" s="2" t="s">
        <v>31</v>
      </c>
      <c r="C1147" s="2">
        <v>3204</v>
      </c>
      <c r="D1147" s="2">
        <v>806</v>
      </c>
      <c r="E1147" s="2" t="str">
        <f>"1000017525"</f>
        <v>1000017525</v>
      </c>
      <c r="F1147" s="4" t="str">
        <f>"TONER:LEX Item # 10N0227-LEX, Lexmark No. 27 Ink Moderate Yield Color Cartridge for InkJet Printers, (140 Yield) for Z13/23/25/33/35/515/605/616"</f>
        <v>TONER:LEX Item # 10N0227-LEX, Lexmark No. 27 Ink Moderate Yield Color Cartridge for InkJet Printers, (140 Yield) for Z13/23/25/33/35/515/605/616</v>
      </c>
      <c r="G1147" s="74" t="str">
        <f t="shared" si="76"/>
        <v>EA</v>
      </c>
      <c r="H1147" s="7">
        <v>28.39</v>
      </c>
      <c r="I1147" s="2" t="str">
        <f t="shared" si="77"/>
        <v>44103105</v>
      </c>
      <c r="J1147" s="10" t="s">
        <v>98</v>
      </c>
    </row>
    <row r="1148" spans="1:10" ht="51">
      <c r="A1148" s="9" t="s">
        <v>27</v>
      </c>
      <c r="B1148" s="2" t="s">
        <v>31</v>
      </c>
      <c r="C1148" s="2">
        <v>3204</v>
      </c>
      <c r="D1148" s="2">
        <v>831</v>
      </c>
      <c r="E1148" s="2" t="str">
        <f>"1000017526"</f>
        <v>1000017526</v>
      </c>
      <c r="F1148" s="4" t="str">
        <f>"TONER:LEX Item # 1382150-LEX, Lexmark Toner Cartridge, Diamond Fine, high yield, (Yld 14k) for Optra 4049/3112/3116/LX+/RT+"</f>
        <v>TONER:LEX Item # 1382150-LEX, Lexmark Toner Cartridge, Diamond Fine, high yield, (Yld 14k) for Optra 4049/3112/3116/LX+/RT+</v>
      </c>
      <c r="G1148" s="74" t="str">
        <f t="shared" si="76"/>
        <v>EA</v>
      </c>
      <c r="H1148" s="7">
        <v>342</v>
      </c>
      <c r="I1148" s="2" t="str">
        <f t="shared" si="77"/>
        <v>44103105</v>
      </c>
      <c r="J1148" s="10" t="s">
        <v>98</v>
      </c>
    </row>
    <row r="1149" spans="1:10" ht="63.75">
      <c r="A1149" s="9" t="s">
        <v>27</v>
      </c>
      <c r="B1149" s="2" t="s">
        <v>31</v>
      </c>
      <c r="C1149" s="2">
        <v>3204</v>
      </c>
      <c r="D1149" s="2">
        <v>807</v>
      </c>
      <c r="E1149" s="2" t="str">
        <f>"1000017527"</f>
        <v>1000017527</v>
      </c>
      <c r="F1149" s="4" t="str">
        <f>"TONER:LEX Item # 12A1970-LEX, Lexmark Black toner cartridge for Lexmark 3200/5000/5700/5770/7000/7200, Optra 40&amp;45, 11/31/42/ 43/ 51/52/53/82 (Yld 600)"</f>
        <v>TONER:LEX Item # 12A1970-LEX, Lexmark Black toner cartridge for Lexmark 3200/5000/5700/5770/7000/7200, Optra 40&amp;45, 11/31/42/ 43/ 51/52/53/82 (Yld 600)</v>
      </c>
      <c r="G1149" s="74" t="str">
        <f t="shared" si="76"/>
        <v>EA</v>
      </c>
      <c r="H1149" s="7">
        <v>44.82</v>
      </c>
      <c r="I1149" s="2" t="str">
        <f t="shared" si="77"/>
        <v>44103105</v>
      </c>
      <c r="J1149" s="10" t="s">
        <v>98</v>
      </c>
    </row>
    <row r="1150" spans="1:10" ht="38.25">
      <c r="A1150" s="9" t="s">
        <v>27</v>
      </c>
      <c r="B1150" s="2" t="s">
        <v>31</v>
      </c>
      <c r="C1150" s="2">
        <v>3204</v>
      </c>
      <c r="D1150" s="2">
        <v>835</v>
      </c>
      <c r="E1150" s="2" t="str">
        <f>"1000017529"</f>
        <v>1000017529</v>
      </c>
      <c r="F1150" s="4" t="str">
        <f>"TONER:LEX Item # 1382925-LEX, Lexmark Toner Cartridge for Optra S 1200/1650/2450/4059"</f>
        <v>TONER:LEX Item # 1382925-LEX, Lexmark Toner Cartridge for Optra S 1200/1650/2450/4059</v>
      </c>
      <c r="G1150" s="74" t="str">
        <f t="shared" si="76"/>
        <v>EA</v>
      </c>
      <c r="H1150" s="7">
        <v>244</v>
      </c>
      <c r="I1150" s="2" t="str">
        <f t="shared" si="77"/>
        <v>44103105</v>
      </c>
      <c r="J1150" s="10" t="s">
        <v>98</v>
      </c>
    </row>
    <row r="1151" spans="1:10" ht="51">
      <c r="A1151" s="9" t="s">
        <v>27</v>
      </c>
      <c r="B1151" s="2" t="s">
        <v>31</v>
      </c>
      <c r="C1151" s="2">
        <v>3204</v>
      </c>
      <c r="D1151" s="2">
        <v>836</v>
      </c>
      <c r="E1151" s="2" t="str">
        <f>"1000017530"</f>
        <v>1000017530</v>
      </c>
      <c r="F1151" s="4" t="str">
        <f>"TONER:LEX Item # 1382929-BC, Brand Compatible toner cartridge for Lexmark Optra S 4059 with fuser cleaner (Yld 17.6k)"</f>
        <v>TONER:LEX Item # 1382929-BC, Brand Compatible toner cartridge for Lexmark Optra S 4059 with fuser cleaner (Yld 17.6k)</v>
      </c>
      <c r="G1151" s="74" t="str">
        <f t="shared" si="76"/>
        <v>EA</v>
      </c>
      <c r="H1151" s="7">
        <v>89</v>
      </c>
      <c r="I1151" s="2" t="str">
        <f t="shared" si="77"/>
        <v>44103105</v>
      </c>
      <c r="J1151" s="10" t="s">
        <v>98</v>
      </c>
    </row>
    <row r="1152" spans="1:10" ht="38.25">
      <c r="A1152" s="9" t="s">
        <v>27</v>
      </c>
      <c r="B1152" s="2" t="s">
        <v>31</v>
      </c>
      <c r="C1152" s="2">
        <v>3204</v>
      </c>
      <c r="D1152" s="2">
        <v>837</v>
      </c>
      <c r="E1152" s="2" t="str">
        <f>"1000017531"</f>
        <v>1000017531</v>
      </c>
      <c r="F1152" s="4" t="str">
        <f>"TONER:LEX Item # 13T0101-BC, Brand Compatible toner cartridge for Lexmark Optra E310/E312/312L Printers"</f>
        <v>TONER:LEX Item # 13T0101-BC, Brand Compatible toner cartridge for Lexmark Optra E310/E312/312L Printers</v>
      </c>
      <c r="G1152" s="74" t="str">
        <f t="shared" si="76"/>
        <v>EA</v>
      </c>
      <c r="H1152" s="7">
        <v>138</v>
      </c>
      <c r="I1152" s="2" t="str">
        <f t="shared" si="77"/>
        <v>44103105</v>
      </c>
      <c r="J1152" s="10" t="s">
        <v>98</v>
      </c>
    </row>
    <row r="1153" spans="1:10" ht="38.25">
      <c r="A1153" s="9" t="s">
        <v>27</v>
      </c>
      <c r="B1153" s="2" t="s">
        <v>31</v>
      </c>
      <c r="C1153" s="2">
        <v>3204</v>
      </c>
      <c r="D1153" s="2">
        <v>838</v>
      </c>
      <c r="E1153" s="2" t="str">
        <f>"1000017532"</f>
        <v>1000017532</v>
      </c>
      <c r="F1153" s="4" t="str">
        <f>"TONER:LEX Item # 13T0101-LEX, Lexmark Toner Cartridge for Lexmark Optra E310, E312, E312L Printers (Yld 6k)"</f>
        <v>TONER:LEX Item # 13T0101-LEX, Lexmark Toner Cartridge for Lexmark Optra E310, E312, E312L Printers (Yld 6k)</v>
      </c>
      <c r="G1153" s="74" t="str">
        <f t="shared" si="76"/>
        <v>EA</v>
      </c>
      <c r="H1153" s="7">
        <v>166</v>
      </c>
      <c r="I1153" s="2" t="str">
        <f t="shared" si="77"/>
        <v>44103105</v>
      </c>
      <c r="J1153" s="10" t="s">
        <v>98</v>
      </c>
    </row>
    <row r="1154" spans="1:10" ht="38.25">
      <c r="A1154" s="9" t="s">
        <v>27</v>
      </c>
      <c r="B1154" s="2" t="s">
        <v>31</v>
      </c>
      <c r="C1154" s="2">
        <v>3204</v>
      </c>
      <c r="D1154" s="2">
        <v>814</v>
      </c>
      <c r="E1154" s="2" t="str">
        <f>"1000017533"</f>
        <v>1000017533</v>
      </c>
      <c r="F1154" s="4" t="str">
        <f>"TONER:LEX Item # 12A6860-LEX, Lexmark toner cartridge for Optra T 620/622 (Yld 10k)"</f>
        <v>TONER:LEX Item # 12A6860-LEX, Lexmark toner cartridge for Optra T 620/622 (Yld 10k)</v>
      </c>
      <c r="G1154" s="74" t="str">
        <f t="shared" si="76"/>
        <v>EA</v>
      </c>
      <c r="H1154" s="7">
        <v>157</v>
      </c>
      <c r="I1154" s="2" t="str">
        <f t="shared" si="77"/>
        <v>44103105</v>
      </c>
      <c r="J1154" s="10" t="s">
        <v>98</v>
      </c>
    </row>
    <row r="1155" spans="1:10" ht="25.5">
      <c r="A1155" s="9" t="s">
        <v>27</v>
      </c>
      <c r="B1155" s="2" t="s">
        <v>31</v>
      </c>
      <c r="C1155" s="2">
        <v>3204</v>
      </c>
      <c r="D1155" s="2">
        <v>815</v>
      </c>
      <c r="E1155" s="2" t="str">
        <f>"1000017534"</f>
        <v>1000017534</v>
      </c>
      <c r="F1155" s="4" t="str">
        <f>"TONER:LEX Item # 12A7305-LEX, Lexmark toner cartridge for E321/E323 (Yld 6k)"</f>
        <v>TONER:LEX Item # 12A7305-LEX, Lexmark toner cartridge for E321/E323 (Yld 6k)</v>
      </c>
      <c r="G1155" s="74" t="str">
        <f t="shared" si="76"/>
        <v>EA</v>
      </c>
      <c r="H1155" s="7">
        <v>183</v>
      </c>
      <c r="I1155" s="2" t="str">
        <f t="shared" si="77"/>
        <v>44103105</v>
      </c>
      <c r="J1155" s="10" t="s">
        <v>98</v>
      </c>
    </row>
    <row r="1156" spans="1:10" ht="38.25">
      <c r="A1156" s="9" t="s">
        <v>27</v>
      </c>
      <c r="B1156" s="2" t="s">
        <v>31</v>
      </c>
      <c r="C1156" s="2">
        <v>3204</v>
      </c>
      <c r="D1156" s="2">
        <v>816</v>
      </c>
      <c r="E1156" s="2" t="str">
        <f>"1000017535"</f>
        <v>1000017535</v>
      </c>
      <c r="F1156" s="4" t="str">
        <f>"TONER:LEX Item # 12A7315-BC, Brand Compatible Black laser toner for Lexmark T420 (Yld 10k)"</f>
        <v>TONER:LEX Item # 12A7315-BC, Brand Compatible Black laser toner for Lexmark T420 (Yld 10k)</v>
      </c>
      <c r="G1156" s="74" t="str">
        <f t="shared" si="76"/>
        <v>EA</v>
      </c>
      <c r="H1156" s="7">
        <v>120</v>
      </c>
      <c r="I1156" s="2" t="str">
        <f t="shared" si="77"/>
        <v>44103105</v>
      </c>
      <c r="J1156" s="10" t="s">
        <v>98</v>
      </c>
    </row>
    <row r="1157" spans="1:10" ht="38.25">
      <c r="A1157" s="9" t="s">
        <v>27</v>
      </c>
      <c r="B1157" s="2" t="s">
        <v>31</v>
      </c>
      <c r="C1157" s="2">
        <v>3204</v>
      </c>
      <c r="D1157" s="2">
        <v>817</v>
      </c>
      <c r="E1157" s="2" t="str">
        <f>"1000017536"</f>
        <v>1000017536</v>
      </c>
      <c r="F1157" s="4" t="str">
        <f>"TONER:LEX Item # 12A7362-BC, Brand Compatible toner for Lexmark T630/632/634 (Yld 21k)"</f>
        <v>TONER:LEX Item # 12A7362-BC, Brand Compatible toner for Lexmark T630/632/634 (Yld 21k)</v>
      </c>
      <c r="G1157" s="74" t="str">
        <f t="shared" si="76"/>
        <v>EA</v>
      </c>
      <c r="H1157" s="7">
        <v>206</v>
      </c>
      <c r="I1157" s="2" t="str">
        <f t="shared" si="77"/>
        <v>44103105</v>
      </c>
      <c r="J1157" s="10" t="s">
        <v>98</v>
      </c>
    </row>
    <row r="1158" spans="1:10" ht="38.25">
      <c r="A1158" s="9" t="s">
        <v>27</v>
      </c>
      <c r="B1158" s="2" t="s">
        <v>31</v>
      </c>
      <c r="C1158" s="2">
        <v>3204</v>
      </c>
      <c r="D1158" s="2">
        <v>818</v>
      </c>
      <c r="E1158" s="2" t="str">
        <f>"1000017537"</f>
        <v>1000017537</v>
      </c>
      <c r="F1158" s="4" t="str">
        <f>"TONER:LEX Item # 12A7362-LEX, Lexmark Black toner cartridge for T630/632/634 (Yld 21k)"</f>
        <v>TONER:LEX Item # 12A7362-LEX, Lexmark Black toner cartridge for T630/632/634 (Yld 21k)</v>
      </c>
      <c r="G1158" s="74" t="str">
        <f t="shared" si="76"/>
        <v>EA</v>
      </c>
      <c r="H1158" s="7">
        <v>468</v>
      </c>
      <c r="I1158" s="2" t="str">
        <f t="shared" si="77"/>
        <v>44103105</v>
      </c>
      <c r="J1158" s="10" t="s">
        <v>98</v>
      </c>
    </row>
    <row r="1159" spans="1:10" ht="63.75">
      <c r="A1159" s="9" t="s">
        <v>27</v>
      </c>
      <c r="B1159" s="2" t="s">
        <v>31</v>
      </c>
      <c r="C1159" s="2">
        <v>3204</v>
      </c>
      <c r="D1159" s="2">
        <v>844</v>
      </c>
      <c r="E1159" s="2" t="str">
        <f>"1000017538"</f>
        <v>1000017538</v>
      </c>
      <c r="F1159" s="4" t="str">
        <f>"TONER:LEX Item # 15G041Y-LEX, Lexmark Yellow Toner Cartidge for Lexmark All-in-One Machines X752e, X762e, Lexmark Laser Printers C752 Series, C760 Series, C762 Series (Yld 6k)"</f>
        <v>TONER:LEX Item # 15G041Y-LEX, Lexmark Yellow Toner Cartidge for Lexmark All-in-One Machines X752e, X762e, Lexmark Laser Printers C752 Series, C760 Series, C762 Series (Yld 6k)</v>
      </c>
      <c r="G1159" s="74" t="str">
        <f t="shared" si="76"/>
        <v>EA</v>
      </c>
      <c r="H1159" s="7">
        <v>291</v>
      </c>
      <c r="I1159" s="2" t="str">
        <f t="shared" si="77"/>
        <v>44103105</v>
      </c>
      <c r="J1159" s="10" t="s">
        <v>98</v>
      </c>
    </row>
    <row r="1160" spans="1:10" ht="25.5">
      <c r="A1160" s="9" t="s">
        <v>27</v>
      </c>
      <c r="B1160" s="2" t="s">
        <v>31</v>
      </c>
      <c r="C1160" s="2">
        <v>3204</v>
      </c>
      <c r="D1160" s="2">
        <v>819</v>
      </c>
      <c r="E1160" s="2" t="str">
        <f>"1000017539"</f>
        <v>1000017539</v>
      </c>
      <c r="F1160" s="4" t="str">
        <f>"TONER:LEX Item # 12A7400-LEX, Lexmark Black toner for E321/E323 (Yld 3k)"</f>
        <v>TONER:LEX Item # 12A7400-LEX, Lexmark Black toner for E321/E323 (Yld 3k)</v>
      </c>
      <c r="G1160" s="74" t="str">
        <f t="shared" ref="G1160:G1191" si="78">"EA"</f>
        <v>EA</v>
      </c>
      <c r="H1160" s="7">
        <v>111.99</v>
      </c>
      <c r="I1160" s="2" t="str">
        <f t="shared" si="77"/>
        <v>44103105</v>
      </c>
      <c r="J1160" s="10" t="s">
        <v>98</v>
      </c>
    </row>
    <row r="1161" spans="1:10" ht="51">
      <c r="A1161" s="9" t="s">
        <v>27</v>
      </c>
      <c r="B1161" s="2" t="s">
        <v>31</v>
      </c>
      <c r="C1161" s="2">
        <v>3204</v>
      </c>
      <c r="D1161" s="2">
        <v>820</v>
      </c>
      <c r="E1161" s="2" t="str">
        <f>"1000017540"</f>
        <v>1000017540</v>
      </c>
      <c r="F1161" s="4" t="str">
        <f>"TONER:LEX Item # 12A7405-LEX, Lexmark Black toner cartridge for E321/E323 (Yld 6k) includes a prepaid return label to recycle the printer cartridge."</f>
        <v>TONER:LEX Item # 12A7405-LEX, Lexmark Black toner cartridge for E321/E323 (Yld 6k) includes a prepaid return label to recycle the printer cartridge.</v>
      </c>
      <c r="G1161" s="74" t="str">
        <f t="shared" si="78"/>
        <v>EA</v>
      </c>
      <c r="H1161" s="7">
        <v>156</v>
      </c>
      <c r="I1161" s="2" t="str">
        <f t="shared" si="77"/>
        <v>44103105</v>
      </c>
      <c r="J1161" s="10" t="s">
        <v>98</v>
      </c>
    </row>
    <row r="1162" spans="1:10" ht="38.25">
      <c r="A1162" s="9" t="s">
        <v>27</v>
      </c>
      <c r="B1162" s="2" t="s">
        <v>31</v>
      </c>
      <c r="C1162" s="2">
        <v>3204</v>
      </c>
      <c r="D1162" s="2">
        <v>821</v>
      </c>
      <c r="E1162" s="2" t="str">
        <f>"1000017541"</f>
        <v>1000017541</v>
      </c>
      <c r="F1162" s="4" t="str">
        <f>"TONER:LEX Item # 12A7460-LEX, Lexmark toner cartridge for T630/632/632E/634 (Yld 5k)"</f>
        <v>TONER:LEX Item # 12A7460-LEX, Lexmark toner cartridge for T630/632/632E/634 (Yld 5k)</v>
      </c>
      <c r="G1162" s="74" t="str">
        <f t="shared" si="78"/>
        <v>EA</v>
      </c>
      <c r="H1162" s="7">
        <v>136</v>
      </c>
      <c r="I1162" s="2" t="str">
        <f t="shared" si="77"/>
        <v>44103105</v>
      </c>
      <c r="J1162" s="10" t="s">
        <v>98</v>
      </c>
    </row>
    <row r="1163" spans="1:10" ht="76.5">
      <c r="A1163" s="9" t="s">
        <v>27</v>
      </c>
      <c r="B1163" s="2" t="s">
        <v>31</v>
      </c>
      <c r="C1163" s="2">
        <v>3204</v>
      </c>
      <c r="D1163" s="2">
        <v>377</v>
      </c>
      <c r="E1163" s="2" t="str">
        <f>"1000017542"</f>
        <v>1000017542</v>
      </c>
      <c r="F1163" s="4" t="str">
        <f>"INK CART:LEX Item # 17G0050-LEX, Lexmark No. 50 for Lexmark All-in-One Machines P3150, Lexmark Inkjet Printers P3150, Z12, Z22, Z32, Z705, Z715 Lexmark Photo Printers P3150, P707, Z705 Black Standard Yield Cartridge (Yld 410)"</f>
        <v>INK CART:LEX Item # 17G0050-LEX, Lexmark No. 50 for Lexmark All-in-One Machines P3150, Lexmark Inkjet Printers P3150, Z12, Z22, Z32, Z705, Z715 Lexmark Photo Printers P3150, P707, Z705 Black Standard Yield Cartridge (Yld 410)</v>
      </c>
      <c r="G1163" s="74" t="str">
        <f t="shared" si="78"/>
        <v>EA</v>
      </c>
      <c r="H1163" s="7">
        <v>40.99</v>
      </c>
      <c r="I1163" s="2" t="str">
        <f t="shared" si="77"/>
        <v>44103105</v>
      </c>
      <c r="J1163" s="10" t="s">
        <v>98</v>
      </c>
    </row>
    <row r="1164" spans="1:10" ht="51">
      <c r="A1164" s="9" t="s">
        <v>27</v>
      </c>
      <c r="B1164" s="2" t="s">
        <v>31</v>
      </c>
      <c r="C1164" s="2">
        <v>3204</v>
      </c>
      <c r="D1164" s="2">
        <v>378</v>
      </c>
      <c r="E1164" s="2" t="str">
        <f>"1000017543"</f>
        <v>1000017543</v>
      </c>
      <c r="F1164" s="4" t="str">
        <f>"INK CART:LEX Item # 17G0060-LEX, Lexmark No. 60 High Resolution Color Inkjet Cartridge for Lexmark Z12/22/32, standard yield"</f>
        <v>INK CART:LEX Item # 17G0060-LEX, Lexmark No. 60 High Resolution Color Inkjet Cartridge for Lexmark Z12/22/32, standard yield</v>
      </c>
      <c r="G1164" s="74" t="str">
        <f t="shared" si="78"/>
        <v>EA</v>
      </c>
      <c r="H1164" s="7">
        <v>38</v>
      </c>
      <c r="I1164" s="2" t="str">
        <f t="shared" si="77"/>
        <v>44103105</v>
      </c>
      <c r="J1164" s="10" t="s">
        <v>98</v>
      </c>
    </row>
    <row r="1165" spans="1:10" ht="38.25">
      <c r="A1165" s="9" t="s">
        <v>27</v>
      </c>
      <c r="B1165" s="2" t="s">
        <v>31</v>
      </c>
      <c r="C1165" s="2">
        <v>3204</v>
      </c>
      <c r="D1165" s="2">
        <v>826</v>
      </c>
      <c r="E1165" s="2" t="str">
        <f>"1000017544"</f>
        <v>1000017544</v>
      </c>
      <c r="F1165" s="4" t="str">
        <f>"TONER:LEX Item # 1380520-BC, Brand Compatible toner cartridge for Lexmark 4019/4028/4029/Winwriter 600"</f>
        <v>TONER:LEX Item # 1380520-BC, Brand Compatible toner cartridge for Lexmark 4019/4028/4029/Winwriter 600</v>
      </c>
      <c r="G1165" s="74" t="str">
        <f t="shared" si="78"/>
        <v>EA</v>
      </c>
      <c r="H1165" s="7">
        <v>84</v>
      </c>
      <c r="I1165" s="2" t="str">
        <f t="shared" si="77"/>
        <v>44103105</v>
      </c>
      <c r="J1165" s="10" t="s">
        <v>98</v>
      </c>
    </row>
    <row r="1166" spans="1:10" ht="38.25">
      <c r="A1166" s="9" t="s">
        <v>27</v>
      </c>
      <c r="B1166" s="2" t="s">
        <v>31</v>
      </c>
      <c r="C1166" s="2">
        <v>3204</v>
      </c>
      <c r="D1166" s="2">
        <v>827</v>
      </c>
      <c r="E1166" s="2" t="str">
        <f>"1000017545"</f>
        <v>1000017545</v>
      </c>
      <c r="F1166" s="4" t="str">
        <f>"TONER:LEX Item # 1380950-BC, Brand compatible toner cartridge for Lexmark 4039/3912/3916 (Yld 12.8k)"</f>
        <v>TONER:LEX Item # 1380950-BC, Brand compatible toner cartridge for Lexmark 4039/3912/3916 (Yld 12.8k)</v>
      </c>
      <c r="G1166" s="74" t="str">
        <f t="shared" si="78"/>
        <v>EA</v>
      </c>
      <c r="H1166" s="7">
        <v>223</v>
      </c>
      <c r="I1166" s="2" t="str">
        <f t="shared" si="77"/>
        <v>44103105</v>
      </c>
      <c r="J1166" s="10" t="s">
        <v>98</v>
      </c>
    </row>
    <row r="1167" spans="1:10" ht="38.25">
      <c r="A1167" s="9" t="s">
        <v>27</v>
      </c>
      <c r="B1167" s="2" t="s">
        <v>31</v>
      </c>
      <c r="C1167" s="2">
        <v>3204</v>
      </c>
      <c r="D1167" s="2">
        <v>828</v>
      </c>
      <c r="E1167" s="2" t="str">
        <f>"1000017546"</f>
        <v>1000017546</v>
      </c>
      <c r="F1167" s="4" t="str">
        <f>"TONER:LEX Item # 1382100-BC, Brand Compatible toner cartridge for Lexmark Optra 4049/3112/3116/LX+/RT+ (Yld 7k)"</f>
        <v>TONER:LEX Item # 1382100-BC, Brand Compatible toner cartridge for Lexmark Optra 4049/3112/3116/LX+/RT+ (Yld 7k)</v>
      </c>
      <c r="G1167" s="74" t="str">
        <f t="shared" si="78"/>
        <v>EA</v>
      </c>
      <c r="H1167" s="7">
        <v>93</v>
      </c>
      <c r="I1167" s="2" t="str">
        <f t="shared" si="77"/>
        <v>44103105</v>
      </c>
      <c r="J1167" s="10" t="s">
        <v>98</v>
      </c>
    </row>
    <row r="1168" spans="1:10" ht="51">
      <c r="A1168" s="9" t="s">
        <v>27</v>
      </c>
      <c r="B1168" s="2" t="s">
        <v>31</v>
      </c>
      <c r="C1168" s="2">
        <v>3204</v>
      </c>
      <c r="D1168" s="2">
        <v>829</v>
      </c>
      <c r="E1168" s="2" t="str">
        <f>"1000017547"</f>
        <v>1000017547</v>
      </c>
      <c r="F1168" s="4" t="str">
        <f>"TONER:LEX Item # 1382100-LEX, Lexmark Toner Cartridge, Black Diamond Fine for Optra 4049/3112/3116/LX+/RT Printers, (Yld 7k)"</f>
        <v>TONER:LEX Item # 1382100-LEX, Lexmark Toner Cartridge, Black Diamond Fine for Optra 4049/3112/3116/LX+/RT Printers, (Yld 7k)</v>
      </c>
      <c r="G1168" s="74" t="str">
        <f t="shared" si="78"/>
        <v>EA</v>
      </c>
      <c r="H1168" s="7">
        <v>265</v>
      </c>
      <c r="I1168" s="2" t="str">
        <f t="shared" si="77"/>
        <v>44103105</v>
      </c>
      <c r="J1168" s="10" t="s">
        <v>98</v>
      </c>
    </row>
    <row r="1169" spans="1:10" ht="38.25">
      <c r="A1169" s="9" t="s">
        <v>27</v>
      </c>
      <c r="B1169" s="2" t="s">
        <v>31</v>
      </c>
      <c r="C1169" s="2">
        <v>3204</v>
      </c>
      <c r="D1169" s="2">
        <v>830</v>
      </c>
      <c r="E1169" s="2" t="str">
        <f>"1000017548"</f>
        <v>1000017548</v>
      </c>
      <c r="F1169" s="4" t="str">
        <f>"TONER:LEX Item # 1382150-BC, Brand Compatible toner cartridge for Lexmark Optra 4049/3112/3116/LX+/RT+ (Yld 14k)"</f>
        <v>TONER:LEX Item # 1382150-BC, Brand Compatible toner cartridge for Lexmark Optra 4049/3112/3116/LX+/RT+ (Yld 14k)</v>
      </c>
      <c r="G1169" s="74" t="str">
        <f t="shared" si="78"/>
        <v>EA</v>
      </c>
      <c r="H1169" s="7">
        <v>97</v>
      </c>
      <c r="I1169" s="2" t="str">
        <f t="shared" si="77"/>
        <v>44103105</v>
      </c>
      <c r="J1169" s="10" t="s">
        <v>98</v>
      </c>
    </row>
    <row r="1170" spans="1:10" ht="51">
      <c r="A1170" s="9" t="s">
        <v>27</v>
      </c>
      <c r="B1170" s="2" t="s">
        <v>31</v>
      </c>
      <c r="C1170" s="2">
        <v>3204</v>
      </c>
      <c r="D1170" s="2">
        <v>382</v>
      </c>
      <c r="E1170" s="2" t="str">
        <f>"1000017549"</f>
        <v>1000017549</v>
      </c>
      <c r="F1170" s="4" t="str">
        <f>"INK CART:LEX Item # 18C0035-LEX, Lexmark No. 35 Ink Color Inkjet Cartridge for P315, X2500, X5075, X5250, X5270, X7170, X7350, Z1300 &amp; Z1420 Printers"</f>
        <v>INK CART:LEX Item # 18C0035-LEX, Lexmark No. 35 Ink Color Inkjet Cartridge for P315, X2500, X5075, X5250, X5270, X7170, X7350, Z1300 &amp; Z1420 Printers</v>
      </c>
      <c r="G1170" s="74" t="str">
        <f t="shared" si="78"/>
        <v>EA</v>
      </c>
      <c r="H1170" s="7">
        <v>43.69</v>
      </c>
      <c r="I1170" s="2" t="str">
        <f t="shared" si="77"/>
        <v>44103105</v>
      </c>
      <c r="J1170" s="10" t="s">
        <v>98</v>
      </c>
    </row>
    <row r="1171" spans="1:10" ht="38.25">
      <c r="A1171" s="9" t="s">
        <v>27</v>
      </c>
      <c r="B1171" s="2" t="s">
        <v>31</v>
      </c>
      <c r="C1171" s="2">
        <v>3204</v>
      </c>
      <c r="D1171" s="2">
        <v>383</v>
      </c>
      <c r="E1171" s="2" t="str">
        <f>"1000017550"</f>
        <v>1000017550</v>
      </c>
      <c r="F1171" s="4" t="str">
        <f>"INK CART:LEX Item # 18C0781-LEX, Lexmark No. 1 Ink Color Inkjet Cartridge for Lexmark Z735 / X2350 / X2470 / X3470."</f>
        <v>INK CART:LEX Item # 18C0781-LEX, Lexmark No. 1 Ink Color Inkjet Cartridge for Lexmark Z735 / X2350 / X2470 / X3470.</v>
      </c>
      <c r="G1171" s="74" t="str">
        <f t="shared" si="78"/>
        <v>EA</v>
      </c>
      <c r="H1171" s="7">
        <v>23</v>
      </c>
      <c r="I1171" s="2" t="str">
        <f t="shared" si="77"/>
        <v>44103105</v>
      </c>
      <c r="J1171" s="10" t="s">
        <v>98</v>
      </c>
    </row>
    <row r="1172" spans="1:10" ht="63.75">
      <c r="A1172" s="9" t="s">
        <v>27</v>
      </c>
      <c r="B1172" s="2" t="s">
        <v>31</v>
      </c>
      <c r="C1172" s="2">
        <v>3204</v>
      </c>
      <c r="D1172" s="2">
        <v>832</v>
      </c>
      <c r="E1172" s="2" t="str">
        <f>"1000017551"</f>
        <v>1000017551</v>
      </c>
      <c r="F1172" s="4" t="str">
        <f>"TONER:LEX Item # 1382620-BC, Brand Compatible toner cartridge for Lexmark Optra S 1250 / 1255 / 1620 / 1625 / 1650 / 1855 / 2420 / 2450 / 2455 / 4059 Laser Toner Printers (7,500 Yield)"</f>
        <v>TONER:LEX Item # 1382620-BC, Brand Compatible toner cartridge for Lexmark Optra S 1250 / 1255 / 1620 / 1625 / 1650 / 1855 / 2420 / 2450 / 2455 / 4059 Laser Toner Printers (7,500 Yield)</v>
      </c>
      <c r="G1172" s="74" t="str">
        <f t="shared" si="78"/>
        <v>EA</v>
      </c>
      <c r="H1172" s="7">
        <v>89</v>
      </c>
      <c r="I1172" s="2" t="str">
        <f t="shared" si="77"/>
        <v>44103105</v>
      </c>
      <c r="J1172" s="10" t="s">
        <v>98</v>
      </c>
    </row>
    <row r="1173" spans="1:10" ht="63.75">
      <c r="A1173" s="9" t="s">
        <v>27</v>
      </c>
      <c r="B1173" s="2" t="s">
        <v>31</v>
      </c>
      <c r="C1173" s="2">
        <v>3204</v>
      </c>
      <c r="D1173" s="2">
        <v>833</v>
      </c>
      <c r="E1173" s="2" t="str">
        <f>"1000017552"</f>
        <v>1000017552</v>
      </c>
      <c r="F1173" s="4" t="str">
        <f>"TONER:LEX Item # 1382625-BC, Brand Compatible toner cartridge for Lexmark Optra S / S1250n / S1255 / S1255n / S1620 / S1620n / S1625 / S1650 / S1650n / S1855 / S2455"</f>
        <v>TONER:LEX Item # 1382625-BC, Brand Compatible toner cartridge for Lexmark Optra S / S1250n / S1255 / S1255n / S1620 / S1620n / S1625 / S1650 / S1650n / S1855 / S2455</v>
      </c>
      <c r="G1173" s="74" t="str">
        <f t="shared" si="78"/>
        <v>EA</v>
      </c>
      <c r="H1173" s="7">
        <v>122</v>
      </c>
      <c r="I1173" s="2" t="str">
        <f t="shared" ref="I1173:I1204" si="79">"44103105"</f>
        <v>44103105</v>
      </c>
      <c r="J1173" s="10" t="s">
        <v>98</v>
      </c>
    </row>
    <row r="1174" spans="1:10" ht="51">
      <c r="A1174" s="9" t="s">
        <v>27</v>
      </c>
      <c r="B1174" s="2" t="s">
        <v>31</v>
      </c>
      <c r="C1174" s="2">
        <v>3204</v>
      </c>
      <c r="D1174" s="2">
        <v>834</v>
      </c>
      <c r="E1174" s="2" t="str">
        <f>"1000017553"</f>
        <v>1000017553</v>
      </c>
      <c r="F1174" s="4" t="str">
        <f>"TONER:LEX Item # 1382625-LEX, Lexmark Toner Cartridge for Optra S 1250/1250N/1650/1650N/450/ 2450N/ 4059 (Yld 17.6k)"</f>
        <v>TONER:LEX Item # 1382625-LEX, Lexmark Toner Cartridge for Optra S 1250/1250N/1650/1650N/450/ 2450N/ 4059 (Yld 17.6k)</v>
      </c>
      <c r="G1174" s="74" t="str">
        <f t="shared" si="78"/>
        <v>EA</v>
      </c>
      <c r="H1174" s="7">
        <v>277</v>
      </c>
      <c r="I1174" s="2" t="str">
        <f t="shared" si="79"/>
        <v>44103105</v>
      </c>
      <c r="J1174" s="10" t="s">
        <v>98</v>
      </c>
    </row>
    <row r="1175" spans="1:10" ht="51">
      <c r="A1175" s="9" t="s">
        <v>27</v>
      </c>
      <c r="B1175" s="2" t="s">
        <v>31</v>
      </c>
      <c r="C1175" s="2">
        <v>3204</v>
      </c>
      <c r="D1175" s="2">
        <v>848</v>
      </c>
      <c r="E1175" s="2" t="str">
        <f>"1000017554"</f>
        <v>1000017554</v>
      </c>
      <c r="F1175" s="4" t="str">
        <f>"TONER:LEX Item # 24015SA-LEX, Lexmark Toner Cartridge for Lexmark E232T, E240, E330, E332N, E340, E342n Printers, (Yld 2.5k)"</f>
        <v>TONER:LEX Item # 24015SA-LEX, Lexmark Toner Cartridge for Lexmark E232T, E240, E330, E332N, E340, E342n Printers, (Yld 2.5k)</v>
      </c>
      <c r="G1175" s="74" t="str">
        <f t="shared" si="78"/>
        <v>EA</v>
      </c>
      <c r="H1175" s="7">
        <v>94</v>
      </c>
      <c r="I1175" s="2" t="str">
        <f t="shared" si="79"/>
        <v>44103105</v>
      </c>
      <c r="J1175" s="10" t="s">
        <v>98</v>
      </c>
    </row>
    <row r="1176" spans="1:10" ht="51">
      <c r="A1176" s="9" t="s">
        <v>27</v>
      </c>
      <c r="B1176" s="2" t="s">
        <v>31</v>
      </c>
      <c r="C1176" s="2">
        <v>3204</v>
      </c>
      <c r="D1176" s="2">
        <v>840</v>
      </c>
      <c r="E1176" s="2" t="str">
        <f>"1000017556"</f>
        <v>1000017556</v>
      </c>
      <c r="F1176" s="4" t="str">
        <f>"TONER:LEX Item # 140198A-LEX, Lexmark Black Laser Toner Cartridge for Hewlett Packard HP 4 / 4M / 4 Plus / 4M Plus / 5 / 5M / 5N Laser Toner Printers. (Yld 6.8k)"</f>
        <v>TONER:LEX Item # 140198A-LEX, Lexmark Black Laser Toner Cartridge for Hewlett Packard HP 4 / 4M / 4 Plus / 4M Plus / 5 / 5M / 5N Laser Toner Printers. (Yld 6.8k)</v>
      </c>
      <c r="G1176" s="74" t="str">
        <f t="shared" si="78"/>
        <v>EA</v>
      </c>
      <c r="H1176" s="7">
        <v>86</v>
      </c>
      <c r="I1176" s="2" t="str">
        <f t="shared" si="79"/>
        <v>44103105</v>
      </c>
      <c r="J1176" s="10" t="s">
        <v>98</v>
      </c>
    </row>
    <row r="1177" spans="1:10" ht="63.75">
      <c r="A1177" s="9" t="s">
        <v>27</v>
      </c>
      <c r="B1177" s="2" t="s">
        <v>31</v>
      </c>
      <c r="C1177" s="2">
        <v>3204</v>
      </c>
      <c r="D1177" s="2">
        <v>841</v>
      </c>
      <c r="E1177" s="2" t="str">
        <f>"1000017557"</f>
        <v>1000017557</v>
      </c>
      <c r="F1177" s="4" t="str">
        <f>"TONER:LEX Item # 15G041C-LEX, Lexmark Cyan Toner Cartridge for Lexmark All-in-One Machines X752e, X762e, Lexmark Laser Printers C752 Series, C760 Series, C762 Series (Yld 6k)"</f>
        <v>TONER:LEX Item # 15G041C-LEX, Lexmark Cyan Toner Cartridge for Lexmark All-in-One Machines X752e, X762e, Lexmark Laser Printers C752 Series, C760 Series, C762 Series (Yld 6k)</v>
      </c>
      <c r="G1177" s="74" t="str">
        <f t="shared" si="78"/>
        <v>EA</v>
      </c>
      <c r="H1177" s="7">
        <v>298</v>
      </c>
      <c r="I1177" s="2" t="str">
        <f t="shared" si="79"/>
        <v>44103105</v>
      </c>
      <c r="J1177" s="10" t="s">
        <v>98</v>
      </c>
    </row>
    <row r="1178" spans="1:10" ht="63.75">
      <c r="A1178" s="9" t="s">
        <v>27</v>
      </c>
      <c r="B1178" s="2" t="s">
        <v>31</v>
      </c>
      <c r="C1178" s="2">
        <v>3204</v>
      </c>
      <c r="D1178" s="2">
        <v>842</v>
      </c>
      <c r="E1178" s="2" t="str">
        <f>"1000017558"</f>
        <v>1000017558</v>
      </c>
      <c r="F1178" s="4" t="str">
        <f>"TONER:LEX Item # 15G041K-LEX, Lexmark Black Toner Cartridge for Lexmark All-in-One Machines X752e, X762e, Lexmark Laser Printers C752 Series, C760 Series, C762 Series (Yld 6k)"</f>
        <v>TONER:LEX Item # 15G041K-LEX, Lexmark Black Toner Cartridge for Lexmark All-in-One Machines X752e, X762e, Lexmark Laser Printers C752 Series, C760 Series, C762 Series (Yld 6k)</v>
      </c>
      <c r="G1178" s="74" t="str">
        <f t="shared" si="78"/>
        <v>EA</v>
      </c>
      <c r="H1178" s="7">
        <v>145</v>
      </c>
      <c r="I1178" s="2" t="str">
        <f t="shared" si="79"/>
        <v>44103105</v>
      </c>
      <c r="J1178" s="10" t="s">
        <v>98</v>
      </c>
    </row>
    <row r="1179" spans="1:10" ht="63.75">
      <c r="A1179" s="9" t="s">
        <v>27</v>
      </c>
      <c r="B1179" s="2" t="s">
        <v>31</v>
      </c>
      <c r="C1179" s="2">
        <v>3204</v>
      </c>
      <c r="D1179" s="2">
        <v>843</v>
      </c>
      <c r="E1179" s="2" t="str">
        <f>"1000017559"</f>
        <v>1000017559</v>
      </c>
      <c r="F1179" s="4" t="str">
        <f>"TONER:LEX Item # 15G041M-LEX, Lexmark Magenta Toner Cartridge for Lexmark All-in-One Machines X752e, X762e, Lexmark Laser Printers C752 Series, C760 Series, C762 Series (Yld 6k)"</f>
        <v>TONER:LEX Item # 15G041M-LEX, Lexmark Magenta Toner Cartridge for Lexmark All-in-One Machines X752e, X762e, Lexmark Laser Printers C752 Series, C760 Series, C762 Series (Yld 6k)</v>
      </c>
      <c r="G1179" s="74" t="str">
        <f t="shared" si="78"/>
        <v>EA</v>
      </c>
      <c r="H1179" s="7">
        <v>291</v>
      </c>
      <c r="I1179" s="2" t="str">
        <f t="shared" si="79"/>
        <v>44103105</v>
      </c>
      <c r="J1179" s="10" t="s">
        <v>98</v>
      </c>
    </row>
    <row r="1180" spans="1:10" ht="51">
      <c r="A1180" s="9" t="s">
        <v>27</v>
      </c>
      <c r="B1180" s="2" t="s">
        <v>31</v>
      </c>
      <c r="C1180" s="2">
        <v>3204</v>
      </c>
      <c r="D1180" s="2">
        <v>855</v>
      </c>
      <c r="E1180" s="2" t="str">
        <f>"1000017560"</f>
        <v>1000017560</v>
      </c>
      <c r="F1180" s="4" t="str">
        <f>"TONER:LEX Item # C544X1KG-LEX, Lexmark Black extra high yield for C544, X544 can deliver prints up to 6,000 pages @ 5% Coverage"</f>
        <v>TONER:LEX Item # C544X1KG-LEX, Lexmark Black extra high yield for C544, X544 can deliver prints up to 6,000 pages @ 5% Coverage</v>
      </c>
      <c r="G1180" s="74" t="str">
        <f t="shared" si="78"/>
        <v>EA</v>
      </c>
      <c r="H1180" s="7">
        <v>149</v>
      </c>
      <c r="I1180" s="2" t="str">
        <f t="shared" si="79"/>
        <v>44103105</v>
      </c>
      <c r="J1180" s="10" t="s">
        <v>98</v>
      </c>
    </row>
    <row r="1181" spans="1:10" ht="38.25">
      <c r="A1181" s="9" t="s">
        <v>27</v>
      </c>
      <c r="B1181" s="2" t="s">
        <v>31</v>
      </c>
      <c r="C1181" s="2">
        <v>3204</v>
      </c>
      <c r="D1181" s="2">
        <v>856</v>
      </c>
      <c r="E1181" s="2" t="str">
        <f>"1000017561"</f>
        <v>1000017561</v>
      </c>
      <c r="F1181" s="4" t="str">
        <f>"TONER:LEX Item # E250A11A-LEX, Lexmark Black Toner Cartridge for Lexmark E250d / E250dn / E350d / E352dn (Yld 3.5k)"</f>
        <v>TONER:LEX Item # E250A11A-LEX, Lexmark Black Toner Cartridge for Lexmark E250d / E250dn / E350d / E352dn (Yld 3.5k)</v>
      </c>
      <c r="G1181" s="74" t="str">
        <f t="shared" si="78"/>
        <v>EA</v>
      </c>
      <c r="H1181" s="7">
        <v>105.99</v>
      </c>
      <c r="I1181" s="2" t="str">
        <f t="shared" si="79"/>
        <v>44103105</v>
      </c>
      <c r="J1181" s="10" t="s">
        <v>98</v>
      </c>
    </row>
    <row r="1182" spans="1:10" ht="38.25">
      <c r="A1182" s="9" t="s">
        <v>27</v>
      </c>
      <c r="B1182" s="2" t="s">
        <v>31</v>
      </c>
      <c r="C1182" s="2">
        <v>3204</v>
      </c>
      <c r="D1182" s="2">
        <v>373</v>
      </c>
      <c r="E1182" s="2" t="str">
        <f>"1000017562"</f>
        <v>1000017562</v>
      </c>
      <c r="F1182" s="4" t="str">
        <f>"INK CART:LEX Item # 15M0120-LEX, Lexmark No. 20 Color ink cartridge for Lexmark Z42/43/51/52/53/82 (Yld 275)"</f>
        <v>INK CART:LEX Item # 15M0120-LEX, Lexmark No. 20 Color ink cartridge for Lexmark Z42/43/51/52/53/82 (Yld 275)</v>
      </c>
      <c r="G1182" s="74" t="str">
        <f t="shared" si="78"/>
        <v>EA</v>
      </c>
      <c r="H1182" s="7">
        <v>53.08</v>
      </c>
      <c r="I1182" s="2" t="str">
        <f t="shared" si="79"/>
        <v>44103105</v>
      </c>
      <c r="J1182" s="10" t="s">
        <v>98</v>
      </c>
    </row>
    <row r="1183" spans="1:10" ht="38.25">
      <c r="A1183" s="9" t="s">
        <v>27</v>
      </c>
      <c r="B1183" s="2" t="s">
        <v>31</v>
      </c>
      <c r="C1183" s="2">
        <v>3204</v>
      </c>
      <c r="D1183" s="2">
        <v>374</v>
      </c>
      <c r="E1183" s="2" t="str">
        <f>"1000017563"</f>
        <v>1000017563</v>
      </c>
      <c r="F1183" s="4" t="str">
        <f>"INK CART:LEX Item # 15M0125-LEX, Lexmark No. 25 color ink cartridge for Lexmark Z42/43/51/52/53/82"</f>
        <v>INK CART:LEX Item # 15M0125-LEX, Lexmark No. 25 color ink cartridge for Lexmark Z42/43/51/52/53/82</v>
      </c>
      <c r="G1183" s="74" t="str">
        <f t="shared" si="78"/>
        <v>EA</v>
      </c>
      <c r="H1183" s="7">
        <v>52</v>
      </c>
      <c r="I1183" s="2" t="str">
        <f t="shared" si="79"/>
        <v>44103105</v>
      </c>
      <c r="J1183" s="10" t="s">
        <v>98</v>
      </c>
    </row>
    <row r="1184" spans="1:10" ht="38.25">
      <c r="A1184" s="9" t="s">
        <v>27</v>
      </c>
      <c r="B1184" s="2" t="s">
        <v>31</v>
      </c>
      <c r="C1184" s="2">
        <v>3204</v>
      </c>
      <c r="D1184" s="2">
        <v>375</v>
      </c>
      <c r="E1184" s="2" t="str">
        <f>"1000017564"</f>
        <v>1000017564</v>
      </c>
      <c r="F1184" s="4" t="str">
        <f>"INK CART:LEX Item # 15M2971-LEX, Lexmark No. 71 black inkjet cartridge for Color Jetprinters"</f>
        <v>INK CART:LEX Item # 15M2971-LEX, Lexmark No. 71 black inkjet cartridge for Color Jetprinters</v>
      </c>
      <c r="G1184" s="74" t="str">
        <f t="shared" si="78"/>
        <v>EA</v>
      </c>
      <c r="H1184" s="7">
        <v>25</v>
      </c>
      <c r="I1184" s="2" t="str">
        <f t="shared" si="79"/>
        <v>44103105</v>
      </c>
      <c r="J1184" s="10" t="s">
        <v>98</v>
      </c>
    </row>
    <row r="1185" spans="1:10" ht="51">
      <c r="A1185" s="9" t="s">
        <v>27</v>
      </c>
      <c r="B1185" s="2" t="s">
        <v>31</v>
      </c>
      <c r="C1185" s="2">
        <v>3204</v>
      </c>
      <c r="D1185" s="2">
        <v>376</v>
      </c>
      <c r="E1185" s="2" t="str">
        <f>"1000017565"</f>
        <v>1000017565</v>
      </c>
      <c r="F1185" s="4" t="str">
        <f>"INK CART:LEX Item # 16G0055-LEX, Lexmark No. 55 black inkjet cartridge for Lexmark P3150, P707, Z12, Z22, Z32, Z705, Z715, high yield, high resolution"</f>
        <v>INK CART:LEX Item # 16G0055-LEX, Lexmark No. 55 black inkjet cartridge for Lexmark P3150, P707, Z12, Z22, Z32, Z705, Z715, high yield, high resolution</v>
      </c>
      <c r="G1185" s="74" t="str">
        <f t="shared" si="78"/>
        <v>EA</v>
      </c>
      <c r="H1185" s="7">
        <v>48</v>
      </c>
      <c r="I1185" s="2" t="str">
        <f t="shared" si="79"/>
        <v>44103105</v>
      </c>
      <c r="J1185" s="10" t="s">
        <v>98</v>
      </c>
    </row>
    <row r="1186" spans="1:10" ht="51">
      <c r="A1186" s="9" t="s">
        <v>27</v>
      </c>
      <c r="B1186" s="2" t="s">
        <v>31</v>
      </c>
      <c r="C1186" s="2">
        <v>3204</v>
      </c>
      <c r="D1186" s="2">
        <v>866</v>
      </c>
      <c r="E1186" s="2" t="str">
        <f>"1000017566"</f>
        <v>1000017566</v>
      </c>
      <c r="F1186" s="4" t="str">
        <f>"TONER:MIT Item # 37046011-MTA, Toner Cartridge for Mita DC1605, DC1656, DC1657, DC1685, DC1855, DC2155 Copiers, 2/Box (Yld 10k)"</f>
        <v>TONER:MIT Item # 37046011-MTA, Toner Cartridge for Mita DC1605, DC1656, DC1657, DC1685, DC1855, DC2155 Copiers, 2/Box (Yld 10k)</v>
      </c>
      <c r="G1186" s="74" t="str">
        <f t="shared" si="78"/>
        <v>EA</v>
      </c>
      <c r="H1186" s="7">
        <v>40</v>
      </c>
      <c r="I1186" s="2" t="str">
        <f t="shared" si="79"/>
        <v>44103105</v>
      </c>
      <c r="J1186" s="10" t="s">
        <v>98</v>
      </c>
    </row>
    <row r="1187" spans="1:10" ht="38.25">
      <c r="A1187" s="9" t="s">
        <v>27</v>
      </c>
      <c r="B1187" s="2" t="s">
        <v>31</v>
      </c>
      <c r="C1187" s="2">
        <v>3204</v>
      </c>
      <c r="D1187" s="2">
        <v>845</v>
      </c>
      <c r="E1187" s="2" t="str">
        <f>"1000017567"</f>
        <v>1000017567</v>
      </c>
      <c r="F1187" s="4" t="str">
        <f>"TONER:LEX Item # 17G0152-LEX, Lexmark Black Toner Cartridge for Lexmark Optra M410 &amp; M412 Printers, (Yld 5k)"</f>
        <v>TONER:LEX Item # 17G0152-LEX, Lexmark Black Toner Cartridge for Lexmark Optra M410 &amp; M412 Printers, (Yld 5k)</v>
      </c>
      <c r="G1187" s="74" t="str">
        <f t="shared" si="78"/>
        <v>EA</v>
      </c>
      <c r="H1187" s="7">
        <v>130</v>
      </c>
      <c r="I1187" s="2" t="str">
        <f t="shared" si="79"/>
        <v>44103105</v>
      </c>
      <c r="J1187" s="10" t="s">
        <v>98</v>
      </c>
    </row>
    <row r="1188" spans="1:10" ht="38.25">
      <c r="A1188" s="9" t="s">
        <v>27</v>
      </c>
      <c r="B1188" s="2" t="s">
        <v>31</v>
      </c>
      <c r="C1188" s="2">
        <v>3204</v>
      </c>
      <c r="D1188" s="2">
        <v>846</v>
      </c>
      <c r="E1188" s="2" t="str">
        <f>"1000017568"</f>
        <v>1000017568</v>
      </c>
      <c r="F1188" s="4" t="str">
        <f>"TONER:LEX Item # 17G0154-BC, Brand Compatible toner cartridge for Lexmark Optra M410/M412 (Yld 15k)"</f>
        <v>TONER:LEX Item # 17G0154-BC, Brand Compatible toner cartridge for Lexmark Optra M410/M412 (Yld 15k)</v>
      </c>
      <c r="G1188" s="74" t="str">
        <f t="shared" si="78"/>
        <v>EA</v>
      </c>
      <c r="H1188" s="7">
        <v>107</v>
      </c>
      <c r="I1188" s="2" t="str">
        <f t="shared" si="79"/>
        <v>44103105</v>
      </c>
      <c r="J1188" s="10" t="s">
        <v>98</v>
      </c>
    </row>
    <row r="1189" spans="1:10" ht="38.25">
      <c r="A1189" s="9" t="s">
        <v>27</v>
      </c>
      <c r="B1189" s="2" t="s">
        <v>31</v>
      </c>
      <c r="C1189" s="2">
        <v>3204</v>
      </c>
      <c r="D1189" s="2">
        <v>379</v>
      </c>
      <c r="E1189" s="2" t="str">
        <f>"1000017569"</f>
        <v>1000017569</v>
      </c>
      <c r="F1189" s="4" t="str">
        <f>"INK CART:LEX Item # 18C0031-LEX, Lexmark No. 31 Color Photo Ink Cartridge for ColorJet Printers"</f>
        <v>INK CART:LEX Item # 18C0031-LEX, Lexmark No. 31 Color Photo Ink Cartridge for ColorJet Printers</v>
      </c>
      <c r="G1189" s="74" t="str">
        <f t="shared" si="78"/>
        <v>EA</v>
      </c>
      <c r="H1189" s="7">
        <v>34</v>
      </c>
      <c r="I1189" s="2" t="str">
        <f t="shared" si="79"/>
        <v>44103105</v>
      </c>
      <c r="J1189" s="10" t="s">
        <v>98</v>
      </c>
    </row>
    <row r="1190" spans="1:10" ht="38.25">
      <c r="A1190" s="9" t="s">
        <v>27</v>
      </c>
      <c r="B1190" s="2" t="s">
        <v>31</v>
      </c>
      <c r="C1190" s="2">
        <v>3204</v>
      </c>
      <c r="D1190" s="2">
        <v>847</v>
      </c>
      <c r="E1190" s="2" t="str">
        <f>"1000017570"</f>
        <v>1000017570</v>
      </c>
      <c r="F1190" s="4" t="str">
        <f>"TONER:LEX Item # 18C0032-LEX, Lexmark No. 32 Black Toner Cartridge for Lexmark Jetprinter and All-in-one printers"</f>
        <v>TONER:LEX Item # 18C0032-LEX, Lexmark No. 32 Black Toner Cartridge for Lexmark Jetprinter and All-in-one printers</v>
      </c>
      <c r="G1190" s="74" t="str">
        <f t="shared" si="78"/>
        <v>EA</v>
      </c>
      <c r="H1190" s="7">
        <v>31.32</v>
      </c>
      <c r="I1190" s="2" t="str">
        <f t="shared" si="79"/>
        <v>44103105</v>
      </c>
      <c r="J1190" s="10" t="s">
        <v>98</v>
      </c>
    </row>
    <row r="1191" spans="1:10" ht="38.25">
      <c r="A1191" s="9" t="s">
        <v>27</v>
      </c>
      <c r="B1191" s="2" t="s">
        <v>31</v>
      </c>
      <c r="C1191" s="2">
        <v>3204</v>
      </c>
      <c r="D1191" s="2">
        <v>380</v>
      </c>
      <c r="E1191" s="2" t="str">
        <f>"1000017571"</f>
        <v>1000017571</v>
      </c>
      <c r="F1191" s="4" t="str">
        <f>"INK CART:LEX Item # 18C0033-LEX, Lexmark No. 33 Color Inkjet Cartridge for X5250/ X5270/ X7170/ X7350, P315, P6250, Z816"</f>
        <v>INK CART:LEX Item # 18C0033-LEX, Lexmark No. 33 Color Inkjet Cartridge for X5250/ X5270/ X7170/ X7350, P315, P6250, Z816</v>
      </c>
      <c r="G1191" s="74" t="str">
        <f t="shared" si="78"/>
        <v>EA</v>
      </c>
      <c r="H1191" s="7">
        <v>32.32</v>
      </c>
      <c r="I1191" s="2" t="str">
        <f t="shared" si="79"/>
        <v>44103105</v>
      </c>
      <c r="J1191" s="10" t="s">
        <v>98</v>
      </c>
    </row>
    <row r="1192" spans="1:10" ht="51">
      <c r="A1192" s="9" t="s">
        <v>27</v>
      </c>
      <c r="B1192" s="2" t="s">
        <v>31</v>
      </c>
      <c r="C1192" s="2">
        <v>3204</v>
      </c>
      <c r="D1192" s="2">
        <v>381</v>
      </c>
      <c r="E1192" s="2" t="str">
        <f>"1000017572"</f>
        <v>1000017572</v>
      </c>
      <c r="F1192" s="4" t="str">
        <f>"INK CART:LEX Item # 18C0034-LEX, Lexmark No. 34 Ink, High Yield Black Inkjet Cartridge for X2500, X5075, X5250, X5270, X7170, X7350, Z1300 &amp; Z1420"</f>
        <v>INK CART:LEX Item # 18C0034-LEX, Lexmark No. 34 Ink, High Yield Black Inkjet Cartridge for X2500, X5075, X5250, X5270, X7170, X7350, Z1300 &amp; Z1420</v>
      </c>
      <c r="G1192" s="74" t="str">
        <f t="shared" ref="G1192:G1210" si="80">"EA"</f>
        <v>EA</v>
      </c>
      <c r="H1192" s="7">
        <v>36.19</v>
      </c>
      <c r="I1192" s="2" t="str">
        <f t="shared" si="79"/>
        <v>44103105</v>
      </c>
      <c r="J1192" s="10" t="s">
        <v>98</v>
      </c>
    </row>
    <row r="1193" spans="1:10" ht="63.75">
      <c r="A1193" s="9" t="s">
        <v>27</v>
      </c>
      <c r="B1193" s="2" t="s">
        <v>31</v>
      </c>
      <c r="C1193" s="2">
        <v>3204</v>
      </c>
      <c r="D1193" s="2">
        <v>875</v>
      </c>
      <c r="E1193" s="2" t="str">
        <f>"1000017573"</f>
        <v>1000017573</v>
      </c>
      <c r="F1193" s="4" t="str">
        <f>"TONER:OKI Item # 42127401-OKI, Yellow Toner Cartridge for Okidata C5100, C5150n, C5200n, C5400, C5400dn, C5400dtn, C5400n, C5400tn, C5510n &amp; C5300N Digital LED Color Printers. (Yld 5k)"</f>
        <v>TONER:OKI Item # 42127401-OKI, Yellow Toner Cartridge for Okidata C5100, C5150n, C5200n, C5400, C5400dn, C5400dtn, C5400n, C5400tn, C5510n &amp; C5300N Digital LED Color Printers. (Yld 5k)</v>
      </c>
      <c r="G1193" s="74" t="str">
        <f t="shared" si="80"/>
        <v>EA</v>
      </c>
      <c r="H1193" s="7">
        <v>143</v>
      </c>
      <c r="I1193" s="2" t="str">
        <f t="shared" si="79"/>
        <v>44103105</v>
      </c>
      <c r="J1193" s="10" t="s">
        <v>98</v>
      </c>
    </row>
    <row r="1194" spans="1:10" ht="63.75">
      <c r="A1194" s="9" t="s">
        <v>27</v>
      </c>
      <c r="B1194" s="2" t="s">
        <v>31</v>
      </c>
      <c r="C1194" s="2">
        <v>3204</v>
      </c>
      <c r="D1194" s="2">
        <v>876</v>
      </c>
      <c r="E1194" s="2" t="str">
        <f>"1000017574"</f>
        <v>1000017574</v>
      </c>
      <c r="F1194" s="4" t="str">
        <f>"TONER:OKI Item # 42127402-OKI, Magenta Toner Cartridge for Okidata C5100, C5200n, C5400, C5400dn, C5400dtn, C5400n, C5400tn, C5510n &amp; C5300N Digital LED Color Printers. (Yld 5k)"</f>
        <v>TONER:OKI Item # 42127402-OKI, Magenta Toner Cartridge for Okidata C5100, C5200n, C5400, C5400dn, C5400dtn, C5400n, C5400tn, C5510n &amp; C5300N Digital LED Color Printers. (Yld 5k)</v>
      </c>
      <c r="G1194" s="74" t="str">
        <f t="shared" si="80"/>
        <v>EA</v>
      </c>
      <c r="H1194" s="7">
        <v>143</v>
      </c>
      <c r="I1194" s="2" t="str">
        <f t="shared" si="79"/>
        <v>44103105</v>
      </c>
      <c r="J1194" s="10" t="s">
        <v>98</v>
      </c>
    </row>
    <row r="1195" spans="1:10" ht="38.25">
      <c r="A1195" s="9" t="s">
        <v>27</v>
      </c>
      <c r="B1195" s="2" t="s">
        <v>31</v>
      </c>
      <c r="C1195" s="2">
        <v>3204</v>
      </c>
      <c r="D1195" s="2">
        <v>384</v>
      </c>
      <c r="E1195" s="2" t="str">
        <f>"1000017575"</f>
        <v>1000017575</v>
      </c>
      <c r="F1195" s="4" t="str">
        <f>"INK CART:LEX Item # 18C1524-LEX, Lexmark No. 24 Color ink cartridge for X3430, X3550, X4550, Z1420"</f>
        <v>INK CART:LEX Item # 18C1524-LEX, Lexmark No. 24 Color ink cartridge for X3430, X3550, X4550, Z1420</v>
      </c>
      <c r="G1195" s="74" t="str">
        <f t="shared" si="80"/>
        <v>EA</v>
      </c>
      <c r="H1195" s="7">
        <v>24</v>
      </c>
      <c r="I1195" s="2" t="str">
        <f t="shared" si="79"/>
        <v>44103105</v>
      </c>
      <c r="J1195" s="10" t="s">
        <v>98</v>
      </c>
    </row>
    <row r="1196" spans="1:10" ht="38.25">
      <c r="A1196" s="9" t="s">
        <v>27</v>
      </c>
      <c r="B1196" s="2" t="s">
        <v>31</v>
      </c>
      <c r="C1196" s="2">
        <v>3204</v>
      </c>
      <c r="D1196" s="2">
        <v>385</v>
      </c>
      <c r="E1196" s="2" t="str">
        <f>"1000017576"</f>
        <v>1000017576</v>
      </c>
      <c r="F1196" s="4" t="str">
        <f>"INK CART:LEX Item # 18C2090-LEX, Lexmark No. 14 Black Ink Cartridge (18C2090) for X2600, X2650, Z2300 printers."</f>
        <v>INK CART:LEX Item # 18C2090-LEX, Lexmark No. 14 Black Ink Cartridge (18C2090) for X2600, X2650, Z2300 printers.</v>
      </c>
      <c r="G1196" s="74" t="str">
        <f t="shared" si="80"/>
        <v>EA</v>
      </c>
      <c r="H1196" s="7">
        <v>23</v>
      </c>
      <c r="I1196" s="2" t="str">
        <f t="shared" si="79"/>
        <v>44103105</v>
      </c>
      <c r="J1196" s="10" t="s">
        <v>98</v>
      </c>
    </row>
    <row r="1197" spans="1:10" ht="51">
      <c r="A1197" s="9" t="s">
        <v>27</v>
      </c>
      <c r="B1197" s="2" t="s">
        <v>31</v>
      </c>
      <c r="C1197" s="2">
        <v>3204</v>
      </c>
      <c r="D1197" s="2">
        <v>386</v>
      </c>
      <c r="E1197" s="2" t="str">
        <f>"1000017577"</f>
        <v>1000017577</v>
      </c>
      <c r="F1197" s="4" t="str">
        <f>"INK CART:LEX Item # 18L0032-LEX, Lexmark No. 82 Black Inkjet Cartridge for Z55, Z65, X5150, X6150, X6170 Color Jetprinters, High Resolution."</f>
        <v>INK CART:LEX Item # 18L0032-LEX, Lexmark No. 82 Black Inkjet Cartridge for Z55, Z65, X5150, X6150, X6170 Color Jetprinters, High Resolution.</v>
      </c>
      <c r="G1197" s="74" t="str">
        <f t="shared" si="80"/>
        <v>EA</v>
      </c>
      <c r="H1197" s="7">
        <v>42.86</v>
      </c>
      <c r="I1197" s="2" t="str">
        <f t="shared" si="79"/>
        <v>44103105</v>
      </c>
      <c r="J1197" s="10" t="s">
        <v>98</v>
      </c>
    </row>
    <row r="1198" spans="1:10" ht="51">
      <c r="A1198" s="9" t="s">
        <v>27</v>
      </c>
      <c r="B1198" s="2" t="s">
        <v>31</v>
      </c>
      <c r="C1198" s="2">
        <v>3204</v>
      </c>
      <c r="D1198" s="2">
        <v>387</v>
      </c>
      <c r="E1198" s="2" t="str">
        <f>"1000017578"</f>
        <v>1000017578</v>
      </c>
      <c r="F1198" s="4" t="str">
        <f>"INK CART:LEX Item # 18L0042-LEX, Lexmark No. 83 High Resolution Color Inkjet Cartridge for Z55, Z65, X5150, X6150, X6170 Color Jetprinters."</f>
        <v>INK CART:LEX Item # 18L0042-LEX, Lexmark No. 83 High Resolution Color Inkjet Cartridge for Z55, Z65, X5150, X6150, X6170 Color Jetprinters.</v>
      </c>
      <c r="G1198" s="74" t="str">
        <f t="shared" si="80"/>
        <v>EA</v>
      </c>
      <c r="H1198" s="7">
        <v>53.98</v>
      </c>
      <c r="I1198" s="2" t="str">
        <f t="shared" si="79"/>
        <v>44103105</v>
      </c>
      <c r="J1198" s="10" t="s">
        <v>98</v>
      </c>
    </row>
    <row r="1199" spans="1:10" ht="51">
      <c r="A1199" s="9" t="s">
        <v>27</v>
      </c>
      <c r="B1199" s="2" t="s">
        <v>31</v>
      </c>
      <c r="C1199" s="2">
        <v>3204</v>
      </c>
      <c r="D1199" s="2">
        <v>849</v>
      </c>
      <c r="E1199" s="2" t="str">
        <f>"1000017579"</f>
        <v>1000017579</v>
      </c>
      <c r="F1199" s="4" t="str">
        <f>"TONER:LEX Item # 34015HA-LEX, Laser Toner Cartridge for Lexmark E330, E332N, E340, E342n Printers, Single use only, (Yld 6k)"</f>
        <v>TONER:LEX Item # 34015HA-LEX, Laser Toner Cartridge for Lexmark E330, E332N, E340, E342n Printers, Single use only, (Yld 6k)</v>
      </c>
      <c r="G1199" s="74" t="str">
        <f t="shared" si="80"/>
        <v>EA</v>
      </c>
      <c r="H1199" s="7">
        <v>138</v>
      </c>
      <c r="I1199" s="2" t="str">
        <f t="shared" si="79"/>
        <v>44103105</v>
      </c>
      <c r="J1199" s="10" t="s">
        <v>98</v>
      </c>
    </row>
    <row r="1200" spans="1:10" ht="38.25">
      <c r="A1200" s="9" t="s">
        <v>27</v>
      </c>
      <c r="B1200" s="2" t="s">
        <v>31</v>
      </c>
      <c r="C1200" s="2">
        <v>3204</v>
      </c>
      <c r="D1200" s="2">
        <v>850</v>
      </c>
      <c r="E1200" s="2" t="str">
        <f>"1000017580"</f>
        <v>1000017580</v>
      </c>
      <c r="F1200" s="4" t="str">
        <f>"TONER:LEX Item # 64015HA-LEX, Lexmark Toner Cartridge for Lexmark T640, T642, T644 series Laser Printers, High-Capacity"</f>
        <v>TONER:LEX Item # 64015HA-LEX, Lexmark Toner Cartridge for Lexmark T640, T642, T644 series Laser Printers, High-Capacity</v>
      </c>
      <c r="G1200" s="74" t="str">
        <f t="shared" si="80"/>
        <v>EA</v>
      </c>
      <c r="H1200" s="7">
        <v>380.99</v>
      </c>
      <c r="I1200" s="2" t="str">
        <f t="shared" si="79"/>
        <v>44103105</v>
      </c>
      <c r="J1200" s="10" t="s">
        <v>98</v>
      </c>
    </row>
    <row r="1201" spans="1:10" ht="38.25">
      <c r="A1201" s="9" t="s">
        <v>27</v>
      </c>
      <c r="B1201" s="2" t="s">
        <v>31</v>
      </c>
      <c r="C1201" s="2">
        <v>3204</v>
      </c>
      <c r="D1201" s="2">
        <v>851</v>
      </c>
      <c r="E1201" s="2" t="str">
        <f>"1000017581"</f>
        <v>1000017581</v>
      </c>
      <c r="F1201" s="4" t="str">
        <f>"TONER:LEX Item # 64015SA-LEX, Lexmark Black Toner Cartridge for Lexmark T640, T642, T644 series Laser Printers."</f>
        <v>TONER:LEX Item # 64015SA-LEX, Lexmark Black Toner Cartridge for Lexmark T640, T642, T644 series Laser Printers.</v>
      </c>
      <c r="G1201" s="74" t="str">
        <f t="shared" si="80"/>
        <v>EA</v>
      </c>
      <c r="H1201" s="7">
        <v>156</v>
      </c>
      <c r="I1201" s="2" t="str">
        <f t="shared" si="79"/>
        <v>44103105</v>
      </c>
      <c r="J1201" s="10" t="s">
        <v>98</v>
      </c>
    </row>
    <row r="1202" spans="1:10" ht="38.25">
      <c r="A1202" s="9" t="s">
        <v>27</v>
      </c>
      <c r="B1202" s="2" t="s">
        <v>31</v>
      </c>
      <c r="C1202" s="2">
        <v>3204</v>
      </c>
      <c r="D1202" s="2">
        <v>852</v>
      </c>
      <c r="E1202" s="2" t="str">
        <f>"1000017582"</f>
        <v>1000017582</v>
      </c>
      <c r="F1202" s="4" t="str">
        <f>"TONER:LEX Item # 64415XA-LEX, Lexmark Toner Cartridge for Lexmark T644 Laser Printers, high capacity"</f>
        <v>TONER:LEX Item # 64415XA-LEX, Lexmark Toner Cartridge for Lexmark T644 Laser Printers, high capacity</v>
      </c>
      <c r="G1202" s="74" t="str">
        <f t="shared" si="80"/>
        <v>EA</v>
      </c>
      <c r="H1202" s="7">
        <v>429</v>
      </c>
      <c r="I1202" s="2" t="str">
        <f t="shared" si="79"/>
        <v>44103105</v>
      </c>
      <c r="J1202" s="10" t="s">
        <v>98</v>
      </c>
    </row>
    <row r="1203" spans="1:10" ht="51">
      <c r="A1203" s="9" t="s">
        <v>27</v>
      </c>
      <c r="B1203" s="2" t="s">
        <v>31</v>
      </c>
      <c r="C1203" s="2">
        <v>3204</v>
      </c>
      <c r="D1203" s="2">
        <v>853</v>
      </c>
      <c r="E1203" s="2" t="str">
        <f>"1000017583"</f>
        <v>1000017583</v>
      </c>
      <c r="F1203" s="4" t="str">
        <f>"TONER:LEX Item # 69G8256-BC, Brand Compatible Laser Toner Cartridge for Lexmark Optra E / Et / Ep / Es Printers (Yld 3k)"</f>
        <v>TONER:LEX Item # 69G8256-BC, Brand Compatible Laser Toner Cartridge for Lexmark Optra E / Et / Ep / Es Printers (Yld 3k)</v>
      </c>
      <c r="G1203" s="74" t="str">
        <f t="shared" si="80"/>
        <v>EA</v>
      </c>
      <c r="H1203" s="7">
        <v>39</v>
      </c>
      <c r="I1203" s="2" t="str">
        <f t="shared" si="79"/>
        <v>44103105</v>
      </c>
      <c r="J1203" s="10" t="s">
        <v>98</v>
      </c>
    </row>
    <row r="1204" spans="1:10" ht="38.25">
      <c r="A1204" s="9" t="s">
        <v>27</v>
      </c>
      <c r="B1204" s="2" t="s">
        <v>31</v>
      </c>
      <c r="C1204" s="2">
        <v>3204</v>
      </c>
      <c r="D1204" s="2">
        <v>854</v>
      </c>
      <c r="E1204" s="2" t="str">
        <f>"1000017584"</f>
        <v>1000017584</v>
      </c>
      <c r="F1204" s="4" t="str">
        <f>"TONER:LEX Item # 69G8256-LEX, Lexmark Toner Cartridge for Lexmark Optra E, Et, Ep, Es Printers (Yld 3k)"</f>
        <v>TONER:LEX Item # 69G8256-LEX, Lexmark Toner Cartridge for Lexmark Optra E, Et, Ep, Es Printers (Yld 3k)</v>
      </c>
      <c r="G1204" s="74" t="str">
        <f t="shared" si="80"/>
        <v>EA</v>
      </c>
      <c r="H1204" s="7">
        <v>85</v>
      </c>
      <c r="I1204" s="2" t="str">
        <f t="shared" si="79"/>
        <v>44103105</v>
      </c>
      <c r="J1204" s="10" t="s">
        <v>98</v>
      </c>
    </row>
    <row r="1205" spans="1:10" ht="51">
      <c r="A1205" s="9" t="s">
        <v>27</v>
      </c>
      <c r="B1205" s="2" t="s">
        <v>31</v>
      </c>
      <c r="C1205" s="2">
        <v>3204</v>
      </c>
      <c r="D1205" s="2">
        <v>888</v>
      </c>
      <c r="E1205" s="2" t="str">
        <f>"1000017585"</f>
        <v>1000017585</v>
      </c>
      <c r="F1205" s="4" t="str">
        <f>"TONER:OKI Item # 43324403-OKI, Okidata Cyan laser toner cartridge, high capacity, 5,000 page yield, for C5500N and C5800 LDN printers"</f>
        <v>TONER:OKI Item # 43324403-OKI, Okidata Cyan laser toner cartridge, high capacity, 5,000 page yield, for C5500N and C5800 LDN printers</v>
      </c>
      <c r="G1205" s="74" t="str">
        <f t="shared" si="80"/>
        <v>EA</v>
      </c>
      <c r="H1205" s="7">
        <v>165</v>
      </c>
      <c r="I1205" s="2" t="str">
        <f t="shared" ref="I1205:I1236" si="81">"44103105"</f>
        <v>44103105</v>
      </c>
      <c r="J1205" s="10" t="s">
        <v>98</v>
      </c>
    </row>
    <row r="1206" spans="1:10" ht="51">
      <c r="A1206" s="9" t="s">
        <v>27</v>
      </c>
      <c r="B1206" s="2" t="s">
        <v>31</v>
      </c>
      <c r="C1206" s="2">
        <v>3204</v>
      </c>
      <c r="D1206" s="2">
        <v>889</v>
      </c>
      <c r="E1206" s="2" t="str">
        <f>"1000017586"</f>
        <v>1000017586</v>
      </c>
      <c r="F1206" s="4" t="str">
        <f>"TONER:OKI Item # 43324404-OKI, Okidata Black laser toner cartridge, high capacity, 5,000 page yield, for C5500N and C5800 LDN printers"</f>
        <v>TONER:OKI Item # 43324404-OKI, Okidata Black laser toner cartridge, high capacity, 5,000 page yield, for C5500N and C5800 LDN printers</v>
      </c>
      <c r="G1206" s="74" t="str">
        <f t="shared" si="80"/>
        <v>EA</v>
      </c>
      <c r="H1206" s="7">
        <v>100</v>
      </c>
      <c r="I1206" s="2" t="str">
        <f t="shared" si="81"/>
        <v>44103105</v>
      </c>
      <c r="J1206" s="10" t="s">
        <v>98</v>
      </c>
    </row>
    <row r="1207" spans="1:10" ht="38.25">
      <c r="A1207" s="9" t="s">
        <v>27</v>
      </c>
      <c r="B1207" s="2" t="s">
        <v>31</v>
      </c>
      <c r="C1207" s="2">
        <v>3204</v>
      </c>
      <c r="D1207" s="2">
        <v>890</v>
      </c>
      <c r="E1207" s="2" t="str">
        <f>"1000017587"</f>
        <v>1000017587</v>
      </c>
      <c r="F1207" s="4" t="str">
        <f>"TONER:OKI Item # 43381902-OKI, Magenta Toner Cartridge for Okidata C5500, 5800, C5650dn &amp; C5650n Printers. (Yld 2k)"</f>
        <v>TONER:OKI Item # 43381902-OKI, Magenta Toner Cartridge for Okidata C5500, 5800, C5650dn &amp; C5650n Printers. (Yld 2k)</v>
      </c>
      <c r="G1207" s="74" t="str">
        <f t="shared" si="80"/>
        <v>EA</v>
      </c>
      <c r="H1207" s="7">
        <v>90.16</v>
      </c>
      <c r="I1207" s="2" t="str">
        <f t="shared" si="81"/>
        <v>44103105</v>
      </c>
      <c r="J1207" s="10" t="s">
        <v>98</v>
      </c>
    </row>
    <row r="1208" spans="1:10" ht="38.25">
      <c r="A1208" s="9" t="s">
        <v>27</v>
      </c>
      <c r="B1208" s="2" t="s">
        <v>31</v>
      </c>
      <c r="C1208" s="2">
        <v>3204</v>
      </c>
      <c r="D1208" s="2">
        <v>857</v>
      </c>
      <c r="E1208" s="2" t="str">
        <f>"1000017588"</f>
        <v>1000017588</v>
      </c>
      <c r="F1208" s="4" t="str">
        <f>"TONER:LEX Item # W84020H-LEX, Lexmark High Yield Toner Cartridge for Lexmark W840 printer"</f>
        <v>TONER:LEX Item # W84020H-LEX, Lexmark High Yield Toner Cartridge for Lexmark W840 printer</v>
      </c>
      <c r="G1208" s="74" t="str">
        <f t="shared" si="80"/>
        <v>EA</v>
      </c>
      <c r="H1208" s="7">
        <v>232.49</v>
      </c>
      <c r="I1208" s="2" t="str">
        <f t="shared" si="81"/>
        <v>44103105</v>
      </c>
      <c r="J1208" s="10" t="s">
        <v>98</v>
      </c>
    </row>
    <row r="1209" spans="1:10" ht="38.25">
      <c r="A1209" s="9" t="s">
        <v>27</v>
      </c>
      <c r="B1209" s="2" t="s">
        <v>31</v>
      </c>
      <c r="C1209" s="2">
        <v>3204</v>
      </c>
      <c r="D1209" s="2">
        <v>798</v>
      </c>
      <c r="E1209" s="2" t="str">
        <f>"1000017589"</f>
        <v>1000017589</v>
      </c>
      <c r="F1209" s="4" t="str">
        <f>"TONER:LEX Item #08A0478-LEX, Lexmark Toner Cartridge for Optra E320/E322 Laser Printers, Black. (Yld 6k)"</f>
        <v>TONER:LEX Item #08A0478-LEX, Lexmark Toner Cartridge for Optra E320/E322 Laser Printers, Black. (Yld 6k)</v>
      </c>
      <c r="G1209" s="74" t="str">
        <f t="shared" si="80"/>
        <v>EA</v>
      </c>
      <c r="H1209" s="7">
        <v>158.99</v>
      </c>
      <c r="I1209" s="2" t="str">
        <f t="shared" si="81"/>
        <v>44103105</v>
      </c>
      <c r="J1209" s="10" t="s">
        <v>98</v>
      </c>
    </row>
    <row r="1210" spans="1:10" ht="38.25">
      <c r="A1210" s="9" t="s">
        <v>27</v>
      </c>
      <c r="B1210" s="2" t="s">
        <v>31</v>
      </c>
      <c r="C1210" s="2">
        <v>3204</v>
      </c>
      <c r="D1210" s="2">
        <v>864</v>
      </c>
      <c r="E1210" s="2" t="str">
        <f>"1000017590"</f>
        <v>1000017590</v>
      </c>
      <c r="F1210" s="4" t="str">
        <f>"TONER:MIN Item # 1710434001-BC, Brand Compatible Toner Cartridge for Minolta Pageworks 20 &amp; 20N printers"</f>
        <v>TONER:MIN Item # 1710434001-BC, Brand Compatible Toner Cartridge for Minolta Pageworks 20 &amp; 20N printers</v>
      </c>
      <c r="G1210" s="74" t="str">
        <f t="shared" si="80"/>
        <v>EA</v>
      </c>
      <c r="H1210" s="7">
        <v>130</v>
      </c>
      <c r="I1210" s="2" t="str">
        <f t="shared" si="81"/>
        <v>44103105</v>
      </c>
      <c r="J1210" s="10" t="s">
        <v>98</v>
      </c>
    </row>
    <row r="1211" spans="1:10" ht="38.25">
      <c r="A1211" s="9" t="s">
        <v>27</v>
      </c>
      <c r="B1211" s="2" t="s">
        <v>31</v>
      </c>
      <c r="C1211" s="2">
        <v>3204</v>
      </c>
      <c r="D1211" s="2">
        <v>865</v>
      </c>
      <c r="E1211" s="2" t="str">
        <f>"1000017591"</f>
        <v>1000017591</v>
      </c>
      <c r="F1211" s="4" t="str">
        <f>"TONER:MIT Item # 37045011-MTA, Black Toner Cartridge for Mita 3648, 250gm bottle, 2 bottles per box"</f>
        <v>TONER:MIT Item # 37045011-MTA, Black Toner Cartridge for Mita 3648, 250gm bottle, 2 bottles per box</v>
      </c>
      <c r="G1211" s="74" t="str">
        <f>"BX"</f>
        <v>BX</v>
      </c>
      <c r="H1211" s="7">
        <v>52</v>
      </c>
      <c r="I1211" s="2" t="str">
        <f t="shared" si="81"/>
        <v>44103105</v>
      </c>
      <c r="J1211" s="10" t="s">
        <v>98</v>
      </c>
    </row>
    <row r="1212" spans="1:10" ht="38.25">
      <c r="A1212" s="9" t="s">
        <v>27</v>
      </c>
      <c r="B1212" s="2" t="s">
        <v>31</v>
      </c>
      <c r="C1212" s="2">
        <v>3204</v>
      </c>
      <c r="D1212" s="2">
        <v>870</v>
      </c>
      <c r="E1212" s="2" t="str">
        <f>"1000017592"</f>
        <v>1000017592</v>
      </c>
      <c r="F1212" s="4" t="str">
        <f>"TONER:OKI Item # 40815606-OKI, Black Toner Cartridge for Okidata OkiFax 5700, 5750, 5950 &amp; 5900 Fax Machines, (Yld 3k)"</f>
        <v>TONER:OKI Item # 40815606-OKI, Black Toner Cartridge for Okidata OkiFax 5700, 5750, 5950 &amp; 5900 Fax Machines, (Yld 3k)</v>
      </c>
      <c r="G1212" s="74" t="str">
        <f t="shared" ref="G1212:G1243" si="82">"EA"</f>
        <v>EA</v>
      </c>
      <c r="H1212" s="7">
        <v>37.89</v>
      </c>
      <c r="I1212" s="2" t="str">
        <f t="shared" si="81"/>
        <v>44103105</v>
      </c>
      <c r="J1212" s="10" t="s">
        <v>98</v>
      </c>
    </row>
    <row r="1213" spans="1:10" ht="51">
      <c r="A1213" s="9" t="s">
        <v>27</v>
      </c>
      <c r="B1213" s="2" t="s">
        <v>31</v>
      </c>
      <c r="C1213" s="2">
        <v>3204</v>
      </c>
      <c r="D1213" s="2">
        <v>871</v>
      </c>
      <c r="E1213" s="2" t="str">
        <f>"1000017593"</f>
        <v>1000017593</v>
      </c>
      <c r="F1213" s="4" t="str">
        <f>"TONER:OKI Item # 41963001-OKI, Okidata Type C4 Yellow Toner Cartridge for C7100, C7300, C7350, C7550, C7500 Series Digital Printers, (Yld 10k)"</f>
        <v>TONER:OKI Item # 41963001-OKI, Okidata Type C4 Yellow Toner Cartridge for C7100, C7300, C7350, C7550, C7500 Series Digital Printers, (Yld 10k)</v>
      </c>
      <c r="G1213" s="74" t="str">
        <f t="shared" si="82"/>
        <v>EA</v>
      </c>
      <c r="H1213" s="7">
        <v>183</v>
      </c>
      <c r="I1213" s="2" t="str">
        <f t="shared" si="81"/>
        <v>44103105</v>
      </c>
      <c r="J1213" s="10" t="s">
        <v>98</v>
      </c>
    </row>
    <row r="1214" spans="1:10" ht="51">
      <c r="A1214" s="9" t="s">
        <v>27</v>
      </c>
      <c r="B1214" s="2" t="s">
        <v>31</v>
      </c>
      <c r="C1214" s="2">
        <v>3204</v>
      </c>
      <c r="D1214" s="2">
        <v>872</v>
      </c>
      <c r="E1214" s="2" t="str">
        <f>"1000017594"</f>
        <v>1000017594</v>
      </c>
      <c r="F1214" s="4" t="str">
        <f>"TONER:OKI Item # 41963002-OKI, Okidata Type C4 Magenta Toner Cartridge for C7100, C7300, C7350, C7550, C7500 Series Digital Printers, (Yld 10k)"</f>
        <v>TONER:OKI Item # 41963002-OKI, Okidata Type C4 Magenta Toner Cartridge for C7100, C7300, C7350, C7550, C7500 Series Digital Printers, (Yld 10k)</v>
      </c>
      <c r="G1214" s="74" t="str">
        <f t="shared" si="82"/>
        <v>EA</v>
      </c>
      <c r="H1214" s="7">
        <v>188</v>
      </c>
      <c r="I1214" s="2" t="str">
        <f t="shared" si="81"/>
        <v>44103105</v>
      </c>
      <c r="J1214" s="10" t="s">
        <v>98</v>
      </c>
    </row>
    <row r="1215" spans="1:10" ht="51">
      <c r="A1215" s="9" t="s">
        <v>27</v>
      </c>
      <c r="B1215" s="2" t="s">
        <v>31</v>
      </c>
      <c r="C1215" s="2">
        <v>3204</v>
      </c>
      <c r="D1215" s="2">
        <v>873</v>
      </c>
      <c r="E1215" s="2" t="str">
        <f>"1000017595"</f>
        <v>1000017595</v>
      </c>
      <c r="F1215" s="4" t="str">
        <f>"TONER:OKI Item # 41963003-OKI, Okidata Type C4 Cyan Toner Cartridge for C7100, C7300, C7350, C7550, C7500 Series Digital Printers, (Yld 10k)"</f>
        <v>TONER:OKI Item # 41963003-OKI, Okidata Type C4 Cyan Toner Cartridge for C7100, C7300, C7350, C7550, C7500 Series Digital Printers, (Yld 10k)</v>
      </c>
      <c r="G1215" s="74" t="str">
        <f t="shared" si="82"/>
        <v>EA</v>
      </c>
      <c r="H1215" s="7">
        <v>188</v>
      </c>
      <c r="I1215" s="2" t="str">
        <f t="shared" si="81"/>
        <v>44103105</v>
      </c>
      <c r="J1215" s="10" t="s">
        <v>98</v>
      </c>
    </row>
    <row r="1216" spans="1:10" ht="51">
      <c r="A1216" s="9" t="s">
        <v>27</v>
      </c>
      <c r="B1216" s="2" t="s">
        <v>31</v>
      </c>
      <c r="C1216" s="2">
        <v>3204</v>
      </c>
      <c r="D1216" s="2">
        <v>874</v>
      </c>
      <c r="E1216" s="2" t="str">
        <f>"1000017596"</f>
        <v>1000017596</v>
      </c>
      <c r="F1216" s="4" t="str">
        <f>"TONER:OKI Item # 41963004-OKI, Okidata Type C4 Black Toner Cartridge for C7100, C7300, C7350, C7550, C7500 Series Digital Printers, (Yld 10k)"</f>
        <v>TONER:OKI Item # 41963004-OKI, Okidata Type C4 Black Toner Cartridge for C7100, C7300, C7350, C7550, C7500 Series Digital Printers, (Yld 10k)</v>
      </c>
      <c r="G1216" s="74" t="str">
        <f t="shared" si="82"/>
        <v>EA</v>
      </c>
      <c r="H1216" s="7">
        <v>101</v>
      </c>
      <c r="I1216" s="2" t="str">
        <f t="shared" si="81"/>
        <v>44103105</v>
      </c>
      <c r="J1216" s="10" t="s">
        <v>98</v>
      </c>
    </row>
    <row r="1217" spans="1:10" ht="25.5">
      <c r="A1217" s="9" t="s">
        <v>27</v>
      </c>
      <c r="B1217" s="2" t="s">
        <v>31</v>
      </c>
      <c r="C1217" s="2">
        <v>3204</v>
      </c>
      <c r="D1217" s="2">
        <v>391</v>
      </c>
      <c r="E1217" s="2" t="str">
        <f>"1000017597"</f>
        <v>1000017597</v>
      </c>
      <c r="F1217" s="4" t="str">
        <f>"INK CART:PRI Item # 53330-PRI, Primera Color ink Cartridge for Bravo II printer"</f>
        <v>INK CART:PRI Item # 53330-PRI, Primera Color ink Cartridge for Bravo II printer</v>
      </c>
      <c r="G1217" s="74" t="str">
        <f t="shared" si="82"/>
        <v>EA</v>
      </c>
      <c r="H1217" s="7">
        <v>43</v>
      </c>
      <c r="I1217" s="2" t="str">
        <f t="shared" si="81"/>
        <v>44103105</v>
      </c>
      <c r="J1217" s="10" t="s">
        <v>98</v>
      </c>
    </row>
    <row r="1218" spans="1:10" ht="25.5">
      <c r="A1218" s="9" t="s">
        <v>27</v>
      </c>
      <c r="B1218" s="2" t="s">
        <v>31</v>
      </c>
      <c r="C1218" s="2">
        <v>3204</v>
      </c>
      <c r="D1218" s="2">
        <v>392</v>
      </c>
      <c r="E1218" s="2" t="str">
        <f>"1000017598"</f>
        <v>1000017598</v>
      </c>
      <c r="F1218" s="4" t="str">
        <f>"INK CART:PRI Item # 53331-PRI, Primera Black ink Cartridge for Bravo II printer"</f>
        <v>INK CART:PRI Item # 53331-PRI, Primera Black ink Cartridge for Bravo II printer</v>
      </c>
      <c r="G1218" s="74" t="str">
        <f t="shared" si="82"/>
        <v>EA</v>
      </c>
      <c r="H1218" s="7">
        <v>43</v>
      </c>
      <c r="I1218" s="2" t="str">
        <f t="shared" si="81"/>
        <v>44103105</v>
      </c>
      <c r="J1218" s="10" t="s">
        <v>98</v>
      </c>
    </row>
    <row r="1219" spans="1:10" ht="38.25">
      <c r="A1219" s="9" t="s">
        <v>27</v>
      </c>
      <c r="B1219" s="2" t="s">
        <v>31</v>
      </c>
      <c r="C1219" s="2">
        <v>3204</v>
      </c>
      <c r="D1219" s="2">
        <v>905</v>
      </c>
      <c r="E1219" s="2" t="str">
        <f>"1000017599"</f>
        <v>1000017599</v>
      </c>
      <c r="F1219" s="4" t="str">
        <f>"TONER:QMS Item # 1710517002-QMS, Magicolor 2300DL/2350EN Standard Yield Toner, Yellow (Yld 1.5k)"</f>
        <v>TONER:QMS Item # 1710517002-QMS, Magicolor 2300DL/2350EN Standard Yield Toner, Yellow (Yld 1.5k)</v>
      </c>
      <c r="G1219" s="74" t="str">
        <f t="shared" si="82"/>
        <v>EA</v>
      </c>
      <c r="H1219" s="7">
        <v>70</v>
      </c>
      <c r="I1219" s="2" t="str">
        <f t="shared" si="81"/>
        <v>44103105</v>
      </c>
      <c r="J1219" s="10" t="s">
        <v>98</v>
      </c>
    </row>
    <row r="1220" spans="1:10" ht="38.25">
      <c r="A1220" s="9" t="s">
        <v>27</v>
      </c>
      <c r="B1220" s="2" t="s">
        <v>31</v>
      </c>
      <c r="C1220" s="2">
        <v>3204</v>
      </c>
      <c r="D1220" s="2">
        <v>906</v>
      </c>
      <c r="E1220" s="2" t="str">
        <f>"1000017600"</f>
        <v>1000017600</v>
      </c>
      <c r="F1220" s="4" t="str">
        <f>"TONER:QMS Item # 1710517003-QMS, Magicolor 2300DL/2350EN Standard Yield Toner, Magenta (Yld 1.5k)"</f>
        <v>TONER:QMS Item # 1710517003-QMS, Magicolor 2300DL/2350EN Standard Yield Toner, Magenta (Yld 1.5k)</v>
      </c>
      <c r="G1220" s="74" t="str">
        <f t="shared" si="82"/>
        <v>EA</v>
      </c>
      <c r="H1220" s="7">
        <v>69</v>
      </c>
      <c r="I1220" s="2" t="str">
        <f t="shared" si="81"/>
        <v>44103105</v>
      </c>
      <c r="J1220" s="10" t="s">
        <v>98</v>
      </c>
    </row>
    <row r="1221" spans="1:10" ht="63.75">
      <c r="A1221" s="9" t="s">
        <v>27</v>
      </c>
      <c r="B1221" s="2" t="s">
        <v>31</v>
      </c>
      <c r="C1221" s="2">
        <v>3204</v>
      </c>
      <c r="D1221" s="2">
        <v>877</v>
      </c>
      <c r="E1221" s="2" t="str">
        <f>"1000017601"</f>
        <v>1000017601</v>
      </c>
      <c r="F1221" s="4" t="str">
        <f>"TONER:OKI Item # 42127403-OKI, Cyan Toner Cartridge for Okidata C5100, C5150n, C5200n, C5400, C5400dn, C5400dtn, C5400n, C5400tn, C5510n &amp; C5300N Digital LED Color Printers. (Yld 5k)"</f>
        <v>TONER:OKI Item # 42127403-OKI, Cyan Toner Cartridge for Okidata C5100, C5150n, C5200n, C5400, C5400dn, C5400dtn, C5400n, C5400tn, C5510n &amp; C5300N Digital LED Color Printers. (Yld 5k)</v>
      </c>
      <c r="G1221" s="74" t="str">
        <f t="shared" si="82"/>
        <v>EA</v>
      </c>
      <c r="H1221" s="7">
        <v>142</v>
      </c>
      <c r="I1221" s="2" t="str">
        <f t="shared" si="81"/>
        <v>44103105</v>
      </c>
      <c r="J1221" s="10" t="s">
        <v>98</v>
      </c>
    </row>
    <row r="1222" spans="1:10" ht="38.25">
      <c r="A1222" s="9" t="s">
        <v>27</v>
      </c>
      <c r="B1222" s="2" t="s">
        <v>31</v>
      </c>
      <c r="C1222" s="2">
        <v>3204</v>
      </c>
      <c r="D1222" s="2">
        <v>878</v>
      </c>
      <c r="E1222" s="2" t="str">
        <f>"1000017602"</f>
        <v>1000017602</v>
      </c>
      <c r="F1222" s="4" t="str">
        <f>"TONER:OKI Item # 42127404-OKI, Black Toner Cartridge for Okidata C5100 &amp; C5300N Digital LED Color Printers. (Yld 5k)"</f>
        <v>TONER:OKI Item # 42127404-OKI, Black Toner Cartridge for Okidata C5100 &amp; C5300N Digital LED Color Printers. (Yld 5k)</v>
      </c>
      <c r="G1222" s="74" t="str">
        <f t="shared" si="82"/>
        <v>EA</v>
      </c>
      <c r="H1222" s="7">
        <v>63</v>
      </c>
      <c r="I1222" s="2" t="str">
        <f t="shared" si="81"/>
        <v>44103105</v>
      </c>
      <c r="J1222" s="10" t="s">
        <v>98</v>
      </c>
    </row>
    <row r="1223" spans="1:10" ht="38.25">
      <c r="A1223" s="9" t="s">
        <v>27</v>
      </c>
      <c r="B1223" s="2" t="s">
        <v>31</v>
      </c>
      <c r="C1223" s="2">
        <v>3204</v>
      </c>
      <c r="D1223" s="2">
        <v>879</v>
      </c>
      <c r="E1223" s="2" t="str">
        <f>"1000017603"</f>
        <v>1000017603</v>
      </c>
      <c r="F1223" s="4" t="str">
        <f>"TONER:OKI Item # 42804501-OKI, Okidata Yellow toner cartridge 3,000 page yield for Okidata C5100, C5150, C5300 and C5400"</f>
        <v>TONER:OKI Item # 42804501-OKI, Okidata Yellow toner cartridge 3,000 page yield for Okidata C5100, C5150, C5300 and C5400</v>
      </c>
      <c r="G1223" s="74" t="str">
        <f t="shared" si="82"/>
        <v>EA</v>
      </c>
      <c r="H1223" s="7">
        <v>115</v>
      </c>
      <c r="I1223" s="2" t="str">
        <f t="shared" si="81"/>
        <v>44103105</v>
      </c>
      <c r="J1223" s="10" t="s">
        <v>98</v>
      </c>
    </row>
    <row r="1224" spans="1:10" ht="51">
      <c r="A1224" s="9" t="s">
        <v>27</v>
      </c>
      <c r="B1224" s="2" t="s">
        <v>31</v>
      </c>
      <c r="C1224" s="2">
        <v>3204</v>
      </c>
      <c r="D1224" s="2">
        <v>880</v>
      </c>
      <c r="E1224" s="2" t="str">
        <f>"1000017604"</f>
        <v>1000017604</v>
      </c>
      <c r="F1224" s="4" t="str">
        <f>"TONER:OKI Item # 42804502-OKI, Okidata Magenta toner cartridge 3,000 page yield for Okidata C5100, C5150, C5300 and C5400"</f>
        <v>TONER:OKI Item # 42804502-OKI, Okidata Magenta toner cartridge 3,000 page yield for Okidata C5100, C5150, C5300 and C5400</v>
      </c>
      <c r="G1224" s="74" t="str">
        <f t="shared" si="82"/>
        <v>EA</v>
      </c>
      <c r="H1224" s="7">
        <v>115</v>
      </c>
      <c r="I1224" s="2" t="str">
        <f t="shared" si="81"/>
        <v>44103105</v>
      </c>
      <c r="J1224" s="10" t="s">
        <v>98</v>
      </c>
    </row>
    <row r="1225" spans="1:10" ht="38.25">
      <c r="A1225" s="9" t="s">
        <v>27</v>
      </c>
      <c r="B1225" s="2" t="s">
        <v>31</v>
      </c>
      <c r="C1225" s="2">
        <v>3204</v>
      </c>
      <c r="D1225" s="2">
        <v>883</v>
      </c>
      <c r="E1225" s="2" t="str">
        <f>"1000017605"</f>
        <v>1000017605</v>
      </c>
      <c r="F1225" s="4" t="str">
        <f>"TONER:OKI Item # 43034801-OKI, Okidata Type 6 Yellow Toner Cartridge for Okidata C3200 Series, Standard-Yield (Yld 1.5k)"</f>
        <v>TONER:OKI Item # 43034801-OKI, Okidata Type 6 Yellow Toner Cartridge for Okidata C3200 Series, Standard-Yield (Yld 1.5k)</v>
      </c>
      <c r="G1225" s="74" t="str">
        <f t="shared" si="82"/>
        <v>EA</v>
      </c>
      <c r="H1225" s="7">
        <v>68</v>
      </c>
      <c r="I1225" s="2" t="str">
        <f t="shared" si="81"/>
        <v>44103105</v>
      </c>
      <c r="J1225" s="10" t="s">
        <v>98</v>
      </c>
    </row>
    <row r="1226" spans="1:10" ht="51">
      <c r="A1226" s="9" t="s">
        <v>27</v>
      </c>
      <c r="B1226" s="2" t="s">
        <v>31</v>
      </c>
      <c r="C1226" s="2">
        <v>3204</v>
      </c>
      <c r="D1226" s="2">
        <v>884</v>
      </c>
      <c r="E1226" s="2" t="str">
        <f>"1000017606"</f>
        <v>1000017606</v>
      </c>
      <c r="F1226" s="4" t="str">
        <f>"TONER:OKI Item # 43034802-OKI, Okidata Type 6 Magenta Toner Cartridge for Okidata C3200 Series, Standard-Yield (Yld 1.5)"</f>
        <v>TONER:OKI Item # 43034802-OKI, Okidata Type 6 Magenta Toner Cartridge for Okidata C3200 Series, Standard-Yield (Yld 1.5)</v>
      </c>
      <c r="G1226" s="74" t="str">
        <f t="shared" si="82"/>
        <v>EA</v>
      </c>
      <c r="H1226" s="7">
        <v>68</v>
      </c>
      <c r="I1226" s="2" t="str">
        <f t="shared" si="81"/>
        <v>44103105</v>
      </c>
      <c r="J1226" s="10" t="s">
        <v>98</v>
      </c>
    </row>
    <row r="1227" spans="1:10" ht="38.25">
      <c r="A1227" s="9" t="s">
        <v>27</v>
      </c>
      <c r="B1227" s="2" t="s">
        <v>31</v>
      </c>
      <c r="C1227" s="2">
        <v>3204</v>
      </c>
      <c r="D1227" s="2">
        <v>885</v>
      </c>
      <c r="E1227" s="2" t="str">
        <f>"1000017607"</f>
        <v>1000017607</v>
      </c>
      <c r="F1227" s="4" t="str">
        <f>"TONER:OKI Item # 43034803-OKI, Okidata Type 6 Cyan Toner Cartridge for Okidata C3200 Series, Standard-Yield, (Yld 1.5k)"</f>
        <v>TONER:OKI Item # 43034803-OKI, Okidata Type 6 Cyan Toner Cartridge for Okidata C3200 Series, Standard-Yield, (Yld 1.5k)</v>
      </c>
      <c r="G1227" s="74" t="str">
        <f t="shared" si="82"/>
        <v>EA</v>
      </c>
      <c r="H1227" s="7">
        <v>68</v>
      </c>
      <c r="I1227" s="2" t="str">
        <f t="shared" si="81"/>
        <v>44103105</v>
      </c>
      <c r="J1227" s="10" t="s">
        <v>98</v>
      </c>
    </row>
    <row r="1228" spans="1:10" ht="38.25">
      <c r="A1228" s="9" t="s">
        <v>27</v>
      </c>
      <c r="B1228" s="2" t="s">
        <v>31</v>
      </c>
      <c r="C1228" s="2">
        <v>3204</v>
      </c>
      <c r="D1228" s="2">
        <v>886</v>
      </c>
      <c r="E1228" s="2" t="str">
        <f>"1000017608"</f>
        <v>1000017608</v>
      </c>
      <c r="F1228" s="4" t="str">
        <f>"TONER:OKI Item # 43034804-OKI, Okidata Type 6 Black Toner Cartridge for Okidata C3200 Series, Standard-Yield (Yld 1.5k)"</f>
        <v>TONER:OKI Item # 43034804-OKI, Okidata Type 6 Black Toner Cartridge for Okidata C3200 Series, Standard-Yield (Yld 1.5k)</v>
      </c>
      <c r="G1228" s="74" t="str">
        <f t="shared" si="82"/>
        <v>EA</v>
      </c>
      <c r="H1228" s="7">
        <v>35</v>
      </c>
      <c r="I1228" s="2" t="str">
        <f t="shared" si="81"/>
        <v>44103105</v>
      </c>
      <c r="J1228" s="10" t="s">
        <v>98</v>
      </c>
    </row>
    <row r="1229" spans="1:10" ht="51">
      <c r="A1229" s="9" t="s">
        <v>27</v>
      </c>
      <c r="B1229" s="2" t="s">
        <v>31</v>
      </c>
      <c r="C1229" s="2">
        <v>3204</v>
      </c>
      <c r="D1229" s="2">
        <v>887</v>
      </c>
      <c r="E1229" s="2" t="str">
        <f>"1000017609"</f>
        <v>1000017609</v>
      </c>
      <c r="F1229" s="4" t="str">
        <f>"TONER:OKI Item # 43324401-OKI, Okidata Yellow laser toner cartridge, high capacity, 5,000 page yield, for C5500N and C5800 LDN printers"</f>
        <v>TONER:OKI Item # 43324401-OKI, Okidata Yellow laser toner cartridge, high capacity, 5,000 page yield, for C5500N and C5800 LDN printers</v>
      </c>
      <c r="G1229" s="74" t="str">
        <f t="shared" si="82"/>
        <v>EA</v>
      </c>
      <c r="H1229" s="7">
        <v>175.22</v>
      </c>
      <c r="I1229" s="2" t="str">
        <f t="shared" si="81"/>
        <v>44103105</v>
      </c>
      <c r="J1229" s="10" t="s">
        <v>98</v>
      </c>
    </row>
    <row r="1230" spans="1:10" ht="38.25">
      <c r="A1230" s="9" t="s">
        <v>27</v>
      </c>
      <c r="B1230" s="2" t="s">
        <v>31</v>
      </c>
      <c r="C1230" s="2">
        <v>3204</v>
      </c>
      <c r="D1230" s="2">
        <v>923</v>
      </c>
      <c r="E1230" s="2" t="str">
        <f>"1000017610"</f>
        <v>1000017610</v>
      </c>
      <c r="F1230" s="4" t="str">
        <f>"TONER:RIC Item # 888215-RIC, Ricoh Laser Toner cartridge (Yld 9k) for Savin 4018D copy machine"</f>
        <v>TONER:RIC Item # 888215-RIC, Ricoh Laser Toner cartridge (Yld 9k) for Savin 4018D copy machine</v>
      </c>
      <c r="G1230" s="74" t="str">
        <f t="shared" si="82"/>
        <v>EA</v>
      </c>
      <c r="H1230" s="7">
        <v>32</v>
      </c>
      <c r="I1230" s="2" t="str">
        <f t="shared" si="81"/>
        <v>44103105</v>
      </c>
      <c r="J1230" s="10" t="s">
        <v>98</v>
      </c>
    </row>
    <row r="1231" spans="1:10" ht="25.5">
      <c r="A1231" s="9" t="s">
        <v>27</v>
      </c>
      <c r="B1231" s="2" t="s">
        <v>31</v>
      </c>
      <c r="C1231" s="2">
        <v>3204</v>
      </c>
      <c r="D1231" s="2">
        <v>924</v>
      </c>
      <c r="E1231" s="2" t="str">
        <f>"1000017611"</f>
        <v>1000017611</v>
      </c>
      <c r="F1231" s="4" t="str">
        <f>"TONER:RIC Item # 888260-RIC, Black Toner for Ricoh Aficio 1515MF"</f>
        <v>TONER:RIC Item # 888260-RIC, Black Toner for Ricoh Aficio 1515MF</v>
      </c>
      <c r="G1231" s="74" t="str">
        <f t="shared" si="82"/>
        <v>EA</v>
      </c>
      <c r="H1231" s="7">
        <v>27</v>
      </c>
      <c r="I1231" s="2" t="str">
        <f t="shared" si="81"/>
        <v>44103105</v>
      </c>
      <c r="J1231" s="10" t="s">
        <v>98</v>
      </c>
    </row>
    <row r="1232" spans="1:10" ht="38.25">
      <c r="A1232" s="9" t="s">
        <v>27</v>
      </c>
      <c r="B1232" s="2" t="s">
        <v>31</v>
      </c>
      <c r="C1232" s="2">
        <v>3204</v>
      </c>
      <c r="D1232" s="2">
        <v>925</v>
      </c>
      <c r="E1232" s="2" t="str">
        <f>"1000017612"</f>
        <v>1000017612</v>
      </c>
      <c r="F1232" s="4" t="str">
        <f>"TONER:RIC Item # 888279-RIC, Ricoh Type 145 Cyan Toner Cartridge for Aficio CL4000DN Printer, (Yld 5k)"</f>
        <v>TONER:RIC Item # 888279-RIC, Ricoh Type 145 Cyan Toner Cartridge for Aficio CL4000DN Printer, (Yld 5k)</v>
      </c>
      <c r="G1232" s="74" t="str">
        <f t="shared" si="82"/>
        <v>EA</v>
      </c>
      <c r="H1232" s="7">
        <v>93</v>
      </c>
      <c r="I1232" s="2" t="str">
        <f t="shared" si="81"/>
        <v>44103105</v>
      </c>
      <c r="J1232" s="10" t="s">
        <v>98</v>
      </c>
    </row>
    <row r="1233" spans="1:10" ht="63.75">
      <c r="A1233" s="9" t="s">
        <v>27</v>
      </c>
      <c r="B1233" s="2" t="s">
        <v>31</v>
      </c>
      <c r="C1233" s="2">
        <v>3204</v>
      </c>
      <c r="D1233" s="2">
        <v>926</v>
      </c>
      <c r="E1233" s="2" t="str">
        <f>"1000017613"</f>
        <v>1000017613</v>
      </c>
      <c r="F1233" s="4" t="str">
        <f>"TONER:RIC Item # 888308-RIC, Compatible with Savin CLP26DN, Aficio/Ricoh CL4000DN/ C410DN/ C411DN series color laser jet printer - Black Toner - high yield (15k yield) (type 145)"</f>
        <v>TONER:RIC Item # 888308-RIC, Compatible with Savin CLP26DN, Aficio/Ricoh CL4000DN/ C410DN/ C411DN series color laser jet printer - Black Toner - high yield (15k yield) (type 145)</v>
      </c>
      <c r="G1233" s="74" t="str">
        <f t="shared" si="82"/>
        <v>EA</v>
      </c>
      <c r="H1233" s="7">
        <v>89</v>
      </c>
      <c r="I1233" s="2" t="str">
        <f t="shared" si="81"/>
        <v>44103105</v>
      </c>
      <c r="J1233" s="10" t="s">
        <v>98</v>
      </c>
    </row>
    <row r="1234" spans="1:10" ht="51">
      <c r="A1234" s="9" t="s">
        <v>27</v>
      </c>
      <c r="B1234" s="2" t="s">
        <v>31</v>
      </c>
      <c r="C1234" s="2">
        <v>3204</v>
      </c>
      <c r="D1234" s="2">
        <v>891</v>
      </c>
      <c r="E1234" s="2" t="str">
        <f>"1000017614"</f>
        <v>1000017614</v>
      </c>
      <c r="F1234" s="4" t="str">
        <f>"TONER:OKI Item # 43459301-OKI, Yellow Toner Cartridge for Okidata C3400N/C3530N Series Printers, High Capacity, (Yld 2k)"</f>
        <v>TONER:OKI Item # 43459301-OKI, Yellow Toner Cartridge for Okidata C3400N/C3530N Series Printers, High Capacity, (Yld 2k)</v>
      </c>
      <c r="G1234" s="74" t="str">
        <f t="shared" si="82"/>
        <v>EA</v>
      </c>
      <c r="H1234" s="7">
        <v>99</v>
      </c>
      <c r="I1234" s="2" t="str">
        <f t="shared" si="81"/>
        <v>44103105</v>
      </c>
      <c r="J1234" s="10" t="s">
        <v>98</v>
      </c>
    </row>
    <row r="1235" spans="1:10" ht="51">
      <c r="A1235" s="9" t="s">
        <v>27</v>
      </c>
      <c r="B1235" s="2" t="s">
        <v>31</v>
      </c>
      <c r="C1235" s="2">
        <v>3204</v>
      </c>
      <c r="D1235" s="2">
        <v>892</v>
      </c>
      <c r="E1235" s="2" t="str">
        <f>"1000017615"</f>
        <v>1000017615</v>
      </c>
      <c r="F1235" s="4" t="str">
        <f>"TONER:OKI Item # 43459302-OKI, Magenta Toner Cartridge for Okidata C3400N/C3530N Series Printers. High Capacity (Yld 2k)"</f>
        <v>TONER:OKI Item # 43459302-OKI, Magenta Toner Cartridge for Okidata C3400N/C3530N Series Printers. High Capacity (Yld 2k)</v>
      </c>
      <c r="G1235" s="74" t="str">
        <f t="shared" si="82"/>
        <v>EA</v>
      </c>
      <c r="H1235" s="7">
        <v>99</v>
      </c>
      <c r="I1235" s="2" t="str">
        <f t="shared" si="81"/>
        <v>44103105</v>
      </c>
      <c r="J1235" s="10" t="s">
        <v>98</v>
      </c>
    </row>
    <row r="1236" spans="1:10" ht="51">
      <c r="A1236" s="9" t="s">
        <v>27</v>
      </c>
      <c r="B1236" s="2" t="s">
        <v>31</v>
      </c>
      <c r="C1236" s="2">
        <v>3204</v>
      </c>
      <c r="D1236" s="2">
        <v>893</v>
      </c>
      <c r="E1236" s="2" t="str">
        <f>"1000017616"</f>
        <v>1000017616</v>
      </c>
      <c r="F1236" s="4" t="str">
        <f>"TONER:OKI Item # 43459303-OKI, Cyan Toner Cartridge for Okidata C3400N/C3530N Series Printers. High Capacity (Yld 2k)"</f>
        <v>TONER:OKI Item # 43459303-OKI, Cyan Toner Cartridge for Okidata C3400N/C3530N Series Printers. High Capacity (Yld 2k)</v>
      </c>
      <c r="G1236" s="74" t="str">
        <f t="shared" si="82"/>
        <v>EA</v>
      </c>
      <c r="H1236" s="7">
        <v>99</v>
      </c>
      <c r="I1236" s="2" t="str">
        <f t="shared" si="81"/>
        <v>44103105</v>
      </c>
      <c r="J1236" s="10" t="s">
        <v>98</v>
      </c>
    </row>
    <row r="1237" spans="1:10" ht="25.5">
      <c r="A1237" s="9" t="s">
        <v>27</v>
      </c>
      <c r="B1237" s="2" t="s">
        <v>31</v>
      </c>
      <c r="C1237" s="2">
        <v>3204</v>
      </c>
      <c r="D1237" s="2">
        <v>869</v>
      </c>
      <c r="E1237" s="2" t="str">
        <f>"1000017617"</f>
        <v>1000017617</v>
      </c>
      <c r="F1237" s="4" t="str">
        <f>"TONER:NEC Item # 20-122-NEC, NEC Toner for NEC Superscrpt 870, high yield toner."</f>
        <v>TONER:NEC Item # 20-122-NEC, NEC Toner for NEC Superscrpt 870, high yield toner.</v>
      </c>
      <c r="G1237" s="74" t="str">
        <f t="shared" si="82"/>
        <v>EA</v>
      </c>
      <c r="H1237" s="7">
        <v>123</v>
      </c>
      <c r="I1237" s="2" t="str">
        <f t="shared" ref="I1237:I1268" si="83">"44103105"</f>
        <v>44103105</v>
      </c>
      <c r="J1237" s="10" t="s">
        <v>98</v>
      </c>
    </row>
    <row r="1238" spans="1:10" ht="38.25">
      <c r="A1238" s="9" t="s">
        <v>27</v>
      </c>
      <c r="B1238" s="2" t="s">
        <v>31</v>
      </c>
      <c r="C1238" s="2">
        <v>3204</v>
      </c>
      <c r="D1238" s="2">
        <v>897</v>
      </c>
      <c r="E1238" s="2" t="str">
        <f>"1000017618"</f>
        <v>1000017618</v>
      </c>
      <c r="F1238" s="4" t="str">
        <f>"TONER:OKI Item # 52107201-OKI, Black Toner Cartridge for Okidata OL400e, OL600e, OL800e series, OP6e, OP6ex"</f>
        <v>TONER:OKI Item # 52107201-OKI, Black Toner Cartridge for Okidata OL400e, OL600e, OL800e series, OP6e, OP6ex</v>
      </c>
      <c r="G1238" s="74" t="str">
        <f t="shared" si="82"/>
        <v>EA</v>
      </c>
      <c r="H1238" s="7">
        <v>32</v>
      </c>
      <c r="I1238" s="2" t="str">
        <f t="shared" si="83"/>
        <v>44103105</v>
      </c>
      <c r="J1238" s="10" t="s">
        <v>98</v>
      </c>
    </row>
    <row r="1239" spans="1:10" ht="38.25">
      <c r="A1239" s="9" t="s">
        <v>27</v>
      </c>
      <c r="B1239" s="2" t="s">
        <v>31</v>
      </c>
      <c r="C1239" s="2">
        <v>3204</v>
      </c>
      <c r="D1239" s="2">
        <v>898</v>
      </c>
      <c r="E1239" s="2" t="str">
        <f>"1000017619"</f>
        <v>1000017619</v>
      </c>
      <c r="F1239" s="4" t="str">
        <f>"TONER:OKI Item # 52112901-OKI, Black Toner Cartridge for OkiFax 5780/5980, high capacity (Yld 5k)"</f>
        <v>TONER:OKI Item # 52112901-OKI, Black Toner Cartridge for OkiFax 5780/5980, high capacity (Yld 5k)</v>
      </c>
      <c r="G1239" s="74" t="str">
        <f t="shared" si="82"/>
        <v>EA</v>
      </c>
      <c r="H1239" s="7">
        <v>53.78</v>
      </c>
      <c r="I1239" s="2" t="str">
        <f t="shared" si="83"/>
        <v>44103105</v>
      </c>
      <c r="J1239" s="10" t="s">
        <v>98</v>
      </c>
    </row>
    <row r="1240" spans="1:10" ht="38.25">
      <c r="A1240" s="9" t="s">
        <v>27</v>
      </c>
      <c r="B1240" s="2" t="s">
        <v>31</v>
      </c>
      <c r="C1240" s="2">
        <v>3204</v>
      </c>
      <c r="D1240" s="2">
        <v>900</v>
      </c>
      <c r="E1240" s="2" t="str">
        <f>"1000017620"</f>
        <v>1000017620</v>
      </c>
      <c r="F1240" s="4" t="str">
        <f>"TONER:PAN Item # KXFA83-PAN, Toner Cartridge for Panasonic KX-FL511, KX-FL541, KX-FL611, KX-FLM651 Fax Machines"</f>
        <v>TONER:PAN Item # KXFA83-PAN, Toner Cartridge for Panasonic KX-FL511, KX-FL541, KX-FL611, KX-FLM651 Fax Machines</v>
      </c>
      <c r="G1240" s="74" t="str">
        <f t="shared" si="82"/>
        <v>EA</v>
      </c>
      <c r="H1240" s="7">
        <v>40.520000000000003</v>
      </c>
      <c r="I1240" s="2" t="str">
        <f t="shared" si="83"/>
        <v>44103105</v>
      </c>
      <c r="J1240" s="10" t="s">
        <v>98</v>
      </c>
    </row>
    <row r="1241" spans="1:10" ht="25.5">
      <c r="A1241" s="9" t="s">
        <v>27</v>
      </c>
      <c r="B1241" s="2" t="s">
        <v>31</v>
      </c>
      <c r="C1241" s="2">
        <v>3204</v>
      </c>
      <c r="D1241" s="2">
        <v>388</v>
      </c>
      <c r="E1241" s="2" t="str">
        <f>"1000017621"</f>
        <v>1000017621</v>
      </c>
      <c r="F1241" s="4" t="str">
        <f>"INK CART:PRI Item # 53319-PRI, Primera Black Ink Cartridge"</f>
        <v>INK CART:PRI Item # 53319-PRI, Primera Black Ink Cartridge</v>
      </c>
      <c r="G1241" s="74" t="str">
        <f t="shared" si="82"/>
        <v>EA</v>
      </c>
      <c r="H1241" s="7">
        <v>57</v>
      </c>
      <c r="I1241" s="2" t="str">
        <f t="shared" si="83"/>
        <v>44103105</v>
      </c>
      <c r="J1241" s="10" t="s">
        <v>98</v>
      </c>
    </row>
    <row r="1242" spans="1:10" ht="25.5">
      <c r="A1242" s="9" t="s">
        <v>27</v>
      </c>
      <c r="B1242" s="2" t="s">
        <v>31</v>
      </c>
      <c r="C1242" s="2">
        <v>3204</v>
      </c>
      <c r="D1242" s="2">
        <v>389</v>
      </c>
      <c r="E1242" s="2" t="str">
        <f>"1000017622"</f>
        <v>1000017622</v>
      </c>
      <c r="F1242" s="4" t="str">
        <f>"INK CART:PRI Item # 53321-PRI, Primera Multi-Color Ink Cartridge"</f>
        <v>INK CART:PRI Item # 53321-PRI, Primera Multi-Color Ink Cartridge</v>
      </c>
      <c r="G1242" s="74" t="str">
        <f t="shared" si="82"/>
        <v>EA</v>
      </c>
      <c r="H1242" s="7">
        <v>57</v>
      </c>
      <c r="I1242" s="2" t="str">
        <f t="shared" si="83"/>
        <v>44103105</v>
      </c>
      <c r="J1242" s="10" t="s">
        <v>98</v>
      </c>
    </row>
    <row r="1243" spans="1:10" ht="38.25">
      <c r="A1243" s="9" t="s">
        <v>27</v>
      </c>
      <c r="B1243" s="2" t="s">
        <v>31</v>
      </c>
      <c r="C1243" s="2">
        <v>3204</v>
      </c>
      <c r="D1243" s="2">
        <v>943</v>
      </c>
      <c r="E1243" s="2" t="str">
        <f>"1000017623"</f>
        <v>1000017623</v>
      </c>
      <c r="F1243" s="4" t="str">
        <f>"TONER:SAV Item # 9875-SAV, Savin Black Toner for Savin SAVIN 3750, 3750NF, SF3725, SF3750, SF3750NF, SF3760\"</f>
        <v>TONER:SAV Item # 9875-SAV, Savin Black Toner for Savin SAVIN 3750, 3750NF, SF3725, SF3750, SF3750NF, SF3760\</v>
      </c>
      <c r="G1243" s="74" t="str">
        <f t="shared" si="82"/>
        <v>EA</v>
      </c>
      <c r="H1243" s="7">
        <v>78</v>
      </c>
      <c r="I1243" s="2" t="str">
        <f t="shared" si="83"/>
        <v>44103105</v>
      </c>
      <c r="J1243" s="10" t="s">
        <v>98</v>
      </c>
    </row>
    <row r="1244" spans="1:10" ht="38.25">
      <c r="A1244" s="9" t="s">
        <v>27</v>
      </c>
      <c r="B1244" s="2" t="s">
        <v>31</v>
      </c>
      <c r="C1244" s="2">
        <v>3204</v>
      </c>
      <c r="D1244" s="2">
        <v>944</v>
      </c>
      <c r="E1244" s="2" t="str">
        <f>"1000017624"</f>
        <v>1000017624</v>
      </c>
      <c r="F1244" s="4" t="str">
        <f>"TONER:SAV Item # 9883-SVN, Savin Black Laser Copier Bottles designed for the Savin 2560 / 2575 Laser Copiers. (Yld 172k)"</f>
        <v>TONER:SAV Item # 9883-SVN, Savin Black Laser Copier Bottles designed for the Savin 2560 / 2575 Laser Copiers. (Yld 172k)</v>
      </c>
      <c r="G1244" s="74" t="str">
        <f t="shared" ref="G1244:G1275" si="84">"EA"</f>
        <v>EA</v>
      </c>
      <c r="H1244" s="7">
        <v>76</v>
      </c>
      <c r="I1244" s="2" t="str">
        <f t="shared" si="83"/>
        <v>44103105</v>
      </c>
      <c r="J1244" s="10" t="s">
        <v>98</v>
      </c>
    </row>
    <row r="1245" spans="1:10" ht="38.25">
      <c r="A1245" s="9" t="s">
        <v>27</v>
      </c>
      <c r="B1245" s="2" t="s">
        <v>31</v>
      </c>
      <c r="C1245" s="2">
        <v>3204</v>
      </c>
      <c r="D1245" s="2">
        <v>945</v>
      </c>
      <c r="E1245" s="2" t="str">
        <f>"1000017625"</f>
        <v>1000017625</v>
      </c>
      <c r="F1245" s="4" t="str">
        <f>"TONER:SAV Item # 9887-SAV, Savin Laser Copier Cartridges for the Savin 8035SP copier"</f>
        <v>TONER:SAV Item # 9887-SAV, Savin Laser Copier Cartridges for the Savin 8035SP copier</v>
      </c>
      <c r="G1245" s="74" t="str">
        <f t="shared" si="84"/>
        <v>EA</v>
      </c>
      <c r="H1245" s="7">
        <v>71</v>
      </c>
      <c r="I1245" s="2" t="str">
        <f t="shared" si="83"/>
        <v>44103105</v>
      </c>
      <c r="J1245" s="10" t="s">
        <v>98</v>
      </c>
    </row>
    <row r="1246" spans="1:10" ht="38.25">
      <c r="A1246" s="9" t="s">
        <v>27</v>
      </c>
      <c r="B1246" s="2" t="s">
        <v>31</v>
      </c>
      <c r="C1246" s="2">
        <v>3204</v>
      </c>
      <c r="D1246" s="2">
        <v>947</v>
      </c>
      <c r="E1246" s="2" t="str">
        <f>"1000017626"</f>
        <v>1000017626</v>
      </c>
      <c r="F1246" s="4" t="str">
        <f>"TONER:SHA Item # AL100TD-SHR, Sharp Black Toner Cartridge for Sharp AL1000/ 1010/ 1041/ 1200 (Yld 6k)"</f>
        <v>TONER:SHA Item # AL100TD-SHR, Sharp Black Toner Cartridge for Sharp AL1000/ 1010/ 1041/ 1200 (Yld 6k)</v>
      </c>
      <c r="G1246" s="74" t="str">
        <f t="shared" si="84"/>
        <v>EA</v>
      </c>
      <c r="H1246" s="7">
        <v>191</v>
      </c>
      <c r="I1246" s="2" t="str">
        <f t="shared" si="83"/>
        <v>44103105</v>
      </c>
      <c r="J1246" s="10" t="s">
        <v>98</v>
      </c>
    </row>
    <row r="1247" spans="1:10" ht="38.25">
      <c r="A1247" s="9" t="s">
        <v>27</v>
      </c>
      <c r="B1247" s="2" t="s">
        <v>31</v>
      </c>
      <c r="C1247" s="2">
        <v>3204</v>
      </c>
      <c r="D1247" s="2">
        <v>907</v>
      </c>
      <c r="E1247" s="2" t="str">
        <f>"1000017627"</f>
        <v>1000017627</v>
      </c>
      <c r="F1247" s="4" t="str">
        <f>"TONER:QMS Item # 1710517005-QMS, Magicolor 2300DL/2350EN High Capacity Toner, Black (Yld 4.5k)"</f>
        <v>TONER:QMS Item # 1710517005-QMS, Magicolor 2300DL/2350EN High Capacity Toner, Black (Yld 4.5k)</v>
      </c>
      <c r="G1247" s="74" t="str">
        <f t="shared" si="84"/>
        <v>EA</v>
      </c>
      <c r="H1247" s="7">
        <v>84</v>
      </c>
      <c r="I1247" s="2" t="str">
        <f t="shared" si="83"/>
        <v>44103105</v>
      </c>
      <c r="J1247" s="10" t="s">
        <v>98</v>
      </c>
    </row>
    <row r="1248" spans="1:10" ht="38.25">
      <c r="A1248" s="9" t="s">
        <v>27</v>
      </c>
      <c r="B1248" s="2" t="s">
        <v>31</v>
      </c>
      <c r="C1248" s="2">
        <v>3204</v>
      </c>
      <c r="D1248" s="2">
        <v>911</v>
      </c>
      <c r="E1248" s="2" t="str">
        <f>"1000017628"</f>
        <v>1000017628</v>
      </c>
      <c r="F1248" s="4" t="str">
        <f>"TONER:QMS Item # 1710580001-QMS, Magicolor 5430DL, 5440DL, 5450 Black Toner Cartridge (Yld 6k)."</f>
        <v>TONER:QMS Item # 1710580001-QMS, Magicolor 5430DL, 5440DL, 5450 Black Toner Cartridge (Yld 6k).</v>
      </c>
      <c r="G1248" s="74" t="str">
        <f t="shared" si="84"/>
        <v>EA</v>
      </c>
      <c r="H1248" s="7">
        <v>128</v>
      </c>
      <c r="I1248" s="2" t="str">
        <f t="shared" si="83"/>
        <v>44103105</v>
      </c>
      <c r="J1248" s="10" t="s">
        <v>98</v>
      </c>
    </row>
    <row r="1249" spans="1:10" ht="38.25">
      <c r="A1249" s="9" t="s">
        <v>27</v>
      </c>
      <c r="B1249" s="2" t="s">
        <v>31</v>
      </c>
      <c r="C1249" s="2">
        <v>3204</v>
      </c>
      <c r="D1249" s="2">
        <v>881</v>
      </c>
      <c r="E1249" s="2" t="str">
        <f>"1000017629"</f>
        <v>1000017629</v>
      </c>
      <c r="F1249" s="4" t="str">
        <f>"TONER:OKI Item # 42804503-OKI, Okidata Cyan toner cartridge 3,000 page yield for Okidata C5100, C5150, C5300 and C5400"</f>
        <v>TONER:OKI Item # 42804503-OKI, Okidata Cyan toner cartridge 3,000 page yield for Okidata C5100, C5150, C5300 and C5400</v>
      </c>
      <c r="G1249" s="74" t="str">
        <f t="shared" si="84"/>
        <v>EA</v>
      </c>
      <c r="H1249" s="7">
        <v>115</v>
      </c>
      <c r="I1249" s="2" t="str">
        <f t="shared" si="83"/>
        <v>44103105</v>
      </c>
      <c r="J1249" s="10" t="s">
        <v>98</v>
      </c>
    </row>
    <row r="1250" spans="1:10" ht="38.25">
      <c r="A1250" s="9" t="s">
        <v>27</v>
      </c>
      <c r="B1250" s="2" t="s">
        <v>31</v>
      </c>
      <c r="C1250" s="2">
        <v>3204</v>
      </c>
      <c r="D1250" s="2">
        <v>882</v>
      </c>
      <c r="E1250" s="2" t="str">
        <f>"1000017630"</f>
        <v>1000017630</v>
      </c>
      <c r="F1250" s="4" t="str">
        <f>"TONER:OKI Item # 42804504-OKI, Okidata Black toner cartridge 3,000 page yield for Okidata C5100, C5150, C5300 and C5400"</f>
        <v>TONER:OKI Item # 42804504-OKI, Okidata Black toner cartridge 3,000 page yield for Okidata C5100, C5150, C5300 and C5400</v>
      </c>
      <c r="G1250" s="74" t="str">
        <f t="shared" si="84"/>
        <v>EA</v>
      </c>
      <c r="H1250" s="7">
        <v>43</v>
      </c>
      <c r="I1250" s="2" t="str">
        <f t="shared" si="83"/>
        <v>44103105</v>
      </c>
      <c r="J1250" s="10" t="s">
        <v>98</v>
      </c>
    </row>
    <row r="1251" spans="1:10" ht="38.25">
      <c r="A1251" s="9" t="s">
        <v>27</v>
      </c>
      <c r="B1251" s="2" t="s">
        <v>31</v>
      </c>
      <c r="C1251" s="2">
        <v>3204</v>
      </c>
      <c r="D1251" s="2">
        <v>917</v>
      </c>
      <c r="E1251" s="2" t="str">
        <f>"1000017631"</f>
        <v>1000017631</v>
      </c>
      <c r="F1251" s="4" t="str">
        <f>"TONER:RIC Item # 430347-RIC, Toner Cartridge for Ricoh 1160L, 3310L Plain Paper Fax Machines (Yld 5k)"</f>
        <v>TONER:RIC Item # 430347-RIC, Toner Cartridge for Ricoh 1160L, 3310L Plain Paper Fax Machines (Yld 5k)</v>
      </c>
      <c r="G1251" s="74" t="str">
        <f t="shared" si="84"/>
        <v>EA</v>
      </c>
      <c r="H1251" s="7">
        <v>108</v>
      </c>
      <c r="I1251" s="2" t="str">
        <f t="shared" si="83"/>
        <v>44103105</v>
      </c>
      <c r="J1251" s="10" t="s">
        <v>98</v>
      </c>
    </row>
    <row r="1252" spans="1:10" ht="76.5">
      <c r="A1252" s="9" t="s">
        <v>27</v>
      </c>
      <c r="B1252" s="2" t="s">
        <v>31</v>
      </c>
      <c r="C1252" s="2">
        <v>3204</v>
      </c>
      <c r="D1252" s="2">
        <v>918</v>
      </c>
      <c r="E1252" s="2" t="str">
        <f>"1000017632"</f>
        <v>1000017632</v>
      </c>
      <c r="F1252" s="4" t="str">
        <f>"TONER:RIC Item # 430477-RIC, Ricoh Black Toner cartridge for use in Ricoh All-in-One Machines AC104, Ricoh Fax Machines 1170L, 2210L, Ricoh Laser Printers AC104 and Lanier All-In-One Machines 125M, 215M."</f>
        <v>TONER:RIC Item # 430477-RIC, Ricoh Black Toner cartridge for use in Ricoh All-in-One Machines AC104, Ricoh Fax Machines 1170L, 2210L, Ricoh Laser Printers AC104 and Lanier All-In-One Machines 125M, 215M.</v>
      </c>
      <c r="G1252" s="74" t="str">
        <f t="shared" si="84"/>
        <v>EA</v>
      </c>
      <c r="H1252" s="7">
        <v>99</v>
      </c>
      <c r="I1252" s="2" t="str">
        <f t="shared" si="83"/>
        <v>44103105</v>
      </c>
      <c r="J1252" s="10" t="s">
        <v>98</v>
      </c>
    </row>
    <row r="1253" spans="1:10" ht="25.5">
      <c r="A1253" s="9" t="s">
        <v>27</v>
      </c>
      <c r="B1253" s="2" t="s">
        <v>31</v>
      </c>
      <c r="C1253" s="2">
        <v>3204</v>
      </c>
      <c r="D1253" s="2">
        <v>919</v>
      </c>
      <c r="E1253" s="2" t="str">
        <f>"1000017633"</f>
        <v>1000017633</v>
      </c>
      <c r="F1253" s="4" t="str">
        <f>"TONER:RIC Item # 885247-RIC, Aficio 1035/1045 Toner (Type 3105D) (Yld 23k)"</f>
        <v>TONER:RIC Item # 885247-RIC, Aficio 1035/1045 Toner (Type 3105D) (Yld 23k)</v>
      </c>
      <c r="G1253" s="74" t="str">
        <f t="shared" si="84"/>
        <v>EA</v>
      </c>
      <c r="H1253" s="7">
        <v>108</v>
      </c>
      <c r="I1253" s="2" t="str">
        <f t="shared" si="83"/>
        <v>44103105</v>
      </c>
      <c r="J1253" s="10" t="s">
        <v>98</v>
      </c>
    </row>
    <row r="1254" spans="1:10" ht="51">
      <c r="A1254" s="9" t="s">
        <v>27</v>
      </c>
      <c r="B1254" s="2" t="s">
        <v>31</v>
      </c>
      <c r="C1254" s="2">
        <v>3204</v>
      </c>
      <c r="D1254" s="2">
        <v>921</v>
      </c>
      <c r="E1254" s="2" t="str">
        <f>"1000017634"</f>
        <v>1000017634</v>
      </c>
      <c r="F1254" s="4" t="str">
        <f>"TONER:RIC Item # 887680-RIC, Ricoh Type 300 Black laser toner cartridge, for MV310 &amp; MV310E Plain Paper Fax Machines (Yld 5k)"</f>
        <v>TONER:RIC Item # 887680-RIC, Ricoh Type 300 Black laser toner cartridge, for MV310 &amp; MV310E Plain Paper Fax Machines (Yld 5k)</v>
      </c>
      <c r="G1254" s="74" t="str">
        <f t="shared" si="84"/>
        <v>EA</v>
      </c>
      <c r="H1254" s="7">
        <v>167</v>
      </c>
      <c r="I1254" s="2" t="str">
        <f t="shared" si="83"/>
        <v>44103105</v>
      </c>
      <c r="J1254" s="10" t="s">
        <v>98</v>
      </c>
    </row>
    <row r="1255" spans="1:10" ht="25.5">
      <c r="A1255" s="9" t="s">
        <v>27</v>
      </c>
      <c r="B1255" s="2" t="s">
        <v>31</v>
      </c>
      <c r="C1255" s="2">
        <v>3204</v>
      </c>
      <c r="D1255" s="2">
        <v>922</v>
      </c>
      <c r="E1255" s="2" t="str">
        <f>"1000017635"</f>
        <v>1000017635</v>
      </c>
      <c r="F1255" s="4" t="str">
        <f>"TONER:RIC Item # 888029-RIC, Ricoh Toner Cartridge 240W/470W"</f>
        <v>TONER:RIC Item # 888029-RIC, Ricoh Toner Cartridge 240W/470W</v>
      </c>
      <c r="G1255" s="74" t="str">
        <f t="shared" si="84"/>
        <v>EA</v>
      </c>
      <c r="H1255" s="7">
        <v>161</v>
      </c>
      <c r="I1255" s="2" t="str">
        <f t="shared" si="83"/>
        <v>44103105</v>
      </c>
      <c r="J1255" s="10" t="s">
        <v>98</v>
      </c>
    </row>
    <row r="1256" spans="1:10" ht="38.25">
      <c r="A1256" s="9" t="s">
        <v>27</v>
      </c>
      <c r="B1256" s="2" t="s">
        <v>31</v>
      </c>
      <c r="C1256" s="2">
        <v>3204</v>
      </c>
      <c r="D1256" s="2">
        <v>957</v>
      </c>
      <c r="E1256" s="2" t="str">
        <f>"1000017636"</f>
        <v>1000017636</v>
      </c>
      <c r="F1256" s="4" t="str">
        <f>"TONER:STI Item # 204064H-STI, Source Technologies, MICR Toner Cartridge, for use in ST9630/ST9650, (Yld 15K)"</f>
        <v>TONER:STI Item # 204064H-STI, Source Technologies, MICR Toner Cartridge, for use in ST9630/ST9650, (Yld 15K)</v>
      </c>
      <c r="G1256" s="74" t="str">
        <f t="shared" si="84"/>
        <v>EA</v>
      </c>
      <c r="H1256" s="7">
        <v>315</v>
      </c>
      <c r="I1256" s="2" t="str">
        <f t="shared" si="83"/>
        <v>44103105</v>
      </c>
      <c r="J1256" s="10" t="s">
        <v>98</v>
      </c>
    </row>
    <row r="1257" spans="1:10" ht="51">
      <c r="A1257" s="9" t="s">
        <v>27</v>
      </c>
      <c r="B1257" s="2" t="s">
        <v>31</v>
      </c>
      <c r="C1257" s="2">
        <v>3204</v>
      </c>
      <c r="D1257" s="2">
        <v>958</v>
      </c>
      <c r="E1257" s="2" t="str">
        <f>"1000017637"</f>
        <v>1000017637</v>
      </c>
      <c r="F1257" s="4" t="str">
        <f>"TONER:XER Item # 013R00601-XER, Xerox Standard Capacity Toner Cartridge for Xerox WorkCentre PE120 &amp; PE120i Multifunction Machines."</f>
        <v>TONER:XER Item # 013R00601-XER, Xerox Standard Capacity Toner Cartridge for Xerox WorkCentre PE120 &amp; PE120i Multifunction Machines.</v>
      </c>
      <c r="G1257" s="74" t="str">
        <f t="shared" si="84"/>
        <v>EA</v>
      </c>
      <c r="H1257" s="7">
        <v>105.66</v>
      </c>
      <c r="I1257" s="2" t="str">
        <f t="shared" si="83"/>
        <v>44103105</v>
      </c>
      <c r="J1257" s="10" t="s">
        <v>98</v>
      </c>
    </row>
    <row r="1258" spans="1:10" ht="38.25">
      <c r="A1258" s="9" t="s">
        <v>27</v>
      </c>
      <c r="B1258" s="2" t="s">
        <v>31</v>
      </c>
      <c r="C1258" s="2">
        <v>3204</v>
      </c>
      <c r="D1258" s="2">
        <v>959</v>
      </c>
      <c r="E1258" s="2" t="str">
        <f>"1000017638"</f>
        <v>1000017638</v>
      </c>
      <c r="F1258" s="4" t="str">
        <f>"TONER:XER Item # 016180300-TKT, Xerox Tektronix Black Toner for Xerox Phaser 750, high capacity (Yld 12k)"</f>
        <v>TONER:XER Item # 016180300-TKT, Xerox Tektronix Black Toner for Xerox Phaser 750, high capacity (Yld 12k)</v>
      </c>
      <c r="G1258" s="74" t="str">
        <f t="shared" si="84"/>
        <v>EA</v>
      </c>
      <c r="H1258" s="7">
        <v>371</v>
      </c>
      <c r="I1258" s="2" t="str">
        <f t="shared" si="83"/>
        <v>44103105</v>
      </c>
      <c r="J1258" s="10" t="s">
        <v>98</v>
      </c>
    </row>
    <row r="1259" spans="1:10" ht="38.25">
      <c r="A1259" s="9" t="s">
        <v>27</v>
      </c>
      <c r="B1259" s="2" t="s">
        <v>31</v>
      </c>
      <c r="C1259" s="2">
        <v>3204</v>
      </c>
      <c r="D1259" s="2">
        <v>961</v>
      </c>
      <c r="E1259" s="2" t="str">
        <f>"1000017639"</f>
        <v>1000017639</v>
      </c>
      <c r="F1259" s="4" t="str">
        <f>"TONER:XER Item # 016188600-TKT, Xerox Tektronix Black Toner Cartridge for Xerox Phaser 7700 (Yld 24k)"</f>
        <v>TONER:XER Item # 016188600-TKT, Xerox Tektronix Black Toner Cartridge for Xerox Phaser 7700 (Yld 24k)</v>
      </c>
      <c r="G1259" s="74" t="str">
        <f t="shared" si="84"/>
        <v>EA</v>
      </c>
      <c r="H1259" s="7">
        <v>321</v>
      </c>
      <c r="I1259" s="2" t="str">
        <f t="shared" si="83"/>
        <v>44103105</v>
      </c>
      <c r="J1259" s="10" t="s">
        <v>98</v>
      </c>
    </row>
    <row r="1260" spans="1:10" ht="38.25">
      <c r="A1260" s="9" t="s">
        <v>27</v>
      </c>
      <c r="B1260" s="2" t="s">
        <v>31</v>
      </c>
      <c r="C1260" s="2">
        <v>3204</v>
      </c>
      <c r="D1260" s="2">
        <v>927</v>
      </c>
      <c r="E1260" s="2" t="str">
        <f>"1000017640"</f>
        <v>1000017640</v>
      </c>
      <c r="F1260" s="4" t="str">
        <f>"TONER:RIC Item # 888309-RIC, Ricoh Type 145 Yellow Toner Cartridge for CL4000DN, High Yield."</f>
        <v>TONER:RIC Item # 888309-RIC, Ricoh Type 145 Yellow Toner Cartridge for CL4000DN, High Yield.</v>
      </c>
      <c r="G1260" s="74" t="str">
        <f t="shared" si="84"/>
        <v>EA</v>
      </c>
      <c r="H1260" s="7">
        <v>214</v>
      </c>
      <c r="I1260" s="2" t="str">
        <f t="shared" si="83"/>
        <v>44103105</v>
      </c>
      <c r="J1260" s="10" t="s">
        <v>98</v>
      </c>
    </row>
    <row r="1261" spans="1:10" ht="51">
      <c r="A1261" s="9" t="s">
        <v>27</v>
      </c>
      <c r="B1261" s="2" t="s">
        <v>31</v>
      </c>
      <c r="C1261" s="2">
        <v>3204</v>
      </c>
      <c r="D1261" s="2">
        <v>928</v>
      </c>
      <c r="E1261" s="2" t="str">
        <f>"1000017641"</f>
        <v>1000017641</v>
      </c>
      <c r="F1261" s="4" t="str">
        <f>"TONER:RIC Item # 888310-RIC, Compatible with Savin CLP26DN, Ricoh Type 145 Magenta Toner Cartridge for CL4000DN, High Yield."</f>
        <v>TONER:RIC Item # 888310-RIC, Compatible with Savin CLP26DN, Ricoh Type 145 Magenta Toner Cartridge for CL4000DN, High Yield.</v>
      </c>
      <c r="G1261" s="74" t="str">
        <f t="shared" si="84"/>
        <v>EA</v>
      </c>
      <c r="H1261" s="7">
        <v>214</v>
      </c>
      <c r="I1261" s="2" t="str">
        <f t="shared" si="83"/>
        <v>44103105</v>
      </c>
      <c r="J1261" s="10" t="s">
        <v>98</v>
      </c>
    </row>
    <row r="1262" spans="1:10" ht="51">
      <c r="A1262" s="9" t="s">
        <v>27</v>
      </c>
      <c r="B1262" s="2" t="s">
        <v>31</v>
      </c>
      <c r="C1262" s="2">
        <v>3204</v>
      </c>
      <c r="D1262" s="2">
        <v>894</v>
      </c>
      <c r="E1262" s="2" t="str">
        <f>"1000017642"</f>
        <v>1000017642</v>
      </c>
      <c r="F1262" s="4" t="str">
        <f>"TONER:OKI Item # 43459304-OKI, Black Toner Cartridge for Okidata C3400N/C3530N Series Printers. High Capacity (Yld 2k)"</f>
        <v>TONER:OKI Item # 43459304-OKI, Black Toner Cartridge for Okidata C3400N/C3530N Series Printers. High Capacity (Yld 2k)</v>
      </c>
      <c r="G1262" s="74" t="str">
        <f t="shared" si="84"/>
        <v>EA</v>
      </c>
      <c r="H1262" s="7">
        <v>66</v>
      </c>
      <c r="I1262" s="2" t="str">
        <f t="shared" si="83"/>
        <v>44103105</v>
      </c>
      <c r="J1262" s="10" t="s">
        <v>98</v>
      </c>
    </row>
    <row r="1263" spans="1:10" ht="38.25">
      <c r="A1263" s="9" t="s">
        <v>27</v>
      </c>
      <c r="B1263" s="2" t="s">
        <v>31</v>
      </c>
      <c r="C1263" s="2">
        <v>3204</v>
      </c>
      <c r="D1263" s="2">
        <v>895</v>
      </c>
      <c r="E1263" s="2" t="str">
        <f>"1000017643"</f>
        <v>1000017643</v>
      </c>
      <c r="F1263" s="4" t="str">
        <f>"TONER:OKI Item # 52106201-OKI, Toner Cartridge for Okidata Okipage 4W and OkiOffice 44."</f>
        <v>TONER:OKI Item # 52106201-OKI, Toner Cartridge for Okidata Okipage 4W and OkiOffice 44.</v>
      </c>
      <c r="G1263" s="74" t="str">
        <f t="shared" si="84"/>
        <v>EA</v>
      </c>
      <c r="H1263" s="7">
        <v>31</v>
      </c>
      <c r="I1263" s="2" t="str">
        <f t="shared" si="83"/>
        <v>44103105</v>
      </c>
      <c r="J1263" s="10" t="s">
        <v>98</v>
      </c>
    </row>
    <row r="1264" spans="1:10" ht="51">
      <c r="A1264" s="9" t="s">
        <v>27</v>
      </c>
      <c r="B1264" s="2" t="s">
        <v>31</v>
      </c>
      <c r="C1264" s="2">
        <v>3204</v>
      </c>
      <c r="D1264" s="2">
        <v>938</v>
      </c>
      <c r="E1264" s="2" t="str">
        <f>"1000017644"</f>
        <v>1000017644</v>
      </c>
      <c r="F1264" s="4" t="str">
        <f>"TONER:SAM Item # ML2010D3-SAM, Samsung toner for Samsung Laser Printers ML-2010, ML-2510, ML-2570, ML-2571N. (Yld 3k)"</f>
        <v>TONER:SAM Item # ML2010D3-SAM, Samsung toner for Samsung Laser Printers ML-2010, ML-2510, ML-2570, ML-2571N. (Yld 3k)</v>
      </c>
      <c r="G1264" s="74" t="str">
        <f t="shared" si="84"/>
        <v>EA</v>
      </c>
      <c r="H1264" s="7">
        <v>86</v>
      </c>
      <c r="I1264" s="2" t="str">
        <f t="shared" si="83"/>
        <v>44103105</v>
      </c>
      <c r="J1264" s="10" t="s">
        <v>98</v>
      </c>
    </row>
    <row r="1265" spans="1:10" ht="25.5">
      <c r="A1265" s="9" t="s">
        <v>27</v>
      </c>
      <c r="B1265" s="2" t="s">
        <v>31</v>
      </c>
      <c r="C1265" s="2">
        <v>3204</v>
      </c>
      <c r="D1265" s="2">
        <v>939</v>
      </c>
      <c r="E1265" s="2" t="str">
        <f>"1000017645"</f>
        <v>1000017645</v>
      </c>
      <c r="F1265" s="4" t="str">
        <f>"TONER:SAM Item # ML2250D5XAA-SMG, Samsung toner for Samsung ML2250/2251"</f>
        <v>TONER:SAM Item # ML2250D5XAA-SMG, Samsung toner for Samsung ML2250/2251</v>
      </c>
      <c r="G1265" s="74" t="str">
        <f t="shared" si="84"/>
        <v>EA</v>
      </c>
      <c r="H1265" s="7">
        <v>101</v>
      </c>
      <c r="I1265" s="2" t="str">
        <f t="shared" si="83"/>
        <v>44103105</v>
      </c>
      <c r="J1265" s="10" t="s">
        <v>98</v>
      </c>
    </row>
    <row r="1266" spans="1:10" ht="38.25">
      <c r="A1266" s="9" t="s">
        <v>27</v>
      </c>
      <c r="B1266" s="2" t="s">
        <v>31</v>
      </c>
      <c r="C1266" s="2">
        <v>3204</v>
      </c>
      <c r="D1266" s="2">
        <v>940</v>
      </c>
      <c r="E1266" s="2" t="str">
        <f>"1000017646"</f>
        <v>1000017646</v>
      </c>
      <c r="F1266" s="4" t="str">
        <f>"TONER:SAM Item # ML3560DB-SAM, Samsung Black Toner, High Yield for ML-3560 (Yld 12k)"</f>
        <v>TONER:SAM Item # ML3560DB-SAM, Samsung Black Toner, High Yield for ML-3560 (Yld 12k)</v>
      </c>
      <c r="G1266" s="74" t="str">
        <f t="shared" si="84"/>
        <v>EA</v>
      </c>
      <c r="H1266" s="7">
        <v>195</v>
      </c>
      <c r="I1266" s="2" t="str">
        <f t="shared" si="83"/>
        <v>44103105</v>
      </c>
      <c r="J1266" s="10" t="s">
        <v>98</v>
      </c>
    </row>
    <row r="1267" spans="1:10" ht="38.25">
      <c r="A1267" s="9" t="s">
        <v>27</v>
      </c>
      <c r="B1267" s="2" t="s">
        <v>31</v>
      </c>
      <c r="C1267" s="2">
        <v>3204</v>
      </c>
      <c r="D1267" s="2">
        <v>941</v>
      </c>
      <c r="E1267" s="2" t="str">
        <f>"1000017647"</f>
        <v>1000017647</v>
      </c>
      <c r="F1267" s="4" t="str">
        <f>"TONER:SAV Item # 430223-SVN, Savin Black Toner for Savin LaserFax 3651, 3687, 3705, 3720, 3740, 3740NF"</f>
        <v>TONER:SAV Item # 430223-SVN, Savin Black Toner for Savin LaserFax 3651, 3687, 3705, 3720, 3740, 3740NF</v>
      </c>
      <c r="G1267" s="74" t="str">
        <f t="shared" si="84"/>
        <v>EA</v>
      </c>
      <c r="H1267" s="7">
        <v>99</v>
      </c>
      <c r="I1267" s="2" t="str">
        <f t="shared" si="83"/>
        <v>44103105</v>
      </c>
      <c r="J1267" s="10" t="s">
        <v>98</v>
      </c>
    </row>
    <row r="1268" spans="1:10" ht="25.5">
      <c r="A1268" s="9" t="s">
        <v>27</v>
      </c>
      <c r="B1268" s="2" t="s">
        <v>31</v>
      </c>
      <c r="C1268" s="2">
        <v>3204</v>
      </c>
      <c r="D1268" s="2">
        <v>942</v>
      </c>
      <c r="E1268" s="2" t="str">
        <f>"1000017648"</f>
        <v>1000017648</v>
      </c>
      <c r="F1268" s="4" t="str">
        <f>"TONER:SAV Item # 9839-SVN, Savin Black Toner for Savin LaserFax 3810, 3820"</f>
        <v>TONER:SAV Item # 9839-SVN, Savin Black Toner for Savin LaserFax 3810, 3820</v>
      </c>
      <c r="G1268" s="74" t="str">
        <f t="shared" si="84"/>
        <v>EA</v>
      </c>
      <c r="H1268" s="7">
        <v>99</v>
      </c>
      <c r="I1268" s="2" t="str">
        <f t="shared" si="83"/>
        <v>44103105</v>
      </c>
      <c r="J1268" s="10" t="s">
        <v>98</v>
      </c>
    </row>
    <row r="1269" spans="1:10" ht="38.25">
      <c r="A1269" s="9" t="s">
        <v>27</v>
      </c>
      <c r="B1269" s="2" t="s">
        <v>31</v>
      </c>
      <c r="C1269" s="2">
        <v>3204</v>
      </c>
      <c r="D1269" s="2">
        <v>973</v>
      </c>
      <c r="E1269" s="2" t="str">
        <f>"1000017649"</f>
        <v>1000017649</v>
      </c>
      <c r="F1269" s="4" t="str">
        <f>"TONER:XER Item # 106R01047-XER, Black Toner for Xerox C20, M20, M20I and WorkCentre M201Copiers (Yld 8k)"</f>
        <v>TONER:XER Item # 106R01047-XER, Black Toner for Xerox C20, M20, M20I and WorkCentre M201Copiers (Yld 8k)</v>
      </c>
      <c r="G1269" s="74" t="str">
        <f t="shared" si="84"/>
        <v>EA</v>
      </c>
      <c r="H1269" s="7">
        <v>98.32</v>
      </c>
      <c r="I1269" s="2" t="str">
        <f t="shared" ref="I1269:I1289" si="85">"44103105"</f>
        <v>44103105</v>
      </c>
      <c r="J1269" s="10" t="s">
        <v>98</v>
      </c>
    </row>
    <row r="1270" spans="1:10" ht="38.25">
      <c r="A1270" s="9" t="s">
        <v>27</v>
      </c>
      <c r="B1270" s="2" t="s">
        <v>31</v>
      </c>
      <c r="C1270" s="2">
        <v>3204</v>
      </c>
      <c r="D1270" s="2">
        <v>974</v>
      </c>
      <c r="E1270" s="2" t="str">
        <f>"1000017650"</f>
        <v>1000017650</v>
      </c>
      <c r="F1270" s="4" t="str">
        <f>"TONER:XER item # 106R402-XER, Xerox Fax Toner cartridge for Work Centre Pro 575,555 Fax machines"</f>
        <v>TONER:XER item # 106R402-XER, Xerox Fax Toner cartridge for Work Centre Pro 575,555 Fax machines</v>
      </c>
      <c r="G1270" s="74" t="str">
        <f t="shared" si="84"/>
        <v>EA</v>
      </c>
      <c r="H1270" s="7">
        <v>145</v>
      </c>
      <c r="I1270" s="2" t="str">
        <f t="shared" si="85"/>
        <v>44103105</v>
      </c>
      <c r="J1270" s="10" t="s">
        <v>98</v>
      </c>
    </row>
    <row r="1271" spans="1:10" ht="38.25">
      <c r="A1271" s="9" t="s">
        <v>27</v>
      </c>
      <c r="B1271" s="2" t="s">
        <v>31</v>
      </c>
      <c r="C1271" s="2">
        <v>3204</v>
      </c>
      <c r="D1271" s="2">
        <v>975</v>
      </c>
      <c r="E1271" s="2" t="str">
        <f>"1000017651"</f>
        <v>1000017651</v>
      </c>
      <c r="F1271" s="4" t="str">
        <f>"TONER:XER Item # 106R584-XER, Black Toner Cartridge for Xerox WorkCentre Pro 412, (Yld 6k)"</f>
        <v>TONER:XER Item # 106R584-XER, Black Toner Cartridge for Xerox WorkCentre Pro 412, (Yld 6k)</v>
      </c>
      <c r="G1271" s="74" t="str">
        <f t="shared" si="84"/>
        <v>EA</v>
      </c>
      <c r="H1271" s="7">
        <v>105</v>
      </c>
      <c r="I1271" s="2" t="str">
        <f t="shared" si="85"/>
        <v>44103105</v>
      </c>
      <c r="J1271" s="10" t="s">
        <v>98</v>
      </c>
    </row>
    <row r="1272" spans="1:10" ht="51">
      <c r="A1272" s="9" t="s">
        <v>27</v>
      </c>
      <c r="B1272" s="2" t="s">
        <v>31</v>
      </c>
      <c r="C1272" s="2">
        <v>3204</v>
      </c>
      <c r="D1272" s="2">
        <v>977</v>
      </c>
      <c r="E1272" s="2" t="str">
        <f>"1000017652"</f>
        <v>1000017652</v>
      </c>
      <c r="F1272" s="4" t="str">
        <f>"TONER:XER Item # 113R00195-XER, Toner Cartridge for Xerox DocuPrint N4525 series Monochrome Laser Printers (Yld 30k)"</f>
        <v>TONER:XER Item # 113R00195-XER, Toner Cartridge for Xerox DocuPrint N4525 series Monochrome Laser Printers (Yld 30k)</v>
      </c>
      <c r="G1272" s="74" t="str">
        <f t="shared" si="84"/>
        <v>EA</v>
      </c>
      <c r="H1272" s="7">
        <v>334</v>
      </c>
      <c r="I1272" s="2" t="str">
        <f t="shared" si="85"/>
        <v>44103105</v>
      </c>
      <c r="J1272" s="10" t="s">
        <v>98</v>
      </c>
    </row>
    <row r="1273" spans="1:10" ht="76.5">
      <c r="A1273" s="9" t="s">
        <v>27</v>
      </c>
      <c r="B1273" s="2" t="s">
        <v>31</v>
      </c>
      <c r="C1273" s="2">
        <v>3204</v>
      </c>
      <c r="D1273" s="2">
        <v>948</v>
      </c>
      <c r="E1273" s="2" t="str">
        <f>"1000017653"</f>
        <v>1000017653</v>
      </c>
      <c r="F1273" s="4" t="str">
        <f>"TONER:SHA Item # AL110TD-SHR, Sharp Toner for Sharp AL1000, 1010, 1020, 1041, 1200, 1215, 1220, 1250, 1340, 1351, 1451, 1530CS, 1540CS, 1551, 1551CS, 1631, 1641CS, 1642CS, 1651CS, 1655CS, 1661CS, 2030, 2040CS, 2050 (Yld 4k)"</f>
        <v>TONER:SHA Item # AL110TD-SHR, Sharp Toner for Sharp AL1000, 1010, 1020, 1041, 1200, 1215, 1220, 1250, 1340, 1351, 1451, 1530CS, 1540CS, 1551, 1551CS, 1631, 1641CS, 1642CS, 1651CS, 1655CS, 1661CS, 2030, 2040CS, 2050 (Yld 4k)</v>
      </c>
      <c r="G1273" s="74" t="str">
        <f t="shared" si="84"/>
        <v>EA</v>
      </c>
      <c r="H1273" s="7">
        <v>133</v>
      </c>
      <c r="I1273" s="2" t="str">
        <f t="shared" si="85"/>
        <v>44103105</v>
      </c>
      <c r="J1273" s="10" t="s">
        <v>98</v>
      </c>
    </row>
    <row r="1274" spans="1:10" ht="38.25">
      <c r="A1274" s="9" t="s">
        <v>27</v>
      </c>
      <c r="B1274" s="2" t="s">
        <v>31</v>
      </c>
      <c r="C1274" s="2">
        <v>3204</v>
      </c>
      <c r="D1274" s="2">
        <v>949</v>
      </c>
      <c r="E1274" s="2" t="str">
        <f>"1000017654"</f>
        <v>1000017654</v>
      </c>
      <c r="F1274" s="4" t="str">
        <f>"TONER:SHA Item # AR202MT-SHR, Black toner cartridge for Sharp AR-162S/ 164/ 201/ 207 (replaces AR202NT) (Yld 16k)"</f>
        <v>TONER:SHA Item # AR202MT-SHR, Black toner cartridge for Sharp AR-162S/ 164/ 201/ 207 (replaces AR202NT) (Yld 16k)</v>
      </c>
      <c r="G1274" s="74" t="str">
        <f t="shared" si="84"/>
        <v>EA</v>
      </c>
      <c r="H1274" s="7">
        <v>98</v>
      </c>
      <c r="I1274" s="2" t="str">
        <f t="shared" si="85"/>
        <v>44103105</v>
      </c>
      <c r="J1274" s="10" t="s">
        <v>98</v>
      </c>
    </row>
    <row r="1275" spans="1:10" ht="38.25">
      <c r="A1275" s="9" t="s">
        <v>27</v>
      </c>
      <c r="B1275" s="2" t="s">
        <v>31</v>
      </c>
      <c r="C1275" s="2">
        <v>3204</v>
      </c>
      <c r="D1275" s="2">
        <v>915</v>
      </c>
      <c r="E1275" s="2" t="str">
        <f>"1000017655"</f>
        <v>1000017655</v>
      </c>
      <c r="F1275" s="4" t="str">
        <f>"TONER:RIC Item # 406046-RIC, Black Toner cartridge for SPC222SF printer. Replaces Ricoh 406093"</f>
        <v>TONER:RIC Item # 406046-RIC, Black Toner cartridge for SPC222SF printer. Replaces Ricoh 406093</v>
      </c>
      <c r="G1275" s="74" t="str">
        <f t="shared" si="84"/>
        <v>EA</v>
      </c>
      <c r="H1275" s="7">
        <v>58</v>
      </c>
      <c r="I1275" s="2" t="str">
        <f t="shared" si="85"/>
        <v>44103105</v>
      </c>
      <c r="J1275" s="10" t="s">
        <v>98</v>
      </c>
    </row>
    <row r="1276" spans="1:10" ht="38.25">
      <c r="A1276" s="9" t="s">
        <v>27</v>
      </c>
      <c r="B1276" s="2" t="s">
        <v>31</v>
      </c>
      <c r="C1276" s="2">
        <v>3204</v>
      </c>
      <c r="D1276" s="2">
        <v>916</v>
      </c>
      <c r="E1276" s="2" t="str">
        <f>"1000017656"</f>
        <v>1000017656</v>
      </c>
      <c r="F1276" s="4" t="str">
        <f>"TONER:RIC Item # 430222-RIC, Ricoh Black Toner Cartridge for 2000L &amp; 2900L Fax Machines."</f>
        <v>TONER:RIC Item # 430222-RIC, Ricoh Black Toner Cartridge for 2000L &amp; 2900L Fax Machines.</v>
      </c>
      <c r="G1276" s="74" t="str">
        <f t="shared" ref="G1276:G1289" si="86">"EA"</f>
        <v>EA</v>
      </c>
      <c r="H1276" s="7">
        <v>111</v>
      </c>
      <c r="I1276" s="2" t="str">
        <f t="shared" si="85"/>
        <v>44103105</v>
      </c>
      <c r="J1276" s="10" t="s">
        <v>98</v>
      </c>
    </row>
    <row r="1277" spans="1:10" ht="38.25">
      <c r="A1277" s="9" t="s">
        <v>27</v>
      </c>
      <c r="B1277" s="2" t="s">
        <v>31</v>
      </c>
      <c r="C1277" s="2">
        <v>3204</v>
      </c>
      <c r="D1277" s="2">
        <v>952</v>
      </c>
      <c r="E1277" s="2" t="str">
        <f>"1000017657"</f>
        <v>1000017657</v>
      </c>
      <c r="F1277" s="4" t="str">
        <f>"TONER:SHA Item # FO45ND-SHR, Sharp Toner Cartridge for Fax Models FO 4500, 5500, 5600, 6500, 6550, 7500 (Yld 5k)"</f>
        <v>TONER:SHA Item # FO45ND-SHR, Sharp Toner Cartridge for Fax Models FO 4500, 5500, 5600, 6500, 6550, 7500 (Yld 5k)</v>
      </c>
      <c r="G1277" s="74" t="str">
        <f t="shared" si="86"/>
        <v>EA</v>
      </c>
      <c r="H1277" s="7">
        <v>106</v>
      </c>
      <c r="I1277" s="2" t="str">
        <f t="shared" si="85"/>
        <v>44103105</v>
      </c>
      <c r="J1277" s="10" t="s">
        <v>98</v>
      </c>
    </row>
    <row r="1278" spans="1:10" ht="38.25">
      <c r="A1278" s="9" t="s">
        <v>27</v>
      </c>
      <c r="B1278" s="2" t="s">
        <v>31</v>
      </c>
      <c r="C1278" s="2">
        <v>3204</v>
      </c>
      <c r="D1278" s="2">
        <v>953</v>
      </c>
      <c r="E1278" s="2" t="str">
        <f>"1000017658"</f>
        <v>1000017658</v>
      </c>
      <c r="F1278" s="4" t="str">
        <f>"TONER:SHA Item # UX50ND-SHR, Sharp Toner / Developer Cartridge for UX5000, (Yld 5.6k)"</f>
        <v>TONER:SHA Item # UX50ND-SHR, Sharp Toner / Developer Cartridge for UX5000, (Yld 5.6k)</v>
      </c>
      <c r="G1278" s="74" t="str">
        <f t="shared" si="86"/>
        <v>EA</v>
      </c>
      <c r="H1278" s="7">
        <v>135</v>
      </c>
      <c r="I1278" s="2" t="str">
        <f t="shared" si="85"/>
        <v>44103105</v>
      </c>
      <c r="J1278" s="10" t="s">
        <v>98</v>
      </c>
    </row>
    <row r="1279" spans="1:10" ht="63.75">
      <c r="A1279" s="9" t="s">
        <v>27</v>
      </c>
      <c r="B1279" s="2" t="s">
        <v>31</v>
      </c>
      <c r="C1279" s="2">
        <v>3204</v>
      </c>
      <c r="D1279" s="2">
        <v>393</v>
      </c>
      <c r="E1279" s="2" t="str">
        <f>"1000017659"</f>
        <v>1000017659</v>
      </c>
      <c r="F1279" s="4" t="str">
        <f>"INK CART:SHA Item # UXC70B-SHR, UX-B 700 Inkjet Cartridge (Yld 600) Replaces FO-C60B-black inkjet cartridge designed for the Sharp FO-B1600 / UX-A1000 / UX-B20 inkjet fax machines"</f>
        <v>INK CART:SHA Item # UXC70B-SHR, UX-B 700 Inkjet Cartridge (Yld 600) Replaces FO-C60B-black inkjet cartridge designed for the Sharp FO-B1600 / UX-A1000 / UX-B20 inkjet fax machines</v>
      </c>
      <c r="G1279" s="74" t="str">
        <f t="shared" si="86"/>
        <v>EA</v>
      </c>
      <c r="H1279" s="7">
        <v>35</v>
      </c>
      <c r="I1279" s="2" t="str">
        <f t="shared" si="85"/>
        <v>44103105</v>
      </c>
      <c r="J1279" s="10" t="s">
        <v>98</v>
      </c>
    </row>
    <row r="1280" spans="1:10" ht="38.25">
      <c r="A1280" s="9" t="s">
        <v>27</v>
      </c>
      <c r="B1280" s="2" t="s">
        <v>31</v>
      </c>
      <c r="C1280" s="2">
        <v>3204</v>
      </c>
      <c r="D1280" s="2">
        <v>394</v>
      </c>
      <c r="E1280" s="2" t="str">
        <f>"1000017660"</f>
        <v>1000017660</v>
      </c>
      <c r="F1280" s="4" t="str">
        <f>"INK CART:SHA Item # UXC80B-SHR, Sharp UXC80B black inkjet for UX-B800SE fax machine Fits Models: UXB800SE (Yld 480)"</f>
        <v>INK CART:SHA Item # UXC80B-SHR, Sharp UXC80B black inkjet for UX-B800SE fax machine Fits Models: UXB800SE (Yld 480)</v>
      </c>
      <c r="G1280" s="74" t="str">
        <f t="shared" si="86"/>
        <v>EA</v>
      </c>
      <c r="H1280" s="7">
        <v>37</v>
      </c>
      <c r="I1280" s="2" t="str">
        <f t="shared" si="85"/>
        <v>44103105</v>
      </c>
      <c r="J1280" s="10" t="s">
        <v>98</v>
      </c>
    </row>
    <row r="1281" spans="1:10" ht="38.25">
      <c r="A1281" s="9" t="s">
        <v>27</v>
      </c>
      <c r="B1281" s="2" t="s">
        <v>31</v>
      </c>
      <c r="C1281" s="2">
        <v>3204</v>
      </c>
      <c r="D1281" s="2">
        <v>956</v>
      </c>
      <c r="E1281" s="2" t="str">
        <f>"1000017661"</f>
        <v>1000017661</v>
      </c>
      <c r="F1281" s="4" t="str">
        <f>"TONER:STI Item # 204063H-STI, Source Tech MICR Toner cartridge for ST9530, ST9550 (Yld 15k)"</f>
        <v>TONER:STI Item # 204063H-STI, Source Tech MICR Toner cartridge for ST9530, ST9550 (Yld 15k)</v>
      </c>
      <c r="G1281" s="74" t="str">
        <f t="shared" si="86"/>
        <v>EA</v>
      </c>
      <c r="H1281" s="7">
        <v>350</v>
      </c>
      <c r="I1281" s="2" t="str">
        <f t="shared" si="85"/>
        <v>44103105</v>
      </c>
      <c r="J1281" s="10" t="s">
        <v>98</v>
      </c>
    </row>
    <row r="1282" spans="1:10" ht="51">
      <c r="A1282" s="9" t="s">
        <v>27</v>
      </c>
      <c r="B1282" s="2" t="s">
        <v>31</v>
      </c>
      <c r="C1282" s="2">
        <v>3204</v>
      </c>
      <c r="D1282" s="2">
        <v>985</v>
      </c>
      <c r="E1282" s="2" t="str">
        <f>"1000017662"</f>
        <v>1000017662</v>
      </c>
      <c r="F1282" s="4" t="str">
        <f>"TONER:XER Item # 6R903-XER, Xerox Black Toner Cartridge for HP 4, 4M, 4 Plus, 4M Plus, 5, 5M, 5N Printers. Same as HP 92298A (Yld 7.5k)"</f>
        <v>TONER:XER Item # 6R903-XER, Xerox Black Toner Cartridge for HP 4, 4M, 4 Plus, 4M Plus, 5, 5M, 5N Printers. Same as HP 92298A (Yld 7.5k)</v>
      </c>
      <c r="G1282" s="74" t="str">
        <f t="shared" si="86"/>
        <v>EA</v>
      </c>
      <c r="H1282" s="7">
        <v>137</v>
      </c>
      <c r="I1282" s="2" t="str">
        <f t="shared" si="85"/>
        <v>44103105</v>
      </c>
      <c r="J1282" s="10" t="s">
        <v>98</v>
      </c>
    </row>
    <row r="1283" spans="1:10" ht="51">
      <c r="A1283" s="9" t="s">
        <v>27</v>
      </c>
      <c r="B1283" s="2" t="s">
        <v>31</v>
      </c>
      <c r="C1283" s="2">
        <v>3204</v>
      </c>
      <c r="D1283" s="2">
        <v>986</v>
      </c>
      <c r="E1283" s="2" t="str">
        <f>"1000017663"</f>
        <v>1000017663</v>
      </c>
      <c r="F1283" s="4" t="str">
        <f>"TONER:XER Item # 6R914-XER, Black Toner Cartridge for Xerox XD100, XD102, XD103, XD105, XD120, XD125, XD130, XD155DF Copiers."</f>
        <v>TONER:XER Item # 6R914-XER, Black Toner Cartridge for Xerox XD100, XD102, XD103, XD105, XD120, XD125, XD130, XD155DF Copiers.</v>
      </c>
      <c r="G1283" s="74" t="str">
        <f t="shared" si="86"/>
        <v>EA</v>
      </c>
      <c r="H1283" s="7">
        <v>156</v>
      </c>
      <c r="I1283" s="2" t="str">
        <f t="shared" si="85"/>
        <v>44103105</v>
      </c>
      <c r="J1283" s="10" t="s">
        <v>98</v>
      </c>
    </row>
    <row r="1284" spans="1:10" ht="51">
      <c r="A1284" s="9" t="s">
        <v>27</v>
      </c>
      <c r="B1284" s="2" t="s">
        <v>31</v>
      </c>
      <c r="C1284" s="2">
        <v>3204</v>
      </c>
      <c r="D1284" s="2">
        <v>987</v>
      </c>
      <c r="E1284" s="2" t="str">
        <f>"1000017664"</f>
        <v>1000017664</v>
      </c>
      <c r="F1284" s="4" t="str">
        <f>"TONER:XER Item # 6R916-XER, Toner Cartridge for Xerox XE60, XE62, XE80, XE82, XE88, XE90 Copiers, WorkCentre XE90fx Printers (Yld 3k)"</f>
        <v>TONER:XER Item # 6R916-XER, Toner Cartridge for Xerox XE60, XE62, XE80, XE82, XE88, XE90 Copiers, WorkCentre XE90fx Printers (Yld 3k)</v>
      </c>
      <c r="G1284" s="74" t="str">
        <f t="shared" si="86"/>
        <v>EA</v>
      </c>
      <c r="H1284" s="7">
        <v>123</v>
      </c>
      <c r="I1284" s="2" t="str">
        <f t="shared" si="85"/>
        <v>44103105</v>
      </c>
      <c r="J1284" s="10" t="s">
        <v>98</v>
      </c>
    </row>
    <row r="1285" spans="1:10" ht="38.25">
      <c r="A1285" s="9" t="s">
        <v>27</v>
      </c>
      <c r="B1285" s="2" t="s">
        <v>31</v>
      </c>
      <c r="C1285" s="2">
        <v>3204</v>
      </c>
      <c r="D1285" s="2">
        <v>989</v>
      </c>
      <c r="E1285" s="2" t="str">
        <f>"1000017665"</f>
        <v>1000017665</v>
      </c>
      <c r="F1285" s="4" t="str">
        <f>"TONER:XER Item # 6R988-XER, Black Toner Cartridge for Xerox WorkCentre Pro 215 Printer, (Yld 7.5)"</f>
        <v>TONER:XER Item # 6R988-XER, Black Toner Cartridge for Xerox WorkCentre Pro 215 Printer, (Yld 7.5)</v>
      </c>
      <c r="G1285" s="74" t="str">
        <f t="shared" si="86"/>
        <v>EA</v>
      </c>
      <c r="H1285" s="7">
        <v>89</v>
      </c>
      <c r="I1285" s="2" t="str">
        <f t="shared" si="85"/>
        <v>44103105</v>
      </c>
      <c r="J1285" s="10" t="s">
        <v>98</v>
      </c>
    </row>
    <row r="1286" spans="1:10" ht="38.25">
      <c r="A1286" s="9" t="s">
        <v>27</v>
      </c>
      <c r="B1286" s="2" t="s">
        <v>31</v>
      </c>
      <c r="C1286" s="2">
        <v>3204</v>
      </c>
      <c r="D1286" s="2">
        <v>964</v>
      </c>
      <c r="E1286" s="2" t="str">
        <f>"1000017666"</f>
        <v>1000017666</v>
      </c>
      <c r="F1286" s="4" t="str">
        <f>"TONER:XER Item # 016194600-TKT, Xerox Tektronix Yellow Toner for Phaser 7700, High Capacity (Yld 10k)"</f>
        <v>TONER:XER Item # 016194600-TKT, Xerox Tektronix Yellow Toner for Phaser 7700, High Capacity (Yld 10k)</v>
      </c>
      <c r="G1286" s="74" t="str">
        <f t="shared" si="86"/>
        <v>EA</v>
      </c>
      <c r="H1286" s="7">
        <v>257</v>
      </c>
      <c r="I1286" s="2" t="str">
        <f t="shared" si="85"/>
        <v>44103105</v>
      </c>
      <c r="J1286" s="10" t="s">
        <v>98</v>
      </c>
    </row>
    <row r="1287" spans="1:10" ht="38.25">
      <c r="A1287" s="9" t="s">
        <v>27</v>
      </c>
      <c r="B1287" s="2" t="s">
        <v>31</v>
      </c>
      <c r="C1287" s="2">
        <v>3204</v>
      </c>
      <c r="D1287" s="2">
        <v>965</v>
      </c>
      <c r="E1287" s="2" t="str">
        <f>"1000017667"</f>
        <v>1000017667</v>
      </c>
      <c r="F1287" s="4" t="str">
        <f>"TONER:XER Item # 016194700-TKT, Xerox Tektronix Black Toner for Phaser 7700, High Capacity (Yld 12k)"</f>
        <v>TONER:XER Item # 016194700-TKT, Xerox Tektronix Black Toner for Phaser 7700, High Capacity (Yld 12k)</v>
      </c>
      <c r="G1287" s="74" t="str">
        <f t="shared" si="86"/>
        <v>EA</v>
      </c>
      <c r="H1287" s="7">
        <v>257</v>
      </c>
      <c r="I1287" s="2" t="str">
        <f t="shared" si="85"/>
        <v>44103105</v>
      </c>
      <c r="J1287" s="10" t="s">
        <v>98</v>
      </c>
    </row>
    <row r="1288" spans="1:10" ht="38.25">
      <c r="A1288" s="9" t="s">
        <v>27</v>
      </c>
      <c r="B1288" s="2" t="s">
        <v>31</v>
      </c>
      <c r="C1288" s="2">
        <v>3204</v>
      </c>
      <c r="D1288" s="2">
        <v>933</v>
      </c>
      <c r="E1288" s="2" t="str">
        <f>"1000017668"</f>
        <v>1000017668</v>
      </c>
      <c r="F1288" s="4" t="str">
        <f>"TONER:RIC Item # TYPE30-RIC, Ricoh Black Fax Toner for Ricoh 2500L/ 2600L/ 3000L/ 3100L/ 3200L/ 3500L"</f>
        <v>TONER:RIC Item # TYPE30-RIC, Ricoh Black Fax Toner for Ricoh 2500L/ 2600L/ 3000L/ 3100L/ 3200L/ 3500L</v>
      </c>
      <c r="G1288" s="74" t="str">
        <f t="shared" si="86"/>
        <v>EA</v>
      </c>
      <c r="H1288" s="7">
        <v>113</v>
      </c>
      <c r="I1288" s="2" t="str">
        <f t="shared" si="85"/>
        <v>44103105</v>
      </c>
      <c r="J1288" s="10" t="s">
        <v>98</v>
      </c>
    </row>
    <row r="1289" spans="1:10" ht="38.25">
      <c r="A1289" s="9" t="s">
        <v>27</v>
      </c>
      <c r="B1289" s="2" t="s">
        <v>31</v>
      </c>
      <c r="C1289" s="2">
        <v>3204</v>
      </c>
      <c r="D1289" s="2">
        <v>935</v>
      </c>
      <c r="E1289" s="2" t="str">
        <f>"1000017669"</f>
        <v>1000017669</v>
      </c>
      <c r="F1289" s="4" t="str">
        <f>"TONER:SAM Item # CLP-510-D5M, Samsung Magenta Toner for Samsung CLP 510 (Yld 5k)"</f>
        <v>TONER:SAM Item # CLP-510-D5M, Samsung Magenta Toner for Samsung CLP 510 (Yld 5k)</v>
      </c>
      <c r="G1289" s="74" t="str">
        <f t="shared" si="86"/>
        <v>EA</v>
      </c>
      <c r="H1289" s="7">
        <v>139.65</v>
      </c>
      <c r="I1289" s="2" t="str">
        <f t="shared" si="85"/>
        <v>44103105</v>
      </c>
      <c r="J1289" s="10" t="s">
        <v>98</v>
      </c>
    </row>
    <row r="1290" spans="1:10" ht="38.25">
      <c r="A1290" s="9" t="s">
        <v>27</v>
      </c>
      <c r="B1290" s="2" t="s">
        <v>31</v>
      </c>
      <c r="C1290" s="2">
        <v>3204</v>
      </c>
      <c r="D1290" s="2">
        <v>995</v>
      </c>
      <c r="E1290" s="2" t="str">
        <f>"1000017670"</f>
        <v>1000017670</v>
      </c>
      <c r="F1290" s="4" t="str">
        <f>"TRANSFER KT:HEW # Q7504A-HEW, HP transfer kit for Laserjet 4700DN and 4700 DTN printers"</f>
        <v>TRANSFER KT:HEW # Q7504A-HEW, HP transfer kit for Laserjet 4700DN and 4700 DTN printers</v>
      </c>
      <c r="G1290" s="74" t="str">
        <f>"KT"</f>
        <v>KT</v>
      </c>
      <c r="H1290" s="7">
        <v>271.32</v>
      </c>
      <c r="I1290" s="2" t="str">
        <f>"44103104"</f>
        <v>44103104</v>
      </c>
      <c r="J1290" s="10" t="s">
        <v>110</v>
      </c>
    </row>
    <row r="1291" spans="1:10" ht="38.25">
      <c r="A1291" s="9" t="s">
        <v>27</v>
      </c>
      <c r="B1291" s="2" t="s">
        <v>31</v>
      </c>
      <c r="C1291" s="2">
        <v>3204</v>
      </c>
      <c r="D1291" s="2">
        <v>996</v>
      </c>
      <c r="E1291" s="2" t="str">
        <f>"1000017671"</f>
        <v>1000017671</v>
      </c>
      <c r="F1291" s="4" t="str">
        <f>"TRANSFER RL: XER Item # 016189000-TKT, Xerox Tektronix Transfer Roller for Xerox Phaser 7700"</f>
        <v>TRANSFER RL: XER Item # 016189000-TKT, Xerox Tektronix Transfer Roller for Xerox Phaser 7700</v>
      </c>
      <c r="G1291" s="74" t="str">
        <f t="shared" ref="G1291:G1321" si="87">"EA"</f>
        <v>EA</v>
      </c>
      <c r="H1291" s="7">
        <v>217</v>
      </c>
      <c r="I1291" s="2" t="str">
        <f>"44103104"</f>
        <v>44103104</v>
      </c>
      <c r="J1291" s="10" t="s">
        <v>110</v>
      </c>
    </row>
    <row r="1292" spans="1:10" ht="25.5">
      <c r="A1292" s="9" t="s">
        <v>27</v>
      </c>
      <c r="B1292" s="2" t="s">
        <v>31</v>
      </c>
      <c r="C1292" s="2">
        <v>3204</v>
      </c>
      <c r="D1292" s="2">
        <v>971</v>
      </c>
      <c r="E1292" s="2" t="str">
        <f>"1000017672"</f>
        <v>1000017672</v>
      </c>
      <c r="F1292" s="4" t="str">
        <f>"TONER:XER Item # 106R00674-XER, Yellow Toner Cartridge for Xerox Phaser 6250"</f>
        <v>TONER:XER Item # 106R00674-XER, Yellow Toner Cartridge for Xerox Phaser 6250</v>
      </c>
      <c r="G1292" s="74" t="str">
        <f t="shared" si="87"/>
        <v>EA</v>
      </c>
      <c r="H1292" s="7">
        <v>239</v>
      </c>
      <c r="I1292" s="2" t="str">
        <f t="shared" ref="I1292:I1297" si="88">"44103105"</f>
        <v>44103105</v>
      </c>
      <c r="J1292" s="10" t="s">
        <v>98</v>
      </c>
    </row>
    <row r="1293" spans="1:10" ht="38.25">
      <c r="A1293" s="9" t="s">
        <v>27</v>
      </c>
      <c r="B1293" s="2" t="s">
        <v>31</v>
      </c>
      <c r="C1293" s="2">
        <v>3204</v>
      </c>
      <c r="D1293" s="2">
        <v>972</v>
      </c>
      <c r="E1293" s="2" t="str">
        <f>"1000017673"</f>
        <v>1000017673</v>
      </c>
      <c r="F1293" s="4" t="str">
        <f>"TONER:XER Item # 106R00675-XER, Black Laser Toner Cartridge for Xerox Phaser 6250, High-Capacity"</f>
        <v>TONER:XER Item # 106R00675-XER, Black Laser Toner Cartridge for Xerox Phaser 6250, High-Capacity</v>
      </c>
      <c r="G1293" s="74" t="str">
        <f t="shared" si="87"/>
        <v>EA</v>
      </c>
      <c r="H1293" s="7">
        <v>73</v>
      </c>
      <c r="I1293" s="2" t="str">
        <f t="shared" si="88"/>
        <v>44103105</v>
      </c>
      <c r="J1293" s="10" t="s">
        <v>98</v>
      </c>
    </row>
    <row r="1294" spans="1:10" ht="38.25">
      <c r="A1294" s="9" t="s">
        <v>27</v>
      </c>
      <c r="B1294" s="2" t="s">
        <v>31</v>
      </c>
      <c r="C1294" s="2">
        <v>3204</v>
      </c>
      <c r="D1294" s="2">
        <v>978</v>
      </c>
      <c r="E1294" s="2" t="str">
        <f>"1000017674"</f>
        <v>1000017674</v>
      </c>
      <c r="F1294" s="4" t="str">
        <f>"TONER:XER Item # 113R00668-XER, Black Toner Cartridge for Xerox Phaser 5500 series Laser Printers (Yld 30k)"</f>
        <v>TONER:XER Item # 113R00668-XER, Black Toner Cartridge for Xerox Phaser 5500 series Laser Printers (Yld 30k)</v>
      </c>
      <c r="G1294" s="74" t="str">
        <f t="shared" si="87"/>
        <v>EA</v>
      </c>
      <c r="H1294" s="7">
        <v>149.66</v>
      </c>
      <c r="I1294" s="2" t="str">
        <f t="shared" si="88"/>
        <v>44103105</v>
      </c>
      <c r="J1294" s="10" t="s">
        <v>98</v>
      </c>
    </row>
    <row r="1295" spans="1:10" ht="51">
      <c r="A1295" s="9" t="s">
        <v>27</v>
      </c>
      <c r="B1295" s="2" t="s">
        <v>31</v>
      </c>
      <c r="C1295" s="2">
        <v>3204</v>
      </c>
      <c r="D1295" s="2">
        <v>979</v>
      </c>
      <c r="E1295" s="2" t="str">
        <f>"1000017675"</f>
        <v>1000017675</v>
      </c>
      <c r="F1295" s="4" t="str">
        <f>"TONER:XER Item # 113R5-XER, Xerox DOCUPRINT 4510 toner and Apple toner select 360/ 310/ 300 replaces Apple M1960G"</f>
        <v>TONER:XER Item # 113R5-XER, Xerox DOCUPRINT 4510 toner and Apple toner select 360/ 310/ 300 replaces Apple M1960G</v>
      </c>
      <c r="G1295" s="74" t="str">
        <f t="shared" si="87"/>
        <v>EA</v>
      </c>
      <c r="H1295" s="7">
        <v>179</v>
      </c>
      <c r="I1295" s="2" t="str">
        <f t="shared" si="88"/>
        <v>44103105</v>
      </c>
      <c r="J1295" s="10" t="s">
        <v>98</v>
      </c>
    </row>
    <row r="1296" spans="1:10" ht="38.25">
      <c r="A1296" s="9" t="s">
        <v>27</v>
      </c>
      <c r="B1296" s="2" t="s">
        <v>31</v>
      </c>
      <c r="C1296" s="2">
        <v>3204</v>
      </c>
      <c r="D1296" s="2">
        <v>950</v>
      </c>
      <c r="E1296" s="2" t="str">
        <f>"1000017676"</f>
        <v>1000017676</v>
      </c>
      <c r="F1296" s="4" t="str">
        <f>"TONER:SHA Item # AR500MT-SHR, Sharp Toner Cartridge for Sharp AR-505/-507 (Yld 25k)"</f>
        <v>TONER:SHA Item # AR500MT-SHR, Sharp Toner Cartridge for Sharp AR-505/-507 (Yld 25k)</v>
      </c>
      <c r="G1296" s="74" t="str">
        <f t="shared" si="87"/>
        <v>EA</v>
      </c>
      <c r="H1296" s="7">
        <v>60</v>
      </c>
      <c r="I1296" s="2" t="str">
        <f t="shared" si="88"/>
        <v>44103105</v>
      </c>
      <c r="J1296" s="10" t="s">
        <v>98</v>
      </c>
    </row>
    <row r="1297" spans="1:10" ht="38.25">
      <c r="A1297" s="9" t="s">
        <v>27</v>
      </c>
      <c r="B1297" s="2" t="s">
        <v>31</v>
      </c>
      <c r="C1297" s="2">
        <v>3204</v>
      </c>
      <c r="D1297" s="2">
        <v>951</v>
      </c>
      <c r="E1297" s="2" t="str">
        <f>"1000017677"</f>
        <v>1000017677</v>
      </c>
      <c r="F1297" s="4" t="str">
        <f>"TONER:SHA Item # FO29ND-SHR, Sharp Toner Cartridge for Fax Models 2950M &amp; 3800M, (Yld 3k)"</f>
        <v>TONER:SHA Item # FO29ND-SHR, Sharp Toner Cartridge for Fax Models 2950M &amp; 3800M, (Yld 3k)</v>
      </c>
      <c r="G1297" s="74" t="str">
        <f t="shared" si="87"/>
        <v>EA</v>
      </c>
      <c r="H1297" s="7">
        <v>105</v>
      </c>
      <c r="I1297" s="2" t="str">
        <f t="shared" si="88"/>
        <v>44103105</v>
      </c>
      <c r="J1297" s="10" t="s">
        <v>98</v>
      </c>
    </row>
    <row r="1298" spans="1:10" ht="51">
      <c r="A1298" s="9" t="s">
        <v>27</v>
      </c>
      <c r="B1298" s="2" t="s">
        <v>31</v>
      </c>
      <c r="C1298" s="2">
        <v>3204</v>
      </c>
      <c r="D1298" s="2">
        <v>33</v>
      </c>
      <c r="E1298" s="2" t="str">
        <f>"1000022108"</f>
        <v>1000022108</v>
      </c>
      <c r="F1298" s="4" t="str">
        <f>"DRUM:OKI, Item # 56116801-OKI, Image Drum for OL400e/ 410e/ 410ePS/ 600e/ 610e/ 610ePS/ 810e/ 810ePS/ OKIPAGE 6e/ 6ex (Yld 10k)"</f>
        <v>DRUM:OKI, Item # 56116801-OKI, Image Drum for OL400e/ 410e/ 410ePS/ 600e/ 610e/ 610ePS/ 810e/ 810ePS/ OKIPAGE 6e/ 6ex (Yld 10k)</v>
      </c>
      <c r="G1298" s="74" t="str">
        <f t="shared" si="87"/>
        <v>EA</v>
      </c>
      <c r="H1298" s="7">
        <v>167</v>
      </c>
      <c r="I1298" s="2" t="str">
        <f>"44103109"</f>
        <v>44103109</v>
      </c>
      <c r="J1298" s="10" t="s">
        <v>94</v>
      </c>
    </row>
    <row r="1299" spans="1:10" ht="38.25">
      <c r="A1299" s="9" t="s">
        <v>27</v>
      </c>
      <c r="B1299" s="2" t="s">
        <v>31</v>
      </c>
      <c r="C1299" s="2">
        <v>3204</v>
      </c>
      <c r="D1299" s="2">
        <v>901</v>
      </c>
      <c r="E1299" s="2" t="str">
        <f>"1000022109"</f>
        <v>1000022109</v>
      </c>
      <c r="F1299" s="4" t="str">
        <f>"TONER: PB, Item # 8104-PB, Toner Cartridge for Pitney Bowes Fax 9800, 9820, 9830 (Yld 11k)"</f>
        <v>TONER: PB, Item # 8104-PB, Toner Cartridge for Pitney Bowes Fax 9800, 9820, 9830 (Yld 11k)</v>
      </c>
      <c r="G1299" s="74" t="str">
        <f t="shared" si="87"/>
        <v>EA</v>
      </c>
      <c r="H1299" s="7">
        <v>232</v>
      </c>
      <c r="I1299" s="2" t="str">
        <f t="shared" ref="I1299:I1304" si="89">"44103103"</f>
        <v>44103103</v>
      </c>
      <c r="J1299" s="10" t="s">
        <v>99</v>
      </c>
    </row>
    <row r="1300" spans="1:10" ht="38.25">
      <c r="A1300" s="9" t="s">
        <v>27</v>
      </c>
      <c r="B1300" s="2" t="s">
        <v>31</v>
      </c>
      <c r="C1300" s="2">
        <v>3204</v>
      </c>
      <c r="D1300" s="2">
        <v>920</v>
      </c>
      <c r="E1300" s="2" t="str">
        <f>"1000022110"</f>
        <v>1000022110</v>
      </c>
      <c r="F1300" s="4" t="str">
        <f>"TONER: RIC, Item # 885400-RIC, Black Laser Toner Cartridge designed for Ricoh Aficio 1060 / 1075 Laser Toner Copiers. (Yld 43k)"</f>
        <v>TONER: RIC, Item # 885400-RIC, Black Laser Toner Cartridge designed for Ricoh Aficio 1060 / 1075 Laser Toner Copiers. (Yld 43k)</v>
      </c>
      <c r="G1300" s="74" t="str">
        <f t="shared" si="87"/>
        <v>EA</v>
      </c>
      <c r="H1300" s="7">
        <v>92</v>
      </c>
      <c r="I1300" s="2" t="str">
        <f t="shared" si="89"/>
        <v>44103103</v>
      </c>
      <c r="J1300" s="10" t="s">
        <v>99</v>
      </c>
    </row>
    <row r="1301" spans="1:10" ht="38.25">
      <c r="A1301" s="9" t="s">
        <v>27</v>
      </c>
      <c r="B1301" s="2" t="s">
        <v>31</v>
      </c>
      <c r="C1301" s="2">
        <v>3204</v>
      </c>
      <c r="D1301" s="2">
        <v>908</v>
      </c>
      <c r="E1301" s="2" t="str">
        <f>"1000022111"</f>
        <v>1000022111</v>
      </c>
      <c r="F1301" s="4" t="str">
        <f>"TONER: QMS, Item# 1710517008-QMS, Cyan toner for Konica Minolta Magicolor 2300/ 2300DL/ 2300W/ 2350EN, (Yld 4.5k)"</f>
        <v>TONER: QMS, Item# 1710517008-QMS, Cyan toner for Konica Minolta Magicolor 2300/ 2300DL/ 2300W/ 2350EN, (Yld 4.5k)</v>
      </c>
      <c r="G1301" s="74" t="str">
        <f t="shared" si="87"/>
        <v>EA</v>
      </c>
      <c r="H1301" s="7">
        <v>123</v>
      </c>
      <c r="I1301" s="2" t="str">
        <f t="shared" si="89"/>
        <v>44103103</v>
      </c>
      <c r="J1301" s="10" t="s">
        <v>99</v>
      </c>
    </row>
    <row r="1302" spans="1:10" ht="38.25">
      <c r="A1302" s="9" t="s">
        <v>27</v>
      </c>
      <c r="B1302" s="2" t="s">
        <v>31</v>
      </c>
      <c r="C1302" s="2">
        <v>3204</v>
      </c>
      <c r="D1302" s="2">
        <v>903</v>
      </c>
      <c r="E1302" s="2" t="str">
        <f>"1000022112"</f>
        <v>1000022112</v>
      </c>
      <c r="F1302" s="4" t="str">
        <f>"TONER: QMS, Item # 1710405002-QMS, Black toner for Konica Minolta Pro 1100/1100L/Pageworks 8E/8L (Yld 6k)"</f>
        <v>TONER: QMS, Item # 1710405002-QMS, Black toner for Konica Minolta Pro 1100/1100L/Pageworks 8E/8L (Yld 6k)</v>
      </c>
      <c r="G1302" s="74" t="str">
        <f t="shared" si="87"/>
        <v>EA</v>
      </c>
      <c r="H1302" s="7">
        <v>136</v>
      </c>
      <c r="I1302" s="2" t="str">
        <f t="shared" si="89"/>
        <v>44103103</v>
      </c>
      <c r="J1302" s="10" t="s">
        <v>99</v>
      </c>
    </row>
    <row r="1303" spans="1:10" ht="38.25">
      <c r="A1303" s="9" t="s">
        <v>27</v>
      </c>
      <c r="B1303" s="2" t="s">
        <v>31</v>
      </c>
      <c r="C1303" s="2">
        <v>3204</v>
      </c>
      <c r="D1303" s="2">
        <v>902</v>
      </c>
      <c r="E1303" s="2" t="str">
        <f>"1000022113"</f>
        <v>1000022113</v>
      </c>
      <c r="F1303" s="4" t="str">
        <f>"TONER: QMS, Item # 1710322003-QMS, Yellow toner for Konica Minolta Magicolor 330 (Yld 6k)"</f>
        <v>TONER: QMS, Item # 1710322003-QMS, Yellow toner for Konica Minolta Magicolor 330 (Yld 6k)</v>
      </c>
      <c r="G1303" s="74" t="str">
        <f t="shared" si="87"/>
        <v>EA</v>
      </c>
      <c r="H1303" s="7">
        <v>188</v>
      </c>
      <c r="I1303" s="2" t="str">
        <f t="shared" si="89"/>
        <v>44103103</v>
      </c>
      <c r="J1303" s="10" t="s">
        <v>99</v>
      </c>
    </row>
    <row r="1304" spans="1:10" ht="51">
      <c r="A1304" s="9" t="s">
        <v>27</v>
      </c>
      <c r="B1304" s="2" t="s">
        <v>31</v>
      </c>
      <c r="C1304" s="2">
        <v>3204</v>
      </c>
      <c r="D1304" s="2">
        <v>570</v>
      </c>
      <c r="E1304" s="2" t="str">
        <f>"1000022114"</f>
        <v>1000022114</v>
      </c>
      <c r="F1304" s="4" t="str">
        <f>"TONER: CAN Item # FX1-CAN Fax Toner Cartridge for L700/720/760/770/775/777/780/785/790/L3300 (Yld 4k)(AKA 1551A002AA)"</f>
        <v>TONER: CAN Item # FX1-CAN Fax Toner Cartridge for L700/720/760/770/775/777/780/785/790/L3300 (Yld 4k)(AKA 1551A002AA)</v>
      </c>
      <c r="G1304" s="74" t="str">
        <f t="shared" si="87"/>
        <v>EA</v>
      </c>
      <c r="H1304" s="7">
        <v>97</v>
      </c>
      <c r="I1304" s="2" t="str">
        <f t="shared" si="89"/>
        <v>44103103</v>
      </c>
      <c r="J1304" s="10" t="s">
        <v>99</v>
      </c>
    </row>
    <row r="1305" spans="1:10" ht="63.75">
      <c r="A1305" s="9" t="s">
        <v>27</v>
      </c>
      <c r="B1305" s="2" t="s">
        <v>31</v>
      </c>
      <c r="C1305" s="2">
        <v>3204</v>
      </c>
      <c r="D1305" s="2">
        <v>126</v>
      </c>
      <c r="E1305" s="2" t="str">
        <f>"1000022115"</f>
        <v>1000022115</v>
      </c>
      <c r="F1305" s="4" t="str">
        <f>"INK CART: EPS Item # S18709-EPS, Black InkJet Cartridge for Epson Stylus Color 400 / 500 / 600 / 600Q / 640 / 660 / 670 , Stylus Photo 700 / 750 / 1200 (replaces S020187 &amp; S020093)"</f>
        <v>INK CART: EPS Item # S18709-EPS, Black InkJet Cartridge for Epson Stylus Color 400 / 500 / 600 / 600Q / 640 / 660 / 670 , Stylus Photo 700 / 750 / 1200 (replaces S020187 &amp; S020093)</v>
      </c>
      <c r="G1305" s="74" t="str">
        <f t="shared" si="87"/>
        <v>EA</v>
      </c>
      <c r="H1305" s="7">
        <v>26</v>
      </c>
      <c r="I1305" s="2" t="str">
        <f>"44103105"</f>
        <v>44103105</v>
      </c>
      <c r="J1305" s="10" t="s">
        <v>98</v>
      </c>
    </row>
    <row r="1306" spans="1:10" ht="38.25">
      <c r="A1306" s="9" t="s">
        <v>27</v>
      </c>
      <c r="B1306" s="2" t="s">
        <v>31</v>
      </c>
      <c r="C1306" s="2">
        <v>3204</v>
      </c>
      <c r="D1306" s="2">
        <v>129</v>
      </c>
      <c r="E1306" s="2" t="str">
        <f>"1000022116"</f>
        <v>1000022116</v>
      </c>
      <c r="F1306" s="4" t="str">
        <f>"INK CART: EPS Item # T0010011-EPS, 5 Color Ink Cartridge for Stylus Photo 1200 (Yld 320)"</f>
        <v>INK CART: EPS Item # T0010011-EPS, 5 Color Ink Cartridge for Stylus Photo 1200 (Yld 320)</v>
      </c>
      <c r="G1306" s="74" t="str">
        <f t="shared" si="87"/>
        <v>EA</v>
      </c>
      <c r="H1306" s="7">
        <v>30</v>
      </c>
      <c r="I1306" s="2" t="str">
        <f>"44103105"</f>
        <v>44103105</v>
      </c>
      <c r="J1306" s="10" t="s">
        <v>98</v>
      </c>
    </row>
    <row r="1307" spans="1:10" ht="38.25">
      <c r="A1307" s="9" t="s">
        <v>27</v>
      </c>
      <c r="B1307" s="2" t="s">
        <v>31</v>
      </c>
      <c r="C1307" s="2">
        <v>3204</v>
      </c>
      <c r="D1307" s="2">
        <v>153</v>
      </c>
      <c r="E1307" s="2" t="str">
        <f>"1000022117"</f>
        <v>1000022117</v>
      </c>
      <c r="F1307" s="4" t="str">
        <f>"INK CART: EPS Item # T036120. Black Epson T036 Inkjet Cartridge for Stylus Color 42/44."</f>
        <v>INK CART: EPS Item # T036120. Black Epson T036 Inkjet Cartridge for Stylus Color 42/44.</v>
      </c>
      <c r="G1307" s="74" t="str">
        <f t="shared" si="87"/>
        <v>EA</v>
      </c>
      <c r="H1307" s="7">
        <v>18</v>
      </c>
      <c r="I1307" s="2" t="str">
        <f>"44103105"</f>
        <v>44103105</v>
      </c>
      <c r="J1307" s="10" t="s">
        <v>98</v>
      </c>
    </row>
    <row r="1308" spans="1:10" ht="38.25">
      <c r="A1308" s="9" t="s">
        <v>27</v>
      </c>
      <c r="B1308" s="2" t="s">
        <v>31</v>
      </c>
      <c r="C1308" s="2">
        <v>3204</v>
      </c>
      <c r="D1308" s="2">
        <v>154</v>
      </c>
      <c r="E1308" s="2" t="str">
        <f>"1000022118"</f>
        <v>1000022118</v>
      </c>
      <c r="F1308" s="4" t="str">
        <f>"INK CART: EPS Item # T037020. Tri-color Epson T037 Inkjet Cartridge for Stylus Color 42/44."</f>
        <v>INK CART: EPS Item # T037020. Tri-color Epson T037 Inkjet Cartridge for Stylus Color 42/44.</v>
      </c>
      <c r="G1308" s="74" t="str">
        <f t="shared" si="87"/>
        <v>EA</v>
      </c>
      <c r="H1308" s="7">
        <v>20</v>
      </c>
      <c r="I1308" s="2" t="str">
        <f>"44103105"</f>
        <v>44103105</v>
      </c>
      <c r="J1308" s="10" t="s">
        <v>98</v>
      </c>
    </row>
    <row r="1309" spans="1:10" ht="25.5">
      <c r="A1309" s="9" t="s">
        <v>27</v>
      </c>
      <c r="B1309" s="2" t="s">
        <v>31</v>
      </c>
      <c r="C1309" s="2">
        <v>3204</v>
      </c>
      <c r="D1309" s="2">
        <v>603</v>
      </c>
      <c r="E1309" s="2" t="str">
        <f>"1000022119"</f>
        <v>1000022119</v>
      </c>
      <c r="F1309" s="4" t="str">
        <f>"TONER: HP Item #C3102A-HEW, Cyan Toner for Color LaserJet 5/5M (Yld 3k)"</f>
        <v>TONER: HP Item #C3102A-HEW, Cyan Toner for Color LaserJet 5/5M (Yld 3k)</v>
      </c>
      <c r="G1309" s="74" t="str">
        <f t="shared" si="87"/>
        <v>EA</v>
      </c>
      <c r="H1309" s="7">
        <v>39</v>
      </c>
      <c r="I1309" s="2" t="str">
        <f>"44103103"</f>
        <v>44103103</v>
      </c>
      <c r="J1309" s="10" t="s">
        <v>99</v>
      </c>
    </row>
    <row r="1310" spans="1:10" ht="25.5">
      <c r="A1310" s="9" t="s">
        <v>27</v>
      </c>
      <c r="B1310" s="2" t="s">
        <v>31</v>
      </c>
      <c r="C1310" s="2">
        <v>3204</v>
      </c>
      <c r="D1310" s="2">
        <v>604</v>
      </c>
      <c r="E1310" s="2" t="str">
        <f>"1000022120"</f>
        <v>1000022120</v>
      </c>
      <c r="F1310" s="4" t="str">
        <f>"TONER: HP Item #C3103A-HEW, Yellow Toner for Color LaserJet 5/5M (Yld 3k)"</f>
        <v>TONER: HP Item #C3103A-HEW, Yellow Toner for Color LaserJet 5/5M (Yld 3k)</v>
      </c>
      <c r="G1310" s="74" t="str">
        <f t="shared" si="87"/>
        <v>EA</v>
      </c>
      <c r="H1310" s="7">
        <v>39</v>
      </c>
      <c r="I1310" s="2" t="str">
        <f>"44103103"</f>
        <v>44103103</v>
      </c>
      <c r="J1310" s="10" t="s">
        <v>99</v>
      </c>
    </row>
    <row r="1311" spans="1:10" ht="25.5">
      <c r="A1311" s="9" t="s">
        <v>27</v>
      </c>
      <c r="B1311" s="2" t="s">
        <v>31</v>
      </c>
      <c r="C1311" s="2">
        <v>3204</v>
      </c>
      <c r="D1311" s="2">
        <v>605</v>
      </c>
      <c r="E1311" s="2" t="str">
        <f>"1000022121"</f>
        <v>1000022121</v>
      </c>
      <c r="F1311" s="4" t="str">
        <f>"TONER: HP Item #C3104A-HEW, Magenta Toner for Color LaserJet 5/5M (Yld 3k)"</f>
        <v>TONER: HP Item #C3104A-HEW, Magenta Toner for Color LaserJet 5/5M (Yld 3k)</v>
      </c>
      <c r="G1311" s="74" t="str">
        <f t="shared" si="87"/>
        <v>EA</v>
      </c>
      <c r="H1311" s="7">
        <v>39</v>
      </c>
      <c r="I1311" s="2" t="str">
        <f>"44103103"</f>
        <v>44103103</v>
      </c>
      <c r="J1311" s="10" t="s">
        <v>99</v>
      </c>
    </row>
    <row r="1312" spans="1:10" ht="51">
      <c r="A1312" s="9" t="s">
        <v>27</v>
      </c>
      <c r="B1312" s="2" t="s">
        <v>31</v>
      </c>
      <c r="C1312" s="2">
        <v>3204</v>
      </c>
      <c r="D1312" s="2">
        <v>1000</v>
      </c>
      <c r="E1312" s="2" t="str">
        <f>"1000022122"</f>
        <v>1000022122</v>
      </c>
      <c r="F1312" s="4" t="str">
        <f>"WASTE BTL: Item # 10B3100-LEX, WasteToner Container for C750/ C752/ C760 / C762 / X750e (black-180k, color-50k yield)"</f>
        <v>WASTE BTL: Item # 10B3100-LEX, WasteToner Container for C750/ C752/ C760 / C762 / X750e (black-180k, color-50k yield)</v>
      </c>
      <c r="G1312" s="74" t="str">
        <f t="shared" si="87"/>
        <v>EA</v>
      </c>
      <c r="H1312" s="7">
        <v>18</v>
      </c>
      <c r="I1312" s="2" t="str">
        <f>"44103120"</f>
        <v>44103120</v>
      </c>
      <c r="J1312" s="10" t="s">
        <v>111</v>
      </c>
    </row>
    <row r="1313" spans="1:10" ht="38.25">
      <c r="A1313" s="9" t="s">
        <v>27</v>
      </c>
      <c r="B1313" s="2" t="s">
        <v>31</v>
      </c>
      <c r="C1313" s="2">
        <v>3204</v>
      </c>
      <c r="D1313" s="2">
        <v>867</v>
      </c>
      <c r="E1313" s="2" t="str">
        <f>"1000022123"</f>
        <v>1000022123</v>
      </c>
      <c r="F1313" s="4" t="str">
        <f>"TONER:MTA, Item # 0937401-MIN, Toner Cartridge for Minolta 1700, 1800, 1900 Fax Machines"</f>
        <v>TONER:MTA, Item # 0937401-MIN, Toner Cartridge for Minolta 1700, 1800, 1900 Fax Machines</v>
      </c>
      <c r="G1313" s="74" t="str">
        <f t="shared" si="87"/>
        <v>EA</v>
      </c>
      <c r="H1313" s="7">
        <v>148</v>
      </c>
      <c r="I1313" s="2" t="str">
        <f t="shared" ref="I1313:I1324" si="90">"44103103"</f>
        <v>44103103</v>
      </c>
      <c r="J1313" s="10" t="s">
        <v>99</v>
      </c>
    </row>
    <row r="1314" spans="1:10" ht="38.25">
      <c r="A1314" s="9" t="s">
        <v>27</v>
      </c>
      <c r="B1314" s="2" t="s">
        <v>31</v>
      </c>
      <c r="C1314" s="2">
        <v>3204</v>
      </c>
      <c r="D1314" s="2">
        <v>868</v>
      </c>
      <c r="E1314" s="2" t="str">
        <f>"1000022124"</f>
        <v>1000022124</v>
      </c>
      <c r="F1314" s="4" t="str">
        <f>"TONER: MTA, Item #37098011-MTA, Toner Cartridge for Mita DC1460 &amp; DC1470 Copiers. (Yld 7k)"</f>
        <v>TONER: MTA, Item #37098011-MTA, Toner Cartridge for Mita DC1460 &amp; DC1470 Copiers. (Yld 7k)</v>
      </c>
      <c r="G1314" s="74" t="str">
        <f t="shared" si="87"/>
        <v>EA</v>
      </c>
      <c r="H1314" s="7">
        <v>41</v>
      </c>
      <c r="I1314" s="2" t="str">
        <f t="shared" si="90"/>
        <v>44103103</v>
      </c>
      <c r="J1314" s="10" t="s">
        <v>99</v>
      </c>
    </row>
    <row r="1315" spans="1:10" ht="38.25">
      <c r="A1315" s="9" t="s">
        <v>27</v>
      </c>
      <c r="B1315" s="2" t="s">
        <v>31</v>
      </c>
      <c r="C1315" s="2">
        <v>3204</v>
      </c>
      <c r="D1315" s="2">
        <v>914</v>
      </c>
      <c r="E1315" s="2" t="str">
        <f>"1000022125"</f>
        <v>1000022125</v>
      </c>
      <c r="F1315" s="4" t="str">
        <f>"TONER: QMS, Item# 1710580002-QMS, Yellow toner for Konica Magicolor 5400/ 5430DL/ 5440DL/ 5450 (Yld 6k)"</f>
        <v>TONER: QMS, Item# 1710580002-QMS, Yellow toner for Konica Magicolor 5400/ 5430DL/ 5440DL/ 5450 (Yld 6k)</v>
      </c>
      <c r="G1315" s="74" t="str">
        <f t="shared" si="87"/>
        <v>EA</v>
      </c>
      <c r="H1315" s="7">
        <v>212</v>
      </c>
      <c r="I1315" s="2" t="str">
        <f t="shared" si="90"/>
        <v>44103103</v>
      </c>
      <c r="J1315" s="10" t="s">
        <v>99</v>
      </c>
    </row>
    <row r="1316" spans="1:10" ht="38.25">
      <c r="A1316" s="9" t="s">
        <v>27</v>
      </c>
      <c r="B1316" s="2" t="s">
        <v>31</v>
      </c>
      <c r="C1316" s="2">
        <v>3204</v>
      </c>
      <c r="D1316" s="2">
        <v>913</v>
      </c>
      <c r="E1316" s="2" t="str">
        <f>"1000022126"</f>
        <v>1000022126</v>
      </c>
      <c r="F1316" s="4" t="str">
        <f>"TONER: QMS, Item# 1710580003-QMS, Magenta toner for Konica Magicolor 5400/ 5430DL/ 5440DL/ 5450 (Yld 6k)"</f>
        <v>TONER: QMS, Item# 1710580003-QMS, Magenta toner for Konica Magicolor 5400/ 5430DL/ 5440DL/ 5450 (Yld 6k)</v>
      </c>
      <c r="G1316" s="74" t="str">
        <f t="shared" si="87"/>
        <v>EA</v>
      </c>
      <c r="H1316" s="7">
        <v>212</v>
      </c>
      <c r="I1316" s="2" t="str">
        <f t="shared" si="90"/>
        <v>44103103</v>
      </c>
      <c r="J1316" s="10" t="s">
        <v>99</v>
      </c>
    </row>
    <row r="1317" spans="1:10" ht="38.25">
      <c r="A1317" s="9" t="s">
        <v>27</v>
      </c>
      <c r="B1317" s="2" t="s">
        <v>31</v>
      </c>
      <c r="C1317" s="2">
        <v>3204</v>
      </c>
      <c r="D1317" s="2">
        <v>912</v>
      </c>
      <c r="E1317" s="2" t="str">
        <f>"1000022127"</f>
        <v>1000022127</v>
      </c>
      <c r="F1317" s="4" t="str">
        <f>"TONER: QMS, Item# 1710580004-QMS, Cyan toner for Konica Magicolor 5400/ 5430DL/ 5440DL/ 5450 (Yld 6k)"</f>
        <v>TONER: QMS, Item# 1710580004-QMS, Cyan toner for Konica Magicolor 5400/ 5430DL/ 5440DL/ 5450 (Yld 6k)</v>
      </c>
      <c r="G1317" s="74" t="str">
        <f t="shared" si="87"/>
        <v>EA</v>
      </c>
      <c r="H1317" s="7">
        <v>212</v>
      </c>
      <c r="I1317" s="2" t="str">
        <f t="shared" si="90"/>
        <v>44103103</v>
      </c>
      <c r="J1317" s="10" t="s">
        <v>99</v>
      </c>
    </row>
    <row r="1318" spans="1:10" ht="63.75">
      <c r="A1318" s="9" t="s">
        <v>27</v>
      </c>
      <c r="B1318" s="2" t="s">
        <v>31</v>
      </c>
      <c r="C1318" s="2">
        <v>3204</v>
      </c>
      <c r="D1318" s="2">
        <v>929</v>
      </c>
      <c r="E1318" s="2" t="str">
        <f>"1000022128"</f>
        <v>1000022128</v>
      </c>
      <c r="F1318" s="4" t="str">
        <f>"TONER: RIC, Item #888340-RIC, Black toner (Yld 24k) for the Ricoh Aficio 3228c / 3235c / 3245c, Gestetner DSc428/ DSc435/ DSc445, Ricoh Aficio 3228C, Savin C2824/ C3525/ C3528/ C4535"</f>
        <v>TONER: RIC, Item #888340-RIC, Black toner (Yld 24k) for the Ricoh Aficio 3228c / 3235c / 3245c, Gestetner DSc428/ DSc435/ DSc445, Ricoh Aficio 3228C, Savin C2824/ C3525/ C3528/ C4535</v>
      </c>
      <c r="G1318" s="74" t="str">
        <f t="shared" si="87"/>
        <v>EA</v>
      </c>
      <c r="H1318" s="7">
        <v>52</v>
      </c>
      <c r="I1318" s="2" t="str">
        <f t="shared" si="90"/>
        <v>44103103</v>
      </c>
      <c r="J1318" s="10" t="s">
        <v>99</v>
      </c>
    </row>
    <row r="1319" spans="1:10" ht="63.75">
      <c r="A1319" s="9" t="s">
        <v>27</v>
      </c>
      <c r="B1319" s="2" t="s">
        <v>31</v>
      </c>
      <c r="C1319" s="2">
        <v>3204</v>
      </c>
      <c r="D1319" s="2">
        <v>931</v>
      </c>
      <c r="E1319" s="2" t="str">
        <f>"1000022129"</f>
        <v>1000022129</v>
      </c>
      <c r="F1319" s="4" t="str">
        <f>"TONER: RIC, Item #888342-RIC, Cyan toner (Yld 24k) for the Ricoh Aficio 3228c / 3235c / 3245c, Gestetner DSc428/ DSc435/ DSc445, Ricoh Aficio 3228C, Savin C2824/ C3525/ C3528/ C4535"</f>
        <v>TONER: RIC, Item #888342-RIC, Cyan toner (Yld 24k) for the Ricoh Aficio 3228c / 3235c / 3245c, Gestetner DSc428/ DSc435/ DSc445, Ricoh Aficio 3228C, Savin C2824/ C3525/ C3528/ C4535</v>
      </c>
      <c r="G1319" s="74" t="str">
        <f t="shared" si="87"/>
        <v>EA</v>
      </c>
      <c r="H1319" s="7">
        <v>151</v>
      </c>
      <c r="I1319" s="2" t="str">
        <f t="shared" si="90"/>
        <v>44103103</v>
      </c>
      <c r="J1319" s="10" t="s">
        <v>99</v>
      </c>
    </row>
    <row r="1320" spans="1:10" ht="63.75">
      <c r="A1320" s="9" t="s">
        <v>27</v>
      </c>
      <c r="B1320" s="2" t="s">
        <v>31</v>
      </c>
      <c r="C1320" s="2">
        <v>3204</v>
      </c>
      <c r="D1320" s="2">
        <v>930</v>
      </c>
      <c r="E1320" s="2" t="str">
        <f>"1000022130"</f>
        <v>1000022130</v>
      </c>
      <c r="F1320" s="4" t="str">
        <f>"TONER: RIC, Item #888341-RIC, Yellow toner (Yld 24k) for the Ricoh Aficio 3228c / 3235c / 3245c, Gestetner DSc428/ DSc435/ DSc445, Ricoh Aficio 3228C, Savin C2824/ C3525/ C3528/ C4535"</f>
        <v>TONER: RIC, Item #888341-RIC, Yellow toner (Yld 24k) for the Ricoh Aficio 3228c / 3235c / 3245c, Gestetner DSc428/ DSc435/ DSc445, Ricoh Aficio 3228C, Savin C2824/ C3525/ C3528/ C4535</v>
      </c>
      <c r="G1320" s="74" t="str">
        <f t="shared" si="87"/>
        <v>EA</v>
      </c>
      <c r="H1320" s="7">
        <v>151</v>
      </c>
      <c r="I1320" s="2" t="str">
        <f t="shared" si="90"/>
        <v>44103103</v>
      </c>
      <c r="J1320" s="10" t="s">
        <v>99</v>
      </c>
    </row>
    <row r="1321" spans="1:10" ht="63.75">
      <c r="A1321" s="9" t="s">
        <v>27</v>
      </c>
      <c r="B1321" s="2" t="s">
        <v>31</v>
      </c>
      <c r="C1321" s="2">
        <v>3204</v>
      </c>
      <c r="D1321" s="2">
        <v>932</v>
      </c>
      <c r="E1321" s="2" t="str">
        <f>"1000022131"</f>
        <v>1000022131</v>
      </c>
      <c r="F1321" s="4" t="str">
        <f>"TONER: RIC, Item #888343-RIC, Magenta toner (Yld 24k) for the Ricoh Aficio 3228c / 3235c / 3245c, Gestetner DSc428/ DSc435/ DSc445, Ricoh Aficio 3228C, Savin C2824/ C3525/ C3528/ C4535"</f>
        <v>TONER: RIC, Item #888343-RIC, Magenta toner (Yld 24k) for the Ricoh Aficio 3228c / 3235c / 3245c, Gestetner DSc428/ DSc435/ DSc445, Ricoh Aficio 3228C, Savin C2824/ C3525/ C3528/ C4535</v>
      </c>
      <c r="G1321" s="74" t="str">
        <f t="shared" si="87"/>
        <v>EA</v>
      </c>
      <c r="H1321" s="7">
        <v>151</v>
      </c>
      <c r="I1321" s="2" t="str">
        <f t="shared" si="90"/>
        <v>44103103</v>
      </c>
      <c r="J1321" s="10" t="s">
        <v>99</v>
      </c>
    </row>
    <row r="1322" spans="1:10" ht="51">
      <c r="A1322" s="9" t="s">
        <v>27</v>
      </c>
      <c r="B1322" s="2" t="s">
        <v>31</v>
      </c>
      <c r="C1322" s="2">
        <v>3204</v>
      </c>
      <c r="D1322" s="2">
        <v>946</v>
      </c>
      <c r="E1322" s="2" t="str">
        <f>"1000022132"</f>
        <v>1000022132</v>
      </c>
      <c r="F1322" s="4" t="str">
        <f>"TONER: SAV, Item # 9887-SAV, Toner (4 per pack) designed for the Savin 9110DP Digital System laser copiers (type 1010D) (23,200 page yield)"</f>
        <v>TONER: SAV, Item # 9887-SAV, Toner (4 per pack) designed for the Savin 9110DP Digital System laser copiers (type 1010D) (23,200 page yield)</v>
      </c>
      <c r="G1322" s="74" t="str">
        <f>"PK"</f>
        <v>PK</v>
      </c>
      <c r="H1322" s="7">
        <v>371</v>
      </c>
      <c r="I1322" s="2" t="str">
        <f t="shared" si="90"/>
        <v>44103103</v>
      </c>
      <c r="J1322" s="10" t="s">
        <v>99</v>
      </c>
    </row>
    <row r="1323" spans="1:10" ht="51">
      <c r="A1323" s="9" t="s">
        <v>27</v>
      </c>
      <c r="B1323" s="2" t="s">
        <v>31</v>
      </c>
      <c r="C1323" s="2">
        <v>3204</v>
      </c>
      <c r="D1323" s="2">
        <v>618</v>
      </c>
      <c r="E1323" s="2" t="str">
        <f>"1000022133"</f>
        <v>1000022133</v>
      </c>
      <c r="F1323" s="4" t="str">
        <f>"TONER: HP Item# C3909A-MICR, Troy Black Toner (Yld 15k) for 5SI MX (AKA 0217981001) magnetic ink for check printing"</f>
        <v>TONER: HP Item# C3909A-MICR, Troy Black Toner (Yld 15k) for 5SI MX (AKA 0217981001) magnetic ink for check printing</v>
      </c>
      <c r="G1323" s="74" t="str">
        <f>"EA"</f>
        <v>EA</v>
      </c>
      <c r="H1323" s="7">
        <v>425</v>
      </c>
      <c r="I1323" s="2" t="str">
        <f t="shared" si="90"/>
        <v>44103103</v>
      </c>
      <c r="J1323" s="10" t="s">
        <v>99</v>
      </c>
    </row>
    <row r="1324" spans="1:10" ht="38.25">
      <c r="A1324" s="9" t="s">
        <v>27</v>
      </c>
      <c r="B1324" s="2" t="s">
        <v>31</v>
      </c>
      <c r="C1324" s="2">
        <v>3204</v>
      </c>
      <c r="D1324" s="2">
        <v>988</v>
      </c>
      <c r="E1324" s="2" t="str">
        <f>"1000022134"</f>
        <v>1000022134</v>
      </c>
      <c r="F1324" s="4" t="str">
        <f>"TONER: XER, Item # 6R917-XER, Black Toner for Xerox Work Centre XE 60 / 62 / 80 / 82 Laser Toner Printers (Yld 3k)"</f>
        <v>TONER: XER, Item # 6R917-XER, Black Toner for Xerox Work Centre XE 60 / 62 / 80 / 82 Laser Toner Printers (Yld 3k)</v>
      </c>
      <c r="G1324" s="74" t="str">
        <f>"EA"</f>
        <v>EA</v>
      </c>
      <c r="H1324" s="7">
        <v>152</v>
      </c>
      <c r="I1324" s="2" t="str">
        <f t="shared" si="90"/>
        <v>44103103</v>
      </c>
      <c r="J1324" s="10" t="s">
        <v>98</v>
      </c>
    </row>
    <row r="1325" spans="1:10" ht="51">
      <c r="A1325" s="9" t="s">
        <v>27</v>
      </c>
      <c r="B1325" s="2" t="s">
        <v>31</v>
      </c>
      <c r="C1325" s="2">
        <v>3204</v>
      </c>
      <c r="D1325" s="2">
        <v>44</v>
      </c>
      <c r="E1325" s="2" t="str">
        <f>"1000022135"</f>
        <v>1000022135</v>
      </c>
      <c r="F1325" s="4" t="str">
        <f>"FAX FILM: XER, Item # 8R3186-XER, Thermal transfer refills (2/Pkg) designed for the Xerox 7024 / 7280 thermal transfer fax machines."</f>
        <v>FAX FILM: XER, Item # 8R3186-XER, Thermal transfer refills (2/Pkg) designed for the Xerox 7024 / 7280 thermal transfer fax machines.</v>
      </c>
      <c r="G1325" s="74" t="str">
        <f>"PK"</f>
        <v>PK</v>
      </c>
      <c r="H1325" s="7">
        <v>156</v>
      </c>
      <c r="I1325" s="2" t="str">
        <f>"44103117"</f>
        <v>44103117</v>
      </c>
      <c r="J1325" s="10" t="s">
        <v>95</v>
      </c>
    </row>
    <row r="1326" spans="1:10" ht="51">
      <c r="A1326" s="9" t="s">
        <v>27</v>
      </c>
      <c r="B1326" s="2" t="s">
        <v>31</v>
      </c>
      <c r="C1326" s="2">
        <v>3204</v>
      </c>
      <c r="D1326" s="2">
        <v>910</v>
      </c>
      <c r="E1326" s="2" t="str">
        <f>"1000022136"</f>
        <v>1000022136</v>
      </c>
      <c r="F1326" s="4" t="str">
        <f>"TONER: QMS, Item# 1710517006-QMS, Yellow toner for Konica Minolta Magicolor 2300/ 2300DL/ 2300W/ 2350EN, (Yld 4.5k)"</f>
        <v>TONER: QMS, Item# 1710517006-QMS, Yellow toner for Konica Minolta Magicolor 2300/ 2300DL/ 2300W/ 2350EN, (Yld 4.5k)</v>
      </c>
      <c r="G1326" s="74" t="str">
        <f t="shared" ref="G1326:G1357" si="91">"EA"</f>
        <v>EA</v>
      </c>
      <c r="H1326" s="7">
        <v>123</v>
      </c>
      <c r="I1326" s="2" t="str">
        <f t="shared" ref="I1326:I1347" si="92">"44103103"</f>
        <v>44103103</v>
      </c>
      <c r="J1326" s="10" t="s">
        <v>99</v>
      </c>
    </row>
    <row r="1327" spans="1:10" ht="51">
      <c r="A1327" s="9" t="s">
        <v>27</v>
      </c>
      <c r="B1327" s="2" t="s">
        <v>31</v>
      </c>
      <c r="C1327" s="2">
        <v>3204</v>
      </c>
      <c r="D1327" s="2">
        <v>909</v>
      </c>
      <c r="E1327" s="2" t="str">
        <f>"1000022137"</f>
        <v>1000022137</v>
      </c>
      <c r="F1327" s="4" t="str">
        <f>"TONER: QMS, Item# 1710517007-QMS, Magenta toner for Konica Minolta Magicolor 2300/ 2300DL/ 2300W/ 2350EN, (Yld 4.5k)"</f>
        <v>TONER: QMS, Item# 1710517007-QMS, Magenta toner for Konica Minolta Magicolor 2300/ 2300DL/ 2300W/ 2350EN, (Yld 4.5k)</v>
      </c>
      <c r="G1327" s="74" t="str">
        <f t="shared" si="91"/>
        <v>EA</v>
      </c>
      <c r="H1327" s="7">
        <v>125</v>
      </c>
      <c r="I1327" s="2" t="str">
        <f t="shared" si="92"/>
        <v>44103103</v>
      </c>
      <c r="J1327" s="10" t="s">
        <v>99</v>
      </c>
    </row>
    <row r="1328" spans="1:10" ht="51">
      <c r="A1328" s="9" t="s">
        <v>27</v>
      </c>
      <c r="B1328" s="2" t="s">
        <v>31</v>
      </c>
      <c r="C1328" s="2">
        <v>3204</v>
      </c>
      <c r="D1328" s="2">
        <v>904</v>
      </c>
      <c r="E1328" s="2" t="str">
        <f>"1000022138"</f>
        <v>1000022138</v>
      </c>
      <c r="F1328" s="4" t="str">
        <f>"TONER: QMS, Item # 1710434001-QMS, Black toner for Konica Minolta Pageworks 20/20N/ 2060/ 2060BX/ 2060WX/ 2060FX (Yld 20k)"</f>
        <v>TONER: QMS, Item # 1710434001-QMS, Black toner for Konica Minolta Pageworks 20/20N/ 2060/ 2060BX/ 2060WX/ 2060FX (Yld 20k)</v>
      </c>
      <c r="G1328" s="74" t="str">
        <f t="shared" si="91"/>
        <v>EA</v>
      </c>
      <c r="H1328" s="7">
        <v>247</v>
      </c>
      <c r="I1328" s="2" t="str">
        <f t="shared" si="92"/>
        <v>44103103</v>
      </c>
      <c r="J1328" s="10" t="s">
        <v>99</v>
      </c>
    </row>
    <row r="1329" spans="1:10" ht="38.25">
      <c r="A1329" s="9" t="s">
        <v>27</v>
      </c>
      <c r="B1329" s="2" t="s">
        <v>31</v>
      </c>
      <c r="C1329" s="2">
        <v>3204</v>
      </c>
      <c r="D1329" s="2">
        <v>1015</v>
      </c>
      <c r="E1329" s="2" t="str">
        <f>"1000024516"</f>
        <v>1000024516</v>
      </c>
      <c r="F1329" s="4" t="str">
        <f>"TONER:HP Item# CE313A-HEW, HP 126A (Yld 1k) Magenta Laser Toner for CP 1020 Series, CP1025 and CP1025NW printers."</f>
        <v>TONER:HP Item# CE313A-HEW, HP 126A (Yld 1k) Magenta Laser Toner for CP 1020 Series, CP1025 and CP1025NW printers.</v>
      </c>
      <c r="G1329" s="74" t="str">
        <f t="shared" si="91"/>
        <v>EA</v>
      </c>
      <c r="H1329" s="7">
        <v>56.99</v>
      </c>
      <c r="I1329" s="2" t="str">
        <f t="shared" si="92"/>
        <v>44103103</v>
      </c>
      <c r="J1329" s="10" t="s">
        <v>99</v>
      </c>
    </row>
    <row r="1330" spans="1:10" ht="38.25">
      <c r="A1330" s="9" t="s">
        <v>27</v>
      </c>
      <c r="B1330" s="2" t="s">
        <v>31</v>
      </c>
      <c r="C1330" s="2">
        <v>3204</v>
      </c>
      <c r="D1330" s="2">
        <v>1016</v>
      </c>
      <c r="E1330" s="2" t="str">
        <f>"1000024517"</f>
        <v>1000024517</v>
      </c>
      <c r="F1330" s="4" t="str">
        <f>"TONER:BRO Item # TN315M-BRT, Magenta toner (Yld 3.5k) for Brother Laser HL-4150 and HL-4570 series printers."</f>
        <v>TONER:BRO Item # TN315M-BRT, Magenta toner (Yld 3.5k) for Brother Laser HL-4150 and HL-4570 series printers.</v>
      </c>
      <c r="G1330" s="74" t="str">
        <f t="shared" si="91"/>
        <v>EA</v>
      </c>
      <c r="H1330" s="7">
        <v>124.99</v>
      </c>
      <c r="I1330" s="2" t="str">
        <f t="shared" si="92"/>
        <v>44103103</v>
      </c>
      <c r="J1330" s="10" t="s">
        <v>99</v>
      </c>
    </row>
    <row r="1331" spans="1:10" ht="38.25">
      <c r="A1331" s="9" t="s">
        <v>27</v>
      </c>
      <c r="B1331" s="2" t="s">
        <v>31</v>
      </c>
      <c r="C1331" s="2">
        <v>3204</v>
      </c>
      <c r="D1331" s="2">
        <v>1017</v>
      </c>
      <c r="E1331" s="2" t="str">
        <f>"1000024518"</f>
        <v>1000024518</v>
      </c>
      <c r="F1331" s="4" t="str">
        <f>"TONER:BRO Item # TN315Y-BRT, Yellow toner,(Yld 3.5k) for Brother Laser HL-4150 and HL-4570 series printers."</f>
        <v>TONER:BRO Item # TN315Y-BRT, Yellow toner,(Yld 3.5k) for Brother Laser HL-4150 and HL-4570 series printers.</v>
      </c>
      <c r="G1331" s="74" t="str">
        <f t="shared" si="91"/>
        <v>EA</v>
      </c>
      <c r="H1331" s="7">
        <v>124.99</v>
      </c>
      <c r="I1331" s="2" t="str">
        <f t="shared" si="92"/>
        <v>44103103</v>
      </c>
      <c r="J1331" s="10" t="s">
        <v>99</v>
      </c>
    </row>
    <row r="1332" spans="1:10" ht="38.25">
      <c r="A1332" s="9" t="s">
        <v>27</v>
      </c>
      <c r="B1332" s="2" t="s">
        <v>31</v>
      </c>
      <c r="C1332" s="2">
        <v>3204</v>
      </c>
      <c r="D1332" s="2">
        <v>1018</v>
      </c>
      <c r="E1332" s="2" t="str">
        <f>"1000024519"</f>
        <v>1000024519</v>
      </c>
      <c r="F1332" s="4" t="str">
        <f>"TONER:BRO Item # TN450-BRT, Black Toner (Yld 2.6k) for Brother HL 2240 series and HL 2270 series printers."</f>
        <v>TONER:BRO Item # TN450-BRT, Black Toner (Yld 2.6k) for Brother HL 2240 series and HL 2270 series printers.</v>
      </c>
      <c r="G1332" s="74" t="str">
        <f t="shared" si="91"/>
        <v>EA</v>
      </c>
      <c r="H1332" s="7">
        <v>67.319999999999993</v>
      </c>
      <c r="I1332" s="2" t="str">
        <f t="shared" si="92"/>
        <v>44103103</v>
      </c>
      <c r="J1332" s="10" t="s">
        <v>99</v>
      </c>
    </row>
    <row r="1333" spans="1:10" ht="51">
      <c r="A1333" s="9" t="s">
        <v>27</v>
      </c>
      <c r="B1333" s="2" t="s">
        <v>31</v>
      </c>
      <c r="C1333" s="2">
        <v>3204</v>
      </c>
      <c r="D1333" s="2">
        <v>1019</v>
      </c>
      <c r="E1333" s="2" t="str">
        <f>"1000024520"</f>
        <v>1000024520</v>
      </c>
      <c r="F1333" s="4" t="str">
        <f>"TONER:BRO Item # TN110BK-BRT, Black laser toner (Yld 2.5k) for Brother MFC9400CN, HL4070CDW and HL4040CN printers."</f>
        <v>TONER:BRO Item # TN110BK-BRT, Black laser toner (Yld 2.5k) for Brother MFC9400CN, HL4070CDW and HL4040CN printers.</v>
      </c>
      <c r="G1333" s="74" t="str">
        <f t="shared" si="91"/>
        <v>EA</v>
      </c>
      <c r="H1333" s="7">
        <v>56</v>
      </c>
      <c r="I1333" s="2" t="str">
        <f t="shared" si="92"/>
        <v>44103103</v>
      </c>
      <c r="J1333" s="10" t="s">
        <v>99</v>
      </c>
    </row>
    <row r="1334" spans="1:10" ht="63.75">
      <c r="A1334" s="9" t="s">
        <v>27</v>
      </c>
      <c r="B1334" s="2" t="s">
        <v>31</v>
      </c>
      <c r="C1334" s="2">
        <v>3204</v>
      </c>
      <c r="D1334" s="2">
        <v>1025</v>
      </c>
      <c r="E1334" s="2" t="str">
        <f>"1000024521"</f>
        <v>1000024521</v>
      </c>
      <c r="F1334" s="4" t="str">
        <f>"TONER:HP Item # Q7553A-BC, Brand Compatible cartridge (Yld 3k) for HP LaserJet M2727 MFP, M2727nf, M2727nf MFP, P2010, P2014, P2015, P2015d, P2015dn, P2015n, P2015x printers."</f>
        <v>TONER:HP Item # Q7553A-BC, Brand Compatible cartridge (Yld 3k) for HP LaserJet M2727 MFP, M2727nf, M2727nf MFP, P2010, P2014, P2015, P2015d, P2015dn, P2015n, P2015x printers.</v>
      </c>
      <c r="G1334" s="74" t="str">
        <f t="shared" si="91"/>
        <v>EA</v>
      </c>
      <c r="H1334" s="7">
        <v>51</v>
      </c>
      <c r="I1334" s="2" t="str">
        <f t="shared" si="92"/>
        <v>44103103</v>
      </c>
      <c r="J1334" s="10" t="s">
        <v>99</v>
      </c>
    </row>
    <row r="1335" spans="1:10" ht="51">
      <c r="A1335" s="9" t="s">
        <v>27</v>
      </c>
      <c r="B1335" s="2" t="s">
        <v>31</v>
      </c>
      <c r="C1335" s="2">
        <v>3204</v>
      </c>
      <c r="D1335" s="2">
        <v>1026</v>
      </c>
      <c r="E1335" s="2" t="str">
        <f>"1000024522"</f>
        <v>1000024522</v>
      </c>
      <c r="F1335" s="4" t="str">
        <f>"TONER:HP Item # Q7551A-BC, Brand Compatible Cartridge (Yld 6.5k) for HP M3035mfp series and P3005 series laserjet printers."</f>
        <v>TONER:HP Item # Q7551A-BC, Brand Compatible Cartridge (Yld 6.5k) for HP M3035mfp series and P3005 series laserjet printers.</v>
      </c>
      <c r="G1335" s="74" t="str">
        <f t="shared" si="91"/>
        <v>EA</v>
      </c>
      <c r="H1335" s="7">
        <v>65</v>
      </c>
      <c r="I1335" s="2" t="str">
        <f t="shared" si="92"/>
        <v>44103103</v>
      </c>
      <c r="J1335" s="10" t="s">
        <v>99</v>
      </c>
    </row>
    <row r="1336" spans="1:10" ht="38.25">
      <c r="A1336" s="9" t="s">
        <v>27</v>
      </c>
      <c r="B1336" s="2" t="s">
        <v>31</v>
      </c>
      <c r="C1336" s="2">
        <v>3204</v>
      </c>
      <c r="D1336" s="2">
        <v>1003</v>
      </c>
      <c r="E1336" s="2" t="str">
        <f>"1000024525"</f>
        <v>1000024525</v>
      </c>
      <c r="F1336" s="4" t="str">
        <f>"TONER:HP Item #CE250A-HEW, Black laser toner (Yld 5k) for CM350 and CP3525 MFP printers"</f>
        <v>TONER:HP Item #CE250A-HEW, Black laser toner (Yld 5k) for CM350 and CP3525 MFP printers</v>
      </c>
      <c r="G1336" s="74" t="str">
        <f t="shared" si="91"/>
        <v>EA</v>
      </c>
      <c r="H1336" s="7">
        <v>136.99</v>
      </c>
      <c r="I1336" s="2" t="str">
        <f t="shared" si="92"/>
        <v>44103103</v>
      </c>
      <c r="J1336" s="10" t="s">
        <v>99</v>
      </c>
    </row>
    <row r="1337" spans="1:10" ht="38.25">
      <c r="A1337" s="9" t="s">
        <v>27</v>
      </c>
      <c r="B1337" s="2" t="s">
        <v>31</v>
      </c>
      <c r="C1337" s="2">
        <v>3204</v>
      </c>
      <c r="D1337" s="2">
        <v>1004</v>
      </c>
      <c r="E1337" s="2" t="str">
        <f>"1000024526"</f>
        <v>1000024526</v>
      </c>
      <c r="F1337" s="4" t="str">
        <f>"TONER:HP Item #CE255A-HEW, Black laser toner (Yld 6k) for Laserjet P3015, P3015D, P3015DN and P3015X."</f>
        <v>TONER:HP Item #CE255A-HEW, Black laser toner (Yld 6k) for Laserjet P3015, P3015D, P3015DN and P3015X.</v>
      </c>
      <c r="G1337" s="74" t="str">
        <f t="shared" si="91"/>
        <v>EA</v>
      </c>
      <c r="H1337" s="7">
        <v>147.99</v>
      </c>
      <c r="I1337" s="2" t="str">
        <f t="shared" si="92"/>
        <v>44103103</v>
      </c>
      <c r="J1337" s="10" t="s">
        <v>99</v>
      </c>
    </row>
    <row r="1338" spans="1:10" ht="51">
      <c r="A1338" s="9" t="s">
        <v>27</v>
      </c>
      <c r="B1338" s="2" t="s">
        <v>31</v>
      </c>
      <c r="C1338" s="2">
        <v>3204</v>
      </c>
      <c r="D1338" s="2">
        <v>1005</v>
      </c>
      <c r="E1338" s="2" t="str">
        <f>"1000024527"</f>
        <v>1000024527</v>
      </c>
      <c r="F1338" s="4" t="str">
        <f>"TONER:HP Item # CE255X-HEW, Black laser toner, (Yld 12.5k) high capacity for Laserjet P3015, P3015d, P3015dn, and P3015x printers."</f>
        <v>TONER:HP Item # CE255X-HEW, Black laser toner, (Yld 12.5k) high capacity for Laserjet P3015, P3015d, P3015dn, and P3015x printers.</v>
      </c>
      <c r="G1338" s="74" t="str">
        <f t="shared" si="91"/>
        <v>EA</v>
      </c>
      <c r="H1338" s="7">
        <v>227.99</v>
      </c>
      <c r="I1338" s="2" t="str">
        <f t="shared" si="92"/>
        <v>44103103</v>
      </c>
      <c r="J1338" s="10" t="s">
        <v>99</v>
      </c>
    </row>
    <row r="1339" spans="1:10" ht="51">
      <c r="A1339" s="9" t="s">
        <v>27</v>
      </c>
      <c r="B1339" s="2" t="s">
        <v>31</v>
      </c>
      <c r="C1339" s="2">
        <v>3204</v>
      </c>
      <c r="D1339" s="2">
        <v>1006</v>
      </c>
      <c r="E1339" s="2" t="str">
        <f>"1000024528"</f>
        <v>1000024528</v>
      </c>
      <c r="F1339" s="4" t="str">
        <f>"TONER:HP Item# CE260A-HEW, Black laser toner (Yld 8.5k) for Laserjet CP4025dn, CP4025n, CP4520, CP4525dn, CP4525n, and CP4525xh."</f>
        <v>TONER:HP Item# CE260A-HEW, Black laser toner (Yld 8.5k) for Laserjet CP4025dn, CP4025n, CP4520, CP4525dn, CP4525n, and CP4525xh.</v>
      </c>
      <c r="G1339" s="74" t="str">
        <f t="shared" si="91"/>
        <v>EA</v>
      </c>
      <c r="H1339" s="7">
        <v>159.99</v>
      </c>
      <c r="I1339" s="2" t="str">
        <f t="shared" si="92"/>
        <v>44103103</v>
      </c>
      <c r="J1339" s="10" t="s">
        <v>99</v>
      </c>
    </row>
    <row r="1340" spans="1:10" ht="51">
      <c r="A1340" s="9" t="s">
        <v>27</v>
      </c>
      <c r="B1340" s="2" t="s">
        <v>31</v>
      </c>
      <c r="C1340" s="2">
        <v>3204</v>
      </c>
      <c r="D1340" s="2">
        <v>1007</v>
      </c>
      <c r="E1340" s="2" t="str">
        <f>"1000024529"</f>
        <v>1000024529</v>
      </c>
      <c r="F1340" s="4" t="str">
        <f>"TONER:HP Item# CE261A-HEW, Cyan laser toner (Yld 11K), for Laserjet CP4025dn, CP4025n, CP4525dn, CP4525n, CP4525xh printers."</f>
        <v>TONER:HP Item# CE261A-HEW, Cyan laser toner (Yld 11K), for Laserjet CP4025dn, CP4025n, CP4525dn, CP4525n, CP4525xh printers.</v>
      </c>
      <c r="G1340" s="74" t="str">
        <f t="shared" si="91"/>
        <v>EA</v>
      </c>
      <c r="H1340" s="7">
        <v>290.99</v>
      </c>
      <c r="I1340" s="2" t="str">
        <f t="shared" si="92"/>
        <v>44103103</v>
      </c>
      <c r="J1340" s="10" t="s">
        <v>99</v>
      </c>
    </row>
    <row r="1341" spans="1:10" ht="51">
      <c r="A1341" s="9" t="s">
        <v>27</v>
      </c>
      <c r="B1341" s="2" t="s">
        <v>31</v>
      </c>
      <c r="C1341" s="2">
        <v>3204</v>
      </c>
      <c r="D1341" s="2">
        <v>1008</v>
      </c>
      <c r="E1341" s="2" t="str">
        <f>"1000024530"</f>
        <v>1000024530</v>
      </c>
      <c r="F1341" s="4" t="str">
        <f>"TONER:HP Item # CE262A-HEW, Yellow laser toner (Yld 11k) for Laserjet CP4025dn, CP4025n, CP4525dn, CP4525n, and CP4525xh printers."</f>
        <v>TONER:HP Item # CE262A-HEW, Yellow laser toner (Yld 11k) for Laserjet CP4025dn, CP4025n, CP4525dn, CP4525n, and CP4525xh printers.</v>
      </c>
      <c r="G1341" s="74" t="str">
        <f t="shared" si="91"/>
        <v>EA</v>
      </c>
      <c r="H1341" s="7">
        <v>290.99</v>
      </c>
      <c r="I1341" s="2" t="str">
        <f t="shared" si="92"/>
        <v>44103103</v>
      </c>
      <c r="J1341" s="10" t="s">
        <v>99</v>
      </c>
    </row>
    <row r="1342" spans="1:10" ht="51">
      <c r="A1342" s="9" t="s">
        <v>27</v>
      </c>
      <c r="B1342" s="2" t="s">
        <v>31</v>
      </c>
      <c r="C1342" s="2">
        <v>3204</v>
      </c>
      <c r="D1342" s="2">
        <v>1009</v>
      </c>
      <c r="E1342" s="2" t="str">
        <f>"1000024531"</f>
        <v>1000024531</v>
      </c>
      <c r="F1342" s="4" t="str">
        <f>"TONER:HP Item # CE263A-HEW, Magenta laser toner (Yld 11K) for Laserjet CP4025dn, CP4025n, CP4520, CP4525dn, CP4525n, and CP4525xh printers."</f>
        <v>TONER:HP Item # CE263A-HEW, Magenta laser toner (Yld 11K) for Laserjet CP4025dn, CP4025n, CP4520, CP4525dn, CP4525n, and CP4525xh printers.</v>
      </c>
      <c r="G1342" s="74" t="str">
        <f t="shared" si="91"/>
        <v>EA</v>
      </c>
      <c r="H1342" s="7">
        <v>290.99</v>
      </c>
      <c r="I1342" s="2" t="str">
        <f t="shared" si="92"/>
        <v>44103103</v>
      </c>
      <c r="J1342" s="10" t="s">
        <v>99</v>
      </c>
    </row>
    <row r="1343" spans="1:10" ht="38.25">
      <c r="A1343" s="9" t="s">
        <v>27</v>
      </c>
      <c r="B1343" s="2" t="s">
        <v>31</v>
      </c>
      <c r="C1343" s="2">
        <v>3204</v>
      </c>
      <c r="D1343" s="2">
        <v>1010</v>
      </c>
      <c r="E1343" s="2" t="str">
        <f>"1000024532"</f>
        <v>1000024532</v>
      </c>
      <c r="F1343" s="4" t="str">
        <f>"TONER:HP Item #CE278A-HEW, Black Toner (Yld 2.1k) for HP laserJet M1536dnf and Pro P1606dn printers."</f>
        <v>TONER:HP Item #CE278A-HEW, Black Toner (Yld 2.1k) for HP laserJet M1536dnf and Pro P1606dn printers.</v>
      </c>
      <c r="G1343" s="74" t="str">
        <f t="shared" si="91"/>
        <v>EA</v>
      </c>
      <c r="H1343" s="7">
        <v>79.989999999999995</v>
      </c>
      <c r="I1343" s="2" t="str">
        <f t="shared" si="92"/>
        <v>44103103</v>
      </c>
      <c r="J1343" s="10" t="s">
        <v>99</v>
      </c>
    </row>
    <row r="1344" spans="1:10" ht="38.25">
      <c r="A1344" s="9" t="s">
        <v>27</v>
      </c>
      <c r="B1344" s="2" t="s">
        <v>31</v>
      </c>
      <c r="C1344" s="2">
        <v>3204</v>
      </c>
      <c r="D1344" s="2">
        <v>1011</v>
      </c>
      <c r="E1344" s="2" t="str">
        <f>"1000024533"</f>
        <v>1000024533</v>
      </c>
      <c r="F1344" s="4" t="str">
        <f>"TONER:HP Item # CE285A-HEW, Black Laser Cartridge (Ylds 1.6k) for HP LaserJet Pro M1212nf, P1102 and Pro1102w printers"</f>
        <v>TONER:HP Item # CE285A-HEW, Black Laser Cartridge (Ylds 1.6k) for HP LaserJet Pro M1212nf, P1102 and Pro1102w printers</v>
      </c>
      <c r="G1344" s="74" t="str">
        <f t="shared" si="91"/>
        <v>EA</v>
      </c>
      <c r="H1344" s="7">
        <v>68.989999999999995</v>
      </c>
      <c r="I1344" s="2" t="str">
        <f t="shared" si="92"/>
        <v>44103103</v>
      </c>
      <c r="J1344" s="10" t="s">
        <v>99</v>
      </c>
    </row>
    <row r="1345" spans="1:10" ht="38.25">
      <c r="A1345" s="9" t="s">
        <v>27</v>
      </c>
      <c r="B1345" s="2" t="s">
        <v>31</v>
      </c>
      <c r="C1345" s="2">
        <v>3204</v>
      </c>
      <c r="D1345" s="2">
        <v>1020</v>
      </c>
      <c r="E1345" s="2" t="str">
        <f>"1000024534"</f>
        <v>1000024534</v>
      </c>
      <c r="F1345" s="4" t="str">
        <f>"TONER:BRO Item # TN110C-BRT, Cyan laser toner (Yld 1.5k) for Brother MFC9400CN, HL4070CDW and HL4040CN printers. ."</f>
        <v>TONER:BRO Item # TN110C-BRT, Cyan laser toner (Yld 1.5k) for Brother MFC9400CN, HL4070CDW and HL4040CN printers. .</v>
      </c>
      <c r="G1345" s="74" t="str">
        <f t="shared" si="91"/>
        <v>EA</v>
      </c>
      <c r="H1345" s="7">
        <v>73.66</v>
      </c>
      <c r="I1345" s="2" t="str">
        <f t="shared" si="92"/>
        <v>44103103</v>
      </c>
      <c r="J1345" s="10" t="s">
        <v>99</v>
      </c>
    </row>
    <row r="1346" spans="1:10" ht="51">
      <c r="A1346" s="9" t="s">
        <v>27</v>
      </c>
      <c r="B1346" s="2" t="s">
        <v>31</v>
      </c>
      <c r="C1346" s="2">
        <v>3204</v>
      </c>
      <c r="D1346" s="2">
        <v>1021</v>
      </c>
      <c r="E1346" s="2" t="str">
        <f>"1000024535"</f>
        <v>1000024535</v>
      </c>
      <c r="F1346" s="4" t="str">
        <f>"TONER:BRO Item # TN110M-BRT, Magenta laser toner (Yld 1.5k) for Brother MFC9400CN, HL4070CDW and HL4040CN printers."</f>
        <v>TONER:BRO Item # TN110M-BRT, Magenta laser toner (Yld 1.5k) for Brother MFC9400CN, HL4070CDW and HL4040CN printers.</v>
      </c>
      <c r="G1346" s="74" t="str">
        <f t="shared" si="91"/>
        <v>EA</v>
      </c>
      <c r="H1346" s="7">
        <v>73.66</v>
      </c>
      <c r="I1346" s="2" t="str">
        <f t="shared" si="92"/>
        <v>44103103</v>
      </c>
      <c r="J1346" s="10" t="s">
        <v>99</v>
      </c>
    </row>
    <row r="1347" spans="1:10" ht="38.25">
      <c r="A1347" s="9" t="s">
        <v>27</v>
      </c>
      <c r="B1347" s="2" t="s">
        <v>31</v>
      </c>
      <c r="C1347" s="2">
        <v>3204</v>
      </c>
      <c r="D1347" s="2">
        <v>1022</v>
      </c>
      <c r="E1347" s="2" t="str">
        <f>"1000024536"</f>
        <v>1000024536</v>
      </c>
      <c r="F1347" s="4" t="str">
        <f>"TONER:BRO Item # TN110Y-BRT, Yellow toner (Yld 1.5k) for MFC9400CN, HL4070CDW and HL4040CN printers."</f>
        <v>TONER:BRO Item # TN110Y-BRT, Yellow toner (Yld 1.5k) for MFC9400CN, HL4070CDW and HL4040CN printers.</v>
      </c>
      <c r="G1347" s="74" t="str">
        <f t="shared" si="91"/>
        <v>EA</v>
      </c>
      <c r="H1347" s="7">
        <v>73.66</v>
      </c>
      <c r="I1347" s="2" t="str">
        <f t="shared" si="92"/>
        <v>44103103</v>
      </c>
      <c r="J1347" s="10" t="s">
        <v>99</v>
      </c>
    </row>
    <row r="1348" spans="1:10" ht="38.25">
      <c r="A1348" s="9" t="s">
        <v>27</v>
      </c>
      <c r="B1348" s="2" t="s">
        <v>31</v>
      </c>
      <c r="C1348" s="2">
        <v>3204</v>
      </c>
      <c r="D1348" s="2">
        <v>1023</v>
      </c>
      <c r="E1348" s="2" t="str">
        <f>"1000024537"</f>
        <v>1000024537</v>
      </c>
      <c r="F1348" s="4" t="str">
        <f>"DRUM:BRO Item # DR110CL-BRT, Drum unit (Yld 17k) for MFC9400CN, HL4070CDW, and HL4040CN printers."</f>
        <v>DRUM:BRO Item # DR110CL-BRT, Drum unit (Yld 17k) for MFC9400CN, HL4070CDW, and HL4040CN printers.</v>
      </c>
      <c r="G1348" s="74" t="str">
        <f t="shared" si="91"/>
        <v>EA</v>
      </c>
      <c r="H1348" s="7">
        <v>161</v>
      </c>
      <c r="I1348" s="2" t="str">
        <f>"44103109"</f>
        <v>44103109</v>
      </c>
      <c r="J1348" s="10" t="s">
        <v>99</v>
      </c>
    </row>
    <row r="1349" spans="1:10" ht="38.25">
      <c r="A1349" s="9" t="s">
        <v>27</v>
      </c>
      <c r="B1349" s="2" t="s">
        <v>31</v>
      </c>
      <c r="C1349" s="2">
        <v>3204</v>
      </c>
      <c r="D1349" s="2">
        <v>1024</v>
      </c>
      <c r="E1349" s="2" t="str">
        <f>"1000024538"</f>
        <v>1000024538</v>
      </c>
      <c r="F1349" s="4" t="str">
        <f>"TONER:CAN Item # FX11-CAN, Black cartridge (Yld 4.5k) for Laserclass 810 and 830 Canon fax machines."</f>
        <v>TONER:CAN Item # FX11-CAN, Black cartridge (Yld 4.5k) for Laserclass 810 and 830 Canon fax machines.</v>
      </c>
      <c r="G1349" s="74" t="str">
        <f t="shared" si="91"/>
        <v>EA</v>
      </c>
      <c r="H1349" s="7">
        <v>116.66</v>
      </c>
      <c r="I1349" s="2" t="str">
        <f>"44103103"</f>
        <v>44103103</v>
      </c>
      <c r="J1349" s="10" t="s">
        <v>99</v>
      </c>
    </row>
    <row r="1350" spans="1:10" ht="38.25">
      <c r="A1350" s="9" t="s">
        <v>27</v>
      </c>
      <c r="B1350" s="2" t="s">
        <v>31</v>
      </c>
      <c r="C1350" s="2">
        <v>3204</v>
      </c>
      <c r="D1350" s="2">
        <v>1012</v>
      </c>
      <c r="E1350" s="2" t="str">
        <f>"1000024539"</f>
        <v>1000024539</v>
      </c>
      <c r="F1350" s="4" t="str">
        <f>"TONER:HP Item# CE310A-HEW, HP 126A (Yld 1.2K) Black Laser Toner for CP 1020 Series, CP1025 and CP1025NW"</f>
        <v>TONER:HP Item# CE310A-HEW, HP 126A (Yld 1.2K) Black Laser Toner for CP 1020 Series, CP1025 and CP1025NW</v>
      </c>
      <c r="G1350" s="74" t="str">
        <f t="shared" si="91"/>
        <v>EA</v>
      </c>
      <c r="H1350" s="7">
        <v>50</v>
      </c>
      <c r="I1350" s="2" t="str">
        <f>"44103103"</f>
        <v>44103103</v>
      </c>
      <c r="J1350" s="10" t="s">
        <v>99</v>
      </c>
    </row>
    <row r="1351" spans="1:10" ht="38.25">
      <c r="A1351" s="9" t="s">
        <v>27</v>
      </c>
      <c r="B1351" s="2" t="s">
        <v>31</v>
      </c>
      <c r="C1351" s="2">
        <v>3204</v>
      </c>
      <c r="D1351" s="2">
        <v>1013</v>
      </c>
      <c r="E1351" s="2" t="str">
        <f>"1000024540"</f>
        <v>1000024540</v>
      </c>
      <c r="F1351" s="4" t="str">
        <f>"TONER:HP Item# CE311A-HEW, HP 126A (Yld 1k) Cyan Laser Toner for CP 1020 Series, CP1025 and CP1025NW printers."</f>
        <v>TONER:HP Item# CE311A-HEW, HP 126A (Yld 1k) Cyan Laser Toner for CP 1020 Series, CP1025 and CP1025NW printers.</v>
      </c>
      <c r="G1351" s="74" t="str">
        <f t="shared" si="91"/>
        <v>EA</v>
      </c>
      <c r="H1351" s="7">
        <v>56.99</v>
      </c>
      <c r="I1351" s="2" t="str">
        <f>"44103103"</f>
        <v>44103103</v>
      </c>
      <c r="J1351" s="10" t="s">
        <v>99</v>
      </c>
    </row>
    <row r="1352" spans="1:10" ht="38.25">
      <c r="A1352" s="9" t="s">
        <v>27</v>
      </c>
      <c r="B1352" s="2" t="s">
        <v>31</v>
      </c>
      <c r="C1352" s="2">
        <v>3204</v>
      </c>
      <c r="D1352" s="2">
        <v>1014</v>
      </c>
      <c r="E1352" s="2" t="str">
        <f>"1000024541"</f>
        <v>1000024541</v>
      </c>
      <c r="F1352" s="4" t="str">
        <f>"TONER:HP Item# CE312A-HEW, HP 126A (Yld 1k) Yellow Laser Toner for CP 1020 Series, CP1025 and CP1025NW printers."</f>
        <v>TONER:HP Item# CE312A-HEW, HP 126A (Yld 1k) Yellow Laser Toner for CP 1020 Series, CP1025 and CP1025NW printers.</v>
      </c>
      <c r="G1352" s="74" t="str">
        <f t="shared" si="91"/>
        <v>EA</v>
      </c>
      <c r="H1352" s="7">
        <v>56.99</v>
      </c>
      <c r="I1352" s="2" t="str">
        <f>"44103103"</f>
        <v>44103103</v>
      </c>
      <c r="J1352" s="10" t="s">
        <v>99</v>
      </c>
    </row>
    <row r="1353" spans="1:10" ht="38.25">
      <c r="A1353" s="9" t="s">
        <v>27</v>
      </c>
      <c r="B1353" s="2" t="s">
        <v>31</v>
      </c>
      <c r="C1353" s="2">
        <v>3204</v>
      </c>
      <c r="D1353" s="2">
        <v>1066</v>
      </c>
      <c r="E1353" s="2" t="str">
        <f>"1000029298"</f>
        <v>1000029298</v>
      </c>
      <c r="F1353" s="4" t="str">
        <f>"INK: HP ITEM#CH563WN-HEW, Black #61XL ink cartridge (Yld 330) for HP 1000, 1050, 2050, 3000, and 3050 deskjet printers."</f>
        <v>INK: HP ITEM#CH563WN-HEW, Black #61XL ink cartridge (Yld 330) for HP 1000, 1050, 2050, 3000, and 3050 deskjet printers.</v>
      </c>
      <c r="G1353" s="74" t="str">
        <f t="shared" si="91"/>
        <v>EA</v>
      </c>
      <c r="H1353" s="7">
        <v>29.99</v>
      </c>
      <c r="I1353" s="2" t="str">
        <f>"44103105"</f>
        <v>44103105</v>
      </c>
      <c r="J1353" s="10" t="s">
        <v>98</v>
      </c>
    </row>
    <row r="1354" spans="1:10" ht="51">
      <c r="A1354" s="9" t="s">
        <v>27</v>
      </c>
      <c r="B1354" s="2" t="s">
        <v>31</v>
      </c>
      <c r="C1354" s="2">
        <v>3204</v>
      </c>
      <c r="D1354" s="2">
        <v>1065</v>
      </c>
      <c r="E1354" s="2" t="str">
        <f>"1000029299"</f>
        <v>1000029299</v>
      </c>
      <c r="F1354" s="4" t="str">
        <f>"INK CART:HEW Item # CH564WN-HEW, HP #61XL Tricolor ink (Yld 330) for Deskjet 1050, 2050, 3050, 1000 series, 3000 series."</f>
        <v>INK CART:HEW Item # CH564WN-HEW, HP #61XL Tricolor ink (Yld 330) for Deskjet 1050, 2050, 3050, 1000 series, 3000 series.</v>
      </c>
      <c r="G1354" s="74" t="str">
        <f t="shared" si="91"/>
        <v>EA</v>
      </c>
      <c r="H1354" s="7">
        <v>31.99</v>
      </c>
      <c r="I1354" s="2" t="str">
        <f>"44103105"</f>
        <v>44103105</v>
      </c>
      <c r="J1354" s="10" t="s">
        <v>98</v>
      </c>
    </row>
    <row r="1355" spans="1:10" ht="51">
      <c r="A1355" s="9" t="s">
        <v>27</v>
      </c>
      <c r="B1355" s="2" t="s">
        <v>31</v>
      </c>
      <c r="C1355" s="2">
        <v>3204</v>
      </c>
      <c r="D1355" s="2">
        <v>1064</v>
      </c>
      <c r="E1355" s="2" t="str">
        <f>"1000029300"</f>
        <v>1000029300</v>
      </c>
      <c r="F1355" s="4" t="str">
        <f>"INK CART:HEW Item # CH634AN-HEW, HP #920 Cyan ink (Yld 300) for the HP Officejet 6500 Wireless All-in-One and Officejet 6500 All-in-One Printers"</f>
        <v>INK CART:HEW Item # CH634AN-HEW, HP #920 Cyan ink (Yld 300) for the HP Officejet 6500 Wireless All-in-One and Officejet 6500 All-in-One Printers</v>
      </c>
      <c r="G1355" s="74" t="str">
        <f t="shared" si="91"/>
        <v>EA</v>
      </c>
      <c r="H1355" s="7">
        <v>11</v>
      </c>
      <c r="I1355" s="2" t="str">
        <f>"44103105"</f>
        <v>44103105</v>
      </c>
      <c r="J1355" s="10" t="s">
        <v>98</v>
      </c>
    </row>
    <row r="1356" spans="1:10" ht="51">
      <c r="A1356" s="9" t="s">
        <v>27</v>
      </c>
      <c r="B1356" s="2" t="s">
        <v>31</v>
      </c>
      <c r="C1356" s="2">
        <v>3204</v>
      </c>
      <c r="D1356" s="2">
        <v>1063</v>
      </c>
      <c r="E1356" s="2" t="str">
        <f>"1000029301"</f>
        <v>1000029301</v>
      </c>
      <c r="F1356" s="4" t="str">
        <f>"INK CART:HEW Item # CH635AN-HEW, HP #920 Magenta ink (Yld 300) for the HP Officejet 6500 Wireless All-in-One and Officejet 6500 All-in-One Printers"</f>
        <v>INK CART:HEW Item # CH635AN-HEW, HP #920 Magenta ink (Yld 300) for the HP Officejet 6500 Wireless All-in-One and Officejet 6500 All-in-One Printers</v>
      </c>
      <c r="G1356" s="74" t="str">
        <f t="shared" si="91"/>
        <v>EA</v>
      </c>
      <c r="H1356" s="7">
        <v>11</v>
      </c>
      <c r="I1356" s="2" t="str">
        <f>"44103105"</f>
        <v>44103105</v>
      </c>
      <c r="J1356" s="10" t="s">
        <v>98</v>
      </c>
    </row>
    <row r="1357" spans="1:10" ht="51">
      <c r="A1357" s="9" t="s">
        <v>27</v>
      </c>
      <c r="B1357" s="2" t="s">
        <v>31</v>
      </c>
      <c r="C1357" s="2">
        <v>3204</v>
      </c>
      <c r="D1357" s="2">
        <v>1062</v>
      </c>
      <c r="E1357" s="2" t="str">
        <f>"1000029302"</f>
        <v>1000029302</v>
      </c>
      <c r="F1357" s="4" t="str">
        <f>"INK CART:HEW Item # CH636AN-HEW, HP #920 Yellow ink (Yld 300) for the HP Officejet 6500 Wireless All-in-One and Officejet 6500 All-in-One Printers"</f>
        <v>INK CART:HEW Item # CH636AN-HEW, HP #920 Yellow ink (Yld 300) for the HP Officejet 6500 Wireless All-in-One and Officejet 6500 All-in-One Printers</v>
      </c>
      <c r="G1357" s="74" t="str">
        <f t="shared" si="91"/>
        <v>EA</v>
      </c>
      <c r="H1357" s="7">
        <v>11</v>
      </c>
      <c r="I1357" s="2" t="str">
        <f>"44103105"</f>
        <v>44103105</v>
      </c>
      <c r="J1357" s="10" t="s">
        <v>98</v>
      </c>
    </row>
    <row r="1358" spans="1:10" ht="38.25">
      <c r="A1358" s="9" t="s">
        <v>27</v>
      </c>
      <c r="B1358" s="2" t="s">
        <v>31</v>
      </c>
      <c r="C1358" s="2">
        <v>3204</v>
      </c>
      <c r="D1358" s="2">
        <v>1073</v>
      </c>
      <c r="E1358" s="2" t="str">
        <f>"1000029303"</f>
        <v>1000029303</v>
      </c>
      <c r="F1358" s="4" t="str">
        <f>"PRINTHEAD: HEW Item # C4900A-HEW, HP #940 black/yellow printhead for Officejet 940 inkjet printers."</f>
        <v>PRINTHEAD: HEW Item # C4900A-HEW, HP #940 black/yellow printhead for Officejet 940 inkjet printers.</v>
      </c>
      <c r="G1358" s="74" t="str">
        <f t="shared" ref="G1358:G1394" si="93">"EA"</f>
        <v>EA</v>
      </c>
      <c r="H1358" s="7">
        <v>64.989999999999995</v>
      </c>
      <c r="I1358" s="2" t="str">
        <f>"44103110"</f>
        <v>44103110</v>
      </c>
      <c r="J1358" s="10" t="s">
        <v>102</v>
      </c>
    </row>
    <row r="1359" spans="1:10" ht="38.25">
      <c r="A1359" s="9" t="s">
        <v>27</v>
      </c>
      <c r="B1359" s="2" t="s">
        <v>31</v>
      </c>
      <c r="C1359" s="2">
        <v>3204</v>
      </c>
      <c r="D1359" s="2">
        <v>1068</v>
      </c>
      <c r="E1359" s="2" t="str">
        <f>"1000029304"</f>
        <v>1000029304</v>
      </c>
      <c r="F1359" s="4" t="str">
        <f>"PRINTHEAD: HEW Item # C4901A-HEW, HP #940 cyan/magenta printhead for Officejet 940 inkjet printers."</f>
        <v>PRINTHEAD: HEW Item # C4901A-HEW, HP #940 cyan/magenta printhead for Officejet 940 inkjet printers.</v>
      </c>
      <c r="G1359" s="74" t="str">
        <f t="shared" si="93"/>
        <v>EA</v>
      </c>
      <c r="H1359" s="7">
        <v>64.989999999999995</v>
      </c>
      <c r="I1359" s="2" t="str">
        <f>"44103110"</f>
        <v>44103110</v>
      </c>
      <c r="J1359" s="10" t="s">
        <v>102</v>
      </c>
    </row>
    <row r="1360" spans="1:10" ht="63.75">
      <c r="A1360" s="9" t="s">
        <v>27</v>
      </c>
      <c r="B1360" s="2" t="s">
        <v>31</v>
      </c>
      <c r="C1360" s="2">
        <v>3204</v>
      </c>
      <c r="D1360" s="2">
        <v>1061</v>
      </c>
      <c r="E1360" s="2" t="str">
        <f>"1000029305"</f>
        <v>1000029305</v>
      </c>
      <c r="F1360" s="4" t="str">
        <f>"INK CART:HP Item# CN053AN-HEW, High Yield Black #932XL ink cartridge for the OfficeJet 6100 ePrinter, OfficeJet 6600 Premium &amp; OfficeJet 6700 Premium e-All-in-one (Ylds 1,000 pgs)"</f>
        <v>INK CART:HP Item# CN053AN-HEW, High Yield Black #932XL ink cartridge for the OfficeJet 6100 ePrinter, OfficeJet 6600 Premium &amp; OfficeJet 6700 Premium e-All-in-one (Ylds 1,000 pgs)</v>
      </c>
      <c r="G1360" s="74" t="str">
        <f t="shared" si="93"/>
        <v>EA</v>
      </c>
      <c r="H1360" s="7">
        <v>31</v>
      </c>
      <c r="I1360" s="2" t="str">
        <f>"44103105"</f>
        <v>44103105</v>
      </c>
      <c r="J1360" s="10" t="s">
        <v>98</v>
      </c>
    </row>
    <row r="1361" spans="1:10" ht="63.75">
      <c r="A1361" s="9" t="s">
        <v>27</v>
      </c>
      <c r="B1361" s="2" t="s">
        <v>31</v>
      </c>
      <c r="C1361" s="2">
        <v>3204</v>
      </c>
      <c r="D1361" s="2">
        <v>1060</v>
      </c>
      <c r="E1361" s="2" t="str">
        <f>"1000029306"</f>
        <v>1000029306</v>
      </c>
      <c r="F1361" s="4" t="str">
        <f>"INK CART:HP Item# CN054AN-HEW, High Yield Cyan #933XL ink cartridge for the OfficeJet 6100 ePrinter, OfficeJet 6600 Premium &amp; OfficeJet 6700 Premium e-All-in-one (Ylds 825 pgs)"</f>
        <v>INK CART:HP Item# CN054AN-HEW, High Yield Cyan #933XL ink cartridge for the OfficeJet 6100 ePrinter, OfficeJet 6600 Premium &amp; OfficeJet 6700 Premium e-All-in-one (Ylds 825 pgs)</v>
      </c>
      <c r="G1361" s="74" t="str">
        <f t="shared" si="93"/>
        <v>EA</v>
      </c>
      <c r="H1361" s="7">
        <v>18</v>
      </c>
      <c r="I1361" s="2" t="str">
        <f>"44103105"</f>
        <v>44103105</v>
      </c>
      <c r="J1361" s="10" t="s">
        <v>98</v>
      </c>
    </row>
    <row r="1362" spans="1:10" ht="63.75">
      <c r="A1362" s="9" t="s">
        <v>27</v>
      </c>
      <c r="B1362" s="2" t="s">
        <v>31</v>
      </c>
      <c r="C1362" s="2">
        <v>3204</v>
      </c>
      <c r="D1362" s="2">
        <v>1059</v>
      </c>
      <c r="E1362" s="2" t="str">
        <f>"1000029307"</f>
        <v>1000029307</v>
      </c>
      <c r="F1362" s="4" t="str">
        <f>"INK CART:HP Item# CN055AN-HEW, High Yield magenta #933XL ink cartridge for the OfficeJet 6100 ePrinter, OfficeJet 6600 Premium &amp; OfficeJet 6700 Premium e-All-in-one (Ylds 825 pgs)"</f>
        <v>INK CART:HP Item# CN055AN-HEW, High Yield magenta #933XL ink cartridge for the OfficeJet 6100 ePrinter, OfficeJet 6600 Premium &amp; OfficeJet 6700 Premium e-All-in-one (Ylds 825 pgs)</v>
      </c>
      <c r="G1362" s="74" t="str">
        <f t="shared" si="93"/>
        <v>EA</v>
      </c>
      <c r="H1362" s="7">
        <v>18</v>
      </c>
      <c r="I1362" s="2" t="str">
        <f>"44103105"</f>
        <v>44103105</v>
      </c>
      <c r="J1362" s="10" t="s">
        <v>98</v>
      </c>
    </row>
    <row r="1363" spans="1:10" ht="63.75">
      <c r="A1363" s="9" t="s">
        <v>27</v>
      </c>
      <c r="B1363" s="2" t="s">
        <v>31</v>
      </c>
      <c r="C1363" s="2">
        <v>3204</v>
      </c>
      <c r="D1363" s="2">
        <v>1058</v>
      </c>
      <c r="E1363" s="2" t="str">
        <f>"1000029308"</f>
        <v>1000029308</v>
      </c>
      <c r="F1363" s="4" t="str">
        <f>"INK CART:HP Item# CN056AN-HEW, High Yield yellow #933XL ink cartridge for the OfficeJet 6100 ePrinter, OfficeJet 6600 Premium &amp; OfficeJet 6700 Premium e-All-in-one (Ylds 825 pgs)"</f>
        <v>INK CART:HP Item# CN056AN-HEW, High Yield yellow #933XL ink cartridge for the OfficeJet 6100 ePrinter, OfficeJet 6600 Premium &amp; OfficeJet 6700 Premium e-All-in-one (Ylds 825 pgs)</v>
      </c>
      <c r="G1363" s="74" t="str">
        <f t="shared" si="93"/>
        <v>EA</v>
      </c>
      <c r="H1363" s="7">
        <v>18</v>
      </c>
      <c r="I1363" s="2" t="str">
        <f>"44103105"</f>
        <v>44103105</v>
      </c>
      <c r="J1363" s="10" t="s">
        <v>98</v>
      </c>
    </row>
    <row r="1364" spans="1:10" ht="51">
      <c r="A1364" s="9" t="s">
        <v>27</v>
      </c>
      <c r="B1364" s="2" t="s">
        <v>31</v>
      </c>
      <c r="C1364" s="2">
        <v>3204</v>
      </c>
      <c r="D1364" s="2">
        <v>1044</v>
      </c>
      <c r="E1364" s="2" t="str">
        <f>"1000029309"</f>
        <v>1000029309</v>
      </c>
      <c r="F1364" s="4" t="str">
        <f>"TONER: Item #CE410X-HEW, Black toner (Yld 4k) for HP 400, M375DW, M475DW, M475DN, M451DN, M451DW, M451DW MFP printers."</f>
        <v>TONER: Item #CE410X-HEW, Black toner (Yld 4k) for HP 400, M375DW, M475DW, M475DN, M451DN, M451DW, M451DW MFP printers.</v>
      </c>
      <c r="G1364" s="74" t="str">
        <f t="shared" si="93"/>
        <v>EA</v>
      </c>
      <c r="H1364" s="7">
        <v>103.99</v>
      </c>
      <c r="I1364" s="2" t="str">
        <f>"44103103"</f>
        <v>44103103</v>
      </c>
      <c r="J1364" s="10" t="s">
        <v>99</v>
      </c>
    </row>
    <row r="1365" spans="1:10" ht="63.75">
      <c r="A1365" s="9" t="s">
        <v>27</v>
      </c>
      <c r="B1365" s="2" t="s">
        <v>31</v>
      </c>
      <c r="C1365" s="2">
        <v>3204</v>
      </c>
      <c r="D1365" s="2">
        <v>1057</v>
      </c>
      <c r="E1365" s="2" t="str">
        <f>"1000029310"</f>
        <v>1000029310</v>
      </c>
      <c r="F1365" s="4" t="str">
        <f>"INK: HP Item# CB320WN-HEW, HP #564 Yellow Ink Cartridge (Yld 300 pages) For use with: Photosmart C6350, C6380, Photosmart Premium; Photosmart D5445, D5460, D7560, Photosmart Pro B8550."</f>
        <v>INK: HP Item# CB320WN-HEW, HP #564 Yellow Ink Cartridge (Yld 300 pages) For use with: Photosmart C6350, C6380, Photosmart Premium; Photosmart D5445, D5460, D7560, Photosmart Pro B8550.</v>
      </c>
      <c r="G1365" s="74" t="str">
        <f t="shared" si="93"/>
        <v>EA</v>
      </c>
      <c r="H1365" s="7">
        <v>10.99</v>
      </c>
      <c r="I1365" s="2" t="str">
        <f t="shared" ref="I1365:I1370" si="94">"44103105"</f>
        <v>44103105</v>
      </c>
      <c r="J1365" s="10" t="s">
        <v>98</v>
      </c>
    </row>
    <row r="1366" spans="1:10" ht="51">
      <c r="A1366" s="9" t="s">
        <v>27</v>
      </c>
      <c r="B1366" s="2" t="s">
        <v>31</v>
      </c>
      <c r="C1366" s="2">
        <v>3204</v>
      </c>
      <c r="D1366" s="2">
        <v>1056</v>
      </c>
      <c r="E1366" s="2" t="str">
        <f>"1000029311"</f>
        <v>1000029311</v>
      </c>
      <c r="F1366" s="4" t="str">
        <f>"INK CART: HP Item# CB322WN-HEW, HP #564XL Photo Black High Capacity (Yld 290 pages) For use with: HP PhotoSmart C5380 / C6380 / D5460 / D7560 inkjet printers"</f>
        <v>INK CART: HP Item# CB322WN-HEW, HP #564XL Photo Black High Capacity (Yld 290 pages) For use with: HP PhotoSmart C5380 / C6380 / D5460 / D7560 inkjet printers</v>
      </c>
      <c r="G1366" s="74" t="str">
        <f t="shared" si="93"/>
        <v>EA</v>
      </c>
      <c r="H1366" s="7">
        <v>19.989999999999998</v>
      </c>
      <c r="I1366" s="2" t="str">
        <f t="shared" si="94"/>
        <v>44103105</v>
      </c>
      <c r="J1366" s="10" t="s">
        <v>98</v>
      </c>
    </row>
    <row r="1367" spans="1:10" ht="63.75">
      <c r="A1367" s="9" t="s">
        <v>27</v>
      </c>
      <c r="B1367" s="2" t="s">
        <v>31</v>
      </c>
      <c r="C1367" s="2">
        <v>3204</v>
      </c>
      <c r="D1367" s="2">
        <v>1055</v>
      </c>
      <c r="E1367" s="2" t="str">
        <f>"1000029312"</f>
        <v>1000029312</v>
      </c>
      <c r="F1367" s="4" t="str">
        <f>"INK CART: HP Item# CB323WN-HEW, HP #564XL Cyan Ink High Capacity (Yld 750 pages) For use with: HP PhotoSmart C6300, D5460, D7560, B8550 &amp; B8850 Printers."</f>
        <v>INK CART: HP Item# CB323WN-HEW, HP #564XL Cyan Ink High Capacity (Yld 750 pages) For use with: HP PhotoSmart C6300, D5460, D7560, B8550 &amp; B8850 Printers.</v>
      </c>
      <c r="G1367" s="74" t="str">
        <f t="shared" si="93"/>
        <v>EA</v>
      </c>
      <c r="H1367" s="7">
        <v>19.989999999999998</v>
      </c>
      <c r="I1367" s="2" t="str">
        <f t="shared" si="94"/>
        <v>44103105</v>
      </c>
      <c r="J1367" s="10" t="s">
        <v>98</v>
      </c>
    </row>
    <row r="1368" spans="1:10" ht="63.75">
      <c r="A1368" s="9" t="s">
        <v>27</v>
      </c>
      <c r="B1368" s="2" t="s">
        <v>31</v>
      </c>
      <c r="C1368" s="2">
        <v>3204</v>
      </c>
      <c r="D1368" s="2">
        <v>1054</v>
      </c>
      <c r="E1368" s="2" t="str">
        <f>"1000029313"</f>
        <v>1000029313</v>
      </c>
      <c r="F1368" s="4" t="str">
        <f>"INK CART: HP Item# CB324WN-HEW, HP #564XL Magenta Ink High Capacity (Yld 750 pages) For use with: HP PhotoSmart C6300, D5460, D7560, B8550 &amp; B8850 Printers."</f>
        <v>INK CART: HP Item# CB324WN-HEW, HP #564XL Magenta Ink High Capacity (Yld 750 pages) For use with: HP PhotoSmart C6300, D5460, D7560, B8550 &amp; B8850 Printers.</v>
      </c>
      <c r="G1368" s="74" t="str">
        <f t="shared" si="93"/>
        <v>EA</v>
      </c>
      <c r="H1368" s="7">
        <v>19.989999999999998</v>
      </c>
      <c r="I1368" s="2" t="str">
        <f t="shared" si="94"/>
        <v>44103105</v>
      </c>
      <c r="J1368" s="10" t="s">
        <v>98</v>
      </c>
    </row>
    <row r="1369" spans="1:10" ht="63.75">
      <c r="A1369" s="9" t="s">
        <v>27</v>
      </c>
      <c r="B1369" s="2" t="s">
        <v>31</v>
      </c>
      <c r="C1369" s="2">
        <v>3204</v>
      </c>
      <c r="D1369" s="2">
        <v>1053</v>
      </c>
      <c r="E1369" s="2" t="str">
        <f>"1000029314"</f>
        <v>1000029314</v>
      </c>
      <c r="F1369" s="4" t="str">
        <f>"INK CART: HP Item# CB325WN-HEW, HP #564XL Yellow Ink High Capacity (Yld 750 pages) For use with: HP PhotoSmart C6300, D5460, D7560, B8550 &amp; B8850 Printers."</f>
        <v>INK CART: HP Item# CB325WN-HEW, HP #564XL Yellow Ink High Capacity (Yld 750 pages) For use with: HP PhotoSmart C6300, D5460, D7560, B8550 &amp; B8850 Printers.</v>
      </c>
      <c r="G1369" s="74" t="str">
        <f t="shared" si="93"/>
        <v>EA</v>
      </c>
      <c r="H1369" s="7">
        <v>19.989999999999998</v>
      </c>
      <c r="I1369" s="2" t="str">
        <f t="shared" si="94"/>
        <v>44103105</v>
      </c>
      <c r="J1369" s="10" t="s">
        <v>98</v>
      </c>
    </row>
    <row r="1370" spans="1:10" ht="89.25">
      <c r="A1370" s="9" t="s">
        <v>27</v>
      </c>
      <c r="B1370" s="2" t="s">
        <v>31</v>
      </c>
      <c r="C1370" s="2">
        <v>3204</v>
      </c>
      <c r="D1370" s="2">
        <v>1052</v>
      </c>
      <c r="E1370" s="2" t="str">
        <f>"1000029315"</f>
        <v>1000029315</v>
      </c>
      <c r="F1370" s="4" t="str">
        <f>"INK CART: HP Item# CB327FN-HEW, #98/#95 Black/Tricolor Combo Pack (#98 Ylds 400 Pgs) (#95 Ylds 330 Pgs).for Officejet 6310, Photosmart 2575 Series/ C4180/ 8050/ D5069/ D5160, Deskjet 5940 Series, Officejet 100/ H470, Mobile Printer-L411a."</f>
        <v>INK CART: HP Item# CB327FN-HEW, #98/#95 Black/Tricolor Combo Pack (#98 Ylds 400 Pgs) (#95 Ylds 330 Pgs).for Officejet 6310, Photosmart 2575 Series/ C4180/ 8050/ D5069/ D5160, Deskjet 5940 Series, Officejet 100/ H470, Mobile Printer-L411a.</v>
      </c>
      <c r="G1370" s="74" t="str">
        <f t="shared" si="93"/>
        <v>EA</v>
      </c>
      <c r="H1370" s="7">
        <v>52.99</v>
      </c>
      <c r="I1370" s="2" t="str">
        <f t="shared" si="94"/>
        <v>44103105</v>
      </c>
      <c r="J1370" s="10" t="s">
        <v>98</v>
      </c>
    </row>
    <row r="1371" spans="1:10" ht="38.25">
      <c r="A1371" s="9" t="s">
        <v>27</v>
      </c>
      <c r="B1371" s="2" t="s">
        <v>31</v>
      </c>
      <c r="C1371" s="2">
        <v>3204</v>
      </c>
      <c r="D1371" s="2">
        <v>1043</v>
      </c>
      <c r="E1371" s="2" t="str">
        <f>"1000029316"</f>
        <v>1000029316</v>
      </c>
      <c r="F1371" s="4" t="str">
        <f>"TONER: HP Item# CC364x-HEW, Black print cartridge, high capacity (Yld 24k) for Laserjet P4015 and P4515 series printers"</f>
        <v>TONER: HP Item# CC364x-HEW, Black print cartridge, high capacity (Yld 24k) for Laserjet P4015 and P4515 series printers</v>
      </c>
      <c r="G1371" s="74" t="str">
        <f t="shared" si="93"/>
        <v>EA</v>
      </c>
      <c r="H1371" s="7">
        <v>309.99</v>
      </c>
      <c r="I1371" s="2" t="str">
        <f>"44103103"</f>
        <v>44103103</v>
      </c>
      <c r="J1371" s="10" t="s">
        <v>99</v>
      </c>
    </row>
    <row r="1372" spans="1:10" ht="51">
      <c r="A1372" s="9" t="s">
        <v>27</v>
      </c>
      <c r="B1372" s="2" t="s">
        <v>31</v>
      </c>
      <c r="C1372" s="2">
        <v>3204</v>
      </c>
      <c r="D1372" s="2">
        <v>1051</v>
      </c>
      <c r="E1372" s="2" t="str">
        <f>"1000029317"</f>
        <v>1000029317</v>
      </c>
      <c r="F1372" s="4" t="str">
        <f>"INK CART: HP Item# CD971AN-HEW ,HP #920 black ink cartridge (Yld 420) for the HP Officejet 6500 wireless All-in-One and Officejet 6500 All-in-One printers"</f>
        <v>INK CART: HP Item# CD971AN-HEW ,HP #920 black ink cartridge (Yld 420) for the HP Officejet 6500 wireless All-in-One and Officejet 6500 All-in-One printers</v>
      </c>
      <c r="G1372" s="74" t="str">
        <f t="shared" si="93"/>
        <v>EA</v>
      </c>
      <c r="H1372" s="7">
        <v>21</v>
      </c>
      <c r="I1372" s="2" t="str">
        <f>"44103105"</f>
        <v>44103105</v>
      </c>
      <c r="J1372" s="10" t="s">
        <v>98</v>
      </c>
    </row>
    <row r="1373" spans="1:10" ht="51">
      <c r="A1373" s="9" t="s">
        <v>27</v>
      </c>
      <c r="B1373" s="2" t="s">
        <v>31</v>
      </c>
      <c r="C1373" s="2">
        <v>3204</v>
      </c>
      <c r="D1373" s="2">
        <v>1042</v>
      </c>
      <c r="E1373" s="2" t="str">
        <f>"1000029318"</f>
        <v>1000029318</v>
      </c>
      <c r="F1373" s="4" t="str">
        <f>"TONER:HP Item # CE321A-HEW, HP 128A Cyan (Yields: 1.3K) for Laser Printers LaserJet CP1525NW, CM1415 &amp; CM1415FNW."</f>
        <v>TONER:HP Item # CE321A-HEW, HP 128A Cyan (Yields: 1.3K) for Laser Printers LaserJet CP1525NW, CM1415 &amp; CM1415FNW.</v>
      </c>
      <c r="G1373" s="74" t="str">
        <f t="shared" si="93"/>
        <v>EA</v>
      </c>
      <c r="H1373" s="7">
        <v>67.989999999999995</v>
      </c>
      <c r="I1373" s="2" t="str">
        <f>"44103103"</f>
        <v>44103103</v>
      </c>
      <c r="J1373" s="10" t="s">
        <v>99</v>
      </c>
    </row>
    <row r="1374" spans="1:10" ht="51">
      <c r="A1374" s="9" t="s">
        <v>27</v>
      </c>
      <c r="B1374" s="2" t="s">
        <v>31</v>
      </c>
      <c r="C1374" s="2">
        <v>3204</v>
      </c>
      <c r="D1374" s="2">
        <v>1041</v>
      </c>
      <c r="E1374" s="2" t="str">
        <f>"1000029319"</f>
        <v>1000029319</v>
      </c>
      <c r="F1374" s="4" t="str">
        <f>"TONER:HP Item # CE322A-HEW, HP 128A Yellow (Yields: 1.3K) for Laser Printers LaserJet CP1525NW, CM1415 &amp; CM1415FNW."</f>
        <v>TONER:HP Item # CE322A-HEW, HP 128A Yellow (Yields: 1.3K) for Laser Printers LaserJet CP1525NW, CM1415 &amp; CM1415FNW.</v>
      </c>
      <c r="G1374" s="74" t="str">
        <f t="shared" si="93"/>
        <v>EA</v>
      </c>
      <c r="H1374" s="7">
        <v>67.989999999999995</v>
      </c>
      <c r="I1374" s="2" t="str">
        <f>"44103103"</f>
        <v>44103103</v>
      </c>
      <c r="J1374" s="10" t="s">
        <v>99</v>
      </c>
    </row>
    <row r="1375" spans="1:10" ht="51">
      <c r="A1375" s="9" t="s">
        <v>27</v>
      </c>
      <c r="B1375" s="2" t="s">
        <v>31</v>
      </c>
      <c r="C1375" s="2">
        <v>3204</v>
      </c>
      <c r="D1375" s="2">
        <v>1040</v>
      </c>
      <c r="E1375" s="2" t="str">
        <f>"1000029320"</f>
        <v>1000029320</v>
      </c>
      <c r="F1375" s="4" t="str">
        <f>"TONER:HP Item # CE323A-HEW, HP 128A Magenta (Yields: 1.3K) for Laser Printers LaserJet CP1525NW, CM1415 &amp; CM1415FNW."</f>
        <v>TONER:HP Item # CE323A-HEW, HP 128A Magenta (Yields: 1.3K) for Laser Printers LaserJet CP1525NW, CM1415 &amp; CM1415FNW.</v>
      </c>
      <c r="G1375" s="74" t="str">
        <f t="shared" si="93"/>
        <v>EA</v>
      </c>
      <c r="H1375" s="7">
        <v>67.989999999999995</v>
      </c>
      <c r="I1375" s="2" t="str">
        <f>"44103103"</f>
        <v>44103103</v>
      </c>
      <c r="J1375" s="10" t="s">
        <v>99</v>
      </c>
    </row>
    <row r="1376" spans="1:10" ht="38.25">
      <c r="A1376" s="9" t="s">
        <v>27</v>
      </c>
      <c r="B1376" s="2" t="s">
        <v>31</v>
      </c>
      <c r="C1376" s="2">
        <v>3204</v>
      </c>
      <c r="D1376" s="2">
        <v>1072</v>
      </c>
      <c r="E1376" s="2" t="str">
        <f>"1000029321"</f>
        <v>1000029321</v>
      </c>
      <c r="F1376" s="4" t="str">
        <f>"INK: HP Item# CH561WN-HEW, Black #61 ink cartridge (Yld 190) for HP 1000, 1050, 2050, 3000, and 3050 deskjet printers."</f>
        <v>INK: HP Item# CH561WN-HEW, Black #61 ink cartridge (Yld 190) for HP 1000, 1050, 2050, 3000, and 3050 deskjet printers.</v>
      </c>
      <c r="G1376" s="74" t="str">
        <f t="shared" si="93"/>
        <v>EA</v>
      </c>
      <c r="H1376" s="7">
        <v>14.99</v>
      </c>
      <c r="I1376" s="2" t="str">
        <f>"44103105"</f>
        <v>44103105</v>
      </c>
      <c r="J1376" s="10" t="s">
        <v>98</v>
      </c>
    </row>
    <row r="1377" spans="1:10" ht="38.25">
      <c r="A1377" s="9" t="s">
        <v>27</v>
      </c>
      <c r="B1377" s="2" t="s">
        <v>31</v>
      </c>
      <c r="C1377" s="2">
        <v>3204</v>
      </c>
      <c r="D1377" s="2">
        <v>1069</v>
      </c>
      <c r="E1377" s="2" t="str">
        <f>"1000029322"</f>
        <v>1000029322</v>
      </c>
      <c r="F1377" s="4" t="str">
        <f>"INK:HP Item# CH562WN-HEW, Tri-color #61 inkjet cartridge (Yld 165) for Deskjet 1050, 2050 &amp; 3050 printers."</f>
        <v>INK:HP Item# CH562WN-HEW, Tri-color #61 inkjet cartridge (Yld 165) for Deskjet 1050, 2050 &amp; 3050 printers.</v>
      </c>
      <c r="G1377" s="74" t="str">
        <f t="shared" si="93"/>
        <v>EA</v>
      </c>
      <c r="H1377" s="7">
        <v>20.99</v>
      </c>
      <c r="I1377" s="2" t="str">
        <f>"44103105"</f>
        <v>44103105</v>
      </c>
      <c r="J1377" s="10" t="s">
        <v>98</v>
      </c>
    </row>
    <row r="1378" spans="1:10" ht="51">
      <c r="A1378" s="9" t="s">
        <v>27</v>
      </c>
      <c r="B1378" s="2" t="s">
        <v>31</v>
      </c>
      <c r="C1378" s="2">
        <v>3204</v>
      </c>
      <c r="D1378" s="2">
        <v>1039</v>
      </c>
      <c r="E1378" s="2" t="str">
        <f>"1000029323"</f>
        <v>1000029323</v>
      </c>
      <c r="F1378" s="4" t="str">
        <f>"TONER: LEX Item #C540H1KG-LEX, Black high yield toner (Yld 2.5k) for C540 Series, C543 Series, C544 Series, X543 Series, X544 Series."</f>
        <v>TONER: LEX Item #C540H1KG-LEX, Black high yield toner (Yld 2.5k) for C540 Series, C543 Series, C544 Series, X543 Series, X544 Series.</v>
      </c>
      <c r="G1378" s="74" t="str">
        <f t="shared" si="93"/>
        <v>EA</v>
      </c>
      <c r="H1378" s="7">
        <v>73</v>
      </c>
      <c r="I1378" s="2" t="str">
        <f>"44103103"</f>
        <v>44103103</v>
      </c>
      <c r="J1378" s="10" t="s">
        <v>99</v>
      </c>
    </row>
    <row r="1379" spans="1:10" ht="38.25">
      <c r="A1379" s="9" t="s">
        <v>27</v>
      </c>
      <c r="B1379" s="2" t="s">
        <v>31</v>
      </c>
      <c r="C1379" s="2">
        <v>3204</v>
      </c>
      <c r="D1379" s="2">
        <v>1038</v>
      </c>
      <c r="E1379" s="2" t="str">
        <f>"1000029324"</f>
        <v>1000029324</v>
      </c>
      <c r="F1379" s="4" t="str">
        <f>"TONER: LEX Item #C540H1MG-LEX, Magenta toner (Yld 2k) for C540 Series, C543 Series, C544 Series, X543 Series, X544 Series."</f>
        <v>TONER: LEX Item #C540H1MG-LEX, Magenta toner (Yld 2k) for C540 Series, C543 Series, C544 Series, X543 Series, X544 Series.</v>
      </c>
      <c r="G1379" s="74" t="str">
        <f t="shared" si="93"/>
        <v>EA</v>
      </c>
      <c r="H1379" s="7">
        <v>85</v>
      </c>
      <c r="I1379" s="2" t="str">
        <f>"44103103"</f>
        <v>44103103</v>
      </c>
      <c r="J1379" s="10" t="s">
        <v>99</v>
      </c>
    </row>
    <row r="1380" spans="1:10" ht="38.25">
      <c r="A1380" s="9" t="s">
        <v>27</v>
      </c>
      <c r="B1380" s="2" t="s">
        <v>31</v>
      </c>
      <c r="C1380" s="2">
        <v>3204</v>
      </c>
      <c r="D1380" s="2">
        <v>1037</v>
      </c>
      <c r="E1380" s="2" t="str">
        <f>"1000029325"</f>
        <v>1000029325</v>
      </c>
      <c r="F1380" s="4" t="str">
        <f>"TONER: LEX Item #C540H1YG-LEX, Yellow toner (Yld 2k) for C540 Series, C543 Series, C544 Series, X543 Series, X544 Series."</f>
        <v>TONER: LEX Item #C540H1YG-LEX, Yellow toner (Yld 2k) for C540 Series, C543 Series, C544 Series, X543 Series, X544 Series.</v>
      </c>
      <c r="G1380" s="74" t="str">
        <f t="shared" si="93"/>
        <v>EA</v>
      </c>
      <c r="H1380" s="7">
        <v>85</v>
      </c>
      <c r="I1380" s="2" t="str">
        <f>"44103103"</f>
        <v>44103103</v>
      </c>
      <c r="J1380" s="10" t="s">
        <v>99</v>
      </c>
    </row>
    <row r="1381" spans="1:10" ht="51">
      <c r="A1381" s="9" t="s">
        <v>27</v>
      </c>
      <c r="B1381" s="2" t="s">
        <v>31</v>
      </c>
      <c r="C1381" s="2">
        <v>3204</v>
      </c>
      <c r="D1381" s="2">
        <v>1067</v>
      </c>
      <c r="E1381" s="2" t="str">
        <f>"1000029326"</f>
        <v>1000029326</v>
      </c>
      <c r="F1381" s="4" t="str">
        <f>"DRUM: LEX Item #C540X74G-LEX, Black/color imaging drum kit (Yld 30k) for C540, C543, C544, X543, X544 series color printers."</f>
        <v>DRUM: LEX Item #C540X74G-LEX, Black/color imaging drum kit (Yld 30k) for C540, C543, C544, X543, X544 series color printers.</v>
      </c>
      <c r="G1381" s="74" t="str">
        <f t="shared" si="93"/>
        <v>EA</v>
      </c>
      <c r="H1381" s="7">
        <v>283.99</v>
      </c>
      <c r="I1381" s="2" t="str">
        <f>"44103109"</f>
        <v>44103109</v>
      </c>
      <c r="J1381" s="10" t="s">
        <v>94</v>
      </c>
    </row>
    <row r="1382" spans="1:10" ht="51">
      <c r="A1382" s="9" t="s">
        <v>27</v>
      </c>
      <c r="B1382" s="2" t="s">
        <v>31</v>
      </c>
      <c r="C1382" s="2">
        <v>3204</v>
      </c>
      <c r="D1382" s="2">
        <v>1028</v>
      </c>
      <c r="E1382" s="2" t="str">
        <f>"1000029327"</f>
        <v>1000029327</v>
      </c>
      <c r="F1382" s="4" t="str">
        <f>"WASTE BTL: LEX Item# C540X75G-LEX, Waste toner bottle (Yld 18K color pages or 36K black pages) for use in C540 series and X544 series."</f>
        <v>WASTE BTL: LEX Item# C540X75G-LEX, Waste toner bottle (Yld 18K color pages or 36K black pages) for use in C540 series and X544 series.</v>
      </c>
      <c r="G1382" s="74" t="str">
        <f t="shared" si="93"/>
        <v>EA</v>
      </c>
      <c r="H1382" s="7">
        <v>13</v>
      </c>
      <c r="I1382" s="2" t="str">
        <f>"44103120"</f>
        <v>44103120</v>
      </c>
      <c r="J1382" s="10" t="s">
        <v>99</v>
      </c>
    </row>
    <row r="1383" spans="1:10" ht="25.5">
      <c r="A1383" s="9" t="s">
        <v>27</v>
      </c>
      <c r="B1383" s="2" t="s">
        <v>31</v>
      </c>
      <c r="C1383" s="2">
        <v>3204</v>
      </c>
      <c r="D1383" s="2">
        <v>1036</v>
      </c>
      <c r="E1383" s="2" t="str">
        <f>"1000029328"</f>
        <v>1000029328</v>
      </c>
      <c r="F1383" s="4" t="str">
        <f>"TONER: LEX Item #E260A21A-LEX, black toner for F/E260, E360, E460 (Yld 3500)"</f>
        <v>TONER: LEX Item #E260A21A-LEX, black toner for F/E260, E360, E460 (Yld 3500)</v>
      </c>
      <c r="G1383" s="74" t="str">
        <f t="shared" si="93"/>
        <v>EA</v>
      </c>
      <c r="H1383" s="7">
        <v>147.65</v>
      </c>
      <c r="I1383" s="2" t="str">
        <f>"44103103"</f>
        <v>44103103</v>
      </c>
      <c r="J1383" s="10" t="s">
        <v>99</v>
      </c>
    </row>
    <row r="1384" spans="1:10" ht="38.25">
      <c r="A1384" s="9" t="s">
        <v>27</v>
      </c>
      <c r="B1384" s="2" t="s">
        <v>31</v>
      </c>
      <c r="C1384" s="2">
        <v>3204</v>
      </c>
      <c r="D1384" s="2">
        <v>1035</v>
      </c>
      <c r="E1384" s="2" t="str">
        <f>"1000029329"</f>
        <v>1000029329</v>
      </c>
      <c r="F1384" s="4" t="str">
        <f>"TONER: DELL Item #1100-BC, Brand Compatible Black Toner Cartridge (Yld 2k) for Dell 1100/ 1110. (Dell #3107660)"</f>
        <v>TONER: DELL Item #1100-BC, Brand Compatible Black Toner Cartridge (Yld 2k) for Dell 1100/ 1110. (Dell #3107660)</v>
      </c>
      <c r="G1384" s="74" t="str">
        <f t="shared" si="93"/>
        <v>EA</v>
      </c>
      <c r="H1384" s="7">
        <v>56</v>
      </c>
      <c r="I1384" s="2" t="str">
        <f>"44103103"</f>
        <v>44103103</v>
      </c>
      <c r="J1384" s="10" t="s">
        <v>99</v>
      </c>
    </row>
    <row r="1385" spans="1:10" ht="51">
      <c r="A1385" s="9" t="s">
        <v>27</v>
      </c>
      <c r="B1385" s="2" t="s">
        <v>31</v>
      </c>
      <c r="C1385" s="2">
        <v>3204</v>
      </c>
      <c r="D1385" s="2">
        <v>1034</v>
      </c>
      <c r="E1385" s="2" t="str">
        <f>"1000029330"</f>
        <v>1000029330</v>
      </c>
      <c r="F1385" s="4" t="str">
        <f>"TONER: DELL Item # 2335-BC, Brand Compatible Dell Black Toner (Yld 3k) for Dell 2335 and 2335dn printers. (Dell#3302208)"</f>
        <v>TONER: DELL Item # 2335-BC, Brand Compatible Dell Black Toner (Yld 3k) for Dell 2335 and 2335dn printers. (Dell#3302208)</v>
      </c>
      <c r="G1385" s="74" t="str">
        <f t="shared" si="93"/>
        <v>EA</v>
      </c>
      <c r="H1385" s="7">
        <v>55</v>
      </c>
      <c r="I1385" s="2" t="str">
        <f>"44103103"</f>
        <v>44103103</v>
      </c>
      <c r="J1385" s="10" t="s">
        <v>99</v>
      </c>
    </row>
    <row r="1386" spans="1:10" ht="51">
      <c r="A1386" s="9" t="s">
        <v>27</v>
      </c>
      <c r="B1386" s="2" t="s">
        <v>31</v>
      </c>
      <c r="C1386" s="2">
        <v>3204</v>
      </c>
      <c r="D1386" s="2">
        <v>1033</v>
      </c>
      <c r="E1386" s="2" t="str">
        <f>"1000029331"</f>
        <v>1000029331</v>
      </c>
      <c r="F1386" s="4" t="str">
        <f>"TONER: DELL Item # 1720-BC, Brand Compatible Dell Black Toner (Yld 6k) for Dell 1720 and 1720dn printers. (Dell #3108709)"</f>
        <v>TONER: DELL Item # 1720-BC, Brand Compatible Dell Black Toner (Yld 6k) for Dell 1720 and 1720dn printers. (Dell #3108709)</v>
      </c>
      <c r="G1386" s="74" t="str">
        <f t="shared" si="93"/>
        <v>EA</v>
      </c>
      <c r="H1386" s="7">
        <v>62</v>
      </c>
      <c r="I1386" s="2" t="str">
        <f>"44103103"</f>
        <v>44103103</v>
      </c>
      <c r="J1386" s="10" t="s">
        <v>99</v>
      </c>
    </row>
    <row r="1387" spans="1:10" ht="63.75">
      <c r="A1387" s="9" t="s">
        <v>27</v>
      </c>
      <c r="B1387" s="2" t="s">
        <v>31</v>
      </c>
      <c r="C1387" s="2">
        <v>3204</v>
      </c>
      <c r="D1387" s="2">
        <v>1048</v>
      </c>
      <c r="E1387" s="2" t="str">
        <f>"1000029332"</f>
        <v>1000029332</v>
      </c>
      <c r="F1387" s="4" t="str">
        <f>"INK CART: HP Item #CB316WN-HEW, HP #564, Black Ink (Yld 250 pgs) for HP All-in-One Printers Photosmart C6350, C6380, C6300, D5445, D5460, D7560, B8550 &amp; B8850"</f>
        <v>INK CART: HP Item #CB316WN-HEW, HP #564, Black Ink (Yld 250 pgs) for HP All-in-One Printers Photosmart C6350, C6380, C6300, D5445, D5460, D7560, B8550 &amp; B8850</v>
      </c>
      <c r="G1387" s="74" t="str">
        <f t="shared" si="93"/>
        <v>EA</v>
      </c>
      <c r="H1387" s="7">
        <v>12.59</v>
      </c>
      <c r="I1387" s="2" t="str">
        <f>"44103105"</f>
        <v>44103105</v>
      </c>
      <c r="J1387" s="10" t="s">
        <v>98</v>
      </c>
    </row>
    <row r="1388" spans="1:10" ht="76.5">
      <c r="A1388" s="9" t="s">
        <v>27</v>
      </c>
      <c r="B1388" s="2" t="s">
        <v>31</v>
      </c>
      <c r="C1388" s="2">
        <v>3204</v>
      </c>
      <c r="D1388" s="2">
        <v>1047</v>
      </c>
      <c r="E1388" s="2" t="str">
        <f>"1000029333"</f>
        <v>1000029333</v>
      </c>
      <c r="F1388" s="4" t="str">
        <f>"INK CART: HP Item# CB317WN-HEW, HP #564 Black Photo Ink (Ylds up to 130- 4X6 photos) For use with: Photosmart C6350, C6380, Photosmart Premium; Photosmart D5445, D5460, D7560, Photosmart Pro B8550."</f>
        <v>INK CART: HP Item# CB317WN-HEW, HP #564 Black Photo Ink (Ylds up to 130- 4X6 photos) For use with: Photosmart C6350, C6380, Photosmart Premium; Photosmart D5445, D5460, D7560, Photosmart Pro B8550.</v>
      </c>
      <c r="G1388" s="74" t="str">
        <f t="shared" si="93"/>
        <v>EA</v>
      </c>
      <c r="H1388" s="7">
        <v>10.99</v>
      </c>
      <c r="I1388" s="2" t="str">
        <f>"44103105"</f>
        <v>44103105</v>
      </c>
      <c r="J1388" s="10" t="s">
        <v>98</v>
      </c>
    </row>
    <row r="1389" spans="1:10" ht="63.75">
      <c r="A1389" s="9" t="s">
        <v>27</v>
      </c>
      <c r="B1389" s="2" t="s">
        <v>31</v>
      </c>
      <c r="C1389" s="2">
        <v>3204</v>
      </c>
      <c r="D1389" s="2">
        <v>1046</v>
      </c>
      <c r="E1389" s="2" t="str">
        <f>"1000029334"</f>
        <v>1000029334</v>
      </c>
      <c r="F1389" s="4" t="str">
        <f>"INK: HP Item# CB318WN-HEW, HP #564 Cyan Ink Cartridge (Yld 300 pages) For use with: Photosmart C6350, C6380, Photosmart Premium; Photosmart D5445, D5460, D7560, Photosmart Pro B8550."</f>
        <v>INK: HP Item# CB318WN-HEW, HP #564 Cyan Ink Cartridge (Yld 300 pages) For use with: Photosmart C6350, C6380, Photosmart Premium; Photosmart D5445, D5460, D7560, Photosmart Pro B8550.</v>
      </c>
      <c r="G1389" s="74" t="str">
        <f t="shared" si="93"/>
        <v>EA</v>
      </c>
      <c r="H1389" s="7">
        <v>10.99</v>
      </c>
      <c r="I1389" s="2" t="str">
        <f>"44103105"</f>
        <v>44103105</v>
      </c>
      <c r="J1389" s="10" t="s">
        <v>98</v>
      </c>
    </row>
    <row r="1390" spans="1:10" ht="63.75">
      <c r="A1390" s="9" t="s">
        <v>27</v>
      </c>
      <c r="B1390" s="2" t="s">
        <v>31</v>
      </c>
      <c r="C1390" s="2">
        <v>3204</v>
      </c>
      <c r="D1390" s="2">
        <v>1045</v>
      </c>
      <c r="E1390" s="2" t="str">
        <f>"1000029335"</f>
        <v>1000029335</v>
      </c>
      <c r="F1390" s="4" t="str">
        <f>"INK: HP Item# CB319WN-HEW, HP #564 Magenta Ink Cartridge (Yld 300 pages) For use with: Photosmart C6350, C6380, Photosmart Premium; Photosmart D5445, D5460, D7560, Photosmart Pro B8550."</f>
        <v>INK: HP Item# CB319WN-HEW, HP #564 Magenta Ink Cartridge (Yld 300 pages) For use with: Photosmart C6350, C6380, Photosmart Premium; Photosmart D5445, D5460, D7560, Photosmart Pro B8550.</v>
      </c>
      <c r="G1390" s="74" t="str">
        <f t="shared" si="93"/>
        <v>EA</v>
      </c>
      <c r="H1390" s="7">
        <v>10.99</v>
      </c>
      <c r="I1390" s="2" t="str">
        <f>"44103105"</f>
        <v>44103105</v>
      </c>
      <c r="J1390" s="10" t="s">
        <v>98</v>
      </c>
    </row>
    <row r="1391" spans="1:10" ht="51">
      <c r="A1391" s="9" t="s">
        <v>27</v>
      </c>
      <c r="B1391" s="2" t="s">
        <v>31</v>
      </c>
      <c r="C1391" s="2">
        <v>3204</v>
      </c>
      <c r="D1391" s="2">
        <v>1032</v>
      </c>
      <c r="E1391" s="2" t="str">
        <f>"1000029336"</f>
        <v>1000029336</v>
      </c>
      <c r="F1391" s="4" t="str">
        <f>"TONER: Item #CE411A-HEW, Cyan toner (Yld 2.6k) for HP 400, M375DW, M475DW, M475DN, M451DN, M451DW, M451DW MFP printers."</f>
        <v>TONER: Item #CE411A-HEW, Cyan toner (Yld 2.6k) for HP 400, M375DW, M475DW, M475DN, M451DN, M451DW, M451DW MFP printers.</v>
      </c>
      <c r="G1391" s="74" t="str">
        <f t="shared" si="93"/>
        <v>EA</v>
      </c>
      <c r="H1391" s="7">
        <v>119.99</v>
      </c>
      <c r="I1391" s="2" t="str">
        <f>"44103103"</f>
        <v>44103103</v>
      </c>
      <c r="J1391" s="10" t="s">
        <v>99</v>
      </c>
    </row>
    <row r="1392" spans="1:10" ht="51">
      <c r="A1392" s="9" t="s">
        <v>27</v>
      </c>
      <c r="B1392" s="2" t="s">
        <v>31</v>
      </c>
      <c r="C1392" s="2">
        <v>3204</v>
      </c>
      <c r="D1392" s="2">
        <v>1031</v>
      </c>
      <c r="E1392" s="2" t="str">
        <f>"1000029337"</f>
        <v>1000029337</v>
      </c>
      <c r="F1392" s="4" t="str">
        <f>"TONER: Item #CE412A-HEW, Yellow toner (Yld 2.6k) for HP 400, M375DW, M475DW, M475DN, M451DN, M451DW, M451DW MFP printers."</f>
        <v>TONER: Item #CE412A-HEW, Yellow toner (Yld 2.6k) for HP 400, M375DW, M475DW, M475DN, M451DN, M451DW, M451DW MFP printers.</v>
      </c>
      <c r="G1392" s="74" t="str">
        <f t="shared" si="93"/>
        <v>EA</v>
      </c>
      <c r="H1392" s="7">
        <v>119.99</v>
      </c>
      <c r="I1392" s="2" t="str">
        <f>"44103103"</f>
        <v>44103103</v>
      </c>
      <c r="J1392" s="10" t="s">
        <v>99</v>
      </c>
    </row>
    <row r="1393" spans="1:10" ht="51">
      <c r="A1393" s="9" t="s">
        <v>27</v>
      </c>
      <c r="B1393" s="2" t="s">
        <v>31</v>
      </c>
      <c r="C1393" s="2">
        <v>3204</v>
      </c>
      <c r="D1393" s="2">
        <v>1030</v>
      </c>
      <c r="E1393" s="2" t="str">
        <f>"1000029338"</f>
        <v>1000029338</v>
      </c>
      <c r="F1393" s="4" t="str">
        <f>"TONER: Item #CE413A-HEW, Magenta toner (Yld 2.6k) for HP 400, M375DW, M475DW, M475DN, M451DN, M451DW, M451DW MFP printers."</f>
        <v>TONER: Item #CE413A-HEW, Magenta toner (Yld 2.6k) for HP 400, M375DW, M475DW, M475DN, M451DN, M451DW, M451DW MFP printers.</v>
      </c>
      <c r="G1393" s="74" t="str">
        <f t="shared" si="93"/>
        <v>EA</v>
      </c>
      <c r="H1393" s="7">
        <v>119.99</v>
      </c>
      <c r="I1393" s="2" t="str">
        <f>"44103103"</f>
        <v>44103103</v>
      </c>
      <c r="J1393" s="10" t="s">
        <v>99</v>
      </c>
    </row>
    <row r="1394" spans="1:10" ht="38.25">
      <c r="A1394" s="9" t="s">
        <v>27</v>
      </c>
      <c r="B1394" s="2" t="s">
        <v>31</v>
      </c>
      <c r="C1394" s="2">
        <v>3204</v>
      </c>
      <c r="D1394" s="2">
        <v>1029</v>
      </c>
      <c r="E1394" s="2" t="str">
        <f>"1000029339"</f>
        <v>1000029339</v>
      </c>
      <c r="F1394" s="4" t="str">
        <f>"TONER: LEX Item #C540H1CG-LEX, Cyan toner (Yld 2k) for C540 Series, C543 Series, C544 Series, X543 Series, X544 Series."</f>
        <v>TONER: LEX Item #C540H1CG-LEX, Cyan toner (Yld 2k) for C540 Series, C543 Series, C544 Series, X543 Series, X544 Series.</v>
      </c>
      <c r="G1394" s="74" t="str">
        <f t="shared" si="93"/>
        <v>EA</v>
      </c>
      <c r="H1394" s="7">
        <v>85</v>
      </c>
      <c r="I1394" s="2" t="str">
        <f>"44103103"</f>
        <v>44103103</v>
      </c>
      <c r="J1394" s="10" t="s">
        <v>99</v>
      </c>
    </row>
    <row r="1395" spans="1:10" ht="25.5">
      <c r="A1395" s="84"/>
      <c r="B1395" s="2" t="s">
        <v>31</v>
      </c>
      <c r="C1395" s="85"/>
      <c r="D1395" s="85"/>
      <c r="E1395" s="85" t="s">
        <v>610</v>
      </c>
      <c r="F1395" s="94" t="s">
        <v>277</v>
      </c>
      <c r="G1395" s="86"/>
      <c r="H1395" s="87"/>
      <c r="I1395" s="96">
        <v>42211702</v>
      </c>
      <c r="J1395" s="98" t="s">
        <v>627</v>
      </c>
    </row>
    <row r="1396" spans="1:10">
      <c r="A1396" s="84"/>
      <c r="B1396" s="2" t="s">
        <v>31</v>
      </c>
      <c r="C1396" s="85"/>
      <c r="D1396" s="85"/>
      <c r="E1396" s="85" t="s">
        <v>610</v>
      </c>
      <c r="F1396" s="94" t="s">
        <v>258</v>
      </c>
      <c r="G1396" s="86"/>
      <c r="H1396" s="87"/>
      <c r="I1396" s="96">
        <v>49101700</v>
      </c>
      <c r="J1396" s="11" t="s">
        <v>634</v>
      </c>
    </row>
    <row r="1397" spans="1:10">
      <c r="A1397" s="84"/>
      <c r="B1397" s="2" t="s">
        <v>31</v>
      </c>
      <c r="C1397" s="85"/>
      <c r="D1397" s="85"/>
      <c r="E1397" s="85" t="s">
        <v>610</v>
      </c>
      <c r="F1397" s="94" t="s">
        <v>288</v>
      </c>
      <c r="G1397" s="86"/>
      <c r="H1397" s="87"/>
      <c r="I1397" s="96">
        <v>49101700</v>
      </c>
      <c r="J1397" s="11" t="s">
        <v>634</v>
      </c>
    </row>
    <row r="1398" spans="1:10">
      <c r="A1398" s="84"/>
      <c r="B1398" s="2" t="s">
        <v>31</v>
      </c>
      <c r="C1398" s="85"/>
      <c r="D1398" s="85"/>
      <c r="E1398" s="85" t="s">
        <v>610</v>
      </c>
      <c r="F1398" s="94" t="s">
        <v>244</v>
      </c>
      <c r="G1398" s="86"/>
      <c r="H1398" s="87"/>
      <c r="I1398" s="96">
        <v>49101701</v>
      </c>
      <c r="J1398" s="99" t="s">
        <v>244</v>
      </c>
    </row>
    <row r="1399" spans="1:10">
      <c r="A1399" s="84"/>
      <c r="B1399" s="2" t="s">
        <v>31</v>
      </c>
      <c r="C1399" s="85"/>
      <c r="D1399" s="85"/>
      <c r="E1399" s="85" t="s">
        <v>610</v>
      </c>
      <c r="F1399" s="94" t="s">
        <v>255</v>
      </c>
      <c r="G1399" s="86"/>
      <c r="H1399" s="87"/>
      <c r="I1399" s="96">
        <v>49101702</v>
      </c>
      <c r="J1399" s="99" t="s">
        <v>255</v>
      </c>
    </row>
    <row r="1400" spans="1:10">
      <c r="A1400" s="84"/>
      <c r="B1400" s="2" t="s">
        <v>31</v>
      </c>
      <c r="C1400" s="85"/>
      <c r="D1400" s="85"/>
      <c r="E1400" s="85" t="s">
        <v>610</v>
      </c>
      <c r="F1400" s="94" t="s">
        <v>248</v>
      </c>
      <c r="G1400" s="86"/>
      <c r="H1400" s="87"/>
      <c r="I1400" s="96">
        <v>49101704</v>
      </c>
      <c r="J1400" s="99" t="s">
        <v>635</v>
      </c>
    </row>
    <row r="1401" spans="1:10">
      <c r="A1401" s="84"/>
      <c r="B1401" s="2" t="s">
        <v>31</v>
      </c>
      <c r="C1401" s="85"/>
      <c r="D1401" s="85"/>
      <c r="E1401" s="85" t="s">
        <v>610</v>
      </c>
      <c r="F1401" s="94" t="s">
        <v>253</v>
      </c>
      <c r="G1401" s="86"/>
      <c r="H1401" s="87"/>
      <c r="I1401" s="96">
        <v>55121700</v>
      </c>
      <c r="J1401" s="11" t="s">
        <v>640</v>
      </c>
    </row>
    <row r="1402" spans="1:10">
      <c r="A1402" s="84"/>
      <c r="B1402" s="2" t="s">
        <v>31</v>
      </c>
      <c r="C1402" s="85"/>
      <c r="D1402" s="85"/>
      <c r="E1402" s="85" t="s">
        <v>610</v>
      </c>
      <c r="F1402" s="94" t="s">
        <v>235</v>
      </c>
      <c r="G1402" s="86"/>
      <c r="H1402" s="87"/>
      <c r="I1402" s="96">
        <v>55121706</v>
      </c>
      <c r="J1402" s="11" t="s">
        <v>641</v>
      </c>
    </row>
    <row r="1403" spans="1:10">
      <c r="A1403" s="84"/>
      <c r="B1403" s="2" t="s">
        <v>31</v>
      </c>
      <c r="C1403" s="85"/>
      <c r="D1403" s="85"/>
      <c r="E1403" s="85" t="s">
        <v>610</v>
      </c>
      <c r="F1403" s="94" t="s">
        <v>289</v>
      </c>
      <c r="G1403" s="86"/>
      <c r="H1403" s="87"/>
      <c r="I1403" s="96">
        <v>60101717</v>
      </c>
      <c r="J1403" s="11" t="s">
        <v>643</v>
      </c>
    </row>
    <row r="1404" spans="1:10">
      <c r="A1404" s="84"/>
      <c r="B1404" s="2" t="s">
        <v>31</v>
      </c>
      <c r="C1404" s="85"/>
      <c r="D1404" s="85"/>
      <c r="E1404" s="85" t="s">
        <v>610</v>
      </c>
      <c r="F1404" s="49" t="s">
        <v>250</v>
      </c>
      <c r="G1404" s="86"/>
      <c r="H1404" s="87"/>
      <c r="I1404" s="68">
        <v>76122300</v>
      </c>
      <c r="J1404" s="98" t="s">
        <v>652</v>
      </c>
    </row>
    <row r="1405" spans="1:10" ht="25.5">
      <c r="A1405" s="84"/>
      <c r="B1405" s="2" t="s">
        <v>31</v>
      </c>
      <c r="C1405" s="85"/>
      <c r="D1405" s="85"/>
      <c r="E1405" s="85" t="s">
        <v>610</v>
      </c>
      <c r="F1405" s="49" t="s">
        <v>247</v>
      </c>
      <c r="G1405" s="86"/>
      <c r="H1405" s="87"/>
      <c r="I1405" s="68">
        <v>80161508</v>
      </c>
      <c r="J1405" s="98" t="s">
        <v>655</v>
      </c>
    </row>
    <row r="1406" spans="1:10" ht="38.25">
      <c r="A1406" s="84"/>
      <c r="B1406" s="2" t="s">
        <v>31</v>
      </c>
      <c r="C1406" s="85"/>
      <c r="D1406" s="85"/>
      <c r="E1406" s="85" t="s">
        <v>610</v>
      </c>
      <c r="F1406" s="49" t="s">
        <v>297</v>
      </c>
      <c r="G1406" s="86"/>
      <c r="H1406" s="87"/>
      <c r="I1406" s="68">
        <v>81112306</v>
      </c>
      <c r="J1406" s="98" t="s">
        <v>656</v>
      </c>
    </row>
    <row r="1407" spans="1:10">
      <c r="A1407" s="84"/>
      <c r="B1407" s="2" t="s">
        <v>31</v>
      </c>
      <c r="C1407" s="85"/>
      <c r="D1407" s="85"/>
      <c r="E1407" s="85" t="s">
        <v>610</v>
      </c>
      <c r="F1407" s="49" t="s">
        <v>242</v>
      </c>
      <c r="G1407" s="86"/>
      <c r="H1407" s="87"/>
      <c r="I1407" s="68">
        <v>82121500</v>
      </c>
      <c r="J1407" s="11" t="s">
        <v>657</v>
      </c>
    </row>
    <row r="1408" spans="1:10" ht="25.5">
      <c r="A1408" s="84"/>
      <c r="B1408" s="2" t="s">
        <v>31</v>
      </c>
      <c r="C1408" s="85"/>
      <c r="D1408" s="85"/>
      <c r="E1408" s="85" t="s">
        <v>610</v>
      </c>
      <c r="F1408" s="49" t="s">
        <v>237</v>
      </c>
      <c r="G1408" s="86"/>
      <c r="H1408" s="87"/>
      <c r="I1408" s="68">
        <v>82121701</v>
      </c>
      <c r="J1408" s="98" t="s">
        <v>659</v>
      </c>
    </row>
    <row r="1409" spans="1:10">
      <c r="A1409" s="84"/>
      <c r="B1409" s="2" t="s">
        <v>31</v>
      </c>
      <c r="C1409" s="85"/>
      <c r="D1409" s="85"/>
      <c r="E1409" s="85" t="s">
        <v>610</v>
      </c>
      <c r="F1409" s="49" t="s">
        <v>292</v>
      </c>
      <c r="G1409" s="86"/>
      <c r="H1409" s="87"/>
      <c r="I1409" s="68">
        <v>82130000</v>
      </c>
      <c r="J1409" s="11" t="s">
        <v>660</v>
      </c>
    </row>
    <row r="1410" spans="1:10">
      <c r="A1410" s="9" t="s">
        <v>25</v>
      </c>
      <c r="B1410" s="2" t="s">
        <v>6</v>
      </c>
      <c r="C1410" s="2">
        <v>3498</v>
      </c>
      <c r="D1410" s="2">
        <v>1</v>
      </c>
      <c r="E1410" s="2" t="str">
        <f>"1000009750"</f>
        <v>1000009750</v>
      </c>
      <c r="F1410" s="93" t="s">
        <v>591</v>
      </c>
      <c r="G1410" s="74" t="str">
        <f>"SF"</f>
        <v>SF</v>
      </c>
      <c r="H1410" s="7">
        <v>0.01</v>
      </c>
      <c r="I1410" s="95" t="str">
        <f>"76111501"</f>
        <v>76111501</v>
      </c>
      <c r="J1410" s="10" t="s">
        <v>67</v>
      </c>
    </row>
    <row r="1411" spans="1:10" ht="25.5">
      <c r="A1411" s="84"/>
      <c r="B1411" s="2" t="s">
        <v>6</v>
      </c>
      <c r="C1411" s="85"/>
      <c r="D1411" s="85"/>
      <c r="E1411" s="85" t="s">
        <v>610</v>
      </c>
      <c r="F1411" s="49" t="s">
        <v>284</v>
      </c>
      <c r="G1411" s="86"/>
      <c r="H1411" s="87"/>
      <c r="I1411" s="68">
        <v>72102905</v>
      </c>
      <c r="J1411" s="98" t="s">
        <v>645</v>
      </c>
    </row>
    <row r="1412" spans="1:10" ht="25.5">
      <c r="A1412" s="84"/>
      <c r="B1412" s="2" t="s">
        <v>6</v>
      </c>
      <c r="C1412" s="85"/>
      <c r="D1412" s="85"/>
      <c r="E1412" s="85" t="s">
        <v>610</v>
      </c>
      <c r="F1412" s="49" t="s">
        <v>285</v>
      </c>
      <c r="G1412" s="86"/>
      <c r="H1412" s="87"/>
      <c r="I1412" s="68">
        <v>72102905</v>
      </c>
      <c r="J1412" s="98" t="s">
        <v>645</v>
      </c>
    </row>
    <row r="1413" spans="1:10">
      <c r="A1413" s="84"/>
      <c r="B1413" s="2" t="s">
        <v>6</v>
      </c>
      <c r="C1413" s="85"/>
      <c r="D1413" s="85"/>
      <c r="E1413" s="85" t="s">
        <v>610</v>
      </c>
      <c r="F1413" s="49" t="s">
        <v>261</v>
      </c>
      <c r="G1413" s="86"/>
      <c r="H1413" s="87"/>
      <c r="I1413" s="68">
        <v>73151500</v>
      </c>
      <c r="J1413" s="99" t="s">
        <v>261</v>
      </c>
    </row>
    <row r="1414" spans="1:10">
      <c r="A1414" s="84"/>
      <c r="B1414" s="2" t="s">
        <v>6</v>
      </c>
      <c r="C1414" s="85"/>
      <c r="D1414" s="85"/>
      <c r="E1414" s="85" t="s">
        <v>610</v>
      </c>
      <c r="F1414" s="49" t="s">
        <v>246</v>
      </c>
      <c r="G1414" s="86"/>
      <c r="H1414" s="87"/>
      <c r="I1414" s="68">
        <v>73151600</v>
      </c>
      <c r="J1414" s="99" t="s">
        <v>246</v>
      </c>
    </row>
    <row r="1415" spans="1:10">
      <c r="A1415" s="84"/>
      <c r="B1415" s="2" t="s">
        <v>6</v>
      </c>
      <c r="C1415" s="85"/>
      <c r="D1415" s="85"/>
      <c r="E1415" s="85" t="s">
        <v>610</v>
      </c>
      <c r="F1415" s="49" t="s">
        <v>250</v>
      </c>
      <c r="G1415" s="86"/>
      <c r="H1415" s="87"/>
      <c r="I1415" s="68">
        <v>76122300</v>
      </c>
      <c r="J1415" s="98" t="s">
        <v>652</v>
      </c>
    </row>
    <row r="1416" spans="1:10" ht="25.5">
      <c r="A1416" s="84"/>
      <c r="B1416" s="2" t="s">
        <v>6</v>
      </c>
      <c r="C1416" s="85"/>
      <c r="D1416" s="85"/>
      <c r="E1416" s="85" t="s">
        <v>610</v>
      </c>
      <c r="F1416" s="49" t="s">
        <v>247</v>
      </c>
      <c r="G1416" s="86"/>
      <c r="H1416" s="87"/>
      <c r="I1416" s="68">
        <v>80161508</v>
      </c>
      <c r="J1416" s="98" t="s">
        <v>655</v>
      </c>
    </row>
    <row r="1417" spans="1:10" ht="25.5">
      <c r="A1417" s="84"/>
      <c r="B1417" s="2" t="s">
        <v>6</v>
      </c>
      <c r="C1417" s="85"/>
      <c r="D1417" s="85"/>
      <c r="E1417" s="85" t="s">
        <v>610</v>
      </c>
      <c r="F1417" s="49" t="s">
        <v>237</v>
      </c>
      <c r="G1417" s="86"/>
      <c r="H1417" s="87"/>
      <c r="I1417" s="68">
        <v>82121701</v>
      </c>
      <c r="J1417" s="98" t="s">
        <v>659</v>
      </c>
    </row>
    <row r="1418" spans="1:10" ht="25.5">
      <c r="A1418" s="9" t="s">
        <v>25</v>
      </c>
      <c r="B1418" s="2" t="s">
        <v>1</v>
      </c>
      <c r="C1418" s="2">
        <v>3499</v>
      </c>
      <c r="D1418" s="2">
        <v>2</v>
      </c>
      <c r="E1418" s="2" t="str">
        <f>"1000008904"</f>
        <v>1000008904</v>
      </c>
      <c r="F1418" s="4" t="str">
        <f>"SECURITY SERVICES: Unarmed Security Guard Services"</f>
        <v>SECURITY SERVICES: Unarmed Security Guard Services</v>
      </c>
      <c r="G1418" s="74" t="s">
        <v>614</v>
      </c>
      <c r="H1418" s="7">
        <v>0.01</v>
      </c>
      <c r="I1418" s="2" t="str">
        <f>"92121504"</f>
        <v>92121504</v>
      </c>
      <c r="J1418" s="10" t="s">
        <v>72</v>
      </c>
    </row>
    <row r="1419" spans="1:10">
      <c r="A1419" s="9" t="s">
        <v>25</v>
      </c>
      <c r="B1419" s="2" t="s">
        <v>1</v>
      </c>
      <c r="C1419" s="2">
        <v>3499</v>
      </c>
      <c r="D1419" s="2">
        <v>1</v>
      </c>
      <c r="E1419" s="2" t="str">
        <f>"1000009750"</f>
        <v>1000009750</v>
      </c>
      <c r="F1419" s="93" t="s">
        <v>591</v>
      </c>
      <c r="G1419" s="74" t="str">
        <f>"SF"</f>
        <v>SF</v>
      </c>
      <c r="H1419" s="7">
        <v>0.01</v>
      </c>
      <c r="I1419" s="95" t="str">
        <f>"76111501"</f>
        <v>76111501</v>
      </c>
      <c r="J1419" s="10" t="s">
        <v>67</v>
      </c>
    </row>
    <row r="1420" spans="1:10">
      <c r="A1420" s="84"/>
      <c r="B1420" s="2" t="s">
        <v>1</v>
      </c>
      <c r="C1420" s="85"/>
      <c r="D1420" s="85"/>
      <c r="E1420" s="85" t="s">
        <v>610</v>
      </c>
      <c r="F1420" s="49" t="s">
        <v>250</v>
      </c>
      <c r="G1420" s="86"/>
      <c r="H1420" s="87"/>
      <c r="I1420" s="68">
        <v>76122300</v>
      </c>
      <c r="J1420" s="98" t="s">
        <v>652</v>
      </c>
    </row>
    <row r="1421" spans="1:10" ht="25.5">
      <c r="A1421" s="9" t="s">
        <v>25</v>
      </c>
      <c r="B1421" s="2" t="s">
        <v>7</v>
      </c>
      <c r="C1421" s="2">
        <v>3503</v>
      </c>
      <c r="D1421" s="2">
        <v>1</v>
      </c>
      <c r="E1421" s="2" t="str">
        <f>"1000009750"</f>
        <v>1000009750</v>
      </c>
      <c r="F1421" s="93" t="s">
        <v>591</v>
      </c>
      <c r="G1421" s="74" t="str">
        <f>"SF"</f>
        <v>SF</v>
      </c>
      <c r="H1421" s="7">
        <v>0.01</v>
      </c>
      <c r="I1421" s="95" t="str">
        <f>"76111501"</f>
        <v>76111501</v>
      </c>
      <c r="J1421" s="10" t="s">
        <v>67</v>
      </c>
    </row>
    <row r="1422" spans="1:10" ht="25.5">
      <c r="A1422" s="84"/>
      <c r="B1422" s="2" t="s">
        <v>7</v>
      </c>
      <c r="C1422" s="85"/>
      <c r="D1422" s="85"/>
      <c r="E1422" s="85" t="s">
        <v>610</v>
      </c>
      <c r="F1422" s="49" t="s">
        <v>284</v>
      </c>
      <c r="G1422" s="86"/>
      <c r="H1422" s="87"/>
      <c r="I1422" s="68">
        <v>72102905</v>
      </c>
      <c r="J1422" s="98" t="s">
        <v>645</v>
      </c>
    </row>
    <row r="1423" spans="1:10" ht="25.5">
      <c r="A1423" s="84"/>
      <c r="B1423" s="2" t="s">
        <v>7</v>
      </c>
      <c r="C1423" s="85"/>
      <c r="D1423" s="85"/>
      <c r="E1423" s="85" t="s">
        <v>610</v>
      </c>
      <c r="F1423" s="49" t="s">
        <v>285</v>
      </c>
      <c r="G1423" s="86"/>
      <c r="H1423" s="87"/>
      <c r="I1423" s="68">
        <v>72102905</v>
      </c>
      <c r="J1423" s="98" t="s">
        <v>645</v>
      </c>
    </row>
    <row r="1424" spans="1:10" ht="25.5">
      <c r="A1424" s="84"/>
      <c r="B1424" s="2" t="s">
        <v>7</v>
      </c>
      <c r="C1424" s="85"/>
      <c r="D1424" s="85"/>
      <c r="E1424" s="85" t="s">
        <v>610</v>
      </c>
      <c r="F1424" s="49" t="s">
        <v>261</v>
      </c>
      <c r="G1424" s="86"/>
      <c r="H1424" s="87"/>
      <c r="I1424" s="68">
        <v>73151500</v>
      </c>
      <c r="J1424" s="99" t="s">
        <v>261</v>
      </c>
    </row>
    <row r="1425" spans="1:10" ht="25.5">
      <c r="A1425" s="84"/>
      <c r="B1425" s="2" t="s">
        <v>7</v>
      </c>
      <c r="C1425" s="85"/>
      <c r="D1425" s="85"/>
      <c r="E1425" s="85" t="s">
        <v>610</v>
      </c>
      <c r="F1425" s="49" t="s">
        <v>246</v>
      </c>
      <c r="G1425" s="86"/>
      <c r="H1425" s="87"/>
      <c r="I1425" s="68">
        <v>73151600</v>
      </c>
      <c r="J1425" s="99" t="s">
        <v>246</v>
      </c>
    </row>
    <row r="1426" spans="1:10" ht="25.5">
      <c r="A1426" s="84"/>
      <c r="B1426" s="2" t="s">
        <v>7</v>
      </c>
      <c r="C1426" s="85"/>
      <c r="D1426" s="85"/>
      <c r="E1426" s="85" t="s">
        <v>610</v>
      </c>
      <c r="F1426" s="94" t="s">
        <v>250</v>
      </c>
      <c r="G1426" s="86"/>
      <c r="H1426" s="87"/>
      <c r="I1426" s="96">
        <v>76122300</v>
      </c>
      <c r="J1426" s="98" t="s">
        <v>652</v>
      </c>
    </row>
    <row r="1427" spans="1:10" ht="25.5">
      <c r="A1427" s="84"/>
      <c r="B1427" s="2" t="s">
        <v>7</v>
      </c>
      <c r="C1427" s="85"/>
      <c r="D1427" s="85"/>
      <c r="E1427" s="85" t="s">
        <v>610</v>
      </c>
      <c r="F1427" s="94" t="s">
        <v>247</v>
      </c>
      <c r="G1427" s="86"/>
      <c r="H1427" s="87"/>
      <c r="I1427" s="96">
        <v>80161508</v>
      </c>
      <c r="J1427" s="98" t="s">
        <v>655</v>
      </c>
    </row>
    <row r="1428" spans="1:10" ht="25.5">
      <c r="A1428" s="84"/>
      <c r="B1428" s="2" t="s">
        <v>7</v>
      </c>
      <c r="C1428" s="85"/>
      <c r="D1428" s="85"/>
      <c r="E1428" s="85" t="s">
        <v>610</v>
      </c>
      <c r="F1428" s="49" t="s">
        <v>237</v>
      </c>
      <c r="G1428" s="86"/>
      <c r="H1428" s="87"/>
      <c r="I1428" s="68">
        <v>82121701</v>
      </c>
      <c r="J1428" s="98" t="s">
        <v>659</v>
      </c>
    </row>
    <row r="1429" spans="1:10" ht="25.5">
      <c r="A1429" s="9" t="s">
        <v>25</v>
      </c>
      <c r="B1429" s="2" t="s">
        <v>32</v>
      </c>
      <c r="C1429" s="2">
        <v>3501</v>
      </c>
      <c r="D1429" s="2">
        <v>1</v>
      </c>
      <c r="E1429" s="2" t="str">
        <f>"1000009750"</f>
        <v>1000009750</v>
      </c>
      <c r="F1429" s="4" t="s">
        <v>591</v>
      </c>
      <c r="G1429" s="74" t="str">
        <f>"SF"</f>
        <v>SF</v>
      </c>
      <c r="H1429" s="7">
        <v>0.01</v>
      </c>
      <c r="I1429" s="2" t="str">
        <f>"76111501"</f>
        <v>76111501</v>
      </c>
      <c r="J1429" s="10" t="s">
        <v>67</v>
      </c>
    </row>
    <row r="1430" spans="1:10" ht="25.5">
      <c r="A1430" s="84"/>
      <c r="B1430" s="2" t="s">
        <v>32</v>
      </c>
      <c r="C1430" s="85"/>
      <c r="D1430" s="85"/>
      <c r="E1430" s="85" t="s">
        <v>610</v>
      </c>
      <c r="F1430" s="49" t="s">
        <v>261</v>
      </c>
      <c r="G1430" s="86"/>
      <c r="H1430" s="87"/>
      <c r="I1430" s="68">
        <v>73151500</v>
      </c>
      <c r="J1430" s="99" t="s">
        <v>261</v>
      </c>
    </row>
    <row r="1431" spans="1:10" ht="25.5">
      <c r="A1431" s="84"/>
      <c r="B1431" s="2" t="s">
        <v>32</v>
      </c>
      <c r="C1431" s="85"/>
      <c r="D1431" s="85"/>
      <c r="E1431" s="85" t="s">
        <v>610</v>
      </c>
      <c r="F1431" s="49" t="s">
        <v>246</v>
      </c>
      <c r="G1431" s="86"/>
      <c r="H1431" s="87"/>
      <c r="I1431" s="68">
        <v>73151600</v>
      </c>
      <c r="J1431" s="99" t="s">
        <v>246</v>
      </c>
    </row>
    <row r="1432" spans="1:10" ht="25.5">
      <c r="A1432" s="84"/>
      <c r="B1432" s="2" t="s">
        <v>32</v>
      </c>
      <c r="C1432" s="85"/>
      <c r="D1432" s="85"/>
      <c r="E1432" s="85" t="s">
        <v>610</v>
      </c>
      <c r="F1432" s="49" t="s">
        <v>247</v>
      </c>
      <c r="G1432" s="86"/>
      <c r="H1432" s="87"/>
      <c r="I1432" s="68">
        <v>80161508</v>
      </c>
      <c r="J1432" s="98" t="s">
        <v>655</v>
      </c>
    </row>
    <row r="1433" spans="1:10">
      <c r="A1433" s="9" t="s">
        <v>25</v>
      </c>
      <c r="B1433" s="2" t="s">
        <v>8</v>
      </c>
      <c r="C1433" s="2">
        <v>3500</v>
      </c>
      <c r="D1433" s="2">
        <v>1</v>
      </c>
      <c r="E1433" s="2" t="str">
        <f>"1000009750"</f>
        <v>1000009750</v>
      </c>
      <c r="F1433" s="93" t="s">
        <v>591</v>
      </c>
      <c r="G1433" s="74" t="str">
        <f>"SF"</f>
        <v>SF</v>
      </c>
      <c r="H1433" s="7">
        <v>0.01</v>
      </c>
      <c r="I1433" s="95" t="str">
        <f>"76111501"</f>
        <v>76111501</v>
      </c>
      <c r="J1433" s="10" t="s">
        <v>67</v>
      </c>
    </row>
    <row r="1434" spans="1:10">
      <c r="A1434" s="84"/>
      <c r="B1434" s="2" t="s">
        <v>8</v>
      </c>
      <c r="C1434" s="85"/>
      <c r="D1434" s="85"/>
      <c r="E1434" s="85" t="s">
        <v>610</v>
      </c>
      <c r="F1434" s="49" t="s">
        <v>261</v>
      </c>
      <c r="G1434" s="86"/>
      <c r="H1434" s="87"/>
      <c r="I1434" s="68">
        <v>73151500</v>
      </c>
      <c r="J1434" s="99" t="s">
        <v>261</v>
      </c>
    </row>
    <row r="1435" spans="1:10">
      <c r="A1435" s="84"/>
      <c r="B1435" s="2" t="s">
        <v>8</v>
      </c>
      <c r="C1435" s="85"/>
      <c r="D1435" s="85"/>
      <c r="E1435" s="85" t="s">
        <v>610</v>
      </c>
      <c r="F1435" s="49" t="s">
        <v>250</v>
      </c>
      <c r="G1435" s="86"/>
      <c r="H1435" s="87"/>
      <c r="I1435" s="68">
        <v>76122300</v>
      </c>
      <c r="J1435" s="98" t="s">
        <v>652</v>
      </c>
    </row>
    <row r="1436" spans="1:10" ht="25.5">
      <c r="A1436" s="84"/>
      <c r="B1436" s="2" t="s">
        <v>8</v>
      </c>
      <c r="C1436" s="85"/>
      <c r="D1436" s="85"/>
      <c r="E1436" s="85" t="s">
        <v>610</v>
      </c>
      <c r="F1436" s="49" t="s">
        <v>237</v>
      </c>
      <c r="G1436" s="86"/>
      <c r="H1436" s="87"/>
      <c r="I1436" s="68">
        <v>82121701</v>
      </c>
      <c r="J1436" s="98" t="s">
        <v>659</v>
      </c>
    </row>
    <row r="1437" spans="1:10">
      <c r="A1437" s="9" t="s">
        <v>25</v>
      </c>
      <c r="B1437" s="2" t="s">
        <v>9</v>
      </c>
      <c r="C1437" s="2">
        <v>3502</v>
      </c>
      <c r="D1437" s="2">
        <v>1</v>
      </c>
      <c r="E1437" s="2" t="str">
        <f>"1000009750"</f>
        <v>1000009750</v>
      </c>
      <c r="F1437" s="4" t="s">
        <v>591</v>
      </c>
      <c r="G1437" s="74" t="str">
        <f>"SF"</f>
        <v>SF</v>
      </c>
      <c r="H1437" s="7">
        <v>0.01</v>
      </c>
      <c r="I1437" s="2" t="str">
        <f>"76111501"</f>
        <v>76111501</v>
      </c>
      <c r="J1437" s="10" t="s">
        <v>67</v>
      </c>
    </row>
    <row r="1438" spans="1:10">
      <c r="A1438" s="84"/>
      <c r="B1438" s="2" t="s">
        <v>9</v>
      </c>
      <c r="C1438" s="85"/>
      <c r="D1438" s="85"/>
      <c r="E1438" s="85" t="s">
        <v>610</v>
      </c>
      <c r="F1438" s="49" t="s">
        <v>261</v>
      </c>
      <c r="G1438" s="86"/>
      <c r="H1438" s="87"/>
      <c r="I1438" s="68">
        <v>73151500</v>
      </c>
      <c r="J1438" s="99" t="s">
        <v>261</v>
      </c>
    </row>
    <row r="1439" spans="1:10">
      <c r="A1439" s="84"/>
      <c r="B1439" s="2" t="s">
        <v>9</v>
      </c>
      <c r="C1439" s="85"/>
      <c r="D1439" s="85"/>
      <c r="E1439" s="85" t="s">
        <v>610</v>
      </c>
      <c r="F1439" s="49" t="s">
        <v>246</v>
      </c>
      <c r="G1439" s="86"/>
      <c r="H1439" s="87"/>
      <c r="I1439" s="68">
        <v>73151600</v>
      </c>
      <c r="J1439" s="99" t="s">
        <v>246</v>
      </c>
    </row>
    <row r="1440" spans="1:10">
      <c r="A1440" s="84"/>
      <c r="B1440" s="2" t="s">
        <v>9</v>
      </c>
      <c r="C1440" s="85"/>
      <c r="D1440" s="85"/>
      <c r="E1440" s="85" t="s">
        <v>610</v>
      </c>
      <c r="F1440" s="49" t="s">
        <v>250</v>
      </c>
      <c r="G1440" s="86"/>
      <c r="H1440" s="87"/>
      <c r="I1440" s="68">
        <v>76122300</v>
      </c>
      <c r="J1440" s="98" t="s">
        <v>652</v>
      </c>
    </row>
    <row r="1441" spans="1:10" ht="25.5">
      <c r="A1441" s="84"/>
      <c r="B1441" s="2" t="s">
        <v>9</v>
      </c>
      <c r="C1441" s="85"/>
      <c r="D1441" s="85"/>
      <c r="E1441" s="85" t="s">
        <v>610</v>
      </c>
      <c r="F1441" s="94" t="s">
        <v>247</v>
      </c>
      <c r="G1441" s="86"/>
      <c r="H1441" s="87"/>
      <c r="I1441" s="96">
        <v>80161508</v>
      </c>
      <c r="J1441" s="98" t="s">
        <v>655</v>
      </c>
    </row>
    <row r="1442" spans="1:10">
      <c r="A1442" s="9" t="s">
        <v>25</v>
      </c>
      <c r="B1442" s="2" t="s">
        <v>10</v>
      </c>
      <c r="C1442" s="2">
        <v>3504</v>
      </c>
      <c r="D1442" s="2">
        <v>1</v>
      </c>
      <c r="E1442" s="2" t="str">
        <f>"1000009750"</f>
        <v>1000009750</v>
      </c>
      <c r="F1442" s="93" t="s">
        <v>591</v>
      </c>
      <c r="G1442" s="74" t="str">
        <f>"SF"</f>
        <v>SF</v>
      </c>
      <c r="H1442" s="7">
        <v>0.01</v>
      </c>
      <c r="I1442" s="95" t="str">
        <f>"76111501"</f>
        <v>76111501</v>
      </c>
      <c r="J1442" s="10" t="s">
        <v>67</v>
      </c>
    </row>
    <row r="1443" spans="1:10">
      <c r="A1443" s="9" t="s">
        <v>25</v>
      </c>
      <c r="B1443" s="2" t="s">
        <v>34</v>
      </c>
      <c r="C1443" s="2">
        <v>3505</v>
      </c>
      <c r="D1443" s="2">
        <v>1</v>
      </c>
      <c r="E1443" s="2" t="str">
        <f>"1000009750"</f>
        <v>1000009750</v>
      </c>
      <c r="F1443" s="93" t="s">
        <v>591</v>
      </c>
      <c r="G1443" s="74" t="str">
        <f>"SF"</f>
        <v>SF</v>
      </c>
      <c r="H1443" s="7">
        <v>0.01</v>
      </c>
      <c r="I1443" s="95" t="str">
        <f>"76111501"</f>
        <v>76111501</v>
      </c>
      <c r="J1443" s="10" t="s">
        <v>67</v>
      </c>
    </row>
    <row r="1444" spans="1:10" ht="25.5">
      <c r="A1444" s="9" t="s">
        <v>25</v>
      </c>
      <c r="B1444" s="2" t="s">
        <v>34</v>
      </c>
      <c r="C1444" s="2">
        <v>3505</v>
      </c>
      <c r="D1444" s="2">
        <v>2</v>
      </c>
      <c r="E1444" s="2" t="str">
        <f>"1000023282"</f>
        <v>1000023282</v>
      </c>
      <c r="F1444" s="93" t="str">
        <f>"DETERGENT: Laundry 50 LB Bx. Powdered Laundry Detergent, 50 LB box."</f>
        <v>DETERGENT: Laundry 50 LB Bx. Powdered Laundry Detergent, 50 LB box.</v>
      </c>
      <c r="G1444" s="74" t="str">
        <f>"BX"</f>
        <v>BX</v>
      </c>
      <c r="H1444" s="7">
        <v>18</v>
      </c>
      <c r="I1444" s="95" t="str">
        <f>"47131811"</f>
        <v>47131811</v>
      </c>
      <c r="J1444" s="10" t="s">
        <v>125</v>
      </c>
    </row>
    <row r="1445" spans="1:10" ht="25.5">
      <c r="A1445" s="9" t="s">
        <v>25</v>
      </c>
      <c r="B1445" s="2" t="s">
        <v>34</v>
      </c>
      <c r="C1445" s="2">
        <v>3505</v>
      </c>
      <c r="D1445" s="2">
        <v>3</v>
      </c>
      <c r="E1445" s="2" t="str">
        <f>"1000029713"</f>
        <v>1000029713</v>
      </c>
      <c r="F1445" s="4" t="str">
        <f>"LAUNDRY SRVC: State Use, Laundry and Linen Services"</f>
        <v>LAUNDRY SRVC: State Use, Laundry and Linen Services</v>
      </c>
      <c r="G1445" s="74" t="str">
        <f>"EA"</f>
        <v>EA</v>
      </c>
      <c r="H1445" s="7">
        <v>0.01</v>
      </c>
      <c r="I1445" s="2" t="str">
        <f>"91111502"</f>
        <v>91111502</v>
      </c>
      <c r="J1445" s="10" t="s">
        <v>126</v>
      </c>
    </row>
    <row r="1446" spans="1:10" ht="25.5">
      <c r="A1446" s="9" t="s">
        <v>37</v>
      </c>
      <c r="B1446" s="2" t="s">
        <v>34</v>
      </c>
      <c r="C1446" s="2">
        <v>3156</v>
      </c>
      <c r="D1446" s="2">
        <v>11</v>
      </c>
      <c r="E1446" s="2">
        <v>1000029770</v>
      </c>
      <c r="F1446" s="153" t="s">
        <v>582</v>
      </c>
      <c r="G1446" s="74" t="str">
        <f t="shared" ref="G1446:G1458" si="95">"BG"</f>
        <v>BG</v>
      </c>
      <c r="H1446" s="7">
        <v>8.6999999999999993</v>
      </c>
      <c r="I1446" s="95" t="str">
        <f t="shared" ref="I1446:I1463" si="96">"50192902"</f>
        <v>50192902</v>
      </c>
      <c r="J1446" s="10" t="s">
        <v>124</v>
      </c>
    </row>
    <row r="1447" spans="1:10" ht="25.5">
      <c r="A1447" s="9" t="s">
        <v>37</v>
      </c>
      <c r="B1447" s="2" t="s">
        <v>34</v>
      </c>
      <c r="C1447" s="2">
        <v>3156</v>
      </c>
      <c r="D1447" s="2">
        <v>12</v>
      </c>
      <c r="E1447" s="2">
        <v>1000029771</v>
      </c>
      <c r="F1447" s="153" t="s">
        <v>583</v>
      </c>
      <c r="G1447" s="74" t="str">
        <f t="shared" si="95"/>
        <v>BG</v>
      </c>
      <c r="H1447" s="7">
        <v>17.399999999999999</v>
      </c>
      <c r="I1447" s="95" t="str">
        <f t="shared" si="96"/>
        <v>50192902</v>
      </c>
      <c r="J1447" s="10" t="s">
        <v>124</v>
      </c>
    </row>
    <row r="1448" spans="1:10" ht="25.5">
      <c r="A1448" s="9" t="s">
        <v>37</v>
      </c>
      <c r="B1448" s="2" t="s">
        <v>34</v>
      </c>
      <c r="C1448" s="2">
        <v>3156</v>
      </c>
      <c r="D1448" s="2">
        <v>13</v>
      </c>
      <c r="E1448" s="2">
        <v>1000029772</v>
      </c>
      <c r="F1448" s="153" t="s">
        <v>584</v>
      </c>
      <c r="G1448" s="74" t="str">
        <f t="shared" si="95"/>
        <v>BG</v>
      </c>
      <c r="H1448" s="7">
        <v>12.1</v>
      </c>
      <c r="I1448" s="95" t="str">
        <f t="shared" si="96"/>
        <v>50192902</v>
      </c>
      <c r="J1448" s="10" t="s">
        <v>124</v>
      </c>
    </row>
    <row r="1449" spans="1:10" ht="25.5">
      <c r="A1449" s="9" t="s">
        <v>37</v>
      </c>
      <c r="B1449" s="2" t="s">
        <v>34</v>
      </c>
      <c r="C1449" s="2">
        <v>3156</v>
      </c>
      <c r="D1449" s="2">
        <v>14</v>
      </c>
      <c r="E1449" s="2">
        <v>1000029773</v>
      </c>
      <c r="F1449" s="2" t="s">
        <v>585</v>
      </c>
      <c r="G1449" s="74" t="str">
        <f t="shared" si="95"/>
        <v>BG</v>
      </c>
      <c r="H1449" s="7">
        <v>8.6999999999999993</v>
      </c>
      <c r="I1449" s="2" t="str">
        <f t="shared" si="96"/>
        <v>50192902</v>
      </c>
      <c r="J1449" s="10" t="s">
        <v>124</v>
      </c>
    </row>
    <row r="1450" spans="1:10" ht="25.5">
      <c r="A1450" s="9" t="s">
        <v>37</v>
      </c>
      <c r="B1450" s="2" t="s">
        <v>34</v>
      </c>
      <c r="C1450" s="2">
        <v>3156</v>
      </c>
      <c r="D1450" s="2">
        <v>15</v>
      </c>
      <c r="E1450" s="2">
        <v>1000029774</v>
      </c>
      <c r="F1450" s="2" t="s">
        <v>586</v>
      </c>
      <c r="G1450" s="74" t="str">
        <f t="shared" si="95"/>
        <v>BG</v>
      </c>
      <c r="H1450" s="7">
        <v>17.399999999999999</v>
      </c>
      <c r="I1450" s="2" t="str">
        <f t="shared" si="96"/>
        <v>50192902</v>
      </c>
      <c r="J1450" s="10" t="s">
        <v>124</v>
      </c>
    </row>
    <row r="1451" spans="1:10" ht="25.5">
      <c r="A1451" s="9" t="s">
        <v>37</v>
      </c>
      <c r="B1451" s="2" t="s">
        <v>34</v>
      </c>
      <c r="C1451" s="2">
        <v>3156</v>
      </c>
      <c r="D1451" s="2">
        <v>16</v>
      </c>
      <c r="E1451" s="2">
        <v>1000029775</v>
      </c>
      <c r="F1451" s="2" t="s">
        <v>587</v>
      </c>
      <c r="G1451" s="74" t="str">
        <f t="shared" si="95"/>
        <v>BG</v>
      </c>
      <c r="H1451" s="7">
        <v>12.1</v>
      </c>
      <c r="I1451" s="2" t="str">
        <f t="shared" si="96"/>
        <v>50192902</v>
      </c>
      <c r="J1451" s="10" t="s">
        <v>124</v>
      </c>
    </row>
    <row r="1452" spans="1:10" ht="25.5">
      <c r="A1452" s="9" t="s">
        <v>37</v>
      </c>
      <c r="B1452" s="2" t="s">
        <v>34</v>
      </c>
      <c r="C1452" s="2">
        <v>3156</v>
      </c>
      <c r="D1452" s="2">
        <v>17</v>
      </c>
      <c r="E1452" s="2">
        <v>1000029776</v>
      </c>
      <c r="F1452" s="2" t="s">
        <v>588</v>
      </c>
      <c r="G1452" s="74" t="str">
        <f t="shared" si="95"/>
        <v>BG</v>
      </c>
      <c r="H1452" s="7">
        <v>8.6999999999999993</v>
      </c>
      <c r="I1452" s="2" t="str">
        <f t="shared" si="96"/>
        <v>50192902</v>
      </c>
      <c r="J1452" s="10" t="s">
        <v>124</v>
      </c>
    </row>
    <row r="1453" spans="1:10" ht="25.5">
      <c r="A1453" s="9" t="s">
        <v>37</v>
      </c>
      <c r="B1453" s="2" t="s">
        <v>34</v>
      </c>
      <c r="C1453" s="2">
        <v>3156</v>
      </c>
      <c r="D1453" s="2">
        <v>18</v>
      </c>
      <c r="E1453" s="2">
        <v>1000029777</v>
      </c>
      <c r="F1453" s="2" t="s">
        <v>589</v>
      </c>
      <c r="G1453" s="74" t="str">
        <f t="shared" si="95"/>
        <v>BG</v>
      </c>
      <c r="H1453" s="7">
        <v>17.399999999999999</v>
      </c>
      <c r="I1453" s="2" t="str">
        <f t="shared" si="96"/>
        <v>50192902</v>
      </c>
      <c r="J1453" s="10" t="s">
        <v>124</v>
      </c>
    </row>
    <row r="1454" spans="1:10" ht="25.5">
      <c r="A1454" s="9" t="s">
        <v>37</v>
      </c>
      <c r="B1454" s="2" t="s">
        <v>34</v>
      </c>
      <c r="C1454" s="2">
        <v>3156</v>
      </c>
      <c r="D1454" s="2">
        <v>19</v>
      </c>
      <c r="E1454" s="2">
        <v>1000029778</v>
      </c>
      <c r="F1454" s="2" t="s">
        <v>590</v>
      </c>
      <c r="G1454" s="74" t="str">
        <f t="shared" si="95"/>
        <v>BG</v>
      </c>
      <c r="H1454" s="7">
        <v>12.1</v>
      </c>
      <c r="I1454" s="2" t="str">
        <f t="shared" si="96"/>
        <v>50192902</v>
      </c>
      <c r="J1454" s="10" t="s">
        <v>124</v>
      </c>
    </row>
    <row r="1455" spans="1:10" ht="25.5">
      <c r="A1455" s="9" t="s">
        <v>37</v>
      </c>
      <c r="B1455" s="2" t="s">
        <v>34</v>
      </c>
      <c r="C1455" s="2">
        <v>3156</v>
      </c>
      <c r="D1455" s="2">
        <v>7</v>
      </c>
      <c r="E1455" s="2">
        <v>1000029779</v>
      </c>
      <c r="F1455" s="2" t="s">
        <v>578</v>
      </c>
      <c r="G1455" s="74" t="str">
        <f t="shared" si="95"/>
        <v>BG</v>
      </c>
      <c r="H1455" s="7">
        <v>7.7</v>
      </c>
      <c r="I1455" s="2" t="str">
        <f t="shared" si="96"/>
        <v>50192902</v>
      </c>
      <c r="J1455" s="10" t="s">
        <v>124</v>
      </c>
    </row>
    <row r="1456" spans="1:10" ht="25.5">
      <c r="A1456" s="9" t="s">
        <v>37</v>
      </c>
      <c r="B1456" s="2" t="s">
        <v>34</v>
      </c>
      <c r="C1456" s="2">
        <v>3156</v>
      </c>
      <c r="D1456" s="2">
        <v>8</v>
      </c>
      <c r="E1456" s="2">
        <v>1000029780</v>
      </c>
      <c r="F1456" s="2" t="s">
        <v>579</v>
      </c>
      <c r="G1456" s="74" t="str">
        <f t="shared" si="95"/>
        <v>BG</v>
      </c>
      <c r="H1456" s="7">
        <v>12.1</v>
      </c>
      <c r="I1456" s="2" t="str">
        <f t="shared" si="96"/>
        <v>50192902</v>
      </c>
      <c r="J1456" s="10" t="s">
        <v>124</v>
      </c>
    </row>
    <row r="1457" spans="1:10" ht="25.5">
      <c r="A1457" s="9" t="s">
        <v>37</v>
      </c>
      <c r="B1457" s="2" t="s">
        <v>34</v>
      </c>
      <c r="C1457" s="2">
        <v>3156</v>
      </c>
      <c r="D1457" s="2">
        <v>9</v>
      </c>
      <c r="E1457" s="2">
        <v>1000029781</v>
      </c>
      <c r="F1457" s="2" t="s">
        <v>580</v>
      </c>
      <c r="G1457" s="74" t="str">
        <f t="shared" si="95"/>
        <v>BG</v>
      </c>
      <c r="H1457" s="7">
        <v>8.3000000000000007</v>
      </c>
      <c r="I1457" s="2" t="str">
        <f t="shared" si="96"/>
        <v>50192902</v>
      </c>
      <c r="J1457" s="10" t="s">
        <v>124</v>
      </c>
    </row>
    <row r="1458" spans="1:10" ht="25.5">
      <c r="A1458" s="9" t="s">
        <v>37</v>
      </c>
      <c r="B1458" s="2" t="s">
        <v>34</v>
      </c>
      <c r="C1458" s="2">
        <v>3156</v>
      </c>
      <c r="D1458" s="2">
        <v>10</v>
      </c>
      <c r="E1458" s="2">
        <v>1000029782</v>
      </c>
      <c r="F1458" s="2" t="s">
        <v>581</v>
      </c>
      <c r="G1458" s="74" t="str">
        <f t="shared" si="95"/>
        <v>BG</v>
      </c>
      <c r="H1458" s="7">
        <v>12.1</v>
      </c>
      <c r="I1458" s="2" t="str">
        <f t="shared" si="96"/>
        <v>50192902</v>
      </c>
      <c r="J1458" s="10" t="s">
        <v>124</v>
      </c>
    </row>
    <row r="1459" spans="1:10" ht="76.5">
      <c r="A1459" s="9" t="s">
        <v>37</v>
      </c>
      <c r="B1459" s="2" t="s">
        <v>34</v>
      </c>
      <c r="C1459" s="2">
        <v>3156</v>
      </c>
      <c r="D1459" s="2">
        <v>1</v>
      </c>
      <c r="E1459" s="2" t="str">
        <f>"1000000054"</f>
        <v>1000000054</v>
      </c>
      <c r="F1459" s="4" t="str">
        <f>"MACARONI:100% pure semolina fl~Macaroni Cut 100% pure semolina flour salt &amp; water only container must be water proof, must be purchased in 20# boxes.~CUT, 100% PURE SEMOLINE FLOUR SALT &amp; WATER ONLY CONTAINER MU"</f>
        <v>MACARONI:100% pure semolina fl~Macaroni Cut 100% pure semolina flour salt &amp; water only container must be water proof, must be purchased in 20# boxes.~CUT, 100% PURE SEMOLINE FLOUR SALT &amp; WATER ONLY CONTAINER MU</v>
      </c>
      <c r="G1459" s="74" t="str">
        <f>"BX"</f>
        <v>BX</v>
      </c>
      <c r="H1459" s="7">
        <v>18.25</v>
      </c>
      <c r="I1459" s="2" t="str">
        <f t="shared" si="96"/>
        <v>50192902</v>
      </c>
      <c r="J1459" s="10" t="s">
        <v>124</v>
      </c>
    </row>
    <row r="1460" spans="1:10" ht="25.5">
      <c r="A1460" s="9" t="s">
        <v>37</v>
      </c>
      <c r="B1460" s="2" t="s">
        <v>34</v>
      </c>
      <c r="C1460" s="2">
        <v>3156</v>
      </c>
      <c r="D1460" s="2">
        <v>2</v>
      </c>
      <c r="E1460" s="2" t="str">
        <f>"1000000096"</f>
        <v>1000000096</v>
      </c>
      <c r="F1460" s="4" t="str">
        <f>"PASTA:Spaghetti Long, 100% pure semolina flour salt &amp; water only, 2-10# boxes/case"</f>
        <v>PASTA:Spaghetti Long, 100% pure semolina flour salt &amp; water only, 2-10# boxes/case</v>
      </c>
      <c r="G1460" s="74" t="str">
        <f>"BX"</f>
        <v>BX</v>
      </c>
      <c r="H1460" s="7">
        <v>17.600000000000001</v>
      </c>
      <c r="I1460" s="2" t="str">
        <f t="shared" si="96"/>
        <v>50192902</v>
      </c>
      <c r="J1460" s="10" t="s">
        <v>124</v>
      </c>
    </row>
    <row r="1461" spans="1:10" ht="25.5">
      <c r="A1461" s="9" t="s">
        <v>37</v>
      </c>
      <c r="B1461" s="2" t="s">
        <v>34</v>
      </c>
      <c r="C1461" s="2">
        <v>3156</v>
      </c>
      <c r="D1461" s="2">
        <v>3</v>
      </c>
      <c r="E1461" s="2" t="str">
        <f>"1000001115"</f>
        <v>1000001115</v>
      </c>
      <c r="F1461" s="4" t="str">
        <f>"MACARONI:Elbow-regular - must be purchased in 10lb/bx"</f>
        <v>MACARONI:Elbow-regular - must be purchased in 10lb/bx</v>
      </c>
      <c r="G1461" s="74" t="str">
        <f>"BX"</f>
        <v>BX</v>
      </c>
      <c r="H1461" s="7">
        <v>9.5</v>
      </c>
      <c r="I1461" s="2" t="str">
        <f t="shared" si="96"/>
        <v>50192902</v>
      </c>
      <c r="J1461" s="10" t="s">
        <v>124</v>
      </c>
    </row>
    <row r="1462" spans="1:10" ht="25.5">
      <c r="A1462" s="9" t="s">
        <v>37</v>
      </c>
      <c r="B1462" s="2" t="s">
        <v>34</v>
      </c>
      <c r="C1462" s="2">
        <v>3156</v>
      </c>
      <c r="D1462" s="2">
        <v>4</v>
      </c>
      <c r="E1462" s="2" t="str">
        <f>"1000001496"</f>
        <v>1000001496</v>
      </c>
      <c r="F1462" s="4" t="str">
        <f>"NOODLES: Egg, 10 LB Bag, medium width"</f>
        <v>NOODLES: Egg, 10 LB Bag, medium width</v>
      </c>
      <c r="G1462" s="74" t="str">
        <f>"BG"</f>
        <v>BG</v>
      </c>
      <c r="H1462" s="7">
        <v>13</v>
      </c>
      <c r="I1462" s="2" t="str">
        <f t="shared" si="96"/>
        <v>50192902</v>
      </c>
      <c r="J1462" s="10" t="s">
        <v>124</v>
      </c>
    </row>
    <row r="1463" spans="1:10" ht="25.5">
      <c r="A1463" s="9" t="s">
        <v>37</v>
      </c>
      <c r="B1463" s="2" t="s">
        <v>34</v>
      </c>
      <c r="C1463" s="2">
        <v>3156</v>
      </c>
      <c r="D1463" s="2">
        <v>5</v>
      </c>
      <c r="E1463" s="2" t="str">
        <f>"1000001497"</f>
        <v>1000001497</v>
      </c>
      <c r="F1463" s="4" t="str">
        <f>"NOODLES: Lasagna 12 LB BX"</f>
        <v>NOODLES: Lasagna 12 LB BX</v>
      </c>
      <c r="G1463" s="74" t="str">
        <f>"BG"</f>
        <v>BG</v>
      </c>
      <c r="H1463" s="7">
        <v>12.3</v>
      </c>
      <c r="I1463" s="2" t="str">
        <f t="shared" si="96"/>
        <v>50192902</v>
      </c>
      <c r="J1463" s="10" t="s">
        <v>124</v>
      </c>
    </row>
    <row r="1464" spans="1:10">
      <c r="A1464" s="9" t="s">
        <v>37</v>
      </c>
      <c r="B1464" s="2" t="s">
        <v>34</v>
      </c>
      <c r="C1464" s="2">
        <v>3156</v>
      </c>
      <c r="D1464" s="2">
        <v>6</v>
      </c>
      <c r="E1464" s="2" t="str">
        <f>"1000008974"</f>
        <v>1000008974</v>
      </c>
      <c r="F1464" s="4" t="str">
        <f>"SHIPPING: General Charges"</f>
        <v>SHIPPING: General Charges</v>
      </c>
      <c r="G1464" s="74" t="str">
        <f>"EA"</f>
        <v>EA</v>
      </c>
      <c r="H1464" s="7">
        <v>0.01</v>
      </c>
      <c r="I1464" s="2" t="str">
        <f>"78121603"</f>
        <v>78121603</v>
      </c>
      <c r="J1464" s="10" t="s">
        <v>75</v>
      </c>
    </row>
    <row r="1465" spans="1:10" ht="38.25">
      <c r="A1465" s="9" t="s">
        <v>36</v>
      </c>
      <c r="B1465" s="2" t="s">
        <v>34</v>
      </c>
      <c r="C1465" s="2">
        <v>3125</v>
      </c>
      <c r="D1465" s="2">
        <v>9</v>
      </c>
      <c r="E1465" s="2" t="str">
        <f>"1000000010"</f>
        <v>1000000010</v>
      </c>
      <c r="F1465" s="4" t="str">
        <f>"SALAD DRESSING: Thousand Island, 200 portion control servings, 12 grams, net wt. each, per case."</f>
        <v>SALAD DRESSING: Thousand Island, 200 portion control servings, 12 grams, net wt. each, per case.</v>
      </c>
      <c r="G1465" s="74" t="str">
        <f>"CA"</f>
        <v>CA</v>
      </c>
      <c r="H1465" s="7">
        <v>8</v>
      </c>
      <c r="I1465" s="2" t="str">
        <f>"50171832"</f>
        <v>50171832</v>
      </c>
      <c r="J1465" s="10" t="s">
        <v>115</v>
      </c>
    </row>
    <row r="1466" spans="1:10">
      <c r="A1466" s="9" t="s">
        <v>36</v>
      </c>
      <c r="B1466" s="2" t="s">
        <v>34</v>
      </c>
      <c r="C1466" s="2">
        <v>3125</v>
      </c>
      <c r="D1466" s="2">
        <v>20</v>
      </c>
      <c r="E1466" s="2" t="str">
        <f>"1000000218"</f>
        <v>1000000218</v>
      </c>
      <c r="F1466" s="4" t="str">
        <f>"BAY LEAF: 8 oz can"</f>
        <v>BAY LEAF: 8 oz can</v>
      </c>
      <c r="G1466" s="74" t="str">
        <f>"EA"</f>
        <v>EA</v>
      </c>
      <c r="H1466" s="7">
        <v>11</v>
      </c>
      <c r="I1466" s="2" t="str">
        <f>"50171550"</f>
        <v>50171550</v>
      </c>
      <c r="J1466" s="10" t="s">
        <v>117</v>
      </c>
    </row>
    <row r="1467" spans="1:10">
      <c r="A1467" s="9" t="s">
        <v>36</v>
      </c>
      <c r="B1467" s="2" t="s">
        <v>34</v>
      </c>
      <c r="C1467" s="2">
        <v>3125</v>
      </c>
      <c r="D1467" s="2">
        <v>60</v>
      </c>
      <c r="E1467" s="2" t="str">
        <f>"1000000247"</f>
        <v>1000000247</v>
      </c>
      <c r="F1467" s="4" t="str">
        <f>"FLAVORING:Lemon, Pure, 16oz"</f>
        <v>FLAVORING:Lemon, Pure, 16oz</v>
      </c>
      <c r="G1467" s="74" t="str">
        <f>"EA"</f>
        <v>EA</v>
      </c>
      <c r="H1467" s="7">
        <v>8</v>
      </c>
      <c r="I1467" s="2" t="str">
        <f>"12164502"</f>
        <v>12164502</v>
      </c>
      <c r="J1467" s="10" t="s">
        <v>122</v>
      </c>
    </row>
    <row r="1468" spans="1:10">
      <c r="A1468" s="9" t="s">
        <v>36</v>
      </c>
      <c r="B1468" s="2" t="s">
        <v>34</v>
      </c>
      <c r="C1468" s="2">
        <v>3125</v>
      </c>
      <c r="D1468" s="2">
        <v>47</v>
      </c>
      <c r="E1468" s="2" t="str">
        <f>"1000000259"</f>
        <v>1000000259</v>
      </c>
      <c r="F1468" s="4" t="str">
        <f>"SPICES:Sage, Rubbed, Type III, 6oz"</f>
        <v>SPICES:Sage, Rubbed, Type III, 6oz</v>
      </c>
      <c r="G1468" s="74" t="str">
        <f>"EA"</f>
        <v>EA</v>
      </c>
      <c r="H1468" s="7">
        <v>8</v>
      </c>
      <c r="I1468" s="2" t="str">
        <f>"50171550"</f>
        <v>50171550</v>
      </c>
      <c r="J1468" s="10" t="s">
        <v>117</v>
      </c>
    </row>
    <row r="1469" spans="1:10">
      <c r="A1469" s="9" t="s">
        <v>36</v>
      </c>
      <c r="B1469" s="2" t="s">
        <v>34</v>
      </c>
      <c r="C1469" s="2">
        <v>3125</v>
      </c>
      <c r="D1469" s="2">
        <v>18</v>
      </c>
      <c r="E1469" s="2" t="str">
        <f>"1000000276"</f>
        <v>1000000276</v>
      </c>
      <c r="F1469" s="4" t="str">
        <f>"BASIL: Leaves 1.75 LB can"</f>
        <v>BASIL: Leaves 1.75 LB can</v>
      </c>
      <c r="G1469" s="74" t="str">
        <f>"EA"</f>
        <v>EA</v>
      </c>
      <c r="H1469" s="7">
        <v>17.5</v>
      </c>
      <c r="I1469" s="2" t="str">
        <f>"50171550"</f>
        <v>50171550</v>
      </c>
      <c r="J1469" s="10" t="s">
        <v>117</v>
      </c>
    </row>
    <row r="1470" spans="1:10">
      <c r="A1470" s="9" t="s">
        <v>36</v>
      </c>
      <c r="B1470" s="2" t="s">
        <v>34</v>
      </c>
      <c r="C1470" s="2">
        <v>3125</v>
      </c>
      <c r="D1470" s="2">
        <v>19</v>
      </c>
      <c r="E1470" s="2" t="str">
        <f>"1000000277"</f>
        <v>1000000277</v>
      </c>
      <c r="F1470" s="4" t="str">
        <f>"BASIL: leaves 12 oz - Basil leaves 12 oz."</f>
        <v>BASIL: leaves 12 oz - Basil leaves 12 oz.</v>
      </c>
      <c r="G1470" s="74" t="str">
        <f>"EA"</f>
        <v>EA</v>
      </c>
      <c r="H1470" s="7">
        <v>6</v>
      </c>
      <c r="I1470" s="2" t="str">
        <f>"50171550"</f>
        <v>50171550</v>
      </c>
      <c r="J1470" s="10" t="s">
        <v>117</v>
      </c>
    </row>
    <row r="1471" spans="1:10" ht="51">
      <c r="A1471" s="9" t="s">
        <v>36</v>
      </c>
      <c r="B1471" s="2" t="s">
        <v>34</v>
      </c>
      <c r="C1471" s="2">
        <v>3125</v>
      </c>
      <c r="D1471" s="2">
        <v>41</v>
      </c>
      <c r="E1471" s="2" t="str">
        <f>"1000000317"</f>
        <v>1000000317</v>
      </c>
      <c r="F1471" s="4" t="str">
        <f>"PEPPER:black, ground, type II ~Pepper, black, ground, type II Individual packets, 3000 pkts/case~INDIVIDUAL PACKETS, 3000 PKTS/CASE"</f>
        <v>PEPPER:black, ground, type II ~Pepper, black, ground, type II Individual packets, 3000 pkts/case~INDIVIDUAL PACKETS, 3000 PKTS/CASE</v>
      </c>
      <c r="G1471" s="74" t="str">
        <f>"CA"</f>
        <v>CA</v>
      </c>
      <c r="H1471" s="7">
        <v>12.5</v>
      </c>
      <c r="I1471" s="2" t="str">
        <f>"50171550"</f>
        <v>50171550</v>
      </c>
      <c r="J1471" s="10" t="s">
        <v>117</v>
      </c>
    </row>
    <row r="1472" spans="1:10">
      <c r="A1472" s="9" t="s">
        <v>36</v>
      </c>
      <c r="B1472" s="2" t="s">
        <v>34</v>
      </c>
      <c r="C1472" s="2">
        <v>3125</v>
      </c>
      <c r="D1472" s="2">
        <v>22</v>
      </c>
      <c r="E1472" s="2" t="str">
        <f>"1000000342"</f>
        <v>1000000342</v>
      </c>
      <c r="F1472" s="4" t="str">
        <f>"SPICES:Celery Seed, 1lb Can"</f>
        <v>SPICES:Celery Seed, 1lb Can</v>
      </c>
      <c r="G1472" s="74" t="str">
        <f t="shared" ref="G1472:G1479" si="97">"EA"</f>
        <v>EA</v>
      </c>
      <c r="H1472" s="7">
        <v>6</v>
      </c>
      <c r="I1472" s="2" t="str">
        <f>"50171550"</f>
        <v>50171550</v>
      </c>
      <c r="J1472" s="10" t="s">
        <v>117</v>
      </c>
    </row>
    <row r="1473" spans="1:10">
      <c r="A1473" s="9" t="s">
        <v>36</v>
      </c>
      <c r="B1473" s="2" t="s">
        <v>34</v>
      </c>
      <c r="C1473" s="2">
        <v>3125</v>
      </c>
      <c r="D1473" s="2">
        <v>61</v>
      </c>
      <c r="E1473" s="2" t="str">
        <f>"1000000350"</f>
        <v>1000000350</v>
      </c>
      <c r="F1473" s="4" t="str">
        <f>"FLAVORING:Imitation Vanilla, 16 oz"</f>
        <v>FLAVORING:Imitation Vanilla, 16 oz</v>
      </c>
      <c r="G1473" s="74" t="str">
        <f t="shared" si="97"/>
        <v>EA</v>
      </c>
      <c r="H1473" s="7">
        <v>3.5</v>
      </c>
      <c r="I1473" s="2" t="str">
        <f>"12164502"</f>
        <v>12164502</v>
      </c>
      <c r="J1473" s="10" t="s">
        <v>122</v>
      </c>
    </row>
    <row r="1474" spans="1:10" ht="25.5">
      <c r="A1474" s="9" t="s">
        <v>36</v>
      </c>
      <c r="B1474" s="2" t="s">
        <v>34</v>
      </c>
      <c r="C1474" s="2">
        <v>3125</v>
      </c>
      <c r="D1474" s="2">
        <v>21</v>
      </c>
      <c r="E1474" s="2" t="str">
        <f>"1000000367"</f>
        <v>1000000367</v>
      </c>
      <c r="F1474" s="4" t="str">
        <f>"CELERY SALT:30 oz.~Celery salt 30 oz.~30 OZ/GLASS JARS"</f>
        <v>CELERY SALT:30 oz.~Celery salt 30 oz.~30 OZ/GLASS JARS</v>
      </c>
      <c r="G1474" s="74" t="str">
        <f t="shared" si="97"/>
        <v>EA</v>
      </c>
      <c r="H1474" s="7">
        <v>4</v>
      </c>
      <c r="I1474" s="2" t="str">
        <f>"50171552"</f>
        <v>50171552</v>
      </c>
      <c r="J1474" s="10" t="s">
        <v>118</v>
      </c>
    </row>
    <row r="1475" spans="1:10">
      <c r="A1475" s="9" t="s">
        <v>36</v>
      </c>
      <c r="B1475" s="2" t="s">
        <v>34</v>
      </c>
      <c r="C1475" s="2">
        <v>3125</v>
      </c>
      <c r="D1475" s="2">
        <v>58</v>
      </c>
      <c r="E1475" s="2" t="str">
        <f>"1000000418"</f>
        <v>1000000418</v>
      </c>
      <c r="F1475" s="4" t="str">
        <f>"FLAVORING:Almond, Pure, 16oz"</f>
        <v>FLAVORING:Almond, Pure, 16oz</v>
      </c>
      <c r="G1475" s="74" t="str">
        <f t="shared" si="97"/>
        <v>EA</v>
      </c>
      <c r="H1475" s="7">
        <v>6</v>
      </c>
      <c r="I1475" s="2" t="str">
        <f>"12164502"</f>
        <v>12164502</v>
      </c>
      <c r="J1475" s="10" t="s">
        <v>122</v>
      </c>
    </row>
    <row r="1476" spans="1:10">
      <c r="A1476" s="9" t="s">
        <v>36</v>
      </c>
      <c r="B1476" s="2" t="s">
        <v>34</v>
      </c>
      <c r="C1476" s="2">
        <v>3125</v>
      </c>
      <c r="D1476" s="2">
        <v>59</v>
      </c>
      <c r="E1476" s="2" t="str">
        <f>"1000000419"</f>
        <v>1000000419</v>
      </c>
      <c r="F1476" s="4" t="str">
        <f>"FLAVORING:Banana Pure, 16oz"</f>
        <v>FLAVORING:Banana Pure, 16oz</v>
      </c>
      <c r="G1476" s="74" t="str">
        <f t="shared" si="97"/>
        <v>EA</v>
      </c>
      <c r="H1476" s="7">
        <v>7.5</v>
      </c>
      <c r="I1476" s="2" t="str">
        <f>"12164502"</f>
        <v>12164502</v>
      </c>
      <c r="J1476" s="10" t="s">
        <v>122</v>
      </c>
    </row>
    <row r="1477" spans="1:10">
      <c r="A1477" s="9" t="s">
        <v>36</v>
      </c>
      <c r="B1477" s="2" t="s">
        <v>34</v>
      </c>
      <c r="C1477" s="2">
        <v>3125</v>
      </c>
      <c r="D1477" s="2">
        <v>40</v>
      </c>
      <c r="E1477" s="2" t="str">
        <f>"1000000460"</f>
        <v>1000000460</v>
      </c>
      <c r="F1477" s="4" t="str">
        <f>"SPICES:Paprika, Spanish, 1lb Can"</f>
        <v>SPICES:Paprika, Spanish, 1lb Can</v>
      </c>
      <c r="G1477" s="74" t="str">
        <f t="shared" si="97"/>
        <v>EA</v>
      </c>
      <c r="H1477" s="7">
        <v>5.5</v>
      </c>
      <c r="I1477" s="2" t="str">
        <f>"50171550"</f>
        <v>50171550</v>
      </c>
      <c r="J1477" s="10" t="s">
        <v>117</v>
      </c>
    </row>
    <row r="1478" spans="1:10" ht="25.5">
      <c r="A1478" s="9" t="s">
        <v>36</v>
      </c>
      <c r="B1478" s="2" t="s">
        <v>34</v>
      </c>
      <c r="C1478" s="2">
        <v>3125</v>
      </c>
      <c r="D1478" s="2">
        <v>37</v>
      </c>
      <c r="E1478" s="2" t="str">
        <f>"1000000507"</f>
        <v>1000000507</v>
      </c>
      <c r="F1478" s="4" t="str">
        <f>"SPICES: Onion Powder 20 oz - Pure ground onion powder, 20 oz"</f>
        <v>SPICES: Onion Powder 20 oz - Pure ground onion powder, 20 oz</v>
      </c>
      <c r="G1478" s="74" t="str">
        <f t="shared" si="97"/>
        <v>EA</v>
      </c>
      <c r="H1478" s="7">
        <v>5</v>
      </c>
      <c r="I1478" s="2" t="str">
        <f>"50171550"</f>
        <v>50171550</v>
      </c>
      <c r="J1478" s="10" t="s">
        <v>117</v>
      </c>
    </row>
    <row r="1479" spans="1:10" ht="25.5">
      <c r="A1479" s="9" t="s">
        <v>36</v>
      </c>
      <c r="B1479" s="2" t="s">
        <v>34</v>
      </c>
      <c r="C1479" s="2">
        <v>3125</v>
      </c>
      <c r="D1479" s="2">
        <v>46</v>
      </c>
      <c r="E1479" s="2" t="str">
        <f>"1000000561"</f>
        <v>1000000561</v>
      </c>
      <c r="F1479" s="4" t="str">
        <f>"SPICES: Poultry Seasoning 1 LB - ground poultry seasoning, 1 lb can"</f>
        <v>SPICES: Poultry Seasoning 1 LB - ground poultry seasoning, 1 lb can</v>
      </c>
      <c r="G1479" s="74" t="str">
        <f t="shared" si="97"/>
        <v>EA</v>
      </c>
      <c r="H1479" s="7">
        <v>9</v>
      </c>
      <c r="I1479" s="2" t="str">
        <f>"50171550"</f>
        <v>50171550</v>
      </c>
      <c r="J1479" s="10" t="s">
        <v>117</v>
      </c>
    </row>
    <row r="1480" spans="1:10" ht="25.5">
      <c r="A1480" s="9" t="s">
        <v>36</v>
      </c>
      <c r="B1480" s="2" t="s">
        <v>34</v>
      </c>
      <c r="C1480" s="2">
        <v>3125</v>
      </c>
      <c r="D1480" s="2">
        <v>5</v>
      </c>
      <c r="E1480" s="2" t="str">
        <f>"1000000579"</f>
        <v>1000000579</v>
      </c>
      <c r="F1480" s="4" t="str">
        <f>"DRESSING:French, 12 grams, 200 Portion Control, Net Wt. each per case"</f>
        <v>DRESSING:French, 12 grams, 200 Portion Control, Net Wt. each per case</v>
      </c>
      <c r="G1480" s="74" t="str">
        <f>"CA"</f>
        <v>CA</v>
      </c>
      <c r="H1480" s="7">
        <v>7.6</v>
      </c>
      <c r="I1480" s="2" t="str">
        <f>"50171832"</f>
        <v>50171832</v>
      </c>
      <c r="J1480" s="10" t="s">
        <v>115</v>
      </c>
    </row>
    <row r="1481" spans="1:10">
      <c r="A1481" s="9" t="s">
        <v>36</v>
      </c>
      <c r="B1481" s="2" t="s">
        <v>34</v>
      </c>
      <c r="C1481" s="2">
        <v>3125</v>
      </c>
      <c r="D1481" s="2">
        <v>39</v>
      </c>
      <c r="E1481" s="2" t="str">
        <f>"1000000604"</f>
        <v>1000000604</v>
      </c>
      <c r="F1481" s="4" t="str">
        <f>"SPICES: Oregano, ground 13 oz"</f>
        <v>SPICES: Oregano, ground 13 oz</v>
      </c>
      <c r="G1481" s="74" t="str">
        <f>"EA"</f>
        <v>EA</v>
      </c>
      <c r="H1481" s="7">
        <v>8</v>
      </c>
      <c r="I1481" s="2" t="str">
        <f>"50171550"</f>
        <v>50171550</v>
      </c>
      <c r="J1481" s="10" t="s">
        <v>117</v>
      </c>
    </row>
    <row r="1482" spans="1:10">
      <c r="A1482" s="9" t="s">
        <v>36</v>
      </c>
      <c r="B1482" s="2" t="s">
        <v>34</v>
      </c>
      <c r="C1482" s="2">
        <v>3125</v>
      </c>
      <c r="D1482" s="2">
        <v>36</v>
      </c>
      <c r="E1482" s="2" t="str">
        <f>"1000000647"</f>
        <v>1000000647</v>
      </c>
      <c r="F1482" s="4" t="str">
        <f>"SPICES:Nutmeg, Pure, Ground, 1lb"</f>
        <v>SPICES:Nutmeg, Pure, Ground, 1lb</v>
      </c>
      <c r="G1482" s="74" t="str">
        <f>"EA"</f>
        <v>EA</v>
      </c>
      <c r="H1482" s="7">
        <v>11</v>
      </c>
      <c r="I1482" s="2" t="str">
        <f>"50171550"</f>
        <v>50171550</v>
      </c>
      <c r="J1482" s="10" t="s">
        <v>117</v>
      </c>
    </row>
    <row r="1483" spans="1:10" ht="76.5">
      <c r="A1483" s="9" t="s">
        <v>36</v>
      </c>
      <c r="B1483" s="2" t="s">
        <v>34</v>
      </c>
      <c r="C1483" s="2">
        <v>3125</v>
      </c>
      <c r="D1483" s="2">
        <v>10</v>
      </c>
      <c r="E1483" s="2" t="str">
        <f>"1000000685"</f>
        <v>1000000685</v>
      </c>
      <c r="F1483" s="4" t="str">
        <f>"SAUCE:Taco, Mexican-200 port c~Sauce, enchilada and taco. Taco, mexican, 200 portion control servings, 12 grams net wt. each, per case.~TACO, MEXICAN, 200 PORTION CONTROL SERVINGS, 12 GRAMS, NET W"</f>
        <v>SAUCE:Taco, Mexican-200 port c~Sauce, enchilada and taco. Taco, mexican, 200 portion control servings, 12 grams net wt. each, per case.~TACO, MEXICAN, 200 PORTION CONTROL SERVINGS, 12 GRAMS, NET W</v>
      </c>
      <c r="G1483" s="74" t="str">
        <f>"CA"</f>
        <v>CA</v>
      </c>
      <c r="H1483" s="7">
        <v>7.5</v>
      </c>
      <c r="I1483" s="2" t="str">
        <f>"50171832"</f>
        <v>50171832</v>
      </c>
      <c r="J1483" s="10" t="s">
        <v>115</v>
      </c>
    </row>
    <row r="1484" spans="1:10" ht="63.75">
      <c r="A1484" s="9" t="s">
        <v>36</v>
      </c>
      <c r="B1484" s="2" t="s">
        <v>34</v>
      </c>
      <c r="C1484" s="2">
        <v>3125</v>
      </c>
      <c r="D1484" s="2">
        <v>13</v>
      </c>
      <c r="E1484" s="2" t="str">
        <f>"1000000726"</f>
        <v>1000000726</v>
      </c>
      <c r="F1484" s="4" t="str">
        <f>"JELLY:Assort flav-Deluxe-1/2oz~Jelly, pure Assorted flavors, deluxe jelly, 1/2 oz. packets, 200 pkts/case, 100 Grape and 100 Apple~ASSORTED FLAVORS, DELUXE JELLY, 1/2 OZ. INDIVIDUAL PACKETS,"</f>
        <v>JELLY:Assort flav-Deluxe-1/2oz~Jelly, pure Assorted flavors, deluxe jelly, 1/2 oz. packets, 200 pkts/case, 100 Grape and 100 Apple~ASSORTED FLAVORS, DELUXE JELLY, 1/2 OZ. INDIVIDUAL PACKETS,</v>
      </c>
      <c r="G1484" s="74" t="str">
        <f>"CA"</f>
        <v>CA</v>
      </c>
      <c r="H1484" s="7">
        <v>9.5</v>
      </c>
      <c r="I1484" s="2" t="str">
        <f>"50192401"</f>
        <v>50192401</v>
      </c>
      <c r="J1484" s="10" t="s">
        <v>555</v>
      </c>
    </row>
    <row r="1485" spans="1:10" ht="76.5">
      <c r="A1485" s="9" t="s">
        <v>36</v>
      </c>
      <c r="B1485" s="2" t="s">
        <v>34</v>
      </c>
      <c r="C1485" s="2">
        <v>3125</v>
      </c>
      <c r="D1485" s="2">
        <v>14</v>
      </c>
      <c r="E1485" s="2" t="str">
        <f>"1000000727"</f>
        <v>1000000727</v>
      </c>
      <c r="F1485" s="4" t="str">
        <f>"JELLY:Assort GradeA Fancy-1/2o~Jelly, pure Assorted grade a fancy jelly, 1/2 oz. individual packets, 200 pkts/case, 80 Grape, 80 Mixed Fruit and 40 Apple~ASSORTED GRADE A FANCY JELLY, 1/2 OZ. INDIVIDUAL PACKETS, 20"</f>
        <v>JELLY:Assort GradeA Fancy-1/2o~Jelly, pure Assorted grade a fancy jelly, 1/2 oz. individual packets, 200 pkts/case, 80 Grape, 80 Mixed Fruit and 40 Apple~ASSORTED GRADE A FANCY JELLY, 1/2 OZ. INDIVIDUAL PACKETS, 20</v>
      </c>
      <c r="G1485" s="74" t="str">
        <f>"CA"</f>
        <v>CA</v>
      </c>
      <c r="H1485" s="7">
        <v>10</v>
      </c>
      <c r="I1485" s="2" t="str">
        <f>"50192401"</f>
        <v>50192401</v>
      </c>
      <c r="J1485" s="10" t="s">
        <v>555</v>
      </c>
    </row>
    <row r="1486" spans="1:10" ht="51">
      <c r="A1486" s="9" t="s">
        <v>36</v>
      </c>
      <c r="B1486" s="2" t="s">
        <v>34</v>
      </c>
      <c r="C1486" s="2">
        <v>3125</v>
      </c>
      <c r="D1486" s="2">
        <v>15</v>
      </c>
      <c r="E1486" s="2" t="str">
        <f>"1000000728"</f>
        <v>1000000728</v>
      </c>
      <c r="F1486" s="4" t="str">
        <f>"JELLY:Grape-US GradeA-1/20zpkt~Jelly, pure Grape, u.s. grade a, 1/2 oz. pkt. - 200 pkts/case~GRAPE, U.S. GRADE A, 1/2 OZ. PKT. - 200 PKTS/CASE"</f>
        <v>JELLY:Grape-US GradeA-1/20zpkt~Jelly, pure Grape, u.s. grade a, 1/2 oz. pkt. - 200 pkts/case~GRAPE, U.S. GRADE A, 1/2 OZ. PKT. - 200 PKTS/CASE</v>
      </c>
      <c r="G1486" s="74" t="str">
        <f>"CA"</f>
        <v>CA</v>
      </c>
      <c r="H1486" s="7">
        <v>8.5</v>
      </c>
      <c r="I1486" s="2" t="str">
        <f>"50192401"</f>
        <v>50192401</v>
      </c>
      <c r="J1486" s="10" t="s">
        <v>555</v>
      </c>
    </row>
    <row r="1487" spans="1:10" ht="38.25">
      <c r="A1487" s="9" t="s">
        <v>36</v>
      </c>
      <c r="B1487" s="2" t="s">
        <v>34</v>
      </c>
      <c r="C1487" s="2">
        <v>3125</v>
      </c>
      <c r="D1487" s="2">
        <v>11</v>
      </c>
      <c r="E1487" s="2" t="str">
        <f>"1000000785"</f>
        <v>1000000785</v>
      </c>
      <c r="F1487" s="4" t="str">
        <f>"JELLY: Apple/Grape asst 200/CA - Pure Reduced calorie, portion cups, 12 grams, 200/CA. Apple/Grape assortment."</f>
        <v>JELLY: Apple/Grape asst 200/CA - Pure Reduced calorie, portion cups, 12 grams, 200/CA. Apple/Grape assortment.</v>
      </c>
      <c r="G1487" s="74" t="str">
        <f>"CA"</f>
        <v>CA</v>
      </c>
      <c r="H1487" s="7">
        <v>11</v>
      </c>
      <c r="I1487" s="2" t="str">
        <f>"50192401"</f>
        <v>50192401</v>
      </c>
      <c r="J1487" s="10" t="s">
        <v>555</v>
      </c>
    </row>
    <row r="1488" spans="1:10" ht="38.25">
      <c r="A1488" s="9" t="s">
        <v>36</v>
      </c>
      <c r="B1488" s="2" t="s">
        <v>34</v>
      </c>
      <c r="C1488" s="2">
        <v>3125</v>
      </c>
      <c r="D1488" s="2">
        <v>50</v>
      </c>
      <c r="E1488" s="2" t="str">
        <f>"1000000921"</f>
        <v>1000000921</v>
      </c>
      <c r="F1488" s="4" t="str">
        <f>"SEASONING:blended, w/salt 25 l~Seasonings, blended, w/salt 25 lb.~25 LB."</f>
        <v>SEASONING:blended, w/salt 25 l~Seasonings, blended, w/salt 25 lb.~25 LB.</v>
      </c>
      <c r="G1488" s="74" t="str">
        <f>"EA"</f>
        <v>EA</v>
      </c>
      <c r="H1488" s="7">
        <v>56</v>
      </c>
      <c r="I1488" s="2" t="str">
        <f>"50171550"</f>
        <v>50171550</v>
      </c>
      <c r="J1488" s="10" t="s">
        <v>117</v>
      </c>
    </row>
    <row r="1489" spans="1:10">
      <c r="A1489" s="9" t="s">
        <v>36</v>
      </c>
      <c r="B1489" s="2" t="s">
        <v>34</v>
      </c>
      <c r="C1489" s="2">
        <v>3125</v>
      </c>
      <c r="D1489" s="2">
        <v>49</v>
      </c>
      <c r="E1489" s="2" t="str">
        <f>"1000000922"</f>
        <v>1000000922</v>
      </c>
      <c r="F1489" s="4" t="str">
        <f>"SEASONING: blended w/salt 36 oz"</f>
        <v>SEASONING: blended w/salt 36 oz</v>
      </c>
      <c r="G1489" s="74" t="str">
        <f>"EA"</f>
        <v>EA</v>
      </c>
      <c r="H1489" s="7">
        <v>7</v>
      </c>
      <c r="I1489" s="2" t="str">
        <f>"50171550"</f>
        <v>50171550</v>
      </c>
      <c r="J1489" s="10" t="s">
        <v>117</v>
      </c>
    </row>
    <row r="1490" spans="1:10" ht="25.5">
      <c r="A1490" s="9" t="s">
        <v>36</v>
      </c>
      <c r="B1490" s="2" t="s">
        <v>34</v>
      </c>
      <c r="C1490" s="2">
        <v>3125</v>
      </c>
      <c r="D1490" s="2">
        <v>43</v>
      </c>
      <c r="E1490" s="2" t="str">
        <f>"1000000939"</f>
        <v>1000000939</v>
      </c>
      <c r="F1490" s="4" t="str">
        <f>"PEPPER:Black, Ground, Pure. 1 lb/container. Type II"</f>
        <v>PEPPER:Black, Ground, Pure. 1 lb/container. Type II</v>
      </c>
      <c r="G1490" s="74" t="str">
        <f>"EA"</f>
        <v>EA</v>
      </c>
      <c r="H1490" s="7">
        <v>9</v>
      </c>
      <c r="I1490" s="2" t="str">
        <f>"50171550"</f>
        <v>50171550</v>
      </c>
      <c r="J1490" s="10" t="s">
        <v>117</v>
      </c>
    </row>
    <row r="1491" spans="1:10" ht="38.25">
      <c r="A1491" s="9" t="s">
        <v>36</v>
      </c>
      <c r="B1491" s="2" t="s">
        <v>34</v>
      </c>
      <c r="C1491" s="2">
        <v>3125</v>
      </c>
      <c r="D1491" s="2">
        <v>56</v>
      </c>
      <c r="E1491" s="2" t="str">
        <f>"1000000978"</f>
        <v>1000000978</v>
      </c>
      <c r="F1491" s="4" t="str">
        <f>"SPLENDA:Packets, 2000 epr case~Splenda Packets, 2000 epr case~Splenda Packets, 2000 epr case"</f>
        <v>SPLENDA:Packets, 2000 epr case~Splenda Packets, 2000 epr case~Splenda Packets, 2000 epr case</v>
      </c>
      <c r="G1491" s="74" t="str">
        <f>"CA"</f>
        <v>CA</v>
      </c>
      <c r="H1491" s="7">
        <v>36</v>
      </c>
      <c r="I1491" s="2" t="str">
        <f>"50161509"</f>
        <v>50161509</v>
      </c>
      <c r="J1491" s="10" t="s">
        <v>120</v>
      </c>
    </row>
    <row r="1492" spans="1:10" ht="38.25">
      <c r="A1492" s="9" t="s">
        <v>36</v>
      </c>
      <c r="B1492" s="2" t="s">
        <v>34</v>
      </c>
      <c r="C1492" s="2">
        <v>3125</v>
      </c>
      <c r="D1492" s="2">
        <v>54</v>
      </c>
      <c r="E1492" s="2" t="str">
        <f>"1000001018"</f>
        <v>1000001018</v>
      </c>
      <c r="F1492" s="4" t="str">
        <f>"SUGAR:White Refined Granulated, Type 1 (A), individual packet, 1/8 oz. - 2000 pkts/case. Beet or Cain."</f>
        <v>SUGAR:White Refined Granulated, Type 1 (A), individual packet, 1/8 oz. - 2000 pkts/case. Beet or Cain.</v>
      </c>
      <c r="G1492" s="74" t="str">
        <f>"CA"</f>
        <v>CA</v>
      </c>
      <c r="H1492" s="7">
        <v>15</v>
      </c>
      <c r="I1492" s="2" t="str">
        <f>"50161509"</f>
        <v>50161509</v>
      </c>
      <c r="J1492" s="10" t="s">
        <v>120</v>
      </c>
    </row>
    <row r="1493" spans="1:10">
      <c r="A1493" s="9" t="s">
        <v>36</v>
      </c>
      <c r="B1493" s="2" t="s">
        <v>34</v>
      </c>
      <c r="C1493" s="2">
        <v>3125</v>
      </c>
      <c r="D1493" s="2">
        <v>27</v>
      </c>
      <c r="E1493" s="2" t="str">
        <f>"1000001158"</f>
        <v>1000001158</v>
      </c>
      <c r="F1493" s="4" t="str">
        <f>"SPICES: Cream of Tarter 28 oz can"</f>
        <v>SPICES: Cream of Tarter 28 oz can</v>
      </c>
      <c r="G1493" s="74" t="str">
        <f>"EA"</f>
        <v>EA</v>
      </c>
      <c r="H1493" s="7">
        <v>10.5</v>
      </c>
      <c r="I1493" s="2" t="str">
        <f>"50171550"</f>
        <v>50171550</v>
      </c>
      <c r="J1493" s="10" t="s">
        <v>117</v>
      </c>
    </row>
    <row r="1494" spans="1:10" ht="38.25">
      <c r="A1494" s="9" t="s">
        <v>36</v>
      </c>
      <c r="B1494" s="2" t="s">
        <v>34</v>
      </c>
      <c r="C1494" s="2">
        <v>3125</v>
      </c>
      <c r="D1494" s="2">
        <v>6</v>
      </c>
      <c r="E1494" s="2" t="str">
        <f>"1000001163"</f>
        <v>1000001163</v>
      </c>
      <c r="F1494" s="4" t="str">
        <f>"SALAD DRESSING:Italian-200 portion control servings, 12 grams, net wt. each, per case"</f>
        <v>SALAD DRESSING:Italian-200 portion control servings, 12 grams, net wt. each, per case</v>
      </c>
      <c r="G1494" s="74" t="str">
        <f>"CA"</f>
        <v>CA</v>
      </c>
      <c r="H1494" s="7">
        <v>6.9</v>
      </c>
      <c r="I1494" s="2" t="str">
        <f>"50171832"</f>
        <v>50171832</v>
      </c>
      <c r="J1494" s="10" t="s">
        <v>115</v>
      </c>
    </row>
    <row r="1495" spans="1:10" ht="25.5">
      <c r="A1495" s="9" t="s">
        <v>36</v>
      </c>
      <c r="B1495" s="2" t="s">
        <v>34</v>
      </c>
      <c r="C1495" s="2">
        <v>3125</v>
      </c>
      <c r="D1495" s="2">
        <v>3</v>
      </c>
      <c r="E1495" s="2" t="str">
        <f>"1000001169"</f>
        <v>1000001169</v>
      </c>
      <c r="F1495" s="4" t="str">
        <f>"CONDIMENTS:Mayonnaise,12 grams, 200 Portion Control, Net Wt. each per case"</f>
        <v>CONDIMENTS:Mayonnaise,12 grams, 200 Portion Control, Net Wt. each per case</v>
      </c>
      <c r="G1495" s="74" t="str">
        <f>"CA"</f>
        <v>CA</v>
      </c>
      <c r="H1495" s="7">
        <v>8</v>
      </c>
      <c r="I1495" s="2" t="str">
        <f>"50171830"</f>
        <v>50171830</v>
      </c>
      <c r="J1495" s="10" t="s">
        <v>114</v>
      </c>
    </row>
    <row r="1496" spans="1:10" ht="63.75">
      <c r="A1496" s="9" t="s">
        <v>36</v>
      </c>
      <c r="B1496" s="2" t="s">
        <v>34</v>
      </c>
      <c r="C1496" s="2">
        <v>3125</v>
      </c>
      <c r="D1496" s="2">
        <v>7</v>
      </c>
      <c r="E1496" s="2" t="str">
        <f>"1000001335"</f>
        <v>1000001335</v>
      </c>
      <c r="F1496" s="4" t="str">
        <f>"SALAD DRESSING:201 portion cnt~Dressing, salad Salad dressing, 200 portion control servings, 12 grams, net wt. each, per case.~SALAD DRESSING, 200 PORTION CONTROL SERVINGS, 12 GRAMS, NET"</f>
        <v>SALAD DRESSING:201 portion cnt~Dressing, salad Salad dressing, 200 portion control servings, 12 grams, net wt. each, per case.~SALAD DRESSING, 200 PORTION CONTROL SERVINGS, 12 GRAMS, NET</v>
      </c>
      <c r="G1496" s="74" t="str">
        <f>"CA"</f>
        <v>CA</v>
      </c>
      <c r="H1496" s="7">
        <v>8</v>
      </c>
      <c r="I1496" s="2" t="str">
        <f>"50171832"</f>
        <v>50171832</v>
      </c>
      <c r="J1496" s="10" t="s">
        <v>115</v>
      </c>
    </row>
    <row r="1497" spans="1:10" ht="25.5">
      <c r="A1497" s="9" t="s">
        <v>36</v>
      </c>
      <c r="B1497" s="2" t="s">
        <v>34</v>
      </c>
      <c r="C1497" s="2">
        <v>3125</v>
      </c>
      <c r="D1497" s="2">
        <v>1</v>
      </c>
      <c r="E1497" s="2" t="str">
        <f>"1000001336"</f>
        <v>1000001336</v>
      </c>
      <c r="F1497" s="4" t="str">
        <f>"CONDIMENTS:Ketchup,12 grams, 200 Portion Control, Net Wt. each per case"</f>
        <v>CONDIMENTS:Ketchup,12 grams, 200 Portion Control, Net Wt. each per case</v>
      </c>
      <c r="G1497" s="74" t="str">
        <f>"CA"</f>
        <v>CA</v>
      </c>
      <c r="H1497" s="7">
        <v>5.7</v>
      </c>
      <c r="I1497" s="2" t="str">
        <f>"50171830"</f>
        <v>50171830</v>
      </c>
      <c r="J1497" s="10" t="s">
        <v>114</v>
      </c>
    </row>
    <row r="1498" spans="1:10" ht="25.5">
      <c r="A1498" s="9" t="s">
        <v>36</v>
      </c>
      <c r="B1498" s="2" t="s">
        <v>34</v>
      </c>
      <c r="C1498" s="2">
        <v>3125</v>
      </c>
      <c r="D1498" s="2">
        <v>8</v>
      </c>
      <c r="E1498" s="2" t="str">
        <f>"1000001343"</f>
        <v>1000001343</v>
      </c>
      <c r="F1498" s="4" t="str">
        <f>"SALAD DRESSING:Ranch, 12 grams, 200 Portion Control, Net Wt. each per case"</f>
        <v>SALAD DRESSING:Ranch, 12 grams, 200 Portion Control, Net Wt. each per case</v>
      </c>
      <c r="G1498" s="74" t="str">
        <f>"CA"</f>
        <v>CA</v>
      </c>
      <c r="H1498" s="7">
        <v>8.6999999999999993</v>
      </c>
      <c r="I1498" s="2" t="str">
        <f>"50171832"</f>
        <v>50171832</v>
      </c>
      <c r="J1498" s="10" t="s">
        <v>115</v>
      </c>
    </row>
    <row r="1499" spans="1:10">
      <c r="A1499" s="9" t="s">
        <v>36</v>
      </c>
      <c r="B1499" s="2" t="s">
        <v>34</v>
      </c>
      <c r="C1499" s="2">
        <v>3125</v>
      </c>
      <c r="D1499" s="2">
        <v>33</v>
      </c>
      <c r="E1499" s="2" t="str">
        <f>"1000001390"</f>
        <v>1000001390</v>
      </c>
      <c r="F1499" s="4" t="str">
        <f>"SPICES:Ginger, Pure Ground,1lb"</f>
        <v>SPICES:Ginger, Pure Ground,1lb</v>
      </c>
      <c r="G1499" s="74" t="str">
        <f>"EA"</f>
        <v>EA</v>
      </c>
      <c r="H1499" s="7">
        <v>8</v>
      </c>
      <c r="I1499" s="2" t="str">
        <f>"50171550"</f>
        <v>50171550</v>
      </c>
      <c r="J1499" s="10" t="s">
        <v>117</v>
      </c>
    </row>
    <row r="1500" spans="1:10" ht="51">
      <c r="A1500" s="9" t="s">
        <v>36</v>
      </c>
      <c r="B1500" s="2" t="s">
        <v>34</v>
      </c>
      <c r="C1500" s="2">
        <v>3125</v>
      </c>
      <c r="D1500" s="2">
        <v>16</v>
      </c>
      <c r="E1500" s="2" t="str">
        <f>"1000001436"</f>
        <v>1000001436</v>
      </c>
      <c r="F1500" s="4" t="str">
        <f>"JELLY:Strawberry-US GradeA-1/2~Preserves or jams Strawberry, u.s. grade a, 1/2 oz. packet - 200 pkts/case~STRAWBERRY, U.S. GRADE A, 1/2 OZ. PACKET - 200 PKTS/CASE"</f>
        <v>JELLY:Strawberry-US GradeA-1/2~Preserves or jams Strawberry, u.s. grade a, 1/2 oz. packet - 200 pkts/case~STRAWBERRY, U.S. GRADE A, 1/2 OZ. PACKET - 200 PKTS/CASE</v>
      </c>
      <c r="G1500" s="74" t="str">
        <f>"CA"</f>
        <v>CA</v>
      </c>
      <c r="H1500" s="7">
        <v>13</v>
      </c>
      <c r="I1500" s="2" t="str">
        <f>"50192401"</f>
        <v>50192401</v>
      </c>
      <c r="J1500" s="10" t="s">
        <v>555</v>
      </c>
    </row>
    <row r="1501" spans="1:10" ht="63.75">
      <c r="A1501" s="9" t="s">
        <v>36</v>
      </c>
      <c r="B1501" s="2" t="s">
        <v>34</v>
      </c>
      <c r="C1501" s="2">
        <v>3125</v>
      </c>
      <c r="D1501" s="2">
        <v>34</v>
      </c>
      <c r="E1501" s="2" t="str">
        <f>"1000001453"</f>
        <v>1000001453</v>
      </c>
      <c r="F1501" s="4" t="str">
        <f>"SPICES: Lemon Pepper 28 oz - Lemon &amp; pepper blend - spices include: salt, black pepper, citric acid, onion, sugar, garlic, celery seed, maltodextrin, lemon juice solids, lemon oil - 28 oz container"</f>
        <v>SPICES: Lemon Pepper 28 oz - Lemon &amp; pepper blend - spices include: salt, black pepper, citric acid, onion, sugar, garlic, celery seed, maltodextrin, lemon juice solids, lemon oil - 28 oz container</v>
      </c>
      <c r="G1501" s="74" t="str">
        <f>"EA"</f>
        <v>EA</v>
      </c>
      <c r="H1501" s="7">
        <v>11</v>
      </c>
      <c r="I1501" s="2" t="str">
        <f>"50171550"</f>
        <v>50171550</v>
      </c>
      <c r="J1501" s="10" t="s">
        <v>117</v>
      </c>
    </row>
    <row r="1502" spans="1:10">
      <c r="A1502" s="9" t="s">
        <v>36</v>
      </c>
      <c r="B1502" s="2" t="s">
        <v>34</v>
      </c>
      <c r="C1502" s="2">
        <v>3125</v>
      </c>
      <c r="D1502" s="2">
        <v>52</v>
      </c>
      <c r="E1502" s="2" t="str">
        <f>"1000001487"</f>
        <v>1000001487</v>
      </c>
      <c r="F1502" s="4" t="str">
        <f>"SPICES:Thyme, Ground, 11oz"</f>
        <v>SPICES:Thyme, Ground, 11oz</v>
      </c>
      <c r="G1502" s="74" t="str">
        <f>"EA"</f>
        <v>EA</v>
      </c>
      <c r="H1502" s="7">
        <v>9</v>
      </c>
      <c r="I1502" s="2" t="str">
        <f>"50171550"</f>
        <v>50171550</v>
      </c>
      <c r="J1502" s="10" t="s">
        <v>117</v>
      </c>
    </row>
    <row r="1503" spans="1:10">
      <c r="A1503" s="9" t="s">
        <v>36</v>
      </c>
      <c r="B1503" s="2" t="s">
        <v>34</v>
      </c>
      <c r="C1503" s="2">
        <v>3125</v>
      </c>
      <c r="D1503" s="2">
        <v>51</v>
      </c>
      <c r="E1503" s="2" t="str">
        <f>"1000001567"</f>
        <v>1000001567</v>
      </c>
      <c r="F1503" s="4" t="str">
        <f>"TENDERIZER:25 lb.~Tenderizer 25 lb."</f>
        <v>TENDERIZER:25 lb.~Tenderizer 25 lb.</v>
      </c>
      <c r="G1503" s="74" t="str">
        <f>"EA"</f>
        <v>EA</v>
      </c>
      <c r="H1503" s="7">
        <v>70</v>
      </c>
      <c r="I1503" s="2" t="str">
        <f>"50171550"</f>
        <v>50171550</v>
      </c>
      <c r="J1503" s="10" t="s">
        <v>117</v>
      </c>
    </row>
    <row r="1504" spans="1:10" ht="25.5">
      <c r="A1504" s="9" t="s">
        <v>36</v>
      </c>
      <c r="B1504" s="2" t="s">
        <v>34</v>
      </c>
      <c r="C1504" s="2">
        <v>3125</v>
      </c>
      <c r="D1504" s="2">
        <v>28</v>
      </c>
      <c r="E1504" s="2" t="str">
        <f>"1000001575"</f>
        <v>1000001575</v>
      </c>
      <c r="F1504" s="4" t="str">
        <f>"SPICES: Cumin 1 lb can, ground - Cumin (Comino), Pure Ground, 1 lb can"</f>
        <v>SPICES: Cumin 1 lb can, ground - Cumin (Comino), Pure Ground, 1 lb can</v>
      </c>
      <c r="G1504" s="74" t="str">
        <f>"EA"</f>
        <v>EA</v>
      </c>
      <c r="H1504" s="7">
        <v>5.75</v>
      </c>
      <c r="I1504" s="2" t="str">
        <f>"50171550"</f>
        <v>50171550</v>
      </c>
      <c r="J1504" s="10" t="s">
        <v>117</v>
      </c>
    </row>
    <row r="1505" spans="1:10" ht="25.5">
      <c r="A1505" s="9" t="s">
        <v>36</v>
      </c>
      <c r="B1505" s="2" t="s">
        <v>34</v>
      </c>
      <c r="C1505" s="2">
        <v>3125</v>
      </c>
      <c r="D1505" s="2">
        <v>29</v>
      </c>
      <c r="E1505" s="2" t="str">
        <f>"1000001644"</f>
        <v>1000001644</v>
      </c>
      <c r="F1505" s="4" t="str">
        <f>"CURRY:powder, pure, ground 1 l~Curry powder, pure, ground 1 lb can~1 LB CAN"</f>
        <v>CURRY:powder, pure, ground 1 l~Curry powder, pure, ground 1 lb can~1 LB CAN</v>
      </c>
      <c r="G1505" s="74" t="str">
        <f>"EA"</f>
        <v>EA</v>
      </c>
      <c r="H1505" s="7">
        <v>10.98</v>
      </c>
      <c r="I1505" s="2" t="str">
        <f>"50171550"</f>
        <v>50171550</v>
      </c>
      <c r="J1505" s="10" t="s">
        <v>117</v>
      </c>
    </row>
    <row r="1506" spans="1:10" ht="51">
      <c r="A1506" s="9" t="s">
        <v>36</v>
      </c>
      <c r="B1506" s="2" t="s">
        <v>34</v>
      </c>
      <c r="C1506" s="2">
        <v>3125</v>
      </c>
      <c r="D1506" s="2">
        <v>48</v>
      </c>
      <c r="E1506" s="2" t="str">
        <f>"1000001676"</f>
        <v>1000001676</v>
      </c>
      <c r="F1506" s="4" t="str">
        <f>"SALT:iodized, individual packe~Salt, iodized Salt packets, individual packets, 3,000/case.~SALT PACKETS, INDIVIDUAL, 3/1M/CASE"</f>
        <v>SALT:iodized, individual packe~Salt, iodized Salt packets, individual packets, 3,000/case.~SALT PACKETS, INDIVIDUAL, 3/1M/CASE</v>
      </c>
      <c r="G1506" s="74" t="str">
        <f>"CA"</f>
        <v>CA</v>
      </c>
      <c r="H1506" s="7">
        <v>5.5</v>
      </c>
      <c r="I1506" s="2" t="str">
        <f>"50171551"</f>
        <v>50171551</v>
      </c>
      <c r="J1506" s="10" t="s">
        <v>119</v>
      </c>
    </row>
    <row r="1507" spans="1:10" ht="25.5">
      <c r="A1507" s="9" t="s">
        <v>36</v>
      </c>
      <c r="B1507" s="2" t="s">
        <v>34</v>
      </c>
      <c r="C1507" s="2">
        <v>3125</v>
      </c>
      <c r="D1507" s="2">
        <v>12</v>
      </c>
      <c r="E1507" s="2" t="str">
        <f>"1000001678"</f>
        <v>1000001678</v>
      </c>
      <c r="F1507" s="4" t="str">
        <f>"JELLY: Apple, Pure u.s. grade A 1/2 oz. pkg. - 200 pkgs/case"</f>
        <v>JELLY: Apple, Pure u.s. grade A 1/2 oz. pkg. - 200 pkgs/case</v>
      </c>
      <c r="G1507" s="74" t="str">
        <f>"CA"</f>
        <v>CA</v>
      </c>
      <c r="H1507" s="7">
        <v>7.4</v>
      </c>
      <c r="I1507" s="2" t="str">
        <f>"50192401"</f>
        <v>50192401</v>
      </c>
      <c r="J1507" s="10" t="s">
        <v>555</v>
      </c>
    </row>
    <row r="1508" spans="1:10">
      <c r="A1508" s="9" t="s">
        <v>36</v>
      </c>
      <c r="B1508" s="2" t="s">
        <v>34</v>
      </c>
      <c r="C1508" s="2">
        <v>3125</v>
      </c>
      <c r="D1508" s="2">
        <v>44</v>
      </c>
      <c r="E1508" s="2" t="str">
        <f>"1000001734"</f>
        <v>1000001734</v>
      </c>
      <c r="F1508" s="4" t="str">
        <f>"PEPPER:Black, ground, pure. 5 lb. can"</f>
        <v>PEPPER:Black, ground, pure. 5 lb. can</v>
      </c>
      <c r="G1508" s="74" t="str">
        <f t="shared" ref="G1508:G1514" si="98">"EA"</f>
        <v>EA</v>
      </c>
      <c r="H1508" s="7">
        <v>39.96</v>
      </c>
      <c r="I1508" s="2" t="str">
        <f t="shared" ref="I1508:I1513" si="99">"50171550"</f>
        <v>50171550</v>
      </c>
      <c r="J1508" s="10" t="s">
        <v>117</v>
      </c>
    </row>
    <row r="1509" spans="1:10" ht="38.25">
      <c r="A1509" s="9" t="s">
        <v>36</v>
      </c>
      <c r="B1509" s="2" t="s">
        <v>34</v>
      </c>
      <c r="C1509" s="2">
        <v>3125</v>
      </c>
      <c r="D1509" s="2">
        <v>42</v>
      </c>
      <c r="E1509" s="2" t="str">
        <f>"1000001735"</f>
        <v>1000001735</v>
      </c>
      <c r="F1509" s="4" t="str">
        <f>"PEPPER:black, ground, type II ~Pepper, black, ground, type II 25 lb. carton~25 LB. CARTON"</f>
        <v>PEPPER:black, ground, type II ~Pepper, black, ground, type II 25 lb. carton~25 LB. CARTON</v>
      </c>
      <c r="G1509" s="74" t="str">
        <f t="shared" si="98"/>
        <v>EA</v>
      </c>
      <c r="H1509" s="7">
        <v>190</v>
      </c>
      <c r="I1509" s="2" t="str">
        <f t="shared" si="99"/>
        <v>50171550</v>
      </c>
      <c r="J1509" s="10" t="s">
        <v>117</v>
      </c>
    </row>
    <row r="1510" spans="1:10">
      <c r="A1510" s="9" t="s">
        <v>36</v>
      </c>
      <c r="B1510" s="2" t="s">
        <v>34</v>
      </c>
      <c r="C1510" s="2">
        <v>3125</v>
      </c>
      <c r="D1510" s="2">
        <v>25</v>
      </c>
      <c r="E1510" s="2" t="str">
        <f>"1000001773"</f>
        <v>1000001773</v>
      </c>
      <c r="F1510" s="4" t="str">
        <f>"SPICES:Cinnamon, Ground, Pure 16oz"</f>
        <v>SPICES:Cinnamon, Ground, Pure 16oz</v>
      </c>
      <c r="G1510" s="74" t="str">
        <f t="shared" si="98"/>
        <v>EA</v>
      </c>
      <c r="H1510" s="7">
        <v>5.5</v>
      </c>
      <c r="I1510" s="2" t="str">
        <f t="shared" si="99"/>
        <v>50171550</v>
      </c>
      <c r="J1510" s="10" t="s">
        <v>117</v>
      </c>
    </row>
    <row r="1511" spans="1:10">
      <c r="A1511" s="9" t="s">
        <v>36</v>
      </c>
      <c r="B1511" s="2" t="s">
        <v>34</v>
      </c>
      <c r="C1511" s="2">
        <v>3125</v>
      </c>
      <c r="D1511" s="2">
        <v>35</v>
      </c>
      <c r="E1511" s="2" t="str">
        <f>"1000001791"</f>
        <v>1000001791</v>
      </c>
      <c r="F1511" s="4" t="str">
        <f>"MUSTARD:Dry Ground, pure, 1 lb"</f>
        <v>MUSTARD:Dry Ground, pure, 1 lb</v>
      </c>
      <c r="G1511" s="74" t="str">
        <f t="shared" si="98"/>
        <v>EA</v>
      </c>
      <c r="H1511" s="7">
        <v>4</v>
      </c>
      <c r="I1511" s="2" t="str">
        <f t="shared" si="99"/>
        <v>50171550</v>
      </c>
      <c r="J1511" s="10" t="s">
        <v>117</v>
      </c>
    </row>
    <row r="1512" spans="1:10" ht="25.5">
      <c r="A1512" s="9" t="s">
        <v>36</v>
      </c>
      <c r="B1512" s="2" t="s">
        <v>34</v>
      </c>
      <c r="C1512" s="2">
        <v>3125</v>
      </c>
      <c r="D1512" s="2">
        <v>30</v>
      </c>
      <c r="E1512" s="2" t="str">
        <f>"1000001826"</f>
        <v>1000001826</v>
      </c>
      <c r="F1512" s="4" t="str">
        <f>"SPICES: Garlic Powder 20 oz - Pure garlic powder, 20 oz can"</f>
        <v>SPICES: Garlic Powder 20 oz - Pure garlic powder, 20 oz can</v>
      </c>
      <c r="G1512" s="74" t="str">
        <f t="shared" si="98"/>
        <v>EA</v>
      </c>
      <c r="H1512" s="7">
        <v>6</v>
      </c>
      <c r="I1512" s="2" t="str">
        <f t="shared" si="99"/>
        <v>50171550</v>
      </c>
      <c r="J1512" s="10" t="s">
        <v>117</v>
      </c>
    </row>
    <row r="1513" spans="1:10" ht="25.5">
      <c r="A1513" s="9" t="s">
        <v>36</v>
      </c>
      <c r="B1513" s="2" t="s">
        <v>34</v>
      </c>
      <c r="C1513" s="2">
        <v>3125</v>
      </c>
      <c r="D1513" s="2">
        <v>31</v>
      </c>
      <c r="E1513" s="2" t="str">
        <f>"1000001827"</f>
        <v>1000001827</v>
      </c>
      <c r="F1513" s="4" t="str">
        <f>"GARLIC PWDR:pure 30 lb.~Garlic powder, pure 30 lb.~30 LB."</f>
        <v>GARLIC PWDR:pure 30 lb.~Garlic powder, pure 30 lb.~30 LB.</v>
      </c>
      <c r="G1513" s="74" t="str">
        <f t="shared" si="98"/>
        <v>EA</v>
      </c>
      <c r="H1513" s="7">
        <v>168</v>
      </c>
      <c r="I1513" s="2" t="str">
        <f t="shared" si="99"/>
        <v>50171550</v>
      </c>
      <c r="J1513" s="10" t="s">
        <v>117</v>
      </c>
    </row>
    <row r="1514" spans="1:10">
      <c r="A1514" s="9" t="s">
        <v>36</v>
      </c>
      <c r="B1514" s="2" t="s">
        <v>34</v>
      </c>
      <c r="C1514" s="2">
        <v>3125</v>
      </c>
      <c r="D1514" s="2">
        <v>32</v>
      </c>
      <c r="E1514" s="2" t="str">
        <f>"1000001828"</f>
        <v>1000001828</v>
      </c>
      <c r="F1514" s="4" t="str">
        <f>"SPICES: Garlic Salt 40 oz can"</f>
        <v>SPICES: Garlic Salt 40 oz can</v>
      </c>
      <c r="G1514" s="74" t="str">
        <f t="shared" si="98"/>
        <v>EA</v>
      </c>
      <c r="H1514" s="7">
        <v>5.6</v>
      </c>
      <c r="I1514" s="2" t="str">
        <f>"50171551"</f>
        <v>50171551</v>
      </c>
      <c r="J1514" s="10" t="s">
        <v>119</v>
      </c>
    </row>
    <row r="1515" spans="1:10" ht="51">
      <c r="A1515" s="9" t="s">
        <v>36</v>
      </c>
      <c r="B1515" s="2" t="s">
        <v>34</v>
      </c>
      <c r="C1515" s="2">
        <v>3125</v>
      </c>
      <c r="D1515" s="2">
        <v>55</v>
      </c>
      <c r="E1515" s="2" t="str">
        <f>"1000001918"</f>
        <v>1000001918</v>
      </c>
      <c r="F1515" s="4" t="str">
        <f>"SUGAR:substitute Individual pa~Sugar substitute Individual packets, with saccharin, 2000/case 1 gram.~INDIVIDUAL PACKETS, WITH SACCHARIN, 2000/CASE"</f>
        <v>SUGAR:substitute Individual pa~Sugar substitute Individual packets, with saccharin, 2000/case 1 gram.~INDIVIDUAL PACKETS, WITH SACCHARIN, 2000/CASE</v>
      </c>
      <c r="G1515" s="74" t="str">
        <f>"CA"</f>
        <v>CA</v>
      </c>
      <c r="H1515" s="7">
        <v>19.5</v>
      </c>
      <c r="I1515" s="2" t="str">
        <f>"50161509"</f>
        <v>50161509</v>
      </c>
      <c r="J1515" s="10" t="s">
        <v>120</v>
      </c>
    </row>
    <row r="1516" spans="1:10" ht="25.5">
      <c r="A1516" s="9" t="s">
        <v>36</v>
      </c>
      <c r="B1516" s="2" t="s">
        <v>34</v>
      </c>
      <c r="C1516" s="2">
        <v>3125</v>
      </c>
      <c r="D1516" s="2">
        <v>57</v>
      </c>
      <c r="E1516" s="2" t="str">
        <f>"1000003981"</f>
        <v>1000003981</v>
      </c>
      <c r="F1516" s="4" t="str">
        <f>"SYRUP:Sugarcane 1-1/2oz Packet (and blends) Maple, 100 pkts/case"</f>
        <v>SYRUP:Sugarcane 1-1/2oz Packet (and blends) Maple, 100 pkts/case</v>
      </c>
      <c r="G1516" s="74" t="str">
        <f>"CA"</f>
        <v>CA</v>
      </c>
      <c r="H1516" s="7">
        <v>7.5</v>
      </c>
      <c r="I1516" s="2" t="str">
        <f>"50161512"</f>
        <v>50161512</v>
      </c>
      <c r="J1516" s="10" t="s">
        <v>121</v>
      </c>
    </row>
    <row r="1517" spans="1:10" ht="25.5">
      <c r="A1517" s="9" t="s">
        <v>36</v>
      </c>
      <c r="B1517" s="2" t="s">
        <v>34</v>
      </c>
      <c r="C1517" s="2">
        <v>3125</v>
      </c>
      <c r="D1517" s="2">
        <v>23</v>
      </c>
      <c r="E1517" s="2" t="str">
        <f>"1000004189"</f>
        <v>1000004189</v>
      </c>
      <c r="F1517" s="4" t="str">
        <f>"SPICES: Chili Powder, 1 LB can - Pure Ground Light Chili Powder in 1 lb can"</f>
        <v>SPICES: Chili Powder, 1 LB can - Pure Ground Light Chili Powder in 1 lb can</v>
      </c>
      <c r="G1517" s="74" t="str">
        <f>"EA"</f>
        <v>EA</v>
      </c>
      <c r="H1517" s="7">
        <v>5</v>
      </c>
      <c r="I1517" s="2" t="str">
        <f>"50171552"</f>
        <v>50171552</v>
      </c>
      <c r="J1517" s="10" t="s">
        <v>118</v>
      </c>
    </row>
    <row r="1518" spans="1:10">
      <c r="A1518" s="9" t="s">
        <v>36</v>
      </c>
      <c r="B1518" s="2" t="s">
        <v>34</v>
      </c>
      <c r="C1518" s="2">
        <v>3125</v>
      </c>
      <c r="D1518" s="2">
        <v>24</v>
      </c>
      <c r="E1518" s="2" t="str">
        <f>"1000004190"</f>
        <v>1000004190</v>
      </c>
      <c r="F1518" s="4" t="str">
        <f>"CHILI PWDR:5 lb.~Chili powder"</f>
        <v>CHILI PWDR:5 lb.~Chili powder</v>
      </c>
      <c r="G1518" s="74" t="str">
        <f>"EA"</f>
        <v>EA</v>
      </c>
      <c r="H1518" s="7">
        <v>26</v>
      </c>
      <c r="I1518" s="2" t="str">
        <f>"50171552"</f>
        <v>50171552</v>
      </c>
      <c r="J1518" s="10" t="s">
        <v>118</v>
      </c>
    </row>
    <row r="1519" spans="1:10" ht="38.25">
      <c r="A1519" s="9" t="s">
        <v>36</v>
      </c>
      <c r="B1519" s="2" t="s">
        <v>34</v>
      </c>
      <c r="C1519" s="2">
        <v>3125</v>
      </c>
      <c r="D1519" s="2">
        <v>2</v>
      </c>
      <c r="E1519" s="2" t="str">
        <f>"1000009551"</f>
        <v>1000009551</v>
      </c>
      <c r="F1519" s="4" t="str">
        <f>"CONDIMENTS: Mustard 5.5 g 200/CA - Prepared mustard 5.5 gram packets, 200 packets per case."</f>
        <v>CONDIMENTS: Mustard 5.5 g 200/CA - Prepared mustard 5.5 gram packets, 200 packets per case.</v>
      </c>
      <c r="G1519" s="74" t="str">
        <f>"CA"</f>
        <v>CA</v>
      </c>
      <c r="H1519" s="7">
        <v>4.3499999999999996</v>
      </c>
      <c r="I1519" s="2" t="str">
        <f>"50171830"</f>
        <v>50171830</v>
      </c>
      <c r="J1519" s="10" t="s">
        <v>114</v>
      </c>
    </row>
    <row r="1520" spans="1:10" ht="38.25">
      <c r="A1520" s="9" t="s">
        <v>36</v>
      </c>
      <c r="B1520" s="2" t="s">
        <v>34</v>
      </c>
      <c r="C1520" s="2">
        <v>3125</v>
      </c>
      <c r="D1520" s="2">
        <v>4</v>
      </c>
      <c r="E1520" s="2" t="str">
        <f>"1000009552"</f>
        <v>1000009552</v>
      </c>
      <c r="F1520" s="4" t="str">
        <f>"CONDIMENTS: Tartar Sauce, 200 portion control servings, 12 grams net wt each, per case"</f>
        <v>CONDIMENTS: Tartar Sauce, 200 portion control servings, 12 grams net wt each, per case</v>
      </c>
      <c r="G1520" s="74" t="str">
        <f>"CA"</f>
        <v>CA</v>
      </c>
      <c r="H1520" s="7">
        <v>8</v>
      </c>
      <c r="I1520" s="2" t="str">
        <f>"50171830"</f>
        <v>50171830</v>
      </c>
      <c r="J1520" s="10" t="s">
        <v>114</v>
      </c>
    </row>
    <row r="1521" spans="1:10">
      <c r="A1521" s="9" t="s">
        <v>36</v>
      </c>
      <c r="B1521" s="2" t="s">
        <v>34</v>
      </c>
      <c r="C1521" s="2">
        <v>3125</v>
      </c>
      <c r="D1521" s="2">
        <v>26</v>
      </c>
      <c r="E1521" s="2" t="str">
        <f>"1000009553"</f>
        <v>1000009553</v>
      </c>
      <c r="F1521" s="4" t="str">
        <f>"SPICES: Cinnamon, ground, 5lb, pure"</f>
        <v>SPICES: Cinnamon, ground, 5lb, pure</v>
      </c>
      <c r="G1521" s="74" t="str">
        <f>"EA"</f>
        <v>EA</v>
      </c>
      <c r="H1521" s="7">
        <v>27</v>
      </c>
      <c r="I1521" s="2" t="str">
        <f>"50171550"</f>
        <v>50171550</v>
      </c>
      <c r="J1521" s="10" t="s">
        <v>117</v>
      </c>
    </row>
    <row r="1522" spans="1:10" ht="76.5">
      <c r="A1522" s="9" t="s">
        <v>36</v>
      </c>
      <c r="B1522" s="2" t="s">
        <v>34</v>
      </c>
      <c r="C1522" s="2">
        <v>3125</v>
      </c>
      <c r="D1522" s="2">
        <v>64</v>
      </c>
      <c r="E1522" s="2" t="str">
        <f>"1000024547"</f>
        <v>1000024547</v>
      </c>
      <c r="F1522" s="4" t="str">
        <f>"COFFEE KIT:4Cup/Decaf/Crm150 - 4 Cup Decaffeinated Coffee 150/CA. Premeasured coffee in a filter, two (2) sugar, two (2) sugar substitutes, two (2) creamer, two (2) stir straws and one (1) napkin. 150 kits per case"</f>
        <v>COFFEE KIT:4Cup/Decaf/Crm150 - 4 Cup Decaffeinated Coffee 150/CA. Premeasured coffee in a filter, two (2) sugar, two (2) sugar substitutes, two (2) creamer, two (2) stir straws and one (1) napkin. 150 kits per case</v>
      </c>
      <c r="G1522" s="74" t="str">
        <f t="shared" ref="G1522:G1529" si="100">"CA"</f>
        <v>CA</v>
      </c>
      <c r="H1522" s="7">
        <v>102</v>
      </c>
      <c r="I1522" s="2" t="str">
        <f t="shared" ref="I1522:I1529" si="101">"50201706"</f>
        <v>50201706</v>
      </c>
      <c r="J1522" s="10" t="s">
        <v>123</v>
      </c>
    </row>
    <row r="1523" spans="1:10" ht="76.5">
      <c r="A1523" s="9" t="s">
        <v>36</v>
      </c>
      <c r="B1523" s="2" t="s">
        <v>34</v>
      </c>
      <c r="C1523" s="2">
        <v>3125</v>
      </c>
      <c r="D1523" s="2">
        <v>65</v>
      </c>
      <c r="E1523" s="2" t="str">
        <f>"1000024548"</f>
        <v>1000024548</v>
      </c>
      <c r="F1523" s="4" t="str">
        <f>"COFFEE KIT:4Cup/Decaf/Crm250 - 4 Cup Decaffeinated Coffee 250/CA. Premeasured coffee in a filter, two (2) sugar, two (2) sugar substitutes, two (2) creamer, two (2) stir straws and one (1) napkin. 250 kits per case"</f>
        <v>COFFEE KIT:4Cup/Decaf/Crm250 - 4 Cup Decaffeinated Coffee 250/CA. Premeasured coffee in a filter, two (2) sugar, two (2) sugar substitutes, two (2) creamer, two (2) stir straws and one (1) napkin. 250 kits per case</v>
      </c>
      <c r="G1523" s="74" t="str">
        <f t="shared" si="100"/>
        <v>CA</v>
      </c>
      <c r="H1523" s="7">
        <v>165</v>
      </c>
      <c r="I1523" s="2" t="str">
        <f t="shared" si="101"/>
        <v>50201706</v>
      </c>
      <c r="J1523" s="10" t="s">
        <v>123</v>
      </c>
    </row>
    <row r="1524" spans="1:10" ht="76.5">
      <c r="A1524" s="9" t="s">
        <v>36</v>
      </c>
      <c r="B1524" s="2" t="s">
        <v>34</v>
      </c>
      <c r="C1524" s="2">
        <v>3125</v>
      </c>
      <c r="D1524" s="2">
        <v>66</v>
      </c>
      <c r="E1524" s="2" t="str">
        <f>"1000024549"</f>
        <v>1000024549</v>
      </c>
      <c r="F1524" s="4" t="str">
        <f>"COFFEE KIT:10Cup/Reg/Crm150 - 10 Cup Regular Coffee 150/CA Premeasured coffee in a filter, two (2) sugar, two (2) sugar substitutes, two (2) creamer, two (2) stir straws and one (1) napkin. 150 kits per case"</f>
        <v>COFFEE KIT:10Cup/Reg/Crm150 - 10 Cup Regular Coffee 150/CA Premeasured coffee in a filter, two (2) sugar, two (2) sugar substitutes, two (2) creamer, two (2) stir straws and one (1) napkin. 150 kits per case</v>
      </c>
      <c r="G1524" s="74" t="str">
        <f t="shared" si="100"/>
        <v>CA</v>
      </c>
      <c r="H1524" s="7">
        <v>106.5</v>
      </c>
      <c r="I1524" s="2" t="str">
        <f t="shared" si="101"/>
        <v>50201706</v>
      </c>
      <c r="J1524" s="10" t="s">
        <v>123</v>
      </c>
    </row>
    <row r="1525" spans="1:10" ht="76.5">
      <c r="A1525" s="9" t="s">
        <v>36</v>
      </c>
      <c r="B1525" s="2" t="s">
        <v>34</v>
      </c>
      <c r="C1525" s="2">
        <v>3125</v>
      </c>
      <c r="D1525" s="2">
        <v>67</v>
      </c>
      <c r="E1525" s="2" t="str">
        <f>"1000024550"</f>
        <v>1000024550</v>
      </c>
      <c r="F1525" s="4" t="str">
        <f>"COFFEE KIT:10Cup/Reg/Crm250 - 10 Cup Regular Coffee 250/CA. Premeasured coffee in a filter, two (2) sugar, two (2) sugar substitutes, two (2) creamer, two (2) stir straws and one (1) napkin. 250 kits per case"</f>
        <v>COFFEE KIT:10Cup/Reg/Crm250 - 10 Cup Regular Coffee 250/CA. Premeasured coffee in a filter, two (2) sugar, two (2) sugar substitutes, two (2) creamer, two (2) stir straws and one (1) napkin. 250 kits per case</v>
      </c>
      <c r="G1525" s="74" t="str">
        <f t="shared" si="100"/>
        <v>CA</v>
      </c>
      <c r="H1525" s="7">
        <v>175</v>
      </c>
      <c r="I1525" s="2" t="str">
        <f t="shared" si="101"/>
        <v>50201706</v>
      </c>
      <c r="J1525" s="10" t="s">
        <v>123</v>
      </c>
    </row>
    <row r="1526" spans="1:10" ht="76.5">
      <c r="A1526" s="9" t="s">
        <v>36</v>
      </c>
      <c r="B1526" s="2" t="s">
        <v>34</v>
      </c>
      <c r="C1526" s="2">
        <v>3125</v>
      </c>
      <c r="D1526" s="2">
        <v>68</v>
      </c>
      <c r="E1526" s="2" t="str">
        <f>"1000024551"</f>
        <v>1000024551</v>
      </c>
      <c r="F1526" s="4" t="str">
        <f>"COFFEE KIT:10Cup/Decaf/Crm150 - 10 Cup Decaffeinated Coffee 150/CA. Premeasured coffee in a filter, two (2) sugar, two (2) sugar substitutes, two (2) creamer, two (2) stir straws and one (1) napkin. 150 kits per case"</f>
        <v>COFFEE KIT:10Cup/Decaf/Crm150 - 10 Cup Decaffeinated Coffee 150/CA. Premeasured coffee in a filter, two (2) sugar, two (2) sugar substitutes, two (2) creamer, two (2) stir straws and one (1) napkin. 150 kits per case</v>
      </c>
      <c r="G1526" s="74" t="str">
        <f t="shared" si="100"/>
        <v>CA</v>
      </c>
      <c r="H1526" s="7">
        <v>112.5</v>
      </c>
      <c r="I1526" s="2" t="str">
        <f t="shared" si="101"/>
        <v>50201706</v>
      </c>
      <c r="J1526" s="10" t="s">
        <v>123</v>
      </c>
    </row>
    <row r="1527" spans="1:10" ht="76.5">
      <c r="A1527" s="9" t="s">
        <v>36</v>
      </c>
      <c r="B1527" s="2" t="s">
        <v>34</v>
      </c>
      <c r="C1527" s="2">
        <v>3125</v>
      </c>
      <c r="D1527" s="2">
        <v>69</v>
      </c>
      <c r="E1527" s="2" t="str">
        <f>"1000024552"</f>
        <v>1000024552</v>
      </c>
      <c r="F1527" s="4" t="str">
        <f>"COFFEE KIT:10Cup/Decaf/Crm250 - 10 Cup Decaffeinated Coffee 250/CA. Premeasured coffee in a filter, two (2) sugar, two (2) sugar substitutes, two (2) creamer, two (2) stir straws and one (1) napkin. 250 kits per case"</f>
        <v>COFFEE KIT:10Cup/Decaf/Crm250 - 10 Cup Decaffeinated Coffee 250/CA. Premeasured coffee in a filter, two (2) sugar, two (2) sugar substitutes, two (2) creamer, two (2) stir straws and one (1) napkin. 250 kits per case</v>
      </c>
      <c r="G1527" s="74" t="str">
        <f t="shared" si="100"/>
        <v>CA</v>
      </c>
      <c r="H1527" s="7">
        <v>180</v>
      </c>
      <c r="I1527" s="2" t="str">
        <f t="shared" si="101"/>
        <v>50201706</v>
      </c>
      <c r="J1527" s="10" t="s">
        <v>123</v>
      </c>
    </row>
    <row r="1528" spans="1:10" ht="76.5">
      <c r="A1528" s="9" t="s">
        <v>36</v>
      </c>
      <c r="B1528" s="2" t="s">
        <v>34</v>
      </c>
      <c r="C1528" s="2">
        <v>3125</v>
      </c>
      <c r="D1528" s="2">
        <v>62</v>
      </c>
      <c r="E1528" s="2" t="str">
        <f>"1000024557"</f>
        <v>1000024557</v>
      </c>
      <c r="F1528" s="4" t="str">
        <f>"COFFEE KIT:4Cup/Reg/Sgr/Crm150 - 4 Cup Regular Coffee 150/CA. Premeasured coffee in a filter, two (2) sugar, two (2) sugar substitutes, two (2) creamer, two (2) stir straws and one (1) napkin. 150 kits per case"</f>
        <v>COFFEE KIT:4Cup/Reg/Sgr/Crm150 - 4 Cup Regular Coffee 150/CA. Premeasured coffee in a filter, two (2) sugar, two (2) sugar substitutes, two (2) creamer, two (2) stir straws and one (1) napkin. 150 kits per case</v>
      </c>
      <c r="G1528" s="74" t="str">
        <f t="shared" si="100"/>
        <v>CA</v>
      </c>
      <c r="H1528" s="7">
        <v>99</v>
      </c>
      <c r="I1528" s="2" t="str">
        <f t="shared" si="101"/>
        <v>50201706</v>
      </c>
      <c r="J1528" s="10" t="s">
        <v>123</v>
      </c>
    </row>
    <row r="1529" spans="1:10" ht="76.5">
      <c r="A1529" s="9" t="s">
        <v>36</v>
      </c>
      <c r="B1529" s="2" t="s">
        <v>34</v>
      </c>
      <c r="C1529" s="2">
        <v>3125</v>
      </c>
      <c r="D1529" s="2">
        <v>63</v>
      </c>
      <c r="E1529" s="2" t="str">
        <f>"1000024558"</f>
        <v>1000024558</v>
      </c>
      <c r="F1529" s="4" t="str">
        <f>"COFFEE KIT:4Cup/Reg/Sgr/Crm250 - 4 Cup Regular Coffee 250/CA. Premeasured coffee in a filter, two (2) sugar, two (2) sugar substitutes, two (2) creamer, two (2) stir straws and one (1) napkin. 250 kits per case"</f>
        <v>COFFEE KIT:4Cup/Reg/Sgr/Crm250 - 4 Cup Regular Coffee 250/CA. Premeasured coffee in a filter, two (2) sugar, two (2) sugar substitutes, two (2) creamer, two (2) stir straws and one (1) napkin. 250 kits per case</v>
      </c>
      <c r="G1529" s="74" t="str">
        <f t="shared" si="100"/>
        <v>CA</v>
      </c>
      <c r="H1529" s="7">
        <v>162.5</v>
      </c>
      <c r="I1529" s="2" t="str">
        <f t="shared" si="101"/>
        <v>50201706</v>
      </c>
      <c r="J1529" s="10" t="s">
        <v>123</v>
      </c>
    </row>
    <row r="1530" spans="1:10" ht="25.5">
      <c r="A1530" s="9" t="s">
        <v>36</v>
      </c>
      <c r="B1530" s="2" t="s">
        <v>34</v>
      </c>
      <c r="C1530" s="2">
        <v>3125</v>
      </c>
      <c r="D1530" s="2">
        <v>17</v>
      </c>
      <c r="E1530" s="2" t="str">
        <f>"1000028044"</f>
        <v>1000028044</v>
      </c>
      <c r="F1530" s="4" t="str">
        <f>"SPICE:Allspice 1 LB Can - All spice, pure, ground 1 lb can"</f>
        <v>SPICE:Allspice 1 LB Can - All spice, pure, ground 1 lb can</v>
      </c>
      <c r="G1530" s="74" t="str">
        <f>"EA"</f>
        <v>EA</v>
      </c>
      <c r="H1530" s="7">
        <v>8</v>
      </c>
      <c r="I1530" s="2" t="str">
        <f>"50171550"</f>
        <v>50171550</v>
      </c>
      <c r="J1530" s="10" t="s">
        <v>117</v>
      </c>
    </row>
    <row r="1531" spans="1:10" ht="25.5">
      <c r="A1531" s="9" t="s">
        <v>36</v>
      </c>
      <c r="B1531" s="2" t="s">
        <v>34</v>
      </c>
      <c r="C1531" s="2">
        <v>3125</v>
      </c>
      <c r="D1531" s="2">
        <v>38</v>
      </c>
      <c r="E1531" s="2" t="str">
        <f>"1000028045"</f>
        <v>1000028045</v>
      </c>
      <c r="F1531" s="4" t="str">
        <f>"ONION SALT:36 oz each - Onion Salt, 36 oz container"</f>
        <v>ONION SALT:36 oz each - Onion Salt, 36 oz container</v>
      </c>
      <c r="G1531" s="74" t="str">
        <f>"EA"</f>
        <v>EA</v>
      </c>
      <c r="H1531" s="7">
        <v>6.5</v>
      </c>
      <c r="I1531" s="2" t="str">
        <f>"50171550"</f>
        <v>50171550</v>
      </c>
      <c r="J1531" s="10" t="s">
        <v>117</v>
      </c>
    </row>
    <row r="1532" spans="1:10" ht="25.5">
      <c r="A1532" s="9" t="s">
        <v>36</v>
      </c>
      <c r="B1532" s="2" t="s">
        <v>34</v>
      </c>
      <c r="C1532" s="2">
        <v>3125</v>
      </c>
      <c r="D1532" s="2">
        <v>45</v>
      </c>
      <c r="E1532" s="2" t="str">
        <f>"1000028046"</f>
        <v>1000028046</v>
      </c>
      <c r="F1532" s="4" t="str">
        <f>"PEPPER:Red, ground 1 LB - Red Pepper, ground, 1 lb container"</f>
        <v>PEPPER:Red, ground 1 LB - Red Pepper, ground, 1 lb container</v>
      </c>
      <c r="G1532" s="74" t="str">
        <f>"EA"</f>
        <v>EA</v>
      </c>
      <c r="H1532" s="7">
        <v>4.5</v>
      </c>
      <c r="I1532" s="2" t="str">
        <f>"50171550"</f>
        <v>50171550</v>
      </c>
      <c r="J1532" s="10" t="s">
        <v>117</v>
      </c>
    </row>
    <row r="1533" spans="1:10" ht="38.25">
      <c r="A1533" s="9" t="s">
        <v>36</v>
      </c>
      <c r="B1533" s="2" t="s">
        <v>34</v>
      </c>
      <c r="C1533" s="2">
        <v>3125</v>
      </c>
      <c r="D1533" s="2">
        <v>53</v>
      </c>
      <c r="E1533" s="2" t="str">
        <f>"1000028047"</f>
        <v>1000028047</v>
      </c>
      <c r="F1533" s="4" t="str">
        <f>"SEASONING:Salt-free 20 oz -Seasonings, blended, salt free a dash of flavor instead of salt, 20 oz container"</f>
        <v>SEASONING:Salt-free 20 oz -Seasonings, blended, salt free a dash of flavor instead of salt, 20 oz container</v>
      </c>
      <c r="G1533" s="74" t="str">
        <f>"EA"</f>
        <v>EA</v>
      </c>
      <c r="H1533" s="7">
        <v>15</v>
      </c>
      <c r="I1533" s="2" t="str">
        <f>"50171550"</f>
        <v>50171550</v>
      </c>
      <c r="J1533" s="10" t="s">
        <v>117</v>
      </c>
    </row>
    <row r="1534" spans="1:10" ht="38.25">
      <c r="A1534" s="9" t="s">
        <v>35</v>
      </c>
      <c r="B1534" s="2" t="s">
        <v>34</v>
      </c>
      <c r="C1534" s="2">
        <v>2201</v>
      </c>
      <c r="D1534" s="2">
        <v>1</v>
      </c>
      <c r="E1534" s="2" t="str">
        <f>"1000000494"</f>
        <v>1000000494</v>
      </c>
      <c r="F1534" s="4" t="str">
        <f>"BEANS:dried Idaho reds, u.s. #~Beans, dried Idaho reds, u.s. #1, 25# bag~IDAHO REDS, U.S. #1, 25# BAGS"</f>
        <v>BEANS:dried Idaho reds, u.s. #~Beans, dried Idaho reds, u.s. #1, 25# bag~IDAHO REDS, U.S. #1, 25# BAGS</v>
      </c>
      <c r="G1534" s="74" t="str">
        <f t="shared" ref="G1534:G1542" si="102">"LB"</f>
        <v>LB</v>
      </c>
      <c r="H1534" s="7">
        <v>0.93</v>
      </c>
      <c r="I1534" s="2" t="str">
        <f t="shared" ref="I1534:I1542" si="103">"50101543"</f>
        <v>50101543</v>
      </c>
      <c r="J1534" s="10" t="s">
        <v>113</v>
      </c>
    </row>
    <row r="1535" spans="1:10" ht="38.25">
      <c r="A1535" s="9" t="s">
        <v>35</v>
      </c>
      <c r="B1535" s="2" t="s">
        <v>34</v>
      </c>
      <c r="C1535" s="2">
        <v>2201</v>
      </c>
      <c r="D1535" s="2">
        <v>2</v>
      </c>
      <c r="E1535" s="2" t="str">
        <f>"1000000495"</f>
        <v>1000000495</v>
      </c>
      <c r="F1535" s="4" t="str">
        <f>"BEANS:dried Idaho Reds, U.S. #~Beans, dried Idaho Reds, U.S. #1, 50# bag~IDAHO REDS U.S. #1 50# BAGS"</f>
        <v>BEANS:dried Idaho Reds, U.S. #~Beans, dried Idaho Reds, U.S. #1, 50# bag~IDAHO REDS U.S. #1 50# BAGS</v>
      </c>
      <c r="G1535" s="74" t="str">
        <f t="shared" si="102"/>
        <v>LB</v>
      </c>
      <c r="H1535" s="7">
        <v>0.9</v>
      </c>
      <c r="I1535" s="2" t="str">
        <f t="shared" si="103"/>
        <v>50101543</v>
      </c>
      <c r="J1535" s="10" t="s">
        <v>113</v>
      </c>
    </row>
    <row r="1536" spans="1:10" ht="51">
      <c r="A1536" s="9" t="s">
        <v>35</v>
      </c>
      <c r="B1536" s="2" t="s">
        <v>34</v>
      </c>
      <c r="C1536" s="2">
        <v>2201</v>
      </c>
      <c r="D1536" s="2">
        <v>6</v>
      </c>
      <c r="E1536" s="2" t="str">
        <f>"1000000658"</f>
        <v>1000000658</v>
      </c>
      <c r="F1536" s="4" t="str">
        <f>"BEANS:dried Pinto-US#1-100 lb/~Beans, dried Pinto, u.s. grade no. 1 - 100 lb/bag~PINTO, U.S. GRADE NO. 1 - 100 LB/BAG"</f>
        <v>BEANS:dried Pinto-US#1-100 lb/~Beans, dried Pinto, u.s. grade no. 1 - 100 lb/bag~PINTO, U.S. GRADE NO. 1 - 100 LB/BAG</v>
      </c>
      <c r="G1536" s="74" t="str">
        <f t="shared" si="102"/>
        <v>LB</v>
      </c>
      <c r="H1536" s="7">
        <v>0.74</v>
      </c>
      <c r="I1536" s="2" t="str">
        <f t="shared" si="103"/>
        <v>50101543</v>
      </c>
      <c r="J1536" s="10" t="s">
        <v>113</v>
      </c>
    </row>
    <row r="1537" spans="1:10" ht="25.5">
      <c r="A1537" s="9" t="s">
        <v>35</v>
      </c>
      <c r="B1537" s="2" t="s">
        <v>34</v>
      </c>
      <c r="C1537" s="2">
        <v>2201</v>
      </c>
      <c r="D1537" s="2">
        <v>4</v>
      </c>
      <c r="E1537" s="2" t="str">
        <f>"1000000677"</f>
        <v>1000000677</v>
      </c>
      <c r="F1537" s="4" t="str">
        <f>"BEANS:Pinto, Dried , U.S. Grade #1, 25LB Bag"</f>
        <v>BEANS:Pinto, Dried , U.S. Grade #1, 25LB Bag</v>
      </c>
      <c r="G1537" s="74" t="str">
        <f t="shared" si="102"/>
        <v>LB</v>
      </c>
      <c r="H1537" s="7">
        <v>0.74</v>
      </c>
      <c r="I1537" s="2" t="str">
        <f t="shared" si="103"/>
        <v>50101543</v>
      </c>
      <c r="J1537" s="10" t="s">
        <v>113</v>
      </c>
    </row>
    <row r="1538" spans="1:10" ht="38.25">
      <c r="A1538" s="9" t="s">
        <v>35</v>
      </c>
      <c r="B1538" s="2" t="s">
        <v>34</v>
      </c>
      <c r="C1538" s="2">
        <v>2201</v>
      </c>
      <c r="D1538" s="2">
        <v>5</v>
      </c>
      <c r="E1538" s="2" t="str">
        <f>"1000000678"</f>
        <v>1000000678</v>
      </c>
      <c r="F1538" s="4" t="str">
        <f>"BEANS:dried Pinto-US#1-50# bag~Beans, dried Pinto, u.s. #1, 50# bags~PINTO, U.S. #1, 50# BAGS"</f>
        <v>BEANS:dried Pinto-US#1-50# bag~Beans, dried Pinto, u.s. #1, 50# bags~PINTO, U.S. #1, 50# BAGS</v>
      </c>
      <c r="G1538" s="74" t="str">
        <f t="shared" si="102"/>
        <v>LB</v>
      </c>
      <c r="H1538" s="7">
        <v>0.74</v>
      </c>
      <c r="I1538" s="2" t="str">
        <f t="shared" si="103"/>
        <v>50101543</v>
      </c>
      <c r="J1538" s="10" t="s">
        <v>113</v>
      </c>
    </row>
    <row r="1539" spans="1:10" ht="51">
      <c r="A1539" s="9" t="s">
        <v>35</v>
      </c>
      <c r="B1539" s="2" t="s">
        <v>34</v>
      </c>
      <c r="C1539" s="2">
        <v>2201</v>
      </c>
      <c r="D1539" s="2">
        <v>9</v>
      </c>
      <c r="E1539" s="2" t="str">
        <f>"1000000679"</f>
        <v>1000000679</v>
      </c>
      <c r="F1539" s="4" t="str">
        <f>"BEANS:dried White Beans US#1, ~Beans, dried White Beans US #1, 100# Great Northern~WHITE BEANS US #1, 100# GREAT NORTHERN"</f>
        <v>BEANS:dried White Beans US#1, ~Beans, dried White Beans US #1, 100# Great Northern~WHITE BEANS US #1, 100# GREAT NORTHERN</v>
      </c>
      <c r="G1539" s="74" t="str">
        <f t="shared" si="102"/>
        <v>LB</v>
      </c>
      <c r="H1539" s="7">
        <v>0.98</v>
      </c>
      <c r="I1539" s="2" t="str">
        <f t="shared" si="103"/>
        <v>50101543</v>
      </c>
      <c r="J1539" s="10" t="s">
        <v>113</v>
      </c>
    </row>
    <row r="1540" spans="1:10" ht="51">
      <c r="A1540" s="9" t="s">
        <v>35</v>
      </c>
      <c r="B1540" s="2" t="s">
        <v>34</v>
      </c>
      <c r="C1540" s="2">
        <v>2201</v>
      </c>
      <c r="D1540" s="2">
        <v>8</v>
      </c>
      <c r="E1540" s="2" t="str">
        <f>"1000000893"</f>
        <v>1000000893</v>
      </c>
      <c r="F1540" s="4" t="str">
        <f>"BEANS:dried White beans-US#1 5~Beans, dried White beans, u.s. #1, 50# bag, great northern, 98%~WHITE BEANS, U.S. #1 50# BAG, GREAT NORTHERN 98%"</f>
        <v>BEANS:dried White beans-US#1 5~Beans, dried White beans, u.s. #1, 50# bag, great northern, 98%~WHITE BEANS, U.S. #1 50# BAG, GREAT NORTHERN 98%</v>
      </c>
      <c r="G1540" s="74" t="str">
        <f t="shared" si="102"/>
        <v>LB</v>
      </c>
      <c r="H1540" s="7">
        <v>0.98</v>
      </c>
      <c r="I1540" s="2" t="str">
        <f t="shared" si="103"/>
        <v>50101543</v>
      </c>
      <c r="J1540" s="10" t="s">
        <v>113</v>
      </c>
    </row>
    <row r="1541" spans="1:10" ht="38.25">
      <c r="A1541" s="9" t="s">
        <v>35</v>
      </c>
      <c r="B1541" s="2" t="s">
        <v>34</v>
      </c>
      <c r="C1541" s="2">
        <v>2201</v>
      </c>
      <c r="D1541" s="2">
        <v>3</v>
      </c>
      <c r="E1541" s="2" t="str">
        <f>"1000001189"</f>
        <v>1000001189</v>
      </c>
      <c r="F1541" s="4" t="str">
        <f>"BEANS:dried Idaho reds, u.s. #~Beans, dried Idaho reds, u.s. #1, 100# bags~IDAHO REDS, U.S. #1, 100# BAGS"</f>
        <v>BEANS:dried Idaho reds, u.s. #~Beans, dried Idaho reds, u.s. #1, 100# bags~IDAHO REDS, U.S. #1, 100# BAGS</v>
      </c>
      <c r="G1541" s="74" t="str">
        <f t="shared" si="102"/>
        <v>LB</v>
      </c>
      <c r="H1541" s="7">
        <v>0.9</v>
      </c>
      <c r="I1541" s="2" t="str">
        <f t="shared" si="103"/>
        <v>50101543</v>
      </c>
      <c r="J1541" s="10" t="s">
        <v>113</v>
      </c>
    </row>
    <row r="1542" spans="1:10" ht="25.5">
      <c r="A1542" s="9" t="s">
        <v>35</v>
      </c>
      <c r="B1542" s="2" t="s">
        <v>34</v>
      </c>
      <c r="C1542" s="2">
        <v>2201</v>
      </c>
      <c r="D1542" s="2">
        <v>7</v>
      </c>
      <c r="E1542" s="2" t="str">
        <f>"1000001555"</f>
        <v>1000001555</v>
      </c>
      <c r="F1542" s="4" t="str">
        <f>"BEANS:White, Dried, U.S. #1, 25LB Bag, Great Northern 98%"</f>
        <v>BEANS:White, Dried, U.S. #1, 25LB Bag, Great Northern 98%</v>
      </c>
      <c r="G1542" s="74" t="str">
        <f t="shared" si="102"/>
        <v>LB</v>
      </c>
      <c r="H1542" s="7">
        <v>0.98</v>
      </c>
      <c r="I1542" s="2" t="str">
        <f t="shared" si="103"/>
        <v>50101543</v>
      </c>
      <c r="J1542" s="10" t="s">
        <v>113</v>
      </c>
    </row>
    <row r="1543" spans="1:10" ht="63.75">
      <c r="A1543" s="9" t="s">
        <v>33</v>
      </c>
      <c r="B1543" s="2" t="s">
        <v>34</v>
      </c>
      <c r="C1543" s="2">
        <v>2193</v>
      </c>
      <c r="D1543" s="2">
        <v>1</v>
      </c>
      <c r="E1543" s="2" t="str">
        <f>"1000003823"</f>
        <v>1000003823</v>
      </c>
      <c r="F1543" s="4" t="str">
        <f>"CONDOMS:144/cs Pre-lube indv pkg in opaque mat~Condoms prelubricated, individualy packaged in opaque material, 144 per case.~CONDOMS, PRELUBRICATED, INDIVIDUALLY PACKAGED IN OPAQUE MATE"</f>
        <v>CONDOMS:144/cs Pre-lube indv pkg in opaque mat~Condoms prelubricated, individualy packaged in opaque material, 144 per case.~CONDOMS, PRELUBRICATED, INDIVIDUALLY PACKAGED IN OPAQUE MATE</v>
      </c>
      <c r="G1543" s="74" t="str">
        <f>"CA"</f>
        <v>CA</v>
      </c>
      <c r="H1543" s="7">
        <v>13.9</v>
      </c>
      <c r="I1543" s="2" t="str">
        <f>"53131622"</f>
        <v>53131622</v>
      </c>
      <c r="J1543" s="10" t="s">
        <v>112</v>
      </c>
    </row>
    <row r="1544" spans="1:10">
      <c r="A1544" s="84"/>
      <c r="B1544" s="2" t="s">
        <v>34</v>
      </c>
      <c r="C1544" s="85"/>
      <c r="D1544" s="85"/>
      <c r="E1544" s="85" t="s">
        <v>610</v>
      </c>
      <c r="F1544" s="94" t="s">
        <v>275</v>
      </c>
      <c r="G1544" s="86"/>
      <c r="H1544" s="87"/>
      <c r="I1544" s="96">
        <v>42132106</v>
      </c>
      <c r="J1544" s="11" t="s">
        <v>623</v>
      </c>
    </row>
    <row r="1545" spans="1:10" ht="25.5">
      <c r="A1545" s="84"/>
      <c r="B1545" s="2" t="s">
        <v>34</v>
      </c>
      <c r="C1545" s="85"/>
      <c r="D1545" s="85"/>
      <c r="E1545" s="85" t="s">
        <v>610</v>
      </c>
      <c r="F1545" s="94" t="s">
        <v>295</v>
      </c>
      <c r="G1545" s="86"/>
      <c r="H1545" s="87"/>
      <c r="I1545" s="96">
        <v>42141705</v>
      </c>
      <c r="J1545" s="48" t="s">
        <v>624</v>
      </c>
    </row>
    <row r="1546" spans="1:10">
      <c r="A1546" s="84"/>
      <c r="B1546" s="2" t="s">
        <v>34</v>
      </c>
      <c r="C1546" s="85"/>
      <c r="D1546" s="85"/>
      <c r="E1546" s="85" t="s">
        <v>610</v>
      </c>
      <c r="F1546" s="94" t="s">
        <v>264</v>
      </c>
      <c r="G1546" s="86"/>
      <c r="H1546" s="87"/>
      <c r="I1546" s="96">
        <v>46181501</v>
      </c>
      <c r="J1546" s="98" t="s">
        <v>632</v>
      </c>
    </row>
    <row r="1547" spans="1:10">
      <c r="A1547" s="84"/>
      <c r="B1547" s="2" t="s">
        <v>34</v>
      </c>
      <c r="C1547" s="85"/>
      <c r="D1547" s="85"/>
      <c r="E1547" s="85" t="s">
        <v>610</v>
      </c>
      <c r="F1547" s="49" t="s">
        <v>266</v>
      </c>
      <c r="G1547" s="86"/>
      <c r="H1547" s="87"/>
      <c r="I1547" s="68">
        <v>47131811</v>
      </c>
      <c r="J1547" s="98" t="s">
        <v>633</v>
      </c>
    </row>
    <row r="1548" spans="1:10">
      <c r="A1548" s="84"/>
      <c r="B1548" s="2" t="s">
        <v>34</v>
      </c>
      <c r="C1548" s="85"/>
      <c r="D1548" s="85"/>
      <c r="E1548" s="85" t="s">
        <v>610</v>
      </c>
      <c r="F1548" s="49" t="s">
        <v>294</v>
      </c>
      <c r="G1548" s="86"/>
      <c r="H1548" s="87"/>
      <c r="I1548" s="68">
        <v>52121505</v>
      </c>
      <c r="J1548" s="99" t="s">
        <v>294</v>
      </c>
    </row>
    <row r="1549" spans="1:10">
      <c r="A1549" s="84"/>
      <c r="B1549" s="2" t="s">
        <v>34</v>
      </c>
      <c r="C1549" s="85"/>
      <c r="D1549" s="85"/>
      <c r="E1549" s="85" t="s">
        <v>610</v>
      </c>
      <c r="F1549" s="49" t="s">
        <v>276</v>
      </c>
      <c r="G1549" s="86"/>
      <c r="H1549" s="87"/>
      <c r="I1549" s="68">
        <v>52121508</v>
      </c>
      <c r="J1549" s="11" t="s">
        <v>636</v>
      </c>
    </row>
    <row r="1550" spans="1:10">
      <c r="A1550" s="84"/>
      <c r="B1550" s="2" t="s">
        <v>34</v>
      </c>
      <c r="C1550" s="85"/>
      <c r="D1550" s="85"/>
      <c r="E1550" s="85" t="s">
        <v>610</v>
      </c>
      <c r="F1550" s="49" t="s">
        <v>300</v>
      </c>
      <c r="G1550" s="86"/>
      <c r="H1550" s="87"/>
      <c r="I1550" s="68">
        <v>52121508</v>
      </c>
      <c r="J1550" s="11" t="s">
        <v>636</v>
      </c>
    </row>
    <row r="1551" spans="1:10">
      <c r="A1551" s="84"/>
      <c r="B1551" s="2" t="s">
        <v>34</v>
      </c>
      <c r="C1551" s="85"/>
      <c r="D1551" s="85"/>
      <c r="E1551" s="85" t="s">
        <v>610</v>
      </c>
      <c r="F1551" s="49" t="s">
        <v>293</v>
      </c>
      <c r="G1551" s="86"/>
      <c r="H1551" s="87"/>
      <c r="I1551" s="68">
        <v>52121512</v>
      </c>
      <c r="J1551" s="99" t="s">
        <v>293</v>
      </c>
    </row>
    <row r="1552" spans="1:10">
      <c r="A1552" s="84"/>
      <c r="B1552" s="2" t="s">
        <v>34</v>
      </c>
      <c r="C1552" s="85"/>
      <c r="D1552" s="85"/>
      <c r="E1552" s="85" t="s">
        <v>610</v>
      </c>
      <c r="F1552" s="49" t="s">
        <v>304</v>
      </c>
      <c r="G1552" s="86"/>
      <c r="H1552" s="87"/>
      <c r="I1552" s="68">
        <v>52121601</v>
      </c>
      <c r="J1552" s="11" t="s">
        <v>637</v>
      </c>
    </row>
    <row r="1553" spans="1:10">
      <c r="A1553" s="84"/>
      <c r="B1553" s="2" t="s">
        <v>34</v>
      </c>
      <c r="C1553" s="85"/>
      <c r="D1553" s="85"/>
      <c r="E1553" s="85" t="s">
        <v>610</v>
      </c>
      <c r="F1553" s="49" t="s">
        <v>256</v>
      </c>
      <c r="G1553" s="86"/>
      <c r="H1553" s="87"/>
      <c r="I1553" s="68">
        <v>52121703</v>
      </c>
      <c r="J1553" s="99" t="s">
        <v>256</v>
      </c>
    </row>
    <row r="1554" spans="1:10">
      <c r="A1554" s="84"/>
      <c r="B1554" s="2" t="s">
        <v>34</v>
      </c>
      <c r="C1554" s="85"/>
      <c r="D1554" s="85"/>
      <c r="E1554" s="85" t="s">
        <v>610</v>
      </c>
      <c r="F1554" s="49" t="s">
        <v>290</v>
      </c>
      <c r="G1554" s="86"/>
      <c r="H1554" s="87"/>
      <c r="I1554" s="68">
        <v>53102606</v>
      </c>
      <c r="J1554" s="11" t="s">
        <v>639</v>
      </c>
    </row>
    <row r="1555" spans="1:10">
      <c r="A1555" s="84"/>
      <c r="B1555" s="2" t="s">
        <v>34</v>
      </c>
      <c r="C1555" s="85"/>
      <c r="D1555" s="85"/>
      <c r="E1555" s="85" t="s">
        <v>610</v>
      </c>
      <c r="F1555" s="49" t="s">
        <v>301</v>
      </c>
      <c r="G1555" s="86"/>
      <c r="H1555" s="87"/>
      <c r="I1555" s="68">
        <v>53102606</v>
      </c>
      <c r="J1555" s="11" t="s">
        <v>639</v>
      </c>
    </row>
    <row r="1556" spans="1:10">
      <c r="A1556" s="84"/>
      <c r="B1556" s="2" t="s">
        <v>34</v>
      </c>
      <c r="C1556" s="85"/>
      <c r="D1556" s="85"/>
      <c r="E1556" s="85" t="s">
        <v>610</v>
      </c>
      <c r="F1556" s="49" t="s">
        <v>291</v>
      </c>
      <c r="G1556" s="86"/>
      <c r="H1556" s="87"/>
      <c r="I1556" s="68">
        <v>60122503</v>
      </c>
      <c r="J1556" s="11" t="s">
        <v>644</v>
      </c>
    </row>
    <row r="1557" spans="1:10" ht="25.5">
      <c r="A1557" s="84"/>
      <c r="B1557" s="2" t="s">
        <v>34</v>
      </c>
      <c r="C1557" s="85"/>
      <c r="D1557" s="85"/>
      <c r="E1557" s="85" t="s">
        <v>610</v>
      </c>
      <c r="F1557" s="49" t="s">
        <v>284</v>
      </c>
      <c r="G1557" s="86"/>
      <c r="H1557" s="87"/>
      <c r="I1557" s="68">
        <v>72102905</v>
      </c>
      <c r="J1557" s="98" t="s">
        <v>645</v>
      </c>
    </row>
    <row r="1558" spans="1:10" ht="25.5">
      <c r="A1558" s="84"/>
      <c r="B1558" s="2" t="s">
        <v>34</v>
      </c>
      <c r="C1558" s="85"/>
      <c r="D1558" s="85"/>
      <c r="E1558" s="85" t="s">
        <v>610</v>
      </c>
      <c r="F1558" s="49" t="s">
        <v>285</v>
      </c>
      <c r="G1558" s="86"/>
      <c r="H1558" s="87"/>
      <c r="I1558" s="68">
        <v>72102905</v>
      </c>
      <c r="J1558" s="98" t="s">
        <v>645</v>
      </c>
    </row>
    <row r="1559" spans="1:10">
      <c r="A1559" s="84"/>
      <c r="B1559" s="2" t="s">
        <v>34</v>
      </c>
      <c r="C1559" s="85"/>
      <c r="D1559" s="85"/>
      <c r="E1559" s="85" t="s">
        <v>610</v>
      </c>
      <c r="F1559" s="49" t="s">
        <v>261</v>
      </c>
      <c r="G1559" s="86"/>
      <c r="H1559" s="87"/>
      <c r="I1559" s="68">
        <v>73151500</v>
      </c>
      <c r="J1559" s="99" t="s">
        <v>261</v>
      </c>
    </row>
    <row r="1560" spans="1:10">
      <c r="A1560" s="84"/>
      <c r="B1560" s="2" t="s">
        <v>34</v>
      </c>
      <c r="C1560" s="85"/>
      <c r="D1560" s="85"/>
      <c r="E1560" s="85" t="s">
        <v>610</v>
      </c>
      <c r="F1560" s="49" t="s">
        <v>246</v>
      </c>
      <c r="G1560" s="86"/>
      <c r="H1560" s="87"/>
      <c r="I1560" s="68">
        <v>73151600</v>
      </c>
      <c r="J1560" s="99" t="s">
        <v>246</v>
      </c>
    </row>
    <row r="1561" spans="1:10">
      <c r="A1561" s="84"/>
      <c r="B1561" s="2" t="s">
        <v>34</v>
      </c>
      <c r="C1561" s="85"/>
      <c r="D1561" s="85"/>
      <c r="E1561" s="85" t="s">
        <v>610</v>
      </c>
      <c r="F1561" s="49" t="s">
        <v>250</v>
      </c>
      <c r="G1561" s="86"/>
      <c r="H1561" s="87"/>
      <c r="I1561" s="68">
        <v>76122300</v>
      </c>
      <c r="J1561" s="98" t="s">
        <v>652</v>
      </c>
    </row>
    <row r="1562" spans="1:10">
      <c r="A1562" s="84"/>
      <c r="B1562" s="2" t="s">
        <v>34</v>
      </c>
      <c r="C1562" s="85"/>
      <c r="D1562" s="85"/>
      <c r="E1562" s="85" t="s">
        <v>610</v>
      </c>
      <c r="F1562" s="49" t="s">
        <v>243</v>
      </c>
      <c r="G1562" s="86"/>
      <c r="H1562" s="87"/>
      <c r="I1562" s="68">
        <v>80141800</v>
      </c>
      <c r="J1562" s="99" t="s">
        <v>243</v>
      </c>
    </row>
    <row r="1563" spans="1:10" ht="25.5">
      <c r="A1563" s="84"/>
      <c r="B1563" s="2" t="s">
        <v>34</v>
      </c>
      <c r="C1563" s="85"/>
      <c r="D1563" s="85"/>
      <c r="E1563" s="85" t="s">
        <v>610</v>
      </c>
      <c r="F1563" s="49" t="s">
        <v>237</v>
      </c>
      <c r="G1563" s="86"/>
      <c r="H1563" s="87"/>
      <c r="I1563" s="68">
        <v>82121701</v>
      </c>
      <c r="J1563" s="98" t="s">
        <v>659</v>
      </c>
    </row>
    <row r="1564" spans="1:10" ht="25.5">
      <c r="A1564" s="9" t="s">
        <v>39</v>
      </c>
      <c r="B1564" s="2" t="s">
        <v>38</v>
      </c>
      <c r="C1564" s="2">
        <v>2205</v>
      </c>
      <c r="D1564" s="2">
        <v>1</v>
      </c>
      <c r="E1564" s="2" t="str">
        <f>"1000009566"</f>
        <v>1000009566</v>
      </c>
      <c r="F1564" s="93" t="str">
        <f>"SERVICES: Litter Removal"</f>
        <v>SERVICES: Litter Removal</v>
      </c>
      <c r="G1564" s="74" t="str">
        <f>"AC"</f>
        <v>AC</v>
      </c>
      <c r="H1564" s="7">
        <v>9.92</v>
      </c>
      <c r="I1564" s="95" t="str">
        <f>"72141003"</f>
        <v>72141003</v>
      </c>
      <c r="J1564" s="10" t="s">
        <v>127</v>
      </c>
    </row>
    <row r="1565" spans="1:10">
      <c r="A1565" s="9" t="s">
        <v>25</v>
      </c>
      <c r="B1565" s="2" t="s">
        <v>11</v>
      </c>
      <c r="C1565" s="2">
        <v>3506</v>
      </c>
      <c r="D1565" s="2">
        <v>1</v>
      </c>
      <c r="E1565" s="2" t="str">
        <f>"1000009750"</f>
        <v>1000009750</v>
      </c>
      <c r="F1565" s="93" t="s">
        <v>591</v>
      </c>
      <c r="G1565" s="74" t="str">
        <f>"SF"</f>
        <v>SF</v>
      </c>
      <c r="H1565" s="7">
        <v>0.01</v>
      </c>
      <c r="I1565" s="95" t="str">
        <f>"76111501"</f>
        <v>76111501</v>
      </c>
      <c r="J1565" s="10" t="s">
        <v>67</v>
      </c>
    </row>
    <row r="1566" spans="1:10" ht="25.5">
      <c r="A1566" s="9" t="s">
        <v>39</v>
      </c>
      <c r="B1566" s="2" t="s">
        <v>11</v>
      </c>
      <c r="C1566" s="2">
        <v>2503</v>
      </c>
      <c r="D1566" s="2">
        <v>1</v>
      </c>
      <c r="E1566" s="2" t="str">
        <f>"1000009566"</f>
        <v>1000009566</v>
      </c>
      <c r="F1566" s="93" t="str">
        <f>"SERVICES: Litter Removal"</f>
        <v>SERVICES: Litter Removal</v>
      </c>
      <c r="G1566" s="74" t="str">
        <f>"AC"</f>
        <v>AC</v>
      </c>
      <c r="H1566" s="7">
        <v>9.92</v>
      </c>
      <c r="I1566" s="95" t="str">
        <f>"72141003"</f>
        <v>72141003</v>
      </c>
      <c r="J1566" s="10" t="s">
        <v>127</v>
      </c>
    </row>
    <row r="1567" spans="1:10" ht="25.5">
      <c r="A1567" s="84"/>
      <c r="B1567" s="2" t="s">
        <v>11</v>
      </c>
      <c r="C1567" s="85"/>
      <c r="D1567" s="85"/>
      <c r="E1567" s="85" t="s">
        <v>610</v>
      </c>
      <c r="F1567" s="94" t="s">
        <v>262</v>
      </c>
      <c r="G1567" s="86"/>
      <c r="H1567" s="87"/>
      <c r="I1567" s="96">
        <v>76121505</v>
      </c>
      <c r="J1567" s="98" t="s">
        <v>650</v>
      </c>
    </row>
    <row r="1568" spans="1:10">
      <c r="A1568" s="84"/>
      <c r="B1568" s="2" t="s">
        <v>11</v>
      </c>
      <c r="C1568" s="85"/>
      <c r="D1568" s="85"/>
      <c r="E1568" s="85" t="s">
        <v>610</v>
      </c>
      <c r="F1568" s="94" t="s">
        <v>250</v>
      </c>
      <c r="G1568" s="86"/>
      <c r="H1568" s="87"/>
      <c r="I1568" s="96">
        <v>76122300</v>
      </c>
      <c r="J1568" s="98" t="s">
        <v>652</v>
      </c>
    </row>
    <row r="1569" spans="1:10" ht="25.5">
      <c r="A1569" s="84"/>
      <c r="B1569" s="2" t="s">
        <v>11</v>
      </c>
      <c r="C1569" s="85"/>
      <c r="D1569" s="85"/>
      <c r="E1569" s="85" t="s">
        <v>610</v>
      </c>
      <c r="F1569" s="94" t="s">
        <v>247</v>
      </c>
      <c r="G1569" s="86"/>
      <c r="H1569" s="87"/>
      <c r="I1569" s="96">
        <v>80161508</v>
      </c>
      <c r="J1569" s="98" t="s">
        <v>655</v>
      </c>
    </row>
    <row r="1570" spans="1:10">
      <c r="A1570" s="9" t="s">
        <v>25</v>
      </c>
      <c r="B1570" s="2" t="s">
        <v>553</v>
      </c>
      <c r="C1570" s="2">
        <v>3507</v>
      </c>
      <c r="D1570" s="2">
        <v>1</v>
      </c>
      <c r="E1570" s="2" t="str">
        <f>"1000009750"</f>
        <v>1000009750</v>
      </c>
      <c r="F1570" s="93" t="s">
        <v>591</v>
      </c>
      <c r="G1570" s="74" t="str">
        <f>"SF"</f>
        <v>SF</v>
      </c>
      <c r="H1570" s="7">
        <v>0.01</v>
      </c>
      <c r="I1570" s="95" t="str">
        <f>"76111501"</f>
        <v>76111501</v>
      </c>
      <c r="J1570" s="10" t="s">
        <v>67</v>
      </c>
    </row>
    <row r="1571" spans="1:10" ht="25.5">
      <c r="A1571" s="9" t="s">
        <v>25</v>
      </c>
      <c r="B1571" s="2" t="s">
        <v>553</v>
      </c>
      <c r="C1571" s="2">
        <v>3507</v>
      </c>
      <c r="D1571" s="2">
        <v>2</v>
      </c>
      <c r="E1571" s="2" t="str">
        <f>"1000029713"</f>
        <v>1000029713</v>
      </c>
      <c r="F1571" s="93" t="str">
        <f>"LAUNDRY SRVC: State Use, Laundry and Linen Services"</f>
        <v>LAUNDRY SRVC: State Use, Laundry and Linen Services</v>
      </c>
      <c r="G1571" s="74" t="str">
        <f>"EA"</f>
        <v>EA</v>
      </c>
      <c r="H1571" s="7">
        <v>0.01</v>
      </c>
      <c r="I1571" s="95" t="str">
        <f>"91111502"</f>
        <v>91111502</v>
      </c>
      <c r="J1571" s="10" t="s">
        <v>126</v>
      </c>
    </row>
    <row r="1572" spans="1:10" ht="38.25">
      <c r="A1572" s="9" t="s">
        <v>40</v>
      </c>
      <c r="B1572" s="2" t="s">
        <v>553</v>
      </c>
      <c r="C1572" s="2">
        <v>2851</v>
      </c>
      <c r="D1572" s="2">
        <v>7</v>
      </c>
      <c r="E1572" s="2" t="str">
        <f>"1000002191"</f>
        <v>1000002191</v>
      </c>
      <c r="F1572" s="93" t="str">
        <f>"WIPES: 600 total count. Disposable baby wipes, 50 wipes/tub, 12 tubs/cs, 9x13 wipe size"</f>
        <v>WIPES: 600 total count. Disposable baby wipes, 50 wipes/tub, 12 tubs/cs, 9x13 wipe size</v>
      </c>
      <c r="G1572" s="74" t="str">
        <f t="shared" ref="G1572:G1578" si="104">"CA"</f>
        <v>CA</v>
      </c>
      <c r="H1572" s="7">
        <v>31</v>
      </c>
      <c r="I1572" s="95" t="str">
        <f>"53131624"</f>
        <v>53131624</v>
      </c>
      <c r="J1572" s="10" t="s">
        <v>130</v>
      </c>
    </row>
    <row r="1573" spans="1:10" ht="38.25">
      <c r="A1573" s="9" t="s">
        <v>40</v>
      </c>
      <c r="B1573" s="2" t="s">
        <v>553</v>
      </c>
      <c r="C1573" s="2">
        <v>2851</v>
      </c>
      <c r="D1573" s="2">
        <v>2</v>
      </c>
      <c r="E1573" s="2" t="str">
        <f>"1000003546"</f>
        <v>1000003546</v>
      </c>
      <c r="F1573" s="4" t="str">
        <f>"DISP DIAPERS:Toddler, over 23 LBS, prefolded, disposable diapers. 32/pk 4 pk/cs"</f>
        <v>DISP DIAPERS:Toddler, over 23 LBS, prefolded, disposable diapers. 32/pk 4 pk/cs</v>
      </c>
      <c r="G1573" s="74" t="str">
        <f t="shared" si="104"/>
        <v>CA</v>
      </c>
      <c r="H1573" s="7">
        <v>43</v>
      </c>
      <c r="I1573" s="2" t="str">
        <f>"53102305"</f>
        <v>53102305</v>
      </c>
      <c r="J1573" s="10" t="s">
        <v>128</v>
      </c>
    </row>
    <row r="1574" spans="1:10" ht="25.5">
      <c r="A1574" s="9" t="s">
        <v>40</v>
      </c>
      <c r="B1574" s="2" t="s">
        <v>553</v>
      </c>
      <c r="C1574" s="2">
        <v>2851</v>
      </c>
      <c r="D1574" s="2">
        <v>1</v>
      </c>
      <c r="E1574" s="2" t="str">
        <f>"1000003996"</f>
        <v>1000003996</v>
      </c>
      <c r="F1574" s="4" t="str">
        <f>"DISP DIAPERS: Infant, 11-16 LBS, prefolded, disposable diapers, 48/pk, 4pk/cs"</f>
        <v>DISP DIAPERS: Infant, 11-16 LBS, prefolded, disposable diapers, 48/pk, 4pk/cs</v>
      </c>
      <c r="G1574" s="74" t="str">
        <f t="shared" si="104"/>
        <v>CA</v>
      </c>
      <c r="H1574" s="7">
        <v>43</v>
      </c>
      <c r="I1574" s="2" t="str">
        <f>"53102305"</f>
        <v>53102305</v>
      </c>
      <c r="J1574" s="10" t="s">
        <v>128</v>
      </c>
    </row>
    <row r="1575" spans="1:10" ht="38.25">
      <c r="A1575" s="9" t="s">
        <v>40</v>
      </c>
      <c r="B1575" s="2" t="s">
        <v>553</v>
      </c>
      <c r="C1575" s="2">
        <v>2851</v>
      </c>
      <c r="D1575" s="2">
        <v>3</v>
      </c>
      <c r="E1575" s="2" t="str">
        <f>"1000004031"</f>
        <v>1000004031</v>
      </c>
      <c r="F1575" s="4" t="str">
        <f>"DISP DIAPERS:Newborn, 6-11 LBS, prefolded, disposable diapers, 400 per case."</f>
        <v>DISP DIAPERS:Newborn, 6-11 LBS, prefolded, disposable diapers, 400 per case.</v>
      </c>
      <c r="G1575" s="74" t="str">
        <f t="shared" si="104"/>
        <v>CA</v>
      </c>
      <c r="H1575" s="7">
        <v>59</v>
      </c>
      <c r="I1575" s="2" t="str">
        <f>"53102305"</f>
        <v>53102305</v>
      </c>
      <c r="J1575" s="10" t="s">
        <v>128</v>
      </c>
    </row>
    <row r="1576" spans="1:10" ht="38.25">
      <c r="A1576" s="9" t="s">
        <v>40</v>
      </c>
      <c r="B1576" s="2" t="s">
        <v>553</v>
      </c>
      <c r="C1576" s="2">
        <v>2851</v>
      </c>
      <c r="D1576" s="2">
        <v>6</v>
      </c>
      <c r="E1576" s="2" t="str">
        <f>"1000004260"</f>
        <v>1000004260</v>
      </c>
      <c r="F1576" s="4" t="str">
        <f>"UNDERPAD: 24""x36"", Disposable hospital underpad, polyback, flame retardant pad, 24""x36"", 130g, 150/cs"</f>
        <v>UNDERPAD: 24"x36", Disposable hospital underpad, polyback, flame retardant pad, 24"x36", 130g, 150/cs</v>
      </c>
      <c r="G1576" s="74" t="str">
        <f t="shared" si="104"/>
        <v>CA</v>
      </c>
      <c r="H1576" s="7">
        <v>35</v>
      </c>
      <c r="I1576" s="2" t="str">
        <f>"42132101"</f>
        <v>42132101</v>
      </c>
      <c r="J1576" s="10" t="s">
        <v>129</v>
      </c>
    </row>
    <row r="1577" spans="1:10" ht="38.25">
      <c r="A1577" s="9" t="s">
        <v>40</v>
      </c>
      <c r="B1577" s="2" t="s">
        <v>553</v>
      </c>
      <c r="C1577" s="2">
        <v>2851</v>
      </c>
      <c r="D1577" s="2">
        <v>4</v>
      </c>
      <c r="E1577" s="2" t="str">
        <f>"1000004290"</f>
        <v>1000004290</v>
      </c>
      <c r="F1577" s="4" t="str">
        <f>"UNDERPAD: 23""x24"", Disposable hospital underpad, polyback, flame retardant pad 23""x24"", 46gm, 200/cs"</f>
        <v>UNDERPAD: 23"x24", Disposable hospital underpad, polyback, flame retardant pad 23"x24", 46gm, 200/cs</v>
      </c>
      <c r="G1577" s="74" t="str">
        <f t="shared" si="104"/>
        <v>CA</v>
      </c>
      <c r="H1577" s="7">
        <v>28</v>
      </c>
      <c r="I1577" s="2" t="str">
        <f>"42132101"</f>
        <v>42132101</v>
      </c>
      <c r="J1577" s="10" t="s">
        <v>129</v>
      </c>
    </row>
    <row r="1578" spans="1:10" ht="38.25">
      <c r="A1578" s="9" t="s">
        <v>40</v>
      </c>
      <c r="B1578" s="2" t="s">
        <v>553</v>
      </c>
      <c r="C1578" s="2">
        <v>2851</v>
      </c>
      <c r="D1578" s="2">
        <v>5</v>
      </c>
      <c r="E1578" s="2" t="str">
        <f>"1000004313"</f>
        <v>1000004313</v>
      </c>
      <c r="F1578" s="4" t="str">
        <f>"UNDERPAD: 23""x36"", Disposable hosptial underpad, polyback, flame retardant pad, 23""x36"", 68gm, 150/cs"</f>
        <v>UNDERPAD: 23"x36", Disposable hosptial underpad, polyback, flame retardant pad, 23"x36", 68gm, 150/cs</v>
      </c>
      <c r="G1578" s="74" t="str">
        <f t="shared" si="104"/>
        <v>CA</v>
      </c>
      <c r="H1578" s="7">
        <v>30</v>
      </c>
      <c r="I1578" s="2" t="str">
        <f>"42132101"</f>
        <v>42132101</v>
      </c>
      <c r="J1578" s="10" t="s">
        <v>129</v>
      </c>
    </row>
    <row r="1579" spans="1:10">
      <c r="A1579" s="9" t="s">
        <v>40</v>
      </c>
      <c r="B1579" s="2" t="s">
        <v>553</v>
      </c>
      <c r="C1579" s="2">
        <v>2851</v>
      </c>
      <c r="D1579" s="2">
        <v>8</v>
      </c>
      <c r="E1579" s="2" t="str">
        <f>"1000008974"</f>
        <v>1000008974</v>
      </c>
      <c r="F1579" s="4" t="str">
        <f>"SHIPPING: General Charges"</f>
        <v>SHIPPING: General Charges</v>
      </c>
      <c r="G1579" s="74" t="str">
        <f>"EA"</f>
        <v>EA</v>
      </c>
      <c r="H1579" s="7">
        <v>30</v>
      </c>
      <c r="I1579" s="2" t="str">
        <f>"78121603"</f>
        <v>78121603</v>
      </c>
      <c r="J1579" s="10" t="s">
        <v>75</v>
      </c>
    </row>
    <row r="1580" spans="1:10" ht="51">
      <c r="A1580" s="9" t="s">
        <v>40</v>
      </c>
      <c r="B1580" s="2" t="s">
        <v>553</v>
      </c>
      <c r="C1580" s="2">
        <v>3124</v>
      </c>
      <c r="D1580" s="2">
        <v>2</v>
      </c>
      <c r="E1580" s="2" t="str">
        <f>"1000025188"</f>
        <v>1000025188</v>
      </c>
      <c r="F1580" s="4" t="str">
        <f>"SANI NAPKIN:250/cs Indv. wrapped, beltless (non-dispensing) Maxi-pads, self-adhesive, safety shield, tapered ends, individually wrapped, 250/cs"</f>
        <v>SANI NAPKIN:250/cs Indv. wrapped, beltless (non-dispensing) Maxi-pads, self-adhesive, safety shield, tapered ends, individually wrapped, 250/cs</v>
      </c>
      <c r="G1580" s="74" t="str">
        <f>"CA"</f>
        <v>CA</v>
      </c>
      <c r="H1580" s="7">
        <v>20</v>
      </c>
      <c r="I1580" s="2" t="str">
        <f>"53131615"</f>
        <v>53131615</v>
      </c>
      <c r="J1580" s="10" t="s">
        <v>131</v>
      </c>
    </row>
    <row r="1581" spans="1:10" ht="38.25">
      <c r="A1581" s="9" t="s">
        <v>40</v>
      </c>
      <c r="B1581" s="2" t="s">
        <v>553</v>
      </c>
      <c r="C1581" s="2">
        <v>3124</v>
      </c>
      <c r="D1581" s="2">
        <v>3</v>
      </c>
      <c r="E1581" s="2" t="str">
        <f>"1000025189"</f>
        <v>1000025189</v>
      </c>
      <c r="F1581" s="4" t="str">
        <f>"TAMPONS: Regular Size, (non-dispensing) cardboard applicator, comfort shape, flushable applicator, 500/cs"</f>
        <v>TAMPONS: Regular Size, (non-dispensing) cardboard applicator, comfort shape, flushable applicator, 500/cs</v>
      </c>
      <c r="G1581" s="74" t="str">
        <f>"CA"</f>
        <v>CA</v>
      </c>
      <c r="H1581" s="7">
        <v>60</v>
      </c>
      <c r="I1581" s="2" t="str">
        <f>"53131615"</f>
        <v>53131615</v>
      </c>
      <c r="J1581" s="10" t="s">
        <v>131</v>
      </c>
    </row>
    <row r="1582" spans="1:10" ht="38.25">
      <c r="A1582" s="9" t="s">
        <v>40</v>
      </c>
      <c r="B1582" s="2" t="s">
        <v>553</v>
      </c>
      <c r="C1582" s="2">
        <v>3124</v>
      </c>
      <c r="D1582" s="2">
        <v>4</v>
      </c>
      <c r="E1582" s="2" t="str">
        <f>"1000025190"</f>
        <v>1000025190</v>
      </c>
      <c r="F1582" s="4" t="str">
        <f>"TAMPON: Super Size, (non-dispensing) with cardboard applicator, comfort shape, 500/case"</f>
        <v>TAMPON: Super Size, (non-dispensing) with cardboard applicator, comfort shape, 500/case</v>
      </c>
      <c r="G1582" s="74" t="str">
        <f>"CA"</f>
        <v>CA</v>
      </c>
      <c r="H1582" s="7">
        <v>63</v>
      </c>
      <c r="I1582" s="2" t="str">
        <f>"53131615"</f>
        <v>53131615</v>
      </c>
      <c r="J1582" s="10" t="s">
        <v>131</v>
      </c>
    </row>
    <row r="1583" spans="1:10" ht="63.75">
      <c r="A1583" s="9" t="s">
        <v>40</v>
      </c>
      <c r="B1583" s="2" t="s">
        <v>553</v>
      </c>
      <c r="C1583" s="2">
        <v>3124</v>
      </c>
      <c r="D1583" s="2">
        <v>5</v>
      </c>
      <c r="E1583" s="2" t="str">
        <f>"1000025191"</f>
        <v>1000025191</v>
      </c>
      <c r="F1583" s="4" t="str">
        <f>"WIPES: 600 total count. Disposable washcloth, alcohol free, preferred medical wipes, made with aloe vera, latex free, 9x13, 60 spun laced washcloths in a tub. 12 tubs/case."</f>
        <v>WIPES: 600 total count. Disposable washcloth, alcohol free, preferred medical wipes, made with aloe vera, latex free, 9x13, 60 spun laced washcloths in a tub. 12 tubs/case.</v>
      </c>
      <c r="G1583" s="74" t="str">
        <f>"CA"</f>
        <v>CA</v>
      </c>
      <c r="H1583" s="7">
        <v>31</v>
      </c>
      <c r="I1583" s="2" t="str">
        <f>"53131624"</f>
        <v>53131624</v>
      </c>
      <c r="J1583" s="10" t="s">
        <v>130</v>
      </c>
    </row>
    <row r="1584" spans="1:10" ht="51">
      <c r="A1584" s="9" t="s">
        <v>40</v>
      </c>
      <c r="B1584" s="2" t="s">
        <v>553</v>
      </c>
      <c r="C1584" s="2">
        <v>3124</v>
      </c>
      <c r="D1584" s="2">
        <v>1</v>
      </c>
      <c r="E1584" s="2" t="str">
        <f>"1000025195"</f>
        <v>1000025195</v>
      </c>
      <c r="F1584" s="4" t="str">
        <f>"SANI NAPKIN:360/CS, 30/bag, 12 Bags/CS beltless (non-dispens) Maxi-pads(self-adhesive) safety shield-tapered ends, bulk case."</f>
        <v>SANI NAPKIN:360/CS, 30/bag, 12 Bags/CS beltless (non-dispens) Maxi-pads(self-adhesive) safety shield-tapered ends, bulk case.</v>
      </c>
      <c r="G1584" s="74" t="str">
        <f>"CA"</f>
        <v>CA</v>
      </c>
      <c r="H1584" s="7">
        <v>30</v>
      </c>
      <c r="I1584" s="2" t="str">
        <f>"53131615"</f>
        <v>53131615</v>
      </c>
      <c r="J1584" s="10" t="s">
        <v>131</v>
      </c>
    </row>
    <row r="1585" spans="1:10">
      <c r="A1585" s="84"/>
      <c r="B1585" s="2" t="s">
        <v>553</v>
      </c>
      <c r="C1585" s="85"/>
      <c r="D1585" s="85"/>
      <c r="E1585" s="85" t="s">
        <v>610</v>
      </c>
      <c r="F1585" s="94" t="s">
        <v>259</v>
      </c>
      <c r="G1585" s="86"/>
      <c r="H1585" s="87"/>
      <c r="I1585" s="96">
        <v>46151606</v>
      </c>
      <c r="J1585" s="100" t="s">
        <v>630</v>
      </c>
    </row>
    <row r="1586" spans="1:10" ht="25.5">
      <c r="A1586" s="84"/>
      <c r="B1586" s="2" t="s">
        <v>553</v>
      </c>
      <c r="C1586" s="85"/>
      <c r="D1586" s="85"/>
      <c r="E1586" s="85" t="s">
        <v>610</v>
      </c>
      <c r="F1586" s="94" t="s">
        <v>284</v>
      </c>
      <c r="G1586" s="86"/>
      <c r="H1586" s="87"/>
      <c r="I1586" s="96">
        <v>72102905</v>
      </c>
      <c r="J1586" s="98" t="s">
        <v>645</v>
      </c>
    </row>
    <row r="1587" spans="1:10" ht="25.5">
      <c r="A1587" s="84"/>
      <c r="B1587" s="2" t="s">
        <v>553</v>
      </c>
      <c r="C1587" s="85"/>
      <c r="D1587" s="85"/>
      <c r="E1587" s="85" t="s">
        <v>610</v>
      </c>
      <c r="F1587" s="94" t="s">
        <v>285</v>
      </c>
      <c r="G1587" s="86"/>
      <c r="H1587" s="87"/>
      <c r="I1587" s="96">
        <v>72102905</v>
      </c>
      <c r="J1587" s="98" t="s">
        <v>645</v>
      </c>
    </row>
    <row r="1588" spans="1:10">
      <c r="A1588" s="84"/>
      <c r="B1588" s="2" t="s">
        <v>553</v>
      </c>
      <c r="C1588" s="85"/>
      <c r="D1588" s="85"/>
      <c r="E1588" s="85" t="s">
        <v>610</v>
      </c>
      <c r="F1588" s="49" t="s">
        <v>261</v>
      </c>
      <c r="G1588" s="86"/>
      <c r="H1588" s="87"/>
      <c r="I1588" s="68">
        <v>73151500</v>
      </c>
      <c r="J1588" s="99" t="s">
        <v>261</v>
      </c>
    </row>
    <row r="1589" spans="1:10">
      <c r="A1589" s="84"/>
      <c r="B1589" s="2" t="s">
        <v>553</v>
      </c>
      <c r="C1589" s="85"/>
      <c r="D1589" s="85"/>
      <c r="E1589" s="85" t="s">
        <v>610</v>
      </c>
      <c r="F1589" s="49" t="s">
        <v>246</v>
      </c>
      <c r="G1589" s="86"/>
      <c r="H1589" s="87"/>
      <c r="I1589" s="68">
        <v>73151600</v>
      </c>
      <c r="J1589" s="99" t="s">
        <v>246</v>
      </c>
    </row>
    <row r="1590" spans="1:10">
      <c r="A1590" s="84"/>
      <c r="B1590" s="2" t="s">
        <v>553</v>
      </c>
      <c r="C1590" s="85"/>
      <c r="D1590" s="85"/>
      <c r="E1590" s="85" t="s">
        <v>610</v>
      </c>
      <c r="F1590" s="49" t="s">
        <v>279</v>
      </c>
      <c r="G1590" s="86"/>
      <c r="H1590" s="87"/>
      <c r="I1590" s="68">
        <v>76111800</v>
      </c>
      <c r="J1590" s="100" t="s">
        <v>649</v>
      </c>
    </row>
    <row r="1591" spans="1:10">
      <c r="A1591" s="84"/>
      <c r="B1591" s="2" t="s">
        <v>553</v>
      </c>
      <c r="C1591" s="85"/>
      <c r="D1591" s="85"/>
      <c r="E1591" s="85" t="s">
        <v>610</v>
      </c>
      <c r="F1591" s="49" t="s">
        <v>243</v>
      </c>
      <c r="G1591" s="86"/>
      <c r="H1591" s="87"/>
      <c r="I1591" s="68">
        <v>80141800</v>
      </c>
      <c r="J1591" s="99" t="s">
        <v>243</v>
      </c>
    </row>
    <row r="1592" spans="1:10" ht="25.5">
      <c r="A1592" s="84"/>
      <c r="B1592" s="2" t="s">
        <v>553</v>
      </c>
      <c r="C1592" s="85"/>
      <c r="D1592" s="85"/>
      <c r="E1592" s="85" t="s">
        <v>610</v>
      </c>
      <c r="F1592" s="49" t="s">
        <v>237</v>
      </c>
      <c r="G1592" s="86"/>
      <c r="H1592" s="87"/>
      <c r="I1592" s="68">
        <v>82121701</v>
      </c>
      <c r="J1592" s="98" t="s">
        <v>659</v>
      </c>
    </row>
    <row r="1593" spans="1:10" ht="25.5">
      <c r="A1593" s="9" t="s">
        <v>42</v>
      </c>
      <c r="B1593" s="2" t="s">
        <v>43</v>
      </c>
      <c r="C1593" s="2">
        <v>3042</v>
      </c>
      <c r="D1593" s="2">
        <v>1</v>
      </c>
      <c r="E1593" s="2" t="str">
        <f>"1000007507"</f>
        <v>1000007507</v>
      </c>
      <c r="F1593" s="93" t="str">
        <f>"SERVICE:Document Destruction - Shredding"</f>
        <v>SERVICE:Document Destruction - Shredding</v>
      </c>
      <c r="G1593" s="74" t="str">
        <f>"LB"</f>
        <v>LB</v>
      </c>
      <c r="H1593" s="7">
        <v>0.16</v>
      </c>
      <c r="I1593" s="95" t="str">
        <f>"80161508"</f>
        <v>80161508</v>
      </c>
      <c r="J1593" s="10" t="s">
        <v>132</v>
      </c>
    </row>
    <row r="1594" spans="1:10">
      <c r="A1594" s="84"/>
      <c r="B1594" s="2" t="s">
        <v>43</v>
      </c>
      <c r="C1594" s="85"/>
      <c r="D1594" s="85"/>
      <c r="E1594" s="85" t="s">
        <v>610</v>
      </c>
      <c r="F1594" s="49" t="s">
        <v>261</v>
      </c>
      <c r="G1594" s="86"/>
      <c r="H1594" s="87"/>
      <c r="I1594" s="68">
        <v>73151500</v>
      </c>
      <c r="J1594" s="99" t="s">
        <v>261</v>
      </c>
    </row>
    <row r="1595" spans="1:10">
      <c r="A1595" s="84"/>
      <c r="B1595" s="2" t="s">
        <v>43</v>
      </c>
      <c r="C1595" s="85"/>
      <c r="D1595" s="85"/>
      <c r="E1595" s="85" t="s">
        <v>610</v>
      </c>
      <c r="F1595" s="49" t="s">
        <v>246</v>
      </c>
      <c r="G1595" s="86"/>
      <c r="H1595" s="87"/>
      <c r="I1595" s="68">
        <v>73151600</v>
      </c>
      <c r="J1595" s="99" t="s">
        <v>246</v>
      </c>
    </row>
    <row r="1596" spans="1:10">
      <c r="A1596" s="84"/>
      <c r="B1596" s="2" t="s">
        <v>43</v>
      </c>
      <c r="C1596" s="85"/>
      <c r="D1596" s="85"/>
      <c r="E1596" s="85" t="s">
        <v>610</v>
      </c>
      <c r="F1596" s="49" t="s">
        <v>250</v>
      </c>
      <c r="G1596" s="86"/>
      <c r="H1596" s="87"/>
      <c r="I1596" s="68">
        <v>76122300</v>
      </c>
      <c r="J1596" s="98" t="s">
        <v>652</v>
      </c>
    </row>
    <row r="1597" spans="1:10" ht="25.5">
      <c r="A1597" s="84"/>
      <c r="B1597" s="2" t="s">
        <v>43</v>
      </c>
      <c r="C1597" s="85"/>
      <c r="D1597" s="85"/>
      <c r="E1597" s="85" t="s">
        <v>610</v>
      </c>
      <c r="F1597" s="94" t="s">
        <v>237</v>
      </c>
      <c r="G1597" s="86"/>
      <c r="H1597" s="87"/>
      <c r="I1597" s="96">
        <v>82121701</v>
      </c>
      <c r="J1597" s="98" t="s">
        <v>659</v>
      </c>
    </row>
    <row r="1598" spans="1:10">
      <c r="A1598" s="84"/>
      <c r="B1598" s="85" t="s">
        <v>615</v>
      </c>
      <c r="C1598" s="85"/>
      <c r="D1598" s="85"/>
      <c r="E1598" s="85" t="s">
        <v>610</v>
      </c>
      <c r="F1598" s="49" t="s">
        <v>261</v>
      </c>
      <c r="G1598" s="86"/>
      <c r="H1598" s="87"/>
      <c r="I1598" s="68">
        <v>73151500</v>
      </c>
      <c r="J1598" s="99" t="s">
        <v>261</v>
      </c>
    </row>
    <row r="1599" spans="1:10">
      <c r="A1599" s="84"/>
      <c r="B1599" s="85" t="s">
        <v>615</v>
      </c>
      <c r="C1599" s="85"/>
      <c r="D1599" s="85"/>
      <c r="E1599" s="85" t="s">
        <v>610</v>
      </c>
      <c r="F1599" s="49" t="s">
        <v>246</v>
      </c>
      <c r="G1599" s="86"/>
      <c r="H1599" s="87"/>
      <c r="I1599" s="68">
        <v>73151600</v>
      </c>
      <c r="J1599" s="99" t="s">
        <v>246</v>
      </c>
    </row>
    <row r="1600" spans="1:10" ht="25.5">
      <c r="A1600" s="84"/>
      <c r="B1600" s="85" t="s">
        <v>615</v>
      </c>
      <c r="C1600" s="85"/>
      <c r="D1600" s="85"/>
      <c r="E1600" s="85" t="s">
        <v>610</v>
      </c>
      <c r="F1600" s="49" t="s">
        <v>262</v>
      </c>
      <c r="G1600" s="86"/>
      <c r="H1600" s="87"/>
      <c r="I1600" s="68">
        <v>76121505</v>
      </c>
      <c r="J1600" s="98" t="s">
        <v>650</v>
      </c>
    </row>
    <row r="1601" spans="1:10">
      <c r="A1601" s="84"/>
      <c r="B1601" s="85" t="s">
        <v>615</v>
      </c>
      <c r="C1601" s="85"/>
      <c r="D1601" s="85"/>
      <c r="E1601" s="85" t="s">
        <v>610</v>
      </c>
      <c r="F1601" s="49" t="s">
        <v>249</v>
      </c>
      <c r="G1601" s="86"/>
      <c r="H1601" s="87"/>
      <c r="I1601" s="68">
        <v>80141605</v>
      </c>
      <c r="J1601" s="11" t="s">
        <v>654</v>
      </c>
    </row>
    <row r="1602" spans="1:10" ht="25.5">
      <c r="A1602" s="84"/>
      <c r="B1602" s="85" t="s">
        <v>615</v>
      </c>
      <c r="C1602" s="85"/>
      <c r="D1602" s="85"/>
      <c r="E1602" s="85" t="s">
        <v>610</v>
      </c>
      <c r="F1602" s="49" t="s">
        <v>237</v>
      </c>
      <c r="G1602" s="86"/>
      <c r="H1602" s="87"/>
      <c r="I1602" s="68">
        <v>82121701</v>
      </c>
      <c r="J1602" s="98" t="s">
        <v>659</v>
      </c>
    </row>
    <row r="1603" spans="1:10" ht="89.25">
      <c r="A1603" s="9" t="s">
        <v>25</v>
      </c>
      <c r="B1603" s="2" t="s">
        <v>554</v>
      </c>
      <c r="C1603" s="2">
        <v>3508</v>
      </c>
      <c r="D1603" s="2">
        <v>17</v>
      </c>
      <c r="E1603" s="2" t="str">
        <f>"1000000063"</f>
        <v>1000000063</v>
      </c>
      <c r="F1603" s="93" t="str">
        <f>"SAFETY GLASSES:Blk/Clr/Gry, EA, Stylish cats eye look, scratch resistant lens, built in side impact protection. Designed for protection against impact hazards and/or flying particles, dust, sparks and glare. Frame Color: Black Lens Color: Clear or Grey"</f>
        <v>SAFETY GLASSES:Blk/Clr/Gry, EA, Stylish cats eye look, scratch resistant lens, built in side impact protection. Designed for protection against impact hazards and/or flying particles, dust, sparks and glare. Frame Color: Black Lens Color: Clear or Grey</v>
      </c>
      <c r="G1603" s="74" t="str">
        <f>"EA"</f>
        <v>EA</v>
      </c>
      <c r="H1603" s="7">
        <v>4.3</v>
      </c>
      <c r="I1603" s="95" t="str">
        <f t="shared" ref="I1603:I1612" si="105">"46181803"</f>
        <v>46181803</v>
      </c>
      <c r="J1603" s="11" t="s">
        <v>70</v>
      </c>
    </row>
    <row r="1604" spans="1:10" ht="89.25">
      <c r="A1604" s="9" t="s">
        <v>25</v>
      </c>
      <c r="B1604" s="2" t="s">
        <v>554</v>
      </c>
      <c r="C1604" s="2">
        <v>3508</v>
      </c>
      <c r="D1604" s="2">
        <v>9</v>
      </c>
      <c r="E1604" s="2" t="str">
        <f>"1000000173"</f>
        <v>1000000173</v>
      </c>
      <c r="F1604" s="93" t="str">
        <f>"SAFETY GLASSES: Blk/Gry-DZ, Shield styling w/ integral sideshields &amp; nosebridge, built-in browguard, adjust. emples. High impact, scratch resistant poly carbonate lens w/ fog free coating. Meets ANSI Z87.1.&amp; CSA Z94.3-1992. Dozen. Frame: Blk, Lens: Grey"</f>
        <v>SAFETY GLASSES: Blk/Gry-DZ, Shield styling w/ integral sideshields &amp; nosebridge, built-in browguard, adjust. emples. High impact, scratch resistant poly carbonate lens w/ fog free coating. Meets ANSI Z87.1.&amp; CSA Z94.3-1992. Dozen. Frame: Blk, Lens: Grey</v>
      </c>
      <c r="G1604" s="74" t="str">
        <f>"DZ"</f>
        <v>DZ</v>
      </c>
      <c r="H1604" s="7">
        <v>37</v>
      </c>
      <c r="I1604" s="95" t="str">
        <f t="shared" si="105"/>
        <v>46181803</v>
      </c>
      <c r="J1604" s="11" t="s">
        <v>70</v>
      </c>
    </row>
    <row r="1605" spans="1:10" ht="89.25">
      <c r="A1605" s="9" t="s">
        <v>25</v>
      </c>
      <c r="B1605" s="2" t="s">
        <v>554</v>
      </c>
      <c r="C1605" s="2">
        <v>3508</v>
      </c>
      <c r="D1605" s="2">
        <v>8</v>
      </c>
      <c r="E1605" s="2" t="str">
        <f>"1000000345"</f>
        <v>1000000345</v>
      </c>
      <c r="F1605" s="93" t="str">
        <f>"SAFETY GLASSES: Blk/Gry-EA, Shield styling w/ integral sideshields &amp; nosebridge, built-in browguard, adjustable temples. High impact, scratch resistant poly carbonate lens w/ fog free coating. Meets ANSI Z87.1.&amp; CSA Z94.3-1992 Frame: Black, Lens: Grey"</f>
        <v>SAFETY GLASSES: Blk/Gry-EA, Shield styling w/ integral sideshields &amp; nosebridge, built-in browguard, adjustable temples. High impact, scratch resistant poly carbonate lens w/ fog free coating. Meets ANSI Z87.1.&amp; CSA Z94.3-1992 Frame: Black, Lens: Grey</v>
      </c>
      <c r="G1605" s="74" t="str">
        <f>"EA"</f>
        <v>EA</v>
      </c>
      <c r="H1605" s="7">
        <v>3.12</v>
      </c>
      <c r="I1605" s="95" t="str">
        <f t="shared" si="105"/>
        <v>46181803</v>
      </c>
      <c r="J1605" s="11" t="s">
        <v>70</v>
      </c>
    </row>
    <row r="1606" spans="1:10" ht="89.25">
      <c r="A1606" s="9" t="s">
        <v>25</v>
      </c>
      <c r="B1606" s="2" t="s">
        <v>554</v>
      </c>
      <c r="C1606" s="2">
        <v>3508</v>
      </c>
      <c r="D1606" s="2">
        <v>10</v>
      </c>
      <c r="E1606" s="2" t="str">
        <f>"1000000498"</f>
        <v>1000000498</v>
      </c>
      <c r="F1606" s="93" t="str">
        <f>"SAFETY GLASSES: Blk/Clr, EA, Lens design closely follows facial contours, no distortion to peripheral vision. Polycarbonate lens, anti-fog, anti-scratch, anti-static, anti-chemical, UV protection. Meets ANSI Z87.1-2003 &amp; CSA Z94.1. Frame: Blk, Lens: Clr"</f>
        <v>SAFETY GLASSES: Blk/Clr, EA, Lens design closely follows facial contours, no distortion to peripheral vision. Polycarbonate lens, anti-fog, anti-scratch, anti-static, anti-chemical, UV protection. Meets ANSI Z87.1-2003 &amp; CSA Z94.1. Frame: Blk, Lens: Clr</v>
      </c>
      <c r="G1606" s="74" t="str">
        <f>"EA"</f>
        <v>EA</v>
      </c>
      <c r="H1606" s="7">
        <v>5.46</v>
      </c>
      <c r="I1606" s="95" t="str">
        <f t="shared" si="105"/>
        <v>46181803</v>
      </c>
      <c r="J1606" s="11" t="s">
        <v>70</v>
      </c>
    </row>
    <row r="1607" spans="1:10" ht="89.25">
      <c r="A1607" s="9" t="s">
        <v>25</v>
      </c>
      <c r="B1607" s="2" t="s">
        <v>554</v>
      </c>
      <c r="C1607" s="2">
        <v>3508</v>
      </c>
      <c r="D1607" s="2">
        <v>14</v>
      </c>
      <c r="E1607" s="2" t="str">
        <f>"1000000521"</f>
        <v>1000000521</v>
      </c>
      <c r="F1607" s="4" t="str">
        <f>"SAFETY GLASSES: Blk/Grn, EA, Lens design closely follows facial contours, no distortion to peripheral vision. Polycarbonate lens, anti-fog, anti-scratch, anti-static, anti-chemical, UV prtctn. Meets ANSI Z87.1-2003 &amp; CSA Z94.1 Frame: Blk, Lens: 3.0 Green"</f>
        <v>SAFETY GLASSES: Blk/Grn, EA, Lens design closely follows facial contours, no distortion to peripheral vision. Polycarbonate lens, anti-fog, anti-scratch, anti-static, anti-chemical, UV prtctn. Meets ANSI Z87.1-2003 &amp; CSA Z94.1 Frame: Blk, Lens: 3.0 Green</v>
      </c>
      <c r="G1607" s="74" t="str">
        <f>"EA"</f>
        <v>EA</v>
      </c>
      <c r="H1607" s="7">
        <v>7.01</v>
      </c>
      <c r="I1607" s="2" t="str">
        <f t="shared" si="105"/>
        <v>46181803</v>
      </c>
      <c r="J1607" s="11" t="s">
        <v>70</v>
      </c>
    </row>
    <row r="1608" spans="1:10" ht="89.25">
      <c r="A1608" s="9" t="s">
        <v>25</v>
      </c>
      <c r="B1608" s="2" t="s">
        <v>554</v>
      </c>
      <c r="C1608" s="2">
        <v>3508</v>
      </c>
      <c r="D1608" s="2">
        <v>18</v>
      </c>
      <c r="E1608" s="2" t="str">
        <f>"1000000529"</f>
        <v>1000000529</v>
      </c>
      <c r="F1608" s="4" t="str">
        <f>"SAFETY GLASSES:Blk/Clr/Gry, DZ, Stylish cats eye look,scratch resistant lens, built in side impact protection. Designed for protection against impact hazards and/or flying particles, dust, sparks and glare. Frame Color: Black Lens Color: Clear or Grey"</f>
        <v>SAFETY GLASSES:Blk/Clr/Gry, DZ, Stylish cats eye look,scratch resistant lens, built in side impact protection. Designed for protection against impact hazards and/or flying particles, dust, sparks and glare. Frame Color: Black Lens Color: Clear or Grey</v>
      </c>
      <c r="G1608" s="74" t="str">
        <f>"DZ"</f>
        <v>DZ</v>
      </c>
      <c r="H1608" s="7">
        <v>47</v>
      </c>
      <c r="I1608" s="2" t="str">
        <f t="shared" si="105"/>
        <v>46181803</v>
      </c>
      <c r="J1608" s="11" t="s">
        <v>70</v>
      </c>
    </row>
    <row r="1609" spans="1:10" ht="76.5">
      <c r="A1609" s="9" t="s">
        <v>25</v>
      </c>
      <c r="B1609" s="2" t="s">
        <v>554</v>
      </c>
      <c r="C1609" s="2">
        <v>3508</v>
      </c>
      <c r="D1609" s="2">
        <v>21</v>
      </c>
      <c r="E1609" s="2" t="str">
        <f>"1000000534"</f>
        <v>1000000534</v>
      </c>
      <c r="F1609" s="4" t="str">
        <f>"SAFETY GLASSES: Visitors spectacles, meets ANSI Z87.1 standard. Rugged enough for industrial eye protection, fits over prescription eyewear. Two sizes allows students/children to use w/ comfort. Size: Small or Large, specify at ordering, 20/bx"</f>
        <v>SAFETY GLASSES: Visitors spectacles, meets ANSI Z87.1 standard. Rugged enough for industrial eye protection, fits over prescription eyewear. Two sizes allows students/children to use w/ comfort. Size: Small or Large, specify at ordering, 20/bx</v>
      </c>
      <c r="G1609" s="74" t="str">
        <f>"BX"</f>
        <v>BX</v>
      </c>
      <c r="H1609" s="7">
        <v>30.35</v>
      </c>
      <c r="I1609" s="2" t="str">
        <f t="shared" si="105"/>
        <v>46181803</v>
      </c>
      <c r="J1609" s="11" t="s">
        <v>70</v>
      </c>
    </row>
    <row r="1610" spans="1:10" ht="89.25">
      <c r="A1610" s="9" t="s">
        <v>25</v>
      </c>
      <c r="B1610" s="2" t="s">
        <v>554</v>
      </c>
      <c r="C1610" s="2">
        <v>3508</v>
      </c>
      <c r="D1610" s="2">
        <v>11</v>
      </c>
      <c r="E1610" s="2" t="str">
        <f>"1000000975"</f>
        <v>1000000975</v>
      </c>
      <c r="F1610" s="4" t="str">
        <f>"SAFETY GLASSES: Blk/Clr, DZ, Lens design closely follows facial contours, no distortion to peripheral vision. Polycarbonate lens, anti-fog, anti-scratch, anti-static, anti-chemical, UV prtctn. Meets ANSI Z87.1-2003 &amp; CSA Z94.1 Frame: Black, Lens: Clear"</f>
        <v>SAFETY GLASSES: Blk/Clr, DZ, Lens design closely follows facial contours, no distortion to peripheral vision. Polycarbonate lens, anti-fog, anti-scratch, anti-static, anti-chemical, UV prtctn. Meets ANSI Z87.1-2003 &amp; CSA Z94.1 Frame: Black, Lens: Clear</v>
      </c>
      <c r="G1610" s="74" t="str">
        <f>"DZ"</f>
        <v>DZ</v>
      </c>
      <c r="H1610" s="7">
        <v>65</v>
      </c>
      <c r="I1610" s="2" t="str">
        <f t="shared" si="105"/>
        <v>46181803</v>
      </c>
      <c r="J1610" s="11" t="s">
        <v>70</v>
      </c>
    </row>
    <row r="1611" spans="1:10" ht="89.25">
      <c r="A1611" s="9" t="s">
        <v>25</v>
      </c>
      <c r="B1611" s="2" t="s">
        <v>554</v>
      </c>
      <c r="C1611" s="2">
        <v>3508</v>
      </c>
      <c r="D1611" s="2">
        <v>31</v>
      </c>
      <c r="E1611" s="2" t="str">
        <f>"1000000976"</f>
        <v>1000000976</v>
      </c>
      <c r="F1611" s="4" t="str">
        <f>"SAFETY GLASSES: Blu/Blk/Blk, Mirror Blue Lens. Lightweight, nylon frame, wrap around protection, 8 base lens curve increases peripheral vision, adjust. temples. 1 piece polycarbonate lens ANSI Z87,1-1989 compliant. Frame: Blu/Blk/Blk, Lens: Mirror Blue"</f>
        <v>SAFETY GLASSES: Blu/Blk/Blk, Mirror Blue Lens. Lightweight, nylon frame, wrap around protection, 8 base lens curve increases peripheral vision, adjust. temples. 1 piece polycarbonate lens ANSI Z87,1-1989 compliant. Frame: Blu/Blk/Blk, Lens: Mirror Blue</v>
      </c>
      <c r="G1611" s="74" t="str">
        <f>"DZ"</f>
        <v>DZ</v>
      </c>
      <c r="H1611" s="7">
        <v>60</v>
      </c>
      <c r="I1611" s="2" t="str">
        <f t="shared" si="105"/>
        <v>46181803</v>
      </c>
      <c r="J1611" s="11" t="s">
        <v>70</v>
      </c>
    </row>
    <row r="1612" spans="1:10" ht="76.5">
      <c r="A1612" s="9" t="s">
        <v>25</v>
      </c>
      <c r="B1612" s="2" t="s">
        <v>554</v>
      </c>
      <c r="C1612" s="2">
        <v>3508</v>
      </c>
      <c r="D1612" s="2">
        <v>29</v>
      </c>
      <c r="E1612" s="2" t="str">
        <f>"1000001052"</f>
        <v>1000001052</v>
      </c>
      <c r="F1612" s="4" t="str">
        <f>"SAFETY GLASSES: Gry Lens, Sport style frame with deep curve lens, durable nylon frame w/ universal nosebridge. Meets ANSI Z87.1-1989 &amp; CSA High Impact standards. Frame: Black or Blue (specify at time of order) Lens: Grey"</f>
        <v>SAFETY GLASSES: Gry Lens, Sport style frame with deep curve lens, durable nylon frame w/ universal nosebridge. Meets ANSI Z87.1-1989 &amp; CSA High Impact standards. Frame: Black or Blue (specify at time of order) Lens: Grey</v>
      </c>
      <c r="G1612" s="74" t="str">
        <f>"DZ"</f>
        <v>DZ</v>
      </c>
      <c r="H1612" s="7">
        <v>85</v>
      </c>
      <c r="I1612" s="2" t="str">
        <f t="shared" si="105"/>
        <v>46181803</v>
      </c>
      <c r="J1612" s="11" t="s">
        <v>70</v>
      </c>
    </row>
    <row r="1613" spans="1:10" ht="63.75">
      <c r="A1613" s="9" t="s">
        <v>25</v>
      </c>
      <c r="B1613" s="2" t="s">
        <v>554</v>
      </c>
      <c r="C1613" s="2">
        <v>3508</v>
      </c>
      <c r="D1613" s="2">
        <v>2</v>
      </c>
      <c r="E1613" s="2" t="str">
        <f>"1000001104"</f>
        <v>1000001104</v>
      </c>
      <c r="F1613" s="4" t="str">
        <f>"SURVEY FLAG ROLL: Glow, flagging, surveyor. 1 3/16, Glow roll flagging tape, 150' x 1-3/16 rolls. -10 degrees F temp. resistance, 4.5 mil thickness. Colors: glow blue, glow yellow, glow red, glow orange"</f>
        <v>SURVEY FLAG ROLL: Glow, flagging, surveyor. 1 3/16, Glow roll flagging tape, 150' x 1-3/16 rolls. -10 degrees F temp. resistance, 4.5 mil thickness. Colors: glow blue, glow yellow, glow red, glow orange</v>
      </c>
      <c r="G1613" s="74" t="str">
        <f>"RL"</f>
        <v>RL</v>
      </c>
      <c r="H1613" s="7">
        <v>1</v>
      </c>
      <c r="I1613" s="2" t="str">
        <f>"31201525"</f>
        <v>31201525</v>
      </c>
      <c r="J1613" s="11" t="s">
        <v>68</v>
      </c>
    </row>
    <row r="1614" spans="1:10" ht="63.75">
      <c r="A1614" s="9" t="s">
        <v>25</v>
      </c>
      <c r="B1614" s="2" t="s">
        <v>554</v>
      </c>
      <c r="C1614" s="2">
        <v>3508</v>
      </c>
      <c r="D1614" s="2">
        <v>3</v>
      </c>
      <c r="E1614" s="2" t="str">
        <f>"1000001107"</f>
        <v>1000001107</v>
      </c>
      <c r="F1614" s="4" t="str">
        <f>"SURVEY FLAG ROLL: Standard, flagging, surveyor. 1 3/16. Standard roll flagging, 300' x 1-3/16 rolls. -10 degrees F temp. resistance, 2.5 mil thickness.Colors: blue, yellow, red, orange"</f>
        <v>SURVEY FLAG ROLL: Standard, flagging, surveyor. 1 3/16. Standard roll flagging, 300' x 1-3/16 rolls. -10 degrees F temp. resistance, 2.5 mil thickness.Colors: blue, yellow, red, orange</v>
      </c>
      <c r="G1614" s="74" t="str">
        <f>"RL"</f>
        <v>RL</v>
      </c>
      <c r="H1614" s="7">
        <v>1</v>
      </c>
      <c r="I1614" s="2" t="str">
        <f>"31201525"</f>
        <v>31201525</v>
      </c>
      <c r="J1614" s="11" t="s">
        <v>68</v>
      </c>
    </row>
    <row r="1615" spans="1:10" ht="89.25">
      <c r="A1615" s="9" t="s">
        <v>25</v>
      </c>
      <c r="B1615" s="2" t="s">
        <v>554</v>
      </c>
      <c r="C1615" s="2">
        <v>3508</v>
      </c>
      <c r="D1615" s="2">
        <v>25</v>
      </c>
      <c r="E1615" s="2" t="str">
        <f>"1000001243"</f>
        <v>1000001243</v>
      </c>
      <c r="F1615" s="4" t="str">
        <f>"SAFETY GLASSES: Blk, Amber, Maximum safeguard against eye injuries, curved lenses provide more than 180 degrees of coverage. Nose buds secrue glasses to face w/out slipping, adjustable temples, meets ANSI Z87.1. Frame: Black, Lens: Amber, 12/bx"</f>
        <v>SAFETY GLASSES: Blk, Amber, Maximum safeguard against eye injuries, curved lenses provide more than 180 degrees of coverage. Nose buds secrue glasses to face w/out slipping, adjustable temples, meets ANSI Z87.1. Frame: Black, Lens: Amber, 12/bx</v>
      </c>
      <c r="G1615" s="74" t="str">
        <f>"BX"</f>
        <v>BX</v>
      </c>
      <c r="H1615" s="7">
        <v>63</v>
      </c>
      <c r="I1615" s="2" t="str">
        <f t="shared" ref="I1615:I1630" si="106">"46181803"</f>
        <v>46181803</v>
      </c>
      <c r="J1615" s="11" t="s">
        <v>70</v>
      </c>
    </row>
    <row r="1616" spans="1:10" ht="89.25">
      <c r="A1616" s="9" t="s">
        <v>25</v>
      </c>
      <c r="B1616" s="2" t="s">
        <v>554</v>
      </c>
      <c r="C1616" s="2">
        <v>3508</v>
      </c>
      <c r="D1616" s="2">
        <v>26</v>
      </c>
      <c r="E1616" s="2" t="str">
        <f>"1000001244"</f>
        <v>1000001244</v>
      </c>
      <c r="F1616" s="4" t="str">
        <f>"SAFETY GLASSES: Blk/Grn, Maximum safeguard against eye injuries, curved lenses provide more than 180 degrees of coverage. Nose buds secrue glasses to face w/out slipping, adjustable temples, meets ANSI Z87.1 Frame: Black, Lens: 3.0 Green, 12/bx"</f>
        <v>SAFETY GLASSES: Blk/Grn, Maximum safeguard against eye injuries, curved lenses provide more than 180 degrees of coverage. Nose buds secrue glasses to face w/out slipping, adjustable temples, meets ANSI Z87.1 Frame: Black, Lens: 3.0 Green, 12/bx</v>
      </c>
      <c r="G1616" s="74" t="str">
        <f>"BX"</f>
        <v>BX</v>
      </c>
      <c r="H1616" s="7">
        <v>63</v>
      </c>
      <c r="I1616" s="2" t="str">
        <f t="shared" si="106"/>
        <v>46181803</v>
      </c>
      <c r="J1616" s="11" t="s">
        <v>70</v>
      </c>
    </row>
    <row r="1617" spans="1:10" ht="89.25">
      <c r="A1617" s="9" t="s">
        <v>25</v>
      </c>
      <c r="B1617" s="2" t="s">
        <v>554</v>
      </c>
      <c r="C1617" s="2">
        <v>3508</v>
      </c>
      <c r="D1617" s="2">
        <v>19</v>
      </c>
      <c r="E1617" s="2" t="str">
        <f>"1000001267"</f>
        <v>1000001267</v>
      </c>
      <c r="F1617" s="4" t="str">
        <f>"SAFETY GLASSES: Clear Lens, Wrap around lens, anti-fog, anti-scratch, anti-static, anti-chemical against most chems., adjustable temples, lens inclination. Meets or exceeds ANSI Z87.1 &amp; CSA Z94.3. Frame: Black, Blue or Red/White/Blue, Lens: Clear, 10/bx"</f>
        <v>SAFETY GLASSES: Clear Lens, Wrap around lens, anti-fog, anti-scratch, anti-static, anti-chemical against most chems., adjustable temples, lens inclination. Meets or exceeds ANSI Z87.1 &amp; CSA Z94.3. Frame: Black, Blue or Red/White/Blue, Lens: Clear, 10/bx</v>
      </c>
      <c r="G1617" s="74" t="str">
        <f>"BX"</f>
        <v>BX</v>
      </c>
      <c r="H1617" s="7">
        <v>53</v>
      </c>
      <c r="I1617" s="2" t="str">
        <f t="shared" si="106"/>
        <v>46181803</v>
      </c>
      <c r="J1617" s="11" t="s">
        <v>70</v>
      </c>
    </row>
    <row r="1618" spans="1:10" ht="89.25">
      <c r="A1618" s="9" t="s">
        <v>25</v>
      </c>
      <c r="B1618" s="2" t="s">
        <v>554</v>
      </c>
      <c r="C1618" s="2">
        <v>3508</v>
      </c>
      <c r="D1618" s="2">
        <v>20</v>
      </c>
      <c r="E1618" s="2" t="str">
        <f>"1000001268"</f>
        <v>1000001268</v>
      </c>
      <c r="F1618" s="4" t="str">
        <f>"SAFETY GLASSES: Grey Lens, Wrap around lens, anti-fog, anti-scratch, anti-static, anti-chemical against most chems., adjustable temples, lens inclination. Meets or exceeds ANSI Z87.1 &amp; CSA Z94.3. Frame: Black, Blue or Red/White/Blue, Lens: Grey, 10/bx"</f>
        <v>SAFETY GLASSES: Grey Lens, Wrap around lens, anti-fog, anti-scratch, anti-static, anti-chemical against most chems., adjustable temples, lens inclination. Meets or exceeds ANSI Z87.1 &amp; CSA Z94.3. Frame: Black, Blue or Red/White/Blue, Lens: Grey, 10/bx</v>
      </c>
      <c r="G1618" s="74" t="str">
        <f>"BX"</f>
        <v>BX</v>
      </c>
      <c r="H1618" s="7">
        <v>60</v>
      </c>
      <c r="I1618" s="2" t="str">
        <f t="shared" si="106"/>
        <v>46181803</v>
      </c>
      <c r="J1618" s="11" t="s">
        <v>70</v>
      </c>
    </row>
    <row r="1619" spans="1:10" ht="89.25">
      <c r="A1619" s="9" t="s">
        <v>25</v>
      </c>
      <c r="B1619" s="2" t="s">
        <v>554</v>
      </c>
      <c r="C1619" s="2">
        <v>3508</v>
      </c>
      <c r="D1619" s="2">
        <v>24</v>
      </c>
      <c r="E1619" s="2" t="str">
        <f>"1000001269"</f>
        <v>1000001269</v>
      </c>
      <c r="F1619" s="4" t="str">
        <f>"SAFETY GLASSES: Amber Lens, Wrap around lens, anti-fog, anti-scratch, anti-static, anti-chemical against most chems., adjustable temples, lens inclination. Meets or exceeds ANSI Z87.1 &amp; CSA Z94.3. Frame: Black, Blue or Red/White/Blue. Lens: Amber, 10/box"</f>
        <v>SAFETY GLASSES: Amber Lens, Wrap around lens, anti-fog, anti-scratch, anti-static, anti-chemical against most chems., adjustable temples, lens inclination. Meets or exceeds ANSI Z87.1 &amp; CSA Z94.3. Frame: Black, Blue or Red/White/Blue. Lens: Amber, 10/box</v>
      </c>
      <c r="G1619" s="74" t="str">
        <f>"BX"</f>
        <v>BX</v>
      </c>
      <c r="H1619" s="7">
        <v>60</v>
      </c>
      <c r="I1619" s="2" t="str">
        <f t="shared" si="106"/>
        <v>46181803</v>
      </c>
      <c r="J1619" s="11" t="s">
        <v>70</v>
      </c>
    </row>
    <row r="1620" spans="1:10" ht="89.25">
      <c r="A1620" s="9" t="s">
        <v>25</v>
      </c>
      <c r="B1620" s="2" t="s">
        <v>554</v>
      </c>
      <c r="C1620" s="2">
        <v>3508</v>
      </c>
      <c r="D1620" s="2">
        <v>33</v>
      </c>
      <c r="E1620" s="2" t="str">
        <f>"1000001286"</f>
        <v>1000001286</v>
      </c>
      <c r="F1620" s="4" t="str">
        <f>"SAFETY GLASSES: Smk/Slvr/Smk, Smoke Lens. Lightweight, nylon frame, wrap around protection, 8 base lens curve increases peripheral vision, adjust. temples. 1 piece polycarbonate lens ANSI Z87,1-1989 compliant. Frame: Smoke/Silver/Smoke, Lens: Smoke"</f>
        <v>SAFETY GLASSES: Smk/Slvr/Smk, Smoke Lens. Lightweight, nylon frame, wrap around protection, 8 base lens curve increases peripheral vision, adjust. temples. 1 piece polycarbonate lens ANSI Z87,1-1989 compliant. Frame: Smoke/Silver/Smoke, Lens: Smoke</v>
      </c>
      <c r="G1620" s="74" t="str">
        <f>"DZ"</f>
        <v>DZ</v>
      </c>
      <c r="H1620" s="7">
        <v>64.8</v>
      </c>
      <c r="I1620" s="2" t="str">
        <f t="shared" si="106"/>
        <v>46181803</v>
      </c>
      <c r="J1620" s="11" t="s">
        <v>70</v>
      </c>
    </row>
    <row r="1621" spans="1:10" ht="89.25">
      <c r="A1621" s="9" t="s">
        <v>25</v>
      </c>
      <c r="B1621" s="2" t="s">
        <v>554</v>
      </c>
      <c r="C1621" s="2">
        <v>3508</v>
      </c>
      <c r="D1621" s="2">
        <v>22</v>
      </c>
      <c r="E1621" s="2" t="str">
        <f>"1000001307"</f>
        <v>1000001307</v>
      </c>
      <c r="F1621" s="4" t="str">
        <f>"SAFETY GLASSES: Blk/Clr, Maximum safeguard against eye injuries, curved lenses provide more than 180 degrees of coverage. Nose buds secrue glasses to face w/out slipping, adjustable temples, meets ANSI Z87.1 Frame: Black, Lens: Clear, 12/bx"</f>
        <v>SAFETY GLASSES: Blk/Clr, Maximum safeguard against eye injuries, curved lenses provide more than 180 degrees of coverage. Nose buds secrue glasses to face w/out slipping, adjustable temples, meets ANSI Z87.1 Frame: Black, Lens: Clear, 12/bx</v>
      </c>
      <c r="G1621" s="74" t="str">
        <f>"BX"</f>
        <v>BX</v>
      </c>
      <c r="H1621" s="7">
        <v>53</v>
      </c>
      <c r="I1621" s="2" t="str">
        <f t="shared" si="106"/>
        <v>46181803</v>
      </c>
      <c r="J1621" s="11" t="s">
        <v>70</v>
      </c>
    </row>
    <row r="1622" spans="1:10" ht="89.25">
      <c r="A1622" s="9" t="s">
        <v>25</v>
      </c>
      <c r="B1622" s="2" t="s">
        <v>554</v>
      </c>
      <c r="C1622" s="2">
        <v>3508</v>
      </c>
      <c r="D1622" s="2">
        <v>23</v>
      </c>
      <c r="E1622" s="2" t="str">
        <f>"1000001308"</f>
        <v>1000001308</v>
      </c>
      <c r="F1622" s="4" t="str">
        <f>"SAFETY GLASSES: Blk/Gry, Maximum safeguard against eye injuries, curved lenses provide more than 180 degrees of coverage. Nose buds secrue glasses to face w/out slipping, adjustable temples, meets ANSI Z87.1 Frame: Black, Lens: Grey, 12/bx"</f>
        <v>SAFETY GLASSES: Blk/Gry, Maximum safeguard against eye injuries, curved lenses provide more than 180 degrees of coverage. Nose buds secrue glasses to face w/out slipping, adjustable temples, meets ANSI Z87.1 Frame: Black, Lens: Grey, 12/bx</v>
      </c>
      <c r="G1622" s="74" t="str">
        <f>"BX"</f>
        <v>BX</v>
      </c>
      <c r="H1622" s="7">
        <v>63</v>
      </c>
      <c r="I1622" s="2" t="str">
        <f t="shared" si="106"/>
        <v>46181803</v>
      </c>
      <c r="J1622" s="11" t="s">
        <v>70</v>
      </c>
    </row>
    <row r="1623" spans="1:10" ht="89.25">
      <c r="A1623" s="9" t="s">
        <v>25</v>
      </c>
      <c r="B1623" s="2" t="s">
        <v>554</v>
      </c>
      <c r="C1623" s="2">
        <v>3508</v>
      </c>
      <c r="D1623" s="2">
        <v>15</v>
      </c>
      <c r="E1623" s="2" t="str">
        <f>"1000001321"</f>
        <v>1000001321</v>
      </c>
      <c r="F1623" s="4" t="str">
        <f>"SAFETY GLASSES: Blk/Grn, DZ, Lens design closely follows facial contours, no distortion to peripheral vision. Polycarbonate lens, anti-fog, anti-scratch, anti-static, anti-chemical, UV prtctn. Meets ANSI Z87.1-2003 &amp; CSA Z94.1 Frame: Blk, Lens: 3.0 Green"</f>
        <v>SAFETY GLASSES: Blk/Grn, DZ, Lens design closely follows facial contours, no distortion to peripheral vision. Polycarbonate lens, anti-fog, anti-scratch, anti-static, anti-chemical, UV prtctn. Meets ANSI Z87.1-2003 &amp; CSA Z94.1 Frame: Blk, Lens: 3.0 Green</v>
      </c>
      <c r="G1623" s="74" t="str">
        <f t="shared" ref="G1623:G1628" si="107">"DZ"</f>
        <v>DZ</v>
      </c>
      <c r="H1623" s="7">
        <v>75</v>
      </c>
      <c r="I1623" s="2" t="str">
        <f t="shared" si="106"/>
        <v>46181803</v>
      </c>
      <c r="J1623" s="11" t="s">
        <v>70</v>
      </c>
    </row>
    <row r="1624" spans="1:10" ht="89.25">
      <c r="A1624" s="9" t="s">
        <v>25</v>
      </c>
      <c r="B1624" s="2" t="s">
        <v>554</v>
      </c>
      <c r="C1624" s="2">
        <v>3508</v>
      </c>
      <c r="D1624" s="2">
        <v>34</v>
      </c>
      <c r="E1624" s="2" t="str">
        <f>"1000001322"</f>
        <v>1000001322</v>
      </c>
      <c r="F1624" s="4" t="str">
        <f>"SAFETY GLASSES: Am/Blk/Am, Amber Lens. Lightweight, nylon frame, wrap around protection, 8 base lens curve increases peripheral vision, adjust. temples. 1 piece polycarbonate lens ANSI Z87,1-1989 compliant. Frame: Amber/Black/Amber, Lens: Amber"</f>
        <v>SAFETY GLASSES: Am/Blk/Am, Amber Lens. Lightweight, nylon frame, wrap around protection, 8 base lens curve increases peripheral vision, adjust. temples. 1 piece polycarbonate lens ANSI Z87,1-1989 compliant. Frame: Amber/Black/Amber, Lens: Amber</v>
      </c>
      <c r="G1624" s="74" t="str">
        <f t="shared" si="107"/>
        <v>DZ</v>
      </c>
      <c r="H1624" s="7">
        <v>64.8</v>
      </c>
      <c r="I1624" s="2" t="str">
        <f t="shared" si="106"/>
        <v>46181803</v>
      </c>
      <c r="J1624" s="11" t="s">
        <v>70</v>
      </c>
    </row>
    <row r="1625" spans="1:10" ht="76.5">
      <c r="A1625" s="9" t="s">
        <v>25</v>
      </c>
      <c r="B1625" s="2" t="s">
        <v>554</v>
      </c>
      <c r="C1625" s="2">
        <v>3508</v>
      </c>
      <c r="D1625" s="2">
        <v>27</v>
      </c>
      <c r="E1625" s="2" t="str">
        <f>"1000001547"</f>
        <v>1000001547</v>
      </c>
      <c r="F1625" s="4" t="str">
        <f>"SAFETY GLASSES: Blu Mirror Lens, Sport style frame with deep curve lens, durable nylon frame w/ universal nosebridge. Meets ANSI Z87.1-1989 &amp; CSA High Impact standards. Frame: Black or Blue (specify at time of order) Lens: Blue Mirror"</f>
        <v>SAFETY GLASSES: Blu Mirror Lens, Sport style frame with deep curve lens, durable nylon frame w/ universal nosebridge. Meets ANSI Z87.1-1989 &amp; CSA High Impact standards. Frame: Black or Blue (specify at time of order) Lens: Blue Mirror</v>
      </c>
      <c r="G1625" s="74" t="str">
        <f t="shared" si="107"/>
        <v>DZ</v>
      </c>
      <c r="H1625" s="7">
        <v>126</v>
      </c>
      <c r="I1625" s="2" t="str">
        <f t="shared" si="106"/>
        <v>46181803</v>
      </c>
      <c r="J1625" s="11" t="s">
        <v>70</v>
      </c>
    </row>
    <row r="1626" spans="1:10" ht="89.25">
      <c r="A1626" s="9" t="s">
        <v>25</v>
      </c>
      <c r="B1626" s="2" t="s">
        <v>554</v>
      </c>
      <c r="C1626" s="2">
        <v>3508</v>
      </c>
      <c r="D1626" s="2">
        <v>13</v>
      </c>
      <c r="E1626" s="2" t="str">
        <f>"1000001597"</f>
        <v>1000001597</v>
      </c>
      <c r="F1626" s="4" t="str">
        <f>"SAFETY GLASSES: Blk/Gry/Am, DZ, Lens design closely follows facial contours, no distortion to peripheral vision. Polycarb. lens, anti-fog, anti-scratch, anti-static, anti-chemical, UV prtctn. Meets ANSI Z87.1-2003 &amp; CSA Z94.1 Frame: Blk, Lens: Gry or Amb"</f>
        <v>SAFETY GLASSES: Blk/Gry/Am, DZ, Lens design closely follows facial contours, no distortion to peripheral vision. Polycarb. lens, anti-fog, anti-scratch, anti-static, anti-chemical, UV prtctn. Meets ANSI Z87.1-2003 &amp; CSA Z94.1 Frame: Blk, Lens: Gry or Amb</v>
      </c>
      <c r="G1626" s="74" t="str">
        <f t="shared" si="107"/>
        <v>DZ</v>
      </c>
      <c r="H1626" s="7">
        <v>73</v>
      </c>
      <c r="I1626" s="2" t="str">
        <f t="shared" si="106"/>
        <v>46181803</v>
      </c>
      <c r="J1626" s="11" t="s">
        <v>70</v>
      </c>
    </row>
    <row r="1627" spans="1:10" ht="89.25">
      <c r="A1627" s="9" t="s">
        <v>25</v>
      </c>
      <c r="B1627" s="2" t="s">
        <v>554</v>
      </c>
      <c r="C1627" s="2">
        <v>3508</v>
      </c>
      <c r="D1627" s="2">
        <v>32</v>
      </c>
      <c r="E1627" s="2" t="str">
        <f>"1000001633"</f>
        <v>1000001633</v>
      </c>
      <c r="F1627" s="4" t="str">
        <f>"SAFETY GLASSES: Clr/Slvr/Clr, Clr Lens. Lightweight, nylon frame, wrap around protection, 8 base lens curve increases peripheral vision, adjust. temples. 1 piece polycarbonate lens ANSI Z87,1-1989 compliant. Frame: Clear/Silver/Clear, Lens: Clear"</f>
        <v>SAFETY GLASSES: Clr/Slvr/Clr, Clr Lens. Lightweight, nylon frame, wrap around protection, 8 base lens curve increases peripheral vision, adjust. temples. 1 piece polycarbonate lens ANSI Z87,1-1989 compliant. Frame: Clear/Silver/Clear, Lens: Clear</v>
      </c>
      <c r="G1627" s="74" t="str">
        <f t="shared" si="107"/>
        <v>DZ</v>
      </c>
      <c r="H1627" s="7">
        <v>64.8</v>
      </c>
      <c r="I1627" s="2" t="str">
        <f t="shared" si="106"/>
        <v>46181803</v>
      </c>
      <c r="J1627" s="11" t="s">
        <v>70</v>
      </c>
    </row>
    <row r="1628" spans="1:10" ht="89.25">
      <c r="A1628" s="9" t="s">
        <v>25</v>
      </c>
      <c r="B1628" s="2" t="s">
        <v>554</v>
      </c>
      <c r="C1628" s="2">
        <v>3508</v>
      </c>
      <c r="D1628" s="2">
        <v>30</v>
      </c>
      <c r="E1628" s="2" t="str">
        <f>"1000001634"</f>
        <v>1000001634</v>
      </c>
      <c r="F1628" s="4" t="str">
        <f>"SAFETY GLASSES: Smk/Smk, Lightweight, nylon frame, wrap around protection, 8 base lens curve increases peripheral vision, adjust. temples. 1 piece polycarbonate lens ANSI Z87,1-1989 compliant. Frame: Smoke, Lens: Smoke w/ FogGuard plus"</f>
        <v>SAFETY GLASSES: Smk/Smk, Lightweight, nylon frame, wrap around protection, 8 base lens curve increases peripheral vision, adjust. temples. 1 piece polycarbonate lens ANSI Z87,1-1989 compliant. Frame: Smoke, Lens: Smoke w/ FogGuard plus</v>
      </c>
      <c r="G1628" s="74" t="str">
        <f t="shared" si="107"/>
        <v>DZ</v>
      </c>
      <c r="H1628" s="7">
        <v>60</v>
      </c>
      <c r="I1628" s="2" t="str">
        <f t="shared" si="106"/>
        <v>46181803</v>
      </c>
      <c r="J1628" s="11" t="s">
        <v>70</v>
      </c>
    </row>
    <row r="1629" spans="1:10" ht="89.25">
      <c r="A1629" s="9" t="s">
        <v>25</v>
      </c>
      <c r="B1629" s="2" t="s">
        <v>554</v>
      </c>
      <c r="C1629" s="2">
        <v>3508</v>
      </c>
      <c r="D1629" s="2">
        <v>12</v>
      </c>
      <c r="E1629" s="2" t="str">
        <f>"1000001674"</f>
        <v>1000001674</v>
      </c>
      <c r="F1629" s="4" t="str">
        <f>"SAFETY GLASSES: Blk/Gry/Am, EA, Lens design closely follows facial contours, no distortion to peripheral vision. Polycarb. lens, anti-fog, anti-scratch, anti-static, anti-chemical, UV prtctn. Meets ANSI Z87.1-2003 &amp; CSA Z94.1 Frame: Blk, Lens: Grey or Am"</f>
        <v>SAFETY GLASSES: Blk/Gry/Am, EA, Lens design closely follows facial contours, no distortion to peripheral vision. Polycarb. lens, anti-fog, anti-scratch, anti-static, anti-chemical, UV prtctn. Meets ANSI Z87.1-2003 &amp; CSA Z94.1 Frame: Blk, Lens: Grey or Am</v>
      </c>
      <c r="G1629" s="74" t="str">
        <f>"EA"</f>
        <v>EA</v>
      </c>
      <c r="H1629" s="7">
        <v>6.13</v>
      </c>
      <c r="I1629" s="2" t="str">
        <f t="shared" si="106"/>
        <v>46181803</v>
      </c>
      <c r="J1629" s="11" t="s">
        <v>70</v>
      </c>
    </row>
    <row r="1630" spans="1:10" ht="76.5">
      <c r="A1630" s="9" t="s">
        <v>25</v>
      </c>
      <c r="B1630" s="2" t="s">
        <v>554</v>
      </c>
      <c r="C1630" s="2">
        <v>3508</v>
      </c>
      <c r="D1630" s="2">
        <v>28</v>
      </c>
      <c r="E1630" s="2" t="str">
        <f>"1000001788"</f>
        <v>1000001788</v>
      </c>
      <c r="F1630" s="4" t="str">
        <f>"SAFETY GLASSES: Blk/Blu/Clr, DZ. Sport style frame with deep curve lens, durable nylon frame w/ universal nosebridge. Meets ANSI Z87.1-1989 &amp; CSA High Impact standards. Frame: Black or Blue (specify at time of order) Lens: Clear"</f>
        <v>SAFETY GLASSES: Blk/Blu/Clr, DZ. Sport style frame with deep curve lens, durable nylon frame w/ universal nosebridge. Meets ANSI Z87.1-1989 &amp; CSA High Impact standards. Frame: Black or Blue (specify at time of order) Lens: Clear</v>
      </c>
      <c r="G1630" s="74" t="str">
        <f>"DZ"</f>
        <v>DZ</v>
      </c>
      <c r="H1630" s="7">
        <v>85</v>
      </c>
      <c r="I1630" s="2" t="str">
        <f t="shared" si="106"/>
        <v>46181803</v>
      </c>
      <c r="J1630" s="11" t="s">
        <v>70</v>
      </c>
    </row>
    <row r="1631" spans="1:10" ht="38.25">
      <c r="A1631" s="9" t="s">
        <v>25</v>
      </c>
      <c r="B1631" s="2" t="s">
        <v>554</v>
      </c>
      <c r="C1631" s="2">
        <v>3508</v>
      </c>
      <c r="D1631" s="2">
        <v>38</v>
      </c>
      <c r="E1631" s="2" t="str">
        <f>"1000006212"</f>
        <v>1000006212</v>
      </c>
      <c r="F1631" s="4" t="str">
        <f>"STAKES-Pine Slope:3/4x1 11/16x16~Stakes, slope, flat, and hub. 3/4 x 1 11/16 x 16 pine slope stakes"</f>
        <v>STAKES-Pine Slope:3/4x1 11/16x16~Stakes, slope, flat, and hub. 3/4 x 1 11/16 x 16 pine slope stakes</v>
      </c>
      <c r="G1631" s="74" t="str">
        <f t="shared" ref="G1631:G1639" si="108">"TH"</f>
        <v>TH</v>
      </c>
      <c r="H1631" s="7">
        <v>315.62</v>
      </c>
      <c r="I1631" s="2" t="str">
        <f t="shared" ref="I1631:I1639" si="109">"41114205"</f>
        <v>41114205</v>
      </c>
      <c r="J1631" s="11" t="s">
        <v>69</v>
      </c>
    </row>
    <row r="1632" spans="1:10" ht="38.25">
      <c r="A1632" s="9" t="s">
        <v>25</v>
      </c>
      <c r="B1632" s="2" t="s">
        <v>554</v>
      </c>
      <c r="C1632" s="2">
        <v>3508</v>
      </c>
      <c r="D1632" s="2">
        <v>35</v>
      </c>
      <c r="E1632" s="2" t="str">
        <f>"1000006235"</f>
        <v>1000006235</v>
      </c>
      <c r="F1632" s="4" t="str">
        <f>"STAKES-Pine Slope:3/4 x 2 5/16 x 16~Stakes, slope, flat, and hub. 3/4 x 2 5/16 x 16 pine slope stakes"</f>
        <v>STAKES-Pine Slope:3/4 x 2 5/16 x 16~Stakes, slope, flat, and hub. 3/4 x 2 5/16 x 16 pine slope stakes</v>
      </c>
      <c r="G1632" s="74" t="str">
        <f t="shared" si="108"/>
        <v>TH</v>
      </c>
      <c r="H1632" s="7">
        <v>357.76</v>
      </c>
      <c r="I1632" s="2" t="str">
        <f t="shared" si="109"/>
        <v>41114205</v>
      </c>
      <c r="J1632" s="11" t="s">
        <v>69</v>
      </c>
    </row>
    <row r="1633" spans="1:10" ht="38.25">
      <c r="A1633" s="9" t="s">
        <v>25</v>
      </c>
      <c r="B1633" s="2" t="s">
        <v>554</v>
      </c>
      <c r="C1633" s="2">
        <v>3508</v>
      </c>
      <c r="D1633" s="2">
        <v>36</v>
      </c>
      <c r="E1633" s="2" t="str">
        <f>"1000006257"</f>
        <v>1000006257</v>
      </c>
      <c r="F1633" s="4" t="str">
        <f>"STAKES-Pine Pointed:1 X 1-1/2 X 3'~Stakes, slope, flat, and hub. 1 X 1-1/2 X 3' Pine Pointed"</f>
        <v>STAKES-Pine Pointed:1 X 1-1/2 X 3'~Stakes, slope, flat, and hub. 1 X 1-1/2 X 3' Pine Pointed</v>
      </c>
      <c r="G1633" s="74" t="str">
        <f t="shared" si="108"/>
        <v>TH</v>
      </c>
      <c r="H1633" s="7">
        <v>404.25</v>
      </c>
      <c r="I1633" s="2" t="str">
        <f t="shared" si="109"/>
        <v>41114205</v>
      </c>
      <c r="J1633" s="11" t="s">
        <v>69</v>
      </c>
    </row>
    <row r="1634" spans="1:10" ht="25.5">
      <c r="A1634" s="9" t="s">
        <v>25</v>
      </c>
      <c r="B1634" s="2" t="s">
        <v>554</v>
      </c>
      <c r="C1634" s="2">
        <v>3508</v>
      </c>
      <c r="D1634" s="2">
        <v>37</v>
      </c>
      <c r="E1634" s="2" t="str">
        <f>"1000006279"</f>
        <v>1000006279</v>
      </c>
      <c r="F1634" s="4" t="str">
        <f>"STAKES:Pine Flat:1 x 1 x 4'~Stakes, slope, flat, and hub. 1 x 1 x 4' pine flat stakes"</f>
        <v>STAKES:Pine Flat:1 x 1 x 4'~Stakes, slope, flat, and hub. 1 x 1 x 4' pine flat stakes</v>
      </c>
      <c r="G1634" s="74" t="str">
        <f t="shared" si="108"/>
        <v>TH</v>
      </c>
      <c r="H1634" s="7">
        <v>485.98</v>
      </c>
      <c r="I1634" s="2" t="str">
        <f t="shared" si="109"/>
        <v>41114205</v>
      </c>
      <c r="J1634" s="11" t="s">
        <v>69</v>
      </c>
    </row>
    <row r="1635" spans="1:10" ht="51">
      <c r="A1635" s="9" t="s">
        <v>25</v>
      </c>
      <c r="B1635" s="2" t="s">
        <v>554</v>
      </c>
      <c r="C1635" s="2">
        <v>3508</v>
      </c>
      <c r="D1635" s="2">
        <v>4</v>
      </c>
      <c r="E1635" s="2" t="str">
        <f>"1000006544"</f>
        <v>1000006544</v>
      </c>
      <c r="F1635" s="4" t="str">
        <f>"SURVEY FLAG:Wire-24 lg 2x3 flag-red/yellow/blue~Stakes, survey flags, wire. 24 length, 2 x 3 flag size. Colors: red, yellow, blue"</f>
        <v>SURVEY FLAG:Wire-24 lg 2x3 flag-red/yellow/blue~Stakes, survey flags, wire. 24 length, 2 x 3 flag size. Colors: red, yellow, blue</v>
      </c>
      <c r="G1635" s="74" t="str">
        <f t="shared" si="108"/>
        <v>TH</v>
      </c>
      <c r="H1635" s="7">
        <v>71.38</v>
      </c>
      <c r="I1635" s="2" t="str">
        <f t="shared" si="109"/>
        <v>41114205</v>
      </c>
      <c r="J1635" s="11" t="s">
        <v>69</v>
      </c>
    </row>
    <row r="1636" spans="1:10" ht="51">
      <c r="A1636" s="9" t="s">
        <v>25</v>
      </c>
      <c r="B1636" s="2" t="s">
        <v>554</v>
      </c>
      <c r="C1636" s="2">
        <v>3508</v>
      </c>
      <c r="D1636" s="2">
        <v>5</v>
      </c>
      <c r="E1636" s="2" t="str">
        <f>"1000006545"</f>
        <v>1000006545</v>
      </c>
      <c r="F1636" s="4" t="str">
        <f>"SURVEY FLAG:Wire-36 lg, 4x5 flag-red/yellow/blue/orange~Stakes, survey flags, wire. 36 length, 4 x 5 flag size. Colors: red, yellow, blue, orange"</f>
        <v>SURVEY FLAG:Wire-36 lg, 4x5 flag-red/yellow/blue/orange~Stakes, survey flags, wire. 36 length, 4 x 5 flag size. Colors: red, yellow, blue, orange</v>
      </c>
      <c r="G1636" s="74" t="str">
        <f t="shared" si="108"/>
        <v>TH</v>
      </c>
      <c r="H1636" s="7">
        <v>80.05</v>
      </c>
      <c r="I1636" s="2" t="str">
        <f t="shared" si="109"/>
        <v>41114205</v>
      </c>
      <c r="J1636" s="11" t="s">
        <v>69</v>
      </c>
    </row>
    <row r="1637" spans="1:10" ht="38.25">
      <c r="A1637" s="9" t="s">
        <v>25</v>
      </c>
      <c r="B1637" s="2" t="s">
        <v>554</v>
      </c>
      <c r="C1637" s="2">
        <v>3508</v>
      </c>
      <c r="D1637" s="2">
        <v>41</v>
      </c>
      <c r="E1637" s="2" t="str">
        <f>"1000006600"</f>
        <v>1000006600</v>
      </c>
      <c r="F1637" s="4" t="str">
        <f>"STAKE:Engineer/1 1/2x1 1/2x12,Pine Hub~Stakes, slope, flat, and hub. 1 1/2 x 1 1/2 x 12 pine hub stakes"</f>
        <v>STAKE:Engineer/1 1/2x1 1/2x12,Pine Hub~Stakes, slope, flat, and hub. 1 1/2 x 1 1/2 x 12 pine hub stakes</v>
      </c>
      <c r="G1637" s="74" t="str">
        <f t="shared" si="108"/>
        <v>TH</v>
      </c>
      <c r="H1637" s="7">
        <v>430.49</v>
      </c>
      <c r="I1637" s="2" t="str">
        <f t="shared" si="109"/>
        <v>41114205</v>
      </c>
      <c r="J1637" s="11" t="s">
        <v>69</v>
      </c>
    </row>
    <row r="1638" spans="1:10" ht="38.25">
      <c r="A1638" s="9" t="s">
        <v>25</v>
      </c>
      <c r="B1638" s="2" t="s">
        <v>554</v>
      </c>
      <c r="C1638" s="2">
        <v>3508</v>
      </c>
      <c r="D1638" s="2">
        <v>39</v>
      </c>
      <c r="E1638" s="2" t="str">
        <f>"1000006842"</f>
        <v>1000006842</v>
      </c>
      <c r="F1638" s="4" t="str">
        <f>"STAKE:Engineer/1 1/2x1 1/2x6,Pine Hub~Stakes, slope, flat, and hub. 1 1/2 x 1 1/2 x 6 pine hub stakes"</f>
        <v>STAKE:Engineer/1 1/2x1 1/2x6,Pine Hub~Stakes, slope, flat, and hub. 1 1/2 x 1 1/2 x 6 pine hub stakes</v>
      </c>
      <c r="G1638" s="74" t="str">
        <f t="shared" si="108"/>
        <v>TH</v>
      </c>
      <c r="H1638" s="7">
        <v>369.42</v>
      </c>
      <c r="I1638" s="2" t="str">
        <f t="shared" si="109"/>
        <v>41114205</v>
      </c>
      <c r="J1638" s="11" t="s">
        <v>69</v>
      </c>
    </row>
    <row r="1639" spans="1:10" ht="38.25">
      <c r="A1639" s="9" t="s">
        <v>25</v>
      </c>
      <c r="B1639" s="2" t="s">
        <v>554</v>
      </c>
      <c r="C1639" s="2">
        <v>3508</v>
      </c>
      <c r="D1639" s="2">
        <v>40</v>
      </c>
      <c r="E1639" s="2" t="str">
        <f>"1000006843"</f>
        <v>1000006843</v>
      </c>
      <c r="F1639" s="4" t="str">
        <f>"STAKE:Engineer/1 1/2x1 1/2x8,Pine Hub~Stakes, slope, flat, and hub. 1 1/2 x 1 1/2 x 8 pine hub stakes"</f>
        <v>STAKE:Engineer/1 1/2x1 1/2x8,Pine Hub~Stakes, slope, flat, and hub. 1 1/2 x 1 1/2 x 8 pine hub stakes</v>
      </c>
      <c r="G1639" s="74" t="str">
        <f t="shared" si="108"/>
        <v>TH</v>
      </c>
      <c r="H1639" s="7">
        <v>383.13</v>
      </c>
      <c r="I1639" s="2" t="str">
        <f t="shared" si="109"/>
        <v>41114205</v>
      </c>
      <c r="J1639" s="11" t="s">
        <v>69</v>
      </c>
    </row>
    <row r="1640" spans="1:10">
      <c r="A1640" s="9" t="s">
        <v>25</v>
      </c>
      <c r="B1640" s="2" t="s">
        <v>554</v>
      </c>
      <c r="C1640" s="2">
        <v>3508</v>
      </c>
      <c r="D1640" s="2">
        <v>1</v>
      </c>
      <c r="E1640" s="2" t="str">
        <f>"1000009750"</f>
        <v>1000009750</v>
      </c>
      <c r="F1640" s="4" t="s">
        <v>591</v>
      </c>
      <c r="G1640" s="74" t="str">
        <f>"SF"</f>
        <v>SF</v>
      </c>
      <c r="H1640" s="7">
        <v>0.01</v>
      </c>
      <c r="I1640" s="2" t="str">
        <f>"76111501"</f>
        <v>76111501</v>
      </c>
      <c r="J1640" s="11" t="s">
        <v>67</v>
      </c>
    </row>
    <row r="1641" spans="1:10" ht="89.25">
      <c r="A1641" s="9" t="s">
        <v>25</v>
      </c>
      <c r="B1641" s="2" t="s">
        <v>554</v>
      </c>
      <c r="C1641" s="2">
        <v>3508</v>
      </c>
      <c r="D1641" s="2">
        <v>6</v>
      </c>
      <c r="E1641" s="2" t="str">
        <f>"1000009819"</f>
        <v>1000009819</v>
      </c>
      <c r="F1641" s="4" t="str">
        <f>"SAFETY GLASSES: Blk/Clr, EA. Shield styling w/ integral sideshields &amp; nosebridge, built-in browguard, adjustable temples. High impact, scratch resistant poly carbonate lens w/ fog free coating. Meets ANSI Z87.1.&amp; CSA Z94.3-1992. Frame: Black, Lens: Clear"</f>
        <v>SAFETY GLASSES: Blk/Clr, EA. Shield styling w/ integral sideshields &amp; nosebridge, built-in browguard, adjustable temples. High impact, scratch resistant poly carbonate lens w/ fog free coating. Meets ANSI Z87.1.&amp; CSA Z94.3-1992. Frame: Black, Lens: Clear</v>
      </c>
      <c r="G1641" s="74" t="str">
        <f>"EA"</f>
        <v>EA</v>
      </c>
      <c r="H1641" s="7">
        <v>2.56</v>
      </c>
      <c r="I1641" s="2" t="str">
        <f>"46181803"</f>
        <v>46181803</v>
      </c>
      <c r="J1641" s="11" t="s">
        <v>70</v>
      </c>
    </row>
    <row r="1642" spans="1:10" ht="89.25">
      <c r="A1642" s="9" t="s">
        <v>25</v>
      </c>
      <c r="B1642" s="2" t="s">
        <v>554</v>
      </c>
      <c r="C1642" s="2">
        <v>3508</v>
      </c>
      <c r="D1642" s="2">
        <v>7</v>
      </c>
      <c r="E1642" s="2" t="str">
        <f>"1000009820"</f>
        <v>1000009820</v>
      </c>
      <c r="F1642" s="4" t="str">
        <f>"SAFETY GLASSES: Blk/Clr, DZ. Shield styling w/ integral sideshields &amp; nosebridge, built-in browguard, adjustable temples. High impact, scratch resistant poly carbonate lens w/ fog free coating. Meets ANSI Z87.1.&amp; CSA Z94.3-1992. Frame: Black, Lens: Clear"</f>
        <v>SAFETY GLASSES: Blk/Clr, DZ. Shield styling w/ integral sideshields &amp; nosebridge, built-in browguard, adjustable temples. High impact, scratch resistant poly carbonate lens w/ fog free coating. Meets ANSI Z87.1.&amp; CSA Z94.3-1992. Frame: Black, Lens: Clear</v>
      </c>
      <c r="G1642" s="74" t="str">
        <f>"DZ"</f>
        <v>DZ</v>
      </c>
      <c r="H1642" s="7">
        <v>30</v>
      </c>
      <c r="I1642" s="2" t="str">
        <f>"46181803"</f>
        <v>46181803</v>
      </c>
      <c r="J1642" s="11" t="s">
        <v>70</v>
      </c>
    </row>
    <row r="1643" spans="1:10" ht="63.75">
      <c r="A1643" s="9" t="s">
        <v>25</v>
      </c>
      <c r="B1643" s="2" t="s">
        <v>554</v>
      </c>
      <c r="C1643" s="2">
        <v>3508</v>
      </c>
      <c r="D1643" s="2">
        <v>16</v>
      </c>
      <c r="E1643" s="2" t="str">
        <f>"1000009822"</f>
        <v>1000009822</v>
      </c>
      <c r="F1643" s="4" t="str">
        <f>"SAFETY GOGGLES: Chemical, vinyl body, adjustable strap and clear polycarbonate lens. Meets ANSI, CSA, UL &amp; CE standards. Protects against most chemical spills. Dozen"</f>
        <v>SAFETY GOGGLES: Chemical, vinyl body, adjustable strap and clear polycarbonate lens. Meets ANSI, CSA, UL &amp; CE standards. Protects against most chemical spills. Dozen</v>
      </c>
      <c r="G1643" s="74" t="str">
        <f>"DZ"</f>
        <v>DZ</v>
      </c>
      <c r="H1643" s="7">
        <v>40</v>
      </c>
      <c r="I1643" s="2" t="str">
        <f>"46181803"</f>
        <v>46181803</v>
      </c>
      <c r="J1643" s="11" t="s">
        <v>70</v>
      </c>
    </row>
    <row r="1644" spans="1:10" ht="25.5">
      <c r="A1644" s="9" t="s">
        <v>39</v>
      </c>
      <c r="B1644" s="2" t="s">
        <v>554</v>
      </c>
      <c r="C1644" s="2">
        <v>2211</v>
      </c>
      <c r="D1644" s="2">
        <v>1</v>
      </c>
      <c r="E1644" s="2" t="str">
        <f>"1000009566"</f>
        <v>1000009566</v>
      </c>
      <c r="F1644" s="4" t="str">
        <f>"SERVICES: Litter Removal"</f>
        <v>SERVICES: Litter Removal</v>
      </c>
      <c r="G1644" s="74" t="str">
        <f>"AC"</f>
        <v>AC</v>
      </c>
      <c r="H1644" s="7">
        <v>9.92</v>
      </c>
      <c r="I1644" s="2" t="str">
        <f>"72141003"</f>
        <v>72141003</v>
      </c>
      <c r="J1644" s="10" t="s">
        <v>127</v>
      </c>
    </row>
    <row r="1645" spans="1:10" ht="25.5">
      <c r="A1645" s="84"/>
      <c r="B1645" s="2" t="s">
        <v>554</v>
      </c>
      <c r="C1645" s="85"/>
      <c r="D1645" s="85"/>
      <c r="E1645" s="85" t="s">
        <v>610</v>
      </c>
      <c r="F1645" s="94" t="s">
        <v>284</v>
      </c>
      <c r="G1645" s="86"/>
      <c r="H1645" s="87"/>
      <c r="I1645" s="96">
        <v>72102905</v>
      </c>
      <c r="J1645" s="98" t="s">
        <v>645</v>
      </c>
    </row>
    <row r="1646" spans="1:10" ht="25.5">
      <c r="A1646" s="84"/>
      <c r="B1646" s="2" t="s">
        <v>554</v>
      </c>
      <c r="C1646" s="85"/>
      <c r="D1646" s="85"/>
      <c r="E1646" s="85" t="s">
        <v>610</v>
      </c>
      <c r="F1646" s="94" t="s">
        <v>285</v>
      </c>
      <c r="G1646" s="86"/>
      <c r="H1646" s="87"/>
      <c r="I1646" s="96">
        <v>72102905</v>
      </c>
      <c r="J1646" s="98" t="s">
        <v>645</v>
      </c>
    </row>
    <row r="1647" spans="1:10">
      <c r="A1647" s="84"/>
      <c r="B1647" s="2" t="s">
        <v>554</v>
      </c>
      <c r="C1647" s="85"/>
      <c r="D1647" s="85"/>
      <c r="E1647" s="85" t="s">
        <v>610</v>
      </c>
      <c r="F1647" s="94" t="s">
        <v>261</v>
      </c>
      <c r="G1647" s="86"/>
      <c r="H1647" s="87"/>
      <c r="I1647" s="96">
        <v>73151500</v>
      </c>
      <c r="J1647" s="99" t="s">
        <v>261</v>
      </c>
    </row>
    <row r="1648" spans="1:10">
      <c r="A1648" s="84"/>
      <c r="B1648" s="2" t="s">
        <v>554</v>
      </c>
      <c r="C1648" s="85"/>
      <c r="D1648" s="85"/>
      <c r="E1648" s="85" t="s">
        <v>610</v>
      </c>
      <c r="F1648" s="49" t="s">
        <v>246</v>
      </c>
      <c r="G1648" s="86"/>
      <c r="H1648" s="87"/>
      <c r="I1648" s="68">
        <v>73151600</v>
      </c>
      <c r="J1648" s="99" t="s">
        <v>246</v>
      </c>
    </row>
    <row r="1649" spans="1:10">
      <c r="A1649" s="84"/>
      <c r="B1649" s="2" t="s">
        <v>554</v>
      </c>
      <c r="C1649" s="85"/>
      <c r="D1649" s="85"/>
      <c r="E1649" s="85" t="s">
        <v>610</v>
      </c>
      <c r="F1649" s="49" t="s">
        <v>305</v>
      </c>
      <c r="G1649" s="86"/>
      <c r="H1649" s="87"/>
      <c r="I1649" s="68">
        <v>76111800</v>
      </c>
      <c r="J1649" s="100" t="s">
        <v>649</v>
      </c>
    </row>
    <row r="1650" spans="1:10" ht="25.5">
      <c r="A1650" s="84"/>
      <c r="B1650" s="2" t="s">
        <v>554</v>
      </c>
      <c r="C1650" s="85"/>
      <c r="D1650" s="85"/>
      <c r="E1650" s="85" t="s">
        <v>610</v>
      </c>
      <c r="F1650" s="49" t="s">
        <v>262</v>
      </c>
      <c r="G1650" s="86"/>
      <c r="H1650" s="87"/>
      <c r="I1650" s="68">
        <v>76121505</v>
      </c>
      <c r="J1650" s="98" t="s">
        <v>650</v>
      </c>
    </row>
    <row r="1651" spans="1:10">
      <c r="A1651" s="84"/>
      <c r="B1651" s="2" t="s">
        <v>554</v>
      </c>
      <c r="C1651" s="85"/>
      <c r="D1651" s="85"/>
      <c r="E1651" s="85" t="s">
        <v>610</v>
      </c>
      <c r="F1651" s="49" t="s">
        <v>250</v>
      </c>
      <c r="G1651" s="86"/>
      <c r="H1651" s="87"/>
      <c r="I1651" s="68">
        <v>76122300</v>
      </c>
      <c r="J1651" s="98" t="s">
        <v>652</v>
      </c>
    </row>
    <row r="1652" spans="1:10">
      <c r="A1652" s="84"/>
      <c r="B1652" s="2" t="s">
        <v>554</v>
      </c>
      <c r="C1652" s="85"/>
      <c r="D1652" s="85"/>
      <c r="E1652" s="85" t="s">
        <v>610</v>
      </c>
      <c r="F1652" s="49" t="s">
        <v>249</v>
      </c>
      <c r="G1652" s="86"/>
      <c r="H1652" s="87"/>
      <c r="I1652" s="68">
        <v>80141605</v>
      </c>
      <c r="J1652" s="11" t="s">
        <v>654</v>
      </c>
    </row>
    <row r="1653" spans="1:10">
      <c r="A1653" s="84"/>
      <c r="B1653" s="2" t="s">
        <v>554</v>
      </c>
      <c r="C1653" s="85"/>
      <c r="D1653" s="85"/>
      <c r="E1653" s="85" t="s">
        <v>610</v>
      </c>
      <c r="F1653" s="49" t="s">
        <v>243</v>
      </c>
      <c r="G1653" s="86"/>
      <c r="H1653" s="87"/>
      <c r="I1653" s="68">
        <v>80141800</v>
      </c>
      <c r="J1653" s="99" t="s">
        <v>243</v>
      </c>
    </row>
    <row r="1654" spans="1:10" ht="25.5">
      <c r="A1654" s="84"/>
      <c r="B1654" s="2" t="s">
        <v>554</v>
      </c>
      <c r="C1654" s="85"/>
      <c r="D1654" s="85"/>
      <c r="E1654" s="85" t="s">
        <v>610</v>
      </c>
      <c r="F1654" s="49" t="s">
        <v>247</v>
      </c>
      <c r="G1654" s="86"/>
      <c r="H1654" s="87"/>
      <c r="I1654" s="68">
        <v>80161508</v>
      </c>
      <c r="J1654" s="98" t="s">
        <v>655</v>
      </c>
    </row>
    <row r="1655" spans="1:10" ht="25.5">
      <c r="A1655" s="84"/>
      <c r="B1655" s="2" t="s">
        <v>554</v>
      </c>
      <c r="C1655" s="85"/>
      <c r="D1655" s="85"/>
      <c r="E1655" s="85" t="s">
        <v>610</v>
      </c>
      <c r="F1655" s="49" t="s">
        <v>237</v>
      </c>
      <c r="G1655" s="86"/>
      <c r="H1655" s="87"/>
      <c r="I1655" s="68">
        <v>82121701</v>
      </c>
      <c r="J1655" s="98" t="s">
        <v>659</v>
      </c>
    </row>
    <row r="1656" spans="1:10">
      <c r="A1656" s="9" t="s">
        <v>25</v>
      </c>
      <c r="B1656" s="2" t="s">
        <v>12</v>
      </c>
      <c r="C1656" s="2">
        <v>3509</v>
      </c>
      <c r="D1656" s="2">
        <v>1</v>
      </c>
      <c r="E1656" s="2" t="str">
        <f>"1000009750"</f>
        <v>1000009750</v>
      </c>
      <c r="F1656" s="93" t="s">
        <v>591</v>
      </c>
      <c r="G1656" s="74" t="str">
        <f>"SF"</f>
        <v>SF</v>
      </c>
      <c r="H1656" s="7">
        <v>0.01</v>
      </c>
      <c r="I1656" s="95" t="str">
        <f>"76111501"</f>
        <v>76111501</v>
      </c>
      <c r="J1656" s="10" t="s">
        <v>67</v>
      </c>
    </row>
    <row r="1657" spans="1:10" ht="25.5">
      <c r="A1657" s="9" t="s">
        <v>39</v>
      </c>
      <c r="B1657" s="2" t="s">
        <v>12</v>
      </c>
      <c r="C1657" s="2">
        <v>2206</v>
      </c>
      <c r="D1657" s="2">
        <v>1</v>
      </c>
      <c r="E1657" s="2" t="str">
        <f>"1000009566"</f>
        <v>1000009566</v>
      </c>
      <c r="F1657" s="93" t="str">
        <f>"SERVICES: Litter Removal"</f>
        <v>SERVICES: Litter Removal</v>
      </c>
      <c r="G1657" s="74" t="str">
        <f>"AC"</f>
        <v>AC</v>
      </c>
      <c r="H1657" s="7">
        <v>9.92</v>
      </c>
      <c r="I1657" s="95" t="str">
        <f>"72141003"</f>
        <v>72141003</v>
      </c>
      <c r="J1657" s="10" t="s">
        <v>127</v>
      </c>
    </row>
    <row r="1658" spans="1:10" ht="38.25">
      <c r="A1658" s="9" t="s">
        <v>25</v>
      </c>
      <c r="B1658" s="2" t="s">
        <v>44</v>
      </c>
      <c r="C1658" s="2">
        <v>3532</v>
      </c>
      <c r="D1658" s="2">
        <v>12</v>
      </c>
      <c r="E1658" s="2" t="str">
        <f>"1000000076"</f>
        <v>1000000076</v>
      </c>
      <c r="F1658" s="4" t="str">
        <f>"FIRE HOSE:XL 800 Double Jacket~XL 800 Double Jacket 800 PSIC 100' 3 hose~XL 800 Double Jacket 800 PSIC 100' 3 hose"</f>
        <v>FIRE HOSE:XL 800 Double Jacket~XL 800 Double Jacket 800 PSIC 100' 3 hose~XL 800 Double Jacket 800 PSIC 100' 3 hose</v>
      </c>
      <c r="G1658" s="74" t="str">
        <f t="shared" ref="G1658:G1679" si="110">"EA"</f>
        <v>EA</v>
      </c>
      <c r="H1658" s="7">
        <v>484.97</v>
      </c>
      <c r="I1658" s="2" t="str">
        <f t="shared" ref="I1658:I1679" si="111">"46191603"</f>
        <v>46191603</v>
      </c>
      <c r="J1658" s="10" t="s">
        <v>135</v>
      </c>
    </row>
    <row r="1659" spans="1:10" ht="89.25">
      <c r="A1659" s="9" t="s">
        <v>25</v>
      </c>
      <c r="B1659" s="2" t="s">
        <v>44</v>
      </c>
      <c r="C1659" s="2">
        <v>3532</v>
      </c>
      <c r="D1659" s="2">
        <v>25</v>
      </c>
      <c r="E1659" s="2" t="str">
        <f>"1000000169"</f>
        <v>1000000169</v>
      </c>
      <c r="F1659" s="4" t="str">
        <f>"FIRE HOSE:Econoflo multi-purpo~Econoflo multi-purpose high pressure 3/4 100' hose, Couples with brass ferrul type couplings, garden hose thread. Easily carried and stored, circular woven, single jacket, 100% virgin spun polyester, extruded TPU elastomer,"</f>
        <v>FIRE HOSE:Econoflo multi-purpo~Econoflo multi-purpose high pressure 3/4 100' hose, Couples with brass ferrul type couplings, garden hose thread. Easily carried and stored, circular woven, single jacket, 100% virgin spun polyester, extruded TPU elastomer,</v>
      </c>
      <c r="G1659" s="74" t="str">
        <f t="shared" si="110"/>
        <v>EA</v>
      </c>
      <c r="H1659" s="7">
        <v>66.02</v>
      </c>
      <c r="I1659" s="2" t="str">
        <f t="shared" si="111"/>
        <v>46191603</v>
      </c>
      <c r="J1659" s="10" t="s">
        <v>135</v>
      </c>
    </row>
    <row r="1660" spans="1:10" ht="76.5">
      <c r="A1660" s="9" t="s">
        <v>25</v>
      </c>
      <c r="B1660" s="2" t="s">
        <v>44</v>
      </c>
      <c r="C1660" s="2">
        <v>3532</v>
      </c>
      <c r="D1660" s="2">
        <v>18</v>
      </c>
      <c r="E1660" s="2" t="str">
        <f>"1000000254"</f>
        <v>1000000254</v>
      </c>
      <c r="F1660" s="4" t="str">
        <f>"HOSE:Supplyline Double Jacket polyester large volume, 4, 100' hose minimum friction loss, Flexible to -60F (-51C), Circular woven, double jacket 100% virgin spun polyester, Extruded elastomer, Ozone and age resistant"</f>
        <v>HOSE:Supplyline Double Jacket polyester large volume, 4, 100' hose minimum friction loss, Flexible to -60F (-51C), Circular woven, double jacket 100% virgin spun polyester, Extruded elastomer, Ozone and age resistant</v>
      </c>
      <c r="G1660" s="74" t="str">
        <f t="shared" si="110"/>
        <v>EA</v>
      </c>
      <c r="H1660" s="7">
        <v>799.66</v>
      </c>
      <c r="I1660" s="2" t="str">
        <f t="shared" si="111"/>
        <v>46191603</v>
      </c>
      <c r="J1660" s="10" t="s">
        <v>135</v>
      </c>
    </row>
    <row r="1661" spans="1:10" ht="89.25">
      <c r="A1661" s="9" t="s">
        <v>25</v>
      </c>
      <c r="B1661" s="2" t="s">
        <v>44</v>
      </c>
      <c r="C1661" s="2">
        <v>3532</v>
      </c>
      <c r="D1661" s="2">
        <v>26</v>
      </c>
      <c r="E1661" s="2" t="str">
        <f>"1000000255"</f>
        <v>1000000255</v>
      </c>
      <c r="F1661" s="4" t="str">
        <f>"FIRE HOSE:Econoforest 500 PSIG~Econoforest 500 PSIG polyester forestry 3/4 50' hose, all polyester single jacket forestry hose, lightweight, compact circular woven, 100% virgin spun polyester Extruded TPU elastomer. Ozone and age resistant.~Econoforest 5"</f>
        <v>FIRE HOSE:Econoforest 500 PSIG~Econoforest 500 PSIG polyester forestry 3/4 50' hose, all polyester single jacket forestry hose, lightweight, compact circular woven, 100% virgin spun polyester Extruded TPU elastomer. Ozone and age resistant.~Econoforest 5</v>
      </c>
      <c r="G1661" s="74" t="str">
        <f t="shared" si="110"/>
        <v>EA</v>
      </c>
      <c r="H1661" s="7">
        <v>62.83</v>
      </c>
      <c r="I1661" s="2" t="str">
        <f t="shared" si="111"/>
        <v>46191603</v>
      </c>
      <c r="J1661" s="10" t="s">
        <v>135</v>
      </c>
    </row>
    <row r="1662" spans="1:10" ht="51">
      <c r="A1662" s="9" t="s">
        <v>25</v>
      </c>
      <c r="B1662" s="2" t="s">
        <v>44</v>
      </c>
      <c r="C1662" s="2">
        <v>3532</v>
      </c>
      <c r="D1662" s="2">
        <v>14</v>
      </c>
      <c r="E1662" s="2" t="str">
        <f>"1000000455"</f>
        <v>1000000455</v>
      </c>
      <c r="F1662" s="4" t="str">
        <f>"FIRE HOSE:RXL-800 Double jacke~RXL-800 Double jacket 800 PSIC rubber lined 2, 50' hose~RXL-800 Double jacket 800 PSIC rubber lined 2, 50' hose"</f>
        <v>FIRE HOSE:RXL-800 Double jacke~RXL-800 Double jacket 800 PSIC rubber lined 2, 50' hose~RXL-800 Double jacket 800 PSIC rubber lined 2, 50' hose</v>
      </c>
      <c r="G1662" s="74" t="str">
        <f t="shared" si="110"/>
        <v>EA</v>
      </c>
      <c r="H1662" s="7">
        <v>196.7</v>
      </c>
      <c r="I1662" s="2" t="str">
        <f t="shared" si="111"/>
        <v>46191603</v>
      </c>
      <c r="J1662" s="10" t="s">
        <v>135</v>
      </c>
    </row>
    <row r="1663" spans="1:10" ht="89.25">
      <c r="A1663" s="9" t="s">
        <v>25</v>
      </c>
      <c r="B1663" s="2" t="s">
        <v>44</v>
      </c>
      <c r="C1663" s="2">
        <v>3532</v>
      </c>
      <c r="D1663" s="2">
        <v>21</v>
      </c>
      <c r="E1663" s="2" t="str">
        <f>"1000000456"</f>
        <v>1000000456</v>
      </c>
      <c r="F1663" s="4" t="str">
        <f>"FIRE HOSE:Spec 187 1-1/5in-10~Spec 187 lightweight synthetic fostery 1.5 100' hose, which meets USDA Spec 187 Treated for fungicide, circular bias woven, single jacket 100% virgin filament polyester. Extruded TPU elastomer. Ozone and age resistant.~Spec"</f>
        <v>FIRE HOSE:Spec 187 1-1/5in-10~Spec 187 lightweight synthetic fostery 1.5 100' hose, which meets USDA Spec 187 Treated for fungicide, circular bias woven, single jacket 100% virgin filament polyester. Extruded TPU elastomer. Ozone and age resistant.~Spec</v>
      </c>
      <c r="G1663" s="74" t="str">
        <f t="shared" si="110"/>
        <v>EA</v>
      </c>
      <c r="H1663" s="7">
        <v>140.01</v>
      </c>
      <c r="I1663" s="2" t="str">
        <f t="shared" si="111"/>
        <v>46191603</v>
      </c>
      <c r="J1663" s="10" t="s">
        <v>135</v>
      </c>
    </row>
    <row r="1664" spans="1:10" ht="89.25">
      <c r="A1664" s="9" t="s">
        <v>25</v>
      </c>
      <c r="B1664" s="2" t="s">
        <v>44</v>
      </c>
      <c r="C1664" s="2">
        <v>3532</v>
      </c>
      <c r="D1664" s="2">
        <v>20</v>
      </c>
      <c r="E1664" s="2" t="str">
        <f>"1000000457"</f>
        <v>1000000457</v>
      </c>
      <c r="F1664" s="4" t="str">
        <f>"FIRE HOSE:Spec 187-1in-100' ho~Spec 187 lightweight synthetic forestry 1 100' hose, which meets USDA Spec 187 Treated for fungicide, circular bias woven, single jacket 100% virgin filament polyvester. Extruded TPU elastomer. Ozone and age resistant.~Spec"</f>
        <v>FIRE HOSE:Spec 187-1in-100' ho~Spec 187 lightweight synthetic forestry 1 100' hose, which meets USDA Spec 187 Treated for fungicide, circular bias woven, single jacket 100% virgin filament polyvester. Extruded TPU elastomer. Ozone and age resistant.~Spec</v>
      </c>
      <c r="G1664" s="74" t="str">
        <f t="shared" si="110"/>
        <v>EA</v>
      </c>
      <c r="H1664" s="7">
        <v>123.36</v>
      </c>
      <c r="I1664" s="2" t="str">
        <f t="shared" si="111"/>
        <v>46191603</v>
      </c>
      <c r="J1664" s="10" t="s">
        <v>135</v>
      </c>
    </row>
    <row r="1665" spans="1:10" ht="38.25">
      <c r="A1665" s="9" t="s">
        <v>25</v>
      </c>
      <c r="B1665" s="2" t="s">
        <v>44</v>
      </c>
      <c r="C1665" s="2">
        <v>3532</v>
      </c>
      <c r="D1665" s="2">
        <v>11</v>
      </c>
      <c r="E1665" s="2" t="str">
        <f>"1000000617"</f>
        <v>1000000617</v>
      </c>
      <c r="F1665" s="4" t="str">
        <f>"FIRE HOSE:XL800 dbl jacket 800~XL800 Double jacket 800 PSIC 50' 3 hose~XL800 Double jacket 800 PSIC 50' 3 hose"</f>
        <v>FIRE HOSE:XL800 dbl jacket 800~XL800 Double jacket 800 PSIC 50' 3 hose~XL800 Double jacket 800 PSIC 50' 3 hose</v>
      </c>
      <c r="G1665" s="74" t="str">
        <f t="shared" si="110"/>
        <v>EA</v>
      </c>
      <c r="H1665" s="7">
        <v>301.04000000000002</v>
      </c>
      <c r="I1665" s="2" t="str">
        <f t="shared" si="111"/>
        <v>46191603</v>
      </c>
      <c r="J1665" s="10" t="s">
        <v>135</v>
      </c>
    </row>
    <row r="1666" spans="1:10" ht="51">
      <c r="A1666" s="9" t="s">
        <v>25</v>
      </c>
      <c r="B1666" s="2" t="s">
        <v>44</v>
      </c>
      <c r="C1666" s="2">
        <v>3532</v>
      </c>
      <c r="D1666" s="2">
        <v>15</v>
      </c>
      <c r="E1666" s="2" t="str">
        <f>"1000000619"</f>
        <v>1000000619</v>
      </c>
      <c r="F1666" s="4" t="str">
        <f>"FIRE HOSE:RXL-800 Dbl jacket 8~RXL-800 Double jacket 800 PSIC rubber lined 3 50' hose~RXL-800 Double jacket 800 PSIC rubber lined 3 50' hose"</f>
        <v>FIRE HOSE:RXL-800 Dbl jacket 8~RXL-800 Double jacket 800 PSIC rubber lined 3 50' hose~RXL-800 Double jacket 800 PSIC rubber lined 3 50' hose</v>
      </c>
      <c r="G1666" s="74" t="str">
        <f t="shared" si="110"/>
        <v>EA</v>
      </c>
      <c r="H1666" s="7">
        <v>312.64</v>
      </c>
      <c r="I1666" s="2" t="str">
        <f t="shared" si="111"/>
        <v>46191603</v>
      </c>
      <c r="J1666" s="10" t="s">
        <v>135</v>
      </c>
    </row>
    <row r="1667" spans="1:10" ht="89.25">
      <c r="A1667" s="9" t="s">
        <v>25</v>
      </c>
      <c r="B1667" s="2" t="s">
        <v>44</v>
      </c>
      <c r="C1667" s="2">
        <v>3532</v>
      </c>
      <c r="D1667" s="2">
        <v>23</v>
      </c>
      <c r="E1667" s="2" t="str">
        <f>"1000000626"</f>
        <v>1000000626</v>
      </c>
      <c r="F1667" s="4" t="str">
        <f>"FIRE HOSE:Econoflo multi-purpose high pressure 5/8 100' fire hose, Couples with brass ferrul type couplings, garden hose thread. Easily carried and stored, circular woven, single jacket, 100% virgin spun polyester, extruded TPU elastomer Ozone &amp; age resi"</f>
        <v>FIRE HOSE:Econoflo multi-purpose high pressure 5/8 100' fire hose, Couples with brass ferrul type couplings, garden hose thread. Easily carried and stored, circular woven, single jacket, 100% virgin spun polyester, extruded TPU elastomer Ozone &amp; age resi</v>
      </c>
      <c r="G1667" s="74" t="str">
        <f t="shared" si="110"/>
        <v>EA</v>
      </c>
      <c r="H1667" s="7">
        <v>67.8</v>
      </c>
      <c r="I1667" s="2" t="str">
        <f t="shared" si="111"/>
        <v>46191603</v>
      </c>
      <c r="J1667" s="10" t="s">
        <v>135</v>
      </c>
    </row>
    <row r="1668" spans="1:10" ht="89.25">
      <c r="A1668" s="9" t="s">
        <v>25</v>
      </c>
      <c r="B1668" s="2" t="s">
        <v>44</v>
      </c>
      <c r="C1668" s="2">
        <v>3532</v>
      </c>
      <c r="D1668" s="2">
        <v>22</v>
      </c>
      <c r="E1668" s="2" t="str">
        <f>"1000000627"</f>
        <v>1000000627</v>
      </c>
      <c r="F1668" s="4" t="str">
        <f>"FIRE HOSE:Econoflo multi-purpose high pressure 5/8 50' fire hose, Couples with brass ferrul type couplings, garden hose thread. Easily carried and stored, circular woven, single jacket, 100% virgin spun polyester, extruded TPU elastomer Ozone and age res"</f>
        <v>FIRE HOSE:Econoflo multi-purpose high pressure 5/8 50' fire hose, Couples with brass ferrul type couplings, garden hose thread. Easily carried and stored, circular woven, single jacket, 100% virgin spun polyester, extruded TPU elastomer Ozone and age res</v>
      </c>
      <c r="G1668" s="74" t="str">
        <f t="shared" si="110"/>
        <v>EA</v>
      </c>
      <c r="H1668" s="7">
        <v>37.19</v>
      </c>
      <c r="I1668" s="2" t="str">
        <f t="shared" si="111"/>
        <v>46191603</v>
      </c>
      <c r="J1668" s="10" t="s">
        <v>135</v>
      </c>
    </row>
    <row r="1669" spans="1:10" ht="89.25">
      <c r="A1669" s="9" t="s">
        <v>25</v>
      </c>
      <c r="B1669" s="2" t="s">
        <v>44</v>
      </c>
      <c r="C1669" s="2">
        <v>3532</v>
      </c>
      <c r="D1669" s="2">
        <v>27</v>
      </c>
      <c r="E1669" s="2" t="str">
        <f>"1000000628"</f>
        <v>1000000628</v>
      </c>
      <c r="F1669" s="4" t="str">
        <f>"FIRE HOSE:Econoforest 500 PSIG~Econoforest 500 PSIG polyester forestry 3/4 100' hose, all polyester single jacket forestry hose, lightweight, compact circular woven, 100% virgin spun polyester Extruded TPU elastomer. Ozone and age resistant.~Econoforest"</f>
        <v>FIRE HOSE:Econoforest 500 PSIG~Econoforest 500 PSIG polyester forestry 3/4 100' hose, all polyester single jacket forestry hose, lightweight, compact circular woven, 100% virgin spun polyester Extruded TPU elastomer. Ozone and age resistant.~Econoforest</v>
      </c>
      <c r="G1669" s="74" t="str">
        <f t="shared" si="110"/>
        <v>EA</v>
      </c>
      <c r="H1669" s="7">
        <v>115.6</v>
      </c>
      <c r="I1669" s="2" t="str">
        <f t="shared" si="111"/>
        <v>46191603</v>
      </c>
      <c r="J1669" s="10" t="s">
        <v>135</v>
      </c>
    </row>
    <row r="1670" spans="1:10" ht="38.25">
      <c r="A1670" s="9" t="s">
        <v>25</v>
      </c>
      <c r="B1670" s="2" t="s">
        <v>44</v>
      </c>
      <c r="C1670" s="2">
        <v>3532</v>
      </c>
      <c r="D1670" s="2">
        <v>10</v>
      </c>
      <c r="E1670" s="2" t="str">
        <f>"1000000689"</f>
        <v>1000000689</v>
      </c>
      <c r="F1670" s="4" t="str">
        <f>"FIRE HOSE:XL800 dbl jacket 800~XL 800 Double jacket 800 PSIC 100' 2 hose~XL 800 Double jacket 800 PSIC 100' 2 hose"</f>
        <v>FIRE HOSE:XL800 dbl jacket 800~XL 800 Double jacket 800 PSIC 100' 2 hose~XL 800 Double jacket 800 PSIC 100' 2 hose</v>
      </c>
      <c r="G1670" s="74" t="str">
        <f t="shared" si="110"/>
        <v>EA</v>
      </c>
      <c r="H1670" s="7">
        <v>308</v>
      </c>
      <c r="I1670" s="2" t="str">
        <f t="shared" si="111"/>
        <v>46191603</v>
      </c>
      <c r="J1670" s="10" t="s">
        <v>135</v>
      </c>
    </row>
    <row r="1671" spans="1:10" ht="38.25">
      <c r="A1671" s="9" t="s">
        <v>25</v>
      </c>
      <c r="B1671" s="2" t="s">
        <v>44</v>
      </c>
      <c r="C1671" s="2">
        <v>3532</v>
      </c>
      <c r="D1671" s="2">
        <v>8</v>
      </c>
      <c r="E1671" s="2" t="str">
        <f>"1000000743"</f>
        <v>1000000743</v>
      </c>
      <c r="F1671" s="4" t="str">
        <f>"FIRE HOSE:XL-800 dbl jacket 80~XL-800 Double jacket 800 PSIC 100', 1.5 hose~XL-800 Double jacket 800 PSIC 100', 1.5 hose"</f>
        <v>FIRE HOSE:XL-800 dbl jacket 80~XL-800 Double jacket 800 PSIC 100', 1.5 hose~XL-800 Double jacket 800 PSIC 100', 1.5 hose</v>
      </c>
      <c r="G1671" s="74" t="str">
        <f t="shared" si="110"/>
        <v>EA</v>
      </c>
      <c r="H1671" s="7">
        <v>250.97</v>
      </c>
      <c r="I1671" s="2" t="str">
        <f t="shared" si="111"/>
        <v>46191603</v>
      </c>
      <c r="J1671" s="10" t="s">
        <v>135</v>
      </c>
    </row>
    <row r="1672" spans="1:10" ht="38.25">
      <c r="A1672" s="9" t="s">
        <v>25</v>
      </c>
      <c r="B1672" s="2" t="s">
        <v>44</v>
      </c>
      <c r="C1672" s="2">
        <v>3532</v>
      </c>
      <c r="D1672" s="2">
        <v>7</v>
      </c>
      <c r="E1672" s="2" t="str">
        <f>"1000000744"</f>
        <v>1000000744</v>
      </c>
      <c r="F1672" s="4" t="str">
        <f>"FIRE HOSE:XL-800 dbl jacket 80~XL-800 Double jacket 800 PSIC 50' hose1.5~XL-800 Double jacket 800 PSIC 50' hose 1.5"</f>
        <v>FIRE HOSE:XL-800 dbl jacket 80~XL-800 Double jacket 800 PSIC 50' hose1.5~XL-800 Double jacket 800 PSIC 50' hose 1.5</v>
      </c>
      <c r="G1672" s="74" t="str">
        <f t="shared" si="110"/>
        <v>EA</v>
      </c>
      <c r="H1672" s="7">
        <v>148.99</v>
      </c>
      <c r="I1672" s="2" t="str">
        <f t="shared" si="111"/>
        <v>46191603</v>
      </c>
      <c r="J1672" s="10" t="s">
        <v>135</v>
      </c>
    </row>
    <row r="1673" spans="1:10" ht="38.25">
      <c r="A1673" s="9" t="s">
        <v>25</v>
      </c>
      <c r="B1673" s="2" t="s">
        <v>44</v>
      </c>
      <c r="C1673" s="2">
        <v>3532</v>
      </c>
      <c r="D1673" s="2">
        <v>9</v>
      </c>
      <c r="E1673" s="2" t="str">
        <f>"1000000923"</f>
        <v>1000000923</v>
      </c>
      <c r="F1673" s="4" t="str">
        <f>"FIRE HOSE:XL800 dbl jacket 800~XL800 Double jacket 800 PSIC 50' 2 hose~XL800 Double jacket 800 PSIC 50' 2 hose"</f>
        <v>FIRE HOSE:XL800 dbl jacket 800~XL800 Double jacket 800 PSIC 50' 2 hose~XL800 Double jacket 800 PSIC 50' 2 hose</v>
      </c>
      <c r="G1673" s="74" t="str">
        <f t="shared" si="110"/>
        <v>EA</v>
      </c>
      <c r="H1673" s="7">
        <v>189.96</v>
      </c>
      <c r="I1673" s="2" t="str">
        <f t="shared" si="111"/>
        <v>46191603</v>
      </c>
      <c r="J1673" s="10" t="s">
        <v>135</v>
      </c>
    </row>
    <row r="1674" spans="1:10" ht="76.5">
      <c r="A1674" s="9" t="s">
        <v>25</v>
      </c>
      <c r="B1674" s="2" t="s">
        <v>44</v>
      </c>
      <c r="C1674" s="2">
        <v>3532</v>
      </c>
      <c r="D1674" s="2">
        <v>17</v>
      </c>
      <c r="E1674" s="2" t="str">
        <f>"1000001618"</f>
        <v>1000001618</v>
      </c>
      <c r="F1674" s="4" t="str">
        <f>"HOSE:Supplyline Double jacket polyester large volume, 4, 50' hose, minimum friction loss, Flexible to -60F (-51C), Circular woven, double jacket 100% virgin spun polyvester, Extruded elastomer, Ozone and age resistant"</f>
        <v>HOSE:Supplyline Double jacket polyester large volume, 4, 50' hose, minimum friction loss, Flexible to -60F (-51C), Circular woven, double jacket 100% virgin spun polyvester, Extruded elastomer, Ozone and age resistant</v>
      </c>
      <c r="G1674" s="74" t="str">
        <f t="shared" si="110"/>
        <v>EA</v>
      </c>
      <c r="H1674" s="7">
        <v>518.48</v>
      </c>
      <c r="I1674" s="2" t="str">
        <f t="shared" si="111"/>
        <v>46191603</v>
      </c>
      <c r="J1674" s="10" t="s">
        <v>135</v>
      </c>
    </row>
    <row r="1675" spans="1:10" ht="76.5">
      <c r="A1675" s="9" t="s">
        <v>25</v>
      </c>
      <c r="B1675" s="2" t="s">
        <v>44</v>
      </c>
      <c r="C1675" s="2">
        <v>3532</v>
      </c>
      <c r="D1675" s="2">
        <v>19</v>
      </c>
      <c r="E1675" s="2" t="str">
        <f>"1000001619"</f>
        <v>1000001619</v>
      </c>
      <c r="F1675" s="4" t="str">
        <f>"HOSE:Supplyline Double Jacket polyester hose large volumes 5 50' hose minimum friction loss, Felxible to -60F (-51C), Circular woven, double jacket 100% virgin spun polyester, Extruded elastomer, Ozone and age resistant"</f>
        <v>HOSE:Supplyline Double Jacket polyester hose large volumes 5 50' hose minimum friction loss, Felxible to -60F (-51C), Circular woven, double jacket 100% virgin spun polyester, Extruded elastomer, Ozone and age resistant</v>
      </c>
      <c r="G1675" s="74" t="str">
        <f t="shared" si="110"/>
        <v>EA</v>
      </c>
      <c r="H1675" s="7">
        <v>648.91</v>
      </c>
      <c r="I1675" s="2" t="str">
        <f t="shared" si="111"/>
        <v>46191603</v>
      </c>
      <c r="J1675" s="10" t="s">
        <v>135</v>
      </c>
    </row>
    <row r="1676" spans="1:10" ht="51">
      <c r="A1676" s="9" t="s">
        <v>25</v>
      </c>
      <c r="B1676" s="2" t="s">
        <v>44</v>
      </c>
      <c r="C1676" s="2">
        <v>3532</v>
      </c>
      <c r="D1676" s="2">
        <v>16</v>
      </c>
      <c r="E1676" s="2" t="str">
        <f>"1000001695"</f>
        <v>1000001695</v>
      </c>
      <c r="F1676" s="4" t="str">
        <f>"FIRE HOSE:RXL-800 Dbl jacket 8~RXL-800 Double jacket 800 PSIC rubber lined 3, 100' hose~RXL-800 Double jacket 800 PSIC rubber lined 3, 100' hose"</f>
        <v>FIRE HOSE:RXL-800 Dbl jacket 8~RXL-800 Double jacket 800 PSIC rubber lined 3, 100' hose~RXL-800 Double jacket 800 PSIC rubber lined 3, 100' hose</v>
      </c>
      <c r="G1676" s="74" t="str">
        <f t="shared" si="110"/>
        <v>EA</v>
      </c>
      <c r="H1676" s="7">
        <v>532.70000000000005</v>
      </c>
      <c r="I1676" s="2" t="str">
        <f t="shared" si="111"/>
        <v>46191603</v>
      </c>
      <c r="J1676" s="10" t="s">
        <v>135</v>
      </c>
    </row>
    <row r="1677" spans="1:10" ht="89.25">
      <c r="A1677" s="9" t="s">
        <v>25</v>
      </c>
      <c r="B1677" s="2" t="s">
        <v>44</v>
      </c>
      <c r="C1677" s="2">
        <v>3532</v>
      </c>
      <c r="D1677" s="2">
        <v>24</v>
      </c>
      <c r="E1677" s="2" t="str">
        <f>"1000001699"</f>
        <v>1000001699</v>
      </c>
      <c r="F1677" s="4" t="str">
        <f>"FIRE HOSE:Econoflo multi-purpose high pressure 3/4 50' fire hose, Couples with brass ferrul type couplings, garden hose thread. Easily carried and stored, circular woven, single jacket, 100% virgin spun polyester, extruded TPU elastomer Ozone &amp; age resis"</f>
        <v>FIRE HOSE:Econoflo multi-purpose high pressure 3/4 50' fire hose, Couples with brass ferrul type couplings, garden hose thread. Easily carried and stored, circular woven, single jacket, 100% virgin spun polyester, extruded TPU elastomer Ozone &amp; age resis</v>
      </c>
      <c r="G1677" s="74" t="str">
        <f t="shared" si="110"/>
        <v>EA</v>
      </c>
      <c r="H1677" s="7">
        <v>38.71</v>
      </c>
      <c r="I1677" s="2" t="str">
        <f t="shared" si="111"/>
        <v>46191603</v>
      </c>
      <c r="J1677" s="10" t="s">
        <v>135</v>
      </c>
    </row>
    <row r="1678" spans="1:10" ht="51">
      <c r="A1678" s="9" t="s">
        <v>25</v>
      </c>
      <c r="B1678" s="2" t="s">
        <v>44</v>
      </c>
      <c r="C1678" s="2">
        <v>3532</v>
      </c>
      <c r="D1678" s="2">
        <v>13</v>
      </c>
      <c r="E1678" s="2" t="str">
        <f>"1000001792"</f>
        <v>1000001792</v>
      </c>
      <c r="F1678" s="4" t="str">
        <f>"FIRE HOSE:RXL800 dbl jacket 80~RXL 800 Double jacket 800 PSIC rubber lined 1.5 50' hose~RXL 800 Double jacket 800 PSIC rubber lined 1.5 50' hose"</f>
        <v>FIRE HOSE:RXL800 dbl jacket 80~RXL 800 Double jacket 800 PSIC rubber lined 1.5 50' hose~RXL 800 Double jacket 800 PSIC rubber lined 1.5 50' hose</v>
      </c>
      <c r="G1678" s="74" t="str">
        <f t="shared" si="110"/>
        <v>EA</v>
      </c>
      <c r="H1678" s="7">
        <v>158.18</v>
      </c>
      <c r="I1678" s="2" t="str">
        <f t="shared" si="111"/>
        <v>46191603</v>
      </c>
      <c r="J1678" s="10" t="s">
        <v>135</v>
      </c>
    </row>
    <row r="1679" spans="1:10">
      <c r="A1679" s="9" t="s">
        <v>25</v>
      </c>
      <c r="B1679" s="2" t="s">
        <v>44</v>
      </c>
      <c r="C1679" s="2">
        <v>3532</v>
      </c>
      <c r="D1679" s="2">
        <v>34</v>
      </c>
      <c r="E1679" s="2" t="str">
        <f>"1000005153"</f>
        <v>1000005153</v>
      </c>
      <c r="F1679" s="4" t="str">
        <f>"FIRE HOSE:Special order~Hose"</f>
        <v>FIRE HOSE:Special order~Hose</v>
      </c>
      <c r="G1679" s="74" t="str">
        <f t="shared" si="110"/>
        <v>EA</v>
      </c>
      <c r="H1679" s="7">
        <v>0.01</v>
      </c>
      <c r="I1679" s="2" t="str">
        <f t="shared" si="111"/>
        <v>46191603</v>
      </c>
      <c r="J1679" s="10" t="s">
        <v>135</v>
      </c>
    </row>
    <row r="1680" spans="1:10" ht="51">
      <c r="A1680" s="9" t="s">
        <v>25</v>
      </c>
      <c r="B1680" s="2" t="s">
        <v>44</v>
      </c>
      <c r="C1680" s="2">
        <v>3532</v>
      </c>
      <c r="D1680" s="2">
        <v>2</v>
      </c>
      <c r="E1680" s="2" t="str">
        <f>"1000022953"</f>
        <v>1000022953</v>
      </c>
      <c r="F1680" s="4" t="str">
        <f>"FLOOR MAT:Urinal 6/CT 17.5 IN x 20.5 IN x .25 IN. Deodorizing, disposable urinal floor mat with non-slip bottom. Sold 6 mats per carton"</f>
        <v>FLOOR MAT:Urinal 6/CT 17.5 IN x 20.5 IN x .25 IN. Deodorizing, disposable urinal floor mat with non-slip bottom. Sold 6 mats per carton</v>
      </c>
      <c r="G1680" s="74" t="str">
        <f>"CT"</f>
        <v>CT</v>
      </c>
      <c r="H1680" s="7">
        <v>53.54</v>
      </c>
      <c r="I1680" s="2" t="str">
        <f>"47131705"</f>
        <v>47131705</v>
      </c>
      <c r="J1680" s="10" t="s">
        <v>134</v>
      </c>
    </row>
    <row r="1681" spans="1:10" ht="51">
      <c r="A1681" s="9" t="s">
        <v>25</v>
      </c>
      <c r="B1681" s="2" t="s">
        <v>44</v>
      </c>
      <c r="C1681" s="2">
        <v>3532</v>
      </c>
      <c r="D1681" s="2">
        <v>5</v>
      </c>
      <c r="E1681" s="2" t="str">
        <f>"1000022956"</f>
        <v>1000022956</v>
      </c>
      <c r="F1681" s="4" t="str">
        <f>"FLOOR MAT:Toilet 6/CT 22 IN x 22 IN x .25 IN. Deodorizing, disposable toilet/commode floor mat with non-slip bottom. Sold 6 mats per carton"</f>
        <v>FLOOR MAT:Toilet 6/CT 22 IN x 22 IN x .25 IN. Deodorizing, disposable toilet/commode floor mat with non-slip bottom. Sold 6 mats per carton</v>
      </c>
      <c r="G1681" s="74" t="str">
        <f>"CT"</f>
        <v>CT</v>
      </c>
      <c r="H1681" s="7">
        <v>54.34</v>
      </c>
      <c r="I1681" s="2" t="str">
        <f>"47131705"</f>
        <v>47131705</v>
      </c>
      <c r="J1681" s="10" t="s">
        <v>134</v>
      </c>
    </row>
    <row r="1682" spans="1:10" ht="76.5">
      <c r="A1682" s="9" t="s">
        <v>25</v>
      </c>
      <c r="B1682" s="2" t="s">
        <v>44</v>
      </c>
      <c r="C1682" s="2">
        <v>3532</v>
      </c>
      <c r="D1682" s="2">
        <v>46</v>
      </c>
      <c r="E1682" s="2" t="str">
        <f>"1000022965"</f>
        <v>1000022965</v>
      </c>
      <c r="F1682" s="4" t="str">
        <f>"SHOWER CURTAIN:36 x 72, 24/CA - Vinyl shower curtain, 36 in x 72 in, white, mildew resistant, single panel, made from heavy-duty vinyl. Embossed, heat-sealed grommets, reinforced hems and seams. Sold 24 curtains per case"</f>
        <v>SHOWER CURTAIN:36 x 72, 24/CA - Vinyl shower curtain, 36 in x 72 in, white, mildew resistant, single panel, made from heavy-duty vinyl. Embossed, heat-sealed grommets, reinforced hems and seams. Sold 24 curtains per case</v>
      </c>
      <c r="G1682" s="74" t="str">
        <f>"CA"</f>
        <v>CA</v>
      </c>
      <c r="H1682" s="7">
        <v>204.12</v>
      </c>
      <c r="I1682" s="2" t="str">
        <f>"30181607"</f>
        <v>30181607</v>
      </c>
      <c r="J1682" s="10" t="s">
        <v>139</v>
      </c>
    </row>
    <row r="1683" spans="1:10" ht="76.5">
      <c r="A1683" s="9" t="s">
        <v>25</v>
      </c>
      <c r="B1683" s="2" t="s">
        <v>44</v>
      </c>
      <c r="C1683" s="2">
        <v>3532</v>
      </c>
      <c r="D1683" s="2">
        <v>48</v>
      </c>
      <c r="E1683" s="2" t="str">
        <f>"1000022967"</f>
        <v>1000022967</v>
      </c>
      <c r="F1683" s="4" t="str">
        <f>"SHOWER CURTAIN:72 x 72, 24/CA - Vinyl shower curtain, 72 in x 72 in, white, mildew resistant, single panel, made from heavy-duty vinyl. Embossed, heat-sealed grommets, reinforced hems and seams. Sold 24 curtains per case"</f>
        <v>SHOWER CURTAIN:72 x 72, 24/CA - Vinyl shower curtain, 72 in x 72 in, white, mildew resistant, single panel, made from heavy-duty vinyl. Embossed, heat-sealed grommets, reinforced hems and seams. Sold 24 curtains per case</v>
      </c>
      <c r="G1683" s="74" t="str">
        <f>"CA"</f>
        <v>CA</v>
      </c>
      <c r="H1683" s="7">
        <v>303.27</v>
      </c>
      <c r="I1683" s="2" t="str">
        <f>"30181607"</f>
        <v>30181607</v>
      </c>
      <c r="J1683" s="10" t="s">
        <v>139</v>
      </c>
    </row>
    <row r="1684" spans="1:10" ht="76.5">
      <c r="A1684" s="9" t="s">
        <v>25</v>
      </c>
      <c r="B1684" s="2" t="s">
        <v>44</v>
      </c>
      <c r="C1684" s="2">
        <v>3532</v>
      </c>
      <c r="D1684" s="2">
        <v>30</v>
      </c>
      <c r="E1684" s="2" t="str">
        <f>"1000024286"</f>
        <v>1000024286</v>
      </c>
      <c r="F1684" s="4" t="str">
        <f>"HOSE:Econoflo 3/4 50' encap - Econoflo multi-purpose high pressure 3/4 50' fire hose with yellow encap, abrasion and UV resistant. Couples with brass ferrule type couplings, garden hose thread. Not a vinyl garden hose."</f>
        <v>HOSE:Econoflo 3/4 50' encap - Econoflo multi-purpose high pressure 3/4 50' fire hose with yellow encap, abrasion and UV resistant. Couples with brass ferrule type couplings, garden hose thread. Not a vinyl garden hose.</v>
      </c>
      <c r="G1684" s="74" t="str">
        <f t="shared" ref="G1684:G1699" si="112">"EA"</f>
        <v>EA</v>
      </c>
      <c r="H1684" s="7">
        <v>45.9</v>
      </c>
      <c r="I1684" s="2" t="str">
        <f t="shared" ref="I1684:I1689" si="113">"46191603"</f>
        <v>46191603</v>
      </c>
      <c r="J1684" s="10" t="s">
        <v>135</v>
      </c>
    </row>
    <row r="1685" spans="1:10" ht="76.5">
      <c r="A1685" s="9" t="s">
        <v>25</v>
      </c>
      <c r="B1685" s="2" t="s">
        <v>44</v>
      </c>
      <c r="C1685" s="2">
        <v>3532</v>
      </c>
      <c r="D1685" s="2">
        <v>29</v>
      </c>
      <c r="E1685" s="2" t="str">
        <f>"1000024287"</f>
        <v>1000024287</v>
      </c>
      <c r="F1685" s="4" t="str">
        <f>"HOSE:Econoflo 5/8 100' encap - Econoflo multi-purpose high pressure 5/8 100' fire hose with yellow encap, abrasion and UV resistant. Couples with brass ferrule type couplings, garden hose thread. Not a vinyl garden hose."</f>
        <v>HOSE:Econoflo 5/8 100' encap - Econoflo multi-purpose high pressure 5/8 100' fire hose with yellow encap, abrasion and UV resistant. Couples with brass ferrule type couplings, garden hose thread. Not a vinyl garden hose.</v>
      </c>
      <c r="G1685" s="74" t="str">
        <f t="shared" si="112"/>
        <v>EA</v>
      </c>
      <c r="H1685" s="7">
        <v>68.849999999999994</v>
      </c>
      <c r="I1685" s="2" t="str">
        <f t="shared" si="113"/>
        <v>46191603</v>
      </c>
      <c r="J1685" s="10" t="s">
        <v>135</v>
      </c>
    </row>
    <row r="1686" spans="1:10" ht="51">
      <c r="A1686" s="9" t="s">
        <v>25</v>
      </c>
      <c r="B1686" s="2" t="s">
        <v>44</v>
      </c>
      <c r="C1686" s="2">
        <v>3532</v>
      </c>
      <c r="D1686" s="2">
        <v>32</v>
      </c>
      <c r="E1686" s="2" t="str">
        <f>"1000024289"</f>
        <v>1000024289</v>
      </c>
      <c r="F1686" s="4" t="str">
        <f>"HOSE:Spec 187 Type II 1, 100' - Spec 187 1, 100' Type II Forestry Hose with yellow encap, abrasion and UV resistant. Not a vinyl garden hose."</f>
        <v>HOSE:Spec 187 Type II 1, 100' - Spec 187 1, 100' Type II Forestry Hose with yellow encap, abrasion and UV resistant. Not a vinyl garden hose.</v>
      </c>
      <c r="G1686" s="74" t="str">
        <f t="shared" si="112"/>
        <v>EA</v>
      </c>
      <c r="H1686" s="7">
        <v>123.69</v>
      </c>
      <c r="I1686" s="2" t="str">
        <f t="shared" si="113"/>
        <v>46191603</v>
      </c>
      <c r="J1686" s="10" t="s">
        <v>135</v>
      </c>
    </row>
    <row r="1687" spans="1:10" ht="51">
      <c r="A1687" s="9" t="s">
        <v>25</v>
      </c>
      <c r="B1687" s="2" t="s">
        <v>44</v>
      </c>
      <c r="C1687" s="2">
        <v>3532</v>
      </c>
      <c r="D1687" s="2">
        <v>33</v>
      </c>
      <c r="E1687" s="2" t="str">
        <f>"1000024290"</f>
        <v>1000024290</v>
      </c>
      <c r="F1687" s="4" t="str">
        <f>"HOSE:Spec 187 Type II 1.5, 100' - Spec 187 Type II 1.5, 100' Forestry Hose with yellow encap, abrasion and UV resistant. Not a vinyl garden hose"</f>
        <v>HOSE:Spec 187 Type II 1.5, 100' - Spec 187 Type II 1.5, 100' Forestry Hose with yellow encap, abrasion and UV resistant. Not a vinyl garden hose</v>
      </c>
      <c r="G1687" s="74" t="str">
        <f t="shared" si="112"/>
        <v>EA</v>
      </c>
      <c r="H1687" s="7">
        <v>138.49</v>
      </c>
      <c r="I1687" s="2" t="str">
        <f t="shared" si="113"/>
        <v>46191603</v>
      </c>
      <c r="J1687" s="10" t="s">
        <v>135</v>
      </c>
    </row>
    <row r="1688" spans="1:10" ht="76.5">
      <c r="A1688" s="9" t="s">
        <v>25</v>
      </c>
      <c r="B1688" s="2" t="s">
        <v>44</v>
      </c>
      <c r="C1688" s="2">
        <v>3532</v>
      </c>
      <c r="D1688" s="2">
        <v>28</v>
      </c>
      <c r="E1688" s="2" t="str">
        <f>"1000024297"</f>
        <v>1000024297</v>
      </c>
      <c r="F1688" s="4" t="str">
        <f>"HOSE:Econoflo 5/8 50' encap - Econoflo multi-purpose high pressure 5/8 50' fire hose with yellow encap, abrasion and UV resistant. Couples with brass ferrule type couplings, garden hose thread. Not a vinyl garden hose."</f>
        <v>HOSE:Econoflo 5/8 50' encap - Econoflo multi-purpose high pressure 5/8 50' fire hose with yellow encap, abrasion and UV resistant. Couples with brass ferrule type couplings, garden hose thread. Not a vinyl garden hose.</v>
      </c>
      <c r="G1688" s="74" t="str">
        <f t="shared" si="112"/>
        <v>EA</v>
      </c>
      <c r="H1688" s="7">
        <v>38.25</v>
      </c>
      <c r="I1688" s="2" t="str">
        <f t="shared" si="113"/>
        <v>46191603</v>
      </c>
      <c r="J1688" s="10" t="s">
        <v>135</v>
      </c>
    </row>
    <row r="1689" spans="1:10" ht="76.5">
      <c r="A1689" s="9" t="s">
        <v>25</v>
      </c>
      <c r="B1689" s="2" t="s">
        <v>44</v>
      </c>
      <c r="C1689" s="2">
        <v>3532</v>
      </c>
      <c r="D1689" s="2">
        <v>31</v>
      </c>
      <c r="E1689" s="2" t="str">
        <f>"1000024302"</f>
        <v>1000024302</v>
      </c>
      <c r="F1689" s="4" t="str">
        <f>"HOSE:Econoflo 3/4 100' encap - Econoflo multi-purpose high pressure 3/4 100' fire hose with yellow encap, abrasion and UV resistant. Couples with brass ferrule type couplings, garden hose thread. Not a vinyl garden hose."</f>
        <v>HOSE:Econoflo 3/4 100' encap - Econoflo multi-purpose high pressure 3/4 100' fire hose with yellow encap, abrasion and UV resistant. Couples with brass ferrule type couplings, garden hose thread. Not a vinyl garden hose.</v>
      </c>
      <c r="G1689" s="74" t="str">
        <f t="shared" si="112"/>
        <v>EA</v>
      </c>
      <c r="H1689" s="7">
        <v>84.15</v>
      </c>
      <c r="I1689" s="2" t="str">
        <f t="shared" si="113"/>
        <v>46191603</v>
      </c>
      <c r="J1689" s="10" t="s">
        <v>135</v>
      </c>
    </row>
    <row r="1690" spans="1:10" ht="51">
      <c r="A1690" s="9" t="s">
        <v>25</v>
      </c>
      <c r="B1690" s="2" t="s">
        <v>44</v>
      </c>
      <c r="C1690" s="2">
        <v>3532</v>
      </c>
      <c r="D1690" s="2">
        <v>44</v>
      </c>
      <c r="E1690" s="2" t="str">
        <f>"1000024873"</f>
        <v>1000024873</v>
      </c>
      <c r="F1690" s="4" t="str">
        <f>"RECYCLE KIT: Electronics M Bx - Consumer Electronics Recycle kit: double corrugated box with poly liner, size 23 x 23 x 23 Capacity 70 lbs."</f>
        <v>RECYCLE KIT: Electronics M Bx - Consumer Electronics Recycle kit: double corrugated box with poly liner, size 23 x 23 x 23 Capacity 70 lbs.</v>
      </c>
      <c r="G1690" s="74" t="str">
        <f t="shared" si="112"/>
        <v>EA</v>
      </c>
      <c r="H1690" s="7">
        <v>80.489999999999995</v>
      </c>
      <c r="I1690" s="2" t="str">
        <f>"76122304"</f>
        <v>76122304</v>
      </c>
      <c r="J1690" s="10" t="s">
        <v>138</v>
      </c>
    </row>
    <row r="1691" spans="1:10" ht="63.75">
      <c r="A1691" s="9" t="s">
        <v>25</v>
      </c>
      <c r="B1691" s="2" t="s">
        <v>44</v>
      </c>
      <c r="C1691" s="2">
        <v>3532</v>
      </c>
      <c r="D1691" s="2">
        <v>35</v>
      </c>
      <c r="E1691" s="2" t="str">
        <f>"1000024879"</f>
        <v>1000024879</v>
      </c>
      <c r="F1691" s="4" t="str">
        <f>"RECYCLE KIT: Lamp w HG 4ft Sm - 4 ft. Triple guard small includes interior &amp; ext. boxes for mercury contained lamps Straight T-8 &amp; T-12 Capacity: 30 T-12 or 68 T-8. Box dimensions 49.5 x 8.75 x 8.75"</f>
        <v>RECYCLE KIT: Lamp w HG 4ft Sm - 4 ft. Triple guard small includes interior &amp; ext. boxes for mercury contained lamps Straight T-8 &amp; T-12 Capacity: 30 T-12 or 68 T-8. Box dimensions 49.5 x 8.75 x 8.75</v>
      </c>
      <c r="G1691" s="74" t="str">
        <f t="shared" si="112"/>
        <v>EA</v>
      </c>
      <c r="H1691" s="7">
        <v>68.930000000000007</v>
      </c>
      <c r="I1691" s="2" t="str">
        <f>"76122314"</f>
        <v>76122314</v>
      </c>
      <c r="J1691" s="10" t="s">
        <v>136</v>
      </c>
    </row>
    <row r="1692" spans="1:10" ht="63.75">
      <c r="A1692" s="9" t="s">
        <v>25</v>
      </c>
      <c r="B1692" s="2" t="s">
        <v>44</v>
      </c>
      <c r="C1692" s="2">
        <v>3532</v>
      </c>
      <c r="D1692" s="2">
        <v>36</v>
      </c>
      <c r="E1692" s="2" t="str">
        <f>"1000024880"</f>
        <v>1000024880</v>
      </c>
      <c r="F1692" s="4" t="str">
        <f>"RECYCLE KIT: Lamp w HG 4ft Lg - 4 ft. Triple guard large includes interior &amp; ext. boxes for mercury contained lamps Straight T-8 &amp; T-12 Capacity: 68 T-12 or 146 T-8. Box dimensions 49.5 x 13 x 12"</f>
        <v>RECYCLE KIT: Lamp w HG 4ft Lg - 4 ft. Triple guard large includes interior &amp; ext. boxes for mercury contained lamps Straight T-8 &amp; T-12 Capacity: 68 T-12 or 146 T-8. Box dimensions 49.5 x 13 x 12</v>
      </c>
      <c r="G1692" s="74" t="str">
        <f t="shared" si="112"/>
        <v>EA</v>
      </c>
      <c r="H1692" s="7">
        <v>93.78</v>
      </c>
      <c r="I1692" s="2" t="str">
        <f>"76122314"</f>
        <v>76122314</v>
      </c>
      <c r="J1692" s="10" t="s">
        <v>136</v>
      </c>
    </row>
    <row r="1693" spans="1:10" ht="63.75">
      <c r="A1693" s="9" t="s">
        <v>25</v>
      </c>
      <c r="B1693" s="2" t="s">
        <v>44</v>
      </c>
      <c r="C1693" s="2">
        <v>3532</v>
      </c>
      <c r="D1693" s="2">
        <v>37</v>
      </c>
      <c r="E1693" s="2" t="str">
        <f>"1000024881"</f>
        <v>1000024881</v>
      </c>
      <c r="F1693" s="4" t="str">
        <f>"RECYCLE KIT: Lamp w HG 8ft Lg - 8 ft. Triple guard large includes interior &amp; ext. boxes for mercury contained lamps Straight T-8 &amp; T-12 Capacity: 20 T-12 or 42 T-8. Box dimensions 96 x 7.75 x 7.75."</f>
        <v>RECYCLE KIT: Lamp w HG 8ft Lg - 8 ft. Triple guard large includes interior &amp; ext. boxes for mercury contained lamps Straight T-8 &amp; T-12 Capacity: 20 T-12 or 42 T-8. Box dimensions 96 x 7.75 x 7.75.</v>
      </c>
      <c r="G1693" s="74" t="str">
        <f t="shared" si="112"/>
        <v>EA</v>
      </c>
      <c r="H1693" s="7">
        <v>82.96</v>
      </c>
      <c r="I1693" s="2" t="str">
        <f>"76122314"</f>
        <v>76122314</v>
      </c>
      <c r="J1693" s="10" t="s">
        <v>136</v>
      </c>
    </row>
    <row r="1694" spans="1:10" ht="76.5">
      <c r="A1694" s="9" t="s">
        <v>25</v>
      </c>
      <c r="B1694" s="2" t="s">
        <v>44</v>
      </c>
      <c r="C1694" s="2">
        <v>3532</v>
      </c>
      <c r="D1694" s="2">
        <v>38</v>
      </c>
      <c r="E1694" s="2" t="str">
        <f>"1000024882"</f>
        <v>1000024882</v>
      </c>
      <c r="F1694" s="4" t="str">
        <f>"RECYCLE KIT: Lamp w HG Compact - Compact fl. Recycle kit: double corrugated for mercury lamps (cfl) flood lights and HID lamps size 11 x 14 x 14; Capacity 350 2-pin, 175 4-pin, 106 spiral. Box dimensions 14.75 x 14.5 x 11.75"</f>
        <v>RECYCLE KIT: Lamp w HG Compact - Compact fl. Recycle kit: double corrugated for mercury lamps (cfl) flood lights and HID lamps size 11 x 14 x 14; Capacity 350 2-pin, 175 4-pin, 106 spiral. Box dimensions 14.75 x 14.5 x 11.75</v>
      </c>
      <c r="G1694" s="74" t="str">
        <f t="shared" si="112"/>
        <v>EA</v>
      </c>
      <c r="H1694" s="7">
        <v>78.63</v>
      </c>
      <c r="I1694" s="2" t="str">
        <f>"76122314"</f>
        <v>76122314</v>
      </c>
      <c r="J1694" s="10" t="s">
        <v>136</v>
      </c>
    </row>
    <row r="1695" spans="1:10" ht="63.75">
      <c r="A1695" s="9" t="s">
        <v>25</v>
      </c>
      <c r="B1695" s="2" t="s">
        <v>44</v>
      </c>
      <c r="C1695" s="2">
        <v>3532</v>
      </c>
      <c r="D1695" s="2">
        <v>39</v>
      </c>
      <c r="E1695" s="2" t="str">
        <f>"1000024883"</f>
        <v>1000024883</v>
      </c>
      <c r="F1695" s="4" t="str">
        <f>"RECYCLE KIT: Lamp w HG 2ft Bx - Lamp recycle kit for mercury contained U-Bend lamps and 400 watt bulbs: Capacity 43 T-12 UB, 75 T-8 UB, 60 400watt, HID 55lbs. Box dimensions 24 x 24 x 24"</f>
        <v>RECYCLE KIT: Lamp w HG 2ft Bx - Lamp recycle kit for mercury contained U-Bend lamps and 400 watt bulbs: Capacity 43 T-12 UB, 75 T-8 UB, 60 400watt, HID 55lbs. Box dimensions 24 x 24 x 24</v>
      </c>
      <c r="G1695" s="74" t="str">
        <f t="shared" si="112"/>
        <v>EA</v>
      </c>
      <c r="H1695" s="7">
        <v>87.69</v>
      </c>
      <c r="I1695" s="2" t="str">
        <f>"76122314"</f>
        <v>76122314</v>
      </c>
      <c r="J1695" s="10" t="s">
        <v>136</v>
      </c>
    </row>
    <row r="1696" spans="1:10" ht="63.75">
      <c r="A1696" s="9" t="s">
        <v>25</v>
      </c>
      <c r="B1696" s="2" t="s">
        <v>44</v>
      </c>
      <c r="C1696" s="2">
        <v>3532</v>
      </c>
      <c r="D1696" s="2">
        <v>40</v>
      </c>
      <c r="E1696" s="2" t="str">
        <f>"1000024884"</f>
        <v>1000024884</v>
      </c>
      <c r="F1696" s="4" t="str">
        <f>"RECYCLE KIT: Ballast 5 gal bkt - Ballast Recycle container for non-PCB ballasts, 5 gal with locking lid and poly liner, Capacity 70 lbs Bucket dimensions 15.75 x 15 x 14.5"</f>
        <v>RECYCLE KIT: Ballast 5 gal bkt - Ballast Recycle container for non-PCB ballasts, 5 gal with locking lid and poly liner, Capacity 70 lbs Bucket dimensions 15.75 x 15 x 14.5</v>
      </c>
      <c r="G1696" s="74" t="str">
        <f t="shared" si="112"/>
        <v>EA</v>
      </c>
      <c r="H1696" s="7">
        <v>90.72</v>
      </c>
      <c r="I1696" s="2" t="str">
        <f>"76122315"</f>
        <v>76122315</v>
      </c>
      <c r="J1696" s="10" t="s">
        <v>137</v>
      </c>
    </row>
    <row r="1697" spans="1:10" ht="63.75">
      <c r="A1697" s="9" t="s">
        <v>25</v>
      </c>
      <c r="B1697" s="2" t="s">
        <v>44</v>
      </c>
      <c r="C1697" s="2">
        <v>3532</v>
      </c>
      <c r="D1697" s="2">
        <v>41</v>
      </c>
      <c r="E1697" s="2" t="str">
        <f>"1000024885"</f>
        <v>1000024885</v>
      </c>
      <c r="F1697" s="4" t="str">
        <f>"RECYCLE KIT: Battery 1/2 Gal - Battery Recycle Kit: 1/2 gal bucket with locking lid and poly liner for dry cell batteries; Capacity 25 lbs Bucket dimensions 8.25 x 8.75 x 7.5"</f>
        <v>RECYCLE KIT: Battery 1/2 Gal - Battery Recycle Kit: 1/2 gal bucket with locking lid and poly liner for dry cell batteries; Capacity 25 lbs Bucket dimensions 8.25 x 8.75 x 7.5</v>
      </c>
      <c r="G1697" s="74" t="str">
        <f t="shared" si="112"/>
        <v>EA</v>
      </c>
      <c r="H1697" s="7">
        <v>58.15</v>
      </c>
      <c r="I1697" s="2" t="str">
        <f>"76122304"</f>
        <v>76122304</v>
      </c>
      <c r="J1697" s="10" t="s">
        <v>138</v>
      </c>
    </row>
    <row r="1698" spans="1:10" ht="51">
      <c r="A1698" s="9" t="s">
        <v>25</v>
      </c>
      <c r="B1698" s="2" t="s">
        <v>44</v>
      </c>
      <c r="C1698" s="2">
        <v>3532</v>
      </c>
      <c r="D1698" s="2">
        <v>42</v>
      </c>
      <c r="E1698" s="2" t="str">
        <f>"1000024886"</f>
        <v>1000024886</v>
      </c>
      <c r="F1698" s="4" t="str">
        <f>"RECYCLE KIT: Battery 1 Gal - Battery Recycle Kit: 1 gal bucket with locking lid and poly liner for dry cell batteries; Capacity 50 lbs Bucket dimensions 12.25 x 10.75 x 10.5"</f>
        <v>RECYCLE KIT: Battery 1 Gal - Battery Recycle Kit: 1 gal bucket with locking lid and poly liner for dry cell batteries; Capacity 50 lbs Bucket dimensions 12.25 x 10.75 x 10.5</v>
      </c>
      <c r="G1698" s="74" t="str">
        <f t="shared" si="112"/>
        <v>EA</v>
      </c>
      <c r="H1698" s="7">
        <v>70.599999999999994</v>
      </c>
      <c r="I1698" s="2" t="str">
        <f>"76122304"</f>
        <v>76122304</v>
      </c>
      <c r="J1698" s="10" t="s">
        <v>138</v>
      </c>
    </row>
    <row r="1699" spans="1:10" ht="63.75">
      <c r="A1699" s="9" t="s">
        <v>25</v>
      </c>
      <c r="B1699" s="2" t="s">
        <v>44</v>
      </c>
      <c r="C1699" s="2">
        <v>3532</v>
      </c>
      <c r="D1699" s="2">
        <v>43</v>
      </c>
      <c r="E1699" s="2" t="str">
        <f>"1000024887"</f>
        <v>1000024887</v>
      </c>
      <c r="F1699" s="4" t="str">
        <f>"RECYCLE KIT: Battery 3.5 Gal - Battery Recycle Kit: 3.5 gal bucket with locking lid and poly liner for dry cell batteries; Capacity 70 lbs. Bucket dimensions 15.75 x 15 x 14.5"</f>
        <v>RECYCLE KIT: Battery 3.5 Gal - Battery Recycle Kit: 3.5 gal bucket with locking lid and poly liner for dry cell batteries; Capacity 70 lbs. Bucket dimensions 15.75 x 15 x 14.5</v>
      </c>
      <c r="G1699" s="74" t="str">
        <f t="shared" si="112"/>
        <v>EA</v>
      </c>
      <c r="H1699" s="7">
        <v>94.59</v>
      </c>
      <c r="I1699" s="2" t="str">
        <f>"76122304"</f>
        <v>76122304</v>
      </c>
      <c r="J1699" s="10" t="s">
        <v>138</v>
      </c>
    </row>
    <row r="1700" spans="1:10" ht="38.25">
      <c r="A1700" s="116" t="s">
        <v>40</v>
      </c>
      <c r="B1700" s="117" t="s">
        <v>44</v>
      </c>
      <c r="C1700" s="117">
        <v>2854</v>
      </c>
      <c r="D1700" s="117">
        <v>10</v>
      </c>
      <c r="E1700" s="117">
        <v>1000029874</v>
      </c>
      <c r="F1700" s="4" t="s">
        <v>848</v>
      </c>
      <c r="G1700" s="74" t="s">
        <v>600</v>
      </c>
      <c r="H1700" s="118">
        <v>24.63</v>
      </c>
      <c r="I1700" s="2" t="str">
        <f>"42172001"</f>
        <v>42172001</v>
      </c>
      <c r="J1700" s="10" t="s">
        <v>133</v>
      </c>
    </row>
    <row r="1701" spans="1:10" ht="38.25">
      <c r="A1701" s="116" t="s">
        <v>40</v>
      </c>
      <c r="B1701" s="117" t="s">
        <v>44</v>
      </c>
      <c r="C1701" s="117">
        <v>2854</v>
      </c>
      <c r="D1701" s="117">
        <v>11</v>
      </c>
      <c r="E1701" s="117">
        <v>1000029875</v>
      </c>
      <c r="F1701" s="4" t="s">
        <v>849</v>
      </c>
      <c r="G1701" s="74" t="s">
        <v>600</v>
      </c>
      <c r="H1701" s="118">
        <v>123.36</v>
      </c>
      <c r="I1701" s="2" t="str">
        <f>"42172001"</f>
        <v>42172001</v>
      </c>
      <c r="J1701" s="10" t="s">
        <v>133</v>
      </c>
    </row>
    <row r="1702" spans="1:10">
      <c r="A1702" s="9" t="s">
        <v>40</v>
      </c>
      <c r="B1702" s="2" t="s">
        <v>44</v>
      </c>
      <c r="C1702" s="2">
        <v>2854</v>
      </c>
      <c r="D1702" s="2">
        <v>8</v>
      </c>
      <c r="E1702" s="2" t="str">
        <f>"1000008974"</f>
        <v>1000008974</v>
      </c>
      <c r="F1702" s="4" t="str">
        <f>"SHIPPING: General Charges"</f>
        <v>SHIPPING: General Charges</v>
      </c>
      <c r="G1702" s="74" t="str">
        <f>"EA"</f>
        <v>EA</v>
      </c>
      <c r="H1702" s="7">
        <v>0.01</v>
      </c>
      <c r="I1702" s="2" t="str">
        <f>"78121603"</f>
        <v>78121603</v>
      </c>
      <c r="J1702" s="10" t="s">
        <v>75</v>
      </c>
    </row>
    <row r="1703" spans="1:10" ht="76.5">
      <c r="A1703" s="9" t="s">
        <v>40</v>
      </c>
      <c r="B1703" s="2" t="s">
        <v>44</v>
      </c>
      <c r="C1703" s="2">
        <v>2854</v>
      </c>
      <c r="D1703" s="2">
        <v>7</v>
      </c>
      <c r="E1703" s="2" t="str">
        <f>"1000009785"</f>
        <v>1000009785</v>
      </c>
      <c r="F1703" s="120" t="str">
        <f>"FIRST AID:Body Fluid Barrier 2 ~First Aid Kit, Body Fluid Barrier Kit, 2 Mouth-to-mouth barriers (one time use), face mask with shield, antiseptic wipes, red biohazard waste bags and gloves. Red nylon bag, 2 kits per bag"</f>
        <v>FIRST AID:Body Fluid Barrier 2 ~First Aid Kit, Body Fluid Barrier Kit, 2 Mouth-to-mouth barriers (one time use), face mask with shield, antiseptic wipes, red biohazard waste bags and gloves. Red nylon bag, 2 kits per bag</v>
      </c>
      <c r="G1703" s="74" t="str">
        <f>"BG"</f>
        <v>BG</v>
      </c>
      <c r="H1703" s="7">
        <v>29.36</v>
      </c>
      <c r="I1703" s="2" t="str">
        <f>"42172001"</f>
        <v>42172001</v>
      </c>
      <c r="J1703" s="10" t="s">
        <v>133</v>
      </c>
    </row>
    <row r="1704" spans="1:10" ht="25.5">
      <c r="A1704" s="9" t="s">
        <v>40</v>
      </c>
      <c r="B1704" s="2" t="s">
        <v>44</v>
      </c>
      <c r="C1704" s="2">
        <v>2854</v>
      </c>
      <c r="D1704" s="2">
        <v>9</v>
      </c>
      <c r="E1704" s="2" t="str">
        <f>"1000024816"</f>
        <v>1000024816</v>
      </c>
      <c r="F1704" s="119" t="str">
        <f>"FIRST AID KIT REFILLS: First Aid Kit Refill components"</f>
        <v>FIRST AID KIT REFILLS: First Aid Kit Refill components</v>
      </c>
      <c r="G1704" s="74" t="str">
        <f>"EA"</f>
        <v>EA</v>
      </c>
      <c r="H1704" s="7">
        <v>0.01</v>
      </c>
      <c r="I1704" s="2" t="str">
        <f>"42172001"</f>
        <v>42172001</v>
      </c>
      <c r="J1704" s="10" t="s">
        <v>133</v>
      </c>
    </row>
    <row r="1705" spans="1:10" ht="25.5">
      <c r="A1705" s="84"/>
      <c r="B1705" s="2" t="s">
        <v>44</v>
      </c>
      <c r="C1705" s="85"/>
      <c r="D1705" s="85"/>
      <c r="E1705" s="85" t="s">
        <v>610</v>
      </c>
      <c r="F1705" s="94" t="s">
        <v>287</v>
      </c>
      <c r="G1705" s="86"/>
      <c r="H1705" s="87"/>
      <c r="I1705" s="96">
        <v>31132002</v>
      </c>
      <c r="J1705" s="88" t="s">
        <v>621</v>
      </c>
    </row>
    <row r="1706" spans="1:10" ht="38.25">
      <c r="A1706" s="84"/>
      <c r="B1706" s="2" t="s">
        <v>44</v>
      </c>
      <c r="C1706" s="85"/>
      <c r="D1706" s="85"/>
      <c r="E1706" s="85" t="s">
        <v>610</v>
      </c>
      <c r="F1706" s="94" t="s">
        <v>282</v>
      </c>
      <c r="G1706" s="86"/>
      <c r="H1706" s="87"/>
      <c r="I1706" s="96">
        <v>42171917</v>
      </c>
      <c r="J1706" s="98" t="s">
        <v>626</v>
      </c>
    </row>
    <row r="1707" spans="1:10">
      <c r="A1707" s="84"/>
      <c r="B1707" s="2" t="s">
        <v>44</v>
      </c>
      <c r="C1707" s="85"/>
      <c r="D1707" s="85"/>
      <c r="E1707" s="85" t="s">
        <v>610</v>
      </c>
      <c r="F1707" s="49" t="s">
        <v>260</v>
      </c>
      <c r="G1707" s="86"/>
      <c r="H1707" s="87"/>
      <c r="I1707" s="68">
        <v>42281803</v>
      </c>
      <c r="J1707" s="98" t="s">
        <v>629</v>
      </c>
    </row>
    <row r="1708" spans="1:10">
      <c r="A1708" s="84"/>
      <c r="B1708" s="2" t="s">
        <v>44</v>
      </c>
      <c r="C1708" s="85"/>
      <c r="D1708" s="85"/>
      <c r="E1708" s="85" t="s">
        <v>610</v>
      </c>
      <c r="F1708" s="49" t="s">
        <v>261</v>
      </c>
      <c r="G1708" s="86"/>
      <c r="H1708" s="87"/>
      <c r="I1708" s="68">
        <v>73151500</v>
      </c>
      <c r="J1708" s="99" t="s">
        <v>261</v>
      </c>
    </row>
    <row r="1709" spans="1:10">
      <c r="A1709" s="84"/>
      <c r="B1709" s="2" t="s">
        <v>44</v>
      </c>
      <c r="C1709" s="85"/>
      <c r="D1709" s="85"/>
      <c r="E1709" s="85" t="s">
        <v>610</v>
      </c>
      <c r="F1709" s="49" t="s">
        <v>246</v>
      </c>
      <c r="G1709" s="86"/>
      <c r="H1709" s="87"/>
      <c r="I1709" s="68">
        <v>73151600</v>
      </c>
      <c r="J1709" s="99" t="s">
        <v>246</v>
      </c>
    </row>
    <row r="1710" spans="1:10" ht="25.5">
      <c r="A1710" s="84"/>
      <c r="B1710" s="2" t="s">
        <v>44</v>
      </c>
      <c r="C1710" s="85"/>
      <c r="D1710" s="85"/>
      <c r="E1710" s="85" t="s">
        <v>610</v>
      </c>
      <c r="F1710" s="155" t="s">
        <v>280</v>
      </c>
      <c r="G1710" s="86"/>
      <c r="H1710" s="87"/>
      <c r="I1710" s="69">
        <v>73181000</v>
      </c>
      <c r="J1710" s="99" t="s">
        <v>648</v>
      </c>
    </row>
    <row r="1711" spans="1:10">
      <c r="A1711" s="84"/>
      <c r="B1711" s="2" t="s">
        <v>44</v>
      </c>
      <c r="C1711" s="85"/>
      <c r="D1711" s="85"/>
      <c r="E1711" s="85" t="s">
        <v>610</v>
      </c>
      <c r="F1711" s="49" t="s">
        <v>286</v>
      </c>
      <c r="G1711" s="86"/>
      <c r="H1711" s="87"/>
      <c r="I1711" s="69">
        <v>73181000</v>
      </c>
      <c r="J1711" s="99" t="s">
        <v>648</v>
      </c>
    </row>
    <row r="1712" spans="1:10">
      <c r="A1712" s="84"/>
      <c r="B1712" s="2" t="s">
        <v>44</v>
      </c>
      <c r="C1712" s="85"/>
      <c r="D1712" s="85"/>
      <c r="E1712" s="85" t="s">
        <v>610</v>
      </c>
      <c r="F1712" s="49" t="s">
        <v>296</v>
      </c>
      <c r="G1712" s="86"/>
      <c r="H1712" s="87"/>
      <c r="I1712" s="69">
        <v>73181000</v>
      </c>
      <c r="J1712" s="99" t="s">
        <v>648</v>
      </c>
    </row>
    <row r="1713" spans="1:10">
      <c r="A1713" s="84"/>
      <c r="B1713" s="2" t="s">
        <v>44</v>
      </c>
      <c r="C1713" s="85"/>
      <c r="D1713" s="85"/>
      <c r="E1713" s="85" t="s">
        <v>610</v>
      </c>
      <c r="F1713" s="49" t="s">
        <v>250</v>
      </c>
      <c r="G1713" s="86"/>
      <c r="H1713" s="87"/>
      <c r="I1713" s="68">
        <v>76122300</v>
      </c>
      <c r="J1713" s="98" t="s">
        <v>652</v>
      </c>
    </row>
    <row r="1714" spans="1:10">
      <c r="A1714" s="84"/>
      <c r="B1714" s="2" t="s">
        <v>44</v>
      </c>
      <c r="C1714" s="85"/>
      <c r="D1714" s="85"/>
      <c r="E1714" s="85" t="s">
        <v>610</v>
      </c>
      <c r="F1714" s="49" t="s">
        <v>236</v>
      </c>
      <c r="G1714" s="86"/>
      <c r="H1714" s="87"/>
      <c r="I1714" s="68">
        <v>80141603</v>
      </c>
      <c r="J1714" s="11" t="s">
        <v>653</v>
      </c>
    </row>
    <row r="1715" spans="1:10" ht="38.25">
      <c r="A1715" s="9" t="s">
        <v>25</v>
      </c>
      <c r="B1715" s="2" t="s">
        <v>596</v>
      </c>
      <c r="C1715" s="2">
        <v>3510</v>
      </c>
      <c r="D1715" s="2">
        <v>1</v>
      </c>
      <c r="E1715" s="2" t="str">
        <f>"1000009750"</f>
        <v>1000009750</v>
      </c>
      <c r="F1715" s="93" t="s">
        <v>591</v>
      </c>
      <c r="G1715" s="74" t="str">
        <f>"SF"</f>
        <v>SF</v>
      </c>
      <c r="H1715" s="7">
        <v>0.01</v>
      </c>
      <c r="I1715" s="95" t="str">
        <f>"76111501"</f>
        <v>76111501</v>
      </c>
      <c r="J1715" s="10" t="s">
        <v>67</v>
      </c>
    </row>
    <row r="1716" spans="1:10" ht="38.25">
      <c r="A1716" s="9" t="s">
        <v>39</v>
      </c>
      <c r="B1716" s="2" t="s">
        <v>596</v>
      </c>
      <c r="C1716" s="2">
        <v>2215</v>
      </c>
      <c r="D1716" s="2">
        <v>1</v>
      </c>
      <c r="E1716" s="2" t="str">
        <f>"1000009566"</f>
        <v>1000009566</v>
      </c>
      <c r="F1716" s="93" t="str">
        <f>"SERVICES: Litter Removal"</f>
        <v>SERVICES: Litter Removal</v>
      </c>
      <c r="G1716" s="74" t="str">
        <f>"AC"</f>
        <v>AC</v>
      </c>
      <c r="H1716" s="7">
        <v>9.92</v>
      </c>
      <c r="I1716" s="95" t="str">
        <f>"72141003"</f>
        <v>72141003</v>
      </c>
      <c r="J1716" s="10" t="s">
        <v>127</v>
      </c>
    </row>
    <row r="1717" spans="1:10" ht="51">
      <c r="A1717" s="9" t="s">
        <v>46</v>
      </c>
      <c r="B1717" s="2" t="s">
        <v>596</v>
      </c>
      <c r="C1717" s="2">
        <v>2969</v>
      </c>
      <c r="D1717" s="2">
        <v>11</v>
      </c>
      <c r="E1717" s="2" t="str">
        <f>"1000002217"</f>
        <v>1000002217</v>
      </c>
      <c r="F1717" s="4" t="str">
        <f>"CUTLERY BULK:Knife-Clr Polypro plast. Hvy wt 1000/cs~Knives, Forks, Spoons, bulk-pack. - plastic Clear, heavy weight, Knife, 1000/case"</f>
        <v>CUTLERY BULK:Knife-Clr Polypro plast. Hvy wt 1000/cs~Knives, Forks, Spoons, bulk-pack. - plastic Clear, heavy weight, Knife, 1000/case</v>
      </c>
      <c r="G1717" s="74" t="str">
        <f t="shared" ref="G1717:G1724" si="114">"CA"</f>
        <v>CA</v>
      </c>
      <c r="H1717" s="7">
        <v>49.74</v>
      </c>
      <c r="I1717" s="2" t="str">
        <f t="shared" ref="I1717:I1724" si="115">"52151505"</f>
        <v>52151505</v>
      </c>
      <c r="J1717" s="10" t="s">
        <v>140</v>
      </c>
    </row>
    <row r="1718" spans="1:10" ht="51">
      <c r="A1718" s="9" t="s">
        <v>46</v>
      </c>
      <c r="B1718" s="2" t="s">
        <v>596</v>
      </c>
      <c r="C1718" s="2">
        <v>2969</v>
      </c>
      <c r="D1718" s="2">
        <v>5</v>
      </c>
      <c r="E1718" s="2" t="str">
        <f>"1000002997"</f>
        <v>1000002997</v>
      </c>
      <c r="F1718" s="4" t="str">
        <f>"CUTLERY BULK:Spork-Wht Polypro plast. Med wt 1000/cs~Knives, Forks, Spoons, bulk-pack. - plastic White, Polypro, medium weight, Spork, 1000/case"</f>
        <v>CUTLERY BULK:Spork-Wht Polypro plast. Med wt 1000/cs~Knives, Forks, Spoons, bulk-pack. - plastic White, Polypro, medium weight, Spork, 1000/case</v>
      </c>
      <c r="G1718" s="74" t="str">
        <f t="shared" si="114"/>
        <v>CA</v>
      </c>
      <c r="H1718" s="7">
        <v>11.95</v>
      </c>
      <c r="I1718" s="2" t="str">
        <f t="shared" si="115"/>
        <v>52151505</v>
      </c>
      <c r="J1718" s="10" t="s">
        <v>140</v>
      </c>
    </row>
    <row r="1719" spans="1:10" ht="51">
      <c r="A1719" s="9" t="s">
        <v>46</v>
      </c>
      <c r="B1719" s="2" t="s">
        <v>596</v>
      </c>
      <c r="C1719" s="2">
        <v>2969</v>
      </c>
      <c r="D1719" s="2">
        <v>3</v>
      </c>
      <c r="E1719" s="2" t="str">
        <f>"1000003023"</f>
        <v>1000003023</v>
      </c>
      <c r="F1719" s="4" t="str">
        <f>"CUTLERY BULK:Spoon-Wht Polypro plast. Med wt 1000/cs~Knives, Forks, Spoons, bulk-pack. - plastic White, Polypro, medium weight, Spoon, 1000/case"</f>
        <v>CUTLERY BULK:Spoon-Wht Polypro plast. Med wt 1000/cs~Knives, Forks, Spoons, bulk-pack. - plastic White, Polypro, medium weight, Spoon, 1000/case</v>
      </c>
      <c r="G1719" s="74" t="str">
        <f t="shared" si="114"/>
        <v>CA</v>
      </c>
      <c r="H1719" s="7">
        <v>11.95</v>
      </c>
      <c r="I1719" s="2" t="str">
        <f t="shared" si="115"/>
        <v>52151505</v>
      </c>
      <c r="J1719" s="10" t="s">
        <v>140</v>
      </c>
    </row>
    <row r="1720" spans="1:10" ht="51">
      <c r="A1720" s="9" t="s">
        <v>46</v>
      </c>
      <c r="B1720" s="2" t="s">
        <v>596</v>
      </c>
      <c r="C1720" s="2">
        <v>2969</v>
      </c>
      <c r="D1720" s="2">
        <v>10</v>
      </c>
      <c r="E1720" s="2" t="str">
        <f>"1000003080"</f>
        <v>1000003080</v>
      </c>
      <c r="F1720" s="4" t="str">
        <f>"CUTLERY BULK:Spoon-Clr Polypro plast. Hvy wt 1000/cs~Knives, Forks, Spoons, bulk-pack. - plastic Clear, heavy weight, Spoon, 1000/case"</f>
        <v>CUTLERY BULK:Spoon-Clr Polypro plast. Hvy wt 1000/cs~Knives, Forks, Spoons, bulk-pack. - plastic Clear, heavy weight, Spoon, 1000/case</v>
      </c>
      <c r="G1720" s="74" t="str">
        <f t="shared" si="114"/>
        <v>CA</v>
      </c>
      <c r="H1720" s="7">
        <v>47.62</v>
      </c>
      <c r="I1720" s="2" t="str">
        <f t="shared" si="115"/>
        <v>52151505</v>
      </c>
      <c r="J1720" s="10" t="s">
        <v>140</v>
      </c>
    </row>
    <row r="1721" spans="1:10" ht="63.75">
      <c r="A1721" s="9" t="s">
        <v>46</v>
      </c>
      <c r="B1721" s="2" t="s">
        <v>596</v>
      </c>
      <c r="C1721" s="2">
        <v>2969</v>
      </c>
      <c r="D1721" s="2">
        <v>1</v>
      </c>
      <c r="E1721" s="2" t="str">
        <f>"1000003300"</f>
        <v>1000003300</v>
      </c>
      <c r="F1721" s="4" t="str">
        <f>"CUTLERY BULK:Soup spoon-Wht Polypro plast. Med wt 1000/cs~Knives, Forks, Spoons, bulk-pack. - plastic White, Polypro, medium weight, Soup Spoon, 1000/case"</f>
        <v>CUTLERY BULK:Soup spoon-Wht Polypro plast. Med wt 1000/cs~Knives, Forks, Spoons, bulk-pack. - plastic White, Polypro, medium weight, Soup Spoon, 1000/case</v>
      </c>
      <c r="G1721" s="74" t="str">
        <f t="shared" si="114"/>
        <v>CA</v>
      </c>
      <c r="H1721" s="7">
        <v>11.95</v>
      </c>
      <c r="I1721" s="2" t="str">
        <f t="shared" si="115"/>
        <v>52151505</v>
      </c>
      <c r="J1721" s="10" t="s">
        <v>140</v>
      </c>
    </row>
    <row r="1722" spans="1:10" ht="51">
      <c r="A1722" s="9" t="s">
        <v>46</v>
      </c>
      <c r="B1722" s="2" t="s">
        <v>596</v>
      </c>
      <c r="C1722" s="2">
        <v>2969</v>
      </c>
      <c r="D1722" s="2">
        <v>4</v>
      </c>
      <c r="E1722" s="2" t="str">
        <f>"1000004110"</f>
        <v>1000004110</v>
      </c>
      <c r="F1722" s="4" t="str">
        <f>"CUTLERY BULK:Knife-Wht Polypro plast. Med wt 1000/cs~Knives, Forks, Spoons, bulk-pack. - plastic White, Polypro, medium weight, Knife, 1000/case"</f>
        <v>CUTLERY BULK:Knife-Wht Polypro plast. Med wt 1000/cs~Knives, Forks, Spoons, bulk-pack. - plastic White, Polypro, medium weight, Knife, 1000/case</v>
      </c>
      <c r="G1722" s="74" t="str">
        <f t="shared" si="114"/>
        <v>CA</v>
      </c>
      <c r="H1722" s="7">
        <v>11.95</v>
      </c>
      <c r="I1722" s="2" t="str">
        <f t="shared" si="115"/>
        <v>52151505</v>
      </c>
      <c r="J1722" s="10" t="s">
        <v>140</v>
      </c>
    </row>
    <row r="1723" spans="1:10" ht="51">
      <c r="A1723" s="9" t="s">
        <v>46</v>
      </c>
      <c r="B1723" s="2" t="s">
        <v>596</v>
      </c>
      <c r="C1723" s="2">
        <v>2969</v>
      </c>
      <c r="D1723" s="2">
        <v>2</v>
      </c>
      <c r="E1723" s="2" t="str">
        <f>"1000005048"</f>
        <v>1000005048</v>
      </c>
      <c r="F1723" s="4" t="str">
        <f>"CUTLERY BULK:Fork-Wht Polypro plast. Med wt 1000/cs~Knives, Forks, Spoons, bulk-pack. - plastic White, Polypro, medium weight, Fork, 1000/case"</f>
        <v>CUTLERY BULK:Fork-Wht Polypro plast. Med wt 1000/cs~Knives, Forks, Spoons, bulk-pack. - plastic White, Polypro, medium weight, Fork, 1000/case</v>
      </c>
      <c r="G1723" s="74" t="str">
        <f t="shared" si="114"/>
        <v>CA</v>
      </c>
      <c r="H1723" s="7">
        <v>11.95</v>
      </c>
      <c r="I1723" s="2" t="str">
        <f t="shared" si="115"/>
        <v>52151505</v>
      </c>
      <c r="J1723" s="10" t="s">
        <v>140</v>
      </c>
    </row>
    <row r="1724" spans="1:10" ht="51">
      <c r="A1724" s="9" t="s">
        <v>46</v>
      </c>
      <c r="B1724" s="2" t="s">
        <v>596</v>
      </c>
      <c r="C1724" s="2">
        <v>2969</v>
      </c>
      <c r="D1724" s="2">
        <v>9</v>
      </c>
      <c r="E1724" s="2" t="str">
        <f>"1000005155"</f>
        <v>1000005155</v>
      </c>
      <c r="F1724" s="4" t="str">
        <f>"CUTLERY BULK:Fork-Clr Polypro plast. Hvy wt 1000/cs~Knives, Forks, Spoons, bulk-pack. - plastic Clear, heavy weight, Fork, 1000/case"</f>
        <v>CUTLERY BULK:Fork-Clr Polypro plast. Hvy wt 1000/cs~Knives, Forks, Spoons, bulk-pack. - plastic Clear, heavy weight, Fork, 1000/case</v>
      </c>
      <c r="G1724" s="74" t="str">
        <f t="shared" si="114"/>
        <v>CA</v>
      </c>
      <c r="H1724" s="7">
        <v>47.01</v>
      </c>
      <c r="I1724" s="2" t="str">
        <f t="shared" si="115"/>
        <v>52151505</v>
      </c>
      <c r="J1724" s="10" t="s">
        <v>140</v>
      </c>
    </row>
    <row r="1725" spans="1:10" ht="51">
      <c r="A1725" s="9" t="s">
        <v>46</v>
      </c>
      <c r="B1725" s="2" t="s">
        <v>596</v>
      </c>
      <c r="C1725" s="2">
        <v>2969</v>
      </c>
      <c r="D1725" s="2">
        <v>16</v>
      </c>
      <c r="E1725" s="2" t="str">
        <f>"1000008974"</f>
        <v>1000008974</v>
      </c>
      <c r="F1725" s="4" t="str">
        <f>"SHIPPING: General Charges - Shipping will only be charged on orders that do not meet the $100 order minimum requirement."</f>
        <v>SHIPPING: General Charges - Shipping will only be charged on orders that do not meet the $100 order minimum requirement.</v>
      </c>
      <c r="G1725" s="74" t="str">
        <f>"EA"</f>
        <v>EA</v>
      </c>
      <c r="H1725" s="7">
        <v>25</v>
      </c>
      <c r="I1725" s="2" t="str">
        <f>"78121603"</f>
        <v>78121603</v>
      </c>
      <c r="J1725" s="10" t="s">
        <v>75</v>
      </c>
    </row>
    <row r="1726" spans="1:10" ht="38.25">
      <c r="A1726" s="9" t="s">
        <v>46</v>
      </c>
      <c r="B1726" s="2" t="s">
        <v>596</v>
      </c>
      <c r="C1726" s="2">
        <v>2969</v>
      </c>
      <c r="D1726" s="2">
        <v>12</v>
      </c>
      <c r="E1726" s="2" t="str">
        <f>"1000009771"</f>
        <v>1000009771</v>
      </c>
      <c r="F1726" s="4" t="str">
        <f>"CUTLERY BULK: Forks; Black, Styrene, Heavyweight, 1000/case"</f>
        <v>CUTLERY BULK: Forks; Black, Styrene, Heavyweight, 1000/case</v>
      </c>
      <c r="G1726" s="74" t="str">
        <f>"CA"</f>
        <v>CA</v>
      </c>
      <c r="H1726" s="7">
        <v>42.81</v>
      </c>
      <c r="I1726" s="2" t="str">
        <f>"52151502"</f>
        <v>52151502</v>
      </c>
      <c r="J1726" s="10" t="s">
        <v>141</v>
      </c>
    </row>
    <row r="1727" spans="1:10" ht="38.25">
      <c r="A1727" s="9" t="s">
        <v>46</v>
      </c>
      <c r="B1727" s="2" t="s">
        <v>596</v>
      </c>
      <c r="C1727" s="2">
        <v>2969</v>
      </c>
      <c r="D1727" s="2">
        <v>13</v>
      </c>
      <c r="E1727" s="2" t="str">
        <f>"1000009772"</f>
        <v>1000009772</v>
      </c>
      <c r="F1727" s="4" t="str">
        <f>"CUTLERY BULK: Spoons; Black, Styrene, Heavyweight, 1000/case"</f>
        <v>CUTLERY BULK: Spoons; Black, Styrene, Heavyweight, 1000/case</v>
      </c>
      <c r="G1727" s="74" t="str">
        <f>"CA"</f>
        <v>CA</v>
      </c>
      <c r="H1727" s="7">
        <v>46.58</v>
      </c>
      <c r="I1727" s="2" t="str">
        <f>"52151502"</f>
        <v>52151502</v>
      </c>
      <c r="J1727" s="10" t="s">
        <v>141</v>
      </c>
    </row>
    <row r="1728" spans="1:10" ht="38.25">
      <c r="A1728" s="9" t="s">
        <v>46</v>
      </c>
      <c r="B1728" s="2" t="s">
        <v>596</v>
      </c>
      <c r="C1728" s="2">
        <v>2969</v>
      </c>
      <c r="D1728" s="2">
        <v>14</v>
      </c>
      <c r="E1728" s="2" t="str">
        <f>"1000009773"</f>
        <v>1000009773</v>
      </c>
      <c r="F1728" s="4" t="str">
        <f>"CUTLERY BULK: Knives; Black Styrene, Heavyweight, 1000/case"</f>
        <v>CUTLERY BULK: Knives; Black Styrene, Heavyweight, 1000/case</v>
      </c>
      <c r="G1728" s="74" t="str">
        <f>"CA"</f>
        <v>CA</v>
      </c>
      <c r="H1728" s="7">
        <v>44.39</v>
      </c>
      <c r="I1728" s="2" t="str">
        <f>"52151502"</f>
        <v>52151502</v>
      </c>
      <c r="J1728" s="10" t="s">
        <v>141</v>
      </c>
    </row>
    <row r="1729" spans="1:10" ht="51">
      <c r="A1729" s="9" t="s">
        <v>46</v>
      </c>
      <c r="B1729" s="2" t="s">
        <v>596</v>
      </c>
      <c r="C1729" s="2">
        <v>2969</v>
      </c>
      <c r="D1729" s="2">
        <v>15</v>
      </c>
      <c r="E1729" s="2" t="str">
        <f>"1000009938"</f>
        <v>1000009938</v>
      </c>
      <c r="F1729" s="4" t="str">
        <f>"CUTLERY KIT: 6 Pc kit includes wrapped medium-weight fork, spoon, knife, salt packet, pepper packet and napkin. 250 kits per case"</f>
        <v>CUTLERY KIT: 6 Pc kit includes wrapped medium-weight fork, spoon, knife, salt packet, pepper packet and napkin. 250 kits per case</v>
      </c>
      <c r="G1729" s="74" t="str">
        <f>"CA"</f>
        <v>CA</v>
      </c>
      <c r="H1729" s="7">
        <v>43.34</v>
      </c>
      <c r="I1729" s="2" t="str">
        <f>"52151502"</f>
        <v>52151502</v>
      </c>
      <c r="J1729" s="10" t="s">
        <v>141</v>
      </c>
    </row>
    <row r="1730" spans="1:10" ht="51">
      <c r="A1730" s="9" t="s">
        <v>46</v>
      </c>
      <c r="B1730" s="2" t="s">
        <v>596</v>
      </c>
      <c r="C1730" s="2">
        <v>2969</v>
      </c>
      <c r="D1730" s="2">
        <v>17</v>
      </c>
      <c r="E1730" s="2" t="str">
        <f>"1000024524"</f>
        <v>1000024524</v>
      </c>
      <c r="F1730" s="4" t="str">
        <f>"CONDIMENT KIT:250/CA Sgr/Crm - 2 sugar, 2 creamer, 2 sugar substitute, 2 plastic stirrers, 1 (1-ply) napkin in a sealed plastic package. 250 packages per case"</f>
        <v>CONDIMENT KIT:250/CA Sgr/Crm - 2 sugar, 2 creamer, 2 sugar substitute, 2 plastic stirrers, 1 (1-ply) napkin in a sealed plastic package. 250 packages per case</v>
      </c>
      <c r="G1730" s="74" t="str">
        <f>"CA"</f>
        <v>CA</v>
      </c>
      <c r="H1730" s="7">
        <v>42.34</v>
      </c>
      <c r="I1730" s="2" t="str">
        <f>"12164504"</f>
        <v>12164504</v>
      </c>
      <c r="J1730" s="10" t="s">
        <v>142</v>
      </c>
    </row>
    <row r="1731" spans="1:10" ht="38.25">
      <c r="A1731" s="84"/>
      <c r="B1731" s="2" t="s">
        <v>596</v>
      </c>
      <c r="C1731" s="85"/>
      <c r="D1731" s="85"/>
      <c r="E1731" s="85" t="s">
        <v>610</v>
      </c>
      <c r="F1731" s="94" t="s">
        <v>284</v>
      </c>
      <c r="G1731" s="86"/>
      <c r="H1731" s="87"/>
      <c r="I1731" s="96">
        <v>72102905</v>
      </c>
      <c r="J1731" s="98" t="s">
        <v>645</v>
      </c>
    </row>
    <row r="1732" spans="1:10" ht="38.25">
      <c r="A1732" s="84"/>
      <c r="B1732" s="2" t="s">
        <v>596</v>
      </c>
      <c r="C1732" s="85"/>
      <c r="D1732" s="85"/>
      <c r="E1732" s="85" t="s">
        <v>610</v>
      </c>
      <c r="F1732" s="94" t="s">
        <v>285</v>
      </c>
      <c r="G1732" s="86"/>
      <c r="H1732" s="87"/>
      <c r="I1732" s="96">
        <v>72102905</v>
      </c>
      <c r="J1732" s="98" t="s">
        <v>645</v>
      </c>
    </row>
    <row r="1733" spans="1:10" ht="38.25">
      <c r="A1733" s="84"/>
      <c r="B1733" s="2" t="s">
        <v>596</v>
      </c>
      <c r="C1733" s="85"/>
      <c r="D1733" s="85"/>
      <c r="E1733" s="85" t="s">
        <v>610</v>
      </c>
      <c r="F1733" s="49" t="s">
        <v>261</v>
      </c>
      <c r="G1733" s="86"/>
      <c r="H1733" s="87"/>
      <c r="I1733" s="68">
        <v>73151500</v>
      </c>
      <c r="J1733" s="99" t="s">
        <v>261</v>
      </c>
    </row>
    <row r="1734" spans="1:10" ht="38.25">
      <c r="A1734" s="84"/>
      <c r="B1734" s="2" t="s">
        <v>596</v>
      </c>
      <c r="C1734" s="85"/>
      <c r="D1734" s="85"/>
      <c r="E1734" s="85" t="s">
        <v>610</v>
      </c>
      <c r="F1734" s="49" t="s">
        <v>246</v>
      </c>
      <c r="G1734" s="86"/>
      <c r="H1734" s="87"/>
      <c r="I1734" s="68">
        <v>73151600</v>
      </c>
      <c r="J1734" s="99" t="s">
        <v>246</v>
      </c>
    </row>
    <row r="1735" spans="1:10" ht="38.25">
      <c r="A1735" s="84"/>
      <c r="B1735" s="2" t="s">
        <v>596</v>
      </c>
      <c r="C1735" s="85"/>
      <c r="D1735" s="85"/>
      <c r="E1735" s="85" t="s">
        <v>610</v>
      </c>
      <c r="F1735" s="49" t="s">
        <v>262</v>
      </c>
      <c r="G1735" s="86"/>
      <c r="H1735" s="87"/>
      <c r="I1735" s="68">
        <v>76121505</v>
      </c>
      <c r="J1735" s="98" t="s">
        <v>650</v>
      </c>
    </row>
    <row r="1736" spans="1:10" ht="38.25">
      <c r="A1736" s="84"/>
      <c r="B1736" s="2" t="s">
        <v>596</v>
      </c>
      <c r="C1736" s="85"/>
      <c r="D1736" s="85"/>
      <c r="E1736" s="85" t="s">
        <v>610</v>
      </c>
      <c r="F1736" s="49" t="s">
        <v>302</v>
      </c>
      <c r="G1736" s="86"/>
      <c r="H1736" s="87"/>
      <c r="I1736" s="68">
        <v>76121600</v>
      </c>
      <c r="J1736" s="98" t="s">
        <v>651</v>
      </c>
    </row>
    <row r="1737" spans="1:10" ht="38.25">
      <c r="A1737" s="84"/>
      <c r="B1737" s="2" t="s">
        <v>596</v>
      </c>
      <c r="C1737" s="85"/>
      <c r="D1737" s="85"/>
      <c r="E1737" s="85" t="s">
        <v>610</v>
      </c>
      <c r="F1737" s="49" t="s">
        <v>247</v>
      </c>
      <c r="G1737" s="86"/>
      <c r="H1737" s="87"/>
      <c r="I1737" s="68">
        <v>80161508</v>
      </c>
      <c r="J1737" s="98" t="s">
        <v>655</v>
      </c>
    </row>
    <row r="1738" spans="1:10" ht="25.5">
      <c r="A1738" s="9" t="s">
        <v>25</v>
      </c>
      <c r="B1738" s="2" t="s">
        <v>2</v>
      </c>
      <c r="C1738" s="2">
        <v>3511</v>
      </c>
      <c r="D1738" s="2">
        <v>2</v>
      </c>
      <c r="E1738" s="2" t="str">
        <f>"1000008904"</f>
        <v>1000008904</v>
      </c>
      <c r="F1738" s="93" t="str">
        <f>"SECURITY SERVICES: Unarmed Security Guard Services"</f>
        <v>SECURITY SERVICES: Unarmed Security Guard Services</v>
      </c>
      <c r="G1738" s="74" t="s">
        <v>614</v>
      </c>
      <c r="H1738" s="7">
        <v>0.01</v>
      </c>
      <c r="I1738" s="95" t="str">
        <f>"92121504"</f>
        <v>92121504</v>
      </c>
      <c r="J1738" s="10" t="s">
        <v>72</v>
      </c>
    </row>
    <row r="1739" spans="1:10" ht="25.5">
      <c r="A1739" s="9" t="s">
        <v>25</v>
      </c>
      <c r="B1739" s="2" t="s">
        <v>2</v>
      </c>
      <c r="C1739" s="2">
        <v>3511</v>
      </c>
      <c r="D1739" s="2">
        <v>1</v>
      </c>
      <c r="E1739" s="2" t="str">
        <f>"1000009750"</f>
        <v>1000009750</v>
      </c>
      <c r="F1739" s="93" t="s">
        <v>591</v>
      </c>
      <c r="G1739" s="74" t="str">
        <f>"SF"</f>
        <v>SF</v>
      </c>
      <c r="H1739" s="7">
        <v>0.01</v>
      </c>
      <c r="I1739" s="95" t="str">
        <f>"76111501"</f>
        <v>76111501</v>
      </c>
      <c r="J1739" s="10" t="s">
        <v>67</v>
      </c>
    </row>
    <row r="1740" spans="1:10" ht="25.5">
      <c r="A1740" s="9" t="s">
        <v>39</v>
      </c>
      <c r="B1740" s="2" t="s">
        <v>2</v>
      </c>
      <c r="C1740" s="2">
        <v>2209</v>
      </c>
      <c r="D1740" s="2">
        <v>1</v>
      </c>
      <c r="E1740" s="2" t="str">
        <f>"1000009566"</f>
        <v>1000009566</v>
      </c>
      <c r="F1740" s="4" t="str">
        <f>"SERVICES: Litter Removal"</f>
        <v>SERVICES: Litter Removal</v>
      </c>
      <c r="G1740" s="74" t="str">
        <f>"AC"</f>
        <v>AC</v>
      </c>
      <c r="H1740" s="7">
        <v>9.92</v>
      </c>
      <c r="I1740" s="2" t="str">
        <f>"72141003"</f>
        <v>72141003</v>
      </c>
      <c r="J1740" s="10" t="s">
        <v>127</v>
      </c>
    </row>
    <row r="1741" spans="1:10" ht="25.5">
      <c r="A1741" s="84"/>
      <c r="B1741" s="2" t="s">
        <v>2</v>
      </c>
      <c r="C1741" s="85"/>
      <c r="D1741" s="85"/>
      <c r="E1741" s="85" t="s">
        <v>610</v>
      </c>
      <c r="F1741" s="94" t="s">
        <v>283</v>
      </c>
      <c r="G1741" s="86"/>
      <c r="H1741" s="87"/>
      <c r="I1741" s="96">
        <v>14111605</v>
      </c>
      <c r="J1741" s="88" t="s">
        <v>618</v>
      </c>
    </row>
    <row r="1742" spans="1:10" ht="25.5">
      <c r="A1742" s="84"/>
      <c r="B1742" s="2" t="s">
        <v>2</v>
      </c>
      <c r="C1742" s="85"/>
      <c r="D1742" s="85"/>
      <c r="E1742" s="85" t="s">
        <v>610</v>
      </c>
      <c r="F1742" s="94" t="s">
        <v>254</v>
      </c>
      <c r="G1742" s="86"/>
      <c r="H1742" s="87"/>
      <c r="I1742" s="96">
        <v>24111500</v>
      </c>
      <c r="J1742" s="88" t="s">
        <v>619</v>
      </c>
    </row>
    <row r="1743" spans="1:10" ht="25.5">
      <c r="A1743" s="84"/>
      <c r="B1743" s="2" t="s">
        <v>2</v>
      </c>
      <c r="C1743" s="85"/>
      <c r="D1743" s="85"/>
      <c r="E1743" s="85" t="s">
        <v>610</v>
      </c>
      <c r="F1743" s="49" t="s">
        <v>278</v>
      </c>
      <c r="G1743" s="86"/>
      <c r="H1743" s="87"/>
      <c r="I1743" s="68">
        <v>12180000</v>
      </c>
      <c r="J1743" s="98" t="s">
        <v>622</v>
      </c>
    </row>
    <row r="1744" spans="1:10" ht="25.5">
      <c r="A1744" s="84"/>
      <c r="B1744" s="2" t="s">
        <v>2</v>
      </c>
      <c r="C1744" s="85"/>
      <c r="D1744" s="85"/>
      <c r="E1744" s="85" t="s">
        <v>610</v>
      </c>
      <c r="F1744" s="49" t="s">
        <v>304</v>
      </c>
      <c r="G1744" s="86"/>
      <c r="H1744" s="87"/>
      <c r="I1744" s="68">
        <v>52121601</v>
      </c>
      <c r="J1744" s="11" t="s">
        <v>637</v>
      </c>
    </row>
    <row r="1745" spans="1:10" ht="25.5">
      <c r="A1745" s="84"/>
      <c r="B1745" s="2" t="s">
        <v>2</v>
      </c>
      <c r="C1745" s="85"/>
      <c r="D1745" s="85"/>
      <c r="E1745" s="85" t="s">
        <v>610</v>
      </c>
      <c r="F1745" s="49" t="s">
        <v>245</v>
      </c>
      <c r="G1745" s="86"/>
      <c r="H1745" s="87"/>
      <c r="I1745" s="68">
        <v>52121602</v>
      </c>
      <c r="J1745" s="11" t="s">
        <v>638</v>
      </c>
    </row>
    <row r="1746" spans="1:10" ht="25.5">
      <c r="A1746" s="84"/>
      <c r="B1746" s="2" t="s">
        <v>2</v>
      </c>
      <c r="C1746" s="85"/>
      <c r="D1746" s="85"/>
      <c r="E1746" s="85" t="s">
        <v>610</v>
      </c>
      <c r="F1746" s="49" t="s">
        <v>303</v>
      </c>
      <c r="G1746" s="86"/>
      <c r="H1746" s="87"/>
      <c r="I1746" s="157">
        <v>42143401</v>
      </c>
      <c r="J1746" s="39" t="s">
        <v>625</v>
      </c>
    </row>
    <row r="1747" spans="1:10" ht="25.5">
      <c r="A1747" s="84"/>
      <c r="B1747" s="2" t="s">
        <v>2</v>
      </c>
      <c r="C1747" s="85"/>
      <c r="D1747" s="85"/>
      <c r="E1747" s="85" t="s">
        <v>610</v>
      </c>
      <c r="F1747" s="49" t="s">
        <v>284</v>
      </c>
      <c r="G1747" s="86"/>
      <c r="H1747" s="87"/>
      <c r="I1747" s="68">
        <v>72102905</v>
      </c>
      <c r="J1747" s="98" t="s">
        <v>645</v>
      </c>
    </row>
    <row r="1748" spans="1:10" ht="25.5">
      <c r="A1748" s="84"/>
      <c r="B1748" s="2" t="s">
        <v>2</v>
      </c>
      <c r="C1748" s="85"/>
      <c r="D1748" s="85"/>
      <c r="E1748" s="85" t="s">
        <v>610</v>
      </c>
      <c r="F1748" s="49" t="s">
        <v>285</v>
      </c>
      <c r="G1748" s="86"/>
      <c r="H1748" s="87"/>
      <c r="I1748" s="68">
        <v>72102905</v>
      </c>
      <c r="J1748" s="98" t="s">
        <v>645</v>
      </c>
    </row>
    <row r="1749" spans="1:10" ht="25.5">
      <c r="A1749" s="84"/>
      <c r="B1749" s="2" t="s">
        <v>2</v>
      </c>
      <c r="C1749" s="85"/>
      <c r="D1749" s="85"/>
      <c r="E1749" s="85" t="s">
        <v>610</v>
      </c>
      <c r="F1749" s="49" t="s">
        <v>240</v>
      </c>
      <c r="G1749" s="86"/>
      <c r="H1749" s="87"/>
      <c r="I1749" s="68">
        <v>73141715</v>
      </c>
      <c r="J1749" s="98" t="s">
        <v>646</v>
      </c>
    </row>
    <row r="1750" spans="1:10" ht="25.5">
      <c r="A1750" s="84"/>
      <c r="B1750" s="2" t="s">
        <v>2</v>
      </c>
      <c r="C1750" s="85"/>
      <c r="D1750" s="85"/>
      <c r="E1750" s="85" t="s">
        <v>610</v>
      </c>
      <c r="F1750" s="49" t="s">
        <v>251</v>
      </c>
      <c r="G1750" s="86"/>
      <c r="H1750" s="87"/>
      <c r="I1750" s="68">
        <v>73151903</v>
      </c>
      <c r="J1750" s="98" t="s">
        <v>647</v>
      </c>
    </row>
    <row r="1751" spans="1:10" ht="25.5">
      <c r="A1751" s="84"/>
      <c r="B1751" s="2" t="s">
        <v>2</v>
      </c>
      <c r="C1751" s="85"/>
      <c r="D1751" s="85"/>
      <c r="E1751" s="85" t="s">
        <v>610</v>
      </c>
      <c r="F1751" s="49" t="s">
        <v>252</v>
      </c>
      <c r="G1751" s="86"/>
      <c r="H1751" s="87"/>
      <c r="I1751" s="68">
        <v>73151903</v>
      </c>
      <c r="J1751" s="98" t="s">
        <v>647</v>
      </c>
    </row>
    <row r="1752" spans="1:10" ht="25.5">
      <c r="A1752" s="84"/>
      <c r="B1752" s="2" t="s">
        <v>2</v>
      </c>
      <c r="C1752" s="85"/>
      <c r="D1752" s="85"/>
      <c r="E1752" s="85" t="s">
        <v>610</v>
      </c>
      <c r="F1752" s="49" t="s">
        <v>279</v>
      </c>
      <c r="G1752" s="86"/>
      <c r="H1752" s="87"/>
      <c r="I1752" s="68">
        <v>76111800</v>
      </c>
      <c r="J1752" s="100" t="s">
        <v>649</v>
      </c>
    </row>
    <row r="1753" spans="1:10" ht="25.5">
      <c r="A1753" s="84"/>
      <c r="B1753" s="2" t="s">
        <v>2</v>
      </c>
      <c r="C1753" s="85"/>
      <c r="D1753" s="85"/>
      <c r="E1753" s="85" t="s">
        <v>610</v>
      </c>
      <c r="F1753" s="49" t="s">
        <v>305</v>
      </c>
      <c r="G1753" s="86"/>
      <c r="H1753" s="87"/>
      <c r="I1753" s="68">
        <v>76111800</v>
      </c>
      <c r="J1753" s="100" t="s">
        <v>649</v>
      </c>
    </row>
    <row r="1754" spans="1:10" ht="25.5">
      <c r="A1754" s="84"/>
      <c r="B1754" s="2" t="s">
        <v>2</v>
      </c>
      <c r="C1754" s="85"/>
      <c r="D1754" s="85"/>
      <c r="E1754" s="85" t="s">
        <v>610</v>
      </c>
      <c r="F1754" s="49" t="s">
        <v>262</v>
      </c>
      <c r="G1754" s="86"/>
      <c r="H1754" s="87"/>
      <c r="I1754" s="68">
        <v>76121505</v>
      </c>
      <c r="J1754" s="98" t="s">
        <v>650</v>
      </c>
    </row>
    <row r="1755" spans="1:10" ht="25.5">
      <c r="A1755" s="84"/>
      <c r="B1755" s="2" t="s">
        <v>2</v>
      </c>
      <c r="C1755" s="85"/>
      <c r="D1755" s="85"/>
      <c r="E1755" s="85" t="s">
        <v>610</v>
      </c>
      <c r="F1755" s="49" t="s">
        <v>250</v>
      </c>
      <c r="G1755" s="86"/>
      <c r="H1755" s="87"/>
      <c r="I1755" s="68">
        <v>76122300</v>
      </c>
      <c r="J1755" s="98" t="s">
        <v>652</v>
      </c>
    </row>
    <row r="1756" spans="1:10" ht="25.5">
      <c r="A1756" s="84"/>
      <c r="B1756" s="2" t="s">
        <v>2</v>
      </c>
      <c r="C1756" s="85"/>
      <c r="D1756" s="85"/>
      <c r="E1756" s="85" t="s">
        <v>610</v>
      </c>
      <c r="F1756" s="49" t="s">
        <v>249</v>
      </c>
      <c r="G1756" s="86"/>
      <c r="H1756" s="87"/>
      <c r="I1756" s="68">
        <v>80141605</v>
      </c>
      <c r="J1756" s="11" t="s">
        <v>654</v>
      </c>
    </row>
    <row r="1757" spans="1:10" ht="25.5">
      <c r="A1757" s="84"/>
      <c r="B1757" s="2" t="s">
        <v>2</v>
      </c>
      <c r="C1757" s="85"/>
      <c r="D1757" s="85"/>
      <c r="E1757" s="85" t="s">
        <v>610</v>
      </c>
      <c r="F1757" s="49" t="s">
        <v>243</v>
      </c>
      <c r="G1757" s="86"/>
      <c r="H1757" s="87"/>
      <c r="I1757" s="68">
        <v>80141800</v>
      </c>
      <c r="J1757" s="99" t="s">
        <v>243</v>
      </c>
    </row>
    <row r="1758" spans="1:10" ht="25.5">
      <c r="A1758" s="84"/>
      <c r="B1758" s="2" t="s">
        <v>2</v>
      </c>
      <c r="C1758" s="85"/>
      <c r="D1758" s="85"/>
      <c r="E1758" s="85" t="s">
        <v>610</v>
      </c>
      <c r="F1758" s="49" t="s">
        <v>247</v>
      </c>
      <c r="G1758" s="86"/>
      <c r="H1758" s="87"/>
      <c r="I1758" s="68">
        <v>80161508</v>
      </c>
      <c r="J1758" s="98" t="s">
        <v>655</v>
      </c>
    </row>
    <row r="1759" spans="1:10" ht="25.5">
      <c r="A1759" s="84"/>
      <c r="B1759" s="2" t="s">
        <v>2</v>
      </c>
      <c r="C1759" s="85"/>
      <c r="D1759" s="85"/>
      <c r="E1759" s="85" t="s">
        <v>610</v>
      </c>
      <c r="F1759" s="49" t="s">
        <v>234</v>
      </c>
      <c r="G1759" s="86"/>
      <c r="H1759" s="87"/>
      <c r="I1759" s="68">
        <v>82121500</v>
      </c>
      <c r="J1759" s="11" t="s">
        <v>657</v>
      </c>
    </row>
    <row r="1760" spans="1:10">
      <c r="A1760" s="9" t="s">
        <v>25</v>
      </c>
      <c r="B1760" s="2" t="s">
        <v>47</v>
      </c>
      <c r="C1760" s="2">
        <v>3512</v>
      </c>
      <c r="D1760" s="2">
        <v>1</v>
      </c>
      <c r="E1760" s="2" t="str">
        <f>"1000009750"</f>
        <v>1000009750</v>
      </c>
      <c r="F1760" s="93" t="s">
        <v>591</v>
      </c>
      <c r="G1760" s="74" t="str">
        <f>"SF"</f>
        <v>SF</v>
      </c>
      <c r="H1760" s="7">
        <v>0.01</v>
      </c>
      <c r="I1760" s="95" t="str">
        <f>"76111501"</f>
        <v>76111501</v>
      </c>
      <c r="J1760" s="10" t="s">
        <v>67</v>
      </c>
    </row>
    <row r="1761" spans="1:10" ht="25.5">
      <c r="A1761" s="9" t="s">
        <v>25</v>
      </c>
      <c r="B1761" s="2" t="s">
        <v>47</v>
      </c>
      <c r="C1761" s="2">
        <v>3512</v>
      </c>
      <c r="D1761" s="2">
        <v>2</v>
      </c>
      <c r="E1761" s="2" t="str">
        <f>"1000029713"</f>
        <v>1000029713</v>
      </c>
      <c r="F1761" s="93" t="str">
        <f>"LAUNDRY SRVC: State Use, Laundry and Linen Services"</f>
        <v>LAUNDRY SRVC: State Use, Laundry and Linen Services</v>
      </c>
      <c r="G1761" s="74" t="str">
        <f>"EA"</f>
        <v>EA</v>
      </c>
      <c r="H1761" s="7">
        <v>0.01</v>
      </c>
      <c r="I1761" s="95" t="str">
        <f>"91111502"</f>
        <v>91111502</v>
      </c>
      <c r="J1761" s="10" t="s">
        <v>126</v>
      </c>
    </row>
    <row r="1762" spans="1:10">
      <c r="A1762" s="84"/>
      <c r="B1762" s="2" t="s">
        <v>47</v>
      </c>
      <c r="C1762" s="85"/>
      <c r="D1762" s="85"/>
      <c r="E1762" s="85" t="s">
        <v>610</v>
      </c>
      <c r="F1762" s="94" t="s">
        <v>261</v>
      </c>
      <c r="G1762" s="86"/>
      <c r="H1762" s="87"/>
      <c r="I1762" s="96">
        <v>73151500</v>
      </c>
      <c r="J1762" s="99" t="s">
        <v>261</v>
      </c>
    </row>
    <row r="1763" spans="1:10">
      <c r="A1763" s="84"/>
      <c r="B1763" s="2" t="s">
        <v>47</v>
      </c>
      <c r="C1763" s="85"/>
      <c r="D1763" s="85"/>
      <c r="E1763" s="85" t="s">
        <v>610</v>
      </c>
      <c r="F1763" s="94" t="s">
        <v>250</v>
      </c>
      <c r="G1763" s="86"/>
      <c r="H1763" s="87"/>
      <c r="I1763" s="96">
        <v>76122300</v>
      </c>
      <c r="J1763" s="98" t="s">
        <v>652</v>
      </c>
    </row>
    <row r="1764" spans="1:10" ht="25.5">
      <c r="A1764" s="84"/>
      <c r="B1764" s="2" t="s">
        <v>47</v>
      </c>
      <c r="C1764" s="85"/>
      <c r="D1764" s="85"/>
      <c r="E1764" s="85" t="s">
        <v>610</v>
      </c>
      <c r="F1764" s="49" t="s">
        <v>247</v>
      </c>
      <c r="G1764" s="86"/>
      <c r="H1764" s="87"/>
      <c r="I1764" s="68">
        <v>80161508</v>
      </c>
      <c r="J1764" s="98" t="s">
        <v>655</v>
      </c>
    </row>
    <row r="1765" spans="1:10" ht="25.5">
      <c r="A1765" s="84"/>
      <c r="B1765" s="2" t="s">
        <v>47</v>
      </c>
      <c r="C1765" s="85"/>
      <c r="D1765" s="85"/>
      <c r="E1765" s="85" t="s">
        <v>610</v>
      </c>
      <c r="F1765" s="49" t="s">
        <v>237</v>
      </c>
      <c r="G1765" s="86"/>
      <c r="H1765" s="87"/>
      <c r="I1765" s="68">
        <v>82121701</v>
      </c>
      <c r="J1765" s="98" t="s">
        <v>659</v>
      </c>
    </row>
    <row r="1766" spans="1:10">
      <c r="A1766" s="9" t="s">
        <v>25</v>
      </c>
      <c r="B1766" s="2" t="s">
        <v>13</v>
      </c>
      <c r="C1766" s="2">
        <v>3513</v>
      </c>
      <c r="D1766" s="2">
        <v>1</v>
      </c>
      <c r="E1766" s="2" t="str">
        <f>"1000009750"</f>
        <v>1000009750</v>
      </c>
      <c r="F1766" s="93" t="s">
        <v>591</v>
      </c>
      <c r="G1766" s="74" t="str">
        <f>"SF"</f>
        <v>SF</v>
      </c>
      <c r="H1766" s="7">
        <v>0.01</v>
      </c>
      <c r="I1766" s="95" t="str">
        <f>"76111501"</f>
        <v>76111501</v>
      </c>
      <c r="J1766" s="10" t="s">
        <v>67</v>
      </c>
    </row>
    <row r="1767" spans="1:10" ht="25.5">
      <c r="A1767" s="9" t="s">
        <v>25</v>
      </c>
      <c r="B1767" s="2" t="s">
        <v>13</v>
      </c>
      <c r="C1767" s="2">
        <v>3513</v>
      </c>
      <c r="D1767" s="2">
        <v>2</v>
      </c>
      <c r="E1767" s="2" t="str">
        <f>"1000029713"</f>
        <v>1000029713</v>
      </c>
      <c r="F1767" s="93" t="str">
        <f>"LAUNDRY SRVC: State Use, Laundry and Linen Services"</f>
        <v>LAUNDRY SRVC: State Use, Laundry and Linen Services</v>
      </c>
      <c r="G1767" s="74" t="str">
        <f>"EA"</f>
        <v>EA</v>
      </c>
      <c r="H1767" s="7">
        <v>0.01</v>
      </c>
      <c r="I1767" s="95" t="str">
        <f>"91111502"</f>
        <v>91111502</v>
      </c>
      <c r="J1767" s="10" t="s">
        <v>126</v>
      </c>
    </row>
    <row r="1768" spans="1:10" ht="25.5">
      <c r="A1768" s="84"/>
      <c r="B1768" s="2" t="s">
        <v>13</v>
      </c>
      <c r="C1768" s="85"/>
      <c r="D1768" s="85"/>
      <c r="E1768" s="85" t="s">
        <v>610</v>
      </c>
      <c r="F1768" s="94" t="s">
        <v>284</v>
      </c>
      <c r="G1768" s="86"/>
      <c r="H1768" s="87"/>
      <c r="I1768" s="96">
        <v>72102905</v>
      </c>
      <c r="J1768" s="98" t="s">
        <v>645</v>
      </c>
    </row>
    <row r="1769" spans="1:10" ht="25.5">
      <c r="A1769" s="84"/>
      <c r="B1769" s="2" t="s">
        <v>13</v>
      </c>
      <c r="C1769" s="85"/>
      <c r="D1769" s="85"/>
      <c r="E1769" s="85" t="s">
        <v>610</v>
      </c>
      <c r="F1769" s="94" t="s">
        <v>285</v>
      </c>
      <c r="G1769" s="86"/>
      <c r="H1769" s="87"/>
      <c r="I1769" s="96">
        <v>72102905</v>
      </c>
      <c r="J1769" s="98" t="s">
        <v>645</v>
      </c>
    </row>
    <row r="1770" spans="1:10">
      <c r="A1770" s="84"/>
      <c r="B1770" s="2" t="s">
        <v>13</v>
      </c>
      <c r="C1770" s="85"/>
      <c r="D1770" s="85"/>
      <c r="E1770" s="85" t="s">
        <v>610</v>
      </c>
      <c r="F1770" s="49" t="s">
        <v>261</v>
      </c>
      <c r="G1770" s="86"/>
      <c r="H1770" s="87"/>
      <c r="I1770" s="68">
        <v>73151500</v>
      </c>
      <c r="J1770" s="99" t="s">
        <v>261</v>
      </c>
    </row>
    <row r="1771" spans="1:10">
      <c r="A1771" s="84"/>
      <c r="B1771" s="2" t="s">
        <v>13</v>
      </c>
      <c r="C1771" s="85"/>
      <c r="D1771" s="85"/>
      <c r="E1771" s="85" t="s">
        <v>610</v>
      </c>
      <c r="F1771" s="49" t="s">
        <v>246</v>
      </c>
      <c r="G1771" s="86"/>
      <c r="H1771" s="87"/>
      <c r="I1771" s="68">
        <v>73151600</v>
      </c>
      <c r="J1771" s="99" t="s">
        <v>246</v>
      </c>
    </row>
    <row r="1772" spans="1:10">
      <c r="A1772" s="84"/>
      <c r="B1772" s="2" t="s">
        <v>13</v>
      </c>
      <c r="C1772" s="85"/>
      <c r="D1772" s="85"/>
      <c r="E1772" s="85" t="s">
        <v>610</v>
      </c>
      <c r="F1772" s="49" t="s">
        <v>279</v>
      </c>
      <c r="G1772" s="86"/>
      <c r="H1772" s="87"/>
      <c r="I1772" s="68">
        <v>76111800</v>
      </c>
      <c r="J1772" s="100" t="s">
        <v>649</v>
      </c>
    </row>
    <row r="1773" spans="1:10" ht="25.5">
      <c r="A1773" s="84"/>
      <c r="B1773" s="2" t="s">
        <v>13</v>
      </c>
      <c r="C1773" s="85"/>
      <c r="D1773" s="85"/>
      <c r="E1773" s="85" t="s">
        <v>610</v>
      </c>
      <c r="F1773" s="49" t="s">
        <v>262</v>
      </c>
      <c r="G1773" s="86"/>
      <c r="H1773" s="87"/>
      <c r="I1773" s="68">
        <v>76121505</v>
      </c>
      <c r="J1773" s="98" t="s">
        <v>650</v>
      </c>
    </row>
    <row r="1774" spans="1:10">
      <c r="A1774" s="84"/>
      <c r="B1774" s="2" t="s">
        <v>13</v>
      </c>
      <c r="C1774" s="85"/>
      <c r="D1774" s="85"/>
      <c r="E1774" s="85" t="s">
        <v>610</v>
      </c>
      <c r="F1774" s="49" t="s">
        <v>250</v>
      </c>
      <c r="G1774" s="86"/>
      <c r="H1774" s="87"/>
      <c r="I1774" s="68">
        <v>76122300</v>
      </c>
      <c r="J1774" s="98" t="s">
        <v>652</v>
      </c>
    </row>
    <row r="1775" spans="1:10">
      <c r="A1775" s="84"/>
      <c r="B1775" s="2" t="s">
        <v>13</v>
      </c>
      <c r="C1775" s="85"/>
      <c r="D1775" s="85"/>
      <c r="E1775" s="85" t="s">
        <v>610</v>
      </c>
      <c r="F1775" s="49" t="s">
        <v>243</v>
      </c>
      <c r="G1775" s="86"/>
      <c r="H1775" s="87"/>
      <c r="I1775" s="68">
        <v>80141800</v>
      </c>
      <c r="J1775" s="99" t="s">
        <v>243</v>
      </c>
    </row>
    <row r="1776" spans="1:10" ht="25.5">
      <c r="A1776" s="84"/>
      <c r="B1776" s="2" t="s">
        <v>13</v>
      </c>
      <c r="C1776" s="85"/>
      <c r="D1776" s="85"/>
      <c r="E1776" s="85" t="s">
        <v>610</v>
      </c>
      <c r="F1776" s="49" t="s">
        <v>247</v>
      </c>
      <c r="G1776" s="86"/>
      <c r="H1776" s="87"/>
      <c r="I1776" s="68">
        <v>80161508</v>
      </c>
      <c r="J1776" s="98" t="s">
        <v>655</v>
      </c>
    </row>
    <row r="1777" spans="1:10" ht="25.5">
      <c r="A1777" s="84"/>
      <c r="B1777" s="2" t="s">
        <v>13</v>
      </c>
      <c r="C1777" s="85"/>
      <c r="D1777" s="85"/>
      <c r="E1777" s="85" t="s">
        <v>610</v>
      </c>
      <c r="F1777" s="49" t="s">
        <v>237</v>
      </c>
      <c r="G1777" s="86"/>
      <c r="H1777" s="87"/>
      <c r="I1777" s="68">
        <v>82121701</v>
      </c>
      <c r="J1777" s="98" t="s">
        <v>659</v>
      </c>
    </row>
    <row r="1778" spans="1:10" ht="25.5">
      <c r="A1778" s="9" t="s">
        <v>25</v>
      </c>
      <c r="B1778" s="2" t="s">
        <v>48</v>
      </c>
      <c r="C1778" s="2">
        <v>3514</v>
      </c>
      <c r="D1778" s="2">
        <v>2</v>
      </c>
      <c r="E1778" s="2" t="str">
        <f>"1000008904"</f>
        <v>1000008904</v>
      </c>
      <c r="F1778" s="93" t="str">
        <f>"SECURITY SERVICES: Unarmed Security Guard Services"</f>
        <v>SECURITY SERVICES: Unarmed Security Guard Services</v>
      </c>
      <c r="G1778" s="74" t="s">
        <v>614</v>
      </c>
      <c r="H1778" s="7">
        <v>0.01</v>
      </c>
      <c r="I1778" s="95" t="str">
        <f>"92121504"</f>
        <v>92121504</v>
      </c>
      <c r="J1778" s="10" t="s">
        <v>72</v>
      </c>
    </row>
    <row r="1779" spans="1:10">
      <c r="A1779" s="9" t="s">
        <v>25</v>
      </c>
      <c r="B1779" s="2" t="s">
        <v>48</v>
      </c>
      <c r="C1779" s="2">
        <v>3514</v>
      </c>
      <c r="D1779" s="2">
        <v>1</v>
      </c>
      <c r="E1779" s="2" t="str">
        <f>"1000009750"</f>
        <v>1000009750</v>
      </c>
      <c r="F1779" s="93" t="s">
        <v>591</v>
      </c>
      <c r="G1779" s="74" t="str">
        <f>"SF"</f>
        <v>SF</v>
      </c>
      <c r="H1779" s="7">
        <v>0.01</v>
      </c>
      <c r="I1779" s="95" t="str">
        <f>"76111501"</f>
        <v>76111501</v>
      </c>
      <c r="J1779" s="10" t="s">
        <v>67</v>
      </c>
    </row>
    <row r="1780" spans="1:10" ht="25.5">
      <c r="A1780" s="84"/>
      <c r="B1780" s="2" t="s">
        <v>48</v>
      </c>
      <c r="C1780" s="85"/>
      <c r="D1780" s="85"/>
      <c r="E1780" s="85" t="s">
        <v>610</v>
      </c>
      <c r="F1780" s="94" t="s">
        <v>284</v>
      </c>
      <c r="G1780" s="86"/>
      <c r="H1780" s="87"/>
      <c r="I1780" s="96">
        <v>72102905</v>
      </c>
      <c r="J1780" s="98" t="s">
        <v>645</v>
      </c>
    </row>
    <row r="1781" spans="1:10" ht="25.5">
      <c r="A1781" s="84"/>
      <c r="B1781" s="2" t="s">
        <v>48</v>
      </c>
      <c r="C1781" s="85"/>
      <c r="D1781" s="85"/>
      <c r="E1781" s="85" t="s">
        <v>610</v>
      </c>
      <c r="F1781" s="94" t="s">
        <v>285</v>
      </c>
      <c r="G1781" s="86"/>
      <c r="H1781" s="87"/>
      <c r="I1781" s="96">
        <v>72102905</v>
      </c>
      <c r="J1781" s="98" t="s">
        <v>645</v>
      </c>
    </row>
    <row r="1782" spans="1:10">
      <c r="A1782" s="9" t="s">
        <v>25</v>
      </c>
      <c r="B1782" s="2" t="s">
        <v>17</v>
      </c>
      <c r="C1782" s="2">
        <v>3521</v>
      </c>
      <c r="D1782" s="2">
        <v>1</v>
      </c>
      <c r="E1782" s="2" t="str">
        <f>"1000009750"</f>
        <v>1000009750</v>
      </c>
      <c r="F1782" s="93" t="s">
        <v>591</v>
      </c>
      <c r="G1782" s="74" t="str">
        <f>"SF"</f>
        <v>SF</v>
      </c>
      <c r="H1782" s="7">
        <v>0.01</v>
      </c>
      <c r="I1782" s="95" t="str">
        <f>"76111501"</f>
        <v>76111501</v>
      </c>
      <c r="J1782" s="10" t="s">
        <v>67</v>
      </c>
    </row>
    <row r="1783" spans="1:10" ht="25.5">
      <c r="A1783" s="9" t="s">
        <v>25</v>
      </c>
      <c r="B1783" s="2" t="s">
        <v>17</v>
      </c>
      <c r="C1783" s="2">
        <v>3521</v>
      </c>
      <c r="D1783" s="2">
        <v>2</v>
      </c>
      <c r="E1783" s="2" t="str">
        <f>"1000029713"</f>
        <v>1000029713</v>
      </c>
      <c r="F1783" s="93" t="str">
        <f>"LAUNDRY SRVC: State Use, Laundry and Linen Services"</f>
        <v>LAUNDRY SRVC: State Use, Laundry and Linen Services</v>
      </c>
      <c r="G1783" s="74" t="str">
        <f>"EA"</f>
        <v>EA</v>
      </c>
      <c r="H1783" s="7">
        <v>0.01</v>
      </c>
      <c r="I1783" s="95" t="str">
        <f>"91111502"</f>
        <v>91111502</v>
      </c>
      <c r="J1783" s="10" t="s">
        <v>126</v>
      </c>
    </row>
    <row r="1784" spans="1:10" ht="38.25">
      <c r="A1784" s="9" t="s">
        <v>27</v>
      </c>
      <c r="B1784" s="2" t="s">
        <v>17</v>
      </c>
      <c r="C1784" s="2">
        <v>3206</v>
      </c>
      <c r="D1784" s="2">
        <v>10</v>
      </c>
      <c r="E1784" s="2" t="str">
        <f>"1000002093"</f>
        <v>1000002093</v>
      </c>
      <c r="F1784" s="4" t="str">
        <f>"PENCIL:0.7mm Exec Mech~Mechanical Pencils, push action Executive Model Pencil 0.7 mm lead"</f>
        <v>PENCIL:0.7mm Exec Mech~Mechanical Pencils, push action Executive Model Pencil 0.7 mm lead</v>
      </c>
      <c r="G1784" s="74" t="str">
        <f>"DZ"</f>
        <v>DZ</v>
      </c>
      <c r="H1784" s="7">
        <v>27.92</v>
      </c>
      <c r="I1784" s="2" t="str">
        <f>"44121705"</f>
        <v>44121705</v>
      </c>
      <c r="J1784" s="10" t="s">
        <v>146</v>
      </c>
    </row>
    <row r="1785" spans="1:10" ht="38.25">
      <c r="A1785" s="9" t="s">
        <v>27</v>
      </c>
      <c r="B1785" s="2" t="s">
        <v>17</v>
      </c>
      <c r="C1785" s="2">
        <v>3206</v>
      </c>
      <c r="D1785" s="2">
        <v>16</v>
      </c>
      <c r="E1785" s="2" t="str">
        <f>"1000002166"</f>
        <v>1000002166</v>
      </c>
      <c r="F1785" s="4" t="str">
        <f>"PENCIL:Golf/pro/med~Pencils, golf pro. Golf pro pencils (plain, no imprint), medium lead"</f>
        <v>PENCIL:Golf/pro/med~Pencils, golf pro. Golf pro pencils (plain, no imprint), medium lead</v>
      </c>
      <c r="G1785" s="74" t="str">
        <f>"GS"</f>
        <v>GS</v>
      </c>
      <c r="H1785" s="7">
        <v>6.5</v>
      </c>
      <c r="I1785" s="2" t="str">
        <f>"44121706"</f>
        <v>44121706</v>
      </c>
      <c r="J1785" s="10" t="s">
        <v>147</v>
      </c>
    </row>
    <row r="1786" spans="1:10" ht="38.25">
      <c r="A1786" s="9" t="s">
        <v>27</v>
      </c>
      <c r="B1786" s="2" t="s">
        <v>17</v>
      </c>
      <c r="C1786" s="2">
        <v>3206</v>
      </c>
      <c r="D1786" s="2">
        <v>15</v>
      </c>
      <c r="E1786" s="2" t="str">
        <f>"1000002193"</f>
        <v>1000002193</v>
      </c>
      <c r="F1786" s="4" t="str">
        <f>"PENCIL:Wood/State/Ok/pre-shrp~Pencils, State of Oklahoma. State of oklahoma - pre-sharpened.~PRE-SHARPENED - ADD"</f>
        <v>PENCIL:Wood/State/Ok/pre-shrp~Pencils, State of Oklahoma. State of oklahoma - pre-sharpened.~PRE-SHARPENED - ADD</v>
      </c>
      <c r="G1786" s="74" t="str">
        <f>"GS"</f>
        <v>GS</v>
      </c>
      <c r="H1786" s="7">
        <v>26.9</v>
      </c>
      <c r="I1786" s="2" t="str">
        <f>"44121705"</f>
        <v>44121705</v>
      </c>
      <c r="J1786" s="10" t="s">
        <v>146</v>
      </c>
    </row>
    <row r="1787" spans="1:10" ht="38.25">
      <c r="A1787" s="9" t="s">
        <v>27</v>
      </c>
      <c r="B1787" s="2" t="s">
        <v>17</v>
      </c>
      <c r="C1787" s="2">
        <v>3206</v>
      </c>
      <c r="D1787" s="2">
        <v>3</v>
      </c>
      <c r="E1787" s="2" t="str">
        <f>"1000002405"</f>
        <v>1000002405</v>
      </c>
      <c r="F1787" s="4" t="str">
        <f>"PENCIL ERASER:Jet/Taper 1GR/BX - Jet erasers, taper tip, for pencils, 1 gross per box"</f>
        <v>PENCIL ERASER:Jet/Taper 1GR/BX - Jet erasers, taper tip, for pencils, 1 gross per box</v>
      </c>
      <c r="G1787" s="74" t="str">
        <f>"BX"</f>
        <v>BX</v>
      </c>
      <c r="H1787" s="7">
        <v>8.6999999999999993</v>
      </c>
      <c r="I1787" s="2" t="str">
        <f>"44121804"</f>
        <v>44121804</v>
      </c>
      <c r="J1787" s="10" t="s">
        <v>145</v>
      </c>
    </row>
    <row r="1788" spans="1:10" ht="38.25">
      <c r="A1788" s="9" t="s">
        <v>27</v>
      </c>
      <c r="B1788" s="2" t="s">
        <v>17</v>
      </c>
      <c r="C1788" s="2">
        <v>3206</v>
      </c>
      <c r="D1788" s="2">
        <v>13</v>
      </c>
      <c r="E1788" s="2" t="str">
        <f>"1000002465"</f>
        <v>1000002465</v>
      </c>
      <c r="F1788" s="4" t="str">
        <f>"LEAD:.9mm/Rep/12pc/Ex~Pencils, mechanical push action Replacement Lead .9mm (12 vials) for Executive Model"</f>
        <v>LEAD:.9mm/Rep/12pc/Ex~Pencils, mechanical push action Replacement Lead .9mm (12 vials) for Executive Model</v>
      </c>
      <c r="G1788" s="74" t="str">
        <f>"DZ"</f>
        <v>DZ</v>
      </c>
      <c r="H1788" s="7">
        <v>12</v>
      </c>
      <c r="I1788" s="2" t="str">
        <f>"44121705"</f>
        <v>44121705</v>
      </c>
      <c r="J1788" s="10" t="s">
        <v>146</v>
      </c>
    </row>
    <row r="1789" spans="1:10" ht="63.75">
      <c r="A1789" s="9" t="s">
        <v>27</v>
      </c>
      <c r="B1789" s="2" t="s">
        <v>17</v>
      </c>
      <c r="C1789" s="2">
        <v>3206</v>
      </c>
      <c r="D1789" s="2">
        <v>11</v>
      </c>
      <c r="E1789" s="2" t="str">
        <f>"1000002466"</f>
        <v>1000002466</v>
      </c>
      <c r="F1789" s="4" t="str">
        <f>"LEAD:.7mm/Rep/12-vl/Ec/Ex~Pencils, mechanical push action Replacement Lead .7mm (12 vials) for Economy/Executive model~REPLACEMENT LEAD .7mm (12 VIALS) FOR ECONOMY/EXECUTIVE MODEL"</f>
        <v>LEAD:.7mm/Rep/12-vl/Ec/Ex~Pencils, mechanical push action Replacement Lead .7mm (12 vials) for Economy/Executive model~REPLACEMENT LEAD .7mm (12 VIALS) FOR ECONOMY/EXECUTIVE MODEL</v>
      </c>
      <c r="G1789" s="74" t="str">
        <f>"DZ"</f>
        <v>DZ</v>
      </c>
      <c r="H1789" s="7">
        <v>11.88</v>
      </c>
      <c r="I1789" s="2" t="str">
        <f>"44121705"</f>
        <v>44121705</v>
      </c>
      <c r="J1789" s="10" t="s">
        <v>146</v>
      </c>
    </row>
    <row r="1790" spans="1:10">
      <c r="A1790" s="9" t="s">
        <v>27</v>
      </c>
      <c r="B1790" s="2" t="s">
        <v>17</v>
      </c>
      <c r="C1790" s="2">
        <v>3206</v>
      </c>
      <c r="D1790" s="2">
        <v>14</v>
      </c>
      <c r="E1790" s="2" t="str">
        <f>"1000002521"</f>
        <v>1000002521</v>
      </c>
      <c r="F1790" s="4" t="str">
        <f>"PENCIL:State of Oklahoma no. 2"</f>
        <v>PENCIL:State of Oklahoma no. 2</v>
      </c>
      <c r="G1790" s="74" t="str">
        <f>"GS"</f>
        <v>GS</v>
      </c>
      <c r="H1790" s="7">
        <v>25.9</v>
      </c>
      <c r="I1790" s="2" t="str">
        <f>"44121705"</f>
        <v>44121705</v>
      </c>
      <c r="J1790" s="10" t="s">
        <v>146</v>
      </c>
    </row>
    <row r="1791" spans="1:10" ht="25.5">
      <c r="A1791" s="9" t="s">
        <v>27</v>
      </c>
      <c r="B1791" s="2" t="s">
        <v>17</v>
      </c>
      <c r="C1791" s="2">
        <v>3206</v>
      </c>
      <c r="D1791" s="2">
        <v>1</v>
      </c>
      <c r="E1791" s="2" t="str">
        <f>"1000002844"</f>
        <v>1000002844</v>
      </c>
      <c r="F1791" s="4" t="str">
        <f>"PEN:Correction White, Multipurpose,felt tip, ballpoint and rollerball ink."</f>
        <v>PEN:Correction White, Multipurpose,felt tip, ballpoint and rollerball ink.</v>
      </c>
      <c r="G1791" s="74" t="str">
        <f>"EA"</f>
        <v>EA</v>
      </c>
      <c r="H1791" s="7">
        <v>2.77</v>
      </c>
      <c r="I1791" s="2" t="str">
        <f>"44121802"</f>
        <v>44121802</v>
      </c>
      <c r="J1791" s="10" t="s">
        <v>144</v>
      </c>
    </row>
    <row r="1792" spans="1:10" ht="51">
      <c r="A1792" s="9" t="s">
        <v>27</v>
      </c>
      <c r="B1792" s="2" t="s">
        <v>17</v>
      </c>
      <c r="C1792" s="2">
        <v>3206</v>
      </c>
      <c r="D1792" s="2">
        <v>7</v>
      </c>
      <c r="E1792" s="2" t="str">
        <f>"1000002882"</f>
        <v>1000002882</v>
      </c>
      <c r="F1792" s="4" t="str">
        <f>"PENCIL:0.5mm/Exc Mech - Mechanical pencil, push action Executive model, 0.5 mm lead, clutch mechanism automatic spare lead, feed with metal eraser cap."</f>
        <v>PENCIL:0.5mm/Exc Mech - Mechanical pencil, push action Executive model, 0.5 mm lead, clutch mechanism automatic spare lead, feed with metal eraser cap.</v>
      </c>
      <c r="G1792" s="74" t="str">
        <f>"DZ"</f>
        <v>DZ</v>
      </c>
      <c r="H1792" s="7">
        <v>26.4</v>
      </c>
      <c r="I1792" s="2" t="str">
        <f>"44121705"</f>
        <v>44121705</v>
      </c>
      <c r="J1792" s="10" t="s">
        <v>146</v>
      </c>
    </row>
    <row r="1793" spans="1:10" ht="38.25">
      <c r="A1793" s="9" t="s">
        <v>27</v>
      </c>
      <c r="B1793" s="2" t="s">
        <v>17</v>
      </c>
      <c r="C1793" s="2">
        <v>3206</v>
      </c>
      <c r="D1793" s="2">
        <v>9</v>
      </c>
      <c r="E1793" s="2" t="str">
        <f>"1000003406"</f>
        <v>1000003406</v>
      </c>
      <c r="F1793" s="4" t="str">
        <f>"PENCIL:0.7mm Econ Mech - Mechanical pencil, push action Economy Model Pencil, 0.7 mm lead"</f>
        <v>PENCIL:0.7mm Econ Mech - Mechanical pencil, push action Economy Model Pencil, 0.7 mm lead</v>
      </c>
      <c r="G1793" s="74" t="str">
        <f>"DZ"</f>
        <v>DZ</v>
      </c>
      <c r="H1793" s="7">
        <v>13.62</v>
      </c>
      <c r="I1793" s="2" t="str">
        <f>"44121705"</f>
        <v>44121705</v>
      </c>
      <c r="J1793" s="10" t="s">
        <v>146</v>
      </c>
    </row>
    <row r="1794" spans="1:10" ht="51">
      <c r="A1794" s="9" t="s">
        <v>27</v>
      </c>
      <c r="B1794" s="2" t="s">
        <v>17</v>
      </c>
      <c r="C1794" s="2">
        <v>3206</v>
      </c>
      <c r="D1794" s="2">
        <v>21</v>
      </c>
      <c r="E1794" s="2" t="str">
        <f>"1000003744"</f>
        <v>1000003744</v>
      </c>
      <c r="F1794" s="4" t="str">
        <f>"MECHAN PENCIL:.5mm-Twist Eraser III, /jumbo retract eraser, twist barrel to advance~Pentel Twist Eraser III, push down lead advancement, .5mm lead"</f>
        <v>MECHAN PENCIL:.5mm-Twist Eraser III, /jumbo retract eraser, twist barrel to advance~Pentel Twist Eraser III, push down lead advancement, .5mm lead</v>
      </c>
      <c r="G1794" s="74" t="str">
        <f>"EA"</f>
        <v>EA</v>
      </c>
      <c r="H1794" s="7">
        <v>3.75</v>
      </c>
      <c r="I1794" s="2" t="str">
        <f>"44121706"</f>
        <v>44121706</v>
      </c>
      <c r="J1794" s="10" t="s">
        <v>147</v>
      </c>
    </row>
    <row r="1795" spans="1:10" ht="51">
      <c r="A1795" s="9" t="s">
        <v>27</v>
      </c>
      <c r="B1795" s="2" t="s">
        <v>17</v>
      </c>
      <c r="C1795" s="2">
        <v>3206</v>
      </c>
      <c r="D1795" s="2">
        <v>36</v>
      </c>
      <c r="E1795" s="2" t="str">
        <f>"1000004344"</f>
        <v>1000004344</v>
      </c>
      <c r="F1795" s="4" t="str">
        <f>"ERASER:Pentel Click,Retract~Eraser, Retractable, Pentel Click Eraser, refillable, extra-long white eraser, pen shaped barrell with rubber grip"</f>
        <v>ERASER:Pentel Click,Retract~Eraser, Retractable, Pentel Click Eraser, refillable, extra-long white eraser, pen shaped barrell with rubber grip</v>
      </c>
      <c r="G1795" s="74" t="str">
        <f>"DZ"</f>
        <v>DZ</v>
      </c>
      <c r="H1795" s="7">
        <v>17.7</v>
      </c>
      <c r="I1795" s="2" t="str">
        <f>"44121804"</f>
        <v>44121804</v>
      </c>
      <c r="J1795" s="10" t="s">
        <v>145</v>
      </c>
    </row>
    <row r="1796" spans="1:10" ht="63.75">
      <c r="A1796" s="9" t="s">
        <v>27</v>
      </c>
      <c r="B1796" s="2" t="s">
        <v>17</v>
      </c>
      <c r="C1796" s="2">
        <v>3206</v>
      </c>
      <c r="D1796" s="2">
        <v>5</v>
      </c>
      <c r="E1796" s="2" t="str">
        <f>"1000004532"</f>
        <v>1000004532</v>
      </c>
      <c r="F1796" s="4" t="str">
        <f>"MECHAN PENCIL REFILL:Push action replace lead(12 vials)/economy model~Pencils, mechanical push action Replacement lead (12 vials) for economy model"</f>
        <v>MECHAN PENCIL REFILL:Push action replace lead(12 vials)/economy model~Pencils, mechanical push action Replacement lead (12 vials) for economy model</v>
      </c>
      <c r="G1796" s="74" t="str">
        <f>"PK"</f>
        <v>PK</v>
      </c>
      <c r="H1796" s="7">
        <v>11.8</v>
      </c>
      <c r="I1796" s="2" t="str">
        <f>"44121705"</f>
        <v>44121705</v>
      </c>
      <c r="J1796" s="10" t="s">
        <v>146</v>
      </c>
    </row>
    <row r="1797" spans="1:10" ht="76.5">
      <c r="A1797" s="9" t="s">
        <v>27</v>
      </c>
      <c r="B1797" s="2" t="s">
        <v>17</v>
      </c>
      <c r="C1797" s="2">
        <v>3206</v>
      </c>
      <c r="D1797" s="2">
        <v>76</v>
      </c>
      <c r="E1797" s="2" t="str">
        <f>"1000004564"</f>
        <v>1000004564</v>
      </c>
      <c r="F1797" s="4" t="str">
        <f>"CORRECTION TAPE: 1/6""x394""Wht 1-line. Press and roll correction tape, plastic, easy to use dispenser, 180 degree swivel head for left and right handed users. No drying time required. No copy or fax shadows. Use on all paper."</f>
        <v>CORRECTION TAPE: 1/6"x394"Wht 1-line. Press and roll correction tape, plastic, easy to use dispenser, 180 degree swivel head for left and right handed users. No drying time required. No copy or fax shadows. Use on all paper.</v>
      </c>
      <c r="G1797" s="74" t="str">
        <f>"EA"</f>
        <v>EA</v>
      </c>
      <c r="H1797" s="7">
        <v>1.87</v>
      </c>
      <c r="I1797" s="2" t="str">
        <f>"44121801"</f>
        <v>44121801</v>
      </c>
      <c r="J1797" s="10" t="s">
        <v>148</v>
      </c>
    </row>
    <row r="1798" spans="1:10" ht="25.5">
      <c r="A1798" s="9" t="s">
        <v>27</v>
      </c>
      <c r="B1798" s="2" t="s">
        <v>17</v>
      </c>
      <c r="C1798" s="2">
        <v>3206</v>
      </c>
      <c r="D1798" s="2">
        <v>4</v>
      </c>
      <c r="E1798" s="2" t="str">
        <f>"1000005085"</f>
        <v>1000005085</v>
      </c>
      <c r="F1798" s="4" t="str">
        <f>"MECHAN PENCIL:.5MM-Push action economy mode"</f>
        <v>MECHAN PENCIL:.5MM-Push action economy mode</v>
      </c>
      <c r="G1798" s="74" t="str">
        <f>"DZ"</f>
        <v>DZ</v>
      </c>
      <c r="H1798" s="7">
        <v>10</v>
      </c>
      <c r="I1798" s="2" t="str">
        <f>"44121705"</f>
        <v>44121705</v>
      </c>
      <c r="J1798" s="10" t="s">
        <v>146</v>
      </c>
    </row>
    <row r="1799" spans="1:10" ht="38.25">
      <c r="A1799" s="9" t="s">
        <v>27</v>
      </c>
      <c r="B1799" s="2" t="s">
        <v>17</v>
      </c>
      <c r="C1799" s="2">
        <v>3206</v>
      </c>
      <c r="D1799" s="2">
        <v>6</v>
      </c>
      <c r="E1799" s="2" t="str">
        <f>"1000005125"</f>
        <v>1000005125</v>
      </c>
      <c r="F1799" s="4" t="str">
        <f>"ERASER:Rep/ec/pen/20pc~Pencils, mechanical push action Replacement erasers (20 pieces) for economy pencil"</f>
        <v>ERASER:Rep/ec/pen/20pc~Pencils, mechanical push action Replacement erasers (20 pieces) for economy pencil</v>
      </c>
      <c r="G1799" s="74" t="str">
        <f>"PK"</f>
        <v>PK</v>
      </c>
      <c r="H1799" s="7">
        <v>16.32</v>
      </c>
      <c r="I1799" s="2" t="str">
        <f>"44121705"</f>
        <v>44121705</v>
      </c>
      <c r="J1799" s="10" t="s">
        <v>146</v>
      </c>
    </row>
    <row r="1800" spans="1:10" ht="63.75">
      <c r="A1800" s="9" t="s">
        <v>27</v>
      </c>
      <c r="B1800" s="2" t="s">
        <v>17</v>
      </c>
      <c r="C1800" s="2">
        <v>3206</v>
      </c>
      <c r="D1800" s="2">
        <v>2</v>
      </c>
      <c r="E1800" s="2" t="str">
        <f>"1000005302"</f>
        <v>1000005302</v>
      </c>
      <c r="F1800" s="4" t="s">
        <v>50</v>
      </c>
      <c r="G1800" s="74" t="str">
        <f>"BO"</f>
        <v>BO</v>
      </c>
      <c r="H1800" s="7">
        <v>1.26</v>
      </c>
      <c r="I1800" s="2" t="str">
        <f>"44121802"</f>
        <v>44121802</v>
      </c>
      <c r="J1800" s="10" t="s">
        <v>144</v>
      </c>
    </row>
    <row r="1801" spans="1:10" ht="51">
      <c r="A1801" s="9" t="s">
        <v>27</v>
      </c>
      <c r="B1801" s="2" t="s">
        <v>17</v>
      </c>
      <c r="C1801" s="2">
        <v>3206</v>
      </c>
      <c r="D1801" s="2">
        <v>19</v>
      </c>
      <c r="E1801" s="2" t="str">
        <f>"1000012045"</f>
        <v>1000012045</v>
      </c>
      <c r="F1801" s="4" t="str">
        <f>"CORRECT FLUID:Wht, waterbase, vaporsafe, non-toxic, non-flammable, 18 seconds to dry, does cover ink, covers everything"</f>
        <v>CORRECT FLUID:Wht, waterbase, vaporsafe, non-toxic, non-flammable, 18 seconds to dry, does cover ink, covers everything</v>
      </c>
      <c r="G1801" s="74" t="str">
        <f>"DZ"</f>
        <v>DZ</v>
      </c>
      <c r="H1801" s="7">
        <v>18.239999999999998</v>
      </c>
      <c r="I1801" s="2" t="str">
        <f>"44121802"</f>
        <v>44121802</v>
      </c>
      <c r="J1801" s="10" t="s">
        <v>144</v>
      </c>
    </row>
    <row r="1802" spans="1:10" ht="51">
      <c r="A1802" s="9" t="s">
        <v>27</v>
      </c>
      <c r="B1802" s="2" t="s">
        <v>17</v>
      </c>
      <c r="C1802" s="2">
        <v>3206</v>
      </c>
      <c r="D1802" s="2">
        <v>22</v>
      </c>
      <c r="E1802" s="2" t="str">
        <f>"1000012046"</f>
        <v>1000012046</v>
      </c>
      <c r="F1802" s="4" t="str">
        <f>"MECHAN PENCIL:.7mm-Twist Eraser III, /jumbo retract eraser, twist barrel to advance~Pentel Twist Eraser III, push down lead advancement, .7mm lead"</f>
        <v>MECHAN PENCIL:.7mm-Twist Eraser III, /jumbo retract eraser, twist barrel to advance~Pentel Twist Eraser III, push down lead advancement, .7mm lead</v>
      </c>
      <c r="G1802" s="74" t="str">
        <f>"EA"</f>
        <v>EA</v>
      </c>
      <c r="H1802" s="7">
        <v>3.75</v>
      </c>
      <c r="I1802" s="2" t="str">
        <f>"44121705"</f>
        <v>44121705</v>
      </c>
      <c r="J1802" s="10" t="s">
        <v>146</v>
      </c>
    </row>
    <row r="1803" spans="1:10" ht="51">
      <c r="A1803" s="9" t="s">
        <v>27</v>
      </c>
      <c r="B1803" s="2" t="s">
        <v>17</v>
      </c>
      <c r="C1803" s="2">
        <v>3206</v>
      </c>
      <c r="D1803" s="2">
        <v>63</v>
      </c>
      <c r="E1803" s="2" t="str">
        <f>"1000012047"</f>
        <v>1000012047</v>
      </c>
      <c r="F1803" s="4" t="str">
        <f>"PENCIL:Pastel Green, custom imprinted, wood, #2 pencils, max imprint 3/4x4, customer supplied art, 10 gross minimum order"</f>
        <v>PENCIL:Pastel Green, custom imprinted, wood, #2 pencils, max imprint 3/4x4, customer supplied art, 10 gross minimum order</v>
      </c>
      <c r="G1803" s="74" t="str">
        <f t="shared" ref="G1803:G1828" si="116">"GS"</f>
        <v>GS</v>
      </c>
      <c r="H1803" s="7">
        <v>29.99</v>
      </c>
      <c r="I1803" s="2" t="str">
        <f t="shared" ref="I1803:I1828" si="117">"44121706"</f>
        <v>44121706</v>
      </c>
      <c r="J1803" s="10" t="s">
        <v>147</v>
      </c>
    </row>
    <row r="1804" spans="1:10" ht="51">
      <c r="A1804" s="9" t="s">
        <v>27</v>
      </c>
      <c r="B1804" s="2" t="s">
        <v>17</v>
      </c>
      <c r="C1804" s="2">
        <v>3206</v>
      </c>
      <c r="D1804" s="2">
        <v>64</v>
      </c>
      <c r="E1804" s="2" t="str">
        <f>"1000012048"</f>
        <v>1000012048</v>
      </c>
      <c r="F1804" s="4" t="str">
        <f>"PENCIL:Pastel Pink, custom imprinted, wood, #2 pencils, max imprint 3/4x4, customer supplied art, 10 gross minimum order"</f>
        <v>PENCIL:Pastel Pink, custom imprinted, wood, #2 pencils, max imprint 3/4x4, customer supplied art, 10 gross minimum order</v>
      </c>
      <c r="G1804" s="74" t="str">
        <f t="shared" si="116"/>
        <v>GS</v>
      </c>
      <c r="H1804" s="7">
        <v>29.99</v>
      </c>
      <c r="I1804" s="2" t="str">
        <f t="shared" si="117"/>
        <v>44121706</v>
      </c>
      <c r="J1804" s="10" t="s">
        <v>147</v>
      </c>
    </row>
    <row r="1805" spans="1:10" ht="51">
      <c r="A1805" s="9" t="s">
        <v>27</v>
      </c>
      <c r="B1805" s="2" t="s">
        <v>17</v>
      </c>
      <c r="C1805" s="2">
        <v>3206</v>
      </c>
      <c r="D1805" s="2">
        <v>65</v>
      </c>
      <c r="E1805" s="2" t="str">
        <f>"1000012049"</f>
        <v>1000012049</v>
      </c>
      <c r="F1805" s="4" t="str">
        <f>"PENCIL:Pastel Yellow, custom imprinted, wood, #2 pencils, max imprint 3/4x4, customer supplied art, 10 gross minimum order"</f>
        <v>PENCIL:Pastel Yellow, custom imprinted, wood, #2 pencils, max imprint 3/4x4, customer supplied art, 10 gross minimum order</v>
      </c>
      <c r="G1805" s="74" t="str">
        <f t="shared" si="116"/>
        <v>GS</v>
      </c>
      <c r="H1805" s="7">
        <v>29.99</v>
      </c>
      <c r="I1805" s="2" t="str">
        <f t="shared" si="117"/>
        <v>44121706</v>
      </c>
      <c r="J1805" s="10" t="s">
        <v>147</v>
      </c>
    </row>
    <row r="1806" spans="1:10" ht="38.25">
      <c r="A1806" s="9" t="s">
        <v>27</v>
      </c>
      <c r="B1806" s="2" t="s">
        <v>17</v>
      </c>
      <c r="C1806" s="2">
        <v>3206</v>
      </c>
      <c r="D1806" s="2">
        <v>66</v>
      </c>
      <c r="E1806" s="2" t="str">
        <f>"1000012050"</f>
        <v>1000012050</v>
      </c>
      <c r="F1806" s="4" t="str">
        <f>"PENCIL:Purple, custom imprinted, wood, #2 pencils, max imprint 3/4x4, customer supplied art, 10 gross minimum order"</f>
        <v>PENCIL:Purple, custom imprinted, wood, #2 pencils, max imprint 3/4x4, customer supplied art, 10 gross minimum order</v>
      </c>
      <c r="G1806" s="74" t="str">
        <f t="shared" si="116"/>
        <v>GS</v>
      </c>
      <c r="H1806" s="7">
        <v>29.99</v>
      </c>
      <c r="I1806" s="2" t="str">
        <f t="shared" si="117"/>
        <v>44121706</v>
      </c>
      <c r="J1806" s="10" t="s">
        <v>147</v>
      </c>
    </row>
    <row r="1807" spans="1:10" ht="38.25">
      <c r="A1807" s="9" t="s">
        <v>27</v>
      </c>
      <c r="B1807" s="2" t="s">
        <v>17</v>
      </c>
      <c r="C1807" s="2">
        <v>3206</v>
      </c>
      <c r="D1807" s="2">
        <v>67</v>
      </c>
      <c r="E1807" s="2" t="str">
        <f>"1000012051"</f>
        <v>1000012051</v>
      </c>
      <c r="F1807" s="4" t="str">
        <f>"PENCIL:Teal, custom imprinted, wood, #2 pencils, max imprint 3/4x4, customer supplied art, 10 gross minimum order"</f>
        <v>PENCIL:Teal, custom imprinted, wood, #2 pencils, max imprint 3/4x4, customer supplied art, 10 gross minimum order</v>
      </c>
      <c r="G1807" s="74" t="str">
        <f t="shared" si="116"/>
        <v>GS</v>
      </c>
      <c r="H1807" s="7">
        <v>29.99</v>
      </c>
      <c r="I1807" s="2" t="str">
        <f t="shared" si="117"/>
        <v>44121706</v>
      </c>
      <c r="J1807" s="10" t="s">
        <v>147</v>
      </c>
    </row>
    <row r="1808" spans="1:10" ht="38.25">
      <c r="A1808" s="9" t="s">
        <v>27</v>
      </c>
      <c r="B1808" s="2" t="s">
        <v>17</v>
      </c>
      <c r="C1808" s="2">
        <v>3206</v>
      </c>
      <c r="D1808" s="2">
        <v>68</v>
      </c>
      <c r="E1808" s="2" t="str">
        <f>"1000012052"</f>
        <v>1000012052</v>
      </c>
      <c r="F1808" s="4" t="str">
        <f>"PENCIL:Copper, custom imprinted, wood, #2 pencils, max imprint 3/4x4, customer supplied art, 10 gross minimum order"</f>
        <v>PENCIL:Copper, custom imprinted, wood, #2 pencils, max imprint 3/4x4, customer supplied art, 10 gross minimum order</v>
      </c>
      <c r="G1808" s="74" t="str">
        <f t="shared" si="116"/>
        <v>GS</v>
      </c>
      <c r="H1808" s="7">
        <v>29.99</v>
      </c>
      <c r="I1808" s="2" t="str">
        <f t="shared" si="117"/>
        <v>44121706</v>
      </c>
      <c r="J1808" s="10" t="s">
        <v>147</v>
      </c>
    </row>
    <row r="1809" spans="1:10" ht="38.25">
      <c r="A1809" s="9" t="s">
        <v>27</v>
      </c>
      <c r="B1809" s="2" t="s">
        <v>17</v>
      </c>
      <c r="C1809" s="2">
        <v>3206</v>
      </c>
      <c r="D1809" s="2">
        <v>69</v>
      </c>
      <c r="E1809" s="2" t="str">
        <f>"1000012053"</f>
        <v>1000012053</v>
      </c>
      <c r="F1809" s="4" t="str">
        <f>"PENCIL:Pink, custom imprinted, wood, #2 pencils, max imprint 3/4x4, customer supplied art, 10 gross minimum order"</f>
        <v>PENCIL:Pink, custom imprinted, wood, #2 pencils, max imprint 3/4x4, customer supplied art, 10 gross minimum order</v>
      </c>
      <c r="G1809" s="74" t="str">
        <f t="shared" si="116"/>
        <v>GS</v>
      </c>
      <c r="H1809" s="7">
        <v>29.99</v>
      </c>
      <c r="I1809" s="2" t="str">
        <f t="shared" si="117"/>
        <v>44121706</v>
      </c>
      <c r="J1809" s="10" t="s">
        <v>147</v>
      </c>
    </row>
    <row r="1810" spans="1:10" ht="51">
      <c r="A1810" s="9" t="s">
        <v>27</v>
      </c>
      <c r="B1810" s="2" t="s">
        <v>17</v>
      </c>
      <c r="C1810" s="2">
        <v>3206</v>
      </c>
      <c r="D1810" s="2">
        <v>70</v>
      </c>
      <c r="E1810" s="2" t="str">
        <f>"1000012054"</f>
        <v>1000012054</v>
      </c>
      <c r="F1810" s="4" t="str">
        <f>"PENCIL:Light Purple, custom imprinted, wood, #2 pencils, max imprint 3/4x4, customer supplied art, 10 gross minimum order"</f>
        <v>PENCIL:Light Purple, custom imprinted, wood, #2 pencils, max imprint 3/4x4, customer supplied art, 10 gross minimum order</v>
      </c>
      <c r="G1810" s="74" t="str">
        <f t="shared" si="116"/>
        <v>GS</v>
      </c>
      <c r="H1810" s="7">
        <v>29.99</v>
      </c>
      <c r="I1810" s="2" t="str">
        <f t="shared" si="117"/>
        <v>44121706</v>
      </c>
      <c r="J1810" s="10" t="s">
        <v>147</v>
      </c>
    </row>
    <row r="1811" spans="1:10" ht="51">
      <c r="A1811" s="9" t="s">
        <v>27</v>
      </c>
      <c r="B1811" s="2" t="s">
        <v>17</v>
      </c>
      <c r="C1811" s="2">
        <v>3206</v>
      </c>
      <c r="D1811" s="2">
        <v>71</v>
      </c>
      <c r="E1811" s="2" t="str">
        <f>"1000012055"</f>
        <v>1000012055</v>
      </c>
      <c r="F1811" s="4" t="str">
        <f>"PENCIL:Neon Green, custom imprinted, wood, #2 pencils, max imprint 3/4x4, customer supplied art, 10 gross minimum order"</f>
        <v>PENCIL:Neon Green, custom imprinted, wood, #2 pencils, max imprint 3/4x4, customer supplied art, 10 gross minimum order</v>
      </c>
      <c r="G1811" s="74" t="str">
        <f t="shared" si="116"/>
        <v>GS</v>
      </c>
      <c r="H1811" s="7">
        <v>31.99</v>
      </c>
      <c r="I1811" s="2" t="str">
        <f t="shared" si="117"/>
        <v>44121706</v>
      </c>
      <c r="J1811" s="10" t="s">
        <v>147</v>
      </c>
    </row>
    <row r="1812" spans="1:10" ht="51">
      <c r="A1812" s="9" t="s">
        <v>27</v>
      </c>
      <c r="B1812" s="2" t="s">
        <v>17</v>
      </c>
      <c r="C1812" s="2">
        <v>3206</v>
      </c>
      <c r="D1812" s="2">
        <v>72</v>
      </c>
      <c r="E1812" s="2" t="str">
        <f>"1000012056"</f>
        <v>1000012056</v>
      </c>
      <c r="F1812" s="4" t="str">
        <f>"PENCIL:Neon Yellow, custom imprinted, wood, #2 pencils, max imprint 3/4x4, customer supplied art, 10 gross minimum order"</f>
        <v>PENCIL:Neon Yellow, custom imprinted, wood, #2 pencils, max imprint 3/4x4, customer supplied art, 10 gross minimum order</v>
      </c>
      <c r="G1812" s="74" t="str">
        <f t="shared" si="116"/>
        <v>GS</v>
      </c>
      <c r="H1812" s="7">
        <v>31.99</v>
      </c>
      <c r="I1812" s="2" t="str">
        <f t="shared" si="117"/>
        <v>44121706</v>
      </c>
      <c r="J1812" s="10" t="s">
        <v>147</v>
      </c>
    </row>
    <row r="1813" spans="1:10" ht="51">
      <c r="A1813" s="9" t="s">
        <v>27</v>
      </c>
      <c r="B1813" s="2" t="s">
        <v>17</v>
      </c>
      <c r="C1813" s="2">
        <v>3206</v>
      </c>
      <c r="D1813" s="2">
        <v>73</v>
      </c>
      <c r="E1813" s="2" t="str">
        <f>"1000012057"</f>
        <v>1000012057</v>
      </c>
      <c r="F1813" s="4" t="str">
        <f>"PENCIL:Neon Pink, custom imprinted, wood, #2 pencils, max imprint 3/4x4, customer supplied art, 10 gross minimum order"</f>
        <v>PENCIL:Neon Pink, custom imprinted, wood, #2 pencils, max imprint 3/4x4, customer supplied art, 10 gross minimum order</v>
      </c>
      <c r="G1813" s="74" t="str">
        <f t="shared" si="116"/>
        <v>GS</v>
      </c>
      <c r="H1813" s="7">
        <v>31.99</v>
      </c>
      <c r="I1813" s="2" t="str">
        <f t="shared" si="117"/>
        <v>44121706</v>
      </c>
      <c r="J1813" s="10" t="s">
        <v>147</v>
      </c>
    </row>
    <row r="1814" spans="1:10" ht="51">
      <c r="A1814" s="9" t="s">
        <v>27</v>
      </c>
      <c r="B1814" s="2" t="s">
        <v>17</v>
      </c>
      <c r="C1814" s="2">
        <v>3206</v>
      </c>
      <c r="D1814" s="2">
        <v>74</v>
      </c>
      <c r="E1814" s="2" t="str">
        <f>"1000012058"</f>
        <v>1000012058</v>
      </c>
      <c r="F1814" s="4" t="str">
        <f>"PENCIL:Neon Orange, custom imprinted, wood, #2 pencils, max imprint 3/4x4, customer supplied art, 10 gross minimum order"</f>
        <v>PENCIL:Neon Orange, custom imprinted, wood, #2 pencils, max imprint 3/4x4, customer supplied art, 10 gross minimum order</v>
      </c>
      <c r="G1814" s="74" t="str">
        <f t="shared" si="116"/>
        <v>GS</v>
      </c>
      <c r="H1814" s="7">
        <v>31.99</v>
      </c>
      <c r="I1814" s="2" t="str">
        <f t="shared" si="117"/>
        <v>44121706</v>
      </c>
      <c r="J1814" s="10" t="s">
        <v>147</v>
      </c>
    </row>
    <row r="1815" spans="1:10" ht="25.5">
      <c r="A1815" s="9" t="s">
        <v>27</v>
      </c>
      <c r="B1815" s="2" t="s">
        <v>17</v>
      </c>
      <c r="C1815" s="2">
        <v>3206</v>
      </c>
      <c r="D1815" s="2">
        <v>75</v>
      </c>
      <c r="E1815" s="2" t="str">
        <f>"1000012059"</f>
        <v>1000012059</v>
      </c>
      <c r="F1815" s="4" t="str">
        <f>"PENCIL:Golf Pro, round w/ eraser, no imprint, medium lead, 144 per box"</f>
        <v>PENCIL:Golf Pro, round w/ eraser, no imprint, medium lead, 144 per box</v>
      </c>
      <c r="G1815" s="74" t="str">
        <f t="shared" si="116"/>
        <v>GS</v>
      </c>
      <c r="H1815" s="7">
        <v>14</v>
      </c>
      <c r="I1815" s="2" t="str">
        <f t="shared" si="117"/>
        <v>44121706</v>
      </c>
      <c r="J1815" s="10" t="s">
        <v>147</v>
      </c>
    </row>
    <row r="1816" spans="1:10" ht="38.25">
      <c r="A1816" s="9" t="s">
        <v>27</v>
      </c>
      <c r="B1816" s="2" t="s">
        <v>17</v>
      </c>
      <c r="C1816" s="2">
        <v>3206</v>
      </c>
      <c r="D1816" s="2">
        <v>50</v>
      </c>
      <c r="E1816" s="2" t="str">
        <f>"1000012060"</f>
        <v>1000012060</v>
      </c>
      <c r="F1816" s="4" t="str">
        <f>"PENCIL:Maroon, custom imprinted, wood, #2 pencils, max imprint 3/4x4, customer supplied art, 10 gross minimum order"</f>
        <v>PENCIL:Maroon, custom imprinted, wood, #2 pencils, max imprint 3/4x4, customer supplied art, 10 gross minimum order</v>
      </c>
      <c r="G1816" s="74" t="str">
        <f t="shared" si="116"/>
        <v>GS</v>
      </c>
      <c r="H1816" s="7">
        <v>29.99</v>
      </c>
      <c r="I1816" s="2" t="str">
        <f t="shared" si="117"/>
        <v>44121706</v>
      </c>
      <c r="J1816" s="10" t="s">
        <v>147</v>
      </c>
    </row>
    <row r="1817" spans="1:10" ht="38.25">
      <c r="A1817" s="9" t="s">
        <v>27</v>
      </c>
      <c r="B1817" s="2" t="s">
        <v>17</v>
      </c>
      <c r="C1817" s="2">
        <v>3206</v>
      </c>
      <c r="D1817" s="2">
        <v>51</v>
      </c>
      <c r="E1817" s="2" t="str">
        <f>"1000012061"</f>
        <v>1000012061</v>
      </c>
      <c r="F1817" s="4" t="str">
        <f>"PENCIL:Gold, custom imprinted, wood, #2 pencils, max imprint 3/4x4, customer supplied art, 10 gross minimum order"</f>
        <v>PENCIL:Gold, custom imprinted, wood, #2 pencils, max imprint 3/4x4, customer supplied art, 10 gross minimum order</v>
      </c>
      <c r="G1817" s="74" t="str">
        <f t="shared" si="116"/>
        <v>GS</v>
      </c>
      <c r="H1817" s="7">
        <v>29.99</v>
      </c>
      <c r="I1817" s="2" t="str">
        <f t="shared" si="117"/>
        <v>44121706</v>
      </c>
      <c r="J1817" s="10" t="s">
        <v>147</v>
      </c>
    </row>
    <row r="1818" spans="1:10" ht="38.25">
      <c r="A1818" s="9" t="s">
        <v>27</v>
      </c>
      <c r="B1818" s="2" t="s">
        <v>17</v>
      </c>
      <c r="C1818" s="2">
        <v>3206</v>
      </c>
      <c r="D1818" s="2">
        <v>52</v>
      </c>
      <c r="E1818" s="2" t="str">
        <f>"1000012062"</f>
        <v>1000012062</v>
      </c>
      <c r="F1818" s="4" t="str">
        <f>"PENCIL:Silver, custom imprinted, wood, #2 pencils, max imprint 3/4x4, customer supplied art, 10 gross minimum order"</f>
        <v>PENCIL:Silver, custom imprinted, wood, #2 pencils, max imprint 3/4x4, customer supplied art, 10 gross minimum order</v>
      </c>
      <c r="G1818" s="74" t="str">
        <f t="shared" si="116"/>
        <v>GS</v>
      </c>
      <c r="H1818" s="7">
        <v>29.99</v>
      </c>
      <c r="I1818" s="2" t="str">
        <f t="shared" si="117"/>
        <v>44121706</v>
      </c>
      <c r="J1818" s="10" t="s">
        <v>147</v>
      </c>
    </row>
    <row r="1819" spans="1:10" ht="38.25">
      <c r="A1819" s="9" t="s">
        <v>27</v>
      </c>
      <c r="B1819" s="2" t="s">
        <v>17</v>
      </c>
      <c r="C1819" s="2">
        <v>3206</v>
      </c>
      <c r="D1819" s="2">
        <v>53</v>
      </c>
      <c r="E1819" s="2" t="str">
        <f>"1000012063"</f>
        <v>1000012063</v>
      </c>
      <c r="F1819" s="4" t="str">
        <f>"PENCIL:White, custom imprinted, wood, #2 pencils, max imprint 3/4x4, customer supplied art, 10 gross minimum order"</f>
        <v>PENCIL:White, custom imprinted, wood, #2 pencils, max imprint 3/4x4, customer supplied art, 10 gross minimum order</v>
      </c>
      <c r="G1819" s="74" t="str">
        <f t="shared" si="116"/>
        <v>GS</v>
      </c>
      <c r="H1819" s="7">
        <v>29.99</v>
      </c>
      <c r="I1819" s="2" t="str">
        <f t="shared" si="117"/>
        <v>44121706</v>
      </c>
      <c r="J1819" s="10" t="s">
        <v>147</v>
      </c>
    </row>
    <row r="1820" spans="1:10" ht="38.25">
      <c r="A1820" s="9" t="s">
        <v>27</v>
      </c>
      <c r="B1820" s="2" t="s">
        <v>17</v>
      </c>
      <c r="C1820" s="2">
        <v>3206</v>
      </c>
      <c r="D1820" s="2">
        <v>54</v>
      </c>
      <c r="E1820" s="2" t="str">
        <f>"1000012064"</f>
        <v>1000012064</v>
      </c>
      <c r="F1820" s="4" t="str">
        <f>"PENCIL:Black, custom imprinted, wood, #2 pencils, max imprint 3/4x4, customer supplied art, 10 gross minimum order"</f>
        <v>PENCIL:Black, custom imprinted, wood, #2 pencils, max imprint 3/4x4, customer supplied art, 10 gross minimum order</v>
      </c>
      <c r="G1820" s="74" t="str">
        <f t="shared" si="116"/>
        <v>GS</v>
      </c>
      <c r="H1820" s="7">
        <v>29.99</v>
      </c>
      <c r="I1820" s="2" t="str">
        <f t="shared" si="117"/>
        <v>44121706</v>
      </c>
      <c r="J1820" s="10" t="s">
        <v>147</v>
      </c>
    </row>
    <row r="1821" spans="1:10" ht="38.25">
      <c r="A1821" s="9" t="s">
        <v>27</v>
      </c>
      <c r="B1821" s="2" t="s">
        <v>17</v>
      </c>
      <c r="C1821" s="2">
        <v>3206</v>
      </c>
      <c r="D1821" s="2">
        <v>55</v>
      </c>
      <c r="E1821" s="2" t="str">
        <f>"1000012065"</f>
        <v>1000012065</v>
      </c>
      <c r="F1821" s="4" t="str">
        <f>"PENCIL:Natural, custom imprinted, wood, #2 pencils, max imprint 3/4x4, customer supplied art, 10 gross minimum order"</f>
        <v>PENCIL:Natural, custom imprinted, wood, #2 pencils, max imprint 3/4x4, customer supplied art, 10 gross minimum order</v>
      </c>
      <c r="G1821" s="74" t="str">
        <f t="shared" si="116"/>
        <v>GS</v>
      </c>
      <c r="H1821" s="7">
        <v>29.99</v>
      </c>
      <c r="I1821" s="2" t="str">
        <f t="shared" si="117"/>
        <v>44121706</v>
      </c>
      <c r="J1821" s="10" t="s">
        <v>147</v>
      </c>
    </row>
    <row r="1822" spans="1:10" ht="51">
      <c r="A1822" s="9" t="s">
        <v>27</v>
      </c>
      <c r="B1822" s="2" t="s">
        <v>17</v>
      </c>
      <c r="C1822" s="2">
        <v>3206</v>
      </c>
      <c r="D1822" s="2">
        <v>56</v>
      </c>
      <c r="E1822" s="2" t="str">
        <f>"1000012066"</f>
        <v>1000012066</v>
      </c>
      <c r="F1822" s="4" t="str">
        <f>"PENCIL:Process Blue, custom imprinted, wood, #2 pencils, max imprint 3/4x4, customer supplied art, 10 gross minimum order"</f>
        <v>PENCIL:Process Blue, custom imprinted, wood, #2 pencils, max imprint 3/4x4, customer supplied art, 10 gross minimum order</v>
      </c>
      <c r="G1822" s="74" t="str">
        <f t="shared" si="116"/>
        <v>GS</v>
      </c>
      <c r="H1822" s="7">
        <v>29.99</v>
      </c>
      <c r="I1822" s="2" t="str">
        <f t="shared" si="117"/>
        <v>44121706</v>
      </c>
      <c r="J1822" s="10" t="s">
        <v>147</v>
      </c>
    </row>
    <row r="1823" spans="1:10" ht="51">
      <c r="A1823" s="9" t="s">
        <v>27</v>
      </c>
      <c r="B1823" s="2" t="s">
        <v>17</v>
      </c>
      <c r="C1823" s="2">
        <v>3206</v>
      </c>
      <c r="D1823" s="2">
        <v>57</v>
      </c>
      <c r="E1823" s="2" t="str">
        <f>"1000012067"</f>
        <v>1000012067</v>
      </c>
      <c r="F1823" s="4" t="str">
        <f>"PENCIL:Light Green, custom imprinted, wood, #2 pencils, max imprint 3/4x4, customer supplied art, 10 gross minimum order"</f>
        <v>PENCIL:Light Green, custom imprinted, wood, #2 pencils, max imprint 3/4x4, customer supplied art, 10 gross minimum order</v>
      </c>
      <c r="G1823" s="74" t="str">
        <f t="shared" si="116"/>
        <v>GS</v>
      </c>
      <c r="H1823" s="7">
        <v>29.99</v>
      </c>
      <c r="I1823" s="2" t="str">
        <f t="shared" si="117"/>
        <v>44121706</v>
      </c>
      <c r="J1823" s="10" t="s">
        <v>147</v>
      </c>
    </row>
    <row r="1824" spans="1:10" ht="38.25">
      <c r="A1824" s="9" t="s">
        <v>27</v>
      </c>
      <c r="B1824" s="2" t="s">
        <v>17</v>
      </c>
      <c r="C1824" s="2">
        <v>3206</v>
      </c>
      <c r="D1824" s="2">
        <v>58</v>
      </c>
      <c r="E1824" s="2" t="str">
        <f>"1000012068"</f>
        <v>1000012068</v>
      </c>
      <c r="F1824" s="4" t="str">
        <f>"PENCIL:Brown, custom imprinted, wood, #2 pencils, max imprint 3/4x4, customer supplied art, 10 gross minimum order"</f>
        <v>PENCIL:Brown, custom imprinted, wood, #2 pencils, max imprint 3/4x4, customer supplied art, 10 gross minimum order</v>
      </c>
      <c r="G1824" s="74" t="str">
        <f t="shared" si="116"/>
        <v>GS</v>
      </c>
      <c r="H1824" s="7">
        <v>29.99</v>
      </c>
      <c r="I1824" s="2" t="str">
        <f t="shared" si="117"/>
        <v>44121706</v>
      </c>
      <c r="J1824" s="10" t="s">
        <v>147</v>
      </c>
    </row>
    <row r="1825" spans="1:10" ht="51">
      <c r="A1825" s="9" t="s">
        <v>27</v>
      </c>
      <c r="B1825" s="2" t="s">
        <v>17</v>
      </c>
      <c r="C1825" s="2">
        <v>3206</v>
      </c>
      <c r="D1825" s="2">
        <v>59</v>
      </c>
      <c r="E1825" s="2" t="str">
        <f>"1000012069"</f>
        <v>1000012069</v>
      </c>
      <c r="F1825" s="4" t="str">
        <f>"PENCIL:Dark Gray, custom imprinted, wood, #2 pencils, max imprint 3/4x4, customer supplied art, 10 gross minimum order"</f>
        <v>PENCIL:Dark Gray, custom imprinted, wood, #2 pencils, max imprint 3/4x4, customer supplied art, 10 gross minimum order</v>
      </c>
      <c r="G1825" s="74" t="str">
        <f t="shared" si="116"/>
        <v>GS</v>
      </c>
      <c r="H1825" s="7">
        <v>29.99</v>
      </c>
      <c r="I1825" s="2" t="str">
        <f t="shared" si="117"/>
        <v>44121706</v>
      </c>
      <c r="J1825" s="10" t="s">
        <v>147</v>
      </c>
    </row>
    <row r="1826" spans="1:10" ht="51">
      <c r="A1826" s="9" t="s">
        <v>27</v>
      </c>
      <c r="B1826" s="2" t="s">
        <v>17</v>
      </c>
      <c r="C1826" s="2">
        <v>3206</v>
      </c>
      <c r="D1826" s="2">
        <v>60</v>
      </c>
      <c r="E1826" s="2" t="str">
        <f>"1000012070"</f>
        <v>1000012070</v>
      </c>
      <c r="F1826" s="4" t="str">
        <f>"PENCIL:Light Gray, custom imprinted, wood, #2 pencils, max imprint 3/4x4, customer supplied art, 10 gross minimum order"</f>
        <v>PENCIL:Light Gray, custom imprinted, wood, #2 pencils, max imprint 3/4x4, customer supplied art, 10 gross minimum order</v>
      </c>
      <c r="G1826" s="74" t="str">
        <f t="shared" si="116"/>
        <v>GS</v>
      </c>
      <c r="H1826" s="7">
        <v>29.99</v>
      </c>
      <c r="I1826" s="2" t="str">
        <f t="shared" si="117"/>
        <v>44121706</v>
      </c>
      <c r="J1826" s="10" t="s">
        <v>147</v>
      </c>
    </row>
    <row r="1827" spans="1:10" ht="38.25">
      <c r="A1827" s="9" t="s">
        <v>27</v>
      </c>
      <c r="B1827" s="2" t="s">
        <v>17</v>
      </c>
      <c r="C1827" s="2">
        <v>3206</v>
      </c>
      <c r="D1827" s="2">
        <v>61</v>
      </c>
      <c r="E1827" s="2" t="str">
        <f>"1000012071"</f>
        <v>1000012071</v>
      </c>
      <c r="F1827" s="4" t="str">
        <f>"PENCIL:Ivory, custom imprinted, wood, #2 pencils, max imprint 3/4x4, customer supplied art, 10 gross minimum order"</f>
        <v>PENCIL:Ivory, custom imprinted, wood, #2 pencils, max imprint 3/4x4, customer supplied art, 10 gross minimum order</v>
      </c>
      <c r="G1827" s="74" t="str">
        <f t="shared" si="116"/>
        <v>GS</v>
      </c>
      <c r="H1827" s="7">
        <v>29.99</v>
      </c>
      <c r="I1827" s="2" t="str">
        <f t="shared" si="117"/>
        <v>44121706</v>
      </c>
      <c r="J1827" s="10" t="s">
        <v>147</v>
      </c>
    </row>
    <row r="1828" spans="1:10" ht="51">
      <c r="A1828" s="9" t="s">
        <v>27</v>
      </c>
      <c r="B1828" s="2" t="s">
        <v>17</v>
      </c>
      <c r="C1828" s="2">
        <v>3206</v>
      </c>
      <c r="D1828" s="2">
        <v>62</v>
      </c>
      <c r="E1828" s="2" t="str">
        <f>"1000012072"</f>
        <v>1000012072</v>
      </c>
      <c r="F1828" s="4" t="str">
        <f>"PENCIL:Pastel Blue, custom imprinted, wood, #2 pencils, max imprint 3/4x4, customer supplied art, 10 gross minimum order"</f>
        <v>PENCIL:Pastel Blue, custom imprinted, wood, #2 pencils, max imprint 3/4x4, customer supplied art, 10 gross minimum order</v>
      </c>
      <c r="G1828" s="74" t="str">
        <f t="shared" si="116"/>
        <v>GS</v>
      </c>
      <c r="H1828" s="7">
        <v>29.99</v>
      </c>
      <c r="I1828" s="2" t="str">
        <f t="shared" si="117"/>
        <v>44121706</v>
      </c>
      <c r="J1828" s="10" t="s">
        <v>147</v>
      </c>
    </row>
    <row r="1829" spans="1:10" ht="38.25">
      <c r="A1829" s="9" t="s">
        <v>27</v>
      </c>
      <c r="B1829" s="2" t="s">
        <v>17</v>
      </c>
      <c r="C1829" s="2">
        <v>3206</v>
      </c>
      <c r="D1829" s="2">
        <v>35</v>
      </c>
      <c r="E1829" s="2" t="str">
        <f>"1000012073"</f>
        <v>1000012073</v>
      </c>
      <c r="F1829" s="4" t="str">
        <f>"MECHAN PENCIL:.5mm, Professional, automatic, glossy metallic barrel w/ silver accents, pkt clip w/ eraser"</f>
        <v>MECHAN PENCIL:.5mm, Professional, automatic, glossy metallic barrel w/ silver accents, pkt clip w/ eraser</v>
      </c>
      <c r="G1829" s="74" t="str">
        <f>"EA"</f>
        <v>EA</v>
      </c>
      <c r="H1829" s="7">
        <v>17.25</v>
      </c>
      <c r="I1829" s="2" t="str">
        <f>"44121705"</f>
        <v>44121705</v>
      </c>
      <c r="J1829" s="10" t="s">
        <v>146</v>
      </c>
    </row>
    <row r="1830" spans="1:10" ht="38.25">
      <c r="A1830" s="9" t="s">
        <v>27</v>
      </c>
      <c r="B1830" s="2" t="s">
        <v>17</v>
      </c>
      <c r="C1830" s="2">
        <v>3206</v>
      </c>
      <c r="D1830" s="2">
        <v>42</v>
      </c>
      <c r="E1830" s="2" t="str">
        <f>"1000012077"</f>
        <v>1000012077</v>
      </c>
      <c r="F1830" s="4" t="str">
        <f>"PENCIL:36 Count Colored Pencils, thick 3.3mm leads, presharpened, non-toxic, peggable"</f>
        <v>PENCIL:36 Count Colored Pencils, thick 3.3mm leads, presharpened, non-toxic, peggable</v>
      </c>
      <c r="G1830" s="74" t="str">
        <f>"PK"</f>
        <v>PK</v>
      </c>
      <c r="H1830" s="7">
        <v>7</v>
      </c>
      <c r="I1830" s="2" t="str">
        <f t="shared" ref="I1830:I1837" si="118">"44121706"</f>
        <v>44121706</v>
      </c>
      <c r="J1830" s="10" t="s">
        <v>147</v>
      </c>
    </row>
    <row r="1831" spans="1:10" ht="51">
      <c r="A1831" s="9" t="s">
        <v>27</v>
      </c>
      <c r="B1831" s="2" t="s">
        <v>17</v>
      </c>
      <c r="C1831" s="2">
        <v>3206</v>
      </c>
      <c r="D1831" s="2">
        <v>43</v>
      </c>
      <c r="E1831" s="2" t="str">
        <f>"1000012078"</f>
        <v>1000012078</v>
      </c>
      <c r="F1831" s="4" t="str">
        <f>"PENCIL:NY Yellow, custom imprinted, wood, #2 pencils, max imprint 3/4x4, customer supplied art, 10 gross minimum order"</f>
        <v>PENCIL:NY Yellow, custom imprinted, wood, #2 pencils, max imprint 3/4x4, customer supplied art, 10 gross minimum order</v>
      </c>
      <c r="G1831" s="74" t="str">
        <f t="shared" ref="G1831:G1837" si="119">"GS"</f>
        <v>GS</v>
      </c>
      <c r="H1831" s="7">
        <v>29.99</v>
      </c>
      <c r="I1831" s="2" t="str">
        <f t="shared" si="118"/>
        <v>44121706</v>
      </c>
      <c r="J1831" s="10" t="s">
        <v>147</v>
      </c>
    </row>
    <row r="1832" spans="1:10" ht="51">
      <c r="A1832" s="9" t="s">
        <v>27</v>
      </c>
      <c r="B1832" s="2" t="s">
        <v>17</v>
      </c>
      <c r="C1832" s="2">
        <v>3206</v>
      </c>
      <c r="D1832" s="2">
        <v>44</v>
      </c>
      <c r="E1832" s="2" t="str">
        <f>"1000012079"</f>
        <v>1000012079</v>
      </c>
      <c r="F1832" s="4" t="str">
        <f>"PENCIL:Bright Yellow, custom imprinted, wood, #2 pencils, max imprint 3/4x4, customer supplied art, 10 gross minimum order"</f>
        <v>PENCIL:Bright Yellow, custom imprinted, wood, #2 pencils, max imprint 3/4x4, customer supplied art, 10 gross minimum order</v>
      </c>
      <c r="G1832" s="74" t="str">
        <f t="shared" si="119"/>
        <v>GS</v>
      </c>
      <c r="H1832" s="7">
        <v>29.99</v>
      </c>
      <c r="I1832" s="2" t="str">
        <f t="shared" si="118"/>
        <v>44121706</v>
      </c>
      <c r="J1832" s="10" t="s">
        <v>147</v>
      </c>
    </row>
    <row r="1833" spans="1:10" ht="51">
      <c r="A1833" s="9" t="s">
        <v>27</v>
      </c>
      <c r="B1833" s="2" t="s">
        <v>17</v>
      </c>
      <c r="C1833" s="2">
        <v>3206</v>
      </c>
      <c r="D1833" s="2">
        <v>45</v>
      </c>
      <c r="E1833" s="2" t="str">
        <f>"1000012080"</f>
        <v>1000012080</v>
      </c>
      <c r="F1833" s="4" t="str">
        <f>"PENCIL:Dark Blue, custom imprinted, wood, #2 pencils, max imprint 3/4x4, customer supplied art, 10 gross minimum order"</f>
        <v>PENCIL:Dark Blue, custom imprinted, wood, #2 pencils, max imprint 3/4x4, customer supplied art, 10 gross minimum order</v>
      </c>
      <c r="G1833" s="74" t="str">
        <f t="shared" si="119"/>
        <v>GS</v>
      </c>
      <c r="H1833" s="7">
        <v>29.99</v>
      </c>
      <c r="I1833" s="2" t="str">
        <f t="shared" si="118"/>
        <v>44121706</v>
      </c>
      <c r="J1833" s="10" t="s">
        <v>147</v>
      </c>
    </row>
    <row r="1834" spans="1:10" ht="51">
      <c r="A1834" s="9" t="s">
        <v>27</v>
      </c>
      <c r="B1834" s="2" t="s">
        <v>17</v>
      </c>
      <c r="C1834" s="2">
        <v>3206</v>
      </c>
      <c r="D1834" s="2">
        <v>46</v>
      </c>
      <c r="E1834" s="2" t="str">
        <f>"1000012081"</f>
        <v>1000012081</v>
      </c>
      <c r="F1834" s="4" t="str">
        <f>"PENCIL:Royal Blue, custom imprinted, wood, #2 pencils, max imprint 3/4x4, customer supplied art, 10 gross minimum order"</f>
        <v>PENCIL:Royal Blue, custom imprinted, wood, #2 pencils, max imprint 3/4x4, customer supplied art, 10 gross minimum order</v>
      </c>
      <c r="G1834" s="74" t="str">
        <f t="shared" si="119"/>
        <v>GS</v>
      </c>
      <c r="H1834" s="7">
        <v>29.99</v>
      </c>
      <c r="I1834" s="2" t="str">
        <f t="shared" si="118"/>
        <v>44121706</v>
      </c>
      <c r="J1834" s="10" t="s">
        <v>147</v>
      </c>
    </row>
    <row r="1835" spans="1:10" ht="38.25">
      <c r="A1835" s="9" t="s">
        <v>27</v>
      </c>
      <c r="B1835" s="2" t="s">
        <v>17</v>
      </c>
      <c r="C1835" s="2">
        <v>3206</v>
      </c>
      <c r="D1835" s="2">
        <v>47</v>
      </c>
      <c r="E1835" s="2" t="str">
        <f>"1000012082"</f>
        <v>1000012082</v>
      </c>
      <c r="F1835" s="4" t="str">
        <f>"PENCIL:Red, custom imprinted, wood, #2 pencils, max imprint 3/4x4, customer supplied art, 10 gross minimum order"</f>
        <v>PENCIL:Red, custom imprinted, wood, #2 pencils, max imprint 3/4x4, customer supplied art, 10 gross minimum order</v>
      </c>
      <c r="G1835" s="74" t="str">
        <f t="shared" si="119"/>
        <v>GS</v>
      </c>
      <c r="H1835" s="7">
        <v>29.99</v>
      </c>
      <c r="I1835" s="2" t="str">
        <f t="shared" si="118"/>
        <v>44121706</v>
      </c>
      <c r="J1835" s="10" t="s">
        <v>147</v>
      </c>
    </row>
    <row r="1836" spans="1:10" ht="38.25">
      <c r="A1836" s="9" t="s">
        <v>27</v>
      </c>
      <c r="B1836" s="2" t="s">
        <v>17</v>
      </c>
      <c r="C1836" s="2">
        <v>3206</v>
      </c>
      <c r="D1836" s="2">
        <v>48</v>
      </c>
      <c r="E1836" s="2" t="str">
        <f>"1000012083"</f>
        <v>1000012083</v>
      </c>
      <c r="F1836" s="4" t="str">
        <f>"PENCIL:Orange, custom imprinted, wood, #2 pencils, max imprint 3/4x4, customer supplied art, 10 gross minimum order"</f>
        <v>PENCIL:Orange, custom imprinted, wood, #2 pencils, max imprint 3/4x4, customer supplied art, 10 gross minimum order</v>
      </c>
      <c r="G1836" s="74" t="str">
        <f t="shared" si="119"/>
        <v>GS</v>
      </c>
      <c r="H1836" s="7">
        <v>29.99</v>
      </c>
      <c r="I1836" s="2" t="str">
        <f t="shared" si="118"/>
        <v>44121706</v>
      </c>
      <c r="J1836" s="10" t="s">
        <v>147</v>
      </c>
    </row>
    <row r="1837" spans="1:10" ht="51">
      <c r="A1837" s="9" t="s">
        <v>27</v>
      </c>
      <c r="B1837" s="2" t="s">
        <v>17</v>
      </c>
      <c r="C1837" s="2">
        <v>3206</v>
      </c>
      <c r="D1837" s="2">
        <v>49</v>
      </c>
      <c r="E1837" s="2" t="str">
        <f>"1000012084"</f>
        <v>1000012084</v>
      </c>
      <c r="F1837" s="4" t="str">
        <f>"PENCIL:Dark Green, custom imprinted, wood, #2 pencils, max imprint 3/4x4, customer supplied art, 10 gross minimum order"</f>
        <v>PENCIL:Dark Green, custom imprinted, wood, #2 pencils, max imprint 3/4x4, customer supplied art, 10 gross minimum order</v>
      </c>
      <c r="G1837" s="74" t="str">
        <f t="shared" si="119"/>
        <v>GS</v>
      </c>
      <c r="H1837" s="7">
        <v>29.99</v>
      </c>
      <c r="I1837" s="2" t="str">
        <f t="shared" si="118"/>
        <v>44121706</v>
      </c>
      <c r="J1837" s="10" t="s">
        <v>147</v>
      </c>
    </row>
    <row r="1838" spans="1:10" ht="25.5">
      <c r="A1838" s="9" t="s">
        <v>27</v>
      </c>
      <c r="B1838" s="2" t="s">
        <v>17</v>
      </c>
      <c r="C1838" s="2">
        <v>3206</v>
      </c>
      <c r="D1838" s="2">
        <v>20</v>
      </c>
      <c r="E1838" s="2" t="str">
        <f>"1000012085"</f>
        <v>1000012085</v>
      </c>
      <c r="F1838" s="4" t="str">
        <f>"MECHAN PENCIL:Glossy Barrel w/ Chrome Accent, eraser, rubber grip, 5mm lead"</f>
        <v>MECHAN PENCIL:Glossy Barrel w/ Chrome Accent, eraser, rubber grip, 5mm lead</v>
      </c>
      <c r="G1838" s="74" t="str">
        <f>"EA"</f>
        <v>EA</v>
      </c>
      <c r="H1838" s="7">
        <v>4</v>
      </c>
      <c r="I1838" s="2" t="str">
        <f>"44121705"</f>
        <v>44121705</v>
      </c>
      <c r="J1838" s="10" t="s">
        <v>146</v>
      </c>
    </row>
    <row r="1839" spans="1:10" ht="51">
      <c r="A1839" s="9" t="s">
        <v>27</v>
      </c>
      <c r="B1839" s="2" t="s">
        <v>17</v>
      </c>
      <c r="C1839" s="2">
        <v>3206</v>
      </c>
      <c r="D1839" s="2">
        <v>23</v>
      </c>
      <c r="E1839" s="2" t="str">
        <f>"1000012087"</f>
        <v>1000012087</v>
      </c>
      <c r="F1839" s="4" t="str">
        <f>"MECHAN PENCIL:.5mm, dial-up eraser advancement, ergonomic barrel, side button advance, no silp, latex free rubber grip"</f>
        <v>MECHAN PENCIL:.5mm, dial-up eraser advancement, ergonomic barrel, side button advance, no silp, latex free rubber grip</v>
      </c>
      <c r="G1839" s="74" t="str">
        <f>"DZ"</f>
        <v>DZ</v>
      </c>
      <c r="H1839" s="7">
        <v>26</v>
      </c>
      <c r="I1839" s="2" t="str">
        <f>"44121705"</f>
        <v>44121705</v>
      </c>
      <c r="J1839" s="10" t="s">
        <v>146</v>
      </c>
    </row>
    <row r="1840" spans="1:10" ht="51">
      <c r="A1840" s="9" t="s">
        <v>27</v>
      </c>
      <c r="B1840" s="2" t="s">
        <v>17</v>
      </c>
      <c r="C1840" s="2">
        <v>3206</v>
      </c>
      <c r="D1840" s="2">
        <v>24</v>
      </c>
      <c r="E1840" s="2" t="str">
        <f>"1000012088"</f>
        <v>1000012088</v>
      </c>
      <c r="F1840" s="4" t="str">
        <f>"MECHAN PENCIL:.7mm, dial-up eraser advancement, ergonomic barrel, side button advance, no silp, latex free rubber grip"</f>
        <v>MECHAN PENCIL:.7mm, dial-up eraser advancement, ergonomic barrel, side button advance, no silp, latex free rubber grip</v>
      </c>
      <c r="G1840" s="74" t="str">
        <f>"DZ"</f>
        <v>DZ</v>
      </c>
      <c r="H1840" s="7">
        <v>25</v>
      </c>
      <c r="I1840" s="2" t="str">
        <f>"44121705"</f>
        <v>44121705</v>
      </c>
      <c r="J1840" s="10" t="s">
        <v>146</v>
      </c>
    </row>
    <row r="1841" spans="1:10" ht="38.25">
      <c r="A1841" s="9" t="s">
        <v>27</v>
      </c>
      <c r="B1841" s="2" t="s">
        <v>17</v>
      </c>
      <c r="C1841" s="2">
        <v>3206</v>
      </c>
      <c r="D1841" s="2">
        <v>34</v>
      </c>
      <c r="E1841" s="2" t="str">
        <f>"1000012098"</f>
        <v>1000012098</v>
      </c>
      <c r="F1841" s="4" t="str">
        <f>"MECHAN PENCIL:.7mm, Professional, automatic, glossy metallic barrel w/ silver accents, pkt clip w/ eraser"</f>
        <v>MECHAN PENCIL:.7mm, Professional, automatic, glossy metallic barrel w/ silver accents, pkt clip w/ eraser</v>
      </c>
      <c r="G1841" s="74" t="str">
        <f>"EA"</f>
        <v>EA</v>
      </c>
      <c r="H1841" s="7">
        <v>19</v>
      </c>
      <c r="I1841" s="2" t="str">
        <f>"44121705"</f>
        <v>44121705</v>
      </c>
      <c r="J1841" s="10" t="s">
        <v>146</v>
      </c>
    </row>
    <row r="1842" spans="1:10" ht="63.75">
      <c r="A1842" s="9" t="s">
        <v>49</v>
      </c>
      <c r="B1842" s="2" t="s">
        <v>17</v>
      </c>
      <c r="C1842" s="2">
        <v>3151</v>
      </c>
      <c r="D1842" s="2">
        <v>28</v>
      </c>
      <c r="E1842" s="2" t="str">
        <f>"1000024205"</f>
        <v>1000024205</v>
      </c>
      <c r="F1842" s="4" t="str">
        <f>"INCONTIN PAD:Lt Xtra 10.5 180/CA - Attends Light Extra 10.5 pads, extra protection, shaped , Hygard polymer, adhesive peel, individually wrapped, 180 per case"</f>
        <v>INCONTIN PAD:Lt Xtra 10.5 180/CA - Attends Light Extra 10.5 pads, extra protection, shaped , Hygard polymer, adhesive peel, individually wrapped, 180 per case</v>
      </c>
      <c r="G1842" s="74" t="str">
        <f t="shared" ref="G1842:G1873" si="120">"CA"</f>
        <v>CA</v>
      </c>
      <c r="H1842" s="7">
        <v>55.25</v>
      </c>
      <c r="I1842" s="2" t="str">
        <f>"42143901"</f>
        <v>42143901</v>
      </c>
      <c r="J1842" s="10" t="s">
        <v>143</v>
      </c>
    </row>
    <row r="1843" spans="1:10" ht="51">
      <c r="A1843" s="9" t="s">
        <v>49</v>
      </c>
      <c r="B1843" s="2" t="s">
        <v>17</v>
      </c>
      <c r="C1843" s="2">
        <v>3151</v>
      </c>
      <c r="D1843" s="2">
        <v>29</v>
      </c>
      <c r="E1843" s="2" t="str">
        <f>"1000024206"</f>
        <v>1000024206</v>
      </c>
      <c r="F1843" s="4" t="str">
        <f>"INCONTIN PAD:Lt Ult 18 120/CA - Attends Light Ultimate Pads, bladder control pads, ultimate protection, shaped, adhesive peel, hygard polymer, 18, 120 per case"</f>
        <v>INCONTIN PAD:Lt Ult 18 120/CA - Attends Light Ultimate Pads, bladder control pads, ultimate protection, shaped, adhesive peel, hygard polymer, 18, 120 per case</v>
      </c>
      <c r="G1843" s="74" t="str">
        <f t="shared" si="120"/>
        <v>CA</v>
      </c>
      <c r="H1843" s="7">
        <v>61.5</v>
      </c>
      <c r="I1843" s="2" t="str">
        <f>"42143901"</f>
        <v>42143901</v>
      </c>
      <c r="J1843" s="10" t="s">
        <v>143</v>
      </c>
    </row>
    <row r="1844" spans="1:10" ht="51">
      <c r="A1844" s="9" t="s">
        <v>49</v>
      </c>
      <c r="B1844" s="2" t="s">
        <v>17</v>
      </c>
      <c r="C1844" s="2">
        <v>3151</v>
      </c>
      <c r="D1844" s="2">
        <v>30</v>
      </c>
      <c r="E1844" s="2" t="str">
        <f>"1000024207"</f>
        <v>1000024207</v>
      </c>
      <c r="F1844" s="4" t="str">
        <f>"INCONTIN PAD:Super 24.5 72CA - Attends Shaped pads, Super. Super level absorbency, adhesive patch, 24.5 long, 13 wide, rapid lock system, 72 per case"</f>
        <v>INCONTIN PAD:Super 24.5 72CA - Attends Shaped pads, Super. Super level absorbency, adhesive patch, 24.5 long, 13 wide, rapid lock system, 72 per case</v>
      </c>
      <c r="G1844" s="74" t="str">
        <f t="shared" si="120"/>
        <v>CA</v>
      </c>
      <c r="H1844" s="7">
        <v>57</v>
      </c>
      <c r="I1844" s="2" t="str">
        <f>"42143901"</f>
        <v>42143901</v>
      </c>
      <c r="J1844" s="10" t="s">
        <v>143</v>
      </c>
    </row>
    <row r="1845" spans="1:10" ht="89.25">
      <c r="A1845" s="9" t="s">
        <v>49</v>
      </c>
      <c r="B1845" s="2" t="s">
        <v>17</v>
      </c>
      <c r="C1845" s="2">
        <v>3151</v>
      </c>
      <c r="D1845" s="2">
        <v>32</v>
      </c>
      <c r="E1845" s="2" t="str">
        <f>"1000024208"</f>
        <v>1000024208</v>
      </c>
      <c r="F1845" s="4" t="str">
        <f>"WIPE/WASHCLOTH:9x13, 576/CA - Attends Washcloth, pop up pack. Soft pack, spunlace washcloth with aloe, gentle, alcohol free, hypoallergenic, no rinsing necessary. Reclosable lid on a soft pack, 9x13c 48/pk, 12pks/case. 576 wipes per case"</f>
        <v>WIPE/WASHCLOTH:9x13, 576/CA - Attends Washcloth, pop up pack. Soft pack, spunlace washcloth with aloe, gentle, alcohol free, hypoallergenic, no rinsing necessary. Reclosable lid on a soft pack, 9x13c 48/pk, 12pks/case. 576 wipes per case</v>
      </c>
      <c r="G1845" s="74" t="str">
        <f t="shared" si="120"/>
        <v>CA</v>
      </c>
      <c r="H1845" s="7">
        <v>42</v>
      </c>
      <c r="I1845" s="2" t="str">
        <f>"53131624"</f>
        <v>53131624</v>
      </c>
      <c r="J1845" s="10" t="s">
        <v>130</v>
      </c>
    </row>
    <row r="1846" spans="1:10" ht="51">
      <c r="A1846" s="9" t="s">
        <v>49</v>
      </c>
      <c r="B1846" s="2" t="s">
        <v>17</v>
      </c>
      <c r="C1846" s="2">
        <v>3151</v>
      </c>
      <c r="D1846" s="2">
        <v>8</v>
      </c>
      <c r="E1846" s="2" t="str">
        <f>"1000024210"</f>
        <v>1000024210</v>
      </c>
      <c r="F1846" s="4" t="str">
        <f>"DIAPER:Girls 32-40 LBS 92/CA - Disposable, training pants, pull on style, tear away sides for easy removal, 92 per case"</f>
        <v>DIAPER:Girls 32-40 LBS 92/CA - Disposable, training pants, pull on style, tear away sides for easy removal, 92 per case</v>
      </c>
      <c r="G1846" s="74" t="str">
        <f t="shared" si="120"/>
        <v>CA</v>
      </c>
      <c r="H1846" s="7">
        <v>42.2</v>
      </c>
      <c r="I1846" s="2" t="str">
        <f>"53102305"</f>
        <v>53102305</v>
      </c>
      <c r="J1846" s="10" t="s">
        <v>128</v>
      </c>
    </row>
    <row r="1847" spans="1:10" ht="38.25">
      <c r="A1847" s="9" t="s">
        <v>49</v>
      </c>
      <c r="B1847" s="2" t="s">
        <v>17</v>
      </c>
      <c r="C1847" s="2">
        <v>3151</v>
      </c>
      <c r="D1847" s="2">
        <v>9</v>
      </c>
      <c r="E1847" s="2" t="str">
        <f>"1000024211"</f>
        <v>1000024211</v>
      </c>
      <c r="F1847" s="4" t="str">
        <f>"DIAPER:Girls 38+ LBS 76/CA - Disposable, training pants, pull on style, tear away sides for easy removal, 76 per case"</f>
        <v>DIAPER:Girls 38+ LBS 76/CA - Disposable, training pants, pull on style, tear away sides for easy removal, 76 per case</v>
      </c>
      <c r="G1847" s="74" t="str">
        <f t="shared" si="120"/>
        <v>CA</v>
      </c>
      <c r="H1847" s="7">
        <v>42.2</v>
      </c>
      <c r="I1847" s="2" t="str">
        <f>"53102305"</f>
        <v>53102305</v>
      </c>
      <c r="J1847" s="10" t="s">
        <v>128</v>
      </c>
    </row>
    <row r="1848" spans="1:10" ht="63.75">
      <c r="A1848" s="9" t="s">
        <v>49</v>
      </c>
      <c r="B1848" s="2" t="s">
        <v>17</v>
      </c>
      <c r="C1848" s="2">
        <v>3151</v>
      </c>
      <c r="D1848" s="2">
        <v>33</v>
      </c>
      <c r="E1848" s="2" t="str">
        <f>"1000024212"</f>
        <v>1000024212</v>
      </c>
      <c r="F1848" s="4" t="str">
        <f>"WIPES:Sensitive,Flushable 576/CA - Flushable wipes for sensitive skin with aloe and vitamin E. Latex and alcohol free. Safe for sewer and septic system. 48 wipes per tub, 12 tubs per case"</f>
        <v>WIPES:Sensitive,Flushable 576/CA - Flushable wipes for sensitive skin with aloe and vitamin E. Latex and alcohol free. Safe for sewer and septic system. 48 wipes per tub, 12 tubs per case</v>
      </c>
      <c r="G1848" s="74" t="str">
        <f t="shared" si="120"/>
        <v>CA</v>
      </c>
      <c r="H1848" s="7">
        <v>31</v>
      </c>
      <c r="I1848" s="2" t="str">
        <f>"53131624"</f>
        <v>53131624</v>
      </c>
      <c r="J1848" s="10" t="s">
        <v>130</v>
      </c>
    </row>
    <row r="1849" spans="1:10" ht="38.25">
      <c r="A1849" s="9" t="s">
        <v>49</v>
      </c>
      <c r="B1849" s="2" t="s">
        <v>17</v>
      </c>
      <c r="C1849" s="2">
        <v>3151</v>
      </c>
      <c r="D1849" s="2">
        <v>10</v>
      </c>
      <c r="E1849" s="2" t="str">
        <f>"1000024214"</f>
        <v>1000024214</v>
      </c>
      <c r="F1849" s="4" t="str">
        <f>"INCONTIN BRIEF:Breath Youth 96/CA - Attends Brief 10 Classic Style, breathable, disposable, Youth 20-28, 96 per case"</f>
        <v>INCONTIN BRIEF:Breath Youth 96/CA - Attends Brief 10 Classic Style, breathable, disposable, Youth 20-28, 96 per case</v>
      </c>
      <c r="G1849" s="74" t="str">
        <f t="shared" si="120"/>
        <v>CA</v>
      </c>
      <c r="H1849" s="7">
        <v>50.5</v>
      </c>
      <c r="I1849" s="2" t="str">
        <f>"42143901"</f>
        <v>42143901</v>
      </c>
      <c r="J1849" s="10" t="s">
        <v>143</v>
      </c>
    </row>
    <row r="1850" spans="1:10" ht="38.25">
      <c r="A1850" s="9" t="s">
        <v>49</v>
      </c>
      <c r="B1850" s="2" t="s">
        <v>17</v>
      </c>
      <c r="C1850" s="2">
        <v>3151</v>
      </c>
      <c r="D1850" s="2">
        <v>21</v>
      </c>
      <c r="E1850" s="2" t="str">
        <f>"1000024215"</f>
        <v>1000024215</v>
      </c>
      <c r="F1850" s="4" t="str">
        <f>"INCONTIN BRIEF:X-Ab-Breath-Sm 96/CA - Attends Breathable Extra Absorbent Brief, disposable, Small, 20-32, 96 per case"</f>
        <v>INCONTIN BRIEF:X-Ab-Breath-Sm 96/CA - Attends Breathable Extra Absorbent Brief, disposable, Small, 20-32, 96 per case</v>
      </c>
      <c r="G1850" s="74" t="str">
        <f t="shared" si="120"/>
        <v>CA</v>
      </c>
      <c r="H1850" s="7">
        <v>51.75</v>
      </c>
      <c r="I1850" s="2" t="str">
        <f>"42143901"</f>
        <v>42143901</v>
      </c>
      <c r="J1850" s="10" t="s">
        <v>143</v>
      </c>
    </row>
    <row r="1851" spans="1:10" ht="51">
      <c r="A1851" s="9" t="s">
        <v>49</v>
      </c>
      <c r="B1851" s="2" t="s">
        <v>17</v>
      </c>
      <c r="C1851" s="2">
        <v>3151</v>
      </c>
      <c r="D1851" s="2">
        <v>4</v>
      </c>
      <c r="E1851" s="2" t="str">
        <f>"1000024216"</f>
        <v>1000024216</v>
      </c>
      <c r="F1851" s="4" t="str">
        <f>"DIAPER:Boys under 34 LBS 104/CA - Disposable, training pants, pull on style, tear away sides for easy removal, 104 per case"</f>
        <v>DIAPER:Boys under 34 LBS 104/CA - Disposable, training pants, pull on style, tear away sides for easy removal, 104 per case</v>
      </c>
      <c r="G1851" s="74" t="str">
        <f t="shared" si="120"/>
        <v>CA</v>
      </c>
      <c r="H1851" s="7">
        <v>42.2</v>
      </c>
      <c r="I1851" s="2" t="str">
        <f>"53102305"</f>
        <v>53102305</v>
      </c>
      <c r="J1851" s="10" t="s">
        <v>128</v>
      </c>
    </row>
    <row r="1852" spans="1:10" ht="51">
      <c r="A1852" s="9" t="s">
        <v>49</v>
      </c>
      <c r="B1852" s="2" t="s">
        <v>17</v>
      </c>
      <c r="C1852" s="2">
        <v>3151</v>
      </c>
      <c r="D1852" s="2">
        <v>5</v>
      </c>
      <c r="E1852" s="2" t="str">
        <f>"1000024217"</f>
        <v>1000024217</v>
      </c>
      <c r="F1852" s="4" t="str">
        <f>"DIAPER:Boys 32-40 LBS 92/CA - Disposable, training pants, pull on style, tear away sides for easy removal, 92 per case"</f>
        <v>DIAPER:Boys 32-40 LBS 92/CA - Disposable, training pants, pull on style, tear away sides for easy removal, 92 per case</v>
      </c>
      <c r="G1852" s="74" t="str">
        <f t="shared" si="120"/>
        <v>CA</v>
      </c>
      <c r="H1852" s="7">
        <v>42.2</v>
      </c>
      <c r="I1852" s="2" t="str">
        <f>"53102305"</f>
        <v>53102305</v>
      </c>
      <c r="J1852" s="10" t="s">
        <v>128</v>
      </c>
    </row>
    <row r="1853" spans="1:10" ht="38.25">
      <c r="A1853" s="9" t="s">
        <v>49</v>
      </c>
      <c r="B1853" s="2" t="s">
        <v>17</v>
      </c>
      <c r="C1853" s="2">
        <v>3151</v>
      </c>
      <c r="D1853" s="2">
        <v>6</v>
      </c>
      <c r="E1853" s="2" t="str">
        <f>"1000024218"</f>
        <v>1000024218</v>
      </c>
      <c r="F1853" s="4" t="str">
        <f>"DIAPER:Boys 38+ LBS 76/CA - Disposable, training pants, pull on style, tear away sides for easy removal, 76 per case"</f>
        <v>DIAPER:Boys 38+ LBS 76/CA - Disposable, training pants, pull on style, tear away sides for easy removal, 76 per case</v>
      </c>
      <c r="G1853" s="74" t="str">
        <f t="shared" si="120"/>
        <v>CA</v>
      </c>
      <c r="H1853" s="7">
        <v>42.2</v>
      </c>
      <c r="I1853" s="2" t="str">
        <f>"53102305"</f>
        <v>53102305</v>
      </c>
      <c r="J1853" s="10" t="s">
        <v>128</v>
      </c>
    </row>
    <row r="1854" spans="1:10" ht="51">
      <c r="A1854" s="9" t="s">
        <v>49</v>
      </c>
      <c r="B1854" s="2" t="s">
        <v>17</v>
      </c>
      <c r="C1854" s="2">
        <v>3151</v>
      </c>
      <c r="D1854" s="2">
        <v>7</v>
      </c>
      <c r="E1854" s="2" t="str">
        <f>"1000024219"</f>
        <v>1000024219</v>
      </c>
      <c r="F1854" s="4" t="str">
        <f>"DIAPER:Girls under 34 LBS 104/CA - Disposable, training pants, pull on style, tear away sides for easy removal, 104 per case"</f>
        <v>DIAPER:Girls under 34 LBS 104/CA - Disposable, training pants, pull on style, tear away sides for easy removal, 104 per case</v>
      </c>
      <c r="G1854" s="74" t="str">
        <f t="shared" si="120"/>
        <v>CA</v>
      </c>
      <c r="H1854" s="7">
        <v>42.2</v>
      </c>
      <c r="I1854" s="2" t="str">
        <f>"53102305"</f>
        <v>53102305</v>
      </c>
      <c r="J1854" s="10" t="s">
        <v>128</v>
      </c>
    </row>
    <row r="1855" spans="1:10" ht="63.75">
      <c r="A1855" s="9" t="s">
        <v>49</v>
      </c>
      <c r="B1855" s="2" t="s">
        <v>17</v>
      </c>
      <c r="C1855" s="2">
        <v>3151</v>
      </c>
      <c r="D1855" s="2">
        <v>27</v>
      </c>
      <c r="E1855" s="2" t="str">
        <f>"1000024220"</f>
        <v>1000024220</v>
      </c>
      <c r="F1855" s="4" t="str">
        <f>"INCONTIN BRIEF:Wingfold 23x36 100/CA - Attends Confidence Wingfold brief, disposable, side tape tabs for use as an underpad or non-fitted brief, 23x36, 100 per case"</f>
        <v>INCONTIN BRIEF:Wingfold 23x36 100/CA - Attends Confidence Wingfold brief, disposable, side tape tabs for use as an underpad or non-fitted brief, 23x36, 100 per case</v>
      </c>
      <c r="G1855" s="74" t="str">
        <f t="shared" si="120"/>
        <v>CA</v>
      </c>
      <c r="H1855" s="7">
        <v>52.25</v>
      </c>
      <c r="I1855" s="2" t="str">
        <f t="shared" ref="I1855:I1870" si="121">"42143901"</f>
        <v>42143901</v>
      </c>
      <c r="J1855" s="10" t="s">
        <v>143</v>
      </c>
    </row>
    <row r="1856" spans="1:10" ht="38.25">
      <c r="A1856" s="9" t="s">
        <v>49</v>
      </c>
      <c r="B1856" s="2" t="s">
        <v>17</v>
      </c>
      <c r="C1856" s="2">
        <v>3151</v>
      </c>
      <c r="D1856" s="2">
        <v>19</v>
      </c>
      <c r="E1856" s="2" t="str">
        <f>"1000024221"</f>
        <v>1000024221</v>
      </c>
      <c r="F1856" s="4" t="str">
        <f>"INCONTIN BRIEF:Breath XXL 48/CA - Attends Breathable Brief, disposable, XXLarge, 63-70, 48 per case"</f>
        <v>INCONTIN BRIEF:Breath XXL 48/CA - Attends Breathable Brief, disposable, XXLarge, 63-70, 48 per case</v>
      </c>
      <c r="G1856" s="74" t="str">
        <f t="shared" si="120"/>
        <v>CA</v>
      </c>
      <c r="H1856" s="7">
        <v>63</v>
      </c>
      <c r="I1856" s="2" t="str">
        <f t="shared" si="121"/>
        <v>42143901</v>
      </c>
      <c r="J1856" s="10" t="s">
        <v>143</v>
      </c>
    </row>
    <row r="1857" spans="1:10" ht="38.25">
      <c r="A1857" s="9" t="s">
        <v>49</v>
      </c>
      <c r="B1857" s="2" t="s">
        <v>17</v>
      </c>
      <c r="C1857" s="2">
        <v>3151</v>
      </c>
      <c r="D1857" s="2">
        <v>11</v>
      </c>
      <c r="E1857" s="2" t="str">
        <f>"1000024224"</f>
        <v>1000024224</v>
      </c>
      <c r="F1857" s="4" t="str">
        <f>"INCONTIN BRIEF:Confi Med 96/CA - Attends Confidence brief, disposable, value priced, Medium, 32-44, 96/case"</f>
        <v>INCONTIN BRIEF:Confi Med 96/CA - Attends Confidence brief, disposable, value priced, Medium, 32-44, 96/case</v>
      </c>
      <c r="G1857" s="74" t="str">
        <f t="shared" si="120"/>
        <v>CA</v>
      </c>
      <c r="H1857" s="7">
        <v>42</v>
      </c>
      <c r="I1857" s="2" t="str">
        <f t="shared" si="121"/>
        <v>42143901</v>
      </c>
      <c r="J1857" s="10" t="s">
        <v>143</v>
      </c>
    </row>
    <row r="1858" spans="1:10" ht="38.25">
      <c r="A1858" s="9" t="s">
        <v>49</v>
      </c>
      <c r="B1858" s="2" t="s">
        <v>17</v>
      </c>
      <c r="C1858" s="2">
        <v>3151</v>
      </c>
      <c r="D1858" s="2">
        <v>12</v>
      </c>
      <c r="E1858" s="2" t="str">
        <f>"1000024225"</f>
        <v>1000024225</v>
      </c>
      <c r="F1858" s="4" t="str">
        <f>"INCONTIN BRIEF:Conf Lg 72/CA - Attends Confidence brief, disposable, value priced, Large, 44-58, 72/case"</f>
        <v>INCONTIN BRIEF:Conf Lg 72/CA - Attends Confidence brief, disposable, value priced, Large, 44-58, 72/case</v>
      </c>
      <c r="G1858" s="74" t="str">
        <f t="shared" si="120"/>
        <v>CA</v>
      </c>
      <c r="H1858" s="7">
        <v>42</v>
      </c>
      <c r="I1858" s="2" t="str">
        <f t="shared" si="121"/>
        <v>42143901</v>
      </c>
      <c r="J1858" s="10" t="s">
        <v>143</v>
      </c>
    </row>
    <row r="1859" spans="1:10" ht="38.25">
      <c r="A1859" s="9" t="s">
        <v>49</v>
      </c>
      <c r="B1859" s="2" t="s">
        <v>17</v>
      </c>
      <c r="C1859" s="2">
        <v>3151</v>
      </c>
      <c r="D1859" s="2">
        <v>13</v>
      </c>
      <c r="E1859" s="2" t="str">
        <f>"1000024226"</f>
        <v>1000024226</v>
      </c>
      <c r="F1859" s="4" t="str">
        <f>"INCONTIN BRIEF:Breath Val Med 96/CA- Attends Brief, breathable, disposable, value priced, Medium 32-44, 96 per case"</f>
        <v>INCONTIN BRIEF:Breath Val Med 96/CA- Attends Brief, breathable, disposable, value priced, Medium 32-44, 96 per case</v>
      </c>
      <c r="G1859" s="74" t="str">
        <f t="shared" si="120"/>
        <v>CA</v>
      </c>
      <c r="H1859" s="7">
        <v>48.5</v>
      </c>
      <c r="I1859" s="2" t="str">
        <f t="shared" si="121"/>
        <v>42143901</v>
      </c>
      <c r="J1859" s="10" t="s">
        <v>143</v>
      </c>
    </row>
    <row r="1860" spans="1:10" ht="38.25">
      <c r="A1860" s="9" t="s">
        <v>49</v>
      </c>
      <c r="B1860" s="2" t="s">
        <v>17</v>
      </c>
      <c r="C1860" s="2">
        <v>3151</v>
      </c>
      <c r="D1860" s="2">
        <v>14</v>
      </c>
      <c r="E1860" s="2" t="str">
        <f>"1000024227"</f>
        <v>1000024227</v>
      </c>
      <c r="F1860" s="4" t="str">
        <f>"INCONTIN BRIEF:Breath Val Lg 72/CA- Attends Brief, breathable, disposable, value priced, Large 44-58, 72 per case"</f>
        <v>INCONTIN BRIEF:Breath Val Lg 72/CA- Attends Brief, breathable, disposable, value priced, Large 44-58, 72 per case</v>
      </c>
      <c r="G1860" s="74" t="str">
        <f t="shared" si="120"/>
        <v>CA</v>
      </c>
      <c r="H1860" s="7">
        <v>49</v>
      </c>
      <c r="I1860" s="2" t="str">
        <f t="shared" si="121"/>
        <v>42143901</v>
      </c>
      <c r="J1860" s="10" t="s">
        <v>143</v>
      </c>
    </row>
    <row r="1861" spans="1:10" ht="38.25">
      <c r="A1861" s="9" t="s">
        <v>49</v>
      </c>
      <c r="B1861" s="2" t="s">
        <v>17</v>
      </c>
      <c r="C1861" s="2">
        <v>3151</v>
      </c>
      <c r="D1861" s="2">
        <v>15</v>
      </c>
      <c r="E1861" s="2" t="str">
        <f>"1000024228"</f>
        <v>1000024228</v>
      </c>
      <c r="F1861" s="4" t="str">
        <f>"INCONTIN BRIEF:Breath Val XL 60/CA- Attends Brief, breathable, disposable, value priced, XLarge 58-63, 60 per case"</f>
        <v>INCONTIN BRIEF:Breath Val XL 60/CA- Attends Brief, breathable, disposable, value priced, XLarge 58-63, 60 per case</v>
      </c>
      <c r="G1861" s="74" t="str">
        <f t="shared" si="120"/>
        <v>CA</v>
      </c>
      <c r="H1861" s="7">
        <v>49.5</v>
      </c>
      <c r="I1861" s="2" t="str">
        <f t="shared" si="121"/>
        <v>42143901</v>
      </c>
      <c r="J1861" s="10" t="s">
        <v>143</v>
      </c>
    </row>
    <row r="1862" spans="1:10" ht="38.25">
      <c r="A1862" s="9" t="s">
        <v>49</v>
      </c>
      <c r="B1862" s="2" t="s">
        <v>17</v>
      </c>
      <c r="C1862" s="2">
        <v>3151</v>
      </c>
      <c r="D1862" s="2">
        <v>16</v>
      </c>
      <c r="E1862" s="2" t="str">
        <f>"1000024229"</f>
        <v>1000024229</v>
      </c>
      <c r="F1862" s="4" t="str">
        <f>"INCONTIN BRIEF:Breath Med 96/CA - Attends Breathable Brief, disposable, Medium, 32-44, 96 per case"</f>
        <v>INCONTIN BRIEF:Breath Med 96/CA - Attends Breathable Brief, disposable, Medium, 32-44, 96 per case</v>
      </c>
      <c r="G1862" s="74" t="str">
        <f t="shared" si="120"/>
        <v>CA</v>
      </c>
      <c r="H1862" s="7">
        <v>49.5</v>
      </c>
      <c r="I1862" s="2" t="str">
        <f t="shared" si="121"/>
        <v>42143901</v>
      </c>
      <c r="J1862" s="10" t="s">
        <v>143</v>
      </c>
    </row>
    <row r="1863" spans="1:10" ht="51">
      <c r="A1863" s="9" t="s">
        <v>49</v>
      </c>
      <c r="B1863" s="2" t="s">
        <v>17</v>
      </c>
      <c r="C1863" s="2">
        <v>3151</v>
      </c>
      <c r="D1863" s="2">
        <v>22</v>
      </c>
      <c r="E1863" s="2" t="str">
        <f>"1000024230"</f>
        <v>1000024230</v>
      </c>
      <c r="F1863" s="4" t="str">
        <f>"INCONTIN BRIEF:X-Ab-Breath-Reg - Attends Breathable Extra Absorbent Brief, disposable, Regular size 44-56, 72 per case"</f>
        <v>INCONTIN BRIEF:X-Ab-Breath-Reg - Attends Breathable Extra Absorbent Brief, disposable, Regular size 44-56, 72 per case</v>
      </c>
      <c r="G1863" s="74" t="str">
        <f t="shared" si="120"/>
        <v>CA</v>
      </c>
      <c r="H1863" s="7">
        <v>50.78</v>
      </c>
      <c r="I1863" s="2" t="str">
        <f t="shared" si="121"/>
        <v>42143901</v>
      </c>
      <c r="J1863" s="10" t="s">
        <v>143</v>
      </c>
    </row>
    <row r="1864" spans="1:10" ht="38.25">
      <c r="A1864" s="9" t="s">
        <v>49</v>
      </c>
      <c r="B1864" s="2" t="s">
        <v>17</v>
      </c>
      <c r="C1864" s="2">
        <v>3151</v>
      </c>
      <c r="D1864" s="2">
        <v>17</v>
      </c>
      <c r="E1864" s="2" t="str">
        <f>"1000024231"</f>
        <v>1000024231</v>
      </c>
      <c r="F1864" s="4" t="str">
        <f>"INCONTIN BRIEF:Breath Lg 72/CA - Attends Breathable Brief, disposable, Large, 44-58, 72 per case"</f>
        <v>INCONTIN BRIEF:Breath Lg 72/CA - Attends Breathable Brief, disposable, Large, 44-58, 72 per case</v>
      </c>
      <c r="G1864" s="74" t="str">
        <f t="shared" si="120"/>
        <v>CA</v>
      </c>
      <c r="H1864" s="7">
        <v>51.25</v>
      </c>
      <c r="I1864" s="2" t="str">
        <f t="shared" si="121"/>
        <v>42143901</v>
      </c>
      <c r="J1864" s="10" t="s">
        <v>143</v>
      </c>
    </row>
    <row r="1865" spans="1:10" ht="38.25">
      <c r="A1865" s="9" t="s">
        <v>49</v>
      </c>
      <c r="B1865" s="2" t="s">
        <v>17</v>
      </c>
      <c r="C1865" s="2">
        <v>3151</v>
      </c>
      <c r="D1865" s="2">
        <v>18</v>
      </c>
      <c r="E1865" s="2" t="str">
        <f>"1000024232"</f>
        <v>1000024232</v>
      </c>
      <c r="F1865" s="4" t="str">
        <f>"INCONTIN BRIEF:Breath XLg 60/CA - Attends Breathable Brief, disposable, XLarge, 58-63, 60 per case"</f>
        <v>INCONTIN BRIEF:Breath XLg 60/CA - Attends Breathable Brief, disposable, XLarge, 58-63, 60 per case</v>
      </c>
      <c r="G1865" s="74" t="str">
        <f t="shared" si="120"/>
        <v>CA</v>
      </c>
      <c r="H1865" s="7">
        <v>51.25</v>
      </c>
      <c r="I1865" s="2" t="str">
        <f t="shared" si="121"/>
        <v>42143901</v>
      </c>
      <c r="J1865" s="10" t="s">
        <v>143</v>
      </c>
    </row>
    <row r="1866" spans="1:10" ht="38.25">
      <c r="A1866" s="9" t="s">
        <v>49</v>
      </c>
      <c r="B1866" s="2" t="s">
        <v>17</v>
      </c>
      <c r="C1866" s="2">
        <v>3151</v>
      </c>
      <c r="D1866" s="2">
        <v>20</v>
      </c>
      <c r="E1866" s="2" t="str">
        <f>"1000024235"</f>
        <v>1000024235</v>
      </c>
      <c r="F1866" s="4" t="str">
        <f>"INCONTIN BRIEF:Bariat. XXXL 32/CA - Attends Bariatric Brief, breathable, disposable, XXXLarge, 70-90, 32 per case"</f>
        <v>INCONTIN BRIEF:Bariat. XXXL 32/CA - Attends Bariatric Brief, breathable, disposable, XXXLarge, 70-90, 32 per case</v>
      </c>
      <c r="G1866" s="74" t="str">
        <f t="shared" si="120"/>
        <v>CA</v>
      </c>
      <c r="H1866" s="7">
        <v>76.25</v>
      </c>
      <c r="I1866" s="2" t="str">
        <f t="shared" si="121"/>
        <v>42143901</v>
      </c>
      <c r="J1866" s="10" t="s">
        <v>143</v>
      </c>
    </row>
    <row r="1867" spans="1:10" ht="51">
      <c r="A1867" s="9" t="s">
        <v>49</v>
      </c>
      <c r="B1867" s="2" t="s">
        <v>17</v>
      </c>
      <c r="C1867" s="2">
        <v>3151</v>
      </c>
      <c r="D1867" s="2">
        <v>25</v>
      </c>
      <c r="E1867" s="2" t="str">
        <f>"1000024236"</f>
        <v>1000024236</v>
      </c>
      <c r="F1867" s="4" t="str">
        <f>"INCONTIN BRIEF:Pull On Lg 72/CA - Attends Pull On Underwear, fitted, super plus absorbency, disposable, Large, 44-58, 170-210 lbs, 72 per case"</f>
        <v>INCONTIN BRIEF:Pull On Lg 72/CA - Attends Pull On Underwear, fitted, super plus absorbency, disposable, Large, 44-58, 170-210 lbs, 72 per case</v>
      </c>
      <c r="G1867" s="74" t="str">
        <f t="shared" si="120"/>
        <v>CA</v>
      </c>
      <c r="H1867" s="7">
        <v>65.75</v>
      </c>
      <c r="I1867" s="2" t="str">
        <f t="shared" si="121"/>
        <v>42143901</v>
      </c>
      <c r="J1867" s="10" t="s">
        <v>143</v>
      </c>
    </row>
    <row r="1868" spans="1:10" ht="51">
      <c r="A1868" s="9" t="s">
        <v>49</v>
      </c>
      <c r="B1868" s="2" t="s">
        <v>17</v>
      </c>
      <c r="C1868" s="2">
        <v>3151</v>
      </c>
      <c r="D1868" s="2">
        <v>26</v>
      </c>
      <c r="E1868" s="2" t="str">
        <f>"1000024237"</f>
        <v>1000024237</v>
      </c>
      <c r="F1868" s="4" t="str">
        <f>"INCONTIN BRIEF:Pull On XLg 56/CA - Attends Pull On Underwear, fitted, super plus absorbency, disposable, XLarge, 58""-68"", 210-250 lbs, 56 per case"</f>
        <v>INCONTIN BRIEF:Pull On XLg 56/CA - Attends Pull On Underwear, fitted, super plus absorbency, disposable, XLarge, 58"-68", 210-250 lbs, 56 per case</v>
      </c>
      <c r="G1868" s="74" t="str">
        <f t="shared" si="120"/>
        <v>CA</v>
      </c>
      <c r="H1868" s="7">
        <v>65.75</v>
      </c>
      <c r="I1868" s="2" t="str">
        <f t="shared" si="121"/>
        <v>42143901</v>
      </c>
      <c r="J1868" s="10" t="s">
        <v>143</v>
      </c>
    </row>
    <row r="1869" spans="1:10" ht="51">
      <c r="A1869" s="9" t="s">
        <v>49</v>
      </c>
      <c r="B1869" s="2" t="s">
        <v>17</v>
      </c>
      <c r="C1869" s="2">
        <v>3151</v>
      </c>
      <c r="D1869" s="2">
        <v>23</v>
      </c>
      <c r="E1869" s="2" t="str">
        <f>"1000024239"</f>
        <v>1000024239</v>
      </c>
      <c r="F1869" s="4" t="str">
        <f>"INCONTIN BRIEF:Pull On Sm 80/CA - Attends Pull On Underwear, fitted, super plus absorbency, disposable, Small, 22""-36"", 80-125 lbs, 80 per case"</f>
        <v>INCONTIN BRIEF:Pull On Sm 80/CA - Attends Pull On Underwear, fitted, super plus absorbency, disposable, Small, 22"-36", 80-125 lbs, 80 per case</v>
      </c>
      <c r="G1869" s="74" t="str">
        <f t="shared" si="120"/>
        <v>CA</v>
      </c>
      <c r="H1869" s="7">
        <v>65.75</v>
      </c>
      <c r="I1869" s="2" t="str">
        <f t="shared" si="121"/>
        <v>42143901</v>
      </c>
      <c r="J1869" s="10" t="s">
        <v>143</v>
      </c>
    </row>
    <row r="1870" spans="1:10" ht="51">
      <c r="A1870" s="9" t="s">
        <v>49</v>
      </c>
      <c r="B1870" s="2" t="s">
        <v>17</v>
      </c>
      <c r="C1870" s="2">
        <v>3151</v>
      </c>
      <c r="D1870" s="2">
        <v>24</v>
      </c>
      <c r="E1870" s="2" t="str">
        <f>"1000024240"</f>
        <v>1000024240</v>
      </c>
      <c r="F1870" s="4" t="str">
        <f>"INCONTIN BRIEF:Pull On Med 80/CA - Attends Pull On Underwear, fitted, super plus absorbency, disposable, Medium, 36-44, 120-175 lbs, 80 per case"</f>
        <v>INCONTIN BRIEF:Pull On Med 80/CA - Attends Pull On Underwear, fitted, super plus absorbency, disposable, Medium, 36-44, 120-175 lbs, 80 per case</v>
      </c>
      <c r="G1870" s="74" t="str">
        <f t="shared" si="120"/>
        <v>CA</v>
      </c>
      <c r="H1870" s="7">
        <v>65.75</v>
      </c>
      <c r="I1870" s="2" t="str">
        <f t="shared" si="121"/>
        <v>42143901</v>
      </c>
      <c r="J1870" s="10" t="s">
        <v>143</v>
      </c>
    </row>
    <row r="1871" spans="1:10" ht="63.75">
      <c r="A1871" s="9" t="s">
        <v>49</v>
      </c>
      <c r="B1871" s="2" t="s">
        <v>17</v>
      </c>
      <c r="C1871" s="2">
        <v>3151</v>
      </c>
      <c r="D1871" s="2">
        <v>2</v>
      </c>
      <c r="E1871" s="2" t="str">
        <f>"1000028041"</f>
        <v>1000028041</v>
      </c>
      <c r="F1871" s="4" t="str">
        <f>"DIAPER:Unisex LG 3T-4T 104/CA - Unisex disposable training pants, pull-up style. Tear away sides for easy removal. Size Large, 32-40 LBS, 3T-4T. 4 bags of 26 per case. 104 count."</f>
        <v>DIAPER:Unisex LG 3T-4T 104/CA - Unisex disposable training pants, pull-up style. Tear away sides for easy removal. Size Large, 32-40 LBS, 3T-4T. 4 bags of 26 per case. 104 count.</v>
      </c>
      <c r="G1871" s="74" t="str">
        <f t="shared" si="120"/>
        <v>CA</v>
      </c>
      <c r="H1871" s="7">
        <v>43.5</v>
      </c>
      <c r="I1871" s="2" t="str">
        <f>"53102305"</f>
        <v>53102305</v>
      </c>
      <c r="J1871" s="10" t="s">
        <v>128</v>
      </c>
    </row>
    <row r="1872" spans="1:10" ht="63.75">
      <c r="A1872" s="9" t="s">
        <v>49</v>
      </c>
      <c r="B1872" s="2" t="s">
        <v>17</v>
      </c>
      <c r="C1872" s="2">
        <v>3151</v>
      </c>
      <c r="D1872" s="2">
        <v>1</v>
      </c>
      <c r="E1872" s="2" t="str">
        <f>"1000028042"</f>
        <v>1000028042</v>
      </c>
      <c r="F1872" s="4" t="str">
        <f>"DIAPER:Unisex MED 2T-3T 116/CA - Unisex disposable training pants, pull-up style. Tear away sides for easy removal. Size Medium, under 35 LBS, 2T-3T. 4 bags of 29 per case. 116 count."</f>
        <v>DIAPER:Unisex MED 2T-3T 116/CA - Unisex disposable training pants, pull-up style. Tear away sides for easy removal. Size Medium, under 35 LBS, 2T-3T. 4 bags of 29 per case. 116 count.</v>
      </c>
      <c r="G1872" s="74" t="str">
        <f t="shared" si="120"/>
        <v>CA</v>
      </c>
      <c r="H1872" s="7">
        <v>43.5</v>
      </c>
      <c r="I1872" s="2" t="str">
        <f>"53102305"</f>
        <v>53102305</v>
      </c>
      <c r="J1872" s="10" t="s">
        <v>128</v>
      </c>
    </row>
    <row r="1873" spans="1:10" ht="63.75">
      <c r="A1873" s="9" t="s">
        <v>49</v>
      </c>
      <c r="B1873" s="2" t="s">
        <v>17</v>
      </c>
      <c r="C1873" s="2">
        <v>3151</v>
      </c>
      <c r="D1873" s="2">
        <v>3</v>
      </c>
      <c r="E1873" s="2" t="str">
        <f>"1000028043"</f>
        <v>1000028043</v>
      </c>
      <c r="F1873" s="4" t="str">
        <f>"DIAPER:Unisex XL 4T-5T 84/CA - Disposable training pants, pull-up style. Tear away sides for easy removal. Size X-Large, 35 + LBS, 4T-5T. 4 bags of 21 per case. 84 count."</f>
        <v>DIAPER:Unisex XL 4T-5T 84/CA - Disposable training pants, pull-up style. Tear away sides for easy removal. Size X-Large, 35 + LBS, 4T-5T. 4 bags of 21 per case. 84 count.</v>
      </c>
      <c r="G1873" s="74" t="str">
        <f t="shared" si="120"/>
        <v>CA</v>
      </c>
      <c r="H1873" s="7">
        <v>43.5</v>
      </c>
      <c r="I1873" s="2" t="str">
        <f>"53102305"</f>
        <v>53102305</v>
      </c>
      <c r="J1873" s="10" t="s">
        <v>128</v>
      </c>
    </row>
    <row r="1874" spans="1:10" ht="63.75">
      <c r="A1874" s="9" t="s">
        <v>27</v>
      </c>
      <c r="B1874" s="2" t="s">
        <v>17</v>
      </c>
      <c r="C1874" s="2">
        <v>3206</v>
      </c>
      <c r="D1874" s="2">
        <v>79</v>
      </c>
      <c r="E1874" s="2">
        <v>1000030005</v>
      </c>
      <c r="F1874" s="4" t="s">
        <v>928</v>
      </c>
      <c r="G1874" s="74" t="s">
        <v>853</v>
      </c>
      <c r="H1874" s="7">
        <v>6.5</v>
      </c>
      <c r="I1874" s="2">
        <v>44121705</v>
      </c>
      <c r="J1874" s="11" t="s">
        <v>146</v>
      </c>
    </row>
    <row r="1875" spans="1:10" ht="63.75">
      <c r="A1875" s="9" t="s">
        <v>27</v>
      </c>
      <c r="B1875" s="2" t="s">
        <v>17</v>
      </c>
      <c r="C1875" s="2">
        <v>3206</v>
      </c>
      <c r="D1875" s="2">
        <v>80</v>
      </c>
      <c r="E1875" s="2">
        <v>1000030006</v>
      </c>
      <c r="F1875" s="4" t="s">
        <v>927</v>
      </c>
      <c r="G1875" s="74" t="s">
        <v>853</v>
      </c>
      <c r="H1875" s="7">
        <v>6.5</v>
      </c>
      <c r="I1875" s="2">
        <v>44121705</v>
      </c>
      <c r="J1875" s="11" t="s">
        <v>146</v>
      </c>
    </row>
    <row r="1876" spans="1:10" ht="51">
      <c r="A1876" s="9" t="s">
        <v>27</v>
      </c>
      <c r="B1876" s="2" t="s">
        <v>17</v>
      </c>
      <c r="C1876" s="2">
        <v>3206</v>
      </c>
      <c r="D1876" s="2">
        <v>81</v>
      </c>
      <c r="E1876" s="2">
        <v>1000030007</v>
      </c>
      <c r="F1876" s="4" t="s">
        <v>929</v>
      </c>
      <c r="G1876" s="74" t="s">
        <v>853</v>
      </c>
      <c r="H1876" s="7">
        <v>31.28</v>
      </c>
      <c r="I1876" s="2">
        <v>44121705</v>
      </c>
      <c r="J1876" s="11" t="s">
        <v>146</v>
      </c>
    </row>
    <row r="1877" spans="1:10" ht="51">
      <c r="A1877" s="9" t="s">
        <v>27</v>
      </c>
      <c r="B1877" s="2" t="s">
        <v>17</v>
      </c>
      <c r="C1877" s="2">
        <v>3206</v>
      </c>
      <c r="D1877" s="2">
        <v>82</v>
      </c>
      <c r="E1877" s="2">
        <v>1000030008</v>
      </c>
      <c r="F1877" s="4" t="s">
        <v>930</v>
      </c>
      <c r="G1877" s="74" t="s">
        <v>853</v>
      </c>
      <c r="H1877" s="7">
        <v>31.5</v>
      </c>
      <c r="I1877" s="2">
        <v>44121705</v>
      </c>
      <c r="J1877" s="11" t="s">
        <v>146</v>
      </c>
    </row>
    <row r="1878" spans="1:10" ht="51">
      <c r="A1878" s="9" t="s">
        <v>27</v>
      </c>
      <c r="B1878" s="2" t="s">
        <v>17</v>
      </c>
      <c r="C1878" s="2">
        <v>3206</v>
      </c>
      <c r="D1878" s="2">
        <v>83</v>
      </c>
      <c r="E1878" s="2">
        <v>1000030009</v>
      </c>
      <c r="F1878" s="4" t="s">
        <v>931</v>
      </c>
      <c r="G1878" s="74" t="s">
        <v>853</v>
      </c>
      <c r="H1878" s="7">
        <v>15.75</v>
      </c>
      <c r="I1878" s="2">
        <v>44121705</v>
      </c>
      <c r="J1878" s="11" t="s">
        <v>146</v>
      </c>
    </row>
    <row r="1879" spans="1:10" ht="51">
      <c r="A1879" s="9" t="s">
        <v>27</v>
      </c>
      <c r="B1879" s="2" t="s">
        <v>17</v>
      </c>
      <c r="C1879" s="2">
        <v>3206</v>
      </c>
      <c r="D1879" s="2">
        <v>84</v>
      </c>
      <c r="E1879" s="2">
        <v>1000030010</v>
      </c>
      <c r="F1879" s="93" t="s">
        <v>932</v>
      </c>
      <c r="G1879" s="74" t="s">
        <v>853</v>
      </c>
      <c r="H1879" s="7">
        <v>10.5</v>
      </c>
      <c r="I1879" s="95">
        <v>44121705</v>
      </c>
      <c r="J1879" s="11" t="s">
        <v>146</v>
      </c>
    </row>
    <row r="1880" spans="1:10" ht="63.75">
      <c r="A1880" s="9" t="s">
        <v>27</v>
      </c>
      <c r="B1880" s="2" t="s">
        <v>17</v>
      </c>
      <c r="C1880" s="2">
        <v>3206</v>
      </c>
      <c r="D1880" s="2"/>
      <c r="E1880" s="2">
        <v>1000030011</v>
      </c>
      <c r="F1880" s="93" t="s">
        <v>933</v>
      </c>
      <c r="G1880" s="74" t="s">
        <v>853</v>
      </c>
      <c r="H1880" s="7">
        <v>19.5</v>
      </c>
      <c r="I1880" s="95">
        <v>44121705</v>
      </c>
      <c r="J1880" s="11" t="s">
        <v>146</v>
      </c>
    </row>
    <row r="1881" spans="1:10">
      <c r="A1881" s="9" t="s">
        <v>25</v>
      </c>
      <c r="B1881" s="2" t="s">
        <v>14</v>
      </c>
      <c r="C1881" s="2">
        <v>3515</v>
      </c>
      <c r="D1881" s="2">
        <v>1</v>
      </c>
      <c r="E1881" s="2" t="str">
        <f>"1000009750"</f>
        <v>1000009750</v>
      </c>
      <c r="F1881" s="93" t="s">
        <v>591</v>
      </c>
      <c r="G1881" s="74" t="str">
        <f>"SF"</f>
        <v>SF</v>
      </c>
      <c r="H1881" s="7">
        <v>0.01</v>
      </c>
      <c r="I1881" s="95" t="str">
        <f>"76111501"</f>
        <v>76111501</v>
      </c>
      <c r="J1881" s="10" t="s">
        <v>67</v>
      </c>
    </row>
    <row r="1882" spans="1:10" ht="25.5">
      <c r="A1882" s="9" t="s">
        <v>25</v>
      </c>
      <c r="B1882" s="2" t="s">
        <v>14</v>
      </c>
      <c r="C1882" s="2">
        <v>3515</v>
      </c>
      <c r="D1882" s="2">
        <v>2</v>
      </c>
      <c r="E1882" s="2" t="str">
        <f>"1000029713"</f>
        <v>1000029713</v>
      </c>
      <c r="F1882" s="93" t="str">
        <f>"LAUNDRY SRVC: State Use, Laundry and Linen Services"</f>
        <v>LAUNDRY SRVC: State Use, Laundry and Linen Services</v>
      </c>
      <c r="G1882" s="74" t="str">
        <f>"EA"</f>
        <v>EA</v>
      </c>
      <c r="H1882" s="7">
        <v>0.01</v>
      </c>
      <c r="I1882" s="95" t="str">
        <f>"91111502"</f>
        <v>91111502</v>
      </c>
      <c r="J1882" s="10" t="s">
        <v>126</v>
      </c>
    </row>
    <row r="1883" spans="1:10" ht="25.5">
      <c r="A1883" s="9" t="s">
        <v>39</v>
      </c>
      <c r="B1883" s="2" t="s">
        <v>14</v>
      </c>
      <c r="C1883" s="2">
        <v>2208</v>
      </c>
      <c r="D1883" s="2">
        <v>1</v>
      </c>
      <c r="E1883" s="2" t="str">
        <f>"1000009566"</f>
        <v>1000009566</v>
      </c>
      <c r="F1883" s="93" t="str">
        <f>"SERVICES: Litter Removal"</f>
        <v>SERVICES: Litter Removal</v>
      </c>
      <c r="G1883" s="74" t="str">
        <f>"AC"</f>
        <v>AC</v>
      </c>
      <c r="H1883" s="7">
        <v>7.5</v>
      </c>
      <c r="I1883" s="95" t="str">
        <f>"72141003"</f>
        <v>72141003</v>
      </c>
      <c r="J1883" s="10" t="s">
        <v>127</v>
      </c>
    </row>
    <row r="1884" spans="1:10" ht="25.5">
      <c r="A1884" s="84"/>
      <c r="B1884" s="2" t="s">
        <v>14</v>
      </c>
      <c r="C1884" s="85"/>
      <c r="D1884" s="85"/>
      <c r="E1884" s="85" t="s">
        <v>610</v>
      </c>
      <c r="F1884" s="49" t="s">
        <v>284</v>
      </c>
      <c r="G1884" s="86"/>
      <c r="H1884" s="87"/>
      <c r="I1884" s="68">
        <v>72102905</v>
      </c>
      <c r="J1884" s="98" t="s">
        <v>645</v>
      </c>
    </row>
    <row r="1885" spans="1:10" ht="25.5">
      <c r="A1885" s="84"/>
      <c r="B1885" s="2" t="s">
        <v>14</v>
      </c>
      <c r="C1885" s="85"/>
      <c r="D1885" s="85"/>
      <c r="E1885" s="85" t="s">
        <v>610</v>
      </c>
      <c r="F1885" s="49" t="s">
        <v>285</v>
      </c>
      <c r="G1885" s="86"/>
      <c r="H1885" s="87"/>
      <c r="I1885" s="68">
        <v>72102905</v>
      </c>
      <c r="J1885" s="98" t="s">
        <v>645</v>
      </c>
    </row>
    <row r="1886" spans="1:10">
      <c r="A1886" s="84"/>
      <c r="B1886" s="2" t="s">
        <v>14</v>
      </c>
      <c r="C1886" s="85"/>
      <c r="D1886" s="85"/>
      <c r="E1886" s="85" t="s">
        <v>610</v>
      </c>
      <c r="F1886" s="49" t="s">
        <v>261</v>
      </c>
      <c r="G1886" s="86"/>
      <c r="H1886" s="87"/>
      <c r="I1886" s="68">
        <v>73151500</v>
      </c>
      <c r="J1886" s="99" t="s">
        <v>261</v>
      </c>
    </row>
    <row r="1887" spans="1:10">
      <c r="A1887" s="84"/>
      <c r="B1887" s="2" t="s">
        <v>14</v>
      </c>
      <c r="C1887" s="85"/>
      <c r="D1887" s="85"/>
      <c r="E1887" s="85" t="s">
        <v>610</v>
      </c>
      <c r="F1887" s="49" t="s">
        <v>246</v>
      </c>
      <c r="G1887" s="86"/>
      <c r="H1887" s="87"/>
      <c r="I1887" s="68">
        <v>73151600</v>
      </c>
      <c r="J1887" s="99" t="s">
        <v>246</v>
      </c>
    </row>
    <row r="1888" spans="1:10">
      <c r="A1888" s="84"/>
      <c r="B1888" s="2" t="s">
        <v>14</v>
      </c>
      <c r="C1888" s="85"/>
      <c r="D1888" s="85"/>
      <c r="E1888" s="85" t="s">
        <v>610</v>
      </c>
      <c r="F1888" s="49" t="s">
        <v>279</v>
      </c>
      <c r="G1888" s="86"/>
      <c r="H1888" s="87"/>
      <c r="I1888" s="68">
        <v>76111800</v>
      </c>
      <c r="J1888" s="100" t="s">
        <v>649</v>
      </c>
    </row>
    <row r="1889" spans="1:10">
      <c r="A1889" s="84"/>
      <c r="B1889" s="2" t="s">
        <v>14</v>
      </c>
      <c r="C1889" s="85"/>
      <c r="D1889" s="85"/>
      <c r="E1889" s="85" t="s">
        <v>610</v>
      </c>
      <c r="F1889" s="94" t="s">
        <v>305</v>
      </c>
      <c r="G1889" s="86"/>
      <c r="H1889" s="87"/>
      <c r="I1889" s="96">
        <v>76111800</v>
      </c>
      <c r="J1889" s="100" t="s">
        <v>649</v>
      </c>
    </row>
    <row r="1890" spans="1:10" ht="25.5">
      <c r="A1890" s="84"/>
      <c r="B1890" s="2" t="s">
        <v>14</v>
      </c>
      <c r="C1890" s="85"/>
      <c r="D1890" s="85"/>
      <c r="E1890" s="85" t="s">
        <v>610</v>
      </c>
      <c r="F1890" s="49" t="s">
        <v>262</v>
      </c>
      <c r="G1890" s="86"/>
      <c r="H1890" s="87"/>
      <c r="I1890" s="68">
        <v>76121505</v>
      </c>
      <c r="J1890" s="98" t="s">
        <v>650</v>
      </c>
    </row>
    <row r="1891" spans="1:10" ht="25.5">
      <c r="A1891" s="84"/>
      <c r="B1891" s="2" t="s">
        <v>14</v>
      </c>
      <c r="C1891" s="85"/>
      <c r="D1891" s="85"/>
      <c r="E1891" s="85" t="s">
        <v>610</v>
      </c>
      <c r="F1891" s="49" t="s">
        <v>302</v>
      </c>
      <c r="G1891" s="86"/>
      <c r="H1891" s="87"/>
      <c r="I1891" s="68">
        <v>76121600</v>
      </c>
      <c r="J1891" s="98" t="s">
        <v>651</v>
      </c>
    </row>
    <row r="1892" spans="1:10">
      <c r="A1892" s="84"/>
      <c r="B1892" s="2" t="s">
        <v>14</v>
      </c>
      <c r="C1892" s="85"/>
      <c r="D1892" s="85"/>
      <c r="E1892" s="85" t="s">
        <v>610</v>
      </c>
      <c r="F1892" s="49" t="s">
        <v>250</v>
      </c>
      <c r="G1892" s="86"/>
      <c r="H1892" s="87"/>
      <c r="I1892" s="68">
        <v>76122300</v>
      </c>
      <c r="J1892" s="98" t="s">
        <v>652</v>
      </c>
    </row>
    <row r="1893" spans="1:10" ht="25.5">
      <c r="A1893" s="84"/>
      <c r="B1893" s="2" t="s">
        <v>14</v>
      </c>
      <c r="C1893" s="85"/>
      <c r="D1893" s="85"/>
      <c r="E1893" s="85" t="s">
        <v>610</v>
      </c>
      <c r="F1893" s="49" t="s">
        <v>247</v>
      </c>
      <c r="G1893" s="86"/>
      <c r="H1893" s="87"/>
      <c r="I1893" s="68">
        <v>80161508</v>
      </c>
      <c r="J1893" s="98" t="s">
        <v>655</v>
      </c>
    </row>
    <row r="1894" spans="1:10" ht="25.5">
      <c r="A1894" s="9" t="s">
        <v>39</v>
      </c>
      <c r="B1894" s="2" t="s">
        <v>51</v>
      </c>
      <c r="C1894" s="2">
        <v>2203</v>
      </c>
      <c r="D1894" s="2">
        <v>1</v>
      </c>
      <c r="E1894" s="2" t="str">
        <f>"1000009566"</f>
        <v>1000009566</v>
      </c>
      <c r="F1894" s="93" t="str">
        <f>"SERVICES: Litter Removal"</f>
        <v>SERVICES: Litter Removal</v>
      </c>
      <c r="G1894" s="74" t="str">
        <f>"AC"</f>
        <v>AC</v>
      </c>
      <c r="H1894" s="7">
        <v>9.92</v>
      </c>
      <c r="I1894" s="95" t="str">
        <f>"72141003"</f>
        <v>72141003</v>
      </c>
      <c r="J1894" s="10" t="s">
        <v>127</v>
      </c>
    </row>
    <row r="1895" spans="1:10">
      <c r="A1895" s="84"/>
      <c r="B1895" s="2" t="s">
        <v>51</v>
      </c>
      <c r="C1895" s="85"/>
      <c r="D1895" s="85"/>
      <c r="E1895" s="85" t="s">
        <v>610</v>
      </c>
      <c r="F1895" s="49" t="s">
        <v>254</v>
      </c>
      <c r="G1895" s="86"/>
      <c r="H1895" s="87"/>
      <c r="I1895" s="68">
        <v>24111500</v>
      </c>
      <c r="J1895" s="88" t="s">
        <v>619</v>
      </c>
    </row>
    <row r="1896" spans="1:10" ht="25.5">
      <c r="A1896" s="84"/>
      <c r="B1896" s="2" t="s">
        <v>51</v>
      </c>
      <c r="C1896" s="85"/>
      <c r="D1896" s="85"/>
      <c r="E1896" s="85" t="s">
        <v>610</v>
      </c>
      <c r="F1896" s="49" t="s">
        <v>267</v>
      </c>
      <c r="G1896" s="86"/>
      <c r="H1896" s="87"/>
      <c r="I1896" s="68">
        <v>42251614</v>
      </c>
      <c r="J1896" s="98" t="s">
        <v>628</v>
      </c>
    </row>
    <row r="1897" spans="1:10">
      <c r="A1897" s="84"/>
      <c r="B1897" s="2" t="s">
        <v>51</v>
      </c>
      <c r="C1897" s="85"/>
      <c r="D1897" s="85"/>
      <c r="E1897" s="85" t="s">
        <v>610</v>
      </c>
      <c r="F1897" s="49" t="s">
        <v>264</v>
      </c>
      <c r="G1897" s="86"/>
      <c r="H1897" s="87"/>
      <c r="I1897" s="68">
        <v>46181501</v>
      </c>
      <c r="J1897" s="98" t="s">
        <v>632</v>
      </c>
    </row>
    <row r="1898" spans="1:10">
      <c r="A1898" s="84"/>
      <c r="B1898" s="2" t="s">
        <v>51</v>
      </c>
      <c r="C1898" s="85"/>
      <c r="D1898" s="85"/>
      <c r="E1898" s="85" t="s">
        <v>610</v>
      </c>
      <c r="F1898" s="49" t="s">
        <v>266</v>
      </c>
      <c r="G1898" s="86"/>
      <c r="H1898" s="87"/>
      <c r="I1898" s="68">
        <v>47131811</v>
      </c>
      <c r="J1898" s="98" t="s">
        <v>633</v>
      </c>
    </row>
    <row r="1899" spans="1:10">
      <c r="A1899" s="84"/>
      <c r="B1899" s="2" t="s">
        <v>51</v>
      </c>
      <c r="C1899" s="85"/>
      <c r="D1899" s="85"/>
      <c r="E1899" s="85" t="s">
        <v>610</v>
      </c>
      <c r="F1899" s="49" t="s">
        <v>258</v>
      </c>
      <c r="G1899" s="86"/>
      <c r="H1899" s="87"/>
      <c r="I1899" s="68">
        <v>49101700</v>
      </c>
      <c r="J1899" s="11" t="s">
        <v>634</v>
      </c>
    </row>
    <row r="1900" spans="1:10">
      <c r="A1900" s="84"/>
      <c r="B1900" s="2" t="s">
        <v>51</v>
      </c>
      <c r="C1900" s="85"/>
      <c r="D1900" s="85"/>
      <c r="E1900" s="85" t="s">
        <v>610</v>
      </c>
      <c r="F1900" s="49" t="s">
        <v>235</v>
      </c>
      <c r="G1900" s="86"/>
      <c r="H1900" s="87"/>
      <c r="I1900" s="68">
        <v>55121706</v>
      </c>
      <c r="J1900" s="11" t="s">
        <v>641</v>
      </c>
    </row>
    <row r="1901" spans="1:10">
      <c r="A1901" s="84"/>
      <c r="B1901" s="2" t="s">
        <v>51</v>
      </c>
      <c r="C1901" s="85"/>
      <c r="D1901" s="85"/>
      <c r="E1901" s="85" t="s">
        <v>610</v>
      </c>
      <c r="F1901" s="49" t="s">
        <v>265</v>
      </c>
      <c r="G1901" s="86"/>
      <c r="H1901" s="87"/>
      <c r="I1901" s="68">
        <v>55121804</v>
      </c>
      <c r="J1901" s="11" t="s">
        <v>642</v>
      </c>
    </row>
    <row r="1902" spans="1:10">
      <c r="A1902" s="84"/>
      <c r="B1902" s="2" t="s">
        <v>51</v>
      </c>
      <c r="C1902" s="85"/>
      <c r="D1902" s="85"/>
      <c r="E1902" s="85" t="s">
        <v>610</v>
      </c>
      <c r="F1902" s="49" t="s">
        <v>240</v>
      </c>
      <c r="G1902" s="86"/>
      <c r="H1902" s="87"/>
      <c r="I1902" s="68">
        <v>73141715</v>
      </c>
      <c r="J1902" s="98" t="s">
        <v>646</v>
      </c>
    </row>
    <row r="1903" spans="1:10">
      <c r="A1903" s="84"/>
      <c r="B1903" s="2" t="s">
        <v>51</v>
      </c>
      <c r="C1903" s="85"/>
      <c r="D1903" s="85"/>
      <c r="E1903" s="85" t="s">
        <v>610</v>
      </c>
      <c r="F1903" s="49" t="s">
        <v>261</v>
      </c>
      <c r="G1903" s="86"/>
      <c r="H1903" s="87"/>
      <c r="I1903" s="68">
        <v>73151500</v>
      </c>
      <c r="J1903" s="99" t="s">
        <v>261</v>
      </c>
    </row>
    <row r="1904" spans="1:10">
      <c r="A1904" s="84"/>
      <c r="B1904" s="2" t="s">
        <v>51</v>
      </c>
      <c r="C1904" s="85"/>
      <c r="D1904" s="85"/>
      <c r="E1904" s="85" t="s">
        <v>610</v>
      </c>
      <c r="F1904" s="49" t="s">
        <v>246</v>
      </c>
      <c r="G1904" s="86"/>
      <c r="H1904" s="87"/>
      <c r="I1904" s="68">
        <v>73151600</v>
      </c>
      <c r="J1904" s="99" t="s">
        <v>246</v>
      </c>
    </row>
    <row r="1905" spans="1:10" ht="25.5">
      <c r="A1905" s="84"/>
      <c r="B1905" s="2" t="s">
        <v>51</v>
      </c>
      <c r="C1905" s="85"/>
      <c r="D1905" s="85"/>
      <c r="E1905" s="85" t="s">
        <v>610</v>
      </c>
      <c r="F1905" s="94" t="s">
        <v>251</v>
      </c>
      <c r="G1905" s="86"/>
      <c r="H1905" s="87"/>
      <c r="I1905" s="96">
        <v>73151903</v>
      </c>
      <c r="J1905" s="98" t="s">
        <v>647</v>
      </c>
    </row>
    <row r="1906" spans="1:10" ht="25.5">
      <c r="A1906" s="84"/>
      <c r="B1906" s="2" t="s">
        <v>51</v>
      </c>
      <c r="C1906" s="85"/>
      <c r="D1906" s="85"/>
      <c r="E1906" s="85" t="s">
        <v>610</v>
      </c>
      <c r="F1906" s="94" t="s">
        <v>252</v>
      </c>
      <c r="G1906" s="86"/>
      <c r="H1906" s="87"/>
      <c r="I1906" s="96">
        <v>73151903</v>
      </c>
      <c r="J1906" s="98" t="s">
        <v>647</v>
      </c>
    </row>
    <row r="1907" spans="1:10">
      <c r="A1907" s="84"/>
      <c r="B1907" s="2" t="s">
        <v>51</v>
      </c>
      <c r="C1907" s="85"/>
      <c r="D1907" s="85"/>
      <c r="E1907" s="85" t="s">
        <v>610</v>
      </c>
      <c r="F1907" s="94" t="s">
        <v>249</v>
      </c>
      <c r="G1907" s="86"/>
      <c r="H1907" s="87"/>
      <c r="I1907" s="96">
        <v>80141605</v>
      </c>
      <c r="J1907" s="11" t="s">
        <v>654</v>
      </c>
    </row>
    <row r="1908" spans="1:10" ht="25.5">
      <c r="A1908" s="84"/>
      <c r="B1908" s="2" t="s">
        <v>51</v>
      </c>
      <c r="C1908" s="85"/>
      <c r="D1908" s="85"/>
      <c r="E1908" s="85" t="s">
        <v>610</v>
      </c>
      <c r="F1908" s="49" t="s">
        <v>247</v>
      </c>
      <c r="G1908" s="86"/>
      <c r="H1908" s="87"/>
      <c r="I1908" s="68">
        <v>80161508</v>
      </c>
      <c r="J1908" s="98" t="s">
        <v>655</v>
      </c>
    </row>
    <row r="1909" spans="1:10">
      <c r="A1909" s="84"/>
      <c r="B1909" s="2" t="s">
        <v>51</v>
      </c>
      <c r="C1909" s="85"/>
      <c r="D1909" s="85"/>
      <c r="E1909" s="85" t="s">
        <v>610</v>
      </c>
      <c r="F1909" s="49" t="s">
        <v>241</v>
      </c>
      <c r="G1909" s="86"/>
      <c r="H1909" s="87"/>
      <c r="I1909" s="68">
        <v>82121500</v>
      </c>
      <c r="J1909" s="11" t="s">
        <v>657</v>
      </c>
    </row>
    <row r="1910" spans="1:10">
      <c r="A1910" s="9" t="s">
        <v>25</v>
      </c>
      <c r="B1910" s="2" t="s">
        <v>52</v>
      </c>
      <c r="C1910" s="2">
        <v>3516</v>
      </c>
      <c r="D1910" s="2">
        <v>1</v>
      </c>
      <c r="E1910" s="2" t="str">
        <f>"1000009750"</f>
        <v>1000009750</v>
      </c>
      <c r="F1910" s="93" t="s">
        <v>591</v>
      </c>
      <c r="G1910" s="74" t="str">
        <f>"SF"</f>
        <v>SF</v>
      </c>
      <c r="H1910" s="7">
        <v>0.01</v>
      </c>
      <c r="I1910" s="95" t="str">
        <f>"76111501"</f>
        <v>76111501</v>
      </c>
      <c r="J1910" s="10" t="s">
        <v>67</v>
      </c>
    </row>
    <row r="1911" spans="1:10">
      <c r="A1911" s="9" t="s">
        <v>25</v>
      </c>
      <c r="B1911" s="2" t="s">
        <v>53</v>
      </c>
      <c r="C1911" s="2">
        <v>3517</v>
      </c>
      <c r="D1911" s="2">
        <v>1</v>
      </c>
      <c r="E1911" s="2" t="str">
        <f>"1000009750"</f>
        <v>1000009750</v>
      </c>
      <c r="F1911" s="4" t="s">
        <v>591</v>
      </c>
      <c r="G1911" s="74" t="str">
        <f>"SF"</f>
        <v>SF</v>
      </c>
      <c r="H1911" s="7">
        <v>0.01</v>
      </c>
      <c r="I1911" s="2" t="str">
        <f>"76111501"</f>
        <v>76111501</v>
      </c>
      <c r="J1911" s="10" t="s">
        <v>67</v>
      </c>
    </row>
    <row r="1912" spans="1:10" ht="25.5">
      <c r="A1912" s="9" t="s">
        <v>25</v>
      </c>
      <c r="B1912" s="2" t="s">
        <v>54</v>
      </c>
      <c r="C1912" s="2">
        <v>3566</v>
      </c>
      <c r="D1912" s="2">
        <v>1</v>
      </c>
      <c r="E1912" s="2" t="str">
        <f>"1000029713"</f>
        <v>1000029713</v>
      </c>
      <c r="F1912" s="93" t="str">
        <f>"LAUNDRY SRVC: State Use, Laundry and Linen Services"</f>
        <v>LAUNDRY SRVC: State Use, Laundry and Linen Services</v>
      </c>
      <c r="G1912" s="74" t="str">
        <f>"EA"</f>
        <v>EA</v>
      </c>
      <c r="H1912" s="7">
        <v>0.01</v>
      </c>
      <c r="I1912" s="95" t="str">
        <f>"91111502"</f>
        <v>91111502</v>
      </c>
      <c r="J1912" s="10" t="s">
        <v>126</v>
      </c>
    </row>
    <row r="1913" spans="1:10">
      <c r="A1913" s="84"/>
      <c r="B1913" s="2" t="s">
        <v>54</v>
      </c>
      <c r="C1913" s="85"/>
      <c r="D1913" s="85"/>
      <c r="E1913" s="85" t="s">
        <v>610</v>
      </c>
      <c r="F1913" s="49" t="s">
        <v>261</v>
      </c>
      <c r="G1913" s="86"/>
      <c r="H1913" s="87"/>
      <c r="I1913" s="68">
        <v>73151500</v>
      </c>
      <c r="J1913" s="99" t="s">
        <v>261</v>
      </c>
    </row>
    <row r="1914" spans="1:10">
      <c r="A1914" s="84"/>
      <c r="B1914" s="2" t="s">
        <v>54</v>
      </c>
      <c r="C1914" s="85"/>
      <c r="D1914" s="85"/>
      <c r="E1914" s="85" t="s">
        <v>610</v>
      </c>
      <c r="F1914" s="49" t="s">
        <v>246</v>
      </c>
      <c r="G1914" s="86"/>
      <c r="H1914" s="87"/>
      <c r="I1914" s="68">
        <v>73151600</v>
      </c>
      <c r="J1914" s="99" t="s">
        <v>246</v>
      </c>
    </row>
    <row r="1915" spans="1:10" ht="25.5">
      <c r="A1915" s="84"/>
      <c r="B1915" s="2" t="s">
        <v>54</v>
      </c>
      <c r="C1915" s="85"/>
      <c r="D1915" s="85"/>
      <c r="E1915" s="85" t="s">
        <v>610</v>
      </c>
      <c r="F1915" s="49" t="s">
        <v>237</v>
      </c>
      <c r="G1915" s="86"/>
      <c r="H1915" s="87"/>
      <c r="I1915" s="68">
        <v>82121701</v>
      </c>
      <c r="J1915" s="98" t="s">
        <v>659</v>
      </c>
    </row>
    <row r="1916" spans="1:10">
      <c r="A1916" s="9" t="s">
        <v>25</v>
      </c>
      <c r="B1916" s="2" t="s">
        <v>55</v>
      </c>
      <c r="C1916" s="2">
        <v>3518</v>
      </c>
      <c r="D1916" s="2">
        <v>1</v>
      </c>
      <c r="E1916" s="2" t="str">
        <f>"1000009750"</f>
        <v>1000009750</v>
      </c>
      <c r="F1916" s="4" t="s">
        <v>591</v>
      </c>
      <c r="G1916" s="74" t="str">
        <f>"SF"</f>
        <v>SF</v>
      </c>
      <c r="H1916" s="7">
        <v>0.01</v>
      </c>
      <c r="I1916" s="2" t="str">
        <f>"76111501"</f>
        <v>76111501</v>
      </c>
      <c r="J1916" s="10" t="s">
        <v>67</v>
      </c>
    </row>
    <row r="1917" spans="1:10">
      <c r="A1917" s="84"/>
      <c r="B1917" s="2" t="s">
        <v>55</v>
      </c>
      <c r="C1917" s="85"/>
      <c r="D1917" s="85"/>
      <c r="E1917" s="85" t="s">
        <v>610</v>
      </c>
      <c r="F1917" s="49" t="s">
        <v>261</v>
      </c>
      <c r="G1917" s="86"/>
      <c r="H1917" s="87"/>
      <c r="I1917" s="68">
        <v>73151500</v>
      </c>
      <c r="J1917" s="99" t="s">
        <v>261</v>
      </c>
    </row>
    <row r="1918" spans="1:10">
      <c r="A1918" s="84"/>
      <c r="B1918" s="2" t="s">
        <v>55</v>
      </c>
      <c r="C1918" s="85"/>
      <c r="D1918" s="85"/>
      <c r="E1918" s="85" t="s">
        <v>610</v>
      </c>
      <c r="F1918" s="49" t="s">
        <v>246</v>
      </c>
      <c r="G1918" s="86"/>
      <c r="H1918" s="87"/>
      <c r="I1918" s="68">
        <v>73151600</v>
      </c>
      <c r="J1918" s="99" t="s">
        <v>246</v>
      </c>
    </row>
    <row r="1919" spans="1:10">
      <c r="A1919" s="84"/>
      <c r="B1919" s="2" t="s">
        <v>55</v>
      </c>
      <c r="C1919" s="85"/>
      <c r="D1919" s="85"/>
      <c r="E1919" s="85" t="s">
        <v>610</v>
      </c>
      <c r="F1919" s="94" t="s">
        <v>250</v>
      </c>
      <c r="G1919" s="86"/>
      <c r="H1919" s="87"/>
      <c r="I1919" s="96">
        <v>76122300</v>
      </c>
      <c r="J1919" s="98" t="s">
        <v>652</v>
      </c>
    </row>
    <row r="1920" spans="1:10" ht="25.5">
      <c r="A1920" s="84"/>
      <c r="B1920" s="2" t="s">
        <v>55</v>
      </c>
      <c r="C1920" s="85"/>
      <c r="D1920" s="85"/>
      <c r="E1920" s="85" t="s">
        <v>610</v>
      </c>
      <c r="F1920" s="94" t="s">
        <v>247</v>
      </c>
      <c r="G1920" s="86"/>
      <c r="H1920" s="87"/>
      <c r="I1920" s="96">
        <v>80161508</v>
      </c>
      <c r="J1920" s="98" t="s">
        <v>655</v>
      </c>
    </row>
    <row r="1921" spans="1:10">
      <c r="A1921" s="9" t="s">
        <v>25</v>
      </c>
      <c r="B1921" s="2" t="s">
        <v>15</v>
      </c>
      <c r="C1921" s="2">
        <v>3519</v>
      </c>
      <c r="D1921" s="2">
        <v>1</v>
      </c>
      <c r="E1921" s="2" t="str">
        <f>"1000009750"</f>
        <v>1000009750</v>
      </c>
      <c r="F1921" s="4" t="s">
        <v>591</v>
      </c>
      <c r="G1921" s="74" t="str">
        <f>"SF"</f>
        <v>SF</v>
      </c>
      <c r="H1921" s="7">
        <v>0.01</v>
      </c>
      <c r="I1921" s="2" t="str">
        <f>"76111501"</f>
        <v>76111501</v>
      </c>
      <c r="J1921" s="10" t="s">
        <v>67</v>
      </c>
    </row>
    <row r="1922" spans="1:10" ht="25.5">
      <c r="A1922" s="84"/>
      <c r="B1922" s="2" t="s">
        <v>15</v>
      </c>
      <c r="C1922" s="85"/>
      <c r="D1922" s="85"/>
      <c r="E1922" s="85" t="s">
        <v>610</v>
      </c>
      <c r="F1922" s="94" t="s">
        <v>284</v>
      </c>
      <c r="G1922" s="86"/>
      <c r="H1922" s="87"/>
      <c r="I1922" s="96">
        <v>72102905</v>
      </c>
      <c r="J1922" s="98" t="s">
        <v>645</v>
      </c>
    </row>
    <row r="1923" spans="1:10" ht="25.5">
      <c r="A1923" s="84"/>
      <c r="B1923" s="2" t="s">
        <v>15</v>
      </c>
      <c r="C1923" s="85"/>
      <c r="D1923" s="85"/>
      <c r="E1923" s="85" t="s">
        <v>610</v>
      </c>
      <c r="F1923" s="94" t="s">
        <v>285</v>
      </c>
      <c r="G1923" s="86"/>
      <c r="H1923" s="87"/>
      <c r="I1923" s="96">
        <v>72102905</v>
      </c>
      <c r="J1923" s="98" t="s">
        <v>645</v>
      </c>
    </row>
    <row r="1924" spans="1:10" ht="25.5">
      <c r="A1924" s="9" t="s">
        <v>25</v>
      </c>
      <c r="B1924" s="2" t="s">
        <v>19</v>
      </c>
      <c r="C1924" s="2">
        <v>3567</v>
      </c>
      <c r="D1924" s="2">
        <v>1</v>
      </c>
      <c r="E1924" s="2" t="str">
        <f>"1000029713"</f>
        <v>1000029713</v>
      </c>
      <c r="F1924" s="93" t="str">
        <f>"LAUNDRY SRVC: State Use, Laundry and Linen Services"</f>
        <v>LAUNDRY SRVC: State Use, Laundry and Linen Services</v>
      </c>
      <c r="G1924" s="74" t="str">
        <f>"EA"</f>
        <v>EA</v>
      </c>
      <c r="H1924" s="7">
        <v>0.01</v>
      </c>
      <c r="I1924" s="95" t="str">
        <f>"91111502"</f>
        <v>91111502</v>
      </c>
      <c r="J1924" s="10" t="s">
        <v>126</v>
      </c>
    </row>
    <row r="1925" spans="1:10" ht="25.5">
      <c r="A1925" s="9" t="s">
        <v>39</v>
      </c>
      <c r="B1925" s="2" t="s">
        <v>19</v>
      </c>
      <c r="C1925" s="2">
        <v>2214</v>
      </c>
      <c r="D1925" s="2">
        <v>1</v>
      </c>
      <c r="E1925" s="2" t="str">
        <f>"1000009566"</f>
        <v>1000009566</v>
      </c>
      <c r="F1925" s="93" t="str">
        <f>"SERVICES: Litter Removal"</f>
        <v>SERVICES: Litter Removal</v>
      </c>
      <c r="G1925" s="74" t="str">
        <f>"AC"</f>
        <v>AC</v>
      </c>
      <c r="H1925" s="7">
        <v>9.92</v>
      </c>
      <c r="I1925" s="95" t="str">
        <f>"72141003"</f>
        <v>72141003</v>
      </c>
      <c r="J1925" s="10" t="s">
        <v>127</v>
      </c>
    </row>
    <row r="1926" spans="1:10" ht="25.5">
      <c r="A1926" s="9" t="s">
        <v>25</v>
      </c>
      <c r="B1926" s="2" t="s">
        <v>16</v>
      </c>
      <c r="C1926" s="2">
        <v>3520</v>
      </c>
      <c r="D1926" s="2">
        <v>1</v>
      </c>
      <c r="E1926" s="2" t="str">
        <f>"1000009750"</f>
        <v>1000009750</v>
      </c>
      <c r="F1926" s="93" t="s">
        <v>591</v>
      </c>
      <c r="G1926" s="74" t="str">
        <f>"SF"</f>
        <v>SF</v>
      </c>
      <c r="H1926" s="7">
        <v>0.01</v>
      </c>
      <c r="I1926" s="95" t="str">
        <f>"76111501"</f>
        <v>76111501</v>
      </c>
      <c r="J1926" s="10" t="s">
        <v>67</v>
      </c>
    </row>
    <row r="1927" spans="1:10" ht="25.5">
      <c r="A1927" s="9" t="s">
        <v>25</v>
      </c>
      <c r="B1927" s="2" t="s">
        <v>16</v>
      </c>
      <c r="C1927" s="2">
        <v>3520</v>
      </c>
      <c r="D1927" s="2">
        <v>2</v>
      </c>
      <c r="E1927" s="2" t="str">
        <f>"1000029713"</f>
        <v>1000029713</v>
      </c>
      <c r="F1927" s="93" t="str">
        <f>"LAUNDRY SRVC: State Use, Laundry and Linen Services"</f>
        <v>LAUNDRY SRVC: State Use, Laundry and Linen Services</v>
      </c>
      <c r="G1927" s="74" t="str">
        <f>"EA"</f>
        <v>EA</v>
      </c>
      <c r="H1927" s="7">
        <v>0.01</v>
      </c>
      <c r="I1927" s="95" t="str">
        <f>"91111502"</f>
        <v>91111502</v>
      </c>
      <c r="J1927" s="10" t="s">
        <v>126</v>
      </c>
    </row>
    <row r="1928" spans="1:10" ht="25.5">
      <c r="A1928" s="9" t="s">
        <v>39</v>
      </c>
      <c r="B1928" s="2" t="s">
        <v>16</v>
      </c>
      <c r="C1928" s="2">
        <v>2502</v>
      </c>
      <c r="D1928" s="2">
        <v>2</v>
      </c>
      <c r="E1928" s="2" t="str">
        <f>"1000009566"</f>
        <v>1000009566</v>
      </c>
      <c r="F1928" s="93" t="str">
        <f>"SERVICES: Litter Removal"</f>
        <v>SERVICES: Litter Removal</v>
      </c>
      <c r="G1928" s="74" t="str">
        <f>"AC"</f>
        <v>AC</v>
      </c>
      <c r="H1928" s="7">
        <v>8.1999999999999993</v>
      </c>
      <c r="I1928" s="95" t="str">
        <f>"72141003"</f>
        <v>72141003</v>
      </c>
      <c r="J1928" s="10" t="s">
        <v>127</v>
      </c>
    </row>
    <row r="1929" spans="1:10" ht="25.5">
      <c r="A1929" s="84"/>
      <c r="B1929" s="2" t="s">
        <v>16</v>
      </c>
      <c r="C1929" s="85"/>
      <c r="D1929" s="85"/>
      <c r="E1929" s="85" t="s">
        <v>610</v>
      </c>
      <c r="F1929" s="49" t="s">
        <v>284</v>
      </c>
      <c r="G1929" s="86"/>
      <c r="H1929" s="87"/>
      <c r="I1929" s="68">
        <v>72102905</v>
      </c>
      <c r="J1929" s="98" t="s">
        <v>645</v>
      </c>
    </row>
    <row r="1930" spans="1:10" ht="25.5">
      <c r="A1930" s="84"/>
      <c r="B1930" s="2" t="s">
        <v>16</v>
      </c>
      <c r="C1930" s="85"/>
      <c r="D1930" s="85"/>
      <c r="E1930" s="85" t="s">
        <v>610</v>
      </c>
      <c r="F1930" s="49" t="s">
        <v>285</v>
      </c>
      <c r="G1930" s="86"/>
      <c r="H1930" s="87"/>
      <c r="I1930" s="68">
        <v>72102905</v>
      </c>
      <c r="J1930" s="98" t="s">
        <v>645</v>
      </c>
    </row>
    <row r="1931" spans="1:10" ht="25.5">
      <c r="A1931" s="84"/>
      <c r="B1931" s="2" t="s">
        <v>16</v>
      </c>
      <c r="C1931" s="85"/>
      <c r="D1931" s="85"/>
      <c r="E1931" s="85" t="s">
        <v>610</v>
      </c>
      <c r="F1931" s="49" t="s">
        <v>261</v>
      </c>
      <c r="G1931" s="86"/>
      <c r="H1931" s="87"/>
      <c r="I1931" s="68">
        <v>73151500</v>
      </c>
      <c r="J1931" s="99" t="s">
        <v>261</v>
      </c>
    </row>
    <row r="1932" spans="1:10" ht="25.5">
      <c r="A1932" s="84"/>
      <c r="B1932" s="2" t="s">
        <v>16</v>
      </c>
      <c r="C1932" s="85"/>
      <c r="D1932" s="85"/>
      <c r="E1932" s="85" t="s">
        <v>610</v>
      </c>
      <c r="F1932" s="49" t="s">
        <v>246</v>
      </c>
      <c r="G1932" s="86"/>
      <c r="H1932" s="87"/>
      <c r="I1932" s="68">
        <v>73151600</v>
      </c>
      <c r="J1932" s="99" t="s">
        <v>246</v>
      </c>
    </row>
    <row r="1933" spans="1:10" ht="25.5">
      <c r="A1933" s="84"/>
      <c r="B1933" s="2" t="s">
        <v>16</v>
      </c>
      <c r="C1933" s="85"/>
      <c r="D1933" s="85"/>
      <c r="E1933" s="85" t="s">
        <v>610</v>
      </c>
      <c r="F1933" s="94" t="s">
        <v>279</v>
      </c>
      <c r="G1933" s="86"/>
      <c r="H1933" s="87"/>
      <c r="I1933" s="96">
        <v>76111800</v>
      </c>
      <c r="J1933" s="100" t="s">
        <v>649</v>
      </c>
    </row>
    <row r="1934" spans="1:10" ht="25.5">
      <c r="A1934" s="84"/>
      <c r="B1934" s="2" t="s">
        <v>16</v>
      </c>
      <c r="C1934" s="85"/>
      <c r="D1934" s="85"/>
      <c r="E1934" s="85" t="s">
        <v>610</v>
      </c>
      <c r="F1934" s="94" t="s">
        <v>305</v>
      </c>
      <c r="G1934" s="86"/>
      <c r="H1934" s="87"/>
      <c r="I1934" s="96">
        <v>76111800</v>
      </c>
      <c r="J1934" s="100" t="s">
        <v>649</v>
      </c>
    </row>
    <row r="1935" spans="1:10" ht="25.5">
      <c r="A1935" s="84"/>
      <c r="B1935" s="2" t="s">
        <v>16</v>
      </c>
      <c r="C1935" s="85"/>
      <c r="D1935" s="85"/>
      <c r="E1935" s="85" t="s">
        <v>610</v>
      </c>
      <c r="F1935" s="94" t="s">
        <v>262</v>
      </c>
      <c r="G1935" s="86"/>
      <c r="H1935" s="87"/>
      <c r="I1935" s="96">
        <v>76121505</v>
      </c>
      <c r="J1935" s="98" t="s">
        <v>650</v>
      </c>
    </row>
    <row r="1936" spans="1:10" ht="25.5">
      <c r="A1936" s="84"/>
      <c r="B1936" s="2" t="s">
        <v>16</v>
      </c>
      <c r="C1936" s="85"/>
      <c r="D1936" s="85"/>
      <c r="E1936" s="85" t="s">
        <v>610</v>
      </c>
      <c r="F1936" s="94" t="s">
        <v>302</v>
      </c>
      <c r="G1936" s="86"/>
      <c r="H1936" s="87"/>
      <c r="I1936" s="96">
        <v>76121600</v>
      </c>
      <c r="J1936" s="98" t="s">
        <v>651</v>
      </c>
    </row>
    <row r="1937" spans="1:10" ht="25.5">
      <c r="A1937" s="84"/>
      <c r="B1937" s="2" t="s">
        <v>16</v>
      </c>
      <c r="C1937" s="85"/>
      <c r="D1937" s="85"/>
      <c r="E1937" s="85" t="s">
        <v>610</v>
      </c>
      <c r="F1937" s="94" t="s">
        <v>247</v>
      </c>
      <c r="G1937" s="86"/>
      <c r="H1937" s="87"/>
      <c r="I1937" s="96">
        <v>80161508</v>
      </c>
      <c r="J1937" s="98" t="s">
        <v>655</v>
      </c>
    </row>
    <row r="1938" spans="1:10" ht="25.5">
      <c r="A1938" s="9" t="s">
        <v>39</v>
      </c>
      <c r="B1938" s="2" t="s">
        <v>62</v>
      </c>
      <c r="C1938" s="2">
        <v>2213</v>
      </c>
      <c r="D1938" s="2">
        <v>1</v>
      </c>
      <c r="E1938" s="2" t="str">
        <f>"1000009566"</f>
        <v>1000009566</v>
      </c>
      <c r="F1938" s="4" t="str">
        <f>"SERVICES: Litter Removal"</f>
        <v>SERVICES: Litter Removal</v>
      </c>
      <c r="G1938" s="74" t="str">
        <f>"AC"</f>
        <v>AC</v>
      </c>
      <c r="H1938" s="7">
        <v>9.92</v>
      </c>
      <c r="I1938" s="2" t="str">
        <f>"72141003"</f>
        <v>72141003</v>
      </c>
      <c r="J1938" s="10" t="s">
        <v>127</v>
      </c>
    </row>
    <row r="1939" spans="1:10" ht="63.75">
      <c r="A1939" s="9" t="s">
        <v>25</v>
      </c>
      <c r="B1939" s="2" t="s">
        <v>612</v>
      </c>
      <c r="C1939" s="2">
        <v>3522</v>
      </c>
      <c r="D1939" s="2">
        <v>2</v>
      </c>
      <c r="E1939" s="2" t="str">
        <f>"1000001104"</f>
        <v>1000001104</v>
      </c>
      <c r="F1939" s="4" t="str">
        <f>"SURVEY FLAG ROLL: Glow, flagging, surveyor. 1 3/16, Glow roll flagging tape, 150' x 1-3/16 rolls. -10 degrees F temp. resistance, 4.5 mil thickness. Colors: glow blue, glow yellow, glow red, glow orange"</f>
        <v>SURVEY FLAG ROLL: Glow, flagging, surveyor. 1 3/16, Glow roll flagging tape, 150' x 1-3/16 rolls. -10 degrees F temp. resistance, 4.5 mil thickness. Colors: glow blue, glow yellow, glow red, glow orange</v>
      </c>
      <c r="G1939" s="74" t="str">
        <f>"RL"</f>
        <v>RL</v>
      </c>
      <c r="H1939" s="7">
        <v>1</v>
      </c>
      <c r="I1939" s="2" t="str">
        <f>"31201525"</f>
        <v>31201525</v>
      </c>
      <c r="J1939" s="10" t="s">
        <v>68</v>
      </c>
    </row>
    <row r="1940" spans="1:10" ht="63.75">
      <c r="A1940" s="9" t="s">
        <v>25</v>
      </c>
      <c r="B1940" s="2" t="s">
        <v>612</v>
      </c>
      <c r="C1940" s="2">
        <v>3522</v>
      </c>
      <c r="D1940" s="2">
        <v>3</v>
      </c>
      <c r="E1940" s="2" t="str">
        <f>"1000001107"</f>
        <v>1000001107</v>
      </c>
      <c r="F1940" s="4" t="str">
        <f>"SURVEY FLAG ROLL: Standard, flagging, surveyor. 1 3/16. Standard roll flagging, 300' x 1-3/16 rolls. -10 degrees F temp. resistance, 2.5 mil thickness.Colors: blue, yellow, red, orange"</f>
        <v>SURVEY FLAG ROLL: Standard, flagging, surveyor. 1 3/16. Standard roll flagging, 300' x 1-3/16 rolls. -10 degrees F temp. resistance, 2.5 mil thickness.Colors: blue, yellow, red, orange</v>
      </c>
      <c r="G1940" s="74" t="str">
        <f>"RL"</f>
        <v>RL</v>
      </c>
      <c r="H1940" s="7">
        <v>1</v>
      </c>
      <c r="I1940" s="2" t="str">
        <f>"31201525"</f>
        <v>31201525</v>
      </c>
      <c r="J1940" s="10" t="s">
        <v>68</v>
      </c>
    </row>
    <row r="1941" spans="1:10" ht="51">
      <c r="A1941" s="9" t="s">
        <v>25</v>
      </c>
      <c r="B1941" s="2" t="s">
        <v>612</v>
      </c>
      <c r="C1941" s="2">
        <v>3522</v>
      </c>
      <c r="D1941" s="2">
        <v>4</v>
      </c>
      <c r="E1941" s="2" t="str">
        <f>"1000006544"</f>
        <v>1000006544</v>
      </c>
      <c r="F1941" s="4" t="str">
        <f>"SURVEY FLAG:Wire-24 lg 2x3 flag-red/yellow/blue~Stakes, survey flags, wire. 24 length, 2 x 3 flag size. Colors: red, yellow, blue"</f>
        <v>SURVEY FLAG:Wire-24 lg 2x3 flag-red/yellow/blue~Stakes, survey flags, wire. 24 length, 2 x 3 flag size. Colors: red, yellow, blue</v>
      </c>
      <c r="G1941" s="74" t="str">
        <f>"TH"</f>
        <v>TH</v>
      </c>
      <c r="H1941" s="7">
        <v>71.38</v>
      </c>
      <c r="I1941" s="2" t="str">
        <f>"41114205"</f>
        <v>41114205</v>
      </c>
      <c r="J1941" s="10" t="s">
        <v>69</v>
      </c>
    </row>
    <row r="1942" spans="1:10" ht="51">
      <c r="A1942" s="9" t="s">
        <v>25</v>
      </c>
      <c r="B1942" s="2" t="s">
        <v>612</v>
      </c>
      <c r="C1942" s="2">
        <v>3522</v>
      </c>
      <c r="D1942" s="2">
        <v>5</v>
      </c>
      <c r="E1942" s="2" t="str">
        <f>"1000006545"</f>
        <v>1000006545</v>
      </c>
      <c r="F1942" s="4" t="str">
        <f>"SURVEY FLAG:Wire-36 lg, 4x5 flag-red/yellow/blue/orange~Stakes, survey flags, wire. 36 length, 4 x 5 flag size. Colors: red, yellow, blue, orange"</f>
        <v>SURVEY FLAG:Wire-36 lg, 4x5 flag-red/yellow/blue/orange~Stakes, survey flags, wire. 36 length, 4 x 5 flag size. Colors: red, yellow, blue, orange</v>
      </c>
      <c r="G1942" s="74" t="str">
        <f>"TH"</f>
        <v>TH</v>
      </c>
      <c r="H1942" s="7">
        <v>80.05</v>
      </c>
      <c r="I1942" s="2" t="str">
        <f>"41114205"</f>
        <v>41114205</v>
      </c>
      <c r="J1942" s="10" t="s">
        <v>69</v>
      </c>
    </row>
    <row r="1943" spans="1:10" ht="51">
      <c r="A1943" s="9" t="s">
        <v>25</v>
      </c>
      <c r="B1943" s="2" t="s">
        <v>612</v>
      </c>
      <c r="C1943" s="2">
        <v>3522</v>
      </c>
      <c r="D1943" s="2">
        <v>6</v>
      </c>
      <c r="E1943" s="2" t="str">
        <f>"1000006630"</f>
        <v>1000006630</v>
      </c>
      <c r="F1943" s="4" t="str">
        <f>"TOILET SEAT CVRS:1/2 Fld, 5000/CA. Paper toilet seat covers, 1/2 fold, white, fits any toilet seat. 250 seat covers per box, 20 boxes per case (5000 total count per case)"</f>
        <v>TOILET SEAT CVRS:1/2 Fld, 5000/CA. Paper toilet seat covers, 1/2 fold, white, fits any toilet seat. 250 seat covers per box, 20 boxes per case (5000 total count per case)</v>
      </c>
      <c r="G1943" s="74" t="str">
        <f>"CA"</f>
        <v>CA</v>
      </c>
      <c r="H1943" s="7">
        <v>49.5</v>
      </c>
      <c r="I1943" s="2" t="str">
        <f>"14111702"</f>
        <v>14111702</v>
      </c>
      <c r="J1943" s="10" t="s">
        <v>183</v>
      </c>
    </row>
    <row r="1944" spans="1:10">
      <c r="A1944" s="9" t="s">
        <v>25</v>
      </c>
      <c r="B1944" s="2" t="s">
        <v>612</v>
      </c>
      <c r="C1944" s="2">
        <v>3522</v>
      </c>
      <c r="D1944" s="2">
        <v>1</v>
      </c>
      <c r="E1944" s="2" t="str">
        <f>"1000009750"</f>
        <v>1000009750</v>
      </c>
      <c r="F1944" s="4" t="s">
        <v>591</v>
      </c>
      <c r="G1944" s="74" t="str">
        <f>"SF"</f>
        <v>SF</v>
      </c>
      <c r="H1944" s="7">
        <v>0.01</v>
      </c>
      <c r="I1944" s="2" t="str">
        <f>"76111501"</f>
        <v>76111501</v>
      </c>
      <c r="J1944" s="10" t="s">
        <v>67</v>
      </c>
    </row>
    <row r="1945" spans="1:10" ht="63.75">
      <c r="A1945" s="9" t="s">
        <v>40</v>
      </c>
      <c r="B1945" s="2" t="s">
        <v>612</v>
      </c>
      <c r="C1945" s="2">
        <v>3542</v>
      </c>
      <c r="D1945" s="2">
        <v>6</v>
      </c>
      <c r="E1945" s="2" t="str">
        <f>"1000009875"</f>
        <v>1000009875</v>
      </c>
      <c r="F1945" s="4" t="str">
        <f>"TOOTHBRUSH: Collis Curve toothbrush, curved outer bristles to form a 45 degree angle to the tooth, short, stiff center bristles. Med 8/16 made from Tynes Nylon."</f>
        <v>TOOTHBRUSH: Collis Curve toothbrush, curved outer bristles to form a 45 degree angle to the tooth, short, stiff center bristles. Med 8/16 made from Tynes Nylon.</v>
      </c>
      <c r="G1945" s="74" t="str">
        <f>"EA"</f>
        <v>EA</v>
      </c>
      <c r="H1945" s="7">
        <v>3.56</v>
      </c>
      <c r="I1945" s="2" t="str">
        <f>"53131503"</f>
        <v>53131503</v>
      </c>
      <c r="J1945" s="10" t="s">
        <v>174</v>
      </c>
    </row>
    <row r="1946" spans="1:10" ht="51">
      <c r="A1946" s="9" t="s">
        <v>40</v>
      </c>
      <c r="B1946" s="2" t="s">
        <v>612</v>
      </c>
      <c r="C1946" s="2">
        <v>3542</v>
      </c>
      <c r="D1946" s="2">
        <v>3</v>
      </c>
      <c r="E1946" s="2" t="str">
        <f>"1000024955"</f>
        <v>1000024955</v>
      </c>
      <c r="F1946" s="4" t="str">
        <f>"WIPES: 384 total count. Disposable washcloth, single use pack, 8 large washcloths per pkg. 48 pkgs/case, 384 total count washcloths."</f>
        <v>WIPES: 384 total count. Disposable washcloth, single use pack, 8 large washcloths per pkg. 48 pkgs/case, 384 total count washcloths.</v>
      </c>
      <c r="G1946" s="74" t="str">
        <f t="shared" ref="G1946:G1953" si="122">"CA"</f>
        <v>CA</v>
      </c>
      <c r="H1946" s="7">
        <v>220</v>
      </c>
      <c r="I1946" s="2" t="str">
        <f>"53131624"</f>
        <v>53131624</v>
      </c>
      <c r="J1946" s="10" t="s">
        <v>130</v>
      </c>
    </row>
    <row r="1947" spans="1:10" ht="38.25">
      <c r="A1947" s="9" t="s">
        <v>40</v>
      </c>
      <c r="B1947" s="2" t="s">
        <v>612</v>
      </c>
      <c r="C1947" s="2">
        <v>3542</v>
      </c>
      <c r="D1947" s="2">
        <v>4</v>
      </c>
      <c r="E1947" s="2" t="str">
        <f>"1000024956"</f>
        <v>1000024956</v>
      </c>
      <c r="F1947" s="4" t="str">
        <f>"WIPES: 432 total count. Disposable washcloth, multi use, container of 24 large washcloths. 18 containers/case"</f>
        <v>WIPES: 432 total count. Disposable washcloth, multi use, container of 24 large washcloths. 18 containers/case</v>
      </c>
      <c r="G1947" s="74" t="str">
        <f t="shared" si="122"/>
        <v>CA</v>
      </c>
      <c r="H1947" s="7">
        <v>248.4</v>
      </c>
      <c r="I1947" s="2" t="str">
        <f>"53131624"</f>
        <v>53131624</v>
      </c>
      <c r="J1947" s="10" t="s">
        <v>130</v>
      </c>
    </row>
    <row r="1948" spans="1:10" ht="51">
      <c r="A1948" s="9" t="s">
        <v>40</v>
      </c>
      <c r="B1948" s="2" t="s">
        <v>612</v>
      </c>
      <c r="C1948" s="2">
        <v>3542</v>
      </c>
      <c r="D1948" s="2">
        <v>5</v>
      </c>
      <c r="E1948" s="2" t="str">
        <f>"1000024957"</f>
        <v>1000024957</v>
      </c>
      <c r="F1948" s="4" t="str">
        <f>"MOUTH MOISTURIZER: Hydrates lips and oral tissue. Contains Vitamin E &amp; Coconut Oil, water-based. 0.5 oz tube, 144 tubes/case."</f>
        <v>MOUTH MOISTURIZER: Hydrates lips and oral tissue. Contains Vitamin E &amp; Coconut Oil, water-based. 0.5 oz tube, 144 tubes/case.</v>
      </c>
      <c r="G1948" s="74" t="str">
        <f t="shared" si="122"/>
        <v>CA</v>
      </c>
      <c r="H1948" s="7">
        <v>353</v>
      </c>
      <c r="I1948" s="2" t="str">
        <f>"53131630"</f>
        <v>53131630</v>
      </c>
      <c r="J1948" s="10" t="s">
        <v>184</v>
      </c>
    </row>
    <row r="1949" spans="1:10" ht="89.25">
      <c r="A1949" s="9" t="s">
        <v>40</v>
      </c>
      <c r="B1949" s="2" t="s">
        <v>612</v>
      </c>
      <c r="C1949" s="2">
        <v>3542</v>
      </c>
      <c r="D1949" s="2">
        <v>7</v>
      </c>
      <c r="E1949" s="2" t="str">
        <f>"1000024958"</f>
        <v>1000024958</v>
      </c>
      <c r="F1949" s="4" t="str">
        <f>"BATH SYSTEM:Disp Microwavable 8 cloth/pk 24pks/cs-no rinse req. Disposable Patient Bathing System. Microwavable package containing 8 thick, soft, pre-moistened washcloths with a blend of gentle cleansers, moisturizers &amp; aloe. No rinse required."</f>
        <v>BATH SYSTEM:Disp Microwavable 8 cloth/pk 24pks/cs-no rinse req. Disposable Patient Bathing System. Microwavable package containing 8 thick, soft, pre-moistened washcloths with a blend of gentle cleansers, moisturizers &amp; aloe. No rinse required.</v>
      </c>
      <c r="G1949" s="74" t="str">
        <f t="shared" si="122"/>
        <v>CA</v>
      </c>
      <c r="H1949" s="7">
        <v>33.15</v>
      </c>
      <c r="I1949" s="2" t="str">
        <f>"53131624"</f>
        <v>53131624</v>
      </c>
      <c r="J1949" s="10" t="s">
        <v>130</v>
      </c>
    </row>
    <row r="1950" spans="1:10" ht="25.5">
      <c r="A1950" s="9" t="s">
        <v>40</v>
      </c>
      <c r="B1950" s="2" t="s">
        <v>612</v>
      </c>
      <c r="C1950" s="2">
        <v>3542</v>
      </c>
      <c r="D1950" s="2">
        <v>8</v>
      </c>
      <c r="E1950" s="2" t="str">
        <f>"1000024959"</f>
        <v>1000024959</v>
      </c>
      <c r="F1950" s="4" t="str">
        <f>"SHAMPOO CAP:Hair Care, Rinse free shampoo cap with conditioner. 40/cs"</f>
        <v>SHAMPOO CAP:Hair Care, Rinse free shampoo cap with conditioner. 40/cs</v>
      </c>
      <c r="G1950" s="74" t="str">
        <f t="shared" si="122"/>
        <v>CA</v>
      </c>
      <c r="H1950" s="7">
        <v>153.88</v>
      </c>
      <c r="I1950" s="2" t="str">
        <f>"53131628"</f>
        <v>53131628</v>
      </c>
      <c r="J1950" s="10" t="s">
        <v>170</v>
      </c>
    </row>
    <row r="1951" spans="1:10" ht="51">
      <c r="A1951" s="9" t="s">
        <v>40</v>
      </c>
      <c r="B1951" s="2" t="s">
        <v>612</v>
      </c>
      <c r="C1951" s="2">
        <v>3542</v>
      </c>
      <c r="D1951" s="2">
        <v>1</v>
      </c>
      <c r="E1951" s="2" t="str">
        <f>"1000024960"</f>
        <v>1000024960</v>
      </c>
      <c r="F1951" s="4" t="str">
        <f>"WIPES: 300 total count. Disposable washcloth, single use pack, 3 regular washcloths per pkg. 100 pkgs/case, 300 total count washcloths."</f>
        <v>WIPES: 300 total count. Disposable washcloth, single use pack, 3 regular washcloths per pkg. 100 pkgs/case, 300 total count washcloths.</v>
      </c>
      <c r="G1951" s="74" t="str">
        <f t="shared" si="122"/>
        <v>CA</v>
      </c>
      <c r="H1951" s="7">
        <v>146</v>
      </c>
      <c r="I1951" s="2" t="str">
        <f>"53131624"</f>
        <v>53131624</v>
      </c>
      <c r="J1951" s="10" t="s">
        <v>130</v>
      </c>
    </row>
    <row r="1952" spans="1:10" ht="51">
      <c r="A1952" s="9" t="s">
        <v>40</v>
      </c>
      <c r="B1952" s="2" t="s">
        <v>612</v>
      </c>
      <c r="C1952" s="2">
        <v>3542</v>
      </c>
      <c r="D1952" s="2">
        <v>2</v>
      </c>
      <c r="E1952" s="2" t="str">
        <f>"1000024961"</f>
        <v>1000024961</v>
      </c>
      <c r="F1952" s="4" t="str">
        <f>"WIPES: 270 total count. Disposable washcloth, single use pack, 3 large washcloths per pkg. 90 pkgs/case, 270 total count washcloths."</f>
        <v>WIPES: 270 total count. Disposable washcloth, single use pack, 3 large washcloths per pkg. 90 pkgs/case, 270 total count washcloths.</v>
      </c>
      <c r="G1952" s="74" t="str">
        <f t="shared" si="122"/>
        <v>CA</v>
      </c>
      <c r="H1952" s="7">
        <v>183</v>
      </c>
      <c r="I1952" s="2" t="str">
        <f>"53131624"</f>
        <v>53131624</v>
      </c>
      <c r="J1952" s="10" t="s">
        <v>130</v>
      </c>
    </row>
    <row r="1953" spans="1:10" ht="63.75">
      <c r="A1953" s="9" t="s">
        <v>59</v>
      </c>
      <c r="B1953" s="2" t="s">
        <v>612</v>
      </c>
      <c r="C1953" s="2">
        <v>3153</v>
      </c>
      <c r="D1953" s="2">
        <v>21</v>
      </c>
      <c r="E1953" s="2" t="str">
        <f>"1000027533"</f>
        <v>1000027533</v>
      </c>
      <c r="F1953" s="4" t="str">
        <f>"BATH TISSUE:Coreless2ply 60RL/CA - 60 Roll Case, 2 Ply white coreless toilet paper, Size 4x3.5, 500 shts per roll, 10 rolls per pack, 6 packs per case, approx weight 16 lbs"</f>
        <v>BATH TISSUE:Coreless2ply 60RL/CA - 60 Roll Case, 2 Ply white coreless toilet paper, Size 4x3.5, 500 shts per roll, 10 rolls per pack, 6 packs per case, approx weight 16 lbs</v>
      </c>
      <c r="G1953" s="74" t="str">
        <f t="shared" si="122"/>
        <v>CA</v>
      </c>
      <c r="H1953" s="7">
        <v>34.770000000000003</v>
      </c>
      <c r="I1953" s="2" t="str">
        <f>"14111704"</f>
        <v>14111704</v>
      </c>
      <c r="J1953" s="10" t="s">
        <v>158</v>
      </c>
    </row>
    <row r="1954" spans="1:10" ht="63.75">
      <c r="A1954" s="9" t="s">
        <v>59</v>
      </c>
      <c r="B1954" s="2" t="s">
        <v>612</v>
      </c>
      <c r="C1954" s="2">
        <v>3153</v>
      </c>
      <c r="D1954" s="2">
        <v>77</v>
      </c>
      <c r="E1954" s="2" t="str">
        <f>"1000027534"</f>
        <v>1000027534</v>
      </c>
      <c r="F1954" s="4" t="str">
        <f>"BATH TISSUE: Coreless 2ply PL- 2 Ply white coreless toilet paper, Size 4""x3.5"", 500 shts per roll, 10 rolls per sleeve, 6 sleeves per pack, 32 packs per pallet, total 1920 rolls, approx weight 525 lbs."</f>
        <v>BATH TISSUE: Coreless 2ply PL- 2 Ply white coreless toilet paper, Size 4"x3.5", 500 shts per roll, 10 rolls per sleeve, 6 sleeves per pack, 32 packs per pallet, total 1920 rolls, approx weight 525 lbs.</v>
      </c>
      <c r="G1954" s="74" t="str">
        <f>"PL"</f>
        <v>PL</v>
      </c>
      <c r="H1954" s="7">
        <v>921.6</v>
      </c>
      <c r="I1954" s="2" t="str">
        <f>"14111704"</f>
        <v>14111704</v>
      </c>
      <c r="J1954" s="10" t="s">
        <v>158</v>
      </c>
    </row>
    <row r="1955" spans="1:10" ht="38.25">
      <c r="A1955" s="9" t="s">
        <v>59</v>
      </c>
      <c r="B1955" s="2" t="s">
        <v>612</v>
      </c>
      <c r="C1955" s="2">
        <v>3153</v>
      </c>
      <c r="D1955" s="2">
        <v>75</v>
      </c>
      <c r="E1955" s="2" t="str">
        <f>"1000028039"</f>
        <v>1000028039</v>
      </c>
      <c r="F1955" s="4" t="str">
        <f>"RAGS:Turkish towel, 10 LB Carton, varied colors, long nap, approximately 16x16 size"</f>
        <v>RAGS:Turkish towel, 10 LB Carton, varied colors, long nap, approximately 16x16 size</v>
      </c>
      <c r="G1955" s="74" t="str">
        <f>"CT"</f>
        <v>CT</v>
      </c>
      <c r="H1955" s="7">
        <v>13.25</v>
      </c>
      <c r="I1955" s="2" t="str">
        <f>"47131501"</f>
        <v>47131501</v>
      </c>
      <c r="J1955" s="10" t="s">
        <v>163</v>
      </c>
    </row>
    <row r="1956" spans="1:10" ht="25.5">
      <c r="A1956" s="9" t="s">
        <v>59</v>
      </c>
      <c r="B1956" s="2" t="s">
        <v>612</v>
      </c>
      <c r="C1956" s="2">
        <v>3153</v>
      </c>
      <c r="D1956" s="2">
        <v>76</v>
      </c>
      <c r="E1956" s="2" t="str">
        <f>"1000028040"</f>
        <v>1000028040</v>
      </c>
      <c r="F1956" s="4" t="str">
        <f>"RAGS:White T-shirt, 10 LB Carton, white color, washed, approximately 15x15 size"</f>
        <v>RAGS:White T-shirt, 10 LB Carton, white color, washed, approximately 15x15 size</v>
      </c>
      <c r="G1956" s="74" t="str">
        <f>"CT"</f>
        <v>CT</v>
      </c>
      <c r="H1956" s="7">
        <v>14</v>
      </c>
      <c r="I1956" s="2" t="str">
        <f>"47131501"</f>
        <v>47131501</v>
      </c>
      <c r="J1956" s="10" t="s">
        <v>163</v>
      </c>
    </row>
    <row r="1957" spans="1:10" ht="63.75">
      <c r="A1957" s="9" t="s">
        <v>59</v>
      </c>
      <c r="B1957" s="2" t="s">
        <v>612</v>
      </c>
      <c r="C1957" s="2">
        <v>3153</v>
      </c>
      <c r="D1957" s="2">
        <v>27</v>
      </c>
      <c r="E1957" s="2" t="str">
        <f>"1000028471"</f>
        <v>1000028471</v>
      </c>
      <c r="F1957" s="4" t="str">
        <f>"PAPER TOWEL: Std Mltfld Nat 16PK/CA - Standard, Natural Multi fold paper towel, Size 9.125x9.5, 250 towels/pk, 16 pk/case (4000 count total). Approx Case weight 20.1 lbs. Use in dispenser B and J."</f>
        <v>PAPER TOWEL: Std Mltfld Nat 16PK/CA - Standard, Natural Multi fold paper towel, Size 9.125x9.5, 250 towels/pk, 16 pk/case (4000 count total). Approx Case weight 20.1 lbs. Use in dispenser B and J.</v>
      </c>
      <c r="G1957" s="74" t="str">
        <f t="shared" ref="G1957:G1979" si="123">"CA"</f>
        <v>CA</v>
      </c>
      <c r="H1957" s="7">
        <v>26.22</v>
      </c>
      <c r="I1957" s="2" t="str">
        <f>"14111703"</f>
        <v>14111703</v>
      </c>
      <c r="J1957" s="10" t="s">
        <v>159</v>
      </c>
    </row>
    <row r="1958" spans="1:10" ht="89.25">
      <c r="A1958" s="9" t="s">
        <v>59</v>
      </c>
      <c r="B1958" s="2" t="s">
        <v>612</v>
      </c>
      <c r="C1958" s="2">
        <v>3153</v>
      </c>
      <c r="D1958" s="2">
        <v>28</v>
      </c>
      <c r="E1958" s="2" t="str">
        <f>"1000028472"</f>
        <v>1000028472</v>
      </c>
      <c r="F1958" s="4" t="str">
        <f>"PAPER TOWEL: Econ Mltfld Nat 16PK/CA - Economy, Natural Multi fold paper towel, Size 9.125x9.5, 250 towels/pk, 16 pk/case (4000 count total). Approx Case weight 21.56 lbs. Variance in sheet size &amp; sheet quantity less than 1%. Use in dispenser B and J."</f>
        <v>PAPER TOWEL: Econ Mltfld Nat 16PK/CA - Economy, Natural Multi fold paper towel, Size 9.125x9.5, 250 towels/pk, 16 pk/case (4000 count total). Approx Case weight 21.56 lbs. Variance in sheet size &amp; sheet quantity less than 1%. Use in dispenser B and J.</v>
      </c>
      <c r="G1958" s="74" t="str">
        <f t="shared" si="123"/>
        <v>CA</v>
      </c>
      <c r="H1958" s="7">
        <v>24.58</v>
      </c>
      <c r="I1958" s="2" t="str">
        <f>"14111703"</f>
        <v>14111703</v>
      </c>
      <c r="J1958" s="10" t="s">
        <v>159</v>
      </c>
    </row>
    <row r="1959" spans="1:10" ht="63.75">
      <c r="A1959" s="9" t="s">
        <v>59</v>
      </c>
      <c r="B1959" s="2" t="s">
        <v>612</v>
      </c>
      <c r="C1959" s="2">
        <v>3153</v>
      </c>
      <c r="D1959" s="2">
        <v>74</v>
      </c>
      <c r="E1959" s="2" t="str">
        <f>"1000028473"</f>
        <v>1000028473</v>
      </c>
      <c r="F1959" s="4" t="str">
        <f>"WIPERS: Wh 1ply 100/BX 8BX/CA - White 1 ply DRC medium duty disposable pop up boxed wiper, Size 9.8x16.4, 100 wipers/box, 8 boxes/case. Approx case weight 14.6 lbs"</f>
        <v>WIPERS: Wh 1ply 100/BX 8BX/CA - White 1 ply DRC medium duty disposable pop up boxed wiper, Size 9.8x16.4, 100 wipers/box, 8 boxes/case. Approx case weight 14.6 lbs</v>
      </c>
      <c r="G1959" s="74" t="str">
        <f t="shared" si="123"/>
        <v>CA</v>
      </c>
      <c r="H1959" s="7">
        <v>43.36</v>
      </c>
      <c r="I1959" s="2" t="str">
        <f>"47131502"</f>
        <v>47131502</v>
      </c>
      <c r="J1959" s="10" t="s">
        <v>162</v>
      </c>
    </row>
    <row r="1960" spans="1:10" ht="51">
      <c r="A1960" s="9" t="s">
        <v>59</v>
      </c>
      <c r="B1960" s="2" t="s">
        <v>612</v>
      </c>
      <c r="C1960" s="2">
        <v>3153</v>
      </c>
      <c r="D1960" s="2">
        <v>1</v>
      </c>
      <c r="E1960" s="2" t="str">
        <f>"1000028474"</f>
        <v>1000028474</v>
      </c>
      <c r="F1960" s="4" t="str">
        <f>"FACE TISSUE: Prem 100/BX 30BX/CA - Premium, 2 Ply facial tissue, Flat box, Size 8x8.33, 100 sheets/box, 30 boxes/case. Approx Case weight 12 lbs"</f>
        <v>FACE TISSUE: Prem 100/BX 30BX/CA - Premium, 2 Ply facial tissue, Flat box, Size 8x8.33, 100 sheets/box, 30 boxes/case. Approx Case weight 12 lbs</v>
      </c>
      <c r="G1960" s="74" t="str">
        <f t="shared" si="123"/>
        <v>CA</v>
      </c>
      <c r="H1960" s="7">
        <v>32.159999999999997</v>
      </c>
      <c r="I1960" s="2" t="str">
        <f>"14111701"</f>
        <v>14111701</v>
      </c>
      <c r="J1960" s="10" t="s">
        <v>157</v>
      </c>
    </row>
    <row r="1961" spans="1:10" ht="51">
      <c r="A1961" s="9" t="s">
        <v>59</v>
      </c>
      <c r="B1961" s="2" t="s">
        <v>612</v>
      </c>
      <c r="C1961" s="2">
        <v>3153</v>
      </c>
      <c r="D1961" s="2">
        <v>2</v>
      </c>
      <c r="E1961" s="2" t="str">
        <f>"1000028475"</f>
        <v>1000028475</v>
      </c>
      <c r="F1961" s="4" t="str">
        <f>"FACE TISSUE: Std 100/BX 30BX/CA - Standard, 2 Ply facial tissue, Flat box, Size 7.75x8, 100 sheets/box, 30 boxes/case. Approx Case weight 12 lbs."</f>
        <v>FACE TISSUE: Std 100/BX 30BX/CA - Standard, 2 Ply facial tissue, Flat box, Size 7.75x8, 100 sheets/box, 30 boxes/case. Approx Case weight 12 lbs.</v>
      </c>
      <c r="G1961" s="74" t="str">
        <f t="shared" si="123"/>
        <v>CA</v>
      </c>
      <c r="H1961" s="7">
        <v>27.38</v>
      </c>
      <c r="I1961" s="2" t="str">
        <f>"14111701"</f>
        <v>14111701</v>
      </c>
      <c r="J1961" s="10" t="s">
        <v>157</v>
      </c>
    </row>
    <row r="1962" spans="1:10" ht="63.75">
      <c r="A1962" s="9" t="s">
        <v>59</v>
      </c>
      <c r="B1962" s="2" t="s">
        <v>612</v>
      </c>
      <c r="C1962" s="2">
        <v>3153</v>
      </c>
      <c r="D1962" s="2">
        <v>3</v>
      </c>
      <c r="E1962" s="2" t="str">
        <f>"1000028476"</f>
        <v>1000028476</v>
      </c>
      <c r="F1962" s="4" t="str">
        <f>"FACE TISSUE: Econ 100/BX 30BX/CA - Economy, 2 Ply facial tissue, Flat box, Size 7.68x8.25, 100 sheets/box, 30 boxes/case. Variance in sheet size and quantity is less than 1%. Approx Case weight 6.62 lbs."</f>
        <v>FACE TISSUE: Econ 100/BX 30BX/CA - Economy, 2 Ply facial tissue, Flat box, Size 7.68x8.25, 100 sheets/box, 30 boxes/case. Variance in sheet size and quantity is less than 1%. Approx Case weight 6.62 lbs.</v>
      </c>
      <c r="G1962" s="74" t="str">
        <f t="shared" si="123"/>
        <v>CA</v>
      </c>
      <c r="H1962" s="7">
        <v>20.78</v>
      </c>
      <c r="I1962" s="2" t="str">
        <f>"14111701"</f>
        <v>14111701</v>
      </c>
      <c r="J1962" s="10" t="s">
        <v>157</v>
      </c>
    </row>
    <row r="1963" spans="1:10" ht="76.5">
      <c r="A1963" s="9" t="s">
        <v>59</v>
      </c>
      <c r="B1963" s="2" t="s">
        <v>612</v>
      </c>
      <c r="C1963" s="2">
        <v>3153</v>
      </c>
      <c r="D1963" s="2">
        <v>4</v>
      </c>
      <c r="E1963" s="2" t="str">
        <f>"1000028477"</f>
        <v>1000028477</v>
      </c>
      <c r="F1963" s="4" t="str">
        <f>"FACE TISSUE: Grn 100/BX 30BX/CA - Green, 2 Ply facial tissue, Flat box, Size 7.9x8.2, 100 sheets/box, 30 boxes/case. EcoLogo Certified, 100% recycled, 30% post consumer recycled content. Approx Case weight 11.6 lbs"</f>
        <v>FACE TISSUE: Grn 100/BX 30BX/CA - Green, 2 Ply facial tissue, Flat box, Size 7.9x8.2, 100 sheets/box, 30 boxes/case. EcoLogo Certified, 100% recycled, 30% post consumer recycled content. Approx Case weight 11.6 lbs</v>
      </c>
      <c r="G1963" s="74" t="str">
        <f t="shared" si="123"/>
        <v>CA</v>
      </c>
      <c r="H1963" s="7">
        <v>28.81</v>
      </c>
      <c r="I1963" s="2" t="str">
        <f>"14111701"</f>
        <v>14111701</v>
      </c>
      <c r="J1963" s="10" t="s">
        <v>157</v>
      </c>
    </row>
    <row r="1964" spans="1:10" ht="63.75">
      <c r="A1964" s="9" t="s">
        <v>59</v>
      </c>
      <c r="B1964" s="2" t="s">
        <v>612</v>
      </c>
      <c r="C1964" s="2">
        <v>3153</v>
      </c>
      <c r="D1964" s="2">
        <v>23</v>
      </c>
      <c r="E1964" s="2" t="str">
        <f>"1000028478"</f>
        <v>1000028478</v>
      </c>
      <c r="F1964" s="4" t="str">
        <f>"PAPER TOWEL: Std C Fold 16PK/CA - Standard, C fold 1 ply paper towels, White, Size 10.125x13, 150 towels/pkg, 16 pkgs/case, (2400 count total). Approx Case weight 17.6 lbs. Use in dispenser B and J."</f>
        <v>PAPER TOWEL: Std C Fold 16PK/CA - Standard, C fold 1 ply paper towels, White, Size 10.125x13, 150 towels/pkg, 16 pkgs/case, (2400 count total). Approx Case weight 17.6 lbs. Use in dispenser B and J.</v>
      </c>
      <c r="G1964" s="74" t="str">
        <f t="shared" si="123"/>
        <v>CA</v>
      </c>
      <c r="H1964" s="7">
        <v>31.15</v>
      </c>
      <c r="I1964" s="2" t="str">
        <f t="shared" ref="I1964:I1972" si="124">"14111703"</f>
        <v>14111703</v>
      </c>
      <c r="J1964" s="10" t="s">
        <v>159</v>
      </c>
    </row>
    <row r="1965" spans="1:10" ht="89.25">
      <c r="A1965" s="9" t="s">
        <v>59</v>
      </c>
      <c r="B1965" s="2" t="s">
        <v>612</v>
      </c>
      <c r="C1965" s="2">
        <v>3153</v>
      </c>
      <c r="D1965" s="2">
        <v>24</v>
      </c>
      <c r="E1965" s="2" t="str">
        <f>"1000028479"</f>
        <v>1000028479</v>
      </c>
      <c r="F1965" s="4" t="str">
        <f>"PAPER TOWEL: Econ C Fold 16PK/CA - Economy, C fold 1 ply paper towels, White, Size 10x13, 150 towels/pk, 16 pk/case (2400 count total). Recycled. Approx Case weight 17.9 lbs Variance in sheet size &amp; sheet quantity less than 1%. Use dispenser B &amp; J."</f>
        <v>PAPER TOWEL: Econ C Fold 16PK/CA - Economy, C fold 1 ply paper towels, White, Size 10x13, 150 towels/pk, 16 pk/case (2400 count total). Recycled. Approx Case weight 17.9 lbs Variance in sheet size &amp; sheet quantity less than 1%. Use dispenser B &amp; J.</v>
      </c>
      <c r="G1965" s="74" t="str">
        <f t="shared" si="123"/>
        <v>CA</v>
      </c>
      <c r="H1965" s="7">
        <v>24.09</v>
      </c>
      <c r="I1965" s="2" t="str">
        <f t="shared" si="124"/>
        <v>14111703</v>
      </c>
      <c r="J1965" s="10" t="s">
        <v>159</v>
      </c>
    </row>
    <row r="1966" spans="1:10" ht="89.25">
      <c r="A1966" s="9" t="s">
        <v>59</v>
      </c>
      <c r="B1966" s="2" t="s">
        <v>612</v>
      </c>
      <c r="C1966" s="2">
        <v>3153</v>
      </c>
      <c r="D1966" s="2">
        <v>36</v>
      </c>
      <c r="E1966" s="2" t="str">
        <f>"1000028480"</f>
        <v>1000028480</v>
      </c>
      <c r="F1966" s="4" t="str">
        <f>"PAPER TOWEL: Econ 1fld Nat 12PK/CA - Economy, Natural, Single fold paper towel, Size 10.24x9.25, 334 towels/pk, 12 pk/case (4008 count total). Variance in sheet size &amp; sheet quantity less than 1%. Approx Case weight 20.76 lbs. Use in dispenser D &amp; J."</f>
        <v>PAPER TOWEL: Econ 1fld Nat 12PK/CA - Economy, Natural, Single fold paper towel, Size 10.24x9.25, 334 towels/pk, 12 pk/case (4008 count total). Variance in sheet size &amp; sheet quantity less than 1%. Approx Case weight 20.76 lbs. Use in dispenser D &amp; J.</v>
      </c>
      <c r="G1966" s="74" t="str">
        <f t="shared" si="123"/>
        <v>CA</v>
      </c>
      <c r="H1966" s="7">
        <v>24.83</v>
      </c>
      <c r="I1966" s="2" t="str">
        <f t="shared" si="124"/>
        <v>14111703</v>
      </c>
      <c r="J1966" s="10" t="s">
        <v>159</v>
      </c>
    </row>
    <row r="1967" spans="1:10" ht="89.25">
      <c r="A1967" s="9" t="s">
        <v>59</v>
      </c>
      <c r="B1967" s="2" t="s">
        <v>612</v>
      </c>
      <c r="C1967" s="2">
        <v>3153</v>
      </c>
      <c r="D1967" s="2">
        <v>37</v>
      </c>
      <c r="E1967" s="2" t="str">
        <f>"1000028481"</f>
        <v>1000028481</v>
      </c>
      <c r="F1967" s="4" t="str">
        <f>"PAPER TOWEL: Grn 1fld Nat 16PK/CA - Green, Natural, Single fold paper towel, Size 10.25x9.25, 250 towels/pk, 16 pk/case (4000 count total). 95% recycled, 40% post consumer recycled content. Approx Case weight 25.7. Use in dispenser D and J."</f>
        <v>PAPER TOWEL: Grn 1fld Nat 16PK/CA - Green, Natural, Single fold paper towel, Size 10.25x9.25, 250 towels/pk, 16 pk/case (4000 count total). 95% recycled, 40% post consumer recycled content. Approx Case weight 25.7. Use in dispenser D and J.</v>
      </c>
      <c r="G1967" s="74" t="str">
        <f t="shared" si="123"/>
        <v>CA</v>
      </c>
      <c r="H1967" s="7">
        <v>32.79</v>
      </c>
      <c r="I1967" s="2" t="str">
        <f t="shared" si="124"/>
        <v>14111703</v>
      </c>
      <c r="J1967" s="10" t="s">
        <v>159</v>
      </c>
    </row>
    <row r="1968" spans="1:10" ht="76.5">
      <c r="A1968" s="9" t="s">
        <v>59</v>
      </c>
      <c r="B1968" s="2" t="s">
        <v>612</v>
      </c>
      <c r="C1968" s="2">
        <v>3153</v>
      </c>
      <c r="D1968" s="2">
        <v>49</v>
      </c>
      <c r="E1968" s="2" t="str">
        <f>"1000028482"</f>
        <v>1000028482</v>
      </c>
      <c r="F1968" s="4" t="str">
        <f>"PAPER TOWEL: Grn 1ply Univ Nat 12RL/CA - Green, Natural 1 ply universal roll towel, Size 7.875x350 roll, 12 rolls/case. EcoLogo Certified, 100% recycled, 30% post consumer recycled content. Approx Case weight 21.2 lbs. Use in dispenser A and E."</f>
        <v>PAPER TOWEL: Grn 1ply Univ Nat 12RL/CA - Green, Natural 1 ply universal roll towel, Size 7.875x350 roll, 12 rolls/case. EcoLogo Certified, 100% recycled, 30% post consumer recycled content. Approx Case weight 21.2 lbs. Use in dispenser A and E.</v>
      </c>
      <c r="G1968" s="74" t="str">
        <f t="shared" si="123"/>
        <v>CA</v>
      </c>
      <c r="H1968" s="7">
        <v>26.61</v>
      </c>
      <c r="I1968" s="2" t="str">
        <f t="shared" si="124"/>
        <v>14111703</v>
      </c>
      <c r="J1968" s="10" t="s">
        <v>159</v>
      </c>
    </row>
    <row r="1969" spans="1:10" ht="51">
      <c r="A1969" s="9" t="s">
        <v>59</v>
      </c>
      <c r="B1969" s="2" t="s">
        <v>612</v>
      </c>
      <c r="C1969" s="2">
        <v>3153</v>
      </c>
      <c r="D1969" s="2">
        <v>50</v>
      </c>
      <c r="E1969" s="2" t="str">
        <f>"1000028483"</f>
        <v>1000028483</v>
      </c>
      <c r="F1969" s="4" t="str">
        <f>"PAPER TOWEL: Std Wh 12RL/CA - Standard, White paper towel roll, Size 7.85x350 roll, 12 rolls/case. Approx Case weight 20 lbs. Use in dispenser A and E."</f>
        <v>PAPER TOWEL: Std Wh 12RL/CA - Standard, White paper towel roll, Size 7.85x350 roll, 12 rolls/case. Approx Case weight 20 lbs. Use in dispenser A and E.</v>
      </c>
      <c r="G1969" s="74" t="str">
        <f t="shared" si="123"/>
        <v>CA</v>
      </c>
      <c r="H1969" s="7">
        <v>33.200000000000003</v>
      </c>
      <c r="I1969" s="2" t="str">
        <f t="shared" si="124"/>
        <v>14111703</v>
      </c>
      <c r="J1969" s="10" t="s">
        <v>159</v>
      </c>
    </row>
    <row r="1970" spans="1:10" ht="89.25">
      <c r="A1970" s="9" t="s">
        <v>59</v>
      </c>
      <c r="B1970" s="2" t="s">
        <v>612</v>
      </c>
      <c r="C1970" s="2">
        <v>3153</v>
      </c>
      <c r="D1970" s="2">
        <v>40</v>
      </c>
      <c r="E1970" s="2" t="str">
        <f>"1000028484"</f>
        <v>1000028484</v>
      </c>
      <c r="F1970" s="4" t="str">
        <f>"PAPER TOWEL: Econ 1fld Wh 12PK/CA - Economy, White, Single fold paper towel, Size 9.25x10.25, 334 towels/pk, 12 pk/case (4008 count total). Variance in sheet size &amp; sheet quantity less than 1%. Approx Case weight 20.76 lbs. Use in dispenser D and J."</f>
        <v>PAPER TOWEL: Econ 1fld Wh 12PK/CA - Economy, White, Single fold paper towel, Size 9.25x10.25, 334 towels/pk, 12 pk/case (4008 count total). Variance in sheet size &amp; sheet quantity less than 1%. Approx Case weight 20.76 lbs. Use in dispenser D and J.</v>
      </c>
      <c r="G1970" s="74" t="str">
        <f t="shared" si="123"/>
        <v>CA</v>
      </c>
      <c r="H1970" s="7">
        <v>27.97</v>
      </c>
      <c r="I1970" s="2" t="str">
        <f t="shared" si="124"/>
        <v>14111703</v>
      </c>
      <c r="J1970" s="10" t="s">
        <v>159</v>
      </c>
    </row>
    <row r="1971" spans="1:10" ht="76.5">
      <c r="A1971" s="9" t="s">
        <v>59</v>
      </c>
      <c r="B1971" s="2" t="s">
        <v>612</v>
      </c>
      <c r="C1971" s="2">
        <v>3153</v>
      </c>
      <c r="D1971" s="2">
        <v>41</v>
      </c>
      <c r="E1971" s="2" t="str">
        <f>"1000028485"</f>
        <v>1000028485</v>
      </c>
      <c r="F1971" s="4" t="str">
        <f>"PAPER TOWEL: Grn 1fld Wh 16PK/CA - Green, White, Single fold paper towel, Size 9.3x10.5, 250 towels/pk, 16 pk/case (4000 count total). EcoLogo Certified, 40% post consumer recycled content. Approx Case weight 17.60 lbs. Use in dispenser D and J."</f>
        <v>PAPER TOWEL: Grn 1fld Wh 16PK/CA - Green, White, Single fold paper towel, Size 9.3x10.5, 250 towels/pk, 16 pk/case (4000 count total). EcoLogo Certified, 40% post consumer recycled content. Approx Case weight 17.60 lbs. Use in dispenser D and J.</v>
      </c>
      <c r="G1971" s="74" t="str">
        <f t="shared" si="123"/>
        <v>CA</v>
      </c>
      <c r="H1971" s="7">
        <v>43.39</v>
      </c>
      <c r="I1971" s="2" t="str">
        <f t="shared" si="124"/>
        <v>14111703</v>
      </c>
      <c r="J1971" s="10" t="s">
        <v>159</v>
      </c>
    </row>
    <row r="1972" spans="1:10" ht="63.75">
      <c r="A1972" s="9" t="s">
        <v>59</v>
      </c>
      <c r="B1972" s="2" t="s">
        <v>612</v>
      </c>
      <c r="C1972" s="2">
        <v>3153</v>
      </c>
      <c r="D1972" s="2">
        <v>42</v>
      </c>
      <c r="E1972" s="2" t="str">
        <f>"1000028486"</f>
        <v>1000028486</v>
      </c>
      <c r="F1972" s="4" t="str">
        <f>"PAPER TOWEL: Prem 2ply Hshld 30RL/CA - Premium, White 2 ply household kitchen towel, perforated roll, Size 11x8.8, 85 towels/roll, 30 rolls/case. Approx Case weight 17.51 lbs"</f>
        <v>PAPER TOWEL: Prem 2ply Hshld 30RL/CA - Premium, White 2 ply household kitchen towel, perforated roll, Size 11x8.8, 85 towels/roll, 30 rolls/case. Approx Case weight 17.51 lbs</v>
      </c>
      <c r="G1972" s="74" t="str">
        <f t="shared" si="123"/>
        <v>CA</v>
      </c>
      <c r="H1972" s="7">
        <v>33.090000000000003</v>
      </c>
      <c r="I1972" s="2" t="str">
        <f t="shared" si="124"/>
        <v>14111703</v>
      </c>
      <c r="J1972" s="10" t="s">
        <v>159</v>
      </c>
    </row>
    <row r="1973" spans="1:10" ht="76.5">
      <c r="A1973" s="9" t="s">
        <v>59</v>
      </c>
      <c r="B1973" s="2" t="s">
        <v>612</v>
      </c>
      <c r="C1973" s="2">
        <v>3153</v>
      </c>
      <c r="D1973" s="2">
        <v>20</v>
      </c>
      <c r="E1973" s="2" t="str">
        <f>"1000028487"</f>
        <v>1000028487</v>
      </c>
      <c r="F1973" s="4" t="str">
        <f>"BATH TISSUE: Grn Jr.Jumbo 12RL/CA - Green, Jr. Jumbo 2 ply white toilet paper,9 diameter, Size 3.55x1,000, 12 rolls/case. Not perforated. EcoLogo Certified, 100% post consumer recycled content. Approx Case weight 23.27 lbs"</f>
        <v>BATH TISSUE: Grn Jr.Jumbo 12RL/CA - Green, Jr. Jumbo 2 ply white toilet paper,9 diameter, Size 3.55x1,000, 12 rolls/case. Not perforated. EcoLogo Certified, 100% post consumer recycled content. Approx Case weight 23.27 lbs</v>
      </c>
      <c r="G1973" s="74" t="str">
        <f t="shared" si="123"/>
        <v>CA</v>
      </c>
      <c r="H1973" s="7">
        <v>40.22</v>
      </c>
      <c r="I1973" s="2" t="str">
        <f>"14111704"</f>
        <v>14111704</v>
      </c>
      <c r="J1973" s="10" t="s">
        <v>158</v>
      </c>
    </row>
    <row r="1974" spans="1:10" ht="63.75">
      <c r="A1974" s="9" t="s">
        <v>59</v>
      </c>
      <c r="B1974" s="2" t="s">
        <v>612</v>
      </c>
      <c r="C1974" s="2">
        <v>3153</v>
      </c>
      <c r="D1974" s="2">
        <v>22</v>
      </c>
      <c r="E1974" s="2" t="str">
        <f>"1000028488"</f>
        <v>1000028488</v>
      </c>
      <c r="F1974" s="4" t="str">
        <f>"PAPER TOWEL: Prem C Fold 16PK/CA - Premium, C Fold 1 Ply paper towels, white, size 10x12, 150 towels/pk, 16 pk/case, (2400 count total). Approx case weight 17.5 lbs. Use in dispenser B and J."</f>
        <v>PAPER TOWEL: Prem C Fold 16PK/CA - Premium, C Fold 1 Ply paper towels, white, size 10x12, 150 towels/pk, 16 pk/case, (2400 count total). Approx case weight 17.5 lbs. Use in dispenser B and J.</v>
      </c>
      <c r="G1974" s="74" t="str">
        <f t="shared" si="123"/>
        <v>CA</v>
      </c>
      <c r="H1974" s="7">
        <v>32.35</v>
      </c>
      <c r="I1974" s="2" t="str">
        <f t="shared" ref="I1974:I1979" si="125">"14111703"</f>
        <v>14111703</v>
      </c>
      <c r="J1974" s="10" t="s">
        <v>159</v>
      </c>
    </row>
    <row r="1975" spans="1:10" ht="76.5">
      <c r="A1975" s="9" t="s">
        <v>59</v>
      </c>
      <c r="B1975" s="2" t="s">
        <v>612</v>
      </c>
      <c r="C1975" s="2">
        <v>3153</v>
      </c>
      <c r="D1975" s="2">
        <v>56</v>
      </c>
      <c r="E1975" s="2" t="str">
        <f>"1000028489"</f>
        <v>1000028489</v>
      </c>
      <c r="F1975" s="4" t="str">
        <f>"PAPER TOWEL: Econ Ctr Pull 6RL/CA - Economy, White, 2 Ply Universal Center Pull Paper Towel, Size 10x7.75, 600/roll, 6 rolls/case.Variance in sheet size &amp; sheet quantity less than 1%. Approx Case weight 15.56 lbs. Use in dispenser C."</f>
        <v>PAPER TOWEL: Econ Ctr Pull 6RL/CA - Economy, White, 2 Ply Universal Center Pull Paper Towel, Size 10x7.75, 600/roll, 6 rolls/case.Variance in sheet size &amp; sheet quantity less than 1%. Approx Case weight 15.56 lbs. Use in dispenser C.</v>
      </c>
      <c r="G1975" s="74" t="str">
        <f t="shared" si="123"/>
        <v>CA</v>
      </c>
      <c r="H1975" s="7">
        <v>29.99</v>
      </c>
      <c r="I1975" s="2" t="str">
        <f t="shared" si="125"/>
        <v>14111703</v>
      </c>
      <c r="J1975" s="10" t="s">
        <v>159</v>
      </c>
    </row>
    <row r="1976" spans="1:10" ht="51">
      <c r="A1976" s="9" t="s">
        <v>59</v>
      </c>
      <c r="B1976" s="2" t="s">
        <v>612</v>
      </c>
      <c r="C1976" s="2">
        <v>3153</v>
      </c>
      <c r="D1976" s="2">
        <v>57</v>
      </c>
      <c r="E1976" s="2" t="str">
        <f>"1000028490"</f>
        <v>1000028490</v>
      </c>
      <c r="F1976" s="4" t="str">
        <f>"PAPER TOWEL: Auto 8.25x700 6RL/CA - White, High Capacity Roll Towel, 8.25 x 700' 6 rolls/case, Approx Case weight 30 lbs. Use in dispenser G and I."</f>
        <v>PAPER TOWEL: Auto 8.25x700 6RL/CA - White, High Capacity Roll Towel, 8.25 x 700' 6 rolls/case, Approx Case weight 30 lbs. Use in dispenser G and I.</v>
      </c>
      <c r="G1976" s="74" t="str">
        <f t="shared" si="123"/>
        <v>CA</v>
      </c>
      <c r="H1976" s="7">
        <v>64.489999999999995</v>
      </c>
      <c r="I1976" s="2" t="str">
        <f t="shared" si="125"/>
        <v>14111703</v>
      </c>
      <c r="J1976" s="10" t="s">
        <v>159</v>
      </c>
    </row>
    <row r="1977" spans="1:10" ht="89.25">
      <c r="A1977" s="9" t="s">
        <v>59</v>
      </c>
      <c r="B1977" s="2" t="s">
        <v>612</v>
      </c>
      <c r="C1977" s="2">
        <v>3153</v>
      </c>
      <c r="D1977" s="2">
        <v>25</v>
      </c>
      <c r="E1977" s="2" t="str">
        <f>"1000028491"</f>
        <v>1000028491</v>
      </c>
      <c r="F1977" s="4" t="str">
        <f>"PAPER TOWEL: Grn C Fold 16PK/CA - Green, C fold 1 ply paper towels, white, size 10.12x13.15, 150 towels/pk, 16 pk/case (2400 count total). EcoLogo Certifed, 40% post consumer recycled content. Approx case weight 14.6 lbs. Use in dispenser B and J."</f>
        <v>PAPER TOWEL: Grn C Fold 16PK/CA - Green, C fold 1 ply paper towels, white, size 10.12x13.15, 150 towels/pk, 16 pk/case (2400 count total). EcoLogo Certifed, 40% post consumer recycled content. Approx case weight 14.6 lbs. Use in dispenser B and J.</v>
      </c>
      <c r="G1977" s="74" t="str">
        <f t="shared" si="123"/>
        <v>CA</v>
      </c>
      <c r="H1977" s="7">
        <v>31.88</v>
      </c>
      <c r="I1977" s="2" t="str">
        <f t="shared" si="125"/>
        <v>14111703</v>
      </c>
      <c r="J1977" s="10" t="s">
        <v>159</v>
      </c>
    </row>
    <row r="1978" spans="1:10" ht="63.75">
      <c r="A1978" s="9" t="s">
        <v>59</v>
      </c>
      <c r="B1978" s="2" t="s">
        <v>612</v>
      </c>
      <c r="C1978" s="2">
        <v>3153</v>
      </c>
      <c r="D1978" s="2">
        <v>26</v>
      </c>
      <c r="E1978" s="2" t="str">
        <f>"1000028492"</f>
        <v>1000028492</v>
      </c>
      <c r="F1978" s="4" t="str">
        <f>"PAPER TOWEL: Prem Mltfld Nat 16PK/CA - Premium, Natural Multi fold paper towel, Size 9.25x9.5, 250 towels/pk, 16 pk/case (4000 count total). Approx Case weight 22.14 lbs. Use in dispenser B and J."</f>
        <v>PAPER TOWEL: Prem Mltfld Nat 16PK/CA - Premium, Natural Multi fold paper towel, Size 9.25x9.5, 250 towels/pk, 16 pk/case (4000 count total). Approx Case weight 22.14 lbs. Use in dispenser B and J.</v>
      </c>
      <c r="G1978" s="74" t="str">
        <f t="shared" si="123"/>
        <v>CA</v>
      </c>
      <c r="H1978" s="7">
        <v>27.45</v>
      </c>
      <c r="I1978" s="2" t="str">
        <f t="shared" si="125"/>
        <v>14111703</v>
      </c>
      <c r="J1978" s="10" t="s">
        <v>159</v>
      </c>
    </row>
    <row r="1979" spans="1:10" ht="51">
      <c r="A1979" s="9" t="s">
        <v>59</v>
      </c>
      <c r="B1979" s="2" t="s">
        <v>612</v>
      </c>
      <c r="C1979" s="2">
        <v>3153</v>
      </c>
      <c r="D1979" s="2">
        <v>59</v>
      </c>
      <c r="E1979" s="2" t="str">
        <f>"1000028493"</f>
        <v>1000028493</v>
      </c>
      <c r="F1979" s="4" t="str">
        <f>"PAPER TOWEL: 8.25x700 6RL/CA - Natural, High Capacity Roll Towel, 8.25x700, 6 rolls/case, Approx Case weight 30 lbs. Use in dispenser G and I."</f>
        <v>PAPER TOWEL: 8.25x700 6RL/CA - Natural, High Capacity Roll Towel, 8.25x700, 6 rolls/case, Approx Case weight 30 lbs. Use in dispenser G and I.</v>
      </c>
      <c r="G1979" s="74" t="str">
        <f t="shared" si="123"/>
        <v>CA</v>
      </c>
      <c r="H1979" s="7">
        <v>59.32</v>
      </c>
      <c r="I1979" s="2" t="str">
        <f t="shared" si="125"/>
        <v>14111703</v>
      </c>
      <c r="J1979" s="10" t="s">
        <v>159</v>
      </c>
    </row>
    <row r="1980" spans="1:10" ht="51">
      <c r="A1980" s="9" t="s">
        <v>59</v>
      </c>
      <c r="B1980" s="2" t="s">
        <v>612</v>
      </c>
      <c r="C1980" s="2">
        <v>3153</v>
      </c>
      <c r="D1980" s="2">
        <v>60</v>
      </c>
      <c r="E1980" s="2" t="str">
        <f>"1000028494"</f>
        <v>1000028494</v>
      </c>
      <c r="F1980" s="4" t="str">
        <f>"PAPER TOWEL DISP: A Univ Lever - Universal Smoke Black Paper Towel Dispenser w/lever. Sold individually. Paper towel dispenser A"</f>
        <v>PAPER TOWEL DISP: A Univ Lever - Universal Smoke Black Paper Towel Dispenser w/lever. Sold individually. Paper towel dispenser A</v>
      </c>
      <c r="G1980" s="74" t="str">
        <f>"EA"</f>
        <v>EA</v>
      </c>
      <c r="H1980" s="7">
        <v>48.42</v>
      </c>
      <c r="I1980" s="2" t="str">
        <f>"47131701"</f>
        <v>47131701</v>
      </c>
      <c r="J1980" s="10" t="s">
        <v>160</v>
      </c>
    </row>
    <row r="1981" spans="1:10" ht="63.75">
      <c r="A1981" s="9" t="s">
        <v>59</v>
      </c>
      <c r="B1981" s="2" t="s">
        <v>612</v>
      </c>
      <c r="C1981" s="2">
        <v>3153</v>
      </c>
      <c r="D1981" s="2">
        <v>51</v>
      </c>
      <c r="E1981" s="2" t="str">
        <f>"1000028495"</f>
        <v>1000028495</v>
      </c>
      <c r="F1981" s="4" t="str">
        <f>"PAPER TOWEL: Econ Wh 12RL/CA - White paper towel roll, Size 7.75x350 roll, 12 rolls/case. Variance in sheet size &amp; sheet quantity less than 1%. Approx Case weight 22.38 lbs. Use in dispenser A and E."</f>
        <v>PAPER TOWEL: Econ Wh 12RL/CA - White paper towel roll, Size 7.75x350 roll, 12 rolls/case. Variance in sheet size &amp; sheet quantity less than 1%. Approx Case weight 22.38 lbs. Use in dispenser A and E.</v>
      </c>
      <c r="G1981" s="74" t="str">
        <f t="shared" ref="G1981:G1989" si="126">"CA"</f>
        <v>CA</v>
      </c>
      <c r="H1981" s="7">
        <v>27.7</v>
      </c>
      <c r="I1981" s="2" t="str">
        <f t="shared" ref="I1981:I1987" si="127">"14111703"</f>
        <v>14111703</v>
      </c>
      <c r="J1981" s="10" t="s">
        <v>159</v>
      </c>
    </row>
    <row r="1982" spans="1:10" ht="76.5">
      <c r="A1982" s="9" t="s">
        <v>59</v>
      </c>
      <c r="B1982" s="2" t="s">
        <v>612</v>
      </c>
      <c r="C1982" s="2">
        <v>3153</v>
      </c>
      <c r="D1982" s="2">
        <v>52</v>
      </c>
      <c r="E1982" s="2" t="str">
        <f>"1000028496"</f>
        <v>1000028496</v>
      </c>
      <c r="F1982" s="4" t="str">
        <f>"PAPER TOWEL: Grn 7.75x350 12RL/CA - Green, White paper towel roll, Size 7.75x350 roll, 12 rolls/case. EcoLogo Certified, 100% recycled, 30% post consumer recycled content. Approx Case weight 21.5 lbs. Use in dispenser A and E."</f>
        <v>PAPER TOWEL: Grn 7.75x350 12RL/CA - Green, White paper towel roll, Size 7.75x350 roll, 12 rolls/case. EcoLogo Certified, 100% recycled, 30% post consumer recycled content. Approx Case weight 21.5 lbs. Use in dispenser A and E.</v>
      </c>
      <c r="G1982" s="74" t="str">
        <f t="shared" si="126"/>
        <v>CA</v>
      </c>
      <c r="H1982" s="7">
        <v>33.200000000000003</v>
      </c>
      <c r="I1982" s="2" t="str">
        <f t="shared" si="127"/>
        <v>14111703</v>
      </c>
      <c r="J1982" s="10" t="s">
        <v>159</v>
      </c>
    </row>
    <row r="1983" spans="1:10" ht="63.75">
      <c r="A1983" s="9" t="s">
        <v>59</v>
      </c>
      <c r="B1983" s="2" t="s">
        <v>612</v>
      </c>
      <c r="C1983" s="2">
        <v>3153</v>
      </c>
      <c r="D1983" s="2">
        <v>53</v>
      </c>
      <c r="E1983" s="2" t="str">
        <f>"1000028497"</f>
        <v>1000028497</v>
      </c>
      <c r="F1983" s="4" t="str">
        <f>"PAPER TOWEL: Prem Big Fld 25PK/CA - Premium, White, Big Fold Folded Paper Towels, Size 9.4x12.4, 120/pk, 25 pk/case (3000 count total). Approx Case weight 22.85. Use in dispenser B."</f>
        <v>PAPER TOWEL: Prem Big Fld 25PK/CA - Premium, White, Big Fold Folded Paper Towels, Size 9.4x12.4, 120/pk, 25 pk/case (3000 count total). Approx Case weight 22.85. Use in dispenser B.</v>
      </c>
      <c r="G1983" s="74" t="str">
        <f t="shared" si="126"/>
        <v>CA</v>
      </c>
      <c r="H1983" s="7">
        <v>37.729999999999997</v>
      </c>
      <c r="I1983" s="2" t="str">
        <f t="shared" si="127"/>
        <v>14111703</v>
      </c>
      <c r="J1983" s="10" t="s">
        <v>159</v>
      </c>
    </row>
    <row r="1984" spans="1:10" ht="63.75">
      <c r="A1984" s="9" t="s">
        <v>59</v>
      </c>
      <c r="B1984" s="2" t="s">
        <v>612</v>
      </c>
      <c r="C1984" s="2">
        <v>3153</v>
      </c>
      <c r="D1984" s="2">
        <v>43</v>
      </c>
      <c r="E1984" s="2" t="str">
        <f>"1000028498"</f>
        <v>1000028498</v>
      </c>
      <c r="F1984" s="4" t="str">
        <f>"PAPER TOWEL: Std 2ply Hshld 30RL/CA - Standard, White 2 ply household kitchen towel, perforated roll, Size 11x8.75, 85 towels/roll, 30 rolls/case. Recycled. Approx Case weight 15.16 lbs"</f>
        <v>PAPER TOWEL: Std 2ply Hshld 30RL/CA - Standard, White 2 ply household kitchen towel, perforated roll, Size 11x8.75, 85 towels/roll, 30 rolls/case. Recycled. Approx Case weight 15.16 lbs</v>
      </c>
      <c r="G1984" s="74" t="str">
        <f t="shared" si="126"/>
        <v>CA</v>
      </c>
      <c r="H1984" s="7">
        <v>30.86</v>
      </c>
      <c r="I1984" s="2" t="str">
        <f t="shared" si="127"/>
        <v>14111703</v>
      </c>
      <c r="J1984" s="10" t="s">
        <v>159</v>
      </c>
    </row>
    <row r="1985" spans="1:10" ht="76.5">
      <c r="A1985" s="9" t="s">
        <v>59</v>
      </c>
      <c r="B1985" s="2" t="s">
        <v>612</v>
      </c>
      <c r="C1985" s="2">
        <v>3153</v>
      </c>
      <c r="D1985" s="2">
        <v>44</v>
      </c>
      <c r="E1985" s="2" t="str">
        <f>"1000028499"</f>
        <v>1000028499</v>
      </c>
      <c r="F1985" s="4" t="str">
        <f>"PAPER TOWEL: Econ 2ply Hshld 30RL/CA - Economy, White 2 ply household kitchen towel, perforated roll, Size 11x8.8, 85 towels/roll, 30 rolls/case. Variance in sheet size &amp; sheet quantity less than 1%. Approx Case weight 14 lbs."</f>
        <v>PAPER TOWEL: Econ 2ply Hshld 30RL/CA - Economy, White 2 ply household kitchen towel, perforated roll, Size 11x8.8, 85 towels/roll, 30 rolls/case. Variance in sheet size &amp; sheet quantity less than 1%. Approx Case weight 14 lbs.</v>
      </c>
      <c r="G1985" s="74" t="str">
        <f t="shared" si="126"/>
        <v>CA</v>
      </c>
      <c r="H1985" s="7">
        <v>27.43</v>
      </c>
      <c r="I1985" s="2" t="str">
        <f t="shared" si="127"/>
        <v>14111703</v>
      </c>
      <c r="J1985" s="10" t="s">
        <v>159</v>
      </c>
    </row>
    <row r="1986" spans="1:10" ht="63.75">
      <c r="A1986" s="9" t="s">
        <v>59</v>
      </c>
      <c r="B1986" s="2" t="s">
        <v>612</v>
      </c>
      <c r="C1986" s="2">
        <v>3153</v>
      </c>
      <c r="D1986" s="2">
        <v>34</v>
      </c>
      <c r="E1986" s="2" t="str">
        <f>"1000028500"</f>
        <v>1000028500</v>
      </c>
      <c r="F1986" s="4" t="str">
        <f>"PAPER TOWEL: Prem 1fld Nat 16PK/CA - Premium, Natural, Single fold paper towel, Size 10.58x9.5, 250 towels/pk, 16 pk/case (4000 count total). Approx Case weight 21 lbs. Use in dispenser D and J."</f>
        <v>PAPER TOWEL: Prem 1fld Nat 16PK/CA - Premium, Natural, Single fold paper towel, Size 10.58x9.5, 250 towels/pk, 16 pk/case (4000 count total). Approx Case weight 21 lbs. Use in dispenser D and J.</v>
      </c>
      <c r="G1986" s="74" t="str">
        <f t="shared" si="126"/>
        <v>CA</v>
      </c>
      <c r="H1986" s="7">
        <v>32.200000000000003</v>
      </c>
      <c r="I1986" s="2" t="str">
        <f t="shared" si="127"/>
        <v>14111703</v>
      </c>
      <c r="J1986" s="10" t="s">
        <v>159</v>
      </c>
    </row>
    <row r="1987" spans="1:10" ht="63.75">
      <c r="A1987" s="9" t="s">
        <v>59</v>
      </c>
      <c r="B1987" s="2" t="s">
        <v>612</v>
      </c>
      <c r="C1987" s="2">
        <v>3153</v>
      </c>
      <c r="D1987" s="2">
        <v>35</v>
      </c>
      <c r="E1987" s="2" t="str">
        <f>"1000028501"</f>
        <v>1000028501</v>
      </c>
      <c r="F1987" s="4" t="str">
        <f>"PAPER TOWEL: Std 1fld Nat 16PK/CA - Standard, Natural, Single fold paper towel, Size 10.25x9, 250 towels/pk, 16 pk/case (4000 count total). Approx Case weight 20.1 lbs. Use in dispenser D and J."</f>
        <v>PAPER TOWEL: Std 1fld Nat 16PK/CA - Standard, Natural, Single fold paper towel, Size 10.25x9, 250 towels/pk, 16 pk/case (4000 count total). Approx Case weight 20.1 lbs. Use in dispenser D and J.</v>
      </c>
      <c r="G1987" s="74" t="str">
        <f t="shared" si="126"/>
        <v>CA</v>
      </c>
      <c r="H1987" s="7">
        <v>25.85</v>
      </c>
      <c r="I1987" s="2" t="str">
        <f t="shared" si="127"/>
        <v>14111703</v>
      </c>
      <c r="J1987" s="10" t="s">
        <v>159</v>
      </c>
    </row>
    <row r="1988" spans="1:10" ht="89.25">
      <c r="A1988" s="9" t="s">
        <v>59</v>
      </c>
      <c r="B1988" s="2" t="s">
        <v>612</v>
      </c>
      <c r="C1988" s="2">
        <v>3153</v>
      </c>
      <c r="D1988" s="2">
        <v>13</v>
      </c>
      <c r="E1988" s="2" t="str">
        <f>"1000028502"</f>
        <v>1000028502</v>
      </c>
      <c r="F1988" s="4" t="str">
        <f>"BATH TISSUE: Econ 2 Ply 96RL/CA - Economy, 2 Ply white toilet paper, perforated 4.25x3.5 sheets, 500 sheets/roll, 96 rolls/case. Individually wrapped. Variance in sheet size and sheet quantity is less than 1%. Approx Case weight 34.03 lbs RECYCLED."</f>
        <v>BATH TISSUE: Econ 2 Ply 96RL/CA - Economy, 2 Ply white toilet paper, perforated 4.25x3.5 sheets, 500 sheets/roll, 96 rolls/case. Individually wrapped. Variance in sheet size and sheet quantity is less than 1%. Approx Case weight 34.03 lbs RECYCLED.</v>
      </c>
      <c r="G1988" s="74" t="str">
        <f t="shared" si="126"/>
        <v>CA</v>
      </c>
      <c r="H1988" s="7">
        <v>45.85</v>
      </c>
      <c r="I1988" s="2" t="str">
        <f>"14111704"</f>
        <v>14111704</v>
      </c>
      <c r="J1988" s="10" t="s">
        <v>158</v>
      </c>
    </row>
    <row r="1989" spans="1:10" ht="89.25">
      <c r="A1989" s="9" t="s">
        <v>59</v>
      </c>
      <c r="B1989" s="2" t="s">
        <v>612</v>
      </c>
      <c r="C1989" s="2">
        <v>3153</v>
      </c>
      <c r="D1989" s="2">
        <v>14</v>
      </c>
      <c r="E1989" s="2" t="str">
        <f>"1000028503"</f>
        <v>1000028503</v>
      </c>
      <c r="F1989" s="4" t="str">
        <f>"BATH TISSUE: Grn 2 Ply 96RL/CA - Green, 2 Ply white toilet paper, perforated 4x3.75 sheets, 500 sheets/roll, 96 rolls/case. Individually wrapped. EcoLogo Certified, 100% recycled, 30% post consumer recycled content. Approx Case weight 32.9 lbs"</f>
        <v>BATH TISSUE: Grn 2 Ply 96RL/CA - Green, 2 Ply white toilet paper, perforated 4x3.75 sheets, 500 sheets/roll, 96 rolls/case. Individually wrapped. EcoLogo Certified, 100% recycled, 30% post consumer recycled content. Approx Case weight 32.9 lbs</v>
      </c>
      <c r="G1989" s="74" t="str">
        <f t="shared" si="126"/>
        <v>CA</v>
      </c>
      <c r="H1989" s="7">
        <v>55.56</v>
      </c>
      <c r="I1989" s="2" t="str">
        <f>"14111704"</f>
        <v>14111704</v>
      </c>
      <c r="J1989" s="10" t="s">
        <v>158</v>
      </c>
    </row>
    <row r="1990" spans="1:10" ht="63.75">
      <c r="A1990" s="9" t="s">
        <v>59</v>
      </c>
      <c r="B1990" s="2" t="s">
        <v>612</v>
      </c>
      <c r="C1990" s="2">
        <v>3153</v>
      </c>
      <c r="D1990" s="2">
        <v>61</v>
      </c>
      <c r="E1990" s="2" t="str">
        <f>"1000028504"</f>
        <v>1000028504</v>
      </c>
      <c r="F1990" s="4" t="str">
        <f>"PAPER TOWEL DISP: B Univ Manual - Universal Smoke Black Manual Paper towel dispenser, center fold/ multifold towels. Sold individually. Paper towel dispenser B."</f>
        <v>PAPER TOWEL DISP: B Univ Manual - Universal Smoke Black Manual Paper towel dispenser, center fold/ multifold towels. Sold individually. Paper towel dispenser B.</v>
      </c>
      <c r="G1990" s="74" t="str">
        <f>"EA"</f>
        <v>EA</v>
      </c>
      <c r="H1990" s="7">
        <v>26.08</v>
      </c>
      <c r="I1990" s="2" t="str">
        <f>"47131701"</f>
        <v>47131701</v>
      </c>
      <c r="J1990" s="10" t="s">
        <v>160</v>
      </c>
    </row>
    <row r="1991" spans="1:10" ht="38.25">
      <c r="A1991" s="9" t="s">
        <v>59</v>
      </c>
      <c r="B1991" s="2" t="s">
        <v>612</v>
      </c>
      <c r="C1991" s="2">
        <v>3153</v>
      </c>
      <c r="D1991" s="2">
        <v>62</v>
      </c>
      <c r="E1991" s="2" t="str">
        <f>"1000028505"</f>
        <v>1000028505</v>
      </c>
      <c r="F1991" s="4" t="str">
        <f>"PAPER TOWEL DISP: C Ctr Pull - Center pull paper towel dispenser. Sold individually. Paper towel dispenser C."</f>
        <v>PAPER TOWEL DISP: C Ctr Pull - Center pull paper towel dispenser. Sold individually. Paper towel dispenser C.</v>
      </c>
      <c r="G1991" s="74" t="str">
        <f>"EA"</f>
        <v>EA</v>
      </c>
      <c r="H1991" s="7">
        <v>20.53</v>
      </c>
      <c r="I1991" s="2" t="str">
        <f>"47131701"</f>
        <v>47131701</v>
      </c>
      <c r="J1991" s="10" t="s">
        <v>160</v>
      </c>
    </row>
    <row r="1992" spans="1:10" ht="76.5">
      <c r="A1992" s="9" t="s">
        <v>59</v>
      </c>
      <c r="B1992" s="2" t="s">
        <v>612</v>
      </c>
      <c r="C1992" s="2">
        <v>3153</v>
      </c>
      <c r="D1992" s="2">
        <v>17</v>
      </c>
      <c r="E1992" s="2" t="str">
        <f>"1000028506"</f>
        <v>1000028506</v>
      </c>
      <c r="F1992" s="4" t="str">
        <f>"BATH TISSUE: Grn Sr.Jumbo 6RL/CA - Green, Sr. Jumbo 2 ply white toilet paper, 12 diameter, Roll size 3.55x2,000, 6 rolls/case. Not perforated. EcoLogo Certified, 20% post consumer recycled content. Approx Case weight 23.15 lbs"</f>
        <v>BATH TISSUE: Grn Sr.Jumbo 6RL/CA - Green, Sr. Jumbo 2 ply white toilet paper, 12 diameter, Roll size 3.55x2,000, 6 rolls/case. Not perforated. EcoLogo Certified, 20% post consumer recycled content. Approx Case weight 23.15 lbs</v>
      </c>
      <c r="G1992" s="74" t="str">
        <f>"CA"</f>
        <v>CA</v>
      </c>
      <c r="H1992" s="7">
        <v>41.29</v>
      </c>
      <c r="I1992" s="2" t="str">
        <f>"14111704"</f>
        <v>14111704</v>
      </c>
      <c r="J1992" s="10" t="s">
        <v>158</v>
      </c>
    </row>
    <row r="1993" spans="1:10" ht="63.75">
      <c r="A1993" s="9" t="s">
        <v>59</v>
      </c>
      <c r="B1993" s="2" t="s">
        <v>612</v>
      </c>
      <c r="C1993" s="2">
        <v>3153</v>
      </c>
      <c r="D1993" s="2">
        <v>18</v>
      </c>
      <c r="E1993" s="2" t="str">
        <f>"1000028507"</f>
        <v>1000028507</v>
      </c>
      <c r="F1993" s="4" t="str">
        <f>"BATH TISSUE: Std Jr.Jumbo 12RL/CA - Standard, Jr. Jumbo 2 ply white toilet paper,9 diameter, Size 3.5x1,000, 12 rolls/case. Not perforated. Approx Case weight 24 lbs."</f>
        <v>BATH TISSUE: Std Jr.Jumbo 12RL/CA - Standard, Jr. Jumbo 2 ply white toilet paper,9 diameter, Size 3.5x1,000, 12 rolls/case. Not perforated. Approx Case weight 24 lbs.</v>
      </c>
      <c r="G1993" s="74" t="str">
        <f>"CA"</f>
        <v>CA</v>
      </c>
      <c r="H1993" s="7">
        <v>39.44</v>
      </c>
      <c r="I1993" s="2" t="str">
        <f>"14111704"</f>
        <v>14111704</v>
      </c>
      <c r="J1993" s="10" t="s">
        <v>158</v>
      </c>
    </row>
    <row r="1994" spans="1:10" ht="63.75">
      <c r="A1994" s="9" t="s">
        <v>59</v>
      </c>
      <c r="B1994" s="2" t="s">
        <v>612</v>
      </c>
      <c r="C1994" s="2">
        <v>3153</v>
      </c>
      <c r="D1994" s="2">
        <v>19</v>
      </c>
      <c r="E1994" s="2" t="str">
        <f>"1000028508"</f>
        <v>1000028508</v>
      </c>
      <c r="F1994" s="4" t="str">
        <f>"BATH TISSUE: Econ Jr.Jumbo 12RL/CA - Economy, Jr. Jumbo 2 ply white toilet paper,9 diameter, Size 3.55x1,000, 12 rolls/case. Not perforated. Approx Case weight 19 lbs."</f>
        <v>BATH TISSUE: Econ Jr.Jumbo 12RL/CA - Economy, Jr. Jumbo 2 ply white toilet paper,9 diameter, Size 3.55x1,000, 12 rolls/case. Not perforated. Approx Case weight 19 lbs.</v>
      </c>
      <c r="G1994" s="74" t="str">
        <f>"CA"</f>
        <v>CA</v>
      </c>
      <c r="H1994" s="7">
        <v>29.48</v>
      </c>
      <c r="I1994" s="2" t="str">
        <f>"14111704"</f>
        <v>14111704</v>
      </c>
      <c r="J1994" s="10" t="s">
        <v>158</v>
      </c>
    </row>
    <row r="1995" spans="1:10" ht="63.75">
      <c r="A1995" s="9" t="s">
        <v>59</v>
      </c>
      <c r="B1995" s="2" t="s">
        <v>612</v>
      </c>
      <c r="C1995" s="2">
        <v>3153</v>
      </c>
      <c r="D1995" s="2">
        <v>66</v>
      </c>
      <c r="E1995" s="2" t="str">
        <f>"1000028509"</f>
        <v>1000028509</v>
      </c>
      <c r="F1995" s="4" t="str">
        <f>"PAPER TOWEL DISP: G Motion Wh - White, automated paper towel dispenser, touchless. Adjustable towel length. Sold individually. Requires 4 D cell batteries. Paper towel dispenser G."</f>
        <v>PAPER TOWEL DISP: G Motion Wh - White, automated paper towel dispenser, touchless. Adjustable towel length. Sold individually. Requires 4 D cell batteries. Paper towel dispenser G.</v>
      </c>
      <c r="G1995" s="74" t="str">
        <f>"EA"</f>
        <v>EA</v>
      </c>
      <c r="H1995" s="7">
        <v>50.72</v>
      </c>
      <c r="I1995" s="2" t="str">
        <f>"47131701"</f>
        <v>47131701</v>
      </c>
      <c r="J1995" s="10" t="s">
        <v>160</v>
      </c>
    </row>
    <row r="1996" spans="1:10" ht="63.75">
      <c r="A1996" s="9" t="s">
        <v>59</v>
      </c>
      <c r="B1996" s="2" t="s">
        <v>612</v>
      </c>
      <c r="C1996" s="2">
        <v>3153</v>
      </c>
      <c r="D1996" s="2">
        <v>67</v>
      </c>
      <c r="E1996" s="2" t="str">
        <f>"1000028510"</f>
        <v>1000028510</v>
      </c>
      <c r="F1996" s="4" t="str">
        <f>"PAPER TOWEL DISP: H Auto Blk - Black Automated Paper Towel Dispenser. Adjustable towel length. Sold Individually. Required 4 D cell batteries. Paper towel dispenser H."</f>
        <v>PAPER TOWEL DISP: H Auto Blk - Black Automated Paper Towel Dispenser. Adjustable towel length. Sold Individually. Required 4 D cell batteries. Paper towel dispenser H.</v>
      </c>
      <c r="G1996" s="74" t="str">
        <f>"EA"</f>
        <v>EA</v>
      </c>
      <c r="H1996" s="7">
        <v>14.5</v>
      </c>
      <c r="I1996" s="2" t="str">
        <f>"47131701"</f>
        <v>47131701</v>
      </c>
      <c r="J1996" s="10" t="s">
        <v>160</v>
      </c>
    </row>
    <row r="1997" spans="1:10" ht="51">
      <c r="A1997" s="9" t="s">
        <v>59</v>
      </c>
      <c r="B1997" s="2" t="s">
        <v>612</v>
      </c>
      <c r="C1997" s="2">
        <v>3153</v>
      </c>
      <c r="D1997" s="2">
        <v>7</v>
      </c>
      <c r="E1997" s="2" t="str">
        <f>"1000028511"</f>
        <v>1000028511</v>
      </c>
      <c r="F1997" s="4" t="str">
        <f>"FACE TISSUE: Econ 85/BX 36BX/CA - Economy, 2 Ply Facial tissue, Cube box, Size 8.25x7.68, 85 sheets/box, 36 boxes/case. Approx Case weight 8.4 lbs"</f>
        <v>FACE TISSUE: Econ 85/BX 36BX/CA - Economy, 2 Ply Facial tissue, Cube box, Size 8.25x7.68, 85 sheets/box, 36 boxes/case. Approx Case weight 8.4 lbs</v>
      </c>
      <c r="G1997" s="74" t="str">
        <f t="shared" ref="G1997:G2007" si="128">"CA"</f>
        <v>CA</v>
      </c>
      <c r="H1997" s="7">
        <v>23.3</v>
      </c>
      <c r="I1997" s="2" t="str">
        <f>"14111701"</f>
        <v>14111701</v>
      </c>
      <c r="J1997" s="10" t="s">
        <v>157</v>
      </c>
    </row>
    <row r="1998" spans="1:10" ht="63.75">
      <c r="A1998" s="9" t="s">
        <v>59</v>
      </c>
      <c r="B1998" s="2" t="s">
        <v>612</v>
      </c>
      <c r="C1998" s="2">
        <v>3153</v>
      </c>
      <c r="D1998" s="2">
        <v>54</v>
      </c>
      <c r="E1998" s="2" t="str">
        <f>"1000028513"</f>
        <v>1000028513</v>
      </c>
      <c r="F1998" s="4" t="str">
        <f>"PAPER TOWEL: Std Big Fld 10PK/CA - Standard, White, Big Fold Folded Paper Towels, Size 10.25x11, 220/pk, 10 pk/case,(2200 count total). Approx Case weight 19.7 lbs. Use in dispenser B."</f>
        <v>PAPER TOWEL: Std Big Fld 10PK/CA - Standard, White, Big Fold Folded Paper Towels, Size 10.25x11, 220/pk, 10 pk/case,(2200 count total). Approx Case weight 19.7 lbs. Use in dispenser B.</v>
      </c>
      <c r="G1998" s="74" t="str">
        <f t="shared" si="128"/>
        <v>CA</v>
      </c>
      <c r="H1998" s="7">
        <v>37.72</v>
      </c>
      <c r="I1998" s="2" t="str">
        <f>"14111703"</f>
        <v>14111703</v>
      </c>
      <c r="J1998" s="10" t="s">
        <v>159</v>
      </c>
    </row>
    <row r="1999" spans="1:10" ht="63.75">
      <c r="A1999" s="9" t="s">
        <v>59</v>
      </c>
      <c r="B1999" s="2" t="s">
        <v>612</v>
      </c>
      <c r="C1999" s="2">
        <v>3153</v>
      </c>
      <c r="D1999" s="2">
        <v>55</v>
      </c>
      <c r="E1999" s="2" t="str">
        <f>"1000028514"</f>
        <v>1000028514</v>
      </c>
      <c r="F1999" s="4" t="str">
        <f>"PAPER TOWEL: Prem Ctr Pull 6RL/CA - Premium, White , 2 Ply Universal Center Pull Paper Towel, Size 11.8x7.6, 500 sheets/roll, 6 rolls/case. Approx Case weight 16.9 lbs. Use in dispenser C."</f>
        <v>PAPER TOWEL: Prem Ctr Pull 6RL/CA - Premium, White , 2 Ply Universal Center Pull Paper Towel, Size 11.8x7.6, 500 sheets/roll, 6 rolls/case. Approx Case weight 16.9 lbs. Use in dispenser C.</v>
      </c>
      <c r="G1999" s="74" t="str">
        <f t="shared" si="128"/>
        <v>CA</v>
      </c>
      <c r="H1999" s="7">
        <v>41.48</v>
      </c>
      <c r="I1999" s="2" t="str">
        <f>"14111703"</f>
        <v>14111703</v>
      </c>
      <c r="J1999" s="10" t="s">
        <v>159</v>
      </c>
    </row>
    <row r="2000" spans="1:10" ht="51">
      <c r="A2000" s="9" t="s">
        <v>59</v>
      </c>
      <c r="B2000" s="2" t="s">
        <v>612</v>
      </c>
      <c r="C2000" s="2">
        <v>3153</v>
      </c>
      <c r="D2000" s="2">
        <v>58</v>
      </c>
      <c r="E2000" s="2" t="str">
        <f>"1000028515"</f>
        <v>1000028515</v>
      </c>
      <c r="F2000" s="4" t="str">
        <f>"PAPER TOWEL: Auto 8x950 6RL/CA - White, High Capacity Roll Towel, 8 x 950, 6 rolls/case, Approx Case weight 26 lbs. Use in dispenser H and F."</f>
        <v>PAPER TOWEL: Auto 8x950 6RL/CA - White, High Capacity Roll Towel, 8 x 950, 6 rolls/case, Approx Case weight 26 lbs. Use in dispenser H and F.</v>
      </c>
      <c r="G2000" s="74" t="str">
        <f t="shared" si="128"/>
        <v>CA</v>
      </c>
      <c r="H2000" s="7">
        <v>69.83</v>
      </c>
      <c r="I2000" s="2" t="str">
        <f>"14111703"</f>
        <v>14111703</v>
      </c>
      <c r="J2000" s="10" t="s">
        <v>159</v>
      </c>
    </row>
    <row r="2001" spans="1:10" ht="63.75">
      <c r="A2001" s="9" t="s">
        <v>59</v>
      </c>
      <c r="B2001" s="2" t="s">
        <v>612</v>
      </c>
      <c r="C2001" s="2">
        <v>3153</v>
      </c>
      <c r="D2001" s="2">
        <v>15</v>
      </c>
      <c r="E2001" s="2" t="str">
        <f>"1000028516"</f>
        <v>1000028516</v>
      </c>
      <c r="F2001" s="4" t="str">
        <f>"BATH TISSUE: Std Sr.Jumbo 6RL/CA - Standard, Sr. Jumbo 2 ply white toilet paper, 12 diameter, Roll size 3.55x2,000, 6 rolls/case. Not perforated. Approx Case weight 24.5 lbs"</f>
        <v>BATH TISSUE: Std Sr.Jumbo 6RL/CA - Standard, Sr. Jumbo 2 ply white toilet paper, 12 diameter, Roll size 3.55x2,000, 6 rolls/case. Not perforated. Approx Case weight 24.5 lbs</v>
      </c>
      <c r="G2001" s="74" t="str">
        <f t="shared" si="128"/>
        <v>CA</v>
      </c>
      <c r="H2001" s="7">
        <v>39.07</v>
      </c>
      <c r="I2001" s="2" t="str">
        <f>"14111704"</f>
        <v>14111704</v>
      </c>
      <c r="J2001" s="10" t="s">
        <v>158</v>
      </c>
    </row>
    <row r="2002" spans="1:10" ht="63.75">
      <c r="A2002" s="9" t="s">
        <v>59</v>
      </c>
      <c r="B2002" s="2" t="s">
        <v>612</v>
      </c>
      <c r="C2002" s="2">
        <v>3153</v>
      </c>
      <c r="D2002" s="2">
        <v>16</v>
      </c>
      <c r="E2002" s="2" t="str">
        <f>"1000028517"</f>
        <v>1000028517</v>
      </c>
      <c r="F2002" s="4" t="str">
        <f>"BATH TISSUE: Econ Sr.Jumbo 6RL/CA - Economy, Sr. Jumbo 2 ply economy white toilet paper, 12 diameter, Roll size 3.92x2,000, 6 rolls/case. Not perforated. Approx Case weight 27 lbs"</f>
        <v>BATH TISSUE: Econ Sr.Jumbo 6RL/CA - Economy, Sr. Jumbo 2 ply economy white toilet paper, 12 diameter, Roll size 3.92x2,000, 6 rolls/case. Not perforated. Approx Case weight 27 lbs</v>
      </c>
      <c r="G2002" s="74" t="str">
        <f t="shared" si="128"/>
        <v>CA</v>
      </c>
      <c r="H2002" s="7">
        <v>36.72</v>
      </c>
      <c r="I2002" s="2" t="str">
        <f>"14111704"</f>
        <v>14111704</v>
      </c>
      <c r="J2002" s="10" t="s">
        <v>158</v>
      </c>
    </row>
    <row r="2003" spans="1:10" ht="89.25">
      <c r="A2003" s="9" t="s">
        <v>59</v>
      </c>
      <c r="B2003" s="2" t="s">
        <v>612</v>
      </c>
      <c r="C2003" s="2">
        <v>3153</v>
      </c>
      <c r="D2003" s="2">
        <v>29</v>
      </c>
      <c r="E2003" s="2" t="str">
        <f>"1000028518"</f>
        <v>1000028518</v>
      </c>
      <c r="F2003" s="4" t="str">
        <f>"PAPER TOWEL: Grn Mltfld Nat 16PK/CA - Green, Natural Multi fold paper towel, Size 9.125x9.5, , 250 towels/pk, 16 pk/case (4000 count total). 95% Recycled, 40% post consumer recycled content. Approx Case weight 21 lbs. Use in dispenser B and J."</f>
        <v>PAPER TOWEL: Grn Mltfld Nat 16PK/CA - Green, Natural Multi fold paper towel, Size 9.125x9.5, , 250 towels/pk, 16 pk/case (4000 count total). 95% Recycled, 40% post consumer recycled content. Approx Case weight 21 lbs. Use in dispenser B and J.</v>
      </c>
      <c r="G2003" s="74" t="str">
        <f t="shared" si="128"/>
        <v>CA</v>
      </c>
      <c r="H2003" s="7">
        <v>28.95</v>
      </c>
      <c r="I2003" s="2" t="str">
        <f>"14111703"</f>
        <v>14111703</v>
      </c>
      <c r="J2003" s="10" t="s">
        <v>159</v>
      </c>
    </row>
    <row r="2004" spans="1:10" ht="63.75">
      <c r="A2004" s="9" t="s">
        <v>59</v>
      </c>
      <c r="B2004" s="2" t="s">
        <v>612</v>
      </c>
      <c r="C2004" s="2">
        <v>3153</v>
      </c>
      <c r="D2004" s="2">
        <v>30</v>
      </c>
      <c r="E2004" s="2" t="str">
        <f>"1000028519"</f>
        <v>1000028519</v>
      </c>
      <c r="F2004" s="4" t="str">
        <f>"PAPER TOWEL: Prem Mltfld Wh 16PK/CA - Premium, White Multi fold paper towel, Size 9.25x9.5, 250 towels/pk, 16 pk/case (4000 count total). Approx Case weight 22.14 lbs. Use with dispenser B and J."</f>
        <v>PAPER TOWEL: Prem Mltfld Wh 16PK/CA - Premium, White Multi fold paper towel, Size 9.25x9.5, 250 towels/pk, 16 pk/case (4000 count total). Approx Case weight 22.14 lbs. Use with dispenser B and J.</v>
      </c>
      <c r="G2004" s="74" t="str">
        <f t="shared" si="128"/>
        <v>CA</v>
      </c>
      <c r="H2004" s="7">
        <v>29.56</v>
      </c>
      <c r="I2004" s="2" t="str">
        <f>"14111703"</f>
        <v>14111703</v>
      </c>
      <c r="J2004" s="10" t="s">
        <v>159</v>
      </c>
    </row>
    <row r="2005" spans="1:10" ht="63.75">
      <c r="A2005" s="9" t="s">
        <v>59</v>
      </c>
      <c r="B2005" s="2" t="s">
        <v>612</v>
      </c>
      <c r="C2005" s="2">
        <v>3153</v>
      </c>
      <c r="D2005" s="2">
        <v>31</v>
      </c>
      <c r="E2005" s="2" t="str">
        <f>"1000028520"</f>
        <v>1000028520</v>
      </c>
      <c r="F2005" s="4" t="str">
        <f>"PAPER TOWEL: Std Mltfld Wh 16PK/CA - Standard, White Multi fold paper towel, Size 9.125x9.5, 250 towels/pk, 16 pk/case (4000 count total). Approx Case weight 19.1 lbs. Use in dispenser B and J."</f>
        <v>PAPER TOWEL: Std Mltfld Wh 16PK/CA - Standard, White Multi fold paper towel, Size 9.125x9.5, 250 towels/pk, 16 pk/case (4000 count total). Approx Case weight 19.1 lbs. Use in dispenser B and J.</v>
      </c>
      <c r="G2005" s="74" t="str">
        <f t="shared" si="128"/>
        <v>CA</v>
      </c>
      <c r="H2005" s="7">
        <v>27.61</v>
      </c>
      <c r="I2005" s="2" t="str">
        <f>"14111703"</f>
        <v>14111703</v>
      </c>
      <c r="J2005" s="10" t="s">
        <v>159</v>
      </c>
    </row>
    <row r="2006" spans="1:10" ht="89.25">
      <c r="A2006" s="9" t="s">
        <v>59</v>
      </c>
      <c r="B2006" s="2" t="s">
        <v>612</v>
      </c>
      <c r="C2006" s="2">
        <v>3153</v>
      </c>
      <c r="D2006" s="2">
        <v>32</v>
      </c>
      <c r="E2006" s="2" t="str">
        <f>"1000028521"</f>
        <v>1000028521</v>
      </c>
      <c r="F2006" s="4" t="str">
        <f>"PAPER TOWEL: Econ Mltfld Wh 16PK/CA - Economy, White Multi fold paper towel, Size 9.125x9.5, 250 towels/pk, 16 pk/case (4000 count total). Variance in sheet size and sheet quantity is less than 1%. Approx Case weight 21.56 lbs. Use in dispenser B &amp; J."</f>
        <v>PAPER TOWEL: Econ Mltfld Wh 16PK/CA - Economy, White Multi fold paper towel, Size 9.125x9.5, 250 towels/pk, 16 pk/case (4000 count total). Variance in sheet size and sheet quantity is less than 1%. Approx Case weight 21.56 lbs. Use in dispenser B &amp; J.</v>
      </c>
      <c r="G2006" s="74" t="str">
        <f t="shared" si="128"/>
        <v>CA</v>
      </c>
      <c r="H2006" s="7">
        <v>27.03</v>
      </c>
      <c r="I2006" s="2" t="str">
        <f>"14111703"</f>
        <v>14111703</v>
      </c>
      <c r="J2006" s="10" t="s">
        <v>159</v>
      </c>
    </row>
    <row r="2007" spans="1:10" ht="89.25">
      <c r="A2007" s="9" t="s">
        <v>59</v>
      </c>
      <c r="B2007" s="2" t="s">
        <v>612</v>
      </c>
      <c r="C2007" s="2">
        <v>3153</v>
      </c>
      <c r="D2007" s="2">
        <v>33</v>
      </c>
      <c r="E2007" s="2" t="str">
        <f>"1000028522"</f>
        <v>1000028522</v>
      </c>
      <c r="F2007" s="4" t="str">
        <f>"PAPER TOWEL: Grn Mltfld Wh 16PK/CA - Green, White Multi fold paper towel, Size 9.125x9.5, 250 towels/pk, 16 pk/case. (4000 count total). EcoLogo Certified, 40% post consumer recycled content. Approx Case weight 18.5 lbs. Use in dispenser B and J."</f>
        <v>PAPER TOWEL: Grn Mltfld Wh 16PK/CA - Green, White Multi fold paper towel, Size 9.125x9.5, 250 towels/pk, 16 pk/case. (4000 count total). EcoLogo Certified, 40% post consumer recycled content. Approx Case weight 18.5 lbs. Use in dispenser B and J.</v>
      </c>
      <c r="G2007" s="74" t="str">
        <f t="shared" si="128"/>
        <v>CA</v>
      </c>
      <c r="H2007" s="7">
        <v>29.15</v>
      </c>
      <c r="I2007" s="2" t="str">
        <f>"14111703"</f>
        <v>14111703</v>
      </c>
      <c r="J2007" s="10" t="s">
        <v>159</v>
      </c>
    </row>
    <row r="2008" spans="1:10" ht="63.75">
      <c r="A2008" s="9" t="s">
        <v>59</v>
      </c>
      <c r="B2008" s="2" t="s">
        <v>612</v>
      </c>
      <c r="C2008" s="2">
        <v>3153</v>
      </c>
      <c r="D2008" s="2">
        <v>68</v>
      </c>
      <c r="E2008" s="2" t="str">
        <f>"1000028523"</f>
        <v>1000028523</v>
      </c>
      <c r="F2008" s="4" t="str">
        <f>"PAPER TOWEL DISP: I Motion Blk - Black, automated paper towel dispenser. Adjustable towel length. Sold Individually. Requires 4 D cell batteries. Paper towel dispenser I."</f>
        <v>PAPER TOWEL DISP: I Motion Blk - Black, automated paper towel dispenser. Adjustable towel length. Sold Individually. Requires 4 D cell batteries. Paper towel dispenser I.</v>
      </c>
      <c r="G2008" s="74" t="str">
        <f>"EA"</f>
        <v>EA</v>
      </c>
      <c r="H2008" s="7">
        <v>50.72</v>
      </c>
      <c r="I2008" s="2" t="str">
        <f>"47131701"</f>
        <v>47131701</v>
      </c>
      <c r="J2008" s="10" t="s">
        <v>160</v>
      </c>
    </row>
    <row r="2009" spans="1:10" ht="51">
      <c r="A2009" s="9" t="s">
        <v>59</v>
      </c>
      <c r="B2009" s="2" t="s">
        <v>612</v>
      </c>
      <c r="C2009" s="2">
        <v>3153</v>
      </c>
      <c r="D2009" s="2">
        <v>69</v>
      </c>
      <c r="E2009" s="2" t="str">
        <f>"1000028524"</f>
        <v>1000028524</v>
      </c>
      <c r="F2009" s="4" t="str">
        <f>"PAPER TOWEL DISP: J Manual Wh - White Metal Manual Paper towel dispenser, center fold/ multifold/singlefold towels. Sold individually. Paper towel dispenser J."</f>
        <v>PAPER TOWEL DISP: J Manual Wh - White Metal Manual Paper towel dispenser, center fold/ multifold/singlefold towels. Sold individually. Paper towel dispenser J.</v>
      </c>
      <c r="G2009" s="74" t="str">
        <f>"EA"</f>
        <v>EA</v>
      </c>
      <c r="H2009" s="7">
        <v>27.53</v>
      </c>
      <c r="I2009" s="2" t="str">
        <f>"47131701"</f>
        <v>47131701</v>
      </c>
      <c r="J2009" s="10" t="s">
        <v>160</v>
      </c>
    </row>
    <row r="2010" spans="1:10" ht="76.5">
      <c r="A2010" s="9" t="s">
        <v>59</v>
      </c>
      <c r="B2010" s="2" t="s">
        <v>612</v>
      </c>
      <c r="C2010" s="2">
        <v>3153</v>
      </c>
      <c r="D2010" s="2">
        <v>47</v>
      </c>
      <c r="E2010" s="2" t="str">
        <f>"1000028525"</f>
        <v>1000028525</v>
      </c>
      <c r="F2010" s="4" t="str">
        <f>"PAPER TOWEL: Std 1ply Univ Nat 12RL/CA - Standard, Natural 1 ply universal roll towel, Size 7.85x350 roll, 12 rolls/case. Variance in sheet size &amp; sheet quantity less than 1%. Approx Case weight 24.2 lbs. use in dispenser A and E."</f>
        <v>PAPER TOWEL: Std 1ply Univ Nat 12RL/CA - Standard, Natural 1 ply universal roll towel, Size 7.85x350 roll, 12 rolls/case. Variance in sheet size &amp; sheet quantity less than 1%. Approx Case weight 24.2 lbs. use in dispenser A and E.</v>
      </c>
      <c r="G2010" s="74" t="str">
        <f>"CA"</f>
        <v>CA</v>
      </c>
      <c r="H2010" s="7">
        <v>25.09</v>
      </c>
      <c r="I2010" s="2" t="str">
        <f>"14111703"</f>
        <v>14111703</v>
      </c>
      <c r="J2010" s="10" t="s">
        <v>159</v>
      </c>
    </row>
    <row r="2011" spans="1:10" ht="76.5">
      <c r="A2011" s="9" t="s">
        <v>59</v>
      </c>
      <c r="B2011" s="2" t="s">
        <v>612</v>
      </c>
      <c r="C2011" s="2">
        <v>3153</v>
      </c>
      <c r="D2011" s="2">
        <v>48</v>
      </c>
      <c r="E2011" s="2" t="str">
        <f>"1000028526"</f>
        <v>1000028526</v>
      </c>
      <c r="F2011" s="4" t="str">
        <f>"PAPER TOWEL: Econ 1ply Univ Nat 12RL/CA - Economy, Natural 1 ply universal roll towel, Size 7.875x350 roll, 12 rolls/case. Variance in sheet size &amp; sheet quantity less than 1%. Approx Case weight 22.28 lbs RECYCLED. Use in dispenser A and E."</f>
        <v>PAPER TOWEL: Econ 1ply Univ Nat 12RL/CA - Economy, Natural 1 ply universal roll towel, Size 7.875x350 roll, 12 rolls/case. Variance in sheet size &amp; sheet quantity less than 1%. Approx Case weight 22.28 lbs RECYCLED. Use in dispenser A and E.</v>
      </c>
      <c r="G2011" s="74" t="str">
        <f>"CA"</f>
        <v>CA</v>
      </c>
      <c r="H2011" s="7">
        <v>24.3</v>
      </c>
      <c r="I2011" s="2" t="str">
        <f>"14111703"</f>
        <v>14111703</v>
      </c>
      <c r="J2011" s="10" t="s">
        <v>159</v>
      </c>
    </row>
    <row r="2012" spans="1:10" ht="63.75">
      <c r="A2012" s="9" t="s">
        <v>59</v>
      </c>
      <c r="B2012" s="2" t="s">
        <v>612</v>
      </c>
      <c r="C2012" s="2">
        <v>3153</v>
      </c>
      <c r="D2012" s="2">
        <v>38</v>
      </c>
      <c r="E2012" s="2" t="str">
        <f>"1000028527"</f>
        <v>1000028527</v>
      </c>
      <c r="F2012" s="4" t="str">
        <f>"PAPER TOWEL: Prem 1fld Wh 16PK/CA - Premium, White, Single fold paper towel, Size 9.5x10.625, 250 towels/pk, 16 pk/case (4000 count total). Approx Case weight 21 lbs. Use in dispenser D and J."</f>
        <v>PAPER TOWEL: Prem 1fld Wh 16PK/CA - Premium, White, Single fold paper towel, Size 9.5x10.625, 250 towels/pk, 16 pk/case (4000 count total). Approx Case weight 21 lbs. Use in dispenser D and J.</v>
      </c>
      <c r="G2012" s="74" t="str">
        <f>"CA"</f>
        <v>CA</v>
      </c>
      <c r="H2012" s="7">
        <v>40.99</v>
      </c>
      <c r="I2012" s="2" t="str">
        <f>"14111703"</f>
        <v>14111703</v>
      </c>
      <c r="J2012" s="10" t="s">
        <v>159</v>
      </c>
    </row>
    <row r="2013" spans="1:10" ht="63.75">
      <c r="A2013" s="9" t="s">
        <v>59</v>
      </c>
      <c r="B2013" s="2" t="s">
        <v>612</v>
      </c>
      <c r="C2013" s="2">
        <v>3153</v>
      </c>
      <c r="D2013" s="2">
        <v>39</v>
      </c>
      <c r="E2013" s="2" t="str">
        <f>"1000028528"</f>
        <v>1000028528</v>
      </c>
      <c r="F2013" s="4" t="str">
        <f>"PAPER TOWEL: Std 1 fld Wh 16PK/CA - Standard, White, Single fold paper towel, Size 9.125x10.25, 250 towels/pk, 16 pk/case (4000 count total). Approx Case weight 22.3 lbs. Use in dispenser D and J."</f>
        <v>PAPER TOWEL: Std 1 fld Wh 16PK/CA - Standard, White, Single fold paper towel, Size 9.125x10.25, 250 towels/pk, 16 pk/case (4000 count total). Approx Case weight 22.3 lbs. Use in dispenser D and J.</v>
      </c>
      <c r="G2013" s="74" t="str">
        <f>"CA"</f>
        <v>CA</v>
      </c>
      <c r="H2013" s="7">
        <v>31.23</v>
      </c>
      <c r="I2013" s="2" t="str">
        <f>"14111703"</f>
        <v>14111703</v>
      </c>
      <c r="J2013" s="10" t="s">
        <v>159</v>
      </c>
    </row>
    <row r="2014" spans="1:10" ht="38.25">
      <c r="A2014" s="9" t="s">
        <v>59</v>
      </c>
      <c r="B2014" s="2" t="s">
        <v>612</v>
      </c>
      <c r="C2014" s="2">
        <v>3153</v>
      </c>
      <c r="D2014" s="2">
        <v>70</v>
      </c>
      <c r="E2014" s="2" t="str">
        <f>"1000028529"</f>
        <v>1000028529</v>
      </c>
      <c r="F2014" s="4" t="str">
        <f>"BATH TISSUE DISP: Jr. Jumbo - Smoke Black, Single Roll, 9 diameter, Jr. Jumbo Toilet Paper dispenser. Sold individually."</f>
        <v>BATH TISSUE DISP: Jr. Jumbo - Smoke Black, Single Roll, 9 diameter, Jr. Jumbo Toilet Paper dispenser. Sold individually.</v>
      </c>
      <c r="G2014" s="74" t="str">
        <f>"EA"</f>
        <v>EA</v>
      </c>
      <c r="H2014" s="7">
        <v>17.97</v>
      </c>
      <c r="I2014" s="2" t="str">
        <f>"47131710"</f>
        <v>47131710</v>
      </c>
      <c r="J2014" s="10" t="s">
        <v>161</v>
      </c>
    </row>
    <row r="2015" spans="1:10" ht="38.25">
      <c r="A2015" s="9" t="s">
        <v>59</v>
      </c>
      <c r="B2015" s="2" t="s">
        <v>612</v>
      </c>
      <c r="C2015" s="2">
        <v>3153</v>
      </c>
      <c r="D2015" s="2">
        <v>71</v>
      </c>
      <c r="E2015" s="2" t="str">
        <f>"1000028530"</f>
        <v>1000028530</v>
      </c>
      <c r="F2015" s="4" t="str">
        <f>"BATH TISSUE DISP: Sr. Jumbo - Smoke Black, Single Roll, 12 diameter, Sr. Jumbo Toilet Paper dispenser. Sold individually."</f>
        <v>BATH TISSUE DISP: Sr. Jumbo - Smoke Black, Single Roll, 12 diameter, Sr. Jumbo Toilet Paper dispenser. Sold individually.</v>
      </c>
      <c r="G2015" s="74" t="str">
        <f>"EA"</f>
        <v>EA</v>
      </c>
      <c r="H2015" s="7">
        <v>27.53</v>
      </c>
      <c r="I2015" s="2" t="str">
        <f>"47131710"</f>
        <v>47131710</v>
      </c>
      <c r="J2015" s="10" t="s">
        <v>161</v>
      </c>
    </row>
    <row r="2016" spans="1:10" ht="38.25">
      <c r="A2016" s="9" t="s">
        <v>59</v>
      </c>
      <c r="B2016" s="2" t="s">
        <v>612</v>
      </c>
      <c r="C2016" s="2">
        <v>3153</v>
      </c>
      <c r="D2016" s="2">
        <v>72</v>
      </c>
      <c r="E2016" s="2" t="str">
        <f>"1000028531"</f>
        <v>1000028531</v>
      </c>
      <c r="F2016" s="4" t="str">
        <f>"BATH TISSUE DISP: Std 2 Roll - 2 Roll Standard Toilet Paper Dispenser. Sold individually."</f>
        <v>BATH TISSUE DISP: Std 2 Roll - 2 Roll Standard Toilet Paper Dispenser. Sold individually.</v>
      </c>
      <c r="G2016" s="74" t="str">
        <f>"EA"</f>
        <v>EA</v>
      </c>
      <c r="H2016" s="7">
        <v>21.49</v>
      </c>
      <c r="I2016" s="2" t="str">
        <f>"47131710"</f>
        <v>47131710</v>
      </c>
      <c r="J2016" s="10" t="s">
        <v>161</v>
      </c>
    </row>
    <row r="2017" spans="1:10" ht="51">
      <c r="A2017" s="9" t="s">
        <v>59</v>
      </c>
      <c r="B2017" s="2" t="s">
        <v>612</v>
      </c>
      <c r="C2017" s="2">
        <v>3153</v>
      </c>
      <c r="D2017" s="2">
        <v>5</v>
      </c>
      <c r="E2017" s="2" t="str">
        <f>"1000028532"</f>
        <v>1000028532</v>
      </c>
      <c r="F2017" s="4" t="str">
        <f>"FACE TISSUE: Prem 90/BX 48BX/CA - Premium, 2 Ply Facial tissue, Cube box, Size 8x8, 90 sheets/box, 48 boxes/case. Approx. case weight 17 lbs"</f>
        <v>FACE TISSUE: Prem 90/BX 48BX/CA - Premium, 2 Ply Facial tissue, Cube box, Size 8x8, 90 sheets/box, 48 boxes/case. Approx. case weight 17 lbs</v>
      </c>
      <c r="G2017" s="74" t="str">
        <f t="shared" ref="G2017:G2025" si="129">"CA"</f>
        <v>CA</v>
      </c>
      <c r="H2017" s="7">
        <v>58.9</v>
      </c>
      <c r="I2017" s="2" t="str">
        <f>"14111701"</f>
        <v>14111701</v>
      </c>
      <c r="J2017" s="10" t="s">
        <v>157</v>
      </c>
    </row>
    <row r="2018" spans="1:10" ht="51">
      <c r="A2018" s="9" t="s">
        <v>59</v>
      </c>
      <c r="B2018" s="2" t="s">
        <v>612</v>
      </c>
      <c r="C2018" s="2">
        <v>3153</v>
      </c>
      <c r="D2018" s="2">
        <v>6</v>
      </c>
      <c r="E2018" s="2" t="str">
        <f>"1000028533"</f>
        <v>1000028533</v>
      </c>
      <c r="F2018" s="4" t="str">
        <f>"FACE TISSUE: Std 94/BX 36BX/CA - Standard, 2 Ply Facial tissue, Cube box, Size 8.2x7.9, 94 sheets/box, 36 boxes/case. Approx Case weight 14.1 lbs"</f>
        <v>FACE TISSUE: Std 94/BX 36BX/CA - Standard, 2 Ply Facial tissue, Cube box, Size 8.2x7.9, 94 sheets/box, 36 boxes/case. Approx Case weight 14.1 lbs</v>
      </c>
      <c r="G2018" s="74" t="str">
        <f t="shared" si="129"/>
        <v>CA</v>
      </c>
      <c r="H2018" s="7">
        <v>57.9</v>
      </c>
      <c r="I2018" s="2" t="str">
        <f>"14111701"</f>
        <v>14111701</v>
      </c>
      <c r="J2018" s="10" t="s">
        <v>157</v>
      </c>
    </row>
    <row r="2019" spans="1:10" ht="76.5">
      <c r="A2019" s="9" t="s">
        <v>59</v>
      </c>
      <c r="B2019" s="2" t="s">
        <v>612</v>
      </c>
      <c r="C2019" s="2">
        <v>3153</v>
      </c>
      <c r="D2019" s="2">
        <v>45</v>
      </c>
      <c r="E2019" s="2" t="str">
        <f>"1000028534"</f>
        <v>1000028534</v>
      </c>
      <c r="F2019" s="4" t="str">
        <f>"PAPER TOWEL: Grn 2ply Hshld 30RL/CA - Green, White 2 ply household kitchen towel, perforated roll, sheet size 9x11, 84 sheets/roll, 30 rolls/case. EcoLogo cert. 100% Recycled, 30% PCRC. Approx Case weight 18 lbs ."</f>
        <v>PAPER TOWEL: Grn 2ply Hshld 30RL/CA - Green, White 2 ply household kitchen towel, perforated roll, sheet size 9x11, 84 sheets/roll, 30 rolls/case. EcoLogo cert. 100% Recycled, 30% PCRC. Approx Case weight 18 lbs .</v>
      </c>
      <c r="G2019" s="74" t="str">
        <f t="shared" si="129"/>
        <v>CA</v>
      </c>
      <c r="H2019" s="7">
        <v>33.53</v>
      </c>
      <c r="I2019" s="2" t="str">
        <f>"14111703"</f>
        <v>14111703</v>
      </c>
      <c r="J2019" s="10" t="s">
        <v>159</v>
      </c>
    </row>
    <row r="2020" spans="1:10" ht="63.75">
      <c r="A2020" s="9" t="s">
        <v>59</v>
      </c>
      <c r="B2020" s="2" t="s">
        <v>612</v>
      </c>
      <c r="C2020" s="2">
        <v>3153</v>
      </c>
      <c r="D2020" s="2">
        <v>46</v>
      </c>
      <c r="E2020" s="2" t="str">
        <f>"1000028535"</f>
        <v>1000028535</v>
      </c>
      <c r="F2020" s="4" t="str">
        <f>"PAPER TOWEL: Prem 1ply Univ Nat 12RL/CA - Premium, Natural 1 ply universal roll towel, Size 8x350 roll, 12 rolls/case. Approx Case weight 22.2 lbs. Use in dispenser A and E."</f>
        <v>PAPER TOWEL: Prem 1ply Univ Nat 12RL/CA - Premium, Natural 1 ply universal roll towel, Size 8x350 roll, 12 rolls/case. Approx Case weight 22.2 lbs. Use in dispenser A and E.</v>
      </c>
      <c r="G2020" s="74" t="str">
        <f t="shared" si="129"/>
        <v>CA</v>
      </c>
      <c r="H2020" s="7">
        <v>27.52</v>
      </c>
      <c r="I2020" s="2" t="str">
        <f>"14111703"</f>
        <v>14111703</v>
      </c>
      <c r="J2020" s="10" t="s">
        <v>159</v>
      </c>
    </row>
    <row r="2021" spans="1:10" ht="89.25">
      <c r="A2021" s="9" t="s">
        <v>59</v>
      </c>
      <c r="B2021" s="2" t="s">
        <v>612</v>
      </c>
      <c r="C2021" s="2">
        <v>3153</v>
      </c>
      <c r="D2021" s="2">
        <v>9</v>
      </c>
      <c r="E2021" s="2" t="str">
        <f>"1000028536"</f>
        <v>1000028536</v>
      </c>
      <c r="F2021" s="4" t="str">
        <f>"BATH TISSUE: Econ 1 Ply 96RL/CA - Economy, 1 ply natural toilet paper, perforated 4.25x3.5 sheets, 1000 sheets/roll, 96 rolls/case. Individually wrapped. Variance in sheet size and sheet quantity is less than 1%. Approx Case Weight 33.96 lbs (RECYCLED)"</f>
        <v>BATH TISSUE: Econ 1 Ply 96RL/CA - Economy, 1 ply natural toilet paper, perforated 4.25x3.5 sheets, 1000 sheets/roll, 96 rolls/case. Individually wrapped. Variance in sheet size and sheet quantity is less than 1%. Approx Case Weight 33.96 lbs (RECYCLED)</v>
      </c>
      <c r="G2021" s="74" t="str">
        <f t="shared" si="129"/>
        <v>CA</v>
      </c>
      <c r="H2021" s="7">
        <v>50.09</v>
      </c>
      <c r="I2021" s="2" t="str">
        <f>"14111704"</f>
        <v>14111704</v>
      </c>
      <c r="J2021" s="10" t="s">
        <v>158</v>
      </c>
    </row>
    <row r="2022" spans="1:10" ht="76.5">
      <c r="A2022" s="9" t="s">
        <v>59</v>
      </c>
      <c r="B2022" s="2" t="s">
        <v>612</v>
      </c>
      <c r="C2022" s="2">
        <v>3153</v>
      </c>
      <c r="D2022" s="2">
        <v>10</v>
      </c>
      <c r="E2022" s="2" t="str">
        <f>"1000028537"</f>
        <v>1000028537</v>
      </c>
      <c r="F2022" s="4" t="str">
        <f>"BATH TISSUE: Grn 1 Ply 80RL/CA - Green, 1 ply natural toilet paper, perforated 4.1x3.75 sheets, 1210 sheets/roll, 80 rolls/case. Individually wrapped. EcoLogo Certified, 20% post consumer recycled content. Approx Case Weight 42.5 lbs."</f>
        <v>BATH TISSUE: Grn 1 Ply 80RL/CA - Green, 1 ply natural toilet paper, perforated 4.1x3.75 sheets, 1210 sheets/roll, 80 rolls/case. Individually wrapped. EcoLogo Certified, 20% post consumer recycled content. Approx Case Weight 42.5 lbs.</v>
      </c>
      <c r="G2022" s="74" t="str">
        <f t="shared" si="129"/>
        <v>CA</v>
      </c>
      <c r="H2022" s="7">
        <v>69.069999999999993</v>
      </c>
      <c r="I2022" s="2" t="str">
        <f>"14111704"</f>
        <v>14111704</v>
      </c>
      <c r="J2022" s="10" t="s">
        <v>158</v>
      </c>
    </row>
    <row r="2023" spans="1:10" ht="63.75">
      <c r="A2023" s="9" t="s">
        <v>59</v>
      </c>
      <c r="B2023" s="2" t="s">
        <v>612</v>
      </c>
      <c r="C2023" s="2">
        <v>3153</v>
      </c>
      <c r="D2023" s="2">
        <v>11</v>
      </c>
      <c r="E2023" s="2" t="str">
        <f>"1000028538"</f>
        <v>1000028538</v>
      </c>
      <c r="F2023" s="4" t="str">
        <f>"BATH TISSUE: Prem 2 Ply 96RL/CA - Premium, 2 Ply white toilet paper, perforated 4.5x3.5 sheets, 500 sheets/roll, 96 rolls/case. Individually wrapped. Approx Case weight 34 lbs"</f>
        <v>BATH TISSUE: Prem 2 Ply 96RL/CA - Premium, 2 Ply white toilet paper, perforated 4.5x3.5 sheets, 500 sheets/roll, 96 rolls/case. Individually wrapped. Approx Case weight 34 lbs</v>
      </c>
      <c r="G2023" s="74" t="str">
        <f t="shared" si="129"/>
        <v>CA</v>
      </c>
      <c r="H2023" s="7">
        <v>61.48</v>
      </c>
      <c r="I2023" s="2" t="str">
        <f>"14111704"</f>
        <v>14111704</v>
      </c>
      <c r="J2023" s="10" t="s">
        <v>158</v>
      </c>
    </row>
    <row r="2024" spans="1:10" ht="63.75">
      <c r="A2024" s="9" t="s">
        <v>59</v>
      </c>
      <c r="B2024" s="2" t="s">
        <v>612</v>
      </c>
      <c r="C2024" s="2">
        <v>3153</v>
      </c>
      <c r="D2024" s="2">
        <v>12</v>
      </c>
      <c r="E2024" s="2" t="str">
        <f>"1000028539"</f>
        <v>1000028539</v>
      </c>
      <c r="F2024" s="4" t="str">
        <f>"BATH TISSUE: Std 2 Ply 96RL/CA - Standard, 2 Ply white toilet paper, perforated 4.5x3.5 sheets, 500 sheets/roll, 96 rolls/case. Individually wrapped. Approx Case weight 33 lbs."</f>
        <v>BATH TISSUE: Std 2 Ply 96RL/CA - Standard, 2 Ply white toilet paper, perforated 4.5x3.5 sheets, 500 sheets/roll, 96 rolls/case. Individually wrapped. Approx Case weight 33 lbs.</v>
      </c>
      <c r="G2024" s="74" t="str">
        <f t="shared" si="129"/>
        <v>CA</v>
      </c>
      <c r="H2024" s="7">
        <v>52.48</v>
      </c>
      <c r="I2024" s="2" t="str">
        <f>"14111704"</f>
        <v>14111704</v>
      </c>
      <c r="J2024" s="10" t="s">
        <v>158</v>
      </c>
    </row>
    <row r="2025" spans="1:10" ht="63.75">
      <c r="A2025" s="9" t="s">
        <v>59</v>
      </c>
      <c r="B2025" s="2" t="s">
        <v>612</v>
      </c>
      <c r="C2025" s="2">
        <v>3153</v>
      </c>
      <c r="D2025" s="2">
        <v>73</v>
      </c>
      <c r="E2025" s="2" t="str">
        <f>"1000028540"</f>
        <v>1000028540</v>
      </c>
      <c r="F2025" s="4" t="str">
        <f>"WIPERS: Wh 2ply 125/BX 15BX/CA - White Universal 2 ply light duty disposable pop up boxed wiper. Size 9x10.25, 125 wipers/box, 15 boxes/case. Approx case weight 16.8 lbs"</f>
        <v>WIPERS: Wh 2ply 125/BX 15BX/CA - White Universal 2 ply light duty disposable pop up boxed wiper. Size 9x10.25, 125 wipers/box, 15 boxes/case. Approx case weight 16.8 lbs</v>
      </c>
      <c r="G2025" s="74" t="str">
        <f t="shared" si="129"/>
        <v>CA</v>
      </c>
      <c r="H2025" s="7">
        <v>40.31</v>
      </c>
      <c r="I2025" s="2" t="str">
        <f>"47131502"</f>
        <v>47131502</v>
      </c>
      <c r="J2025" s="10" t="s">
        <v>162</v>
      </c>
    </row>
    <row r="2026" spans="1:10" ht="51">
      <c r="A2026" s="9" t="s">
        <v>59</v>
      </c>
      <c r="B2026" s="2" t="s">
        <v>612</v>
      </c>
      <c r="C2026" s="2">
        <v>3153</v>
      </c>
      <c r="D2026" s="2">
        <v>63</v>
      </c>
      <c r="E2026" s="2" t="str">
        <f>"1000028541"</f>
        <v>1000028541</v>
      </c>
      <c r="F2026" s="4" t="str">
        <f>"PAPER TOWEL DISP: D Sngl Fld, Wh - White, metal, single fold paper towel dispenser. Sold individually. Paper towel dispenser D."</f>
        <v>PAPER TOWEL DISP: D Sngl Fld, Wh - White, metal, single fold paper towel dispenser. Sold individually. Paper towel dispenser D.</v>
      </c>
      <c r="G2026" s="74" t="str">
        <f>"EA"</f>
        <v>EA</v>
      </c>
      <c r="H2026" s="7">
        <v>24.59</v>
      </c>
      <c r="I2026" s="2" t="str">
        <f>"47131701"</f>
        <v>47131701</v>
      </c>
      <c r="J2026" s="10" t="s">
        <v>160</v>
      </c>
    </row>
    <row r="2027" spans="1:10" ht="51">
      <c r="A2027" s="9" t="s">
        <v>59</v>
      </c>
      <c r="B2027" s="2" t="s">
        <v>612</v>
      </c>
      <c r="C2027" s="2">
        <v>3153</v>
      </c>
      <c r="D2027" s="2">
        <v>64</v>
      </c>
      <c r="E2027" s="2" t="str">
        <f>"1000028542"</f>
        <v>1000028542</v>
      </c>
      <c r="F2027" s="4" t="str">
        <f>"PAPER TOWEL DISP: E Auto Univ - Automatic Roll Towel Dispenser. Universal. Sold individually. Paper towel dispenser E."</f>
        <v>PAPER TOWEL DISP: E Auto Univ - Automatic Roll Towel Dispenser. Universal. Sold individually. Paper towel dispenser E.</v>
      </c>
      <c r="G2027" s="74" t="str">
        <f>"EA"</f>
        <v>EA</v>
      </c>
      <c r="H2027" s="7">
        <v>71.69</v>
      </c>
      <c r="I2027" s="2" t="str">
        <f>"47131701"</f>
        <v>47131701</v>
      </c>
      <c r="J2027" s="10" t="s">
        <v>160</v>
      </c>
    </row>
    <row r="2028" spans="1:10" ht="63.75">
      <c r="A2028" s="9" t="s">
        <v>59</v>
      </c>
      <c r="B2028" s="2" t="s">
        <v>612</v>
      </c>
      <c r="C2028" s="2">
        <v>3153</v>
      </c>
      <c r="D2028" s="2">
        <v>65</v>
      </c>
      <c r="E2028" s="2" t="str">
        <f>"1000028543"</f>
        <v>1000028543</v>
      </c>
      <c r="F2028" s="4" t="str">
        <f>"PAPER TOWEL DISP: F Motion Wh - White, automated paper towel dispenser, touchless, hard roll. Adjustable towel length. Sold individually. Requires 4 D cell batteries. Paper towel dispenser F."</f>
        <v>PAPER TOWEL DISP: F Motion Wh - White, automated paper towel dispenser, touchless, hard roll. Adjustable towel length. Sold individually. Requires 4 D cell batteries. Paper towel dispenser F.</v>
      </c>
      <c r="G2028" s="74" t="str">
        <f>"EA"</f>
        <v>EA</v>
      </c>
      <c r="H2028" s="7">
        <v>14.5</v>
      </c>
      <c r="I2028" s="2" t="str">
        <f>"47131701"</f>
        <v>47131701</v>
      </c>
      <c r="J2028" s="10" t="s">
        <v>160</v>
      </c>
    </row>
    <row r="2029" spans="1:10" ht="63.75">
      <c r="A2029" s="9" t="s">
        <v>59</v>
      </c>
      <c r="B2029" s="2" t="s">
        <v>612</v>
      </c>
      <c r="C2029" s="2">
        <v>3153</v>
      </c>
      <c r="D2029" s="2">
        <v>78</v>
      </c>
      <c r="E2029" s="2" t="str">
        <f>"1000029092"</f>
        <v>1000029092</v>
      </c>
      <c r="F2029" s="4" t="str">
        <f>"BATH TISSUE:Prem 1ply 96RL/CA - Premium 1 ply white toilet paper. Size 4.1x3.5sheet. 1,000 sheets/roll, 96 rolls/case. Individually wrapped. Approx. Case weight 38 LBS"</f>
        <v>BATH TISSUE:Prem 1ply 96RL/CA - Premium 1 ply white toilet paper. Size 4.1x3.5sheet. 1,000 sheets/roll, 96 rolls/case. Individually wrapped. Approx. Case weight 38 LBS</v>
      </c>
      <c r="G2029" s="74" t="str">
        <f>"CA"</f>
        <v>CA</v>
      </c>
      <c r="H2029" s="7">
        <v>65.73</v>
      </c>
      <c r="I2029" s="2" t="str">
        <f>"14111704"</f>
        <v>14111704</v>
      </c>
      <c r="J2029" s="10" t="s">
        <v>158</v>
      </c>
    </row>
    <row r="2030" spans="1:10">
      <c r="A2030" s="9" t="s">
        <v>58</v>
      </c>
      <c r="B2030" s="2" t="s">
        <v>612</v>
      </c>
      <c r="C2030" s="2">
        <v>3076</v>
      </c>
      <c r="D2030" s="2">
        <v>70</v>
      </c>
      <c r="E2030" s="2" t="str">
        <f>"1000008974"</f>
        <v>1000008974</v>
      </c>
      <c r="F2030" s="4" t="str">
        <f>"SHIPPING: General Charges"</f>
        <v>SHIPPING: General Charges</v>
      </c>
      <c r="G2030" s="74" t="str">
        <f>"EA"</f>
        <v>EA</v>
      </c>
      <c r="H2030" s="7">
        <v>0.01</v>
      </c>
      <c r="I2030" s="2" t="str">
        <f>"78121603"</f>
        <v>78121603</v>
      </c>
      <c r="J2030" s="10" t="s">
        <v>75</v>
      </c>
    </row>
    <row r="2031" spans="1:10" ht="51">
      <c r="A2031" s="9" t="s">
        <v>58</v>
      </c>
      <c r="B2031" s="2" t="s">
        <v>612</v>
      </c>
      <c r="C2031" s="2">
        <v>3076</v>
      </c>
      <c r="D2031" s="2">
        <v>21</v>
      </c>
      <c r="E2031" s="2" t="str">
        <f>"1000024561"</f>
        <v>1000024561</v>
      </c>
      <c r="F2031" s="4" t="str">
        <f>"EXAM GLOVE: Ltx Sm Pdr 1000/CA - Small, powdered, latex, non-sterile, smooth, ambidextrous, singles, 100/box, 10 boxes/case (1000 gloves)"</f>
        <v>EXAM GLOVE: Ltx Sm Pdr 1000/CA - Small, powdered, latex, non-sterile, smooth, ambidextrous, singles, 100/box, 10 boxes/case (1000 gloves)</v>
      </c>
      <c r="G2031" s="74" t="str">
        <f t="shared" ref="G2031:G2062" si="130">"CA"</f>
        <v>CA</v>
      </c>
      <c r="H2031" s="7">
        <v>53.5</v>
      </c>
      <c r="I2031" s="2" t="str">
        <f t="shared" ref="I2031:I2038" si="131">"42132203"</f>
        <v>42132203</v>
      </c>
      <c r="J2031" s="10" t="s">
        <v>153</v>
      </c>
    </row>
    <row r="2032" spans="1:10" ht="51">
      <c r="A2032" s="9" t="s">
        <v>58</v>
      </c>
      <c r="B2032" s="2" t="s">
        <v>612</v>
      </c>
      <c r="C2032" s="2">
        <v>3076</v>
      </c>
      <c r="D2032" s="2">
        <v>22</v>
      </c>
      <c r="E2032" s="2" t="str">
        <f>"1000024562"</f>
        <v>1000024562</v>
      </c>
      <c r="F2032" s="4" t="str">
        <f>"EXAM GLOVE: Ltx Med Pdr 1000/CA - Medium, powdered, latex, non-sterile, smooth, ambidextrous, singles, 100/box, 10 boxes/case (1000 gloves)"</f>
        <v>EXAM GLOVE: Ltx Med Pdr 1000/CA - Medium, powdered, latex, non-sterile, smooth, ambidextrous, singles, 100/box, 10 boxes/case (1000 gloves)</v>
      </c>
      <c r="G2032" s="74" t="str">
        <f t="shared" si="130"/>
        <v>CA</v>
      </c>
      <c r="H2032" s="7">
        <v>53.5</v>
      </c>
      <c r="I2032" s="2" t="str">
        <f t="shared" si="131"/>
        <v>42132203</v>
      </c>
      <c r="J2032" s="10" t="s">
        <v>153</v>
      </c>
    </row>
    <row r="2033" spans="1:10" ht="51">
      <c r="A2033" s="9" t="s">
        <v>58</v>
      </c>
      <c r="B2033" s="2" t="s">
        <v>612</v>
      </c>
      <c r="C2033" s="2">
        <v>3076</v>
      </c>
      <c r="D2033" s="2">
        <v>23</v>
      </c>
      <c r="E2033" s="2" t="str">
        <f>"1000024563"</f>
        <v>1000024563</v>
      </c>
      <c r="F2033" s="4" t="str">
        <f>"EXAM GLOVE: Ltx Lg Pdr 1000/CA - Large, powdered, latex, non-sterile, smooth, ambidextrous, singles, 100/box, 10 boxes/case (1000 gloves)"</f>
        <v>EXAM GLOVE: Ltx Lg Pdr 1000/CA - Large, powdered, latex, non-sterile, smooth, ambidextrous, singles, 100/box, 10 boxes/case (1000 gloves)</v>
      </c>
      <c r="G2033" s="74" t="str">
        <f t="shared" si="130"/>
        <v>CA</v>
      </c>
      <c r="H2033" s="7">
        <v>53.5</v>
      </c>
      <c r="I2033" s="2" t="str">
        <f t="shared" si="131"/>
        <v>42132203</v>
      </c>
      <c r="J2033" s="10" t="s">
        <v>153</v>
      </c>
    </row>
    <row r="2034" spans="1:10" ht="51">
      <c r="A2034" s="9" t="s">
        <v>58</v>
      </c>
      <c r="B2034" s="2" t="s">
        <v>612</v>
      </c>
      <c r="C2034" s="2">
        <v>3076</v>
      </c>
      <c r="D2034" s="2">
        <v>24</v>
      </c>
      <c r="E2034" s="2" t="str">
        <f>"1000024564"</f>
        <v>1000024564</v>
      </c>
      <c r="F2034" s="4" t="str">
        <f>"EXAM GLOVE: Ltx XL Pdr 1000/CA - X-Large, powdered, latex, non-sterile, smooth, ambidextrous, singles, 100/box, 10 boxes/case (1000 gloves)"</f>
        <v>EXAM GLOVE: Ltx XL Pdr 1000/CA - X-Large, powdered, latex, non-sterile, smooth, ambidextrous, singles, 100/box, 10 boxes/case (1000 gloves)</v>
      </c>
      <c r="G2034" s="74" t="str">
        <f t="shared" si="130"/>
        <v>CA</v>
      </c>
      <c r="H2034" s="7">
        <v>53.5</v>
      </c>
      <c r="I2034" s="2" t="str">
        <f t="shared" si="131"/>
        <v>42132203</v>
      </c>
      <c r="J2034" s="10" t="s">
        <v>153</v>
      </c>
    </row>
    <row r="2035" spans="1:10" ht="51">
      <c r="A2035" s="9" t="s">
        <v>58</v>
      </c>
      <c r="B2035" s="2" t="s">
        <v>612</v>
      </c>
      <c r="C2035" s="2">
        <v>3076</v>
      </c>
      <c r="D2035" s="2">
        <v>25</v>
      </c>
      <c r="E2035" s="2" t="str">
        <f>"1000024565"</f>
        <v>1000024565</v>
      </c>
      <c r="F2035" s="4" t="str">
        <f>"EXAM GLOVE: Ltx Sm PF 1000/CA - Small, Examination, latex, powder free, non-sterile, disposable, singles, 100/box, 10 boxes/case (1000 gloves)"</f>
        <v>EXAM GLOVE: Ltx Sm PF 1000/CA - Small, Examination, latex, powder free, non-sterile, disposable, singles, 100/box, 10 boxes/case (1000 gloves)</v>
      </c>
      <c r="G2035" s="74" t="str">
        <f t="shared" si="130"/>
        <v>CA</v>
      </c>
      <c r="H2035" s="7">
        <v>63.5</v>
      </c>
      <c r="I2035" s="2" t="str">
        <f t="shared" si="131"/>
        <v>42132203</v>
      </c>
      <c r="J2035" s="10" t="s">
        <v>153</v>
      </c>
    </row>
    <row r="2036" spans="1:10" ht="51">
      <c r="A2036" s="9" t="s">
        <v>58</v>
      </c>
      <c r="B2036" s="2" t="s">
        <v>612</v>
      </c>
      <c r="C2036" s="2">
        <v>3076</v>
      </c>
      <c r="D2036" s="2">
        <v>26</v>
      </c>
      <c r="E2036" s="2" t="str">
        <f>"1000024566"</f>
        <v>1000024566</v>
      </c>
      <c r="F2036" s="4" t="str">
        <f>"EXAM GLOVE: Ltx Med PF 1000/CA - Medium, Examination, latex, powder free, non-sterile, disposable, singles, 100/box, 10 boxes/case (1000 gloves)"</f>
        <v>EXAM GLOVE: Ltx Med PF 1000/CA - Medium, Examination, latex, powder free, non-sterile, disposable, singles, 100/box, 10 boxes/case (1000 gloves)</v>
      </c>
      <c r="G2036" s="74" t="str">
        <f t="shared" si="130"/>
        <v>CA</v>
      </c>
      <c r="H2036" s="7">
        <v>63.5</v>
      </c>
      <c r="I2036" s="2" t="str">
        <f t="shared" si="131"/>
        <v>42132203</v>
      </c>
      <c r="J2036" s="10" t="s">
        <v>153</v>
      </c>
    </row>
    <row r="2037" spans="1:10" ht="51">
      <c r="A2037" s="9" t="s">
        <v>58</v>
      </c>
      <c r="B2037" s="2" t="s">
        <v>612</v>
      </c>
      <c r="C2037" s="2">
        <v>3076</v>
      </c>
      <c r="D2037" s="2">
        <v>27</v>
      </c>
      <c r="E2037" s="2" t="str">
        <f>"1000024567"</f>
        <v>1000024567</v>
      </c>
      <c r="F2037" s="4" t="str">
        <f>"EXAM GLOVES: Ltx Lg PF 1000/CA - Large, Examination, latex, powder free, non-sterile, disposable, singles, 100/box, 10 boxes/case (1000 gloves)"</f>
        <v>EXAM GLOVES: Ltx Lg PF 1000/CA - Large, Examination, latex, powder free, non-sterile, disposable, singles, 100/box, 10 boxes/case (1000 gloves)</v>
      </c>
      <c r="G2037" s="74" t="str">
        <f t="shared" si="130"/>
        <v>CA</v>
      </c>
      <c r="H2037" s="7">
        <v>63.5</v>
      </c>
      <c r="I2037" s="2" t="str">
        <f t="shared" si="131"/>
        <v>42132203</v>
      </c>
      <c r="J2037" s="10" t="s">
        <v>153</v>
      </c>
    </row>
    <row r="2038" spans="1:10" ht="51">
      <c r="A2038" s="9" t="s">
        <v>58</v>
      </c>
      <c r="B2038" s="2" t="s">
        <v>612</v>
      </c>
      <c r="C2038" s="2">
        <v>3076</v>
      </c>
      <c r="D2038" s="2">
        <v>28</v>
      </c>
      <c r="E2038" s="2" t="str">
        <f>"1000024568"</f>
        <v>1000024568</v>
      </c>
      <c r="F2038" s="4" t="str">
        <f>"EXAM GLOVE: Ltx XL PF 1000/CA - X-Large, Examination, latex, powder free, non-sterile, disposable, singles, 100/box, 10 boxes/case (1000 gloves)"</f>
        <v>EXAM GLOVE: Ltx XL PF 1000/CA - X-Large, Examination, latex, powder free, non-sterile, disposable, singles, 100/box, 10 boxes/case (1000 gloves)</v>
      </c>
      <c r="G2038" s="74" t="str">
        <f t="shared" si="130"/>
        <v>CA</v>
      </c>
      <c r="H2038" s="7">
        <v>63.5</v>
      </c>
      <c r="I2038" s="2" t="str">
        <f t="shared" si="131"/>
        <v>42132203</v>
      </c>
      <c r="J2038" s="10" t="s">
        <v>153</v>
      </c>
    </row>
    <row r="2039" spans="1:10" ht="63.75">
      <c r="A2039" s="9" t="s">
        <v>58</v>
      </c>
      <c r="B2039" s="2" t="s">
        <v>612</v>
      </c>
      <c r="C2039" s="2">
        <v>3076</v>
      </c>
      <c r="D2039" s="2">
        <v>69</v>
      </c>
      <c r="E2039" s="2" t="str">
        <f>"1000025112"</f>
        <v>1000025112</v>
      </c>
      <c r="F2039" s="4" t="str">
        <f>"FACE MASK: Pleated Earloop 500/CA - Earloop face mask 50/box, 10 boxes/case. Moisture resistant, latex free, 3-ply construction. Appropriate for all general patient care situations. (500 masks)"</f>
        <v>FACE MASK: Pleated Earloop 500/CA - Earloop face mask 50/box, 10 boxes/case. Moisture resistant, latex free, 3-ply construction. Appropriate for all general patient care situations. (500 masks)</v>
      </c>
      <c r="G2039" s="74" t="str">
        <f t="shared" si="130"/>
        <v>CA</v>
      </c>
      <c r="H2039" s="7">
        <v>38.78</v>
      </c>
      <c r="I2039" s="2" t="str">
        <f>"42131606"</f>
        <v>42131606</v>
      </c>
      <c r="J2039" s="10" t="s">
        <v>155</v>
      </c>
    </row>
    <row r="2040" spans="1:10" ht="38.25">
      <c r="A2040" s="9" t="s">
        <v>58</v>
      </c>
      <c r="B2040" s="2" t="s">
        <v>612</v>
      </c>
      <c r="C2040" s="2">
        <v>3076</v>
      </c>
      <c r="D2040" s="2">
        <v>56</v>
      </c>
      <c r="E2040" s="2" t="str">
        <f>"1000025116"</f>
        <v>1000025116</v>
      </c>
      <c r="F2040" s="4" t="str">
        <f>"EXAM GLOVE: Vinyl Lg Pdr 1000/CA - Vinyl Large, powdered, non-sterile, 100/box, 10 boxes/Case (1000 gloves)"</f>
        <v>EXAM GLOVE: Vinyl Lg Pdr 1000/CA - Vinyl Large, powdered, non-sterile, 100/box, 10 boxes/Case (1000 gloves)</v>
      </c>
      <c r="G2040" s="74" t="str">
        <f t="shared" si="130"/>
        <v>CA</v>
      </c>
      <c r="H2040" s="7">
        <v>36</v>
      </c>
      <c r="I2040" s="2" t="str">
        <f t="shared" ref="I2040:I2045" si="132">"42132203"</f>
        <v>42132203</v>
      </c>
      <c r="J2040" s="10" t="s">
        <v>153</v>
      </c>
    </row>
    <row r="2041" spans="1:10" ht="38.25">
      <c r="A2041" s="9" t="s">
        <v>58</v>
      </c>
      <c r="B2041" s="2" t="s">
        <v>612</v>
      </c>
      <c r="C2041" s="2">
        <v>3076</v>
      </c>
      <c r="D2041" s="2">
        <v>57</v>
      </c>
      <c r="E2041" s="2" t="str">
        <f>"1000025117"</f>
        <v>1000025117</v>
      </c>
      <c r="F2041" s="4" t="str">
        <f>"EXAM GLOVE: Vinyl XL Pdr 1000/CA - Vinyl X-Large, powdered, non-sterile, 100/box, 10 boxes/Case (1000 gloves)"</f>
        <v>EXAM GLOVE: Vinyl XL Pdr 1000/CA - Vinyl X-Large, powdered, non-sterile, 100/box, 10 boxes/Case (1000 gloves)</v>
      </c>
      <c r="G2041" s="74" t="str">
        <f t="shared" si="130"/>
        <v>CA</v>
      </c>
      <c r="H2041" s="7">
        <v>36</v>
      </c>
      <c r="I2041" s="2" t="str">
        <f t="shared" si="132"/>
        <v>42132203</v>
      </c>
      <c r="J2041" s="10" t="s">
        <v>153</v>
      </c>
    </row>
    <row r="2042" spans="1:10" ht="38.25">
      <c r="A2042" s="9" t="s">
        <v>58</v>
      </c>
      <c r="B2042" s="2" t="s">
        <v>612</v>
      </c>
      <c r="C2042" s="2">
        <v>3076</v>
      </c>
      <c r="D2042" s="2">
        <v>58</v>
      </c>
      <c r="E2042" s="2" t="str">
        <f>"1000025118"</f>
        <v>1000025118</v>
      </c>
      <c r="F2042" s="4" t="str">
        <f>"EXAM GLOVE: Vinyl Sm PF 1000/CA - Vinyl Small, powder free, non-sterile, 100/box, 10 boxes/Case (1000 gloves)"</f>
        <v>EXAM GLOVE: Vinyl Sm PF 1000/CA - Vinyl Small, powder free, non-sterile, 100/box, 10 boxes/Case (1000 gloves)</v>
      </c>
      <c r="G2042" s="74" t="str">
        <f t="shared" si="130"/>
        <v>CA</v>
      </c>
      <c r="H2042" s="7">
        <v>39</v>
      </c>
      <c r="I2042" s="2" t="str">
        <f t="shared" si="132"/>
        <v>42132203</v>
      </c>
      <c r="J2042" s="10" t="s">
        <v>153</v>
      </c>
    </row>
    <row r="2043" spans="1:10" ht="38.25">
      <c r="A2043" s="9" t="s">
        <v>58</v>
      </c>
      <c r="B2043" s="2" t="s">
        <v>612</v>
      </c>
      <c r="C2043" s="2">
        <v>3076</v>
      </c>
      <c r="D2043" s="2">
        <v>59</v>
      </c>
      <c r="E2043" s="2" t="str">
        <f>"1000025119"</f>
        <v>1000025119</v>
      </c>
      <c r="F2043" s="4" t="str">
        <f>"EXAM GLOVE: Vinyl Med PF 1000/CA - Vinyl Medium, powder free, non-sterile, 100/box, 10 boxes/Case (1000 gloves)"</f>
        <v>EXAM GLOVE: Vinyl Med PF 1000/CA - Vinyl Medium, powder free, non-sterile, 100/box, 10 boxes/Case (1000 gloves)</v>
      </c>
      <c r="G2043" s="74" t="str">
        <f t="shared" si="130"/>
        <v>CA</v>
      </c>
      <c r="H2043" s="7">
        <v>39</v>
      </c>
      <c r="I2043" s="2" t="str">
        <f t="shared" si="132"/>
        <v>42132203</v>
      </c>
      <c r="J2043" s="10" t="s">
        <v>153</v>
      </c>
    </row>
    <row r="2044" spans="1:10" ht="38.25">
      <c r="A2044" s="9" t="s">
        <v>58</v>
      </c>
      <c r="B2044" s="2" t="s">
        <v>612</v>
      </c>
      <c r="C2044" s="2">
        <v>3076</v>
      </c>
      <c r="D2044" s="2">
        <v>60</v>
      </c>
      <c r="E2044" s="2" t="str">
        <f>"1000025120"</f>
        <v>1000025120</v>
      </c>
      <c r="F2044" s="4" t="str">
        <f>"EXAM GLOVE: Vinyl Lg PF 1000/CA - Vinyl Large, powder free, non-sterile, 100/box, 10 boxes/Case (1000 gloves)"</f>
        <v>EXAM GLOVE: Vinyl Lg PF 1000/CA - Vinyl Large, powder free, non-sterile, 100/box, 10 boxes/Case (1000 gloves)</v>
      </c>
      <c r="G2044" s="74" t="str">
        <f t="shared" si="130"/>
        <v>CA</v>
      </c>
      <c r="H2044" s="7">
        <v>39</v>
      </c>
      <c r="I2044" s="2" t="str">
        <f t="shared" si="132"/>
        <v>42132203</v>
      </c>
      <c r="J2044" s="10" t="s">
        <v>153</v>
      </c>
    </row>
    <row r="2045" spans="1:10" ht="38.25">
      <c r="A2045" s="9" t="s">
        <v>58</v>
      </c>
      <c r="B2045" s="2" t="s">
        <v>612</v>
      </c>
      <c r="C2045" s="2">
        <v>3076</v>
      </c>
      <c r="D2045" s="2">
        <v>61</v>
      </c>
      <c r="E2045" s="2" t="str">
        <f>"1000025121"</f>
        <v>1000025121</v>
      </c>
      <c r="F2045" s="4" t="str">
        <f>"EXAM GLOVE: Vinyl XL PF 1000/CA - Vinyl X-Large, powder free, non-sterile, 100/box, 10 boxes/Case (1000 gloves)"</f>
        <v>EXAM GLOVE: Vinyl XL PF 1000/CA - Vinyl X-Large, powder free, non-sterile, 100/box, 10 boxes/Case (1000 gloves)</v>
      </c>
      <c r="G2045" s="74" t="str">
        <f t="shared" si="130"/>
        <v>CA</v>
      </c>
      <c r="H2045" s="7">
        <v>39</v>
      </c>
      <c r="I2045" s="2" t="str">
        <f t="shared" si="132"/>
        <v>42132203</v>
      </c>
      <c r="J2045" s="10" t="s">
        <v>153</v>
      </c>
    </row>
    <row r="2046" spans="1:10" ht="51">
      <c r="A2046" s="9" t="s">
        <v>58</v>
      </c>
      <c r="B2046" s="2" t="s">
        <v>612</v>
      </c>
      <c r="C2046" s="2">
        <v>3076</v>
      </c>
      <c r="D2046" s="2">
        <v>62</v>
      </c>
      <c r="E2046" s="2" t="str">
        <f>"1000025122"</f>
        <v>1000025122</v>
      </c>
      <c r="F2046" s="4" t="str">
        <f>"SURGICAL GLOVE: CR Sz 6 PF Sterile - Size 6, Polychloroprene, sterile, powder free, pairs, non-latex, 25 pairs/box, 4 boxes/case (100 pair)"</f>
        <v>SURGICAL GLOVE: CR Sz 6 PF Sterile - Size 6, Polychloroprene, sterile, powder free, pairs, non-latex, 25 pairs/box, 4 boxes/case (100 pair)</v>
      </c>
      <c r="G2046" s="74" t="str">
        <f t="shared" si="130"/>
        <v>CA</v>
      </c>
      <c r="H2046" s="7">
        <v>136</v>
      </c>
      <c r="I2046" s="2" t="str">
        <f>"42132205"</f>
        <v>42132205</v>
      </c>
      <c r="J2046" s="10" t="s">
        <v>154</v>
      </c>
    </row>
    <row r="2047" spans="1:10" ht="51">
      <c r="A2047" s="9" t="s">
        <v>58</v>
      </c>
      <c r="B2047" s="2" t="s">
        <v>612</v>
      </c>
      <c r="C2047" s="2">
        <v>3076</v>
      </c>
      <c r="D2047" s="2">
        <v>63</v>
      </c>
      <c r="E2047" s="2" t="str">
        <f>"1000025123"</f>
        <v>1000025123</v>
      </c>
      <c r="F2047" s="4" t="str">
        <f>"SURGICAL GLOVE: CR Sz 7 PF Sterile - Size 7, Polychloroprene, sterile, powder free, pairs, non-latex, 25 pairs/box, 4 boxes/case (100 pair)"</f>
        <v>SURGICAL GLOVE: CR Sz 7 PF Sterile - Size 7, Polychloroprene, sterile, powder free, pairs, non-latex, 25 pairs/box, 4 boxes/case (100 pair)</v>
      </c>
      <c r="G2047" s="74" t="str">
        <f t="shared" si="130"/>
        <v>CA</v>
      </c>
      <c r="H2047" s="7">
        <v>136</v>
      </c>
      <c r="I2047" s="2" t="str">
        <f>"42132205"</f>
        <v>42132205</v>
      </c>
      <c r="J2047" s="10" t="s">
        <v>154</v>
      </c>
    </row>
    <row r="2048" spans="1:10" ht="51">
      <c r="A2048" s="9" t="s">
        <v>58</v>
      </c>
      <c r="B2048" s="2" t="s">
        <v>612</v>
      </c>
      <c r="C2048" s="2">
        <v>3076</v>
      </c>
      <c r="D2048" s="2">
        <v>64</v>
      </c>
      <c r="E2048" s="2" t="str">
        <f>"1000025124"</f>
        <v>1000025124</v>
      </c>
      <c r="F2048" s="4" t="str">
        <f>"SURGICAL GLOVE: CR Sz 8 PF Sterile - Size 8, Polychloroprene, sterile, powder free, pairs, non-latex, 25 pairs/box, 4 boxes/case (100 pair)"</f>
        <v>SURGICAL GLOVE: CR Sz 8 PF Sterile - Size 8, Polychloroprene, sterile, powder free, pairs, non-latex, 25 pairs/box, 4 boxes/case (100 pair)</v>
      </c>
      <c r="G2048" s="74" t="str">
        <f t="shared" si="130"/>
        <v>CA</v>
      </c>
      <c r="H2048" s="7">
        <v>136</v>
      </c>
      <c r="I2048" s="2" t="str">
        <f>"42132205"</f>
        <v>42132205</v>
      </c>
      <c r="J2048" s="10" t="s">
        <v>154</v>
      </c>
    </row>
    <row r="2049" spans="1:10" ht="51">
      <c r="A2049" s="9" t="s">
        <v>58</v>
      </c>
      <c r="B2049" s="2" t="s">
        <v>612</v>
      </c>
      <c r="C2049" s="2">
        <v>3076</v>
      </c>
      <c r="D2049" s="2">
        <v>65</v>
      </c>
      <c r="E2049" s="2" t="str">
        <f>"1000025125"</f>
        <v>1000025125</v>
      </c>
      <c r="F2049" s="4" t="str">
        <f>"SURGICAL GLOVE: CR Sz 9 PF Sterile - Size 9, Polychloroprene, sterile, powder free, pairs, non-latex, 25 pairs/box, 4 boxes/case (100 pair)"</f>
        <v>SURGICAL GLOVE: CR Sz 9 PF Sterile - Size 9, Polychloroprene, sterile, powder free, pairs, non-latex, 25 pairs/box, 4 boxes/case (100 pair)</v>
      </c>
      <c r="G2049" s="74" t="str">
        <f t="shared" si="130"/>
        <v>CA</v>
      </c>
      <c r="H2049" s="7">
        <v>136</v>
      </c>
      <c r="I2049" s="2" t="str">
        <f>"42132205"</f>
        <v>42132205</v>
      </c>
      <c r="J2049" s="10" t="s">
        <v>154</v>
      </c>
    </row>
    <row r="2050" spans="1:10" ht="38.25">
      <c r="A2050" s="9" t="s">
        <v>58</v>
      </c>
      <c r="B2050" s="2" t="s">
        <v>612</v>
      </c>
      <c r="C2050" s="2">
        <v>3076</v>
      </c>
      <c r="D2050" s="2">
        <v>66</v>
      </c>
      <c r="E2050" s="2" t="str">
        <f>"1000025126"</f>
        <v>1000025126</v>
      </c>
      <c r="F2050" s="4" t="str">
        <f>"GLOVE BOX HOLDER: Single 10/CA - Glove box wire holder, single, horizontal, white wire, 11 1/2 (w) x 4 (h) x 4 (d), 10/case"</f>
        <v>GLOVE BOX HOLDER: Single 10/CA - Glove box wire holder, single, horizontal, white wire, 11 1/2 (w) x 4 (h) x 4 (d), 10/case</v>
      </c>
      <c r="G2050" s="74" t="str">
        <f t="shared" si="130"/>
        <v>CA</v>
      </c>
      <c r="H2050" s="7">
        <v>60</v>
      </c>
      <c r="I2050" s="2" t="str">
        <f>"42132203"</f>
        <v>42132203</v>
      </c>
      <c r="J2050" s="10" t="s">
        <v>153</v>
      </c>
    </row>
    <row r="2051" spans="1:10" ht="38.25">
      <c r="A2051" s="9" t="s">
        <v>58</v>
      </c>
      <c r="B2051" s="2" t="s">
        <v>612</v>
      </c>
      <c r="C2051" s="2">
        <v>3076</v>
      </c>
      <c r="D2051" s="2">
        <v>67</v>
      </c>
      <c r="E2051" s="2" t="str">
        <f>"1000025127"</f>
        <v>1000025127</v>
      </c>
      <c r="F2051" s="4" t="str">
        <f>"GLOVE BOX HOLDER: Double 6/CA - Glove box wire holder, double, horizontal, white wire, 10 3/4 (w) x 11 (h) x 3 1/2 (d), 6/case"</f>
        <v>GLOVE BOX HOLDER: Double 6/CA - Glove box wire holder, double, horizontal, white wire, 10 3/4 (w) x 11 (h) x 3 1/2 (d), 6/case</v>
      </c>
      <c r="G2051" s="74" t="str">
        <f t="shared" si="130"/>
        <v>CA</v>
      </c>
      <c r="H2051" s="7">
        <v>68</v>
      </c>
      <c r="I2051" s="2" t="str">
        <f>"42132203"</f>
        <v>42132203</v>
      </c>
      <c r="J2051" s="10" t="s">
        <v>153</v>
      </c>
    </row>
    <row r="2052" spans="1:10" ht="51">
      <c r="A2052" s="9" t="s">
        <v>58</v>
      </c>
      <c r="B2052" s="2" t="s">
        <v>612</v>
      </c>
      <c r="C2052" s="2">
        <v>3076</v>
      </c>
      <c r="D2052" s="2">
        <v>68</v>
      </c>
      <c r="E2052" s="2" t="str">
        <f>"1000025128"</f>
        <v>1000025128</v>
      </c>
      <c r="F2052" s="4" t="str">
        <f>"GLOVE BOX HOLDER: Triple 10/CA - Glove box wire holder, triple, horizontal, white wire, 10 3/4 (w) x 13 1/2 (h) x 3 1/2 (d), 10/case"</f>
        <v>GLOVE BOX HOLDER: Triple 10/CA - Glove box wire holder, triple, horizontal, white wire, 10 3/4 (w) x 13 1/2 (h) x 3 1/2 (d), 10/case</v>
      </c>
      <c r="G2052" s="74" t="str">
        <f t="shared" si="130"/>
        <v>CA</v>
      </c>
      <c r="H2052" s="7">
        <v>112</v>
      </c>
      <c r="I2052" s="2" t="str">
        <f>"42132203"</f>
        <v>42132203</v>
      </c>
      <c r="J2052" s="10" t="s">
        <v>153</v>
      </c>
    </row>
    <row r="2053" spans="1:10" ht="51">
      <c r="A2053" s="9" t="s">
        <v>58</v>
      </c>
      <c r="B2053" s="2" t="s">
        <v>612</v>
      </c>
      <c r="C2053" s="2">
        <v>3076</v>
      </c>
      <c r="D2053" s="2">
        <v>43</v>
      </c>
      <c r="E2053" s="2" t="str">
        <f>"1000025129"</f>
        <v>1000025129</v>
      </c>
      <c r="F2053" s="4" t="str">
        <f>"SURGICAL GLOVE: Ltx Sz 6 PF - Size 6 surgical gloves, sterile, powder-free latex, one pair per peel-open pkg, 50 pair/box, 4 boxes/case (200 pair)"</f>
        <v>SURGICAL GLOVE: Ltx Sz 6 PF - Size 6 surgical gloves, sterile, powder-free latex, one pair per peel-open pkg, 50 pair/box, 4 boxes/case (200 pair)</v>
      </c>
      <c r="G2053" s="74" t="str">
        <f t="shared" si="130"/>
        <v>CA</v>
      </c>
      <c r="H2053" s="7">
        <v>112</v>
      </c>
      <c r="I2053" s="2" t="str">
        <f t="shared" ref="I2053:I2063" si="133">"42132205"</f>
        <v>42132205</v>
      </c>
      <c r="J2053" s="10" t="s">
        <v>154</v>
      </c>
    </row>
    <row r="2054" spans="1:10" ht="51">
      <c r="A2054" s="9" t="s">
        <v>58</v>
      </c>
      <c r="B2054" s="2" t="s">
        <v>612</v>
      </c>
      <c r="C2054" s="2">
        <v>3076</v>
      </c>
      <c r="D2054" s="2">
        <v>44</v>
      </c>
      <c r="E2054" s="2" t="str">
        <f>"1000025130"</f>
        <v>1000025130</v>
      </c>
      <c r="F2054" s="4" t="str">
        <f>"SURGICAL GLOVE: Ltx Sz 6.5 PF - Size 6.5 surgical gloves, sterile, powder-free latex, one pair per peel-open pkg, 50 pair/box, 4 boxes/case (200 pair)"</f>
        <v>SURGICAL GLOVE: Ltx Sz 6.5 PF - Size 6.5 surgical gloves, sterile, powder-free latex, one pair per peel-open pkg, 50 pair/box, 4 boxes/case (200 pair)</v>
      </c>
      <c r="G2054" s="74" t="str">
        <f t="shared" si="130"/>
        <v>CA</v>
      </c>
      <c r="H2054" s="7">
        <v>112</v>
      </c>
      <c r="I2054" s="2" t="str">
        <f t="shared" si="133"/>
        <v>42132205</v>
      </c>
      <c r="J2054" s="10" t="s">
        <v>154</v>
      </c>
    </row>
    <row r="2055" spans="1:10" ht="51">
      <c r="A2055" s="9" t="s">
        <v>58</v>
      </c>
      <c r="B2055" s="2" t="s">
        <v>612</v>
      </c>
      <c r="C2055" s="2">
        <v>3076</v>
      </c>
      <c r="D2055" s="2">
        <v>45</v>
      </c>
      <c r="E2055" s="2" t="str">
        <f>"1000025131"</f>
        <v>1000025131</v>
      </c>
      <c r="F2055" s="4" t="str">
        <f>"SURGICAL GLOVE: Ltx Sz 7 PF - Size 7 surgical gloves, sterile, powder-free latex, one pair per peel-open pkg, 50 pair/box, 4 boxes/case (200 pair)"</f>
        <v>SURGICAL GLOVE: Ltx Sz 7 PF - Size 7 surgical gloves, sterile, powder-free latex, one pair per peel-open pkg, 50 pair/box, 4 boxes/case (200 pair)</v>
      </c>
      <c r="G2055" s="74" t="str">
        <f t="shared" si="130"/>
        <v>CA</v>
      </c>
      <c r="H2055" s="7">
        <v>112</v>
      </c>
      <c r="I2055" s="2" t="str">
        <f t="shared" si="133"/>
        <v>42132205</v>
      </c>
      <c r="J2055" s="10" t="s">
        <v>154</v>
      </c>
    </row>
    <row r="2056" spans="1:10" ht="51">
      <c r="A2056" s="9" t="s">
        <v>58</v>
      </c>
      <c r="B2056" s="2" t="s">
        <v>612</v>
      </c>
      <c r="C2056" s="2">
        <v>3076</v>
      </c>
      <c r="D2056" s="2">
        <v>46</v>
      </c>
      <c r="E2056" s="2" t="str">
        <f>"1000025132"</f>
        <v>1000025132</v>
      </c>
      <c r="F2056" s="4" t="str">
        <f>"SURGICAL GLOVE: Ltx Sz 7.5 PF - Size 7.5 surgical gloves, sterile, powder-free latex, one pair per peel-open pkg, 50 pair/box, 4 boxes/case (200 pair)"</f>
        <v>SURGICAL GLOVE: Ltx Sz 7.5 PF - Size 7.5 surgical gloves, sterile, powder-free latex, one pair per peel-open pkg, 50 pair/box, 4 boxes/case (200 pair)</v>
      </c>
      <c r="G2056" s="74" t="str">
        <f t="shared" si="130"/>
        <v>CA</v>
      </c>
      <c r="H2056" s="7">
        <v>112</v>
      </c>
      <c r="I2056" s="2" t="str">
        <f t="shared" si="133"/>
        <v>42132205</v>
      </c>
      <c r="J2056" s="10" t="s">
        <v>154</v>
      </c>
    </row>
    <row r="2057" spans="1:10" ht="51">
      <c r="A2057" s="9" t="s">
        <v>58</v>
      </c>
      <c r="B2057" s="2" t="s">
        <v>612</v>
      </c>
      <c r="C2057" s="2">
        <v>3076</v>
      </c>
      <c r="D2057" s="2">
        <v>47</v>
      </c>
      <c r="E2057" s="2" t="str">
        <f>"1000025133"</f>
        <v>1000025133</v>
      </c>
      <c r="F2057" s="4" t="str">
        <f>"SURGICAL GLOVE: Ltx Sz 8 PF - Size 8 surgical gloves, sterile, powder-free latex, one pair per peel-open pkg, 50 pair/box, 4 boxes/case (200 pair)"</f>
        <v>SURGICAL GLOVE: Ltx Sz 8 PF - Size 8 surgical gloves, sterile, powder-free latex, one pair per peel-open pkg, 50 pair/box, 4 boxes/case (200 pair)</v>
      </c>
      <c r="G2057" s="74" t="str">
        <f t="shared" si="130"/>
        <v>CA</v>
      </c>
      <c r="H2057" s="7">
        <v>112</v>
      </c>
      <c r="I2057" s="2" t="str">
        <f t="shared" si="133"/>
        <v>42132205</v>
      </c>
      <c r="J2057" s="10" t="s">
        <v>154</v>
      </c>
    </row>
    <row r="2058" spans="1:10" ht="51">
      <c r="A2058" s="9" t="s">
        <v>58</v>
      </c>
      <c r="B2058" s="2" t="s">
        <v>612</v>
      </c>
      <c r="C2058" s="2">
        <v>3076</v>
      </c>
      <c r="D2058" s="2">
        <v>48</v>
      </c>
      <c r="E2058" s="2" t="str">
        <f>"1000025134"</f>
        <v>1000025134</v>
      </c>
      <c r="F2058" s="4" t="str">
        <f>"SURGICAL GLOVE: Ltx Sz 8.5 PF - Size 8.5 surgical gloves, sterile, powder-free latex, one pair per peel-open pkg, 50 pair/box, 4 boxes/case (200 pair)"</f>
        <v>SURGICAL GLOVE: Ltx Sz 8.5 PF - Size 8.5 surgical gloves, sterile, powder-free latex, one pair per peel-open pkg, 50 pair/box, 4 boxes/case (200 pair)</v>
      </c>
      <c r="G2058" s="74" t="str">
        <f t="shared" si="130"/>
        <v>CA</v>
      </c>
      <c r="H2058" s="7">
        <v>112</v>
      </c>
      <c r="I2058" s="2" t="str">
        <f t="shared" si="133"/>
        <v>42132205</v>
      </c>
      <c r="J2058" s="10" t="s">
        <v>154</v>
      </c>
    </row>
    <row r="2059" spans="1:10" ht="51">
      <c r="A2059" s="9" t="s">
        <v>58</v>
      </c>
      <c r="B2059" s="2" t="s">
        <v>612</v>
      </c>
      <c r="C2059" s="2">
        <v>3076</v>
      </c>
      <c r="D2059" s="2">
        <v>49</v>
      </c>
      <c r="E2059" s="2" t="str">
        <f>"1000025135"</f>
        <v>1000025135</v>
      </c>
      <c r="F2059" s="4" t="str">
        <f>"SURGICAL GLOVE: Ltx Sz 9 PF - Size 9 surgical gloves, sterile, powder-free latex, one pair per peel-open pkg, 50 pair/box, 4 boxes/case (200 pair)"</f>
        <v>SURGICAL GLOVE: Ltx Sz 9 PF - Size 9 surgical gloves, sterile, powder-free latex, one pair per peel-open pkg, 50 pair/box, 4 boxes/case (200 pair)</v>
      </c>
      <c r="G2059" s="74" t="str">
        <f t="shared" si="130"/>
        <v>CA</v>
      </c>
      <c r="H2059" s="7">
        <v>112</v>
      </c>
      <c r="I2059" s="2" t="str">
        <f t="shared" si="133"/>
        <v>42132205</v>
      </c>
      <c r="J2059" s="10" t="s">
        <v>154</v>
      </c>
    </row>
    <row r="2060" spans="1:10" ht="38.25">
      <c r="A2060" s="9" t="s">
        <v>58</v>
      </c>
      <c r="B2060" s="2" t="s">
        <v>612</v>
      </c>
      <c r="C2060" s="2">
        <v>3076</v>
      </c>
      <c r="D2060" s="2">
        <v>50</v>
      </c>
      <c r="E2060" s="2" t="str">
        <f>"1000025136"</f>
        <v>1000025136</v>
      </c>
      <c r="F2060" s="4" t="str">
        <f>"SURGICAL GLOVE: Ltx Sz 6 PF Sterile - Size 6, Specialty latex, sterile, powder free, brown color 25 pair/box, 4 boxes/case (100 pair)"</f>
        <v>SURGICAL GLOVE: Ltx Sz 6 PF Sterile - Size 6, Specialty latex, sterile, powder free, brown color 25 pair/box, 4 boxes/case (100 pair)</v>
      </c>
      <c r="G2060" s="74" t="str">
        <f t="shared" si="130"/>
        <v>CA</v>
      </c>
      <c r="H2060" s="7">
        <v>140</v>
      </c>
      <c r="I2060" s="2" t="str">
        <f t="shared" si="133"/>
        <v>42132205</v>
      </c>
      <c r="J2060" s="10" t="s">
        <v>154</v>
      </c>
    </row>
    <row r="2061" spans="1:10" ht="38.25">
      <c r="A2061" s="9" t="s">
        <v>58</v>
      </c>
      <c r="B2061" s="2" t="s">
        <v>612</v>
      </c>
      <c r="C2061" s="2">
        <v>3076</v>
      </c>
      <c r="D2061" s="2">
        <v>51</v>
      </c>
      <c r="E2061" s="2" t="str">
        <f>"1000025137"</f>
        <v>1000025137</v>
      </c>
      <c r="F2061" s="4" t="str">
        <f>"SURGICAL GLOVE: Ltx Sz 7 PF Sterile - Size 7, Specialty latex, sterile, powder free, brown color 25 pair/box, 4 boxes/case (100 pair)"</f>
        <v>SURGICAL GLOVE: Ltx Sz 7 PF Sterile - Size 7, Specialty latex, sterile, powder free, brown color 25 pair/box, 4 boxes/case (100 pair)</v>
      </c>
      <c r="G2061" s="74" t="str">
        <f t="shared" si="130"/>
        <v>CA</v>
      </c>
      <c r="H2061" s="7">
        <v>140</v>
      </c>
      <c r="I2061" s="2" t="str">
        <f t="shared" si="133"/>
        <v>42132205</v>
      </c>
      <c r="J2061" s="10" t="s">
        <v>154</v>
      </c>
    </row>
    <row r="2062" spans="1:10" ht="38.25">
      <c r="A2062" s="9" t="s">
        <v>58</v>
      </c>
      <c r="B2062" s="2" t="s">
        <v>612</v>
      </c>
      <c r="C2062" s="2">
        <v>3076</v>
      </c>
      <c r="D2062" s="2">
        <v>52</v>
      </c>
      <c r="E2062" s="2" t="str">
        <f>"1000025138"</f>
        <v>1000025138</v>
      </c>
      <c r="F2062" s="4" t="str">
        <f>"SURGICAL GLOVE: Ltx Sz 8 PF Sterile - Size 8, Specialty latex, sterile, powder free, brown color 25 pair/box, 4 boxes/case (100 pair)"</f>
        <v>SURGICAL GLOVE: Ltx Sz 8 PF Sterile - Size 8, Specialty latex, sterile, powder free, brown color 25 pair/box, 4 boxes/case (100 pair)</v>
      </c>
      <c r="G2062" s="74" t="str">
        <f t="shared" si="130"/>
        <v>CA</v>
      </c>
      <c r="H2062" s="7">
        <v>140</v>
      </c>
      <c r="I2062" s="2" t="str">
        <f t="shared" si="133"/>
        <v>42132205</v>
      </c>
      <c r="J2062" s="10" t="s">
        <v>154</v>
      </c>
    </row>
    <row r="2063" spans="1:10" ht="38.25">
      <c r="A2063" s="9" t="s">
        <v>58</v>
      </c>
      <c r="B2063" s="2" t="s">
        <v>612</v>
      </c>
      <c r="C2063" s="2">
        <v>3076</v>
      </c>
      <c r="D2063" s="2">
        <v>53</v>
      </c>
      <c r="E2063" s="2" t="str">
        <f>"1000025139"</f>
        <v>1000025139</v>
      </c>
      <c r="F2063" s="4" t="str">
        <f>"SURGICAL GLOVE: Ltx Sz 9 PF Sterile - Size 9, Specialty latex, sterile, powder free, brown color 25 pair/box, 4 boxes/case (100 pair)"</f>
        <v>SURGICAL GLOVE: Ltx Sz 9 PF Sterile - Size 9, Specialty latex, sterile, powder free, brown color 25 pair/box, 4 boxes/case (100 pair)</v>
      </c>
      <c r="G2063" s="74" t="str">
        <f t="shared" ref="G2063:G2099" si="134">"CA"</f>
        <v>CA</v>
      </c>
      <c r="H2063" s="7">
        <v>140</v>
      </c>
      <c r="I2063" s="2" t="str">
        <f t="shared" si="133"/>
        <v>42132205</v>
      </c>
      <c r="J2063" s="10" t="s">
        <v>154</v>
      </c>
    </row>
    <row r="2064" spans="1:10" ht="38.25">
      <c r="A2064" s="9" t="s">
        <v>58</v>
      </c>
      <c r="B2064" s="2" t="s">
        <v>612</v>
      </c>
      <c r="C2064" s="2">
        <v>3076</v>
      </c>
      <c r="D2064" s="2">
        <v>54</v>
      </c>
      <c r="E2064" s="2" t="str">
        <f>"1000025140"</f>
        <v>1000025140</v>
      </c>
      <c r="F2064" s="4" t="str">
        <f>"EXAM GLOVE: Vinyl Sm Pdr 1000/CA - Vinyl Small, powdered, non-sterile, 100/box, 10 boxes/Case (1000 gloves)"</f>
        <v>EXAM GLOVE: Vinyl Sm Pdr 1000/CA - Vinyl Small, powdered, non-sterile, 100/box, 10 boxes/Case (1000 gloves)</v>
      </c>
      <c r="G2064" s="74" t="str">
        <f t="shared" si="134"/>
        <v>CA</v>
      </c>
      <c r="H2064" s="7">
        <v>36</v>
      </c>
      <c r="I2064" s="2" t="str">
        <f t="shared" ref="I2064:I2072" si="135">"42132203"</f>
        <v>42132203</v>
      </c>
      <c r="J2064" s="10" t="s">
        <v>153</v>
      </c>
    </row>
    <row r="2065" spans="1:10" ht="38.25">
      <c r="A2065" s="9" t="s">
        <v>58</v>
      </c>
      <c r="B2065" s="2" t="s">
        <v>612</v>
      </c>
      <c r="C2065" s="2">
        <v>3076</v>
      </c>
      <c r="D2065" s="2">
        <v>55</v>
      </c>
      <c r="E2065" s="2" t="str">
        <f>"1000025141"</f>
        <v>1000025141</v>
      </c>
      <c r="F2065" s="4" t="str">
        <f>"EXAM GLOVE: Vinyl Med Pdr 1000/CA - Vinyl Medium, powdered, non-sterile, 100/box, 10 boxes/Case (1000 gloves)"</f>
        <v>EXAM GLOVE: Vinyl Med Pdr 1000/CA - Vinyl Medium, powdered, non-sterile, 100/box, 10 boxes/Case (1000 gloves)</v>
      </c>
      <c r="G2065" s="74" t="str">
        <f t="shared" si="134"/>
        <v>CA</v>
      </c>
      <c r="H2065" s="7">
        <v>36</v>
      </c>
      <c r="I2065" s="2" t="str">
        <f t="shared" si="135"/>
        <v>42132203</v>
      </c>
      <c r="J2065" s="10" t="s">
        <v>153</v>
      </c>
    </row>
    <row r="2066" spans="1:10" ht="51">
      <c r="A2066" s="9" t="s">
        <v>58</v>
      </c>
      <c r="B2066" s="2" t="s">
        <v>612</v>
      </c>
      <c r="C2066" s="2">
        <v>3076</v>
      </c>
      <c r="D2066" s="2">
        <v>30</v>
      </c>
      <c r="E2066" s="2" t="str">
        <f>"1000025142"</f>
        <v>1000025142</v>
      </c>
      <c r="F2066" s="4" t="str">
        <f>"EXAM GLOVE:Ltx Med Hi Risk PF - Medium, High Risk, latex, non-sterile, powder free, textured, 12 in. cuff, 50 pairs/box, 10 boxes/case (500 pair)"</f>
        <v>EXAM GLOVE:Ltx Med Hi Risk PF - Medium, High Risk, latex, non-sterile, powder free, textured, 12 in. cuff, 50 pairs/box, 10 boxes/case (500 pair)</v>
      </c>
      <c r="G2066" s="74" t="str">
        <f t="shared" si="134"/>
        <v>CA</v>
      </c>
      <c r="H2066" s="7">
        <v>114</v>
      </c>
      <c r="I2066" s="2" t="str">
        <f t="shared" si="135"/>
        <v>42132203</v>
      </c>
      <c r="J2066" s="10" t="s">
        <v>153</v>
      </c>
    </row>
    <row r="2067" spans="1:10" ht="51">
      <c r="A2067" s="9" t="s">
        <v>58</v>
      </c>
      <c r="B2067" s="2" t="s">
        <v>612</v>
      </c>
      <c r="C2067" s="2">
        <v>3076</v>
      </c>
      <c r="D2067" s="2">
        <v>31</v>
      </c>
      <c r="E2067" s="2" t="str">
        <f>"1000025143"</f>
        <v>1000025143</v>
      </c>
      <c r="F2067" s="4" t="str">
        <f>"EXAM GLOVE: Ltx Lg Hi Risk PF - Large, High Risk, latex, non-sterile, powder free, textured, 12 in. cuff, 50 pairs/box, 10 boxes/case (500 pair)"</f>
        <v>EXAM GLOVE: Ltx Lg Hi Risk PF - Large, High Risk, latex, non-sterile, powder free, textured, 12 in. cuff, 50 pairs/box, 10 boxes/case (500 pair)</v>
      </c>
      <c r="G2067" s="74" t="str">
        <f t="shared" si="134"/>
        <v>CA</v>
      </c>
      <c r="H2067" s="7">
        <v>114</v>
      </c>
      <c r="I2067" s="2" t="str">
        <f t="shared" si="135"/>
        <v>42132203</v>
      </c>
      <c r="J2067" s="10" t="s">
        <v>153</v>
      </c>
    </row>
    <row r="2068" spans="1:10" ht="51">
      <c r="A2068" s="9" t="s">
        <v>58</v>
      </c>
      <c r="B2068" s="2" t="s">
        <v>612</v>
      </c>
      <c r="C2068" s="2">
        <v>3076</v>
      </c>
      <c r="D2068" s="2">
        <v>32</v>
      </c>
      <c r="E2068" s="2" t="str">
        <f>"1000025144"</f>
        <v>1000025144</v>
      </c>
      <c r="F2068" s="4" t="str">
        <f>"EXAM GLOVE: Ltx XL Hi Risk PF - X-Large, High Risk, latex, non-sterile, powder free, textured, 12 in. cuff, 50 pairs/box, 10 boxes/case (500 pair)"</f>
        <v>EXAM GLOVE: Ltx XL Hi Risk PF - X-Large, High Risk, latex, non-sterile, powder free, textured, 12 in. cuff, 50 pairs/box, 10 boxes/case (500 pair)</v>
      </c>
      <c r="G2068" s="74" t="str">
        <f t="shared" si="134"/>
        <v>CA</v>
      </c>
      <c r="H2068" s="7">
        <v>114</v>
      </c>
      <c r="I2068" s="2" t="str">
        <f t="shared" si="135"/>
        <v>42132203</v>
      </c>
      <c r="J2068" s="10" t="s">
        <v>153</v>
      </c>
    </row>
    <row r="2069" spans="1:10" ht="51">
      <c r="A2069" s="9" t="s">
        <v>58</v>
      </c>
      <c r="B2069" s="2" t="s">
        <v>612</v>
      </c>
      <c r="C2069" s="2">
        <v>3076</v>
      </c>
      <c r="D2069" s="2">
        <v>33</v>
      </c>
      <c r="E2069" s="2" t="str">
        <f>"1000025145"</f>
        <v>1000025145</v>
      </c>
      <c r="F2069" s="4" t="str">
        <f>"EXAM GLOVE: Ltx Sm PF Sterile - Small, sterile pairs, powder free, latex, disposable, 50 pair/box, 4 boxes/case (200 pair)"</f>
        <v>EXAM GLOVE: Ltx Sm PF Sterile - Small, sterile pairs, powder free, latex, disposable, 50 pair/box, 4 boxes/case (200 pair)</v>
      </c>
      <c r="G2069" s="74" t="str">
        <f t="shared" si="134"/>
        <v>CA</v>
      </c>
      <c r="H2069" s="7">
        <v>75.760000000000005</v>
      </c>
      <c r="I2069" s="2" t="str">
        <f t="shared" si="135"/>
        <v>42132203</v>
      </c>
      <c r="J2069" s="10" t="s">
        <v>153</v>
      </c>
    </row>
    <row r="2070" spans="1:10" ht="51">
      <c r="A2070" s="9" t="s">
        <v>58</v>
      </c>
      <c r="B2070" s="2" t="s">
        <v>612</v>
      </c>
      <c r="C2070" s="2">
        <v>3076</v>
      </c>
      <c r="D2070" s="2">
        <v>34</v>
      </c>
      <c r="E2070" s="2" t="str">
        <f>"1000025146"</f>
        <v>1000025146</v>
      </c>
      <c r="F2070" s="4" t="str">
        <f>"EXAM GLOVE: Ltx Med PF Sterile - Medium, sterile pairs, powder free, latex, disposable, 50 pair/box, 4 boxes/case (200 pair)"</f>
        <v>EXAM GLOVE: Ltx Med PF Sterile - Medium, sterile pairs, powder free, latex, disposable, 50 pair/box, 4 boxes/case (200 pair)</v>
      </c>
      <c r="G2070" s="74" t="str">
        <f t="shared" si="134"/>
        <v>CA</v>
      </c>
      <c r="H2070" s="7">
        <v>75.760000000000005</v>
      </c>
      <c r="I2070" s="2" t="str">
        <f t="shared" si="135"/>
        <v>42132203</v>
      </c>
      <c r="J2070" s="10" t="s">
        <v>153</v>
      </c>
    </row>
    <row r="2071" spans="1:10" ht="51">
      <c r="A2071" s="9" t="s">
        <v>58</v>
      </c>
      <c r="B2071" s="2" t="s">
        <v>612</v>
      </c>
      <c r="C2071" s="2">
        <v>3076</v>
      </c>
      <c r="D2071" s="2">
        <v>35</v>
      </c>
      <c r="E2071" s="2" t="str">
        <f>"1000025147"</f>
        <v>1000025147</v>
      </c>
      <c r="F2071" s="4" t="str">
        <f>"EXAM GLOVE: Ltx Lg PF Sterile - Large, sterile pairs, powder free, latex, disposable, 50 pair/box, 4 boxes/case (200 pair)"</f>
        <v>EXAM GLOVE: Ltx Lg PF Sterile - Large, sterile pairs, powder free, latex, disposable, 50 pair/box, 4 boxes/case (200 pair)</v>
      </c>
      <c r="G2071" s="74" t="str">
        <f t="shared" si="134"/>
        <v>CA</v>
      </c>
      <c r="H2071" s="7">
        <v>75.760000000000005</v>
      </c>
      <c r="I2071" s="2" t="str">
        <f t="shared" si="135"/>
        <v>42132203</v>
      </c>
      <c r="J2071" s="10" t="s">
        <v>153</v>
      </c>
    </row>
    <row r="2072" spans="1:10" ht="51">
      <c r="A2072" s="9" t="s">
        <v>58</v>
      </c>
      <c r="B2072" s="2" t="s">
        <v>612</v>
      </c>
      <c r="C2072" s="2">
        <v>3076</v>
      </c>
      <c r="D2072" s="2">
        <v>36</v>
      </c>
      <c r="E2072" s="2" t="str">
        <f>"1000025148"</f>
        <v>1000025148</v>
      </c>
      <c r="F2072" s="4" t="str">
        <f>"EXAM GLOVE: Ltx XL PF Sterile - X-Large, sterile pairs, powder free, latex, disposable, 50 pair/box, 4 boxes/case (200 pair)"</f>
        <v>EXAM GLOVE: Ltx XL PF Sterile - X-Large, sterile pairs, powder free, latex, disposable, 50 pair/box, 4 boxes/case (200 pair)</v>
      </c>
      <c r="G2072" s="74" t="str">
        <f t="shared" si="134"/>
        <v>CA</v>
      </c>
      <c r="H2072" s="7">
        <v>75.760000000000005</v>
      </c>
      <c r="I2072" s="2" t="str">
        <f t="shared" si="135"/>
        <v>42132203</v>
      </c>
      <c r="J2072" s="10" t="s">
        <v>153</v>
      </c>
    </row>
    <row r="2073" spans="1:10" ht="63.75">
      <c r="A2073" s="9" t="s">
        <v>58</v>
      </c>
      <c r="B2073" s="2" t="s">
        <v>612</v>
      </c>
      <c r="C2073" s="2">
        <v>3076</v>
      </c>
      <c r="D2073" s="2">
        <v>37</v>
      </c>
      <c r="E2073" s="2" t="str">
        <f>"1000025149"</f>
        <v>1000025149</v>
      </c>
      <c r="F2073" s="4" t="str">
        <f>"SURGICAL GLOVE: Ltx Sz 6 Pdr - Size 6 surgical gloves, sterile, powdered, latex, single use, 1 pair per peel-open pkg, hand specific, 50 pair/box, 4 boxes/case (200 pair)"</f>
        <v>SURGICAL GLOVE: Ltx Sz 6 Pdr - Size 6 surgical gloves, sterile, powdered, latex, single use, 1 pair per peel-open pkg, hand specific, 50 pair/box, 4 boxes/case (200 pair)</v>
      </c>
      <c r="G2073" s="74" t="str">
        <f t="shared" si="134"/>
        <v>CA</v>
      </c>
      <c r="H2073" s="7">
        <v>93.6</v>
      </c>
      <c r="I2073" s="2" t="str">
        <f t="shared" ref="I2073:I2078" si="136">"42132205"</f>
        <v>42132205</v>
      </c>
      <c r="J2073" s="10" t="s">
        <v>154</v>
      </c>
    </row>
    <row r="2074" spans="1:10" ht="63.75">
      <c r="A2074" s="9" t="s">
        <v>58</v>
      </c>
      <c r="B2074" s="2" t="s">
        <v>612</v>
      </c>
      <c r="C2074" s="2">
        <v>3076</v>
      </c>
      <c r="D2074" s="2">
        <v>38</v>
      </c>
      <c r="E2074" s="2" t="str">
        <f>"1000025150"</f>
        <v>1000025150</v>
      </c>
      <c r="F2074" s="4" t="str">
        <f>"SURGICAL GLOVE: Ltx Sz 6.5 Pdr - Size 6.5 surgical gloves, sterile, powdered, latex, single use, 1 pair per peel-open pkg, hand specific, 50 pair/box, 4 boxes/case (200 pair)"</f>
        <v>SURGICAL GLOVE: Ltx Sz 6.5 Pdr - Size 6.5 surgical gloves, sterile, powdered, latex, single use, 1 pair per peel-open pkg, hand specific, 50 pair/box, 4 boxes/case (200 pair)</v>
      </c>
      <c r="G2074" s="74" t="str">
        <f t="shared" si="134"/>
        <v>CA</v>
      </c>
      <c r="H2074" s="7">
        <v>93.6</v>
      </c>
      <c r="I2074" s="2" t="str">
        <f t="shared" si="136"/>
        <v>42132205</v>
      </c>
      <c r="J2074" s="10" t="s">
        <v>154</v>
      </c>
    </row>
    <row r="2075" spans="1:10" ht="63.75">
      <c r="A2075" s="9" t="s">
        <v>58</v>
      </c>
      <c r="B2075" s="2" t="s">
        <v>612</v>
      </c>
      <c r="C2075" s="2">
        <v>3076</v>
      </c>
      <c r="D2075" s="2">
        <v>39</v>
      </c>
      <c r="E2075" s="2" t="str">
        <f>"1000025151"</f>
        <v>1000025151</v>
      </c>
      <c r="F2075" s="4" t="str">
        <f>"SURGICAL GLOVE: Ltx Sz 7 Pdr - Size 7 surgical gloves, sterile, powdered, latex, single use, 1 pair per peel-open pkg, hand specific, 50 pair/box, 4 boxes/case (200 pair)"</f>
        <v>SURGICAL GLOVE: Ltx Sz 7 Pdr - Size 7 surgical gloves, sterile, powdered, latex, single use, 1 pair per peel-open pkg, hand specific, 50 pair/box, 4 boxes/case (200 pair)</v>
      </c>
      <c r="G2075" s="74" t="str">
        <f t="shared" si="134"/>
        <v>CA</v>
      </c>
      <c r="H2075" s="7">
        <v>93.6</v>
      </c>
      <c r="I2075" s="2" t="str">
        <f t="shared" si="136"/>
        <v>42132205</v>
      </c>
      <c r="J2075" s="10" t="s">
        <v>154</v>
      </c>
    </row>
    <row r="2076" spans="1:10" ht="63.75">
      <c r="A2076" s="9" t="s">
        <v>58</v>
      </c>
      <c r="B2076" s="2" t="s">
        <v>612</v>
      </c>
      <c r="C2076" s="2">
        <v>3076</v>
      </c>
      <c r="D2076" s="2">
        <v>40</v>
      </c>
      <c r="E2076" s="2" t="str">
        <f>"1000025152"</f>
        <v>1000025152</v>
      </c>
      <c r="F2076" s="4" t="str">
        <f>"SURGICAL GLOVE: Ltx Sz 7.5 Pdr- Size 7.5 surgical gloves, sterile, powdered, latex, single use, 1 pair per peel-open pkg, hand specific, 50 pair/box, 4 boxes/case (200 pair)"</f>
        <v>SURGICAL GLOVE: Ltx Sz 7.5 Pdr- Size 7.5 surgical gloves, sterile, powdered, latex, single use, 1 pair per peel-open pkg, hand specific, 50 pair/box, 4 boxes/case (200 pair)</v>
      </c>
      <c r="G2076" s="74" t="str">
        <f t="shared" si="134"/>
        <v>CA</v>
      </c>
      <c r="H2076" s="7">
        <v>93.6</v>
      </c>
      <c r="I2076" s="2" t="str">
        <f t="shared" si="136"/>
        <v>42132205</v>
      </c>
      <c r="J2076" s="10" t="s">
        <v>154</v>
      </c>
    </row>
    <row r="2077" spans="1:10" ht="63.75">
      <c r="A2077" s="9" t="s">
        <v>58</v>
      </c>
      <c r="B2077" s="2" t="s">
        <v>612</v>
      </c>
      <c r="C2077" s="2">
        <v>3076</v>
      </c>
      <c r="D2077" s="2">
        <v>41</v>
      </c>
      <c r="E2077" s="2" t="str">
        <f>"1000025153"</f>
        <v>1000025153</v>
      </c>
      <c r="F2077" s="4" t="str">
        <f>"SURGICAL GLOVE: Ltx Sz 8 Pdr - Size 8 surgical gloves, sterile, powdered, latex, single use, 1 pair per peel-open pkg, hand specific, 50 pair/box, 4 boxes/case (200 pair)"</f>
        <v>SURGICAL GLOVE: Ltx Sz 8 Pdr - Size 8 surgical gloves, sterile, powdered, latex, single use, 1 pair per peel-open pkg, hand specific, 50 pair/box, 4 boxes/case (200 pair)</v>
      </c>
      <c r="G2077" s="74" t="str">
        <f t="shared" si="134"/>
        <v>CA</v>
      </c>
      <c r="H2077" s="7">
        <v>93.6</v>
      </c>
      <c r="I2077" s="2" t="str">
        <f t="shared" si="136"/>
        <v>42132205</v>
      </c>
      <c r="J2077" s="10" t="s">
        <v>154</v>
      </c>
    </row>
    <row r="2078" spans="1:10" ht="63.75">
      <c r="A2078" s="9" t="s">
        <v>58</v>
      </c>
      <c r="B2078" s="2" t="s">
        <v>612</v>
      </c>
      <c r="C2078" s="2">
        <v>3076</v>
      </c>
      <c r="D2078" s="2">
        <v>42</v>
      </c>
      <c r="E2078" s="2" t="str">
        <f>"1000025154"</f>
        <v>1000025154</v>
      </c>
      <c r="F2078" s="4" t="str">
        <f>"SURGICAL GLOVE: Ltx Sz 8.5 Pdr - Size 8.5 surgical gloves, sterile, powdered, latex, single use, 1 pair per peel-open pkg, hand specific, 50 pair/box, 4 boxes/case (200 pair)"</f>
        <v>SURGICAL GLOVE: Ltx Sz 8.5 Pdr - Size 8.5 surgical gloves, sterile, powdered, latex, single use, 1 pair per peel-open pkg, hand specific, 50 pair/box, 4 boxes/case (200 pair)</v>
      </c>
      <c r="G2078" s="74" t="str">
        <f t="shared" si="134"/>
        <v>CA</v>
      </c>
      <c r="H2078" s="7">
        <v>93.6</v>
      </c>
      <c r="I2078" s="2" t="str">
        <f t="shared" si="136"/>
        <v>42132205</v>
      </c>
      <c r="J2078" s="10" t="s">
        <v>154</v>
      </c>
    </row>
    <row r="2079" spans="1:10" ht="63.75">
      <c r="A2079" s="9" t="s">
        <v>58</v>
      </c>
      <c r="B2079" s="2" t="s">
        <v>612</v>
      </c>
      <c r="C2079" s="2">
        <v>3076</v>
      </c>
      <c r="D2079" s="2">
        <v>9</v>
      </c>
      <c r="E2079" s="2" t="str">
        <f>"1000025155"</f>
        <v>1000025155</v>
      </c>
      <c r="F2079" s="4" t="str">
        <f>"EXAM GLOVE: Ni Sm Hi Risk PF - Small, High Risk Nitrile, 12 inch Cuff, powder free, non-sterile, disposable, 6.5 mil thick, orange color. 100 Gloves/Box, 10 Boxes/Case (1000 gloves)"</f>
        <v>EXAM GLOVE: Ni Sm Hi Risk PF - Small, High Risk Nitrile, 12 inch Cuff, powder free, non-sterile, disposable, 6.5 mil thick, orange color. 100 Gloves/Box, 10 Boxes/Case (1000 gloves)</v>
      </c>
      <c r="G2079" s="74" t="str">
        <f t="shared" si="134"/>
        <v>CA</v>
      </c>
      <c r="H2079" s="7">
        <v>155</v>
      </c>
      <c r="I2079" s="2" t="str">
        <f t="shared" ref="I2079:I2099" si="137">"42132203"</f>
        <v>42132203</v>
      </c>
      <c r="J2079" s="10" t="s">
        <v>153</v>
      </c>
    </row>
    <row r="2080" spans="1:10" ht="63.75">
      <c r="A2080" s="9" t="s">
        <v>58</v>
      </c>
      <c r="B2080" s="2" t="s">
        <v>612</v>
      </c>
      <c r="C2080" s="2">
        <v>3076</v>
      </c>
      <c r="D2080" s="2">
        <v>10</v>
      </c>
      <c r="E2080" s="2" t="str">
        <f>"1000025156"</f>
        <v>1000025156</v>
      </c>
      <c r="F2080" s="4" t="str">
        <f>"EXAM GLOVE: Ni Med Hi Risk PF - Medium, High Risk Nitrile, 12 inch Cuff, powder free, non-sterile, disposable, 6.5 mil thick, orange color. 100 Gloves/Box, 10 Boxes/Case (1000 gloves)"</f>
        <v>EXAM GLOVE: Ni Med Hi Risk PF - Medium, High Risk Nitrile, 12 inch Cuff, powder free, non-sterile, disposable, 6.5 mil thick, orange color. 100 Gloves/Box, 10 Boxes/Case (1000 gloves)</v>
      </c>
      <c r="G2080" s="74" t="str">
        <f t="shared" si="134"/>
        <v>CA</v>
      </c>
      <c r="H2080" s="7">
        <v>155</v>
      </c>
      <c r="I2080" s="2" t="str">
        <f t="shared" si="137"/>
        <v>42132203</v>
      </c>
      <c r="J2080" s="10" t="s">
        <v>153</v>
      </c>
    </row>
    <row r="2081" spans="1:10" ht="63.75">
      <c r="A2081" s="9" t="s">
        <v>58</v>
      </c>
      <c r="B2081" s="2" t="s">
        <v>612</v>
      </c>
      <c r="C2081" s="2">
        <v>3076</v>
      </c>
      <c r="D2081" s="2">
        <v>11</v>
      </c>
      <c r="E2081" s="2" t="str">
        <f>"1000025157"</f>
        <v>1000025157</v>
      </c>
      <c r="F2081" s="4" t="str">
        <f>"EXAM GLOVE: Ni Lg Hi Risk PF - Large, High Risk Nitrile, 12 inch Cuff, powder free, non-sterile, disposable, 6.5 mil thick, orange color. 100 Gloves/Box, 10 Boxes/Case (1000 gloves)"</f>
        <v>EXAM GLOVE: Ni Lg Hi Risk PF - Large, High Risk Nitrile, 12 inch Cuff, powder free, non-sterile, disposable, 6.5 mil thick, orange color. 100 Gloves/Box, 10 Boxes/Case (1000 gloves)</v>
      </c>
      <c r="G2081" s="74" t="str">
        <f t="shared" si="134"/>
        <v>CA</v>
      </c>
      <c r="H2081" s="7">
        <v>155</v>
      </c>
      <c r="I2081" s="2" t="str">
        <f t="shared" si="137"/>
        <v>42132203</v>
      </c>
      <c r="J2081" s="10" t="s">
        <v>153</v>
      </c>
    </row>
    <row r="2082" spans="1:10" ht="63.75">
      <c r="A2082" s="9" t="s">
        <v>58</v>
      </c>
      <c r="B2082" s="2" t="s">
        <v>612</v>
      </c>
      <c r="C2082" s="2">
        <v>3076</v>
      </c>
      <c r="D2082" s="2">
        <v>12</v>
      </c>
      <c r="E2082" s="2" t="str">
        <f>"1000025158"</f>
        <v>1000025158</v>
      </c>
      <c r="F2082" s="4" t="str">
        <f>"EXAM GLOVE: Ni XL Hi Risk PF - X-Large, High Risk Nitrile, 12 inch Cuff, powder free, non-sterile, disposable, 6.5 mil thick, orange color. 100 Gloves/Box, 10 Boxes/Case (1000 gloves)"</f>
        <v>EXAM GLOVE: Ni XL Hi Risk PF - X-Large, High Risk Nitrile, 12 inch Cuff, powder free, non-sterile, disposable, 6.5 mil thick, orange color. 100 Gloves/Box, 10 Boxes/Case (1000 gloves)</v>
      </c>
      <c r="G2082" s="74" t="str">
        <f t="shared" si="134"/>
        <v>CA</v>
      </c>
      <c r="H2082" s="7">
        <v>155</v>
      </c>
      <c r="I2082" s="2" t="str">
        <f t="shared" si="137"/>
        <v>42132203</v>
      </c>
      <c r="J2082" s="10" t="s">
        <v>153</v>
      </c>
    </row>
    <row r="2083" spans="1:10" ht="38.25">
      <c r="A2083" s="9" t="s">
        <v>58</v>
      </c>
      <c r="B2083" s="2" t="s">
        <v>612</v>
      </c>
      <c r="C2083" s="2">
        <v>3076</v>
      </c>
      <c r="D2083" s="2">
        <v>13</v>
      </c>
      <c r="E2083" s="2" t="str">
        <f>"1000025159"</f>
        <v>1000025159</v>
      </c>
      <c r="F2083" s="4" t="str">
        <f>"EXAM GLOVE: Ni Sm PF Sterile - Small, Nitrile, sterile, powder free, singles, 100/box, 4 boxes/case (400 gloves)"</f>
        <v>EXAM GLOVE: Ni Sm PF Sterile - Small, Nitrile, sterile, powder free, singles, 100/box, 4 boxes/case (400 gloves)</v>
      </c>
      <c r="G2083" s="74" t="str">
        <f t="shared" si="134"/>
        <v>CA</v>
      </c>
      <c r="H2083" s="7">
        <v>120</v>
      </c>
      <c r="I2083" s="2" t="str">
        <f t="shared" si="137"/>
        <v>42132203</v>
      </c>
      <c r="J2083" s="10" t="s">
        <v>153</v>
      </c>
    </row>
    <row r="2084" spans="1:10" ht="38.25">
      <c r="A2084" s="9" t="s">
        <v>58</v>
      </c>
      <c r="B2084" s="2" t="s">
        <v>612</v>
      </c>
      <c r="C2084" s="2">
        <v>3076</v>
      </c>
      <c r="D2084" s="2">
        <v>14</v>
      </c>
      <c r="E2084" s="2" t="str">
        <f>"1000025160"</f>
        <v>1000025160</v>
      </c>
      <c r="F2084" s="4" t="str">
        <f>"EXAM GLOVE: Ni Med PF Sterile - Medium Nitrile, sterile, powder free, singles, 100/box, 4 boxes/case (400 gloves)"</f>
        <v>EXAM GLOVE: Ni Med PF Sterile - Medium Nitrile, sterile, powder free, singles, 100/box, 4 boxes/case (400 gloves)</v>
      </c>
      <c r="G2084" s="74" t="str">
        <f t="shared" si="134"/>
        <v>CA</v>
      </c>
      <c r="H2084" s="7">
        <v>120</v>
      </c>
      <c r="I2084" s="2" t="str">
        <f t="shared" si="137"/>
        <v>42132203</v>
      </c>
      <c r="J2084" s="10" t="s">
        <v>153</v>
      </c>
    </row>
    <row r="2085" spans="1:10" ht="38.25">
      <c r="A2085" s="9" t="s">
        <v>58</v>
      </c>
      <c r="B2085" s="2" t="s">
        <v>612</v>
      </c>
      <c r="C2085" s="2">
        <v>3076</v>
      </c>
      <c r="D2085" s="2">
        <v>15</v>
      </c>
      <c r="E2085" s="2" t="str">
        <f>"1000025161"</f>
        <v>1000025161</v>
      </c>
      <c r="F2085" s="4" t="str">
        <f>"EXAM GLOVE: Ni Lg PF Sterile - Large, Nitrile, sterile, powder free, singles, 100/box, 4 boxes/case (400 gloves)"</f>
        <v>EXAM GLOVE: Ni Lg PF Sterile - Large, Nitrile, sterile, powder free, singles, 100/box, 4 boxes/case (400 gloves)</v>
      </c>
      <c r="G2085" s="74" t="str">
        <f t="shared" si="134"/>
        <v>CA</v>
      </c>
      <c r="H2085" s="7">
        <v>120</v>
      </c>
      <c r="I2085" s="2" t="str">
        <f t="shared" si="137"/>
        <v>42132203</v>
      </c>
      <c r="J2085" s="10" t="s">
        <v>153</v>
      </c>
    </row>
    <row r="2086" spans="1:10" ht="38.25">
      <c r="A2086" s="9" t="s">
        <v>58</v>
      </c>
      <c r="B2086" s="2" t="s">
        <v>612</v>
      </c>
      <c r="C2086" s="2">
        <v>3076</v>
      </c>
      <c r="D2086" s="2">
        <v>16</v>
      </c>
      <c r="E2086" s="2" t="str">
        <f>"1000025162"</f>
        <v>1000025162</v>
      </c>
      <c r="F2086" s="4" t="str">
        <f>"EXAM GLOVE: Ni XL PF Sterile - X-Large, Nitrile, sterile, powder free, singles, 100/box, 4 boxes/case (400 gloves)"</f>
        <v>EXAM GLOVE: Ni XL PF Sterile - X-Large, Nitrile, sterile, powder free, singles, 100/box, 4 boxes/case (400 gloves)</v>
      </c>
      <c r="G2086" s="74" t="str">
        <f t="shared" si="134"/>
        <v>CA</v>
      </c>
      <c r="H2086" s="7">
        <v>120</v>
      </c>
      <c r="I2086" s="2" t="str">
        <f t="shared" si="137"/>
        <v>42132203</v>
      </c>
      <c r="J2086" s="10" t="s">
        <v>153</v>
      </c>
    </row>
    <row r="2087" spans="1:10" ht="38.25">
      <c r="A2087" s="9" t="s">
        <v>58</v>
      </c>
      <c r="B2087" s="2" t="s">
        <v>612</v>
      </c>
      <c r="C2087" s="2">
        <v>3076</v>
      </c>
      <c r="D2087" s="2">
        <v>17</v>
      </c>
      <c r="E2087" s="2" t="str">
        <f>"1000025163"</f>
        <v>1000025163</v>
      </c>
      <c r="F2087" s="4" t="str">
        <f>"EXAM GLOVE:Ni Sm PF Strl Prs- Small, Nitrile, sterile, powder free, pairs, 50 pairs/box, 4 boxes/case (200 pair)"</f>
        <v>EXAM GLOVE:Ni Sm PF Strl Prs- Small, Nitrile, sterile, powder free, pairs, 50 pairs/box, 4 boxes/case (200 pair)</v>
      </c>
      <c r="G2087" s="74" t="str">
        <f t="shared" si="134"/>
        <v>CA</v>
      </c>
      <c r="H2087" s="7">
        <v>95</v>
      </c>
      <c r="I2087" s="2" t="str">
        <f t="shared" si="137"/>
        <v>42132203</v>
      </c>
      <c r="J2087" s="10" t="s">
        <v>153</v>
      </c>
    </row>
    <row r="2088" spans="1:10" ht="38.25">
      <c r="A2088" s="9" t="s">
        <v>58</v>
      </c>
      <c r="B2088" s="2" t="s">
        <v>612</v>
      </c>
      <c r="C2088" s="2">
        <v>3076</v>
      </c>
      <c r="D2088" s="2">
        <v>18</v>
      </c>
      <c r="E2088" s="2" t="str">
        <f>"1000025164"</f>
        <v>1000025164</v>
      </c>
      <c r="F2088" s="4" t="str">
        <f>"EXAM GLOVE:Ni Med PF Strl Prs - Medium, Nitrile, sterile, powder free, pairs, 50 pairs/box, 4 boxes/case (200 pair)"</f>
        <v>EXAM GLOVE:Ni Med PF Strl Prs - Medium, Nitrile, sterile, powder free, pairs, 50 pairs/box, 4 boxes/case (200 pair)</v>
      </c>
      <c r="G2088" s="74" t="str">
        <f t="shared" si="134"/>
        <v>CA</v>
      </c>
      <c r="H2088" s="7">
        <v>95</v>
      </c>
      <c r="I2088" s="2" t="str">
        <f t="shared" si="137"/>
        <v>42132203</v>
      </c>
      <c r="J2088" s="10" t="s">
        <v>153</v>
      </c>
    </row>
    <row r="2089" spans="1:10" ht="38.25">
      <c r="A2089" s="9" t="s">
        <v>58</v>
      </c>
      <c r="B2089" s="2" t="s">
        <v>612</v>
      </c>
      <c r="C2089" s="2">
        <v>3076</v>
      </c>
      <c r="D2089" s="2">
        <v>19</v>
      </c>
      <c r="E2089" s="2" t="str">
        <f>"1000025165"</f>
        <v>1000025165</v>
      </c>
      <c r="F2089" s="4" t="str">
        <f>"EXAM GLOVE:Ni Lg PF Strl Prs - Large Nitrile, sterile, powder free, pairs, 50 pairs/box, 4 boxes/case (200 pair)"</f>
        <v>EXAM GLOVE:Ni Lg PF Strl Prs - Large Nitrile, sterile, powder free, pairs, 50 pairs/box, 4 boxes/case (200 pair)</v>
      </c>
      <c r="G2089" s="74" t="str">
        <f t="shared" si="134"/>
        <v>CA</v>
      </c>
      <c r="H2089" s="7">
        <v>95</v>
      </c>
      <c r="I2089" s="2" t="str">
        <f t="shared" si="137"/>
        <v>42132203</v>
      </c>
      <c r="J2089" s="10" t="s">
        <v>153</v>
      </c>
    </row>
    <row r="2090" spans="1:10" ht="38.25">
      <c r="A2090" s="9" t="s">
        <v>58</v>
      </c>
      <c r="B2090" s="2" t="s">
        <v>612</v>
      </c>
      <c r="C2090" s="2">
        <v>3076</v>
      </c>
      <c r="D2090" s="2">
        <v>20</v>
      </c>
      <c r="E2090" s="2" t="str">
        <f>"1000025166"</f>
        <v>1000025166</v>
      </c>
      <c r="F2090" s="4" t="str">
        <f>"EXAM GLOVE: Ni XL PF Strl Prs - X-Large, Nitrile, sterile, powder free, pairs, 50 pairs/box, 4 boxes/case (200 pair)"</f>
        <v>EXAM GLOVE: Ni XL PF Strl Prs - X-Large, Nitrile, sterile, powder free, pairs, 50 pairs/box, 4 boxes/case (200 pair)</v>
      </c>
      <c r="G2090" s="74" t="str">
        <f t="shared" si="134"/>
        <v>CA</v>
      </c>
      <c r="H2090" s="7">
        <v>95</v>
      </c>
      <c r="I2090" s="2" t="str">
        <f t="shared" si="137"/>
        <v>42132203</v>
      </c>
      <c r="J2090" s="10" t="s">
        <v>153</v>
      </c>
    </row>
    <row r="2091" spans="1:10" ht="51">
      <c r="A2091" s="9" t="s">
        <v>58</v>
      </c>
      <c r="B2091" s="2" t="s">
        <v>612</v>
      </c>
      <c r="C2091" s="2">
        <v>3076</v>
      </c>
      <c r="D2091" s="2">
        <v>29</v>
      </c>
      <c r="E2091" s="2" t="str">
        <f>"1000025167"</f>
        <v>1000025167</v>
      </c>
      <c r="F2091" s="4" t="str">
        <f>"EXAM GLOVE: Ltx Sm Hi Risk PF - Small, High Risk, latex, non-sterile, powder free, textured, 12 in. cuff, 50 pairs/box, 10 boxes/case (500 pair)"</f>
        <v>EXAM GLOVE: Ltx Sm Hi Risk PF - Small, High Risk, latex, non-sterile, powder free, textured, 12 in. cuff, 50 pairs/box, 10 boxes/case (500 pair)</v>
      </c>
      <c r="G2091" s="74" t="str">
        <f t="shared" si="134"/>
        <v>CA</v>
      </c>
      <c r="H2091" s="7">
        <v>114</v>
      </c>
      <c r="I2091" s="2" t="str">
        <f t="shared" si="137"/>
        <v>42132203</v>
      </c>
      <c r="J2091" s="10" t="s">
        <v>153</v>
      </c>
    </row>
    <row r="2092" spans="1:10" ht="51">
      <c r="A2092" s="9" t="s">
        <v>58</v>
      </c>
      <c r="B2092" s="2" t="s">
        <v>612</v>
      </c>
      <c r="C2092" s="2">
        <v>3076</v>
      </c>
      <c r="D2092" s="2">
        <v>1</v>
      </c>
      <c r="E2092" s="2" t="str">
        <f>"1000025174"</f>
        <v>1000025174</v>
      </c>
      <c r="F2092" s="4" t="str">
        <f>"EXAM GLOVES: Ni Sm PF 2500/CA - Small, Blue Nitrile, 3.5 mil, non-sterile, powder free, 9 in cuff, 250/box, 10 boxes/case (2500 gloves)"</f>
        <v>EXAM GLOVES: Ni Sm PF 2500/CA - Small, Blue Nitrile, 3.5 mil, non-sterile, powder free, 9 in cuff, 250/box, 10 boxes/case (2500 gloves)</v>
      </c>
      <c r="G2092" s="74" t="str">
        <f t="shared" si="134"/>
        <v>CA</v>
      </c>
      <c r="H2092" s="7">
        <v>125</v>
      </c>
      <c r="I2092" s="2" t="str">
        <f t="shared" si="137"/>
        <v>42132203</v>
      </c>
      <c r="J2092" s="10" t="s">
        <v>153</v>
      </c>
    </row>
    <row r="2093" spans="1:10" ht="51">
      <c r="A2093" s="9" t="s">
        <v>58</v>
      </c>
      <c r="B2093" s="2" t="s">
        <v>612</v>
      </c>
      <c r="C2093" s="2">
        <v>3076</v>
      </c>
      <c r="D2093" s="2">
        <v>2</v>
      </c>
      <c r="E2093" s="2" t="str">
        <f>"1000025175"</f>
        <v>1000025175</v>
      </c>
      <c r="F2093" s="4" t="str">
        <f>"EXAM GLOVES: Ni Med PF 2500/CA - Medium, Blue Nitrile, 3.5 mil, non-sterile, powder free, 9 in cuff, 250/box, 10 boxes/case (2500 gloves)"</f>
        <v>EXAM GLOVES: Ni Med PF 2500/CA - Medium, Blue Nitrile, 3.5 mil, non-sterile, powder free, 9 in cuff, 250/box, 10 boxes/case (2500 gloves)</v>
      </c>
      <c r="G2093" s="74" t="str">
        <f t="shared" si="134"/>
        <v>CA</v>
      </c>
      <c r="H2093" s="7">
        <v>125</v>
      </c>
      <c r="I2093" s="2" t="str">
        <f t="shared" si="137"/>
        <v>42132203</v>
      </c>
      <c r="J2093" s="10" t="s">
        <v>153</v>
      </c>
    </row>
    <row r="2094" spans="1:10" ht="51">
      <c r="A2094" s="9" t="s">
        <v>58</v>
      </c>
      <c r="B2094" s="2" t="s">
        <v>612</v>
      </c>
      <c r="C2094" s="2">
        <v>3076</v>
      </c>
      <c r="D2094" s="2">
        <v>3</v>
      </c>
      <c r="E2094" s="2" t="str">
        <f>"1000025176"</f>
        <v>1000025176</v>
      </c>
      <c r="F2094" s="4" t="str">
        <f>"EXAM GLOVES: Ni Lg PF 2500/CA - Large, Blue Nitrile, 3.5 mil, non-sterile, powder free, 9 in cuff, 250/box, 10 boxes/case (2500 gloves)"</f>
        <v>EXAM GLOVES: Ni Lg PF 2500/CA - Large, Blue Nitrile, 3.5 mil, non-sterile, powder free, 9 in cuff, 250/box, 10 boxes/case (2500 gloves)</v>
      </c>
      <c r="G2094" s="74" t="str">
        <f t="shared" si="134"/>
        <v>CA</v>
      </c>
      <c r="H2094" s="7">
        <v>125</v>
      </c>
      <c r="I2094" s="2" t="str">
        <f t="shared" si="137"/>
        <v>42132203</v>
      </c>
      <c r="J2094" s="10" t="s">
        <v>153</v>
      </c>
    </row>
    <row r="2095" spans="1:10" ht="51">
      <c r="A2095" s="9" t="s">
        <v>58</v>
      </c>
      <c r="B2095" s="2" t="s">
        <v>612</v>
      </c>
      <c r="C2095" s="2">
        <v>3076</v>
      </c>
      <c r="D2095" s="2">
        <v>4</v>
      </c>
      <c r="E2095" s="2" t="str">
        <f>"1000025177"</f>
        <v>1000025177</v>
      </c>
      <c r="F2095" s="4" t="str">
        <f>"EXAM GLOVES: Ni XL PF 2500/CA - X-Large, Blue Nitrile, 3.5 mil, non-sterile, powder free, 9 in cuff, 250/box, 10 boxes/case (2500 gloves)"</f>
        <v>EXAM GLOVES: Ni XL PF 2500/CA - X-Large, Blue Nitrile, 3.5 mil, non-sterile, powder free, 9 in cuff, 250/box, 10 boxes/case (2500 gloves)</v>
      </c>
      <c r="G2095" s="74" t="str">
        <f t="shared" si="134"/>
        <v>CA</v>
      </c>
      <c r="H2095" s="7">
        <v>125</v>
      </c>
      <c r="I2095" s="2" t="str">
        <f t="shared" si="137"/>
        <v>42132203</v>
      </c>
      <c r="J2095" s="10" t="s">
        <v>153</v>
      </c>
    </row>
    <row r="2096" spans="1:10" ht="51">
      <c r="A2096" s="9" t="s">
        <v>58</v>
      </c>
      <c r="B2096" s="2" t="s">
        <v>612</v>
      </c>
      <c r="C2096" s="2">
        <v>3076</v>
      </c>
      <c r="D2096" s="2">
        <v>5</v>
      </c>
      <c r="E2096" s="2" t="str">
        <f>"1000025178"</f>
        <v>1000025178</v>
      </c>
      <c r="F2096" s="4" t="str">
        <f>"EXAM GLOVE: Ni Sm PF 4mil 1000/CA - Small, Blue Nitrile, powder free, 4 mil thick, 9 inch cuff, non-sterile, 100/box, 10 boxes/case (1000 gloves per case)"</f>
        <v>EXAM GLOVE: Ni Sm PF 4mil 1000/CA - Small, Blue Nitrile, powder free, 4 mil thick, 9 inch cuff, non-sterile, 100/box, 10 boxes/case (1000 gloves per case)</v>
      </c>
      <c r="G2096" s="74" t="str">
        <f t="shared" si="134"/>
        <v>CA</v>
      </c>
      <c r="H2096" s="7">
        <v>65</v>
      </c>
      <c r="I2096" s="2" t="str">
        <f t="shared" si="137"/>
        <v>42132203</v>
      </c>
      <c r="J2096" s="10" t="s">
        <v>153</v>
      </c>
    </row>
    <row r="2097" spans="1:10" ht="51">
      <c r="A2097" s="9" t="s">
        <v>58</v>
      </c>
      <c r="B2097" s="2" t="s">
        <v>612</v>
      </c>
      <c r="C2097" s="2">
        <v>3076</v>
      </c>
      <c r="D2097" s="2">
        <v>6</v>
      </c>
      <c r="E2097" s="2" t="str">
        <f>"1000025179"</f>
        <v>1000025179</v>
      </c>
      <c r="F2097" s="4" t="str">
        <f>"EXAM GLOVE:Ni Med PF 4mil 1000/CA - Medium, Blue Nitrile, powder free, 4 mil thick, 9 inch cuff, non-sterile, 100/box, 10 boxes/case (1000 gloves per case)"</f>
        <v>EXAM GLOVE:Ni Med PF 4mil 1000/CA - Medium, Blue Nitrile, powder free, 4 mil thick, 9 inch cuff, non-sterile, 100/box, 10 boxes/case (1000 gloves per case)</v>
      </c>
      <c r="G2097" s="74" t="str">
        <f t="shared" si="134"/>
        <v>CA</v>
      </c>
      <c r="H2097" s="7">
        <v>65</v>
      </c>
      <c r="I2097" s="2" t="str">
        <f t="shared" si="137"/>
        <v>42132203</v>
      </c>
      <c r="J2097" s="10" t="s">
        <v>153</v>
      </c>
    </row>
    <row r="2098" spans="1:10" ht="51">
      <c r="A2098" s="9" t="s">
        <v>58</v>
      </c>
      <c r="B2098" s="2" t="s">
        <v>612</v>
      </c>
      <c r="C2098" s="2">
        <v>3076</v>
      </c>
      <c r="D2098" s="2">
        <v>7</v>
      </c>
      <c r="E2098" s="2" t="str">
        <f>"1000025180"</f>
        <v>1000025180</v>
      </c>
      <c r="F2098" s="4" t="str">
        <f>"EXAM GLOVE: Ni Lg PF 4mil 1000/CA - Large, Blue Nitrile, powder free, 4 mil thick, 9 inch cuff, non-sterile, 100/box, 10 boxes/case (1000 gloves per case)"</f>
        <v>EXAM GLOVE: Ni Lg PF 4mil 1000/CA - Large, Blue Nitrile, powder free, 4 mil thick, 9 inch cuff, non-sterile, 100/box, 10 boxes/case (1000 gloves per case)</v>
      </c>
      <c r="G2098" s="74" t="str">
        <f t="shared" si="134"/>
        <v>CA</v>
      </c>
      <c r="H2098" s="7">
        <v>65</v>
      </c>
      <c r="I2098" s="2" t="str">
        <f t="shared" si="137"/>
        <v>42132203</v>
      </c>
      <c r="J2098" s="10" t="s">
        <v>153</v>
      </c>
    </row>
    <row r="2099" spans="1:10" ht="51">
      <c r="A2099" s="9" t="s">
        <v>58</v>
      </c>
      <c r="B2099" s="2" t="s">
        <v>612</v>
      </c>
      <c r="C2099" s="2">
        <v>3076</v>
      </c>
      <c r="D2099" s="2">
        <v>8</v>
      </c>
      <c r="E2099" s="2" t="str">
        <f>"1000025181"</f>
        <v>1000025181</v>
      </c>
      <c r="F2099" s="4" t="str">
        <f>"EXAM GLOVE: Ni XL PF 4mil 1000/CA - X-Large, Blue Nitrile, powder free, 4 mil thick, 9 inch cuff, non-sterile, 100/box, 10 boxes/case (1000 gloves per case)"</f>
        <v>EXAM GLOVE: Ni XL PF 4mil 1000/CA - X-Large, Blue Nitrile, powder free, 4 mil thick, 9 inch cuff, non-sterile, 100/box, 10 boxes/case (1000 gloves per case)</v>
      </c>
      <c r="G2099" s="74" t="str">
        <f t="shared" si="134"/>
        <v>CA</v>
      </c>
      <c r="H2099" s="7">
        <v>65</v>
      </c>
      <c r="I2099" s="2" t="str">
        <f t="shared" si="137"/>
        <v>42132203</v>
      </c>
      <c r="J2099" s="10" t="s">
        <v>153</v>
      </c>
    </row>
    <row r="2100" spans="1:10" ht="25.5">
      <c r="A2100" s="9" t="s">
        <v>58</v>
      </c>
      <c r="B2100" s="2" t="s">
        <v>612</v>
      </c>
      <c r="C2100" s="2">
        <v>3076</v>
      </c>
      <c r="D2100" s="2">
        <v>71</v>
      </c>
      <c r="E2100" s="2" t="str">
        <f>"1000028592"</f>
        <v>1000028592</v>
      </c>
      <c r="F2100" s="4" t="str">
        <f>"DISCOUNT: Rate or percentage bulk discount"</f>
        <v>DISCOUNT: Rate or percentage bulk discount</v>
      </c>
      <c r="G2100" s="74" t="str">
        <f>"EA"</f>
        <v>EA</v>
      </c>
      <c r="H2100" s="7">
        <v>0.01</v>
      </c>
      <c r="I2100" s="2" t="str">
        <f>"84101502"</f>
        <v>84101502</v>
      </c>
      <c r="J2100" s="10" t="s">
        <v>156</v>
      </c>
    </row>
    <row r="2101" spans="1:10" ht="38.25">
      <c r="A2101" s="9" t="s">
        <v>58</v>
      </c>
      <c r="B2101" s="2" t="s">
        <v>612</v>
      </c>
      <c r="C2101" s="2">
        <v>3076</v>
      </c>
      <c r="D2101" s="2">
        <v>72</v>
      </c>
      <c r="E2101" s="2" t="str">
        <f>"1000029585"</f>
        <v>1000029585</v>
      </c>
      <c r="F2101" s="4" t="str">
        <f>"EXAM GLOVES: Polycholorprene, Small, non-sterile, powder free, textured, green. 100 per box, 10 boxes/case (1000 gloves)"</f>
        <v>EXAM GLOVES: Polycholorprene, Small, non-sterile, powder free, textured, green. 100 per box, 10 boxes/case (1000 gloves)</v>
      </c>
      <c r="G2101" s="74" t="str">
        <f>"EA"</f>
        <v>EA</v>
      </c>
      <c r="H2101" s="7">
        <v>75.209999999999994</v>
      </c>
      <c r="I2101" s="2" t="str">
        <f>"42132203"</f>
        <v>42132203</v>
      </c>
      <c r="J2101" s="10" t="s">
        <v>153</v>
      </c>
    </row>
    <row r="2102" spans="1:10" ht="38.25">
      <c r="A2102" s="9" t="s">
        <v>58</v>
      </c>
      <c r="B2102" s="2" t="s">
        <v>612</v>
      </c>
      <c r="C2102" s="2">
        <v>3076</v>
      </c>
      <c r="D2102" s="2">
        <v>73</v>
      </c>
      <c r="E2102" s="2" t="str">
        <f>"1000029586"</f>
        <v>1000029586</v>
      </c>
      <c r="F2102" s="4" t="str">
        <f>"EXAM GLOVES: Polycholorprene, Med, non-sterile, powder free, textured, green. 100 per box, 10 boxes/case (1000 gloves)"</f>
        <v>EXAM GLOVES: Polycholorprene, Med, non-sterile, powder free, textured, green. 100 per box, 10 boxes/case (1000 gloves)</v>
      </c>
      <c r="G2102" s="74" t="str">
        <f>"EA"</f>
        <v>EA</v>
      </c>
      <c r="H2102" s="7">
        <v>75.209999999999994</v>
      </c>
      <c r="I2102" s="2" t="str">
        <f>"42132203"</f>
        <v>42132203</v>
      </c>
      <c r="J2102" s="10" t="s">
        <v>153</v>
      </c>
    </row>
    <row r="2103" spans="1:10" ht="38.25">
      <c r="A2103" s="9" t="s">
        <v>58</v>
      </c>
      <c r="B2103" s="2" t="s">
        <v>612</v>
      </c>
      <c r="C2103" s="2">
        <v>3076</v>
      </c>
      <c r="D2103" s="2">
        <v>74</v>
      </c>
      <c r="E2103" s="2" t="str">
        <f>"1000029587"</f>
        <v>1000029587</v>
      </c>
      <c r="F2103" s="4" t="str">
        <f>"EXAM GLOVES: Polycholorprene, Lg, non-sterile, powder free, textured, green. 100 per box, 10 boxes/case (1000 gloves)"</f>
        <v>EXAM GLOVES: Polycholorprene, Lg, non-sterile, powder free, textured, green. 100 per box, 10 boxes/case (1000 gloves)</v>
      </c>
      <c r="G2103" s="74" t="str">
        <f>"EA"</f>
        <v>EA</v>
      </c>
      <c r="H2103" s="7">
        <v>75.209999999999994</v>
      </c>
      <c r="I2103" s="2" t="str">
        <f>"42132203"</f>
        <v>42132203</v>
      </c>
      <c r="J2103" s="10" t="s">
        <v>153</v>
      </c>
    </row>
    <row r="2104" spans="1:10" ht="38.25">
      <c r="A2104" s="9" t="s">
        <v>58</v>
      </c>
      <c r="B2104" s="2" t="s">
        <v>612</v>
      </c>
      <c r="C2104" s="2">
        <v>3076</v>
      </c>
      <c r="D2104" s="2">
        <v>75</v>
      </c>
      <c r="E2104" s="2" t="str">
        <f>"1000029588"</f>
        <v>1000029588</v>
      </c>
      <c r="F2104" s="4" t="str">
        <f>"EXAM GLOVES: Polycholorprene, X-Lg, non-sterile, powder free, textured, green. 100 per box, 10 boxes/case (1000 gloves)"</f>
        <v>EXAM GLOVES: Polycholorprene, X-Lg, non-sterile, powder free, textured, green. 100 per box, 10 boxes/case (1000 gloves)</v>
      </c>
      <c r="G2104" s="74" t="str">
        <f>"EA"</f>
        <v>EA</v>
      </c>
      <c r="H2104" s="7">
        <v>75.209999999999994</v>
      </c>
      <c r="I2104" s="2" t="str">
        <f>"42132203"</f>
        <v>42132203</v>
      </c>
      <c r="J2104" s="10" t="s">
        <v>153</v>
      </c>
    </row>
    <row r="2105" spans="1:10" ht="51">
      <c r="A2105" s="9" t="s">
        <v>307</v>
      </c>
      <c r="B2105" s="2" t="s">
        <v>612</v>
      </c>
      <c r="C2105" s="2">
        <v>3041</v>
      </c>
      <c r="D2105" s="2">
        <v>5</v>
      </c>
      <c r="E2105" s="2" t="str">
        <f>"1000024253"</f>
        <v>1000024253</v>
      </c>
      <c r="F2105" s="4" t="str">
        <f>"DEODORIZER:Indst Wick 1.5oz 72/CA - Industrial Wick Deodorizers,1.5 oz bottle. 12 bottles/carton, 6 cartons/case (72 total). Scent: Natural"</f>
        <v>DEODORIZER:Indst Wick 1.5oz 72/CA - Industrial Wick Deodorizers,1.5 oz bottle. 12 bottles/carton, 6 cartons/case (72 total). Scent: Natural</v>
      </c>
      <c r="G2105" s="74" t="str">
        <f>"CA"</f>
        <v>CA</v>
      </c>
      <c r="H2105" s="7"/>
      <c r="I2105" s="2" t="str">
        <f>"47131816"</f>
        <v>47131816</v>
      </c>
      <c r="J2105" s="10" t="s">
        <v>151</v>
      </c>
    </row>
    <row r="2106" spans="1:10" ht="51">
      <c r="A2106" s="9" t="s">
        <v>307</v>
      </c>
      <c r="B2106" s="2" t="s">
        <v>612</v>
      </c>
      <c r="C2106" s="2">
        <v>3041</v>
      </c>
      <c r="D2106" s="2">
        <v>6</v>
      </c>
      <c r="E2106" s="2" t="str">
        <f>"1000024254"</f>
        <v>1000024254</v>
      </c>
      <c r="F2106" s="4" t="str">
        <f>"DEODORIZER:Indst Wick 4oz 36/CA - Industrial Wick Deodorizers, 4 oz bottle. 12 bottles/carton, 3 cartons/case (36 total). Scent: Natural"</f>
        <v>DEODORIZER:Indst Wick 4oz 36/CA - Industrial Wick Deodorizers, 4 oz bottle. 12 bottles/carton, 3 cartons/case (36 total). Scent: Natural</v>
      </c>
      <c r="G2106" s="74" t="str">
        <f>"CA"</f>
        <v>CA</v>
      </c>
      <c r="H2106" s="7">
        <v>106.31</v>
      </c>
      <c r="I2106" s="2" t="str">
        <f>"47131816"</f>
        <v>47131816</v>
      </c>
      <c r="J2106" s="10" t="s">
        <v>151</v>
      </c>
    </row>
    <row r="2107" spans="1:10" ht="38.25">
      <c r="A2107" s="9" t="s">
        <v>307</v>
      </c>
      <c r="B2107" s="2" t="s">
        <v>612</v>
      </c>
      <c r="C2107" s="2">
        <v>3041</v>
      </c>
      <c r="D2107" s="2">
        <v>12</v>
      </c>
      <c r="E2107" s="2" t="str">
        <f>"1000024255"</f>
        <v>1000024255</v>
      </c>
      <c r="F2107" s="4" t="str">
        <f>"ODOR CONTROL: Fogger 5oz 12/CA - Odor Control Fogger, 5 oz. Total release fogger for severe odors. 12/case"</f>
        <v>ODOR CONTROL: Fogger 5oz 12/CA - Odor Control Fogger, 5 oz. Total release fogger for severe odors. 12/case</v>
      </c>
      <c r="G2107" s="74" t="str">
        <f>"CA"</f>
        <v>CA</v>
      </c>
      <c r="H2107" s="7">
        <v>32.840000000000003</v>
      </c>
      <c r="I2107" s="2" t="str">
        <f>"47131816"</f>
        <v>47131816</v>
      </c>
      <c r="J2107" s="10" t="s">
        <v>151</v>
      </c>
    </row>
    <row r="2108" spans="1:10" ht="63.75">
      <c r="A2108" s="9" t="s">
        <v>307</v>
      </c>
      <c r="B2108" s="2" t="s">
        <v>612</v>
      </c>
      <c r="C2108" s="2">
        <v>3041</v>
      </c>
      <c r="D2108" s="2">
        <v>1</v>
      </c>
      <c r="E2108" s="2" t="str">
        <f>"1000024256"</f>
        <v>1000024256</v>
      </c>
      <c r="F2108" s="4" t="str">
        <f>"DEODORIZER: Fabric 4oz 12/CA - Fabric Deodorizer, non-aerosol spray, 4oz. spray bottles. Can be used in the air or directly on most fabrics to remove unpleasant odors. 12 spray bottles/case"</f>
        <v>DEODORIZER: Fabric 4oz 12/CA - Fabric Deodorizer, non-aerosol spray, 4oz. spray bottles. Can be used in the air or directly on most fabrics to remove unpleasant odors. 12 spray bottles/case</v>
      </c>
      <c r="G2108" s="74" t="str">
        <f>"CA"</f>
        <v>CA</v>
      </c>
      <c r="H2108" s="7">
        <v>23.96</v>
      </c>
      <c r="I2108" s="2" t="str">
        <f>"47131816"</f>
        <v>47131816</v>
      </c>
      <c r="J2108" s="10" t="s">
        <v>151</v>
      </c>
    </row>
    <row r="2109" spans="1:10" ht="51">
      <c r="A2109" s="9" t="s">
        <v>307</v>
      </c>
      <c r="B2109" s="2" t="s">
        <v>612</v>
      </c>
      <c r="C2109" s="2">
        <v>3041</v>
      </c>
      <c r="D2109" s="2">
        <v>4</v>
      </c>
      <c r="E2109" s="2" t="str">
        <f>"1000024257"</f>
        <v>1000024257</v>
      </c>
      <c r="F2109" s="4" t="str">
        <f>"DEODORIZER:Counteractant Lmn 6/CA - Water Soluble, Odor counteractants, 1-2:64 oz dissolution ratio, 6 per case. Scent: Lemon"</f>
        <v>DEODORIZER:Counteractant Lmn 6/CA - Water Soluble, Odor counteractants, 1-2:64 oz dissolution ratio, 6 per case. Scent: Lemon</v>
      </c>
      <c r="G2109" s="74" t="str">
        <f>"CA"</f>
        <v>CA</v>
      </c>
      <c r="H2109" s="7">
        <v>50</v>
      </c>
      <c r="I2109" s="2" t="str">
        <f>"47131816"</f>
        <v>47131816</v>
      </c>
      <c r="J2109" s="10" t="s">
        <v>151</v>
      </c>
    </row>
    <row r="2110" spans="1:10" ht="63.75">
      <c r="A2110" s="9" t="s">
        <v>307</v>
      </c>
      <c r="B2110" s="2" t="s">
        <v>612</v>
      </c>
      <c r="C2110" s="2">
        <v>3041</v>
      </c>
      <c r="D2110" s="2">
        <v>11</v>
      </c>
      <c r="E2110" s="2" t="str">
        <f>"1000024258"</f>
        <v>1000024258</v>
      </c>
      <c r="F2110" s="4" t="str">
        <f>"DISPENSER:Light Actvtd Mtrd Arsl - Metered Aerosol Concentrates dispenser, Light-Activated Dispenser. Turns itself off when light is off in the room. Operates with metered concentrated deodorant."</f>
        <v>DISPENSER:Light Actvtd Mtrd Arsl - Metered Aerosol Concentrates dispenser, Light-Activated Dispenser. Turns itself off when light is off in the room. Operates with metered concentrated deodorant.</v>
      </c>
      <c r="G2110" s="74" t="str">
        <f>"EA"</f>
        <v>EA</v>
      </c>
      <c r="H2110" s="7">
        <v>32.25</v>
      </c>
      <c r="I2110" s="2" t="str">
        <f>"47131706"</f>
        <v>47131706</v>
      </c>
      <c r="J2110" s="10" t="s">
        <v>152</v>
      </c>
    </row>
    <row r="2111" spans="1:10" ht="51">
      <c r="A2111" s="9" t="s">
        <v>307</v>
      </c>
      <c r="B2111" s="2" t="s">
        <v>612</v>
      </c>
      <c r="C2111" s="2">
        <v>3041</v>
      </c>
      <c r="D2111" s="2">
        <v>7</v>
      </c>
      <c r="E2111" s="2" t="str">
        <f>"1000024259"</f>
        <v>1000024259</v>
      </c>
      <c r="F2111" s="4" t="str">
        <f>"DEODORIZER:Metered Arsl 12/CA MntnAir - Concentrated room deodorizers, metered aerosol concentrates. 12/CA. Scent: Mountain Air"</f>
        <v>DEODORIZER:Metered Arsl 12/CA MntnAir - Concentrated room deodorizers, metered aerosol concentrates. 12/CA. Scent: Mountain Air</v>
      </c>
      <c r="G2111" s="74" t="str">
        <f t="shared" ref="G2111:G2120" si="138">"CA"</f>
        <v>CA</v>
      </c>
      <c r="H2111" s="7">
        <v>44.8</v>
      </c>
      <c r="I2111" s="2" t="str">
        <f t="shared" ref="I2111:I2119" si="139">"47131816"</f>
        <v>47131816</v>
      </c>
      <c r="J2111" s="10" t="s">
        <v>151</v>
      </c>
    </row>
    <row r="2112" spans="1:10" ht="51">
      <c r="A2112" s="9" t="s">
        <v>307</v>
      </c>
      <c r="B2112" s="2" t="s">
        <v>612</v>
      </c>
      <c r="C2112" s="2">
        <v>3041</v>
      </c>
      <c r="D2112" s="2">
        <v>16</v>
      </c>
      <c r="E2112" s="2" t="str">
        <f>"1000024264"</f>
        <v>1000024264</v>
      </c>
      <c r="F2112" s="4" t="str">
        <f>"URINAL BLOCK:W/Para 3oz 144/CA - Para Urinal toss blocks, 3 oz. blocks, 12 blocks/box, 12 boxes/case (144 total) Scent: Cherry"</f>
        <v>URINAL BLOCK:W/Para 3oz 144/CA - Para Urinal toss blocks, 3 oz. blocks, 12 blocks/box, 12 boxes/case (144 total) Scent: Cherry</v>
      </c>
      <c r="G2112" s="74" t="str">
        <f t="shared" si="138"/>
        <v>CA</v>
      </c>
      <c r="H2112" s="7">
        <v>74.52</v>
      </c>
      <c r="I2112" s="2" t="str">
        <f t="shared" si="139"/>
        <v>47131816</v>
      </c>
      <c r="J2112" s="10" t="s">
        <v>151</v>
      </c>
    </row>
    <row r="2113" spans="1:10" ht="51">
      <c r="A2113" s="9" t="s">
        <v>307</v>
      </c>
      <c r="B2113" s="2" t="s">
        <v>612</v>
      </c>
      <c r="C2113" s="2">
        <v>3041</v>
      </c>
      <c r="D2113" s="2">
        <v>2</v>
      </c>
      <c r="E2113" s="2" t="str">
        <f>"1000024265"</f>
        <v>1000024265</v>
      </c>
      <c r="F2113" s="4" t="str">
        <f>"DEODORIZER:4oz spray 12/CA Lmn- Spray deodorant, ready-to-use, 4 oz hand powered spray bottle, 12/case. Scent: Lemon"</f>
        <v>DEODORIZER:4oz spray 12/CA Lmn- Spray deodorant, ready-to-use, 4 oz hand powered spray bottle, 12/case. Scent: Lemon</v>
      </c>
      <c r="G2113" s="74" t="str">
        <f t="shared" si="138"/>
        <v>CA</v>
      </c>
      <c r="H2113" s="7">
        <v>35.4</v>
      </c>
      <c r="I2113" s="2" t="str">
        <f t="shared" si="139"/>
        <v>47131816</v>
      </c>
      <c r="J2113" s="10" t="s">
        <v>151</v>
      </c>
    </row>
    <row r="2114" spans="1:10" ht="51">
      <c r="A2114" s="9" t="s">
        <v>307</v>
      </c>
      <c r="B2114" s="2" t="s">
        <v>612</v>
      </c>
      <c r="C2114" s="2">
        <v>3041</v>
      </c>
      <c r="D2114" s="2">
        <v>17</v>
      </c>
      <c r="E2114" s="2" t="str">
        <f>"1000024266"</f>
        <v>1000024266</v>
      </c>
      <c r="F2114" s="4" t="str">
        <f>"URINAL BLOCK:W/Para 4oz 144/CA - Para Urinal toss blocks, 4 oz. blocks, 12 blocks/box, 12 boxes/case (144 total). Scent: Cherry"</f>
        <v>URINAL BLOCK:W/Para 4oz 144/CA - Para Urinal toss blocks, 4 oz. blocks, 12 blocks/box, 12 boxes/case (144 total). Scent: Cherry</v>
      </c>
      <c r="G2114" s="74" t="str">
        <f t="shared" si="138"/>
        <v>CA</v>
      </c>
      <c r="H2114" s="7">
        <v>93.15</v>
      </c>
      <c r="I2114" s="2" t="str">
        <f t="shared" si="139"/>
        <v>47131816</v>
      </c>
      <c r="J2114" s="10" t="s">
        <v>151</v>
      </c>
    </row>
    <row r="2115" spans="1:10" ht="38.25">
      <c r="A2115" s="9" t="s">
        <v>307</v>
      </c>
      <c r="B2115" s="2" t="s">
        <v>612</v>
      </c>
      <c r="C2115" s="2">
        <v>3041</v>
      </c>
      <c r="D2115" s="2">
        <v>15</v>
      </c>
      <c r="E2115" s="2" t="str">
        <f>"1000024267"</f>
        <v>1000024267</v>
      </c>
      <c r="F2115" s="4" t="str">
        <f>"URINAL BLOCK:NonPara 144/CA - Non-Para Urinal Toss Block, Evergreen with enzymes, 12/carton, 12 cartons/case (144 total)"</f>
        <v>URINAL BLOCK:NonPara 144/CA - Non-Para Urinal Toss Block, Evergreen with enzymes, 12/carton, 12 cartons/case (144 total)</v>
      </c>
      <c r="G2115" s="74" t="str">
        <f t="shared" si="138"/>
        <v>CA</v>
      </c>
      <c r="H2115" s="7">
        <v>116.75</v>
      </c>
      <c r="I2115" s="2" t="str">
        <f t="shared" si="139"/>
        <v>47131816</v>
      </c>
      <c r="J2115" s="10" t="s">
        <v>151</v>
      </c>
    </row>
    <row r="2116" spans="1:10" ht="51">
      <c r="A2116" s="9" t="s">
        <v>307</v>
      </c>
      <c r="B2116" s="2" t="s">
        <v>612</v>
      </c>
      <c r="C2116" s="2">
        <v>3041</v>
      </c>
      <c r="D2116" s="2">
        <v>13</v>
      </c>
      <c r="E2116" s="2" t="str">
        <f>"1000024268"</f>
        <v>1000024268</v>
      </c>
      <c r="F2116" s="4" t="str">
        <f>"TOILET RIM HANGER:4oz Para 144/CA - Toilet Bowl Rim Hanger with 4 oz Para Block 12/box, 12 boxes/case (144 total). Scent: Cherry"</f>
        <v>TOILET RIM HANGER:4oz Para 144/CA - Toilet Bowl Rim Hanger with 4 oz Para Block 12/box, 12 boxes/case (144 total). Scent: Cherry</v>
      </c>
      <c r="G2116" s="74" t="str">
        <f t="shared" si="138"/>
        <v>CA</v>
      </c>
      <c r="H2116" s="7">
        <v>125.7</v>
      </c>
      <c r="I2116" s="2" t="str">
        <f t="shared" si="139"/>
        <v>47131816</v>
      </c>
      <c r="J2116" s="10" t="s">
        <v>151</v>
      </c>
    </row>
    <row r="2117" spans="1:10" ht="63.75">
      <c r="A2117" s="9" t="s">
        <v>307</v>
      </c>
      <c r="B2117" s="2" t="s">
        <v>612</v>
      </c>
      <c r="C2117" s="2">
        <v>3041</v>
      </c>
      <c r="D2117" s="2">
        <v>3</v>
      </c>
      <c r="E2117" s="2" t="str">
        <f>"1000024269"</f>
        <v>1000024269</v>
      </c>
      <c r="F2117" s="4" t="str">
        <f>"DEODORIZER:Concentrate 4/CA Dis. - Deodorant Concentrate. Can be used in conjunction with cleaners, disinfectants, or shampoos. 2-4:64 oz dissolution ratio, 4/case. Scent: Cherry"</f>
        <v>DEODORIZER:Concentrate 4/CA Dis. - Deodorant Concentrate. Can be used in conjunction with cleaners, disinfectants, or shampoos. 2-4:64 oz dissolution ratio, 4/case. Scent: Cherry</v>
      </c>
      <c r="G2117" s="74" t="str">
        <f t="shared" si="138"/>
        <v>CA</v>
      </c>
      <c r="H2117" s="7">
        <v>35.6</v>
      </c>
      <c r="I2117" s="2" t="str">
        <f t="shared" si="139"/>
        <v>47131816</v>
      </c>
      <c r="J2117" s="10" t="s">
        <v>151</v>
      </c>
    </row>
    <row r="2118" spans="1:10" ht="51">
      <c r="A2118" s="9" t="s">
        <v>307</v>
      </c>
      <c r="B2118" s="2" t="s">
        <v>612</v>
      </c>
      <c r="C2118" s="2">
        <v>3041</v>
      </c>
      <c r="D2118" s="2">
        <v>8</v>
      </c>
      <c r="E2118" s="2" t="str">
        <f>"1000024271"</f>
        <v>1000024271</v>
      </c>
      <c r="F2118" s="4" t="str">
        <f>"DEODORIZER:Para 16oz hang up 6/CA - Para urine deodorant wall block with hang-up carton, 16 oz block, 6/case. Scent: Cherry"</f>
        <v>DEODORIZER:Para 16oz hang up 6/CA - Para urine deodorant wall block with hang-up carton, 16 oz block, 6/case. Scent: Cherry</v>
      </c>
      <c r="G2118" s="74" t="str">
        <f t="shared" si="138"/>
        <v>CA</v>
      </c>
      <c r="H2118" s="7">
        <v>23.34</v>
      </c>
      <c r="I2118" s="2" t="str">
        <f t="shared" si="139"/>
        <v>47131816</v>
      </c>
      <c r="J2118" s="10" t="s">
        <v>151</v>
      </c>
    </row>
    <row r="2119" spans="1:10" ht="51">
      <c r="A2119" s="9" t="s">
        <v>307</v>
      </c>
      <c r="B2119" s="2" t="s">
        <v>612</v>
      </c>
      <c r="C2119" s="2">
        <v>3041</v>
      </c>
      <c r="D2119" s="2">
        <v>9</v>
      </c>
      <c r="E2119" s="2" t="str">
        <f>"1000024272"</f>
        <v>1000024272</v>
      </c>
      <c r="F2119" s="4" t="str">
        <f>"DEODORIZER:Para 24oz hang up 6/CA - Para urine air deodorant wall block with hang-up carton, 24oz block, 6/case. Scent: Cherry"</f>
        <v>DEODORIZER:Para 24oz hang up 6/CA - Para urine air deodorant wall block with hang-up carton, 24oz block, 6/case. Scent: Cherry</v>
      </c>
      <c r="G2119" s="74" t="str">
        <f t="shared" si="138"/>
        <v>CA</v>
      </c>
      <c r="H2119" s="7">
        <v>29.17</v>
      </c>
      <c r="I2119" s="2" t="str">
        <f t="shared" si="139"/>
        <v>47131816</v>
      </c>
      <c r="J2119" s="10" t="s">
        <v>151</v>
      </c>
    </row>
    <row r="2120" spans="1:10" ht="51">
      <c r="A2120" s="9" t="s">
        <v>307</v>
      </c>
      <c r="B2120" s="2" t="s">
        <v>612</v>
      </c>
      <c r="C2120" s="2">
        <v>3041</v>
      </c>
      <c r="D2120" s="2">
        <v>18</v>
      </c>
      <c r="E2120" s="2" t="str">
        <f>"1000024273"</f>
        <v>1000024273</v>
      </c>
      <c r="F2120" s="4" t="str">
        <f>"URINAL SCREEN:Flexible 72/CA - Flexible Fit, deodorizes 30 to 45 days, prevents clogs, 12/carton, 6 cartons/case (72 total) Scent: Cherry"</f>
        <v>URINAL SCREEN:Flexible 72/CA - Flexible Fit, deodorizes 30 to 45 days, prevents clogs, 12/carton, 6 cartons/case (72 total) Scent: Cherry</v>
      </c>
      <c r="G2120" s="74" t="str">
        <f t="shared" si="138"/>
        <v>CA</v>
      </c>
      <c r="H2120" s="7">
        <v>67.48</v>
      </c>
      <c r="I2120" s="2" t="str">
        <f>"47131705"</f>
        <v>47131705</v>
      </c>
      <c r="J2120" s="10" t="s">
        <v>134</v>
      </c>
    </row>
    <row r="2121" spans="1:10" ht="76.5">
      <c r="A2121" s="9" t="s">
        <v>307</v>
      </c>
      <c r="B2121" s="2" t="s">
        <v>612</v>
      </c>
      <c r="C2121" s="2">
        <v>3041</v>
      </c>
      <c r="D2121" s="2">
        <v>10</v>
      </c>
      <c r="E2121" s="2" t="str">
        <f>"1000024274"</f>
        <v>1000024274</v>
      </c>
      <c r="F2121" s="4" t="str">
        <f>"DISPENSER:15min Mtrd Arsl Batt - Metered Aerosol Concentrates dispenser, battery operated aerosol, 15 minute incremental spray, covers up to 6,000 sq ft, batteries NOT included Operates with metered concentrated deodorant."</f>
        <v>DISPENSER:15min Mtrd Arsl Batt - Metered Aerosol Concentrates dispenser, battery operated aerosol, 15 minute incremental spray, covers up to 6,000 sq ft, batteries NOT included Operates with metered concentrated deodorant.</v>
      </c>
      <c r="G2121" s="74" t="str">
        <f>"EA"</f>
        <v>EA</v>
      </c>
      <c r="H2121" s="7">
        <v>33.65</v>
      </c>
      <c r="I2121" s="2" t="str">
        <f>"47131706"</f>
        <v>47131706</v>
      </c>
      <c r="J2121" s="10" t="s">
        <v>152</v>
      </c>
    </row>
    <row r="2122" spans="1:10" ht="51">
      <c r="A2122" s="9" t="s">
        <v>307</v>
      </c>
      <c r="B2122" s="2" t="s">
        <v>612</v>
      </c>
      <c r="C2122" s="2">
        <v>3041</v>
      </c>
      <c r="D2122" s="2">
        <v>14</v>
      </c>
      <c r="E2122" s="2" t="str">
        <f>"1000024275"</f>
        <v>1000024275</v>
      </c>
      <c r="F2122" s="4" t="str">
        <f>"TOILET RIM HANGER:NonPara 12/CA - Non-Para toilet bowl rim hanger 12 hangers/case. Scent: Evergreen with enzymes"</f>
        <v>TOILET RIM HANGER:NonPara 12/CA - Non-Para toilet bowl rim hanger 12 hangers/case. Scent: Evergreen with enzymes</v>
      </c>
      <c r="G2122" s="74" t="str">
        <f>"CA"</f>
        <v>CA</v>
      </c>
      <c r="H2122" s="7">
        <v>14.97</v>
      </c>
      <c r="I2122" s="2" t="str">
        <f t="shared" ref="I2122:I2127" si="140">"47131705"</f>
        <v>47131705</v>
      </c>
      <c r="J2122" s="10" t="s">
        <v>134</v>
      </c>
    </row>
    <row r="2123" spans="1:10" ht="38.25">
      <c r="A2123" s="9" t="s">
        <v>307</v>
      </c>
      <c r="B2123" s="2" t="s">
        <v>612</v>
      </c>
      <c r="C2123" s="2">
        <v>3041</v>
      </c>
      <c r="D2123" s="2">
        <v>19</v>
      </c>
      <c r="E2123" s="2" t="str">
        <f>"1000024276"</f>
        <v>1000024276</v>
      </c>
      <c r="F2123" s="4" t="str">
        <f>"URINAL SCREEN:NonPara Chry 12/CA - Non-Para Urinal screen with non-para block (1500 flushes). Scent: Cherry. 12/case"</f>
        <v>URINAL SCREEN:NonPara Chry 12/CA - Non-Para Urinal screen with non-para block (1500 flushes). Scent: Cherry. 12/case</v>
      </c>
      <c r="G2123" s="74" t="str">
        <f>"CA"</f>
        <v>CA</v>
      </c>
      <c r="H2123" s="7">
        <v>16.63</v>
      </c>
      <c r="I2123" s="2" t="str">
        <f t="shared" si="140"/>
        <v>47131705</v>
      </c>
      <c r="J2123" s="10" t="s">
        <v>134</v>
      </c>
    </row>
    <row r="2124" spans="1:10" ht="51">
      <c r="A2124" s="9" t="s">
        <v>307</v>
      </c>
      <c r="B2124" s="2" t="s">
        <v>612</v>
      </c>
      <c r="C2124" s="2">
        <v>3041</v>
      </c>
      <c r="D2124" s="2">
        <v>20</v>
      </c>
      <c r="E2124" s="2" t="str">
        <f>"1000024277"</f>
        <v>1000024277</v>
      </c>
      <c r="F2124" s="4" t="str">
        <f>"URINAL SCREEN:NonPara ClBrz 12/CA - Non-Para Block Urinal screen with non-para block (2000 flushes). Scent: Clean Breeze. 12/case"</f>
        <v>URINAL SCREEN:NonPara ClBrz 12/CA - Non-Para Block Urinal screen with non-para block (2000 flushes). Scent: Clean Breeze. 12/case</v>
      </c>
      <c r="G2124" s="74" t="str">
        <f>"CA"</f>
        <v>CA</v>
      </c>
      <c r="H2124" s="7">
        <v>21.9</v>
      </c>
      <c r="I2124" s="2" t="str">
        <f t="shared" si="140"/>
        <v>47131705</v>
      </c>
      <c r="J2124" s="10" t="s">
        <v>134</v>
      </c>
    </row>
    <row r="2125" spans="1:10" ht="38.25">
      <c r="A2125" s="9" t="s">
        <v>307</v>
      </c>
      <c r="B2125" s="2" t="s">
        <v>612</v>
      </c>
      <c r="C2125" s="2">
        <v>3041</v>
      </c>
      <c r="D2125" s="2">
        <v>21</v>
      </c>
      <c r="E2125" s="2" t="str">
        <f>"1000024278"</f>
        <v>1000024278</v>
      </c>
      <c r="F2125" s="4" t="str">
        <f>"URINAL SCREEN:NonPara Magnum 6/CA - Non-Para Block Magnum, Evergreen with enzymes, (2500 flushes) 6/case"</f>
        <v>URINAL SCREEN:NonPara Magnum 6/CA - Non-Para Block Magnum, Evergreen with enzymes, (2500 flushes) 6/case</v>
      </c>
      <c r="G2125" s="74" t="str">
        <f>"CA"</f>
        <v>CA</v>
      </c>
      <c r="H2125" s="7">
        <v>13.7</v>
      </c>
      <c r="I2125" s="2" t="str">
        <f t="shared" si="140"/>
        <v>47131705</v>
      </c>
      <c r="J2125" s="10" t="s">
        <v>134</v>
      </c>
    </row>
    <row r="2126" spans="1:10" ht="38.25">
      <c r="A2126" s="9" t="s">
        <v>307</v>
      </c>
      <c r="B2126" s="2" t="s">
        <v>612</v>
      </c>
      <c r="C2126" s="2">
        <v>3041</v>
      </c>
      <c r="D2126" s="2">
        <v>22</v>
      </c>
      <c r="E2126" s="2" t="str">
        <f>"1000024860"</f>
        <v>1000024860</v>
      </c>
      <c r="F2126" s="4" t="str">
        <f>"URINAL SCREEN: Para Chry 12/CA - Urinal Screen with 4 oz Para BlockScent: Cherry. 12/case"</f>
        <v>URINAL SCREEN: Para Chry 12/CA - Urinal Screen with 4 oz Para BlockScent: Cherry. 12/case</v>
      </c>
      <c r="G2126" s="74" t="str">
        <f>"CA"</f>
        <v>CA</v>
      </c>
      <c r="H2126" s="7">
        <v>24.84</v>
      </c>
      <c r="I2126" s="2" t="str">
        <f t="shared" si="140"/>
        <v>47131705</v>
      </c>
      <c r="J2126" s="10" t="s">
        <v>134</v>
      </c>
    </row>
    <row r="2127" spans="1:10" ht="76.5">
      <c r="A2127" s="9" t="s">
        <v>307</v>
      </c>
      <c r="B2127" s="2" t="s">
        <v>612</v>
      </c>
      <c r="C2127" s="2">
        <v>3041</v>
      </c>
      <c r="D2127" s="2">
        <v>23</v>
      </c>
      <c r="E2127" s="2" t="str">
        <f>"1000024861"</f>
        <v>1000024861</v>
      </c>
      <c r="F2127" s="4" t="str">
        <f>"URINAL SCREEN:Translucent 60/CA - Urinal Screen with anti-splash texture, strong deodorizing properties VOC compliant, flexible flit, translucent design, collects debris. 10/carton, 6 cartons/case. (60 total) Scent: Melon Mist"</f>
        <v>URINAL SCREEN:Translucent 60/CA - Urinal Screen with anti-splash texture, strong deodorizing properties VOC compliant, flexible flit, translucent design, collects debris. 10/carton, 6 cartons/case. (60 total) Scent: Melon Mist</v>
      </c>
      <c r="G2127" s="74" t="str">
        <f>"EA"</f>
        <v>EA</v>
      </c>
      <c r="H2127" s="7">
        <v>91.08</v>
      </c>
      <c r="I2127" s="2" t="str">
        <f t="shared" si="140"/>
        <v>47131705</v>
      </c>
      <c r="J2127" s="10" t="s">
        <v>134</v>
      </c>
    </row>
    <row r="2128" spans="1:10" ht="63.75">
      <c r="A2128" s="9" t="s">
        <v>61</v>
      </c>
      <c r="B2128" s="2" t="s">
        <v>612</v>
      </c>
      <c r="C2128" s="2">
        <v>3489</v>
      </c>
      <c r="D2128" s="2">
        <v>2</v>
      </c>
      <c r="E2128" s="2" t="str">
        <f>"1000000435"</f>
        <v>1000000435</v>
      </c>
      <c r="F2128" s="4" t="str">
        <f>"SOCKS:Crew-White-Econ Grd- Sz9~Crew Socks, Ladies &amp; Children Crew Socks, White, Economy Grade. Sock Size 9-11~Crew Socks, White, Economy Grade. Sock Size 9-11"</f>
        <v>SOCKS:Crew-White-Econ Grd- Sz9~Crew Socks, Ladies &amp; Children Crew Socks, White, Economy Grade. Sock Size 9-11~Crew Socks, White, Economy Grade. Sock Size 9-11</v>
      </c>
      <c r="G2128" s="74" t="str">
        <f t="shared" ref="G2128:G2159" si="141">"DZ"</f>
        <v>DZ</v>
      </c>
      <c r="H2128" s="7">
        <v>10.65</v>
      </c>
      <c r="I2128" s="2" t="str">
        <f t="shared" ref="I2128:I2140" si="142">"53102402"</f>
        <v>53102402</v>
      </c>
      <c r="J2128" s="10" t="s">
        <v>182</v>
      </c>
    </row>
    <row r="2129" spans="1:10" ht="51">
      <c r="A2129" s="9" t="s">
        <v>61</v>
      </c>
      <c r="B2129" s="2" t="s">
        <v>612</v>
      </c>
      <c r="C2129" s="2">
        <v>3489</v>
      </c>
      <c r="D2129" s="2">
        <v>5</v>
      </c>
      <c r="E2129" s="2" t="str">
        <f>"1000000436"</f>
        <v>1000000436</v>
      </c>
      <c r="F2129" s="4" t="str">
        <f>"SOCKS:Crew-White-Econ Grd-Sz10~Crew Socks, Men's Crew Socks, White, Economy Grade, Sock Size 10-13~Crew Socks, White, Economy Grade, Sock Size 10-13"</f>
        <v>SOCKS:Crew-White-Econ Grd-Sz10~Crew Socks, Men's Crew Socks, White, Economy Grade, Sock Size 10-13~Crew Socks, White, Economy Grade, Sock Size 10-13</v>
      </c>
      <c r="G2129" s="74" t="str">
        <f t="shared" si="141"/>
        <v>DZ</v>
      </c>
      <c r="H2129" s="7">
        <v>11.4</v>
      </c>
      <c r="I2129" s="2" t="str">
        <f t="shared" si="142"/>
        <v>53102402</v>
      </c>
      <c r="J2129" s="10" t="s">
        <v>182</v>
      </c>
    </row>
    <row r="2130" spans="1:10" ht="38.25">
      <c r="A2130" s="9" t="s">
        <v>61</v>
      </c>
      <c r="B2130" s="2" t="s">
        <v>612</v>
      </c>
      <c r="C2130" s="2">
        <v>3489</v>
      </c>
      <c r="D2130" s="2">
        <v>6</v>
      </c>
      <c r="E2130" s="2" t="str">
        <f>"1000000554"</f>
        <v>1000000554</v>
      </c>
      <c r="F2130" s="4" t="str">
        <f>"SOCKS:Ankle Sock, Ladies/Child~Socks, Ankle Ankle Sock, Ladies/Children, White, Sock Size 9 - 11"</f>
        <v>SOCKS:Ankle Sock, Ladies/Child~Socks, Ankle Ankle Sock, Ladies/Children, White, Sock Size 9 - 11</v>
      </c>
      <c r="G2130" s="74" t="str">
        <f t="shared" si="141"/>
        <v>DZ</v>
      </c>
      <c r="H2130" s="7">
        <v>18</v>
      </c>
      <c r="I2130" s="2" t="str">
        <f t="shared" si="142"/>
        <v>53102402</v>
      </c>
      <c r="J2130" s="10" t="s">
        <v>182</v>
      </c>
    </row>
    <row r="2131" spans="1:10" ht="38.25">
      <c r="A2131" s="9" t="s">
        <v>61</v>
      </c>
      <c r="B2131" s="2" t="s">
        <v>612</v>
      </c>
      <c r="C2131" s="2">
        <v>3489</v>
      </c>
      <c r="D2131" s="2">
        <v>8</v>
      </c>
      <c r="E2131" s="2" t="str">
        <f>"1000000555"</f>
        <v>1000000555</v>
      </c>
      <c r="F2131" s="4" t="str">
        <f>"SOCKS:Ankle Sock, Mens, White,~Socks, Ankle Ankle Sock, Mens, White, Sock Size 10 - 13"</f>
        <v>SOCKS:Ankle Sock, Mens, White,~Socks, Ankle Ankle Sock, Mens, White, Sock Size 10 - 13</v>
      </c>
      <c r="G2131" s="74" t="str">
        <f t="shared" si="141"/>
        <v>DZ</v>
      </c>
      <c r="H2131" s="7">
        <v>18</v>
      </c>
      <c r="I2131" s="2" t="str">
        <f t="shared" si="142"/>
        <v>53102402</v>
      </c>
      <c r="J2131" s="10" t="s">
        <v>182</v>
      </c>
    </row>
    <row r="2132" spans="1:10" ht="63.75">
      <c r="A2132" s="9" t="s">
        <v>61</v>
      </c>
      <c r="B2132" s="2" t="s">
        <v>612</v>
      </c>
      <c r="C2132" s="2">
        <v>3489</v>
      </c>
      <c r="D2132" s="2">
        <v>13</v>
      </c>
      <c r="E2132" s="2" t="str">
        <f>"1000000583"</f>
        <v>1000000583</v>
      </c>
      <c r="F2132" s="4" t="str">
        <f>"SOCKS:Tube-White-Econ Grd-Sz 1~Crew Socks, Men's Tube Socks,White,Economy Grade. Sock Size 10-15~Tube Socks,White,Economy Grade. Sock Size 10-15"</f>
        <v>SOCKS:Tube-White-Econ Grd-Sz 1~Crew Socks, Men's Tube Socks,White,Economy Grade. Sock Size 10-15~Tube Socks,White,Economy Grade. Sock Size 10-15</v>
      </c>
      <c r="G2132" s="74" t="str">
        <f t="shared" si="141"/>
        <v>DZ</v>
      </c>
      <c r="H2132" s="7">
        <v>8.5</v>
      </c>
      <c r="I2132" s="2" t="str">
        <f t="shared" si="142"/>
        <v>53102402</v>
      </c>
      <c r="J2132" s="10" t="s">
        <v>182</v>
      </c>
    </row>
    <row r="2133" spans="1:10" ht="51">
      <c r="A2133" s="9" t="s">
        <v>61</v>
      </c>
      <c r="B2133" s="2" t="s">
        <v>612</v>
      </c>
      <c r="C2133" s="2">
        <v>3489</v>
      </c>
      <c r="D2133" s="2">
        <v>4</v>
      </c>
      <c r="E2133" s="2" t="str">
        <f>"1000000596"</f>
        <v>1000000596</v>
      </c>
      <c r="F2133" s="4" t="str">
        <f>"SOCKS:Crew-Gray-Reinf. Toe/Hee~Crew Socks,Gray, Reinforced Toe and Heel. Size 10-13 (MEN'S)~Crew Socks,Gray, Reinforced Toe and Heel"</f>
        <v>SOCKS:Crew-Gray-Reinf. Toe/Hee~Crew Socks,Gray, Reinforced Toe and Heel. Size 10-13 (MEN'S)~Crew Socks,Gray, Reinforced Toe and Heel</v>
      </c>
      <c r="G2133" s="74" t="str">
        <f t="shared" si="141"/>
        <v>DZ</v>
      </c>
      <c r="H2133" s="7">
        <v>11.4</v>
      </c>
      <c r="I2133" s="2" t="str">
        <f t="shared" si="142"/>
        <v>53102402</v>
      </c>
      <c r="J2133" s="10" t="s">
        <v>182</v>
      </c>
    </row>
    <row r="2134" spans="1:10">
      <c r="A2134" s="9" t="s">
        <v>61</v>
      </c>
      <c r="B2134" s="2" t="s">
        <v>612</v>
      </c>
      <c r="C2134" s="2">
        <v>3489</v>
      </c>
      <c r="D2134" s="2">
        <v>12</v>
      </c>
      <c r="E2134" s="2" t="str">
        <f>"1000000772"</f>
        <v>1000000772</v>
      </c>
      <c r="F2134" s="4" t="str">
        <f>"SOCKS:Tube-White-Sz10-15, Mens"</f>
        <v>SOCKS:Tube-White-Sz10-15, Mens</v>
      </c>
      <c r="G2134" s="74" t="str">
        <f t="shared" si="141"/>
        <v>DZ</v>
      </c>
      <c r="H2134" s="7">
        <v>22.85</v>
      </c>
      <c r="I2134" s="2" t="str">
        <f t="shared" si="142"/>
        <v>53102402</v>
      </c>
      <c r="J2134" s="10" t="s">
        <v>182</v>
      </c>
    </row>
    <row r="2135" spans="1:10" ht="51">
      <c r="A2135" s="9" t="s">
        <v>61</v>
      </c>
      <c r="B2135" s="2" t="s">
        <v>612</v>
      </c>
      <c r="C2135" s="2">
        <v>3489</v>
      </c>
      <c r="D2135" s="2">
        <v>10</v>
      </c>
      <c r="E2135" s="2" t="str">
        <f>"1000000773"</f>
        <v>1000000773</v>
      </c>
      <c r="F2135" s="4" t="str">
        <f>"SOCKS:Tube-White-Sz7-11(Ladies~Tube Socks, White. Sock Size: 7-11 (Ladies/Children)~Tube Socks, White. Sock Size: 7-11 (Ladies/Children)"</f>
        <v>SOCKS:Tube-White-Sz7-11(Ladies~Tube Socks, White. Sock Size: 7-11 (Ladies/Children)~Tube Socks, White. Sock Size: 7-11 (Ladies/Children)</v>
      </c>
      <c r="G2135" s="74" t="str">
        <f t="shared" si="141"/>
        <v>DZ</v>
      </c>
      <c r="H2135" s="7">
        <v>21.65</v>
      </c>
      <c r="I2135" s="2" t="str">
        <f t="shared" si="142"/>
        <v>53102402</v>
      </c>
      <c r="J2135" s="10" t="s">
        <v>182</v>
      </c>
    </row>
    <row r="2136" spans="1:10" ht="51">
      <c r="A2136" s="9" t="s">
        <v>61</v>
      </c>
      <c r="B2136" s="2" t="s">
        <v>612</v>
      </c>
      <c r="C2136" s="2">
        <v>3489</v>
      </c>
      <c r="D2136" s="2">
        <v>1</v>
      </c>
      <c r="E2136" s="2" t="str">
        <f>"1000001572"</f>
        <v>1000001572</v>
      </c>
      <c r="F2136" s="4" t="str">
        <f>"SOCKS:Crew-White-Sz9-11(Ladies~Crew Socks, White. Sock size: 9-11 (Ladies/Children)~Crew Socks, White. Sock size: 9-11 (Ladies/Children)"</f>
        <v>SOCKS:Crew-White-Sz9-11(Ladies~Crew Socks, White. Sock size: 9-11 (Ladies/Children)~Crew Socks, White. Sock size: 9-11 (Ladies/Children)</v>
      </c>
      <c r="G2136" s="74" t="str">
        <f t="shared" si="141"/>
        <v>DZ</v>
      </c>
      <c r="H2136" s="7">
        <v>21.05</v>
      </c>
      <c r="I2136" s="2" t="str">
        <f t="shared" si="142"/>
        <v>53102402</v>
      </c>
      <c r="J2136" s="10" t="s">
        <v>182</v>
      </c>
    </row>
    <row r="2137" spans="1:10" ht="51">
      <c r="A2137" s="9" t="s">
        <v>61</v>
      </c>
      <c r="B2137" s="2" t="s">
        <v>612</v>
      </c>
      <c r="C2137" s="2">
        <v>3489</v>
      </c>
      <c r="D2137" s="2">
        <v>3</v>
      </c>
      <c r="E2137" s="2" t="str">
        <f>"1000001598"</f>
        <v>1000001598</v>
      </c>
      <c r="F2137" s="4" t="str">
        <f>"SOCKS:Crew-White-Sz10-13(Men)~Crew Socks, White. Sock size: 10-13 (Men's)~Crew Socks, White. Sock size: 10-13 (Men's)"</f>
        <v>SOCKS:Crew-White-Sz10-13(Men)~Crew Socks, White. Sock size: 10-13 (Men's)~Crew Socks, White. Sock size: 10-13 (Men's)</v>
      </c>
      <c r="G2137" s="74" t="str">
        <f t="shared" si="141"/>
        <v>DZ</v>
      </c>
      <c r="H2137" s="7">
        <v>21.65</v>
      </c>
      <c r="I2137" s="2" t="str">
        <f t="shared" si="142"/>
        <v>53102402</v>
      </c>
      <c r="J2137" s="10" t="s">
        <v>182</v>
      </c>
    </row>
    <row r="2138" spans="1:10" ht="25.5">
      <c r="A2138" s="9" t="s">
        <v>61</v>
      </c>
      <c r="B2138" s="2" t="s">
        <v>612</v>
      </c>
      <c r="C2138" s="2">
        <v>3489</v>
      </c>
      <c r="D2138" s="2">
        <v>7</v>
      </c>
      <c r="E2138" s="2" t="str">
        <f>"1000029628"</f>
        <v>1000029628</v>
      </c>
      <c r="F2138" s="4" t="str">
        <f>"SOCKS: Ankle,Ladies/Children,Economy Quality. Size 9-11. Color White. Per Dozen."</f>
        <v>SOCKS: Ankle,Ladies/Children,Economy Quality. Size 9-11. Color White. Per Dozen.</v>
      </c>
      <c r="G2138" s="74" t="str">
        <f t="shared" si="141"/>
        <v>DZ</v>
      </c>
      <c r="H2138" s="7">
        <v>8.5</v>
      </c>
      <c r="I2138" s="2" t="str">
        <f t="shared" si="142"/>
        <v>53102402</v>
      </c>
      <c r="J2138" s="10" t="s">
        <v>182</v>
      </c>
    </row>
    <row r="2139" spans="1:10" ht="25.5">
      <c r="A2139" s="9" t="s">
        <v>61</v>
      </c>
      <c r="B2139" s="2" t="s">
        <v>612</v>
      </c>
      <c r="C2139" s="2">
        <v>3489</v>
      </c>
      <c r="D2139" s="2">
        <v>9</v>
      </c>
      <c r="E2139" s="2" t="str">
        <f>"1000029629"</f>
        <v>1000029629</v>
      </c>
      <c r="F2139" s="4" t="str">
        <f>"SOCKS: Ankle,Mens,Economy Quality. Size 10-13. Color White. Per Dozen."</f>
        <v>SOCKS: Ankle,Mens,Economy Quality. Size 10-13. Color White. Per Dozen.</v>
      </c>
      <c r="G2139" s="74" t="str">
        <f t="shared" si="141"/>
        <v>DZ</v>
      </c>
      <c r="H2139" s="7">
        <v>8.5</v>
      </c>
      <c r="I2139" s="2" t="str">
        <f t="shared" si="142"/>
        <v>53102402</v>
      </c>
      <c r="J2139" s="10" t="s">
        <v>182</v>
      </c>
    </row>
    <row r="2140" spans="1:10" ht="25.5">
      <c r="A2140" s="9" t="s">
        <v>61</v>
      </c>
      <c r="B2140" s="2" t="s">
        <v>612</v>
      </c>
      <c r="C2140" s="2">
        <v>3489</v>
      </c>
      <c r="D2140" s="2">
        <v>11</v>
      </c>
      <c r="E2140" s="2" t="str">
        <f>"1000029630"</f>
        <v>1000029630</v>
      </c>
      <c r="F2140" s="4" t="str">
        <f>"SOCKS: Tube,Ladies/Children,Economy Quality. Size 7-11. Color White. Per Dozen."</f>
        <v>SOCKS: Tube,Ladies/Children,Economy Quality. Size 7-11. Color White. Per Dozen.</v>
      </c>
      <c r="G2140" s="74" t="str">
        <f t="shared" si="141"/>
        <v>DZ</v>
      </c>
      <c r="H2140" s="7">
        <v>8.5</v>
      </c>
      <c r="I2140" s="2" t="str">
        <f t="shared" si="142"/>
        <v>53102402</v>
      </c>
      <c r="J2140" s="10" t="s">
        <v>182</v>
      </c>
    </row>
    <row r="2141" spans="1:10" ht="76.5">
      <c r="A2141" s="9" t="s">
        <v>56</v>
      </c>
      <c r="B2141" s="2" t="s">
        <v>612</v>
      </c>
      <c r="C2141" s="2">
        <v>3021</v>
      </c>
      <c r="D2141" s="2">
        <v>6</v>
      </c>
      <c r="E2141" s="2" t="str">
        <f>"1000024590"</f>
        <v>1000024590</v>
      </c>
      <c r="F2141" s="4" t="str">
        <f>"BRA:Sports - Size: 5X - 6X~Sports Bra: 95 % cotton jersey 5% spandex, fabric weight 160 grams, neckline armholes 3/8 fold over elastic double stitched, hem 3/4 fold over elastic double needle stitch. Size: 5X - 6X~Sports Bra: Size: 5X - 6X"</f>
        <v>BRA:Sports - Size: 5X - 6X~Sports Bra: 95 % cotton jersey 5% spandex, fabric weight 160 grams, neckline armholes 3/8 fold over elastic double stitched, hem 3/4 fold over elastic double needle stitch. Size: 5X - 6X~Sports Bra: Size: 5X - 6X</v>
      </c>
      <c r="G2141" s="74" t="str">
        <f t="shared" si="141"/>
        <v>DZ</v>
      </c>
      <c r="H2141" s="7">
        <v>41.5</v>
      </c>
      <c r="I2141" s="2" t="str">
        <f t="shared" ref="I2141:I2147" si="143">"53102304"</f>
        <v>53102304</v>
      </c>
      <c r="J2141" s="10" t="s">
        <v>150</v>
      </c>
    </row>
    <row r="2142" spans="1:10" ht="76.5">
      <c r="A2142" s="9" t="s">
        <v>56</v>
      </c>
      <c r="B2142" s="2" t="s">
        <v>612</v>
      </c>
      <c r="C2142" s="2">
        <v>3021</v>
      </c>
      <c r="D2142" s="2">
        <v>7</v>
      </c>
      <c r="E2142" s="2" t="str">
        <f>"1000024591"</f>
        <v>1000024591</v>
      </c>
      <c r="F2142" s="4" t="str">
        <f>"BRA:Full Fig Support-Size:36B-50B ~Full Figure Support Bra: Cushioned inner bust band for uplift, separation, support and comfort, extra-wide cushioned straps, lace cups and wide bottom band. Size: 36B - 50B"</f>
        <v>BRA:Full Fig Support-Size:36B-50B ~Full Figure Support Bra: Cushioned inner bust band for uplift, separation, support and comfort, extra-wide cushioned straps, lace cups and wide bottom band. Size: 36B - 50B</v>
      </c>
      <c r="G2142" s="74" t="str">
        <f t="shared" si="141"/>
        <v>DZ</v>
      </c>
      <c r="H2142" s="7">
        <v>250</v>
      </c>
      <c r="I2142" s="2" t="str">
        <f t="shared" si="143"/>
        <v>53102304</v>
      </c>
      <c r="J2142" s="10" t="s">
        <v>150</v>
      </c>
    </row>
    <row r="2143" spans="1:10" ht="63.75">
      <c r="A2143" s="9" t="s">
        <v>56</v>
      </c>
      <c r="B2143" s="2" t="s">
        <v>612</v>
      </c>
      <c r="C2143" s="2">
        <v>3021</v>
      </c>
      <c r="D2143" s="2">
        <v>8</v>
      </c>
      <c r="E2143" s="2" t="str">
        <f>"1000024592"</f>
        <v>1000024592</v>
      </c>
      <c r="F2143" s="4" t="str">
        <f>"BRA:Full Fig Support-Size:36C-56F~Full Figure Support Bra: Cushioned inner bust band for uplift, separation, support and comfort, extra-wide cushioned straps, lace cups and wide bottom band. Size: 36C -56F"</f>
        <v>BRA:Full Fig Support-Size:36C-56F~Full Figure Support Bra: Cushioned inner bust band for uplift, separation, support and comfort, extra-wide cushioned straps, lace cups and wide bottom band. Size: 36C -56F</v>
      </c>
      <c r="G2143" s="74" t="str">
        <f t="shared" si="141"/>
        <v>DZ</v>
      </c>
      <c r="H2143" s="7">
        <v>250</v>
      </c>
      <c r="I2143" s="2" t="str">
        <f t="shared" si="143"/>
        <v>53102304</v>
      </c>
      <c r="J2143" s="10" t="s">
        <v>150</v>
      </c>
    </row>
    <row r="2144" spans="1:10" ht="76.5">
      <c r="A2144" s="9" t="s">
        <v>56</v>
      </c>
      <c r="B2144" s="2" t="s">
        <v>612</v>
      </c>
      <c r="C2144" s="2">
        <v>3021</v>
      </c>
      <c r="D2144" s="2">
        <v>9</v>
      </c>
      <c r="E2144" s="2" t="str">
        <f>"1000024593"</f>
        <v>1000024593</v>
      </c>
      <c r="F2144" s="4" t="str">
        <f>"BRA:Full Fig Support Size:38G-56I~Full Figure Support Bra: Cushioned inner bust band for uplift, separation, support and comfort, extra-wide cushioned straps, lace cups and wide bottom band. Size: 38G - 56I"</f>
        <v>BRA:Full Fig Support Size:38G-56I~Full Figure Support Bra: Cushioned inner bust band for uplift, separation, support and comfort, extra-wide cushioned straps, lace cups and wide bottom band. Size: 38G - 56I</v>
      </c>
      <c r="G2144" s="74" t="str">
        <f t="shared" si="141"/>
        <v>DZ</v>
      </c>
      <c r="H2144" s="7">
        <v>250</v>
      </c>
      <c r="I2144" s="2" t="str">
        <f t="shared" si="143"/>
        <v>53102304</v>
      </c>
      <c r="J2144" s="10" t="s">
        <v>150</v>
      </c>
    </row>
    <row r="2145" spans="1:10" ht="89.25">
      <c r="A2145" s="9" t="s">
        <v>56</v>
      </c>
      <c r="B2145" s="2" t="s">
        <v>612</v>
      </c>
      <c r="C2145" s="2">
        <v>3021</v>
      </c>
      <c r="D2145" s="2">
        <v>10</v>
      </c>
      <c r="E2145" s="2" t="str">
        <f>"1000024594"</f>
        <v>1000024594</v>
      </c>
      <c r="F2145" s="4" t="str">
        <f>"BRA:Active Support Size:38B-50I~Active Support Bra: Cool cotton, cushioned inner bust band for uplift, separation and support, soft cotton polyester cups to wick away moisture, super wide cushioned straps and lycra sides and back. Size: 38B - 50I"</f>
        <v>BRA:Active Support Size:38B-50I~Active Support Bra: Cool cotton, cushioned inner bust band for uplift, separation and support, soft cotton polyester cups to wick away moisture, super wide cushioned straps and lycra sides and back. Size: 38B - 50I</v>
      </c>
      <c r="G2145" s="74" t="str">
        <f t="shared" si="141"/>
        <v>DZ</v>
      </c>
      <c r="H2145" s="7">
        <v>258.5</v>
      </c>
      <c r="I2145" s="2" t="str">
        <f t="shared" si="143"/>
        <v>53102304</v>
      </c>
      <c r="J2145" s="10" t="s">
        <v>150</v>
      </c>
    </row>
    <row r="2146" spans="1:10" ht="89.25">
      <c r="A2146" s="9" t="s">
        <v>56</v>
      </c>
      <c r="B2146" s="2" t="s">
        <v>612</v>
      </c>
      <c r="C2146" s="2">
        <v>3021</v>
      </c>
      <c r="D2146" s="2">
        <v>11</v>
      </c>
      <c r="E2146" s="2" t="str">
        <f>"1000024595"</f>
        <v>1000024595</v>
      </c>
      <c r="F2146" s="4" t="str">
        <f>"BRA:Shlder Comf-Sz:36B-58J-~Shoulder Comfort Firm Support Bra: Criss-crossed cotton/lycra support bands support shoulders while adding posture, cross over and under design for better uplift, separation and support, adjustable front hooks, extra-wide stra"</f>
        <v>BRA:Shlder Comf-Sz:36B-58J-~Shoulder Comfort Firm Support Bra: Criss-crossed cotton/lycra support bands support shoulders while adding posture, cross over and under design for better uplift, separation and support, adjustable front hooks, extra-wide stra</v>
      </c>
      <c r="G2146" s="74" t="str">
        <f t="shared" si="141"/>
        <v>DZ</v>
      </c>
      <c r="H2146" s="7">
        <v>250</v>
      </c>
      <c r="I2146" s="2" t="str">
        <f t="shared" si="143"/>
        <v>53102304</v>
      </c>
      <c r="J2146" s="10" t="s">
        <v>150</v>
      </c>
    </row>
    <row r="2147" spans="1:10" ht="89.25">
      <c r="A2147" s="9" t="s">
        <v>56</v>
      </c>
      <c r="B2147" s="2" t="s">
        <v>612</v>
      </c>
      <c r="C2147" s="2">
        <v>3021</v>
      </c>
      <c r="D2147" s="2">
        <v>12</v>
      </c>
      <c r="E2147" s="2" t="str">
        <f>"1000024596"</f>
        <v>1000024596</v>
      </c>
      <c r="F2147" s="4" t="str">
        <f>"BRA:Frnt Cls-Casual-Sz:34B-48H~Front-Close Casual Bra: Stretch cups adjust, extra wide comfort straps and easy-on front hook closing. Size: 34 - 48 B/C/D(one cup size), 34-48 DD/F(one cup size) and 36-48 G/H (one cup size). Specify size on order."</f>
        <v>BRA:Frnt Cls-Casual-Sz:34B-48H~Front-Close Casual Bra: Stretch cups adjust, extra wide comfort straps and easy-on front hook closing. Size: 34 - 48 B/C/D(one cup size), 34-48 DD/F(one cup size) and 36-48 G/H (one cup size). Specify size on order.</v>
      </c>
      <c r="G2147" s="74" t="str">
        <f t="shared" si="141"/>
        <v>DZ</v>
      </c>
      <c r="H2147" s="7">
        <v>228.47</v>
      </c>
      <c r="I2147" s="2" t="str">
        <f t="shared" si="143"/>
        <v>53102304</v>
      </c>
      <c r="J2147" s="10" t="s">
        <v>150</v>
      </c>
    </row>
    <row r="2148" spans="1:10">
      <c r="A2148" s="9" t="s">
        <v>56</v>
      </c>
      <c r="B2148" s="2" t="s">
        <v>612</v>
      </c>
      <c r="C2148" s="2">
        <v>3021</v>
      </c>
      <c r="D2148" s="2">
        <v>13</v>
      </c>
      <c r="E2148" s="2" t="str">
        <f>"1000024597"</f>
        <v>1000024597</v>
      </c>
      <c r="F2148" s="4" t="str">
        <f>"BRIEFS-Men: White briefs, Size Small"</f>
        <v>BRIEFS-Men: White briefs, Size Small</v>
      </c>
      <c r="G2148" s="74" t="str">
        <f t="shared" si="141"/>
        <v>DZ</v>
      </c>
      <c r="H2148" s="7">
        <v>13.5</v>
      </c>
      <c r="I2148" s="2" t="str">
        <f t="shared" ref="I2148:I2156" si="144">"53102303"</f>
        <v>53102303</v>
      </c>
      <c r="J2148" s="10" t="s">
        <v>149</v>
      </c>
    </row>
    <row r="2149" spans="1:10">
      <c r="A2149" s="9" t="s">
        <v>56</v>
      </c>
      <c r="B2149" s="2" t="s">
        <v>612</v>
      </c>
      <c r="C2149" s="2">
        <v>3021</v>
      </c>
      <c r="D2149" s="2">
        <v>14</v>
      </c>
      <c r="E2149" s="2" t="str">
        <f>"1000024598"</f>
        <v>1000024598</v>
      </c>
      <c r="F2149" s="4" t="str">
        <f>"BRIEFS-Men: White briefs, Size Medium"</f>
        <v>BRIEFS-Men: White briefs, Size Medium</v>
      </c>
      <c r="G2149" s="74" t="str">
        <f t="shared" si="141"/>
        <v>DZ</v>
      </c>
      <c r="H2149" s="7">
        <v>13.5</v>
      </c>
      <c r="I2149" s="2" t="str">
        <f t="shared" si="144"/>
        <v>53102303</v>
      </c>
      <c r="J2149" s="10" t="s">
        <v>149</v>
      </c>
    </row>
    <row r="2150" spans="1:10">
      <c r="A2150" s="9" t="s">
        <v>56</v>
      </c>
      <c r="B2150" s="2" t="s">
        <v>612</v>
      </c>
      <c r="C2150" s="2">
        <v>3021</v>
      </c>
      <c r="D2150" s="2">
        <v>15</v>
      </c>
      <c r="E2150" s="2" t="str">
        <f>"1000024599"</f>
        <v>1000024599</v>
      </c>
      <c r="F2150" s="4" t="str">
        <f>"BRIEFS-Men: White briefs, Size Large"</f>
        <v>BRIEFS-Men: White briefs, Size Large</v>
      </c>
      <c r="G2150" s="74" t="str">
        <f t="shared" si="141"/>
        <v>DZ</v>
      </c>
      <c r="H2150" s="7">
        <v>13.5</v>
      </c>
      <c r="I2150" s="2" t="str">
        <f t="shared" si="144"/>
        <v>53102303</v>
      </c>
      <c r="J2150" s="10" t="s">
        <v>149</v>
      </c>
    </row>
    <row r="2151" spans="1:10">
      <c r="A2151" s="9" t="s">
        <v>56</v>
      </c>
      <c r="B2151" s="2" t="s">
        <v>612</v>
      </c>
      <c r="C2151" s="2">
        <v>3021</v>
      </c>
      <c r="D2151" s="2">
        <v>17</v>
      </c>
      <c r="E2151" s="2" t="str">
        <f>"1000024600"</f>
        <v>1000024600</v>
      </c>
      <c r="F2151" s="4" t="str">
        <f>"BRIEFS-Men: White briefs, Size 2X"</f>
        <v>BRIEFS-Men: White briefs, Size 2X</v>
      </c>
      <c r="G2151" s="74" t="str">
        <f t="shared" si="141"/>
        <v>DZ</v>
      </c>
      <c r="H2151" s="7">
        <v>15</v>
      </c>
      <c r="I2151" s="2" t="str">
        <f t="shared" si="144"/>
        <v>53102303</v>
      </c>
      <c r="J2151" s="10" t="s">
        <v>149</v>
      </c>
    </row>
    <row r="2152" spans="1:10">
      <c r="A2152" s="9" t="s">
        <v>56</v>
      </c>
      <c r="B2152" s="2" t="s">
        <v>612</v>
      </c>
      <c r="C2152" s="2">
        <v>3021</v>
      </c>
      <c r="D2152" s="2">
        <v>18</v>
      </c>
      <c r="E2152" s="2" t="str">
        <f>"1000024601"</f>
        <v>1000024601</v>
      </c>
      <c r="F2152" s="4" t="str">
        <f>"BRIEFS-Men: White briefs, Size 3X"</f>
        <v>BRIEFS-Men: White briefs, Size 3X</v>
      </c>
      <c r="G2152" s="74" t="str">
        <f t="shared" si="141"/>
        <v>DZ</v>
      </c>
      <c r="H2152" s="7">
        <v>16.5</v>
      </c>
      <c r="I2152" s="2" t="str">
        <f t="shared" si="144"/>
        <v>53102303</v>
      </c>
      <c r="J2152" s="10" t="s">
        <v>149</v>
      </c>
    </row>
    <row r="2153" spans="1:10">
      <c r="A2153" s="9" t="s">
        <v>56</v>
      </c>
      <c r="B2153" s="2" t="s">
        <v>612</v>
      </c>
      <c r="C2153" s="2">
        <v>3021</v>
      </c>
      <c r="D2153" s="2">
        <v>1</v>
      </c>
      <c r="E2153" s="2" t="str">
        <f>"1000024604"</f>
        <v>1000024604</v>
      </c>
      <c r="F2153" s="4" t="str">
        <f>"BRIEFS-Women:Basic-Size 5-6"</f>
        <v>BRIEFS-Women:Basic-Size 5-6</v>
      </c>
      <c r="G2153" s="74" t="str">
        <f t="shared" si="141"/>
        <v>DZ</v>
      </c>
      <c r="H2153" s="7">
        <v>13.11</v>
      </c>
      <c r="I2153" s="2" t="str">
        <f t="shared" si="144"/>
        <v>53102303</v>
      </c>
      <c r="J2153" s="10" t="s">
        <v>149</v>
      </c>
    </row>
    <row r="2154" spans="1:10">
      <c r="A2154" s="9" t="s">
        <v>56</v>
      </c>
      <c r="B2154" s="2" t="s">
        <v>612</v>
      </c>
      <c r="C2154" s="2">
        <v>3021</v>
      </c>
      <c r="D2154" s="2">
        <v>2</v>
      </c>
      <c r="E2154" s="2" t="str">
        <f>"1000024605"</f>
        <v>1000024605</v>
      </c>
      <c r="F2154" s="4" t="str">
        <f>"BRIEFS-Women:Basic-Size 7-8"</f>
        <v>BRIEFS-Women:Basic-Size 7-8</v>
      </c>
      <c r="G2154" s="74" t="str">
        <f t="shared" si="141"/>
        <v>DZ</v>
      </c>
      <c r="H2154" s="7">
        <v>13.11</v>
      </c>
      <c r="I2154" s="2" t="str">
        <f t="shared" si="144"/>
        <v>53102303</v>
      </c>
      <c r="J2154" s="10" t="s">
        <v>149</v>
      </c>
    </row>
    <row r="2155" spans="1:10">
      <c r="A2155" s="9" t="s">
        <v>56</v>
      </c>
      <c r="B2155" s="2" t="s">
        <v>612</v>
      </c>
      <c r="C2155" s="2">
        <v>3021</v>
      </c>
      <c r="D2155" s="2">
        <v>3</v>
      </c>
      <c r="E2155" s="2" t="str">
        <f>"1000024606"</f>
        <v>1000024606</v>
      </c>
      <c r="F2155" s="93" t="str">
        <f>"BRIEFS-Women:Basic-Size 11-13"</f>
        <v>BRIEFS-Women:Basic-Size 11-13</v>
      </c>
      <c r="G2155" s="74" t="str">
        <f t="shared" si="141"/>
        <v>DZ</v>
      </c>
      <c r="H2155" s="7">
        <v>18.29</v>
      </c>
      <c r="I2155" s="95" t="str">
        <f t="shared" si="144"/>
        <v>53102303</v>
      </c>
      <c r="J2155" s="10" t="s">
        <v>149</v>
      </c>
    </row>
    <row r="2156" spans="1:10">
      <c r="A2156" s="9" t="s">
        <v>56</v>
      </c>
      <c r="B2156" s="2" t="s">
        <v>612</v>
      </c>
      <c r="C2156" s="2">
        <v>3021</v>
      </c>
      <c r="D2156" s="2">
        <v>16</v>
      </c>
      <c r="E2156" s="2" t="str">
        <f>"1000024607"</f>
        <v>1000024607</v>
      </c>
      <c r="F2156" s="93" t="str">
        <f>"BRIEFS-Men: White briefs, Size X-Large"</f>
        <v>BRIEFS-Men: White briefs, Size X-Large</v>
      </c>
      <c r="G2156" s="74" t="str">
        <f t="shared" si="141"/>
        <v>DZ</v>
      </c>
      <c r="H2156" s="7">
        <v>13.5</v>
      </c>
      <c r="I2156" s="95" t="str">
        <f t="shared" si="144"/>
        <v>53102303</v>
      </c>
      <c r="J2156" s="10" t="s">
        <v>149</v>
      </c>
    </row>
    <row r="2157" spans="1:10" ht="76.5">
      <c r="A2157" s="9" t="s">
        <v>56</v>
      </c>
      <c r="B2157" s="2" t="s">
        <v>612</v>
      </c>
      <c r="C2157" s="2">
        <v>3021</v>
      </c>
      <c r="D2157" s="2">
        <v>4</v>
      </c>
      <c r="E2157" s="2" t="str">
        <f>"1000024608"</f>
        <v>1000024608</v>
      </c>
      <c r="F2157" s="93" t="str">
        <f>"BRA:Sports - Size: S - XL~Sports Bra: 95 % cotton jersey 5% spandex, fabric weight 160 grams, neckline armholes 3/8 fold over elastic double stitched, hem 3/4 fold over elastic double needle stitch. Size S-XL~Sports Bra: Size: S - XL"</f>
        <v>BRA:Sports - Size: S - XL~Sports Bra: 95 % cotton jersey 5% spandex, fabric weight 160 grams, neckline armholes 3/8 fold over elastic double stitched, hem 3/4 fold over elastic double needle stitch. Size S-XL~Sports Bra: Size: S - XL</v>
      </c>
      <c r="G2157" s="74" t="str">
        <f t="shared" si="141"/>
        <v>DZ</v>
      </c>
      <c r="H2157" s="7">
        <v>32.78</v>
      </c>
      <c r="I2157" s="95" t="str">
        <f>"53102304"</f>
        <v>53102304</v>
      </c>
      <c r="J2157" s="10" t="s">
        <v>150</v>
      </c>
    </row>
    <row r="2158" spans="1:10" ht="76.5">
      <c r="A2158" s="9" t="s">
        <v>56</v>
      </c>
      <c r="B2158" s="2" t="s">
        <v>612</v>
      </c>
      <c r="C2158" s="2">
        <v>3021</v>
      </c>
      <c r="D2158" s="2">
        <v>5</v>
      </c>
      <c r="E2158" s="2" t="str">
        <f>"1000024609"</f>
        <v>1000024609</v>
      </c>
      <c r="F2158" s="93" t="str">
        <f>"BRA:Sports - Size: 2X - 4X~Sports Bra: 95 % cotton jersey 5% spandex, fabric weight 160 grams, neckline armholes 3/8 fold over elastic double stitched, hem 3/4 fold over elastic double needle stitch. Size: 2X - 4X~Sports Bra: Size: 2X - 4X"</f>
        <v>BRA:Sports - Size: 2X - 4X~Sports Bra: 95 % cotton jersey 5% spandex, fabric weight 160 grams, neckline armholes 3/8 fold over elastic double stitched, hem 3/4 fold over elastic double needle stitch. Size: 2X - 4X~Sports Bra: Size: 2X - 4X</v>
      </c>
      <c r="G2158" s="74" t="str">
        <f t="shared" si="141"/>
        <v>DZ</v>
      </c>
      <c r="H2158" s="7">
        <v>41.5</v>
      </c>
      <c r="I2158" s="95" t="str">
        <f>"53102304"</f>
        <v>53102304</v>
      </c>
      <c r="J2158" s="10" t="s">
        <v>150</v>
      </c>
    </row>
    <row r="2159" spans="1:10">
      <c r="A2159" s="9" t="s">
        <v>56</v>
      </c>
      <c r="B2159" s="2" t="s">
        <v>612</v>
      </c>
      <c r="C2159" s="2">
        <v>3021</v>
      </c>
      <c r="D2159" s="2">
        <v>19</v>
      </c>
      <c r="E2159" s="2" t="str">
        <f>"1000028651"</f>
        <v>1000028651</v>
      </c>
      <c r="F2159" s="93" t="str">
        <f>"BRIEFS-Women:Basic-Size 9 - 10"</f>
        <v>BRIEFS-Women:Basic-Size 9 - 10</v>
      </c>
      <c r="G2159" s="74" t="str">
        <f t="shared" si="141"/>
        <v>DZ</v>
      </c>
      <c r="H2159" s="7">
        <v>14.35</v>
      </c>
      <c r="I2159" s="95" t="str">
        <f>"53102303"</f>
        <v>53102303</v>
      </c>
      <c r="J2159" s="10" t="s">
        <v>149</v>
      </c>
    </row>
    <row r="2160" spans="1:10">
      <c r="A2160" s="84"/>
      <c r="B2160" s="2" t="s">
        <v>612</v>
      </c>
      <c r="C2160" s="85"/>
      <c r="D2160" s="85"/>
      <c r="E2160" s="85" t="s">
        <v>610</v>
      </c>
      <c r="F2160" s="49" t="s">
        <v>306</v>
      </c>
      <c r="G2160" s="86"/>
      <c r="H2160" s="87"/>
      <c r="I2160" s="68">
        <v>24112700</v>
      </c>
      <c r="J2160" s="88" t="s">
        <v>620</v>
      </c>
    </row>
    <row r="2161" spans="1:10">
      <c r="A2161" s="84"/>
      <c r="B2161" s="2" t="s">
        <v>612</v>
      </c>
      <c r="C2161" s="85"/>
      <c r="D2161" s="85"/>
      <c r="E2161" s="85" t="s">
        <v>610</v>
      </c>
      <c r="F2161" s="94" t="s">
        <v>260</v>
      </c>
      <c r="G2161" s="86"/>
      <c r="H2161" s="87"/>
      <c r="I2161" s="96">
        <v>42281803</v>
      </c>
      <c r="J2161" s="98" t="s">
        <v>629</v>
      </c>
    </row>
    <row r="2162" spans="1:10">
      <c r="A2162" s="84"/>
      <c r="B2162" s="2" t="s">
        <v>612</v>
      </c>
      <c r="C2162" s="85"/>
      <c r="D2162" s="85"/>
      <c r="E2162" s="85" t="s">
        <v>610</v>
      </c>
      <c r="F2162" s="94" t="s">
        <v>261</v>
      </c>
      <c r="G2162" s="86"/>
      <c r="H2162" s="87"/>
      <c r="I2162" s="96">
        <v>73151500</v>
      </c>
      <c r="J2162" s="99" t="s">
        <v>261</v>
      </c>
    </row>
    <row r="2163" spans="1:10">
      <c r="A2163" s="84"/>
      <c r="B2163" s="2" t="s">
        <v>612</v>
      </c>
      <c r="C2163" s="85"/>
      <c r="D2163" s="85"/>
      <c r="E2163" s="85" t="s">
        <v>610</v>
      </c>
      <c r="F2163" s="49" t="s">
        <v>246</v>
      </c>
      <c r="G2163" s="86"/>
      <c r="H2163" s="87"/>
      <c r="I2163" s="68">
        <v>73151600</v>
      </c>
      <c r="J2163" s="99" t="s">
        <v>246</v>
      </c>
    </row>
    <row r="2164" spans="1:10">
      <c r="A2164" s="84"/>
      <c r="B2164" s="2" t="s">
        <v>612</v>
      </c>
      <c r="C2164" s="85"/>
      <c r="D2164" s="85"/>
      <c r="E2164" s="85" t="s">
        <v>610</v>
      </c>
      <c r="F2164" s="49" t="s">
        <v>250</v>
      </c>
      <c r="G2164" s="86"/>
      <c r="H2164" s="87"/>
      <c r="I2164" s="68">
        <v>76122300</v>
      </c>
      <c r="J2164" s="98" t="s">
        <v>652</v>
      </c>
    </row>
    <row r="2165" spans="1:10" ht="25.5">
      <c r="A2165" s="84"/>
      <c r="B2165" s="2" t="s">
        <v>612</v>
      </c>
      <c r="C2165" s="85"/>
      <c r="D2165" s="85"/>
      <c r="E2165" s="85" t="s">
        <v>610</v>
      </c>
      <c r="F2165" s="49" t="s">
        <v>247</v>
      </c>
      <c r="G2165" s="86"/>
      <c r="H2165" s="87"/>
      <c r="I2165" s="68">
        <v>80161508</v>
      </c>
      <c r="J2165" s="98" t="s">
        <v>655</v>
      </c>
    </row>
    <row r="2166" spans="1:10" ht="25.5">
      <c r="A2166" s="141" t="s">
        <v>60</v>
      </c>
      <c r="B2166" s="142" t="s">
        <v>597</v>
      </c>
      <c r="C2166" s="142">
        <v>3699</v>
      </c>
      <c r="D2166" s="142">
        <v>30</v>
      </c>
      <c r="E2166" s="142">
        <v>1000006272</v>
      </c>
      <c r="F2166" s="151" t="str">
        <f>"SHAMPOO: 15 oz. See through bottle. Sold by the dozen."</f>
        <v>SHAMPOO: 15 oz. See through bottle. Sold by the dozen.</v>
      </c>
      <c r="G2166" s="147" t="str">
        <f>"DZ"</f>
        <v>DZ</v>
      </c>
      <c r="H2166" s="144">
        <v>19.350000000000001</v>
      </c>
      <c r="I2166" s="152">
        <v>53131628</v>
      </c>
      <c r="J2166" s="148" t="s">
        <v>170</v>
      </c>
    </row>
    <row r="2167" spans="1:10" ht="38.25">
      <c r="A2167" s="141" t="s">
        <v>60</v>
      </c>
      <c r="B2167" s="142" t="s">
        <v>597</v>
      </c>
      <c r="C2167" s="142">
        <v>3699</v>
      </c>
      <c r="D2167" s="142">
        <v>38</v>
      </c>
      <c r="E2167" s="142">
        <v>1000007920</v>
      </c>
      <c r="F2167" s="151" t="str">
        <f>"RAZOR:Twin Blade, Safety Disposable, fixed head, clear removable safety cap. 100 per case"</f>
        <v>RAZOR:Twin Blade, Safety Disposable, fixed head, clear removable safety cap. 100 per case</v>
      </c>
      <c r="G2167" s="147" t="str">
        <f>"CA"</f>
        <v>CA</v>
      </c>
      <c r="H2167" s="144">
        <v>10</v>
      </c>
      <c r="I2167" s="152" t="str">
        <f>"53131603"</f>
        <v>53131603</v>
      </c>
      <c r="J2167" s="148" t="s">
        <v>171</v>
      </c>
    </row>
    <row r="2168" spans="1:10" ht="25.5">
      <c r="A2168" s="141" t="s">
        <v>60</v>
      </c>
      <c r="B2168" s="142" t="s">
        <v>597</v>
      </c>
      <c r="C2168" s="142">
        <v>3699</v>
      </c>
      <c r="D2168" s="142">
        <v>25</v>
      </c>
      <c r="E2168" s="142">
        <v>1000010405</v>
      </c>
      <c r="F2168" s="151" t="s">
        <v>896</v>
      </c>
      <c r="G2168" s="147" t="str">
        <f t="shared" ref="G2168:G2173" si="145">"DZ"</f>
        <v>DZ</v>
      </c>
      <c r="H2168" s="144">
        <v>1.1000000000000001</v>
      </c>
      <c r="I2168" s="152">
        <v>53131604</v>
      </c>
      <c r="J2168" s="148" t="s">
        <v>168</v>
      </c>
    </row>
    <row r="2169" spans="1:10" ht="25.5">
      <c r="A2169" s="141" t="s">
        <v>60</v>
      </c>
      <c r="B2169" s="142" t="s">
        <v>597</v>
      </c>
      <c r="C2169" s="142">
        <v>3699</v>
      </c>
      <c r="D2169" s="142">
        <v>26</v>
      </c>
      <c r="E2169" s="142">
        <v>1000010406</v>
      </c>
      <c r="F2169" s="151" t="s">
        <v>897</v>
      </c>
      <c r="G2169" s="147" t="str">
        <f t="shared" si="145"/>
        <v>DZ</v>
      </c>
      <c r="H2169" s="144">
        <v>1.8</v>
      </c>
      <c r="I2169" s="152">
        <v>53131604</v>
      </c>
      <c r="J2169" s="148" t="s">
        <v>168</v>
      </c>
    </row>
    <row r="2170" spans="1:10" ht="25.5">
      <c r="A2170" s="141" t="s">
        <v>60</v>
      </c>
      <c r="B2170" s="142" t="s">
        <v>597</v>
      </c>
      <c r="C2170" s="142">
        <v>3699</v>
      </c>
      <c r="D2170" s="142">
        <v>14</v>
      </c>
      <c r="E2170" s="142">
        <v>1000010414</v>
      </c>
      <c r="F2170" s="146" t="s">
        <v>890</v>
      </c>
      <c r="G2170" s="147" t="str">
        <f t="shared" si="145"/>
        <v>DZ</v>
      </c>
      <c r="H2170" s="144">
        <v>13.35</v>
      </c>
      <c r="I2170" s="142" t="str">
        <f>"53131607"</f>
        <v>53131607</v>
      </c>
      <c r="J2170" s="148" t="s">
        <v>165</v>
      </c>
    </row>
    <row r="2171" spans="1:10" ht="25.5">
      <c r="A2171" s="141" t="s">
        <v>60</v>
      </c>
      <c r="B2171" s="142" t="s">
        <v>597</v>
      </c>
      <c r="C2171" s="142">
        <v>3699</v>
      </c>
      <c r="D2171" s="142">
        <v>24</v>
      </c>
      <c r="E2171" s="142">
        <v>1000010425</v>
      </c>
      <c r="F2171" s="146" t="s">
        <v>895</v>
      </c>
      <c r="G2171" s="147" t="str">
        <f t="shared" si="145"/>
        <v>DZ</v>
      </c>
      <c r="H2171" s="144">
        <v>0.33</v>
      </c>
      <c r="I2171" s="142" t="str">
        <f>"53131604"</f>
        <v>53131604</v>
      </c>
      <c r="J2171" s="148" t="s">
        <v>168</v>
      </c>
    </row>
    <row r="2172" spans="1:10" ht="51">
      <c r="A2172" s="141" t="s">
        <v>60</v>
      </c>
      <c r="B2172" s="142" t="s">
        <v>597</v>
      </c>
      <c r="C2172" s="142">
        <v>3699</v>
      </c>
      <c r="D2172" s="142">
        <v>28</v>
      </c>
      <c r="E2172" s="142">
        <v>1000029435</v>
      </c>
      <c r="F2172" s="146" t="s">
        <v>899</v>
      </c>
      <c r="G2172" s="147" t="str">
        <f t="shared" si="145"/>
        <v>DZ</v>
      </c>
      <c r="H2172" s="144">
        <v>12</v>
      </c>
      <c r="I2172" s="142">
        <v>91101700</v>
      </c>
      <c r="J2172" s="148" t="s">
        <v>169</v>
      </c>
    </row>
    <row r="2173" spans="1:10" ht="38.25">
      <c r="A2173" s="141" t="s">
        <v>60</v>
      </c>
      <c r="B2173" s="142" t="s">
        <v>597</v>
      </c>
      <c r="C2173" s="142">
        <v>3699</v>
      </c>
      <c r="D2173" s="142">
        <v>29</v>
      </c>
      <c r="E2173" s="142">
        <v>1000029437</v>
      </c>
      <c r="F2173" s="146" t="s">
        <v>900</v>
      </c>
      <c r="G2173" s="147" t="str">
        <f t="shared" si="145"/>
        <v>DZ</v>
      </c>
      <c r="H2173" s="144">
        <v>22.8</v>
      </c>
      <c r="I2173" s="142">
        <v>91101700</v>
      </c>
      <c r="J2173" s="148" t="s">
        <v>169</v>
      </c>
    </row>
    <row r="2174" spans="1:10" ht="25.5">
      <c r="A2174" s="141" t="s">
        <v>60</v>
      </c>
      <c r="B2174" s="142" t="s">
        <v>597</v>
      </c>
      <c r="C2174" s="142">
        <v>3699</v>
      </c>
      <c r="D2174" s="142">
        <v>31</v>
      </c>
      <c r="E2174" s="142">
        <v>1000029439</v>
      </c>
      <c r="F2174" s="146" t="str">
        <f>"SHAMPOO:Shampoo 32ml,100 CA - Natura Green Brand. Sold by the case."</f>
        <v>SHAMPOO:Shampoo 32ml,100 CA - Natura Green Brand. Sold by the case.</v>
      </c>
      <c r="G2174" s="147" t="str">
        <f>"CA"</f>
        <v>CA</v>
      </c>
      <c r="H2174" s="144">
        <v>28.75</v>
      </c>
      <c r="I2174" s="142" t="str">
        <f>"91101700"</f>
        <v>91101700</v>
      </c>
      <c r="J2174" s="148" t="s">
        <v>169</v>
      </c>
    </row>
    <row r="2175" spans="1:10" ht="25.5">
      <c r="A2175" s="141" t="s">
        <v>60</v>
      </c>
      <c r="B2175" s="142" t="s">
        <v>597</v>
      </c>
      <c r="C2175" s="142">
        <v>3699</v>
      </c>
      <c r="D2175" s="142">
        <v>13</v>
      </c>
      <c r="E2175" s="142">
        <v>1000029453</v>
      </c>
      <c r="F2175" s="146" t="s">
        <v>889</v>
      </c>
      <c r="G2175" s="147" t="str">
        <f>"DZ"</f>
        <v>DZ</v>
      </c>
      <c r="H2175" s="144">
        <v>7.41</v>
      </c>
      <c r="I2175" s="142" t="str">
        <f>"53131607"</f>
        <v>53131607</v>
      </c>
      <c r="J2175" s="148" t="s">
        <v>165</v>
      </c>
    </row>
    <row r="2176" spans="1:10" ht="38.25">
      <c r="A2176" s="141" t="s">
        <v>60</v>
      </c>
      <c r="B2176" s="142" t="s">
        <v>597</v>
      </c>
      <c r="C2176" s="142">
        <v>3699</v>
      </c>
      <c r="D2176" s="142">
        <v>22</v>
      </c>
      <c r="E2176" s="142">
        <v>1000029456</v>
      </c>
      <c r="F2176" s="146" t="s">
        <v>893</v>
      </c>
      <c r="G2176" s="147" t="str">
        <f>"DZ"</f>
        <v>DZ</v>
      </c>
      <c r="H2176" s="144">
        <v>5.74</v>
      </c>
      <c r="I2176" s="142">
        <v>53131604</v>
      </c>
      <c r="J2176" s="148" t="s">
        <v>168</v>
      </c>
    </row>
    <row r="2177" spans="1:10" ht="38.25">
      <c r="A2177" s="141" t="s">
        <v>60</v>
      </c>
      <c r="B2177" s="142" t="s">
        <v>597</v>
      </c>
      <c r="C2177" s="142">
        <v>3699</v>
      </c>
      <c r="D2177" s="142">
        <v>23</v>
      </c>
      <c r="E2177" s="142">
        <v>1000029457</v>
      </c>
      <c r="F2177" s="146" t="s">
        <v>894</v>
      </c>
      <c r="G2177" s="147" t="str">
        <f>"DZ"</f>
        <v>DZ</v>
      </c>
      <c r="H2177" s="144">
        <v>7.52</v>
      </c>
      <c r="I2177" s="142" t="str">
        <f>"53131604"</f>
        <v>53131604</v>
      </c>
      <c r="J2177" s="148" t="s">
        <v>168</v>
      </c>
    </row>
    <row r="2178" spans="1:10" ht="25.5">
      <c r="A2178" s="141" t="s">
        <v>60</v>
      </c>
      <c r="B2178" s="142" t="s">
        <v>597</v>
      </c>
      <c r="C2178" s="142">
        <v>3699</v>
      </c>
      <c r="D2178" s="142">
        <v>27</v>
      </c>
      <c r="E2178" s="142">
        <v>1000029458</v>
      </c>
      <c r="F2178" s="146" t="s">
        <v>898</v>
      </c>
      <c r="G2178" s="147" t="str">
        <f>"DZ"</f>
        <v>DZ</v>
      </c>
      <c r="H2178" s="144">
        <v>1.2</v>
      </c>
      <c r="I2178" s="142">
        <v>53131604</v>
      </c>
      <c r="J2178" s="148" t="s">
        <v>168</v>
      </c>
    </row>
    <row r="2179" spans="1:10" ht="51">
      <c r="A2179" s="141" t="s">
        <v>60</v>
      </c>
      <c r="B2179" s="142" t="s">
        <v>597</v>
      </c>
      <c r="C2179" s="142">
        <v>3699</v>
      </c>
      <c r="D2179" s="142">
        <v>53</v>
      </c>
      <c r="E2179" s="142">
        <v>1000029988</v>
      </c>
      <c r="F2179" s="146" t="s">
        <v>923</v>
      </c>
      <c r="G2179" s="147" t="s">
        <v>853</v>
      </c>
      <c r="H2179" s="144">
        <v>13.53</v>
      </c>
      <c r="I2179" s="142">
        <v>53111800</v>
      </c>
      <c r="J2179" s="148" t="s">
        <v>173</v>
      </c>
    </row>
    <row r="2180" spans="1:10" ht="63.75">
      <c r="A2180" s="141" t="s">
        <v>60</v>
      </c>
      <c r="B2180" s="142" t="s">
        <v>597</v>
      </c>
      <c r="C2180" s="142">
        <v>3699</v>
      </c>
      <c r="D2180" s="142">
        <v>54</v>
      </c>
      <c r="E2180" s="142">
        <v>1000029989</v>
      </c>
      <c r="F2180" s="146" t="s">
        <v>924</v>
      </c>
      <c r="G2180" s="147" t="s">
        <v>853</v>
      </c>
      <c r="H2180" s="144">
        <v>13.53</v>
      </c>
      <c r="I2180" s="142">
        <v>53111800</v>
      </c>
      <c r="J2180" s="148" t="s">
        <v>173</v>
      </c>
    </row>
    <row r="2181" spans="1:10" ht="63.75">
      <c r="A2181" s="141" t="s">
        <v>60</v>
      </c>
      <c r="B2181" s="142" t="s">
        <v>597</v>
      </c>
      <c r="C2181" s="142">
        <v>3699</v>
      </c>
      <c r="D2181" s="142">
        <v>55</v>
      </c>
      <c r="E2181" s="142">
        <v>1000029990</v>
      </c>
      <c r="F2181" s="146" t="s">
        <v>925</v>
      </c>
      <c r="G2181" s="147" t="s">
        <v>853</v>
      </c>
      <c r="H2181" s="144">
        <v>13.53</v>
      </c>
      <c r="I2181" s="142">
        <v>53111800</v>
      </c>
      <c r="J2181" s="148" t="s">
        <v>173</v>
      </c>
    </row>
    <row r="2182" spans="1:10" ht="38.25">
      <c r="A2182" s="141" t="s">
        <v>60</v>
      </c>
      <c r="B2182" s="142" t="s">
        <v>597</v>
      </c>
      <c r="C2182" s="142">
        <v>3699</v>
      </c>
      <c r="D2182" s="142">
        <v>20</v>
      </c>
      <c r="E2182" s="142">
        <v>1000029992</v>
      </c>
      <c r="F2182" s="146" t="s">
        <v>891</v>
      </c>
      <c r="G2182" s="147" t="str">
        <f>"DZ"</f>
        <v>DZ</v>
      </c>
      <c r="H2182" s="144">
        <v>25.2</v>
      </c>
      <c r="I2182" s="142">
        <v>53131606</v>
      </c>
      <c r="J2182" s="148" t="s">
        <v>167</v>
      </c>
    </row>
    <row r="2183" spans="1:10" ht="38.25">
      <c r="A2183" s="141" t="s">
        <v>60</v>
      </c>
      <c r="B2183" s="142" t="s">
        <v>597</v>
      </c>
      <c r="C2183" s="142">
        <v>3699</v>
      </c>
      <c r="D2183" s="142">
        <v>21</v>
      </c>
      <c r="E2183" s="142">
        <v>1000029993</v>
      </c>
      <c r="F2183" s="146" t="s">
        <v>892</v>
      </c>
      <c r="G2183" s="147" t="str">
        <f>"DZ"</f>
        <v>DZ</v>
      </c>
      <c r="H2183" s="144">
        <v>22.95</v>
      </c>
      <c r="I2183" s="142">
        <v>53131606</v>
      </c>
      <c r="J2183" s="148" t="s">
        <v>167</v>
      </c>
    </row>
    <row r="2184" spans="1:10" ht="25.5">
      <c r="A2184" s="141" t="s">
        <v>60</v>
      </c>
      <c r="B2184" s="142" t="s">
        <v>597</v>
      </c>
      <c r="C2184" s="142">
        <v>3699</v>
      </c>
      <c r="D2184" s="142">
        <v>37</v>
      </c>
      <c r="E2184" s="142">
        <v>1000029995</v>
      </c>
      <c r="F2184" s="146" t="s">
        <v>902</v>
      </c>
      <c r="G2184" s="147" t="str">
        <f>"DZ"</f>
        <v>DZ</v>
      </c>
      <c r="H2184" s="144">
        <v>19.350000000000001</v>
      </c>
      <c r="I2184" s="142">
        <v>53131602</v>
      </c>
      <c r="J2184" s="148" t="s">
        <v>169</v>
      </c>
    </row>
    <row r="2185" spans="1:10" ht="38.25">
      <c r="A2185" s="141" t="s">
        <v>60</v>
      </c>
      <c r="B2185" s="142" t="s">
        <v>597</v>
      </c>
      <c r="C2185" s="142">
        <v>3699</v>
      </c>
      <c r="D2185" s="142">
        <v>44</v>
      </c>
      <c r="E2185" s="142">
        <v>1000029996</v>
      </c>
      <c r="F2185" s="146" t="s">
        <v>914</v>
      </c>
      <c r="G2185" s="147" t="s">
        <v>853</v>
      </c>
      <c r="H2185" s="144">
        <v>34.950000000000003</v>
      </c>
      <c r="I2185" s="142" t="str">
        <f>"53111800"</f>
        <v>53111800</v>
      </c>
      <c r="J2185" s="148" t="s">
        <v>173</v>
      </c>
    </row>
    <row r="2186" spans="1:10" ht="38.25">
      <c r="A2186" s="141" t="s">
        <v>60</v>
      </c>
      <c r="B2186" s="142" t="s">
        <v>597</v>
      </c>
      <c r="C2186" s="142">
        <v>3699</v>
      </c>
      <c r="D2186" s="142">
        <v>45</v>
      </c>
      <c r="E2186" s="142">
        <v>1000029997</v>
      </c>
      <c r="F2186" s="146" t="s">
        <v>915</v>
      </c>
      <c r="G2186" s="147" t="s">
        <v>853</v>
      </c>
      <c r="H2186" s="144">
        <v>34.950000000000003</v>
      </c>
      <c r="I2186" s="142">
        <v>53111800</v>
      </c>
      <c r="J2186" s="148" t="s">
        <v>173</v>
      </c>
    </row>
    <row r="2187" spans="1:10" ht="38.25">
      <c r="A2187" s="141" t="s">
        <v>60</v>
      </c>
      <c r="B2187" s="142" t="s">
        <v>597</v>
      </c>
      <c r="C2187" s="142">
        <v>3699</v>
      </c>
      <c r="D2187" s="142">
        <v>46</v>
      </c>
      <c r="E2187" s="142">
        <v>1000029998</v>
      </c>
      <c r="F2187" s="146" t="s">
        <v>916</v>
      </c>
      <c r="G2187" s="147" t="s">
        <v>853</v>
      </c>
      <c r="H2187" s="144">
        <v>34.950000000000003</v>
      </c>
      <c r="I2187" s="142" t="str">
        <f>"53111800"</f>
        <v>53111800</v>
      </c>
      <c r="J2187" s="148" t="s">
        <v>173</v>
      </c>
    </row>
    <row r="2188" spans="1:10" ht="38.25">
      <c r="A2188" s="141" t="s">
        <v>60</v>
      </c>
      <c r="B2188" s="142" t="s">
        <v>597</v>
      </c>
      <c r="C2188" s="142">
        <v>3699</v>
      </c>
      <c r="D2188" s="142">
        <v>47</v>
      </c>
      <c r="E2188" s="142">
        <v>1000029999</v>
      </c>
      <c r="F2188" s="146" t="s">
        <v>917</v>
      </c>
      <c r="G2188" s="147" t="s">
        <v>853</v>
      </c>
      <c r="H2188" s="144">
        <v>34.950000000000003</v>
      </c>
      <c r="I2188" s="142" t="str">
        <f>"53111800"</f>
        <v>53111800</v>
      </c>
      <c r="J2188" s="148" t="s">
        <v>173</v>
      </c>
    </row>
    <row r="2189" spans="1:10" ht="51">
      <c r="A2189" s="141" t="s">
        <v>60</v>
      </c>
      <c r="B2189" s="142" t="s">
        <v>597</v>
      </c>
      <c r="C2189" s="142">
        <v>3699</v>
      </c>
      <c r="D2189" s="142">
        <v>48</v>
      </c>
      <c r="E2189" s="142">
        <v>1000030000</v>
      </c>
      <c r="F2189" s="146" t="s">
        <v>918</v>
      </c>
      <c r="G2189" s="147" t="s">
        <v>853</v>
      </c>
      <c r="H2189" s="144">
        <v>34.950000000000003</v>
      </c>
      <c r="I2189" s="142" t="str">
        <f>"53111800"</f>
        <v>53111800</v>
      </c>
      <c r="J2189" s="148" t="s">
        <v>173</v>
      </c>
    </row>
    <row r="2190" spans="1:10" ht="51">
      <c r="A2190" s="141" t="s">
        <v>60</v>
      </c>
      <c r="B2190" s="142" t="s">
        <v>597</v>
      </c>
      <c r="C2190" s="142">
        <v>3699</v>
      </c>
      <c r="D2190" s="142">
        <v>49</v>
      </c>
      <c r="E2190" s="142">
        <v>1000030001</v>
      </c>
      <c r="F2190" s="146" t="s">
        <v>919</v>
      </c>
      <c r="G2190" s="147" t="s">
        <v>853</v>
      </c>
      <c r="H2190" s="144">
        <v>34.950000000000003</v>
      </c>
      <c r="I2190" s="142" t="str">
        <f>"53111800"</f>
        <v>53111800</v>
      </c>
      <c r="J2190" s="148" t="s">
        <v>173</v>
      </c>
    </row>
    <row r="2191" spans="1:10" ht="51">
      <c r="A2191" s="141" t="s">
        <v>60</v>
      </c>
      <c r="B2191" s="142" t="s">
        <v>597</v>
      </c>
      <c r="C2191" s="142">
        <v>3699</v>
      </c>
      <c r="D2191" s="142">
        <v>50</v>
      </c>
      <c r="E2191" s="142">
        <v>1000030002</v>
      </c>
      <c r="F2191" s="146" t="s">
        <v>920</v>
      </c>
      <c r="G2191" s="147" t="s">
        <v>853</v>
      </c>
      <c r="H2191" s="144">
        <v>13.53</v>
      </c>
      <c r="I2191" s="142">
        <v>53111800</v>
      </c>
      <c r="J2191" s="159" t="s">
        <v>173</v>
      </c>
    </row>
    <row r="2192" spans="1:10" ht="51">
      <c r="A2192" s="141" t="s">
        <v>60</v>
      </c>
      <c r="B2192" s="142" t="s">
        <v>597</v>
      </c>
      <c r="C2192" s="142">
        <v>3699</v>
      </c>
      <c r="D2192" s="142">
        <v>51</v>
      </c>
      <c r="E2192" s="142">
        <v>1000030003</v>
      </c>
      <c r="F2192" s="146" t="s">
        <v>921</v>
      </c>
      <c r="G2192" s="147" t="s">
        <v>853</v>
      </c>
      <c r="H2192" s="144">
        <v>13.53</v>
      </c>
      <c r="I2192" s="142">
        <v>53111800</v>
      </c>
      <c r="J2192" s="148" t="s">
        <v>173</v>
      </c>
    </row>
    <row r="2193" spans="1:10" ht="63.75">
      <c r="A2193" s="141" t="s">
        <v>60</v>
      </c>
      <c r="B2193" s="142" t="s">
        <v>597</v>
      </c>
      <c r="C2193" s="142">
        <v>3699</v>
      </c>
      <c r="D2193" s="142">
        <v>52</v>
      </c>
      <c r="E2193" s="142">
        <v>1000030004</v>
      </c>
      <c r="F2193" s="146" t="s">
        <v>922</v>
      </c>
      <c r="G2193" s="147" t="s">
        <v>853</v>
      </c>
      <c r="H2193" s="144">
        <v>13.53</v>
      </c>
      <c r="I2193" s="142">
        <v>53111800</v>
      </c>
      <c r="J2193" s="148" t="s">
        <v>173</v>
      </c>
    </row>
    <row r="2194" spans="1:10" ht="25.5">
      <c r="A2194" s="141" t="s">
        <v>60</v>
      </c>
      <c r="B2194" s="142" t="s">
        <v>597</v>
      </c>
      <c r="C2194" s="142">
        <v>3699</v>
      </c>
      <c r="D2194" s="142">
        <v>6</v>
      </c>
      <c r="E2194" s="142" t="str">
        <f>"1000006587"</f>
        <v>1000006587</v>
      </c>
      <c r="F2194" s="146" t="str">
        <f>"BODY WASH: Antibacterial body wash. 1 Gal 4/CA"</f>
        <v>BODY WASH: Antibacterial body wash. 1 Gal 4/CA</v>
      </c>
      <c r="G2194" s="147" t="str">
        <f>"CA"</f>
        <v>CA</v>
      </c>
      <c r="H2194" s="144">
        <v>34.24</v>
      </c>
      <c r="I2194" s="142" t="str">
        <f>"53131608"</f>
        <v>53131608</v>
      </c>
      <c r="J2194" s="148" t="s">
        <v>164</v>
      </c>
    </row>
    <row r="2195" spans="1:10" ht="38.25">
      <c r="A2195" s="141" t="s">
        <v>60</v>
      </c>
      <c r="B2195" s="142" t="s">
        <v>597</v>
      </c>
      <c r="C2195" s="142">
        <v>3699</v>
      </c>
      <c r="D2195" s="142">
        <v>32</v>
      </c>
      <c r="E2195" s="142" t="str">
        <f>"1000007279"</f>
        <v>1000007279</v>
      </c>
      <c r="F2195" s="146" t="str">
        <f>"SHAMPOO - BODY WASH:2oz clr in see-thru cont~Shampoo, 2 oz clear in a see-through container"</f>
        <v>SHAMPOO - BODY WASH:2oz clr in see-thru cont~Shampoo, 2 oz clear in a see-through container</v>
      </c>
      <c r="G2195" s="147" t="str">
        <f>"DZ"</f>
        <v>DZ</v>
      </c>
      <c r="H2195" s="144">
        <v>2.85</v>
      </c>
      <c r="I2195" s="142" t="str">
        <f>"53131628"</f>
        <v>53131628</v>
      </c>
      <c r="J2195" s="158" t="s">
        <v>170</v>
      </c>
    </row>
    <row r="2196" spans="1:10" ht="38.25">
      <c r="A2196" s="141" t="s">
        <v>60</v>
      </c>
      <c r="B2196" s="142" t="s">
        <v>597</v>
      </c>
      <c r="C2196" s="142">
        <v>3699</v>
      </c>
      <c r="D2196" s="142">
        <v>33</v>
      </c>
      <c r="E2196" s="142" t="str">
        <f>"1000007280"</f>
        <v>1000007280</v>
      </c>
      <c r="F2196" s="146" t="str">
        <f>"SHAMPOO - BODY WASH:7.5-8 oz/alc free~Shampoo &amp; Body Wash, 7.5 oz - 8 oz, alcohol free"</f>
        <v>SHAMPOO - BODY WASH:7.5-8 oz/alc free~Shampoo &amp; Body Wash, 7.5 oz - 8 oz, alcohol free</v>
      </c>
      <c r="G2196" s="147" t="str">
        <f>"DZ"</f>
        <v>DZ</v>
      </c>
      <c r="H2196" s="144">
        <v>9.15</v>
      </c>
      <c r="I2196" s="142" t="str">
        <f>"53131628"</f>
        <v>53131628</v>
      </c>
      <c r="J2196" s="158" t="s">
        <v>170</v>
      </c>
    </row>
    <row r="2197" spans="1:10" ht="25.5">
      <c r="A2197" s="141" t="s">
        <v>60</v>
      </c>
      <c r="B2197" s="142" t="s">
        <v>597</v>
      </c>
      <c r="C2197" s="142">
        <v>3699</v>
      </c>
      <c r="D2197" s="142">
        <v>15</v>
      </c>
      <c r="E2197" s="142" t="str">
        <f>"1000008393"</f>
        <v>1000008393</v>
      </c>
      <c r="F2197" s="146" t="str">
        <f>"POWDER:Baby Powder with Corn Starch 3.5 oz - 4.0 oz. Sold by the dozen."</f>
        <v>POWDER:Baby Powder with Corn Starch 3.5 oz - 4.0 oz. Sold by the dozen.</v>
      </c>
      <c r="G2197" s="147" t="str">
        <f>"DZ"</f>
        <v>DZ</v>
      </c>
      <c r="H2197" s="144">
        <v>7.2</v>
      </c>
      <c r="I2197" s="142" t="str">
        <f>"53131613"</f>
        <v>53131613</v>
      </c>
      <c r="J2197" s="158" t="s">
        <v>166</v>
      </c>
    </row>
    <row r="2198" spans="1:10" ht="38.25">
      <c r="A2198" s="141" t="s">
        <v>60</v>
      </c>
      <c r="B2198" s="142" t="s">
        <v>597</v>
      </c>
      <c r="C2198" s="142">
        <v>3699</v>
      </c>
      <c r="D2198" s="142">
        <v>1</v>
      </c>
      <c r="E2198" s="142" t="str">
        <f>"1000010394"</f>
        <v>1000010394</v>
      </c>
      <c r="F2198" s="146" t="str">
        <f>"LIQUID HAND SOAP: 7.5 oz, Antibacterial liquid soap, with pump, melon. Sold by the dozen."</f>
        <v>LIQUID HAND SOAP: 7.5 oz, Antibacterial liquid soap, with pump, melon. Sold by the dozen.</v>
      </c>
      <c r="G2198" s="147" t="str">
        <f>"DZ"</f>
        <v>DZ</v>
      </c>
      <c r="H2198" s="144">
        <v>23.7</v>
      </c>
      <c r="I2198" s="142" t="str">
        <f>"53131608"</f>
        <v>53131608</v>
      </c>
      <c r="J2198" s="158" t="s">
        <v>164</v>
      </c>
    </row>
    <row r="2199" spans="1:10" ht="25.5">
      <c r="A2199" s="141" t="s">
        <v>60</v>
      </c>
      <c r="B2199" s="142" t="s">
        <v>597</v>
      </c>
      <c r="C2199" s="142">
        <v>3699</v>
      </c>
      <c r="D2199" s="142">
        <v>3</v>
      </c>
      <c r="E2199" s="142" t="str">
        <f>"1000010398"</f>
        <v>1000010398</v>
      </c>
      <c r="F2199" s="146" t="str">
        <f>"BAR SOAP: 1.5 oz, 100/case. Individiually wrapped bars."</f>
        <v>BAR SOAP: 1.5 oz, 100/case. Individiually wrapped bars.</v>
      </c>
      <c r="G2199" s="147" t="str">
        <f>"CA"</f>
        <v>CA</v>
      </c>
      <c r="H2199" s="144">
        <v>13.75</v>
      </c>
      <c r="I2199" s="142" t="str">
        <f>"53131608"</f>
        <v>53131608</v>
      </c>
      <c r="J2199" s="158" t="s">
        <v>164</v>
      </c>
    </row>
    <row r="2200" spans="1:10" ht="38.25">
      <c r="A2200" s="141" t="s">
        <v>60</v>
      </c>
      <c r="B2200" s="142" t="s">
        <v>597</v>
      </c>
      <c r="C2200" s="142">
        <v>3699</v>
      </c>
      <c r="D2200" s="142">
        <v>16</v>
      </c>
      <c r="E2200" s="142" t="str">
        <f>"1000010402"</f>
        <v>1000010402</v>
      </c>
      <c r="F2200" s="146" t="str">
        <f>"DEODORANT: Roll on, 1.5 oz see through container, antiperspirant. Sold by the dozen."</f>
        <v>DEODORANT: Roll on, 1.5 oz see through container, antiperspirant. Sold by the dozen.</v>
      </c>
      <c r="G2200" s="147" t="str">
        <f t="shared" ref="G2200:G2206" si="146">"DZ"</f>
        <v>DZ</v>
      </c>
      <c r="H2200" s="144">
        <v>4.2</v>
      </c>
      <c r="I2200" s="142" t="str">
        <f>"53131606"</f>
        <v>53131606</v>
      </c>
      <c r="J2200" s="158" t="s">
        <v>167</v>
      </c>
    </row>
    <row r="2201" spans="1:10" ht="25.5">
      <c r="A2201" s="141" t="s">
        <v>60</v>
      </c>
      <c r="B2201" s="142" t="s">
        <v>597</v>
      </c>
      <c r="C2201" s="142">
        <v>3699</v>
      </c>
      <c r="D2201" s="142">
        <v>59</v>
      </c>
      <c r="E2201" s="142" t="str">
        <f>"1000010410"</f>
        <v>1000010410</v>
      </c>
      <c r="F2201" s="146" t="str">
        <f>"TOOTHBRUSH: Thumbprint handle, white with nylon bristles. Sold by the dozen."</f>
        <v>TOOTHBRUSH: Thumbprint handle, white with nylon bristles. Sold by the dozen.</v>
      </c>
      <c r="G2201" s="147" t="str">
        <f t="shared" si="146"/>
        <v>DZ</v>
      </c>
      <c r="H2201" s="144">
        <v>0.75</v>
      </c>
      <c r="I2201" s="142" t="str">
        <f>"53131503"</f>
        <v>53131503</v>
      </c>
      <c r="J2201" s="158" t="s">
        <v>174</v>
      </c>
    </row>
    <row r="2202" spans="1:10" ht="38.25">
      <c r="A2202" s="141" t="s">
        <v>60</v>
      </c>
      <c r="B2202" s="142" t="s">
        <v>597</v>
      </c>
      <c r="C2202" s="142">
        <v>3699</v>
      </c>
      <c r="D2202" s="142">
        <v>18</v>
      </c>
      <c r="E2202" s="142" t="str">
        <f>"1000010417"</f>
        <v>1000010417</v>
      </c>
      <c r="F2202" s="146" t="str">
        <f>"DEODORANT: Stick/Fresh Scent, 1.6 oz, push up, see through container. Sold by the dozen."</f>
        <v>DEODORANT: Stick/Fresh Scent, 1.6 oz, push up, see through container. Sold by the dozen.</v>
      </c>
      <c r="G2202" s="147" t="str">
        <f t="shared" si="146"/>
        <v>DZ</v>
      </c>
      <c r="H2202" s="144">
        <v>7.2</v>
      </c>
      <c r="I2202" s="142" t="str">
        <f>"53131606"</f>
        <v>53131606</v>
      </c>
      <c r="J2202" s="158" t="s">
        <v>167</v>
      </c>
    </row>
    <row r="2203" spans="1:10" ht="38.25">
      <c r="A2203" s="141" t="s">
        <v>60</v>
      </c>
      <c r="B2203" s="142" t="s">
        <v>597</v>
      </c>
      <c r="C2203" s="142">
        <v>3699</v>
      </c>
      <c r="D2203" s="142">
        <v>61</v>
      </c>
      <c r="E2203" s="142" t="str">
        <f>"1000010424"</f>
        <v>1000010424</v>
      </c>
      <c r="F2203" s="146" t="str">
        <f>"TOOTHBRUSH HOLDER: Clear, 7 in., two piece plastic tube, vented for drying. Sold by the dozen."</f>
        <v>TOOTHBRUSH HOLDER: Clear, 7 in., two piece plastic tube, vented for drying. Sold by the dozen.</v>
      </c>
      <c r="G2203" s="147" t="str">
        <f t="shared" si="146"/>
        <v>DZ</v>
      </c>
      <c r="H2203" s="144">
        <v>2.25</v>
      </c>
      <c r="I2203" s="142" t="str">
        <f>"30181611"</f>
        <v>30181611</v>
      </c>
      <c r="J2203" s="158" t="s">
        <v>175</v>
      </c>
    </row>
    <row r="2204" spans="1:10" ht="25.5">
      <c r="A2204" s="141" t="s">
        <v>60</v>
      </c>
      <c r="B2204" s="142" t="s">
        <v>597</v>
      </c>
      <c r="C2204" s="142">
        <v>3699</v>
      </c>
      <c r="D2204" s="142">
        <v>67</v>
      </c>
      <c r="E2204" s="142" t="str">
        <f>"1000012419"</f>
        <v>1000012419</v>
      </c>
      <c r="F2204" s="146" t="str">
        <f>"MOUTHWASH:4 oz, alcohol free mouthwash. Sold by the dozen"</f>
        <v>MOUTHWASH:4 oz, alcohol free mouthwash. Sold by the dozen</v>
      </c>
      <c r="G2204" s="147" t="str">
        <f t="shared" si="146"/>
        <v>DZ</v>
      </c>
      <c r="H2204" s="144">
        <v>4.8</v>
      </c>
      <c r="I2204" s="142" t="str">
        <f>"53131501"</f>
        <v>53131501</v>
      </c>
      <c r="J2204" s="158" t="s">
        <v>177</v>
      </c>
    </row>
    <row r="2205" spans="1:10" ht="25.5">
      <c r="A2205" s="141" t="s">
        <v>60</v>
      </c>
      <c r="B2205" s="142" t="s">
        <v>597</v>
      </c>
      <c r="C2205" s="142">
        <v>3699</v>
      </c>
      <c r="D2205" s="142">
        <v>8</v>
      </c>
      <c r="E2205" s="142" t="str">
        <f>"1000019838"</f>
        <v>1000019838</v>
      </c>
      <c r="F2205" s="146" t="str">
        <f>"LOTION: Cocoa Butter, 4-5 oz.  Sold by the dozen"</f>
        <v>LOTION: Cocoa Butter, 4-5 oz.  Sold by the dozen</v>
      </c>
      <c r="G2205" s="147" t="str">
        <f t="shared" si="146"/>
        <v>DZ</v>
      </c>
      <c r="H2205" s="144">
        <v>5.55</v>
      </c>
      <c r="I2205" s="142" t="str">
        <f>"53131607"</f>
        <v>53131607</v>
      </c>
      <c r="J2205" s="158" t="s">
        <v>165</v>
      </c>
    </row>
    <row r="2206" spans="1:10" ht="25.5">
      <c r="A2206" s="141" t="s">
        <v>60</v>
      </c>
      <c r="B2206" s="142" t="s">
        <v>597</v>
      </c>
      <c r="C2206" s="142">
        <v>3699</v>
      </c>
      <c r="D2206" s="142">
        <v>40</v>
      </c>
      <c r="E2206" s="142" t="str">
        <f>"1000019861"</f>
        <v>1000019861</v>
      </c>
      <c r="F2206" s="146" t="str">
        <f>"SHAVE CREAM:Aerosol, 11 oz can"</f>
        <v>SHAVE CREAM:Aerosol, 11 oz can</v>
      </c>
      <c r="G2206" s="147" t="str">
        <f t="shared" si="146"/>
        <v>DZ</v>
      </c>
      <c r="H2206" s="144">
        <v>17.350000000000001</v>
      </c>
      <c r="I2206" s="142" t="str">
        <f>"53131611"</f>
        <v>53131611</v>
      </c>
      <c r="J2206" s="158" t="s">
        <v>172</v>
      </c>
    </row>
    <row r="2207" spans="1:10" ht="38.25">
      <c r="A2207" s="141" t="s">
        <v>60</v>
      </c>
      <c r="B2207" s="142" t="s">
        <v>597</v>
      </c>
      <c r="C2207" s="142">
        <v>3699</v>
      </c>
      <c r="D2207" s="142">
        <v>63</v>
      </c>
      <c r="E2207" s="142" t="str">
        <f>"1000029422"</f>
        <v>1000029422</v>
      </c>
      <c r="F2207" s="146" t="str">
        <f>"TOOTHPASTE:Child,0.35oz,100CA fluoride-free, flavored toothpaste or gel, 100 per case."</f>
        <v>TOOTHPASTE:Child,0.35oz,100CA fluoride-free, flavored toothpaste or gel, 100 per case.</v>
      </c>
      <c r="G2207" s="147" t="str">
        <f>"CA"</f>
        <v>CA</v>
      </c>
      <c r="H2207" s="144">
        <v>37.5</v>
      </c>
      <c r="I2207" s="142" t="str">
        <f>"53131502"</f>
        <v>53131502</v>
      </c>
      <c r="J2207" s="158" t="s">
        <v>176</v>
      </c>
    </row>
    <row r="2208" spans="1:10" ht="38.25">
      <c r="A2208" s="141" t="s">
        <v>60</v>
      </c>
      <c r="B2208" s="142" t="s">
        <v>597</v>
      </c>
      <c r="C2208" s="142">
        <v>3699</v>
      </c>
      <c r="D2208" s="142">
        <v>64</v>
      </c>
      <c r="E2208" s="142" t="str">
        <f>"1000029423"</f>
        <v>1000029423</v>
      </c>
      <c r="F2208" s="146" t="str">
        <f>"TOOTHPASTE:Fluor gel 4.6oz see-thru tube~Clear tooth gel, fluoride, 4.6 oz in a see-through tube, sold by the dozen."</f>
        <v>TOOTHPASTE:Fluor gel 4.6oz see-thru tube~Clear tooth gel, fluoride, 4.6 oz in a see-through tube, sold by the dozen.</v>
      </c>
      <c r="G2208" s="147" t="str">
        <f>"DZ"</f>
        <v>DZ</v>
      </c>
      <c r="H2208" s="144">
        <v>7.65</v>
      </c>
      <c r="I2208" s="142" t="str">
        <f>"53131502"</f>
        <v>53131502</v>
      </c>
      <c r="J2208" s="158" t="s">
        <v>176</v>
      </c>
    </row>
    <row r="2209" spans="1:10" ht="38.25">
      <c r="A2209" s="141" t="s">
        <v>60</v>
      </c>
      <c r="B2209" s="142" t="s">
        <v>597</v>
      </c>
      <c r="C2209" s="142">
        <v>3699</v>
      </c>
      <c r="D2209" s="142">
        <v>65</v>
      </c>
      <c r="E2209" s="142" t="str">
        <f>"1000029424"</f>
        <v>1000029424</v>
      </c>
      <c r="F2209" s="146" t="str">
        <f>"TOOTHPASTE:Security Fluor gel 2.75oz see-thru tube~Clear tooth gel, fluoride, 2.75 oz in a see-through tube, sold by the dozen."</f>
        <v>TOOTHPASTE:Security Fluor gel 2.75oz see-thru tube~Clear tooth gel, fluoride, 2.75 oz in a see-through tube, sold by the dozen.</v>
      </c>
      <c r="G2209" s="147" t="str">
        <f>"DZ"</f>
        <v>DZ</v>
      </c>
      <c r="H2209" s="144">
        <v>4.95</v>
      </c>
      <c r="I2209" s="142" t="str">
        <f>"53131502"</f>
        <v>53131502</v>
      </c>
      <c r="J2209" s="158" t="s">
        <v>176</v>
      </c>
    </row>
    <row r="2210" spans="1:10" ht="38.25">
      <c r="A2210" s="141" t="s">
        <v>60</v>
      </c>
      <c r="B2210" s="142" t="s">
        <v>597</v>
      </c>
      <c r="C2210" s="142">
        <v>3699</v>
      </c>
      <c r="D2210" s="142">
        <v>66</v>
      </c>
      <c r="E2210" s="142" t="str">
        <f>"1000029425"</f>
        <v>1000029425</v>
      </c>
      <c r="F2210" s="146" t="str">
        <f>"TOOTHPASTE:Security Fluor gel 1.5-2oz - Clear tooth gel, fluoride, 1.5-2 oz in a see-through tube. 100 per case."</f>
        <v>TOOTHPASTE:Security Fluor gel 1.5-2oz - Clear tooth gel, fluoride, 1.5-2 oz in a see-through tube. 100 per case.</v>
      </c>
      <c r="G2210" s="147" t="str">
        <f>"CA"</f>
        <v>CA</v>
      </c>
      <c r="H2210" s="144">
        <v>25</v>
      </c>
      <c r="I2210" s="142" t="str">
        <f>"53131502"</f>
        <v>53131502</v>
      </c>
      <c r="J2210" s="158" t="s">
        <v>176</v>
      </c>
    </row>
    <row r="2211" spans="1:10" ht="38.25">
      <c r="A2211" s="141" t="s">
        <v>60</v>
      </c>
      <c r="B2211" s="142" t="s">
        <v>597</v>
      </c>
      <c r="C2211" s="142">
        <v>3699</v>
      </c>
      <c r="D2211" s="142">
        <v>68</v>
      </c>
      <c r="E2211" s="142" t="str">
        <f>"1000029426"</f>
        <v>1000029426</v>
      </c>
      <c r="F2211" s="146" t="str">
        <f>"DENTURE CREAM: 2.4 oz DZ - Extra strength denture adhesive, 2.4 oz denture cream, tube. Sold by the dozen."</f>
        <v>DENTURE CREAM: 2.4 oz DZ - Extra strength denture adhesive, 2.4 oz denture cream, tube. Sold by the dozen.</v>
      </c>
      <c r="G2211" s="147" t="str">
        <f>"DZ"</f>
        <v>DZ</v>
      </c>
      <c r="H2211" s="144">
        <v>31.95</v>
      </c>
      <c r="I2211" s="142" t="str">
        <f>"53131510"</f>
        <v>53131510</v>
      </c>
      <c r="J2211" s="148" t="s">
        <v>178</v>
      </c>
    </row>
    <row r="2212" spans="1:10" ht="38.25">
      <c r="A2212" s="141" t="s">
        <v>60</v>
      </c>
      <c r="B2212" s="142" t="s">
        <v>597</v>
      </c>
      <c r="C2212" s="142">
        <v>3699</v>
      </c>
      <c r="D2212" s="142">
        <v>69</v>
      </c>
      <c r="E2212" s="142" t="str">
        <f>"1000029427"</f>
        <v>1000029427</v>
      </c>
      <c r="F2212" s="146" t="str">
        <f>"DENTURE CLEANER: Tab. 40/BX DZ - 40 tablets per box, 12 boxes. Anti-bacterial denture cleaner tablets. Sold by the dozen"</f>
        <v>DENTURE CLEANER: Tab. 40/BX DZ - 40 tablets per box, 12 boxes. Anti-bacterial denture cleaner tablets. Sold by the dozen</v>
      </c>
      <c r="G2212" s="147" t="str">
        <f>"DZ"</f>
        <v>DZ</v>
      </c>
      <c r="H2212" s="144">
        <v>19.2</v>
      </c>
      <c r="I2212" s="142" t="str">
        <f>"53131508"</f>
        <v>53131508</v>
      </c>
      <c r="J2212" s="148" t="s">
        <v>179</v>
      </c>
    </row>
    <row r="2213" spans="1:10" ht="25.5">
      <c r="A2213" s="141" t="s">
        <v>60</v>
      </c>
      <c r="B2213" s="142" t="s">
        <v>597</v>
      </c>
      <c r="C2213" s="142">
        <v>3699</v>
      </c>
      <c r="D2213" s="142">
        <v>70</v>
      </c>
      <c r="E2213" s="142" t="str">
        <f>"1000029428"</f>
        <v>1000029428</v>
      </c>
      <c r="F2213" s="146" t="str">
        <f>"QTIPS: 300/BX, DZ - Q-Tips, 300 Count, sold by the dozen."</f>
        <v>QTIPS: 300/BX, DZ - Q-Tips, 300 Count, sold by the dozen.</v>
      </c>
      <c r="G2213" s="147" t="str">
        <f>"DZ"</f>
        <v>DZ</v>
      </c>
      <c r="H2213" s="144">
        <v>19.95</v>
      </c>
      <c r="I2213" s="142" t="str">
        <f>"42141500"</f>
        <v>42141500</v>
      </c>
      <c r="J2213" s="148" t="s">
        <v>180</v>
      </c>
    </row>
    <row r="2214" spans="1:10" ht="76.5">
      <c r="A2214" s="141" t="s">
        <v>60</v>
      </c>
      <c r="B2214" s="142" t="s">
        <v>597</v>
      </c>
      <c r="C2214" s="142">
        <v>3699</v>
      </c>
      <c r="D2214" s="142">
        <v>71</v>
      </c>
      <c r="E2214" s="142" t="str">
        <f>"1000029429"</f>
        <v>1000029429</v>
      </c>
      <c r="F2214" s="146" t="str">
        <f>"SECURITY KIT: Std # 2. Contains: 5 in. comb, adult toothbrush, 2.75 oz clear tooth gel in see thru tube, 1.6 oz clear stick deodorant, 4 oz shaving gel in clear tube or shampoo/conditioner in see thru bottle, 8 sheets of writing paper, 8 envelopes in a"</f>
        <v>SECURITY KIT: Std # 2. Contains: 5 in. comb, adult toothbrush, 2.75 oz clear tooth gel in see thru tube, 1.6 oz clear stick deodorant, 4 oz shaving gel in clear tube or shampoo/conditioner in see thru bottle, 8 sheets of writing paper, 8 envelopes in a</v>
      </c>
      <c r="G2214" s="147" t="s">
        <v>600</v>
      </c>
      <c r="H2214" s="144">
        <v>2</v>
      </c>
      <c r="I2214" s="142" t="str">
        <f>"42141601"</f>
        <v>42141601</v>
      </c>
      <c r="J2214" s="148" t="s">
        <v>181</v>
      </c>
    </row>
    <row r="2215" spans="1:10" ht="89.25">
      <c r="A2215" s="141" t="s">
        <v>60</v>
      </c>
      <c r="B2215" s="142" t="s">
        <v>597</v>
      </c>
      <c r="C2215" s="142">
        <v>3699</v>
      </c>
      <c r="D2215" s="142">
        <v>72</v>
      </c>
      <c r="E2215" s="142" t="str">
        <f>"1000029430"</f>
        <v>1000029430</v>
      </c>
      <c r="F2215" s="146" t="str">
        <f>"SECURITY KIT: Std # 3 Correctional Facilities. Contains: toothbrush with thumbprint handle, 1.6 oz clear stick deodorant, 2.75 oz tooth gel in a clear tube, 3 oz All-in-One in a clear tube, single blade rzor with thumbprint handle in a zip lock bag."</f>
        <v>SECURITY KIT: Std # 3 Correctional Facilities. Contains: toothbrush with thumbprint handle, 1.6 oz clear stick deodorant, 2.75 oz tooth gel in a clear tube, 3 oz All-in-One in a clear tube, single blade rzor with thumbprint handle in a zip lock bag.</v>
      </c>
      <c r="G2215" s="147" t="s">
        <v>600</v>
      </c>
      <c r="H2215" s="144">
        <v>1.78</v>
      </c>
      <c r="I2215" s="142" t="str">
        <f>"42141601"</f>
        <v>42141601</v>
      </c>
      <c r="J2215" s="148" t="s">
        <v>181</v>
      </c>
    </row>
    <row r="2216" spans="1:10" ht="38.25">
      <c r="A2216" s="141" t="s">
        <v>60</v>
      </c>
      <c r="B2216" s="142" t="s">
        <v>597</v>
      </c>
      <c r="C2216" s="142">
        <v>3699</v>
      </c>
      <c r="D2216" s="142">
        <v>43</v>
      </c>
      <c r="E2216" s="142" t="str">
        <f>"1000029431"</f>
        <v>1000029431</v>
      </c>
      <c r="F2216" s="146" t="str">
        <f>"SHOE INSOLES:Odor stop,cut fit - Cut to fit, odor stopper. Cushion insole with baking soda. Sold by the dozen."</f>
        <v>SHOE INSOLES:Odor stop,cut fit - Cut to fit, odor stopper. Cushion insole with baking soda. Sold by the dozen.</v>
      </c>
      <c r="G2216" s="147" t="str">
        <f>"DZ"</f>
        <v>DZ</v>
      </c>
      <c r="H2216" s="144">
        <v>83.97</v>
      </c>
      <c r="I2216" s="142" t="str">
        <f>"53111600"</f>
        <v>53111600</v>
      </c>
      <c r="J2216" s="148" t="s">
        <v>757</v>
      </c>
    </row>
    <row r="2217" spans="1:10" ht="25.5">
      <c r="A2217" s="141" t="s">
        <v>60</v>
      </c>
      <c r="B2217" s="142" t="s">
        <v>597</v>
      </c>
      <c r="C2217" s="142">
        <v>3699</v>
      </c>
      <c r="D2217" s="142">
        <v>56</v>
      </c>
      <c r="E2217" s="142" t="str">
        <f>"1000029432"</f>
        <v>1000029432</v>
      </c>
      <c r="F2217" s="146" t="str">
        <f>"TOOTHBRUSH: Adult,4row,sft nylon, 50 tuft, nylon bristles, soft. Sold by the dozen."</f>
        <v>TOOTHBRUSH: Adult,4row,sft nylon, 50 tuft, nylon bristles, soft. Sold by the dozen.</v>
      </c>
      <c r="G2217" s="147" t="str">
        <f>"DZ"</f>
        <v>DZ</v>
      </c>
      <c r="H2217" s="144">
        <v>0.87</v>
      </c>
      <c r="I2217" s="142" t="str">
        <f>"53131503"</f>
        <v>53131503</v>
      </c>
      <c r="J2217" s="158" t="s">
        <v>174</v>
      </c>
    </row>
    <row r="2218" spans="1:10" ht="63.75">
      <c r="A2218" s="141" t="s">
        <v>60</v>
      </c>
      <c r="B2218" s="142" t="s">
        <v>597</v>
      </c>
      <c r="C2218" s="142">
        <v>3699</v>
      </c>
      <c r="D2218" s="142">
        <v>2</v>
      </c>
      <c r="E2218" s="142" t="str">
        <f>"1000029433"</f>
        <v>1000029433</v>
      </c>
      <c r="F2218" s="146" t="str">
        <f>"BAR SOAP:40g Green Leaf 100/CA - Refreshing Body Cleanser, Green made by Natura, 40 gram (1.41 oz) individually wrapped in biodegrable wrapping. Leaf shape. 100 bars per case."</f>
        <v>BAR SOAP:40g Green Leaf 100/CA - Refreshing Body Cleanser, Green made by Natura, 40 gram (1.41 oz) individually wrapped in biodegrable wrapping. Leaf shape. 100 bars per case.</v>
      </c>
      <c r="G2218" s="147" t="str">
        <f>"CA"</f>
        <v>CA</v>
      </c>
      <c r="H2218" s="144">
        <v>34.71</v>
      </c>
      <c r="I2218" s="142" t="str">
        <f>"53131608"</f>
        <v>53131608</v>
      </c>
      <c r="J2218" s="158" t="s">
        <v>164</v>
      </c>
    </row>
    <row r="2219" spans="1:10" ht="38.25">
      <c r="A2219" s="141" t="s">
        <v>60</v>
      </c>
      <c r="B2219" s="142" t="s">
        <v>597</v>
      </c>
      <c r="C2219" s="142">
        <v>3699</v>
      </c>
      <c r="D2219" s="142">
        <v>4</v>
      </c>
      <c r="E2219" s="142" t="str">
        <f>"1000029434"</f>
        <v>1000029434</v>
      </c>
      <c r="F2219" s="146" t="str">
        <f>"BAR SOAP: 2.75-3 oz Antibacterial, 100/case. Individually wrapped bars. 100 bars per case"</f>
        <v>BAR SOAP: 2.75-3 oz Antibacterial, 100/case. Individually wrapped bars. 100 bars per case</v>
      </c>
      <c r="G2219" s="147" t="str">
        <f>"CA"</f>
        <v>CA</v>
      </c>
      <c r="H2219" s="144">
        <v>30</v>
      </c>
      <c r="I2219" s="142" t="str">
        <f>"53131608"</f>
        <v>53131608</v>
      </c>
      <c r="J2219" s="158" t="s">
        <v>164</v>
      </c>
    </row>
    <row r="2220" spans="1:10" ht="38.25">
      <c r="A2220" s="141" t="s">
        <v>60</v>
      </c>
      <c r="B2220" s="142" t="s">
        <v>597</v>
      </c>
      <c r="C2220" s="142">
        <v>3699</v>
      </c>
      <c r="D2220" s="142">
        <v>34</v>
      </c>
      <c r="E2220" s="142" t="str">
        <f>"1000029440"</f>
        <v>1000029440</v>
      </c>
      <c r="F2220" s="146" t="str">
        <f>"SHAMPOO/BODYWASH:Baby 15-17oz DZ- Baby Hair &amp; Body Wash, gentle, tearless, 15-17 oz, sold by the dozen."</f>
        <v>SHAMPOO/BODYWASH:Baby 15-17oz DZ- Baby Hair &amp; Body Wash, gentle, tearless, 15-17 oz, sold by the dozen.</v>
      </c>
      <c r="G2220" s="147" t="str">
        <f>"DZ"</f>
        <v>DZ</v>
      </c>
      <c r="H2220" s="144">
        <v>19.95</v>
      </c>
      <c r="I2220" s="142" t="str">
        <f>"91101700"</f>
        <v>91101700</v>
      </c>
      <c r="J2220" s="158" t="s">
        <v>169</v>
      </c>
    </row>
    <row r="2221" spans="1:10" ht="25.5">
      <c r="A2221" s="141" t="s">
        <v>60</v>
      </c>
      <c r="B2221" s="142" t="s">
        <v>597</v>
      </c>
      <c r="C2221" s="142">
        <v>3699</v>
      </c>
      <c r="D2221" s="142">
        <v>35</v>
      </c>
      <c r="E2221" s="142" t="str">
        <f>"1000029441"</f>
        <v>1000029441</v>
      </c>
      <c r="F2221" s="146" t="str">
        <f>"SHAMPOO/BODY WASH:Gallon, sold by the each"</f>
        <v>SHAMPOO/BODY WASH:Gallon, sold by the each</v>
      </c>
      <c r="G2221" s="147" t="str">
        <f>"EA"</f>
        <v>EA</v>
      </c>
      <c r="H2221" s="144">
        <v>7.91</v>
      </c>
      <c r="I2221" s="142" t="str">
        <f>"91101700"</f>
        <v>91101700</v>
      </c>
      <c r="J2221" s="158" t="s">
        <v>169</v>
      </c>
    </row>
    <row r="2222" spans="1:10" ht="38.25">
      <c r="A2222" s="141" t="s">
        <v>60</v>
      </c>
      <c r="B2222" s="142" t="s">
        <v>597</v>
      </c>
      <c r="C2222" s="142">
        <v>3699</v>
      </c>
      <c r="D2222" s="142">
        <v>36</v>
      </c>
      <c r="E2222" s="142" t="str">
        <f>"1000029442"</f>
        <v>1000029442</v>
      </c>
      <c r="F2222" s="146" t="s">
        <v>901</v>
      </c>
      <c r="G2222" s="147" t="str">
        <f>"DZ"</f>
        <v>DZ</v>
      </c>
      <c r="H2222" s="144">
        <v>15</v>
      </c>
      <c r="I2222" s="142">
        <v>53131628</v>
      </c>
      <c r="J2222" s="158" t="s">
        <v>169</v>
      </c>
    </row>
    <row r="2223" spans="1:10" ht="38.25">
      <c r="A2223" s="141" t="s">
        <v>60</v>
      </c>
      <c r="B2223" s="142" t="s">
        <v>597</v>
      </c>
      <c r="C2223" s="142">
        <v>3699</v>
      </c>
      <c r="D2223" s="142">
        <v>39</v>
      </c>
      <c r="E2223" s="142" t="str">
        <f>"1000029444"</f>
        <v>1000029444</v>
      </c>
      <c r="F2223" s="146" t="str">
        <f>"RAZOR:Anti-shank, 100 CA. Anti-shank, thumbprint handle, safety shield. Sold by the case."</f>
        <v>RAZOR:Anti-shank, 100 CA. Anti-shank, thumbprint handle, safety shield. Sold by the case.</v>
      </c>
      <c r="G2223" s="147" t="str">
        <f>"CA"</f>
        <v>CA</v>
      </c>
      <c r="H2223" s="144">
        <v>26.25</v>
      </c>
      <c r="I2223" s="142" t="str">
        <f>"53131603"</f>
        <v>53131603</v>
      </c>
      <c r="J2223" s="158" t="s">
        <v>171</v>
      </c>
    </row>
    <row r="2224" spans="1:10" ht="38.25">
      <c r="A2224" s="141" t="s">
        <v>60</v>
      </c>
      <c r="B2224" s="142" t="s">
        <v>597</v>
      </c>
      <c r="C2224" s="142">
        <v>3699</v>
      </c>
      <c r="D2224" s="142">
        <v>41</v>
      </c>
      <c r="E2224" s="142" t="str">
        <f>"1000029445"</f>
        <v>1000029445</v>
      </c>
      <c r="F2224" s="146" t="str">
        <f>"SHAVE GEL: 4oz, DZ Concentrated Clear Plastic bottle ~Shave Gel concentrated , 4 oz, clear plastic bottle, sold by the dozen."</f>
        <v>SHAVE GEL: 4oz, DZ Concentrated Clear Plastic bottle ~Shave Gel concentrated , 4 oz, clear plastic bottle, sold by the dozen.</v>
      </c>
      <c r="G2224" s="147" t="str">
        <f>"DZ"</f>
        <v>DZ</v>
      </c>
      <c r="H2224" s="144">
        <v>6.51</v>
      </c>
      <c r="I2224" s="142" t="str">
        <f>"53131613"</f>
        <v>53131613</v>
      </c>
      <c r="J2224" s="158" t="s">
        <v>172</v>
      </c>
    </row>
    <row r="2225" spans="1:10" ht="38.25">
      <c r="A2225" s="141" t="s">
        <v>60</v>
      </c>
      <c r="B2225" s="142" t="s">
        <v>597</v>
      </c>
      <c r="C2225" s="142">
        <v>3699</v>
      </c>
      <c r="D2225" s="142">
        <v>42</v>
      </c>
      <c r="E2225" s="142" t="str">
        <f>"1000029446"</f>
        <v>1000029446</v>
      </c>
      <c r="F2225" s="146" t="str">
        <f>"AFTER SHAVE: 2oz, 100/CA, Alcohol Free After Shave, 2 oz bottle in clear plastic bottles, 100 per case."</f>
        <v>AFTER SHAVE: 2oz, 100/CA, Alcohol Free After Shave, 2 oz bottle in clear plastic bottles, 100 per case.</v>
      </c>
      <c r="G2225" s="147" t="str">
        <f>"CA"</f>
        <v>CA</v>
      </c>
      <c r="H2225" s="144">
        <v>50</v>
      </c>
      <c r="I2225" s="142" t="str">
        <f>"53131613"</f>
        <v>53131613</v>
      </c>
      <c r="J2225" s="158" t="s">
        <v>166</v>
      </c>
    </row>
    <row r="2226" spans="1:10" ht="25.5">
      <c r="A2226" s="141" t="s">
        <v>60</v>
      </c>
      <c r="B2226" s="142" t="s">
        <v>597</v>
      </c>
      <c r="C2226" s="142">
        <v>3699</v>
      </c>
      <c r="D2226" s="142">
        <v>5</v>
      </c>
      <c r="E2226" s="142" t="str">
        <f>"1000029447"</f>
        <v>1000029447</v>
      </c>
      <c r="F2226" s="146" t="str">
        <f>"BAR SOAP: 4.25-4.5 oz, DZ. Individually wrapped bar soap, sold by the dozen."</f>
        <v>BAR SOAP: 4.25-4.5 oz, DZ. Individually wrapped bar soap, sold by the dozen.</v>
      </c>
      <c r="G2226" s="147" t="str">
        <f t="shared" ref="G2226:G2237" si="147">"DZ"</f>
        <v>DZ</v>
      </c>
      <c r="H2226" s="144">
        <v>6.89</v>
      </c>
      <c r="I2226" s="142" t="str">
        <f>"53131608"</f>
        <v>53131608</v>
      </c>
      <c r="J2226" s="158" t="s">
        <v>164</v>
      </c>
    </row>
    <row r="2227" spans="1:10" ht="38.25">
      <c r="A2227" s="141" t="s">
        <v>60</v>
      </c>
      <c r="B2227" s="142" t="s">
        <v>597</v>
      </c>
      <c r="C2227" s="142">
        <v>3699</v>
      </c>
      <c r="D2227" s="142">
        <v>7</v>
      </c>
      <c r="E2227" s="142" t="str">
        <f>"1000029448"</f>
        <v>1000029448</v>
      </c>
      <c r="F2227" s="146" t="str">
        <f>"BODY WASH: Men's 12-14 oz, DZ - Men's Body Wash, 12-14 oz bottle, sold by the dozen."</f>
        <v>BODY WASH: Men's 12-14 oz, DZ - Men's Body Wash, 12-14 oz bottle, sold by the dozen.</v>
      </c>
      <c r="G2227" s="147" t="str">
        <f t="shared" si="147"/>
        <v>DZ</v>
      </c>
      <c r="H2227" s="144">
        <v>13.05</v>
      </c>
      <c r="I2227" s="142" t="str">
        <f>"53131608"</f>
        <v>53131608</v>
      </c>
      <c r="J2227" s="158" t="s">
        <v>164</v>
      </c>
    </row>
    <row r="2228" spans="1:10" ht="38.25">
      <c r="A2228" s="141" t="s">
        <v>60</v>
      </c>
      <c r="B2228" s="142" t="s">
        <v>597</v>
      </c>
      <c r="C2228" s="142">
        <v>3699</v>
      </c>
      <c r="D2228" s="142">
        <v>9</v>
      </c>
      <c r="E2228" s="142" t="str">
        <f>"1000029449"</f>
        <v>1000029449</v>
      </c>
      <c r="F2228" s="146" t="str">
        <f>"LOTION: Cocoa Butter, 8-10 oz. Leading name brand cocoa butter in 8-10 oz bottle. Sold by the dozen."</f>
        <v>LOTION: Cocoa Butter, 8-10 oz. Leading name brand cocoa butter in 8-10 oz bottle. Sold by the dozen.</v>
      </c>
      <c r="G2228" s="147" t="str">
        <f t="shared" si="147"/>
        <v>DZ</v>
      </c>
      <c r="H2228" s="144">
        <v>36.6</v>
      </c>
      <c r="I2228" s="142" t="str">
        <f>"53131607"</f>
        <v>53131607</v>
      </c>
      <c r="J2228" s="148" t="s">
        <v>165</v>
      </c>
    </row>
    <row r="2229" spans="1:10" ht="38.25">
      <c r="A2229" s="141" t="s">
        <v>60</v>
      </c>
      <c r="B2229" s="142" t="s">
        <v>597</v>
      </c>
      <c r="C2229" s="142">
        <v>3699</v>
      </c>
      <c r="D2229" s="142">
        <v>11</v>
      </c>
      <c r="E2229" s="142" t="str">
        <f>"1000029451"</f>
        <v>1000029451</v>
      </c>
      <c r="F2229" s="146" t="str">
        <f>"LOTION: Aloe &amp; Vit E 8 oz DZ - Aloe Vera and Vitamin E, hand and body lotion, 8 oz, clear container. Sold by the dozen."</f>
        <v>LOTION: Aloe &amp; Vit E 8 oz DZ - Aloe Vera and Vitamin E, hand and body lotion, 8 oz, clear container. Sold by the dozen.</v>
      </c>
      <c r="G2229" s="147" t="str">
        <f t="shared" si="147"/>
        <v>DZ</v>
      </c>
      <c r="H2229" s="144">
        <v>9.15</v>
      </c>
      <c r="I2229" s="142" t="str">
        <f>"53131607"</f>
        <v>53131607</v>
      </c>
      <c r="J2229" s="148" t="s">
        <v>165</v>
      </c>
    </row>
    <row r="2230" spans="1:10" ht="38.25">
      <c r="A2230" s="141" t="s">
        <v>60</v>
      </c>
      <c r="B2230" s="142" t="s">
        <v>597</v>
      </c>
      <c r="C2230" s="142">
        <v>3699</v>
      </c>
      <c r="D2230" s="142">
        <v>17</v>
      </c>
      <c r="E2230" s="142" t="str">
        <f>"1000029454"</f>
        <v>1000029454</v>
      </c>
      <c r="F2230" s="146" t="str">
        <f>"DEODORANT: Pump spray 4 oz, DZ - Pump spray, antiperspirant and deodorant, 4 oz, clear container. Sold by the dozen"</f>
        <v>DEODORANT: Pump spray 4 oz, DZ - Pump spray, antiperspirant and deodorant, 4 oz, clear container. Sold by the dozen</v>
      </c>
      <c r="G2230" s="147" t="str">
        <f t="shared" si="147"/>
        <v>DZ</v>
      </c>
      <c r="H2230" s="144">
        <v>16.2</v>
      </c>
      <c r="I2230" s="142" t="str">
        <f>"53131606"</f>
        <v>53131606</v>
      </c>
      <c r="J2230" s="158" t="s">
        <v>167</v>
      </c>
    </row>
    <row r="2231" spans="1:10" ht="38.25">
      <c r="A2231" s="141" t="s">
        <v>60</v>
      </c>
      <c r="B2231" s="142" t="s">
        <v>597</v>
      </c>
      <c r="C2231" s="142">
        <v>3699</v>
      </c>
      <c r="D2231" s="142">
        <v>19</v>
      </c>
      <c r="E2231" s="142" t="str">
        <f>"1000029455"</f>
        <v>1000029455</v>
      </c>
      <c r="F2231" s="146" t="str">
        <f>"DEODORANT:Stick/ Unscented, 0.5 oz, alcohol free, see through container. Sold by the dozen."</f>
        <v>DEODORANT:Stick/ Unscented, 0.5 oz, alcohol free, see through container. Sold by the dozen.</v>
      </c>
      <c r="G2231" s="147" t="str">
        <f t="shared" si="147"/>
        <v>DZ</v>
      </c>
      <c r="H2231" s="144">
        <v>3.75</v>
      </c>
      <c r="I2231" s="142" t="str">
        <f>"53131606"</f>
        <v>53131606</v>
      </c>
      <c r="J2231" s="158" t="s">
        <v>167</v>
      </c>
    </row>
    <row r="2232" spans="1:10" ht="25.5">
      <c r="A2232" s="141" t="s">
        <v>60</v>
      </c>
      <c r="B2232" s="142" t="s">
        <v>597</v>
      </c>
      <c r="C2232" s="142">
        <v>3699</v>
      </c>
      <c r="D2232" s="142">
        <v>57</v>
      </c>
      <c r="E2232" s="142" t="str">
        <f>"1000029459"</f>
        <v>1000029459</v>
      </c>
      <c r="F2232" s="146" t="str">
        <f>"TOOTHBRUSH: Children's, DZ POH brand toothbrush. Sold by the dozen."</f>
        <v>TOOTHBRUSH: Children's, DZ POH brand toothbrush. Sold by the dozen.</v>
      </c>
      <c r="G2232" s="147" t="str">
        <f t="shared" si="147"/>
        <v>DZ</v>
      </c>
      <c r="H2232" s="144">
        <v>6.98</v>
      </c>
      <c r="I2232" s="142" t="str">
        <f>"53131503"</f>
        <v>53131503</v>
      </c>
      <c r="J2232" s="148" t="s">
        <v>174</v>
      </c>
    </row>
    <row r="2233" spans="1:10" ht="25.5">
      <c r="A2233" s="141" t="s">
        <v>60</v>
      </c>
      <c r="B2233" s="142" t="s">
        <v>597</v>
      </c>
      <c r="C2233" s="142">
        <v>3699</v>
      </c>
      <c r="D2233" s="142">
        <v>58</v>
      </c>
      <c r="E2233" s="142" t="str">
        <f>"1000029460"</f>
        <v>1000029460</v>
      </c>
      <c r="F2233" s="146" t="str">
        <f>"TOOTHBRUSH: Adult,DZ,POH Brand toothbrush. Sold by the dozen."</f>
        <v>TOOTHBRUSH: Adult,DZ,POH Brand toothbrush. Sold by the dozen.</v>
      </c>
      <c r="G2233" s="147" t="str">
        <f t="shared" si="147"/>
        <v>DZ</v>
      </c>
      <c r="H2233" s="144">
        <v>6.98</v>
      </c>
      <c r="I2233" s="142" t="str">
        <f>"53131503"</f>
        <v>53131503</v>
      </c>
      <c r="J2233" s="148" t="s">
        <v>174</v>
      </c>
    </row>
    <row r="2234" spans="1:10" ht="51">
      <c r="A2234" s="141" t="s">
        <v>60</v>
      </c>
      <c r="B2234" s="142" t="s">
        <v>597</v>
      </c>
      <c r="C2234" s="142">
        <v>3699</v>
      </c>
      <c r="D2234" s="142">
        <v>60</v>
      </c>
      <c r="E2234" s="142" t="str">
        <f>"1000029461"</f>
        <v>1000029461</v>
      </c>
      <c r="F2234" s="146" t="str">
        <f>"TOOTHBRUSH:Safety toothbrsh,DZ - Safety toothbrush, 30 tuft, nylon. Short handle, not a thumbprint or fingerbrush. Sold by the dozen."</f>
        <v>TOOTHBRUSH:Safety toothbrsh,DZ - Safety toothbrush, 30 tuft, nylon. Short handle, not a thumbprint or fingerbrush. Sold by the dozen.</v>
      </c>
      <c r="G2234" s="147" t="str">
        <f t="shared" si="147"/>
        <v>DZ</v>
      </c>
      <c r="H2234" s="144">
        <v>0.6</v>
      </c>
      <c r="I2234" s="142" t="str">
        <f>"53131503"</f>
        <v>53131503</v>
      </c>
      <c r="J2234" s="148" t="s">
        <v>174</v>
      </c>
    </row>
    <row r="2235" spans="1:10" ht="51">
      <c r="A2235" s="141" t="s">
        <v>60</v>
      </c>
      <c r="B2235" s="142" t="s">
        <v>597</v>
      </c>
      <c r="C2235" s="142">
        <v>3699</v>
      </c>
      <c r="D2235" s="142">
        <v>62</v>
      </c>
      <c r="E2235" s="142" t="str">
        <f>"1000029462"</f>
        <v>1000029462</v>
      </c>
      <c r="F2235" s="146" t="str">
        <f>"TOOTHPASTE:Child,0.35oz,DZ FDA ADA approved flavored toothpaste or gel, must be ADA and FDA approved, sold by the dozen."</f>
        <v>TOOTHPASTE:Child,0.35oz,DZ FDA ADA approved flavored toothpaste or gel, must be ADA and FDA approved, sold by the dozen.</v>
      </c>
      <c r="G2235" s="147" t="str">
        <f t="shared" si="147"/>
        <v>DZ</v>
      </c>
      <c r="H2235" s="144">
        <v>5.25</v>
      </c>
      <c r="I2235" s="142" t="str">
        <f>"53131502"</f>
        <v>53131502</v>
      </c>
      <c r="J2235" s="148" t="s">
        <v>176</v>
      </c>
    </row>
    <row r="2236" spans="1:10" ht="38.25">
      <c r="A2236" s="141" t="s">
        <v>60</v>
      </c>
      <c r="B2236" s="142" t="s">
        <v>597</v>
      </c>
      <c r="C2236" s="142">
        <v>3699</v>
      </c>
      <c r="D2236" s="142">
        <v>10</v>
      </c>
      <c r="E2236" s="142" t="str">
        <f>"1000029991"</f>
        <v>1000029991</v>
      </c>
      <c r="F2236" s="146" t="str">
        <f>"LOTION: 20 oz. Advanced Lubrication Lotion-Sensitive Skin. Leading name brand. Sold by the dozen."</f>
        <v>LOTION: 20 oz. Advanced Lubrication Lotion-Sensitive Skin. Leading name brand. Sold by the dozen.</v>
      </c>
      <c r="G2236" s="147" t="str">
        <f t="shared" si="147"/>
        <v>DZ</v>
      </c>
      <c r="H2236" s="144">
        <v>14.79</v>
      </c>
      <c r="I2236" s="142">
        <v>53131607</v>
      </c>
      <c r="J2236" s="148" t="s">
        <v>165</v>
      </c>
    </row>
    <row r="2237" spans="1:10" ht="25.5">
      <c r="A2237" s="141" t="s">
        <v>60</v>
      </c>
      <c r="B2237" s="142" t="s">
        <v>597</v>
      </c>
      <c r="C2237" s="142">
        <v>3699</v>
      </c>
      <c r="D2237" s="142">
        <v>12</v>
      </c>
      <c r="E2237" s="142" t="str">
        <f>"1000029994"</f>
        <v>1000029994</v>
      </c>
      <c r="F2237" s="146" t="s">
        <v>888</v>
      </c>
      <c r="G2237" s="147" t="str">
        <f t="shared" si="147"/>
        <v>DZ</v>
      </c>
      <c r="H2237" s="144">
        <v>13.35</v>
      </c>
      <c r="I2237" s="142">
        <v>53131607</v>
      </c>
      <c r="J2237" s="158" t="s">
        <v>165</v>
      </c>
    </row>
    <row r="2238" spans="1:10" ht="25.5">
      <c r="A2238" s="9" t="s">
        <v>25</v>
      </c>
      <c r="B2238" s="2" t="s">
        <v>18</v>
      </c>
      <c r="C2238" s="2">
        <v>3523</v>
      </c>
      <c r="D2238" s="2">
        <v>1</v>
      </c>
      <c r="E2238" s="2" t="str">
        <f>"1000009750"</f>
        <v>1000009750</v>
      </c>
      <c r="F2238" s="4" t="s">
        <v>591</v>
      </c>
      <c r="G2238" s="74" t="str">
        <f>"SF"</f>
        <v>SF</v>
      </c>
      <c r="H2238" s="7">
        <v>0.01</v>
      </c>
      <c r="I2238" s="2" t="str">
        <f>"76111501"</f>
        <v>76111501</v>
      </c>
      <c r="J2238" s="2" t="s">
        <v>67</v>
      </c>
    </row>
    <row r="2239" spans="1:10" ht="25.5">
      <c r="A2239" s="9" t="s">
        <v>25</v>
      </c>
      <c r="B2239" s="2" t="s">
        <v>18</v>
      </c>
      <c r="C2239" s="2">
        <v>3523</v>
      </c>
      <c r="D2239" s="2">
        <v>2</v>
      </c>
      <c r="E2239" s="2" t="str">
        <f>"1000029713"</f>
        <v>1000029713</v>
      </c>
      <c r="F2239" s="4" t="str">
        <f>"LAUNDRY SRVC: State Use, Laundry and Linen Services"</f>
        <v>LAUNDRY SRVC: State Use, Laundry and Linen Services</v>
      </c>
      <c r="G2239" s="74" t="str">
        <f>"EA"</f>
        <v>EA</v>
      </c>
      <c r="H2239" s="7">
        <v>0.01</v>
      </c>
      <c r="I2239" s="2" t="str">
        <f>"91111502"</f>
        <v>91111502</v>
      </c>
      <c r="J2239" s="2" t="s">
        <v>126</v>
      </c>
    </row>
    <row r="2240" spans="1:10" ht="25.5">
      <c r="A2240" s="84"/>
      <c r="B2240" s="2" t="s">
        <v>18</v>
      </c>
      <c r="C2240" s="85"/>
      <c r="D2240" s="85"/>
      <c r="E2240" s="85" t="s">
        <v>610</v>
      </c>
      <c r="F2240" s="94" t="s">
        <v>284</v>
      </c>
      <c r="G2240" s="86"/>
      <c r="H2240" s="87"/>
      <c r="I2240" s="96">
        <v>72102905</v>
      </c>
      <c r="J2240" s="98" t="s">
        <v>645</v>
      </c>
    </row>
    <row r="2241" spans="1:10" ht="25.5">
      <c r="A2241" s="84"/>
      <c r="B2241" s="2" t="s">
        <v>18</v>
      </c>
      <c r="C2241" s="85"/>
      <c r="D2241" s="85"/>
      <c r="E2241" s="85" t="s">
        <v>610</v>
      </c>
      <c r="F2241" s="94" t="s">
        <v>285</v>
      </c>
      <c r="G2241" s="86"/>
      <c r="H2241" s="87"/>
      <c r="I2241" s="96">
        <v>72102905</v>
      </c>
      <c r="J2241" s="98" t="s">
        <v>645</v>
      </c>
    </row>
    <row r="2242" spans="1:10" ht="25.5">
      <c r="A2242" s="84"/>
      <c r="B2242" s="2" t="s">
        <v>18</v>
      </c>
      <c r="C2242" s="85"/>
      <c r="D2242" s="85"/>
      <c r="E2242" s="85" t="s">
        <v>610</v>
      </c>
      <c r="F2242" s="94" t="s">
        <v>246</v>
      </c>
      <c r="G2242" s="86"/>
      <c r="H2242" s="87"/>
      <c r="I2242" s="96">
        <v>73151600</v>
      </c>
      <c r="J2242" s="99" t="s">
        <v>246</v>
      </c>
    </row>
    <row r="2243" spans="1:10" ht="25.5">
      <c r="A2243" s="84"/>
      <c r="B2243" s="2" t="s">
        <v>18</v>
      </c>
      <c r="C2243" s="85"/>
      <c r="D2243" s="85"/>
      <c r="E2243" s="85" t="s">
        <v>610</v>
      </c>
      <c r="F2243" s="94" t="s">
        <v>250</v>
      </c>
      <c r="G2243" s="86"/>
      <c r="H2243" s="87"/>
      <c r="I2243" s="96">
        <v>76122300</v>
      </c>
      <c r="J2243" s="98" t="s">
        <v>652</v>
      </c>
    </row>
    <row r="2244" spans="1:10" ht="25.5">
      <c r="A2244" s="84"/>
      <c r="B2244" s="2" t="s">
        <v>18</v>
      </c>
      <c r="C2244" s="85"/>
      <c r="D2244" s="85"/>
      <c r="E2244" s="85" t="s">
        <v>610</v>
      </c>
      <c r="F2244" s="94" t="s">
        <v>243</v>
      </c>
      <c r="G2244" s="86"/>
      <c r="H2244" s="87"/>
      <c r="I2244" s="96">
        <v>80141800</v>
      </c>
      <c r="J2244" s="99" t="s">
        <v>243</v>
      </c>
    </row>
    <row r="2245" spans="1:10" ht="25.5">
      <c r="A2245" s="84"/>
      <c r="B2245" s="2" t="s">
        <v>18</v>
      </c>
      <c r="C2245" s="85"/>
      <c r="D2245" s="85"/>
      <c r="E2245" s="85" t="s">
        <v>610</v>
      </c>
      <c r="F2245" s="94" t="s">
        <v>247</v>
      </c>
      <c r="G2245" s="86"/>
      <c r="H2245" s="87"/>
      <c r="I2245" s="96">
        <v>80161508</v>
      </c>
      <c r="J2245" s="98" t="s">
        <v>655</v>
      </c>
    </row>
    <row r="2246" spans="1:10" ht="25.5">
      <c r="A2246" s="84"/>
      <c r="B2246" s="2" t="s">
        <v>18</v>
      </c>
      <c r="C2246" s="85"/>
      <c r="D2246" s="85"/>
      <c r="E2246" s="85" t="s">
        <v>610</v>
      </c>
      <c r="F2246" s="94" t="s">
        <v>237</v>
      </c>
      <c r="G2246" s="86"/>
      <c r="H2246" s="87"/>
      <c r="I2246" s="96">
        <v>82121701</v>
      </c>
      <c r="J2246" s="98" t="s">
        <v>659</v>
      </c>
    </row>
    <row r="2247" spans="1:10" ht="25.5">
      <c r="A2247" s="116" t="s">
        <v>25</v>
      </c>
      <c r="B2247" s="117" t="s">
        <v>63</v>
      </c>
      <c r="C2247" s="117">
        <v>3524</v>
      </c>
      <c r="D2247" s="124">
        <v>18</v>
      </c>
      <c r="E2247" s="124">
        <v>1000001596</v>
      </c>
      <c r="F2247" s="4" t="s">
        <v>859</v>
      </c>
      <c r="G2247" s="122" t="s">
        <v>853</v>
      </c>
      <c r="H2247" s="7">
        <v>105.3</v>
      </c>
      <c r="I2247" s="117" t="str">
        <f>"41114205"</f>
        <v>41114205</v>
      </c>
      <c r="J2247" s="123" t="s">
        <v>196</v>
      </c>
    </row>
    <row r="2248" spans="1:10" ht="25.5">
      <c r="A2248" s="116" t="s">
        <v>25</v>
      </c>
      <c r="B2248" s="117" t="s">
        <v>63</v>
      </c>
      <c r="C2248" s="117">
        <v>3524</v>
      </c>
      <c r="D2248" s="124">
        <v>19</v>
      </c>
      <c r="E2248" s="124">
        <v>1000024642</v>
      </c>
      <c r="F2248" s="121" t="s">
        <v>852</v>
      </c>
      <c r="G2248" s="122" t="s">
        <v>853</v>
      </c>
      <c r="H2248" s="118">
        <v>62.75</v>
      </c>
      <c r="I2248" s="117" t="str">
        <f>"41114205"</f>
        <v>41114205</v>
      </c>
      <c r="J2248" s="123" t="s">
        <v>196</v>
      </c>
    </row>
    <row r="2249" spans="1:10" ht="25.5">
      <c r="A2249" s="116" t="s">
        <v>25</v>
      </c>
      <c r="B2249" s="117" t="s">
        <v>63</v>
      </c>
      <c r="C2249" s="117">
        <v>3524</v>
      </c>
      <c r="D2249" s="124">
        <v>16</v>
      </c>
      <c r="E2249" s="124">
        <v>1000029526</v>
      </c>
      <c r="F2249" s="4" t="s">
        <v>857</v>
      </c>
      <c r="G2249" s="122" t="s">
        <v>853</v>
      </c>
      <c r="H2249" s="7">
        <v>105.3</v>
      </c>
      <c r="I2249" s="117" t="str">
        <f>"41114205"</f>
        <v>41114205</v>
      </c>
      <c r="J2249" s="10" t="s">
        <v>196</v>
      </c>
    </row>
    <row r="2250" spans="1:10" ht="25.5">
      <c r="A2250" s="116" t="s">
        <v>25</v>
      </c>
      <c r="B2250" s="117" t="s">
        <v>63</v>
      </c>
      <c r="C2250" s="117">
        <v>3524</v>
      </c>
      <c r="D2250" s="124">
        <v>17</v>
      </c>
      <c r="E2250" s="124">
        <v>1000029527</v>
      </c>
      <c r="F2250" s="4" t="s">
        <v>858</v>
      </c>
      <c r="G2250" s="122" t="s">
        <v>853</v>
      </c>
      <c r="H2250" s="7">
        <v>105.3</v>
      </c>
      <c r="I2250" s="117" t="str">
        <f>"41114205"</f>
        <v>41114205</v>
      </c>
      <c r="J2250" s="10" t="s">
        <v>196</v>
      </c>
    </row>
    <row r="2251" spans="1:10" ht="25.5">
      <c r="A2251" s="9" t="s">
        <v>25</v>
      </c>
      <c r="B2251" s="2" t="s">
        <v>63</v>
      </c>
      <c r="C2251" s="2">
        <v>3524</v>
      </c>
      <c r="D2251" s="2">
        <v>2</v>
      </c>
      <c r="E2251" s="2" t="str">
        <f>"1000000361"</f>
        <v>1000000361</v>
      </c>
      <c r="F2251" s="4" t="str">
        <f>"GLOVE:Jersey,Soft Cotton, Brown, Large W/ Straight Thumb"</f>
        <v>GLOVE:Jersey,Soft Cotton, Brown, Large W/ Straight Thumb</v>
      </c>
      <c r="G2251" s="74" t="str">
        <f>"DZ"</f>
        <v>DZ</v>
      </c>
      <c r="H2251" s="125">
        <v>11</v>
      </c>
      <c r="I2251" s="2" t="str">
        <f>"46181504"</f>
        <v>46181504</v>
      </c>
      <c r="J2251" s="10" t="s">
        <v>196</v>
      </c>
    </row>
    <row r="2252" spans="1:10" ht="25.5">
      <c r="A2252" s="9" t="s">
        <v>25</v>
      </c>
      <c r="B2252" s="2" t="s">
        <v>63</v>
      </c>
      <c r="C2252" s="2">
        <v>3524</v>
      </c>
      <c r="D2252" s="2">
        <v>3</v>
      </c>
      <c r="E2252" s="2" t="str">
        <f>"1000000363"</f>
        <v>1000000363</v>
      </c>
      <c r="F2252" s="4" t="s">
        <v>850</v>
      </c>
      <c r="G2252" s="74" t="str">
        <f>"DZ"</f>
        <v>DZ</v>
      </c>
      <c r="H2252" s="7">
        <v>62.75</v>
      </c>
      <c r="I2252" s="2" t="str">
        <f>"46181504"</f>
        <v>46181504</v>
      </c>
      <c r="J2252" s="10" t="s">
        <v>196</v>
      </c>
    </row>
    <row r="2253" spans="1:10" ht="25.5">
      <c r="A2253" s="9" t="s">
        <v>25</v>
      </c>
      <c r="B2253" s="2" t="s">
        <v>63</v>
      </c>
      <c r="C2253" s="2">
        <v>3524</v>
      </c>
      <c r="D2253" s="2">
        <v>4</v>
      </c>
      <c r="E2253" s="2" t="str">
        <f>"1000000796"</f>
        <v>1000000796</v>
      </c>
      <c r="F2253" s="4" t="s">
        <v>851</v>
      </c>
      <c r="G2253" s="74" t="str">
        <f>"DZ"</f>
        <v>DZ</v>
      </c>
      <c r="H2253" s="7">
        <v>62.75</v>
      </c>
      <c r="I2253" s="2" t="str">
        <f>"46181504"</f>
        <v>46181504</v>
      </c>
      <c r="J2253" s="10" t="s">
        <v>196</v>
      </c>
    </row>
    <row r="2254" spans="1:10" ht="25.5">
      <c r="A2254" s="9" t="s">
        <v>25</v>
      </c>
      <c r="B2254" s="2" t="s">
        <v>63</v>
      </c>
      <c r="C2254" s="2">
        <v>3524</v>
      </c>
      <c r="D2254" s="2">
        <v>5</v>
      </c>
      <c r="E2254" s="2" t="str">
        <f>"1000008946"</f>
        <v>1000008946</v>
      </c>
      <c r="F2254" s="4" t="s">
        <v>855</v>
      </c>
      <c r="G2254" s="74" t="str">
        <f>"DZ"</f>
        <v>DZ</v>
      </c>
      <c r="H2254" s="7">
        <v>30</v>
      </c>
      <c r="I2254" s="2" t="str">
        <f>"46181504"</f>
        <v>46181504</v>
      </c>
      <c r="J2254" s="2" t="s">
        <v>196</v>
      </c>
    </row>
    <row r="2255" spans="1:10" ht="25.5">
      <c r="A2255" s="9" t="s">
        <v>25</v>
      </c>
      <c r="B2255" s="2" t="s">
        <v>63</v>
      </c>
      <c r="C2255" s="2">
        <v>3524</v>
      </c>
      <c r="D2255" s="2">
        <v>6</v>
      </c>
      <c r="E2255" s="2" t="str">
        <f>"1000008947"</f>
        <v>1000008947</v>
      </c>
      <c r="F2255" s="4" t="s">
        <v>854</v>
      </c>
      <c r="G2255" s="74" t="str">
        <f>"DZ"</f>
        <v>DZ</v>
      </c>
      <c r="H2255" s="7">
        <v>30</v>
      </c>
      <c r="I2255" s="2" t="str">
        <f>"46181504"</f>
        <v>46181504</v>
      </c>
      <c r="J2255" s="2" t="s">
        <v>196</v>
      </c>
    </row>
    <row r="2256" spans="1:10">
      <c r="A2256" s="9" t="s">
        <v>25</v>
      </c>
      <c r="B2256" s="2" t="s">
        <v>63</v>
      </c>
      <c r="C2256" s="2">
        <v>3524</v>
      </c>
      <c r="D2256" s="2">
        <v>1</v>
      </c>
      <c r="E2256" s="2" t="str">
        <f>"1000009750"</f>
        <v>1000009750</v>
      </c>
      <c r="F2256" s="4" t="s">
        <v>591</v>
      </c>
      <c r="G2256" s="74" t="str">
        <f>"SF"</f>
        <v>SF</v>
      </c>
      <c r="H2256" s="7">
        <v>0.01</v>
      </c>
      <c r="I2256" s="2" t="str">
        <f>"76111501"</f>
        <v>76111501</v>
      </c>
      <c r="J2256" s="2" t="s">
        <v>67</v>
      </c>
    </row>
    <row r="2257" spans="1:10" ht="89.25">
      <c r="A2257" s="9" t="s">
        <v>25</v>
      </c>
      <c r="B2257" s="2" t="s">
        <v>63</v>
      </c>
      <c r="C2257" s="2">
        <v>3524</v>
      </c>
      <c r="D2257" s="2">
        <v>7</v>
      </c>
      <c r="E2257" s="2" t="str">
        <f>"1000022973"</f>
        <v>1000022973</v>
      </c>
      <c r="F2257" s="4" t="s">
        <v>860</v>
      </c>
      <c r="G2257" s="74" t="str">
        <f t="shared" ref="G2257:G2265" si="148">"DZ"</f>
        <v>DZ</v>
      </c>
      <c r="H2257" s="7">
        <v>38</v>
      </c>
      <c r="I2257" s="2" t="str">
        <f t="shared" ref="I2257:I2265" si="149">"46181504"</f>
        <v>46181504</v>
      </c>
      <c r="J2257" s="2" t="s">
        <v>196</v>
      </c>
    </row>
    <row r="2258" spans="1:10" ht="89.25">
      <c r="A2258" s="9" t="s">
        <v>25</v>
      </c>
      <c r="B2258" s="2" t="s">
        <v>63</v>
      </c>
      <c r="C2258" s="2">
        <v>3524</v>
      </c>
      <c r="D2258" s="2">
        <v>8</v>
      </c>
      <c r="E2258" s="2" t="str">
        <f>"1000022974"</f>
        <v>1000022974</v>
      </c>
      <c r="F2258" s="4" t="s">
        <v>861</v>
      </c>
      <c r="G2258" s="74" t="str">
        <f t="shared" si="148"/>
        <v>DZ</v>
      </c>
      <c r="H2258" s="7">
        <v>38</v>
      </c>
      <c r="I2258" s="2" t="str">
        <f t="shared" si="149"/>
        <v>46181504</v>
      </c>
      <c r="J2258" s="2" t="s">
        <v>196</v>
      </c>
    </row>
    <row r="2259" spans="1:10" ht="89.25">
      <c r="A2259" s="9" t="s">
        <v>25</v>
      </c>
      <c r="B2259" s="2" t="s">
        <v>63</v>
      </c>
      <c r="C2259" s="2">
        <v>3524</v>
      </c>
      <c r="D2259" s="2">
        <v>9</v>
      </c>
      <c r="E2259" s="2" t="str">
        <f>"1000022975"</f>
        <v>1000022975</v>
      </c>
      <c r="F2259" s="4" t="s">
        <v>862</v>
      </c>
      <c r="G2259" s="74" t="str">
        <f t="shared" si="148"/>
        <v>DZ</v>
      </c>
      <c r="H2259" s="7">
        <v>38</v>
      </c>
      <c r="I2259" s="2" t="str">
        <f t="shared" si="149"/>
        <v>46181504</v>
      </c>
      <c r="J2259" s="2" t="s">
        <v>196</v>
      </c>
    </row>
    <row r="2260" spans="1:10" ht="51">
      <c r="A2260" s="9" t="s">
        <v>25</v>
      </c>
      <c r="B2260" s="2" t="s">
        <v>63</v>
      </c>
      <c r="C2260" s="2">
        <v>3524</v>
      </c>
      <c r="D2260" s="2">
        <v>10</v>
      </c>
      <c r="E2260" s="2" t="str">
        <f>"1000022976"</f>
        <v>1000022976</v>
      </c>
      <c r="F2260" s="4" t="str">
        <f>"GLOVE: Powertex Pigskin, Medium. Grain pig skin, premium grade, full leather forefinger and fingertips, wing thumb, elastic back, velcro wrist strap."</f>
        <v>GLOVE: Powertex Pigskin, Medium. Grain pig skin, premium grade, full leather forefinger and fingertips, wing thumb, elastic back, velcro wrist strap.</v>
      </c>
      <c r="G2260" s="74" t="str">
        <f t="shared" si="148"/>
        <v>DZ</v>
      </c>
      <c r="H2260" s="7">
        <v>108.24</v>
      </c>
      <c r="I2260" s="2" t="str">
        <f t="shared" si="149"/>
        <v>46181504</v>
      </c>
      <c r="J2260" s="2" t="s">
        <v>196</v>
      </c>
    </row>
    <row r="2261" spans="1:10" ht="51">
      <c r="A2261" s="9" t="s">
        <v>25</v>
      </c>
      <c r="B2261" s="2" t="s">
        <v>63</v>
      </c>
      <c r="C2261" s="2">
        <v>3524</v>
      </c>
      <c r="D2261" s="2">
        <v>11</v>
      </c>
      <c r="E2261" s="2" t="str">
        <f>"1000022977"</f>
        <v>1000022977</v>
      </c>
      <c r="F2261" s="4" t="str">
        <f>"GLOVE: Powertex Pigskin, Large. Grain pig skin, premium grade, full leather forefinger and fingertips, wing thumb, elastic back, velcro wrist strap."</f>
        <v>GLOVE: Powertex Pigskin, Large. Grain pig skin, premium grade, full leather forefinger and fingertips, wing thumb, elastic back, velcro wrist strap.</v>
      </c>
      <c r="G2261" s="74" t="str">
        <f t="shared" si="148"/>
        <v>DZ</v>
      </c>
      <c r="H2261" s="7">
        <v>108.24</v>
      </c>
      <c r="I2261" s="2" t="str">
        <f t="shared" si="149"/>
        <v>46181504</v>
      </c>
      <c r="J2261" s="2" t="s">
        <v>196</v>
      </c>
    </row>
    <row r="2262" spans="1:10" ht="51">
      <c r="A2262" s="9" t="s">
        <v>25</v>
      </c>
      <c r="B2262" s="2" t="s">
        <v>63</v>
      </c>
      <c r="C2262" s="2">
        <v>3524</v>
      </c>
      <c r="D2262" s="2">
        <v>12</v>
      </c>
      <c r="E2262" s="2" t="str">
        <f>"1000022978"</f>
        <v>1000022978</v>
      </c>
      <c r="F2262" s="4" t="str">
        <f>"GLOVE: Powertex Pigskin, X-Large. Grain pig skin, premium grade, full leather forefinger and fingertips, wing thumb, elastic back, velcro wrist strap."</f>
        <v>GLOVE: Powertex Pigskin, X-Large. Grain pig skin, premium grade, full leather forefinger and fingertips, wing thumb, elastic back, velcro wrist strap.</v>
      </c>
      <c r="G2262" s="74" t="str">
        <f t="shared" si="148"/>
        <v>DZ</v>
      </c>
      <c r="H2262" s="7">
        <v>108.24</v>
      </c>
      <c r="I2262" s="2" t="str">
        <f t="shared" si="149"/>
        <v>46181504</v>
      </c>
      <c r="J2262" s="2" t="s">
        <v>196</v>
      </c>
    </row>
    <row r="2263" spans="1:10" ht="38.25">
      <c r="A2263" s="9" t="s">
        <v>25</v>
      </c>
      <c r="B2263" s="2" t="s">
        <v>63</v>
      </c>
      <c r="C2263" s="2">
        <v>3524</v>
      </c>
      <c r="D2263" s="2">
        <v>13</v>
      </c>
      <c r="E2263" s="2" t="str">
        <f>"1000024643"</f>
        <v>1000024643</v>
      </c>
      <c r="F2263" s="4" t="str">
        <f>"GLOVE:Power Grip, rubber Small- Blue textured rubber palm, 10 gauge grey poly/cotton knit liner. Size Small"</f>
        <v>GLOVE:Power Grip, rubber Small- Blue textured rubber palm, 10 gauge grey poly/cotton knit liner. Size Small</v>
      </c>
      <c r="G2263" s="74" t="str">
        <f t="shared" si="148"/>
        <v>DZ</v>
      </c>
      <c r="H2263" s="7">
        <v>30</v>
      </c>
      <c r="I2263" s="2" t="str">
        <f t="shared" si="149"/>
        <v>46181504</v>
      </c>
      <c r="J2263" s="2" t="s">
        <v>196</v>
      </c>
    </row>
    <row r="2264" spans="1:10" ht="38.25">
      <c r="A2264" s="9" t="s">
        <v>25</v>
      </c>
      <c r="B2264" s="2" t="s">
        <v>63</v>
      </c>
      <c r="C2264" s="2">
        <v>3524</v>
      </c>
      <c r="D2264" s="2">
        <v>14</v>
      </c>
      <c r="E2264" s="2" t="str">
        <f>"1000024644"</f>
        <v>1000024644</v>
      </c>
      <c r="F2264" s="4" t="str">
        <f>"GLOVE:Power Grip, rubber Med- Blue textured rubber palm, 10 gauge grey poly/cotton knit liner. Size Medium"</f>
        <v>GLOVE:Power Grip, rubber Med- Blue textured rubber palm, 10 gauge grey poly/cotton knit liner. Size Medium</v>
      </c>
      <c r="G2264" s="74" t="str">
        <f t="shared" si="148"/>
        <v>DZ</v>
      </c>
      <c r="H2264" s="7">
        <v>30</v>
      </c>
      <c r="I2264" s="2" t="str">
        <f t="shared" si="149"/>
        <v>46181504</v>
      </c>
      <c r="J2264" s="2" t="s">
        <v>196</v>
      </c>
    </row>
    <row r="2265" spans="1:10" ht="25.5">
      <c r="A2265" s="9" t="s">
        <v>25</v>
      </c>
      <c r="B2265" s="2" t="s">
        <v>63</v>
      </c>
      <c r="C2265" s="2">
        <v>3524</v>
      </c>
      <c r="D2265" s="2">
        <v>15</v>
      </c>
      <c r="E2265" s="2" t="str">
        <f>"1000024647"</f>
        <v>1000024647</v>
      </c>
      <c r="F2265" s="4" t="s">
        <v>856</v>
      </c>
      <c r="G2265" s="74" t="str">
        <f t="shared" si="148"/>
        <v>DZ</v>
      </c>
      <c r="H2265" s="7">
        <v>105.3</v>
      </c>
      <c r="I2265" s="2" t="str">
        <f t="shared" si="149"/>
        <v>46181504</v>
      </c>
      <c r="J2265" s="2" t="s">
        <v>196</v>
      </c>
    </row>
    <row r="2266" spans="1:10" ht="25.5">
      <c r="A2266" s="9" t="s">
        <v>27</v>
      </c>
      <c r="B2266" s="2" t="s">
        <v>63</v>
      </c>
      <c r="C2266" s="2">
        <v>3202</v>
      </c>
      <c r="D2266" s="2">
        <v>4</v>
      </c>
      <c r="E2266" s="2" t="str">
        <f>"1000002113"</f>
        <v>1000002113</v>
      </c>
      <c r="F2266" s="4" t="str">
        <f>"PEN REFILL:Refills for above chained desk set pen Blue ink"</f>
        <v>PEN REFILL:Refills for above chained desk set pen Blue ink</v>
      </c>
      <c r="G2266" s="74" t="str">
        <f>"EA"</f>
        <v>EA</v>
      </c>
      <c r="H2266" s="7">
        <v>0.75</v>
      </c>
      <c r="I2266" s="2" t="str">
        <f>"44111509"</f>
        <v>44111509</v>
      </c>
      <c r="J2266" s="2" t="s">
        <v>185</v>
      </c>
    </row>
    <row r="2267" spans="1:10" ht="25.5">
      <c r="A2267" s="9" t="s">
        <v>27</v>
      </c>
      <c r="B2267" s="2" t="s">
        <v>63</v>
      </c>
      <c r="C2267" s="2">
        <v>3202</v>
      </c>
      <c r="D2267" s="2">
        <v>3</v>
      </c>
      <c r="E2267" s="2" t="str">
        <f>"1000002114"</f>
        <v>1000002114</v>
      </c>
      <c r="F2267" s="4" t="str">
        <f>"PEN REFILL:Refills for above chained desk set pen Black ink"</f>
        <v>PEN REFILL:Refills for above chained desk set pen Black ink</v>
      </c>
      <c r="G2267" s="74" t="str">
        <f>"EA"</f>
        <v>EA</v>
      </c>
      <c r="H2267" s="7">
        <v>0.75</v>
      </c>
      <c r="I2267" s="2" t="str">
        <f>"44111509"</f>
        <v>44111509</v>
      </c>
      <c r="J2267" s="2" t="s">
        <v>185</v>
      </c>
    </row>
    <row r="2268" spans="1:10" ht="25.5">
      <c r="A2268" s="9" t="s">
        <v>27</v>
      </c>
      <c r="B2268" s="2" t="s">
        <v>63</v>
      </c>
      <c r="C2268" s="2">
        <v>3202</v>
      </c>
      <c r="D2268" s="2">
        <v>185</v>
      </c>
      <c r="E2268" s="2" t="str">
        <f>"1000002169"</f>
        <v>1000002169</v>
      </c>
      <c r="F2268" s="4" t="str">
        <f>"MARKER: Green, Sharpie® Permanent Marker, Fine Tip, Box of 12"</f>
        <v>MARKER: Green, Sharpie® Permanent Marker, Fine Tip, Box of 12</v>
      </c>
      <c r="G2268" s="74" t="str">
        <f>"BX"</f>
        <v>BX</v>
      </c>
      <c r="H2268" s="7">
        <v>8.76</v>
      </c>
      <c r="I2268" s="2" t="str">
        <f>"44121708"</f>
        <v>44121708</v>
      </c>
      <c r="J2268" s="2" t="s">
        <v>191</v>
      </c>
    </row>
    <row r="2269" spans="1:10" ht="38.25">
      <c r="A2269" s="9" t="s">
        <v>27</v>
      </c>
      <c r="B2269" s="2" t="s">
        <v>63</v>
      </c>
      <c r="C2269" s="2">
        <v>3202</v>
      </c>
      <c r="D2269" s="2">
        <v>82</v>
      </c>
      <c r="E2269" s="2" t="str">
        <f>"1000002281"</f>
        <v>1000002281</v>
      </c>
      <c r="F2269" s="4" t="str">
        <f>"MARKER:Fine tip rubber brl Blue~Pen, marking, fine tip marker, rubberized barrel Blue"</f>
        <v>MARKER:Fine tip rubber brl Blue~Pen, marking, fine tip marker, rubberized barrel Blue</v>
      </c>
      <c r="G2269" s="74" t="str">
        <f t="shared" ref="G2269:G2277" si="150">"DZ"</f>
        <v>DZ</v>
      </c>
      <c r="H2269" s="7">
        <v>11.3</v>
      </c>
      <c r="I2269" s="2" t="str">
        <f>"44121708"</f>
        <v>44121708</v>
      </c>
      <c r="J2269" s="2" t="s">
        <v>191</v>
      </c>
    </row>
    <row r="2270" spans="1:10" ht="38.25">
      <c r="A2270" s="9" t="s">
        <v>27</v>
      </c>
      <c r="B2270" s="2" t="s">
        <v>63</v>
      </c>
      <c r="C2270" s="2">
        <v>3202</v>
      </c>
      <c r="D2270" s="2">
        <v>83</v>
      </c>
      <c r="E2270" s="2" t="str">
        <f>"1000002306"</f>
        <v>1000002306</v>
      </c>
      <c r="F2270" s="4" t="str">
        <f>"MARKER:Fine tip rubber brl Red~Pen, marking, fine tip marker, rubberized barrel Red"</f>
        <v>MARKER:Fine tip rubber brl Red~Pen, marking, fine tip marker, rubberized barrel Red</v>
      </c>
      <c r="G2270" s="74" t="str">
        <f t="shared" si="150"/>
        <v>DZ</v>
      </c>
      <c r="H2270" s="7">
        <v>11.3</v>
      </c>
      <c r="I2270" s="2" t="str">
        <f>"44121708"</f>
        <v>44121708</v>
      </c>
      <c r="J2270" s="2" t="s">
        <v>191</v>
      </c>
    </row>
    <row r="2271" spans="1:10" ht="51">
      <c r="A2271" s="9" t="s">
        <v>27</v>
      </c>
      <c r="B2271" s="2" t="s">
        <v>63</v>
      </c>
      <c r="C2271" s="2">
        <v>3202</v>
      </c>
      <c r="D2271" s="2">
        <v>35</v>
      </c>
      <c r="E2271" s="2" t="str">
        <f>"1000002316"</f>
        <v>1000002316</v>
      </c>
      <c r="F2271" s="4" t="str">
        <f>"PEN:HexSTATE OF OK Med pt blue~Pen, ball point, hexagon barrel, stick pen, without eraser, Heat Stamped STATE OF OKLAHOMA Medium point, blue"</f>
        <v>PEN:HexSTATE OF OK Med pt blue~Pen, ball point, hexagon barrel, stick pen, without eraser, Heat Stamped STATE OF OKLAHOMA Medium point, blue</v>
      </c>
      <c r="G2271" s="74" t="str">
        <f t="shared" si="150"/>
        <v>DZ</v>
      </c>
      <c r="H2271" s="7">
        <v>4</v>
      </c>
      <c r="I2271" s="2" t="str">
        <f>"44121704"</f>
        <v>44121704</v>
      </c>
      <c r="J2271" s="2" t="s">
        <v>186</v>
      </c>
    </row>
    <row r="2272" spans="1:10" ht="51">
      <c r="A2272" s="9" t="s">
        <v>27</v>
      </c>
      <c r="B2272" s="2" t="s">
        <v>63</v>
      </c>
      <c r="C2272" s="2">
        <v>3202</v>
      </c>
      <c r="D2272" s="2">
        <v>88</v>
      </c>
      <c r="E2272" s="2" t="str">
        <f>"1000002391"</f>
        <v>1000002391</v>
      </c>
      <c r="F2272" s="4" t="str">
        <f>"MARKER:Ult-Fin Plas Brl/Blk~Markers, Fine Point Ultra Fine Tip Marker, Plastic Barrel Color: Black~Ultra Fine Tip Marker, Plastic Barrel, Color: Black"</f>
        <v>MARKER:Ult-Fin Plas Brl/Blk~Markers, Fine Point Ultra Fine Tip Marker, Plastic Barrel Color: Black~Ultra Fine Tip Marker, Plastic Barrel, Color: Black</v>
      </c>
      <c r="G2272" s="74" t="str">
        <f t="shared" si="150"/>
        <v>DZ</v>
      </c>
      <c r="H2272" s="7">
        <v>9.5</v>
      </c>
      <c r="I2272" s="2" t="str">
        <f>"44121708"</f>
        <v>44121708</v>
      </c>
      <c r="J2272" s="2" t="s">
        <v>191</v>
      </c>
    </row>
    <row r="2273" spans="1:10" ht="51">
      <c r="A2273" s="9" t="s">
        <v>27</v>
      </c>
      <c r="B2273" s="2" t="s">
        <v>63</v>
      </c>
      <c r="C2273" s="2">
        <v>3202</v>
      </c>
      <c r="D2273" s="2">
        <v>90</v>
      </c>
      <c r="E2273" s="2" t="str">
        <f>"1000002392"</f>
        <v>1000002392</v>
      </c>
      <c r="F2273" s="4" t="str">
        <f>"MARKER:Ult-Fin Plas Brl/Rd~Markers, Fine Point Ultra Fine Tip Marker, Plastic Barrel Color: Red~Ultra Fine Tip Marker, Plastic Barrel, Color: Red"</f>
        <v>MARKER:Ult-Fin Plas Brl/Rd~Markers, Fine Point Ultra Fine Tip Marker, Plastic Barrel Color: Red~Ultra Fine Tip Marker, Plastic Barrel, Color: Red</v>
      </c>
      <c r="G2273" s="74" t="str">
        <f t="shared" si="150"/>
        <v>DZ</v>
      </c>
      <c r="H2273" s="7">
        <v>9.5</v>
      </c>
      <c r="I2273" s="2" t="str">
        <f>"44121708"</f>
        <v>44121708</v>
      </c>
      <c r="J2273" s="2" t="s">
        <v>191</v>
      </c>
    </row>
    <row r="2274" spans="1:10" ht="51">
      <c r="A2274" s="9" t="s">
        <v>27</v>
      </c>
      <c r="B2274" s="2" t="s">
        <v>63</v>
      </c>
      <c r="C2274" s="2">
        <v>3202</v>
      </c>
      <c r="D2274" s="2">
        <v>89</v>
      </c>
      <c r="E2274" s="2" t="str">
        <f>"1000002416"</f>
        <v>1000002416</v>
      </c>
      <c r="F2274" s="4" t="str">
        <f>"MARKER:Ult-Fin Plas Brl/Bl~Markers, Fine Point Ultra Fine Tip Marker, Plastic Barrel Color: Blue~Ultra Fine Tip Marker, Plastic Barrel, Color: Blue"</f>
        <v>MARKER:Ult-Fin Plas Brl/Bl~Markers, Fine Point Ultra Fine Tip Marker, Plastic Barrel Color: Blue~Ultra Fine Tip Marker, Plastic Barrel, Color: Blue</v>
      </c>
      <c r="G2274" s="74" t="str">
        <f t="shared" si="150"/>
        <v>DZ</v>
      </c>
      <c r="H2274" s="7">
        <v>9.5</v>
      </c>
      <c r="I2274" s="2" t="str">
        <f>"44121708"</f>
        <v>44121708</v>
      </c>
      <c r="J2274" s="2" t="s">
        <v>191</v>
      </c>
    </row>
    <row r="2275" spans="1:10">
      <c r="A2275" s="9" t="s">
        <v>27</v>
      </c>
      <c r="B2275" s="2" t="s">
        <v>63</v>
      </c>
      <c r="C2275" s="2">
        <v>3202</v>
      </c>
      <c r="D2275" s="2">
        <v>78</v>
      </c>
      <c r="E2275" s="2" t="str">
        <f>"1000002427"</f>
        <v>1000002427</v>
      </c>
      <c r="F2275" s="4" t="str">
        <f>"MARKER:Broad tip perm Red Marker Pen"</f>
        <v>MARKER:Broad tip perm Red Marker Pen</v>
      </c>
      <c r="G2275" s="74" t="str">
        <f t="shared" si="150"/>
        <v>DZ</v>
      </c>
      <c r="H2275" s="7">
        <v>6.8</v>
      </c>
      <c r="I2275" s="2" t="str">
        <f>"44121708"</f>
        <v>44121708</v>
      </c>
      <c r="J2275" s="2" t="s">
        <v>191</v>
      </c>
    </row>
    <row r="2276" spans="1:10" ht="25.5">
      <c r="A2276" s="9" t="s">
        <v>27</v>
      </c>
      <c r="B2276" s="2" t="s">
        <v>63</v>
      </c>
      <c r="C2276" s="2">
        <v>3202</v>
      </c>
      <c r="D2276" s="2">
        <v>77</v>
      </c>
      <c r="E2276" s="2" t="str">
        <f>"1000002428"</f>
        <v>1000002428</v>
      </c>
      <c r="F2276" s="4" t="str">
        <f>"MARKER:Broad Felt Tip Green Marking Board Tip, Permanent Marker"</f>
        <v>MARKER:Broad Felt Tip Green Marking Board Tip, Permanent Marker</v>
      </c>
      <c r="G2276" s="74" t="str">
        <f t="shared" si="150"/>
        <v>DZ</v>
      </c>
      <c r="H2276" s="7">
        <v>6.8</v>
      </c>
      <c r="I2276" s="2" t="str">
        <f>"44121708"</f>
        <v>44121708</v>
      </c>
      <c r="J2276" s="2" t="s">
        <v>191</v>
      </c>
    </row>
    <row r="2277" spans="1:10" ht="76.5">
      <c r="A2277" s="9" t="s">
        <v>27</v>
      </c>
      <c r="B2277" s="2" t="s">
        <v>63</v>
      </c>
      <c r="C2277" s="2">
        <v>3202</v>
      </c>
      <c r="D2277" s="2">
        <v>26</v>
      </c>
      <c r="E2277" s="2" t="str">
        <f>"1000002440"</f>
        <v>1000002440</v>
      </c>
      <c r="F2277" s="4" t="str">
        <f>"PEN:No-Ret/Red/Ref/Fn~Alpha grip, ball point pen w/cushioned grip, is refillable, non-retractable, has pocket clip on cap. Cap &amp;barrel color indicates ink color. transparent body allows you to monitor ink level. Fine point, Red"</f>
        <v>PEN:No-Ret/Red/Ref/Fn~Alpha grip, ball point pen w/cushioned grip, is refillable, non-retractable, has pocket clip on cap. Cap &amp;barrel color indicates ink color. transparent body allows you to monitor ink level. Fine point, Red</v>
      </c>
      <c r="G2277" s="74" t="str">
        <f t="shared" si="150"/>
        <v>DZ</v>
      </c>
      <c r="H2277" s="7">
        <v>9.25</v>
      </c>
      <c r="I2277" s="2" t="str">
        <f>"44121704"</f>
        <v>44121704</v>
      </c>
      <c r="J2277" s="2" t="s">
        <v>186</v>
      </c>
    </row>
    <row r="2278" spans="1:10" ht="25.5">
      <c r="A2278" s="9" t="s">
        <v>27</v>
      </c>
      <c r="B2278" s="2" t="s">
        <v>63</v>
      </c>
      <c r="C2278" s="2">
        <v>3202</v>
      </c>
      <c r="D2278" s="2">
        <v>182</v>
      </c>
      <c r="E2278" s="2" t="str">
        <f>"1000002447"</f>
        <v>1000002447</v>
      </c>
      <c r="F2278" s="4" t="str">
        <f>"MARKER: Black, Sharpie® Permanent Marker, Fine Tip, Box of 12"</f>
        <v>MARKER: Black, Sharpie® Permanent Marker, Fine Tip, Box of 12</v>
      </c>
      <c r="G2278" s="74" t="str">
        <f>"BX"</f>
        <v>BX</v>
      </c>
      <c r="H2278" s="7">
        <v>8.76</v>
      </c>
      <c r="I2278" s="2" t="str">
        <f>"44121708"</f>
        <v>44121708</v>
      </c>
      <c r="J2278" s="2" t="s">
        <v>191</v>
      </c>
    </row>
    <row r="2279" spans="1:10" ht="25.5">
      <c r="A2279" s="9" t="s">
        <v>27</v>
      </c>
      <c r="B2279" s="2" t="s">
        <v>63</v>
      </c>
      <c r="C2279" s="2">
        <v>3202</v>
      </c>
      <c r="D2279" s="2">
        <v>184</v>
      </c>
      <c r="E2279" s="2" t="str">
        <f>"1000002448"</f>
        <v>1000002448</v>
      </c>
      <c r="F2279" s="4" t="str">
        <f>"MARKER: Blue, Sharpie® Permanent Marker, Fine Tip, Box of 12"</f>
        <v>MARKER: Blue, Sharpie® Permanent Marker, Fine Tip, Box of 12</v>
      </c>
      <c r="G2279" s="74" t="str">
        <f>"BX"</f>
        <v>BX</v>
      </c>
      <c r="H2279" s="7">
        <v>8.76</v>
      </c>
      <c r="I2279" s="2" t="str">
        <f>"44121708"</f>
        <v>44121708</v>
      </c>
      <c r="J2279" s="2" t="s">
        <v>191</v>
      </c>
    </row>
    <row r="2280" spans="1:10" ht="38.25">
      <c r="A2280" s="9" t="s">
        <v>27</v>
      </c>
      <c r="B2280" s="2" t="s">
        <v>63</v>
      </c>
      <c r="C2280" s="2">
        <v>3202</v>
      </c>
      <c r="D2280" s="2">
        <v>64</v>
      </c>
      <c r="E2280" s="2" t="str">
        <f>"1000002524"</f>
        <v>1000002524</v>
      </c>
      <c r="F2280" s="4" t="str">
        <f>"PEN:4/blk sec-pen/6~Flexible, transparent, vinyl tubing, 4 long, black ink, security pens (for correctional facilities). Box of 6"</f>
        <v>PEN:4/blk sec-pen/6~Flexible, transparent, vinyl tubing, 4 long, black ink, security pens (for correctional facilities). Box of 6</v>
      </c>
      <c r="G2280" s="74" t="str">
        <f>"BX"</f>
        <v>BX</v>
      </c>
      <c r="H2280" s="7">
        <v>2.7</v>
      </c>
      <c r="I2280" s="2" t="str">
        <f>"44121711"</f>
        <v>44121711</v>
      </c>
      <c r="J2280" s="2" t="s">
        <v>190</v>
      </c>
    </row>
    <row r="2281" spans="1:10" ht="38.25">
      <c r="A2281" s="9" t="s">
        <v>27</v>
      </c>
      <c r="B2281" s="2" t="s">
        <v>63</v>
      </c>
      <c r="C2281" s="2">
        <v>3202</v>
      </c>
      <c r="D2281" s="2">
        <v>141</v>
      </c>
      <c r="E2281" s="2" t="str">
        <f>"1000002529"</f>
        <v>1000002529</v>
      </c>
      <c r="F2281" s="4" t="str">
        <f>"PEN:7mm/Med-Rd~Liquid Ink Roller Ball Free Ink Roller .7MM Medium Ink Color: Red~Free Ink Roller .7MM Medium, Red"</f>
        <v>PEN:7mm/Med-Rd~Liquid Ink Roller Ball Free Ink Roller .7MM Medium Ink Color: Red~Free Ink Roller .7MM Medium, Red</v>
      </c>
      <c r="G2281" s="74" t="str">
        <f>"DZ"</f>
        <v>DZ</v>
      </c>
      <c r="H2281" s="7">
        <v>22.3</v>
      </c>
      <c r="I2281" s="2" t="str">
        <f>"44121703"</f>
        <v>44121703</v>
      </c>
      <c r="J2281" s="2" t="s">
        <v>188</v>
      </c>
    </row>
    <row r="2282" spans="1:10" ht="51">
      <c r="A2282" s="9" t="s">
        <v>27</v>
      </c>
      <c r="B2282" s="2" t="s">
        <v>63</v>
      </c>
      <c r="C2282" s="2">
        <v>3202</v>
      </c>
      <c r="D2282" s="2">
        <v>161</v>
      </c>
      <c r="E2282" s="2" t="str">
        <f>"1000002556"</f>
        <v>1000002556</v>
      </c>
      <c r="F2282" s="4" t="str">
        <f>"PEN:No-Ret/rub-Med/Bl~Pens, ball point, w/rubber grip, non-retractable. Pentel RSVP-ball point pen with rubber Comfort Zone grip. Medium point, Blue ink.."</f>
        <v>PEN:No-Ret/rub-Med/Bl~Pens, ball point, w/rubber grip, non-retractable. Pentel RSVP-ball point pen with rubber Comfort Zone grip. Medium point, Blue ink..</v>
      </c>
      <c r="G2282" s="74" t="str">
        <f>"DZ"</f>
        <v>DZ</v>
      </c>
      <c r="H2282" s="7">
        <v>7.85</v>
      </c>
      <c r="I2282" s="2" t="str">
        <f>"44121704"</f>
        <v>44121704</v>
      </c>
      <c r="J2282" s="2" t="s">
        <v>186</v>
      </c>
    </row>
    <row r="2283" spans="1:10" ht="76.5">
      <c r="A2283" s="9" t="s">
        <v>27</v>
      </c>
      <c r="B2283" s="2" t="s">
        <v>63</v>
      </c>
      <c r="C2283" s="2">
        <v>3202</v>
      </c>
      <c r="D2283" s="2">
        <v>27</v>
      </c>
      <c r="E2283" s="2" t="str">
        <f>"1000002581"</f>
        <v>1000002581</v>
      </c>
      <c r="F2283" s="4" t="str">
        <f>"PEN:No-Ret/Red/Ref/Med~Alpha grip, ball point pen w/cushioned grip, is refillable, non-retractable, has pocket clip on cap. Cap &amp;barrel color indicates ink color. transparent body allows you to monitor ink level. Medium point, Red"</f>
        <v>PEN:No-Ret/Red/Ref/Med~Alpha grip, ball point pen w/cushioned grip, is refillable, non-retractable, has pocket clip on cap. Cap &amp;barrel color indicates ink color. transparent body allows you to monitor ink level. Medium point, Red</v>
      </c>
      <c r="G2283" s="74" t="str">
        <f>"DZ"</f>
        <v>DZ</v>
      </c>
      <c r="H2283" s="7">
        <v>9.25</v>
      </c>
      <c r="I2283" s="2" t="str">
        <f>"44121704"</f>
        <v>44121704</v>
      </c>
      <c r="J2283" s="2" t="s">
        <v>186</v>
      </c>
    </row>
    <row r="2284" spans="1:10" ht="89.25">
      <c r="A2284" s="9" t="s">
        <v>27</v>
      </c>
      <c r="B2284" s="2" t="s">
        <v>63</v>
      </c>
      <c r="C2284" s="2">
        <v>3202</v>
      </c>
      <c r="D2284" s="2">
        <v>123</v>
      </c>
      <c r="E2284" s="2" t="str">
        <f>"1000002626"</f>
        <v>1000002626</v>
      </c>
      <c r="F2284" s="4" t="str">
        <f>"HIGHLIGHTER:Asst Colors/4pk~Multipurpose - works on carbonless, carbon &amp; thermal (fax) paper, computer printouts, and photocopies. Won't discolor, eradicate or smear. Free Ink Highlighter, Visable Ink Barrel, Chisel Tip, yellow, pink, green, blue. Avery"</f>
        <v>HIGHLIGHTER:Asst Colors/4pk~Multipurpose - works on carbonless, carbon &amp; thermal (fax) paper, computer printouts, and photocopies. Won't discolor, eradicate or smear. Free Ink Highlighter, Visable Ink Barrel, Chisel Tip, yellow, pink, green, blue. Avery</v>
      </c>
      <c r="G2284" s="74" t="str">
        <f>"ST"</f>
        <v>ST</v>
      </c>
      <c r="H2284" s="7">
        <v>7</v>
      </c>
      <c r="I2284" s="2" t="str">
        <f>"44121716"</f>
        <v>44121716</v>
      </c>
      <c r="J2284" s="2" t="s">
        <v>193</v>
      </c>
    </row>
    <row r="2285" spans="1:10" ht="38.25">
      <c r="A2285" s="9" t="s">
        <v>27</v>
      </c>
      <c r="B2285" s="2" t="s">
        <v>63</v>
      </c>
      <c r="C2285" s="2">
        <v>3202</v>
      </c>
      <c r="D2285" s="2">
        <v>115</v>
      </c>
      <c r="E2285" s="2" t="str">
        <f>"1000002664"</f>
        <v>1000002664</v>
      </c>
      <c r="F2285" s="4" t="str">
        <f>"HIGHLIGHTER:Pocket/Stick Fluor Pk~Highlighter Pocket Stick Fluorescent Pink"</f>
        <v>HIGHLIGHTER:Pocket/Stick Fluor Pk~Highlighter Pocket Stick Fluorescent Pink</v>
      </c>
      <c r="G2285" s="74" t="str">
        <f>"DZ"</f>
        <v>DZ</v>
      </c>
      <c r="H2285" s="7">
        <v>11.25</v>
      </c>
      <c r="I2285" s="2" t="str">
        <f>"44121716"</f>
        <v>44121716</v>
      </c>
      <c r="J2285" s="2" t="s">
        <v>193</v>
      </c>
    </row>
    <row r="2286" spans="1:10" ht="38.25">
      <c r="A2286" s="9" t="s">
        <v>27</v>
      </c>
      <c r="B2286" s="2" t="s">
        <v>63</v>
      </c>
      <c r="C2286" s="2">
        <v>3202</v>
      </c>
      <c r="D2286" s="2">
        <v>114</v>
      </c>
      <c r="E2286" s="2" t="str">
        <f>"1000002668"</f>
        <v>1000002668</v>
      </c>
      <c r="F2286" s="4" t="str">
        <f>"HIGHLIGHTER:Pocket/Stick Fluor Gr~Highlighter Pocket Stick Fluorescent Green"</f>
        <v>HIGHLIGHTER:Pocket/Stick Fluor Gr~Highlighter Pocket Stick Fluorescent Green</v>
      </c>
      <c r="G2286" s="74" t="str">
        <f>"DZ"</f>
        <v>DZ</v>
      </c>
      <c r="H2286" s="7">
        <v>11.25</v>
      </c>
      <c r="I2286" s="2" t="str">
        <f>"44121716"</f>
        <v>44121716</v>
      </c>
      <c r="J2286" s="2" t="s">
        <v>193</v>
      </c>
    </row>
    <row r="2287" spans="1:10" ht="38.25">
      <c r="A2287" s="9" t="s">
        <v>27</v>
      </c>
      <c r="B2287" s="2" t="s">
        <v>63</v>
      </c>
      <c r="C2287" s="2">
        <v>3202</v>
      </c>
      <c r="D2287" s="2">
        <v>117</v>
      </c>
      <c r="E2287" s="2" t="str">
        <f>"1000002669"</f>
        <v>1000002669</v>
      </c>
      <c r="F2287" s="4" t="str">
        <f>"HIGHLIGHTER:Pocket/Stick Fluor Bl~Highlighter Pocket Stick Fluorescent Blue"</f>
        <v>HIGHLIGHTER:Pocket/Stick Fluor Bl~Highlighter Pocket Stick Fluorescent Blue</v>
      </c>
      <c r="G2287" s="74" t="str">
        <f>"DZ"</f>
        <v>DZ</v>
      </c>
      <c r="H2287" s="7">
        <v>11.25</v>
      </c>
      <c r="I2287" s="2" t="str">
        <f>"44121716"</f>
        <v>44121716</v>
      </c>
      <c r="J2287" s="2" t="s">
        <v>193</v>
      </c>
    </row>
    <row r="2288" spans="1:10" ht="25.5">
      <c r="A2288" s="9" t="s">
        <v>27</v>
      </c>
      <c r="B2288" s="2" t="s">
        <v>63</v>
      </c>
      <c r="C2288" s="2">
        <v>3202</v>
      </c>
      <c r="D2288" s="2">
        <v>187</v>
      </c>
      <c r="E2288" s="2" t="str">
        <f>"1000002774"</f>
        <v>1000002774</v>
      </c>
      <c r="F2288" s="4" t="str">
        <f>"MARKER: Retractable, Black, Sharpie® Permanent Marker, Fine Tip, Box of 12"</f>
        <v>MARKER: Retractable, Black, Sharpie® Permanent Marker, Fine Tip, Box of 12</v>
      </c>
      <c r="G2288" s="74" t="str">
        <f>"BX"</f>
        <v>BX</v>
      </c>
      <c r="H2288" s="7">
        <v>21.12</v>
      </c>
      <c r="I2288" s="2" t="str">
        <f>"44121708"</f>
        <v>44121708</v>
      </c>
      <c r="J2288" s="2" t="s">
        <v>191</v>
      </c>
    </row>
    <row r="2289" spans="1:10" ht="38.25">
      <c r="A2289" s="9" t="s">
        <v>27</v>
      </c>
      <c r="B2289" s="2" t="s">
        <v>63</v>
      </c>
      <c r="C2289" s="2">
        <v>3202</v>
      </c>
      <c r="D2289" s="2">
        <v>9</v>
      </c>
      <c r="E2289" s="2" t="str">
        <f>"1000002782"</f>
        <v>1000002782</v>
      </c>
      <c r="F2289" s="4" t="str">
        <f>"PEN:3mm/blk/Ul-Fn/Ex/Rl/bal~Executive rolling ball Arrowhead .3MM ultra Fine Tip Black"</f>
        <v>PEN:3mm/blk/Ul-Fn/Ex/Rl/bal~Executive rolling ball Arrowhead .3MM ultra Fine Tip Black</v>
      </c>
      <c r="G2289" s="74" t="str">
        <f t="shared" ref="G2289:G2294" si="151">"DZ"</f>
        <v>DZ</v>
      </c>
      <c r="H2289" s="7">
        <v>10.7</v>
      </c>
      <c r="I2289" s="2" t="str">
        <f>"44121701"</f>
        <v>44121701</v>
      </c>
      <c r="J2289" s="2" t="s">
        <v>187</v>
      </c>
    </row>
    <row r="2290" spans="1:10" ht="51">
      <c r="A2290" s="9" t="s">
        <v>27</v>
      </c>
      <c r="B2290" s="2" t="s">
        <v>63</v>
      </c>
      <c r="C2290" s="2">
        <v>3202</v>
      </c>
      <c r="D2290" s="2">
        <v>163</v>
      </c>
      <c r="E2290" s="2" t="str">
        <f>"1000002855"</f>
        <v>1000002855</v>
      </c>
      <c r="F2290" s="4" t="str">
        <f>"PEN:No-Ret/rub-Med/Grn~Pens, ball point, w/rubber grip, non-retractable. Pentel RSVP-ball point pen with rubber Comfort Zone grip. Medium point, Green ink."</f>
        <v>PEN:No-Ret/rub-Med/Grn~Pens, ball point, w/rubber grip, non-retractable. Pentel RSVP-ball point pen with rubber Comfort Zone grip. Medium point, Green ink.</v>
      </c>
      <c r="G2290" s="74" t="str">
        <f t="shared" si="151"/>
        <v>DZ</v>
      </c>
      <c r="H2290" s="7">
        <v>7.85</v>
      </c>
      <c r="I2290" s="2" t="str">
        <f>"44121704"</f>
        <v>44121704</v>
      </c>
      <c r="J2290" s="2" t="s">
        <v>186</v>
      </c>
    </row>
    <row r="2291" spans="1:10" ht="76.5">
      <c r="A2291" s="9" t="s">
        <v>27</v>
      </c>
      <c r="B2291" s="2" t="s">
        <v>63</v>
      </c>
      <c r="C2291" s="2">
        <v>3202</v>
      </c>
      <c r="D2291" s="2">
        <v>29</v>
      </c>
      <c r="E2291" s="2" t="str">
        <f>"1000002991"</f>
        <v>1000002991</v>
      </c>
      <c r="F2291" s="4" t="str">
        <f>"PEN:No-Ret/Bl/Ref/Med~Alpha grip, ball point pen w/cushioned grip, is refillable, non-retractable, has pocket clip on cap. Cap &amp;barrel color indicates ink color. transparent body allows you to monitor ink level. Medium point, Blue"</f>
        <v>PEN:No-Ret/Bl/Ref/Med~Alpha grip, ball point pen w/cushioned grip, is refillable, non-retractable, has pocket clip on cap. Cap &amp;barrel color indicates ink color. transparent body allows you to monitor ink level. Medium point, Blue</v>
      </c>
      <c r="G2291" s="74" t="str">
        <f t="shared" si="151"/>
        <v>DZ</v>
      </c>
      <c r="H2291" s="7">
        <v>9.25</v>
      </c>
      <c r="I2291" s="2" t="str">
        <f>"44121704"</f>
        <v>44121704</v>
      </c>
      <c r="J2291" s="2" t="s">
        <v>186</v>
      </c>
    </row>
    <row r="2292" spans="1:10" ht="76.5">
      <c r="A2292" s="9" t="s">
        <v>27</v>
      </c>
      <c r="B2292" s="2" t="s">
        <v>63</v>
      </c>
      <c r="C2292" s="2">
        <v>3202</v>
      </c>
      <c r="D2292" s="2">
        <v>28</v>
      </c>
      <c r="E2292" s="2" t="str">
        <f>"1000002992"</f>
        <v>1000002992</v>
      </c>
      <c r="F2292" s="4" t="str">
        <f>"PEN:No-Ret/Bl/Ref/Fin~Alpha grip, ball point pen w/cushioned grip, is refillable, non-retractable, has pocket clip on cap. Cap &amp;barrel color indicates ink color. transparent body allows you to monitor ink level. Fine point, Blue"</f>
        <v>PEN:No-Ret/Bl/Ref/Fin~Alpha grip, ball point pen w/cushioned grip, is refillable, non-retractable, has pocket clip on cap. Cap &amp;barrel color indicates ink color. transparent body allows you to monitor ink level. Fine point, Blue</v>
      </c>
      <c r="G2292" s="74" t="str">
        <f t="shared" si="151"/>
        <v>DZ</v>
      </c>
      <c r="H2292" s="7">
        <v>9.25</v>
      </c>
      <c r="I2292" s="2" t="str">
        <f>"44121704"</f>
        <v>44121704</v>
      </c>
      <c r="J2292" s="2" t="s">
        <v>186</v>
      </c>
    </row>
    <row r="2293" spans="1:10" ht="38.25">
      <c r="A2293" s="9" t="s">
        <v>27</v>
      </c>
      <c r="B2293" s="2" t="s">
        <v>63</v>
      </c>
      <c r="C2293" s="2">
        <v>3202</v>
      </c>
      <c r="D2293" s="2">
        <v>12</v>
      </c>
      <c r="E2293" s="2" t="str">
        <f>"1000003058"</f>
        <v>1000003058</v>
      </c>
      <c r="F2293" s="4" t="str">
        <f>"PEN:2mm/Rd/Ex-Fn/ec/Rl/bal~Executive rolling ball - extra fine tip .2MM Needle tip Red"</f>
        <v>PEN:2mm/Rd/Ex-Fn/ec/Rl/bal~Executive rolling ball - extra fine tip .2MM Needle tip Red</v>
      </c>
      <c r="G2293" s="74" t="str">
        <f t="shared" si="151"/>
        <v>DZ</v>
      </c>
      <c r="H2293" s="7">
        <v>11.55</v>
      </c>
      <c r="I2293" s="2" t="str">
        <f>"44121701"</f>
        <v>44121701</v>
      </c>
      <c r="J2293" s="2" t="s">
        <v>187</v>
      </c>
    </row>
    <row r="2294" spans="1:10" ht="51">
      <c r="A2294" s="9" t="s">
        <v>27</v>
      </c>
      <c r="B2294" s="2" t="s">
        <v>63</v>
      </c>
      <c r="C2294" s="2">
        <v>3202</v>
      </c>
      <c r="D2294" s="2">
        <v>162</v>
      </c>
      <c r="E2294" s="2" t="str">
        <f>"1000003076"</f>
        <v>1000003076</v>
      </c>
      <c r="F2294" s="4" t="str">
        <f>"PEN:No-Ret/rub-Med/Red~Pens, ball point, w/rubber grip, non-retractable. Pentel RSVP-ball point pen with rubber Comfort Zone grip. Medium point, Red ink."</f>
        <v>PEN:No-Ret/rub-Med/Red~Pens, ball point, w/rubber grip, non-retractable. Pentel RSVP-ball point pen with rubber Comfort Zone grip. Medium point, Red ink.</v>
      </c>
      <c r="G2294" s="74" t="str">
        <f t="shared" si="151"/>
        <v>DZ</v>
      </c>
      <c r="H2294" s="7">
        <v>7.85</v>
      </c>
      <c r="I2294" s="2" t="str">
        <f>"44121704"</f>
        <v>44121704</v>
      </c>
      <c r="J2294" s="2" t="s">
        <v>186</v>
      </c>
    </row>
    <row r="2295" spans="1:10" ht="38.25">
      <c r="A2295" s="9" t="s">
        <v>27</v>
      </c>
      <c r="B2295" s="2" t="s">
        <v>63</v>
      </c>
      <c r="C2295" s="2">
        <v>3202</v>
      </c>
      <c r="D2295" s="2">
        <v>110</v>
      </c>
      <c r="E2295" s="2" t="str">
        <f>"1000003082"</f>
        <v>1000003082</v>
      </c>
      <c r="F2295" s="4" t="str">
        <f>"HIGHLIGHTER:Ref-pkg-6 Fluor Or~Highlighter, refillable - package of 6 Fluorescent Orange"</f>
        <v>HIGHLIGHTER:Ref-pkg-6 Fluor Or~Highlighter, refillable - package of 6 Fluorescent Orange</v>
      </c>
      <c r="G2295" s="74" t="str">
        <f>"PK"</f>
        <v>PK</v>
      </c>
      <c r="H2295" s="7">
        <v>8.5</v>
      </c>
      <c r="I2295" s="2" t="str">
        <f>"44121716"</f>
        <v>44121716</v>
      </c>
      <c r="J2295" s="2" t="s">
        <v>193</v>
      </c>
    </row>
    <row r="2296" spans="1:10" ht="51">
      <c r="A2296" s="9" t="s">
        <v>27</v>
      </c>
      <c r="B2296" s="2" t="s">
        <v>63</v>
      </c>
      <c r="C2296" s="2">
        <v>3202</v>
      </c>
      <c r="D2296" s="2">
        <v>30</v>
      </c>
      <c r="E2296" s="2" t="str">
        <f>"1000003107"</f>
        <v>1000003107</v>
      </c>
      <c r="F2296" s="4" t="str">
        <f>"PEN:State of Ok Med pt red~Pen, ball point, soft grip stick pen, without eraser. Imprinted State of Oklahoma Medium point, red"</f>
        <v>PEN:State of Ok Med pt red~Pen, ball point, soft grip stick pen, without eraser. Imprinted State of Oklahoma Medium point, red</v>
      </c>
      <c r="G2296" s="74" t="str">
        <f>"DZ"</f>
        <v>DZ</v>
      </c>
      <c r="H2296" s="7">
        <v>8.9499999999999993</v>
      </c>
      <c r="I2296" s="2" t="str">
        <f>"44121704"</f>
        <v>44121704</v>
      </c>
      <c r="J2296" s="2" t="s">
        <v>186</v>
      </c>
    </row>
    <row r="2297" spans="1:10" ht="51">
      <c r="A2297" s="9" t="s">
        <v>27</v>
      </c>
      <c r="B2297" s="2" t="s">
        <v>63</v>
      </c>
      <c r="C2297" s="2">
        <v>3202</v>
      </c>
      <c r="D2297" s="2">
        <v>160</v>
      </c>
      <c r="E2297" s="2" t="str">
        <f>"1000003110"</f>
        <v>1000003110</v>
      </c>
      <c r="F2297" s="4" t="str">
        <f>"PEN:No-Ret/rub-Med/Blk~Pens, ball point, w/rubber grip, non-retractable. Pentel RSVP-ball point pen with rubber Comfort Zone grip. Medium point, Black ink."</f>
        <v>PEN:No-Ret/rub-Med/Blk~Pens, ball point, w/rubber grip, non-retractable. Pentel RSVP-ball point pen with rubber Comfort Zone grip. Medium point, Black ink.</v>
      </c>
      <c r="G2297" s="74" t="str">
        <f>"DZ"</f>
        <v>DZ</v>
      </c>
      <c r="H2297" s="7">
        <v>7.85</v>
      </c>
      <c r="I2297" s="2" t="str">
        <f>"44121704"</f>
        <v>44121704</v>
      </c>
      <c r="J2297" s="2" t="s">
        <v>186</v>
      </c>
    </row>
    <row r="2298" spans="1:10">
      <c r="A2298" s="9" t="s">
        <v>27</v>
      </c>
      <c r="B2298" s="2" t="s">
        <v>63</v>
      </c>
      <c r="C2298" s="2">
        <v>3202</v>
      </c>
      <c r="D2298" s="2">
        <v>76</v>
      </c>
      <c r="E2298" s="2" t="str">
        <f>"1000003144"</f>
        <v>1000003144</v>
      </c>
      <c r="F2298" s="4" t="str">
        <f>"MARKER:Broad tip perm Blue Marker Pen"</f>
        <v>MARKER:Broad tip perm Blue Marker Pen</v>
      </c>
      <c r="G2298" s="74" t="str">
        <f>"DZ"</f>
        <v>DZ</v>
      </c>
      <c r="H2298" s="7">
        <v>6.8</v>
      </c>
      <c r="I2298" s="2" t="str">
        <f>"44121708"</f>
        <v>44121708</v>
      </c>
      <c r="J2298" s="2" t="s">
        <v>191</v>
      </c>
    </row>
    <row r="2299" spans="1:10">
      <c r="A2299" s="9" t="s">
        <v>27</v>
      </c>
      <c r="B2299" s="2" t="s">
        <v>63</v>
      </c>
      <c r="C2299" s="2">
        <v>3202</v>
      </c>
      <c r="D2299" s="2">
        <v>75</v>
      </c>
      <c r="E2299" s="2" t="str">
        <f>"1000003145"</f>
        <v>1000003145</v>
      </c>
      <c r="F2299" s="4" t="str">
        <f>"MARKER:Broad tip perm Black Marker Pen"</f>
        <v>MARKER:Broad tip perm Black Marker Pen</v>
      </c>
      <c r="G2299" s="74" t="str">
        <f>"DZ"</f>
        <v>DZ</v>
      </c>
      <c r="H2299" s="7">
        <v>6.8</v>
      </c>
      <c r="I2299" s="2" t="str">
        <f>"44121708"</f>
        <v>44121708</v>
      </c>
      <c r="J2299" s="2" t="s">
        <v>191</v>
      </c>
    </row>
    <row r="2300" spans="1:10" ht="51">
      <c r="A2300" s="9" t="s">
        <v>27</v>
      </c>
      <c r="B2300" s="2" t="s">
        <v>63</v>
      </c>
      <c r="C2300" s="2">
        <v>3202</v>
      </c>
      <c r="D2300" s="2">
        <v>97</v>
      </c>
      <c r="E2300" s="2" t="str">
        <f>"1000003192"</f>
        <v>1000003192</v>
      </c>
      <c r="F2300" s="4" t="str">
        <f>"MARKER:Flip Cha Fin 4/Bl~Markers, Bullet Point Flip Chart Markers, Bullet Tip. 4 Markers per set. Color: Blue~Flip Chart Markers, Bullet Tip. 4 markers per set."</f>
        <v>MARKER:Flip Cha Fin 4/Bl~Markers, Bullet Point Flip Chart Markers, Bullet Tip. 4 Markers per set. Color: Blue~Flip Chart Markers, Bullet Tip. 4 markers per set.</v>
      </c>
      <c r="G2300" s="74" t="str">
        <f>"ST"</f>
        <v>ST</v>
      </c>
      <c r="H2300" s="7">
        <v>4.3</v>
      </c>
      <c r="I2300" s="2" t="str">
        <f>"44121708"</f>
        <v>44121708</v>
      </c>
      <c r="J2300" s="2" t="s">
        <v>191</v>
      </c>
    </row>
    <row r="2301" spans="1:10" ht="51">
      <c r="A2301" s="9" t="s">
        <v>27</v>
      </c>
      <c r="B2301" s="2" t="s">
        <v>63</v>
      </c>
      <c r="C2301" s="2">
        <v>3202</v>
      </c>
      <c r="D2301" s="2">
        <v>99</v>
      </c>
      <c r="E2301" s="2" t="str">
        <f>"1000003193"</f>
        <v>1000003193</v>
      </c>
      <c r="F2301" s="4" t="str">
        <f>"MARKER:Flip Cha Fin 4/Red~Markers, Bullet Point Flip Chart Markers, Bullet Tip. 4 Markers per set. Color: Red~Flip Chart Markers, Bullet Tip. 4 markers per set."</f>
        <v>MARKER:Flip Cha Fin 4/Red~Markers, Bullet Point Flip Chart Markers, Bullet Tip. 4 Markers per set. Color: Red~Flip Chart Markers, Bullet Tip. 4 markers per set.</v>
      </c>
      <c r="G2301" s="74" t="str">
        <f>"ST"</f>
        <v>ST</v>
      </c>
      <c r="H2301" s="7">
        <v>4.3</v>
      </c>
      <c r="I2301" s="2" t="str">
        <f>"44121708"</f>
        <v>44121708</v>
      </c>
      <c r="J2301" s="2" t="s">
        <v>191</v>
      </c>
    </row>
    <row r="2302" spans="1:10" ht="51">
      <c r="A2302" s="9" t="s">
        <v>27</v>
      </c>
      <c r="B2302" s="2" t="s">
        <v>63</v>
      </c>
      <c r="C2302" s="2">
        <v>3202</v>
      </c>
      <c r="D2302" s="2">
        <v>31</v>
      </c>
      <c r="E2302" s="2" t="str">
        <f>"1000003251"</f>
        <v>1000003251</v>
      </c>
      <c r="F2302" s="4" t="str">
        <f>"PEN:HexSTATE OF OK Fine pt blk~Pen, ball point, hexagon barrel, stick pen, without eraser, Heat Stamped STATE OF OKLAHOMA Fine point, black"</f>
        <v>PEN:HexSTATE OF OK Fine pt blk~Pen, ball point, hexagon barrel, stick pen, without eraser, Heat Stamped STATE OF OKLAHOMA Fine point, black</v>
      </c>
      <c r="G2302" s="74" t="str">
        <f>"DZ"</f>
        <v>DZ</v>
      </c>
      <c r="H2302" s="7">
        <v>4</v>
      </c>
      <c r="I2302" s="2" t="str">
        <f>"44121704"</f>
        <v>44121704</v>
      </c>
      <c r="J2302" s="2" t="s">
        <v>186</v>
      </c>
    </row>
    <row r="2303" spans="1:10" ht="25.5">
      <c r="A2303" s="9" t="s">
        <v>27</v>
      </c>
      <c r="B2303" s="2" t="s">
        <v>63</v>
      </c>
      <c r="C2303" s="2">
        <v>3202</v>
      </c>
      <c r="D2303" s="2">
        <v>66</v>
      </c>
      <c r="E2303" s="2" t="str">
        <f>"1000003349"</f>
        <v>1000003349</v>
      </c>
      <c r="F2303" s="4" t="str">
        <f>"MARKER:Dry erase, Asst, Skillcraft, 4/pkg, Color: black, blue, red, green"</f>
        <v>MARKER:Dry erase, Asst, Skillcraft, 4/pkg, Color: black, blue, red, green</v>
      </c>
      <c r="G2303" s="74" t="str">
        <f>"PK"</f>
        <v>PK</v>
      </c>
      <c r="H2303" s="7">
        <v>5</v>
      </c>
      <c r="I2303" s="2" t="str">
        <f>"44121708"</f>
        <v>44121708</v>
      </c>
      <c r="J2303" s="2" t="s">
        <v>191</v>
      </c>
    </row>
    <row r="2304" spans="1:10" ht="76.5">
      <c r="A2304" s="9" t="s">
        <v>27</v>
      </c>
      <c r="B2304" s="2" t="s">
        <v>63</v>
      </c>
      <c r="C2304" s="2">
        <v>3202</v>
      </c>
      <c r="D2304" s="2">
        <v>94</v>
      </c>
      <c r="E2304" s="2" t="str">
        <f>"1000003350"</f>
        <v>1000003350</v>
      </c>
      <c r="F2304" s="4" t="str">
        <f>"MARKER:Dry er/4/Ast/Brn/Or/Yel/Pur~Pen, marking, dry erase marker, Skilcraft, pkg of 4. Pen, Marking, Dry Erase Marker Assorted Colors: Brown, Orange, Yellow, Purple~Pen, Marking, Dry Erase Marker, Assorted Colors:"</f>
        <v>MARKER:Dry er/4/Ast/Brn/Or/Yel/Pur~Pen, marking, dry erase marker, Skilcraft, pkg of 4. Pen, Marking, Dry Erase Marker Assorted Colors: Brown, Orange, Yellow, Purple~Pen, Marking, Dry Erase Marker, Assorted Colors:</v>
      </c>
      <c r="G2304" s="74" t="str">
        <f>"PK"</f>
        <v>PK</v>
      </c>
      <c r="H2304" s="7">
        <v>5</v>
      </c>
      <c r="I2304" s="2" t="str">
        <f>"44121708"</f>
        <v>44121708</v>
      </c>
      <c r="J2304" s="2" t="s">
        <v>191</v>
      </c>
    </row>
    <row r="2305" spans="1:10" ht="25.5">
      <c r="A2305" s="9" t="s">
        <v>27</v>
      </c>
      <c r="B2305" s="2" t="s">
        <v>63</v>
      </c>
      <c r="C2305" s="2">
        <v>3202</v>
      </c>
      <c r="D2305" s="2">
        <v>17</v>
      </c>
      <c r="E2305" s="2" t="str">
        <f>"1000003361"</f>
        <v>1000003361</v>
      </c>
      <c r="F2305" s="4" t="str">
        <f>"PEN:5mm/Fn-Rd~Liquid Ink Roller Ball Schneider Xtra 805 Fine Point, Red"</f>
        <v>PEN:5mm/Fn-Rd~Liquid Ink Roller Ball Schneider Xtra 805 Fine Point, Red</v>
      </c>
      <c r="G2305" s="74" t="str">
        <f>"DZ"</f>
        <v>DZ</v>
      </c>
      <c r="H2305" s="7">
        <v>18</v>
      </c>
      <c r="I2305" s="2" t="str">
        <f>"44121703"</f>
        <v>44121703</v>
      </c>
      <c r="J2305" s="2" t="s">
        <v>188</v>
      </c>
    </row>
    <row r="2306" spans="1:10" ht="38.25">
      <c r="A2306" s="9" t="s">
        <v>27</v>
      </c>
      <c r="B2306" s="2" t="s">
        <v>63</v>
      </c>
      <c r="C2306" s="2">
        <v>3202</v>
      </c>
      <c r="D2306" s="2">
        <v>140</v>
      </c>
      <c r="E2306" s="2" t="str">
        <f>"1000003382"</f>
        <v>1000003382</v>
      </c>
      <c r="F2306" s="4" t="str">
        <f>"PEN:7mm/Med-bl~Liquid Ink Roller Ball Free Ink Roller .7MM Medium Ink Color: Blue~Free Ink Roller .7MM Medium, Blue"</f>
        <v>PEN:7mm/Med-bl~Liquid Ink Roller Ball Free Ink Roller .7MM Medium Ink Color: Blue~Free Ink Roller .7MM Medium, Blue</v>
      </c>
      <c r="G2306" s="74" t="str">
        <f>"DZ"</f>
        <v>DZ</v>
      </c>
      <c r="H2306" s="7">
        <v>22.3</v>
      </c>
      <c r="I2306" s="2" t="str">
        <f>"44121703"</f>
        <v>44121703</v>
      </c>
      <c r="J2306" s="2" t="s">
        <v>188</v>
      </c>
    </row>
    <row r="2307" spans="1:10" ht="25.5">
      <c r="A2307" s="9" t="s">
        <v>27</v>
      </c>
      <c r="B2307" s="2" t="s">
        <v>63</v>
      </c>
      <c r="C2307" s="2">
        <v>3202</v>
      </c>
      <c r="D2307" s="2">
        <v>159</v>
      </c>
      <c r="E2307" s="2" t="str">
        <f>"1000003385"</f>
        <v>1000003385</v>
      </c>
      <c r="F2307" s="4" t="str">
        <f>"PEN:5mm/Fn-Grn~Liquid Ink Roller Ball Schneider Xtra 805 Fine Point, Green"</f>
        <v>PEN:5mm/Fn-Grn~Liquid Ink Roller Ball Schneider Xtra 805 Fine Point, Green</v>
      </c>
      <c r="G2307" s="74" t="str">
        <f>"DZ"</f>
        <v>DZ</v>
      </c>
      <c r="H2307" s="7">
        <v>18</v>
      </c>
      <c r="I2307" s="2" t="str">
        <f>"44121703"</f>
        <v>44121703</v>
      </c>
      <c r="J2307" s="2" t="s">
        <v>187</v>
      </c>
    </row>
    <row r="2308" spans="1:10" ht="38.25">
      <c r="A2308" s="9" t="s">
        <v>27</v>
      </c>
      <c r="B2308" s="2" t="s">
        <v>63</v>
      </c>
      <c r="C2308" s="2">
        <v>3202</v>
      </c>
      <c r="D2308" s="2">
        <v>139</v>
      </c>
      <c r="E2308" s="2" t="str">
        <f>"1000003409"</f>
        <v>1000003409</v>
      </c>
      <c r="F2308" s="4" t="str">
        <f>"PEN:7mm/Med-blk~Liquid Ink Roller Ball Free Ink Roller .7MM Medium Ink Color: Black~Free Ink Roller .7MM Medium Black"</f>
        <v>PEN:7mm/Med-blk~Liquid Ink Roller Ball Free Ink Roller .7MM Medium Ink Color: Black~Free Ink Roller .7MM Medium Black</v>
      </c>
      <c r="G2308" s="74" t="str">
        <f>"DZ"</f>
        <v>DZ</v>
      </c>
      <c r="H2308" s="7">
        <v>22.3</v>
      </c>
      <c r="I2308" s="2" t="str">
        <f>"44121703"</f>
        <v>44121703</v>
      </c>
      <c r="J2308" s="2" t="s">
        <v>188</v>
      </c>
    </row>
    <row r="2309" spans="1:10" ht="51">
      <c r="A2309" s="9" t="s">
        <v>27</v>
      </c>
      <c r="B2309" s="2" t="s">
        <v>63</v>
      </c>
      <c r="C2309" s="2">
        <v>3202</v>
      </c>
      <c r="D2309" s="2">
        <v>107</v>
      </c>
      <c r="E2309" s="2" t="str">
        <f>"1000003441"</f>
        <v>1000003441</v>
      </c>
      <c r="F2309" s="4" t="str">
        <f>"HIGHLIGHTER:Broad tip Fluores orange~Pen, marking, highlighter broad tip marker Fluorescent orange~FLOURESCENT ORANGE"</f>
        <v>HIGHLIGHTER:Broad tip Fluores orange~Pen, marking, highlighter broad tip marker Fluorescent orange~FLOURESCENT ORANGE</v>
      </c>
      <c r="G2309" s="74" t="str">
        <f>"DZ"</f>
        <v>DZ</v>
      </c>
      <c r="H2309" s="7">
        <v>5.7</v>
      </c>
      <c r="I2309" s="2" t="str">
        <f>"44121716"</f>
        <v>44121716</v>
      </c>
      <c r="J2309" s="2" t="s">
        <v>193</v>
      </c>
    </row>
    <row r="2310" spans="1:10" ht="63.75">
      <c r="A2310" s="9" t="s">
        <v>27</v>
      </c>
      <c r="B2310" s="2" t="s">
        <v>63</v>
      </c>
      <c r="C2310" s="2">
        <v>3202</v>
      </c>
      <c r="D2310" s="2">
        <v>125</v>
      </c>
      <c r="E2310" s="2" t="str">
        <f>"1000003469"</f>
        <v>1000003469</v>
      </c>
      <c r="F2310" s="4" t="str">
        <f>"HIGHLIGHTER:Ret/fac-brl/4pk-5mm~Retractable Highlighter, retracts like a pen. The faceted barrel offers easy, solid gripping by different hand sizes. Chisel tip, yellow. Avery"</f>
        <v>HIGHLIGHTER:Ret/fac-brl/4pk-5mm~Retractable Highlighter, retracts like a pen. The faceted barrel offers easy, solid gripping by different hand sizes. Chisel tip, yellow. Avery</v>
      </c>
      <c r="G2310" s="74" t="str">
        <f>"PK"</f>
        <v>PK</v>
      </c>
      <c r="H2310" s="7">
        <v>5.25</v>
      </c>
      <c r="I2310" s="2" t="str">
        <f>"44121716"</f>
        <v>44121716</v>
      </c>
      <c r="J2310" s="2" t="s">
        <v>193</v>
      </c>
    </row>
    <row r="2311" spans="1:10" ht="89.25">
      <c r="A2311" s="9" t="s">
        <v>27</v>
      </c>
      <c r="B2311" s="2" t="s">
        <v>63</v>
      </c>
      <c r="C2311" s="2">
        <v>3202</v>
      </c>
      <c r="D2311" s="2">
        <v>124</v>
      </c>
      <c r="E2311" s="2" t="str">
        <f>"1000003470"</f>
        <v>1000003470</v>
      </c>
      <c r="F2311" s="4" t="str">
        <f>"ITEM CANCELLED FROM CONTRACT ON 2012/12/13 HIGHLIGHTER:Ret/fac- brl/Asst 4 pk-5mm~Retractable Highlighter, retracts like a pen. The faceted barrel offers easy, solid gripping by different hand sizes. Chisel tip, yellow, pink, orange, purple. Avery"</f>
        <v>ITEM CANCELLED FROM CONTRACT ON 2012/12/13 HIGHLIGHTER:Ret/fac- brl/Asst 4 pk-5mm~Retractable Highlighter, retracts like a pen. The faceted barrel offers easy, solid gripping by different hand sizes. Chisel tip, yellow, pink, orange, purple. Avery</v>
      </c>
      <c r="G2311" s="74" t="str">
        <f>"PK"</f>
        <v>PK</v>
      </c>
      <c r="H2311" s="7">
        <v>5.25</v>
      </c>
      <c r="I2311" s="2" t="str">
        <f>"44121716"</f>
        <v>44121716</v>
      </c>
      <c r="J2311" s="2" t="s">
        <v>193</v>
      </c>
    </row>
    <row r="2312" spans="1:10" ht="25.5">
      <c r="A2312" s="9" t="s">
        <v>27</v>
      </c>
      <c r="B2312" s="2" t="s">
        <v>63</v>
      </c>
      <c r="C2312" s="2">
        <v>3202</v>
      </c>
      <c r="D2312" s="2">
        <v>15</v>
      </c>
      <c r="E2312" s="2" t="str">
        <f>"1000003593"</f>
        <v>1000003593</v>
      </c>
      <c r="F2312" s="4" t="str">
        <f>"PEN:5mm/Fn-blk~Liquid Ink Roller Ball Schneider Xtra 805 Fine Point, Black"</f>
        <v>PEN:5mm/Fn-blk~Liquid Ink Roller Ball Schneider Xtra 805 Fine Point, Black</v>
      </c>
      <c r="G2312" s="74" t="str">
        <f>"DZ"</f>
        <v>DZ</v>
      </c>
      <c r="H2312" s="7">
        <v>18</v>
      </c>
      <c r="I2312" s="2" t="str">
        <f>"44121703"</f>
        <v>44121703</v>
      </c>
      <c r="J2312" s="2" t="s">
        <v>188</v>
      </c>
    </row>
    <row r="2313" spans="1:10" ht="25.5">
      <c r="A2313" s="9" t="s">
        <v>27</v>
      </c>
      <c r="B2313" s="2" t="s">
        <v>63</v>
      </c>
      <c r="C2313" s="2">
        <v>3202</v>
      </c>
      <c r="D2313" s="2">
        <v>16</v>
      </c>
      <c r="E2313" s="2" t="str">
        <f>"1000003594"</f>
        <v>1000003594</v>
      </c>
      <c r="F2313" s="4" t="str">
        <f>"PEN:5mm/Fn-bl~Liquid Ink Roller Ball Schneider Xtra 805 Fine Point, Blue"</f>
        <v>PEN:5mm/Fn-bl~Liquid Ink Roller Ball Schneider Xtra 805 Fine Point, Blue</v>
      </c>
      <c r="G2313" s="74" t="str">
        <f>"DZ"</f>
        <v>DZ</v>
      </c>
      <c r="H2313" s="7">
        <v>18</v>
      </c>
      <c r="I2313" s="2" t="str">
        <f>"44121703"</f>
        <v>44121703</v>
      </c>
      <c r="J2313" s="2" t="s">
        <v>188</v>
      </c>
    </row>
    <row r="2314" spans="1:10" ht="63.75">
      <c r="A2314" s="9" t="s">
        <v>27</v>
      </c>
      <c r="B2314" s="2" t="s">
        <v>63</v>
      </c>
      <c r="C2314" s="2">
        <v>3202</v>
      </c>
      <c r="D2314" s="2">
        <v>166</v>
      </c>
      <c r="E2314" s="2" t="str">
        <f>"1000003660"</f>
        <v>1000003660</v>
      </c>
      <c r="F2314" s="4" t="str">
        <f>"PEN:No-Ret/rub-Med/Vio~7Pens, ball point, w/rubber grip, non-retractable. Pentel RSVP-ball point pen with rubber Comfort Zone grip. Medium point, Violet ink."</f>
        <v>PEN:No-Ret/rub-Med/Vio~7Pens, ball point, w/rubber grip, non-retractable. Pentel RSVP-ball point pen with rubber Comfort Zone grip. Medium point, Violet ink.</v>
      </c>
      <c r="G2314" s="74" t="str">
        <f>"DZ"</f>
        <v>DZ</v>
      </c>
      <c r="H2314" s="7">
        <v>7.85</v>
      </c>
      <c r="I2314" s="2" t="str">
        <f>"44121704"</f>
        <v>44121704</v>
      </c>
      <c r="J2314" s="2" t="s">
        <v>186</v>
      </c>
    </row>
    <row r="2315" spans="1:10" ht="38.25">
      <c r="A2315" s="9" t="s">
        <v>27</v>
      </c>
      <c r="B2315" s="2" t="s">
        <v>63</v>
      </c>
      <c r="C2315" s="2">
        <v>3202</v>
      </c>
      <c r="D2315" s="2">
        <v>181</v>
      </c>
      <c r="E2315" s="2" t="str">
        <f>"1000003663"</f>
        <v>1000003663</v>
      </c>
      <c r="F2315" s="4" t="str">
        <f>"WIPES:Board/Dry-Er/50ct~Dry Erase Marker Board Wipes, 50 count, Pop-Up Dispenser"</f>
        <v>WIPES:Board/Dry-Er/50ct~Dry Erase Marker Board Wipes, 50 count, Pop-Up Dispenser</v>
      </c>
      <c r="G2315" s="74" t="str">
        <f>"EA"</f>
        <v>EA</v>
      </c>
      <c r="H2315" s="7">
        <v>5.5</v>
      </c>
      <c r="I2315" s="2" t="str">
        <f>"44111905"</f>
        <v>44111905</v>
      </c>
      <c r="J2315" s="2" t="s">
        <v>194</v>
      </c>
    </row>
    <row r="2316" spans="1:10" ht="38.25">
      <c r="A2316" s="9" t="s">
        <v>27</v>
      </c>
      <c r="B2316" s="2" t="s">
        <v>63</v>
      </c>
      <c r="C2316" s="2">
        <v>3202</v>
      </c>
      <c r="D2316" s="2">
        <v>100</v>
      </c>
      <c r="E2316" s="2" t="str">
        <f>"1000003741"</f>
        <v>1000003741</v>
      </c>
      <c r="F2316" s="4" t="str">
        <f>"MARKERS:Ref/Cart-Flt-pkg/3Fluor Or~Felt Markers, refill cartridges - recyclable package of 3 Fluorescent Orange"</f>
        <v>MARKERS:Ref/Cart-Flt-pkg/3Fluor Or~Felt Markers, refill cartridges - recyclable package of 3 Fluorescent Orange</v>
      </c>
      <c r="G2316" s="74" t="str">
        <f>"PK"</f>
        <v>PK</v>
      </c>
      <c r="H2316" s="7">
        <v>4.1500000000000004</v>
      </c>
      <c r="I2316" s="2" t="str">
        <f>"44121712"</f>
        <v>44121712</v>
      </c>
      <c r="J2316" s="2" t="s">
        <v>192</v>
      </c>
    </row>
    <row r="2317" spans="1:10" ht="51">
      <c r="A2317" s="9" t="s">
        <v>27</v>
      </c>
      <c r="B2317" s="2" t="s">
        <v>63</v>
      </c>
      <c r="C2317" s="2">
        <v>3202</v>
      </c>
      <c r="D2317" s="2">
        <v>104</v>
      </c>
      <c r="E2317" s="2" t="str">
        <f>"1000003742"</f>
        <v>1000003742</v>
      </c>
      <c r="F2317" s="4" t="str">
        <f>"CANCELLED -ARKERS:Ref/Cart-Flt-pkg/3Fluor Bl~Felt Markers, refill cartridges - recyclable package of 3 Fluorescent Blue"</f>
        <v>CANCELLED -ARKERS:Ref/Cart-Flt-pkg/3Fluor Bl~Felt Markers, refill cartridges - recyclable package of 3 Fluorescent Blue</v>
      </c>
      <c r="G2317" s="74" t="str">
        <f>"PK"</f>
        <v>PK</v>
      </c>
      <c r="H2317" s="7">
        <v>4.1500000000000004</v>
      </c>
      <c r="I2317" s="2" t="str">
        <f>"44121712"</f>
        <v>44121712</v>
      </c>
      <c r="J2317" s="2" t="s">
        <v>192</v>
      </c>
    </row>
    <row r="2318" spans="1:10" ht="51">
      <c r="A2318" s="9" t="s">
        <v>27</v>
      </c>
      <c r="B2318" s="2" t="s">
        <v>63</v>
      </c>
      <c r="C2318" s="2">
        <v>3202</v>
      </c>
      <c r="D2318" s="2">
        <v>101</v>
      </c>
      <c r="E2318" s="2" t="str">
        <f>"1000003765"</f>
        <v>1000003765</v>
      </c>
      <c r="F2318" s="4" t="str">
        <f>"CANCELLED - MARKERS:Ref/Cart-Flt-pkg/3Fluor Pk~Felt Markers, refill cartridges - recyclable package of 3 Fluorescent Pink"</f>
        <v>CANCELLED - MARKERS:Ref/Cart-Flt-pkg/3Fluor Pk~Felt Markers, refill cartridges - recyclable package of 3 Fluorescent Pink</v>
      </c>
      <c r="G2318" s="74" t="str">
        <f>"PK"</f>
        <v>PK</v>
      </c>
      <c r="H2318" s="7">
        <v>4.1500000000000004</v>
      </c>
      <c r="I2318" s="2" t="str">
        <f>"44121712"</f>
        <v>44121712</v>
      </c>
      <c r="J2318" s="2" t="s">
        <v>192</v>
      </c>
    </row>
    <row r="2319" spans="1:10" ht="89.25">
      <c r="A2319" s="9" t="s">
        <v>27</v>
      </c>
      <c r="B2319" s="2" t="s">
        <v>63</v>
      </c>
      <c r="C2319" s="2">
        <v>3202</v>
      </c>
      <c r="D2319" s="2">
        <v>122</v>
      </c>
      <c r="E2319" s="2" t="str">
        <f>"1000003921"</f>
        <v>1000003921</v>
      </c>
      <c r="F2319" s="4" t="str">
        <f>"HIGHLIGHTER:set/4/Floures Green~Multipurpose highlighter - works on carbonless, carbon &amp; thermal (fax) paper. Computer printouts and photocopies. Won't discolor, eradicate or smear. Free Ink Highlighter, visible ink barrel, chisel tip set of 4 Color: Flu"</f>
        <v>HIGHLIGHTER:set/4/Floures Green~Multipurpose highlighter - works on carbonless, carbon &amp; thermal (fax) paper. Computer printouts and photocopies. Won't discolor, eradicate or smear. Free Ink Highlighter, visible ink barrel, chisel tip set of 4 Color: Flu</v>
      </c>
      <c r="G2319" s="74" t="str">
        <f>"ST"</f>
        <v>ST</v>
      </c>
      <c r="H2319" s="7">
        <v>7</v>
      </c>
      <c r="I2319" s="2" t="str">
        <f>"44121716"</f>
        <v>44121716</v>
      </c>
      <c r="J2319" s="2" t="s">
        <v>193</v>
      </c>
    </row>
    <row r="2320" spans="1:10" ht="89.25">
      <c r="A2320" s="9" t="s">
        <v>27</v>
      </c>
      <c r="B2320" s="2" t="s">
        <v>63</v>
      </c>
      <c r="C2320" s="2">
        <v>3202</v>
      </c>
      <c r="D2320" s="2">
        <v>119</v>
      </c>
      <c r="E2320" s="2" t="str">
        <f>"1000003926"</f>
        <v>1000003926</v>
      </c>
      <c r="F2320" s="4" t="str">
        <f>"HIGHLIGHTER:set/4/Fluores Blue~Multipurpose highlighter - works on carbonless, carbon &amp; thermal (fax) paper. Computer printouts and photocopies. Won't discolor, eradicate or smear. Free Ink Highlighter, visible ink barrel, chisel tip set of 4 Color: Fluo"</f>
        <v>HIGHLIGHTER:set/4/Fluores Blue~Multipurpose highlighter - works on carbonless, carbon &amp; thermal (fax) paper. Computer printouts and photocopies. Won't discolor, eradicate or smear. Free Ink Highlighter, visible ink barrel, chisel tip set of 4 Color: Fluo</v>
      </c>
      <c r="G2320" s="74" t="str">
        <f>"ST"</f>
        <v>ST</v>
      </c>
      <c r="H2320" s="7">
        <v>7</v>
      </c>
      <c r="I2320" s="2" t="str">
        <f>"44121716"</f>
        <v>44121716</v>
      </c>
      <c r="J2320" s="2" t="s">
        <v>193</v>
      </c>
    </row>
    <row r="2321" spans="1:10" ht="25.5">
      <c r="A2321" s="9" t="s">
        <v>27</v>
      </c>
      <c r="B2321" s="2" t="s">
        <v>63</v>
      </c>
      <c r="C2321" s="2">
        <v>3202</v>
      </c>
      <c r="D2321" s="2">
        <v>80</v>
      </c>
      <c r="E2321" s="2" t="str">
        <f>"1000003969"</f>
        <v>1000003969</v>
      </c>
      <c r="F2321" s="4" t="str">
        <f>"MARKER:China (Grease Pencils) Red~China Markers (Grease Pencils) Red"</f>
        <v>MARKER:China (Grease Pencils) Red~China Markers (Grease Pencils) Red</v>
      </c>
      <c r="G2321" s="74" t="str">
        <f>"DZ"</f>
        <v>DZ</v>
      </c>
      <c r="H2321" s="7">
        <v>8.5</v>
      </c>
      <c r="I2321" s="2" t="str">
        <f>"44121708"</f>
        <v>44121708</v>
      </c>
      <c r="J2321" s="2" t="s">
        <v>191</v>
      </c>
    </row>
    <row r="2322" spans="1:10" ht="25.5">
      <c r="A2322" s="9" t="s">
        <v>27</v>
      </c>
      <c r="B2322" s="2" t="s">
        <v>63</v>
      </c>
      <c r="C2322" s="2">
        <v>3202</v>
      </c>
      <c r="D2322" s="2">
        <v>118</v>
      </c>
      <c r="E2322" s="2" t="str">
        <f>"1000004002"</f>
        <v>1000004002</v>
      </c>
      <c r="F2322" s="4" t="str">
        <f>"HIGHLIGHTER:Flourescent Pink, Broad Tip Marker"</f>
        <v>HIGHLIGHTER:Flourescent Pink, Broad Tip Marker</v>
      </c>
      <c r="G2322" s="74" t="str">
        <f>"DZ"</f>
        <v>DZ</v>
      </c>
      <c r="H2322" s="7">
        <v>5.7</v>
      </c>
      <c r="I2322" s="2" t="str">
        <f>"44121716"</f>
        <v>44121716</v>
      </c>
      <c r="J2322" s="2" t="s">
        <v>193</v>
      </c>
    </row>
    <row r="2323" spans="1:10" ht="51">
      <c r="A2323" s="9" t="s">
        <v>27</v>
      </c>
      <c r="B2323" s="2" t="s">
        <v>63</v>
      </c>
      <c r="C2323" s="2">
        <v>3202</v>
      </c>
      <c r="D2323" s="2">
        <v>65</v>
      </c>
      <c r="E2323" s="2" t="str">
        <f>"1000004061"</f>
        <v>1000004061</v>
      </c>
      <c r="F2323" s="4" t="str">
        <f>"PEN:4/blk sec-pen/6-no box~Flexible, transparent, vinyl tubing, 4 long, black ink, security pens (for correctional facilities). Bulk Rate (not boxed)"</f>
        <v>PEN:4/blk sec-pen/6-no box~Flexible, transparent, vinyl tubing, 4 long, black ink, security pens (for correctional facilities). Bulk Rate (not boxed)</v>
      </c>
      <c r="G2323" s="74" t="str">
        <f>"EA"</f>
        <v>EA</v>
      </c>
      <c r="H2323" s="7">
        <v>0.45</v>
      </c>
      <c r="I2323" s="2" t="str">
        <f>"44121711"</f>
        <v>44121711</v>
      </c>
      <c r="J2323" s="2" t="s">
        <v>190</v>
      </c>
    </row>
    <row r="2324" spans="1:10" ht="25.5">
      <c r="A2324" s="9" t="s">
        <v>27</v>
      </c>
      <c r="B2324" s="2" t="s">
        <v>63</v>
      </c>
      <c r="C2324" s="2">
        <v>3202</v>
      </c>
      <c r="D2324" s="2">
        <v>180</v>
      </c>
      <c r="E2324" s="2" t="str">
        <f>"1000004093"</f>
        <v>1000004093</v>
      </c>
      <c r="F2324" s="4" t="str">
        <f>"ERASER:Whiteboard/Avery~Whiteboard Eraser. Brand: Avery"</f>
        <v>ERASER:Whiteboard/Avery~Whiteboard Eraser. Brand: Avery</v>
      </c>
      <c r="G2324" s="74" t="str">
        <f>"EA"</f>
        <v>EA</v>
      </c>
      <c r="H2324" s="7">
        <v>3</v>
      </c>
      <c r="I2324" s="2" t="str">
        <f>"44111905"</f>
        <v>44111905</v>
      </c>
      <c r="J2324" s="2" t="s">
        <v>194</v>
      </c>
    </row>
    <row r="2325" spans="1:10" ht="25.5">
      <c r="A2325" s="9" t="s">
        <v>27</v>
      </c>
      <c r="B2325" s="2" t="s">
        <v>63</v>
      </c>
      <c r="C2325" s="2">
        <v>3202</v>
      </c>
      <c r="D2325" s="2">
        <v>183</v>
      </c>
      <c r="E2325" s="2" t="str">
        <f>"1000004194"</f>
        <v>1000004194</v>
      </c>
      <c r="F2325" s="4" t="str">
        <f>"MARKER: Red, Sharpie® Permanent Marker, Fine Tip, Box of 12"</f>
        <v>MARKER: Red, Sharpie® Permanent Marker, Fine Tip, Box of 12</v>
      </c>
      <c r="G2325" s="74" t="str">
        <f>"BX"</f>
        <v>BX</v>
      </c>
      <c r="H2325" s="7">
        <v>8.76</v>
      </c>
      <c r="I2325" s="2" t="str">
        <f>"44121708"</f>
        <v>44121708</v>
      </c>
      <c r="J2325" s="2" t="s">
        <v>191</v>
      </c>
    </row>
    <row r="2326" spans="1:10" ht="25.5">
      <c r="A2326" s="9" t="s">
        <v>27</v>
      </c>
      <c r="B2326" s="2" t="s">
        <v>63</v>
      </c>
      <c r="C2326" s="2">
        <v>3202</v>
      </c>
      <c r="D2326" s="2">
        <v>186</v>
      </c>
      <c r="E2326" s="2" t="str">
        <f>"1000004195"</f>
        <v>1000004195</v>
      </c>
      <c r="F2326" s="4" t="str">
        <f>"MARKER: Purple, Sharpie® Permanent Marker, Fine Tip, Box of 12"</f>
        <v>MARKER: Purple, Sharpie® Permanent Marker, Fine Tip, Box of 12</v>
      </c>
      <c r="G2326" s="74" t="str">
        <f>"BX"</f>
        <v>BX</v>
      </c>
      <c r="H2326" s="7">
        <v>8.76</v>
      </c>
      <c r="I2326" s="2" t="str">
        <f>"44121708"</f>
        <v>44121708</v>
      </c>
      <c r="J2326" s="2" t="s">
        <v>191</v>
      </c>
    </row>
    <row r="2327" spans="1:10" ht="51">
      <c r="A2327" s="9" t="s">
        <v>27</v>
      </c>
      <c r="B2327" s="2" t="s">
        <v>63</v>
      </c>
      <c r="C2327" s="2">
        <v>3202</v>
      </c>
      <c r="D2327" s="2">
        <v>102</v>
      </c>
      <c r="E2327" s="2" t="str">
        <f>"1000004270"</f>
        <v>1000004270</v>
      </c>
      <c r="F2327" s="4" t="str">
        <f>"CANCELLED - MARKERS:Ref/Cart-Flt-pkg/3Fluor Yel~Felt Markers, refill cartridges - recyclable package of 3 Fluorescent Yellow"</f>
        <v>CANCELLED - MARKERS:Ref/Cart-Flt-pkg/3Fluor Yel~Felt Markers, refill cartridges - recyclable package of 3 Fluorescent Yellow</v>
      </c>
      <c r="G2327" s="74" t="str">
        <f>"PK"</f>
        <v>PK</v>
      </c>
      <c r="H2327" s="7">
        <v>4.1500000000000004</v>
      </c>
      <c r="I2327" s="2" t="str">
        <f>"44121712"</f>
        <v>44121712</v>
      </c>
      <c r="J2327" s="2" t="s">
        <v>192</v>
      </c>
    </row>
    <row r="2328" spans="1:10" ht="25.5">
      <c r="A2328" s="9" t="s">
        <v>27</v>
      </c>
      <c r="B2328" s="2" t="s">
        <v>63</v>
      </c>
      <c r="C2328" s="2">
        <v>3202</v>
      </c>
      <c r="D2328" s="2">
        <v>67</v>
      </c>
      <c r="E2328" s="2" t="str">
        <f>"1000004356"</f>
        <v>1000004356</v>
      </c>
      <c r="F2328" s="4" t="str">
        <f>"MARKERS:Dry Erase, Black, 4 PKG. SKILLCRAFT"</f>
        <v>MARKERS:Dry Erase, Black, 4 PKG. SKILLCRAFT</v>
      </c>
      <c r="G2328" s="74" t="str">
        <f>"PK"</f>
        <v>PK</v>
      </c>
      <c r="H2328" s="7">
        <v>5</v>
      </c>
      <c r="I2328" s="2" t="str">
        <f>"44121708"</f>
        <v>44121708</v>
      </c>
      <c r="J2328" s="2" t="s">
        <v>191</v>
      </c>
    </row>
    <row r="2329" spans="1:10" ht="25.5">
      <c r="A2329" s="9" t="s">
        <v>27</v>
      </c>
      <c r="B2329" s="2" t="s">
        <v>63</v>
      </c>
      <c r="C2329" s="2">
        <v>3202</v>
      </c>
      <c r="D2329" s="2">
        <v>69</v>
      </c>
      <c r="E2329" s="2" t="str">
        <f>"1000004357"</f>
        <v>1000004357</v>
      </c>
      <c r="F2329" s="4" t="str">
        <f>"MARKERS:Dry Erase, Blue, 4 PKG. SKILLCRAFT"</f>
        <v>MARKERS:Dry Erase, Blue, 4 PKG. SKILLCRAFT</v>
      </c>
      <c r="G2329" s="74" t="str">
        <f>"PK"</f>
        <v>PK</v>
      </c>
      <c r="H2329" s="7">
        <v>5</v>
      </c>
      <c r="I2329" s="2" t="str">
        <f>"44121708"</f>
        <v>44121708</v>
      </c>
      <c r="J2329" s="2" t="s">
        <v>191</v>
      </c>
    </row>
    <row r="2330" spans="1:10" ht="76.5">
      <c r="A2330" s="9" t="s">
        <v>27</v>
      </c>
      <c r="B2330" s="2" t="s">
        <v>63</v>
      </c>
      <c r="C2330" s="2">
        <v>3202</v>
      </c>
      <c r="D2330" s="2">
        <v>95</v>
      </c>
      <c r="E2330" s="2" t="str">
        <f>"1000004362"</f>
        <v>1000004362</v>
      </c>
      <c r="F2330" s="4" t="str">
        <f>"MARKER:Flip Cha Fin 4/Blk/Blue/Grn/Red~Markers, Bullet Point Flip Chart Markers, Bullet Tip. 4 Markers per set. Color: Black, Blue, Green and Red~Flip Chart Markers, bullet tip. 4 markers per set. Colors:"</f>
        <v>MARKER:Flip Cha Fin 4/Blk/Blue/Grn/Red~Markers, Bullet Point Flip Chart Markers, Bullet Tip. 4 Markers per set. Color: Black, Blue, Green and Red~Flip Chart Markers, bullet tip. 4 markers per set. Colors:</v>
      </c>
      <c r="G2330" s="74" t="str">
        <f>"ST"</f>
        <v>ST</v>
      </c>
      <c r="H2330" s="7">
        <v>4.3</v>
      </c>
      <c r="I2330" s="2" t="str">
        <f>"44121708"</f>
        <v>44121708</v>
      </c>
      <c r="J2330" s="2" t="s">
        <v>191</v>
      </c>
    </row>
    <row r="2331" spans="1:10" ht="51">
      <c r="A2331" s="9" t="s">
        <v>27</v>
      </c>
      <c r="B2331" s="2" t="s">
        <v>63</v>
      </c>
      <c r="C2331" s="2">
        <v>3202</v>
      </c>
      <c r="D2331" s="2">
        <v>33</v>
      </c>
      <c r="E2331" s="2" t="str">
        <f>"1000004365"</f>
        <v>1000004365</v>
      </c>
      <c r="F2331" s="4" t="str">
        <f>"PEN:Hex STATE OF OKL Fine pt red~Pen, ball point, hexagon barrel, stick pen, without eraser, Heat Stamped STATE OF OKLAHOMA Fine point, red"</f>
        <v>PEN:Hex STATE OF OKL Fine pt red~Pen, ball point, hexagon barrel, stick pen, without eraser, Heat Stamped STATE OF OKLAHOMA Fine point, red</v>
      </c>
      <c r="G2331" s="74" t="str">
        <f>"DZ"</f>
        <v>DZ</v>
      </c>
      <c r="H2331" s="7">
        <v>4</v>
      </c>
      <c r="I2331" s="2" t="str">
        <f>"44121704"</f>
        <v>44121704</v>
      </c>
      <c r="J2331" s="2" t="s">
        <v>186</v>
      </c>
    </row>
    <row r="2332" spans="1:10" ht="38.25">
      <c r="A2332" s="9" t="s">
        <v>27</v>
      </c>
      <c r="B2332" s="2" t="s">
        <v>63</v>
      </c>
      <c r="C2332" s="2">
        <v>3202</v>
      </c>
      <c r="D2332" s="2">
        <v>34</v>
      </c>
      <c r="E2332" s="2" t="str">
        <f>"1000004366"</f>
        <v>1000004366</v>
      </c>
      <c r="F2332" s="4" t="str">
        <f>"PEN:Hexagon barrel, stick pen, without eraser, Heat Stamped STATE OF OKLAHOMA Medium point, black"</f>
        <v>PEN:Hexagon barrel, stick pen, without eraser, Heat Stamped STATE OF OKLAHOMA Medium point, black</v>
      </c>
      <c r="G2332" s="74" t="str">
        <f>"DZ"</f>
        <v>DZ</v>
      </c>
      <c r="H2332" s="7">
        <v>4</v>
      </c>
      <c r="I2332" s="2" t="str">
        <f>"44121704"</f>
        <v>44121704</v>
      </c>
      <c r="J2332" s="2" t="s">
        <v>186</v>
      </c>
    </row>
    <row r="2333" spans="1:10" ht="25.5">
      <c r="A2333" s="9" t="s">
        <v>27</v>
      </c>
      <c r="B2333" s="2" t="s">
        <v>63</v>
      </c>
      <c r="C2333" s="2">
        <v>3202</v>
      </c>
      <c r="D2333" s="2">
        <v>106</v>
      </c>
      <c r="E2333" s="2" t="str">
        <f>"1000004371"</f>
        <v>1000004371</v>
      </c>
      <c r="F2333" s="4" t="str">
        <f>"HIGHLIGHTER:Flourescent Yellow, Broad Tip Marker"</f>
        <v>HIGHLIGHTER:Flourescent Yellow, Broad Tip Marker</v>
      </c>
      <c r="G2333" s="74" t="str">
        <f>"DZ"</f>
        <v>DZ</v>
      </c>
      <c r="H2333" s="7">
        <v>5.7</v>
      </c>
      <c r="I2333" s="2" t="str">
        <f>"44121716"</f>
        <v>44121716</v>
      </c>
      <c r="J2333" s="2" t="s">
        <v>193</v>
      </c>
    </row>
    <row r="2334" spans="1:10" ht="38.25">
      <c r="A2334" s="9" t="s">
        <v>27</v>
      </c>
      <c r="B2334" s="2" t="s">
        <v>63</v>
      </c>
      <c r="C2334" s="2">
        <v>3202</v>
      </c>
      <c r="D2334" s="2">
        <v>71</v>
      </c>
      <c r="E2334" s="2" t="str">
        <f>"1000004377"</f>
        <v>1000004377</v>
      </c>
      <c r="F2334" s="4" t="str">
        <f>"MARKER:Dry Erase pkg/4 Or~Pen, Marking, Dry Erase Marker, Skilcraft - pkg of 4 Orange Markers"</f>
        <v>MARKER:Dry Erase pkg/4 Or~Pen, Marking, Dry Erase Marker, Skilcraft - pkg of 4 Orange Markers</v>
      </c>
      <c r="G2334" s="74" t="str">
        <f>"PK"</f>
        <v>PK</v>
      </c>
      <c r="H2334" s="7">
        <v>5</v>
      </c>
      <c r="I2334" s="2" t="str">
        <f>"44121708"</f>
        <v>44121708</v>
      </c>
      <c r="J2334" s="2" t="s">
        <v>191</v>
      </c>
    </row>
    <row r="2335" spans="1:10" ht="25.5">
      <c r="A2335" s="9" t="s">
        <v>27</v>
      </c>
      <c r="B2335" s="2" t="s">
        <v>63</v>
      </c>
      <c r="C2335" s="2">
        <v>3202</v>
      </c>
      <c r="D2335" s="2">
        <v>70</v>
      </c>
      <c r="E2335" s="2" t="str">
        <f>"1000004378"</f>
        <v>1000004378</v>
      </c>
      <c r="F2335" s="4" t="str">
        <f>"MARKERS:Dry Erase, Green, 4 PKG. SKILLCRAFT"</f>
        <v>MARKERS:Dry Erase, Green, 4 PKG. SKILLCRAFT</v>
      </c>
      <c r="G2335" s="74" t="str">
        <f>"PK"</f>
        <v>PK</v>
      </c>
      <c r="H2335" s="7">
        <v>5</v>
      </c>
      <c r="I2335" s="2" t="str">
        <f>"44121708"</f>
        <v>44121708</v>
      </c>
      <c r="J2335" s="2" t="s">
        <v>191</v>
      </c>
    </row>
    <row r="2336" spans="1:10" ht="38.25">
      <c r="A2336" s="9" t="s">
        <v>27</v>
      </c>
      <c r="B2336" s="2" t="s">
        <v>63</v>
      </c>
      <c r="C2336" s="2">
        <v>3202</v>
      </c>
      <c r="D2336" s="2">
        <v>74</v>
      </c>
      <c r="E2336" s="2" t="str">
        <f>"1000004381"</f>
        <v>1000004381</v>
      </c>
      <c r="F2336" s="4" t="str">
        <f>"MARKER:Dry Erase kg/4 Br~Pen, Marking, Dry Erase Marker, Skilcraft - pkg of 4 Brown Markers"</f>
        <v>MARKER:Dry Erase kg/4 Br~Pen, Marking, Dry Erase Marker, Skilcraft - pkg of 4 Brown Markers</v>
      </c>
      <c r="G2336" s="74" t="str">
        <f>"PK"</f>
        <v>PK</v>
      </c>
      <c r="H2336" s="7">
        <v>5</v>
      </c>
      <c r="I2336" s="2" t="str">
        <f>"44121708"</f>
        <v>44121708</v>
      </c>
      <c r="J2336" s="2" t="s">
        <v>191</v>
      </c>
    </row>
    <row r="2337" spans="1:10" ht="25.5">
      <c r="A2337" s="9" t="s">
        <v>27</v>
      </c>
      <c r="B2337" s="2" t="s">
        <v>63</v>
      </c>
      <c r="C2337" s="2">
        <v>3202</v>
      </c>
      <c r="D2337" s="2">
        <v>189</v>
      </c>
      <c r="E2337" s="2" t="str">
        <f>"1000004432"</f>
        <v>1000004432</v>
      </c>
      <c r="F2337" s="4" t="str">
        <f>"PEN:4mm/Rd/Ex/Rl/bal~Executive Roller Ball .4mm tip RED INK"</f>
        <v>PEN:4mm/Rd/Ex/Rl/bal~Executive Roller Ball .4mm tip RED INK</v>
      </c>
      <c r="G2337" s="74" t="str">
        <f>"DZ"</f>
        <v>DZ</v>
      </c>
      <c r="H2337" s="7">
        <v>9.25</v>
      </c>
      <c r="I2337" s="2" t="str">
        <f>"44121701"</f>
        <v>44121701</v>
      </c>
      <c r="J2337" s="2" t="s">
        <v>187</v>
      </c>
    </row>
    <row r="2338" spans="1:10" ht="25.5">
      <c r="A2338" s="9" t="s">
        <v>27</v>
      </c>
      <c r="B2338" s="2" t="s">
        <v>63</v>
      </c>
      <c r="C2338" s="2">
        <v>3202</v>
      </c>
      <c r="D2338" s="2">
        <v>13</v>
      </c>
      <c r="E2338" s="2" t="str">
        <f>"1000004433"</f>
        <v>1000004433</v>
      </c>
      <c r="F2338" s="4" t="str">
        <f>"PEN:4mm/blk/Ex/Rl/bal~Executive Roller Ball .4mm tip Black Ink"</f>
        <v>PEN:4mm/blk/Ex/Rl/bal~Executive Roller Ball .4mm tip Black Ink</v>
      </c>
      <c r="G2338" s="74" t="str">
        <f>"DZ"</f>
        <v>DZ</v>
      </c>
      <c r="H2338" s="7">
        <v>9.25</v>
      </c>
      <c r="I2338" s="2" t="str">
        <f>"44121701"</f>
        <v>44121701</v>
      </c>
      <c r="J2338" s="2" t="s">
        <v>187</v>
      </c>
    </row>
    <row r="2339" spans="1:10" ht="89.25">
      <c r="A2339" s="9" t="s">
        <v>27</v>
      </c>
      <c r="B2339" s="2" t="s">
        <v>63</v>
      </c>
      <c r="C2339" s="2">
        <v>3202</v>
      </c>
      <c r="D2339" s="2">
        <v>121</v>
      </c>
      <c r="E2339" s="2" t="str">
        <f>"1000004443"</f>
        <v>1000004443</v>
      </c>
      <c r="F2339" s="4" t="str">
        <f>"HIGHLIGHTER:set/4/Fluores Yell~Multipurpose highlighter - works on carbonless, carbon &amp; thermal (fax) paper. Computer printouts and photocopies. Won't discolor, eradicate or smear.Free Ink Highlighter, visible ink barrel, chisel tip set of 4 Color: Fluor"</f>
        <v>HIGHLIGHTER:set/4/Fluores Yell~Multipurpose highlighter - works on carbonless, carbon &amp; thermal (fax) paper. Computer printouts and photocopies. Won't discolor, eradicate or smear.Free Ink Highlighter, visible ink barrel, chisel tip set of 4 Color: Fluor</v>
      </c>
      <c r="G2339" s="74" t="str">
        <f>"ST"</f>
        <v>ST</v>
      </c>
      <c r="H2339" s="7">
        <v>7</v>
      </c>
      <c r="I2339" s="2" t="str">
        <f>"44121716"</f>
        <v>44121716</v>
      </c>
      <c r="J2339" s="2" t="s">
        <v>193</v>
      </c>
    </row>
    <row r="2340" spans="1:10" ht="51">
      <c r="A2340" s="9" t="s">
        <v>27</v>
      </c>
      <c r="B2340" s="2" t="s">
        <v>63</v>
      </c>
      <c r="C2340" s="2">
        <v>3202</v>
      </c>
      <c r="D2340" s="2">
        <v>7</v>
      </c>
      <c r="E2340" s="2" t="str">
        <f>"1000004458"</f>
        <v>1000004458</v>
      </c>
      <c r="F2340" s="4" t="str">
        <f>"PEN:M-Pt/Mar-brl/gld-tr/Ex/blk~Executive Ball Point, Retractable, Medium Point. Maroon Barrel with Gold Trim. Ink Color: Black"</f>
        <v>PEN:M-Pt/Mar-brl/gld-tr/Ex/blk~Executive Ball Point, Retractable, Medium Point. Maroon Barrel with Gold Trim. Ink Color: Black</v>
      </c>
      <c r="G2340" s="74" t="str">
        <f>"DZ"</f>
        <v>DZ</v>
      </c>
      <c r="H2340" s="7">
        <v>14.75</v>
      </c>
      <c r="I2340" s="2" t="str">
        <f>"44121704"</f>
        <v>44121704</v>
      </c>
      <c r="J2340" s="2" t="s">
        <v>186</v>
      </c>
    </row>
    <row r="2341" spans="1:10" ht="76.5">
      <c r="A2341" s="9" t="s">
        <v>27</v>
      </c>
      <c r="B2341" s="2" t="s">
        <v>63</v>
      </c>
      <c r="C2341" s="2">
        <v>3202</v>
      </c>
      <c r="D2341" s="2">
        <v>25</v>
      </c>
      <c r="E2341" s="2" t="str">
        <f>"1000004465"</f>
        <v>1000004465</v>
      </c>
      <c r="F2341" s="4" t="str">
        <f>"PEN:No-Ret/Blk/Ref/Med~Alpha grip, ball point pen w/cushioned grip, is refillable, non-retractable, has pocket clip on cap. Cap &amp;barrel color indicates ink color. transparent body allows you to monitor ink level. Medium point, Black"</f>
        <v>PEN:No-Ret/Blk/Ref/Med~Alpha grip, ball point pen w/cushioned grip, is refillable, non-retractable, has pocket clip on cap. Cap &amp;barrel color indicates ink color. transparent body allows you to monitor ink level. Medium point, Black</v>
      </c>
      <c r="G2341" s="74" t="str">
        <f>"DZ"</f>
        <v>DZ</v>
      </c>
      <c r="H2341" s="7">
        <v>9.25</v>
      </c>
      <c r="I2341" s="2" t="str">
        <f>"44121704"</f>
        <v>44121704</v>
      </c>
      <c r="J2341" s="2" t="s">
        <v>186</v>
      </c>
    </row>
    <row r="2342" spans="1:10" ht="89.25">
      <c r="A2342" s="9" t="s">
        <v>27</v>
      </c>
      <c r="B2342" s="2" t="s">
        <v>63</v>
      </c>
      <c r="C2342" s="2">
        <v>3202</v>
      </c>
      <c r="D2342" s="2">
        <v>120</v>
      </c>
      <c r="E2342" s="2" t="str">
        <f>"1000004470"</f>
        <v>1000004470</v>
      </c>
      <c r="F2342" s="4" t="str">
        <f>"HIGHLIGHTER:set/4/Fluores Pink~Multipurpose highlighter - works on carbonless, carbon &amp; thermal (fax) paper. Computer printouts and photocopies. Won't discolor, eradicate or smear. Free Ink Highlighter, visible ink barrel, chisel tip set of 4 Color: Fluo"</f>
        <v>HIGHLIGHTER:set/4/Fluores Pink~Multipurpose highlighter - works on carbonless, carbon &amp; thermal (fax) paper. Computer printouts and photocopies. Won't discolor, eradicate or smear. Free Ink Highlighter, visible ink barrel, chisel tip set of 4 Color: Fluo</v>
      </c>
      <c r="G2342" s="74" t="str">
        <f>"ST"</f>
        <v>ST</v>
      </c>
      <c r="H2342" s="7">
        <v>7</v>
      </c>
      <c r="I2342" s="2" t="str">
        <f>"44121708"</f>
        <v>44121708</v>
      </c>
      <c r="J2342" s="2" t="s">
        <v>191</v>
      </c>
    </row>
    <row r="2343" spans="1:10" ht="38.25">
      <c r="A2343" s="9" t="s">
        <v>27</v>
      </c>
      <c r="B2343" s="2" t="s">
        <v>63</v>
      </c>
      <c r="C2343" s="2">
        <v>3202</v>
      </c>
      <c r="D2343" s="2">
        <v>72</v>
      </c>
      <c r="E2343" s="2" t="str">
        <f>"1000004478"</f>
        <v>1000004478</v>
      </c>
      <c r="F2343" s="4" t="str">
        <f>"MARKER:Dry Erase pkg/4 Yel~Pen, Marking, Dry Erase Marker, Skilcraft - pkg of 4 Yellow Markers"</f>
        <v>MARKER:Dry Erase pkg/4 Yel~Pen, Marking, Dry Erase Marker, Skilcraft - pkg of 4 Yellow Markers</v>
      </c>
      <c r="G2343" s="74" t="str">
        <f>"PK"</f>
        <v>PK</v>
      </c>
      <c r="H2343" s="7">
        <v>5</v>
      </c>
      <c r="I2343" s="2" t="str">
        <f>"44121708"</f>
        <v>44121708</v>
      </c>
      <c r="J2343" s="2" t="s">
        <v>191</v>
      </c>
    </row>
    <row r="2344" spans="1:10" ht="25.5">
      <c r="A2344" s="9" t="s">
        <v>27</v>
      </c>
      <c r="B2344" s="2" t="s">
        <v>63</v>
      </c>
      <c r="C2344" s="2">
        <v>3202</v>
      </c>
      <c r="D2344" s="2">
        <v>68</v>
      </c>
      <c r="E2344" s="2" t="str">
        <f>"1000004479"</f>
        <v>1000004479</v>
      </c>
      <c r="F2344" s="4" t="str">
        <f>"MARKERS:Dry Erase, Red, 4 PKG. SKILLCRAFT"</f>
        <v>MARKERS:Dry Erase, Red, 4 PKG. SKILLCRAFT</v>
      </c>
      <c r="G2344" s="74" t="str">
        <f>"PK"</f>
        <v>PK</v>
      </c>
      <c r="H2344" s="7">
        <v>5</v>
      </c>
      <c r="I2344" s="2" t="str">
        <f>"44121708"</f>
        <v>44121708</v>
      </c>
      <c r="J2344" s="2" t="s">
        <v>191</v>
      </c>
    </row>
    <row r="2345" spans="1:10" ht="38.25">
      <c r="A2345" s="9" t="s">
        <v>27</v>
      </c>
      <c r="B2345" s="2" t="s">
        <v>63</v>
      </c>
      <c r="C2345" s="2">
        <v>3202</v>
      </c>
      <c r="D2345" s="2">
        <v>73</v>
      </c>
      <c r="E2345" s="2" t="str">
        <f>"1000004480"</f>
        <v>1000004480</v>
      </c>
      <c r="F2345" s="4" t="str">
        <f>"MARKER:Dry Erase pkg/4 Pur~Pen, Marking, Dry Erase Marker, Skilcraft - pkg of 4 Purple Markers"</f>
        <v>MARKER:Dry Erase pkg/4 Pur~Pen, Marking, Dry Erase Marker, Skilcraft - pkg of 4 Purple Markers</v>
      </c>
      <c r="G2345" s="74" t="str">
        <f>"PK"</f>
        <v>PK</v>
      </c>
      <c r="H2345" s="7">
        <v>5</v>
      </c>
      <c r="I2345" s="2" t="str">
        <f>"44121708"</f>
        <v>44121708</v>
      </c>
      <c r="J2345" s="2" t="s">
        <v>191</v>
      </c>
    </row>
    <row r="2346" spans="1:10" ht="76.5">
      <c r="A2346" s="9" t="s">
        <v>27</v>
      </c>
      <c r="B2346" s="2" t="s">
        <v>63</v>
      </c>
      <c r="C2346" s="2">
        <v>3202</v>
      </c>
      <c r="D2346" s="2">
        <v>24</v>
      </c>
      <c r="E2346" s="2" t="str">
        <f>"1000004490"</f>
        <v>1000004490</v>
      </c>
      <c r="F2346" s="4" t="str">
        <f>"PEN:No-Ret/Blk/Ref/Fin~Alpha grip, ball point pen w/cushioned grip, is refillable, non-retractable, has pocket clip on cap. Cap &amp;barrel color indicates ink color. transparent body allows you to monitor ink level. Fine point, Black"</f>
        <v>PEN:No-Ret/Blk/Ref/Fin~Alpha grip, ball point pen w/cushioned grip, is refillable, non-retractable, has pocket clip on cap. Cap &amp;barrel color indicates ink color. transparent body allows you to monitor ink level. Fine point, Black</v>
      </c>
      <c r="G2346" s="74" t="str">
        <f>"DZ"</f>
        <v>DZ</v>
      </c>
      <c r="H2346" s="7">
        <v>9.25</v>
      </c>
      <c r="I2346" s="2" t="str">
        <f>"44121704"</f>
        <v>44121704</v>
      </c>
      <c r="J2346" s="2" t="s">
        <v>186</v>
      </c>
    </row>
    <row r="2347" spans="1:10" ht="51">
      <c r="A2347" s="9" t="s">
        <v>27</v>
      </c>
      <c r="B2347" s="2" t="s">
        <v>63</v>
      </c>
      <c r="C2347" s="2">
        <v>3202</v>
      </c>
      <c r="D2347" s="2">
        <v>32</v>
      </c>
      <c r="E2347" s="2" t="str">
        <f>"1000004568"</f>
        <v>1000004568</v>
      </c>
      <c r="F2347" s="4" t="str">
        <f>"PEN:Hex STATE OF OK Fine pt blue~Pen, ball point, hexagon barrel, stick pen, without eraser, Heat Stamped STATE OF OKLAHOMA Fine point, blue"</f>
        <v>PEN:Hex STATE OF OK Fine pt blue~Pen, ball point, hexagon barrel, stick pen, without eraser, Heat Stamped STATE OF OKLAHOMA Fine point, blue</v>
      </c>
      <c r="G2347" s="74" t="str">
        <f>"DZ"</f>
        <v>DZ</v>
      </c>
      <c r="H2347" s="7">
        <v>4</v>
      </c>
      <c r="I2347" s="2" t="str">
        <f>"44121704"</f>
        <v>44121704</v>
      </c>
      <c r="J2347" s="2" t="s">
        <v>186</v>
      </c>
    </row>
    <row r="2348" spans="1:10" ht="51">
      <c r="A2348" s="9" t="s">
        <v>27</v>
      </c>
      <c r="B2348" s="2" t="s">
        <v>63</v>
      </c>
      <c r="C2348" s="2">
        <v>3202</v>
      </c>
      <c r="D2348" s="2">
        <v>98</v>
      </c>
      <c r="E2348" s="2" t="str">
        <f>"1000004643"</f>
        <v>1000004643</v>
      </c>
      <c r="F2348" s="4" t="str">
        <f>"MARKER:Flip Cha Fin 4/Gr~Markers, Bullet Point Flip Chart Markers, Bullet Tip. 4 Markers per set. Color: Green~Flip Chart Markers, Bullet Tip. 4 markers per set."</f>
        <v>MARKER:Flip Cha Fin 4/Gr~Markers, Bullet Point Flip Chart Markers, Bullet Tip. 4 Markers per set. Color: Green~Flip Chart Markers, Bullet Tip. 4 markers per set.</v>
      </c>
      <c r="G2348" s="74" t="str">
        <f>"ST"</f>
        <v>ST</v>
      </c>
      <c r="H2348" s="7">
        <v>4.3</v>
      </c>
      <c r="I2348" s="2" t="str">
        <f>"44121708"</f>
        <v>44121708</v>
      </c>
      <c r="J2348" s="2" t="s">
        <v>191</v>
      </c>
    </row>
    <row r="2349" spans="1:10" ht="51">
      <c r="A2349" s="9" t="s">
        <v>27</v>
      </c>
      <c r="B2349" s="2" t="s">
        <v>63</v>
      </c>
      <c r="C2349" s="2">
        <v>3202</v>
      </c>
      <c r="D2349" s="2">
        <v>8</v>
      </c>
      <c r="E2349" s="2" t="str">
        <f>"1000004714"</f>
        <v>1000004714</v>
      </c>
      <c r="F2349" s="4" t="str">
        <f>"PEN:M-Pt/Mar-brl/gld-tr/Ex/bl~Executive Ball Point, Retractable, Medium Point. Maroon Barrel with Gold Trim. Ink Color: Blue"</f>
        <v>PEN:M-Pt/Mar-brl/gld-tr/Ex/bl~Executive Ball Point, Retractable, Medium Point. Maroon Barrel with Gold Trim. Ink Color: Blue</v>
      </c>
      <c r="G2349" s="74" t="str">
        <f t="shared" ref="G2349:G2354" si="152">"DZ"</f>
        <v>DZ</v>
      </c>
      <c r="H2349" s="7">
        <v>14.75</v>
      </c>
      <c r="I2349" s="2" t="str">
        <f>"44121704"</f>
        <v>44121704</v>
      </c>
      <c r="J2349" s="2" t="s">
        <v>186</v>
      </c>
    </row>
    <row r="2350" spans="1:10" ht="51">
      <c r="A2350" s="9" t="s">
        <v>27</v>
      </c>
      <c r="B2350" s="2" t="s">
        <v>63</v>
      </c>
      <c r="C2350" s="2">
        <v>3202</v>
      </c>
      <c r="D2350" s="2">
        <v>5</v>
      </c>
      <c r="E2350" s="2" t="str">
        <f>"1000004729"</f>
        <v>1000004729</v>
      </c>
      <c r="F2350" s="4" t="str">
        <f>"PEN:M-Pt/blk-brl/gld-tr/Ex/blk~Executive Ball Point, Retractable, Medium Point. Black Barrel with Gold Trim. Ink Color: Black"</f>
        <v>PEN:M-Pt/blk-brl/gld-tr/Ex/blk~Executive Ball Point, Retractable, Medium Point. Black Barrel with Gold Trim. Ink Color: Black</v>
      </c>
      <c r="G2350" s="74" t="str">
        <f t="shared" si="152"/>
        <v>DZ</v>
      </c>
      <c r="H2350" s="7">
        <v>14.75</v>
      </c>
      <c r="I2350" s="2" t="str">
        <f>"44121704"</f>
        <v>44121704</v>
      </c>
      <c r="J2350" s="2" t="s">
        <v>186</v>
      </c>
    </row>
    <row r="2351" spans="1:10" ht="51">
      <c r="A2351" s="9" t="s">
        <v>27</v>
      </c>
      <c r="B2351" s="2" t="s">
        <v>63</v>
      </c>
      <c r="C2351" s="2">
        <v>3202</v>
      </c>
      <c r="D2351" s="2">
        <v>6</v>
      </c>
      <c r="E2351" s="2" t="str">
        <f>"1000004730"</f>
        <v>1000004730</v>
      </c>
      <c r="F2351" s="4" t="str">
        <f>"PEN:M-Pt/blk-brl/gld-tr/Ex/bl~Executive Ball Point, Retractable, Medium Point. Black Barrel with Gold Trim. Ink Color: Blue"</f>
        <v>PEN:M-Pt/blk-brl/gld-tr/Ex/bl~Executive Ball Point, Retractable, Medium Point. Black Barrel with Gold Trim. Ink Color: Blue</v>
      </c>
      <c r="G2351" s="74" t="str">
        <f t="shared" si="152"/>
        <v>DZ</v>
      </c>
      <c r="H2351" s="7">
        <v>14.75</v>
      </c>
      <c r="I2351" s="2" t="str">
        <f>"44121704"</f>
        <v>44121704</v>
      </c>
      <c r="J2351" s="2" t="s">
        <v>186</v>
      </c>
    </row>
    <row r="2352" spans="1:10" ht="51">
      <c r="A2352" s="9" t="s">
        <v>27</v>
      </c>
      <c r="B2352" s="2" t="s">
        <v>63</v>
      </c>
      <c r="C2352" s="2">
        <v>3202</v>
      </c>
      <c r="D2352" s="2">
        <v>36</v>
      </c>
      <c r="E2352" s="2" t="str">
        <f>"1000004756"</f>
        <v>1000004756</v>
      </c>
      <c r="F2352" s="4" t="str">
        <f>"PEN:HexSTATE OF OK Med pt red~Pen, ball point, hexagon barrel, stick pen, without eraser, Heat Stamped STATE OF OKLAHOMA Medium point, red"</f>
        <v>PEN:HexSTATE OF OK Med pt red~Pen, ball point, hexagon barrel, stick pen, without eraser, Heat Stamped STATE OF OKLAHOMA Medium point, red</v>
      </c>
      <c r="G2352" s="74" t="str">
        <f t="shared" si="152"/>
        <v>DZ</v>
      </c>
      <c r="H2352" s="7">
        <v>4</v>
      </c>
      <c r="I2352" s="2" t="str">
        <f>"44121704"</f>
        <v>44121704</v>
      </c>
      <c r="J2352" s="2" t="s">
        <v>186</v>
      </c>
    </row>
    <row r="2353" spans="1:10" ht="25.5">
      <c r="A2353" s="9" t="s">
        <v>27</v>
      </c>
      <c r="B2353" s="2" t="s">
        <v>63</v>
      </c>
      <c r="C2353" s="2">
        <v>3202</v>
      </c>
      <c r="D2353" s="2">
        <v>105</v>
      </c>
      <c r="E2353" s="2" t="str">
        <f>"1000004854"</f>
        <v>1000004854</v>
      </c>
      <c r="F2353" s="4" t="str">
        <f>"HIGHLIGHTER:Flourescent Blue, Broad Tip Marker"</f>
        <v>HIGHLIGHTER:Flourescent Blue, Broad Tip Marker</v>
      </c>
      <c r="G2353" s="74" t="str">
        <f t="shared" si="152"/>
        <v>DZ</v>
      </c>
      <c r="H2353" s="7">
        <v>5.7</v>
      </c>
      <c r="I2353" s="2" t="str">
        <f>"44121716"</f>
        <v>44121716</v>
      </c>
      <c r="J2353" s="2" t="s">
        <v>193</v>
      </c>
    </row>
    <row r="2354" spans="1:10" ht="25.5">
      <c r="A2354" s="9" t="s">
        <v>27</v>
      </c>
      <c r="B2354" s="2" t="s">
        <v>63</v>
      </c>
      <c r="C2354" s="2">
        <v>3202</v>
      </c>
      <c r="D2354" s="2">
        <v>14</v>
      </c>
      <c r="E2354" s="2" t="str">
        <f>"1000004979"</f>
        <v>1000004979</v>
      </c>
      <c r="F2354" s="4" t="str">
        <f>"PEN:4mm/bl/Ex/Rl/bal~Executive Roller Ball .4mm tip blue ink"</f>
        <v>PEN:4mm/bl/Ex/Rl/bal~Executive Roller Ball .4mm tip blue ink</v>
      </c>
      <c r="G2354" s="74" t="str">
        <f t="shared" si="152"/>
        <v>DZ</v>
      </c>
      <c r="H2354" s="7">
        <v>9.25</v>
      </c>
      <c r="I2354" s="2" t="str">
        <f>"44121701"</f>
        <v>44121701</v>
      </c>
      <c r="J2354" s="2" t="s">
        <v>187</v>
      </c>
    </row>
    <row r="2355" spans="1:10" ht="63.75">
      <c r="A2355" s="9" t="s">
        <v>27</v>
      </c>
      <c r="B2355" s="2" t="s">
        <v>63</v>
      </c>
      <c r="C2355" s="2">
        <v>3202</v>
      </c>
      <c r="D2355" s="2">
        <v>2</v>
      </c>
      <c r="E2355" s="2" t="str">
        <f>"1000005009"</f>
        <v>1000005009</v>
      </c>
      <c r="F2355" s="4" t="str">
        <f>"DESK PEN SET:Blu-Ball pt w/24 chain-adhesive lock base~Desk sets, ball point Pen with 24 chain - adhesive lock base, rubber- ized barrel, refillable, individually packaged in plastic bag. Blue ink"</f>
        <v>DESK PEN SET:Blu-Ball pt w/24 chain-adhesive lock base~Desk sets, ball point Pen with 24 chain - adhesive lock base, rubber- ized barrel, refillable, individually packaged in plastic bag. Blue ink</v>
      </c>
      <c r="G2355" s="74" t="str">
        <f>"EA"</f>
        <v>EA</v>
      </c>
      <c r="H2355" s="7">
        <v>4.5</v>
      </c>
      <c r="I2355" s="2" t="str">
        <f>"44111509"</f>
        <v>44111509</v>
      </c>
      <c r="J2355" s="2" t="s">
        <v>185</v>
      </c>
    </row>
    <row r="2356" spans="1:10" ht="76.5">
      <c r="A2356" s="9" t="s">
        <v>27</v>
      </c>
      <c r="B2356" s="2" t="s">
        <v>63</v>
      </c>
      <c r="C2356" s="2">
        <v>3202</v>
      </c>
      <c r="D2356" s="2">
        <v>1</v>
      </c>
      <c r="E2356" s="2" t="str">
        <f>"1000005010"</f>
        <v>1000005010</v>
      </c>
      <c r="F2356" s="4" t="str">
        <f>"DESK PEN SET:Blk-Ball pt w/24 chain-adhesive lock base~Desk sets, ball point Pen with 24 chain - adhesive lock base, rubber- ized barrel, refillable, individually packaged in plastic bag. Black ink~BLACK INC"</f>
        <v>DESK PEN SET:Blk-Ball pt w/24 chain-adhesive lock base~Desk sets, ball point Pen with 24 chain - adhesive lock base, rubber- ized barrel, refillable, individually packaged in plastic bag. Black ink~BLACK INC</v>
      </c>
      <c r="G2356" s="74" t="str">
        <f>"EA"</f>
        <v>EA</v>
      </c>
      <c r="H2356" s="7">
        <v>4.5</v>
      </c>
      <c r="I2356" s="2" t="str">
        <f>"44111509"</f>
        <v>44111509</v>
      </c>
      <c r="J2356" s="2" t="s">
        <v>185</v>
      </c>
    </row>
    <row r="2357" spans="1:10" ht="63.75">
      <c r="A2357" s="9" t="s">
        <v>27</v>
      </c>
      <c r="B2357" s="2" t="s">
        <v>63</v>
      </c>
      <c r="C2357" s="2">
        <v>3202</v>
      </c>
      <c r="D2357" s="2">
        <v>96</v>
      </c>
      <c r="E2357" s="2" t="str">
        <f>"1000005239"</f>
        <v>1000005239</v>
      </c>
      <c r="F2357" s="4" t="str">
        <f>"MARKER:Flip Cha Fin 4/Blk~Markers, Bullet Point Flip Chart Markers, Bullet Tip. 4 Markers per set. Color: Black~Flip Chart Markers, Bullet Tip. 4 Markers per set. Color:"</f>
        <v>MARKER:Flip Cha Fin 4/Blk~Markers, Bullet Point Flip Chart Markers, Bullet Tip. 4 Markers per set. Color: Black~Flip Chart Markers, Bullet Tip. 4 Markers per set. Color:</v>
      </c>
      <c r="G2357" s="74" t="str">
        <f>"ST"</f>
        <v>ST</v>
      </c>
      <c r="H2357" s="7">
        <v>4.3</v>
      </c>
      <c r="I2357" s="2" t="str">
        <f>"44121708"</f>
        <v>44121708</v>
      </c>
      <c r="J2357" s="2" t="s">
        <v>191</v>
      </c>
    </row>
    <row r="2358" spans="1:10" ht="25.5">
      <c r="A2358" s="9" t="s">
        <v>27</v>
      </c>
      <c r="B2358" s="2" t="s">
        <v>63</v>
      </c>
      <c r="C2358" s="2">
        <v>3202</v>
      </c>
      <c r="D2358" s="2">
        <v>79</v>
      </c>
      <c r="E2358" s="2" t="str">
        <f>"1000005251"</f>
        <v>1000005251</v>
      </c>
      <c r="F2358" s="4" t="str">
        <f>"MARKER:China (Grease Pencils) Blk~China Markers (Grease Pencils) Black"</f>
        <v>MARKER:China (Grease Pencils) Blk~China Markers (Grease Pencils) Black</v>
      </c>
      <c r="G2358" s="74" t="str">
        <f t="shared" ref="G2358:G2385" si="153">"DZ"</f>
        <v>DZ</v>
      </c>
      <c r="H2358" s="7">
        <v>8.5</v>
      </c>
      <c r="I2358" s="2" t="str">
        <f>"44121708"</f>
        <v>44121708</v>
      </c>
      <c r="J2358" s="2" t="s">
        <v>191</v>
      </c>
    </row>
    <row r="2359" spans="1:10" ht="38.25">
      <c r="A2359" s="9" t="s">
        <v>27</v>
      </c>
      <c r="B2359" s="2" t="s">
        <v>63</v>
      </c>
      <c r="C2359" s="2">
        <v>3202</v>
      </c>
      <c r="D2359" s="2">
        <v>116</v>
      </c>
      <c r="E2359" s="2" t="str">
        <f>"1000005274"</f>
        <v>1000005274</v>
      </c>
      <c r="F2359" s="4" t="str">
        <f>"HIGHLIGHTER:Pocket/Stick Fluor Yell~Highlighter Pocket Stick Fluorescent Yellow"</f>
        <v>HIGHLIGHTER:Pocket/Stick Fluor Yell~Highlighter Pocket Stick Fluorescent Yellow</v>
      </c>
      <c r="G2359" s="74" t="str">
        <f t="shared" si="153"/>
        <v>DZ</v>
      </c>
      <c r="H2359" s="7">
        <v>11.25</v>
      </c>
      <c r="I2359" s="2" t="str">
        <f>"44121716"</f>
        <v>44121716</v>
      </c>
      <c r="J2359" s="2" t="s">
        <v>193</v>
      </c>
    </row>
    <row r="2360" spans="1:10" ht="38.25">
      <c r="A2360" s="9" t="s">
        <v>27</v>
      </c>
      <c r="B2360" s="2" t="s">
        <v>63</v>
      </c>
      <c r="C2360" s="2">
        <v>3202</v>
      </c>
      <c r="D2360" s="2">
        <v>109</v>
      </c>
      <c r="E2360" s="2" t="str">
        <f>"1000005286"</f>
        <v>1000005286</v>
      </c>
      <c r="F2360" s="4" t="str">
        <f>"HIGHLIGHTER:Broad Fluor Lavr~Pen, marking, highlighter broad tip marker Fluorescent Lavender"</f>
        <v>HIGHLIGHTER:Broad Fluor Lavr~Pen, marking, highlighter broad tip marker Fluorescent Lavender</v>
      </c>
      <c r="G2360" s="74" t="str">
        <f t="shared" si="153"/>
        <v>DZ</v>
      </c>
      <c r="H2360" s="7">
        <v>5.7</v>
      </c>
      <c r="I2360" s="2" t="str">
        <f>"44121716"</f>
        <v>44121716</v>
      </c>
      <c r="J2360" s="2" t="s">
        <v>193</v>
      </c>
    </row>
    <row r="2361" spans="1:10" ht="38.25">
      <c r="A2361" s="9" t="s">
        <v>27</v>
      </c>
      <c r="B2361" s="2" t="s">
        <v>63</v>
      </c>
      <c r="C2361" s="2">
        <v>3202</v>
      </c>
      <c r="D2361" s="2">
        <v>11</v>
      </c>
      <c r="E2361" s="2" t="str">
        <f>"1000005306"</f>
        <v>1000005306</v>
      </c>
      <c r="F2361" s="4" t="str">
        <f>"PEN:3mm/Rd/Ul-Fn/Ex/Rl/bal~Executive rolling ball Arrowhead .3MM ultra Fine Tip Red"</f>
        <v>PEN:3mm/Rd/Ul-Fn/Ex/Rl/bal~Executive rolling ball Arrowhead .3MM ultra Fine Tip Red</v>
      </c>
      <c r="G2361" s="74" t="str">
        <f t="shared" si="153"/>
        <v>DZ</v>
      </c>
      <c r="H2361" s="7">
        <v>10.7</v>
      </c>
      <c r="I2361" s="2" t="str">
        <f>"44121701"</f>
        <v>44121701</v>
      </c>
      <c r="J2361" s="2" t="s">
        <v>187</v>
      </c>
    </row>
    <row r="2362" spans="1:10" ht="38.25">
      <c r="A2362" s="9" t="s">
        <v>27</v>
      </c>
      <c r="B2362" s="2" t="s">
        <v>63</v>
      </c>
      <c r="C2362" s="2">
        <v>3202</v>
      </c>
      <c r="D2362" s="2">
        <v>10</v>
      </c>
      <c r="E2362" s="2" t="str">
        <f>"1000005307"</f>
        <v>1000005307</v>
      </c>
      <c r="F2362" s="4" t="str">
        <f>"PEN:3mm/blk/Ul-Fn/Ex/Rl/bal~Executive rolling ball Arrowhead .3MM ultra Fine Tip Blue"</f>
        <v>PEN:3mm/blk/Ul-Fn/Ex/Rl/bal~Executive rolling ball Arrowhead .3MM ultra Fine Tip Blue</v>
      </c>
      <c r="G2362" s="74" t="str">
        <f t="shared" si="153"/>
        <v>DZ</v>
      </c>
      <c r="H2362" s="7">
        <v>10.7</v>
      </c>
      <c r="I2362" s="2" t="str">
        <f>"44121701"</f>
        <v>44121701</v>
      </c>
      <c r="J2362" s="2" t="s">
        <v>187</v>
      </c>
    </row>
    <row r="2363" spans="1:10" ht="25.5">
      <c r="A2363" s="9" t="s">
        <v>27</v>
      </c>
      <c r="B2363" s="2" t="s">
        <v>63</v>
      </c>
      <c r="C2363" s="2">
        <v>3202</v>
      </c>
      <c r="D2363" s="2">
        <v>108</v>
      </c>
      <c r="E2363" s="2" t="str">
        <f>"1000005339"</f>
        <v>1000005339</v>
      </c>
      <c r="F2363" s="4" t="str">
        <f>"HIGHLIGHTER:Flourescent Green, Broad Tip Marker"</f>
        <v>HIGHLIGHTER:Flourescent Green, Broad Tip Marker</v>
      </c>
      <c r="G2363" s="74" t="str">
        <f t="shared" si="153"/>
        <v>DZ</v>
      </c>
      <c r="H2363" s="7">
        <v>5.7</v>
      </c>
      <c r="I2363" s="2" t="str">
        <f>"44121716"</f>
        <v>44121716</v>
      </c>
      <c r="J2363" s="2" t="s">
        <v>193</v>
      </c>
    </row>
    <row r="2364" spans="1:10">
      <c r="A2364" s="9" t="s">
        <v>27</v>
      </c>
      <c r="B2364" s="2" t="s">
        <v>63</v>
      </c>
      <c r="C2364" s="2">
        <v>3202</v>
      </c>
      <c r="D2364" s="2">
        <v>22</v>
      </c>
      <c r="E2364" s="2" t="str">
        <f>"1000011921"</f>
        <v>1000011921</v>
      </c>
      <c r="F2364" s="4" t="str">
        <f>"PEN: Blu, Med point, retractable"</f>
        <v>PEN: Blu, Med point, retractable</v>
      </c>
      <c r="G2364" s="74" t="str">
        <f t="shared" si="153"/>
        <v>DZ</v>
      </c>
      <c r="H2364" s="7">
        <v>5.55</v>
      </c>
      <c r="I2364" s="2" t="str">
        <f t="shared" ref="I2364:I2378" si="154">"44121704"</f>
        <v>44121704</v>
      </c>
      <c r="J2364" s="2" t="s">
        <v>186</v>
      </c>
    </row>
    <row r="2365" spans="1:10">
      <c r="A2365" s="9" t="s">
        <v>27</v>
      </c>
      <c r="B2365" s="2" t="s">
        <v>63</v>
      </c>
      <c r="C2365" s="2">
        <v>3202</v>
      </c>
      <c r="D2365" s="2">
        <v>23</v>
      </c>
      <c r="E2365" s="2" t="str">
        <f>"1000011922"</f>
        <v>1000011922</v>
      </c>
      <c r="F2365" s="4" t="str">
        <f>"PEN: Red, Med point, retractable"</f>
        <v>PEN: Red, Med point, retractable</v>
      </c>
      <c r="G2365" s="74" t="str">
        <f t="shared" si="153"/>
        <v>DZ</v>
      </c>
      <c r="H2365" s="7">
        <v>5.55</v>
      </c>
      <c r="I2365" s="2" t="str">
        <f t="shared" si="154"/>
        <v>44121704</v>
      </c>
      <c r="J2365" s="2" t="s">
        <v>186</v>
      </c>
    </row>
    <row r="2366" spans="1:10" ht="51">
      <c r="A2366" s="9" t="s">
        <v>27</v>
      </c>
      <c r="B2366" s="2" t="s">
        <v>63</v>
      </c>
      <c r="C2366" s="2">
        <v>3202</v>
      </c>
      <c r="D2366" s="2">
        <v>40</v>
      </c>
      <c r="E2366" s="2" t="str">
        <f>"1000011924"</f>
        <v>1000011924</v>
      </c>
      <c r="F2366" s="4" t="str">
        <f>"PEN: Red, archival ink, gel, permanent and waterproof, retractable, rubber grip, big ink reservoir, Med point only, red, refillable"</f>
        <v>PEN: Red, archival ink, gel, permanent and waterproof, retractable, rubber grip, big ink reservoir, Med point only, red, refillable</v>
      </c>
      <c r="G2366" s="74" t="str">
        <f t="shared" si="153"/>
        <v>DZ</v>
      </c>
      <c r="H2366" s="7">
        <v>17</v>
      </c>
      <c r="I2366" s="2" t="str">
        <f t="shared" si="154"/>
        <v>44121704</v>
      </c>
      <c r="J2366" s="2" t="s">
        <v>186</v>
      </c>
    </row>
    <row r="2367" spans="1:10" ht="51">
      <c r="A2367" s="9" t="s">
        <v>27</v>
      </c>
      <c r="B2367" s="2" t="s">
        <v>63</v>
      </c>
      <c r="C2367" s="2">
        <v>3202</v>
      </c>
      <c r="D2367" s="2">
        <v>41</v>
      </c>
      <c r="E2367" s="2" t="str">
        <f>"1000011925"</f>
        <v>1000011925</v>
      </c>
      <c r="F2367" s="4" t="str">
        <f>"PEN: Blk, not refillable, archival ink, gel, permanent and waterproof, stick pen, rubber grip, big ink reservoir, Med point only"</f>
        <v>PEN: Blk, not refillable, archival ink, gel, permanent and waterproof, stick pen, rubber grip, big ink reservoir, Med point only</v>
      </c>
      <c r="G2367" s="74" t="str">
        <f t="shared" si="153"/>
        <v>DZ</v>
      </c>
      <c r="H2367" s="7">
        <v>17</v>
      </c>
      <c r="I2367" s="2" t="str">
        <f t="shared" si="154"/>
        <v>44121704</v>
      </c>
      <c r="J2367" s="2" t="s">
        <v>186</v>
      </c>
    </row>
    <row r="2368" spans="1:10" ht="51">
      <c r="A2368" s="9" t="s">
        <v>27</v>
      </c>
      <c r="B2368" s="2" t="s">
        <v>63</v>
      </c>
      <c r="C2368" s="2">
        <v>3202</v>
      </c>
      <c r="D2368" s="2">
        <v>42</v>
      </c>
      <c r="E2368" s="2" t="str">
        <f>"1000011926"</f>
        <v>1000011926</v>
      </c>
      <c r="F2368" s="4" t="str">
        <f>"PEN: Blu, not refillable, archival ink, gel, permanent and waterproof, stick pen, rubber grip, big ink reservoir, Med point only"</f>
        <v>PEN: Blu, not refillable, archival ink, gel, permanent and waterproof, stick pen, rubber grip, big ink reservoir, Med point only</v>
      </c>
      <c r="G2368" s="74" t="str">
        <f t="shared" si="153"/>
        <v>DZ</v>
      </c>
      <c r="H2368" s="7">
        <v>17</v>
      </c>
      <c r="I2368" s="2" t="str">
        <f t="shared" si="154"/>
        <v>44121704</v>
      </c>
      <c r="J2368" s="2" t="s">
        <v>186</v>
      </c>
    </row>
    <row r="2369" spans="1:10" ht="51">
      <c r="A2369" s="9" t="s">
        <v>27</v>
      </c>
      <c r="B2369" s="2" t="s">
        <v>63</v>
      </c>
      <c r="C2369" s="2">
        <v>3202</v>
      </c>
      <c r="D2369" s="2">
        <v>43</v>
      </c>
      <c r="E2369" s="2" t="str">
        <f>"1000011927"</f>
        <v>1000011927</v>
      </c>
      <c r="F2369" s="4" t="str">
        <f>"PEN: Red, not refillable, archival ink, gel, permanent and waterproof, stick pen, rubber grip, big ink reservoir, Med point only"</f>
        <v>PEN: Red, not refillable, archival ink, gel, permanent and waterproof, stick pen, rubber grip, big ink reservoir, Med point only</v>
      </c>
      <c r="G2369" s="74" t="str">
        <f t="shared" si="153"/>
        <v>DZ</v>
      </c>
      <c r="H2369" s="7">
        <v>17</v>
      </c>
      <c r="I2369" s="2" t="str">
        <f t="shared" si="154"/>
        <v>44121704</v>
      </c>
      <c r="J2369" s="2" t="s">
        <v>186</v>
      </c>
    </row>
    <row r="2370" spans="1:10" ht="38.25">
      <c r="A2370" s="9" t="s">
        <v>27</v>
      </c>
      <c r="B2370" s="2" t="s">
        <v>63</v>
      </c>
      <c r="C2370" s="2">
        <v>3202</v>
      </c>
      <c r="D2370" s="2">
        <v>44</v>
      </c>
      <c r="E2370" s="2" t="str">
        <f>"1000011928"</f>
        <v>1000011928</v>
      </c>
      <c r="F2370" s="4" t="str">
        <f>"PEN: Blk, fine point cushion grip, gel, archival ink, permanent and waterproof, imprint available, refillable"</f>
        <v>PEN: Blk, fine point cushion grip, gel, archival ink, permanent and waterproof, imprint available, refillable</v>
      </c>
      <c r="G2370" s="74" t="str">
        <f t="shared" si="153"/>
        <v>DZ</v>
      </c>
      <c r="H2370" s="7">
        <v>10</v>
      </c>
      <c r="I2370" s="2" t="str">
        <f t="shared" si="154"/>
        <v>44121704</v>
      </c>
      <c r="J2370" s="2" t="s">
        <v>186</v>
      </c>
    </row>
    <row r="2371" spans="1:10" ht="38.25">
      <c r="A2371" s="9" t="s">
        <v>27</v>
      </c>
      <c r="B2371" s="2" t="s">
        <v>63</v>
      </c>
      <c r="C2371" s="2">
        <v>3202</v>
      </c>
      <c r="D2371" s="2">
        <v>45</v>
      </c>
      <c r="E2371" s="2" t="str">
        <f>"1000011929"</f>
        <v>1000011929</v>
      </c>
      <c r="F2371" s="4" t="str">
        <f>"PEN: Blu, fine point cushion grip, gel, archival ink, permanent and waterproof, imprint available, refillable"</f>
        <v>PEN: Blu, fine point cushion grip, gel, archival ink, permanent and waterproof, imprint available, refillable</v>
      </c>
      <c r="G2371" s="74" t="str">
        <f t="shared" si="153"/>
        <v>DZ</v>
      </c>
      <c r="H2371" s="7">
        <v>10</v>
      </c>
      <c r="I2371" s="2" t="str">
        <f t="shared" si="154"/>
        <v>44121704</v>
      </c>
      <c r="J2371" s="2" t="s">
        <v>186</v>
      </c>
    </row>
    <row r="2372" spans="1:10" ht="38.25">
      <c r="A2372" s="9" t="s">
        <v>27</v>
      </c>
      <c r="B2372" s="2" t="s">
        <v>63</v>
      </c>
      <c r="C2372" s="2">
        <v>3202</v>
      </c>
      <c r="D2372" s="2">
        <v>46</v>
      </c>
      <c r="E2372" s="2" t="str">
        <f>"1000011930"</f>
        <v>1000011930</v>
      </c>
      <c r="F2372" s="4" t="str">
        <f>"PEN: Red, fine point cushion grip, gel, archival ink, permanent and waterproof, imprint available, refillable"</f>
        <v>PEN: Red, fine point cushion grip, gel, archival ink, permanent and waterproof, imprint available, refillable</v>
      </c>
      <c r="G2372" s="74" t="str">
        <f t="shared" si="153"/>
        <v>DZ</v>
      </c>
      <c r="H2372" s="7">
        <v>10</v>
      </c>
      <c r="I2372" s="2" t="str">
        <f t="shared" si="154"/>
        <v>44121704</v>
      </c>
      <c r="J2372" s="2" t="s">
        <v>186</v>
      </c>
    </row>
    <row r="2373" spans="1:10" ht="38.25">
      <c r="A2373" s="9" t="s">
        <v>27</v>
      </c>
      <c r="B2373" s="2" t="s">
        <v>63</v>
      </c>
      <c r="C2373" s="2">
        <v>3202</v>
      </c>
      <c r="D2373" s="2">
        <v>47</v>
      </c>
      <c r="E2373" s="2" t="str">
        <f>"1000011931"</f>
        <v>1000011931</v>
      </c>
      <c r="F2373" s="4" t="str">
        <f>"PEN: Blk, med point cushion grip, gel, archival ink, permanent and waterproof, imprint available, refillable"</f>
        <v>PEN: Blk, med point cushion grip, gel, archival ink, permanent and waterproof, imprint available, refillable</v>
      </c>
      <c r="G2373" s="74" t="str">
        <f t="shared" si="153"/>
        <v>DZ</v>
      </c>
      <c r="H2373" s="7">
        <v>10</v>
      </c>
      <c r="I2373" s="2" t="str">
        <f t="shared" si="154"/>
        <v>44121704</v>
      </c>
      <c r="J2373" s="2" t="s">
        <v>186</v>
      </c>
    </row>
    <row r="2374" spans="1:10">
      <c r="A2374" s="9" t="s">
        <v>27</v>
      </c>
      <c r="B2374" s="2" t="s">
        <v>63</v>
      </c>
      <c r="C2374" s="2">
        <v>3202</v>
      </c>
      <c r="D2374" s="2">
        <v>18</v>
      </c>
      <c r="E2374" s="2" t="str">
        <f>"1000011934"</f>
        <v>1000011934</v>
      </c>
      <c r="F2374" s="4" t="str">
        <f>"PEN: Blk, Fine point, retractable"</f>
        <v>PEN: Blk, Fine point, retractable</v>
      </c>
      <c r="G2374" s="74" t="str">
        <f t="shared" si="153"/>
        <v>DZ</v>
      </c>
      <c r="H2374" s="7">
        <v>5.55</v>
      </c>
      <c r="I2374" s="2" t="str">
        <f t="shared" si="154"/>
        <v>44121704</v>
      </c>
      <c r="J2374" s="2" t="s">
        <v>186</v>
      </c>
    </row>
    <row r="2375" spans="1:10">
      <c r="A2375" s="9" t="s">
        <v>27</v>
      </c>
      <c r="B2375" s="2" t="s">
        <v>63</v>
      </c>
      <c r="C2375" s="2">
        <v>3202</v>
      </c>
      <c r="D2375" s="2">
        <v>19</v>
      </c>
      <c r="E2375" s="2" t="str">
        <f>"1000011935"</f>
        <v>1000011935</v>
      </c>
      <c r="F2375" s="4" t="str">
        <f>"PEN: Blu, Fine point, retractable"</f>
        <v>PEN: Blu, Fine point, retractable</v>
      </c>
      <c r="G2375" s="74" t="str">
        <f t="shared" si="153"/>
        <v>DZ</v>
      </c>
      <c r="H2375" s="7">
        <v>5.55</v>
      </c>
      <c r="I2375" s="2" t="str">
        <f t="shared" si="154"/>
        <v>44121704</v>
      </c>
      <c r="J2375" s="2" t="s">
        <v>186</v>
      </c>
    </row>
    <row r="2376" spans="1:10">
      <c r="A2376" s="9" t="s">
        <v>27</v>
      </c>
      <c r="B2376" s="2" t="s">
        <v>63</v>
      </c>
      <c r="C2376" s="2">
        <v>3202</v>
      </c>
      <c r="D2376" s="2">
        <v>20</v>
      </c>
      <c r="E2376" s="2" t="str">
        <f>"1000011936"</f>
        <v>1000011936</v>
      </c>
      <c r="F2376" s="93" t="str">
        <f>"PEN: Red, Fine point, retractable"</f>
        <v>PEN: Red, Fine point, retractable</v>
      </c>
      <c r="G2376" s="74" t="str">
        <f t="shared" si="153"/>
        <v>DZ</v>
      </c>
      <c r="H2376" s="7">
        <v>5.55</v>
      </c>
      <c r="I2376" s="95" t="str">
        <f t="shared" si="154"/>
        <v>44121704</v>
      </c>
      <c r="J2376" s="2" t="s">
        <v>186</v>
      </c>
    </row>
    <row r="2377" spans="1:10">
      <c r="A2377" s="9" t="s">
        <v>27</v>
      </c>
      <c r="B2377" s="2" t="s">
        <v>63</v>
      </c>
      <c r="C2377" s="2">
        <v>3202</v>
      </c>
      <c r="D2377" s="2">
        <v>21</v>
      </c>
      <c r="E2377" s="2" t="str">
        <f>"1000011937"</f>
        <v>1000011937</v>
      </c>
      <c r="F2377" s="93" t="str">
        <f>"PEN: Blk, Med point, retractable"</f>
        <v>PEN: Blk, Med point, retractable</v>
      </c>
      <c r="G2377" s="74" t="str">
        <f t="shared" si="153"/>
        <v>DZ</v>
      </c>
      <c r="H2377" s="7">
        <v>5.55</v>
      </c>
      <c r="I2377" s="95" t="str">
        <f t="shared" si="154"/>
        <v>44121704</v>
      </c>
      <c r="J2377" s="2" t="s">
        <v>186</v>
      </c>
    </row>
    <row r="2378" spans="1:10" ht="38.25">
      <c r="A2378" s="9" t="s">
        <v>27</v>
      </c>
      <c r="B2378" s="2" t="s">
        <v>63</v>
      </c>
      <c r="C2378" s="2">
        <v>3202</v>
      </c>
      <c r="D2378" s="2">
        <v>53</v>
      </c>
      <c r="E2378" s="2" t="str">
        <f>"1000011938"</f>
        <v>1000011938</v>
      </c>
      <c r="F2378" s="93" t="str">
        <f>"PEN: Unprintable, Blu, med point, gel, archival ink, retractable, permanent and waterproof, refillable, cushion grip"</f>
        <v>PEN: Unprintable, Blu, med point, gel, archival ink, retractable, permanent and waterproof, refillable, cushion grip</v>
      </c>
      <c r="G2378" s="74" t="str">
        <f t="shared" si="153"/>
        <v>DZ</v>
      </c>
      <c r="H2378" s="7">
        <v>16.3</v>
      </c>
      <c r="I2378" s="95" t="str">
        <f t="shared" si="154"/>
        <v>44121704</v>
      </c>
      <c r="J2378" s="2" t="s">
        <v>186</v>
      </c>
    </row>
    <row r="2379" spans="1:10">
      <c r="A2379" s="9" t="s">
        <v>27</v>
      </c>
      <c r="B2379" s="2" t="s">
        <v>63</v>
      </c>
      <c r="C2379" s="2">
        <v>3202</v>
      </c>
      <c r="D2379" s="2">
        <v>126</v>
      </c>
      <c r="E2379" s="2" t="str">
        <f>"1000011940"</f>
        <v>1000011940</v>
      </c>
      <c r="F2379" s="154" t="str">
        <f>"PEN: Blk, Fine point, rolling ball"</f>
        <v>PEN: Blk, Fine point, rolling ball</v>
      </c>
      <c r="G2379" s="74" t="str">
        <f t="shared" si="153"/>
        <v>DZ</v>
      </c>
      <c r="H2379" s="7">
        <v>9.8000000000000007</v>
      </c>
      <c r="I2379" s="156" t="str">
        <f t="shared" ref="I2379:I2384" si="155">"44121701"</f>
        <v>44121701</v>
      </c>
      <c r="J2379" s="2" t="s">
        <v>187</v>
      </c>
    </row>
    <row r="2380" spans="1:10">
      <c r="A2380" s="9" t="s">
        <v>27</v>
      </c>
      <c r="B2380" s="2" t="s">
        <v>63</v>
      </c>
      <c r="C2380" s="2">
        <v>3202</v>
      </c>
      <c r="D2380" s="2">
        <v>127</v>
      </c>
      <c r="E2380" s="2" t="str">
        <f>"1000011941"</f>
        <v>1000011941</v>
      </c>
      <c r="F2380" s="4" t="str">
        <f>"PEN: Blu, Fine point, rolling ball"</f>
        <v>PEN: Blu, Fine point, rolling ball</v>
      </c>
      <c r="G2380" s="74" t="str">
        <f t="shared" si="153"/>
        <v>DZ</v>
      </c>
      <c r="H2380" s="7">
        <v>9.8000000000000007</v>
      </c>
      <c r="I2380" s="2" t="str">
        <f t="shared" si="155"/>
        <v>44121701</v>
      </c>
      <c r="J2380" s="2" t="s">
        <v>187</v>
      </c>
    </row>
    <row r="2381" spans="1:10">
      <c r="A2381" s="9" t="s">
        <v>27</v>
      </c>
      <c r="B2381" s="2" t="s">
        <v>63</v>
      </c>
      <c r="C2381" s="2">
        <v>3202</v>
      </c>
      <c r="D2381" s="2">
        <v>128</v>
      </c>
      <c r="E2381" s="2" t="str">
        <f>"1000011942"</f>
        <v>1000011942</v>
      </c>
      <c r="F2381" s="4" t="str">
        <f>"PEN: Red, Fine point, rolling ball"</f>
        <v>PEN: Red, Fine point, rolling ball</v>
      </c>
      <c r="G2381" s="74" t="str">
        <f t="shared" si="153"/>
        <v>DZ</v>
      </c>
      <c r="H2381" s="7">
        <v>9.8000000000000007</v>
      </c>
      <c r="I2381" s="2" t="str">
        <f t="shared" si="155"/>
        <v>44121701</v>
      </c>
      <c r="J2381" s="2" t="s">
        <v>187</v>
      </c>
    </row>
    <row r="2382" spans="1:10">
      <c r="A2382" s="9" t="s">
        <v>27</v>
      </c>
      <c r="B2382" s="2" t="s">
        <v>63</v>
      </c>
      <c r="C2382" s="2">
        <v>3202</v>
      </c>
      <c r="D2382" s="2">
        <v>129</v>
      </c>
      <c r="E2382" s="2" t="str">
        <f>"1000011943"</f>
        <v>1000011943</v>
      </c>
      <c r="F2382" s="4" t="str">
        <f>"PEN: Blk, Med point, rolling ball"</f>
        <v>PEN: Blk, Med point, rolling ball</v>
      </c>
      <c r="G2382" s="74" t="str">
        <f t="shared" si="153"/>
        <v>DZ</v>
      </c>
      <c r="H2382" s="7">
        <v>9.8000000000000007</v>
      </c>
      <c r="I2382" s="2" t="str">
        <f t="shared" si="155"/>
        <v>44121701</v>
      </c>
      <c r="J2382" s="2" t="s">
        <v>187</v>
      </c>
    </row>
    <row r="2383" spans="1:10">
      <c r="A2383" s="9" t="s">
        <v>27</v>
      </c>
      <c r="B2383" s="2" t="s">
        <v>63</v>
      </c>
      <c r="C2383" s="2">
        <v>3202</v>
      </c>
      <c r="D2383" s="2">
        <v>130</v>
      </c>
      <c r="E2383" s="2" t="str">
        <f>"1000011944"</f>
        <v>1000011944</v>
      </c>
      <c r="F2383" s="4" t="str">
        <f>"PEN: Blu, Med point, rolling ball"</f>
        <v>PEN: Blu, Med point, rolling ball</v>
      </c>
      <c r="G2383" s="74" t="str">
        <f t="shared" si="153"/>
        <v>DZ</v>
      </c>
      <c r="H2383" s="7">
        <v>9.8000000000000007</v>
      </c>
      <c r="I2383" s="2" t="str">
        <f t="shared" si="155"/>
        <v>44121701</v>
      </c>
      <c r="J2383" s="2" t="s">
        <v>187</v>
      </c>
    </row>
    <row r="2384" spans="1:10">
      <c r="A2384" s="9" t="s">
        <v>27</v>
      </c>
      <c r="B2384" s="2" t="s">
        <v>63</v>
      </c>
      <c r="C2384" s="2">
        <v>3202</v>
      </c>
      <c r="D2384" s="2">
        <v>131</v>
      </c>
      <c r="E2384" s="2" t="str">
        <f>"1000011945"</f>
        <v>1000011945</v>
      </c>
      <c r="F2384" s="4" t="str">
        <f>"PEN: Red, Med point, rolling ball"</f>
        <v>PEN: Red, Med point, rolling ball</v>
      </c>
      <c r="G2384" s="74" t="str">
        <f t="shared" si="153"/>
        <v>DZ</v>
      </c>
      <c r="H2384" s="7">
        <v>9.8000000000000007</v>
      </c>
      <c r="I2384" s="2" t="str">
        <f t="shared" si="155"/>
        <v>44121701</v>
      </c>
      <c r="J2384" s="2" t="s">
        <v>187</v>
      </c>
    </row>
    <row r="2385" spans="1:10">
      <c r="A2385" s="9" t="s">
        <v>27</v>
      </c>
      <c r="B2385" s="2" t="s">
        <v>63</v>
      </c>
      <c r="C2385" s="2">
        <v>3202</v>
      </c>
      <c r="D2385" s="2">
        <v>84</v>
      </c>
      <c r="E2385" s="2" t="str">
        <f>"1000011946"</f>
        <v>1000011946</v>
      </c>
      <c r="F2385" s="4" t="str">
        <f>"MARKER: Blk, Bold Mark Jr., permanent ink"</f>
        <v>MARKER: Blk, Bold Mark Jr., permanent ink</v>
      </c>
      <c r="G2385" s="74" t="str">
        <f t="shared" si="153"/>
        <v>DZ</v>
      </c>
      <c r="H2385" s="7">
        <v>10</v>
      </c>
      <c r="I2385" s="2" t="str">
        <f>"44121708"</f>
        <v>44121708</v>
      </c>
      <c r="J2385" s="2" t="s">
        <v>191</v>
      </c>
    </row>
    <row r="2386" spans="1:10" ht="38.25">
      <c r="A2386" s="9" t="s">
        <v>27</v>
      </c>
      <c r="B2386" s="2" t="s">
        <v>63</v>
      </c>
      <c r="C2386" s="2">
        <v>3202</v>
      </c>
      <c r="D2386" s="2">
        <v>37</v>
      </c>
      <c r="E2386" s="2" t="str">
        <f>"1000011949"</f>
        <v>1000011949</v>
      </c>
      <c r="F2386" s="4" t="str">
        <f>"PEN: No Eraser, Blk barrel, ball point, stick pen, easy, free flow ink in Med point only, minature disposable, ink color: Blk only"</f>
        <v>PEN: No Eraser, Blk barrel, ball point, stick pen, easy, free flow ink in Med point only, minature disposable, ink color: Blk only</v>
      </c>
      <c r="G2386" s="74" t="str">
        <f>"EA"</f>
        <v>EA</v>
      </c>
      <c r="H2386" s="7">
        <v>0.18</v>
      </c>
      <c r="I2386" s="2" t="str">
        <f>"44121704"</f>
        <v>44121704</v>
      </c>
      <c r="J2386" s="2" t="s">
        <v>186</v>
      </c>
    </row>
    <row r="2387" spans="1:10" ht="51">
      <c r="A2387" s="9" t="s">
        <v>27</v>
      </c>
      <c r="B2387" s="2" t="s">
        <v>63</v>
      </c>
      <c r="C2387" s="2">
        <v>3202</v>
      </c>
      <c r="D2387" s="2">
        <v>38</v>
      </c>
      <c r="E2387" s="2" t="str">
        <f>"1000011950"</f>
        <v>1000011950</v>
      </c>
      <c r="F2387" s="4" t="str">
        <f>"PEN: Blk, archival ink, gel, permanent and waterproof, retractable, rubber grip, big ink reservoir, Med point only, Blk, refillable"</f>
        <v>PEN: Blk, archival ink, gel, permanent and waterproof, retractable, rubber grip, big ink reservoir, Med point only, Blk, refillable</v>
      </c>
      <c r="G2387" s="74" t="str">
        <f t="shared" ref="G2387:G2405" si="156">"DZ"</f>
        <v>DZ</v>
      </c>
      <c r="H2387" s="7">
        <v>17</v>
      </c>
      <c r="I2387" s="2" t="str">
        <f>"44121704"</f>
        <v>44121704</v>
      </c>
      <c r="J2387" s="2" t="s">
        <v>186</v>
      </c>
    </row>
    <row r="2388" spans="1:10" ht="51">
      <c r="A2388" s="9" t="s">
        <v>27</v>
      </c>
      <c r="B2388" s="2" t="s">
        <v>63</v>
      </c>
      <c r="C2388" s="2">
        <v>3202</v>
      </c>
      <c r="D2388" s="2">
        <v>39</v>
      </c>
      <c r="E2388" s="2" t="str">
        <f>"1000011951"</f>
        <v>1000011951</v>
      </c>
      <c r="F2388" s="4" t="str">
        <f>"PEN: Blu, archival ink, gel, permanent and waterproof, retractable, rubber grip, big ink reservoir, Med point only, Blu, refillable"</f>
        <v>PEN: Blu, archival ink, gel, permanent and waterproof, retractable, rubber grip, big ink reservoir, Med point only, Blu, refillable</v>
      </c>
      <c r="G2388" s="74" t="str">
        <f t="shared" si="156"/>
        <v>DZ</v>
      </c>
      <c r="H2388" s="7">
        <v>17</v>
      </c>
      <c r="I2388" s="2" t="str">
        <f>"44121704"</f>
        <v>44121704</v>
      </c>
      <c r="J2388" s="2" t="s">
        <v>186</v>
      </c>
    </row>
    <row r="2389" spans="1:10">
      <c r="A2389" s="9" t="s">
        <v>27</v>
      </c>
      <c r="B2389" s="2" t="s">
        <v>63</v>
      </c>
      <c r="C2389" s="2">
        <v>3202</v>
      </c>
      <c r="D2389" s="2">
        <v>132</v>
      </c>
      <c r="E2389" s="2" t="str">
        <f>"1000011952"</f>
        <v>1000011952</v>
      </c>
      <c r="F2389" s="4" t="str">
        <f>"REFILL: Blk, logo premier bubble top pen"</f>
        <v>REFILL: Blk, logo premier bubble top pen</v>
      </c>
      <c r="G2389" s="74" t="str">
        <f t="shared" si="156"/>
        <v>DZ</v>
      </c>
      <c r="H2389" s="7">
        <v>1</v>
      </c>
      <c r="I2389" s="2" t="str">
        <f>"44121900"</f>
        <v>44121900</v>
      </c>
      <c r="J2389" s="2" t="s">
        <v>189</v>
      </c>
    </row>
    <row r="2390" spans="1:10">
      <c r="A2390" s="9" t="s">
        <v>27</v>
      </c>
      <c r="B2390" s="2" t="s">
        <v>63</v>
      </c>
      <c r="C2390" s="2">
        <v>3202</v>
      </c>
      <c r="D2390" s="2">
        <v>133</v>
      </c>
      <c r="E2390" s="2" t="str">
        <f>"1000011953"</f>
        <v>1000011953</v>
      </c>
      <c r="F2390" s="4" t="str">
        <f>"REFILL: Blu, logo premier bubble top pen"</f>
        <v>REFILL: Blu, logo premier bubble top pen</v>
      </c>
      <c r="G2390" s="74" t="str">
        <f t="shared" si="156"/>
        <v>DZ</v>
      </c>
      <c r="H2390" s="7">
        <v>1</v>
      </c>
      <c r="I2390" s="2" t="str">
        <f>"44121900"</f>
        <v>44121900</v>
      </c>
      <c r="J2390" s="2" t="s">
        <v>189</v>
      </c>
    </row>
    <row r="2391" spans="1:10" ht="38.25">
      <c r="A2391" s="9" t="s">
        <v>27</v>
      </c>
      <c r="B2391" s="2" t="s">
        <v>63</v>
      </c>
      <c r="C2391" s="2">
        <v>3202</v>
      </c>
      <c r="D2391" s="2">
        <v>48</v>
      </c>
      <c r="E2391" s="2" t="str">
        <f>"1000011960"</f>
        <v>1000011960</v>
      </c>
      <c r="F2391" s="4" t="str">
        <f>"PEN: Blu, med point cushion grip, gel, archival ink, permanent and waterproof, imprint available, refillable"</f>
        <v>PEN: Blu, med point cushion grip, gel, archival ink, permanent and waterproof, imprint available, refillable</v>
      </c>
      <c r="G2391" s="74" t="str">
        <f t="shared" si="156"/>
        <v>DZ</v>
      </c>
      <c r="H2391" s="7">
        <v>10</v>
      </c>
      <c r="I2391" s="2" t="str">
        <f t="shared" ref="I2391:I2402" si="157">"44121704"</f>
        <v>44121704</v>
      </c>
      <c r="J2391" s="2" t="s">
        <v>186</v>
      </c>
    </row>
    <row r="2392" spans="1:10" ht="38.25">
      <c r="A2392" s="9" t="s">
        <v>27</v>
      </c>
      <c r="B2392" s="2" t="s">
        <v>63</v>
      </c>
      <c r="C2392" s="2">
        <v>3202</v>
      </c>
      <c r="D2392" s="2">
        <v>49</v>
      </c>
      <c r="E2392" s="2" t="str">
        <f>"1000011961"</f>
        <v>1000011961</v>
      </c>
      <c r="F2392" s="4" t="str">
        <f>"PEN: Red, med point cushion grip, gel, archival ink, permanent and waterproof, imprint available, refillable"</f>
        <v>PEN: Red, med point cushion grip, gel, archival ink, permanent and waterproof, imprint available, refillable</v>
      </c>
      <c r="G2392" s="74" t="str">
        <f t="shared" si="156"/>
        <v>DZ</v>
      </c>
      <c r="H2392" s="7">
        <v>10</v>
      </c>
      <c r="I2392" s="2" t="str">
        <f t="shared" si="157"/>
        <v>44121704</v>
      </c>
      <c r="J2392" s="2" t="s">
        <v>186</v>
      </c>
    </row>
    <row r="2393" spans="1:10" ht="38.25">
      <c r="A2393" s="9" t="s">
        <v>27</v>
      </c>
      <c r="B2393" s="2" t="s">
        <v>63</v>
      </c>
      <c r="C2393" s="2">
        <v>3202</v>
      </c>
      <c r="D2393" s="2">
        <v>50</v>
      </c>
      <c r="E2393" s="2" t="str">
        <f>"1000011962"</f>
        <v>1000011962</v>
      </c>
      <c r="F2393" s="4" t="str">
        <f>"PEN: Unprintable, Blk, fine point, gel, archival ink, retractable, permanent and waterproof, refillable, cushion grip"</f>
        <v>PEN: Unprintable, Blk, fine point, gel, archival ink, retractable, permanent and waterproof, refillable, cushion grip</v>
      </c>
      <c r="G2393" s="74" t="str">
        <f t="shared" si="156"/>
        <v>DZ</v>
      </c>
      <c r="H2393" s="7">
        <v>16.3</v>
      </c>
      <c r="I2393" s="2" t="str">
        <f t="shared" si="157"/>
        <v>44121704</v>
      </c>
      <c r="J2393" s="2" t="s">
        <v>186</v>
      </c>
    </row>
    <row r="2394" spans="1:10" ht="38.25">
      <c r="A2394" s="9" t="s">
        <v>27</v>
      </c>
      <c r="B2394" s="2" t="s">
        <v>63</v>
      </c>
      <c r="C2394" s="2">
        <v>3202</v>
      </c>
      <c r="D2394" s="2">
        <v>51</v>
      </c>
      <c r="E2394" s="2" t="str">
        <f>"1000011963"</f>
        <v>1000011963</v>
      </c>
      <c r="F2394" s="4" t="str">
        <f>"PEN: Unprintable, Blu, fine point, gel, archival ink, retractable, permanent and waterproof, refillable, cushion grip"</f>
        <v>PEN: Unprintable, Blu, fine point, gel, archival ink, retractable, permanent and waterproof, refillable, cushion grip</v>
      </c>
      <c r="G2394" s="74" t="str">
        <f t="shared" si="156"/>
        <v>DZ</v>
      </c>
      <c r="H2394" s="7">
        <v>16.3</v>
      </c>
      <c r="I2394" s="2" t="str">
        <f t="shared" si="157"/>
        <v>44121704</v>
      </c>
      <c r="J2394" s="2" t="s">
        <v>186</v>
      </c>
    </row>
    <row r="2395" spans="1:10" ht="38.25">
      <c r="A2395" s="9" t="s">
        <v>27</v>
      </c>
      <c r="B2395" s="2" t="s">
        <v>63</v>
      </c>
      <c r="C2395" s="2">
        <v>3202</v>
      </c>
      <c r="D2395" s="2">
        <v>52</v>
      </c>
      <c r="E2395" s="2" t="str">
        <f>"1000011965"</f>
        <v>1000011965</v>
      </c>
      <c r="F2395" s="4" t="str">
        <f>"PEN: Unprintable, Blk, med point, gel, archival ink, retractable, permanent and waterproof, refillable, cushion grip"</f>
        <v>PEN: Unprintable, Blk, med point, gel, archival ink, retractable, permanent and waterproof, refillable, cushion grip</v>
      </c>
      <c r="G2395" s="74" t="str">
        <f t="shared" si="156"/>
        <v>DZ</v>
      </c>
      <c r="H2395" s="7">
        <v>16.3</v>
      </c>
      <c r="I2395" s="2" t="str">
        <f t="shared" si="157"/>
        <v>44121704</v>
      </c>
      <c r="J2395" s="2" t="s">
        <v>186</v>
      </c>
    </row>
    <row r="2396" spans="1:10" ht="25.5">
      <c r="A2396" s="9" t="s">
        <v>27</v>
      </c>
      <c r="B2396" s="2" t="s">
        <v>63</v>
      </c>
      <c r="C2396" s="2">
        <v>3202</v>
      </c>
      <c r="D2396" s="2">
        <v>145</v>
      </c>
      <c r="E2396" s="2" t="str">
        <f>"1000011966"</f>
        <v>1000011966</v>
      </c>
      <c r="F2396" s="4" t="str">
        <f>"PEN: Blu, easy grip, fine point, retractable, ball point, clear barrel"</f>
        <v>PEN: Blu, easy grip, fine point, retractable, ball point, clear barrel</v>
      </c>
      <c r="G2396" s="74" t="str">
        <f t="shared" si="156"/>
        <v>DZ</v>
      </c>
      <c r="H2396" s="7">
        <v>9</v>
      </c>
      <c r="I2396" s="2" t="str">
        <f t="shared" si="157"/>
        <v>44121704</v>
      </c>
      <c r="J2396" s="10" t="s">
        <v>186</v>
      </c>
    </row>
    <row r="2397" spans="1:10" ht="25.5">
      <c r="A2397" s="9" t="s">
        <v>27</v>
      </c>
      <c r="B2397" s="2" t="s">
        <v>63</v>
      </c>
      <c r="C2397" s="2">
        <v>3202</v>
      </c>
      <c r="D2397" s="2">
        <v>146</v>
      </c>
      <c r="E2397" s="2" t="str">
        <f>"1000011967"</f>
        <v>1000011967</v>
      </c>
      <c r="F2397" s="4" t="str">
        <f>"PEN: Blk, easy grip, med point, retractable, ball point, clear barrel"</f>
        <v>PEN: Blk, easy grip, med point, retractable, ball point, clear barrel</v>
      </c>
      <c r="G2397" s="74" t="str">
        <f t="shared" si="156"/>
        <v>DZ</v>
      </c>
      <c r="H2397" s="7">
        <v>9</v>
      </c>
      <c r="I2397" s="2" t="str">
        <f t="shared" si="157"/>
        <v>44121704</v>
      </c>
      <c r="J2397" s="10" t="s">
        <v>186</v>
      </c>
    </row>
    <row r="2398" spans="1:10" ht="25.5">
      <c r="A2398" s="9" t="s">
        <v>27</v>
      </c>
      <c r="B2398" s="2" t="s">
        <v>63</v>
      </c>
      <c r="C2398" s="2">
        <v>3202</v>
      </c>
      <c r="D2398" s="2">
        <v>147</v>
      </c>
      <c r="E2398" s="2" t="str">
        <f>"1000011968"</f>
        <v>1000011968</v>
      </c>
      <c r="F2398" s="4" t="str">
        <f>"PEN: Blu, easy grip, med point, retractable, ball point, clear barrel"</f>
        <v>PEN: Blu, easy grip, med point, retractable, ball point, clear barrel</v>
      </c>
      <c r="G2398" s="74" t="str">
        <f t="shared" si="156"/>
        <v>DZ</v>
      </c>
      <c r="H2398" s="7">
        <v>9</v>
      </c>
      <c r="I2398" s="2" t="str">
        <f t="shared" si="157"/>
        <v>44121704</v>
      </c>
      <c r="J2398" s="10" t="s">
        <v>186</v>
      </c>
    </row>
    <row r="2399" spans="1:10" ht="25.5">
      <c r="A2399" s="9" t="s">
        <v>27</v>
      </c>
      <c r="B2399" s="2" t="s">
        <v>63</v>
      </c>
      <c r="C2399" s="2">
        <v>3202</v>
      </c>
      <c r="D2399" s="2">
        <v>148</v>
      </c>
      <c r="E2399" s="2" t="str">
        <f>"1000011969"</f>
        <v>1000011969</v>
      </c>
      <c r="F2399" s="4" t="str">
        <f>"PEN: Red easy grip, med point, retractable, ball point, clear barrel"</f>
        <v>PEN: Red easy grip, med point, retractable, ball point, clear barrel</v>
      </c>
      <c r="G2399" s="74" t="str">
        <f t="shared" si="156"/>
        <v>DZ</v>
      </c>
      <c r="H2399" s="7">
        <v>9</v>
      </c>
      <c r="I2399" s="2" t="str">
        <f t="shared" si="157"/>
        <v>44121704</v>
      </c>
      <c r="J2399" s="10" t="s">
        <v>186</v>
      </c>
    </row>
    <row r="2400" spans="1:10" ht="51">
      <c r="A2400" s="9" t="s">
        <v>27</v>
      </c>
      <c r="B2400" s="2" t="s">
        <v>63</v>
      </c>
      <c r="C2400" s="2">
        <v>3202</v>
      </c>
      <c r="D2400" s="2">
        <v>149</v>
      </c>
      <c r="E2400" s="2" t="str">
        <f>"1000011971"</f>
        <v>1000011971</v>
      </c>
      <c r="F2400" s="4" t="str">
        <f>"PEN: Blk, triangular cushioned grip, ergonomic, push button top advances the tip while the push button side retracts the tip. Pentel Wow!"</f>
        <v>PEN: Blk, triangular cushioned grip, ergonomic, push button top advances the tip while the push button side retracts the tip. Pentel Wow!</v>
      </c>
      <c r="G2400" s="74" t="str">
        <f t="shared" si="156"/>
        <v>DZ</v>
      </c>
      <c r="H2400" s="7">
        <v>6.25</v>
      </c>
      <c r="I2400" s="2" t="str">
        <f t="shared" si="157"/>
        <v>44121704</v>
      </c>
      <c r="J2400" s="10" t="s">
        <v>186</v>
      </c>
    </row>
    <row r="2401" spans="1:10" ht="51">
      <c r="A2401" s="9" t="s">
        <v>27</v>
      </c>
      <c r="B2401" s="2" t="s">
        <v>63</v>
      </c>
      <c r="C2401" s="2">
        <v>3202</v>
      </c>
      <c r="D2401" s="2">
        <v>150</v>
      </c>
      <c r="E2401" s="2" t="str">
        <f>"1000011972"</f>
        <v>1000011972</v>
      </c>
      <c r="F2401" s="4" t="str">
        <f>"PEN: Blu, triangular cushioned grip, ergonomic, push button top advances the tip while the push button side retracts the tip. Pentel Wow!"</f>
        <v>PEN: Blu, triangular cushioned grip, ergonomic, push button top advances the tip while the push button side retracts the tip. Pentel Wow!</v>
      </c>
      <c r="G2401" s="74" t="str">
        <f t="shared" si="156"/>
        <v>DZ</v>
      </c>
      <c r="H2401" s="7">
        <v>6.25</v>
      </c>
      <c r="I2401" s="2" t="str">
        <f t="shared" si="157"/>
        <v>44121704</v>
      </c>
      <c r="J2401" s="10" t="s">
        <v>186</v>
      </c>
    </row>
    <row r="2402" spans="1:10" ht="51">
      <c r="A2402" s="9" t="s">
        <v>27</v>
      </c>
      <c r="B2402" s="2" t="s">
        <v>63</v>
      </c>
      <c r="C2402" s="2">
        <v>3202</v>
      </c>
      <c r="D2402" s="2">
        <v>151</v>
      </c>
      <c r="E2402" s="2" t="str">
        <f>"1000011973"</f>
        <v>1000011973</v>
      </c>
      <c r="F2402" s="4" t="str">
        <f>"PEN: Red, triangular cushioned grip, ergonomic, push button top advances the tip while the push button side retracts the tip. Pentel Wow!"</f>
        <v>PEN: Red, triangular cushioned grip, ergonomic, push button top advances the tip while the push button side retracts the tip. Pentel Wow!</v>
      </c>
      <c r="G2402" s="74" t="str">
        <f t="shared" si="156"/>
        <v>DZ</v>
      </c>
      <c r="H2402" s="7">
        <v>6.25</v>
      </c>
      <c r="I2402" s="2" t="str">
        <f t="shared" si="157"/>
        <v>44121704</v>
      </c>
      <c r="J2402" s="10" t="s">
        <v>186</v>
      </c>
    </row>
    <row r="2403" spans="1:10" ht="25.5">
      <c r="A2403" s="9" t="s">
        <v>27</v>
      </c>
      <c r="B2403" s="2" t="s">
        <v>63</v>
      </c>
      <c r="C2403" s="2">
        <v>3202</v>
      </c>
      <c r="D2403" s="2">
        <v>85</v>
      </c>
      <c r="E2403" s="2" t="str">
        <f>"1000011975"</f>
        <v>1000011975</v>
      </c>
      <c r="F2403" s="4" t="str">
        <f>"MARKER: Blk, ultra fine tip, rubberized barrel"</f>
        <v>MARKER: Blk, ultra fine tip, rubberized barrel</v>
      </c>
      <c r="G2403" s="74" t="str">
        <f t="shared" si="156"/>
        <v>DZ</v>
      </c>
      <c r="H2403" s="7">
        <v>14</v>
      </c>
      <c r="I2403" s="2" t="str">
        <f>"44121708"</f>
        <v>44121708</v>
      </c>
      <c r="J2403" s="10" t="s">
        <v>191</v>
      </c>
    </row>
    <row r="2404" spans="1:10" ht="25.5">
      <c r="A2404" s="9" t="s">
        <v>27</v>
      </c>
      <c r="B2404" s="2" t="s">
        <v>63</v>
      </c>
      <c r="C2404" s="2">
        <v>3202</v>
      </c>
      <c r="D2404" s="2">
        <v>86</v>
      </c>
      <c r="E2404" s="2" t="str">
        <f>"1000011976"</f>
        <v>1000011976</v>
      </c>
      <c r="F2404" s="4" t="str">
        <f>"MARKER: Blu, ultra fine tip, rubberized barrel"</f>
        <v>MARKER: Blu, ultra fine tip, rubberized barrel</v>
      </c>
      <c r="G2404" s="74" t="str">
        <f t="shared" si="156"/>
        <v>DZ</v>
      </c>
      <c r="H2404" s="7">
        <v>14</v>
      </c>
      <c r="I2404" s="2" t="str">
        <f>"44121708"</f>
        <v>44121708</v>
      </c>
      <c r="J2404" s="2" t="s">
        <v>191</v>
      </c>
    </row>
    <row r="2405" spans="1:10" ht="25.5">
      <c r="A2405" s="9" t="s">
        <v>27</v>
      </c>
      <c r="B2405" s="2" t="s">
        <v>63</v>
      </c>
      <c r="C2405" s="2">
        <v>3202</v>
      </c>
      <c r="D2405" s="2">
        <v>87</v>
      </c>
      <c r="E2405" s="2" t="str">
        <f>"1000011977"</f>
        <v>1000011977</v>
      </c>
      <c r="F2405" s="4" t="str">
        <f>"MARKER: Red, ultra fine tip, rubberized barrel"</f>
        <v>MARKER: Red, ultra fine tip, rubberized barrel</v>
      </c>
      <c r="G2405" s="74" t="str">
        <f t="shared" si="156"/>
        <v>DZ</v>
      </c>
      <c r="H2405" s="7">
        <v>14</v>
      </c>
      <c r="I2405" s="2" t="str">
        <f>"44121708"</f>
        <v>44121708</v>
      </c>
      <c r="J2405" s="2" t="s">
        <v>191</v>
      </c>
    </row>
    <row r="2406" spans="1:10" ht="76.5">
      <c r="A2406" s="9" t="s">
        <v>27</v>
      </c>
      <c r="B2406" s="2" t="s">
        <v>63</v>
      </c>
      <c r="C2406" s="2">
        <v>3202</v>
      </c>
      <c r="D2406" s="2">
        <v>142</v>
      </c>
      <c r="E2406" s="2" t="str">
        <f>"1000011978"</f>
        <v>1000011978</v>
      </c>
      <c r="F2406" s="4" t="str">
        <f>"PEN: Blk Barrel w/ Chrome Trim, logo premier bubble top pen, blue, Med ball point only, twist to open, full color OK State Seal under cap, custom imprint on barrel, refills available, logo imprint available, inquire for minimum order"</f>
        <v>PEN: Blk Barrel w/ Chrome Trim, logo premier bubble top pen, blue, Med ball point only, twist to open, full color OK State Seal under cap, custom imprint on barrel, refills available, logo imprint available, inquire for minimum order</v>
      </c>
      <c r="G2406" s="74" t="str">
        <f>"EA"</f>
        <v>EA</v>
      </c>
      <c r="H2406" s="7">
        <v>5.5</v>
      </c>
      <c r="I2406" s="2" t="str">
        <f>"44121704"</f>
        <v>44121704</v>
      </c>
      <c r="J2406" s="2" t="s">
        <v>186</v>
      </c>
    </row>
    <row r="2407" spans="1:10" ht="76.5">
      <c r="A2407" s="9" t="s">
        <v>27</v>
      </c>
      <c r="B2407" s="2" t="s">
        <v>63</v>
      </c>
      <c r="C2407" s="2">
        <v>3202</v>
      </c>
      <c r="D2407" s="2">
        <v>143</v>
      </c>
      <c r="E2407" s="2" t="str">
        <f>"1000011979"</f>
        <v>1000011979</v>
      </c>
      <c r="F2407" s="4" t="str">
        <f>"PEN: Chrome Barrel w/ Chrome Trim, logo premier bubble top pen, blue, Med ball point only, twist to open, full color OK State Seal under cap, custom imprint on barrel, refills available, logo imprint available, inquire for minimum order"</f>
        <v>PEN: Chrome Barrel w/ Chrome Trim, logo premier bubble top pen, blue, Med ball point only, twist to open, full color OK State Seal under cap, custom imprint on barrel, refills available, logo imprint available, inquire for minimum order</v>
      </c>
      <c r="G2407" s="74" t="str">
        <f>"EA"</f>
        <v>EA</v>
      </c>
      <c r="H2407" s="7">
        <v>5.5</v>
      </c>
      <c r="I2407" s="2" t="str">
        <f>"44121704"</f>
        <v>44121704</v>
      </c>
      <c r="J2407" s="2" t="s">
        <v>186</v>
      </c>
    </row>
    <row r="2408" spans="1:10" ht="51">
      <c r="A2408" s="9" t="s">
        <v>27</v>
      </c>
      <c r="B2408" s="2" t="s">
        <v>63</v>
      </c>
      <c r="C2408" s="2">
        <v>3202</v>
      </c>
      <c r="D2408" s="2">
        <v>158</v>
      </c>
      <c r="E2408" s="2" t="str">
        <f>"1000011980"</f>
        <v>1000011980</v>
      </c>
      <c r="F2408" s="4" t="str">
        <f>"PEN: Fuchsia, Zebra Sarasa Brand, gel, archival ink, permanent &amp; waterproof, retractable, rubber grip, big ink reservoir, med point only"</f>
        <v>PEN: Fuchsia, Zebra Sarasa Brand, gel, archival ink, permanent &amp; waterproof, retractable, rubber grip, big ink reservoir, med point only</v>
      </c>
      <c r="G2408" s="74" t="str">
        <f t="shared" ref="G2408:G2425" si="158">"DZ"</f>
        <v>DZ</v>
      </c>
      <c r="H2408" s="7">
        <v>17</v>
      </c>
      <c r="I2408" s="2" t="str">
        <f>"44121704"</f>
        <v>44121704</v>
      </c>
      <c r="J2408" s="2" t="s">
        <v>186</v>
      </c>
    </row>
    <row r="2409" spans="1:10" ht="51">
      <c r="A2409" s="9" t="s">
        <v>27</v>
      </c>
      <c r="B2409" s="2" t="s">
        <v>63</v>
      </c>
      <c r="C2409" s="2">
        <v>3202</v>
      </c>
      <c r="D2409" s="2">
        <v>165</v>
      </c>
      <c r="E2409" s="2" t="str">
        <f>"1000011981"</f>
        <v>1000011981</v>
      </c>
      <c r="F2409" s="4" t="str">
        <f>"PEN:No-Ret/rub-Med/SkBl~7Pens, ball point, w/rubber grip, non-retractable. Pentel RSVP-ball point pen with rubber Comfort Zone grip. Med point, Sky Blu ink."</f>
        <v>PEN:No-Ret/rub-Med/SkBl~7Pens, ball point, w/rubber grip, non-retractable. Pentel RSVP-ball point pen with rubber Comfort Zone grip. Med point, Sky Blu ink.</v>
      </c>
      <c r="G2409" s="74" t="str">
        <f t="shared" si="158"/>
        <v>DZ</v>
      </c>
      <c r="H2409" s="7">
        <v>7.85</v>
      </c>
      <c r="I2409" s="2" t="str">
        <f>"44121704"</f>
        <v>44121704</v>
      </c>
      <c r="J2409" s="2" t="s">
        <v>186</v>
      </c>
    </row>
    <row r="2410" spans="1:10" ht="51">
      <c r="A2410" s="9" t="s">
        <v>27</v>
      </c>
      <c r="B2410" s="2" t="s">
        <v>63</v>
      </c>
      <c r="C2410" s="2">
        <v>3202</v>
      </c>
      <c r="D2410" s="2">
        <v>164</v>
      </c>
      <c r="E2410" s="2" t="str">
        <f>"1000011982"</f>
        <v>1000011982</v>
      </c>
      <c r="F2410" s="4" t="str">
        <f>"PEN:No-Ret/rub-Med/Pink~7Pens, ball point, w/rubber grip, non-retractable. Pentel RSVP-ball point pen with rubber Comfort Zone grip. Med point, Pink ink."</f>
        <v>PEN:No-Ret/rub-Med/Pink~7Pens, ball point, w/rubber grip, non-retractable. Pentel RSVP-ball point pen with rubber Comfort Zone grip. Med point, Pink ink.</v>
      </c>
      <c r="G2410" s="74" t="str">
        <f t="shared" si="158"/>
        <v>DZ</v>
      </c>
      <c r="H2410" s="7">
        <v>7.85</v>
      </c>
      <c r="I2410" s="2" t="str">
        <f>"44121704"</f>
        <v>44121704</v>
      </c>
      <c r="J2410" s="2" t="s">
        <v>186</v>
      </c>
    </row>
    <row r="2411" spans="1:10" ht="38.25">
      <c r="A2411" s="9" t="s">
        <v>27</v>
      </c>
      <c r="B2411" s="2" t="s">
        <v>63</v>
      </c>
      <c r="C2411" s="2">
        <v>3202</v>
      </c>
      <c r="D2411" s="2">
        <v>167</v>
      </c>
      <c r="E2411" s="2" t="str">
        <f>"1000011983"</f>
        <v>1000011983</v>
      </c>
      <c r="F2411" s="4" t="str">
        <f>"PEN: Blk, .7mm, liquid gel roller metal tip, retractable, stainless steel tip, rubber grip, med point, Pentel Energel"</f>
        <v>PEN: Blk, .7mm, liquid gel roller metal tip, retractable, stainless steel tip, rubber grip, med point, Pentel Energel</v>
      </c>
      <c r="G2411" s="74" t="str">
        <f t="shared" si="158"/>
        <v>DZ</v>
      </c>
      <c r="H2411" s="7">
        <v>23.5</v>
      </c>
      <c r="I2411" s="2" t="str">
        <f>"44121701"</f>
        <v>44121701</v>
      </c>
      <c r="J2411" s="2" t="s">
        <v>187</v>
      </c>
    </row>
    <row r="2412" spans="1:10" ht="38.25">
      <c r="A2412" s="9" t="s">
        <v>27</v>
      </c>
      <c r="B2412" s="2" t="s">
        <v>63</v>
      </c>
      <c r="C2412" s="2">
        <v>3202</v>
      </c>
      <c r="D2412" s="2">
        <v>168</v>
      </c>
      <c r="E2412" s="2" t="str">
        <f>"1000011984"</f>
        <v>1000011984</v>
      </c>
      <c r="F2412" s="4" t="str">
        <f>"PEN: Blu, .7mm, liquid gel roller metal tip, retractable, stainless steel tip, rubber grip, med point, Pentel Energel"</f>
        <v>PEN: Blu, .7mm, liquid gel roller metal tip, retractable, stainless steel tip, rubber grip, med point, Pentel Energel</v>
      </c>
      <c r="G2412" s="74" t="str">
        <f t="shared" si="158"/>
        <v>DZ</v>
      </c>
      <c r="H2412" s="7">
        <v>23.5</v>
      </c>
      <c r="I2412" s="2" t="str">
        <f>"44121701"</f>
        <v>44121701</v>
      </c>
      <c r="J2412" s="2" t="s">
        <v>187</v>
      </c>
    </row>
    <row r="2413" spans="1:10" ht="38.25">
      <c r="A2413" s="9" t="s">
        <v>27</v>
      </c>
      <c r="B2413" s="2" t="s">
        <v>63</v>
      </c>
      <c r="C2413" s="2">
        <v>3202</v>
      </c>
      <c r="D2413" s="2">
        <v>169</v>
      </c>
      <c r="E2413" s="2" t="str">
        <f>"1000011985"</f>
        <v>1000011985</v>
      </c>
      <c r="F2413" s="4" t="str">
        <f>"PEN: Red, .7mm, liquid gel roller metal tip, retractable, stainless steel tip, rubber grip, med point, Pentel Energel"</f>
        <v>PEN: Red, .7mm, liquid gel roller metal tip, retractable, stainless steel tip, rubber grip, med point, Pentel Energel</v>
      </c>
      <c r="G2413" s="74" t="str">
        <f t="shared" si="158"/>
        <v>DZ</v>
      </c>
      <c r="H2413" s="7">
        <v>23.5</v>
      </c>
      <c r="I2413" s="2" t="str">
        <f>"44121701"</f>
        <v>44121701</v>
      </c>
      <c r="J2413" s="2" t="s">
        <v>187</v>
      </c>
    </row>
    <row r="2414" spans="1:10" ht="25.5">
      <c r="A2414" s="9" t="s">
        <v>27</v>
      </c>
      <c r="B2414" s="2" t="s">
        <v>63</v>
      </c>
      <c r="C2414" s="2">
        <v>3202</v>
      </c>
      <c r="D2414" s="2">
        <v>91</v>
      </c>
      <c r="E2414" s="2" t="str">
        <f>"1000011987"</f>
        <v>1000011987</v>
      </c>
      <c r="F2414" s="4" t="str">
        <f>"MARKER: Blk, fine point, fine tip, plastic barrel"</f>
        <v>MARKER: Blk, fine point, fine tip, plastic barrel</v>
      </c>
      <c r="G2414" s="74" t="str">
        <f t="shared" si="158"/>
        <v>DZ</v>
      </c>
      <c r="H2414" s="7">
        <v>8</v>
      </c>
      <c r="I2414" s="2" t="str">
        <f>"44121708"</f>
        <v>44121708</v>
      </c>
      <c r="J2414" s="2" t="s">
        <v>191</v>
      </c>
    </row>
    <row r="2415" spans="1:10" ht="25.5">
      <c r="A2415" s="9" t="s">
        <v>27</v>
      </c>
      <c r="B2415" s="2" t="s">
        <v>63</v>
      </c>
      <c r="C2415" s="2">
        <v>3202</v>
      </c>
      <c r="D2415" s="2">
        <v>92</v>
      </c>
      <c r="E2415" s="2" t="str">
        <f>"1000011988"</f>
        <v>1000011988</v>
      </c>
      <c r="F2415" s="4" t="str">
        <f>"MARKER: Blu, fine point, fine tip, plastic barrel"</f>
        <v>MARKER: Blu, fine point, fine tip, plastic barrel</v>
      </c>
      <c r="G2415" s="74" t="str">
        <f t="shared" si="158"/>
        <v>DZ</v>
      </c>
      <c r="H2415" s="7">
        <v>8</v>
      </c>
      <c r="I2415" s="2" t="str">
        <f>"44121708"</f>
        <v>44121708</v>
      </c>
      <c r="J2415" s="2" t="s">
        <v>191</v>
      </c>
    </row>
    <row r="2416" spans="1:10" ht="25.5">
      <c r="A2416" s="9" t="s">
        <v>27</v>
      </c>
      <c r="B2416" s="2" t="s">
        <v>63</v>
      </c>
      <c r="C2416" s="2">
        <v>3202</v>
      </c>
      <c r="D2416" s="2">
        <v>93</v>
      </c>
      <c r="E2416" s="2" t="str">
        <f>"1000011989"</f>
        <v>1000011989</v>
      </c>
      <c r="F2416" s="4" t="str">
        <f>"MARKER: Red, fine point, fine tip, plastic barrel"</f>
        <v>MARKER: Red, fine point, fine tip, plastic barrel</v>
      </c>
      <c r="G2416" s="74" t="str">
        <f t="shared" si="158"/>
        <v>DZ</v>
      </c>
      <c r="H2416" s="7">
        <v>8</v>
      </c>
      <c r="I2416" s="2" t="str">
        <f>"44121708"</f>
        <v>44121708</v>
      </c>
      <c r="J2416" s="2" t="s">
        <v>191</v>
      </c>
    </row>
    <row r="2417" spans="1:10" ht="25.5">
      <c r="A2417" s="9" t="s">
        <v>27</v>
      </c>
      <c r="B2417" s="2" t="s">
        <v>63</v>
      </c>
      <c r="C2417" s="2">
        <v>3202</v>
      </c>
      <c r="D2417" s="2">
        <v>144</v>
      </c>
      <c r="E2417" s="2" t="str">
        <f>"1000011993"</f>
        <v>1000011993</v>
      </c>
      <c r="F2417" s="4" t="str">
        <f>"PEN: Blk, easy grip, fine point, retractable, ball point, clear barrel"</f>
        <v>PEN: Blk, easy grip, fine point, retractable, ball point, clear barrel</v>
      </c>
      <c r="G2417" s="74" t="str">
        <f t="shared" si="158"/>
        <v>DZ</v>
      </c>
      <c r="H2417" s="7">
        <v>9</v>
      </c>
      <c r="I2417" s="2" t="str">
        <f t="shared" ref="I2417:I2426" si="159">"44121704"</f>
        <v>44121704</v>
      </c>
      <c r="J2417" s="2" t="s">
        <v>186</v>
      </c>
    </row>
    <row r="2418" spans="1:10" ht="51">
      <c r="A2418" s="9" t="s">
        <v>27</v>
      </c>
      <c r="B2418" s="2" t="s">
        <v>63</v>
      </c>
      <c r="C2418" s="2">
        <v>3202</v>
      </c>
      <c r="D2418" s="2">
        <v>177</v>
      </c>
      <c r="E2418" s="2" t="str">
        <f>"1000011999"</f>
        <v>1000011999</v>
      </c>
      <c r="F2418" s="4" t="str">
        <f>"PEN: Blk, wide barrel, ball point w/ lg soft rubber grip, designer metal pocket clip, clear barrel , retractable, med point, Zebra Z-Grip Max"</f>
        <v>PEN: Blk, wide barrel, ball point w/ lg soft rubber grip, designer metal pocket clip, clear barrel , retractable, med point, Zebra Z-Grip Max</v>
      </c>
      <c r="G2418" s="74" t="str">
        <f t="shared" si="158"/>
        <v>DZ</v>
      </c>
      <c r="H2418" s="7">
        <v>8.8000000000000007</v>
      </c>
      <c r="I2418" s="2" t="str">
        <f t="shared" si="159"/>
        <v>44121704</v>
      </c>
      <c r="J2418" s="2" t="s">
        <v>186</v>
      </c>
    </row>
    <row r="2419" spans="1:10" ht="51">
      <c r="A2419" s="9" t="s">
        <v>27</v>
      </c>
      <c r="B2419" s="2" t="s">
        <v>63</v>
      </c>
      <c r="C2419" s="2">
        <v>3202</v>
      </c>
      <c r="D2419" s="2">
        <v>152</v>
      </c>
      <c r="E2419" s="2" t="str">
        <f>"1000012001"</f>
        <v>1000012001</v>
      </c>
      <c r="F2419" s="4" t="str">
        <f>"PEN: Navy, Zebra Sarasa Brand, gel, archival ink, permanent &amp; waterproof, retractable, rubber grip, big ink reservoir, med point only"</f>
        <v>PEN: Navy, Zebra Sarasa Brand, gel, archival ink, permanent &amp; waterproof, retractable, rubber grip, big ink reservoir, med point only</v>
      </c>
      <c r="G2419" s="74" t="str">
        <f t="shared" si="158"/>
        <v>DZ</v>
      </c>
      <c r="H2419" s="7">
        <v>17</v>
      </c>
      <c r="I2419" s="2" t="str">
        <f t="shared" si="159"/>
        <v>44121704</v>
      </c>
      <c r="J2419" s="2" t="s">
        <v>186</v>
      </c>
    </row>
    <row r="2420" spans="1:10" ht="51">
      <c r="A2420" s="9" t="s">
        <v>27</v>
      </c>
      <c r="B2420" s="2" t="s">
        <v>63</v>
      </c>
      <c r="C2420" s="2">
        <v>3202</v>
      </c>
      <c r="D2420" s="2">
        <v>153</v>
      </c>
      <c r="E2420" s="2" t="str">
        <f>"1000012002"</f>
        <v>1000012002</v>
      </c>
      <c r="F2420" s="4" t="str">
        <f>"PEN: Cobalt, Zebra Sarasa Brand, gel, archival ink, permanent &amp; waterproof, retractable, rubber grip, big ink reservoir, med point only"</f>
        <v>PEN: Cobalt, Zebra Sarasa Brand, gel, archival ink, permanent &amp; waterproof, retractable, rubber grip, big ink reservoir, med point only</v>
      </c>
      <c r="G2420" s="74" t="str">
        <f t="shared" si="158"/>
        <v>DZ</v>
      </c>
      <c r="H2420" s="7">
        <v>17</v>
      </c>
      <c r="I2420" s="2" t="str">
        <f t="shared" si="159"/>
        <v>44121704</v>
      </c>
      <c r="J2420" s="2" t="s">
        <v>186</v>
      </c>
    </row>
    <row r="2421" spans="1:10" ht="51">
      <c r="A2421" s="9" t="s">
        <v>27</v>
      </c>
      <c r="B2421" s="2" t="s">
        <v>63</v>
      </c>
      <c r="C2421" s="2">
        <v>3202</v>
      </c>
      <c r="D2421" s="2">
        <v>154</v>
      </c>
      <c r="E2421" s="2" t="str">
        <f>"1000012003"</f>
        <v>1000012003</v>
      </c>
      <c r="F2421" s="4" t="str">
        <f>"PEN: Mahogany, Zebra Sarasa Brand, gel, archival ink, permanent &amp; waterproof, retractable, rubber grip, big ink reservoir, med point only"</f>
        <v>PEN: Mahogany, Zebra Sarasa Brand, gel, archival ink, permanent &amp; waterproof, retractable, rubber grip, big ink reservoir, med point only</v>
      </c>
      <c r="G2421" s="74" t="str">
        <f t="shared" si="158"/>
        <v>DZ</v>
      </c>
      <c r="H2421" s="7">
        <v>17</v>
      </c>
      <c r="I2421" s="2" t="str">
        <f t="shared" si="159"/>
        <v>44121704</v>
      </c>
      <c r="J2421" s="2" t="s">
        <v>186</v>
      </c>
    </row>
    <row r="2422" spans="1:10" ht="51">
      <c r="A2422" s="9" t="s">
        <v>27</v>
      </c>
      <c r="B2422" s="2" t="s">
        <v>63</v>
      </c>
      <c r="C2422" s="2">
        <v>3202</v>
      </c>
      <c r="D2422" s="2">
        <v>155</v>
      </c>
      <c r="E2422" s="2" t="str">
        <f>"1000012004"</f>
        <v>1000012004</v>
      </c>
      <c r="F2422" s="4" t="str">
        <f>"PEN: Forrest Grn, Zebra Sarasa Brand, gel, archival ink, permanent &amp; waterproof, retractable, rubber grip, big ink reservoir, med point only"</f>
        <v>PEN: Forrest Grn, Zebra Sarasa Brand, gel, archival ink, permanent &amp; waterproof, retractable, rubber grip, big ink reservoir, med point only</v>
      </c>
      <c r="G2422" s="74" t="str">
        <f t="shared" si="158"/>
        <v>DZ</v>
      </c>
      <c r="H2422" s="7">
        <v>17</v>
      </c>
      <c r="I2422" s="2" t="str">
        <f t="shared" si="159"/>
        <v>44121704</v>
      </c>
      <c r="J2422" s="2" t="s">
        <v>186</v>
      </c>
    </row>
    <row r="2423" spans="1:10" ht="51">
      <c r="A2423" s="9" t="s">
        <v>27</v>
      </c>
      <c r="B2423" s="2" t="s">
        <v>63</v>
      </c>
      <c r="C2423" s="2">
        <v>3202</v>
      </c>
      <c r="D2423" s="2">
        <v>156</v>
      </c>
      <c r="E2423" s="2" t="str">
        <f>"1000012005"</f>
        <v>1000012005</v>
      </c>
      <c r="F2423" s="4" t="str">
        <f>"PEN: Lime Grn, Zebra Sarasa Brand, gel, archival ink, permanent &amp; waterproof, retractable, rubber grip, big ink reservoir, med point only"</f>
        <v>PEN: Lime Grn, Zebra Sarasa Brand, gel, archival ink, permanent &amp; waterproof, retractable, rubber grip, big ink reservoir, med point only</v>
      </c>
      <c r="G2423" s="74" t="str">
        <f t="shared" si="158"/>
        <v>DZ</v>
      </c>
      <c r="H2423" s="7">
        <v>17</v>
      </c>
      <c r="I2423" s="2" t="str">
        <f t="shared" si="159"/>
        <v>44121704</v>
      </c>
      <c r="J2423" s="2" t="s">
        <v>186</v>
      </c>
    </row>
    <row r="2424" spans="1:10" ht="51">
      <c r="A2424" s="9" t="s">
        <v>27</v>
      </c>
      <c r="B2424" s="2" t="s">
        <v>63</v>
      </c>
      <c r="C2424" s="2">
        <v>3202</v>
      </c>
      <c r="D2424" s="2">
        <v>157</v>
      </c>
      <c r="E2424" s="2" t="str">
        <f>"1000012006"</f>
        <v>1000012006</v>
      </c>
      <c r="F2424" s="4" t="str">
        <f>"PEN: Orange, Zebra Sarasa Brand, gel, archival ink, permanent &amp; waterproof, retractable, rubber grip, big ink reservoir, med point only"</f>
        <v>PEN: Orange, Zebra Sarasa Brand, gel, archival ink, permanent &amp; waterproof, retractable, rubber grip, big ink reservoir, med point only</v>
      </c>
      <c r="G2424" s="74" t="str">
        <f t="shared" si="158"/>
        <v>DZ</v>
      </c>
      <c r="H2424" s="7">
        <v>17</v>
      </c>
      <c r="I2424" s="2" t="str">
        <f t="shared" si="159"/>
        <v>44121704</v>
      </c>
      <c r="J2424" s="2" t="s">
        <v>186</v>
      </c>
    </row>
    <row r="2425" spans="1:10" ht="51">
      <c r="A2425" s="9" t="s">
        <v>27</v>
      </c>
      <c r="B2425" s="2" t="s">
        <v>63</v>
      </c>
      <c r="C2425" s="2">
        <v>3202</v>
      </c>
      <c r="D2425" s="2">
        <v>178</v>
      </c>
      <c r="E2425" s="2" t="str">
        <f>"1000012007"</f>
        <v>1000012007</v>
      </c>
      <c r="F2425" s="4" t="str">
        <f>"PEN: Red, wide barrel, ball point w/ lg soft rubber grip, designer metal pocket clip, clear barrel, retractable, med point, Zebra Z-Grip Max"</f>
        <v>PEN: Red, wide barrel, ball point w/ lg soft rubber grip, designer metal pocket clip, clear barrel, retractable, med point, Zebra Z-Grip Max</v>
      </c>
      <c r="G2425" s="74" t="str">
        <f t="shared" si="158"/>
        <v>DZ</v>
      </c>
      <c r="H2425" s="7">
        <v>8.8000000000000007</v>
      </c>
      <c r="I2425" s="2" t="str">
        <f t="shared" si="159"/>
        <v>44121704</v>
      </c>
      <c r="J2425" s="2" t="s">
        <v>186</v>
      </c>
    </row>
    <row r="2426" spans="1:10" ht="25.5">
      <c r="A2426" s="9" t="s">
        <v>27</v>
      </c>
      <c r="B2426" s="2" t="s">
        <v>63</v>
      </c>
      <c r="C2426" s="2">
        <v>3202</v>
      </c>
      <c r="D2426" s="2">
        <v>179</v>
      </c>
      <c r="E2426" s="2" t="str">
        <f>"1000012008"</f>
        <v>1000012008</v>
      </c>
      <c r="F2426" s="4" t="str">
        <f>"PEN: Blk, glossy barrel w/ chrome accent, retractable, smooth rubber grip, med point"</f>
        <v>PEN: Blk, glossy barrel w/ chrome accent, retractable, smooth rubber grip, med point</v>
      </c>
      <c r="G2426" s="74" t="str">
        <f>"EA"</f>
        <v>EA</v>
      </c>
      <c r="H2426" s="7">
        <v>3.6</v>
      </c>
      <c r="I2426" s="2" t="str">
        <f t="shared" si="159"/>
        <v>44121704</v>
      </c>
      <c r="J2426" s="2" t="s">
        <v>186</v>
      </c>
    </row>
    <row r="2427" spans="1:10" ht="38.25">
      <c r="A2427" s="9" t="s">
        <v>27</v>
      </c>
      <c r="B2427" s="2" t="s">
        <v>63</v>
      </c>
      <c r="C2427" s="2">
        <v>3202</v>
      </c>
      <c r="D2427" s="2">
        <v>170</v>
      </c>
      <c r="E2427" s="2" t="str">
        <f>"1000012010"</f>
        <v>1000012010</v>
      </c>
      <c r="F2427" s="4" t="str">
        <f>"PEN: Blk, .7mm, stick pen, liquid gel roller metal tip, stainless steel tip, rubber grip, med point, Pentel Energel"</f>
        <v>PEN: Blk, .7mm, stick pen, liquid gel roller metal tip, stainless steel tip, rubber grip, med point, Pentel Energel</v>
      </c>
      <c r="G2427" s="74" t="str">
        <f t="shared" ref="G2427:G2443" si="160">"DZ"</f>
        <v>DZ</v>
      </c>
      <c r="H2427" s="7">
        <v>20</v>
      </c>
      <c r="I2427" s="2" t="str">
        <f>"44121701"</f>
        <v>44121701</v>
      </c>
      <c r="J2427" s="2" t="s">
        <v>187</v>
      </c>
    </row>
    <row r="2428" spans="1:10" ht="38.25">
      <c r="A2428" s="9" t="s">
        <v>27</v>
      </c>
      <c r="B2428" s="2" t="s">
        <v>63</v>
      </c>
      <c r="C2428" s="2">
        <v>3202</v>
      </c>
      <c r="D2428" s="2">
        <v>171</v>
      </c>
      <c r="E2428" s="2" t="str">
        <f>"1000012011"</f>
        <v>1000012011</v>
      </c>
      <c r="F2428" s="4" t="str">
        <f>"PEN: Blu, .7mm, stick pen, liquid gel roller metal tip, stainless steel tip, rubber grip, med point, Pentel Energel"</f>
        <v>PEN: Blu, .7mm, stick pen, liquid gel roller metal tip, stainless steel tip, rubber grip, med point, Pentel Energel</v>
      </c>
      <c r="G2428" s="74" t="str">
        <f t="shared" si="160"/>
        <v>DZ</v>
      </c>
      <c r="H2428" s="7">
        <v>20</v>
      </c>
      <c r="I2428" s="2" t="str">
        <f>"44121701"</f>
        <v>44121701</v>
      </c>
      <c r="J2428" s="2" t="s">
        <v>187</v>
      </c>
    </row>
    <row r="2429" spans="1:10" ht="38.25">
      <c r="A2429" s="9" t="s">
        <v>27</v>
      </c>
      <c r="B2429" s="2" t="s">
        <v>63</v>
      </c>
      <c r="C2429" s="2">
        <v>3202</v>
      </c>
      <c r="D2429" s="2">
        <v>172</v>
      </c>
      <c r="E2429" s="2" t="str">
        <f>"1000012012"</f>
        <v>1000012012</v>
      </c>
      <c r="F2429" s="4" t="str">
        <f>"PEN: Red, .7mm, stick pen, liquid gel roller metal tip, stainless steel tip, rubber grip, med point, Pentel Energel"</f>
        <v>PEN: Red, .7mm, stick pen, liquid gel roller metal tip, stainless steel tip, rubber grip, med point, Pentel Energel</v>
      </c>
      <c r="G2429" s="74" t="str">
        <f t="shared" si="160"/>
        <v>DZ</v>
      </c>
      <c r="H2429" s="7">
        <v>20</v>
      </c>
      <c r="I2429" s="2" t="str">
        <f>"44121701"</f>
        <v>44121701</v>
      </c>
      <c r="J2429" s="2" t="s">
        <v>187</v>
      </c>
    </row>
    <row r="2430" spans="1:10" ht="38.25">
      <c r="A2430" s="9" t="s">
        <v>27</v>
      </c>
      <c r="B2430" s="2" t="s">
        <v>63</v>
      </c>
      <c r="C2430" s="2">
        <v>3202</v>
      </c>
      <c r="D2430" s="2">
        <v>173</v>
      </c>
      <c r="E2430" s="2" t="str">
        <f>"1000012013"</f>
        <v>1000012013</v>
      </c>
      <c r="F2430" s="4" t="str">
        <f>"PEN: Purple, .7mm, stick pen, liquid gel roller metal tip, stainless steel tip, rubber grip, med point, Pentel Energel"</f>
        <v>PEN: Purple, .7mm, stick pen, liquid gel roller metal tip, stainless steel tip, rubber grip, med point, Pentel Energel</v>
      </c>
      <c r="G2430" s="74" t="str">
        <f t="shared" si="160"/>
        <v>DZ</v>
      </c>
      <c r="H2430" s="7">
        <v>20</v>
      </c>
      <c r="I2430" s="2" t="str">
        <f>"44121701"</f>
        <v>44121701</v>
      </c>
      <c r="J2430" s="2" t="s">
        <v>187</v>
      </c>
    </row>
    <row r="2431" spans="1:10" ht="38.25">
      <c r="A2431" s="9" t="s">
        <v>27</v>
      </c>
      <c r="B2431" s="2" t="s">
        <v>63</v>
      </c>
      <c r="C2431" s="2">
        <v>3202</v>
      </c>
      <c r="D2431" s="2">
        <v>176</v>
      </c>
      <c r="E2431" s="2" t="str">
        <f>"1000012497"</f>
        <v>1000012497</v>
      </c>
      <c r="F2431" s="4" t="str">
        <f>"PEN: Red, 75% recycled, ball point w/ soft rubber grip, extra large clip, retractable, medium point, Zebra Jimnie Clip"</f>
        <v>PEN: Red, 75% recycled, ball point w/ soft rubber grip, extra large clip, retractable, medium point, Zebra Jimnie Clip</v>
      </c>
      <c r="G2431" s="74" t="str">
        <f t="shared" si="160"/>
        <v>DZ</v>
      </c>
      <c r="H2431" s="7">
        <v>15.2</v>
      </c>
      <c r="I2431" s="2" t="str">
        <f>"44121704"</f>
        <v>44121704</v>
      </c>
      <c r="J2431" s="2" t="s">
        <v>186</v>
      </c>
    </row>
    <row r="2432" spans="1:10" ht="25.5">
      <c r="A2432" s="9" t="s">
        <v>27</v>
      </c>
      <c r="B2432" s="2" t="s">
        <v>63</v>
      </c>
      <c r="C2432" s="2">
        <v>3202</v>
      </c>
      <c r="D2432" s="2">
        <v>135</v>
      </c>
      <c r="E2432" s="2" t="str">
        <f>"1000012500"</f>
        <v>1000012500</v>
      </c>
      <c r="F2432" s="4" t="str">
        <f>"INK REFILL: Blk, for #1000011963, retractable, med point"</f>
        <v>INK REFILL: Blk, for #1000011963, retractable, med point</v>
      </c>
      <c r="G2432" s="74" t="str">
        <f t="shared" si="160"/>
        <v>DZ</v>
      </c>
      <c r="H2432" s="7">
        <v>7.95</v>
      </c>
      <c r="I2432" s="2" t="str">
        <f t="shared" ref="I2432:I2443" si="161">"44121900"</f>
        <v>44121900</v>
      </c>
      <c r="J2432" s="2" t="s">
        <v>189</v>
      </c>
    </row>
    <row r="2433" spans="1:10" ht="25.5">
      <c r="A2433" s="9" t="s">
        <v>27</v>
      </c>
      <c r="B2433" s="2" t="s">
        <v>63</v>
      </c>
      <c r="C2433" s="2">
        <v>3202</v>
      </c>
      <c r="D2433" s="2">
        <v>136</v>
      </c>
      <c r="E2433" s="2" t="str">
        <f>"1000012501"</f>
        <v>1000012501</v>
      </c>
      <c r="F2433" s="4" t="str">
        <f>"INK REFILL: Blu, for #1000011964, retractable, fine point"</f>
        <v>INK REFILL: Blu, for #1000011964, retractable, fine point</v>
      </c>
      <c r="G2433" s="74" t="str">
        <f t="shared" si="160"/>
        <v>DZ</v>
      </c>
      <c r="H2433" s="7">
        <v>7.95</v>
      </c>
      <c r="I2433" s="2" t="str">
        <f t="shared" si="161"/>
        <v>44121900</v>
      </c>
      <c r="J2433" s="2" t="s">
        <v>189</v>
      </c>
    </row>
    <row r="2434" spans="1:10" ht="25.5">
      <c r="A2434" s="9" t="s">
        <v>27</v>
      </c>
      <c r="B2434" s="2" t="s">
        <v>63</v>
      </c>
      <c r="C2434" s="2">
        <v>3202</v>
      </c>
      <c r="D2434" s="2">
        <v>137</v>
      </c>
      <c r="E2434" s="2" t="str">
        <f>"1000012502"</f>
        <v>1000012502</v>
      </c>
      <c r="F2434" s="4" t="str">
        <f>"INK REFILL: Blu, for #1000011965, retractable, med point"</f>
        <v>INK REFILL: Blu, for #1000011965, retractable, med point</v>
      </c>
      <c r="G2434" s="74" t="str">
        <f t="shared" si="160"/>
        <v>DZ</v>
      </c>
      <c r="H2434" s="7">
        <v>7.95</v>
      </c>
      <c r="I2434" s="2" t="str">
        <f t="shared" si="161"/>
        <v>44121900</v>
      </c>
      <c r="J2434" s="2" t="s">
        <v>189</v>
      </c>
    </row>
    <row r="2435" spans="1:10" ht="25.5">
      <c r="A2435" s="9" t="s">
        <v>27</v>
      </c>
      <c r="B2435" s="2" t="s">
        <v>63</v>
      </c>
      <c r="C2435" s="2">
        <v>3202</v>
      </c>
      <c r="D2435" s="2">
        <v>138</v>
      </c>
      <c r="E2435" s="2" t="str">
        <f>"1000012503"</f>
        <v>1000012503</v>
      </c>
      <c r="F2435" s="4" t="str">
        <f>"INK REFILL: Red, for #1000011964, retractable, fine point"</f>
        <v>INK REFILL: Red, for #1000011964, retractable, fine point</v>
      </c>
      <c r="G2435" s="74" t="str">
        <f t="shared" si="160"/>
        <v>DZ</v>
      </c>
      <c r="H2435" s="7">
        <v>7.95</v>
      </c>
      <c r="I2435" s="2" t="str">
        <f t="shared" si="161"/>
        <v>44121900</v>
      </c>
      <c r="J2435" s="2" t="s">
        <v>189</v>
      </c>
    </row>
    <row r="2436" spans="1:10" ht="25.5">
      <c r="A2436" s="9" t="s">
        <v>27</v>
      </c>
      <c r="B2436" s="2" t="s">
        <v>63</v>
      </c>
      <c r="C2436" s="2">
        <v>3202</v>
      </c>
      <c r="D2436" s="2">
        <v>57</v>
      </c>
      <c r="E2436" s="2" t="str">
        <f>"1000012504"</f>
        <v>1000012504</v>
      </c>
      <c r="F2436" s="4" t="str">
        <f>"INK REFILL: Red, for #10000011924, retractable, med point"</f>
        <v>INK REFILL: Red, for #10000011924, retractable, med point</v>
      </c>
      <c r="G2436" s="74" t="str">
        <f t="shared" si="160"/>
        <v>DZ</v>
      </c>
      <c r="H2436" s="7">
        <v>10.35</v>
      </c>
      <c r="I2436" s="2" t="str">
        <f t="shared" si="161"/>
        <v>44121900</v>
      </c>
      <c r="J2436" s="2" t="s">
        <v>189</v>
      </c>
    </row>
    <row r="2437" spans="1:10" ht="25.5">
      <c r="A2437" s="9" t="s">
        <v>27</v>
      </c>
      <c r="B2437" s="2" t="s">
        <v>63</v>
      </c>
      <c r="C2437" s="2">
        <v>3202</v>
      </c>
      <c r="D2437" s="2">
        <v>58</v>
      </c>
      <c r="E2437" s="2" t="str">
        <f>"1000012505"</f>
        <v>1000012505</v>
      </c>
      <c r="F2437" s="4" t="str">
        <f>"INK REFILL: Blk, for #10000011928, gel stick, fine point"</f>
        <v>INK REFILL: Blk, for #10000011928, gel stick, fine point</v>
      </c>
      <c r="G2437" s="74" t="str">
        <f t="shared" si="160"/>
        <v>DZ</v>
      </c>
      <c r="H2437" s="7">
        <v>4.25</v>
      </c>
      <c r="I2437" s="2" t="str">
        <f t="shared" si="161"/>
        <v>44121900</v>
      </c>
      <c r="J2437" s="2" t="s">
        <v>189</v>
      </c>
    </row>
    <row r="2438" spans="1:10" ht="25.5">
      <c r="A2438" s="9" t="s">
        <v>27</v>
      </c>
      <c r="B2438" s="2" t="s">
        <v>63</v>
      </c>
      <c r="C2438" s="2">
        <v>3202</v>
      </c>
      <c r="D2438" s="2">
        <v>59</v>
      </c>
      <c r="E2438" s="2" t="str">
        <f>"1000012506"</f>
        <v>1000012506</v>
      </c>
      <c r="F2438" s="4" t="str">
        <f>"INK REFILL: Blk, for #10000011931, gel stick, med point"</f>
        <v>INK REFILL: Blk, for #10000011931, gel stick, med point</v>
      </c>
      <c r="G2438" s="74" t="str">
        <f t="shared" si="160"/>
        <v>DZ</v>
      </c>
      <c r="H2438" s="7">
        <v>4.25</v>
      </c>
      <c r="I2438" s="2" t="str">
        <f t="shared" si="161"/>
        <v>44121900</v>
      </c>
      <c r="J2438" s="10" t="s">
        <v>189</v>
      </c>
    </row>
    <row r="2439" spans="1:10" ht="25.5">
      <c r="A2439" s="9" t="s">
        <v>27</v>
      </c>
      <c r="B2439" s="2" t="s">
        <v>63</v>
      </c>
      <c r="C2439" s="2">
        <v>3202</v>
      </c>
      <c r="D2439" s="2">
        <v>134</v>
      </c>
      <c r="E2439" s="2" t="str">
        <f>"1000012507"</f>
        <v>1000012507</v>
      </c>
      <c r="F2439" s="4" t="str">
        <f>"INK REFILL: Blk, for #1000011962, retractable, fine point"</f>
        <v>INK REFILL: Blk, for #1000011962, retractable, fine point</v>
      </c>
      <c r="G2439" s="74" t="str">
        <f t="shared" si="160"/>
        <v>DZ</v>
      </c>
      <c r="H2439" s="7">
        <v>7.95</v>
      </c>
      <c r="I2439" s="2" t="str">
        <f t="shared" si="161"/>
        <v>44121900</v>
      </c>
      <c r="J2439" s="10" t="s">
        <v>189</v>
      </c>
    </row>
    <row r="2440" spans="1:10" ht="25.5">
      <c r="A2440" s="9" t="s">
        <v>27</v>
      </c>
      <c r="B2440" s="2" t="s">
        <v>63</v>
      </c>
      <c r="C2440" s="2">
        <v>3202</v>
      </c>
      <c r="D2440" s="2">
        <v>60</v>
      </c>
      <c r="E2440" s="2" t="str">
        <f>"1000012508"</f>
        <v>1000012508</v>
      </c>
      <c r="F2440" s="4" t="str">
        <f>"INK REFILL: Blu, for #10000011929, gel stick, fine point"</f>
        <v>INK REFILL: Blu, for #10000011929, gel stick, fine point</v>
      </c>
      <c r="G2440" s="74" t="str">
        <f t="shared" si="160"/>
        <v>DZ</v>
      </c>
      <c r="H2440" s="7">
        <v>4.25</v>
      </c>
      <c r="I2440" s="2" t="str">
        <f t="shared" si="161"/>
        <v>44121900</v>
      </c>
      <c r="J2440" s="10" t="s">
        <v>189</v>
      </c>
    </row>
    <row r="2441" spans="1:10" ht="25.5">
      <c r="A2441" s="9" t="s">
        <v>27</v>
      </c>
      <c r="B2441" s="2" t="s">
        <v>63</v>
      </c>
      <c r="C2441" s="2">
        <v>3202</v>
      </c>
      <c r="D2441" s="2">
        <v>61</v>
      </c>
      <c r="E2441" s="2" t="str">
        <f>"1000012509"</f>
        <v>1000012509</v>
      </c>
      <c r="F2441" s="4" t="str">
        <f>"INK REFILL: Blu, for #10000011960, gel stick, med point"</f>
        <v>INK REFILL: Blu, for #10000011960, gel stick, med point</v>
      </c>
      <c r="G2441" s="74" t="str">
        <f t="shared" si="160"/>
        <v>DZ</v>
      </c>
      <c r="H2441" s="7">
        <v>4.25</v>
      </c>
      <c r="I2441" s="2" t="str">
        <f t="shared" si="161"/>
        <v>44121900</v>
      </c>
      <c r="J2441" s="10" t="s">
        <v>189</v>
      </c>
    </row>
    <row r="2442" spans="1:10" ht="25.5">
      <c r="A2442" s="9" t="s">
        <v>27</v>
      </c>
      <c r="B2442" s="2" t="s">
        <v>63</v>
      </c>
      <c r="C2442" s="2">
        <v>3202</v>
      </c>
      <c r="D2442" s="2">
        <v>62</v>
      </c>
      <c r="E2442" s="2" t="str">
        <f>"1000012510"</f>
        <v>1000012510</v>
      </c>
      <c r="F2442" s="4" t="str">
        <f>"INK REFILL: Red, for #10000011930, gel stick, fine point"</f>
        <v>INK REFILL: Red, for #10000011930, gel stick, fine point</v>
      </c>
      <c r="G2442" s="74" t="str">
        <f t="shared" si="160"/>
        <v>DZ</v>
      </c>
      <c r="H2442" s="7">
        <v>4.25</v>
      </c>
      <c r="I2442" s="2" t="str">
        <f t="shared" si="161"/>
        <v>44121900</v>
      </c>
      <c r="J2442" s="10" t="s">
        <v>189</v>
      </c>
    </row>
    <row r="2443" spans="1:10" ht="25.5">
      <c r="A2443" s="9" t="s">
        <v>27</v>
      </c>
      <c r="B2443" s="2" t="s">
        <v>63</v>
      </c>
      <c r="C2443" s="2">
        <v>3202</v>
      </c>
      <c r="D2443" s="2">
        <v>63</v>
      </c>
      <c r="E2443" s="2" t="str">
        <f>"1000012511"</f>
        <v>1000012511</v>
      </c>
      <c r="F2443" s="4" t="str">
        <f>"INK REFILL: Red, for #10000011961, gel stick, med point"</f>
        <v>INK REFILL: Red, for #10000011961, gel stick, med point</v>
      </c>
      <c r="G2443" s="74" t="str">
        <f t="shared" si="160"/>
        <v>DZ</v>
      </c>
      <c r="H2443" s="7">
        <v>4.25</v>
      </c>
      <c r="I2443" s="2" t="str">
        <f t="shared" si="161"/>
        <v>44121900</v>
      </c>
      <c r="J2443" s="10" t="s">
        <v>189</v>
      </c>
    </row>
    <row r="2444" spans="1:10" ht="51">
      <c r="A2444" s="9" t="s">
        <v>27</v>
      </c>
      <c r="B2444" s="2" t="s">
        <v>63</v>
      </c>
      <c r="C2444" s="2">
        <v>3202</v>
      </c>
      <c r="D2444" s="2">
        <v>103</v>
      </c>
      <c r="E2444" s="2" t="str">
        <f>"1000012512"</f>
        <v>1000012512</v>
      </c>
      <c r="F2444" s="4" t="str">
        <f>"CANCELLED - MARKERS:Ref/Cart-Flt-pkg/3Fluor Grn~Felt Markers, refill cartridges - recyclable package of 3 Fluorescent Green"</f>
        <v>CANCELLED - MARKERS:Ref/Cart-Flt-pkg/3Fluor Grn~Felt Markers, refill cartridges - recyclable package of 3 Fluorescent Green</v>
      </c>
      <c r="G2444" s="74" t="str">
        <f>"PK"</f>
        <v>PK</v>
      </c>
      <c r="H2444" s="7">
        <v>4.1500000000000004</v>
      </c>
      <c r="I2444" s="2" t="str">
        <f>"44121712"</f>
        <v>44121712</v>
      </c>
      <c r="J2444" s="10" t="s">
        <v>192</v>
      </c>
    </row>
    <row r="2445" spans="1:10" ht="38.25">
      <c r="A2445" s="9" t="s">
        <v>27</v>
      </c>
      <c r="B2445" s="2" t="s">
        <v>63</v>
      </c>
      <c r="C2445" s="2">
        <v>3202</v>
      </c>
      <c r="D2445" s="2">
        <v>174</v>
      </c>
      <c r="E2445" s="2" t="str">
        <f>"1000012514"</f>
        <v>1000012514</v>
      </c>
      <c r="F2445" s="4" t="str">
        <f>"PEN: Blk, 75% recycled, ball point w/ soft rubber grip, extra large clip, retractable, medium point, Zebra Jimnie Clip"</f>
        <v>PEN: Blk, 75% recycled, ball point w/ soft rubber grip, extra large clip, retractable, medium point, Zebra Jimnie Clip</v>
      </c>
      <c r="G2445" s="74" t="str">
        <f>"DZ"</f>
        <v>DZ</v>
      </c>
      <c r="H2445" s="7">
        <v>15.2</v>
      </c>
      <c r="I2445" s="2" t="str">
        <f>"44121704"</f>
        <v>44121704</v>
      </c>
      <c r="J2445" s="10" t="s">
        <v>186</v>
      </c>
    </row>
    <row r="2446" spans="1:10" ht="38.25">
      <c r="A2446" s="9" t="s">
        <v>27</v>
      </c>
      <c r="B2446" s="2" t="s">
        <v>63</v>
      </c>
      <c r="C2446" s="2">
        <v>3202</v>
      </c>
      <c r="D2446" s="2">
        <v>175</v>
      </c>
      <c r="E2446" s="2" t="str">
        <f>"1000012515"</f>
        <v>1000012515</v>
      </c>
      <c r="F2446" s="4" t="str">
        <f>"PEN: Blu, 75% recycled, ball point w/ soft rubber grip, extra large clip, retractable, medium point, Zebra Jimnie Clip"</f>
        <v>PEN: Blu, 75% recycled, ball point w/ soft rubber grip, extra large clip, retractable, medium point, Zebra Jimnie Clip</v>
      </c>
      <c r="G2446" s="74" t="str">
        <f>"DZ"</f>
        <v>DZ</v>
      </c>
      <c r="H2446" s="7">
        <v>15.2</v>
      </c>
      <c r="I2446" s="2" t="str">
        <f>"44121704"</f>
        <v>44121704</v>
      </c>
      <c r="J2446" s="2" t="s">
        <v>186</v>
      </c>
    </row>
    <row r="2447" spans="1:10" ht="25.5">
      <c r="A2447" s="9" t="s">
        <v>27</v>
      </c>
      <c r="B2447" s="2" t="s">
        <v>63</v>
      </c>
      <c r="C2447" s="2">
        <v>3202</v>
      </c>
      <c r="D2447" s="2">
        <v>55</v>
      </c>
      <c r="E2447" s="2" t="str">
        <f>"1000012521"</f>
        <v>1000012521</v>
      </c>
      <c r="F2447" s="4" t="str">
        <f>"INK REFILL: Blk, for #10000011950, retractable, med point"</f>
        <v>INK REFILL: Blk, for #10000011950, retractable, med point</v>
      </c>
      <c r="G2447" s="74" t="str">
        <f>"DZ"</f>
        <v>DZ</v>
      </c>
      <c r="H2447" s="7">
        <v>10.35</v>
      </c>
      <c r="I2447" s="2" t="str">
        <f>"44121900"</f>
        <v>44121900</v>
      </c>
      <c r="J2447" s="2" t="s">
        <v>189</v>
      </c>
    </row>
    <row r="2448" spans="1:10" ht="25.5">
      <c r="A2448" s="9" t="s">
        <v>27</v>
      </c>
      <c r="B2448" s="2" t="s">
        <v>63</v>
      </c>
      <c r="C2448" s="2">
        <v>3202</v>
      </c>
      <c r="D2448" s="2">
        <v>56</v>
      </c>
      <c r="E2448" s="2" t="str">
        <f>"1000012522"</f>
        <v>1000012522</v>
      </c>
      <c r="F2448" s="4" t="str">
        <f>"INK REFILL: Blu, for #10000011951, retractable, med point"</f>
        <v>INK REFILL: Blu, for #10000011951, retractable, med point</v>
      </c>
      <c r="G2448" s="74" t="str">
        <f>"DZ"</f>
        <v>DZ</v>
      </c>
      <c r="H2448" s="7">
        <v>10.35</v>
      </c>
      <c r="I2448" s="2" t="str">
        <f>"44121900"</f>
        <v>44121900</v>
      </c>
      <c r="J2448" s="2" t="s">
        <v>189</v>
      </c>
    </row>
    <row r="2449" spans="1:10" ht="38.25">
      <c r="A2449" s="9" t="s">
        <v>27</v>
      </c>
      <c r="B2449" s="2" t="s">
        <v>63</v>
      </c>
      <c r="C2449" s="2">
        <v>3202</v>
      </c>
      <c r="D2449" s="2">
        <v>188</v>
      </c>
      <c r="E2449" s="2" t="str">
        <f>"1000023194"</f>
        <v>1000023194</v>
      </c>
      <c r="F2449" s="4" t="str">
        <f>"MARKER: Assorted, Sharpie® Permanent Marker, Black, Red, Blue, Purple, Fine Tip, Box of 12"</f>
        <v>MARKER: Assorted, Sharpie® Permanent Marker, Black, Red, Blue, Purple, Fine Tip, Box of 12</v>
      </c>
      <c r="G2449" s="74" t="str">
        <f>"BX"</f>
        <v>BX</v>
      </c>
      <c r="H2449" s="7">
        <v>11.57</v>
      </c>
      <c r="I2449" s="2" t="str">
        <f>"44121708"</f>
        <v>44121708</v>
      </c>
      <c r="J2449" s="2" t="s">
        <v>191</v>
      </c>
    </row>
    <row r="2450" spans="1:10" ht="25.5">
      <c r="A2450" s="9" t="s">
        <v>27</v>
      </c>
      <c r="B2450" s="2" t="s">
        <v>63</v>
      </c>
      <c r="C2450" s="2">
        <v>3202</v>
      </c>
      <c r="D2450" s="2">
        <v>190</v>
      </c>
      <c r="E2450" s="2" t="str">
        <f>"1000023494"</f>
        <v>1000023494</v>
      </c>
      <c r="F2450" s="4" t="str">
        <f>"PEN: Retractable, Med point, Economy RT, smooth barrel ballpoint pen. Black Ink"</f>
        <v>PEN: Retractable, Med point, Economy RT, smooth barrel ballpoint pen. Black Ink</v>
      </c>
      <c r="G2450" s="74" t="str">
        <f t="shared" ref="G2450:G2456" si="162">"DZ"</f>
        <v>DZ</v>
      </c>
      <c r="H2450" s="7">
        <v>4.5</v>
      </c>
      <c r="I2450" s="2" t="str">
        <f>"44121704"</f>
        <v>44121704</v>
      </c>
      <c r="J2450" s="2" t="s">
        <v>186</v>
      </c>
    </row>
    <row r="2451" spans="1:10" ht="38.25">
      <c r="A2451" s="9" t="s">
        <v>27</v>
      </c>
      <c r="B2451" s="2" t="s">
        <v>63</v>
      </c>
      <c r="C2451" s="2">
        <v>3202</v>
      </c>
      <c r="D2451" s="2">
        <v>191</v>
      </c>
      <c r="E2451" s="2" t="str">
        <f>"1000029364"</f>
        <v>1000029364</v>
      </c>
      <c r="F2451" s="4" t="str">
        <f>"PEN:Black,Zebra Z-Mulsion EX,Medium Point, Hybrid Gel, Medium Point, Rubber Grip"</f>
        <v>PEN:Black,Zebra Z-Mulsion EX,Medium Point, Hybrid Gel, Medium Point, Rubber Grip</v>
      </c>
      <c r="G2451" s="74" t="str">
        <f t="shared" si="162"/>
        <v>DZ</v>
      </c>
      <c r="H2451" s="7">
        <v>21</v>
      </c>
      <c r="I2451" s="2" t="str">
        <f>"44121704"</f>
        <v>44121704</v>
      </c>
      <c r="J2451" s="2" t="s">
        <v>186</v>
      </c>
    </row>
    <row r="2452" spans="1:10" ht="38.25">
      <c r="A2452" s="9" t="s">
        <v>27</v>
      </c>
      <c r="B2452" s="2" t="s">
        <v>63</v>
      </c>
      <c r="C2452" s="2">
        <v>3202</v>
      </c>
      <c r="D2452" s="2">
        <v>192</v>
      </c>
      <c r="E2452" s="2" t="str">
        <f>"1000029365"</f>
        <v>1000029365</v>
      </c>
      <c r="F2452" s="4" t="str">
        <f>"PEN:Blue,Zebra Z-Mulsion EX,Medium Point, Hybrid Gel, Medium Point, Rubber Grip"</f>
        <v>PEN:Blue,Zebra Z-Mulsion EX,Medium Point, Hybrid Gel, Medium Point, Rubber Grip</v>
      </c>
      <c r="G2452" s="74" t="str">
        <f t="shared" si="162"/>
        <v>DZ</v>
      </c>
      <c r="H2452" s="7">
        <v>21</v>
      </c>
      <c r="I2452" s="2" t="str">
        <f>"44121704"</f>
        <v>44121704</v>
      </c>
      <c r="J2452" s="2" t="s">
        <v>186</v>
      </c>
    </row>
    <row r="2453" spans="1:10" ht="38.25">
      <c r="A2453" s="9" t="s">
        <v>27</v>
      </c>
      <c r="B2453" s="2" t="s">
        <v>63</v>
      </c>
      <c r="C2453" s="2">
        <v>3202</v>
      </c>
      <c r="D2453" s="2">
        <v>193</v>
      </c>
      <c r="E2453" s="2" t="str">
        <f>"1000029366"</f>
        <v>1000029366</v>
      </c>
      <c r="F2453" s="4" t="str">
        <f>"PEN:Red,Zebra Z-Mulsion EX,Medium Point, Hybrid Gel, Medium Point, Rubber Grip"</f>
        <v>PEN:Red,Zebra Z-Mulsion EX,Medium Point, Hybrid Gel, Medium Point, Rubber Grip</v>
      </c>
      <c r="G2453" s="74" t="str">
        <f t="shared" si="162"/>
        <v>DZ</v>
      </c>
      <c r="H2453" s="7">
        <v>21</v>
      </c>
      <c r="I2453" s="2" t="str">
        <f>"44121704"</f>
        <v>44121704</v>
      </c>
      <c r="J2453" s="2" t="s">
        <v>186</v>
      </c>
    </row>
    <row r="2454" spans="1:10" ht="25.5">
      <c r="A2454" s="9" t="s">
        <v>27</v>
      </c>
      <c r="B2454" s="2" t="s">
        <v>63</v>
      </c>
      <c r="C2454" s="2">
        <v>3202</v>
      </c>
      <c r="D2454" s="2">
        <v>194</v>
      </c>
      <c r="E2454" s="2" t="str">
        <f>"1000029367"</f>
        <v>1000029367</v>
      </c>
      <c r="F2454" s="4" t="str">
        <f>"PEN:Black,Zebra Z-Grip Max Gel,Medium Point, Ergonomic, Rubber Grip"</f>
        <v>PEN:Black,Zebra Z-Grip Max Gel,Medium Point, Ergonomic, Rubber Grip</v>
      </c>
      <c r="G2454" s="74" t="str">
        <f t="shared" si="162"/>
        <v>DZ</v>
      </c>
      <c r="H2454" s="7">
        <v>16.7</v>
      </c>
      <c r="I2454" s="2" t="str">
        <f>"60121524"</f>
        <v>60121524</v>
      </c>
      <c r="J2454" s="2" t="s">
        <v>186</v>
      </c>
    </row>
    <row r="2455" spans="1:10" ht="25.5">
      <c r="A2455" s="9" t="s">
        <v>27</v>
      </c>
      <c r="B2455" s="2" t="s">
        <v>63</v>
      </c>
      <c r="C2455" s="2">
        <v>3202</v>
      </c>
      <c r="D2455" s="2">
        <v>195</v>
      </c>
      <c r="E2455" s="2" t="str">
        <f>"1000029368"</f>
        <v>1000029368</v>
      </c>
      <c r="F2455" s="4" t="str">
        <f>"PEN:Blue,Zebra Z-Grip Max Gel,Medium Point, Ergonomic, Rubber Grip"</f>
        <v>PEN:Blue,Zebra Z-Grip Max Gel,Medium Point, Ergonomic, Rubber Grip</v>
      </c>
      <c r="G2455" s="74" t="str">
        <f t="shared" si="162"/>
        <v>DZ</v>
      </c>
      <c r="H2455" s="7">
        <v>16.7</v>
      </c>
      <c r="I2455" s="2" t="str">
        <f>"60121524"</f>
        <v>60121524</v>
      </c>
      <c r="J2455" s="2" t="s">
        <v>186</v>
      </c>
    </row>
    <row r="2456" spans="1:10" ht="25.5">
      <c r="A2456" s="9" t="s">
        <v>27</v>
      </c>
      <c r="B2456" s="2" t="s">
        <v>63</v>
      </c>
      <c r="C2456" s="2">
        <v>3202</v>
      </c>
      <c r="D2456" s="2">
        <v>196</v>
      </c>
      <c r="E2456" s="2" t="str">
        <f>"1000029369"</f>
        <v>1000029369</v>
      </c>
      <c r="F2456" s="4" t="str">
        <f>"PEN:Red,Zebra Z-Grip Max Gel,Medium Point, Ergonomic, Rubber Grip"</f>
        <v>PEN:Red,Zebra Z-Grip Max Gel,Medium Point, Ergonomic, Rubber Grip</v>
      </c>
      <c r="G2456" s="74" t="str">
        <f t="shared" si="162"/>
        <v>DZ</v>
      </c>
      <c r="H2456" s="7">
        <v>16.7</v>
      </c>
      <c r="I2456" s="2" t="str">
        <f>"60121524"</f>
        <v>60121524</v>
      </c>
      <c r="J2456" s="2" t="s">
        <v>195</v>
      </c>
    </row>
    <row r="2457" spans="1:10" ht="25.5">
      <c r="A2457" s="9" t="s">
        <v>39</v>
      </c>
      <c r="B2457" s="2" t="s">
        <v>63</v>
      </c>
      <c r="C2457" s="2">
        <v>2204</v>
      </c>
      <c r="D2457" s="2">
        <v>1</v>
      </c>
      <c r="E2457" s="2" t="str">
        <f>"1000009566"</f>
        <v>1000009566</v>
      </c>
      <c r="F2457" s="4" t="str">
        <f>"SERVICES: Litter Removal"</f>
        <v>SERVICES: Litter Removal</v>
      </c>
      <c r="G2457" s="74" t="str">
        <f>"AC"</f>
        <v>AC</v>
      </c>
      <c r="H2457" s="7">
        <v>9.92</v>
      </c>
      <c r="I2457" s="2" t="str">
        <f>"72141003"</f>
        <v>72141003</v>
      </c>
      <c r="J2457" s="2" t="s">
        <v>127</v>
      </c>
    </row>
    <row r="2458" spans="1:10">
      <c r="A2458" s="84"/>
      <c r="B2458" s="2" t="s">
        <v>63</v>
      </c>
      <c r="C2458" s="85"/>
      <c r="D2458" s="85"/>
      <c r="E2458" s="85" t="s">
        <v>610</v>
      </c>
      <c r="F2458" s="47" t="s">
        <v>261</v>
      </c>
      <c r="G2458" s="86"/>
      <c r="H2458" s="87"/>
      <c r="I2458" s="96">
        <v>73151500</v>
      </c>
      <c r="J2458" s="94" t="s">
        <v>261</v>
      </c>
    </row>
    <row r="2459" spans="1:10">
      <c r="A2459" s="84"/>
      <c r="B2459" s="2" t="s">
        <v>63</v>
      </c>
      <c r="C2459" s="85"/>
      <c r="D2459" s="85"/>
      <c r="E2459" s="85" t="s">
        <v>610</v>
      </c>
      <c r="F2459" s="47" t="s">
        <v>246</v>
      </c>
      <c r="G2459" s="86"/>
      <c r="H2459" s="87"/>
      <c r="I2459" s="96">
        <v>73151600</v>
      </c>
      <c r="J2459" s="94" t="s">
        <v>246</v>
      </c>
    </row>
    <row r="2460" spans="1:10" ht="25.5">
      <c r="A2460" s="84"/>
      <c r="B2460" s="2" t="s">
        <v>63</v>
      </c>
      <c r="C2460" s="85"/>
      <c r="D2460" s="85"/>
      <c r="E2460" s="85" t="s">
        <v>610</v>
      </c>
      <c r="F2460" s="47" t="s">
        <v>262</v>
      </c>
      <c r="G2460" s="86"/>
      <c r="H2460" s="87"/>
      <c r="I2460" s="96">
        <v>76121505</v>
      </c>
      <c r="J2460" s="97" t="s">
        <v>650</v>
      </c>
    </row>
    <row r="2461" spans="1:10" ht="25.5">
      <c r="A2461" s="84"/>
      <c r="B2461" s="2" t="s">
        <v>63</v>
      </c>
      <c r="C2461" s="85"/>
      <c r="D2461" s="85"/>
      <c r="E2461" s="85" t="s">
        <v>610</v>
      </c>
      <c r="F2461" s="47" t="s">
        <v>237</v>
      </c>
      <c r="G2461" s="86"/>
      <c r="H2461" s="87"/>
      <c r="I2461" s="96">
        <v>82121701</v>
      </c>
      <c r="J2461" s="97" t="s">
        <v>659</v>
      </c>
    </row>
    <row r="2462" spans="1:10" ht="25.5">
      <c r="A2462" s="9" t="s">
        <v>27</v>
      </c>
      <c r="B2462" s="2" t="s">
        <v>611</v>
      </c>
      <c r="C2462" s="2">
        <v>3203</v>
      </c>
      <c r="D2462" s="2">
        <v>78</v>
      </c>
      <c r="E2462" s="2" t="str">
        <f>"1000000770"</f>
        <v>1000000770</v>
      </c>
      <c r="F2462" s="4" t="str">
        <f>"DISC:DVD+RW Disk 100/pkg"</f>
        <v>DISC:DVD+RW Disk 100/pkg</v>
      </c>
      <c r="G2462" s="74" t="str">
        <f t="shared" ref="G2462:G2468" si="163">"PK"</f>
        <v>PK</v>
      </c>
      <c r="H2462" s="7">
        <v>83.3</v>
      </c>
      <c r="I2462" s="2" t="str">
        <f>"43202001"</f>
        <v>43202001</v>
      </c>
      <c r="J2462" s="2" t="s">
        <v>204</v>
      </c>
    </row>
    <row r="2463" spans="1:10" ht="63.75">
      <c r="A2463" s="9" t="s">
        <v>27</v>
      </c>
      <c r="B2463" s="2" t="s">
        <v>611</v>
      </c>
      <c r="C2463" s="2">
        <v>3203</v>
      </c>
      <c r="D2463" s="2">
        <v>70</v>
      </c>
      <c r="E2463" s="2" t="str">
        <f>"1000001198"</f>
        <v>1000001198</v>
      </c>
      <c r="F2463" s="4" t="str">
        <f>"DISC:DVD-RW Re-Write Digit Vid~DVDRW Re-Writeable Digital Video Disc DVD-RW Re-Writeable Digital Video Disc (10 per package)~DVD-RW Re-Writeable Digital Video Disc (10 per package)"</f>
        <v>DISC:DVD-RW Re-Write Digit Vid~DVDRW Re-Writeable Digital Video Disc DVD-RW Re-Writeable Digital Video Disc (10 per package)~DVD-RW Re-Writeable Digital Video Disc (10 per package)</v>
      </c>
      <c r="G2463" s="74" t="str">
        <f t="shared" si="163"/>
        <v>PK</v>
      </c>
      <c r="H2463" s="7">
        <v>10.37</v>
      </c>
      <c r="I2463" s="2" t="str">
        <f>"43201811"</f>
        <v>43201811</v>
      </c>
      <c r="J2463" s="2" t="s">
        <v>203</v>
      </c>
    </row>
    <row r="2464" spans="1:10" ht="63.75">
      <c r="A2464" s="9" t="s">
        <v>27</v>
      </c>
      <c r="B2464" s="2" t="s">
        <v>611</v>
      </c>
      <c r="C2464" s="2">
        <v>3203</v>
      </c>
      <c r="D2464" s="2">
        <v>71</v>
      </c>
      <c r="E2464" s="2" t="str">
        <f>"1000001199"</f>
        <v>1000001199</v>
      </c>
      <c r="F2464" s="4" t="str">
        <f>"DISC:DVD-RW Re-Write Digit Vid~DVDRW Re-Writeable Digital Video Disc DVD-RW Re-Writeable Digital Video Disc (25 per package)~DVD-RW Re-Writeable Digital Video Disc (25 per package)"</f>
        <v>DISC:DVD-RW Re-Write Digit Vid~DVDRW Re-Writeable Digital Video Disc DVD-RW Re-Writeable Digital Video Disc (25 per package)~DVD-RW Re-Writeable Digital Video Disc (25 per package)</v>
      </c>
      <c r="G2464" s="74" t="str">
        <f t="shared" si="163"/>
        <v>PK</v>
      </c>
      <c r="H2464" s="7">
        <v>23.07</v>
      </c>
      <c r="I2464" s="2" t="str">
        <f>"43201811"</f>
        <v>43201811</v>
      </c>
      <c r="J2464" s="2" t="s">
        <v>203</v>
      </c>
    </row>
    <row r="2465" spans="1:10" ht="63.75">
      <c r="A2465" s="9" t="s">
        <v>27</v>
      </c>
      <c r="B2465" s="2" t="s">
        <v>611</v>
      </c>
      <c r="C2465" s="17">
        <v>3203</v>
      </c>
      <c r="D2465" s="17">
        <v>76</v>
      </c>
      <c r="E2465" s="17" t="str">
        <f>"1000001477"</f>
        <v>1000001477</v>
      </c>
      <c r="F2465" s="106" t="str">
        <f>"DISC:DVD+R, Digit Write Video~DVD (Digital Video Disc), DVD+R, Digital Writeable Video Disc (100 per package)~DVD (Digital Video Disc), DVD+R, Digital Writeable Video"</f>
        <v>DISC:DVD+R, Digit Write Video~DVD (Digital Video Disc), DVD+R, Digital Writeable Video Disc (100 per package)~DVD (Digital Video Disc), DVD+R, Digital Writeable Video</v>
      </c>
      <c r="G2465" s="107" t="str">
        <f t="shared" si="163"/>
        <v>PK</v>
      </c>
      <c r="H2465" s="19">
        <v>36</v>
      </c>
      <c r="I2465" s="17" t="str">
        <f>"43202001"</f>
        <v>43202001</v>
      </c>
      <c r="J2465" s="10" t="s">
        <v>204</v>
      </c>
    </row>
    <row r="2466" spans="1:10" ht="51">
      <c r="A2466" s="9" t="s">
        <v>27</v>
      </c>
      <c r="B2466" s="2" t="s">
        <v>611</v>
      </c>
      <c r="C2466" s="2">
        <v>3203</v>
      </c>
      <c r="D2466" s="2">
        <v>77</v>
      </c>
      <c r="E2466" s="2" t="str">
        <f>"1000001692"</f>
        <v>1000001692</v>
      </c>
      <c r="F2466" s="4" t="str">
        <f>"DISC:DVDRW, Re-Write Digit Vid~DVDRW, Re-Writeable Digital Video Disc, DVD-RW, (100 per package)~DVDRW, Re-Writeable Digital Video Disc,"</f>
        <v>DISC:DVDRW, Re-Write Digit Vid~DVDRW, Re-Writeable Digital Video Disc, DVD-RW, (100 per package)~DVDRW, Re-Writeable Digital Video Disc,</v>
      </c>
      <c r="G2466" s="74" t="str">
        <f t="shared" si="163"/>
        <v>PK</v>
      </c>
      <c r="H2466" s="7">
        <v>85.68</v>
      </c>
      <c r="I2466" s="2" t="str">
        <f>"43202001"</f>
        <v>43202001</v>
      </c>
      <c r="J2466" s="10" t="s">
        <v>204</v>
      </c>
    </row>
    <row r="2467" spans="1:10" ht="63.75">
      <c r="A2467" s="9" t="s">
        <v>27</v>
      </c>
      <c r="B2467" s="2" t="s">
        <v>611</v>
      </c>
      <c r="C2467" s="2">
        <v>3203</v>
      </c>
      <c r="D2467" s="2">
        <v>72</v>
      </c>
      <c r="E2467" s="2" t="str">
        <f>"1000001851"</f>
        <v>1000001851</v>
      </c>
      <c r="F2467" s="4" t="str">
        <f>"DISC:DVD+RW Re-Write Digit Vid~DVDRW Re-Writeable Digital Video Disc DVD+RW Re-Writeable Digital Video Disc (25 per package)~DVD+RW Re-Writeable Digital Video Disc (25 per package)"</f>
        <v>DISC:DVD+RW Re-Write Digit Vid~DVDRW Re-Writeable Digital Video Disc DVD+RW Re-Writeable Digital Video Disc (25 per package)~DVD+RW Re-Writeable Digital Video Disc (25 per package)</v>
      </c>
      <c r="G2467" s="74" t="str">
        <f t="shared" si="163"/>
        <v>PK</v>
      </c>
      <c r="H2467" s="7">
        <v>21.84</v>
      </c>
      <c r="I2467" s="2" t="str">
        <f>"43201811"</f>
        <v>43201811</v>
      </c>
      <c r="J2467" s="10" t="s">
        <v>203</v>
      </c>
    </row>
    <row r="2468" spans="1:10" ht="63.75">
      <c r="A2468" s="9" t="s">
        <v>27</v>
      </c>
      <c r="B2468" s="2" t="s">
        <v>611</v>
      </c>
      <c r="C2468" s="2">
        <v>3203</v>
      </c>
      <c r="D2468" s="2">
        <v>75</v>
      </c>
      <c r="E2468" s="2" t="str">
        <f>"1000001853"</f>
        <v>1000001853</v>
      </c>
      <c r="F2468" s="4" t="str">
        <f>"DISC:DVD-R, Digit Write Video~DVD (Digital Video Disc), DVD-R, Digital Writeable Video Disc (100 per package)~DVD (Digital Video Disc), DVD-R, Digital Writeable Video"</f>
        <v>DISC:DVD-R, Digit Write Video~DVD (Digital Video Disc), DVD-R, Digital Writeable Video Disc (100 per package)~DVD (Digital Video Disc), DVD-R, Digital Writeable Video</v>
      </c>
      <c r="G2468" s="74" t="str">
        <f t="shared" si="163"/>
        <v>PK</v>
      </c>
      <c r="H2468" s="7">
        <v>37</v>
      </c>
      <c r="I2468" s="2" t="str">
        <f>"43202001"</f>
        <v>43202001</v>
      </c>
      <c r="J2468" s="10" t="s">
        <v>204</v>
      </c>
    </row>
    <row r="2469" spans="1:10" ht="51">
      <c r="A2469" s="9" t="s">
        <v>27</v>
      </c>
      <c r="B2469" s="2" t="s">
        <v>611</v>
      </c>
      <c r="C2469" s="2">
        <v>3203</v>
      </c>
      <c r="D2469" s="2">
        <v>5</v>
      </c>
      <c r="E2469" s="2" t="str">
        <f>"1000002106"</f>
        <v>1000002106</v>
      </c>
      <c r="F2469" s="4" t="str">
        <f>"CASSETTE:HPB 92,Total Time 92~Standard premium cassette with basf recording tape, high performance (no box, no label) bulk. Hpb 92, total time 92"</f>
        <v>CASSETTE:HPB 92,Total Time 92~Standard premium cassette with basf recording tape, high performance (no box, no label) bulk. Hpb 92, total time 92</v>
      </c>
      <c r="G2469" s="74" t="str">
        <f>"EA"</f>
        <v>EA</v>
      </c>
      <c r="H2469" s="7">
        <v>1.01</v>
      </c>
      <c r="I2469" s="2" t="str">
        <f>"43201809"</f>
        <v>43201809</v>
      </c>
      <c r="J2469" s="10" t="s">
        <v>197</v>
      </c>
    </row>
    <row r="2470" spans="1:10" ht="38.25">
      <c r="A2470" s="9" t="s">
        <v>27</v>
      </c>
      <c r="B2470" s="2" t="s">
        <v>611</v>
      </c>
      <c r="C2470" s="2">
        <v>3203</v>
      </c>
      <c r="D2470" s="2">
        <v>69</v>
      </c>
      <c r="E2470" s="2" t="str">
        <f>"1000002300"</f>
        <v>1000002300</v>
      </c>
      <c r="F2470" s="4" t="str">
        <f>"DISC:DVD+R Write Digit Video 50/pkg~DVD (Digital Video Disc) DVD+R Writeable Digital Video Disc (50 per package)"</f>
        <v>DISC:DVD+R Write Digit Video 50/pkg~DVD (Digital Video Disc) DVD+R Writeable Digital Video Disc (50 per package)</v>
      </c>
      <c r="G2470" s="74" t="str">
        <f>"PK"</f>
        <v>PK</v>
      </c>
      <c r="H2470" s="7">
        <v>25.99</v>
      </c>
      <c r="I2470" s="2" t="str">
        <f>"43202003"</f>
        <v>43202003</v>
      </c>
      <c r="J2470" s="10" t="s">
        <v>200</v>
      </c>
    </row>
    <row r="2471" spans="1:10" ht="38.25">
      <c r="A2471" s="9" t="s">
        <v>27</v>
      </c>
      <c r="B2471" s="2" t="s">
        <v>611</v>
      </c>
      <c r="C2471" s="2">
        <v>3203</v>
      </c>
      <c r="D2471" s="2">
        <v>42</v>
      </c>
      <c r="E2471" s="2" t="str">
        <f>"1000002348"</f>
        <v>1000002348</v>
      </c>
      <c r="F2471" s="4" t="str">
        <f>"DISC:DVD-R Write Digit Video 10/pkg~DVD (Digital Video Disc) DVD-R Writeable Digital Video Disc (10 per package)"</f>
        <v>DISC:DVD-R Write Digit Video 10/pkg~DVD (Digital Video Disc) DVD-R Writeable Digital Video Disc (10 per package)</v>
      </c>
      <c r="G2471" s="74" t="str">
        <f>"PK"</f>
        <v>PK</v>
      </c>
      <c r="H2471" s="7">
        <v>4.62</v>
      </c>
      <c r="I2471" s="2" t="str">
        <f>"43202003"</f>
        <v>43202003</v>
      </c>
      <c r="J2471" s="10" t="s">
        <v>200</v>
      </c>
    </row>
    <row r="2472" spans="1:10" ht="38.25">
      <c r="A2472" s="9" t="s">
        <v>27</v>
      </c>
      <c r="B2472" s="2" t="s">
        <v>611</v>
      </c>
      <c r="C2472" s="2">
        <v>3203</v>
      </c>
      <c r="D2472" s="2">
        <v>13</v>
      </c>
      <c r="E2472" s="2" t="str">
        <f>"1000002474"</f>
        <v>1000002474</v>
      </c>
      <c r="F2472" s="4" t="str">
        <f>"CASSETTE:MSB 92,Total Time 92~Standard cassette tape master series (no box, no label) bulk Msb 92, total time 92"</f>
        <v>CASSETTE:MSB 92,Total Time 92~Standard cassette tape master series (no box, no label) bulk Msb 92, total time 92</v>
      </c>
      <c r="G2472" s="74" t="str">
        <f t="shared" ref="G2472:G2490" si="164">"EA"</f>
        <v>EA</v>
      </c>
      <c r="H2472" s="7">
        <v>1.18</v>
      </c>
      <c r="I2472" s="2" t="str">
        <f>"43201809"</f>
        <v>43201809</v>
      </c>
      <c r="J2472" s="10" t="s">
        <v>197</v>
      </c>
    </row>
    <row r="2473" spans="1:10" ht="89.25">
      <c r="A2473" s="9" t="s">
        <v>27</v>
      </c>
      <c r="B2473" s="2" t="s">
        <v>611</v>
      </c>
      <c r="C2473" s="2">
        <v>3203</v>
      </c>
      <c r="D2473" s="2">
        <v>7</v>
      </c>
      <c r="E2473" s="2" t="str">
        <f>"1000002836"</f>
        <v>1000002836</v>
      </c>
      <c r="F2473" s="4" t="str">
        <f>"CASSETTE:MS 62, Total Time 62~Standard premium cassette with basf recording tape, master series with box and label ultra low noise/high output tape features extended high end frequency response. A superior tape for music mastering and duplication."</f>
        <v>CASSETTE:MS 62, Total Time 62~Standard premium cassette with basf recording tape, master series with box and label ultra low noise/high output tape features extended high end frequency response. A superior tape for music mastering and duplication.</v>
      </c>
      <c r="G2473" s="74" t="str">
        <f t="shared" si="164"/>
        <v>EA</v>
      </c>
      <c r="H2473" s="7">
        <v>1.1399999999999999</v>
      </c>
      <c r="I2473" s="2" t="str">
        <f>"43201809"</f>
        <v>43201809</v>
      </c>
      <c r="J2473" s="10" t="s">
        <v>197</v>
      </c>
    </row>
    <row r="2474" spans="1:10" ht="38.25">
      <c r="A2474" s="9" t="s">
        <v>27</v>
      </c>
      <c r="B2474" s="2" t="s">
        <v>611</v>
      </c>
      <c r="C2474" s="2">
        <v>3203</v>
      </c>
      <c r="D2474" s="2">
        <v>14</v>
      </c>
      <c r="E2474" s="2" t="str">
        <f>"1000002931"</f>
        <v>1000002931</v>
      </c>
      <c r="F2474" s="4" t="str">
        <f>"CASSETTE:MSB 122, Total Time 122~Standard cassette tape master series (no box, no label) bulk"</f>
        <v>CASSETTE:MSB 122, Total Time 122~Standard cassette tape master series (no box, no label) bulk</v>
      </c>
      <c r="G2474" s="74" t="str">
        <f t="shared" si="164"/>
        <v>EA</v>
      </c>
      <c r="H2474" s="7">
        <v>1.97</v>
      </c>
      <c r="I2474" s="2" t="str">
        <f>"43201809"</f>
        <v>43201809</v>
      </c>
      <c r="J2474" s="10" t="s">
        <v>197</v>
      </c>
    </row>
    <row r="2475" spans="1:10" ht="89.25">
      <c r="A2475" s="9" t="s">
        <v>27</v>
      </c>
      <c r="B2475" s="2" t="s">
        <v>611</v>
      </c>
      <c r="C2475" s="2">
        <v>3203</v>
      </c>
      <c r="D2475" s="2">
        <v>2</v>
      </c>
      <c r="E2475" s="2" t="str">
        <f>"1000003162"</f>
        <v>1000003162</v>
      </c>
      <c r="F2475" s="4" t="str">
        <f>"CASSETTE:HP 92, Total Time 92~Standard premium cassette with basf recording tape general purpose, high performance with box and label, clean running, low noise tape, ideal for recording, and high speed duplication of all general requirements with leaders"</f>
        <v>CASSETTE:HP 92, Total Time 92~Standard premium cassette with basf recording tape general purpose, high performance with box and label, clean running, low noise tape, ideal for recording, and high speed duplication of all general requirements with leaders</v>
      </c>
      <c r="G2475" s="74" t="str">
        <f t="shared" si="164"/>
        <v>EA</v>
      </c>
      <c r="H2475" s="7">
        <v>1.17</v>
      </c>
      <c r="I2475" s="2" t="str">
        <f>"43201809"</f>
        <v>43201809</v>
      </c>
      <c r="J2475" s="10" t="s">
        <v>197</v>
      </c>
    </row>
    <row r="2476" spans="1:10" ht="25.5">
      <c r="A2476" s="9" t="s">
        <v>27</v>
      </c>
      <c r="B2476" s="2" t="s">
        <v>611</v>
      </c>
      <c r="C2476" s="2">
        <v>3203</v>
      </c>
      <c r="D2476" s="2">
        <v>3</v>
      </c>
      <c r="E2476" s="2" t="str">
        <f>"1000003211"</f>
        <v>1000003211</v>
      </c>
      <c r="F2476" s="4" t="str">
        <f>"CASSETTE:HP 122~HP122"</f>
        <v>CASSETTE:HP 122~HP122</v>
      </c>
      <c r="G2476" s="74" t="str">
        <f t="shared" si="164"/>
        <v>EA</v>
      </c>
      <c r="H2476" s="7">
        <v>2.02</v>
      </c>
      <c r="I2476" s="2" t="str">
        <f>"43201809"</f>
        <v>43201809</v>
      </c>
      <c r="J2476" s="10" t="s">
        <v>197</v>
      </c>
    </row>
    <row r="2477" spans="1:10" ht="38.25">
      <c r="A2477" s="9" t="s">
        <v>27</v>
      </c>
      <c r="B2477" s="2" t="s">
        <v>611</v>
      </c>
      <c r="C2477" s="2">
        <v>3203</v>
      </c>
      <c r="D2477" s="2">
        <v>16</v>
      </c>
      <c r="E2477" s="2" t="str">
        <f>"1000003214"</f>
        <v>1000003214</v>
      </c>
      <c r="F2477" s="4" t="str">
        <f>"RECORDING TAPE: MBS 96 1/2"" VHS-C Color (Super Hi Grade) ""with label and box"""</f>
        <v>RECORDING TAPE: MBS 96 1/2" VHS-C Color (Super Hi Grade) "with label and box"</v>
      </c>
      <c r="G2477" s="74" t="str">
        <f t="shared" si="164"/>
        <v>EA</v>
      </c>
      <c r="H2477" s="7">
        <v>1.6</v>
      </c>
      <c r="I2477" s="2" t="str">
        <f>"45131604"</f>
        <v>45131604</v>
      </c>
      <c r="J2477" s="10" t="s">
        <v>198</v>
      </c>
    </row>
    <row r="2478" spans="1:10" ht="38.25">
      <c r="A2478" s="9" t="s">
        <v>27</v>
      </c>
      <c r="B2478" s="2" t="s">
        <v>611</v>
      </c>
      <c r="C2478" s="2">
        <v>3203</v>
      </c>
      <c r="D2478" s="2">
        <v>57</v>
      </c>
      <c r="E2478" s="2" t="str">
        <f>"1000003524"</f>
        <v>1000003524</v>
      </c>
      <c r="F2478" s="4" t="str">
        <f>"DIGITAL VIDEO EQP:Sony PDVM-94N,94 Min,Full Size~DV Cam Sony PDVM-94N - 94 minutes, full size"</f>
        <v>DIGITAL VIDEO EQP:Sony PDVM-94N,94 Min,Full Size~DV Cam Sony PDVM-94N - 94 minutes, full size</v>
      </c>
      <c r="G2478" s="74" t="str">
        <f t="shared" si="164"/>
        <v>EA</v>
      </c>
      <c r="H2478" s="7">
        <v>21.5</v>
      </c>
      <c r="I2478" s="2" t="str">
        <f t="shared" ref="I2478:I2483" si="165">"83121701"</f>
        <v>83121701</v>
      </c>
      <c r="J2478" s="10" t="s">
        <v>202</v>
      </c>
    </row>
    <row r="2479" spans="1:10" ht="38.25">
      <c r="A2479" s="9" t="s">
        <v>27</v>
      </c>
      <c r="B2479" s="2" t="s">
        <v>611</v>
      </c>
      <c r="C2479" s="2">
        <v>3203</v>
      </c>
      <c r="D2479" s="2">
        <v>54</v>
      </c>
      <c r="E2479" s="2" t="str">
        <f>"1000003525"</f>
        <v>1000003525</v>
      </c>
      <c r="F2479" s="4" t="str">
        <f>"DIGITAL VIDEO EQP:Sony PDVM-40N,40 Min,Small Size~DV Cam Sony PDVM-40N - 40 minutes, small size"</f>
        <v>DIGITAL VIDEO EQP:Sony PDVM-40N,40 Min,Small Size~DV Cam Sony PDVM-40N - 40 minutes, small size</v>
      </c>
      <c r="G2479" s="74" t="str">
        <f t="shared" si="164"/>
        <v>EA</v>
      </c>
      <c r="H2479" s="7">
        <v>12</v>
      </c>
      <c r="I2479" s="2" t="str">
        <f t="shared" si="165"/>
        <v>83121701</v>
      </c>
      <c r="J2479" s="10" t="s">
        <v>202</v>
      </c>
    </row>
    <row r="2480" spans="1:10" ht="38.25">
      <c r="A2480" s="9" t="s">
        <v>27</v>
      </c>
      <c r="B2480" s="2" t="s">
        <v>611</v>
      </c>
      <c r="C2480" s="2">
        <v>3203</v>
      </c>
      <c r="D2480" s="2">
        <v>55</v>
      </c>
      <c r="E2480" s="2" t="str">
        <f>"1000003553"</f>
        <v>1000003553</v>
      </c>
      <c r="F2480" s="4" t="str">
        <f>"DIGITAL VIDEO EQP:Sony PDVM-34N,34 Min,Full Size~DV Cam Sony PDVM-34N - 34 minutes, full size"</f>
        <v>DIGITAL VIDEO EQP:Sony PDVM-34N,34 Min,Full Size~DV Cam Sony PDVM-34N - 34 minutes, full size</v>
      </c>
      <c r="G2480" s="74" t="str">
        <f t="shared" si="164"/>
        <v>EA</v>
      </c>
      <c r="H2480" s="7">
        <v>14.5</v>
      </c>
      <c r="I2480" s="2" t="str">
        <f t="shared" si="165"/>
        <v>83121701</v>
      </c>
      <c r="J2480" s="10" t="s">
        <v>202</v>
      </c>
    </row>
    <row r="2481" spans="1:10" ht="76.5">
      <c r="A2481" s="9" t="s">
        <v>27</v>
      </c>
      <c r="B2481" s="2" t="s">
        <v>611</v>
      </c>
      <c r="C2481" s="2">
        <v>3203</v>
      </c>
      <c r="D2481" s="2">
        <v>60</v>
      </c>
      <c r="E2481" s="2" t="str">
        <f>"1000003564"</f>
        <v>1000003564</v>
      </c>
      <c r="F2481" s="4" t="str">
        <f>"DIGITAL VIDEO EQP:Mini DV,Panasonic AY_DVM83MZ,83 Minutes,Min Order of 5~Mini DV Panasonic AY-DVM83MZ - 83 minutes. MINIMUM ORDER OF 5~Panasonic AY-DVM83MZ - 83 minutes. MINIMUM ORDER OF 5"</f>
        <v>DIGITAL VIDEO EQP:Mini DV,Panasonic AY_DVM83MZ,83 Minutes,Min Order of 5~Mini DV Panasonic AY-DVM83MZ - 83 minutes. MINIMUM ORDER OF 5~Panasonic AY-DVM83MZ - 83 minutes. MINIMUM ORDER OF 5</v>
      </c>
      <c r="G2481" s="74" t="str">
        <f t="shared" si="164"/>
        <v>EA</v>
      </c>
      <c r="H2481" s="7">
        <v>9</v>
      </c>
      <c r="I2481" s="2" t="str">
        <f t="shared" si="165"/>
        <v>83121701</v>
      </c>
      <c r="J2481" s="10" t="s">
        <v>202</v>
      </c>
    </row>
    <row r="2482" spans="1:10" ht="38.25">
      <c r="A2482" s="9" t="s">
        <v>27</v>
      </c>
      <c r="B2482" s="2" t="s">
        <v>611</v>
      </c>
      <c r="C2482" s="2">
        <v>3203</v>
      </c>
      <c r="D2482" s="2">
        <v>58</v>
      </c>
      <c r="E2482" s="2" t="str">
        <f>"1000003565"</f>
        <v>1000003565</v>
      </c>
      <c r="F2482" s="4" t="str">
        <f>"DIGITAL VIDEO EQP:DV Cam/Sony PDVM-184N,184 Min,Full Size~DV Cam Sony PDVM-184N - 184 minutes, full size"</f>
        <v>DIGITAL VIDEO EQP:DV Cam/Sony PDVM-184N,184 Min,Full Size~DV Cam Sony PDVM-184N - 184 minutes, full size</v>
      </c>
      <c r="G2482" s="74" t="str">
        <f t="shared" si="164"/>
        <v>EA</v>
      </c>
      <c r="H2482" s="7">
        <v>24.5</v>
      </c>
      <c r="I2482" s="2" t="str">
        <f t="shared" si="165"/>
        <v>83121701</v>
      </c>
      <c r="J2482" s="10" t="s">
        <v>202</v>
      </c>
    </row>
    <row r="2483" spans="1:10" ht="38.25">
      <c r="A2483" s="9" t="s">
        <v>27</v>
      </c>
      <c r="B2483" s="2" t="s">
        <v>611</v>
      </c>
      <c r="C2483" s="2">
        <v>3203</v>
      </c>
      <c r="D2483" s="2">
        <v>56</v>
      </c>
      <c r="E2483" s="2" t="str">
        <f>"1000003569"</f>
        <v>1000003569</v>
      </c>
      <c r="F2483" s="4" t="str">
        <f>"DV CAM:DV Cam - Sony PDVM-64N - 64 minutes, full size~DV Cam Sony PDVM-64N - 64 minutes, full size"</f>
        <v>DV CAM:DV Cam - Sony PDVM-64N - 64 minutes, full size~DV Cam Sony PDVM-64N - 64 minutes, full size</v>
      </c>
      <c r="G2483" s="74" t="str">
        <f t="shared" si="164"/>
        <v>EA</v>
      </c>
      <c r="H2483" s="7">
        <v>15.25</v>
      </c>
      <c r="I2483" s="2" t="str">
        <f t="shared" si="165"/>
        <v>83121701</v>
      </c>
      <c r="J2483" s="10" t="s">
        <v>202</v>
      </c>
    </row>
    <row r="2484" spans="1:10" ht="89.25">
      <c r="A2484" s="9" t="s">
        <v>27</v>
      </c>
      <c r="B2484" s="2" t="s">
        <v>611</v>
      </c>
      <c r="C2484" s="2">
        <v>3203</v>
      </c>
      <c r="D2484" s="2">
        <v>11</v>
      </c>
      <c r="E2484" s="2" t="str">
        <f>"1000003666"</f>
        <v>1000003666</v>
      </c>
      <c r="F2484" s="4" t="str">
        <f>"CASSETTE:MS 120, Total Time 120~Standard premium cassette with basf recording tape, master series with box and label ultra low noise/high output tape features extended high end frequency response. A superior tape for music mastering and duplication."</f>
        <v>CASSETTE:MS 120, Total Time 120~Standard premium cassette with basf recording tape, master series with box and label ultra low noise/high output tape features extended high end frequency response. A superior tape for music mastering and duplication.</v>
      </c>
      <c r="G2484" s="74" t="str">
        <f t="shared" si="164"/>
        <v>EA</v>
      </c>
      <c r="H2484" s="7">
        <v>2.23</v>
      </c>
      <c r="I2484" s="2" t="str">
        <f>"43201809"</f>
        <v>43201809</v>
      </c>
      <c r="J2484" s="10" t="s">
        <v>197</v>
      </c>
    </row>
    <row r="2485" spans="1:10" ht="25.5">
      <c r="A2485" s="9" t="s">
        <v>27</v>
      </c>
      <c r="B2485" s="2" t="s">
        <v>611</v>
      </c>
      <c r="C2485" s="2">
        <v>3203</v>
      </c>
      <c r="D2485" s="2">
        <v>18</v>
      </c>
      <c r="E2485" s="2" t="str">
        <f>"1000003886"</f>
        <v>1000003886</v>
      </c>
      <c r="F2485" s="4" t="str">
        <f>"RECORDING TAPE: T 45 1/2"" VHS-C Color (Super Hi Grade) ""with label and box"""</f>
        <v>RECORDING TAPE: T 45 1/2" VHS-C Color (Super Hi Grade) "with label and box"</v>
      </c>
      <c r="G2485" s="74" t="str">
        <f t="shared" si="164"/>
        <v>EA</v>
      </c>
      <c r="H2485" s="7">
        <v>1.8</v>
      </c>
      <c r="I2485" s="2" t="str">
        <f>"45131604"</f>
        <v>45131604</v>
      </c>
      <c r="J2485" s="10" t="s">
        <v>198</v>
      </c>
    </row>
    <row r="2486" spans="1:10" ht="89.25">
      <c r="A2486" s="9" t="s">
        <v>27</v>
      </c>
      <c r="B2486" s="2" t="s">
        <v>611</v>
      </c>
      <c r="C2486" s="2">
        <v>3203</v>
      </c>
      <c r="D2486" s="2">
        <v>9</v>
      </c>
      <c r="E2486" s="2" t="str">
        <f>"1000003912"</f>
        <v>1000003912</v>
      </c>
      <c r="F2486" s="4" t="str">
        <f>"CASSETTE:MS 92, Total Time 92~Standard premium cassette with basf recording tape, master series with box and label ultra low noise/high output tape features extended high end frequency response. A superior tape for music mastering and duplication."</f>
        <v>CASSETTE:MS 92, Total Time 92~Standard premium cassette with basf recording tape, master series with box and label ultra low noise/high output tape features extended high end frequency response. A superior tape for music mastering and duplication.</v>
      </c>
      <c r="G2486" s="74" t="str">
        <f t="shared" si="164"/>
        <v>EA</v>
      </c>
      <c r="H2486" s="7">
        <v>1.44</v>
      </c>
      <c r="I2486" s="2" t="str">
        <f>"43201809"</f>
        <v>43201809</v>
      </c>
      <c r="J2486" s="10" t="s">
        <v>197</v>
      </c>
    </row>
    <row r="2487" spans="1:10" ht="25.5">
      <c r="A2487" s="9" t="s">
        <v>27</v>
      </c>
      <c r="B2487" s="2" t="s">
        <v>611</v>
      </c>
      <c r="C2487" s="2">
        <v>3203</v>
      </c>
      <c r="D2487" s="2">
        <v>10</v>
      </c>
      <c r="E2487" s="2" t="str">
        <f>"1000003936"</f>
        <v>1000003936</v>
      </c>
      <c r="F2487" s="4" t="str">
        <f>"CASSETTE:MS 96"</f>
        <v>CASSETTE:MS 96</v>
      </c>
      <c r="G2487" s="74" t="str">
        <f t="shared" si="164"/>
        <v>EA</v>
      </c>
      <c r="H2487" s="7">
        <v>1.44</v>
      </c>
      <c r="I2487" s="2" t="str">
        <f>"43201809"</f>
        <v>43201809</v>
      </c>
      <c r="J2487" s="10" t="s">
        <v>197</v>
      </c>
    </row>
    <row r="2488" spans="1:10" ht="38.25">
      <c r="A2488" s="9" t="s">
        <v>27</v>
      </c>
      <c r="B2488" s="2" t="s">
        <v>611</v>
      </c>
      <c r="C2488" s="2">
        <v>3203</v>
      </c>
      <c r="D2488" s="2">
        <v>19</v>
      </c>
      <c r="E2488" s="2" t="str">
        <f>"1000004442"</f>
        <v>1000004442</v>
      </c>
      <c r="F2488" s="4" t="str">
        <f>"RECORDING TAPE: T 60 1/2"", Bulk, VHS-C Color (Super Hi Grade) ""with label and box"""</f>
        <v>RECORDING TAPE: T 60 1/2", Bulk, VHS-C Color (Super Hi Grade) "with label and box"</v>
      </c>
      <c r="G2488" s="74" t="str">
        <f t="shared" si="164"/>
        <v>EA</v>
      </c>
      <c r="H2488" s="7">
        <v>1.9</v>
      </c>
      <c r="I2488" s="2" t="str">
        <f>"45131604"</f>
        <v>45131604</v>
      </c>
      <c r="J2488" s="10" t="s">
        <v>198</v>
      </c>
    </row>
    <row r="2489" spans="1:10" ht="89.25">
      <c r="A2489" s="9" t="s">
        <v>27</v>
      </c>
      <c r="B2489" s="2" t="s">
        <v>611</v>
      </c>
      <c r="C2489" s="2">
        <v>3203</v>
      </c>
      <c r="D2489" s="2">
        <v>1</v>
      </c>
      <c r="E2489" s="2" t="str">
        <f>"1000004468"</f>
        <v>1000004468</v>
      </c>
      <c r="F2489" s="4" t="str">
        <f>"CASSETTE:HP 62, Total Time 62~Standard premium cassette with basf recording tape general purpose, high performance with box and label, clean running, low noise tape, ideal for recording, and high speed duplication of all general requirements with leaders"</f>
        <v>CASSETTE:HP 62, Total Time 62~Standard premium cassette with basf recording tape general purpose, high performance with box and label, clean running, low noise tape, ideal for recording, and high speed duplication of all general requirements with leaders</v>
      </c>
      <c r="G2489" s="74" t="str">
        <f t="shared" si="164"/>
        <v>EA</v>
      </c>
      <c r="H2489" s="7">
        <v>0.97</v>
      </c>
      <c r="I2489" s="2" t="str">
        <f>"43201809"</f>
        <v>43201809</v>
      </c>
      <c r="J2489" s="10" t="s">
        <v>197</v>
      </c>
    </row>
    <row r="2490" spans="1:10" ht="38.25">
      <c r="A2490" s="9" t="s">
        <v>27</v>
      </c>
      <c r="B2490" s="2" t="s">
        <v>611</v>
      </c>
      <c r="C2490" s="2">
        <v>3203</v>
      </c>
      <c r="D2490" s="2">
        <v>12</v>
      </c>
      <c r="E2490" s="2" t="str">
        <f>"1000004519"</f>
        <v>1000004519</v>
      </c>
      <c r="F2490" s="4" t="str">
        <f>"CASSETTE:MSB 62,Total Time 62~Standard cassette tape master series (no box, no label) bulk Msb 62, total time 62"</f>
        <v>CASSETTE:MSB 62,Total Time 62~Standard cassette tape master series (no box, no label) bulk Msb 62, total time 62</v>
      </c>
      <c r="G2490" s="74" t="str">
        <f t="shared" si="164"/>
        <v>EA</v>
      </c>
      <c r="H2490" s="7">
        <v>0.98</v>
      </c>
      <c r="I2490" s="2" t="str">
        <f>"43201809"</f>
        <v>43201809</v>
      </c>
      <c r="J2490" s="10" t="s">
        <v>197</v>
      </c>
    </row>
    <row r="2491" spans="1:10" ht="38.25">
      <c r="A2491" s="9" t="s">
        <v>27</v>
      </c>
      <c r="B2491" s="2" t="s">
        <v>611</v>
      </c>
      <c r="C2491" s="2">
        <v>3203</v>
      </c>
      <c r="D2491" s="2">
        <v>68</v>
      </c>
      <c r="E2491" s="2" t="str">
        <f>"1000004770"</f>
        <v>1000004770</v>
      </c>
      <c r="F2491" s="4" t="str">
        <f>"DISC:DVD+R Write Digit Video 25/pkg~DVD (Digital Video Disc) DVD+R Writeable Digital Video Disc (25 per package)"</f>
        <v>DISC:DVD+R Write Digit Video 25/pkg~DVD (Digital Video Disc) DVD+R Writeable Digital Video Disc (25 per package)</v>
      </c>
      <c r="G2491" s="74" t="str">
        <f t="shared" ref="G2491:G2497" si="166">"PK"</f>
        <v>PK</v>
      </c>
      <c r="H2491" s="7">
        <v>15</v>
      </c>
      <c r="I2491" s="2" t="str">
        <f>"43202003"</f>
        <v>43202003</v>
      </c>
      <c r="J2491" s="10" t="s">
        <v>200</v>
      </c>
    </row>
    <row r="2492" spans="1:10" ht="63.75">
      <c r="A2492" s="9" t="s">
        <v>27</v>
      </c>
      <c r="B2492" s="2" t="s">
        <v>611</v>
      </c>
      <c r="C2492" s="2">
        <v>3203</v>
      </c>
      <c r="D2492" s="2">
        <v>43</v>
      </c>
      <c r="E2492" s="2" t="str">
        <f>"1000005056"</f>
        <v>1000005056</v>
      </c>
      <c r="F2492" s="4" t="str">
        <f>"DISC:DVD-R Write Digit Video 25/pkg~DVD (Digital Video Disc) DVD Writeable Digital Video Disc (25 per package)~DVD-R Writeable Digital Video Disc (25 per package)"</f>
        <v>DISC:DVD-R Write Digit Video 25/pkg~DVD (Digital Video Disc) DVD Writeable Digital Video Disc (25 per package)~DVD-R Writeable Digital Video Disc (25 per package)</v>
      </c>
      <c r="G2492" s="74" t="str">
        <f t="shared" si="166"/>
        <v>PK</v>
      </c>
      <c r="H2492" s="7">
        <v>11.55</v>
      </c>
      <c r="I2492" s="2" t="str">
        <f>"43202003"</f>
        <v>43202003</v>
      </c>
      <c r="J2492" s="10" t="s">
        <v>200</v>
      </c>
    </row>
    <row r="2493" spans="1:10" ht="63.75">
      <c r="A2493" s="9" t="s">
        <v>27</v>
      </c>
      <c r="B2493" s="2" t="s">
        <v>611</v>
      </c>
      <c r="C2493" s="2">
        <v>3203</v>
      </c>
      <c r="D2493" s="2">
        <v>44</v>
      </c>
      <c r="E2493" s="2" t="str">
        <f>"1000005081"</f>
        <v>1000005081</v>
      </c>
      <c r="F2493" s="4" t="str">
        <f>"DISC:DVD-R Write Digit Video 50/pkg~DVD (Digital Video Disc) DVD Writeable Digital Video Disc (50 per package)~DVD-R Writeable Digital Video Disc (50 per package)"</f>
        <v>DISC:DVD-R Write Digit Video 50/pkg~DVD (Digital Video Disc) DVD Writeable Digital Video Disc (50 per package)~DVD-R Writeable Digital Video Disc (50 per package)</v>
      </c>
      <c r="G2493" s="74" t="str">
        <f t="shared" si="166"/>
        <v>PK</v>
      </c>
      <c r="H2493" s="7">
        <v>22.78</v>
      </c>
      <c r="I2493" s="2" t="str">
        <f>"43202003"</f>
        <v>43202003</v>
      </c>
      <c r="J2493" s="10" t="s">
        <v>200</v>
      </c>
    </row>
    <row r="2494" spans="1:10" ht="38.25">
      <c r="A2494" s="9" t="s">
        <v>27</v>
      </c>
      <c r="B2494" s="2" t="s">
        <v>611</v>
      </c>
      <c r="C2494" s="2">
        <v>3203</v>
      </c>
      <c r="D2494" s="2">
        <v>67</v>
      </c>
      <c r="E2494" s="2" t="str">
        <f>"1000005265"</f>
        <v>1000005265</v>
      </c>
      <c r="F2494" s="4" t="str">
        <f>"DISC:DVD+R Write Digit Video 10-pkg~DVD (Digital Video Disc) DVD+R Writeable Digital Video Disc (10 per package)"</f>
        <v>DISC:DVD+R Write Digit Video 10-pkg~DVD (Digital Video Disc) DVD+R Writeable Digital Video Disc (10 per package)</v>
      </c>
      <c r="G2494" s="74" t="str">
        <f t="shared" si="166"/>
        <v>PK</v>
      </c>
      <c r="H2494" s="7">
        <v>6.8</v>
      </c>
      <c r="I2494" s="2" t="str">
        <f>"43202003"</f>
        <v>43202003</v>
      </c>
      <c r="J2494" s="10" t="s">
        <v>200</v>
      </c>
    </row>
    <row r="2495" spans="1:10" ht="25.5">
      <c r="A2495" s="9" t="s">
        <v>27</v>
      </c>
      <c r="B2495" s="2" t="s">
        <v>611</v>
      </c>
      <c r="C2495" s="2">
        <v>3203</v>
      </c>
      <c r="D2495" s="2">
        <v>37</v>
      </c>
      <c r="E2495" s="2" t="str">
        <f>"1000013555"</f>
        <v>1000013555</v>
      </c>
      <c r="F2495" s="4" t="str">
        <f>"DISC: 25 per package, ""CDR"" (Writable Compact Disc)"</f>
        <v>DISC: 25 per package, "CDR" (Writable Compact Disc)</v>
      </c>
      <c r="G2495" s="74" t="str">
        <f t="shared" si="166"/>
        <v>PK</v>
      </c>
      <c r="H2495" s="7">
        <v>10</v>
      </c>
      <c r="I2495" s="2" t="str">
        <f>"43201809"</f>
        <v>43201809</v>
      </c>
      <c r="J2495" s="10" t="s">
        <v>197</v>
      </c>
    </row>
    <row r="2496" spans="1:10" ht="25.5">
      <c r="A2496" s="9" t="s">
        <v>27</v>
      </c>
      <c r="B2496" s="2" t="s">
        <v>611</v>
      </c>
      <c r="C2496" s="2">
        <v>3203</v>
      </c>
      <c r="D2496" s="2">
        <v>38</v>
      </c>
      <c r="E2496" s="2" t="str">
        <f>"1000013556"</f>
        <v>1000013556</v>
      </c>
      <c r="F2496" s="4" t="str">
        <f>"DISC: 50 per package, ""CDR"" (Writable Compact Disc)"</f>
        <v>DISC: 50 per package, "CDR" (Writable Compact Disc)</v>
      </c>
      <c r="G2496" s="74" t="str">
        <f t="shared" si="166"/>
        <v>PK</v>
      </c>
      <c r="H2496" s="7">
        <v>17</v>
      </c>
      <c r="I2496" s="2" t="str">
        <f>"43201809"</f>
        <v>43201809</v>
      </c>
      <c r="J2496" s="10" t="s">
        <v>197</v>
      </c>
    </row>
    <row r="2497" spans="1:10" ht="25.5">
      <c r="A2497" s="9" t="s">
        <v>27</v>
      </c>
      <c r="B2497" s="2" t="s">
        <v>611</v>
      </c>
      <c r="C2497" s="2">
        <v>3203</v>
      </c>
      <c r="D2497" s="2">
        <v>39</v>
      </c>
      <c r="E2497" s="2" t="str">
        <f>"1000013557"</f>
        <v>1000013557</v>
      </c>
      <c r="F2497" s="4" t="str">
        <f>"DISC: 10 per package, ""CDRW"" (ReWritable Compact Disc)"</f>
        <v>DISC: 10 per package, "CDRW" (ReWritable Compact Disc)</v>
      </c>
      <c r="G2497" s="74" t="str">
        <f t="shared" si="166"/>
        <v>PK</v>
      </c>
      <c r="H2497" s="7">
        <v>7.84</v>
      </c>
      <c r="I2497" s="2" t="str">
        <f>"43201809"</f>
        <v>43201809</v>
      </c>
      <c r="J2497" s="10" t="s">
        <v>197</v>
      </c>
    </row>
    <row r="2498" spans="1:10" ht="51">
      <c r="A2498" s="9" t="s">
        <v>27</v>
      </c>
      <c r="B2498" s="2" t="s">
        <v>611</v>
      </c>
      <c r="C2498" s="2">
        <v>3203</v>
      </c>
      <c r="D2498" s="2">
        <v>4</v>
      </c>
      <c r="E2498" s="2" t="str">
        <f>"1000013558"</f>
        <v>1000013558</v>
      </c>
      <c r="F2498" s="4" t="str">
        <f>"CASSETTE: Audio, HPB 62, total time 62, standard premium cassette with basf recording tape, high performance (no box, no label) bulk."</f>
        <v>CASSETTE: Audio, HPB 62, total time 62, standard premium cassette with basf recording tape, high performance (no box, no label) bulk.</v>
      </c>
      <c r="G2498" s="74" t="str">
        <f t="shared" ref="G2498:G2504" si="167">"EA"</f>
        <v>EA</v>
      </c>
      <c r="H2498" s="7">
        <v>0.87</v>
      </c>
      <c r="I2498" s="2" t="str">
        <f>"45131604"</f>
        <v>45131604</v>
      </c>
      <c r="J2498" s="10" t="s">
        <v>198</v>
      </c>
    </row>
    <row r="2499" spans="1:10" ht="25.5">
      <c r="A2499" s="9" t="s">
        <v>27</v>
      </c>
      <c r="B2499" s="2" t="s">
        <v>611</v>
      </c>
      <c r="C2499" s="2">
        <v>3203</v>
      </c>
      <c r="D2499" s="2">
        <v>51</v>
      </c>
      <c r="E2499" s="2" t="str">
        <f>"1000013559"</f>
        <v>1000013559</v>
      </c>
      <c r="F2499" s="4" t="str">
        <f>"SERVICE: Duplication, DVD, bulk, no imprinting, DVD included"</f>
        <v>SERVICE: Duplication, DVD, bulk, no imprinting, DVD included</v>
      </c>
      <c r="G2499" s="74" t="str">
        <f t="shared" si="167"/>
        <v>EA</v>
      </c>
      <c r="H2499" s="7">
        <v>0.75</v>
      </c>
      <c r="I2499" s="2" t="str">
        <f>"73151907"</f>
        <v>73151907</v>
      </c>
      <c r="J2499" s="10" t="s">
        <v>201</v>
      </c>
    </row>
    <row r="2500" spans="1:10" ht="25.5">
      <c r="A2500" s="9" t="s">
        <v>27</v>
      </c>
      <c r="B2500" s="2" t="s">
        <v>611</v>
      </c>
      <c r="C2500" s="2">
        <v>3203</v>
      </c>
      <c r="D2500" s="2">
        <v>52</v>
      </c>
      <c r="E2500" s="2" t="str">
        <f>"1000013560"</f>
        <v>1000013560</v>
      </c>
      <c r="F2500" s="4" t="str">
        <f>"SERVICE: Duplication, DVD, bulk, one color, CDR included"</f>
        <v>SERVICE: Duplication, DVD, bulk, one color, CDR included</v>
      </c>
      <c r="G2500" s="74" t="str">
        <f t="shared" si="167"/>
        <v>EA</v>
      </c>
      <c r="H2500" s="7">
        <v>1.25</v>
      </c>
      <c r="I2500" s="2" t="str">
        <f>"73151907"</f>
        <v>73151907</v>
      </c>
      <c r="J2500" s="10" t="s">
        <v>201</v>
      </c>
    </row>
    <row r="2501" spans="1:10" ht="25.5">
      <c r="A2501" s="9" t="s">
        <v>27</v>
      </c>
      <c r="B2501" s="2" t="s">
        <v>611</v>
      </c>
      <c r="C2501" s="2">
        <v>3203</v>
      </c>
      <c r="D2501" s="2">
        <v>53</v>
      </c>
      <c r="E2501" s="2" t="str">
        <f>"1000013561"</f>
        <v>1000013561</v>
      </c>
      <c r="F2501" s="4" t="str">
        <f>"SERVICE: Duplication, DVD, bulk, full color, CDR included"</f>
        <v>SERVICE: Duplication, DVD, bulk, full color, CDR included</v>
      </c>
      <c r="G2501" s="74" t="str">
        <f t="shared" si="167"/>
        <v>EA</v>
      </c>
      <c r="H2501" s="7">
        <v>1.75</v>
      </c>
      <c r="I2501" s="2" t="str">
        <f>"73151907"</f>
        <v>73151907</v>
      </c>
      <c r="J2501" s="10" t="s">
        <v>201</v>
      </c>
    </row>
    <row r="2502" spans="1:10" ht="38.25">
      <c r="A2502" s="9" t="s">
        <v>27</v>
      </c>
      <c r="B2502" s="2" t="s">
        <v>611</v>
      </c>
      <c r="C2502" s="2">
        <v>3203</v>
      </c>
      <c r="D2502" s="2">
        <v>22</v>
      </c>
      <c r="E2502" s="2" t="str">
        <f>"1000013562"</f>
        <v>1000013562</v>
      </c>
      <c r="F2502" s="4" t="str">
        <f>"RECORDING TAPE:T15 1/2 Super Color Plus, VHS-C Color(Super Hi Grade), Bulk(no label or box)"</f>
        <v>RECORDING TAPE:T15 1/2 Super Color Plus, VHS-C Color(Super Hi Grade), Bulk(no label or box)</v>
      </c>
      <c r="G2502" s="74" t="str">
        <f t="shared" si="167"/>
        <v>EA</v>
      </c>
      <c r="H2502" s="7">
        <v>1.26</v>
      </c>
      <c r="I2502" s="2" t="str">
        <f>"45131604"</f>
        <v>45131604</v>
      </c>
      <c r="J2502" s="10" t="s">
        <v>198</v>
      </c>
    </row>
    <row r="2503" spans="1:10" ht="38.25">
      <c r="A2503" s="9" t="s">
        <v>27</v>
      </c>
      <c r="B2503" s="2" t="s">
        <v>611</v>
      </c>
      <c r="C2503" s="2">
        <v>3203</v>
      </c>
      <c r="D2503" s="2">
        <v>23</v>
      </c>
      <c r="E2503" s="2" t="str">
        <f>"1000013563"</f>
        <v>1000013563</v>
      </c>
      <c r="F2503" s="4" t="str">
        <f>"RECORDING TAPE:T30 1/2 Super Color Plus, VHS-C Color(Super Hi Grade), Bulk(no label or box)"</f>
        <v>RECORDING TAPE:T30 1/2 Super Color Plus, VHS-C Color(Super Hi Grade), Bulk(no label or box)</v>
      </c>
      <c r="G2503" s="74" t="str">
        <f t="shared" si="167"/>
        <v>EA</v>
      </c>
      <c r="H2503" s="7">
        <v>1.41</v>
      </c>
      <c r="I2503" s="2" t="str">
        <f>"45131604"</f>
        <v>45131604</v>
      </c>
      <c r="J2503" s="10" t="s">
        <v>198</v>
      </c>
    </row>
    <row r="2504" spans="1:10" ht="38.25">
      <c r="A2504" s="9" t="s">
        <v>27</v>
      </c>
      <c r="B2504" s="2" t="s">
        <v>611</v>
      </c>
      <c r="C2504" s="2">
        <v>3203</v>
      </c>
      <c r="D2504" s="2">
        <v>24</v>
      </c>
      <c r="E2504" s="2" t="str">
        <f>"1000013564"</f>
        <v>1000013564</v>
      </c>
      <c r="F2504" s="4" t="str">
        <f>"RECORDING TAPE:T45 1/2 Super Color Plus, VHS-C Color(Super Hi Grade), Bulk(no label or box)"</f>
        <v>RECORDING TAPE:T45 1/2 Super Color Plus, VHS-C Color(Super Hi Grade), Bulk(no label or box)</v>
      </c>
      <c r="G2504" s="74" t="str">
        <f t="shared" si="167"/>
        <v>EA</v>
      </c>
      <c r="H2504" s="7">
        <v>1.6</v>
      </c>
      <c r="I2504" s="2" t="str">
        <f>"45131604"</f>
        <v>45131604</v>
      </c>
      <c r="J2504" s="10" t="s">
        <v>198</v>
      </c>
    </row>
    <row r="2505" spans="1:10" ht="38.25">
      <c r="A2505" s="9" t="s">
        <v>27</v>
      </c>
      <c r="B2505" s="2" t="s">
        <v>611</v>
      </c>
      <c r="C2505" s="2">
        <v>3203</v>
      </c>
      <c r="D2505" s="2">
        <v>66</v>
      </c>
      <c r="E2505" s="2" t="str">
        <f>"1000013565"</f>
        <v>1000013565</v>
      </c>
      <c r="F2505" s="4" t="str">
        <f>"DISC: 50pk, CD+RW, high standard, one time record, certifiable for 50 years, re-writable"</f>
        <v>DISC: 50pk, CD+RW, high standard, one time record, certifiable for 50 years, re-writable</v>
      </c>
      <c r="G2505" s="74" t="str">
        <f>"PK"</f>
        <v>PK</v>
      </c>
      <c r="H2505" s="7">
        <v>34.31</v>
      </c>
      <c r="I2505" s="2" t="str">
        <f>"43201809"</f>
        <v>43201809</v>
      </c>
      <c r="J2505" s="10" t="s">
        <v>197</v>
      </c>
    </row>
    <row r="2506" spans="1:10" ht="25.5">
      <c r="A2506" s="9" t="s">
        <v>27</v>
      </c>
      <c r="B2506" s="2" t="s">
        <v>611</v>
      </c>
      <c r="C2506" s="2">
        <v>3203</v>
      </c>
      <c r="D2506" s="2">
        <v>73</v>
      </c>
      <c r="E2506" s="2" t="str">
        <f>"1000013566"</f>
        <v>1000013566</v>
      </c>
      <c r="F2506" s="4" t="str">
        <f>"DISC: 100 per package, ""CDR"" (Writable Compact Disc)"</f>
        <v>DISC: 100 per package, "CDR" (Writable Compact Disc)</v>
      </c>
      <c r="G2506" s="74" t="str">
        <f>"PK"</f>
        <v>PK</v>
      </c>
      <c r="H2506" s="7">
        <v>28</v>
      </c>
      <c r="I2506" s="2" t="str">
        <f>"43201809"</f>
        <v>43201809</v>
      </c>
      <c r="J2506" s="10" t="s">
        <v>197</v>
      </c>
    </row>
    <row r="2507" spans="1:10" ht="25.5">
      <c r="A2507" s="9" t="s">
        <v>27</v>
      </c>
      <c r="B2507" s="2" t="s">
        <v>611</v>
      </c>
      <c r="C2507" s="2">
        <v>3203</v>
      </c>
      <c r="D2507" s="2">
        <v>74</v>
      </c>
      <c r="E2507" s="2" t="str">
        <f>"1000013567"</f>
        <v>1000013567</v>
      </c>
      <c r="F2507" s="4" t="str">
        <f>"DISC: 100 per package, ""CDRW"" (ReWritable Compact Disc)"</f>
        <v>DISC: 100 per package, "CDRW" (ReWritable Compact Disc)</v>
      </c>
      <c r="G2507" s="74" t="str">
        <f>"PK"</f>
        <v>PK</v>
      </c>
      <c r="H2507" s="7">
        <v>74.56</v>
      </c>
      <c r="I2507" s="2" t="str">
        <f>"43201809"</f>
        <v>43201809</v>
      </c>
      <c r="J2507" s="10" t="s">
        <v>197</v>
      </c>
    </row>
    <row r="2508" spans="1:10" ht="25.5">
      <c r="A2508" s="9" t="s">
        <v>27</v>
      </c>
      <c r="B2508" s="2" t="s">
        <v>611</v>
      </c>
      <c r="C2508" s="2">
        <v>3203</v>
      </c>
      <c r="D2508" s="2">
        <v>40</v>
      </c>
      <c r="E2508" s="2" t="str">
        <f>"1000013568"</f>
        <v>1000013568</v>
      </c>
      <c r="F2508" s="4" t="str">
        <f>"DISC: 25 per package, ""CDRW"" (ReWritable Compact Disc)"</f>
        <v>DISC: 25 per package, "CDRW" (ReWritable Compact Disc)</v>
      </c>
      <c r="G2508" s="74" t="str">
        <f>"PK"</f>
        <v>PK</v>
      </c>
      <c r="H2508" s="7">
        <v>17.61</v>
      </c>
      <c r="I2508" s="2" t="str">
        <f>"43201809"</f>
        <v>43201809</v>
      </c>
      <c r="J2508" s="10" t="s">
        <v>197</v>
      </c>
    </row>
    <row r="2509" spans="1:10" ht="25.5">
      <c r="A2509" s="9" t="s">
        <v>27</v>
      </c>
      <c r="B2509" s="2" t="s">
        <v>611</v>
      </c>
      <c r="C2509" s="2">
        <v>3203</v>
      </c>
      <c r="D2509" s="2">
        <v>41</v>
      </c>
      <c r="E2509" s="2" t="str">
        <f>"1000013569"</f>
        <v>1000013569</v>
      </c>
      <c r="F2509" s="4" t="str">
        <f>"DISC: 50 per package, ""CDRW"" (ReWritable Compact Disc)"</f>
        <v>DISC: 50 per package, "CDRW" (ReWritable Compact Disc)</v>
      </c>
      <c r="G2509" s="74" t="str">
        <f>"PK"</f>
        <v>PK</v>
      </c>
      <c r="H2509" s="7">
        <v>33.630000000000003</v>
      </c>
      <c r="I2509" s="2" t="str">
        <f>"43201809"</f>
        <v>43201809</v>
      </c>
      <c r="J2509" s="10" t="s">
        <v>197</v>
      </c>
    </row>
    <row r="2510" spans="1:10" ht="25.5">
      <c r="A2510" s="9" t="s">
        <v>27</v>
      </c>
      <c r="B2510" s="2" t="s">
        <v>611</v>
      </c>
      <c r="C2510" s="2">
        <v>3203</v>
      </c>
      <c r="D2510" s="2">
        <v>45</v>
      </c>
      <c r="E2510" s="2" t="str">
        <f>"1000013570"</f>
        <v>1000013570</v>
      </c>
      <c r="F2510" s="4" t="str">
        <f>"SERVICE: Duplication, CDR, bulk, no imprinting, CDR included"</f>
        <v>SERVICE: Duplication, CDR, bulk, no imprinting, CDR included</v>
      </c>
      <c r="G2510" s="74" t="str">
        <f>"EA"</f>
        <v>EA</v>
      </c>
      <c r="H2510" s="7">
        <v>0.4</v>
      </c>
      <c r="I2510" s="2" t="str">
        <f>"73151907"</f>
        <v>73151907</v>
      </c>
      <c r="J2510" s="10" t="s">
        <v>201</v>
      </c>
    </row>
    <row r="2511" spans="1:10" ht="25.5">
      <c r="A2511" s="9" t="s">
        <v>27</v>
      </c>
      <c r="B2511" s="2" t="s">
        <v>611</v>
      </c>
      <c r="C2511" s="2">
        <v>3203</v>
      </c>
      <c r="D2511" s="2">
        <v>46</v>
      </c>
      <c r="E2511" s="2" t="str">
        <f>"1000013571"</f>
        <v>1000013571</v>
      </c>
      <c r="F2511" s="4" t="str">
        <f>"SERVICE: Duplication, CDR, bulk, one color, CDR included"</f>
        <v>SERVICE: Duplication, CDR, bulk, one color, CDR included</v>
      </c>
      <c r="G2511" s="74" t="str">
        <f>"EA"</f>
        <v>EA</v>
      </c>
      <c r="H2511" s="7">
        <v>1</v>
      </c>
      <c r="I2511" s="2" t="str">
        <f>"73151907"</f>
        <v>73151907</v>
      </c>
      <c r="J2511" s="10" t="s">
        <v>201</v>
      </c>
    </row>
    <row r="2512" spans="1:10" ht="25.5">
      <c r="A2512" s="9" t="s">
        <v>27</v>
      </c>
      <c r="B2512" s="2" t="s">
        <v>611</v>
      </c>
      <c r="C2512" s="2">
        <v>3203</v>
      </c>
      <c r="D2512" s="2">
        <v>47</v>
      </c>
      <c r="E2512" s="2" t="str">
        <f>"1000013572"</f>
        <v>1000013572</v>
      </c>
      <c r="F2512" s="4" t="str">
        <f>"SERVICE: Duplication, CDR, bulk, full color, CDR included"</f>
        <v>SERVICE: Duplication, CDR, bulk, full color, CDR included</v>
      </c>
      <c r="G2512" s="74" t="str">
        <f>"EA"</f>
        <v>EA</v>
      </c>
      <c r="H2512" s="7">
        <v>1.5</v>
      </c>
      <c r="I2512" s="2" t="str">
        <f>"73151907"</f>
        <v>73151907</v>
      </c>
      <c r="J2512" s="10" t="s">
        <v>201</v>
      </c>
    </row>
    <row r="2513" spans="1:10" ht="25.5">
      <c r="A2513" s="9" t="s">
        <v>27</v>
      </c>
      <c r="B2513" s="2" t="s">
        <v>611</v>
      </c>
      <c r="C2513" s="2">
        <v>3203</v>
      </c>
      <c r="D2513" s="2">
        <v>34</v>
      </c>
      <c r="E2513" s="2" t="str">
        <f>"1000013573"</f>
        <v>1000013573</v>
      </c>
      <c r="F2513" s="4" t="str">
        <f>"SLEEVE: Color, paper window sleeve, fold over (CD not included)"</f>
        <v>SLEEVE: Color, paper window sleeve, fold over (CD not included)</v>
      </c>
      <c r="G2513" s="74" t="str">
        <f>"EA"</f>
        <v>EA</v>
      </c>
      <c r="H2513" s="7">
        <v>0.12</v>
      </c>
      <c r="I2513" s="2" t="str">
        <f>"43202101"</f>
        <v>43202101</v>
      </c>
      <c r="J2513" s="10" t="s">
        <v>199</v>
      </c>
    </row>
    <row r="2514" spans="1:10" ht="25.5">
      <c r="A2514" s="9" t="s">
        <v>27</v>
      </c>
      <c r="B2514" s="2" t="s">
        <v>611</v>
      </c>
      <c r="C2514" s="2">
        <v>3203</v>
      </c>
      <c r="D2514" s="2">
        <v>35</v>
      </c>
      <c r="E2514" s="2" t="str">
        <f>"1000013574"</f>
        <v>1000013574</v>
      </c>
      <c r="F2514" s="4" t="str">
        <f>"SLEEVE: Peel &amp; Seel, window sleeve, fold over (CD not included)"</f>
        <v>SLEEVE: Peel &amp; Seel, window sleeve, fold over (CD not included)</v>
      </c>
      <c r="G2514" s="74" t="str">
        <f>"EA"</f>
        <v>EA</v>
      </c>
      <c r="H2514" s="7">
        <v>0.22</v>
      </c>
      <c r="I2514" s="2" t="str">
        <f>"43202101"</f>
        <v>43202101</v>
      </c>
      <c r="J2514" s="10" t="s">
        <v>199</v>
      </c>
    </row>
    <row r="2515" spans="1:10" ht="25.5">
      <c r="A2515" s="9" t="s">
        <v>27</v>
      </c>
      <c r="B2515" s="2" t="s">
        <v>611</v>
      </c>
      <c r="C2515" s="2">
        <v>3203</v>
      </c>
      <c r="D2515" s="2">
        <v>36</v>
      </c>
      <c r="E2515" s="2" t="str">
        <f>"1000013575"</f>
        <v>1000013575</v>
      </c>
      <c r="F2515" s="4" t="str">
        <f>"DISC: 10 per package, ""CDR"" (Writable Compact Disc)"</f>
        <v>DISC: 10 per package, "CDR" (Writable Compact Disc)</v>
      </c>
      <c r="G2515" s="74" t="str">
        <f>"PK"</f>
        <v>PK</v>
      </c>
      <c r="H2515" s="7">
        <v>4</v>
      </c>
      <c r="I2515" s="2" t="str">
        <f>"43201809"</f>
        <v>43201809</v>
      </c>
      <c r="J2515" s="10" t="s">
        <v>197</v>
      </c>
    </row>
    <row r="2516" spans="1:10" ht="51">
      <c r="A2516" s="9" t="s">
        <v>27</v>
      </c>
      <c r="B2516" s="2" t="s">
        <v>611</v>
      </c>
      <c r="C2516" s="2">
        <v>3203</v>
      </c>
      <c r="D2516" s="2">
        <v>6</v>
      </c>
      <c r="E2516" s="2" t="str">
        <f>"1000013576"</f>
        <v>1000013576</v>
      </c>
      <c r="F2516" s="4" t="str">
        <f>"CASSETTE: Audio, HPB 122, total time 122, standard premium cassette with basf recording tape, high performance (no box, no label) bulk."</f>
        <v>CASSETTE: Audio, HPB 122, total time 122, standard premium cassette with basf recording tape, high performance (no box, no label) bulk.</v>
      </c>
      <c r="G2516" s="74" t="str">
        <f>"EA"</f>
        <v>EA</v>
      </c>
      <c r="H2516" s="7">
        <v>0.99</v>
      </c>
      <c r="I2516" s="2" t="str">
        <f>"45131604"</f>
        <v>45131604</v>
      </c>
      <c r="J2516" s="10" t="s">
        <v>198</v>
      </c>
    </row>
    <row r="2517" spans="1:10" ht="89.25">
      <c r="A2517" s="9" t="s">
        <v>27</v>
      </c>
      <c r="B2517" s="2" t="s">
        <v>611</v>
      </c>
      <c r="C2517" s="2">
        <v>3203</v>
      </c>
      <c r="D2517" s="2">
        <v>8</v>
      </c>
      <c r="E2517" s="2" t="str">
        <f>"1000013577"</f>
        <v>1000013577</v>
      </c>
      <c r="F2517" s="4" t="str">
        <f>"CASSETTE: Audio, MS 77, total time 77, standard premium cassette with basf recording tape, master series with box and label ultra low noise/high output tape features extended high end frequency response. A superior tape for music mastering and duplicatio"</f>
        <v>CASSETTE: Audio, MS 77, total time 77, standard premium cassette with basf recording tape, master series with box and label ultra low noise/high output tape features extended high end frequency response. A superior tape for music mastering and duplicatio</v>
      </c>
      <c r="G2517" s="74" t="str">
        <f>"EA"</f>
        <v>EA</v>
      </c>
      <c r="H2517" s="7">
        <v>1.34</v>
      </c>
      <c r="I2517" s="2" t="str">
        <f>"45131604"</f>
        <v>45131604</v>
      </c>
      <c r="J2517" s="10" t="s">
        <v>198</v>
      </c>
    </row>
    <row r="2518" spans="1:10" ht="38.25">
      <c r="A2518" s="9" t="s">
        <v>27</v>
      </c>
      <c r="B2518" s="2" t="s">
        <v>611</v>
      </c>
      <c r="C2518" s="2">
        <v>3203</v>
      </c>
      <c r="D2518" s="2">
        <v>15</v>
      </c>
      <c r="E2518" s="2" t="str">
        <f>"1000013578"</f>
        <v>1000013578</v>
      </c>
      <c r="F2518" s="4" t="str">
        <f>"RECORDING TAPE: T 10 1/2"", Bulk 1/2 VHS-C Color (Super Hi Grade) ""with label and box"""</f>
        <v>RECORDING TAPE: T 10 1/2", Bulk 1/2 VHS-C Color (Super Hi Grade) "with label and box"</v>
      </c>
      <c r="G2518" s="74" t="str">
        <f>"EA"</f>
        <v>EA</v>
      </c>
      <c r="H2518" s="7">
        <v>1.56</v>
      </c>
      <c r="I2518" s="2" t="str">
        <f>"45131604"</f>
        <v>45131604</v>
      </c>
      <c r="J2518" s="10" t="s">
        <v>198</v>
      </c>
    </row>
    <row r="2519" spans="1:10" ht="51">
      <c r="A2519" s="9" t="s">
        <v>27</v>
      </c>
      <c r="B2519" s="2" t="s">
        <v>611</v>
      </c>
      <c r="C2519" s="2">
        <v>3203</v>
      </c>
      <c r="D2519" s="2">
        <v>59</v>
      </c>
      <c r="E2519" s="2" t="str">
        <f>"1000013579"</f>
        <v>1000013579</v>
      </c>
      <c r="F2519" s="4" t="str">
        <f>"DIGITAL VIDEO EQP:Mini DV,Panasonic AY_DVM63MZ,63 Minutes,Min Order of 5~Mini DV Panasonic AY-DVM63MZ - 63 minutes. MINIMUM ORDER OF 5"</f>
        <v>DIGITAL VIDEO EQP:Mini DV,Panasonic AY_DVM63MZ,63 Minutes,Min Order of 5~Mini DV Panasonic AY-DVM63MZ - 63 minutes. MINIMUM ORDER OF 5</v>
      </c>
      <c r="G2519" s="74" t="str">
        <f>"EA"</f>
        <v>EA</v>
      </c>
      <c r="H2519" s="7">
        <v>7.82</v>
      </c>
      <c r="I2519" s="2" t="str">
        <f>"83121701"</f>
        <v>83121701</v>
      </c>
      <c r="J2519" s="10" t="s">
        <v>202</v>
      </c>
    </row>
    <row r="2520" spans="1:10" ht="25.5">
      <c r="A2520" s="9" t="s">
        <v>27</v>
      </c>
      <c r="B2520" s="2" t="s">
        <v>611</v>
      </c>
      <c r="C2520" s="2">
        <v>3203</v>
      </c>
      <c r="D2520" s="2">
        <v>61</v>
      </c>
      <c r="E2520" s="2" t="str">
        <f>"1000013580"</f>
        <v>1000013580</v>
      </c>
      <c r="F2520" s="4" t="str">
        <f>"DISC: 10pk, CD+R, high standard, one time record, certifiable for 50 years, writeable"</f>
        <v>DISC: 10pk, CD+R, high standard, one time record, certifiable for 50 years, writeable</v>
      </c>
      <c r="G2520" s="74" t="str">
        <f>"PK"</f>
        <v>PK</v>
      </c>
      <c r="H2520" s="7">
        <v>5.17</v>
      </c>
      <c r="I2520" s="2" t="str">
        <f>"43201809"</f>
        <v>43201809</v>
      </c>
      <c r="J2520" s="10" t="s">
        <v>197</v>
      </c>
    </row>
    <row r="2521" spans="1:10" ht="25.5">
      <c r="A2521" s="9" t="s">
        <v>27</v>
      </c>
      <c r="B2521" s="2" t="s">
        <v>611</v>
      </c>
      <c r="C2521" s="2">
        <v>3203</v>
      </c>
      <c r="D2521" s="2">
        <v>62</v>
      </c>
      <c r="E2521" s="2" t="str">
        <f>"1000013581"</f>
        <v>1000013581</v>
      </c>
      <c r="F2521" s="4" t="str">
        <f>"DISC: 25pk, CD+R, high standard, one time record, certifiable for 50 years, writable"</f>
        <v>DISC: 25pk, CD+R, high standard, one time record, certifiable for 50 years, writable</v>
      </c>
      <c r="G2521" s="74" t="str">
        <f>"PK"</f>
        <v>PK</v>
      </c>
      <c r="H2521" s="7">
        <v>10</v>
      </c>
      <c r="I2521" s="2" t="str">
        <f>"43201809"</f>
        <v>43201809</v>
      </c>
      <c r="J2521" s="10" t="s">
        <v>197</v>
      </c>
    </row>
    <row r="2522" spans="1:10" ht="38.25">
      <c r="A2522" s="9" t="s">
        <v>27</v>
      </c>
      <c r="B2522" s="2" t="s">
        <v>611</v>
      </c>
      <c r="C2522" s="2">
        <v>3203</v>
      </c>
      <c r="D2522" s="2">
        <v>25</v>
      </c>
      <c r="E2522" s="2" t="str">
        <f>"1000013582"</f>
        <v>1000013582</v>
      </c>
      <c r="F2522" s="4" t="str">
        <f>"RECORDING TAPE:T60 1/2 Super Color Plus, VHS-C Color(Super Hi Grade), Bulk(no label or box)"</f>
        <v>RECORDING TAPE:T60 1/2 Super Color Plus, VHS-C Color(Super Hi Grade), Bulk(no label or box)</v>
      </c>
      <c r="G2522" s="74" t="str">
        <f t="shared" ref="G2522:G2532" si="168">"EA"</f>
        <v>EA</v>
      </c>
      <c r="H2522" s="7">
        <v>1.7</v>
      </c>
      <c r="I2522" s="2" t="str">
        <f>"45131604"</f>
        <v>45131604</v>
      </c>
      <c r="J2522" s="10" t="s">
        <v>198</v>
      </c>
    </row>
    <row r="2523" spans="1:10" ht="38.25">
      <c r="A2523" s="9" t="s">
        <v>27</v>
      </c>
      <c r="B2523" s="2" t="s">
        <v>611</v>
      </c>
      <c r="C2523" s="2">
        <v>3203</v>
      </c>
      <c r="D2523" s="2">
        <v>26</v>
      </c>
      <c r="E2523" s="2" t="str">
        <f>"1000013583"</f>
        <v>1000013583</v>
      </c>
      <c r="F2523" s="4" t="str">
        <f>"RECORDING TAPE:T120 1/2 Super Color Plus, VHS-C Color(Super Hi Grade), Bulk(no label or box)"</f>
        <v>RECORDING TAPE:T120 1/2 Super Color Plus, VHS-C Color(Super Hi Grade), Bulk(no label or box)</v>
      </c>
      <c r="G2523" s="74" t="str">
        <f t="shared" si="168"/>
        <v>EA</v>
      </c>
      <c r="H2523" s="7">
        <v>2.2000000000000002</v>
      </c>
      <c r="I2523" s="2" t="str">
        <f>"45131604"</f>
        <v>45131604</v>
      </c>
      <c r="J2523" s="10" t="s">
        <v>198</v>
      </c>
    </row>
    <row r="2524" spans="1:10" ht="25.5">
      <c r="A2524" s="9" t="s">
        <v>27</v>
      </c>
      <c r="B2524" s="2" t="s">
        <v>611</v>
      </c>
      <c r="C2524" s="2">
        <v>3203</v>
      </c>
      <c r="D2524" s="2">
        <v>27</v>
      </c>
      <c r="E2524" s="2" t="str">
        <f>"1000013584"</f>
        <v>1000013584</v>
      </c>
      <c r="F2524" s="4" t="str">
        <f>"CASSETTE: Audio, Leaderless Tapes"</f>
        <v>CASSETTE: Audio, Leaderless Tapes</v>
      </c>
      <c r="G2524" s="74" t="str">
        <f t="shared" si="168"/>
        <v>EA</v>
      </c>
      <c r="H2524" s="7">
        <v>0.11</v>
      </c>
      <c r="I2524" s="2" t="str">
        <f>"45131604"</f>
        <v>45131604</v>
      </c>
      <c r="J2524" s="10" t="s">
        <v>198</v>
      </c>
    </row>
    <row r="2525" spans="1:10" ht="25.5">
      <c r="A2525" s="9" t="s">
        <v>27</v>
      </c>
      <c r="B2525" s="2" t="s">
        <v>611</v>
      </c>
      <c r="C2525" s="2">
        <v>3203</v>
      </c>
      <c r="D2525" s="2">
        <v>28</v>
      </c>
      <c r="E2525" s="2" t="str">
        <f>"1000013585"</f>
        <v>1000013585</v>
      </c>
      <c r="F2525" s="4" t="str">
        <f>"JEWEL CASE: Black base, slimline (CD not included)"</f>
        <v>JEWEL CASE: Black base, slimline (CD not included)</v>
      </c>
      <c r="G2525" s="74" t="str">
        <f t="shared" si="168"/>
        <v>EA</v>
      </c>
      <c r="H2525" s="7">
        <v>0.24</v>
      </c>
      <c r="I2525" s="2" t="str">
        <f>"43202101"</f>
        <v>43202101</v>
      </c>
      <c r="J2525" s="10" t="s">
        <v>199</v>
      </c>
    </row>
    <row r="2526" spans="1:10" ht="38.25">
      <c r="A2526" s="9" t="s">
        <v>27</v>
      </c>
      <c r="B2526" s="2" t="s">
        <v>611</v>
      </c>
      <c r="C2526" s="2">
        <v>3203</v>
      </c>
      <c r="D2526" s="2">
        <v>17</v>
      </c>
      <c r="E2526" s="2" t="str">
        <f>"1000013586"</f>
        <v>1000013586</v>
      </c>
      <c r="F2526" s="4" t="str">
        <f>"RECORDING TAPE: T 30 1/2"", Bulk 1/2 VHS-C Color (Super Hi Grade) ""with label and box"""</f>
        <v>RECORDING TAPE: T 30 1/2", Bulk 1/2 VHS-C Color (Super Hi Grade) "with label and box"</v>
      </c>
      <c r="G2526" s="74" t="str">
        <f t="shared" si="168"/>
        <v>EA</v>
      </c>
      <c r="H2526" s="7">
        <v>1.7</v>
      </c>
      <c r="I2526" s="2" t="str">
        <f>"45131604"</f>
        <v>45131604</v>
      </c>
      <c r="J2526" s="10" t="s">
        <v>198</v>
      </c>
    </row>
    <row r="2527" spans="1:10" ht="38.25">
      <c r="A2527" s="9" t="s">
        <v>27</v>
      </c>
      <c r="B2527" s="2" t="s">
        <v>611</v>
      </c>
      <c r="C2527" s="2">
        <v>3203</v>
      </c>
      <c r="D2527" s="2">
        <v>20</v>
      </c>
      <c r="E2527" s="2" t="str">
        <f>"1000013587"</f>
        <v>1000013587</v>
      </c>
      <c r="F2527" s="4" t="str">
        <f>"RECORDING TAPE: T 90 1/2"", Bulk 1/2 VHS-C Color (Super Hi Grade) ""with label and box"""</f>
        <v>RECORDING TAPE: T 90 1/2", Bulk 1/2 VHS-C Color (Super Hi Grade) "with label and box"</v>
      </c>
      <c r="G2527" s="74" t="str">
        <f t="shared" si="168"/>
        <v>EA</v>
      </c>
      <c r="H2527" s="7">
        <v>2.1</v>
      </c>
      <c r="I2527" s="2" t="str">
        <f>"45131604"</f>
        <v>45131604</v>
      </c>
      <c r="J2527" s="10" t="s">
        <v>198</v>
      </c>
    </row>
    <row r="2528" spans="1:10" ht="38.25">
      <c r="A2528" s="9" t="s">
        <v>27</v>
      </c>
      <c r="B2528" s="2" t="s">
        <v>611</v>
      </c>
      <c r="C2528" s="2">
        <v>3203</v>
      </c>
      <c r="D2528" s="2">
        <v>21</v>
      </c>
      <c r="E2528" s="2" t="str">
        <f>"1000013588"</f>
        <v>1000013588</v>
      </c>
      <c r="F2528" s="4" t="str">
        <f>"RECORDING TAPE:  T 120 1/2"", Bulk 1/2 VHS-C Color (Super Hi Grade) ""with label and box"""</f>
        <v>RECORDING TAPE:  T 120 1/2", Bulk 1/2 VHS-C Color (Super Hi Grade) "with label and box"</v>
      </c>
      <c r="G2528" s="74" t="str">
        <f t="shared" si="168"/>
        <v>EA</v>
      </c>
      <c r="H2528" s="7">
        <v>2.2200000000000002</v>
      </c>
      <c r="I2528" s="2" t="str">
        <f>"45131604"</f>
        <v>45131604</v>
      </c>
      <c r="J2528" s="10" t="s">
        <v>198</v>
      </c>
    </row>
    <row r="2529" spans="1:10" ht="25.5">
      <c r="A2529" s="9" t="s">
        <v>27</v>
      </c>
      <c r="B2529" s="2" t="s">
        <v>611</v>
      </c>
      <c r="C2529" s="2">
        <v>3203</v>
      </c>
      <c r="D2529" s="2">
        <v>29</v>
      </c>
      <c r="E2529" s="2" t="str">
        <f>"1000013589"</f>
        <v>1000013589</v>
      </c>
      <c r="F2529" s="4" t="str">
        <f>"JEWEL CASE: Color base, slimline (CD not included)"</f>
        <v>JEWEL CASE: Color base, slimline (CD not included)</v>
      </c>
      <c r="G2529" s="74" t="str">
        <f t="shared" si="168"/>
        <v>EA</v>
      </c>
      <c r="H2529" s="7">
        <v>0.28000000000000003</v>
      </c>
      <c r="I2529" s="2" t="str">
        <f>"43202101"</f>
        <v>43202101</v>
      </c>
      <c r="J2529" s="10" t="s">
        <v>199</v>
      </c>
    </row>
    <row r="2530" spans="1:10" ht="25.5">
      <c r="A2530" s="9" t="s">
        <v>27</v>
      </c>
      <c r="B2530" s="2" t="s">
        <v>611</v>
      </c>
      <c r="C2530" s="2">
        <v>3203</v>
      </c>
      <c r="D2530" s="2">
        <v>30</v>
      </c>
      <c r="E2530" s="2" t="str">
        <f>"1000013590"</f>
        <v>1000013590</v>
      </c>
      <c r="F2530" s="4" t="str">
        <f>"JEWEL CASE: Non slimline, black (CD not included)"</f>
        <v>JEWEL CASE: Non slimline, black (CD not included)</v>
      </c>
      <c r="G2530" s="74" t="str">
        <f t="shared" si="168"/>
        <v>EA</v>
      </c>
      <c r="H2530" s="7">
        <v>0.24</v>
      </c>
      <c r="I2530" s="2" t="str">
        <f>"43202101"</f>
        <v>43202101</v>
      </c>
      <c r="J2530" s="10" t="s">
        <v>199</v>
      </c>
    </row>
    <row r="2531" spans="1:10" ht="25.5">
      <c r="A2531" s="9" t="s">
        <v>27</v>
      </c>
      <c r="B2531" s="2" t="s">
        <v>611</v>
      </c>
      <c r="C2531" s="2">
        <v>3203</v>
      </c>
      <c r="D2531" s="2">
        <v>31</v>
      </c>
      <c r="E2531" s="2" t="str">
        <f>"1000013591"</f>
        <v>1000013591</v>
      </c>
      <c r="F2531" s="4" t="str">
        <f>"JEWEL CASE: Clear, clam shell (CD not included)"</f>
        <v>JEWEL CASE: Clear, clam shell (CD not included)</v>
      </c>
      <c r="G2531" s="74" t="str">
        <f t="shared" si="168"/>
        <v>EA</v>
      </c>
      <c r="H2531" s="7">
        <v>0.36</v>
      </c>
      <c r="I2531" s="2" t="str">
        <f>"43202101"</f>
        <v>43202101</v>
      </c>
      <c r="J2531" s="10" t="s">
        <v>199</v>
      </c>
    </row>
    <row r="2532" spans="1:10" ht="25.5">
      <c r="A2532" s="9" t="s">
        <v>27</v>
      </c>
      <c r="B2532" s="2" t="s">
        <v>611</v>
      </c>
      <c r="C2532" s="2">
        <v>3203</v>
      </c>
      <c r="D2532" s="2">
        <v>32</v>
      </c>
      <c r="E2532" s="2" t="str">
        <f>"1000013592"</f>
        <v>1000013592</v>
      </c>
      <c r="F2532" s="4" t="str">
        <f>"JEWEL CASE: Color, clam shell (CD not included)"</f>
        <v>JEWEL CASE: Color, clam shell (CD not included)</v>
      </c>
      <c r="G2532" s="74" t="str">
        <f t="shared" si="168"/>
        <v>EA</v>
      </c>
      <c r="H2532" s="7">
        <v>0.41</v>
      </c>
      <c r="I2532" s="2" t="str">
        <f>"43202101"</f>
        <v>43202101</v>
      </c>
      <c r="J2532" s="10" t="s">
        <v>199</v>
      </c>
    </row>
    <row r="2533" spans="1:10" ht="25.5">
      <c r="A2533" s="9" t="s">
        <v>27</v>
      </c>
      <c r="B2533" s="2" t="s">
        <v>611</v>
      </c>
      <c r="C2533" s="2">
        <v>3203</v>
      </c>
      <c r="D2533" s="2">
        <v>63</v>
      </c>
      <c r="E2533" s="2" t="str">
        <f>"1000013593"</f>
        <v>1000013593</v>
      </c>
      <c r="F2533" s="4" t="str">
        <f>"DISC: 50pk, CD+R, high standard, one time record, certifiable for 50 years, writable"</f>
        <v>DISC: 50pk, CD+R, high standard, one time record, certifiable for 50 years, writable</v>
      </c>
      <c r="G2533" s="74" t="str">
        <f>"PK"</f>
        <v>PK</v>
      </c>
      <c r="H2533" s="7">
        <v>17.5</v>
      </c>
      <c r="I2533" s="2" t="str">
        <f>"43201809"</f>
        <v>43201809</v>
      </c>
      <c r="J2533" s="10" t="s">
        <v>197</v>
      </c>
    </row>
    <row r="2534" spans="1:10" ht="38.25">
      <c r="A2534" s="9" t="s">
        <v>27</v>
      </c>
      <c r="B2534" s="2" t="s">
        <v>611</v>
      </c>
      <c r="C2534" s="2">
        <v>3203</v>
      </c>
      <c r="D2534" s="2">
        <v>64</v>
      </c>
      <c r="E2534" s="2" t="str">
        <f>"1000013594"</f>
        <v>1000013594</v>
      </c>
      <c r="F2534" s="4" t="str">
        <f>"DISC: 10pk, CD+RW, high standard, one time record, certifiable for 50 years, re-writable"</f>
        <v>DISC: 10pk, CD+RW, high standard, one time record, certifiable for 50 years, re-writable</v>
      </c>
      <c r="G2534" s="74" t="str">
        <f>"PK"</f>
        <v>PK</v>
      </c>
      <c r="H2534" s="7">
        <v>8</v>
      </c>
      <c r="I2534" s="2" t="str">
        <f>"43201809"</f>
        <v>43201809</v>
      </c>
      <c r="J2534" s="10" t="s">
        <v>197</v>
      </c>
    </row>
    <row r="2535" spans="1:10" ht="38.25">
      <c r="A2535" s="9" t="s">
        <v>27</v>
      </c>
      <c r="B2535" s="2" t="s">
        <v>611</v>
      </c>
      <c r="C2535" s="2">
        <v>3203</v>
      </c>
      <c r="D2535" s="2">
        <v>65</v>
      </c>
      <c r="E2535" s="2" t="str">
        <f>"1000013595"</f>
        <v>1000013595</v>
      </c>
      <c r="F2535" s="4" t="str">
        <f>"DISC: 25pk, CD+RW, high standard, one time record, certifiable for 50 years, re-writable"</f>
        <v>DISC: 25pk, CD+RW, high standard, one time record, certifiable for 50 years, re-writable</v>
      </c>
      <c r="G2535" s="74" t="str">
        <f>"PK"</f>
        <v>PK</v>
      </c>
      <c r="H2535" s="7">
        <v>17.649999999999999</v>
      </c>
      <c r="I2535" s="2" t="str">
        <f>"43201809"</f>
        <v>43201809</v>
      </c>
      <c r="J2535" s="10" t="s">
        <v>197</v>
      </c>
    </row>
    <row r="2536" spans="1:10" ht="25.5">
      <c r="A2536" s="9" t="s">
        <v>27</v>
      </c>
      <c r="B2536" s="2" t="s">
        <v>611</v>
      </c>
      <c r="C2536" s="2">
        <v>3203</v>
      </c>
      <c r="D2536" s="2">
        <v>33</v>
      </c>
      <c r="E2536" s="2" t="str">
        <f>"1000013596"</f>
        <v>1000013596</v>
      </c>
      <c r="F2536" s="4" t="str">
        <f>"SLEEVE: White, paper window sleeve, fold over (CD not included)"</f>
        <v>SLEEVE: White, paper window sleeve, fold over (CD not included)</v>
      </c>
      <c r="G2536" s="74" t="str">
        <f>"EA"</f>
        <v>EA</v>
      </c>
      <c r="H2536" s="7">
        <v>0.1</v>
      </c>
      <c r="I2536" s="2" t="str">
        <f>"43202101"</f>
        <v>43202101</v>
      </c>
      <c r="J2536" s="10" t="s">
        <v>199</v>
      </c>
    </row>
    <row r="2537" spans="1:10" ht="25.5">
      <c r="A2537" s="9" t="s">
        <v>27</v>
      </c>
      <c r="B2537" s="2" t="s">
        <v>611</v>
      </c>
      <c r="C2537" s="2">
        <v>3203</v>
      </c>
      <c r="D2537" s="2">
        <v>48</v>
      </c>
      <c r="E2537" s="2" t="str">
        <f>"1000013597"</f>
        <v>1000013597</v>
      </c>
      <c r="F2537" s="4" t="str">
        <f>"SERVICE: Duplication, CDRW, bulk, no imprinting, CDRW included"</f>
        <v>SERVICE: Duplication, CDRW, bulk, no imprinting, CDRW included</v>
      </c>
      <c r="G2537" s="74" t="str">
        <f>"EA"</f>
        <v>EA</v>
      </c>
      <c r="H2537" s="7">
        <v>1.2</v>
      </c>
      <c r="I2537" s="2" t="str">
        <f>"73151907"</f>
        <v>73151907</v>
      </c>
      <c r="J2537" s="10" t="s">
        <v>201</v>
      </c>
    </row>
    <row r="2538" spans="1:10" ht="25.5">
      <c r="A2538" s="9" t="s">
        <v>27</v>
      </c>
      <c r="B2538" s="2" t="s">
        <v>611</v>
      </c>
      <c r="C2538" s="2">
        <v>3203</v>
      </c>
      <c r="D2538" s="2">
        <v>49</v>
      </c>
      <c r="E2538" s="2" t="str">
        <f>"1000013598"</f>
        <v>1000013598</v>
      </c>
      <c r="F2538" s="4" t="str">
        <f>"SERVICE: Duplication, CDRW, bulk, one color, CDRW included"</f>
        <v>SERVICE: Duplication, CDRW, bulk, one color, CDRW included</v>
      </c>
      <c r="G2538" s="74" t="str">
        <f>"EA"</f>
        <v>EA</v>
      </c>
      <c r="H2538" s="7">
        <v>1.7</v>
      </c>
      <c r="I2538" s="2" t="str">
        <f>"73151907"</f>
        <v>73151907</v>
      </c>
      <c r="J2538" s="10" t="s">
        <v>201</v>
      </c>
    </row>
    <row r="2539" spans="1:10" ht="25.5">
      <c r="A2539" s="9" t="s">
        <v>27</v>
      </c>
      <c r="B2539" s="2" t="s">
        <v>611</v>
      </c>
      <c r="C2539" s="2">
        <v>3203</v>
      </c>
      <c r="D2539" s="2">
        <v>50</v>
      </c>
      <c r="E2539" s="2" t="str">
        <f>"1000013599"</f>
        <v>1000013599</v>
      </c>
      <c r="F2539" s="4" t="str">
        <f>"SERVICE: Duplication, CDRW, bulk, full color, CDRW included"</f>
        <v>SERVICE: Duplication, CDRW, bulk, full color, CDRW included</v>
      </c>
      <c r="G2539" s="74" t="str">
        <f>"EA"</f>
        <v>EA</v>
      </c>
      <c r="H2539" s="7">
        <v>2.2000000000000002</v>
      </c>
      <c r="I2539" s="2" t="str">
        <f>"73151907"</f>
        <v>73151907</v>
      </c>
      <c r="J2539" s="10" t="s">
        <v>201</v>
      </c>
    </row>
    <row r="2540" spans="1:10" ht="38.25">
      <c r="A2540" s="16" t="s">
        <v>27</v>
      </c>
      <c r="B2540" s="17" t="s">
        <v>611</v>
      </c>
      <c r="C2540" s="17">
        <v>3203</v>
      </c>
      <c r="D2540" s="17">
        <v>79</v>
      </c>
      <c r="E2540" s="17" t="str">
        <f>"1000027548"</f>
        <v>1000027548</v>
      </c>
      <c r="F2540" s="106" t="str">
        <f>"BLU-RAY DISC:BD-R, EA, 25G 4X - Blu-Ray Disc, Recordable, BD-R, 25GB, 4X, sold by the each"</f>
        <v>BLU-RAY DISC:BD-R, EA, 25G 4X - Blu-Ray Disc, Recordable, BD-R, 25GB, 4X, sold by the each</v>
      </c>
      <c r="G2540" s="107" t="str">
        <f>"EA"</f>
        <v>EA</v>
      </c>
      <c r="H2540" s="19">
        <v>2.7</v>
      </c>
      <c r="I2540" s="17" t="str">
        <f t="shared" ref="I2540:I2547" si="169">"43202003"</f>
        <v>43202003</v>
      </c>
      <c r="J2540" s="20" t="s">
        <v>200</v>
      </c>
    </row>
    <row r="2541" spans="1:10" ht="38.25">
      <c r="A2541" s="16" t="s">
        <v>27</v>
      </c>
      <c r="B2541" s="17" t="s">
        <v>611</v>
      </c>
      <c r="C2541" s="17">
        <v>3203</v>
      </c>
      <c r="D2541" s="17">
        <v>80</v>
      </c>
      <c r="E2541" s="17" t="str">
        <f>"1000027565"</f>
        <v>1000027565</v>
      </c>
      <c r="F2541" s="106" t="str">
        <f>"BLU-RAY DISC:BD-R 10/PK 25G 4X - Blu-Ray Disc, Recordable, BD-R, 25GB, 4X, 10 discs per package"</f>
        <v>BLU-RAY DISC:BD-R 10/PK 25G 4X - Blu-Ray Disc, Recordable, BD-R, 25GB, 4X, 10 discs per package</v>
      </c>
      <c r="G2541" s="107" t="str">
        <f t="shared" ref="G2541:G2547" si="170">"PK"</f>
        <v>PK</v>
      </c>
      <c r="H2541" s="19">
        <v>14.85</v>
      </c>
      <c r="I2541" s="17" t="str">
        <f t="shared" si="169"/>
        <v>43202003</v>
      </c>
      <c r="J2541" s="20" t="s">
        <v>200</v>
      </c>
    </row>
    <row r="2542" spans="1:10" ht="38.25">
      <c r="A2542" s="16" t="s">
        <v>27</v>
      </c>
      <c r="B2542" s="17" t="s">
        <v>611</v>
      </c>
      <c r="C2542" s="17">
        <v>3203</v>
      </c>
      <c r="D2542" s="17">
        <v>81</v>
      </c>
      <c r="E2542" s="17" t="str">
        <f>"1000027566"</f>
        <v>1000027566</v>
      </c>
      <c r="F2542" s="106" t="str">
        <f>"BLU-RAY DISC:BD-R 25/PK 25G 4X - Blu-Ray Disc, Recordable, BD-R, 25GB, 4X, 25 discs per package"</f>
        <v>BLU-RAY DISC:BD-R 25/PK 25G 4X - Blu-Ray Disc, Recordable, BD-R, 25GB, 4X, 25 discs per package</v>
      </c>
      <c r="G2542" s="107" t="str">
        <f t="shared" si="170"/>
        <v>PK</v>
      </c>
      <c r="H2542" s="19">
        <v>29.7</v>
      </c>
      <c r="I2542" s="17" t="str">
        <f t="shared" si="169"/>
        <v>43202003</v>
      </c>
      <c r="J2542" s="20" t="s">
        <v>200</v>
      </c>
    </row>
    <row r="2543" spans="1:10" ht="51" customHeight="1">
      <c r="A2543" s="16" t="s">
        <v>27</v>
      </c>
      <c r="B2543" s="17" t="s">
        <v>611</v>
      </c>
      <c r="C2543" s="17">
        <v>3203</v>
      </c>
      <c r="D2543" s="17">
        <v>82</v>
      </c>
      <c r="E2543" s="17" t="str">
        <f>"1000027567"</f>
        <v>1000027567</v>
      </c>
      <c r="F2543" s="106" t="str">
        <f>"BLU-RAY DISC:BD-R 50/PK 25G 4X - Blu-Ray Disc, Recordable, BD-R, 25GB, 4X, 50 discs per package"</f>
        <v>BLU-RAY DISC:BD-R 50/PK 25G 4X - Blu-Ray Disc, Recordable, BD-R, 25GB, 4X, 50 discs per package</v>
      </c>
      <c r="G2543" s="107" t="str">
        <f t="shared" si="170"/>
        <v>PK</v>
      </c>
      <c r="H2543" s="19">
        <v>53.4</v>
      </c>
      <c r="I2543" s="17" t="str">
        <f t="shared" si="169"/>
        <v>43202003</v>
      </c>
      <c r="J2543" s="20" t="s">
        <v>200</v>
      </c>
    </row>
    <row r="2544" spans="1:10" ht="51" customHeight="1">
      <c r="A2544" s="16" t="s">
        <v>27</v>
      </c>
      <c r="B2544" s="17" t="s">
        <v>611</v>
      </c>
      <c r="C2544" s="17">
        <v>3203</v>
      </c>
      <c r="D2544" s="17">
        <v>83</v>
      </c>
      <c r="E2544" s="17" t="str">
        <f>"1000027568"</f>
        <v>1000027568</v>
      </c>
      <c r="F2544" s="106" t="str">
        <f>"BLU-RAY DISC:BD-R 25/PK 50G 6X - Blu-Ray Disc, Recordable, BD-R, 50GB, 6x, 25 discs per package"</f>
        <v>BLU-RAY DISC:BD-R 25/PK 50G 6X - Blu-Ray Disc, Recordable, BD-R, 50GB, 6x, 25 discs per package</v>
      </c>
      <c r="G2544" s="107" t="str">
        <f t="shared" si="170"/>
        <v>PK</v>
      </c>
      <c r="H2544" s="19">
        <v>118.5</v>
      </c>
      <c r="I2544" s="17" t="str">
        <f t="shared" si="169"/>
        <v>43202003</v>
      </c>
      <c r="J2544" s="20" t="s">
        <v>200</v>
      </c>
    </row>
    <row r="2545" spans="1:10" ht="51" customHeight="1">
      <c r="A2545" s="16" t="s">
        <v>27</v>
      </c>
      <c r="B2545" s="17" t="s">
        <v>611</v>
      </c>
      <c r="C2545" s="17">
        <v>3203</v>
      </c>
      <c r="D2545" s="17">
        <v>84</v>
      </c>
      <c r="E2545" s="17" t="str">
        <f>"1000027569"</f>
        <v>1000027569</v>
      </c>
      <c r="F2545" s="106" t="str">
        <f>"BLU-RAY DISC:BD-R 50/PK 50G 6X - Blu-Ray Disc, Recordable, BD-R, 50GB, 6x, 50 discs per package"</f>
        <v>BLU-RAY DISC:BD-R 50/PK 50G 6X - Blu-Ray Disc, Recordable, BD-R, 50GB, 6x, 50 discs per package</v>
      </c>
      <c r="G2545" s="107" t="str">
        <f t="shared" si="170"/>
        <v>PK</v>
      </c>
      <c r="H2545" s="19">
        <v>209.4</v>
      </c>
      <c r="I2545" s="17" t="str">
        <f t="shared" si="169"/>
        <v>43202003</v>
      </c>
      <c r="J2545" s="20" t="s">
        <v>200</v>
      </c>
    </row>
    <row r="2546" spans="1:10" ht="51" customHeight="1">
      <c r="A2546" s="16" t="s">
        <v>27</v>
      </c>
      <c r="B2546" s="17" t="s">
        <v>611</v>
      </c>
      <c r="C2546" s="17">
        <v>3203</v>
      </c>
      <c r="D2546" s="17">
        <v>85</v>
      </c>
      <c r="E2546" s="17" t="str">
        <f>"1000027570"</f>
        <v>1000027570</v>
      </c>
      <c r="F2546" s="106" t="str">
        <f>"BLU-RAY DISC:BD-RE 25/PK 25G 2X - Blu-Ray Disc, Re-Recordable, BD-RE, 25GB, 2X, 25 discs per package"</f>
        <v>BLU-RAY DISC:BD-RE 25/PK 25G 2X - Blu-Ray Disc, Re-Recordable, BD-RE, 25GB, 2X, 25 discs per package</v>
      </c>
      <c r="G2546" s="107" t="str">
        <f t="shared" si="170"/>
        <v>PK</v>
      </c>
      <c r="H2546" s="19">
        <v>86.7</v>
      </c>
      <c r="I2546" s="17" t="str">
        <f t="shared" si="169"/>
        <v>43202003</v>
      </c>
      <c r="J2546" s="20" t="s">
        <v>200</v>
      </c>
    </row>
    <row r="2547" spans="1:10" ht="49.5" customHeight="1">
      <c r="A2547" s="16" t="s">
        <v>27</v>
      </c>
      <c r="B2547" s="17" t="s">
        <v>611</v>
      </c>
      <c r="C2547" s="17">
        <v>3203</v>
      </c>
      <c r="D2547" s="17">
        <v>86</v>
      </c>
      <c r="E2547" s="17" t="str">
        <f>"1000027571"</f>
        <v>1000027571</v>
      </c>
      <c r="F2547" s="106" t="str">
        <f>"BLU-RAY DISC:BD-RE 50/PK 25G 2X - Blu-Ray Disc, Re-Recordable, BD-RE, 25GB, 2X, 50 discs per package"</f>
        <v>BLU-RAY DISC:BD-RE 50/PK 25G 2X - Blu-Ray Disc, Re-Recordable, BD-RE, 25GB, 2X, 50 discs per package</v>
      </c>
      <c r="G2547" s="107" t="str">
        <f t="shared" si="170"/>
        <v>PK</v>
      </c>
      <c r="H2547" s="19">
        <v>237.74</v>
      </c>
      <c r="I2547" s="17" t="str">
        <f t="shared" si="169"/>
        <v>43202003</v>
      </c>
      <c r="J2547" s="20" t="s">
        <v>200</v>
      </c>
    </row>
  </sheetData>
  <hyperlinks>
    <hyperlink ref="H10" r:id="rId1"/>
    <hyperlink ref="H11" r:id="rId2"/>
    <hyperlink ref="H12" r:id="rId3"/>
    <hyperlink ref="H9" r:id="rId4"/>
  </hyperlinks>
  <pageMargins left="0.7" right="0.7" top="0.75" bottom="0.75" header="0.3" footer="0.3"/>
  <pageSetup orientation="landscape" r:id="rId5"/>
  <headerFooter>
    <oddHeader>&amp;CState Use Procurement Schedule</oddHeader>
  </headerFooter>
  <legacyDrawing r:id="rId6"/>
  <tableParts count="1">
    <tablePart r:id="rId7"/>
  </tableParts>
</worksheet>
</file>

<file path=xl/worksheets/sheet4.xml><?xml version="1.0" encoding="utf-8"?>
<worksheet xmlns="http://schemas.openxmlformats.org/spreadsheetml/2006/main" xmlns:r="http://schemas.openxmlformats.org/officeDocument/2006/relationships">
  <dimension ref="A1:D149"/>
  <sheetViews>
    <sheetView workbookViewId="0">
      <selection activeCell="C118" sqref="C118"/>
    </sheetView>
  </sheetViews>
  <sheetFormatPr defaultRowHeight="15"/>
  <cols>
    <col min="1" max="1" width="24.42578125" bestFit="1" customWidth="1"/>
    <col min="2" max="2" width="14" bestFit="1" customWidth="1"/>
    <col min="3" max="3" width="22.85546875" bestFit="1" customWidth="1"/>
    <col min="4" max="4" width="14" bestFit="1" customWidth="1"/>
  </cols>
  <sheetData>
    <row r="1" spans="1:4" ht="15.75">
      <c r="A1" s="80" t="s">
        <v>665</v>
      </c>
      <c r="B1" s="82" t="s">
        <v>666</v>
      </c>
      <c r="C1" s="80" t="s">
        <v>667</v>
      </c>
      <c r="D1" s="82" t="s">
        <v>666</v>
      </c>
    </row>
    <row r="2" spans="1:4">
      <c r="A2" s="49" t="s">
        <v>756</v>
      </c>
      <c r="B2" s="112" t="s">
        <v>60</v>
      </c>
      <c r="C2" s="49" t="s">
        <v>679</v>
      </c>
      <c r="D2" s="112" t="s">
        <v>27</v>
      </c>
    </row>
    <row r="3" spans="1:4">
      <c r="A3" s="49" t="s">
        <v>745</v>
      </c>
      <c r="B3" s="112" t="s">
        <v>60</v>
      </c>
      <c r="C3" s="49" t="s">
        <v>677</v>
      </c>
      <c r="D3" s="112" t="s">
        <v>39</v>
      </c>
    </row>
    <row r="4" spans="1:4">
      <c r="A4" s="49" t="s">
        <v>742</v>
      </c>
      <c r="B4" s="112" t="s">
        <v>60</v>
      </c>
      <c r="C4" s="49" t="s">
        <v>669</v>
      </c>
      <c r="D4" s="110" t="s">
        <v>25</v>
      </c>
    </row>
    <row r="5" spans="1:4">
      <c r="A5" s="49" t="s">
        <v>697</v>
      </c>
      <c r="B5" s="112" t="s">
        <v>40</v>
      </c>
      <c r="C5" s="49" t="s">
        <v>673</v>
      </c>
      <c r="D5" s="110" t="s">
        <v>25</v>
      </c>
    </row>
    <row r="6" spans="1:4">
      <c r="A6" s="49" t="s">
        <v>738</v>
      </c>
      <c r="B6" s="112" t="s">
        <v>59</v>
      </c>
      <c r="C6" s="49" t="s">
        <v>675</v>
      </c>
      <c r="D6" s="112" t="s">
        <v>30</v>
      </c>
    </row>
    <row r="7" spans="1:4">
      <c r="A7" s="49" t="s">
        <v>772</v>
      </c>
      <c r="B7" s="112" t="s">
        <v>35</v>
      </c>
      <c r="C7" s="51" t="s">
        <v>671</v>
      </c>
      <c r="D7" s="111" t="s">
        <v>25</v>
      </c>
    </row>
    <row r="8" spans="1:4">
      <c r="A8" s="49" t="s">
        <v>699</v>
      </c>
      <c r="B8" s="112" t="s">
        <v>27</v>
      </c>
    </row>
    <row r="9" spans="1:4">
      <c r="A9" s="49" t="s">
        <v>76</v>
      </c>
      <c r="B9" s="112" t="s">
        <v>27</v>
      </c>
    </row>
    <row r="10" spans="1:4">
      <c r="A10" s="49" t="s">
        <v>716</v>
      </c>
      <c r="B10" s="112" t="s">
        <v>27</v>
      </c>
    </row>
    <row r="11" spans="1:4">
      <c r="A11" s="49" t="s">
        <v>743</v>
      </c>
      <c r="B11" s="112" t="s">
        <v>60</v>
      </c>
    </row>
    <row r="12" spans="1:4">
      <c r="A12" s="49" t="s">
        <v>788</v>
      </c>
      <c r="B12" s="112" t="s">
        <v>56</v>
      </c>
    </row>
    <row r="13" spans="1:4">
      <c r="A13" s="49" t="s">
        <v>705</v>
      </c>
      <c r="B13" s="112" t="s">
        <v>27</v>
      </c>
    </row>
    <row r="14" spans="1:4">
      <c r="A14" s="49" t="s">
        <v>710</v>
      </c>
      <c r="B14" s="112" t="s">
        <v>27</v>
      </c>
    </row>
    <row r="15" spans="1:4">
      <c r="A15" s="49" t="s">
        <v>711</v>
      </c>
      <c r="B15" s="112" t="s">
        <v>27</v>
      </c>
    </row>
    <row r="16" spans="1:4">
      <c r="A16" s="49" t="s">
        <v>712</v>
      </c>
      <c r="B16" s="112" t="s">
        <v>27</v>
      </c>
    </row>
    <row r="17" spans="1:2">
      <c r="A17" s="49" t="s">
        <v>740</v>
      </c>
      <c r="B17" s="112" t="s">
        <v>59</v>
      </c>
    </row>
    <row r="18" spans="1:2">
      <c r="A18" s="49" t="s">
        <v>718</v>
      </c>
      <c r="B18" s="112" t="s">
        <v>27</v>
      </c>
    </row>
    <row r="19" spans="1:2">
      <c r="A19" s="49" t="s">
        <v>771</v>
      </c>
      <c r="B19" s="112" t="s">
        <v>36</v>
      </c>
    </row>
    <row r="20" spans="1:2">
      <c r="A20" s="49" t="s">
        <v>769</v>
      </c>
      <c r="B20" s="112" t="s">
        <v>36</v>
      </c>
    </row>
    <row r="21" spans="1:2">
      <c r="A21" s="49" t="s">
        <v>769</v>
      </c>
      <c r="B21" s="112" t="s">
        <v>46</v>
      </c>
    </row>
    <row r="22" spans="1:2">
      <c r="A22" s="49" t="s">
        <v>768</v>
      </c>
      <c r="B22" s="112" t="s">
        <v>36</v>
      </c>
    </row>
    <row r="23" spans="1:2">
      <c r="A23" s="49" t="s">
        <v>752</v>
      </c>
      <c r="B23" s="112" t="s">
        <v>60</v>
      </c>
    </row>
    <row r="24" spans="1:2">
      <c r="A24" s="49" t="s">
        <v>112</v>
      </c>
      <c r="B24" s="112" t="s">
        <v>33</v>
      </c>
    </row>
    <row r="25" spans="1:2">
      <c r="A25" s="49" t="s">
        <v>144</v>
      </c>
      <c r="B25" s="112" t="s">
        <v>27</v>
      </c>
    </row>
    <row r="26" spans="1:2">
      <c r="A26" s="49" t="s">
        <v>733</v>
      </c>
      <c r="B26" s="112" t="s">
        <v>27</v>
      </c>
    </row>
    <row r="27" spans="1:2">
      <c r="A27" s="49" t="s">
        <v>764</v>
      </c>
      <c r="B27" s="112" t="s">
        <v>60</v>
      </c>
    </row>
    <row r="28" spans="1:2">
      <c r="A28" s="49" t="s">
        <v>668</v>
      </c>
      <c r="B28" s="110" t="s">
        <v>25</v>
      </c>
    </row>
    <row r="29" spans="1:2">
      <c r="A29" s="49" t="s">
        <v>784</v>
      </c>
      <c r="B29" s="112" t="s">
        <v>46</v>
      </c>
    </row>
    <row r="30" spans="1:2">
      <c r="A30" s="49" t="s">
        <v>761</v>
      </c>
      <c r="B30" s="112" t="s">
        <v>60</v>
      </c>
    </row>
    <row r="31" spans="1:2">
      <c r="A31" s="49" t="s">
        <v>760</v>
      </c>
      <c r="B31" s="112" t="s">
        <v>60</v>
      </c>
    </row>
    <row r="32" spans="1:2">
      <c r="A32" s="49" t="s">
        <v>167</v>
      </c>
      <c r="B32" s="112" t="s">
        <v>60</v>
      </c>
    </row>
    <row r="33" spans="1:2">
      <c r="A33" s="49" t="s">
        <v>779</v>
      </c>
      <c r="B33" s="112" t="s">
        <v>307</v>
      </c>
    </row>
    <row r="34" spans="1:2">
      <c r="A34" s="49" t="s">
        <v>151</v>
      </c>
      <c r="B34" s="112" t="s">
        <v>307</v>
      </c>
    </row>
    <row r="35" spans="1:2">
      <c r="A35" s="49" t="s">
        <v>701</v>
      </c>
      <c r="B35" s="112" t="s">
        <v>27</v>
      </c>
    </row>
    <row r="36" spans="1:2">
      <c r="A36" s="49" t="s">
        <v>774</v>
      </c>
      <c r="B36" s="112" t="s">
        <v>49</v>
      </c>
    </row>
    <row r="37" spans="1:2">
      <c r="A37" s="49" t="s">
        <v>717</v>
      </c>
      <c r="B37" s="112" t="s">
        <v>27</v>
      </c>
    </row>
    <row r="38" spans="1:2">
      <c r="A38" s="49" t="s">
        <v>709</v>
      </c>
      <c r="B38" s="112" t="s">
        <v>27</v>
      </c>
    </row>
    <row r="39" spans="1:2">
      <c r="A39" s="49" t="s">
        <v>689</v>
      </c>
      <c r="B39" s="112" t="s">
        <v>40</v>
      </c>
    </row>
    <row r="40" spans="1:2">
      <c r="A40" s="49" t="s">
        <v>691</v>
      </c>
      <c r="B40" s="112" t="s">
        <v>40</v>
      </c>
    </row>
    <row r="41" spans="1:2">
      <c r="A41" s="49" t="s">
        <v>719</v>
      </c>
      <c r="B41" s="112" t="s">
        <v>27</v>
      </c>
    </row>
    <row r="42" spans="1:2">
      <c r="A42" s="49" t="s">
        <v>713</v>
      </c>
      <c r="B42" s="112" t="s">
        <v>27</v>
      </c>
    </row>
    <row r="43" spans="1:2">
      <c r="A43" s="49" t="s">
        <v>714</v>
      </c>
      <c r="B43" s="112" t="s">
        <v>27</v>
      </c>
    </row>
    <row r="44" spans="1:2">
      <c r="A44" s="49" t="s">
        <v>715</v>
      </c>
      <c r="B44" s="112" t="s">
        <v>27</v>
      </c>
    </row>
    <row r="45" spans="1:2">
      <c r="A45" s="49" t="s">
        <v>145</v>
      </c>
      <c r="B45" s="112" t="s">
        <v>27</v>
      </c>
    </row>
    <row r="46" spans="1:2">
      <c r="A46" s="49" t="s">
        <v>732</v>
      </c>
      <c r="B46" s="112" t="s">
        <v>27</v>
      </c>
    </row>
    <row r="47" spans="1:2">
      <c r="A47" s="49" t="s">
        <v>766</v>
      </c>
      <c r="B47" s="112" t="s">
        <v>58</v>
      </c>
    </row>
    <row r="48" spans="1:2">
      <c r="A48" s="49" t="s">
        <v>737</v>
      </c>
      <c r="B48" s="112" t="s">
        <v>59</v>
      </c>
    </row>
    <row r="49" spans="1:2">
      <c r="A49" s="49" t="s">
        <v>721</v>
      </c>
      <c r="B49" s="112" t="s">
        <v>27</v>
      </c>
    </row>
    <row r="50" spans="1:2">
      <c r="A50" s="49" t="s">
        <v>787</v>
      </c>
      <c r="B50" s="112" t="s">
        <v>592</v>
      </c>
    </row>
    <row r="51" spans="1:2">
      <c r="A51" s="49" t="s">
        <v>682</v>
      </c>
      <c r="B51" s="110" t="s">
        <v>25</v>
      </c>
    </row>
    <row r="52" spans="1:2">
      <c r="A52" s="49" t="s">
        <v>692</v>
      </c>
      <c r="B52" s="112" t="s">
        <v>40</v>
      </c>
    </row>
    <row r="53" spans="1:2">
      <c r="A53" s="49" t="s">
        <v>693</v>
      </c>
      <c r="B53" s="112" t="s">
        <v>40</v>
      </c>
    </row>
    <row r="54" spans="1:2">
      <c r="A54" s="49" t="s">
        <v>670</v>
      </c>
      <c r="B54" s="110" t="s">
        <v>25</v>
      </c>
    </row>
    <row r="55" spans="1:2">
      <c r="A55" s="49" t="s">
        <v>687</v>
      </c>
      <c r="B55" s="110" t="s">
        <v>25</v>
      </c>
    </row>
    <row r="56" spans="1:2">
      <c r="A56" s="49" t="s">
        <v>686</v>
      </c>
      <c r="B56" s="110" t="s">
        <v>25</v>
      </c>
    </row>
    <row r="57" spans="1:2">
      <c r="A57" s="49" t="s">
        <v>778</v>
      </c>
      <c r="B57" s="112" t="s">
        <v>49</v>
      </c>
    </row>
    <row r="58" spans="1:2">
      <c r="A58" s="49" t="s">
        <v>722</v>
      </c>
      <c r="B58" s="112" t="s">
        <v>27</v>
      </c>
    </row>
    <row r="59" spans="1:2">
      <c r="A59" s="49" t="s">
        <v>746</v>
      </c>
      <c r="B59" s="112" t="s">
        <v>60</v>
      </c>
    </row>
    <row r="60" spans="1:2">
      <c r="A60" s="49" t="s">
        <v>747</v>
      </c>
      <c r="B60" s="112" t="s">
        <v>60</v>
      </c>
    </row>
    <row r="61" spans="1:2">
      <c r="A61" s="49" t="s">
        <v>749</v>
      </c>
      <c r="B61" s="112" t="s">
        <v>60</v>
      </c>
    </row>
    <row r="62" spans="1:2">
      <c r="A62" s="49" t="s">
        <v>750</v>
      </c>
      <c r="B62" s="112" t="s">
        <v>60</v>
      </c>
    </row>
    <row r="63" spans="1:2">
      <c r="A63" s="49" t="s">
        <v>748</v>
      </c>
      <c r="B63" s="112" t="s">
        <v>60</v>
      </c>
    </row>
    <row r="64" spans="1:2">
      <c r="A64" s="49" t="s">
        <v>886</v>
      </c>
      <c r="B64" s="128" t="s">
        <v>25</v>
      </c>
    </row>
    <row r="65" spans="1:2">
      <c r="A65" s="49" t="s">
        <v>193</v>
      </c>
      <c r="B65" s="112" t="s">
        <v>27</v>
      </c>
    </row>
    <row r="66" spans="1:2">
      <c r="A66" s="49" t="s">
        <v>683</v>
      </c>
      <c r="B66" s="110" t="s">
        <v>25</v>
      </c>
    </row>
    <row r="67" spans="1:2">
      <c r="A67" s="49" t="s">
        <v>723</v>
      </c>
      <c r="B67" s="112" t="s">
        <v>27</v>
      </c>
    </row>
    <row r="68" spans="1:2">
      <c r="A68" s="49" t="s">
        <v>776</v>
      </c>
      <c r="B68" s="112" t="s">
        <v>49</v>
      </c>
    </row>
    <row r="69" spans="1:2">
      <c r="A69" s="49" t="s">
        <v>775</v>
      </c>
      <c r="B69" s="112" t="s">
        <v>49</v>
      </c>
    </row>
    <row r="70" spans="1:2">
      <c r="A70" s="49" t="s">
        <v>777</v>
      </c>
      <c r="B70" s="112" t="s">
        <v>49</v>
      </c>
    </row>
    <row r="71" spans="1:2">
      <c r="A71" s="49" t="s">
        <v>98</v>
      </c>
      <c r="B71" s="112" t="s">
        <v>27</v>
      </c>
    </row>
    <row r="72" spans="1:2">
      <c r="A72" s="49" t="s">
        <v>100</v>
      </c>
      <c r="B72" s="112" t="s">
        <v>27</v>
      </c>
    </row>
    <row r="73" spans="1:2">
      <c r="A73" s="49" t="s">
        <v>707</v>
      </c>
      <c r="B73" s="112" t="s">
        <v>27</v>
      </c>
    </row>
    <row r="74" spans="1:2">
      <c r="A74" s="49" t="s">
        <v>672</v>
      </c>
      <c r="B74" s="110" t="s">
        <v>25</v>
      </c>
    </row>
    <row r="75" spans="1:2">
      <c r="A75" s="49" t="s">
        <v>184</v>
      </c>
      <c r="B75" s="112" t="s">
        <v>40</v>
      </c>
    </row>
    <row r="76" spans="1:2">
      <c r="A76" s="49" t="s">
        <v>741</v>
      </c>
      <c r="B76" s="112" t="s">
        <v>60</v>
      </c>
    </row>
    <row r="77" spans="1:2">
      <c r="A77" s="49" t="s">
        <v>744</v>
      </c>
      <c r="B77" s="112" t="s">
        <v>60</v>
      </c>
    </row>
    <row r="78" spans="1:2">
      <c r="A78" s="49" t="s">
        <v>724</v>
      </c>
      <c r="B78" s="112" t="s">
        <v>27</v>
      </c>
    </row>
    <row r="79" spans="1:2">
      <c r="A79" s="49" t="s">
        <v>191</v>
      </c>
      <c r="B79" s="112" t="s">
        <v>27</v>
      </c>
    </row>
    <row r="80" spans="1:2">
      <c r="A80" s="49" t="s">
        <v>146</v>
      </c>
      <c r="B80" s="112" t="s">
        <v>27</v>
      </c>
    </row>
    <row r="81" spans="1:2">
      <c r="A81" s="49" t="s">
        <v>177</v>
      </c>
      <c r="B81" s="112" t="s">
        <v>60</v>
      </c>
    </row>
    <row r="82" spans="1:2">
      <c r="A82" s="49" t="s">
        <v>700</v>
      </c>
      <c r="B82" s="112" t="s">
        <v>27</v>
      </c>
    </row>
    <row r="83" spans="1:2">
      <c r="A83" s="49" t="s">
        <v>767</v>
      </c>
      <c r="B83" s="112" t="s">
        <v>58</v>
      </c>
    </row>
    <row r="84" spans="1:2">
      <c r="A84" s="49" t="s">
        <v>780</v>
      </c>
      <c r="B84" s="112" t="s">
        <v>307</v>
      </c>
    </row>
    <row r="85" spans="1:2">
      <c r="A85" s="49" t="s">
        <v>159</v>
      </c>
      <c r="B85" s="112" t="s">
        <v>59</v>
      </c>
    </row>
    <row r="86" spans="1:2">
      <c r="A86" s="49" t="s">
        <v>765</v>
      </c>
      <c r="B86" s="112" t="s">
        <v>37</v>
      </c>
    </row>
    <row r="87" spans="1:2">
      <c r="A87" s="49" t="s">
        <v>703</v>
      </c>
      <c r="B87" s="112" t="s">
        <v>27</v>
      </c>
    </row>
    <row r="88" spans="1:2">
      <c r="A88" s="49" t="s">
        <v>735</v>
      </c>
      <c r="B88" s="112" t="s">
        <v>27</v>
      </c>
    </row>
    <row r="89" spans="1:2">
      <c r="A89" s="49" t="s">
        <v>736</v>
      </c>
      <c r="B89" s="112" t="s">
        <v>27</v>
      </c>
    </row>
    <row r="90" spans="1:2">
      <c r="A90" s="49" t="s">
        <v>734</v>
      </c>
      <c r="B90" s="112" t="s">
        <v>27</v>
      </c>
    </row>
    <row r="91" spans="1:2">
      <c r="A91" s="49" t="s">
        <v>702</v>
      </c>
      <c r="B91" s="112" t="s">
        <v>27</v>
      </c>
    </row>
    <row r="92" spans="1:2">
      <c r="A92" s="49" t="s">
        <v>725</v>
      </c>
      <c r="B92" s="112" t="s">
        <v>27</v>
      </c>
    </row>
    <row r="93" spans="1:2">
      <c r="A93" s="49" t="s">
        <v>791</v>
      </c>
      <c r="B93" s="112" t="s">
        <v>26</v>
      </c>
    </row>
    <row r="94" spans="1:2">
      <c r="A94" s="49" t="s">
        <v>785</v>
      </c>
      <c r="B94" s="112" t="s">
        <v>46</v>
      </c>
    </row>
    <row r="95" spans="1:2">
      <c r="A95" s="49" t="s">
        <v>786</v>
      </c>
      <c r="B95" s="112" t="s">
        <v>46</v>
      </c>
    </row>
    <row r="96" spans="1:2">
      <c r="A96" s="49" t="s">
        <v>751</v>
      </c>
      <c r="B96" s="112" t="s">
        <v>60</v>
      </c>
    </row>
    <row r="97" spans="1:2">
      <c r="A97" s="49" t="s">
        <v>726</v>
      </c>
      <c r="B97" s="112" t="s">
        <v>27</v>
      </c>
    </row>
    <row r="98" spans="1:2">
      <c r="A98" s="49" t="s">
        <v>102</v>
      </c>
      <c r="B98" s="112" t="s">
        <v>27</v>
      </c>
    </row>
    <row r="99" spans="1:2">
      <c r="A99" s="49" t="s">
        <v>762</v>
      </c>
      <c r="B99" s="112" t="s">
        <v>60</v>
      </c>
    </row>
    <row r="100" spans="1:2">
      <c r="A100" s="49" t="s">
        <v>163</v>
      </c>
      <c r="B100" s="112" t="s">
        <v>59</v>
      </c>
    </row>
    <row r="101" spans="1:2">
      <c r="A101" s="49" t="s">
        <v>753</v>
      </c>
      <c r="B101" s="112" t="s">
        <v>60</v>
      </c>
    </row>
    <row r="102" spans="1:2">
      <c r="A102" s="49" t="s">
        <v>706</v>
      </c>
      <c r="B102" s="112" t="s">
        <v>27</v>
      </c>
    </row>
    <row r="103" spans="1:2">
      <c r="A103" s="49" t="s">
        <v>684</v>
      </c>
      <c r="B103" s="110" t="s">
        <v>25</v>
      </c>
    </row>
    <row r="104" spans="1:2">
      <c r="A104" s="49" t="s">
        <v>704</v>
      </c>
      <c r="B104" s="112" t="s">
        <v>27</v>
      </c>
    </row>
    <row r="105" spans="1:2">
      <c r="A105" s="49" t="s">
        <v>727</v>
      </c>
      <c r="B105" s="112" t="s">
        <v>27</v>
      </c>
    </row>
    <row r="106" spans="1:2">
      <c r="A106" s="49" t="s">
        <v>790</v>
      </c>
      <c r="B106" s="112" t="s">
        <v>28</v>
      </c>
    </row>
    <row r="107" spans="1:2">
      <c r="A107" s="49" t="s">
        <v>607</v>
      </c>
      <c r="B107" s="112" t="s">
        <v>28</v>
      </c>
    </row>
    <row r="108" spans="1:2">
      <c r="A108" s="49" t="s">
        <v>674</v>
      </c>
      <c r="B108" s="110" t="s">
        <v>25</v>
      </c>
    </row>
    <row r="109" spans="1:2">
      <c r="A109" s="49" t="s">
        <v>676</v>
      </c>
      <c r="B109" s="110" t="s">
        <v>25</v>
      </c>
    </row>
    <row r="110" spans="1:2">
      <c r="A110" s="138" t="s">
        <v>913</v>
      </c>
      <c r="B110" s="139" t="s">
        <v>25</v>
      </c>
    </row>
    <row r="111" spans="1:2">
      <c r="A111" s="49" t="s">
        <v>694</v>
      </c>
      <c r="B111" s="112" t="s">
        <v>40</v>
      </c>
    </row>
    <row r="112" spans="1:2">
      <c r="A112" s="49" t="s">
        <v>773</v>
      </c>
      <c r="B112" s="112" t="s">
        <v>42</v>
      </c>
    </row>
    <row r="113" spans="1:2">
      <c r="A113" s="49" t="s">
        <v>763</v>
      </c>
      <c r="B113" s="112" t="s">
        <v>60</v>
      </c>
    </row>
    <row r="114" spans="1:2">
      <c r="A114" s="49" t="s">
        <v>698</v>
      </c>
      <c r="B114" s="112" t="s">
        <v>40</v>
      </c>
    </row>
    <row r="115" spans="1:2">
      <c r="A115" s="49" t="s">
        <v>698</v>
      </c>
      <c r="B115" s="112" t="s">
        <v>60</v>
      </c>
    </row>
    <row r="116" spans="1:2">
      <c r="A116" s="49" t="s">
        <v>754</v>
      </c>
      <c r="B116" s="112" t="s">
        <v>60</v>
      </c>
    </row>
    <row r="117" spans="1:2">
      <c r="A117" s="49" t="s">
        <v>755</v>
      </c>
      <c r="B117" s="112" t="s">
        <v>60</v>
      </c>
    </row>
    <row r="118" spans="1:2">
      <c r="A118" s="49" t="s">
        <v>757</v>
      </c>
      <c r="B118" s="112" t="s">
        <v>60</v>
      </c>
    </row>
    <row r="119" spans="1:2">
      <c r="A119" s="49" t="s">
        <v>685</v>
      </c>
      <c r="B119" s="110" t="s">
        <v>25</v>
      </c>
    </row>
    <row r="120" spans="1:2">
      <c r="A120" s="49" t="s">
        <v>758</v>
      </c>
      <c r="B120" s="129" t="s">
        <v>60</v>
      </c>
    </row>
    <row r="121" spans="1:2">
      <c r="A121" s="49" t="s">
        <v>708</v>
      </c>
      <c r="B121" s="140" t="s">
        <v>27</v>
      </c>
    </row>
    <row r="122" spans="1:2">
      <c r="A122" s="49" t="s">
        <v>164</v>
      </c>
      <c r="B122" s="140" t="s">
        <v>60</v>
      </c>
    </row>
    <row r="123" spans="1:2">
      <c r="A123" s="49" t="s">
        <v>182</v>
      </c>
      <c r="B123" s="140" t="s">
        <v>61</v>
      </c>
    </row>
    <row r="124" spans="1:2">
      <c r="A124" s="49" t="s">
        <v>770</v>
      </c>
      <c r="B124" s="140" t="s">
        <v>36</v>
      </c>
    </row>
    <row r="125" spans="1:2">
      <c r="A125" s="49" t="s">
        <v>680</v>
      </c>
      <c r="B125" s="110" t="s">
        <v>25</v>
      </c>
    </row>
    <row r="126" spans="1:2">
      <c r="A126" s="49" t="s">
        <v>728</v>
      </c>
      <c r="B126" s="112" t="s">
        <v>27</v>
      </c>
    </row>
    <row r="127" spans="1:2">
      <c r="A127" s="49" t="s">
        <v>154</v>
      </c>
      <c r="B127" s="112" t="s">
        <v>58</v>
      </c>
    </row>
    <row r="128" spans="1:2">
      <c r="A128" s="49" t="s">
        <v>681</v>
      </c>
      <c r="B128" s="110" t="s">
        <v>25</v>
      </c>
    </row>
    <row r="129" spans="1:2">
      <c r="A129" s="49" t="s">
        <v>678</v>
      </c>
      <c r="B129" s="110" t="s">
        <v>25</v>
      </c>
    </row>
    <row r="130" spans="1:2">
      <c r="A130" s="49" t="s">
        <v>695</v>
      </c>
      <c r="B130" s="112" t="s">
        <v>40</v>
      </c>
    </row>
    <row r="131" spans="1:2">
      <c r="A131" s="49" t="s">
        <v>781</v>
      </c>
      <c r="B131" s="112" t="s">
        <v>307</v>
      </c>
    </row>
    <row r="132" spans="1:2">
      <c r="A132" s="49" t="s">
        <v>183</v>
      </c>
      <c r="B132" s="130" t="s">
        <v>25</v>
      </c>
    </row>
    <row r="133" spans="1:2">
      <c r="A133" s="49" t="s">
        <v>158</v>
      </c>
      <c r="B133" s="113" t="s">
        <v>59</v>
      </c>
    </row>
    <row r="134" spans="1:2">
      <c r="A134" s="49" t="s">
        <v>720</v>
      </c>
      <c r="B134" s="113" t="s">
        <v>27</v>
      </c>
    </row>
    <row r="135" spans="1:2">
      <c r="A135" s="49" t="s">
        <v>759</v>
      </c>
      <c r="B135" s="113" t="s">
        <v>60</v>
      </c>
    </row>
    <row r="136" spans="1:2">
      <c r="A136" s="49" t="s">
        <v>696</v>
      </c>
      <c r="B136" s="113" t="s">
        <v>40</v>
      </c>
    </row>
    <row r="137" spans="1:2">
      <c r="A137" s="49" t="s">
        <v>174</v>
      </c>
      <c r="B137" s="131" t="s">
        <v>60</v>
      </c>
    </row>
    <row r="138" spans="1:2">
      <c r="A138" s="49" t="s">
        <v>176</v>
      </c>
      <c r="B138" s="112" t="s">
        <v>60</v>
      </c>
    </row>
    <row r="139" spans="1:2">
      <c r="A139" s="49" t="s">
        <v>729</v>
      </c>
      <c r="B139" s="112" t="s">
        <v>27</v>
      </c>
    </row>
    <row r="140" spans="1:2">
      <c r="A140" s="49" t="s">
        <v>690</v>
      </c>
      <c r="B140" s="112" t="s">
        <v>40</v>
      </c>
    </row>
    <row r="141" spans="1:2">
      <c r="A141" s="49" t="s">
        <v>789</v>
      </c>
      <c r="B141" s="112" t="s">
        <v>56</v>
      </c>
    </row>
    <row r="142" spans="1:2">
      <c r="A142" s="49" t="s">
        <v>782</v>
      </c>
      <c r="B142" s="112" t="s">
        <v>307</v>
      </c>
    </row>
    <row r="143" spans="1:2">
      <c r="A143" s="49" t="s">
        <v>783</v>
      </c>
      <c r="B143" s="112" t="s">
        <v>307</v>
      </c>
    </row>
    <row r="144" spans="1:2">
      <c r="A144" s="49" t="s">
        <v>730</v>
      </c>
      <c r="B144" s="112" t="s">
        <v>27</v>
      </c>
    </row>
    <row r="145" spans="1:2">
      <c r="A145" s="49" t="s">
        <v>90</v>
      </c>
      <c r="B145" s="112" t="s">
        <v>27</v>
      </c>
    </row>
    <row r="146" spans="1:2">
      <c r="A146" s="49" t="s">
        <v>256</v>
      </c>
      <c r="B146" s="112" t="s">
        <v>49</v>
      </c>
    </row>
    <row r="147" spans="1:2">
      <c r="A147" s="49" t="s">
        <v>731</v>
      </c>
      <c r="B147" s="112" t="s">
        <v>27</v>
      </c>
    </row>
    <row r="148" spans="1:2">
      <c r="A148" s="49" t="s">
        <v>739</v>
      </c>
      <c r="B148" s="112" t="s">
        <v>59</v>
      </c>
    </row>
    <row r="149" spans="1:2">
      <c r="A149" s="51" t="s">
        <v>688</v>
      </c>
      <c r="B149" s="111" t="s">
        <v>25</v>
      </c>
    </row>
  </sheetData>
  <hyperlinks>
    <hyperlink ref="B5" r:id="rId1"/>
    <hyperlink ref="B19:B28" r:id="rId2" display="SW015"/>
    <hyperlink ref="B8" r:id="rId3"/>
    <hyperlink ref="B30:B76" r:id="rId4" display="SW022"/>
    <hyperlink ref="B6" r:id="rId5"/>
    <hyperlink ref="B78:B83" r:id="rId6" display="SW064"/>
    <hyperlink ref="B2" r:id="rId7"/>
    <hyperlink ref="B85:B113" r:id="rId8" display="SW078"/>
    <hyperlink ref="B138" r:id="rId9"/>
    <hyperlink ref="B86" r:id="rId10"/>
    <hyperlink ref="B47" r:id="rId11"/>
    <hyperlink ref="B117:B118" r:id="rId12" display="SW104"/>
    <hyperlink ref="B7" r:id="rId13"/>
    <hyperlink ref="B112" r:id="rId14"/>
    <hyperlink ref="B36" r:id="rId15"/>
    <hyperlink ref="B126:B130" r:id="rId16" display="SW203"/>
    <hyperlink ref="B33" r:id="rId17"/>
    <hyperlink ref="B21" r:id="rId18"/>
    <hyperlink ref="B138:B140" r:id="rId19" display="SW772"/>
    <hyperlink ref="B24" r:id="rId20"/>
    <hyperlink ref="B50" r:id="rId21"/>
    <hyperlink ref="B12" r:id="rId22"/>
    <hyperlink ref="B141" r:id="rId23"/>
    <hyperlink ref="B106" r:id="rId24"/>
    <hyperlink ref="B107" r:id="rId25"/>
    <hyperlink ref="B93" r:id="rId26"/>
    <hyperlink ref="D2" r:id="rId27"/>
    <hyperlink ref="D3" r:id="rId28"/>
    <hyperlink ref="D6" r:id="rId29"/>
    <hyperlink ref="B140" r:id="rId30"/>
    <hyperlink ref="B3" r:id="rId31"/>
    <hyperlink ref="B4" r:id="rId32"/>
    <hyperlink ref="B11" r:id="rId33"/>
    <hyperlink ref="B30" r:id="rId34"/>
    <hyperlink ref="B23" r:id="rId35"/>
    <hyperlink ref="B27" r:id="rId36"/>
    <hyperlink ref="B31" r:id="rId37"/>
    <hyperlink ref="B32" r:id="rId38"/>
    <hyperlink ref="B59" r:id="rId39"/>
    <hyperlink ref="B60" r:id="rId40"/>
    <hyperlink ref="B62" r:id="rId41"/>
    <hyperlink ref="B61" r:id="rId42"/>
    <hyperlink ref="B63" r:id="rId43"/>
    <hyperlink ref="B76" r:id="rId44"/>
    <hyperlink ref="B77" r:id="rId45"/>
    <hyperlink ref="B81" r:id="rId46"/>
    <hyperlink ref="B115" r:id="rId47"/>
    <hyperlink ref="B116" r:id="rId48"/>
    <hyperlink ref="B117" r:id="rId49"/>
    <hyperlink ref="B118" r:id="rId50"/>
    <hyperlink ref="B120" r:id="rId51"/>
    <hyperlink ref="B122" r:id="rId52"/>
    <hyperlink ref="B137" r:id="rId53"/>
    <hyperlink ref="B135" r:id="rId54"/>
    <hyperlink ref="B39" r:id="rId55"/>
    <hyperlink ref="B40" r:id="rId56"/>
    <hyperlink ref="B52" r:id="rId57"/>
    <hyperlink ref="B53" r:id="rId58"/>
    <hyperlink ref="B75" r:id="rId59"/>
    <hyperlink ref="B114" r:id="rId60"/>
    <hyperlink ref="B130" r:id="rId61"/>
    <hyperlink ref="B136" r:id="rId62"/>
    <hyperlink ref="B111" r:id="rId63"/>
    <hyperlink ref="B17" r:id="rId64"/>
    <hyperlink ref="B48" r:id="rId65"/>
    <hyperlink ref="B85" r:id="rId66"/>
    <hyperlink ref="B100" r:id="rId67"/>
    <hyperlink ref="B133" r:id="rId68"/>
    <hyperlink ref="B148" r:id="rId69"/>
    <hyperlink ref="B19" r:id="rId70"/>
    <hyperlink ref="B20" r:id="rId71"/>
    <hyperlink ref="B9" r:id="rId72"/>
    <hyperlink ref="B10" r:id="rId73"/>
    <hyperlink ref="B13" r:id="rId74"/>
    <hyperlink ref="B14" r:id="rId75"/>
    <hyperlink ref="B15" r:id="rId76"/>
    <hyperlink ref="B16" r:id="rId77"/>
    <hyperlink ref="B18" r:id="rId78"/>
    <hyperlink ref="B25" r:id="rId79"/>
    <hyperlink ref="B26" r:id="rId80"/>
    <hyperlink ref="B35" r:id="rId81"/>
    <hyperlink ref="B37" r:id="rId82"/>
    <hyperlink ref="B38" r:id="rId83"/>
    <hyperlink ref="B78" r:id="rId84"/>
    <hyperlink ref="B79" r:id="rId85"/>
    <hyperlink ref="B80" r:id="rId86"/>
    <hyperlink ref="B82" r:id="rId87"/>
    <hyperlink ref="B87" r:id="rId88"/>
    <hyperlink ref="B89" r:id="rId89"/>
    <hyperlink ref="B88" r:id="rId90"/>
    <hyperlink ref="B90" r:id="rId91"/>
    <hyperlink ref="B91" r:id="rId92"/>
    <hyperlink ref="B92" r:id="rId93"/>
    <hyperlink ref="B97" r:id="rId94"/>
    <hyperlink ref="B98" r:id="rId95"/>
    <hyperlink ref="B102" r:id="rId96"/>
    <hyperlink ref="B104" r:id="rId97"/>
    <hyperlink ref="B105" r:id="rId98"/>
    <hyperlink ref="B121" r:id="rId99"/>
    <hyperlink ref="B126" r:id="rId100"/>
    <hyperlink ref="B134" r:id="rId101"/>
    <hyperlink ref="B139" r:id="rId102"/>
    <hyperlink ref="B144" r:id="rId103"/>
    <hyperlink ref="B145" r:id="rId104"/>
    <hyperlink ref="B147" r:id="rId105"/>
    <hyperlink ref="B22" r:id="rId106"/>
    <hyperlink ref="B124" r:id="rId107"/>
    <hyperlink ref="B29" r:id="rId108"/>
    <hyperlink ref="B94" r:id="rId109"/>
    <hyperlink ref="B95" r:id="rId110"/>
    <hyperlink ref="B34" r:id="rId111"/>
    <hyperlink ref="B57" r:id="rId112"/>
    <hyperlink ref="B68" r:id="rId113"/>
    <hyperlink ref="B69" r:id="rId114"/>
    <hyperlink ref="B70" r:id="rId115"/>
    <hyperlink ref="B146" r:id="rId116"/>
    <hyperlink ref="B83" r:id="rId117"/>
    <hyperlink ref="B84" r:id="rId118"/>
    <hyperlink ref="B143" r:id="rId119"/>
    <hyperlink ref="B142" r:id="rId120"/>
    <hyperlink ref="B131" r:id="rId121"/>
    <hyperlink ref="B127" r:id="rId122"/>
    <hyperlink ref="B123" r:id="rId123"/>
    <hyperlink ref="B67" r:id="rId124"/>
  </hyperlinks>
  <pageMargins left="0.7" right="0.7" top="0.75" bottom="0.75" header="0.3" footer="0.3"/>
  <pageSetup orientation="portrait" r:id="rId125"/>
  <tableParts count="2">
    <tablePart r:id="rId126"/>
    <tablePart r:id="rId127"/>
  </tableParts>
</worksheet>
</file>

<file path=xl/worksheets/sheet5.xml><?xml version="1.0" encoding="utf-8"?>
<worksheet xmlns="http://schemas.openxmlformats.org/spreadsheetml/2006/main" xmlns:r="http://schemas.openxmlformats.org/officeDocument/2006/relationships">
  <sheetPr codeName="Sheet5"/>
  <dimension ref="A1:F284"/>
  <sheetViews>
    <sheetView workbookViewId="0">
      <pane ySplit="1" topLeftCell="A2" activePane="bottomLeft" state="frozen"/>
      <selection pane="bottomLeft" activeCell="C6" sqref="C6"/>
    </sheetView>
  </sheetViews>
  <sheetFormatPr defaultRowHeight="12.75"/>
  <cols>
    <col min="1" max="1" width="36.42578125" style="6" bestFit="1" customWidth="1"/>
    <col min="2" max="2" width="14.28515625" style="71" bestFit="1" customWidth="1"/>
    <col min="3" max="3" width="42.140625" style="6" bestFit="1" customWidth="1"/>
    <col min="4" max="4" width="40" style="6" customWidth="1"/>
    <col min="5" max="5" width="20.28515625" style="6" customWidth="1"/>
    <col min="6" max="16384" width="9.140625" style="6"/>
  </cols>
  <sheetData>
    <row r="1" spans="1:6" s="52" customFormat="1" ht="15.75">
      <c r="A1" s="80" t="s">
        <v>268</v>
      </c>
      <c r="B1" s="81" t="s">
        <v>551</v>
      </c>
      <c r="C1" s="82" t="s">
        <v>3</v>
      </c>
      <c r="D1" s="101" t="s">
        <v>3</v>
      </c>
      <c r="E1" t="s">
        <v>211</v>
      </c>
    </row>
    <row r="2" spans="1:6" ht="15">
      <c r="A2" s="49" t="s">
        <v>269</v>
      </c>
      <c r="B2" s="68">
        <v>49101700</v>
      </c>
      <c r="C2" s="83" t="s">
        <v>233</v>
      </c>
      <c r="D2"/>
      <c r="E2"/>
      <c r="F2"/>
    </row>
    <row r="3" spans="1:6" ht="15">
      <c r="A3" s="49" t="s">
        <v>264</v>
      </c>
      <c r="B3" s="68">
        <v>46181501</v>
      </c>
      <c r="C3" s="83" t="s">
        <v>232</v>
      </c>
      <c r="D3" s="101" t="s">
        <v>794</v>
      </c>
      <c r="E3"/>
      <c r="F3"/>
    </row>
    <row r="4" spans="1:6" ht="15">
      <c r="A4" s="49" t="s">
        <v>264</v>
      </c>
      <c r="B4" s="68">
        <v>46181501</v>
      </c>
      <c r="C4" s="83" t="s">
        <v>220</v>
      </c>
      <c r="D4" s="102" t="s">
        <v>261</v>
      </c>
      <c r="E4"/>
      <c r="F4"/>
    </row>
    <row r="5" spans="1:6" ht="15">
      <c r="A5" s="49" t="s">
        <v>264</v>
      </c>
      <c r="B5" s="68">
        <v>46181501</v>
      </c>
      <c r="C5" s="83" t="s">
        <v>257</v>
      </c>
      <c r="D5" s="102" t="s">
        <v>237</v>
      </c>
      <c r="E5"/>
      <c r="F5"/>
    </row>
    <row r="6" spans="1:6" ht="15">
      <c r="A6" s="49" t="s">
        <v>261</v>
      </c>
      <c r="B6" s="68">
        <v>73151500</v>
      </c>
      <c r="C6" s="83" t="s">
        <v>211</v>
      </c>
      <c r="D6" s="102" t="s">
        <v>262</v>
      </c>
      <c r="E6"/>
      <c r="F6"/>
    </row>
    <row r="7" spans="1:6" ht="15">
      <c r="A7" s="49" t="s">
        <v>261</v>
      </c>
      <c r="B7" s="68">
        <v>73151500</v>
      </c>
      <c r="C7" s="83" t="s">
        <v>233</v>
      </c>
      <c r="D7" s="102" t="s">
        <v>243</v>
      </c>
      <c r="E7"/>
      <c r="F7"/>
    </row>
    <row r="8" spans="1:6" ht="15">
      <c r="A8" s="49" t="s">
        <v>261</v>
      </c>
      <c r="B8" s="68">
        <v>73151500</v>
      </c>
      <c r="C8" s="83" t="s">
        <v>212</v>
      </c>
      <c r="D8" s="102" t="s">
        <v>246</v>
      </c>
      <c r="E8"/>
      <c r="F8"/>
    </row>
    <row r="9" spans="1:6" ht="15">
      <c r="A9" s="49" t="s">
        <v>261</v>
      </c>
      <c r="B9" s="68">
        <v>73151500</v>
      </c>
      <c r="C9" s="83" t="s">
        <v>270</v>
      </c>
      <c r="D9" s="102" t="s">
        <v>661</v>
      </c>
      <c r="E9"/>
      <c r="F9"/>
    </row>
    <row r="10" spans="1:6" ht="15">
      <c r="A10" s="49" t="s">
        <v>261</v>
      </c>
      <c r="B10" s="68">
        <v>73151500</v>
      </c>
      <c r="C10" s="83" t="s">
        <v>271</v>
      </c>
      <c r="D10"/>
      <c r="E10"/>
      <c r="F10"/>
    </row>
    <row r="11" spans="1:6" ht="15">
      <c r="A11" s="49" t="s">
        <v>261</v>
      </c>
      <c r="B11" s="68">
        <v>73151500</v>
      </c>
      <c r="C11" s="83" t="s">
        <v>213</v>
      </c>
      <c r="D11"/>
      <c r="E11"/>
      <c r="F11"/>
    </row>
    <row r="12" spans="1:6" ht="15">
      <c r="A12" s="49" t="s">
        <v>261</v>
      </c>
      <c r="B12" s="68">
        <v>73151500</v>
      </c>
      <c r="C12" s="83" t="s">
        <v>214</v>
      </c>
      <c r="D12"/>
      <c r="E12"/>
      <c r="F12"/>
    </row>
    <row r="13" spans="1:6" ht="15">
      <c r="A13" s="49" t="s">
        <v>261</v>
      </c>
      <c r="B13" s="68">
        <v>73151500</v>
      </c>
      <c r="C13" s="83" t="s">
        <v>216</v>
      </c>
      <c r="D13"/>
      <c r="E13"/>
      <c r="F13"/>
    </row>
    <row r="14" spans="1:6" ht="15">
      <c r="A14" s="49" t="s">
        <v>261</v>
      </c>
      <c r="B14" s="68">
        <v>73151500</v>
      </c>
      <c r="C14" s="83" t="s">
        <v>217</v>
      </c>
      <c r="D14"/>
      <c r="E14"/>
      <c r="F14"/>
    </row>
    <row r="15" spans="1:6" ht="15">
      <c r="A15" s="49" t="s">
        <v>261</v>
      </c>
      <c r="B15" s="68">
        <v>73151500</v>
      </c>
      <c r="C15" s="83" t="s">
        <v>218</v>
      </c>
      <c r="D15"/>
      <c r="E15"/>
      <c r="F15"/>
    </row>
    <row r="16" spans="1:6" ht="15">
      <c r="A16" s="49" t="s">
        <v>261</v>
      </c>
      <c r="B16" s="68">
        <v>73151500</v>
      </c>
      <c r="C16" s="83" t="s">
        <v>219</v>
      </c>
      <c r="D16"/>
      <c r="E16"/>
      <c r="F16"/>
    </row>
    <row r="17" spans="1:6" ht="15">
      <c r="A17" s="49" t="s">
        <v>261</v>
      </c>
      <c r="B17" s="68">
        <v>73151500</v>
      </c>
      <c r="C17" s="83" t="s">
        <v>220</v>
      </c>
      <c r="D17"/>
      <c r="E17"/>
      <c r="F17"/>
    </row>
    <row r="18" spans="1:6" ht="15">
      <c r="A18" s="49" t="s">
        <v>261</v>
      </c>
      <c r="B18" s="68">
        <v>73151500</v>
      </c>
      <c r="C18" s="83" t="s">
        <v>222</v>
      </c>
      <c r="D18"/>
      <c r="E18"/>
      <c r="F18"/>
    </row>
    <row r="19" spans="1:6" ht="15">
      <c r="A19" s="49" t="s">
        <v>261</v>
      </c>
      <c r="B19" s="68">
        <v>73151500</v>
      </c>
      <c r="C19" s="83" t="s">
        <v>609</v>
      </c>
      <c r="D19"/>
      <c r="E19"/>
      <c r="F19"/>
    </row>
    <row r="20" spans="1:6" ht="15">
      <c r="A20" s="49" t="s">
        <v>261</v>
      </c>
      <c r="B20" s="68">
        <v>73151500</v>
      </c>
      <c r="C20" s="83" t="s">
        <v>263</v>
      </c>
      <c r="D20"/>
    </row>
    <row r="21" spans="1:6" ht="15">
      <c r="A21" s="49" t="s">
        <v>261</v>
      </c>
      <c r="B21" s="68">
        <v>73151500</v>
      </c>
      <c r="C21" s="83" t="s">
        <v>223</v>
      </c>
      <c r="D21"/>
    </row>
    <row r="22" spans="1:6" ht="15">
      <c r="A22" s="49" t="s">
        <v>261</v>
      </c>
      <c r="B22" s="68">
        <v>73151500</v>
      </c>
      <c r="C22" s="83" t="s">
        <v>224</v>
      </c>
      <c r="D22"/>
    </row>
    <row r="23" spans="1:6" ht="15">
      <c r="A23" s="49" t="s">
        <v>261</v>
      </c>
      <c r="B23" s="68">
        <v>73151500</v>
      </c>
      <c r="C23" s="83" t="s">
        <v>225</v>
      </c>
      <c r="D23"/>
    </row>
    <row r="24" spans="1:6" ht="15">
      <c r="A24" s="49" t="s">
        <v>261</v>
      </c>
      <c r="B24" s="68">
        <v>73151500</v>
      </c>
      <c r="C24" s="83" t="s">
        <v>272</v>
      </c>
      <c r="D24"/>
    </row>
    <row r="25" spans="1:6" ht="15">
      <c r="A25" s="49" t="s">
        <v>261</v>
      </c>
      <c r="B25" s="68">
        <v>73151500</v>
      </c>
      <c r="C25" s="83" t="s">
        <v>273</v>
      </c>
      <c r="D25"/>
    </row>
    <row r="26" spans="1:6" ht="15">
      <c r="A26" s="49" t="s">
        <v>261</v>
      </c>
      <c r="B26" s="68">
        <v>73151500</v>
      </c>
      <c r="C26" s="83" t="s">
        <v>274</v>
      </c>
      <c r="D26"/>
    </row>
    <row r="27" spans="1:6" ht="15">
      <c r="A27" s="49" t="s">
        <v>261</v>
      </c>
      <c r="B27" s="68">
        <v>73151500</v>
      </c>
      <c r="C27" s="83" t="s">
        <v>257</v>
      </c>
      <c r="D27"/>
    </row>
    <row r="28" spans="1:6" ht="15">
      <c r="A28" s="49" t="s">
        <v>261</v>
      </c>
      <c r="B28" s="68">
        <v>73151500</v>
      </c>
      <c r="C28" s="83" t="s">
        <v>226</v>
      </c>
      <c r="D28"/>
    </row>
    <row r="29" spans="1:6" ht="15">
      <c r="A29" s="49" t="s">
        <v>261</v>
      </c>
      <c r="B29" s="68">
        <v>73151500</v>
      </c>
      <c r="C29" s="83" t="s">
        <v>227</v>
      </c>
      <c r="D29"/>
    </row>
    <row r="30" spans="1:6" ht="15">
      <c r="A30" s="49" t="s">
        <v>261</v>
      </c>
      <c r="B30" s="68">
        <v>73151500</v>
      </c>
      <c r="C30" s="83" t="s">
        <v>229</v>
      </c>
      <c r="D30"/>
    </row>
    <row r="31" spans="1:6" ht="15">
      <c r="A31" s="49" t="s">
        <v>261</v>
      </c>
      <c r="B31" s="68">
        <v>73151500</v>
      </c>
      <c r="C31" s="83" t="s">
        <v>210</v>
      </c>
      <c r="D31"/>
    </row>
    <row r="32" spans="1:6" ht="15">
      <c r="A32" s="49" t="s">
        <v>261</v>
      </c>
      <c r="B32" s="68">
        <v>73151500</v>
      </c>
      <c r="C32" s="83" t="s">
        <v>230</v>
      </c>
      <c r="D32"/>
    </row>
    <row r="33" spans="1:4" ht="15">
      <c r="A33" s="49" t="s">
        <v>261</v>
      </c>
      <c r="B33" s="68">
        <v>73151500</v>
      </c>
      <c r="C33" s="83" t="s">
        <v>664</v>
      </c>
      <c r="D33"/>
    </row>
    <row r="34" spans="1:4" ht="15">
      <c r="A34" s="49" t="s">
        <v>258</v>
      </c>
      <c r="B34" s="68">
        <v>49101700</v>
      </c>
      <c r="C34" s="83" t="s">
        <v>233</v>
      </c>
      <c r="D34"/>
    </row>
    <row r="35" spans="1:4" ht="15">
      <c r="A35" s="49" t="s">
        <v>258</v>
      </c>
      <c r="B35" s="68">
        <v>49101700</v>
      </c>
      <c r="C35" s="83" t="s">
        <v>231</v>
      </c>
      <c r="D35"/>
    </row>
    <row r="36" spans="1:4" ht="15">
      <c r="A36" s="49" t="s">
        <v>258</v>
      </c>
      <c r="B36" s="68">
        <v>49101700</v>
      </c>
      <c r="C36" s="83" t="s">
        <v>257</v>
      </c>
      <c r="D36"/>
    </row>
    <row r="37" spans="1:4" ht="15">
      <c r="A37" s="49" t="s">
        <v>265</v>
      </c>
      <c r="B37" s="68">
        <v>55121804</v>
      </c>
      <c r="C37" s="83" t="s">
        <v>233</v>
      </c>
      <c r="D37"/>
    </row>
    <row r="38" spans="1:4" ht="15">
      <c r="A38" s="49" t="s">
        <v>265</v>
      </c>
      <c r="B38" s="68">
        <v>55121804</v>
      </c>
      <c r="C38" s="83" t="s">
        <v>257</v>
      </c>
      <c r="D38"/>
    </row>
    <row r="39" spans="1:4" ht="15">
      <c r="A39" s="49" t="s">
        <v>266</v>
      </c>
      <c r="B39" s="68">
        <v>47131811</v>
      </c>
      <c r="C39" s="83" t="s">
        <v>220</v>
      </c>
      <c r="D39"/>
    </row>
    <row r="40" spans="1:4" ht="15">
      <c r="A40" s="49" t="s">
        <v>266</v>
      </c>
      <c r="B40" s="68">
        <v>47131811</v>
      </c>
      <c r="C40" s="83" t="s">
        <v>257</v>
      </c>
      <c r="D40"/>
    </row>
    <row r="41" spans="1:4" ht="15">
      <c r="A41" s="49" t="s">
        <v>267</v>
      </c>
      <c r="B41" s="68">
        <v>42251614</v>
      </c>
      <c r="C41" s="83" t="s">
        <v>232</v>
      </c>
      <c r="D41"/>
    </row>
    <row r="42" spans="1:4" ht="15">
      <c r="A42" s="49" t="s">
        <v>267</v>
      </c>
      <c r="B42" s="68">
        <v>42251614</v>
      </c>
      <c r="C42" s="83" t="s">
        <v>257</v>
      </c>
      <c r="D42"/>
    </row>
    <row r="43" spans="1:4" ht="15">
      <c r="A43" s="49" t="s">
        <v>235</v>
      </c>
      <c r="B43" s="68">
        <v>55121706</v>
      </c>
      <c r="C43" s="83" t="s">
        <v>594</v>
      </c>
      <c r="D43"/>
    </row>
    <row r="44" spans="1:4" ht="15">
      <c r="A44" s="49" t="s">
        <v>235</v>
      </c>
      <c r="B44" s="68">
        <v>55121706</v>
      </c>
      <c r="C44" s="83" t="s">
        <v>233</v>
      </c>
      <c r="D44"/>
    </row>
    <row r="45" spans="1:4" ht="15">
      <c r="A45" s="49" t="s">
        <v>235</v>
      </c>
      <c r="B45" s="68">
        <v>55121706</v>
      </c>
      <c r="C45" s="83" t="s">
        <v>595</v>
      </c>
      <c r="D45"/>
    </row>
    <row r="46" spans="1:4" ht="15">
      <c r="A46" s="49" t="s">
        <v>235</v>
      </c>
      <c r="B46" s="68">
        <v>55121706</v>
      </c>
      <c r="C46" s="83" t="s">
        <v>231</v>
      </c>
      <c r="D46"/>
    </row>
    <row r="47" spans="1:4" ht="15">
      <c r="A47" s="49" t="s">
        <v>235</v>
      </c>
      <c r="B47" s="68">
        <v>55121706</v>
      </c>
      <c r="C47" s="83" t="s">
        <v>257</v>
      </c>
      <c r="D47"/>
    </row>
    <row r="48" spans="1:4" ht="15">
      <c r="A48" s="49" t="s">
        <v>275</v>
      </c>
      <c r="B48" s="68">
        <v>42132106</v>
      </c>
      <c r="C48" s="83" t="s">
        <v>220</v>
      </c>
      <c r="D48"/>
    </row>
    <row r="49" spans="1:4" ht="15">
      <c r="A49" s="49" t="s">
        <v>260</v>
      </c>
      <c r="B49" s="68">
        <v>42281803</v>
      </c>
      <c r="C49" s="83" t="s">
        <v>224</v>
      </c>
      <c r="D49"/>
    </row>
    <row r="50" spans="1:4" ht="15">
      <c r="A50" s="49" t="s">
        <v>260</v>
      </c>
      <c r="B50" s="68">
        <v>42281803</v>
      </c>
      <c r="C50" s="83" t="s">
        <v>210</v>
      </c>
      <c r="D50"/>
    </row>
    <row r="51" spans="1:4" ht="15">
      <c r="A51" s="49" t="s">
        <v>276</v>
      </c>
      <c r="B51" s="68">
        <v>52121508</v>
      </c>
      <c r="C51" s="83" t="s">
        <v>220</v>
      </c>
      <c r="D51"/>
    </row>
    <row r="52" spans="1:4" ht="15">
      <c r="A52" s="49" t="s">
        <v>277</v>
      </c>
      <c r="B52" s="68">
        <v>42211702</v>
      </c>
      <c r="C52" s="83" t="s">
        <v>233</v>
      </c>
      <c r="D52"/>
    </row>
    <row r="53" spans="1:4" ht="15">
      <c r="A53" s="49" t="s">
        <v>277</v>
      </c>
      <c r="B53" s="68">
        <v>42211702</v>
      </c>
      <c r="C53" s="83" t="s">
        <v>231</v>
      </c>
      <c r="D53"/>
    </row>
    <row r="54" spans="1:4" ht="15">
      <c r="A54" s="49" t="s">
        <v>236</v>
      </c>
      <c r="B54" s="68">
        <v>80141603</v>
      </c>
      <c r="C54" s="83" t="s">
        <v>233</v>
      </c>
      <c r="D54"/>
    </row>
    <row r="55" spans="1:4" ht="15">
      <c r="A55" s="49" t="s">
        <v>236</v>
      </c>
      <c r="B55" s="68">
        <v>80141603</v>
      </c>
      <c r="C55" s="83" t="s">
        <v>224</v>
      </c>
      <c r="D55"/>
    </row>
    <row r="56" spans="1:4" ht="15">
      <c r="A56" s="49" t="s">
        <v>278</v>
      </c>
      <c r="B56" s="68">
        <v>39112604</v>
      </c>
      <c r="C56" s="83" t="s">
        <v>238</v>
      </c>
      <c r="D56"/>
    </row>
    <row r="57" spans="1:4" ht="15">
      <c r="A57" s="49" t="s">
        <v>279</v>
      </c>
      <c r="B57" s="68">
        <v>76111800</v>
      </c>
      <c r="C57" s="83" t="s">
        <v>222</v>
      </c>
      <c r="D57"/>
    </row>
    <row r="58" spans="1:4" ht="15">
      <c r="A58" s="49" t="s">
        <v>279</v>
      </c>
      <c r="B58" s="68">
        <v>76111800</v>
      </c>
      <c r="C58" s="83" t="s">
        <v>238</v>
      </c>
      <c r="D58"/>
    </row>
    <row r="59" spans="1:4" ht="15">
      <c r="A59" s="49" t="s">
        <v>279</v>
      </c>
      <c r="B59" s="68">
        <v>76111800</v>
      </c>
      <c r="C59" s="83" t="s">
        <v>273</v>
      </c>
      <c r="D59"/>
    </row>
    <row r="60" spans="1:4" ht="15">
      <c r="A60" s="49" t="s">
        <v>279</v>
      </c>
      <c r="B60" s="68">
        <v>76111800</v>
      </c>
      <c r="C60" s="83" t="s">
        <v>274</v>
      </c>
      <c r="D60"/>
    </row>
    <row r="61" spans="1:4" ht="15">
      <c r="A61" s="49" t="s">
        <v>279</v>
      </c>
      <c r="B61" s="68">
        <v>76111800</v>
      </c>
      <c r="C61" s="83" t="s">
        <v>229</v>
      </c>
      <c r="D61"/>
    </row>
    <row r="62" spans="1:4" ht="26.25">
      <c r="A62" s="50" t="s">
        <v>280</v>
      </c>
      <c r="B62" s="69">
        <v>73181000</v>
      </c>
      <c r="C62" s="83" t="s">
        <v>224</v>
      </c>
      <c r="D62"/>
    </row>
    <row r="63" spans="1:4" ht="15">
      <c r="A63" s="49" t="s">
        <v>237</v>
      </c>
      <c r="B63" s="68">
        <v>82121701</v>
      </c>
      <c r="C63" s="83" t="s">
        <v>664</v>
      </c>
      <c r="D63"/>
    </row>
    <row r="64" spans="1:4" ht="15">
      <c r="A64" s="49" t="s">
        <v>237</v>
      </c>
      <c r="B64" s="68">
        <v>82121701</v>
      </c>
      <c r="C64" s="83" t="s">
        <v>211</v>
      </c>
      <c r="D64"/>
    </row>
    <row r="65" spans="1:4" ht="15">
      <c r="A65" s="49" t="s">
        <v>237</v>
      </c>
      <c r="B65" s="68">
        <v>82121701</v>
      </c>
      <c r="C65" s="83" t="s">
        <v>594</v>
      </c>
      <c r="D65"/>
    </row>
    <row r="66" spans="1:4" ht="15">
      <c r="A66" s="49" t="s">
        <v>237</v>
      </c>
      <c r="B66" s="68">
        <v>82121701</v>
      </c>
      <c r="C66" s="83" t="s">
        <v>233</v>
      </c>
      <c r="D66"/>
    </row>
    <row r="67" spans="1:4">
      <c r="A67" s="49" t="s">
        <v>237</v>
      </c>
      <c r="B67" s="68">
        <v>82121701</v>
      </c>
      <c r="C67" s="83" t="s">
        <v>270</v>
      </c>
    </row>
    <row r="68" spans="1:4">
      <c r="A68" s="49" t="s">
        <v>237</v>
      </c>
      <c r="B68" s="68">
        <v>82121701</v>
      </c>
      <c r="C68" s="83" t="s">
        <v>231</v>
      </c>
    </row>
    <row r="69" spans="1:4">
      <c r="A69" s="49" t="s">
        <v>237</v>
      </c>
      <c r="B69" s="68">
        <v>82121701</v>
      </c>
      <c r="C69" s="83" t="s">
        <v>214</v>
      </c>
    </row>
    <row r="70" spans="1:4">
      <c r="A70" s="49" t="s">
        <v>237</v>
      </c>
      <c r="B70" s="68">
        <v>82121701</v>
      </c>
      <c r="C70" s="83" t="s">
        <v>216</v>
      </c>
    </row>
    <row r="71" spans="1:4">
      <c r="A71" s="49" t="s">
        <v>237</v>
      </c>
      <c r="B71" s="68">
        <v>82121701</v>
      </c>
      <c r="C71" s="83" t="s">
        <v>218</v>
      </c>
    </row>
    <row r="72" spans="1:4">
      <c r="A72" s="49" t="s">
        <v>237</v>
      </c>
      <c r="B72" s="68">
        <v>82121701</v>
      </c>
      <c r="C72" s="83" t="s">
        <v>220</v>
      </c>
    </row>
    <row r="73" spans="1:4">
      <c r="A73" s="49" t="s">
        <v>237</v>
      </c>
      <c r="B73" s="68">
        <v>82121701</v>
      </c>
      <c r="C73" s="83" t="s">
        <v>222</v>
      </c>
    </row>
    <row r="74" spans="1:4">
      <c r="A74" s="49" t="s">
        <v>237</v>
      </c>
      <c r="B74" s="68">
        <v>82121701</v>
      </c>
      <c r="C74" s="83" t="s">
        <v>609</v>
      </c>
    </row>
    <row r="75" spans="1:4">
      <c r="A75" s="49" t="s">
        <v>237</v>
      </c>
      <c r="B75" s="68">
        <v>82121701</v>
      </c>
      <c r="C75" s="83" t="s">
        <v>263</v>
      </c>
    </row>
    <row r="76" spans="1:4">
      <c r="A76" s="49" t="s">
        <v>237</v>
      </c>
      <c r="B76" s="68">
        <v>82121701</v>
      </c>
      <c r="C76" s="83" t="s">
        <v>223</v>
      </c>
    </row>
    <row r="77" spans="1:4">
      <c r="A77" s="49" t="s">
        <v>237</v>
      </c>
      <c r="B77" s="68">
        <v>82121701</v>
      </c>
      <c r="C77" s="83" t="s">
        <v>272</v>
      </c>
    </row>
    <row r="78" spans="1:4">
      <c r="A78" s="49" t="s">
        <v>237</v>
      </c>
      <c r="B78" s="68">
        <v>82121701</v>
      </c>
      <c r="C78" s="83" t="s">
        <v>273</v>
      </c>
    </row>
    <row r="79" spans="1:4">
      <c r="A79" s="49" t="s">
        <v>237</v>
      </c>
      <c r="B79" s="68">
        <v>82121701</v>
      </c>
      <c r="C79" s="83" t="s">
        <v>226</v>
      </c>
    </row>
    <row r="80" spans="1:4">
      <c r="A80" s="49" t="s">
        <v>237</v>
      </c>
      <c r="B80" s="68">
        <v>82121701</v>
      </c>
      <c r="C80" s="83" t="s">
        <v>281</v>
      </c>
    </row>
    <row r="81" spans="1:3">
      <c r="A81" s="49" t="s">
        <v>237</v>
      </c>
      <c r="B81" s="68">
        <v>82121701</v>
      </c>
      <c r="C81" s="83" t="s">
        <v>230</v>
      </c>
    </row>
    <row r="82" spans="1:3">
      <c r="A82" s="49" t="s">
        <v>239</v>
      </c>
      <c r="B82" s="68">
        <v>82121700</v>
      </c>
      <c r="C82" s="83" t="s">
        <v>594</v>
      </c>
    </row>
    <row r="83" spans="1:3">
      <c r="A83" s="49" t="s">
        <v>259</v>
      </c>
      <c r="B83" s="68">
        <v>46151606</v>
      </c>
      <c r="C83" s="83" t="s">
        <v>222</v>
      </c>
    </row>
    <row r="84" spans="1:3">
      <c r="A84" s="49" t="s">
        <v>240</v>
      </c>
      <c r="B84" s="68">
        <v>73141715</v>
      </c>
      <c r="C84" s="83" t="s">
        <v>594</v>
      </c>
    </row>
    <row r="85" spans="1:3">
      <c r="A85" s="49" t="s">
        <v>240</v>
      </c>
      <c r="B85" s="68">
        <v>73141715</v>
      </c>
      <c r="C85" s="83" t="s">
        <v>233</v>
      </c>
    </row>
    <row r="86" spans="1:3">
      <c r="A86" s="49" t="s">
        <v>240</v>
      </c>
      <c r="B86" s="68">
        <v>73141715</v>
      </c>
      <c r="C86" s="83" t="s">
        <v>238</v>
      </c>
    </row>
    <row r="87" spans="1:3">
      <c r="A87" s="49" t="s">
        <v>240</v>
      </c>
      <c r="B87" s="68">
        <v>73141715</v>
      </c>
      <c r="C87" s="83" t="s">
        <v>257</v>
      </c>
    </row>
    <row r="88" spans="1:3">
      <c r="A88" s="49" t="s">
        <v>282</v>
      </c>
      <c r="B88" s="68">
        <v>42171917</v>
      </c>
      <c r="C88" s="83" t="s">
        <v>224</v>
      </c>
    </row>
    <row r="89" spans="1:3">
      <c r="A89" s="49" t="s">
        <v>283</v>
      </c>
      <c r="B89" s="68">
        <v>14111605</v>
      </c>
      <c r="C89" s="83" t="s">
        <v>238</v>
      </c>
    </row>
    <row r="90" spans="1:3">
      <c r="A90" s="49" t="s">
        <v>284</v>
      </c>
      <c r="B90" s="68">
        <v>72102905</v>
      </c>
      <c r="C90" s="83" t="s">
        <v>214</v>
      </c>
    </row>
    <row r="91" spans="1:3">
      <c r="A91" s="49" t="s">
        <v>284</v>
      </c>
      <c r="B91" s="68">
        <v>72102905</v>
      </c>
      <c r="C91" s="83" t="s">
        <v>216</v>
      </c>
    </row>
    <row r="92" spans="1:3">
      <c r="A92" s="49" t="s">
        <v>284</v>
      </c>
      <c r="B92" s="68">
        <v>72102905</v>
      </c>
      <c r="C92" s="83" t="s">
        <v>220</v>
      </c>
    </row>
    <row r="93" spans="1:3">
      <c r="A93" s="49" t="s">
        <v>284</v>
      </c>
      <c r="B93" s="68">
        <v>72102905</v>
      </c>
      <c r="C93" s="83" t="s">
        <v>222</v>
      </c>
    </row>
    <row r="94" spans="1:3">
      <c r="A94" s="49" t="s">
        <v>284</v>
      </c>
      <c r="B94" s="68">
        <v>72102905</v>
      </c>
      <c r="C94" s="83" t="s">
        <v>223</v>
      </c>
    </row>
    <row r="95" spans="1:3">
      <c r="A95" s="49" t="s">
        <v>284</v>
      </c>
      <c r="B95" s="68">
        <v>72102905</v>
      </c>
      <c r="C95" s="83" t="s">
        <v>225</v>
      </c>
    </row>
    <row r="96" spans="1:3">
      <c r="A96" s="49" t="s">
        <v>284</v>
      </c>
      <c r="B96" s="68">
        <v>72102905</v>
      </c>
      <c r="C96" s="83" t="s">
        <v>238</v>
      </c>
    </row>
    <row r="97" spans="1:3">
      <c r="A97" s="49" t="s">
        <v>284</v>
      </c>
      <c r="B97" s="68">
        <v>72102905</v>
      </c>
      <c r="C97" s="83" t="s">
        <v>273</v>
      </c>
    </row>
    <row r="98" spans="1:3">
      <c r="A98" s="49" t="s">
        <v>284</v>
      </c>
      <c r="B98" s="68">
        <v>72102905</v>
      </c>
      <c r="C98" s="83" t="s">
        <v>608</v>
      </c>
    </row>
    <row r="99" spans="1:3">
      <c r="A99" s="49" t="s">
        <v>284</v>
      </c>
      <c r="B99" s="68">
        <v>72102905</v>
      </c>
      <c r="C99" s="83" t="s">
        <v>274</v>
      </c>
    </row>
    <row r="100" spans="1:3">
      <c r="A100" s="49" t="s">
        <v>284</v>
      </c>
      <c r="B100" s="68">
        <v>72102905</v>
      </c>
      <c r="C100" s="83" t="s">
        <v>228</v>
      </c>
    </row>
    <row r="101" spans="1:3">
      <c r="A101" s="49" t="s">
        <v>284</v>
      </c>
      <c r="B101" s="68">
        <v>72102905</v>
      </c>
      <c r="C101" s="83" t="s">
        <v>229</v>
      </c>
    </row>
    <row r="102" spans="1:3">
      <c r="A102" s="49" t="s">
        <v>284</v>
      </c>
      <c r="B102" s="68">
        <v>72102905</v>
      </c>
      <c r="C102" s="83" t="s">
        <v>281</v>
      </c>
    </row>
    <row r="103" spans="1:3">
      <c r="A103" s="49" t="s">
        <v>241</v>
      </c>
      <c r="B103" s="68">
        <v>82121500</v>
      </c>
      <c r="C103" s="83" t="s">
        <v>594</v>
      </c>
    </row>
    <row r="104" spans="1:3">
      <c r="A104" s="49" t="s">
        <v>241</v>
      </c>
      <c r="B104" s="68">
        <v>82121500</v>
      </c>
      <c r="C104" s="83" t="s">
        <v>257</v>
      </c>
    </row>
    <row r="105" spans="1:3">
      <c r="A105" s="49" t="s">
        <v>242</v>
      </c>
      <c r="B105" s="68">
        <v>82121500</v>
      </c>
      <c r="C105" s="83" t="s">
        <v>594</v>
      </c>
    </row>
    <row r="106" spans="1:3">
      <c r="A106" s="49" t="s">
        <v>242</v>
      </c>
      <c r="B106" s="68">
        <v>82121500</v>
      </c>
      <c r="C106" s="83" t="s">
        <v>231</v>
      </c>
    </row>
    <row r="107" spans="1:3">
      <c r="A107" s="49" t="s">
        <v>285</v>
      </c>
      <c r="B107" s="68">
        <v>72102905</v>
      </c>
      <c r="C107" s="83" t="s">
        <v>214</v>
      </c>
    </row>
    <row r="108" spans="1:3">
      <c r="A108" s="49" t="s">
        <v>285</v>
      </c>
      <c r="B108" s="68">
        <v>72102905</v>
      </c>
      <c r="C108" s="83" t="s">
        <v>216</v>
      </c>
    </row>
    <row r="109" spans="1:3">
      <c r="A109" s="49" t="s">
        <v>285</v>
      </c>
      <c r="B109" s="68">
        <v>72102905</v>
      </c>
      <c r="C109" s="83" t="s">
        <v>220</v>
      </c>
    </row>
    <row r="110" spans="1:3">
      <c r="A110" s="49" t="s">
        <v>285</v>
      </c>
      <c r="B110" s="68">
        <v>72102905</v>
      </c>
      <c r="C110" s="83" t="s">
        <v>222</v>
      </c>
    </row>
    <row r="111" spans="1:3">
      <c r="A111" s="49" t="s">
        <v>285</v>
      </c>
      <c r="B111" s="68">
        <v>72102905</v>
      </c>
      <c r="C111" s="83" t="s">
        <v>223</v>
      </c>
    </row>
    <row r="112" spans="1:3">
      <c r="A112" s="49" t="s">
        <v>285</v>
      </c>
      <c r="B112" s="68">
        <v>72102905</v>
      </c>
      <c r="C112" s="83" t="s">
        <v>225</v>
      </c>
    </row>
    <row r="113" spans="1:3">
      <c r="A113" s="49" t="s">
        <v>285</v>
      </c>
      <c r="B113" s="68">
        <v>72102905</v>
      </c>
      <c r="C113" s="83" t="s">
        <v>238</v>
      </c>
    </row>
    <row r="114" spans="1:3">
      <c r="A114" s="49" t="s">
        <v>285</v>
      </c>
      <c r="B114" s="68">
        <v>72102905</v>
      </c>
      <c r="C114" s="83" t="s">
        <v>273</v>
      </c>
    </row>
    <row r="115" spans="1:3">
      <c r="A115" s="49" t="s">
        <v>285</v>
      </c>
      <c r="B115" s="68">
        <v>72102905</v>
      </c>
      <c r="C115" s="83" t="s">
        <v>608</v>
      </c>
    </row>
    <row r="116" spans="1:3">
      <c r="A116" s="49" t="s">
        <v>285</v>
      </c>
      <c r="B116" s="68">
        <v>72102905</v>
      </c>
      <c r="C116" s="83" t="s">
        <v>274</v>
      </c>
    </row>
    <row r="117" spans="1:3">
      <c r="A117" s="49" t="s">
        <v>285</v>
      </c>
      <c r="B117" s="68">
        <v>72102905</v>
      </c>
      <c r="C117" s="83" t="s">
        <v>228</v>
      </c>
    </row>
    <row r="118" spans="1:3">
      <c r="A118" s="49" t="s">
        <v>285</v>
      </c>
      <c r="B118" s="68">
        <v>72102905</v>
      </c>
      <c r="C118" s="83" t="s">
        <v>229</v>
      </c>
    </row>
    <row r="119" spans="1:3">
      <c r="A119" s="49" t="s">
        <v>285</v>
      </c>
      <c r="B119" s="68">
        <v>72102905</v>
      </c>
      <c r="C119" s="83" t="s">
        <v>281</v>
      </c>
    </row>
    <row r="120" spans="1:3">
      <c r="A120" s="49" t="s">
        <v>262</v>
      </c>
      <c r="B120" s="68">
        <v>76121505</v>
      </c>
      <c r="C120" s="83" t="s">
        <v>211</v>
      </c>
    </row>
    <row r="121" spans="1:3">
      <c r="A121" s="49" t="s">
        <v>262</v>
      </c>
      <c r="B121" s="68">
        <v>76121505</v>
      </c>
      <c r="C121" s="83" t="s">
        <v>221</v>
      </c>
    </row>
    <row r="122" spans="1:3">
      <c r="A122" s="49" t="s">
        <v>262</v>
      </c>
      <c r="B122" s="68">
        <v>76121505</v>
      </c>
      <c r="C122" s="83" t="s">
        <v>263</v>
      </c>
    </row>
    <row r="123" spans="1:3">
      <c r="A123" s="49" t="s">
        <v>262</v>
      </c>
      <c r="B123" s="68">
        <v>76121505</v>
      </c>
      <c r="C123" s="83" t="s">
        <v>223</v>
      </c>
    </row>
    <row r="124" spans="1:3">
      <c r="A124" s="49" t="s">
        <v>262</v>
      </c>
      <c r="B124" s="68">
        <v>76121505</v>
      </c>
      <c r="C124" s="83" t="s">
        <v>225</v>
      </c>
    </row>
    <row r="125" spans="1:3">
      <c r="A125" s="49" t="s">
        <v>262</v>
      </c>
      <c r="B125" s="68">
        <v>76121505</v>
      </c>
      <c r="C125" s="83" t="s">
        <v>238</v>
      </c>
    </row>
    <row r="126" spans="1:3">
      <c r="A126" s="49" t="s">
        <v>262</v>
      </c>
      <c r="B126" s="68">
        <v>76121505</v>
      </c>
      <c r="C126" s="83" t="s">
        <v>273</v>
      </c>
    </row>
    <row r="127" spans="1:3">
      <c r="A127" s="49" t="s">
        <v>262</v>
      </c>
      <c r="B127" s="68">
        <v>76121505</v>
      </c>
      <c r="C127" s="83" t="s">
        <v>274</v>
      </c>
    </row>
    <row r="128" spans="1:3">
      <c r="A128" s="49" t="s">
        <v>262</v>
      </c>
      <c r="B128" s="68">
        <v>76121505</v>
      </c>
      <c r="C128" s="83" t="s">
        <v>229</v>
      </c>
    </row>
    <row r="129" spans="1:3">
      <c r="A129" s="49" t="s">
        <v>262</v>
      </c>
      <c r="B129" s="68">
        <v>76121505</v>
      </c>
      <c r="C129" s="83" t="s">
        <v>230</v>
      </c>
    </row>
    <row r="130" spans="1:3">
      <c r="A130" s="49" t="s">
        <v>286</v>
      </c>
      <c r="B130" s="69">
        <v>73181000</v>
      </c>
      <c r="C130" s="83" t="s">
        <v>224</v>
      </c>
    </row>
    <row r="131" spans="1:3">
      <c r="A131" s="49" t="s">
        <v>243</v>
      </c>
      <c r="B131" s="68">
        <v>80141800</v>
      </c>
      <c r="C131" s="83" t="s">
        <v>211</v>
      </c>
    </row>
    <row r="132" spans="1:3">
      <c r="A132" s="49" t="s">
        <v>243</v>
      </c>
      <c r="B132" s="68">
        <v>80141800</v>
      </c>
      <c r="C132" s="83" t="s">
        <v>594</v>
      </c>
    </row>
    <row r="133" spans="1:3">
      <c r="A133" s="49" t="s">
        <v>243</v>
      </c>
      <c r="B133" s="68">
        <v>80141800</v>
      </c>
      <c r="C133" s="83" t="s">
        <v>233</v>
      </c>
    </row>
    <row r="134" spans="1:3">
      <c r="A134" s="49" t="s">
        <v>243</v>
      </c>
      <c r="B134" s="68">
        <v>80141800</v>
      </c>
      <c r="C134" s="83" t="s">
        <v>270</v>
      </c>
    </row>
    <row r="135" spans="1:3">
      <c r="A135" s="49" t="s">
        <v>243</v>
      </c>
      <c r="B135" s="68">
        <v>80141800</v>
      </c>
      <c r="C135" s="83" t="s">
        <v>220</v>
      </c>
    </row>
    <row r="136" spans="1:3">
      <c r="A136" s="49" t="s">
        <v>243</v>
      </c>
      <c r="B136" s="68">
        <v>80141800</v>
      </c>
      <c r="C136" s="83" t="s">
        <v>222</v>
      </c>
    </row>
    <row r="137" spans="1:3">
      <c r="A137" s="49" t="s">
        <v>243</v>
      </c>
      <c r="B137" s="68">
        <v>80141800</v>
      </c>
      <c r="C137" s="83" t="s">
        <v>223</v>
      </c>
    </row>
    <row r="138" spans="1:3">
      <c r="A138" s="49" t="s">
        <v>243</v>
      </c>
      <c r="B138" s="68">
        <v>80141800</v>
      </c>
      <c r="C138" s="83" t="s">
        <v>238</v>
      </c>
    </row>
    <row r="139" spans="1:3">
      <c r="A139" s="49" t="s">
        <v>243</v>
      </c>
      <c r="B139" s="68">
        <v>80141800</v>
      </c>
      <c r="C139" s="83" t="s">
        <v>273</v>
      </c>
    </row>
    <row r="140" spans="1:3">
      <c r="A140" s="49" t="s">
        <v>243</v>
      </c>
      <c r="B140" s="68">
        <v>80141800</v>
      </c>
      <c r="C140" s="83" t="s">
        <v>281</v>
      </c>
    </row>
    <row r="141" spans="1:3">
      <c r="A141" s="49" t="s">
        <v>244</v>
      </c>
      <c r="B141" s="68">
        <v>49101701</v>
      </c>
      <c r="C141" s="83" t="s">
        <v>594</v>
      </c>
    </row>
    <row r="142" spans="1:3">
      <c r="A142" s="49" t="s">
        <v>244</v>
      </c>
      <c r="B142" s="68">
        <v>49101701</v>
      </c>
      <c r="C142" s="83" t="s">
        <v>233</v>
      </c>
    </row>
    <row r="143" spans="1:3">
      <c r="A143" s="49" t="s">
        <v>244</v>
      </c>
      <c r="B143" s="68">
        <v>49101701</v>
      </c>
      <c r="C143" s="83" t="s">
        <v>231</v>
      </c>
    </row>
    <row r="144" spans="1:3">
      <c r="A144" s="49" t="s">
        <v>287</v>
      </c>
      <c r="B144" s="68">
        <v>31132002</v>
      </c>
      <c r="C144" s="83" t="s">
        <v>224</v>
      </c>
    </row>
    <row r="145" spans="1:3">
      <c r="A145" s="49" t="s">
        <v>288</v>
      </c>
      <c r="B145" s="68">
        <v>49101700</v>
      </c>
      <c r="C145" s="83" t="s">
        <v>233</v>
      </c>
    </row>
    <row r="146" spans="1:3">
      <c r="A146" s="49" t="s">
        <v>288</v>
      </c>
      <c r="B146" s="68">
        <v>49101700</v>
      </c>
      <c r="C146" s="83" t="s">
        <v>231</v>
      </c>
    </row>
    <row r="147" spans="1:3">
      <c r="A147" s="49" t="s">
        <v>289</v>
      </c>
      <c r="B147" s="68">
        <v>60101717</v>
      </c>
      <c r="C147" s="83" t="s">
        <v>231</v>
      </c>
    </row>
    <row r="148" spans="1:3">
      <c r="A148" s="49" t="s">
        <v>245</v>
      </c>
      <c r="B148" s="68">
        <v>52121602</v>
      </c>
      <c r="C148" s="83" t="s">
        <v>594</v>
      </c>
    </row>
    <row r="149" spans="1:3">
      <c r="A149" s="49" t="s">
        <v>245</v>
      </c>
      <c r="B149" s="68">
        <v>52121602</v>
      </c>
      <c r="C149" s="83" t="s">
        <v>271</v>
      </c>
    </row>
    <row r="150" spans="1:3">
      <c r="A150" s="49" t="s">
        <v>245</v>
      </c>
      <c r="B150" s="68">
        <v>52121602</v>
      </c>
      <c r="C150" s="83" t="s">
        <v>238</v>
      </c>
    </row>
    <row r="151" spans="1:3">
      <c r="A151" s="49" t="s">
        <v>290</v>
      </c>
      <c r="B151" s="68">
        <v>53102606</v>
      </c>
      <c r="C151" s="83" t="s">
        <v>220</v>
      </c>
    </row>
    <row r="152" spans="1:3">
      <c r="A152" s="49" t="s">
        <v>246</v>
      </c>
      <c r="B152" s="68">
        <v>73151600</v>
      </c>
      <c r="C152" s="83" t="s">
        <v>664</v>
      </c>
    </row>
    <row r="153" spans="1:3">
      <c r="A153" s="49" t="s">
        <v>246</v>
      </c>
      <c r="B153" s="68">
        <v>73151600</v>
      </c>
      <c r="C153" s="83" t="s">
        <v>211</v>
      </c>
    </row>
    <row r="154" spans="1:3">
      <c r="A154" s="49" t="s">
        <v>246</v>
      </c>
      <c r="B154" s="68">
        <v>73151600</v>
      </c>
      <c r="C154" s="83" t="s">
        <v>594</v>
      </c>
    </row>
    <row r="155" spans="1:3">
      <c r="A155" s="49" t="s">
        <v>246</v>
      </c>
      <c r="B155" s="68">
        <v>73151600</v>
      </c>
      <c r="C155" s="83" t="s">
        <v>233</v>
      </c>
    </row>
    <row r="156" spans="1:3">
      <c r="A156" s="49" t="s">
        <v>246</v>
      </c>
      <c r="B156" s="68">
        <v>73151600</v>
      </c>
      <c r="C156" s="83" t="s">
        <v>212</v>
      </c>
    </row>
    <row r="157" spans="1:3">
      <c r="A157" s="49" t="s">
        <v>246</v>
      </c>
      <c r="B157" s="68">
        <v>73151600</v>
      </c>
      <c r="C157" s="83" t="s">
        <v>271</v>
      </c>
    </row>
    <row r="158" spans="1:3">
      <c r="A158" s="49" t="s">
        <v>246</v>
      </c>
      <c r="B158" s="68">
        <v>73151600</v>
      </c>
      <c r="C158" s="83" t="s">
        <v>213</v>
      </c>
    </row>
    <row r="159" spans="1:3">
      <c r="A159" s="49" t="s">
        <v>246</v>
      </c>
      <c r="B159" s="68">
        <v>73151600</v>
      </c>
      <c r="C159" s="83" t="s">
        <v>214</v>
      </c>
    </row>
    <row r="160" spans="1:3">
      <c r="A160" s="49" t="s">
        <v>246</v>
      </c>
      <c r="B160" s="68">
        <v>73151600</v>
      </c>
      <c r="C160" s="83" t="s">
        <v>216</v>
      </c>
    </row>
    <row r="161" spans="1:3">
      <c r="A161" s="49" t="s">
        <v>246</v>
      </c>
      <c r="B161" s="68">
        <v>73151600</v>
      </c>
      <c r="C161" s="83" t="s">
        <v>217</v>
      </c>
    </row>
    <row r="162" spans="1:3">
      <c r="A162" s="49" t="s">
        <v>246</v>
      </c>
      <c r="B162" s="68">
        <v>73151600</v>
      </c>
      <c r="C162" s="83" t="s">
        <v>219</v>
      </c>
    </row>
    <row r="163" spans="1:3">
      <c r="A163" s="49" t="s">
        <v>246</v>
      </c>
      <c r="B163" s="68">
        <v>73151600</v>
      </c>
      <c r="C163" s="83" t="s">
        <v>220</v>
      </c>
    </row>
    <row r="164" spans="1:3">
      <c r="A164" s="49" t="s">
        <v>246</v>
      </c>
      <c r="B164" s="68">
        <v>73151600</v>
      </c>
      <c r="C164" s="83" t="s">
        <v>222</v>
      </c>
    </row>
    <row r="165" spans="1:3">
      <c r="A165" s="49" t="s">
        <v>246</v>
      </c>
      <c r="B165" s="68">
        <v>73151600</v>
      </c>
      <c r="C165" s="83" t="s">
        <v>609</v>
      </c>
    </row>
    <row r="166" spans="1:3">
      <c r="A166" s="49" t="s">
        <v>246</v>
      </c>
      <c r="B166" s="68">
        <v>73151600</v>
      </c>
      <c r="C166" s="83" t="s">
        <v>263</v>
      </c>
    </row>
    <row r="167" spans="1:3">
      <c r="A167" s="49" t="s">
        <v>246</v>
      </c>
      <c r="B167" s="68">
        <v>73151600</v>
      </c>
      <c r="C167" s="83" t="s">
        <v>223</v>
      </c>
    </row>
    <row r="168" spans="1:3">
      <c r="A168" s="49" t="s">
        <v>246</v>
      </c>
      <c r="B168" s="68">
        <v>73151600</v>
      </c>
      <c r="C168" s="83" t="s">
        <v>224</v>
      </c>
    </row>
    <row r="169" spans="1:3">
      <c r="A169" s="49" t="s">
        <v>246</v>
      </c>
      <c r="B169" s="68">
        <v>73151600</v>
      </c>
      <c r="C169" s="83" t="s">
        <v>225</v>
      </c>
    </row>
    <row r="170" spans="1:3">
      <c r="A170" s="49" t="s">
        <v>246</v>
      </c>
      <c r="B170" s="68">
        <v>73151600</v>
      </c>
      <c r="C170" s="83" t="s">
        <v>273</v>
      </c>
    </row>
    <row r="171" spans="1:3">
      <c r="A171" s="49" t="s">
        <v>246</v>
      </c>
      <c r="B171" s="68">
        <v>73151600</v>
      </c>
      <c r="C171" s="83" t="s">
        <v>274</v>
      </c>
    </row>
    <row r="172" spans="1:3">
      <c r="A172" s="49" t="s">
        <v>246</v>
      </c>
      <c r="B172" s="68">
        <v>73151600</v>
      </c>
      <c r="C172" s="83" t="s">
        <v>257</v>
      </c>
    </row>
    <row r="173" spans="1:3">
      <c r="A173" s="49" t="s">
        <v>246</v>
      </c>
      <c r="B173" s="68">
        <v>73151600</v>
      </c>
      <c r="C173" s="83" t="s">
        <v>226</v>
      </c>
    </row>
    <row r="174" spans="1:3">
      <c r="A174" s="49" t="s">
        <v>246</v>
      </c>
      <c r="B174" s="68">
        <v>73151600</v>
      </c>
      <c r="C174" s="83" t="s">
        <v>227</v>
      </c>
    </row>
    <row r="175" spans="1:3">
      <c r="A175" s="49" t="s">
        <v>246</v>
      </c>
      <c r="B175" s="68">
        <v>73151600</v>
      </c>
      <c r="C175" s="83" t="s">
        <v>229</v>
      </c>
    </row>
    <row r="176" spans="1:3">
      <c r="A176" s="49" t="s">
        <v>246</v>
      </c>
      <c r="B176" s="68">
        <v>73151600</v>
      </c>
      <c r="C176" s="83" t="s">
        <v>210</v>
      </c>
    </row>
    <row r="177" spans="1:3">
      <c r="A177" s="49" t="s">
        <v>246</v>
      </c>
      <c r="B177" s="68">
        <v>73151600</v>
      </c>
      <c r="C177" s="83" t="s">
        <v>281</v>
      </c>
    </row>
    <row r="178" spans="1:3">
      <c r="A178" s="49" t="s">
        <v>246</v>
      </c>
      <c r="B178" s="68">
        <v>73151600</v>
      </c>
      <c r="C178" s="83" t="s">
        <v>230</v>
      </c>
    </row>
    <row r="179" spans="1:3">
      <c r="A179" s="49" t="s">
        <v>291</v>
      </c>
      <c r="B179" s="68">
        <v>60122503</v>
      </c>
      <c r="C179" s="83" t="s">
        <v>220</v>
      </c>
    </row>
    <row r="180" spans="1:3">
      <c r="A180" s="49" t="s">
        <v>247</v>
      </c>
      <c r="B180" s="68">
        <v>80161508</v>
      </c>
      <c r="C180" s="83" t="s">
        <v>664</v>
      </c>
    </row>
    <row r="181" spans="1:3">
      <c r="A181" s="49" t="s">
        <v>247</v>
      </c>
      <c r="B181" s="68">
        <v>80161508</v>
      </c>
      <c r="C181" s="83" t="s">
        <v>594</v>
      </c>
    </row>
    <row r="182" spans="1:3">
      <c r="A182" s="49" t="s">
        <v>247</v>
      </c>
      <c r="B182" s="68">
        <v>80161508</v>
      </c>
      <c r="C182" s="83" t="s">
        <v>233</v>
      </c>
    </row>
    <row r="183" spans="1:3">
      <c r="A183" s="49" t="s">
        <v>247</v>
      </c>
      <c r="B183" s="68">
        <v>80161508</v>
      </c>
      <c r="C183" s="83" t="s">
        <v>270</v>
      </c>
    </row>
    <row r="184" spans="1:3">
      <c r="A184" s="49" t="s">
        <v>247</v>
      </c>
      <c r="B184" s="68">
        <v>80161508</v>
      </c>
      <c r="C184" s="83" t="s">
        <v>271</v>
      </c>
    </row>
    <row r="185" spans="1:3">
      <c r="A185" s="49" t="s">
        <v>247</v>
      </c>
      <c r="B185" s="68">
        <v>80161508</v>
      </c>
      <c r="C185" s="83" t="s">
        <v>231</v>
      </c>
    </row>
    <row r="186" spans="1:3">
      <c r="A186" s="49" t="s">
        <v>247</v>
      </c>
      <c r="B186" s="68">
        <v>80161508</v>
      </c>
      <c r="C186" s="83" t="s">
        <v>214</v>
      </c>
    </row>
    <row r="187" spans="1:3">
      <c r="A187" s="49" t="s">
        <v>247</v>
      </c>
      <c r="B187" s="68">
        <v>80161508</v>
      </c>
      <c r="C187" s="83" t="s">
        <v>216</v>
      </c>
    </row>
    <row r="188" spans="1:3">
      <c r="A188" s="49" t="s">
        <v>247</v>
      </c>
      <c r="B188" s="68">
        <v>80161508</v>
      </c>
      <c r="C188" s="83" t="s">
        <v>217</v>
      </c>
    </row>
    <row r="189" spans="1:3">
      <c r="A189" s="49" t="s">
        <v>247</v>
      </c>
      <c r="B189" s="68">
        <v>80161508</v>
      </c>
      <c r="C189" s="83" t="s">
        <v>219</v>
      </c>
    </row>
    <row r="190" spans="1:3">
      <c r="A190" s="49" t="s">
        <v>247</v>
      </c>
      <c r="B190" s="68">
        <v>80161508</v>
      </c>
      <c r="C190" s="83" t="s">
        <v>221</v>
      </c>
    </row>
    <row r="191" spans="1:3">
      <c r="A191" s="49" t="s">
        <v>247</v>
      </c>
      <c r="B191" s="68">
        <v>80161508</v>
      </c>
      <c r="C191" s="83" t="s">
        <v>223</v>
      </c>
    </row>
    <row r="192" spans="1:3">
      <c r="A192" s="49" t="s">
        <v>247</v>
      </c>
      <c r="B192" s="68">
        <v>80161508</v>
      </c>
      <c r="C192" s="83" t="s">
        <v>225</v>
      </c>
    </row>
    <row r="193" spans="1:3">
      <c r="A193" s="49" t="s">
        <v>247</v>
      </c>
      <c r="B193" s="68">
        <v>80161508</v>
      </c>
      <c r="C193" s="83" t="s">
        <v>238</v>
      </c>
    </row>
    <row r="194" spans="1:3">
      <c r="A194" s="49" t="s">
        <v>247</v>
      </c>
      <c r="B194" s="68">
        <v>80161508</v>
      </c>
      <c r="C194" s="83" t="s">
        <v>272</v>
      </c>
    </row>
    <row r="195" spans="1:3">
      <c r="A195" s="49" t="s">
        <v>247</v>
      </c>
      <c r="B195" s="68">
        <v>80161508</v>
      </c>
      <c r="C195" s="83" t="s">
        <v>273</v>
      </c>
    </row>
    <row r="196" spans="1:3">
      <c r="A196" s="49" t="s">
        <v>247</v>
      </c>
      <c r="B196" s="68">
        <v>80161508</v>
      </c>
      <c r="C196" s="83" t="s">
        <v>274</v>
      </c>
    </row>
    <row r="197" spans="1:3">
      <c r="A197" s="49" t="s">
        <v>247</v>
      </c>
      <c r="B197" s="68">
        <v>80161508</v>
      </c>
      <c r="C197" s="83" t="s">
        <v>257</v>
      </c>
    </row>
    <row r="198" spans="1:3">
      <c r="A198" s="49" t="s">
        <v>247</v>
      </c>
      <c r="B198" s="68">
        <v>80161508</v>
      </c>
      <c r="C198" s="83" t="s">
        <v>227</v>
      </c>
    </row>
    <row r="199" spans="1:3">
      <c r="A199" s="49" t="s">
        <v>247</v>
      </c>
      <c r="B199" s="68">
        <v>80161508</v>
      </c>
      <c r="C199" s="83" t="s">
        <v>229</v>
      </c>
    </row>
    <row r="200" spans="1:3">
      <c r="A200" s="49" t="s">
        <v>247</v>
      </c>
      <c r="B200" s="68">
        <v>80161508</v>
      </c>
      <c r="C200" s="83" t="s">
        <v>210</v>
      </c>
    </row>
    <row r="201" spans="1:3">
      <c r="A201" s="49" t="s">
        <v>247</v>
      </c>
      <c r="B201" s="68">
        <v>80161508</v>
      </c>
      <c r="C201" s="83" t="s">
        <v>281</v>
      </c>
    </row>
    <row r="202" spans="1:3">
      <c r="A202" s="49" t="s">
        <v>292</v>
      </c>
      <c r="B202" s="68">
        <v>82130000</v>
      </c>
      <c r="C202" s="83" t="s">
        <v>231</v>
      </c>
    </row>
    <row r="203" spans="1:3">
      <c r="A203" s="49" t="s">
        <v>293</v>
      </c>
      <c r="B203" s="68">
        <v>52121512</v>
      </c>
      <c r="C203" s="83" t="s">
        <v>232</v>
      </c>
    </row>
    <row r="204" spans="1:3">
      <c r="A204" s="49" t="s">
        <v>293</v>
      </c>
      <c r="B204" s="68">
        <v>52121512</v>
      </c>
      <c r="C204" s="83" t="s">
        <v>220</v>
      </c>
    </row>
    <row r="205" spans="1:3">
      <c r="A205" s="49" t="s">
        <v>294</v>
      </c>
      <c r="B205" s="68">
        <v>52121505</v>
      </c>
      <c r="C205" s="83" t="s">
        <v>232</v>
      </c>
    </row>
    <row r="206" spans="1:3">
      <c r="A206" s="49" t="s">
        <v>294</v>
      </c>
      <c r="B206" s="68">
        <v>52121505</v>
      </c>
      <c r="C206" s="83" t="s">
        <v>220</v>
      </c>
    </row>
    <row r="207" spans="1:3">
      <c r="A207" s="49" t="s">
        <v>295</v>
      </c>
      <c r="B207" s="68">
        <v>42141705</v>
      </c>
      <c r="C207" s="83" t="s">
        <v>232</v>
      </c>
    </row>
    <row r="208" spans="1:3">
      <c r="A208" s="49" t="s">
        <v>295</v>
      </c>
      <c r="B208" s="68">
        <v>42141705</v>
      </c>
      <c r="C208" s="83" t="s">
        <v>220</v>
      </c>
    </row>
    <row r="209" spans="1:3">
      <c r="A209" s="49" t="s">
        <v>248</v>
      </c>
      <c r="B209" s="68">
        <v>49101704</v>
      </c>
      <c r="C209" s="83" t="s">
        <v>594</v>
      </c>
    </row>
    <row r="210" spans="1:3">
      <c r="A210" s="49" t="s">
        <v>248</v>
      </c>
      <c r="B210" s="68">
        <v>49101704</v>
      </c>
      <c r="C210" s="83" t="s">
        <v>233</v>
      </c>
    </row>
    <row r="211" spans="1:3">
      <c r="A211" s="49" t="s">
        <v>248</v>
      </c>
      <c r="B211" s="68">
        <v>49101704</v>
      </c>
      <c r="C211" s="83" t="s">
        <v>231</v>
      </c>
    </row>
    <row r="212" spans="1:3">
      <c r="A212" s="49" t="s">
        <v>296</v>
      </c>
      <c r="B212" s="69">
        <v>73181000</v>
      </c>
      <c r="C212" s="83" t="s">
        <v>224</v>
      </c>
    </row>
    <row r="213" spans="1:3">
      <c r="A213" s="49" t="s">
        <v>297</v>
      </c>
      <c r="B213" s="68">
        <v>81112306</v>
      </c>
      <c r="C213" s="83" t="s">
        <v>231</v>
      </c>
    </row>
    <row r="214" spans="1:3">
      <c r="A214" s="49" t="s">
        <v>234</v>
      </c>
      <c r="B214" s="68">
        <v>82121500</v>
      </c>
      <c r="C214" s="83" t="s">
        <v>594</v>
      </c>
    </row>
    <row r="215" spans="1:3">
      <c r="A215" s="49" t="s">
        <v>234</v>
      </c>
      <c r="B215" s="68">
        <v>82121500</v>
      </c>
      <c r="C215" s="83" t="s">
        <v>595</v>
      </c>
    </row>
    <row r="216" spans="1:3">
      <c r="A216" s="49" t="s">
        <v>234</v>
      </c>
      <c r="B216" s="68">
        <v>82121500</v>
      </c>
      <c r="C216" s="83" t="s">
        <v>238</v>
      </c>
    </row>
    <row r="217" spans="1:3">
      <c r="A217" s="49" t="s">
        <v>249</v>
      </c>
      <c r="B217" s="68">
        <v>80141605</v>
      </c>
      <c r="C217" s="83" t="s">
        <v>664</v>
      </c>
    </row>
    <row r="218" spans="1:3">
      <c r="A218" s="49" t="s">
        <v>249</v>
      </c>
      <c r="B218" s="68">
        <v>80141605</v>
      </c>
      <c r="C218" s="83" t="s">
        <v>594</v>
      </c>
    </row>
    <row r="219" spans="1:3">
      <c r="A219" s="49" t="s">
        <v>249</v>
      </c>
      <c r="B219" s="68">
        <v>80141605</v>
      </c>
      <c r="C219" s="83" t="s">
        <v>233</v>
      </c>
    </row>
    <row r="220" spans="1:3">
      <c r="A220" s="49" t="s">
        <v>249</v>
      </c>
      <c r="B220" s="68">
        <v>80141605</v>
      </c>
      <c r="C220" s="83" t="s">
        <v>263</v>
      </c>
    </row>
    <row r="221" spans="1:3">
      <c r="A221" s="49" t="s">
        <v>249</v>
      </c>
      <c r="B221" s="68">
        <v>80141605</v>
      </c>
      <c r="C221" s="83" t="s">
        <v>223</v>
      </c>
    </row>
    <row r="222" spans="1:3">
      <c r="A222" s="49" t="s">
        <v>249</v>
      </c>
      <c r="B222" s="68">
        <v>80141605</v>
      </c>
      <c r="C222" s="83" t="s">
        <v>238</v>
      </c>
    </row>
    <row r="223" spans="1:3">
      <c r="A223" s="49" t="s">
        <v>249</v>
      </c>
      <c r="B223" s="68">
        <v>80141605</v>
      </c>
      <c r="C223" s="83" t="s">
        <v>257</v>
      </c>
    </row>
    <row r="224" spans="1:3">
      <c r="A224" s="49" t="s">
        <v>250</v>
      </c>
      <c r="B224" s="68">
        <v>76122300</v>
      </c>
      <c r="C224" s="83" t="s">
        <v>594</v>
      </c>
    </row>
    <row r="225" spans="1:3">
      <c r="A225" s="49" t="s">
        <v>250</v>
      </c>
      <c r="B225" s="68">
        <v>76122300</v>
      </c>
      <c r="C225" s="83" t="s">
        <v>595</v>
      </c>
    </row>
    <row r="226" spans="1:3">
      <c r="A226" s="49" t="s">
        <v>250</v>
      </c>
      <c r="B226" s="68">
        <v>76122300</v>
      </c>
      <c r="C226" s="83" t="s">
        <v>270</v>
      </c>
    </row>
    <row r="227" spans="1:3">
      <c r="A227" s="49" t="s">
        <v>250</v>
      </c>
      <c r="B227" s="68">
        <v>76122300</v>
      </c>
      <c r="C227" s="83" t="s">
        <v>271</v>
      </c>
    </row>
    <row r="228" spans="1:3">
      <c r="A228" s="49" t="s">
        <v>250</v>
      </c>
      <c r="B228" s="68">
        <v>76122300</v>
      </c>
      <c r="C228" s="83" t="s">
        <v>231</v>
      </c>
    </row>
    <row r="229" spans="1:3">
      <c r="A229" s="49" t="s">
        <v>250</v>
      </c>
      <c r="B229" s="68">
        <v>76122300</v>
      </c>
      <c r="C229" s="83" t="s">
        <v>214</v>
      </c>
    </row>
    <row r="230" spans="1:3">
      <c r="A230" s="49" t="s">
        <v>250</v>
      </c>
      <c r="B230" s="68">
        <v>76122300</v>
      </c>
      <c r="C230" s="83" t="s">
        <v>215</v>
      </c>
    </row>
    <row r="231" spans="1:3">
      <c r="A231" s="49" t="s">
        <v>250</v>
      </c>
      <c r="B231" s="68">
        <v>76122300</v>
      </c>
      <c r="C231" s="83" t="s">
        <v>216</v>
      </c>
    </row>
    <row r="232" spans="1:3">
      <c r="A232" s="49" t="s">
        <v>250</v>
      </c>
      <c r="B232" s="68">
        <v>76122300</v>
      </c>
      <c r="C232" s="83" t="s">
        <v>218</v>
      </c>
    </row>
    <row r="233" spans="1:3">
      <c r="A233" s="49" t="s">
        <v>250</v>
      </c>
      <c r="B233" s="68">
        <v>76122300</v>
      </c>
      <c r="C233" s="83" t="s">
        <v>219</v>
      </c>
    </row>
    <row r="234" spans="1:3">
      <c r="A234" s="49" t="s">
        <v>250</v>
      </c>
      <c r="B234" s="68">
        <v>76122300</v>
      </c>
      <c r="C234" s="83" t="s">
        <v>220</v>
      </c>
    </row>
    <row r="235" spans="1:3">
      <c r="A235" s="49" t="s">
        <v>250</v>
      </c>
      <c r="B235" s="68">
        <v>76122300</v>
      </c>
      <c r="C235" s="83" t="s">
        <v>221</v>
      </c>
    </row>
    <row r="236" spans="1:3">
      <c r="A236" s="49" t="s">
        <v>250</v>
      </c>
      <c r="B236" s="68">
        <v>76122300</v>
      </c>
      <c r="C236" s="83" t="s">
        <v>609</v>
      </c>
    </row>
    <row r="237" spans="1:3">
      <c r="A237" s="49" t="s">
        <v>250</v>
      </c>
      <c r="B237" s="68">
        <v>76122300</v>
      </c>
      <c r="C237" s="83" t="s">
        <v>223</v>
      </c>
    </row>
    <row r="238" spans="1:3">
      <c r="A238" s="49" t="s">
        <v>250</v>
      </c>
      <c r="B238" s="68">
        <v>76122300</v>
      </c>
      <c r="C238" s="83" t="s">
        <v>224</v>
      </c>
    </row>
    <row r="239" spans="1:3">
      <c r="A239" s="49" t="s">
        <v>250</v>
      </c>
      <c r="B239" s="68">
        <v>76122300</v>
      </c>
      <c r="C239" s="83" t="s">
        <v>238</v>
      </c>
    </row>
    <row r="240" spans="1:3">
      <c r="A240" s="49" t="s">
        <v>250</v>
      </c>
      <c r="B240" s="68">
        <v>76122300</v>
      </c>
      <c r="C240" s="83" t="s">
        <v>272</v>
      </c>
    </row>
    <row r="241" spans="1:3">
      <c r="A241" s="49" t="s">
        <v>250</v>
      </c>
      <c r="B241" s="68">
        <v>76122300</v>
      </c>
      <c r="C241" s="83" t="s">
        <v>273</v>
      </c>
    </row>
    <row r="242" spans="1:3">
      <c r="A242" s="49" t="s">
        <v>250</v>
      </c>
      <c r="B242" s="68">
        <v>76122300</v>
      </c>
      <c r="C242" s="83" t="s">
        <v>274</v>
      </c>
    </row>
    <row r="243" spans="1:3">
      <c r="A243" s="49" t="s">
        <v>250</v>
      </c>
      <c r="B243" s="68">
        <v>76122300</v>
      </c>
      <c r="C243" s="83" t="s">
        <v>227</v>
      </c>
    </row>
    <row r="244" spans="1:3">
      <c r="A244" s="49" t="s">
        <v>250</v>
      </c>
      <c r="B244" s="68">
        <v>76122300</v>
      </c>
      <c r="C244" s="83" t="s">
        <v>210</v>
      </c>
    </row>
    <row r="245" spans="1:3">
      <c r="A245" s="49" t="s">
        <v>250</v>
      </c>
      <c r="B245" s="68">
        <v>76122300</v>
      </c>
      <c r="C245" s="83" t="s">
        <v>281</v>
      </c>
    </row>
    <row r="246" spans="1:3">
      <c r="A246" s="49" t="s">
        <v>298</v>
      </c>
      <c r="B246" s="68">
        <v>46181500</v>
      </c>
      <c r="C246" s="83" t="s">
        <v>232</v>
      </c>
    </row>
    <row r="247" spans="1:3">
      <c r="A247" s="49" t="s">
        <v>299</v>
      </c>
      <c r="B247" s="68">
        <v>46181500</v>
      </c>
      <c r="C247" s="83" t="s">
        <v>232</v>
      </c>
    </row>
    <row r="248" spans="1:3">
      <c r="A248" s="49" t="s">
        <v>251</v>
      </c>
      <c r="B248" s="68">
        <v>73151903</v>
      </c>
      <c r="C248" s="83" t="s">
        <v>594</v>
      </c>
    </row>
    <row r="249" spans="1:3">
      <c r="A249" s="49" t="s">
        <v>251</v>
      </c>
      <c r="B249" s="68">
        <v>73151903</v>
      </c>
      <c r="C249" s="83" t="s">
        <v>233</v>
      </c>
    </row>
    <row r="250" spans="1:3">
      <c r="A250" s="49" t="s">
        <v>251</v>
      </c>
      <c r="B250" s="68">
        <v>73151903</v>
      </c>
      <c r="C250" s="83" t="s">
        <v>595</v>
      </c>
    </row>
    <row r="251" spans="1:3">
      <c r="A251" s="49" t="s">
        <v>251</v>
      </c>
      <c r="B251" s="68">
        <v>73151903</v>
      </c>
      <c r="C251" s="83" t="s">
        <v>238</v>
      </c>
    </row>
    <row r="252" spans="1:3">
      <c r="A252" s="49" t="s">
        <v>251</v>
      </c>
      <c r="B252" s="68">
        <v>73151903</v>
      </c>
      <c r="C252" s="83" t="s">
        <v>257</v>
      </c>
    </row>
    <row r="253" spans="1:3">
      <c r="A253" s="49" t="s">
        <v>252</v>
      </c>
      <c r="B253" s="68">
        <v>73151903</v>
      </c>
      <c r="C253" s="83" t="s">
        <v>594</v>
      </c>
    </row>
    <row r="254" spans="1:3">
      <c r="A254" s="49" t="s">
        <v>252</v>
      </c>
      <c r="B254" s="68">
        <v>73151903</v>
      </c>
      <c r="C254" s="83" t="s">
        <v>233</v>
      </c>
    </row>
    <row r="255" spans="1:3">
      <c r="A255" s="49" t="s">
        <v>252</v>
      </c>
      <c r="B255" s="68">
        <v>73151903</v>
      </c>
      <c r="C255" s="83" t="s">
        <v>595</v>
      </c>
    </row>
    <row r="256" spans="1:3">
      <c r="A256" s="49" t="s">
        <v>252</v>
      </c>
      <c r="B256" s="68">
        <v>73151903</v>
      </c>
      <c r="C256" s="83" t="s">
        <v>238</v>
      </c>
    </row>
    <row r="257" spans="1:3">
      <c r="A257" s="49" t="s">
        <v>252</v>
      </c>
      <c r="B257" s="68">
        <v>73151903</v>
      </c>
      <c r="C257" s="83" t="s">
        <v>257</v>
      </c>
    </row>
    <row r="258" spans="1:3">
      <c r="A258" s="49" t="s">
        <v>300</v>
      </c>
      <c r="B258" s="68">
        <v>52121508</v>
      </c>
      <c r="C258" s="83" t="s">
        <v>220</v>
      </c>
    </row>
    <row r="259" spans="1:3">
      <c r="A259" s="49" t="s">
        <v>253</v>
      </c>
      <c r="B259" s="68">
        <v>55121700</v>
      </c>
      <c r="C259" s="83" t="s">
        <v>594</v>
      </c>
    </row>
    <row r="260" spans="1:3">
      <c r="A260" s="49" t="s">
        <v>253</v>
      </c>
      <c r="B260" s="68">
        <v>55121700</v>
      </c>
      <c r="C260" s="83" t="s">
        <v>233</v>
      </c>
    </row>
    <row r="261" spans="1:3">
      <c r="A261" s="49" t="s">
        <v>253</v>
      </c>
      <c r="B261" s="68">
        <v>55121700</v>
      </c>
      <c r="C261" s="83" t="s">
        <v>231</v>
      </c>
    </row>
    <row r="262" spans="1:3">
      <c r="A262" s="49" t="s">
        <v>301</v>
      </c>
      <c r="B262" s="68">
        <v>53102606</v>
      </c>
      <c r="C262" s="83" t="s">
        <v>220</v>
      </c>
    </row>
    <row r="263" spans="1:3">
      <c r="A263" s="49" t="s">
        <v>302</v>
      </c>
      <c r="B263" s="68">
        <v>76121600</v>
      </c>
      <c r="C263" s="83" t="s">
        <v>225</v>
      </c>
    </row>
    <row r="264" spans="1:3">
      <c r="A264" s="49" t="s">
        <v>302</v>
      </c>
      <c r="B264" s="68">
        <v>76121600</v>
      </c>
      <c r="C264" s="83" t="s">
        <v>274</v>
      </c>
    </row>
    <row r="265" spans="1:3">
      <c r="A265" s="49" t="s">
        <v>302</v>
      </c>
      <c r="B265" s="68">
        <v>76121600</v>
      </c>
      <c r="C265" s="83" t="s">
        <v>229</v>
      </c>
    </row>
    <row r="266" spans="1:3">
      <c r="A266" s="49" t="s">
        <v>303</v>
      </c>
      <c r="B266" s="68">
        <v>53102513</v>
      </c>
      <c r="C266" s="83" t="s">
        <v>238</v>
      </c>
    </row>
    <row r="267" spans="1:3">
      <c r="A267" s="49" t="s">
        <v>254</v>
      </c>
      <c r="B267" s="68">
        <v>24111500</v>
      </c>
      <c r="C267" s="83" t="s">
        <v>232</v>
      </c>
    </row>
    <row r="268" spans="1:3">
      <c r="A268" s="49" t="s">
        <v>254</v>
      </c>
      <c r="B268" s="68">
        <v>24111500</v>
      </c>
      <c r="C268" s="83" t="s">
        <v>594</v>
      </c>
    </row>
    <row r="269" spans="1:3">
      <c r="A269" s="49" t="s">
        <v>254</v>
      </c>
      <c r="B269" s="68">
        <v>24111500</v>
      </c>
      <c r="C269" s="83" t="s">
        <v>233</v>
      </c>
    </row>
    <row r="270" spans="1:3">
      <c r="A270" s="49" t="s">
        <v>254</v>
      </c>
      <c r="B270" s="68">
        <v>24111500</v>
      </c>
      <c r="C270" s="83" t="s">
        <v>238</v>
      </c>
    </row>
    <row r="271" spans="1:3">
      <c r="A271" s="49" t="s">
        <v>254</v>
      </c>
      <c r="B271" s="68">
        <v>24111500</v>
      </c>
      <c r="C271" s="83" t="s">
        <v>257</v>
      </c>
    </row>
    <row r="272" spans="1:3">
      <c r="A272" s="49" t="s">
        <v>304</v>
      </c>
      <c r="B272" s="68">
        <v>52121601</v>
      </c>
      <c r="C272" s="83" t="s">
        <v>232</v>
      </c>
    </row>
    <row r="273" spans="1:3">
      <c r="A273" s="49" t="s">
        <v>304</v>
      </c>
      <c r="B273" s="68">
        <v>52121601</v>
      </c>
      <c r="C273" s="83" t="s">
        <v>220</v>
      </c>
    </row>
    <row r="274" spans="1:3">
      <c r="A274" s="49" t="s">
        <v>304</v>
      </c>
      <c r="B274" s="68">
        <v>52121601</v>
      </c>
      <c r="C274" s="83" t="s">
        <v>238</v>
      </c>
    </row>
    <row r="275" spans="1:3">
      <c r="A275" s="49" t="s">
        <v>255</v>
      </c>
      <c r="B275" s="68">
        <v>49101702</v>
      </c>
      <c r="C275" s="83" t="s">
        <v>594</v>
      </c>
    </row>
    <row r="276" spans="1:3">
      <c r="A276" s="49" t="s">
        <v>255</v>
      </c>
      <c r="B276" s="68">
        <v>49101702</v>
      </c>
      <c r="C276" s="83" t="s">
        <v>233</v>
      </c>
    </row>
    <row r="277" spans="1:3">
      <c r="A277" s="49" t="s">
        <v>255</v>
      </c>
      <c r="B277" s="68">
        <v>49101702</v>
      </c>
      <c r="C277" s="83" t="s">
        <v>231</v>
      </c>
    </row>
    <row r="278" spans="1:3">
      <c r="A278" s="49" t="s">
        <v>305</v>
      </c>
      <c r="B278" s="68">
        <v>76111800</v>
      </c>
      <c r="C278" s="83" t="s">
        <v>223</v>
      </c>
    </row>
    <row r="279" spans="1:3">
      <c r="A279" s="49" t="s">
        <v>305</v>
      </c>
      <c r="B279" s="68">
        <v>76111800</v>
      </c>
      <c r="C279" s="83" t="s">
        <v>238</v>
      </c>
    </row>
    <row r="280" spans="1:3">
      <c r="A280" s="49" t="s">
        <v>305</v>
      </c>
      <c r="B280" s="68">
        <v>76111800</v>
      </c>
      <c r="C280" s="83" t="s">
        <v>274</v>
      </c>
    </row>
    <row r="281" spans="1:3">
      <c r="A281" s="49" t="s">
        <v>305</v>
      </c>
      <c r="B281" s="68">
        <v>76111800</v>
      </c>
      <c r="C281" s="83" t="s">
        <v>229</v>
      </c>
    </row>
    <row r="282" spans="1:3">
      <c r="A282" s="49" t="s">
        <v>256</v>
      </c>
      <c r="B282" s="68">
        <v>52121703</v>
      </c>
      <c r="C282" s="83" t="s">
        <v>232</v>
      </c>
    </row>
    <row r="283" spans="1:3">
      <c r="A283" s="49" t="s">
        <v>256</v>
      </c>
      <c r="B283" s="68">
        <v>52121703</v>
      </c>
      <c r="C283" s="83" t="s">
        <v>220</v>
      </c>
    </row>
    <row r="284" spans="1:3">
      <c r="A284" s="51" t="s">
        <v>306</v>
      </c>
      <c r="B284" s="70">
        <v>24112700</v>
      </c>
      <c r="C284" s="83" t="s">
        <v>210</v>
      </c>
    </row>
  </sheetData>
  <pageMargins left="0.7" right="0.7" top="0.75" bottom="0.75" header="0.3" footer="0.3"/>
  <pageSetup orientation="portrait" r:id="rId2"/>
  <headerFooter>
    <oddHeader>&amp;CState Use Procurement Schedule</oddHeader>
    <oddFooter>&amp;CSuitable to Procure List</oddFooter>
  </headerFooter>
  <tableParts count="1">
    <tablePart r:id="rId3"/>
  </tableParts>
</worksheet>
</file>

<file path=xl/worksheets/sheet6.xml><?xml version="1.0" encoding="utf-8"?>
<worksheet xmlns="http://schemas.openxmlformats.org/spreadsheetml/2006/main" xmlns:r="http://schemas.openxmlformats.org/officeDocument/2006/relationships">
  <sheetPr codeName="Sheet7"/>
  <dimension ref="A1:K164"/>
  <sheetViews>
    <sheetView workbookViewId="0"/>
  </sheetViews>
  <sheetFormatPr defaultRowHeight="15"/>
  <cols>
    <col min="1" max="1" width="6.5703125" bestFit="1" customWidth="1"/>
    <col min="2" max="2" width="11.140625" customWidth="1"/>
    <col min="3" max="3" width="5.85546875" customWidth="1"/>
    <col min="4" max="4" width="5" style="1" customWidth="1"/>
    <col min="5" max="5" width="11" bestFit="1" customWidth="1"/>
    <col min="6" max="6" width="34.42578125" customWidth="1"/>
    <col min="7" max="7" width="7.140625" customWidth="1"/>
    <col min="8" max="8" width="6.42578125" bestFit="1" customWidth="1"/>
    <col min="9" max="9" width="9" bestFit="1" customWidth="1"/>
    <col min="10" max="10" width="26.140625" bestFit="1" customWidth="1"/>
    <col min="11" max="11" width="11.28515625" bestFit="1" customWidth="1"/>
  </cols>
  <sheetData>
    <row r="1" spans="1:11">
      <c r="A1" s="32" t="s">
        <v>71</v>
      </c>
      <c r="B1" s="33" t="s">
        <v>208</v>
      </c>
      <c r="C1" s="33" t="s">
        <v>65</v>
      </c>
      <c r="D1" s="45" t="s">
        <v>207</v>
      </c>
      <c r="E1" s="33" t="s">
        <v>20</v>
      </c>
      <c r="F1" s="33" t="s">
        <v>21</v>
      </c>
      <c r="G1" s="33" t="s">
        <v>22</v>
      </c>
      <c r="H1" s="34" t="s">
        <v>66</v>
      </c>
      <c r="I1" s="33" t="s">
        <v>206</v>
      </c>
      <c r="J1" s="35" t="s">
        <v>205</v>
      </c>
      <c r="K1" s="33" t="s">
        <v>885</v>
      </c>
    </row>
    <row r="2" spans="1:11">
      <c r="A2" s="36" t="s">
        <v>25</v>
      </c>
      <c r="B2" s="31" t="s">
        <v>4</v>
      </c>
      <c r="C2" s="31">
        <v>3430</v>
      </c>
      <c r="D2" s="46">
        <v>1</v>
      </c>
      <c r="E2" s="31" t="str">
        <f>"1000009750"</f>
        <v>1000009750</v>
      </c>
      <c r="F2" s="31" t="s">
        <v>591</v>
      </c>
      <c r="G2" s="37" t="str">
        <f>"SF"</f>
        <v>SF</v>
      </c>
      <c r="H2" s="38">
        <v>0.01</v>
      </c>
      <c r="I2" s="31" t="str">
        <f>"76111501"</f>
        <v>76111501</v>
      </c>
      <c r="J2" s="39" t="s">
        <v>67</v>
      </c>
      <c r="K2" s="127"/>
    </row>
    <row r="3" spans="1:11" ht="39">
      <c r="A3" s="36" t="s">
        <v>25</v>
      </c>
      <c r="B3" s="31" t="s">
        <v>593</v>
      </c>
      <c r="C3" s="31">
        <v>3496</v>
      </c>
      <c r="D3" s="46">
        <v>1</v>
      </c>
      <c r="E3" s="31" t="str">
        <f>"1000009750"</f>
        <v>1000009750</v>
      </c>
      <c r="F3" s="31" t="s">
        <v>591</v>
      </c>
      <c r="G3" s="37" t="str">
        <f>"SF"</f>
        <v>SF</v>
      </c>
      <c r="H3" s="38">
        <v>0.01</v>
      </c>
      <c r="I3" s="31" t="str">
        <f>"76111501"</f>
        <v>76111501</v>
      </c>
      <c r="J3" s="39" t="s">
        <v>67</v>
      </c>
      <c r="K3" s="127"/>
    </row>
    <row r="4" spans="1:11">
      <c r="A4" s="36" t="s">
        <v>25</v>
      </c>
      <c r="B4" s="31" t="s">
        <v>5</v>
      </c>
      <c r="C4" s="31">
        <v>3497</v>
      </c>
      <c r="D4" s="46">
        <v>1</v>
      </c>
      <c r="E4" s="31" t="str">
        <f>"1000009750"</f>
        <v>1000009750</v>
      </c>
      <c r="F4" s="31" t="s">
        <v>591</v>
      </c>
      <c r="G4" s="37" t="str">
        <f>"SF"</f>
        <v>SF</v>
      </c>
      <c r="H4" s="38">
        <v>0.01</v>
      </c>
      <c r="I4" s="31" t="str">
        <f>"76111501"</f>
        <v>76111501</v>
      </c>
      <c r="J4" s="39" t="s">
        <v>67</v>
      </c>
      <c r="K4" s="127"/>
    </row>
    <row r="5" spans="1:11" ht="77.25">
      <c r="A5" s="36" t="s">
        <v>25</v>
      </c>
      <c r="B5" s="31" t="s">
        <v>29</v>
      </c>
      <c r="C5" s="31">
        <v>3531</v>
      </c>
      <c r="D5" s="46">
        <v>3</v>
      </c>
      <c r="E5" s="31" t="str">
        <f>"1000013235"</f>
        <v>1000013235</v>
      </c>
      <c r="F5" s="31" t="str">
        <f>"FOLDERS: File, double top, letter size, manila, standard height(overall 11 3/4in x 9 1/2in), one-third cut, 11 point, 100/box, fastener in position 1, custom printed 2x4 label on cover, 5 custom printed tab dividers inside (REHAB SVCS)"</f>
        <v>FOLDERS: File, double top, letter size, manila, standard height(overall 11 3/4in x 9 1/2in), one-third cut, 11 point, 100/box, fastener in position 1, custom printed 2x4 label on cover, 5 custom printed tab dividers inside (REHAB SVCS)</v>
      </c>
      <c r="G5" s="37" t="str">
        <f>"BX"</f>
        <v>BX</v>
      </c>
      <c r="H5" s="38">
        <v>86.51</v>
      </c>
      <c r="I5" s="31" t="str">
        <f>"44122011"</f>
        <v>44122011</v>
      </c>
      <c r="J5" s="39" t="s">
        <v>92</v>
      </c>
      <c r="K5" s="127"/>
    </row>
    <row r="6" spans="1:11" ht="39">
      <c r="A6" s="36" t="s">
        <v>25</v>
      </c>
      <c r="B6" s="31" t="s">
        <v>29</v>
      </c>
      <c r="C6" s="31">
        <v>3531</v>
      </c>
      <c r="D6" s="46">
        <v>4</v>
      </c>
      <c r="E6" s="31" t="str">
        <f>"1000023286"</f>
        <v>1000023286</v>
      </c>
      <c r="F6" s="31" t="str">
        <f>"FOLDER: Worker's Comp-Custom. Worker's Compensation Court custom folder"</f>
        <v>FOLDER: Worker's Comp-Custom. Worker's Compensation Court custom folder</v>
      </c>
      <c r="G6" s="37" t="str">
        <f>"EA"</f>
        <v>EA</v>
      </c>
      <c r="H6" s="38">
        <v>2.2999999999999998</v>
      </c>
      <c r="I6" s="31" t="str">
        <f>"44122011"</f>
        <v>44122011</v>
      </c>
      <c r="J6" s="39" t="s">
        <v>92</v>
      </c>
      <c r="K6" s="127"/>
    </row>
    <row r="7" spans="1:11" ht="64.5">
      <c r="A7" s="36" t="s">
        <v>25</v>
      </c>
      <c r="B7" s="31" t="s">
        <v>29</v>
      </c>
      <c r="C7" s="31">
        <v>3531</v>
      </c>
      <c r="D7" s="46">
        <v>2</v>
      </c>
      <c r="E7" s="31" t="str">
        <f>"1000023285"</f>
        <v>1000023285</v>
      </c>
      <c r="F7" s="31" t="str">
        <f>"FLARE: ZFlares-Z1R LED Rechargeable Safety Flare, 1 pc, A/C Adapter, Car Charger, Tote Bag. 16 LED lights, 8 flash patterns, waterproof to 80 ft. Flare Color/Light Color: Red/Red"</f>
        <v>FLARE: ZFlares-Z1R LED Rechargeable Safety Flare, 1 pc, A/C Adapter, Car Charger, Tote Bag. 16 LED lights, 8 flash patterns, waterproof to 80 ft. Flare Color/Light Color: Red/Red</v>
      </c>
      <c r="G7" s="37" t="str">
        <f>"EA"</f>
        <v>EA</v>
      </c>
      <c r="H7" s="38">
        <v>24.65</v>
      </c>
      <c r="I7" s="31" t="str">
        <f>"39111714"</f>
        <v>39111714</v>
      </c>
      <c r="J7" s="39" t="s">
        <v>91</v>
      </c>
      <c r="K7" s="127"/>
    </row>
    <row r="8" spans="1:11">
      <c r="A8" s="36" t="s">
        <v>25</v>
      </c>
      <c r="B8" s="31" t="s">
        <v>6</v>
      </c>
      <c r="C8" s="31">
        <v>3498</v>
      </c>
      <c r="D8" s="46">
        <v>1</v>
      </c>
      <c r="E8" s="31" t="str">
        <f>"1000009750"</f>
        <v>1000009750</v>
      </c>
      <c r="F8" s="31" t="s">
        <v>591</v>
      </c>
      <c r="G8" s="37" t="str">
        <f>"SF"</f>
        <v>SF</v>
      </c>
      <c r="H8" s="38">
        <v>0.01</v>
      </c>
      <c r="I8" s="31" t="str">
        <f>"76111501"</f>
        <v>76111501</v>
      </c>
      <c r="J8" s="39" t="s">
        <v>67</v>
      </c>
      <c r="K8" s="127"/>
    </row>
    <row r="9" spans="1:11" ht="26.25">
      <c r="A9" s="36" t="s">
        <v>25</v>
      </c>
      <c r="B9" s="31" t="s">
        <v>1</v>
      </c>
      <c r="C9" s="31">
        <v>3499</v>
      </c>
      <c r="D9" s="46">
        <v>1</v>
      </c>
      <c r="E9" s="31" t="str">
        <f>"1000009750"</f>
        <v>1000009750</v>
      </c>
      <c r="F9" s="31" t="s">
        <v>591</v>
      </c>
      <c r="G9" s="37" t="str">
        <f>"SF"</f>
        <v>SF</v>
      </c>
      <c r="H9" s="38">
        <v>0.01</v>
      </c>
      <c r="I9" s="31" t="str">
        <f>"76111501"</f>
        <v>76111501</v>
      </c>
      <c r="J9" s="39" t="s">
        <v>67</v>
      </c>
      <c r="K9" s="127"/>
    </row>
    <row r="10" spans="1:11" ht="26.25">
      <c r="A10" s="36" t="s">
        <v>25</v>
      </c>
      <c r="B10" s="31" t="s">
        <v>1</v>
      </c>
      <c r="C10" s="31">
        <v>3499</v>
      </c>
      <c r="D10" s="46">
        <v>2</v>
      </c>
      <c r="E10" s="31" t="str">
        <f>"1000008904"</f>
        <v>1000008904</v>
      </c>
      <c r="F10" s="31" t="str">
        <f>"SECURITY SERVICES: Unarmed Security Guard Services"</f>
        <v>SECURITY SERVICES: Unarmed Security Guard Services</v>
      </c>
      <c r="G10" s="37" t="str">
        <f>"EA"</f>
        <v>EA</v>
      </c>
      <c r="H10" s="38">
        <v>0.01</v>
      </c>
      <c r="I10" s="31" t="str">
        <f>"92121504"</f>
        <v>92121504</v>
      </c>
      <c r="J10" s="39" t="s">
        <v>72</v>
      </c>
      <c r="K10" s="127"/>
    </row>
    <row r="11" spans="1:11" ht="26.25">
      <c r="A11" s="36" t="s">
        <v>25</v>
      </c>
      <c r="B11" s="31" t="s">
        <v>7</v>
      </c>
      <c r="C11" s="31">
        <v>3503</v>
      </c>
      <c r="D11" s="46">
        <v>1</v>
      </c>
      <c r="E11" s="31" t="str">
        <f t="shared" ref="E11:E16" si="0">"1000009750"</f>
        <v>1000009750</v>
      </c>
      <c r="F11" s="31" t="s">
        <v>591</v>
      </c>
      <c r="G11" s="37" t="str">
        <f t="shared" ref="G11:G16" si="1">"SF"</f>
        <v>SF</v>
      </c>
      <c r="H11" s="38">
        <v>0.01</v>
      </c>
      <c r="I11" s="31" t="str">
        <f t="shared" ref="I11:I16" si="2">"76111501"</f>
        <v>76111501</v>
      </c>
      <c r="J11" s="39" t="s">
        <v>67</v>
      </c>
      <c r="K11" s="127"/>
    </row>
    <row r="12" spans="1:11" ht="26.25">
      <c r="A12" s="36" t="s">
        <v>25</v>
      </c>
      <c r="B12" s="31" t="s">
        <v>32</v>
      </c>
      <c r="C12" s="31">
        <v>3501</v>
      </c>
      <c r="D12" s="46">
        <v>1</v>
      </c>
      <c r="E12" s="31" t="str">
        <f t="shared" si="0"/>
        <v>1000009750</v>
      </c>
      <c r="F12" s="31" t="s">
        <v>591</v>
      </c>
      <c r="G12" s="37" t="str">
        <f t="shared" si="1"/>
        <v>SF</v>
      </c>
      <c r="H12" s="38">
        <v>0.01</v>
      </c>
      <c r="I12" s="31" t="str">
        <f t="shared" si="2"/>
        <v>76111501</v>
      </c>
      <c r="J12" s="39" t="s">
        <v>67</v>
      </c>
      <c r="K12" s="127"/>
    </row>
    <row r="13" spans="1:11">
      <c r="A13" s="36" t="s">
        <v>25</v>
      </c>
      <c r="B13" s="31" t="s">
        <v>8</v>
      </c>
      <c r="C13" s="31">
        <v>3500</v>
      </c>
      <c r="D13" s="46">
        <v>1</v>
      </c>
      <c r="E13" s="31" t="str">
        <f t="shared" si="0"/>
        <v>1000009750</v>
      </c>
      <c r="F13" s="31" t="s">
        <v>591</v>
      </c>
      <c r="G13" s="37" t="str">
        <f t="shared" si="1"/>
        <v>SF</v>
      </c>
      <c r="H13" s="38">
        <v>0.01</v>
      </c>
      <c r="I13" s="31" t="str">
        <f t="shared" si="2"/>
        <v>76111501</v>
      </c>
      <c r="J13" s="39" t="s">
        <v>67</v>
      </c>
      <c r="K13" s="127"/>
    </row>
    <row r="14" spans="1:11" ht="26.25">
      <c r="A14" s="36" t="s">
        <v>25</v>
      </c>
      <c r="B14" s="31" t="s">
        <v>9</v>
      </c>
      <c r="C14" s="31">
        <v>3502</v>
      </c>
      <c r="D14" s="46">
        <v>1</v>
      </c>
      <c r="E14" s="31" t="str">
        <f t="shared" si="0"/>
        <v>1000009750</v>
      </c>
      <c r="F14" s="31" t="s">
        <v>591</v>
      </c>
      <c r="G14" s="37" t="str">
        <f t="shared" si="1"/>
        <v>SF</v>
      </c>
      <c r="H14" s="38">
        <v>0.01</v>
      </c>
      <c r="I14" s="31" t="str">
        <f t="shared" si="2"/>
        <v>76111501</v>
      </c>
      <c r="J14" s="39" t="s">
        <v>67</v>
      </c>
      <c r="K14" s="127"/>
    </row>
    <row r="15" spans="1:11">
      <c r="A15" s="36" t="s">
        <v>25</v>
      </c>
      <c r="B15" s="31" t="s">
        <v>10</v>
      </c>
      <c r="C15" s="31">
        <v>3504</v>
      </c>
      <c r="D15" s="46">
        <v>1</v>
      </c>
      <c r="E15" s="31" t="str">
        <f t="shared" si="0"/>
        <v>1000009750</v>
      </c>
      <c r="F15" s="31" t="s">
        <v>591</v>
      </c>
      <c r="G15" s="37" t="str">
        <f t="shared" si="1"/>
        <v>SF</v>
      </c>
      <c r="H15" s="38">
        <v>0.01</v>
      </c>
      <c r="I15" s="31" t="str">
        <f t="shared" si="2"/>
        <v>76111501</v>
      </c>
      <c r="J15" s="39" t="s">
        <v>67</v>
      </c>
      <c r="K15" s="127"/>
    </row>
    <row r="16" spans="1:11">
      <c r="A16" s="36" t="s">
        <v>25</v>
      </c>
      <c r="B16" s="31" t="s">
        <v>34</v>
      </c>
      <c r="C16" s="31">
        <v>3505</v>
      </c>
      <c r="D16" s="46">
        <v>1</v>
      </c>
      <c r="E16" s="31" t="str">
        <f t="shared" si="0"/>
        <v>1000009750</v>
      </c>
      <c r="F16" s="31" t="s">
        <v>591</v>
      </c>
      <c r="G16" s="37" t="str">
        <f t="shared" si="1"/>
        <v>SF</v>
      </c>
      <c r="H16" s="38">
        <v>0.01</v>
      </c>
      <c r="I16" s="31" t="str">
        <f t="shared" si="2"/>
        <v>76111501</v>
      </c>
      <c r="J16" s="39" t="s">
        <v>67</v>
      </c>
      <c r="K16" s="127"/>
    </row>
    <row r="17" spans="1:11" ht="26.25">
      <c r="A17" s="36" t="s">
        <v>25</v>
      </c>
      <c r="B17" s="31" t="s">
        <v>34</v>
      </c>
      <c r="C17" s="31">
        <v>3505</v>
      </c>
      <c r="D17" s="46">
        <v>2</v>
      </c>
      <c r="E17" s="31" t="str">
        <f>"1000023282"</f>
        <v>1000023282</v>
      </c>
      <c r="F17" s="31" t="str">
        <f>"DETERGENT: Laundry 50 LB Bx. Powdered Laundry Detergent, 50 LB box."</f>
        <v>DETERGENT: Laundry 50 LB Bx. Powdered Laundry Detergent, 50 LB box.</v>
      </c>
      <c r="G17" s="37" t="str">
        <f>"BX"</f>
        <v>BX</v>
      </c>
      <c r="H17" s="38">
        <v>18</v>
      </c>
      <c r="I17" s="31" t="str">
        <f>"47131811"</f>
        <v>47131811</v>
      </c>
      <c r="J17" s="39" t="s">
        <v>125</v>
      </c>
      <c r="K17" s="127"/>
    </row>
    <row r="18" spans="1:11" ht="26.25">
      <c r="A18" s="36" t="s">
        <v>25</v>
      </c>
      <c r="B18" s="31" t="s">
        <v>34</v>
      </c>
      <c r="C18" s="31">
        <v>3505</v>
      </c>
      <c r="D18" s="46">
        <v>3</v>
      </c>
      <c r="E18" s="31" t="str">
        <f>"1000029713"</f>
        <v>1000029713</v>
      </c>
      <c r="F18" s="31" t="str">
        <f>"LAUNDRY SRVC: State Use, Laundry and Linen Services"</f>
        <v>LAUNDRY SRVC: State Use, Laundry and Linen Services</v>
      </c>
      <c r="G18" s="37" t="str">
        <f>"EA"</f>
        <v>EA</v>
      </c>
      <c r="H18" s="38">
        <v>0.01</v>
      </c>
      <c r="I18" s="31" t="str">
        <f>"91111502"</f>
        <v>91111502</v>
      </c>
      <c r="J18" s="39" t="s">
        <v>126</v>
      </c>
      <c r="K18" s="127"/>
    </row>
    <row r="19" spans="1:11">
      <c r="A19" s="36" t="s">
        <v>25</v>
      </c>
      <c r="B19" s="31" t="s">
        <v>11</v>
      </c>
      <c r="C19" s="31">
        <v>3506</v>
      </c>
      <c r="D19" s="46">
        <v>1</v>
      </c>
      <c r="E19" s="31" t="str">
        <f>"1000009750"</f>
        <v>1000009750</v>
      </c>
      <c r="F19" s="31" t="s">
        <v>591</v>
      </c>
      <c r="G19" s="37" t="str">
        <f>"SF"</f>
        <v>SF</v>
      </c>
      <c r="H19" s="38">
        <v>0.01</v>
      </c>
      <c r="I19" s="31" t="str">
        <f>"76111501"</f>
        <v>76111501</v>
      </c>
      <c r="J19" s="39" t="s">
        <v>67</v>
      </c>
      <c r="K19" s="127"/>
    </row>
    <row r="20" spans="1:11">
      <c r="A20" s="36" t="s">
        <v>25</v>
      </c>
      <c r="B20" s="31" t="s">
        <v>41</v>
      </c>
      <c r="C20" s="31">
        <v>3507</v>
      </c>
      <c r="D20" s="46">
        <v>1</v>
      </c>
      <c r="E20" s="31" t="str">
        <f>"1000009750"</f>
        <v>1000009750</v>
      </c>
      <c r="F20" s="31" t="s">
        <v>591</v>
      </c>
      <c r="G20" s="37" t="str">
        <f>"SF"</f>
        <v>SF</v>
      </c>
      <c r="H20" s="38">
        <v>0.01</v>
      </c>
      <c r="I20" s="31" t="str">
        <f>"76111501"</f>
        <v>76111501</v>
      </c>
      <c r="J20" s="39" t="s">
        <v>67</v>
      </c>
      <c r="K20" s="127"/>
    </row>
    <row r="21" spans="1:11" ht="26.25">
      <c r="A21" s="36" t="s">
        <v>25</v>
      </c>
      <c r="B21" s="31" t="s">
        <v>41</v>
      </c>
      <c r="C21" s="31">
        <v>3507</v>
      </c>
      <c r="D21" s="46">
        <v>2</v>
      </c>
      <c r="E21" s="31" t="str">
        <f>"1000029713"</f>
        <v>1000029713</v>
      </c>
      <c r="F21" s="31" t="str">
        <f>"LAUNDRY SRVC: State Use, Laundry and Linen Services"</f>
        <v>LAUNDRY SRVC: State Use, Laundry and Linen Services</v>
      </c>
      <c r="G21" s="37" t="str">
        <f>"EA"</f>
        <v>EA</v>
      </c>
      <c r="H21" s="38">
        <v>0.01</v>
      </c>
      <c r="I21" s="31" t="str">
        <f>"91111502"</f>
        <v>91111502</v>
      </c>
      <c r="J21" s="39" t="s">
        <v>126</v>
      </c>
      <c r="K21" s="127"/>
    </row>
    <row r="22" spans="1:11">
      <c r="A22" s="36" t="s">
        <v>25</v>
      </c>
      <c r="B22" s="31" t="s">
        <v>0</v>
      </c>
      <c r="C22" s="31">
        <v>3508</v>
      </c>
      <c r="D22" s="46">
        <v>1</v>
      </c>
      <c r="E22" s="31" t="str">
        <f>"1000009750"</f>
        <v>1000009750</v>
      </c>
      <c r="F22" s="31" t="s">
        <v>591</v>
      </c>
      <c r="G22" s="37" t="str">
        <f>"SF"</f>
        <v>SF</v>
      </c>
      <c r="H22" s="38">
        <v>0.01</v>
      </c>
      <c r="I22" s="31" t="str">
        <f>"76111501"</f>
        <v>76111501</v>
      </c>
      <c r="J22" s="48" t="s">
        <v>67</v>
      </c>
      <c r="K22" s="127"/>
    </row>
    <row r="23" spans="1:11" ht="89.25">
      <c r="A23" s="36" t="s">
        <v>25</v>
      </c>
      <c r="B23" s="31" t="s">
        <v>0</v>
      </c>
      <c r="C23" s="31">
        <v>3508</v>
      </c>
      <c r="D23" s="46">
        <v>6</v>
      </c>
      <c r="E23" s="31" t="str">
        <f>"1000009819"</f>
        <v>1000009819</v>
      </c>
      <c r="F23" s="47" t="str">
        <f>"SAFETY GLASSES: Blk/Clr, EA. Shield styling w/ integral sideshields &amp; nosebridge, built-in browguard, adjustable temples. High impact, scratch resistant poly carbonate lens w/ fog free coating. Meets ANSI Z87.1.&amp; CSA Z94.3-1992. Frame: Black, Lens: Clear"</f>
        <v>SAFETY GLASSES: Blk/Clr, EA. Shield styling w/ integral sideshields &amp; nosebridge, built-in browguard, adjustable temples. High impact, scratch resistant poly carbonate lens w/ fog free coating. Meets ANSI Z87.1.&amp; CSA Z94.3-1992. Frame: Black, Lens: Clear</v>
      </c>
      <c r="G23" s="37" t="str">
        <f>"EA"</f>
        <v>EA</v>
      </c>
      <c r="H23" s="38">
        <v>2.56</v>
      </c>
      <c r="I23" s="31" t="str">
        <f t="shared" ref="I23:I51" si="3">"46181803"</f>
        <v>46181803</v>
      </c>
      <c r="J23" s="48" t="s">
        <v>70</v>
      </c>
      <c r="K23" s="127"/>
    </row>
    <row r="24" spans="1:11" ht="89.25">
      <c r="A24" s="36" t="s">
        <v>25</v>
      </c>
      <c r="B24" s="31" t="s">
        <v>0</v>
      </c>
      <c r="C24" s="31">
        <v>3508</v>
      </c>
      <c r="D24" s="46">
        <v>7</v>
      </c>
      <c r="E24" s="31" t="str">
        <f>"1000009820"</f>
        <v>1000009820</v>
      </c>
      <c r="F24" s="47" t="str">
        <f>"SAFETY GLASSES: Blk/Clr, DZ. Shield styling w/ integral sideshields &amp; nosebridge, built-in browguard, adjustable temples. High impact, scratch resistant poly carbonate lens w/ fog free coating. Meets ANSI Z87.1.&amp; CSA Z94.3-1992. Frame: Black, Lens: Clear"</f>
        <v>SAFETY GLASSES: Blk/Clr, DZ. Shield styling w/ integral sideshields &amp; nosebridge, built-in browguard, adjustable temples. High impact, scratch resistant poly carbonate lens w/ fog free coating. Meets ANSI Z87.1.&amp; CSA Z94.3-1992. Frame: Black, Lens: Clear</v>
      </c>
      <c r="G24" s="37" t="str">
        <f>"DZ"</f>
        <v>DZ</v>
      </c>
      <c r="H24" s="38">
        <v>30</v>
      </c>
      <c r="I24" s="31" t="str">
        <f t="shared" si="3"/>
        <v>46181803</v>
      </c>
      <c r="J24" s="48" t="s">
        <v>70</v>
      </c>
      <c r="K24" s="127"/>
    </row>
    <row r="25" spans="1:11" ht="89.25">
      <c r="A25" s="36" t="s">
        <v>25</v>
      </c>
      <c r="B25" s="31" t="s">
        <v>0</v>
      </c>
      <c r="C25" s="31">
        <v>3508</v>
      </c>
      <c r="D25" s="46">
        <v>8</v>
      </c>
      <c r="E25" s="31" t="str">
        <f>"1000000345"</f>
        <v>1000000345</v>
      </c>
      <c r="F25" s="47" t="str">
        <f>"SAFETY GLASSES: Blk/Gry-EA, Shield styling w/ integral sideshields &amp; nosebridge, built-in browguard, adjustable temples. High impact, scratch resistant poly carbonate lens w/ fog free coating. Meets ANSI Z87.1.&amp; CSA Z94.3-1992 Frame: Black, Lens: Grey"</f>
        <v>SAFETY GLASSES: Blk/Gry-EA, Shield styling w/ integral sideshields &amp; nosebridge, built-in browguard, adjustable temples. High impact, scratch resistant poly carbonate lens w/ fog free coating. Meets ANSI Z87.1.&amp; CSA Z94.3-1992 Frame: Black, Lens: Grey</v>
      </c>
      <c r="G25" s="37" t="str">
        <f>"EA"</f>
        <v>EA</v>
      </c>
      <c r="H25" s="38">
        <v>3.12</v>
      </c>
      <c r="I25" s="31" t="str">
        <f t="shared" si="3"/>
        <v>46181803</v>
      </c>
      <c r="J25" s="48" t="s">
        <v>70</v>
      </c>
      <c r="K25" s="127"/>
    </row>
    <row r="26" spans="1:11" ht="89.25">
      <c r="A26" s="36" t="s">
        <v>25</v>
      </c>
      <c r="B26" s="31" t="s">
        <v>0</v>
      </c>
      <c r="C26" s="31">
        <v>3508</v>
      </c>
      <c r="D26" s="46">
        <v>9</v>
      </c>
      <c r="E26" s="31" t="str">
        <f>"1000000173"</f>
        <v>1000000173</v>
      </c>
      <c r="F26" s="47" t="str">
        <f>"SAFETY GLASSES: Blk/Gry-DZ, Shield styling w/ integral sideshields &amp; nosebridge, built-in browguard, adjust. emples. High impact, scratch resistant poly carbonate lens w/ fog free coating. Meets ANSI Z87.1.&amp; CSA Z94.3-1992. Dozen. Frame: Blk, Lens: Grey"</f>
        <v>SAFETY GLASSES: Blk/Gry-DZ, Shield styling w/ integral sideshields &amp; nosebridge, built-in browguard, adjust. emples. High impact, scratch resistant poly carbonate lens w/ fog free coating. Meets ANSI Z87.1.&amp; CSA Z94.3-1992. Dozen. Frame: Blk, Lens: Grey</v>
      </c>
      <c r="G26" s="37" t="str">
        <f>"DZ"</f>
        <v>DZ</v>
      </c>
      <c r="H26" s="38">
        <v>37</v>
      </c>
      <c r="I26" s="31" t="str">
        <f t="shared" si="3"/>
        <v>46181803</v>
      </c>
      <c r="J26" s="48" t="s">
        <v>70</v>
      </c>
      <c r="K26" s="127"/>
    </row>
    <row r="27" spans="1:11" ht="89.25">
      <c r="A27" s="36" t="s">
        <v>25</v>
      </c>
      <c r="B27" s="31" t="s">
        <v>0</v>
      </c>
      <c r="C27" s="31">
        <v>3508</v>
      </c>
      <c r="D27" s="46">
        <v>10</v>
      </c>
      <c r="E27" s="31" t="str">
        <f>"1000000498"</f>
        <v>1000000498</v>
      </c>
      <c r="F27" s="47" t="str">
        <f>"SAFETY GLASSES: Blk/Clr, EA, Lens design closely follows facial contours, no distortion to peripheral vision. Polycarbonate lens, anti-fog, anti-scratch, anti-static, anti-chemical, UV protection. Meets ANSI Z87.1-2003 &amp; CSA Z94.1. Frame: Blk, Lens: Clr"</f>
        <v>SAFETY GLASSES: Blk/Clr, EA, Lens design closely follows facial contours, no distortion to peripheral vision. Polycarbonate lens, anti-fog, anti-scratch, anti-static, anti-chemical, UV protection. Meets ANSI Z87.1-2003 &amp; CSA Z94.1. Frame: Blk, Lens: Clr</v>
      </c>
      <c r="G27" s="37" t="str">
        <f>"EA"</f>
        <v>EA</v>
      </c>
      <c r="H27" s="38">
        <v>5.46</v>
      </c>
      <c r="I27" s="31" t="str">
        <f t="shared" si="3"/>
        <v>46181803</v>
      </c>
      <c r="J27" s="48" t="s">
        <v>70</v>
      </c>
      <c r="K27" s="127"/>
    </row>
    <row r="28" spans="1:11" ht="89.25">
      <c r="A28" s="36" t="s">
        <v>25</v>
      </c>
      <c r="B28" s="31" t="s">
        <v>0</v>
      </c>
      <c r="C28" s="31">
        <v>3508</v>
      </c>
      <c r="D28" s="46">
        <v>11</v>
      </c>
      <c r="E28" s="31" t="str">
        <f>"1000000975"</f>
        <v>1000000975</v>
      </c>
      <c r="F28" s="47" t="str">
        <f>"SAFETY GLASSES: Blk/Clr, DZ, Lens design closely follows facial contours, no distortion to peripheral vision. Polycarbonate lens, anti-fog, anti-scratch, anti-static, anti-chemical, UV prtctn. Meets ANSI Z87.1-2003 &amp; CSA Z94.1 Frame: Black, Lens: Clear"</f>
        <v>SAFETY GLASSES: Blk/Clr, DZ, Lens design closely follows facial contours, no distortion to peripheral vision. Polycarbonate lens, anti-fog, anti-scratch, anti-static, anti-chemical, UV prtctn. Meets ANSI Z87.1-2003 &amp; CSA Z94.1 Frame: Black, Lens: Clear</v>
      </c>
      <c r="G28" s="37" t="str">
        <f>"DZ"</f>
        <v>DZ</v>
      </c>
      <c r="H28" s="38">
        <v>65</v>
      </c>
      <c r="I28" s="31" t="str">
        <f t="shared" si="3"/>
        <v>46181803</v>
      </c>
      <c r="J28" s="48" t="s">
        <v>70</v>
      </c>
      <c r="K28" s="127"/>
    </row>
    <row r="29" spans="1:11" ht="89.25">
      <c r="A29" s="36" t="s">
        <v>25</v>
      </c>
      <c r="B29" s="31" t="s">
        <v>0</v>
      </c>
      <c r="C29" s="31">
        <v>3508</v>
      </c>
      <c r="D29" s="46">
        <v>12</v>
      </c>
      <c r="E29" s="31" t="str">
        <f>"1000001674"</f>
        <v>1000001674</v>
      </c>
      <c r="F29" s="47" t="str">
        <f>"SAFETY GLASSES: Blk/Gry/Am, EA, Lens design closely follows facial contours, no distortion to peripheral vision. Polycarb. lens, anti-fog, anti-scratch, anti-static, anti-chemical, UV prtctn. Meets ANSI Z87.1-2003 &amp; CSA Z94.1 Frame: Blk, Lens: Grey or Am"</f>
        <v>SAFETY GLASSES: Blk/Gry/Am, EA, Lens design closely follows facial contours, no distortion to peripheral vision. Polycarb. lens, anti-fog, anti-scratch, anti-static, anti-chemical, UV prtctn. Meets ANSI Z87.1-2003 &amp; CSA Z94.1 Frame: Blk, Lens: Grey or Am</v>
      </c>
      <c r="G29" s="37" t="str">
        <f>"EA"</f>
        <v>EA</v>
      </c>
      <c r="H29" s="38">
        <v>6.13</v>
      </c>
      <c r="I29" s="31" t="str">
        <f t="shared" si="3"/>
        <v>46181803</v>
      </c>
      <c r="J29" s="48" t="s">
        <v>70</v>
      </c>
      <c r="K29" s="127"/>
    </row>
    <row r="30" spans="1:11" ht="89.25">
      <c r="A30" s="36" t="s">
        <v>25</v>
      </c>
      <c r="B30" s="31" t="s">
        <v>0</v>
      </c>
      <c r="C30" s="31">
        <v>3508</v>
      </c>
      <c r="D30" s="46">
        <v>13</v>
      </c>
      <c r="E30" s="31" t="str">
        <f>"1000001597"</f>
        <v>1000001597</v>
      </c>
      <c r="F30" s="47" t="str">
        <f>"SAFETY GLASSES: Blk/Gry/Am, DZ, Lens design closely follows facial contours, no distortion to peripheral vision. Polycarb. lens, anti-fog, anti-scratch, anti-static, anti-chemical, UV prtctn. Meets ANSI Z87.1-2003 &amp; CSA Z94.1 Frame: Blk, Lens: Gry or Amb"</f>
        <v>SAFETY GLASSES: Blk/Gry/Am, DZ, Lens design closely follows facial contours, no distortion to peripheral vision. Polycarb. lens, anti-fog, anti-scratch, anti-static, anti-chemical, UV prtctn. Meets ANSI Z87.1-2003 &amp; CSA Z94.1 Frame: Blk, Lens: Gry or Amb</v>
      </c>
      <c r="G30" s="37" t="str">
        <f>"DZ"</f>
        <v>DZ</v>
      </c>
      <c r="H30" s="38">
        <v>73</v>
      </c>
      <c r="I30" s="31" t="str">
        <f t="shared" si="3"/>
        <v>46181803</v>
      </c>
      <c r="J30" s="48" t="s">
        <v>70</v>
      </c>
      <c r="K30" s="127"/>
    </row>
    <row r="31" spans="1:11" ht="89.25">
      <c r="A31" s="36" t="s">
        <v>25</v>
      </c>
      <c r="B31" s="31" t="s">
        <v>0</v>
      </c>
      <c r="C31" s="31">
        <v>3508</v>
      </c>
      <c r="D31" s="46">
        <v>14</v>
      </c>
      <c r="E31" s="31" t="str">
        <f>"1000000521"</f>
        <v>1000000521</v>
      </c>
      <c r="F31" s="47" t="str">
        <f>"SAFETY GLASSES: Blk/Grn, EA, Lens design closely follows facial contours, no distortion to peripheral vision. Polycarbonate lens, anti-fog, anti-scratch, anti-static, anti-chemical, UV prtctn. Meets ANSI Z87.1-2003 &amp; CSA Z94.1 Frame: Blk, Lens: 3.0 Green"</f>
        <v>SAFETY GLASSES: Blk/Grn, EA, Lens design closely follows facial contours, no distortion to peripheral vision. Polycarbonate lens, anti-fog, anti-scratch, anti-static, anti-chemical, UV prtctn. Meets ANSI Z87.1-2003 &amp; CSA Z94.1 Frame: Blk, Lens: 3.0 Green</v>
      </c>
      <c r="G31" s="37" t="str">
        <f>"EA"</f>
        <v>EA</v>
      </c>
      <c r="H31" s="38">
        <v>7.01</v>
      </c>
      <c r="I31" s="31" t="str">
        <f t="shared" si="3"/>
        <v>46181803</v>
      </c>
      <c r="J31" s="48" t="s">
        <v>70</v>
      </c>
      <c r="K31" s="127"/>
    </row>
    <row r="32" spans="1:11" ht="89.25">
      <c r="A32" s="36" t="s">
        <v>25</v>
      </c>
      <c r="B32" s="31" t="s">
        <v>0</v>
      </c>
      <c r="C32" s="31">
        <v>3508</v>
      </c>
      <c r="D32" s="46">
        <v>15</v>
      </c>
      <c r="E32" s="31" t="str">
        <f>"1000001321"</f>
        <v>1000001321</v>
      </c>
      <c r="F32" s="47" t="str">
        <f>"SAFETY GLASSES: Blk/Grn, DZ, Lens design closely follows facial contours, no distortion to peripheral vision. Polycarbonate lens, anti-fog, anti-scratch, anti-static, anti-chemical, UV prtctn. Meets ANSI Z87.1-2003 &amp; CSA Z94.1 Frame: Blk, Lens: 3.0 Green"</f>
        <v>SAFETY GLASSES: Blk/Grn, DZ, Lens design closely follows facial contours, no distortion to peripheral vision. Polycarbonate lens, anti-fog, anti-scratch, anti-static, anti-chemical, UV prtctn. Meets ANSI Z87.1-2003 &amp; CSA Z94.1 Frame: Blk, Lens: 3.0 Green</v>
      </c>
      <c r="G32" s="37" t="str">
        <f>"DZ"</f>
        <v>DZ</v>
      </c>
      <c r="H32" s="38">
        <v>75</v>
      </c>
      <c r="I32" s="31" t="str">
        <f t="shared" si="3"/>
        <v>46181803</v>
      </c>
      <c r="J32" s="48" t="s">
        <v>70</v>
      </c>
      <c r="K32" s="127"/>
    </row>
    <row r="33" spans="1:11" ht="63.75">
      <c r="A33" s="36" t="s">
        <v>25</v>
      </c>
      <c r="B33" s="31" t="s">
        <v>0</v>
      </c>
      <c r="C33" s="31">
        <v>3508</v>
      </c>
      <c r="D33" s="46">
        <v>16</v>
      </c>
      <c r="E33" s="31" t="str">
        <f>"1000009822"</f>
        <v>1000009822</v>
      </c>
      <c r="F33" s="47" t="str">
        <f>"SAFETY GOGGLES: Chemical, vinyl body, adjustable strap and clear polycarbonate lens. Meets ANSI, CSA, UL &amp; CE standards. Protects against most chemical spills. Dozen"</f>
        <v>SAFETY GOGGLES: Chemical, vinyl body, adjustable strap and clear polycarbonate lens. Meets ANSI, CSA, UL &amp; CE standards. Protects against most chemical spills. Dozen</v>
      </c>
      <c r="G33" s="37" t="str">
        <f>"DZ"</f>
        <v>DZ</v>
      </c>
      <c r="H33" s="38">
        <v>40</v>
      </c>
      <c r="I33" s="31" t="str">
        <f t="shared" si="3"/>
        <v>46181803</v>
      </c>
      <c r="J33" s="48" t="s">
        <v>70</v>
      </c>
      <c r="K33" s="127"/>
    </row>
    <row r="34" spans="1:11" ht="89.25">
      <c r="A34" s="36" t="s">
        <v>25</v>
      </c>
      <c r="B34" s="31" t="s">
        <v>0</v>
      </c>
      <c r="C34" s="31">
        <v>3508</v>
      </c>
      <c r="D34" s="46">
        <v>17</v>
      </c>
      <c r="E34" s="31" t="str">
        <f>"1000000063"</f>
        <v>1000000063</v>
      </c>
      <c r="F34" s="47" t="str">
        <f>"SAFETY GLASSES:Blk/Clr/Gry, EA, Stylish cats eye look, scratch resistant lens, built in side impact protection. Designed for protection against impact hazards and/or flying particles, dust, sparks and glare. Frame Color: Black Lens Color: Clear or Grey"</f>
        <v>SAFETY GLASSES:Blk/Clr/Gry, EA, Stylish cats eye look, scratch resistant lens, built in side impact protection. Designed for protection against impact hazards and/or flying particles, dust, sparks and glare. Frame Color: Black Lens Color: Clear or Grey</v>
      </c>
      <c r="G34" s="37" t="str">
        <f>"EA"</f>
        <v>EA</v>
      </c>
      <c r="H34" s="38">
        <v>4.3</v>
      </c>
      <c r="I34" s="31" t="str">
        <f t="shared" si="3"/>
        <v>46181803</v>
      </c>
      <c r="J34" s="48" t="s">
        <v>70</v>
      </c>
      <c r="K34" s="127"/>
    </row>
    <row r="35" spans="1:11" ht="89.25">
      <c r="A35" s="36" t="s">
        <v>25</v>
      </c>
      <c r="B35" s="31" t="s">
        <v>0</v>
      </c>
      <c r="C35" s="31">
        <v>3508</v>
      </c>
      <c r="D35" s="46">
        <v>18</v>
      </c>
      <c r="E35" s="31" t="str">
        <f>"1000000529"</f>
        <v>1000000529</v>
      </c>
      <c r="F35" s="47" t="str">
        <f>"SAFETY GLASSES:Blk/Clr/Gry, DZ, Stylish cats eye look,scratch resistant lens, built in side impact protection. Designed for protection against impact hazards and/or flying particles, dust, sparks and glare. Frame Color: Black Lens Color: Clear or Grey"</f>
        <v>SAFETY GLASSES:Blk/Clr/Gry, DZ, Stylish cats eye look,scratch resistant lens, built in side impact protection. Designed for protection against impact hazards and/or flying particles, dust, sparks and glare. Frame Color: Black Lens Color: Clear or Grey</v>
      </c>
      <c r="G35" s="37" t="str">
        <f>"DZ"</f>
        <v>DZ</v>
      </c>
      <c r="H35" s="38">
        <v>47</v>
      </c>
      <c r="I35" s="31" t="str">
        <f t="shared" si="3"/>
        <v>46181803</v>
      </c>
      <c r="J35" s="48" t="s">
        <v>70</v>
      </c>
      <c r="K35" s="127"/>
    </row>
    <row r="36" spans="1:11" ht="89.25">
      <c r="A36" s="36" t="s">
        <v>25</v>
      </c>
      <c r="B36" s="31" t="s">
        <v>0</v>
      </c>
      <c r="C36" s="31">
        <v>3508</v>
      </c>
      <c r="D36" s="46">
        <v>19</v>
      </c>
      <c r="E36" s="31" t="str">
        <f>"1000001267"</f>
        <v>1000001267</v>
      </c>
      <c r="F36" s="47" t="str">
        <f>"SAFETY GLASSES: Clear Lens, Wrap around lens, anti-fog, anti-scratch, anti-static, anti-chemical against most chems., adjustable temples, lens inclination. Meets or exceeds ANSI Z87.1 &amp; CSA Z94.3. Frame: Black, Blue or Red/White/Blue, Lens: Clear, 10/bx"</f>
        <v>SAFETY GLASSES: Clear Lens, Wrap around lens, anti-fog, anti-scratch, anti-static, anti-chemical against most chems., adjustable temples, lens inclination. Meets or exceeds ANSI Z87.1 &amp; CSA Z94.3. Frame: Black, Blue or Red/White/Blue, Lens: Clear, 10/bx</v>
      </c>
      <c r="G36" s="37" t="str">
        <f t="shared" ref="G36:G43" si="4">"BX"</f>
        <v>BX</v>
      </c>
      <c r="H36" s="38">
        <v>53</v>
      </c>
      <c r="I36" s="31" t="str">
        <f t="shared" si="3"/>
        <v>46181803</v>
      </c>
      <c r="J36" s="48" t="s">
        <v>70</v>
      </c>
      <c r="K36" s="127"/>
    </row>
    <row r="37" spans="1:11" ht="89.25">
      <c r="A37" s="36" t="s">
        <v>25</v>
      </c>
      <c r="B37" s="31" t="s">
        <v>0</v>
      </c>
      <c r="C37" s="31">
        <v>3508</v>
      </c>
      <c r="D37" s="46">
        <v>20</v>
      </c>
      <c r="E37" s="31" t="str">
        <f>"1000001268"</f>
        <v>1000001268</v>
      </c>
      <c r="F37" s="47" t="str">
        <f>"SAFETY GLASSES: Grey Lens, Wrap around lens, anti-fog, anti-scratch, anti-static, anti-chemical against most chems., adjustable temples, lens inclination. Meets or exceeds ANSI Z87.1 &amp; CSA Z94.3. Frame: Black, Blue or Red/White/Blue, Lens: Grey, 10/bx"</f>
        <v>SAFETY GLASSES: Grey Lens, Wrap around lens, anti-fog, anti-scratch, anti-static, anti-chemical against most chems., adjustable temples, lens inclination. Meets or exceeds ANSI Z87.1 &amp; CSA Z94.3. Frame: Black, Blue or Red/White/Blue, Lens: Grey, 10/bx</v>
      </c>
      <c r="G37" s="37" t="str">
        <f t="shared" si="4"/>
        <v>BX</v>
      </c>
      <c r="H37" s="38">
        <v>60</v>
      </c>
      <c r="I37" s="31" t="str">
        <f t="shared" si="3"/>
        <v>46181803</v>
      </c>
      <c r="J37" s="48" t="s">
        <v>70</v>
      </c>
      <c r="K37" s="127"/>
    </row>
    <row r="38" spans="1:11" ht="89.25">
      <c r="A38" s="36" t="s">
        <v>25</v>
      </c>
      <c r="B38" s="31" t="s">
        <v>0</v>
      </c>
      <c r="C38" s="31">
        <v>3508</v>
      </c>
      <c r="D38" s="46">
        <v>21</v>
      </c>
      <c r="E38" s="31" t="str">
        <f>"1000000534"</f>
        <v>1000000534</v>
      </c>
      <c r="F38" s="47" t="str">
        <f>"SAFETY GLASSES: Visitors spectacles, meets ANSI Z87.1 standard. Rugged enough for industrial eye protection, fits over prescription eyewear. Two sizes allows students/children to use w/ comfort. Size: Small or Large, specify at ordering, 20/bx"</f>
        <v>SAFETY GLASSES: Visitors spectacles, meets ANSI Z87.1 standard. Rugged enough for industrial eye protection, fits over prescription eyewear. Two sizes allows students/children to use w/ comfort. Size: Small or Large, specify at ordering, 20/bx</v>
      </c>
      <c r="G38" s="37" t="str">
        <f t="shared" si="4"/>
        <v>BX</v>
      </c>
      <c r="H38" s="38">
        <v>30.35</v>
      </c>
      <c r="I38" s="31" t="str">
        <f t="shared" si="3"/>
        <v>46181803</v>
      </c>
      <c r="J38" s="48" t="s">
        <v>70</v>
      </c>
      <c r="K38" s="127"/>
    </row>
    <row r="39" spans="1:11" ht="89.25">
      <c r="A39" s="36" t="s">
        <v>25</v>
      </c>
      <c r="B39" s="31" t="s">
        <v>0</v>
      </c>
      <c r="C39" s="31">
        <v>3508</v>
      </c>
      <c r="D39" s="46">
        <v>22</v>
      </c>
      <c r="E39" s="31" t="str">
        <f>"1000001307"</f>
        <v>1000001307</v>
      </c>
      <c r="F39" s="47" t="str">
        <f>"SAFETY GLASSES: Blk/Clr, Maximum safeguard against eye injuries, curved lenses provide more than 180 degrees of coverage. Nose buds secrue glasses to face w/out slipping, adjustable temples, meets ANSI Z87.1 Frame: Black, Lens: Clear, 12/bx"</f>
        <v>SAFETY GLASSES: Blk/Clr, Maximum safeguard against eye injuries, curved lenses provide more than 180 degrees of coverage. Nose buds secrue glasses to face w/out slipping, adjustable temples, meets ANSI Z87.1 Frame: Black, Lens: Clear, 12/bx</v>
      </c>
      <c r="G39" s="37" t="str">
        <f t="shared" si="4"/>
        <v>BX</v>
      </c>
      <c r="H39" s="38">
        <v>53</v>
      </c>
      <c r="I39" s="31" t="str">
        <f t="shared" si="3"/>
        <v>46181803</v>
      </c>
      <c r="J39" s="48" t="s">
        <v>70</v>
      </c>
      <c r="K39" s="127"/>
    </row>
    <row r="40" spans="1:11" ht="89.25">
      <c r="A40" s="36" t="s">
        <v>25</v>
      </c>
      <c r="B40" s="31" t="s">
        <v>0</v>
      </c>
      <c r="C40" s="31">
        <v>3508</v>
      </c>
      <c r="D40" s="46">
        <v>23</v>
      </c>
      <c r="E40" s="31" t="str">
        <f>"1000001308"</f>
        <v>1000001308</v>
      </c>
      <c r="F40" s="47" t="str">
        <f>"SAFETY GLASSES: Blk/Gry, Maximum safeguard against eye injuries, curved lenses provide more than 180 degrees of coverage. Nose buds secrue glasses to face w/out slipping, adjustable temples, meets ANSI Z87.1 Frame: Black, Lens: Grey, 12/bx"</f>
        <v>SAFETY GLASSES: Blk/Gry, Maximum safeguard against eye injuries, curved lenses provide more than 180 degrees of coverage. Nose buds secrue glasses to face w/out slipping, adjustable temples, meets ANSI Z87.1 Frame: Black, Lens: Grey, 12/bx</v>
      </c>
      <c r="G40" s="37" t="str">
        <f t="shared" si="4"/>
        <v>BX</v>
      </c>
      <c r="H40" s="38">
        <v>63</v>
      </c>
      <c r="I40" s="31" t="str">
        <f t="shared" si="3"/>
        <v>46181803</v>
      </c>
      <c r="J40" s="48" t="s">
        <v>70</v>
      </c>
      <c r="K40" s="127"/>
    </row>
    <row r="41" spans="1:11" ht="89.25">
      <c r="A41" s="36" t="s">
        <v>25</v>
      </c>
      <c r="B41" s="31" t="s">
        <v>0</v>
      </c>
      <c r="C41" s="31">
        <v>3508</v>
      </c>
      <c r="D41" s="46">
        <v>24</v>
      </c>
      <c r="E41" s="31" t="str">
        <f>"1000001269"</f>
        <v>1000001269</v>
      </c>
      <c r="F41" s="47" t="str">
        <f>"SAFETY GLASSES: Amber Lens, Wrap around lens, anti-fog, anti-scratch, anti-static, anti-chemical against most chems., adjustable temples, lens inclination. Meets or exceeds ANSI Z87.1 &amp; CSA Z94.3. Frame: Black, Blue or Red/White/Blue. Lens: Amber, 10/box"</f>
        <v>SAFETY GLASSES: Amber Lens, Wrap around lens, anti-fog, anti-scratch, anti-static, anti-chemical against most chems., adjustable temples, lens inclination. Meets or exceeds ANSI Z87.1 &amp; CSA Z94.3. Frame: Black, Blue or Red/White/Blue. Lens: Amber, 10/box</v>
      </c>
      <c r="G41" s="37" t="str">
        <f t="shared" si="4"/>
        <v>BX</v>
      </c>
      <c r="H41" s="38">
        <v>60</v>
      </c>
      <c r="I41" s="31" t="str">
        <f t="shared" si="3"/>
        <v>46181803</v>
      </c>
      <c r="J41" s="48" t="s">
        <v>70</v>
      </c>
      <c r="K41" s="127"/>
    </row>
    <row r="42" spans="1:11" ht="89.25">
      <c r="A42" s="36" t="s">
        <v>25</v>
      </c>
      <c r="B42" s="31" t="s">
        <v>0</v>
      </c>
      <c r="C42" s="31">
        <v>3508</v>
      </c>
      <c r="D42" s="46">
        <v>25</v>
      </c>
      <c r="E42" s="31" t="str">
        <f>"1000001243"</f>
        <v>1000001243</v>
      </c>
      <c r="F42" s="47" t="str">
        <f>"SAFETY GLASSES: Blk, Amber, Maximum safeguard against eye injuries, curved lenses provide more than 180 degrees of coverage. Nose buds secrue glasses to face w/out slipping, adjustable temples, meets ANSI Z87.1. Frame: Black, Lens: Amber, 12/bx"</f>
        <v>SAFETY GLASSES: Blk, Amber, Maximum safeguard against eye injuries, curved lenses provide more than 180 degrees of coverage. Nose buds secrue glasses to face w/out slipping, adjustable temples, meets ANSI Z87.1. Frame: Black, Lens: Amber, 12/bx</v>
      </c>
      <c r="G42" s="37" t="str">
        <f t="shared" si="4"/>
        <v>BX</v>
      </c>
      <c r="H42" s="38">
        <v>63</v>
      </c>
      <c r="I42" s="31" t="str">
        <f t="shared" si="3"/>
        <v>46181803</v>
      </c>
      <c r="J42" s="48" t="s">
        <v>70</v>
      </c>
      <c r="K42" s="127"/>
    </row>
    <row r="43" spans="1:11" ht="89.25">
      <c r="A43" s="36" t="s">
        <v>25</v>
      </c>
      <c r="B43" s="31" t="s">
        <v>0</v>
      </c>
      <c r="C43" s="31">
        <v>3508</v>
      </c>
      <c r="D43" s="46">
        <v>26</v>
      </c>
      <c r="E43" s="31" t="str">
        <f>"1000001244"</f>
        <v>1000001244</v>
      </c>
      <c r="F43" s="47" t="str">
        <f>"SAFETY GLASSES: Blk/Grn, Maximum safeguard against eye injuries, curved lenses provide more than 180 degrees of coverage. Nose buds secrue glasses to face w/out slipping, adjustable temples, meets ANSI Z87.1 Frame: Black, Lens: 3.0 Green, 12/bx"</f>
        <v>SAFETY GLASSES: Blk/Grn, Maximum safeguard against eye injuries, curved lenses provide more than 180 degrees of coverage. Nose buds secrue glasses to face w/out slipping, adjustable temples, meets ANSI Z87.1 Frame: Black, Lens: 3.0 Green, 12/bx</v>
      </c>
      <c r="G43" s="37" t="str">
        <f t="shared" si="4"/>
        <v>BX</v>
      </c>
      <c r="H43" s="38">
        <v>63</v>
      </c>
      <c r="I43" s="31" t="str">
        <f t="shared" si="3"/>
        <v>46181803</v>
      </c>
      <c r="J43" s="48" t="s">
        <v>70</v>
      </c>
      <c r="K43" s="127"/>
    </row>
    <row r="44" spans="1:11" ht="89.25">
      <c r="A44" s="36" t="s">
        <v>25</v>
      </c>
      <c r="B44" s="31" t="s">
        <v>0</v>
      </c>
      <c r="C44" s="31">
        <v>3508</v>
      </c>
      <c r="D44" s="46">
        <v>27</v>
      </c>
      <c r="E44" s="31" t="str">
        <f>"1000001547"</f>
        <v>1000001547</v>
      </c>
      <c r="F44" s="47" t="str">
        <f>"SAFETY GLASSES: Blu Mirror Lens, Sport style frame with deep curve lens, durable nylon frame w/ universal nosebridge. Meets ANSI Z87.1-1989 &amp; CSA High Impact standards. Frame: Black or Blue (specify at time of order) Lens: Blue Mirror"</f>
        <v>SAFETY GLASSES: Blu Mirror Lens, Sport style frame with deep curve lens, durable nylon frame w/ universal nosebridge. Meets ANSI Z87.1-1989 &amp; CSA High Impact standards. Frame: Black or Blue (specify at time of order) Lens: Blue Mirror</v>
      </c>
      <c r="G44" s="37" t="str">
        <f t="shared" ref="G44:G51" si="5">"DZ"</f>
        <v>DZ</v>
      </c>
      <c r="H44" s="38">
        <v>126</v>
      </c>
      <c r="I44" s="31" t="str">
        <f t="shared" si="3"/>
        <v>46181803</v>
      </c>
      <c r="J44" s="48" t="s">
        <v>70</v>
      </c>
      <c r="K44" s="127"/>
    </row>
    <row r="45" spans="1:11" ht="76.5">
      <c r="A45" s="36" t="s">
        <v>25</v>
      </c>
      <c r="B45" s="31" t="s">
        <v>0</v>
      </c>
      <c r="C45" s="31">
        <v>3508</v>
      </c>
      <c r="D45" s="46">
        <v>28</v>
      </c>
      <c r="E45" s="31" t="str">
        <f>"1000001788"</f>
        <v>1000001788</v>
      </c>
      <c r="F45" s="47" t="str">
        <f>"SAFETY GLASSES: Blk/Blu/Clr, DZ. Sport style frame with deep curve lens, durable nylon frame w/ universal nosebridge. Meets ANSI Z87.1-1989 &amp; CSA High Impact standards. Frame: Black or Blue (specify at time of order) Lens: Clear"</f>
        <v>SAFETY GLASSES: Blk/Blu/Clr, DZ. Sport style frame with deep curve lens, durable nylon frame w/ universal nosebridge. Meets ANSI Z87.1-1989 &amp; CSA High Impact standards. Frame: Black or Blue (specify at time of order) Lens: Clear</v>
      </c>
      <c r="G45" s="37" t="str">
        <f t="shared" si="5"/>
        <v>DZ</v>
      </c>
      <c r="H45" s="38">
        <v>85</v>
      </c>
      <c r="I45" s="31" t="str">
        <f t="shared" si="3"/>
        <v>46181803</v>
      </c>
      <c r="J45" s="48" t="s">
        <v>70</v>
      </c>
      <c r="K45" s="127"/>
    </row>
    <row r="46" spans="1:11" ht="76.5">
      <c r="A46" s="36" t="s">
        <v>25</v>
      </c>
      <c r="B46" s="31" t="s">
        <v>0</v>
      </c>
      <c r="C46" s="31">
        <v>3508</v>
      </c>
      <c r="D46" s="46">
        <v>29</v>
      </c>
      <c r="E46" s="31" t="str">
        <f>"1000001052"</f>
        <v>1000001052</v>
      </c>
      <c r="F46" s="47" t="str">
        <f>"SAFETY GLASSES: Gry Lens, Sport style frame with deep curve lens, durable nylon frame w/ universal nosebridge. Meets ANSI Z87.1-1989 &amp; CSA High Impact standards. Frame: Black or Blue (specify at time of order) Lens: Grey"</f>
        <v>SAFETY GLASSES: Gry Lens, Sport style frame with deep curve lens, durable nylon frame w/ universal nosebridge. Meets ANSI Z87.1-1989 &amp; CSA High Impact standards. Frame: Black or Blue (specify at time of order) Lens: Grey</v>
      </c>
      <c r="G46" s="37" t="str">
        <f t="shared" si="5"/>
        <v>DZ</v>
      </c>
      <c r="H46" s="38">
        <v>85</v>
      </c>
      <c r="I46" s="31" t="str">
        <f t="shared" si="3"/>
        <v>46181803</v>
      </c>
      <c r="J46" s="48" t="s">
        <v>70</v>
      </c>
      <c r="K46" s="127"/>
    </row>
    <row r="47" spans="1:11" ht="89.25">
      <c r="A47" s="36" t="s">
        <v>25</v>
      </c>
      <c r="B47" s="31" t="s">
        <v>0</v>
      </c>
      <c r="C47" s="31">
        <v>3508</v>
      </c>
      <c r="D47" s="46">
        <v>30</v>
      </c>
      <c r="E47" s="31" t="str">
        <f>"1000001634"</f>
        <v>1000001634</v>
      </c>
      <c r="F47" s="47" t="str">
        <f>"SAFETY GLASSES: Smk/Smk, Lightweight, nylon frame, wrap around protection, 8 base lens curve increases peripheral vision, adjust. temples. 1 piece polycarbonate lens ANSI Z87,1-1989 compliant. Frame: Smoke, Lens: Smoke w/ FogGuard plus"</f>
        <v>SAFETY GLASSES: Smk/Smk, Lightweight, nylon frame, wrap around protection, 8 base lens curve increases peripheral vision, adjust. temples. 1 piece polycarbonate lens ANSI Z87,1-1989 compliant. Frame: Smoke, Lens: Smoke w/ FogGuard plus</v>
      </c>
      <c r="G47" s="37" t="str">
        <f t="shared" si="5"/>
        <v>DZ</v>
      </c>
      <c r="H47" s="38">
        <v>60</v>
      </c>
      <c r="I47" s="31" t="str">
        <f t="shared" si="3"/>
        <v>46181803</v>
      </c>
      <c r="J47" s="48" t="s">
        <v>70</v>
      </c>
      <c r="K47" s="127"/>
    </row>
    <row r="48" spans="1:11" ht="89.25">
      <c r="A48" s="36" t="s">
        <v>25</v>
      </c>
      <c r="B48" s="31" t="s">
        <v>0</v>
      </c>
      <c r="C48" s="31">
        <v>3508</v>
      </c>
      <c r="D48" s="46">
        <v>31</v>
      </c>
      <c r="E48" s="31" t="str">
        <f>"1000000976"</f>
        <v>1000000976</v>
      </c>
      <c r="F48" s="47" t="str">
        <f>"SAFETY GLASSES: Blu/Blk/Blk, Mirror Blue Lens. Lightweight, nylon frame, wrap around protection, 8 base lens curve increases peripheral vision, adjust. temples. 1 piece polycarbonate lens ANSI Z87,1-1989 compliant. Frame: Blu/Blk/Blk, Lens: Mirror Blue"</f>
        <v>SAFETY GLASSES: Blu/Blk/Blk, Mirror Blue Lens. Lightweight, nylon frame, wrap around protection, 8 base lens curve increases peripheral vision, adjust. temples. 1 piece polycarbonate lens ANSI Z87,1-1989 compliant. Frame: Blu/Blk/Blk, Lens: Mirror Blue</v>
      </c>
      <c r="G48" s="37" t="str">
        <f t="shared" si="5"/>
        <v>DZ</v>
      </c>
      <c r="H48" s="38">
        <v>60</v>
      </c>
      <c r="I48" s="31" t="str">
        <f t="shared" si="3"/>
        <v>46181803</v>
      </c>
      <c r="J48" s="48" t="s">
        <v>70</v>
      </c>
      <c r="K48" s="127"/>
    </row>
    <row r="49" spans="1:11" ht="89.25">
      <c r="A49" s="36" t="s">
        <v>25</v>
      </c>
      <c r="B49" s="31" t="s">
        <v>0</v>
      </c>
      <c r="C49" s="31">
        <v>3508</v>
      </c>
      <c r="D49" s="46">
        <v>32</v>
      </c>
      <c r="E49" s="31" t="str">
        <f>"1000001633"</f>
        <v>1000001633</v>
      </c>
      <c r="F49" s="47" t="str">
        <f>"SAFETY GLASSES: Clr/Slvr/Clr, Clr Lens. Lightweight, nylon frame, wrap around protection, 8 base lens curve increases peripheral vision, adjust. temples. 1 piece polycarbonate lens ANSI Z87,1-1989 compliant. Frame: Clear/Silver/Clear, Lens: Clear"</f>
        <v>SAFETY GLASSES: Clr/Slvr/Clr, Clr Lens. Lightweight, nylon frame, wrap around protection, 8 base lens curve increases peripheral vision, adjust. temples. 1 piece polycarbonate lens ANSI Z87,1-1989 compliant. Frame: Clear/Silver/Clear, Lens: Clear</v>
      </c>
      <c r="G49" s="37" t="str">
        <f t="shared" si="5"/>
        <v>DZ</v>
      </c>
      <c r="H49" s="38">
        <v>64.8</v>
      </c>
      <c r="I49" s="31" t="str">
        <f t="shared" si="3"/>
        <v>46181803</v>
      </c>
      <c r="J49" s="48" t="s">
        <v>70</v>
      </c>
      <c r="K49" s="127"/>
    </row>
    <row r="50" spans="1:11" ht="89.25">
      <c r="A50" s="36" t="s">
        <v>25</v>
      </c>
      <c r="B50" s="31" t="s">
        <v>0</v>
      </c>
      <c r="C50" s="31">
        <v>3508</v>
      </c>
      <c r="D50" s="46">
        <v>33</v>
      </c>
      <c r="E50" s="31" t="str">
        <f>"1000001286"</f>
        <v>1000001286</v>
      </c>
      <c r="F50" s="47" t="str">
        <f>"SAFETY GLASSES: Smk/Slvr/Smk, Smoke Lens. Lightweight, nylon frame, wrap around protection, 8 base lens curve increases peripheral vision, adjust. temples. 1 piece polycarbonate lens ANSI Z87,1-1989 compliant. Frame: Smoke/Silver/Smoke, Lens: Smoke"</f>
        <v>SAFETY GLASSES: Smk/Slvr/Smk, Smoke Lens. Lightweight, nylon frame, wrap around protection, 8 base lens curve increases peripheral vision, adjust. temples. 1 piece polycarbonate lens ANSI Z87,1-1989 compliant. Frame: Smoke/Silver/Smoke, Lens: Smoke</v>
      </c>
      <c r="G50" s="37" t="str">
        <f t="shared" si="5"/>
        <v>DZ</v>
      </c>
      <c r="H50" s="38">
        <v>64.8</v>
      </c>
      <c r="I50" s="31" t="str">
        <f t="shared" si="3"/>
        <v>46181803</v>
      </c>
      <c r="J50" s="48" t="s">
        <v>70</v>
      </c>
      <c r="K50" s="127"/>
    </row>
    <row r="51" spans="1:11" ht="89.25">
      <c r="A51" s="36" t="s">
        <v>25</v>
      </c>
      <c r="B51" s="31" t="s">
        <v>0</v>
      </c>
      <c r="C51" s="31">
        <v>3508</v>
      </c>
      <c r="D51" s="46">
        <v>34</v>
      </c>
      <c r="E51" s="31" t="str">
        <f>"1000001322"</f>
        <v>1000001322</v>
      </c>
      <c r="F51" s="47" t="str">
        <f>"SAFETY GLASSES: Am/Blk/Am, Amber Lens. Lightweight, nylon frame, wrap around protection, 8 base lens curve increases peripheral vision, adjust. temples. 1 piece polycarbonate lens ANSI Z87,1-1989 compliant. Frame: Amber/Black/Amber, Lens: Amber"</f>
        <v>SAFETY GLASSES: Am/Blk/Am, Amber Lens. Lightweight, nylon frame, wrap around protection, 8 base lens curve increases peripheral vision, adjust. temples. 1 piece polycarbonate lens ANSI Z87,1-1989 compliant. Frame: Amber/Black/Amber, Lens: Amber</v>
      </c>
      <c r="G51" s="37" t="str">
        <f t="shared" si="5"/>
        <v>DZ</v>
      </c>
      <c r="H51" s="38">
        <v>64.8</v>
      </c>
      <c r="I51" s="31" t="str">
        <f t="shared" si="3"/>
        <v>46181803</v>
      </c>
      <c r="J51" s="48" t="s">
        <v>70</v>
      </c>
      <c r="K51" s="127"/>
    </row>
    <row r="52" spans="1:11" ht="51">
      <c r="A52" s="36" t="s">
        <v>25</v>
      </c>
      <c r="B52" s="31" t="s">
        <v>0</v>
      </c>
      <c r="C52" s="31">
        <v>3508</v>
      </c>
      <c r="D52" s="46">
        <v>4</v>
      </c>
      <c r="E52" s="31" t="str">
        <f>"1000006544"</f>
        <v>1000006544</v>
      </c>
      <c r="F52" s="47" t="str">
        <f>"SURVEY FLAG:Wire-24 lg 2x3 flag-red/yellow/blue~Stakes, survey flags, wire. 24 length, 2 x 3 flag size. Colors: red, yellow, blue"</f>
        <v>SURVEY FLAG:Wire-24 lg 2x3 flag-red/yellow/blue~Stakes, survey flags, wire. 24 length, 2 x 3 flag size. Colors: red, yellow, blue</v>
      </c>
      <c r="G52" s="37" t="str">
        <f t="shared" ref="G52:G60" si="6">"TH"</f>
        <v>TH</v>
      </c>
      <c r="H52" s="38">
        <v>71.38</v>
      </c>
      <c r="I52" s="31" t="str">
        <f t="shared" ref="I52:I60" si="7">"41114205"</f>
        <v>41114205</v>
      </c>
      <c r="J52" s="48" t="s">
        <v>69</v>
      </c>
      <c r="K52" s="127"/>
    </row>
    <row r="53" spans="1:11" ht="51">
      <c r="A53" s="36" t="s">
        <v>25</v>
      </c>
      <c r="B53" s="31" t="s">
        <v>0</v>
      </c>
      <c r="C53" s="31">
        <v>3508</v>
      </c>
      <c r="D53" s="46">
        <v>5</v>
      </c>
      <c r="E53" s="31" t="str">
        <f>"1000006545"</f>
        <v>1000006545</v>
      </c>
      <c r="F53" s="47" t="str">
        <f>"SURVEY FLAG:Wire-36 lg, 4x5 flag-red/yellow/blue/orange~Stakes, survey flags, wire. 36 length, 4 x 5 flag size. Colors: red, yellow, blue, orange"</f>
        <v>SURVEY FLAG:Wire-36 lg, 4x5 flag-red/yellow/blue/orange~Stakes, survey flags, wire. 36 length, 4 x 5 flag size. Colors: red, yellow, blue, orange</v>
      </c>
      <c r="G53" s="37" t="str">
        <f t="shared" si="6"/>
        <v>TH</v>
      </c>
      <c r="H53" s="38">
        <v>80.05</v>
      </c>
      <c r="I53" s="31" t="str">
        <f t="shared" si="7"/>
        <v>41114205</v>
      </c>
      <c r="J53" s="48" t="s">
        <v>69</v>
      </c>
      <c r="K53" s="127"/>
    </row>
    <row r="54" spans="1:11" ht="38.25">
      <c r="A54" s="36" t="s">
        <v>25</v>
      </c>
      <c r="B54" s="31" t="s">
        <v>0</v>
      </c>
      <c r="C54" s="31">
        <v>3508</v>
      </c>
      <c r="D54" s="46">
        <v>35</v>
      </c>
      <c r="E54" s="31" t="str">
        <f>"1000006235"</f>
        <v>1000006235</v>
      </c>
      <c r="F54" s="47" t="str">
        <f>"STAKES-Pine Slope:3/4 x 2 5/16 x 16~Stakes, slope, flat, and hub. 3/4 x 2 5/16 x 16 pine slope stakes"</f>
        <v>STAKES-Pine Slope:3/4 x 2 5/16 x 16~Stakes, slope, flat, and hub. 3/4 x 2 5/16 x 16 pine slope stakes</v>
      </c>
      <c r="G54" s="37" t="str">
        <f t="shared" si="6"/>
        <v>TH</v>
      </c>
      <c r="H54" s="38">
        <v>357.76</v>
      </c>
      <c r="I54" s="31" t="str">
        <f t="shared" si="7"/>
        <v>41114205</v>
      </c>
      <c r="J54" s="48" t="s">
        <v>69</v>
      </c>
      <c r="K54" s="127"/>
    </row>
    <row r="55" spans="1:11" ht="38.25">
      <c r="A55" s="36" t="s">
        <v>25</v>
      </c>
      <c r="B55" s="31" t="s">
        <v>0</v>
      </c>
      <c r="C55" s="31">
        <v>3508</v>
      </c>
      <c r="D55" s="46">
        <v>36</v>
      </c>
      <c r="E55" s="31" t="str">
        <f>"1000006257"</f>
        <v>1000006257</v>
      </c>
      <c r="F55" s="47" t="str">
        <f>"STAKES-Pine Pointed:1 X 1-1/2 X 3'~Stakes, slope, flat, and hub. 1 X 1-1/2 X 3' Pine Pointed"</f>
        <v>STAKES-Pine Pointed:1 X 1-1/2 X 3'~Stakes, slope, flat, and hub. 1 X 1-1/2 X 3' Pine Pointed</v>
      </c>
      <c r="G55" s="37" t="str">
        <f t="shared" si="6"/>
        <v>TH</v>
      </c>
      <c r="H55" s="38">
        <v>404.25</v>
      </c>
      <c r="I55" s="31" t="str">
        <f t="shared" si="7"/>
        <v>41114205</v>
      </c>
      <c r="J55" s="48" t="s">
        <v>69</v>
      </c>
      <c r="K55" s="127"/>
    </row>
    <row r="56" spans="1:11" ht="25.5">
      <c r="A56" s="36" t="s">
        <v>25</v>
      </c>
      <c r="B56" s="31" t="s">
        <v>0</v>
      </c>
      <c r="C56" s="31">
        <v>3508</v>
      </c>
      <c r="D56" s="46">
        <v>37</v>
      </c>
      <c r="E56" s="31" t="str">
        <f>"1000006279"</f>
        <v>1000006279</v>
      </c>
      <c r="F56" s="47" t="str">
        <f>"STAKES:Pine Flat:1 x 1 x 4'~Stakes, slope, flat, and hub. 1 x 1 x 4' pine flat stakes"</f>
        <v>STAKES:Pine Flat:1 x 1 x 4'~Stakes, slope, flat, and hub. 1 x 1 x 4' pine flat stakes</v>
      </c>
      <c r="G56" s="37" t="str">
        <f t="shared" si="6"/>
        <v>TH</v>
      </c>
      <c r="H56" s="38">
        <v>485.98</v>
      </c>
      <c r="I56" s="31" t="str">
        <f t="shared" si="7"/>
        <v>41114205</v>
      </c>
      <c r="J56" s="48" t="s">
        <v>69</v>
      </c>
      <c r="K56" s="127"/>
    </row>
    <row r="57" spans="1:11" ht="38.25">
      <c r="A57" s="36" t="s">
        <v>25</v>
      </c>
      <c r="B57" s="31" t="s">
        <v>0</v>
      </c>
      <c r="C57" s="31">
        <v>3508</v>
      </c>
      <c r="D57" s="46">
        <v>38</v>
      </c>
      <c r="E57" s="31" t="str">
        <f>"1000006212"</f>
        <v>1000006212</v>
      </c>
      <c r="F57" s="47" t="str">
        <f>"STAKES-Pine Slope:3/4x1 11/16x16~Stakes, slope, flat, and hub. 3/4 x 1 11/16 x 16 pine slope stakes"</f>
        <v>STAKES-Pine Slope:3/4x1 11/16x16~Stakes, slope, flat, and hub. 3/4 x 1 11/16 x 16 pine slope stakes</v>
      </c>
      <c r="G57" s="37" t="str">
        <f t="shared" si="6"/>
        <v>TH</v>
      </c>
      <c r="H57" s="38">
        <v>315.62</v>
      </c>
      <c r="I57" s="31" t="str">
        <f t="shared" si="7"/>
        <v>41114205</v>
      </c>
      <c r="J57" s="48" t="s">
        <v>69</v>
      </c>
      <c r="K57" s="127"/>
    </row>
    <row r="58" spans="1:11" ht="38.25">
      <c r="A58" s="36" t="s">
        <v>25</v>
      </c>
      <c r="B58" s="31" t="s">
        <v>0</v>
      </c>
      <c r="C58" s="31">
        <v>3508</v>
      </c>
      <c r="D58" s="46">
        <v>39</v>
      </c>
      <c r="E58" s="31" t="str">
        <f>"1000006842"</f>
        <v>1000006842</v>
      </c>
      <c r="F58" s="47" t="str">
        <f>"STAKE:Engineer/1 1/2x1 1/2x6,Pine Hub~Stakes, slope, flat, and hub. 1 1/2 x 1 1/2 x 6 pine hub stakes"</f>
        <v>STAKE:Engineer/1 1/2x1 1/2x6,Pine Hub~Stakes, slope, flat, and hub. 1 1/2 x 1 1/2 x 6 pine hub stakes</v>
      </c>
      <c r="G58" s="37" t="str">
        <f t="shared" si="6"/>
        <v>TH</v>
      </c>
      <c r="H58" s="38">
        <v>369.42</v>
      </c>
      <c r="I58" s="31" t="str">
        <f t="shared" si="7"/>
        <v>41114205</v>
      </c>
      <c r="J58" s="48" t="s">
        <v>69</v>
      </c>
      <c r="K58" s="127"/>
    </row>
    <row r="59" spans="1:11" ht="38.25">
      <c r="A59" s="36" t="s">
        <v>25</v>
      </c>
      <c r="B59" s="31" t="s">
        <v>0</v>
      </c>
      <c r="C59" s="31">
        <v>3508</v>
      </c>
      <c r="D59" s="46">
        <v>40</v>
      </c>
      <c r="E59" s="31" t="str">
        <f>"1000006843"</f>
        <v>1000006843</v>
      </c>
      <c r="F59" s="47" t="str">
        <f>"STAKE:Engineer/1 1/2x1 1/2x8,Pine Hub~Stakes, slope, flat, and hub. 1 1/2 x 1 1/2 x 8 pine hub stakes"</f>
        <v>STAKE:Engineer/1 1/2x1 1/2x8,Pine Hub~Stakes, slope, flat, and hub. 1 1/2 x 1 1/2 x 8 pine hub stakes</v>
      </c>
      <c r="G59" s="37" t="str">
        <f t="shared" si="6"/>
        <v>TH</v>
      </c>
      <c r="H59" s="38">
        <v>383.13</v>
      </c>
      <c r="I59" s="31" t="str">
        <f t="shared" si="7"/>
        <v>41114205</v>
      </c>
      <c r="J59" s="48" t="s">
        <v>69</v>
      </c>
      <c r="K59" s="127"/>
    </row>
    <row r="60" spans="1:11" ht="38.25">
      <c r="A60" s="36" t="s">
        <v>25</v>
      </c>
      <c r="B60" s="31" t="s">
        <v>0</v>
      </c>
      <c r="C60" s="31">
        <v>3508</v>
      </c>
      <c r="D60" s="46">
        <v>41</v>
      </c>
      <c r="E60" s="31" t="str">
        <f>"1000006600"</f>
        <v>1000006600</v>
      </c>
      <c r="F60" s="47" t="str">
        <f>"STAKE:Engineer/1 1/2x1 1/2x12,Pine Hub~Stakes, slope, flat, and hub. 1 1/2 x 1 1/2 x 12 pine hub stakes"</f>
        <v>STAKE:Engineer/1 1/2x1 1/2x12,Pine Hub~Stakes, slope, flat, and hub. 1 1/2 x 1 1/2 x 12 pine hub stakes</v>
      </c>
      <c r="G60" s="37" t="str">
        <f t="shared" si="6"/>
        <v>TH</v>
      </c>
      <c r="H60" s="38">
        <v>430.49</v>
      </c>
      <c r="I60" s="31" t="str">
        <f t="shared" si="7"/>
        <v>41114205</v>
      </c>
      <c r="J60" s="48" t="s">
        <v>69</v>
      </c>
      <c r="K60" s="127"/>
    </row>
    <row r="61" spans="1:11" ht="76.5">
      <c r="A61" s="36" t="s">
        <v>25</v>
      </c>
      <c r="B61" s="31" t="s">
        <v>0</v>
      </c>
      <c r="C61" s="31">
        <v>3508</v>
      </c>
      <c r="D61" s="46">
        <v>2</v>
      </c>
      <c r="E61" s="31" t="str">
        <f>"1000001104"</f>
        <v>1000001104</v>
      </c>
      <c r="F61" s="47" t="str">
        <f>"SURVEY FLAG ROLL: Glow, flagging, surveyor. 1 3/16, Glow roll flagging tape, 150' x 1-3/16 rolls. -10 degrees F temp. resistance, 4.5 mil thickness. Colors: glow blue, glow yellow, glow red, glow orange"</f>
        <v>SURVEY FLAG ROLL: Glow, flagging, surveyor. 1 3/16, Glow roll flagging tape, 150' x 1-3/16 rolls. -10 degrees F temp. resistance, 4.5 mil thickness. Colors: glow blue, glow yellow, glow red, glow orange</v>
      </c>
      <c r="G61" s="37" t="str">
        <f>"RL"</f>
        <v>RL</v>
      </c>
      <c r="H61" s="38">
        <v>1</v>
      </c>
      <c r="I61" s="31" t="str">
        <f>"31201525"</f>
        <v>31201525</v>
      </c>
      <c r="J61" s="48" t="s">
        <v>68</v>
      </c>
      <c r="K61" s="127"/>
    </row>
    <row r="62" spans="1:11" ht="63.75">
      <c r="A62" s="36" t="s">
        <v>25</v>
      </c>
      <c r="B62" s="31" t="s">
        <v>0</v>
      </c>
      <c r="C62" s="31">
        <v>3508</v>
      </c>
      <c r="D62" s="46">
        <v>3</v>
      </c>
      <c r="E62" s="31" t="str">
        <f>"1000001107"</f>
        <v>1000001107</v>
      </c>
      <c r="F62" s="47" t="str">
        <f>"SURVEY FLAG ROLL: Standard, flagging, surveyor. 1 3/16. Standard roll flagging, 300' x 1-3/16 rolls. -10 degrees F temp. resistance, 2.5 mil thickness.Colors: blue, yellow, red, orange"</f>
        <v>SURVEY FLAG ROLL: Standard, flagging, surveyor. 1 3/16. Standard roll flagging, 300' x 1-3/16 rolls. -10 degrees F temp. resistance, 2.5 mil thickness.Colors: blue, yellow, red, orange</v>
      </c>
      <c r="G62" s="37" t="str">
        <f>"RL"</f>
        <v>RL</v>
      </c>
      <c r="H62" s="38">
        <v>1</v>
      </c>
      <c r="I62" s="31" t="str">
        <f>"31201525"</f>
        <v>31201525</v>
      </c>
      <c r="J62" s="48" t="s">
        <v>68</v>
      </c>
      <c r="K62" s="127"/>
    </row>
    <row r="63" spans="1:11" ht="26.25">
      <c r="A63" s="36" t="s">
        <v>25</v>
      </c>
      <c r="B63" s="31" t="s">
        <v>12</v>
      </c>
      <c r="C63" s="31">
        <v>3509</v>
      </c>
      <c r="D63" s="46">
        <v>1</v>
      </c>
      <c r="E63" s="31" t="str">
        <f>"1000009750"</f>
        <v>1000009750</v>
      </c>
      <c r="F63" s="31" t="s">
        <v>591</v>
      </c>
      <c r="G63" s="37" t="str">
        <f>"SF"</f>
        <v>SF</v>
      </c>
      <c r="H63" s="38">
        <v>0.01</v>
      </c>
      <c r="I63" s="31" t="str">
        <f>"76111501"</f>
        <v>76111501</v>
      </c>
      <c r="J63" s="39" t="s">
        <v>67</v>
      </c>
      <c r="K63" s="127"/>
    </row>
    <row r="64" spans="1:11" ht="39">
      <c r="A64" s="36" t="s">
        <v>25</v>
      </c>
      <c r="B64" s="31" t="s">
        <v>44</v>
      </c>
      <c r="C64" s="31">
        <v>3532</v>
      </c>
      <c r="D64" s="46">
        <v>7</v>
      </c>
      <c r="E64" s="31" t="str">
        <f>"1000000744"</f>
        <v>1000000744</v>
      </c>
      <c r="F64" s="31" t="str">
        <f>"FIRE HOSE:XL-800 dbl jacket 80~XL-800 Double jacket 800 PSIC 50' hose1.5~XL-800 Double jacket 800 PSIC 50' hose 1.5"</f>
        <v>FIRE HOSE:XL-800 dbl jacket 80~XL-800 Double jacket 800 PSIC 50' hose1.5~XL-800 Double jacket 800 PSIC 50' hose 1.5</v>
      </c>
      <c r="G64" s="37" t="str">
        <f t="shared" ref="G64:G102" si="8">"EA"</f>
        <v>EA</v>
      </c>
      <c r="H64" s="38">
        <v>148.99</v>
      </c>
      <c r="I64" s="31" t="str">
        <f t="shared" ref="I64:I91" si="9">"46191603"</f>
        <v>46191603</v>
      </c>
      <c r="J64" s="39" t="s">
        <v>135</v>
      </c>
      <c r="K64" s="127"/>
    </row>
    <row r="65" spans="1:11" ht="51.75">
      <c r="A65" s="36" t="s">
        <v>25</v>
      </c>
      <c r="B65" s="31" t="s">
        <v>44</v>
      </c>
      <c r="C65" s="31">
        <v>3532</v>
      </c>
      <c r="D65" s="46">
        <v>8</v>
      </c>
      <c r="E65" s="31" t="str">
        <f>"1000000743"</f>
        <v>1000000743</v>
      </c>
      <c r="F65" s="31" t="str">
        <f>"FIRE HOSE:XL-800 dbl jacket 80~XL-800 Double jacket 800 PSIC 100', 1.5 hose~XL-800 Double jacket 800 PSIC 100', 1.5 hose"</f>
        <v>FIRE HOSE:XL-800 dbl jacket 80~XL-800 Double jacket 800 PSIC 100', 1.5 hose~XL-800 Double jacket 800 PSIC 100', 1.5 hose</v>
      </c>
      <c r="G65" s="37" t="str">
        <f t="shared" si="8"/>
        <v>EA</v>
      </c>
      <c r="H65" s="38">
        <v>250.97</v>
      </c>
      <c r="I65" s="31" t="str">
        <f t="shared" si="9"/>
        <v>46191603</v>
      </c>
      <c r="J65" s="39" t="s">
        <v>135</v>
      </c>
      <c r="K65" s="127"/>
    </row>
    <row r="66" spans="1:11" ht="39">
      <c r="A66" s="36" t="s">
        <v>25</v>
      </c>
      <c r="B66" s="31" t="s">
        <v>44</v>
      </c>
      <c r="C66" s="31">
        <v>3532</v>
      </c>
      <c r="D66" s="46">
        <v>9</v>
      </c>
      <c r="E66" s="31" t="str">
        <f>"1000000923"</f>
        <v>1000000923</v>
      </c>
      <c r="F66" s="31" t="str">
        <f>"FIRE HOSE:XL800 dbl jacket 800~XL800 Double jacket 800 PSIC 50' 2 hose~XL800 Double jacket 800 PSIC 50' 2 hose"</f>
        <v>FIRE HOSE:XL800 dbl jacket 800~XL800 Double jacket 800 PSIC 50' 2 hose~XL800 Double jacket 800 PSIC 50' 2 hose</v>
      </c>
      <c r="G66" s="37" t="str">
        <f t="shared" si="8"/>
        <v>EA</v>
      </c>
      <c r="H66" s="38">
        <v>189.96</v>
      </c>
      <c r="I66" s="31" t="str">
        <f t="shared" si="9"/>
        <v>46191603</v>
      </c>
      <c r="J66" s="39" t="s">
        <v>135</v>
      </c>
      <c r="K66" s="127"/>
    </row>
    <row r="67" spans="1:11" ht="39">
      <c r="A67" s="36" t="s">
        <v>25</v>
      </c>
      <c r="B67" s="31" t="s">
        <v>44</v>
      </c>
      <c r="C67" s="31">
        <v>3532</v>
      </c>
      <c r="D67" s="46">
        <v>10</v>
      </c>
      <c r="E67" s="31" t="str">
        <f>"1000000689"</f>
        <v>1000000689</v>
      </c>
      <c r="F67" s="31" t="str">
        <f>"FIRE HOSE:XL800 dbl jacket 800~XL 800 Double jacket 800 PSIC 100' 2 hose~XL 800 Double jacket 800 PSIC 100' 2 hose"</f>
        <v>FIRE HOSE:XL800 dbl jacket 800~XL 800 Double jacket 800 PSIC 100' 2 hose~XL 800 Double jacket 800 PSIC 100' 2 hose</v>
      </c>
      <c r="G67" s="37" t="str">
        <f t="shared" si="8"/>
        <v>EA</v>
      </c>
      <c r="H67" s="38">
        <v>308</v>
      </c>
      <c r="I67" s="31" t="str">
        <f t="shared" si="9"/>
        <v>46191603</v>
      </c>
      <c r="J67" s="39" t="s">
        <v>135</v>
      </c>
      <c r="K67" s="127"/>
    </row>
    <row r="68" spans="1:11" ht="39">
      <c r="A68" s="36" t="s">
        <v>25</v>
      </c>
      <c r="B68" s="31" t="s">
        <v>44</v>
      </c>
      <c r="C68" s="31">
        <v>3532</v>
      </c>
      <c r="D68" s="46">
        <v>11</v>
      </c>
      <c r="E68" s="31" t="str">
        <f>"1000000617"</f>
        <v>1000000617</v>
      </c>
      <c r="F68" s="31" t="str">
        <f>"FIRE HOSE:XL800 dbl jacket 800~XL800 Double jacket 800 PSIC 50' 3 hose~XL800 Double jacket 800 PSIC 50' 3 hose"</f>
        <v>FIRE HOSE:XL800 dbl jacket 800~XL800 Double jacket 800 PSIC 50' 3 hose~XL800 Double jacket 800 PSIC 50' 3 hose</v>
      </c>
      <c r="G68" s="37" t="str">
        <f t="shared" si="8"/>
        <v>EA</v>
      </c>
      <c r="H68" s="38">
        <v>301.04000000000002</v>
      </c>
      <c r="I68" s="31" t="str">
        <f t="shared" si="9"/>
        <v>46191603</v>
      </c>
      <c r="J68" s="39" t="s">
        <v>135</v>
      </c>
      <c r="K68" s="127"/>
    </row>
    <row r="69" spans="1:11" ht="39">
      <c r="A69" s="36" t="s">
        <v>25</v>
      </c>
      <c r="B69" s="31" t="s">
        <v>44</v>
      </c>
      <c r="C69" s="31">
        <v>3532</v>
      </c>
      <c r="D69" s="46">
        <v>12</v>
      </c>
      <c r="E69" s="31" t="str">
        <f>"1000000076"</f>
        <v>1000000076</v>
      </c>
      <c r="F69" s="31" t="str">
        <f>"FIRE HOSE:XL 800 Double Jacket~XL 800 Double Jacket 800 PSIC 100' 3 hose~XL 800 Double Jacket 800 PSIC 100' 3 hose"</f>
        <v>FIRE HOSE:XL 800 Double Jacket~XL 800 Double Jacket 800 PSIC 100' 3 hose~XL 800 Double Jacket 800 PSIC 100' 3 hose</v>
      </c>
      <c r="G69" s="37" t="str">
        <f t="shared" si="8"/>
        <v>EA</v>
      </c>
      <c r="H69" s="38">
        <v>484.97</v>
      </c>
      <c r="I69" s="31" t="str">
        <f t="shared" si="9"/>
        <v>46191603</v>
      </c>
      <c r="J69" s="39" t="s">
        <v>135</v>
      </c>
      <c r="K69" s="127"/>
    </row>
    <row r="70" spans="1:11" ht="51.75">
      <c r="A70" s="36" t="s">
        <v>25</v>
      </c>
      <c r="B70" s="31" t="s">
        <v>44</v>
      </c>
      <c r="C70" s="31">
        <v>3532</v>
      </c>
      <c r="D70" s="46">
        <v>13</v>
      </c>
      <c r="E70" s="31" t="str">
        <f>"1000001792"</f>
        <v>1000001792</v>
      </c>
      <c r="F70" s="31" t="str">
        <f>"FIRE HOSE:RXL800 dbl jacket 80~RXL 800 Double jacket 800 PSIC rubber lined 1.5 50' hose~RXL 800 Double jacket 800 PSIC rubber lined 1.5 50' hose"</f>
        <v>FIRE HOSE:RXL800 dbl jacket 80~RXL 800 Double jacket 800 PSIC rubber lined 1.5 50' hose~RXL 800 Double jacket 800 PSIC rubber lined 1.5 50' hose</v>
      </c>
      <c r="G70" s="37" t="str">
        <f t="shared" si="8"/>
        <v>EA</v>
      </c>
      <c r="H70" s="38">
        <v>158.18</v>
      </c>
      <c r="I70" s="31" t="str">
        <f t="shared" si="9"/>
        <v>46191603</v>
      </c>
      <c r="J70" s="39" t="s">
        <v>135</v>
      </c>
      <c r="K70" s="127"/>
    </row>
    <row r="71" spans="1:11" ht="51.75">
      <c r="A71" s="36" t="s">
        <v>25</v>
      </c>
      <c r="B71" s="31" t="s">
        <v>44</v>
      </c>
      <c r="C71" s="31">
        <v>3532</v>
      </c>
      <c r="D71" s="46">
        <v>14</v>
      </c>
      <c r="E71" s="31" t="str">
        <f>"1000000455"</f>
        <v>1000000455</v>
      </c>
      <c r="F71" s="31" t="str">
        <f>"FIRE HOSE:RXL-800 Double jacke~RXL-800 Double jacket 800 PSIC rubber lined 2, 50' hose~RXL-800 Double jacket 800 PSIC rubber lined 2, 50' hose"</f>
        <v>FIRE HOSE:RXL-800 Double jacke~RXL-800 Double jacket 800 PSIC rubber lined 2, 50' hose~RXL-800 Double jacket 800 PSIC rubber lined 2, 50' hose</v>
      </c>
      <c r="G71" s="37" t="str">
        <f t="shared" si="8"/>
        <v>EA</v>
      </c>
      <c r="H71" s="38">
        <v>196.7</v>
      </c>
      <c r="I71" s="31" t="str">
        <f t="shared" si="9"/>
        <v>46191603</v>
      </c>
      <c r="J71" s="39" t="s">
        <v>135</v>
      </c>
      <c r="K71" s="127"/>
    </row>
    <row r="72" spans="1:11" ht="51.75">
      <c r="A72" s="36" t="s">
        <v>25</v>
      </c>
      <c r="B72" s="31" t="s">
        <v>44</v>
      </c>
      <c r="C72" s="31">
        <v>3532</v>
      </c>
      <c r="D72" s="46">
        <v>15</v>
      </c>
      <c r="E72" s="31" t="str">
        <f>"1000000619"</f>
        <v>1000000619</v>
      </c>
      <c r="F72" s="31" t="str">
        <f>"FIRE HOSE:RXL-800 Dbl jacket 8~RXL-800 Double jacket 800 PSIC rubber lined 3 50' hose~RXL-800 Double jacket 800 PSIC rubber lined 3 50' hose"</f>
        <v>FIRE HOSE:RXL-800 Dbl jacket 8~RXL-800 Double jacket 800 PSIC rubber lined 3 50' hose~RXL-800 Double jacket 800 PSIC rubber lined 3 50' hose</v>
      </c>
      <c r="G72" s="37" t="str">
        <f t="shared" si="8"/>
        <v>EA</v>
      </c>
      <c r="H72" s="38">
        <v>312.64</v>
      </c>
      <c r="I72" s="31" t="str">
        <f t="shared" si="9"/>
        <v>46191603</v>
      </c>
      <c r="J72" s="39" t="s">
        <v>135</v>
      </c>
      <c r="K72" s="127"/>
    </row>
    <row r="73" spans="1:11" ht="51.75">
      <c r="A73" s="36" t="s">
        <v>25</v>
      </c>
      <c r="B73" s="31" t="s">
        <v>44</v>
      </c>
      <c r="C73" s="31">
        <v>3532</v>
      </c>
      <c r="D73" s="46">
        <v>16</v>
      </c>
      <c r="E73" s="31" t="str">
        <f>"1000001695"</f>
        <v>1000001695</v>
      </c>
      <c r="F73" s="31" t="str">
        <f>"FIRE HOSE:RXL-800 Dbl jacket 8~RXL-800 Double jacket 800 PSIC rubber lined 3, 100' hose~RXL-800 Double jacket 800 PSIC rubber lined 3, 100' hose"</f>
        <v>FIRE HOSE:RXL-800 Dbl jacket 8~RXL-800 Double jacket 800 PSIC rubber lined 3, 100' hose~RXL-800 Double jacket 800 PSIC rubber lined 3, 100' hose</v>
      </c>
      <c r="G73" s="37" t="str">
        <f t="shared" si="8"/>
        <v>EA</v>
      </c>
      <c r="H73" s="38">
        <v>532.70000000000005</v>
      </c>
      <c r="I73" s="31" t="str">
        <f t="shared" si="9"/>
        <v>46191603</v>
      </c>
      <c r="J73" s="39" t="s">
        <v>135</v>
      </c>
      <c r="K73" s="127"/>
    </row>
    <row r="74" spans="1:11" ht="77.25">
      <c r="A74" s="36" t="s">
        <v>25</v>
      </c>
      <c r="B74" s="31" t="s">
        <v>44</v>
      </c>
      <c r="C74" s="31">
        <v>3532</v>
      </c>
      <c r="D74" s="46">
        <v>17</v>
      </c>
      <c r="E74" s="31" t="str">
        <f>"1000001618"</f>
        <v>1000001618</v>
      </c>
      <c r="F74" s="31" t="str">
        <f>"HOSE:Supplyline Double jacket polyester large volume, 4, 50' hose, minimum friction loss, Flexible to -60F (-51C), Circular woven, double jacket 100% virgin spun polyvester, Extruded elastomer, Ozone and age resistant"</f>
        <v>HOSE:Supplyline Double jacket polyester large volume, 4, 50' hose, minimum friction loss, Flexible to -60F (-51C), Circular woven, double jacket 100% virgin spun polyvester, Extruded elastomer, Ozone and age resistant</v>
      </c>
      <c r="G74" s="37" t="str">
        <f t="shared" si="8"/>
        <v>EA</v>
      </c>
      <c r="H74" s="38">
        <v>518.48</v>
      </c>
      <c r="I74" s="31" t="str">
        <f t="shared" si="9"/>
        <v>46191603</v>
      </c>
      <c r="J74" s="39" t="s">
        <v>135</v>
      </c>
      <c r="K74" s="127"/>
    </row>
    <row r="75" spans="1:11" ht="77.25">
      <c r="A75" s="36" t="s">
        <v>25</v>
      </c>
      <c r="B75" s="31" t="s">
        <v>44</v>
      </c>
      <c r="C75" s="31">
        <v>3532</v>
      </c>
      <c r="D75" s="46">
        <v>18</v>
      </c>
      <c r="E75" s="31" t="str">
        <f>"1000000254"</f>
        <v>1000000254</v>
      </c>
      <c r="F75" s="31" t="str">
        <f>"HOSE:Supplyline Double Jacket polyester large volume, 4, 100' hose minimum friction loss, Flexible to -60F (-51C), Circular woven, double jacket 100% virgin spun polyester, Extruded elastomer, Ozone and age resistant"</f>
        <v>HOSE:Supplyline Double Jacket polyester large volume, 4, 100' hose minimum friction loss, Flexible to -60F (-51C), Circular woven, double jacket 100% virgin spun polyester, Extruded elastomer, Ozone and age resistant</v>
      </c>
      <c r="G75" s="37" t="str">
        <f t="shared" si="8"/>
        <v>EA</v>
      </c>
      <c r="H75" s="38">
        <v>799.66</v>
      </c>
      <c r="I75" s="31" t="str">
        <f t="shared" si="9"/>
        <v>46191603</v>
      </c>
      <c r="J75" s="39" t="s">
        <v>135</v>
      </c>
      <c r="K75" s="127"/>
    </row>
    <row r="76" spans="1:11" ht="77.25">
      <c r="A76" s="36" t="s">
        <v>25</v>
      </c>
      <c r="B76" s="31" t="s">
        <v>44</v>
      </c>
      <c r="C76" s="31">
        <v>3532</v>
      </c>
      <c r="D76" s="46">
        <v>19</v>
      </c>
      <c r="E76" s="31" t="str">
        <f>"1000001619"</f>
        <v>1000001619</v>
      </c>
      <c r="F76" s="31" t="str">
        <f>"HOSE:Supplyline Double Jacket polyester hose large volumes 5 50' hose minimum friction loss, Felxible to -60F (-51C), Circular woven, double jacket 100% virgin spun polyester, Extruded elastomer, Ozone and age resistant"</f>
        <v>HOSE:Supplyline Double Jacket polyester hose large volumes 5 50' hose minimum friction loss, Felxible to -60F (-51C), Circular woven, double jacket 100% virgin spun polyester, Extruded elastomer, Ozone and age resistant</v>
      </c>
      <c r="G76" s="37" t="str">
        <f t="shared" si="8"/>
        <v>EA</v>
      </c>
      <c r="H76" s="38">
        <v>648.91</v>
      </c>
      <c r="I76" s="31" t="str">
        <f t="shared" si="9"/>
        <v>46191603</v>
      </c>
      <c r="J76" s="39" t="s">
        <v>135</v>
      </c>
      <c r="K76" s="127"/>
    </row>
    <row r="77" spans="1:11" ht="90">
      <c r="A77" s="36" t="s">
        <v>25</v>
      </c>
      <c r="B77" s="31" t="s">
        <v>44</v>
      </c>
      <c r="C77" s="31">
        <v>3532</v>
      </c>
      <c r="D77" s="46">
        <v>20</v>
      </c>
      <c r="E77" s="31" t="str">
        <f>"1000000457"</f>
        <v>1000000457</v>
      </c>
      <c r="F77" s="31" t="str">
        <f>"FIRE HOSE:Spec 187-1in-100' ho~Spec 187 lightweight synthetic forestry 1 100' hose, which meets USDA Spec 187 Treated for fungicide, circular bias woven, single jacket 100% virgin filament polyvester. Extruded TPU elastomer. Ozone and age resistant.~Spec"</f>
        <v>FIRE HOSE:Spec 187-1in-100' ho~Spec 187 lightweight synthetic forestry 1 100' hose, which meets USDA Spec 187 Treated for fungicide, circular bias woven, single jacket 100% virgin filament polyvester. Extruded TPU elastomer. Ozone and age resistant.~Spec</v>
      </c>
      <c r="G77" s="37" t="str">
        <f t="shared" si="8"/>
        <v>EA</v>
      </c>
      <c r="H77" s="38">
        <v>123.36</v>
      </c>
      <c r="I77" s="31" t="str">
        <f t="shared" si="9"/>
        <v>46191603</v>
      </c>
      <c r="J77" s="39" t="s">
        <v>135</v>
      </c>
      <c r="K77" s="127"/>
    </row>
    <row r="78" spans="1:11" ht="90">
      <c r="A78" s="36" t="s">
        <v>25</v>
      </c>
      <c r="B78" s="31" t="s">
        <v>44</v>
      </c>
      <c r="C78" s="31">
        <v>3532</v>
      </c>
      <c r="D78" s="46">
        <v>21</v>
      </c>
      <c r="E78" s="31" t="str">
        <f>"1000000456"</f>
        <v>1000000456</v>
      </c>
      <c r="F78" s="31" t="str">
        <f>"FIRE HOSE:Spec 187 1-1/5in-10~Spec 187 lightweight synthetic fostery 1.5 100' hose, which meets USDA Spec 187 Treated for fungicide, circular bias woven, single jacket 100% virgin filament polyester. Extruded TPU elastomer. Ozone and age resistant.~Spec"</f>
        <v>FIRE HOSE:Spec 187 1-1/5in-10~Spec 187 lightweight synthetic fostery 1.5 100' hose, which meets USDA Spec 187 Treated for fungicide, circular bias woven, single jacket 100% virgin filament polyester. Extruded TPU elastomer. Ozone and age resistant.~Spec</v>
      </c>
      <c r="G78" s="37" t="str">
        <f t="shared" si="8"/>
        <v>EA</v>
      </c>
      <c r="H78" s="38">
        <v>140.01</v>
      </c>
      <c r="I78" s="31" t="str">
        <f t="shared" si="9"/>
        <v>46191603</v>
      </c>
      <c r="J78" s="39" t="s">
        <v>135</v>
      </c>
      <c r="K78" s="127"/>
    </row>
    <row r="79" spans="1:11" ht="90">
      <c r="A79" s="36" t="s">
        <v>25</v>
      </c>
      <c r="B79" s="31" t="s">
        <v>44</v>
      </c>
      <c r="C79" s="31">
        <v>3532</v>
      </c>
      <c r="D79" s="46">
        <v>22</v>
      </c>
      <c r="E79" s="31" t="str">
        <f>"1000000627"</f>
        <v>1000000627</v>
      </c>
      <c r="F79" s="31" t="str">
        <f>"FIRE HOSE:Econoflo multi-purpose high pressure 5/8 50' fire hose, Couples with brass ferrul type couplings, garden hose thread. Easily carried and stored, circular woven, single jacket, 100% virgin spun polyester, extruded TPU elastomer Ozone and age res"</f>
        <v>FIRE HOSE:Econoflo multi-purpose high pressure 5/8 50' fire hose, Couples with brass ferrul type couplings, garden hose thread. Easily carried and stored, circular woven, single jacket, 100% virgin spun polyester, extruded TPU elastomer Ozone and age res</v>
      </c>
      <c r="G79" s="37" t="str">
        <f t="shared" si="8"/>
        <v>EA</v>
      </c>
      <c r="H79" s="38">
        <v>37.19</v>
      </c>
      <c r="I79" s="31" t="str">
        <f t="shared" si="9"/>
        <v>46191603</v>
      </c>
      <c r="J79" s="39" t="s">
        <v>135</v>
      </c>
      <c r="K79" s="127"/>
    </row>
    <row r="80" spans="1:11" ht="90">
      <c r="A80" s="36" t="s">
        <v>25</v>
      </c>
      <c r="B80" s="31" t="s">
        <v>44</v>
      </c>
      <c r="C80" s="31">
        <v>3532</v>
      </c>
      <c r="D80" s="46">
        <v>23</v>
      </c>
      <c r="E80" s="31" t="str">
        <f>"1000000626"</f>
        <v>1000000626</v>
      </c>
      <c r="F80" s="31" t="str">
        <f>"FIRE HOSE:Econoflo multi-purpose high pressure 5/8 100' fire hose, Couples with brass ferrul type couplings, garden hose thread. Easily carried and stored, circular woven, single jacket, 100% virgin spun polyester, extruded TPU elastomer Ozone &amp; age resi"</f>
        <v>FIRE HOSE:Econoflo multi-purpose high pressure 5/8 100' fire hose, Couples with brass ferrul type couplings, garden hose thread. Easily carried and stored, circular woven, single jacket, 100% virgin spun polyester, extruded TPU elastomer Ozone &amp; age resi</v>
      </c>
      <c r="G80" s="37" t="str">
        <f t="shared" si="8"/>
        <v>EA</v>
      </c>
      <c r="H80" s="38">
        <v>67.8</v>
      </c>
      <c r="I80" s="31" t="str">
        <f t="shared" si="9"/>
        <v>46191603</v>
      </c>
      <c r="J80" s="39" t="s">
        <v>135</v>
      </c>
      <c r="K80" s="127"/>
    </row>
    <row r="81" spans="1:11" ht="90">
      <c r="A81" s="36" t="s">
        <v>25</v>
      </c>
      <c r="B81" s="31" t="s">
        <v>44</v>
      </c>
      <c r="C81" s="31">
        <v>3532</v>
      </c>
      <c r="D81" s="46">
        <v>24</v>
      </c>
      <c r="E81" s="31" t="str">
        <f>"1000001699"</f>
        <v>1000001699</v>
      </c>
      <c r="F81" s="31" t="str">
        <f>"FIRE HOSE:Econoflo multi-purpose high pressure 3/4 50' fire hose, Couples with brass ferrul type couplings, garden hose thread. Easily carried and stored, circular woven, single jacket, 100% virgin spun polyester, extruded TPU elastomer Ozone &amp; age resis"</f>
        <v>FIRE HOSE:Econoflo multi-purpose high pressure 3/4 50' fire hose, Couples with brass ferrul type couplings, garden hose thread. Easily carried and stored, circular woven, single jacket, 100% virgin spun polyester, extruded TPU elastomer Ozone &amp; age resis</v>
      </c>
      <c r="G81" s="37" t="str">
        <f t="shared" si="8"/>
        <v>EA</v>
      </c>
      <c r="H81" s="38">
        <v>38.71</v>
      </c>
      <c r="I81" s="31" t="str">
        <f t="shared" si="9"/>
        <v>46191603</v>
      </c>
      <c r="J81" s="39" t="s">
        <v>135</v>
      </c>
      <c r="K81" s="127"/>
    </row>
    <row r="82" spans="1:11" ht="90">
      <c r="A82" s="36" t="s">
        <v>25</v>
      </c>
      <c r="B82" s="31" t="s">
        <v>44</v>
      </c>
      <c r="C82" s="31">
        <v>3532</v>
      </c>
      <c r="D82" s="46">
        <v>25</v>
      </c>
      <c r="E82" s="31" t="str">
        <f>"1000000169"</f>
        <v>1000000169</v>
      </c>
      <c r="F82" s="31" t="str">
        <f>"FIRE HOSE:Econoflo multi-purpo~Econoflo multi-purpose high pressure 3/4 100' hose, Couples with brass ferrul type couplings, garden hose thread. Easily carried and stored, circular woven, single jacket, 100% virgin spun polyester, extruded TPU elastomer,"</f>
        <v>FIRE HOSE:Econoflo multi-purpo~Econoflo multi-purpose high pressure 3/4 100' hose, Couples with brass ferrul type couplings, garden hose thread. Easily carried and stored, circular woven, single jacket, 100% virgin spun polyester, extruded TPU elastomer,</v>
      </c>
      <c r="G82" s="37" t="str">
        <f t="shared" si="8"/>
        <v>EA</v>
      </c>
      <c r="H82" s="38">
        <v>66.02</v>
      </c>
      <c r="I82" s="31" t="str">
        <f t="shared" si="9"/>
        <v>46191603</v>
      </c>
      <c r="J82" s="39" t="s">
        <v>135</v>
      </c>
      <c r="K82" s="127"/>
    </row>
    <row r="83" spans="1:11" ht="90">
      <c r="A83" s="36" t="s">
        <v>25</v>
      </c>
      <c r="B83" s="31" t="s">
        <v>44</v>
      </c>
      <c r="C83" s="31">
        <v>3532</v>
      </c>
      <c r="D83" s="46">
        <v>26</v>
      </c>
      <c r="E83" s="31" t="str">
        <f>"1000000255"</f>
        <v>1000000255</v>
      </c>
      <c r="F83" s="31" t="str">
        <f>"FIRE HOSE:Econoforest 500 PSIG~Econoforest 500 PSIG polyester forestry 3/4 50' hose, all polyester single jacket forestry hose, lightweight, compact circular woven, 100% virgin spun polyester Extruded TPU elastomer. Ozone and age resistant.~Econoforest 5"</f>
        <v>FIRE HOSE:Econoforest 500 PSIG~Econoforest 500 PSIG polyester forestry 3/4 50' hose, all polyester single jacket forestry hose, lightweight, compact circular woven, 100% virgin spun polyester Extruded TPU elastomer. Ozone and age resistant.~Econoforest 5</v>
      </c>
      <c r="G83" s="37" t="str">
        <f t="shared" si="8"/>
        <v>EA</v>
      </c>
      <c r="H83" s="38">
        <v>62.83</v>
      </c>
      <c r="I83" s="31" t="str">
        <f t="shared" si="9"/>
        <v>46191603</v>
      </c>
      <c r="J83" s="39" t="s">
        <v>135</v>
      </c>
      <c r="K83" s="127"/>
    </row>
    <row r="84" spans="1:11" ht="90">
      <c r="A84" s="36" t="s">
        <v>25</v>
      </c>
      <c r="B84" s="31" t="s">
        <v>44</v>
      </c>
      <c r="C84" s="31">
        <v>3532</v>
      </c>
      <c r="D84" s="46">
        <v>27</v>
      </c>
      <c r="E84" s="31" t="str">
        <f>"1000000628"</f>
        <v>1000000628</v>
      </c>
      <c r="F84" s="31" t="str">
        <f>"FIRE HOSE:Econoforest 500 PSIG~Econoforest 500 PSIG polyester forestry 3/4 100' hose, all polyester single jacket forestry hose, lightweight, compact circular woven, 100% virgin spun polyester Extruded TPU elastomer. Ozone and age resistant.~Econoforest"</f>
        <v>FIRE HOSE:Econoforest 500 PSIG~Econoforest 500 PSIG polyester forestry 3/4 100' hose, all polyester single jacket forestry hose, lightweight, compact circular woven, 100% virgin spun polyester Extruded TPU elastomer. Ozone and age resistant.~Econoforest</v>
      </c>
      <c r="G84" s="37" t="str">
        <f t="shared" si="8"/>
        <v>EA</v>
      </c>
      <c r="H84" s="38">
        <v>115.6</v>
      </c>
      <c r="I84" s="31" t="str">
        <f t="shared" si="9"/>
        <v>46191603</v>
      </c>
      <c r="J84" s="39" t="s">
        <v>135</v>
      </c>
      <c r="K84" s="127"/>
    </row>
    <row r="85" spans="1:11" ht="77.25">
      <c r="A85" s="36" t="s">
        <v>25</v>
      </c>
      <c r="B85" s="31" t="s">
        <v>44</v>
      </c>
      <c r="C85" s="31">
        <v>3532</v>
      </c>
      <c r="D85" s="46">
        <v>28</v>
      </c>
      <c r="E85" s="31" t="str">
        <f>"1000024297"</f>
        <v>1000024297</v>
      </c>
      <c r="F85" s="31" t="str">
        <f>"HOSE:Econoflo 5/8 50' encap - Econoflo multi-purpose high pressure 5/8 50' fire hose with yellow encap, abrasion and UV resistant. Couples with brass ferrule type couplings, garden hose thread. Not a vinyl garden hose."</f>
        <v>HOSE:Econoflo 5/8 50' encap - Econoflo multi-purpose high pressure 5/8 50' fire hose with yellow encap, abrasion and UV resistant. Couples with brass ferrule type couplings, garden hose thread. Not a vinyl garden hose.</v>
      </c>
      <c r="G85" s="37" t="str">
        <f t="shared" si="8"/>
        <v>EA</v>
      </c>
      <c r="H85" s="38">
        <v>38.25</v>
      </c>
      <c r="I85" s="31" t="str">
        <f t="shared" si="9"/>
        <v>46191603</v>
      </c>
      <c r="J85" s="39" t="s">
        <v>135</v>
      </c>
      <c r="K85" s="127"/>
    </row>
    <row r="86" spans="1:11" ht="77.25">
      <c r="A86" s="36" t="s">
        <v>25</v>
      </c>
      <c r="B86" s="31" t="s">
        <v>44</v>
      </c>
      <c r="C86" s="31">
        <v>3532</v>
      </c>
      <c r="D86" s="46">
        <v>29</v>
      </c>
      <c r="E86" s="31" t="str">
        <f>"1000024287"</f>
        <v>1000024287</v>
      </c>
      <c r="F86" s="31" t="str">
        <f>"HOSE:Econoflo 5/8 100' encap - Econoflo multi-purpose high pressure 5/8 100' fire hose with yellow encap, abrasion and UV resistant. Couples with brass ferrule type couplings, garden hose thread. Not a vinyl garden hose."</f>
        <v>HOSE:Econoflo 5/8 100' encap - Econoflo multi-purpose high pressure 5/8 100' fire hose with yellow encap, abrasion and UV resistant. Couples with brass ferrule type couplings, garden hose thread. Not a vinyl garden hose.</v>
      </c>
      <c r="G86" s="37" t="str">
        <f t="shared" si="8"/>
        <v>EA</v>
      </c>
      <c r="H86" s="38">
        <v>68.849999999999994</v>
      </c>
      <c r="I86" s="31" t="str">
        <f t="shared" si="9"/>
        <v>46191603</v>
      </c>
      <c r="J86" s="39" t="s">
        <v>135</v>
      </c>
      <c r="K86" s="127"/>
    </row>
    <row r="87" spans="1:11" ht="77.25">
      <c r="A87" s="36" t="s">
        <v>25</v>
      </c>
      <c r="B87" s="31" t="s">
        <v>44</v>
      </c>
      <c r="C87" s="31">
        <v>3532</v>
      </c>
      <c r="D87" s="46">
        <v>30</v>
      </c>
      <c r="E87" s="31" t="str">
        <f>"1000024286"</f>
        <v>1000024286</v>
      </c>
      <c r="F87" s="31" t="str">
        <f>"HOSE:Econoflo 3/4 50' encap - Econoflo multi-purpose high pressure 3/4 50' fire hose with yellow encap, abrasion and UV resistant. Couples with brass ferrule type couplings, garden hose thread. Not a vinyl garden hose."</f>
        <v>HOSE:Econoflo 3/4 50' encap - Econoflo multi-purpose high pressure 3/4 50' fire hose with yellow encap, abrasion and UV resistant. Couples with brass ferrule type couplings, garden hose thread. Not a vinyl garden hose.</v>
      </c>
      <c r="G87" s="37" t="str">
        <f t="shared" si="8"/>
        <v>EA</v>
      </c>
      <c r="H87" s="38">
        <v>45.9</v>
      </c>
      <c r="I87" s="31" t="str">
        <f t="shared" si="9"/>
        <v>46191603</v>
      </c>
      <c r="J87" s="39" t="s">
        <v>135</v>
      </c>
      <c r="K87" s="127"/>
    </row>
    <row r="88" spans="1:11" ht="77.25">
      <c r="A88" s="36" t="s">
        <v>25</v>
      </c>
      <c r="B88" s="31" t="s">
        <v>44</v>
      </c>
      <c r="C88" s="31">
        <v>3532</v>
      </c>
      <c r="D88" s="46">
        <v>31</v>
      </c>
      <c r="E88" s="31" t="str">
        <f>"1000024302"</f>
        <v>1000024302</v>
      </c>
      <c r="F88" s="31" t="str">
        <f>"HOSE:Econoflo 3/4 100' encap - Econoflo multi-purpose high pressure 3/4 100' fire hose with yellow encap, abrasion and UV resistant. Couples with brass ferrule type couplings, garden hose thread. Not a vinyl garden hose."</f>
        <v>HOSE:Econoflo 3/4 100' encap - Econoflo multi-purpose high pressure 3/4 100' fire hose with yellow encap, abrasion and UV resistant. Couples with brass ferrule type couplings, garden hose thread. Not a vinyl garden hose.</v>
      </c>
      <c r="G88" s="37" t="str">
        <f t="shared" si="8"/>
        <v>EA</v>
      </c>
      <c r="H88" s="38">
        <v>84.15</v>
      </c>
      <c r="I88" s="31" t="str">
        <f t="shared" si="9"/>
        <v>46191603</v>
      </c>
      <c r="J88" s="39" t="s">
        <v>135</v>
      </c>
      <c r="K88" s="127"/>
    </row>
    <row r="89" spans="1:11" ht="51.75">
      <c r="A89" s="36" t="s">
        <v>25</v>
      </c>
      <c r="B89" s="31" t="s">
        <v>44</v>
      </c>
      <c r="C89" s="31">
        <v>3532</v>
      </c>
      <c r="D89" s="46">
        <v>32</v>
      </c>
      <c r="E89" s="31" t="str">
        <f>"1000024289"</f>
        <v>1000024289</v>
      </c>
      <c r="F89" s="31" t="str">
        <f>"HOSE:Spec 187 Type II 1, 100' - Spec 187 1, 100' Type II Forestry Hose with yellow encap, abrasion and UV resistant. Not a vinyl garden hose."</f>
        <v>HOSE:Spec 187 Type II 1, 100' - Spec 187 1, 100' Type II Forestry Hose with yellow encap, abrasion and UV resistant. Not a vinyl garden hose.</v>
      </c>
      <c r="G89" s="37" t="str">
        <f t="shared" si="8"/>
        <v>EA</v>
      </c>
      <c r="H89" s="38">
        <v>123.69</v>
      </c>
      <c r="I89" s="31" t="str">
        <f t="shared" si="9"/>
        <v>46191603</v>
      </c>
      <c r="J89" s="39" t="s">
        <v>135</v>
      </c>
      <c r="K89" s="127"/>
    </row>
    <row r="90" spans="1:11" ht="51.75">
      <c r="A90" s="36" t="s">
        <v>25</v>
      </c>
      <c r="B90" s="31" t="s">
        <v>44</v>
      </c>
      <c r="C90" s="31">
        <v>3532</v>
      </c>
      <c r="D90" s="46">
        <v>33</v>
      </c>
      <c r="E90" s="31" t="str">
        <f>"1000024290"</f>
        <v>1000024290</v>
      </c>
      <c r="F90" s="31" t="str">
        <f>"HOSE:Spec 187 Type II 1.5, 100' - Spec 187 Type II 1.5, 100' Forestry Hose with yellow encap, abrasion and UV resistant. Not a vinyl garden hose"</f>
        <v>HOSE:Spec 187 Type II 1.5, 100' - Spec 187 Type II 1.5, 100' Forestry Hose with yellow encap, abrasion and UV resistant. Not a vinyl garden hose</v>
      </c>
      <c r="G90" s="37" t="str">
        <f t="shared" si="8"/>
        <v>EA</v>
      </c>
      <c r="H90" s="38">
        <v>138.49</v>
      </c>
      <c r="I90" s="31" t="str">
        <f t="shared" si="9"/>
        <v>46191603</v>
      </c>
      <c r="J90" s="39" t="s">
        <v>135</v>
      </c>
      <c r="K90" s="127"/>
    </row>
    <row r="91" spans="1:11">
      <c r="A91" s="36" t="s">
        <v>25</v>
      </c>
      <c r="B91" s="31" t="s">
        <v>44</v>
      </c>
      <c r="C91" s="31">
        <v>3532</v>
      </c>
      <c r="D91" s="46">
        <v>34</v>
      </c>
      <c r="E91" s="31" t="str">
        <f>"1000005153"</f>
        <v>1000005153</v>
      </c>
      <c r="F91" s="31" t="str">
        <f>"FIRE HOSE:Special order~Hose"</f>
        <v>FIRE HOSE:Special order~Hose</v>
      </c>
      <c r="G91" s="37" t="str">
        <f t="shared" si="8"/>
        <v>EA</v>
      </c>
      <c r="H91" s="38">
        <v>0.01</v>
      </c>
      <c r="I91" s="31" t="str">
        <f t="shared" si="9"/>
        <v>46191603</v>
      </c>
      <c r="J91" s="39" t="s">
        <v>135</v>
      </c>
      <c r="K91" s="127"/>
    </row>
    <row r="92" spans="1:11" ht="64.5">
      <c r="A92" s="36" t="s">
        <v>25</v>
      </c>
      <c r="B92" s="31" t="s">
        <v>44</v>
      </c>
      <c r="C92" s="31">
        <v>3532</v>
      </c>
      <c r="D92" s="46">
        <v>41</v>
      </c>
      <c r="E92" s="31" t="str">
        <f>"1000024885"</f>
        <v>1000024885</v>
      </c>
      <c r="F92" s="31" t="str">
        <f>"RECYCLE KIT: Battery 1/2 Gal - Battery Recycle Kit: 1/2 gal bucket with locking lid and poly liner for dry cell batteries; Capacity 25 lbs Bucket dimensions 8.25 x 8.75 x 7.5"</f>
        <v>RECYCLE KIT: Battery 1/2 Gal - Battery Recycle Kit: 1/2 gal bucket with locking lid and poly liner for dry cell batteries; Capacity 25 lbs Bucket dimensions 8.25 x 8.75 x 7.5</v>
      </c>
      <c r="G92" s="37" t="str">
        <f t="shared" si="8"/>
        <v>EA</v>
      </c>
      <c r="H92" s="38">
        <v>58.15</v>
      </c>
      <c r="I92" s="31" t="str">
        <f>"76122304"</f>
        <v>76122304</v>
      </c>
      <c r="J92" s="39" t="s">
        <v>138</v>
      </c>
      <c r="K92" s="127"/>
    </row>
    <row r="93" spans="1:11" ht="64.5">
      <c r="A93" s="36" t="s">
        <v>25</v>
      </c>
      <c r="B93" s="31" t="s">
        <v>44</v>
      </c>
      <c r="C93" s="31">
        <v>3532</v>
      </c>
      <c r="D93" s="46">
        <v>42</v>
      </c>
      <c r="E93" s="31" t="str">
        <f>"1000024886"</f>
        <v>1000024886</v>
      </c>
      <c r="F93" s="31" t="str">
        <f>"RECYCLE KIT: Battery 1 Gal - Battery Recycle Kit: 1 gal bucket with locking lid and poly liner for dry cell batteries; Capacity 50 lbs Bucket dimensions 12.25 x 10.75 x 10.5"</f>
        <v>RECYCLE KIT: Battery 1 Gal - Battery Recycle Kit: 1 gal bucket with locking lid and poly liner for dry cell batteries; Capacity 50 lbs Bucket dimensions 12.25 x 10.75 x 10.5</v>
      </c>
      <c r="G93" s="37" t="str">
        <f t="shared" si="8"/>
        <v>EA</v>
      </c>
      <c r="H93" s="38">
        <v>70.599999999999994</v>
      </c>
      <c r="I93" s="31" t="str">
        <f>"76122304"</f>
        <v>76122304</v>
      </c>
      <c r="J93" s="39" t="s">
        <v>138</v>
      </c>
      <c r="K93" s="127"/>
    </row>
    <row r="94" spans="1:11" ht="64.5">
      <c r="A94" s="36" t="s">
        <v>25</v>
      </c>
      <c r="B94" s="31" t="s">
        <v>44</v>
      </c>
      <c r="C94" s="31">
        <v>3532</v>
      </c>
      <c r="D94" s="46">
        <v>43</v>
      </c>
      <c r="E94" s="31" t="str">
        <f>"1000024887"</f>
        <v>1000024887</v>
      </c>
      <c r="F94" s="31" t="str">
        <f>"RECYCLE KIT: Battery 3.5 Gal - Battery Recycle Kit: 3.5 gal bucket with locking lid and poly liner for dry cell batteries; Capacity 70 lbs. Bucket dimensions 15.75 x 15 x 14.5"</f>
        <v>RECYCLE KIT: Battery 3.5 Gal - Battery Recycle Kit: 3.5 gal bucket with locking lid and poly liner for dry cell batteries; Capacity 70 lbs. Bucket dimensions 15.75 x 15 x 14.5</v>
      </c>
      <c r="G94" s="37" t="str">
        <f t="shared" si="8"/>
        <v>EA</v>
      </c>
      <c r="H94" s="38">
        <v>94.59</v>
      </c>
      <c r="I94" s="31" t="str">
        <f>"76122304"</f>
        <v>76122304</v>
      </c>
      <c r="J94" s="39" t="s">
        <v>138</v>
      </c>
      <c r="K94" s="127"/>
    </row>
    <row r="95" spans="1:11" ht="51.75">
      <c r="A95" s="36" t="s">
        <v>25</v>
      </c>
      <c r="B95" s="31" t="s">
        <v>44</v>
      </c>
      <c r="C95" s="31">
        <v>3532</v>
      </c>
      <c r="D95" s="46">
        <v>44</v>
      </c>
      <c r="E95" s="31" t="str">
        <f>"1000024873"</f>
        <v>1000024873</v>
      </c>
      <c r="F95" s="31" t="str">
        <f>"RECYCLE KIT: Electronics M Bx - Consumer Electronics Recycle kit: double corrugated box with poly liner, size 23 x 23 x 23 Capacity 70 lbs."</f>
        <v>RECYCLE KIT: Electronics M Bx - Consumer Electronics Recycle kit: double corrugated box with poly liner, size 23 x 23 x 23 Capacity 70 lbs.</v>
      </c>
      <c r="G95" s="37" t="str">
        <f t="shared" si="8"/>
        <v>EA</v>
      </c>
      <c r="H95" s="38">
        <v>80.489999999999995</v>
      </c>
      <c r="I95" s="31" t="str">
        <f>"76122304"</f>
        <v>76122304</v>
      </c>
      <c r="J95" s="39" t="s">
        <v>138</v>
      </c>
      <c r="K95" s="127"/>
    </row>
    <row r="96" spans="1:11" ht="64.5">
      <c r="A96" s="36" t="s">
        <v>25</v>
      </c>
      <c r="B96" s="31" t="s">
        <v>44</v>
      </c>
      <c r="C96" s="31">
        <v>3532</v>
      </c>
      <c r="D96" s="46">
        <v>40</v>
      </c>
      <c r="E96" s="31" t="str">
        <f>"1000024884"</f>
        <v>1000024884</v>
      </c>
      <c r="F96" s="31" t="str">
        <f>"RECYCLE KIT: Ballast 5 gal bkt - Ballast Recycle container for non-PCB ballasts, 5 gal with locking lid and poly liner, Capacity 70 lbs Bucket dimensions 15.75 x 15 x 14.5"</f>
        <v>RECYCLE KIT: Ballast 5 gal bkt - Ballast Recycle container for non-PCB ballasts, 5 gal with locking lid and poly liner, Capacity 70 lbs Bucket dimensions 15.75 x 15 x 14.5</v>
      </c>
      <c r="G96" s="37" t="str">
        <f t="shared" si="8"/>
        <v>EA</v>
      </c>
      <c r="H96" s="38">
        <v>90.72</v>
      </c>
      <c r="I96" s="31" t="str">
        <f>"76122315"</f>
        <v>76122315</v>
      </c>
      <c r="J96" s="39" t="s">
        <v>137</v>
      </c>
      <c r="K96" s="127"/>
    </row>
    <row r="97" spans="1:11" ht="64.5">
      <c r="A97" s="36" t="s">
        <v>25</v>
      </c>
      <c r="B97" s="31" t="s">
        <v>44</v>
      </c>
      <c r="C97" s="31">
        <v>3532</v>
      </c>
      <c r="D97" s="46">
        <v>35</v>
      </c>
      <c r="E97" s="31" t="str">
        <f>"1000024879"</f>
        <v>1000024879</v>
      </c>
      <c r="F97" s="31" t="str">
        <f>"RECYCLE KIT: Lamp w HG 4ft Sm - 4 ft. Triple guard small includes interior &amp; ext. boxes for mercury contained lamps Straight T-8 &amp; T-12 Capacity: 30 T-12 or 68 T-8. Box dimensions 49.5 x 8.75 x 8.75"</f>
        <v>RECYCLE KIT: Lamp w HG 4ft Sm - 4 ft. Triple guard small includes interior &amp; ext. boxes for mercury contained lamps Straight T-8 &amp; T-12 Capacity: 30 T-12 or 68 T-8. Box dimensions 49.5 x 8.75 x 8.75</v>
      </c>
      <c r="G97" s="37" t="str">
        <f t="shared" si="8"/>
        <v>EA</v>
      </c>
      <c r="H97" s="38">
        <v>68.930000000000007</v>
      </c>
      <c r="I97" s="31" t="str">
        <f>"76122314"</f>
        <v>76122314</v>
      </c>
      <c r="J97" s="39" t="s">
        <v>136</v>
      </c>
      <c r="K97" s="127"/>
    </row>
    <row r="98" spans="1:11" ht="64.5">
      <c r="A98" s="36" t="s">
        <v>25</v>
      </c>
      <c r="B98" s="31" t="s">
        <v>44</v>
      </c>
      <c r="C98" s="31">
        <v>3532</v>
      </c>
      <c r="D98" s="46">
        <v>36</v>
      </c>
      <c r="E98" s="31" t="str">
        <f>"1000024880"</f>
        <v>1000024880</v>
      </c>
      <c r="F98" s="31" t="str">
        <f>"RECYCLE KIT: Lamp w HG 4ft Lg - 4 ft. Triple guard large includes interior &amp; ext. boxes for mercury contained lamps Straight T-8 &amp; T-12 Capacity: 68 T-12 or 146 T-8. Box dimensions 49.5 x 13 x 12"</f>
        <v>RECYCLE KIT: Lamp w HG 4ft Lg - 4 ft. Triple guard large includes interior &amp; ext. boxes for mercury contained lamps Straight T-8 &amp; T-12 Capacity: 68 T-12 or 146 T-8. Box dimensions 49.5 x 13 x 12</v>
      </c>
      <c r="G98" s="37" t="str">
        <f t="shared" si="8"/>
        <v>EA</v>
      </c>
      <c r="H98" s="38">
        <v>93.78</v>
      </c>
      <c r="I98" s="31" t="str">
        <f>"76122314"</f>
        <v>76122314</v>
      </c>
      <c r="J98" s="39" t="s">
        <v>136</v>
      </c>
      <c r="K98" s="127"/>
    </row>
    <row r="99" spans="1:11" ht="64.5">
      <c r="A99" s="36" t="s">
        <v>25</v>
      </c>
      <c r="B99" s="31" t="s">
        <v>44</v>
      </c>
      <c r="C99" s="31">
        <v>3532</v>
      </c>
      <c r="D99" s="46">
        <v>37</v>
      </c>
      <c r="E99" s="31" t="str">
        <f>"1000024881"</f>
        <v>1000024881</v>
      </c>
      <c r="F99" s="31" t="str">
        <f>"RECYCLE KIT: Lamp w HG 8ft Lg - 8 ft. Triple guard large includes interior &amp; ext. boxes for mercury contained lamps Straight T-8 &amp; T-12 Capacity: 20 T-12 or 42 T-8. Box dimensions 96 x 7.75 x 7.75."</f>
        <v>RECYCLE KIT: Lamp w HG 8ft Lg - 8 ft. Triple guard large includes interior &amp; ext. boxes for mercury contained lamps Straight T-8 &amp; T-12 Capacity: 20 T-12 or 42 T-8. Box dimensions 96 x 7.75 x 7.75.</v>
      </c>
      <c r="G99" s="37" t="str">
        <f t="shared" si="8"/>
        <v>EA</v>
      </c>
      <c r="H99" s="38">
        <v>82.96</v>
      </c>
      <c r="I99" s="31" t="str">
        <f>"76122314"</f>
        <v>76122314</v>
      </c>
      <c r="J99" s="39" t="s">
        <v>136</v>
      </c>
      <c r="K99" s="127"/>
    </row>
    <row r="100" spans="1:11" ht="90">
      <c r="A100" s="36" t="s">
        <v>25</v>
      </c>
      <c r="B100" s="31" t="s">
        <v>44</v>
      </c>
      <c r="C100" s="31">
        <v>3532</v>
      </c>
      <c r="D100" s="46">
        <v>38</v>
      </c>
      <c r="E100" s="31" t="str">
        <f>"1000024882"</f>
        <v>1000024882</v>
      </c>
      <c r="F100" s="31" t="str">
        <f>"RECYCLE KIT: Lamp w HG Compact - Compact fl. Recycle kit: double corrugated for mercury lamps (cfl) flood lights and HID lamps size 11 x 14 x 14; Capacity 350 2-pin, 175 4-pin, 106 spiral. Box dimensions 14.75 x 14.5 x 11.75"</f>
        <v>RECYCLE KIT: Lamp w HG Compact - Compact fl. Recycle kit: double corrugated for mercury lamps (cfl) flood lights and HID lamps size 11 x 14 x 14; Capacity 350 2-pin, 175 4-pin, 106 spiral. Box dimensions 14.75 x 14.5 x 11.75</v>
      </c>
      <c r="G100" s="37" t="str">
        <f t="shared" si="8"/>
        <v>EA</v>
      </c>
      <c r="H100" s="38">
        <v>78.63</v>
      </c>
      <c r="I100" s="31" t="str">
        <f>"76122314"</f>
        <v>76122314</v>
      </c>
      <c r="J100" s="39" t="s">
        <v>136</v>
      </c>
      <c r="K100" s="127"/>
    </row>
    <row r="101" spans="1:11" ht="64.5">
      <c r="A101" s="36" t="s">
        <v>25</v>
      </c>
      <c r="B101" s="31" t="s">
        <v>44</v>
      </c>
      <c r="C101" s="31">
        <v>3532</v>
      </c>
      <c r="D101" s="46">
        <v>39</v>
      </c>
      <c r="E101" s="31" t="str">
        <f>"1000024883"</f>
        <v>1000024883</v>
      </c>
      <c r="F101" s="31" t="str">
        <f>"RECYCLE KIT: Lamp w HG 2ft Bx - Lamp recycle kit for mercury contained U-Bend lamps and 400 watt bulbs: Capacity 43 T-12 UB, 75 T-8 UB, 60 400watt, HID 55lbs. Box dimensions 24 x 24 x 24"</f>
        <v>RECYCLE KIT: Lamp w HG 2ft Bx - Lamp recycle kit for mercury contained U-Bend lamps and 400 watt bulbs: Capacity 43 T-12 UB, 75 T-8 UB, 60 400watt, HID 55lbs. Box dimensions 24 x 24 x 24</v>
      </c>
      <c r="G101" s="37" t="str">
        <f t="shared" si="8"/>
        <v>EA</v>
      </c>
      <c r="H101" s="38">
        <v>87.69</v>
      </c>
      <c r="I101" s="31" t="str">
        <f>"76122314"</f>
        <v>76122314</v>
      </c>
      <c r="J101" s="39" t="s">
        <v>136</v>
      </c>
      <c r="K101" s="127"/>
    </row>
    <row r="102" spans="1:11" ht="77.25">
      <c r="A102" s="36" t="s">
        <v>25</v>
      </c>
      <c r="B102" s="31" t="s">
        <v>44</v>
      </c>
      <c r="C102" s="31">
        <v>3532</v>
      </c>
      <c r="D102" s="46">
        <v>45</v>
      </c>
      <c r="E102" s="31" t="str">
        <f>"1000022964"</f>
        <v>1000022964</v>
      </c>
      <c r="F102" s="31" t="str">
        <f>"SHOWER CURTAIN:36 x 72 EA Vinyl shower curtain, 36 in x 72 in, white, mildew resistant, single panel, made from heavy-duty vinyl. Embossed, heat-sealed grommets, reinforced hems and seams. Sold by the each"</f>
        <v>SHOWER CURTAIN:36 x 72 EA Vinyl shower curtain, 36 in x 72 in, white, mildew resistant, single panel, made from heavy-duty vinyl. Embossed, heat-sealed grommets, reinforced hems and seams. Sold by the each</v>
      </c>
      <c r="G102" s="37" t="str">
        <f t="shared" si="8"/>
        <v>EA</v>
      </c>
      <c r="H102" s="38">
        <v>9.4499999999999993</v>
      </c>
      <c r="I102" s="31" t="str">
        <f>"30181607"</f>
        <v>30181607</v>
      </c>
      <c r="J102" s="39" t="s">
        <v>139</v>
      </c>
      <c r="K102" s="127"/>
    </row>
    <row r="103" spans="1:11" ht="77.25">
      <c r="A103" s="36" t="s">
        <v>25</v>
      </c>
      <c r="B103" s="31" t="s">
        <v>44</v>
      </c>
      <c r="C103" s="31">
        <v>3532</v>
      </c>
      <c r="D103" s="46">
        <v>46</v>
      </c>
      <c r="E103" s="31" t="str">
        <f>"1000022965"</f>
        <v>1000022965</v>
      </c>
      <c r="F103" s="31" t="str">
        <f>"SHOWER CURTAIN:36 x 72, 24/CA - Vinyl shower curtain, 36 in x 72 in, white, mildew resistant, single panel, made from heavy-duty vinyl. Embossed, heat-sealed grommets, reinforced hems and seams. Sold 24 curtains per case"</f>
        <v>SHOWER CURTAIN:36 x 72, 24/CA - Vinyl shower curtain, 36 in x 72 in, white, mildew resistant, single panel, made from heavy-duty vinyl. Embossed, heat-sealed grommets, reinforced hems and seams. Sold 24 curtains per case</v>
      </c>
      <c r="G103" s="37" t="str">
        <f>"CA"</f>
        <v>CA</v>
      </c>
      <c r="H103" s="38">
        <v>204.12</v>
      </c>
      <c r="I103" s="31" t="str">
        <f>"30181607"</f>
        <v>30181607</v>
      </c>
      <c r="J103" s="39" t="s">
        <v>139</v>
      </c>
      <c r="K103" s="127"/>
    </row>
    <row r="104" spans="1:11" ht="77.25">
      <c r="A104" s="36" t="s">
        <v>25</v>
      </c>
      <c r="B104" s="31" t="s">
        <v>44</v>
      </c>
      <c r="C104" s="31">
        <v>3532</v>
      </c>
      <c r="D104" s="46">
        <v>47</v>
      </c>
      <c r="E104" s="31" t="str">
        <f>"1000022966"</f>
        <v>1000022966</v>
      </c>
      <c r="F104" s="31" t="str">
        <f>"SHOWER CURTAIN:72 x 72 EA Vinyl shower curtain, 72 in x 72 in, white, mildew resistant, single panel, made from heavy-duty vinyl. Embossed, heat-sealed grommets, reinforced hems and seams. Sold by the each"</f>
        <v>SHOWER CURTAIN:72 x 72 EA Vinyl shower curtain, 72 in x 72 in, white, mildew resistant, single panel, made from heavy-duty vinyl. Embossed, heat-sealed grommets, reinforced hems and seams. Sold by the each</v>
      </c>
      <c r="G104" s="37" t="str">
        <f>"EA"</f>
        <v>EA</v>
      </c>
      <c r="H104" s="38">
        <v>14.04</v>
      </c>
      <c r="I104" s="31" t="str">
        <f>"30181607"</f>
        <v>30181607</v>
      </c>
      <c r="J104" s="39" t="s">
        <v>139</v>
      </c>
      <c r="K104" s="127"/>
    </row>
    <row r="105" spans="1:11" ht="77.25">
      <c r="A105" s="36" t="s">
        <v>25</v>
      </c>
      <c r="B105" s="31" t="s">
        <v>44</v>
      </c>
      <c r="C105" s="31">
        <v>3532</v>
      </c>
      <c r="D105" s="46">
        <v>48</v>
      </c>
      <c r="E105" s="31" t="str">
        <f>"1000022967"</f>
        <v>1000022967</v>
      </c>
      <c r="F105" s="31" t="str">
        <f>"SHOWER CURTAIN:72 x 72, 24/CA - Vinyl shower curtain, 72 in x 72 in, white, mildew resistant, single panel, made from heavy-duty vinyl. Embossed, heat-sealed grommets, reinforced hems and seams. Sold 24 curtains per case"</f>
        <v>SHOWER CURTAIN:72 x 72, 24/CA - Vinyl shower curtain, 72 in x 72 in, white, mildew resistant, single panel, made from heavy-duty vinyl. Embossed, heat-sealed grommets, reinforced hems and seams. Sold 24 curtains per case</v>
      </c>
      <c r="G105" s="37" t="str">
        <f>"CA"</f>
        <v>CA</v>
      </c>
      <c r="H105" s="38">
        <v>303.27</v>
      </c>
      <c r="I105" s="31" t="str">
        <f>"30181607"</f>
        <v>30181607</v>
      </c>
      <c r="J105" s="39" t="s">
        <v>139</v>
      </c>
      <c r="K105" s="127"/>
    </row>
    <row r="106" spans="1:11" ht="51.75">
      <c r="A106" s="36" t="s">
        <v>25</v>
      </c>
      <c r="B106" s="31" t="s">
        <v>44</v>
      </c>
      <c r="C106" s="31">
        <v>3532</v>
      </c>
      <c r="D106" s="46">
        <v>1</v>
      </c>
      <c r="E106" s="31" t="str">
        <f>"1000022952"</f>
        <v>1000022952</v>
      </c>
      <c r="F106" s="31" t="str">
        <f>"FLOOR MAT:Urinal EA 17.5 IN x 20.5 IN x .25 IN. Deodorizing, disposable urinal floor mat with non-slip bottom. Sold by the each"</f>
        <v>FLOOR MAT:Urinal EA 17.5 IN x 20.5 IN x .25 IN. Deodorizing, disposable urinal floor mat with non-slip bottom. Sold by the each</v>
      </c>
      <c r="G106" s="37" t="str">
        <f>"EA"</f>
        <v>EA</v>
      </c>
      <c r="H106" s="38">
        <v>8.92</v>
      </c>
      <c r="I106" s="31" t="str">
        <f t="shared" ref="I106:I111" si="10">"47131705"</f>
        <v>47131705</v>
      </c>
      <c r="J106" s="39" t="s">
        <v>134</v>
      </c>
      <c r="K106" s="127"/>
    </row>
    <row r="107" spans="1:11" ht="51.75">
      <c r="A107" s="36" t="s">
        <v>25</v>
      </c>
      <c r="B107" s="31" t="s">
        <v>44</v>
      </c>
      <c r="C107" s="31">
        <v>3532</v>
      </c>
      <c r="D107" s="46">
        <v>2</v>
      </c>
      <c r="E107" s="31" t="str">
        <f>"1000022953"</f>
        <v>1000022953</v>
      </c>
      <c r="F107" s="31" t="str">
        <f>"FLOOR MAT:Urinal 6/CT 17.5 IN x 20.5 IN x .25 IN. Deodorizing, disposable urinal floor mat with non-slip bottom. Sold 6 mats per carton"</f>
        <v>FLOOR MAT:Urinal 6/CT 17.5 IN x 20.5 IN x .25 IN. Deodorizing, disposable urinal floor mat with non-slip bottom. Sold 6 mats per carton</v>
      </c>
      <c r="G107" s="37" t="str">
        <f>"CT"</f>
        <v>CT</v>
      </c>
      <c r="H107" s="38">
        <v>53.54</v>
      </c>
      <c r="I107" s="31" t="str">
        <f t="shared" si="10"/>
        <v>47131705</v>
      </c>
      <c r="J107" s="39" t="s">
        <v>134</v>
      </c>
      <c r="K107" s="127"/>
    </row>
    <row r="108" spans="1:11" ht="51.75">
      <c r="A108" s="36" t="s">
        <v>25</v>
      </c>
      <c r="B108" s="31" t="s">
        <v>44</v>
      </c>
      <c r="C108" s="31">
        <v>3532</v>
      </c>
      <c r="D108" s="46">
        <v>3</v>
      </c>
      <c r="E108" s="31" t="str">
        <f>"1000022954"</f>
        <v>1000022954</v>
      </c>
      <c r="F108" s="31" t="str">
        <f>"FLOOR MAT:Urinal 24/CT 17.5 IN x 20.5 IN x .25 IN. Deodorizing, disposable urinal floor mat with non-slip bottom. Sold 24 per carton"</f>
        <v>FLOOR MAT:Urinal 24/CT 17.5 IN x 20.5 IN x .25 IN. Deodorizing, disposable urinal floor mat with non-slip bottom. Sold 24 per carton</v>
      </c>
      <c r="G108" s="37" t="str">
        <f>"CT"</f>
        <v>CT</v>
      </c>
      <c r="H108" s="38">
        <v>214.16</v>
      </c>
      <c r="I108" s="31" t="str">
        <f t="shared" si="10"/>
        <v>47131705</v>
      </c>
      <c r="J108" s="39" t="s">
        <v>134</v>
      </c>
      <c r="K108" s="127"/>
    </row>
    <row r="109" spans="1:11" ht="51.75">
      <c r="A109" s="36" t="s">
        <v>25</v>
      </c>
      <c r="B109" s="31" t="s">
        <v>44</v>
      </c>
      <c r="C109" s="31">
        <v>3532</v>
      </c>
      <c r="D109" s="46">
        <v>4</v>
      </c>
      <c r="E109" s="31" t="str">
        <f>"1000022955"</f>
        <v>1000022955</v>
      </c>
      <c r="F109" s="31" t="str">
        <f>"FLOOR MAT:Toilet EA 22 IN x 22 IN x .25 IN. Deodorizing, disposable toilet/commode floor mat with non-slip bottom. Sold by the each"</f>
        <v>FLOOR MAT:Toilet EA 22 IN x 22 IN x .25 IN. Deodorizing, disposable toilet/commode floor mat with non-slip bottom. Sold by the each</v>
      </c>
      <c r="G109" s="37" t="str">
        <f>"EA"</f>
        <v>EA</v>
      </c>
      <c r="H109" s="38">
        <v>9.06</v>
      </c>
      <c r="I109" s="31" t="str">
        <f t="shared" si="10"/>
        <v>47131705</v>
      </c>
      <c r="J109" s="39" t="s">
        <v>134</v>
      </c>
      <c r="K109" s="127"/>
    </row>
    <row r="110" spans="1:11" ht="51.75">
      <c r="A110" s="36" t="s">
        <v>25</v>
      </c>
      <c r="B110" s="31" t="s">
        <v>44</v>
      </c>
      <c r="C110" s="31">
        <v>3532</v>
      </c>
      <c r="D110" s="46">
        <v>5</v>
      </c>
      <c r="E110" s="31" t="str">
        <f>"1000022956"</f>
        <v>1000022956</v>
      </c>
      <c r="F110" s="31" t="str">
        <f>"FLOOR MAT:Toilet 6/CT 22 IN x 22 IN x .25 IN. Deodorizing, disposable toilet/commode floor mat with non-slip bottom. Sold 6 mats per carton"</f>
        <v>FLOOR MAT:Toilet 6/CT 22 IN x 22 IN x .25 IN. Deodorizing, disposable toilet/commode floor mat with non-slip bottom. Sold 6 mats per carton</v>
      </c>
      <c r="G110" s="37" t="str">
        <f>"CT"</f>
        <v>CT</v>
      </c>
      <c r="H110" s="38">
        <v>54.34</v>
      </c>
      <c r="I110" s="31" t="str">
        <f t="shared" si="10"/>
        <v>47131705</v>
      </c>
      <c r="J110" s="39" t="s">
        <v>134</v>
      </c>
      <c r="K110" s="127"/>
    </row>
    <row r="111" spans="1:11" ht="51.75">
      <c r="A111" s="36" t="s">
        <v>25</v>
      </c>
      <c r="B111" s="31" t="s">
        <v>44</v>
      </c>
      <c r="C111" s="31">
        <v>3532</v>
      </c>
      <c r="D111" s="46">
        <v>6</v>
      </c>
      <c r="E111" s="31" t="str">
        <f>"1000022957"</f>
        <v>1000022957</v>
      </c>
      <c r="F111" s="31" t="str">
        <f>"FLOOR MAT:Toilet 24/CT 22 IN x 22 IN x .25 IN. Deodorizing, disposable toilet/commode floor mat with non-slip bottom. Sold 24 per carton"</f>
        <v>FLOOR MAT:Toilet 24/CT 22 IN x 22 IN x .25 IN. Deodorizing, disposable toilet/commode floor mat with non-slip bottom. Sold 24 per carton</v>
      </c>
      <c r="G111" s="37" t="str">
        <f>"CT"</f>
        <v>CT</v>
      </c>
      <c r="H111" s="38">
        <v>217.36</v>
      </c>
      <c r="I111" s="31" t="str">
        <f t="shared" si="10"/>
        <v>47131705</v>
      </c>
      <c r="J111" s="39" t="s">
        <v>134</v>
      </c>
      <c r="K111" s="127"/>
    </row>
    <row r="112" spans="1:11" ht="26.25">
      <c r="A112" s="36" t="s">
        <v>25</v>
      </c>
      <c r="B112" s="31" t="s">
        <v>44</v>
      </c>
      <c r="C112" s="31">
        <v>3693</v>
      </c>
      <c r="D112" s="46">
        <v>1</v>
      </c>
      <c r="E112" s="31">
        <v>1000029982</v>
      </c>
      <c r="F112" s="31" t="s">
        <v>887</v>
      </c>
      <c r="G112" s="37" t="s">
        <v>600</v>
      </c>
      <c r="H112" s="38">
        <v>0.01</v>
      </c>
      <c r="I112" s="31">
        <v>53131626</v>
      </c>
      <c r="J112" s="39" t="s">
        <v>886</v>
      </c>
      <c r="K112" s="137" t="s">
        <v>885</v>
      </c>
    </row>
    <row r="113" spans="1:11">
      <c r="A113" s="36" t="s">
        <v>25</v>
      </c>
      <c r="B113" s="31" t="s">
        <v>45</v>
      </c>
      <c r="C113" s="31">
        <v>3510</v>
      </c>
      <c r="D113" s="46">
        <v>1</v>
      </c>
      <c r="E113" s="31" t="str">
        <f>"1000009750"</f>
        <v>1000009750</v>
      </c>
      <c r="F113" s="31" t="s">
        <v>591</v>
      </c>
      <c r="G113" s="37" t="str">
        <f>"SF"</f>
        <v>SF</v>
      </c>
      <c r="H113" s="38">
        <v>0.01</v>
      </c>
      <c r="I113" s="31" t="str">
        <f>"76111501"</f>
        <v>76111501</v>
      </c>
      <c r="J113" s="39" t="s">
        <v>67</v>
      </c>
      <c r="K113" s="127"/>
    </row>
    <row r="114" spans="1:11" ht="26.25">
      <c r="A114" s="36" t="s">
        <v>25</v>
      </c>
      <c r="B114" s="31" t="s">
        <v>2</v>
      </c>
      <c r="C114" s="31">
        <v>3511</v>
      </c>
      <c r="D114" s="46">
        <v>1</v>
      </c>
      <c r="E114" s="31" t="str">
        <f>"1000009750"</f>
        <v>1000009750</v>
      </c>
      <c r="F114" s="31" t="s">
        <v>591</v>
      </c>
      <c r="G114" s="37" t="str">
        <f>"SF"</f>
        <v>SF</v>
      </c>
      <c r="H114" s="38">
        <v>0.01</v>
      </c>
      <c r="I114" s="31" t="str">
        <f>"76111501"</f>
        <v>76111501</v>
      </c>
      <c r="J114" s="39" t="s">
        <v>67</v>
      </c>
      <c r="K114" s="127"/>
    </row>
    <row r="115" spans="1:11" ht="26.25">
      <c r="A115" s="36" t="s">
        <v>25</v>
      </c>
      <c r="B115" s="31" t="s">
        <v>2</v>
      </c>
      <c r="C115" s="31">
        <v>3511</v>
      </c>
      <c r="D115" s="46">
        <v>2</v>
      </c>
      <c r="E115" s="31" t="str">
        <f>"1000008904"</f>
        <v>1000008904</v>
      </c>
      <c r="F115" s="31" t="str">
        <f>"SECURITY SERVICES: Unarmed Security Guard Services"</f>
        <v>SECURITY SERVICES: Unarmed Security Guard Services</v>
      </c>
      <c r="G115" s="37" t="str">
        <f>"EA"</f>
        <v>EA</v>
      </c>
      <c r="H115" s="38">
        <v>0.01</v>
      </c>
      <c r="I115" s="31" t="str">
        <f>"92121504"</f>
        <v>92121504</v>
      </c>
      <c r="J115" s="39" t="s">
        <v>72</v>
      </c>
      <c r="K115" s="127"/>
    </row>
    <row r="116" spans="1:11">
      <c r="A116" s="36" t="s">
        <v>25</v>
      </c>
      <c r="B116" s="31" t="s">
        <v>47</v>
      </c>
      <c r="C116" s="31">
        <v>3512</v>
      </c>
      <c r="D116" s="46">
        <v>1</v>
      </c>
      <c r="E116" s="31" t="str">
        <f>"1000009750"</f>
        <v>1000009750</v>
      </c>
      <c r="F116" s="31" t="s">
        <v>591</v>
      </c>
      <c r="G116" s="37" t="str">
        <f>"SF"</f>
        <v>SF</v>
      </c>
      <c r="H116" s="38">
        <v>0.01</v>
      </c>
      <c r="I116" s="31" t="str">
        <f>"76111501"</f>
        <v>76111501</v>
      </c>
      <c r="J116" s="39" t="s">
        <v>67</v>
      </c>
      <c r="K116" s="127"/>
    </row>
    <row r="117" spans="1:11" ht="26.25">
      <c r="A117" s="36" t="s">
        <v>25</v>
      </c>
      <c r="B117" s="31" t="s">
        <v>47</v>
      </c>
      <c r="C117" s="31">
        <v>3512</v>
      </c>
      <c r="D117" s="46">
        <v>2</v>
      </c>
      <c r="E117" s="31" t="str">
        <f>"1000029713"</f>
        <v>1000029713</v>
      </c>
      <c r="F117" s="31" t="str">
        <f>"LAUNDRY SRVC: State Use, Laundry and Linen Services"</f>
        <v>LAUNDRY SRVC: State Use, Laundry and Linen Services</v>
      </c>
      <c r="G117" s="37" t="str">
        <f>"EA"</f>
        <v>EA</v>
      </c>
      <c r="H117" s="38">
        <v>0.01</v>
      </c>
      <c r="I117" s="31" t="str">
        <f>"91111502"</f>
        <v>91111502</v>
      </c>
      <c r="J117" s="39" t="s">
        <v>126</v>
      </c>
      <c r="K117" s="127"/>
    </row>
    <row r="118" spans="1:11">
      <c r="A118" s="36" t="s">
        <v>25</v>
      </c>
      <c r="B118" s="31" t="s">
        <v>13</v>
      </c>
      <c r="C118" s="31">
        <v>3513</v>
      </c>
      <c r="D118" s="46">
        <v>1</v>
      </c>
      <c r="E118" s="31" t="str">
        <f>"1000009750"</f>
        <v>1000009750</v>
      </c>
      <c r="F118" s="31" t="s">
        <v>591</v>
      </c>
      <c r="G118" s="37" t="str">
        <f>"SF"</f>
        <v>SF</v>
      </c>
      <c r="H118" s="38">
        <v>0.01</v>
      </c>
      <c r="I118" s="31" t="str">
        <f>"76111501"</f>
        <v>76111501</v>
      </c>
      <c r="J118" s="39" t="s">
        <v>67</v>
      </c>
      <c r="K118" s="127"/>
    </row>
    <row r="119" spans="1:11" ht="26.25">
      <c r="A119" s="36" t="s">
        <v>25</v>
      </c>
      <c r="B119" s="31" t="s">
        <v>13</v>
      </c>
      <c r="C119" s="31">
        <v>3513</v>
      </c>
      <c r="D119" s="46">
        <v>2</v>
      </c>
      <c r="E119" s="31" t="str">
        <f>"1000029713"</f>
        <v>1000029713</v>
      </c>
      <c r="F119" s="31" t="str">
        <f>"LAUNDRY SRVC: State Use, Laundry and Linen Services"</f>
        <v>LAUNDRY SRVC: State Use, Laundry and Linen Services</v>
      </c>
      <c r="G119" s="37" t="str">
        <f>"EA"</f>
        <v>EA</v>
      </c>
      <c r="H119" s="38">
        <v>0.01</v>
      </c>
      <c r="I119" s="31" t="str">
        <f>"91111502"</f>
        <v>91111502</v>
      </c>
      <c r="J119" s="39" t="s">
        <v>126</v>
      </c>
      <c r="K119" s="127"/>
    </row>
    <row r="120" spans="1:11">
      <c r="A120" s="36" t="s">
        <v>25</v>
      </c>
      <c r="B120" s="31" t="s">
        <v>48</v>
      </c>
      <c r="C120" s="31">
        <v>3514</v>
      </c>
      <c r="D120" s="46">
        <v>1</v>
      </c>
      <c r="E120" s="31" t="str">
        <f>"1000009750"</f>
        <v>1000009750</v>
      </c>
      <c r="F120" s="31" t="s">
        <v>591</v>
      </c>
      <c r="G120" s="37" t="str">
        <f>"SF"</f>
        <v>SF</v>
      </c>
      <c r="H120" s="38">
        <v>0.01</v>
      </c>
      <c r="I120" s="31" t="str">
        <f>"76111501"</f>
        <v>76111501</v>
      </c>
      <c r="J120" s="39" t="s">
        <v>67</v>
      </c>
      <c r="K120" s="127"/>
    </row>
    <row r="121" spans="1:11" ht="26.25">
      <c r="A121" s="36" t="s">
        <v>25</v>
      </c>
      <c r="B121" s="31" t="s">
        <v>48</v>
      </c>
      <c r="C121" s="31">
        <v>3514</v>
      </c>
      <c r="D121" s="46">
        <v>2</v>
      </c>
      <c r="E121" s="31" t="str">
        <f>"1000008904"</f>
        <v>1000008904</v>
      </c>
      <c r="F121" s="31" t="str">
        <f>"SECURITY SERVICES: Unarmed Security Guard Services"</f>
        <v>SECURITY SERVICES: Unarmed Security Guard Services</v>
      </c>
      <c r="G121" s="37" t="str">
        <f>"EA"</f>
        <v>EA</v>
      </c>
      <c r="H121" s="38">
        <v>0.01</v>
      </c>
      <c r="I121" s="31" t="str">
        <f>"92121504"</f>
        <v>92121504</v>
      </c>
      <c r="J121" s="39" t="s">
        <v>72</v>
      </c>
      <c r="K121" s="127"/>
    </row>
    <row r="122" spans="1:11">
      <c r="A122" s="36" t="s">
        <v>25</v>
      </c>
      <c r="B122" s="31" t="s">
        <v>17</v>
      </c>
      <c r="C122" s="31">
        <v>3521</v>
      </c>
      <c r="D122" s="46">
        <v>1</v>
      </c>
      <c r="E122" s="31" t="str">
        <f>"1000009750"</f>
        <v>1000009750</v>
      </c>
      <c r="F122" s="31" t="s">
        <v>591</v>
      </c>
      <c r="G122" s="37" t="str">
        <f>"SF"</f>
        <v>SF</v>
      </c>
      <c r="H122" s="38">
        <v>0.01</v>
      </c>
      <c r="I122" s="31" t="str">
        <f>"76111501"</f>
        <v>76111501</v>
      </c>
      <c r="J122" s="39" t="s">
        <v>67</v>
      </c>
      <c r="K122" s="127"/>
    </row>
    <row r="123" spans="1:11" ht="26.25">
      <c r="A123" s="36" t="s">
        <v>25</v>
      </c>
      <c r="B123" s="31" t="s">
        <v>17</v>
      </c>
      <c r="C123" s="31">
        <v>3521</v>
      </c>
      <c r="D123" s="46">
        <v>2</v>
      </c>
      <c r="E123" s="31" t="str">
        <f>"1000029713"</f>
        <v>1000029713</v>
      </c>
      <c r="F123" s="31" t="str">
        <f>"LAUNDRY SRVC: State Use, Laundry and Linen Services"</f>
        <v>LAUNDRY SRVC: State Use, Laundry and Linen Services</v>
      </c>
      <c r="G123" s="37" t="str">
        <f>"EA"</f>
        <v>EA</v>
      </c>
      <c r="H123" s="38">
        <v>0.01</v>
      </c>
      <c r="I123" s="31" t="str">
        <f>"91111502"</f>
        <v>91111502</v>
      </c>
      <c r="J123" s="39" t="s">
        <v>126</v>
      </c>
      <c r="K123" s="127"/>
    </row>
    <row r="124" spans="1:11">
      <c r="A124" s="36" t="s">
        <v>25</v>
      </c>
      <c r="B124" s="31" t="s">
        <v>14</v>
      </c>
      <c r="C124" s="31">
        <v>3515</v>
      </c>
      <c r="D124" s="46">
        <v>1</v>
      </c>
      <c r="E124" s="31" t="str">
        <f>"1000009750"</f>
        <v>1000009750</v>
      </c>
      <c r="F124" s="31" t="s">
        <v>591</v>
      </c>
      <c r="G124" s="37" t="str">
        <f>"SF"</f>
        <v>SF</v>
      </c>
      <c r="H124" s="38">
        <v>0.01</v>
      </c>
      <c r="I124" s="31" t="str">
        <f>"76111501"</f>
        <v>76111501</v>
      </c>
      <c r="J124" s="39" t="s">
        <v>67</v>
      </c>
      <c r="K124" s="127"/>
    </row>
    <row r="125" spans="1:11" ht="26.25">
      <c r="A125" s="36" t="s">
        <v>25</v>
      </c>
      <c r="B125" s="31" t="s">
        <v>14</v>
      </c>
      <c r="C125" s="31">
        <v>3515</v>
      </c>
      <c r="D125" s="46">
        <v>2</v>
      </c>
      <c r="E125" s="31" t="str">
        <f>"1000029713"</f>
        <v>1000029713</v>
      </c>
      <c r="F125" s="31" t="str">
        <f>"LAUNDRY SRVC: State Use, Laundry and Linen Services"</f>
        <v>LAUNDRY SRVC: State Use, Laundry and Linen Services</v>
      </c>
      <c r="G125" s="37" t="str">
        <f>"EA"</f>
        <v>EA</v>
      </c>
      <c r="H125" s="38">
        <v>0.01</v>
      </c>
      <c r="I125" s="31" t="str">
        <f>"91111502"</f>
        <v>91111502</v>
      </c>
      <c r="J125" s="39" t="s">
        <v>126</v>
      </c>
      <c r="K125" s="127"/>
    </row>
    <row r="126" spans="1:11">
      <c r="A126" s="36" t="s">
        <v>25</v>
      </c>
      <c r="B126" s="31" t="s">
        <v>52</v>
      </c>
      <c r="C126" s="31">
        <v>3516</v>
      </c>
      <c r="D126" s="46">
        <v>1</v>
      </c>
      <c r="E126" s="31" t="str">
        <f>"1000009750"</f>
        <v>1000009750</v>
      </c>
      <c r="F126" s="31" t="s">
        <v>591</v>
      </c>
      <c r="G126" s="37" t="str">
        <f>"SF"</f>
        <v>SF</v>
      </c>
      <c r="H126" s="38">
        <v>0.01</v>
      </c>
      <c r="I126" s="31" t="str">
        <f>"76111501"</f>
        <v>76111501</v>
      </c>
      <c r="J126" s="39" t="s">
        <v>67</v>
      </c>
      <c r="K126" s="127"/>
    </row>
    <row r="127" spans="1:11">
      <c r="A127" s="36" t="s">
        <v>25</v>
      </c>
      <c r="B127" s="31" t="s">
        <v>53</v>
      </c>
      <c r="C127" s="31">
        <v>3517</v>
      </c>
      <c r="D127" s="46">
        <v>1</v>
      </c>
      <c r="E127" s="31" t="str">
        <f>"1000009750"</f>
        <v>1000009750</v>
      </c>
      <c r="F127" s="31" t="s">
        <v>591</v>
      </c>
      <c r="G127" s="37" t="str">
        <f>"SF"</f>
        <v>SF</v>
      </c>
      <c r="H127" s="38">
        <v>0.01</v>
      </c>
      <c r="I127" s="31" t="str">
        <f>"76111501"</f>
        <v>76111501</v>
      </c>
      <c r="J127" s="39" t="s">
        <v>67</v>
      </c>
      <c r="K127" s="127"/>
    </row>
    <row r="128" spans="1:11" ht="26.25">
      <c r="A128" s="36" t="s">
        <v>25</v>
      </c>
      <c r="B128" s="31" t="s">
        <v>54</v>
      </c>
      <c r="C128" s="31">
        <v>3566</v>
      </c>
      <c r="D128" s="46">
        <v>1</v>
      </c>
      <c r="E128" s="31" t="str">
        <f>"1000029713"</f>
        <v>1000029713</v>
      </c>
      <c r="F128" s="31" t="str">
        <f>"LAUNDRY SRVC: State Use, Laundry and Linen Services"</f>
        <v>LAUNDRY SRVC: State Use, Laundry and Linen Services</v>
      </c>
      <c r="G128" s="37" t="str">
        <f>"EA"</f>
        <v>EA</v>
      </c>
      <c r="H128" s="38">
        <v>0.01</v>
      </c>
      <c r="I128" s="31" t="str">
        <f>"91111502"</f>
        <v>91111502</v>
      </c>
      <c r="J128" s="39" t="s">
        <v>126</v>
      </c>
      <c r="K128" s="127"/>
    </row>
    <row r="129" spans="1:11">
      <c r="A129" s="36" t="s">
        <v>25</v>
      </c>
      <c r="B129" s="31" t="s">
        <v>55</v>
      </c>
      <c r="C129" s="31">
        <v>3518</v>
      </c>
      <c r="D129" s="46">
        <v>1</v>
      </c>
      <c r="E129" s="31" t="str">
        <f>"1000009750"</f>
        <v>1000009750</v>
      </c>
      <c r="F129" s="31" t="s">
        <v>591</v>
      </c>
      <c r="G129" s="37" t="str">
        <f>"SF"</f>
        <v>SF</v>
      </c>
      <c r="H129" s="38">
        <v>0.01</v>
      </c>
      <c r="I129" s="31" t="str">
        <f>"76111501"</f>
        <v>76111501</v>
      </c>
      <c r="J129" s="39" t="s">
        <v>67</v>
      </c>
      <c r="K129" s="127"/>
    </row>
    <row r="130" spans="1:11">
      <c r="A130" s="36" t="s">
        <v>25</v>
      </c>
      <c r="B130" s="31" t="s">
        <v>15</v>
      </c>
      <c r="C130" s="31">
        <v>3519</v>
      </c>
      <c r="D130" s="46">
        <v>1</v>
      </c>
      <c r="E130" s="31" t="str">
        <f>"1000009750"</f>
        <v>1000009750</v>
      </c>
      <c r="F130" s="31" t="s">
        <v>591</v>
      </c>
      <c r="G130" s="37" t="str">
        <f>"SF"</f>
        <v>SF</v>
      </c>
      <c r="H130" s="38">
        <v>0.01</v>
      </c>
      <c r="I130" s="31" t="str">
        <f>"76111501"</f>
        <v>76111501</v>
      </c>
      <c r="J130" s="39" t="s">
        <v>67</v>
      </c>
      <c r="K130" s="127"/>
    </row>
    <row r="131" spans="1:11" ht="26.25">
      <c r="A131" s="36" t="s">
        <v>25</v>
      </c>
      <c r="B131" s="31" t="s">
        <v>19</v>
      </c>
      <c r="C131" s="31">
        <v>3567</v>
      </c>
      <c r="D131" s="46">
        <v>1</v>
      </c>
      <c r="E131" s="31" t="str">
        <f>"1000029713"</f>
        <v>1000029713</v>
      </c>
      <c r="F131" s="31" t="str">
        <f>"LAUNDRY SRVC: State Use, Laundry and Linen Services"</f>
        <v>LAUNDRY SRVC: State Use, Laundry and Linen Services</v>
      </c>
      <c r="G131" s="37" t="str">
        <f>"EA"</f>
        <v>EA</v>
      </c>
      <c r="H131" s="38">
        <v>0.01</v>
      </c>
      <c r="I131" s="31" t="str">
        <f>"91111502"</f>
        <v>91111502</v>
      </c>
      <c r="J131" s="39" t="s">
        <v>126</v>
      </c>
      <c r="K131" s="127"/>
    </row>
    <row r="132" spans="1:11" ht="26.25">
      <c r="A132" s="36" t="s">
        <v>25</v>
      </c>
      <c r="B132" s="31" t="s">
        <v>16</v>
      </c>
      <c r="C132" s="31">
        <v>3520</v>
      </c>
      <c r="D132" s="46">
        <v>1</v>
      </c>
      <c r="E132" s="31" t="str">
        <f>"1000009750"</f>
        <v>1000009750</v>
      </c>
      <c r="F132" s="31" t="s">
        <v>591</v>
      </c>
      <c r="G132" s="37" t="str">
        <f>"SF"</f>
        <v>SF</v>
      </c>
      <c r="H132" s="38">
        <v>0.01</v>
      </c>
      <c r="I132" s="31" t="str">
        <f>"76111501"</f>
        <v>76111501</v>
      </c>
      <c r="J132" s="39" t="s">
        <v>67</v>
      </c>
      <c r="K132" s="127"/>
    </row>
    <row r="133" spans="1:11" ht="26.25">
      <c r="A133" s="36" t="s">
        <v>25</v>
      </c>
      <c r="B133" s="31" t="s">
        <v>16</v>
      </c>
      <c r="C133" s="31">
        <v>3520</v>
      </c>
      <c r="D133" s="46">
        <v>2</v>
      </c>
      <c r="E133" s="31" t="str">
        <f>"1000029713"</f>
        <v>1000029713</v>
      </c>
      <c r="F133" s="31" t="str">
        <f>"LAUNDRY SRVC: State Use, Laundry and Linen Services"</f>
        <v>LAUNDRY SRVC: State Use, Laundry and Linen Services</v>
      </c>
      <c r="G133" s="37" t="str">
        <f>"EA"</f>
        <v>EA</v>
      </c>
      <c r="H133" s="38">
        <v>0.01</v>
      </c>
      <c r="I133" s="31" t="str">
        <f>"91111502"</f>
        <v>91111502</v>
      </c>
      <c r="J133" s="39" t="s">
        <v>126</v>
      </c>
      <c r="K133" s="127"/>
    </row>
    <row r="134" spans="1:11" ht="26.25">
      <c r="A134" s="36" t="s">
        <v>25</v>
      </c>
      <c r="B134" s="31" t="s">
        <v>597</v>
      </c>
      <c r="C134" s="31">
        <v>3522</v>
      </c>
      <c r="D134" s="46">
        <v>1</v>
      </c>
      <c r="E134" s="31" t="str">
        <f>"1000009750"</f>
        <v>1000009750</v>
      </c>
      <c r="F134" s="31" t="s">
        <v>591</v>
      </c>
      <c r="G134" s="37" t="str">
        <f>"SF"</f>
        <v>SF</v>
      </c>
      <c r="H134" s="38">
        <v>0.01</v>
      </c>
      <c r="I134" s="31" t="str">
        <f>"76111501"</f>
        <v>76111501</v>
      </c>
      <c r="J134" s="39" t="s">
        <v>67</v>
      </c>
      <c r="K134" s="127"/>
    </row>
    <row r="135" spans="1:11" ht="51.75">
      <c r="A135" s="36" t="s">
        <v>25</v>
      </c>
      <c r="B135" s="31" t="s">
        <v>597</v>
      </c>
      <c r="C135" s="31">
        <v>3522</v>
      </c>
      <c r="D135" s="46">
        <v>4</v>
      </c>
      <c r="E135" s="31" t="str">
        <f>"1000006544"</f>
        <v>1000006544</v>
      </c>
      <c r="F135" s="31" t="str">
        <f>"SURVEY FLAG:Wire-24 lg 2x3 flag-red/yellow/blue~Stakes, survey flags, wire. 24 length, 2 x 3 flag size. Colors: red, yellow, blue"</f>
        <v>SURVEY FLAG:Wire-24 lg 2x3 flag-red/yellow/blue~Stakes, survey flags, wire. 24 length, 2 x 3 flag size. Colors: red, yellow, blue</v>
      </c>
      <c r="G135" s="37" t="str">
        <f>"TH"</f>
        <v>TH</v>
      </c>
      <c r="H135" s="38">
        <v>71.38</v>
      </c>
      <c r="I135" s="31" t="str">
        <f>"41114205"</f>
        <v>41114205</v>
      </c>
      <c r="J135" s="39" t="s">
        <v>69</v>
      </c>
      <c r="K135" s="127"/>
    </row>
    <row r="136" spans="1:11" ht="51.75">
      <c r="A136" s="36" t="s">
        <v>25</v>
      </c>
      <c r="B136" s="31" t="s">
        <v>597</v>
      </c>
      <c r="C136" s="31">
        <v>3522</v>
      </c>
      <c r="D136" s="46">
        <v>5</v>
      </c>
      <c r="E136" s="31" t="str">
        <f>"1000006545"</f>
        <v>1000006545</v>
      </c>
      <c r="F136" s="31" t="str">
        <f>"SURVEY FLAG:Wire-36 lg, 4x5 flag-red/yellow/blue/orange~Stakes, survey flags, wire. 36 length, 4 x 5 flag size. Colors: red, yellow, blue, orange"</f>
        <v>SURVEY FLAG:Wire-36 lg, 4x5 flag-red/yellow/blue/orange~Stakes, survey flags, wire. 36 length, 4 x 5 flag size. Colors: red, yellow, blue, orange</v>
      </c>
      <c r="G136" s="37" t="str">
        <f>"TH"</f>
        <v>TH</v>
      </c>
      <c r="H136" s="38">
        <v>80.05</v>
      </c>
      <c r="I136" s="31" t="str">
        <f>"41114205"</f>
        <v>41114205</v>
      </c>
      <c r="J136" s="39" t="s">
        <v>69</v>
      </c>
      <c r="K136" s="127"/>
    </row>
    <row r="137" spans="1:11" ht="64.5">
      <c r="A137" s="36" t="s">
        <v>25</v>
      </c>
      <c r="B137" s="31" t="s">
        <v>597</v>
      </c>
      <c r="C137" s="31">
        <v>3522</v>
      </c>
      <c r="D137" s="46">
        <v>6</v>
      </c>
      <c r="E137" s="31" t="str">
        <f>"1000006630"</f>
        <v>1000006630</v>
      </c>
      <c r="F137" s="31" t="str">
        <f>"TOILET SEAT CVRS:1/2 Fld, 5000/CA. Paper toilet seat covers, 1/2 fold, white, fits any toilet seat. 250 seat covers per box, 20 boxes per case (5000 total count per case)"</f>
        <v>TOILET SEAT CVRS:1/2 Fld, 5000/CA. Paper toilet seat covers, 1/2 fold, white, fits any toilet seat. 250 seat covers per box, 20 boxes per case (5000 total count per case)</v>
      </c>
      <c r="G137" s="37" t="str">
        <f>"CA"</f>
        <v>CA</v>
      </c>
      <c r="H137" s="38">
        <v>49.5</v>
      </c>
      <c r="I137" s="31" t="str">
        <f>"14111702"</f>
        <v>14111702</v>
      </c>
      <c r="J137" s="39" t="s">
        <v>183</v>
      </c>
      <c r="K137" s="127"/>
    </row>
    <row r="138" spans="1:11" ht="77.25">
      <c r="A138" s="36" t="s">
        <v>25</v>
      </c>
      <c r="B138" s="31" t="s">
        <v>597</v>
      </c>
      <c r="C138" s="31">
        <v>3522</v>
      </c>
      <c r="D138" s="46">
        <v>2</v>
      </c>
      <c r="E138" s="31" t="str">
        <f>"1000001104"</f>
        <v>1000001104</v>
      </c>
      <c r="F138" s="31" t="str">
        <f>"SURVEY FLAG ROLL: Glow, flagging, surveyor. 1 3/16, Glow roll flagging tape, 150' x 1-3/16 rolls. -10 degrees F temp. resistance, 4.5 mil thickness. Colors: glow blue, glow yellow, glow red, glow orange"</f>
        <v>SURVEY FLAG ROLL: Glow, flagging, surveyor. 1 3/16, Glow roll flagging tape, 150' x 1-3/16 rolls. -10 degrees F temp. resistance, 4.5 mil thickness. Colors: glow blue, glow yellow, glow red, glow orange</v>
      </c>
      <c r="G138" s="37" t="str">
        <f>"RL"</f>
        <v>RL</v>
      </c>
      <c r="H138" s="38">
        <v>1</v>
      </c>
      <c r="I138" s="31" t="str">
        <f>"31201525"</f>
        <v>31201525</v>
      </c>
      <c r="J138" s="39" t="s">
        <v>68</v>
      </c>
      <c r="K138" s="127"/>
    </row>
    <row r="139" spans="1:11" ht="64.5">
      <c r="A139" s="36" t="s">
        <v>25</v>
      </c>
      <c r="B139" s="31" t="s">
        <v>597</v>
      </c>
      <c r="C139" s="31">
        <v>3522</v>
      </c>
      <c r="D139" s="46">
        <v>3</v>
      </c>
      <c r="E139" s="31" t="str">
        <f>"1000001107"</f>
        <v>1000001107</v>
      </c>
      <c r="F139" s="31" t="str">
        <f>"SURVEY FLAG ROLL: Standard, flagging, surveyor. 1 3/16. Standard roll flagging, 300' x 1-3/16 rolls. -10 degrees F temp. resistance, 2.5 mil thickness.Colors: blue, yellow, red, orange"</f>
        <v>SURVEY FLAG ROLL: Standard, flagging, surveyor. 1 3/16. Standard roll flagging, 300' x 1-3/16 rolls. -10 degrees F temp. resistance, 2.5 mil thickness.Colors: blue, yellow, red, orange</v>
      </c>
      <c r="G139" s="37" t="str">
        <f>"RL"</f>
        <v>RL</v>
      </c>
      <c r="H139" s="38">
        <v>1</v>
      </c>
      <c r="I139" s="31" t="str">
        <f>"31201525"</f>
        <v>31201525</v>
      </c>
      <c r="J139" s="39" t="s">
        <v>68</v>
      </c>
      <c r="K139" s="127"/>
    </row>
    <row r="140" spans="1:11" ht="26.25">
      <c r="A140" s="36" t="s">
        <v>25</v>
      </c>
      <c r="B140" s="31" t="s">
        <v>18</v>
      </c>
      <c r="C140" s="31">
        <v>3523</v>
      </c>
      <c r="D140" s="46">
        <v>1</v>
      </c>
      <c r="E140" s="31" t="str">
        <f>"1000009750"</f>
        <v>1000009750</v>
      </c>
      <c r="F140" s="31" t="s">
        <v>591</v>
      </c>
      <c r="G140" s="37" t="str">
        <f>"SF"</f>
        <v>SF</v>
      </c>
      <c r="H140" s="38">
        <v>0.01</v>
      </c>
      <c r="I140" s="31" t="str">
        <f>"76111501"</f>
        <v>76111501</v>
      </c>
      <c r="J140" s="39" t="s">
        <v>67</v>
      </c>
      <c r="K140" s="127"/>
    </row>
    <row r="141" spans="1:11" ht="26.25">
      <c r="A141" s="36" t="s">
        <v>25</v>
      </c>
      <c r="B141" s="31" t="s">
        <v>18</v>
      </c>
      <c r="C141" s="31">
        <v>3523</v>
      </c>
      <c r="D141" s="46">
        <v>2</v>
      </c>
      <c r="E141" s="31" t="str">
        <f>"1000029713"</f>
        <v>1000029713</v>
      </c>
      <c r="F141" s="31" t="str">
        <f>"LAUNDRY SRVC: State Use, Laundry and Linen Services"</f>
        <v>LAUNDRY SRVC: State Use, Laundry and Linen Services</v>
      </c>
      <c r="G141" s="37" t="str">
        <f>"EA"</f>
        <v>EA</v>
      </c>
      <c r="H141" s="38">
        <v>0.01</v>
      </c>
      <c r="I141" s="31" t="str">
        <f>"91111502"</f>
        <v>91111502</v>
      </c>
      <c r="J141" s="39" t="s">
        <v>126</v>
      </c>
      <c r="K141" s="127"/>
    </row>
    <row r="142" spans="1:11">
      <c r="A142" s="36" t="s">
        <v>25</v>
      </c>
      <c r="B142" s="31" t="s">
        <v>63</v>
      </c>
      <c r="C142" s="31">
        <v>3524</v>
      </c>
      <c r="D142" s="46">
        <v>1</v>
      </c>
      <c r="E142" s="31" t="str">
        <f>"1000009750"</f>
        <v>1000009750</v>
      </c>
      <c r="F142" s="31" t="s">
        <v>591</v>
      </c>
      <c r="G142" s="37" t="str">
        <f>"SF"</f>
        <v>SF</v>
      </c>
      <c r="H142" s="38">
        <v>0.01</v>
      </c>
      <c r="I142" s="31" t="str">
        <f>"76111501"</f>
        <v>76111501</v>
      </c>
      <c r="J142" s="39" t="s">
        <v>67</v>
      </c>
      <c r="K142" s="127"/>
    </row>
    <row r="143" spans="1:11" ht="25.5">
      <c r="A143" s="9" t="s">
        <v>25</v>
      </c>
      <c r="B143" s="2" t="s">
        <v>63</v>
      </c>
      <c r="C143" s="2">
        <v>3524</v>
      </c>
      <c r="D143" s="2">
        <v>2</v>
      </c>
      <c r="E143" s="2" t="s">
        <v>863</v>
      </c>
      <c r="F143" s="93" t="s">
        <v>864</v>
      </c>
      <c r="G143" s="74" t="s">
        <v>853</v>
      </c>
      <c r="H143" s="125">
        <v>11</v>
      </c>
      <c r="I143" s="95" t="s">
        <v>865</v>
      </c>
      <c r="J143" s="10" t="s">
        <v>196</v>
      </c>
      <c r="K143" s="127"/>
    </row>
    <row r="144" spans="1:11" ht="25.5">
      <c r="A144" s="9" t="s">
        <v>25</v>
      </c>
      <c r="B144" s="2" t="s">
        <v>63</v>
      </c>
      <c r="C144" s="2">
        <v>3524</v>
      </c>
      <c r="D144" s="2">
        <v>3</v>
      </c>
      <c r="E144" s="2" t="s">
        <v>866</v>
      </c>
      <c r="F144" s="4" t="s">
        <v>850</v>
      </c>
      <c r="G144" s="74" t="s">
        <v>853</v>
      </c>
      <c r="H144" s="7">
        <v>62.75</v>
      </c>
      <c r="I144" s="2" t="s">
        <v>865</v>
      </c>
      <c r="J144" s="10" t="s">
        <v>196</v>
      </c>
      <c r="K144" s="127"/>
    </row>
    <row r="145" spans="1:11" ht="25.5">
      <c r="A145" s="9" t="s">
        <v>25</v>
      </c>
      <c r="B145" s="2" t="s">
        <v>63</v>
      </c>
      <c r="C145" s="2">
        <v>3524</v>
      </c>
      <c r="D145" s="2">
        <v>4</v>
      </c>
      <c r="E145" s="2" t="s">
        <v>867</v>
      </c>
      <c r="F145" s="4" t="s">
        <v>851</v>
      </c>
      <c r="G145" s="74" t="s">
        <v>853</v>
      </c>
      <c r="H145" s="7">
        <v>62.75</v>
      </c>
      <c r="I145" s="2" t="s">
        <v>865</v>
      </c>
      <c r="J145" s="10" t="s">
        <v>196</v>
      </c>
      <c r="K145" s="127"/>
    </row>
    <row r="146" spans="1:11" ht="25.5">
      <c r="A146" s="116" t="s">
        <v>25</v>
      </c>
      <c r="B146" s="117" t="s">
        <v>63</v>
      </c>
      <c r="C146" s="117">
        <v>3524</v>
      </c>
      <c r="D146" s="124">
        <v>19</v>
      </c>
      <c r="E146" s="124">
        <v>1000024642</v>
      </c>
      <c r="F146" s="121" t="s">
        <v>852</v>
      </c>
      <c r="G146" s="122" t="s">
        <v>853</v>
      </c>
      <c r="H146" s="118">
        <v>62.75</v>
      </c>
      <c r="I146" s="117" t="s">
        <v>868</v>
      </c>
      <c r="J146" s="123" t="s">
        <v>196</v>
      </c>
      <c r="K146" s="127"/>
    </row>
    <row r="147" spans="1:11" ht="38.25">
      <c r="A147" s="9" t="s">
        <v>25</v>
      </c>
      <c r="B147" s="2" t="s">
        <v>63</v>
      </c>
      <c r="C147" s="2">
        <v>3524</v>
      </c>
      <c r="D147" s="2">
        <v>5</v>
      </c>
      <c r="E147" s="2" t="s">
        <v>869</v>
      </c>
      <c r="F147" s="4" t="s">
        <v>855</v>
      </c>
      <c r="G147" s="74" t="s">
        <v>853</v>
      </c>
      <c r="H147" s="7">
        <v>30</v>
      </c>
      <c r="I147" s="2" t="s">
        <v>865</v>
      </c>
      <c r="J147" s="10" t="s">
        <v>196</v>
      </c>
      <c r="K147" s="127"/>
    </row>
    <row r="148" spans="1:11" ht="38.25">
      <c r="A148" s="9" t="s">
        <v>25</v>
      </c>
      <c r="B148" s="2" t="s">
        <v>63</v>
      </c>
      <c r="C148" s="2">
        <v>3524</v>
      </c>
      <c r="D148" s="2">
        <v>6</v>
      </c>
      <c r="E148" s="2" t="s">
        <v>870</v>
      </c>
      <c r="F148" s="4" t="s">
        <v>854</v>
      </c>
      <c r="G148" s="74" t="s">
        <v>853</v>
      </c>
      <c r="H148" s="7">
        <v>30</v>
      </c>
      <c r="I148" s="2" t="s">
        <v>865</v>
      </c>
      <c r="J148" s="10" t="s">
        <v>196</v>
      </c>
      <c r="K148" s="127"/>
    </row>
    <row r="149" spans="1:11" ht="89.25">
      <c r="A149" s="9" t="s">
        <v>25</v>
      </c>
      <c r="B149" s="2" t="s">
        <v>63</v>
      </c>
      <c r="C149" s="2">
        <v>3524</v>
      </c>
      <c r="D149" s="2">
        <v>7</v>
      </c>
      <c r="E149" s="2" t="s">
        <v>871</v>
      </c>
      <c r="F149" s="4" t="s">
        <v>860</v>
      </c>
      <c r="G149" s="74" t="s">
        <v>853</v>
      </c>
      <c r="H149" s="7">
        <v>38</v>
      </c>
      <c r="I149" s="2" t="s">
        <v>865</v>
      </c>
      <c r="J149" s="10" t="s">
        <v>196</v>
      </c>
      <c r="K149" s="127"/>
    </row>
    <row r="150" spans="1:11" ht="89.25">
      <c r="A150" s="9" t="s">
        <v>25</v>
      </c>
      <c r="B150" s="2" t="s">
        <v>63</v>
      </c>
      <c r="C150" s="2">
        <v>3524</v>
      </c>
      <c r="D150" s="2">
        <v>8</v>
      </c>
      <c r="E150" s="2" t="s">
        <v>872</v>
      </c>
      <c r="F150" s="4" t="s">
        <v>861</v>
      </c>
      <c r="G150" s="74" t="s">
        <v>853</v>
      </c>
      <c r="H150" s="7">
        <v>38</v>
      </c>
      <c r="I150" s="2" t="s">
        <v>865</v>
      </c>
      <c r="J150" s="10" t="s">
        <v>196</v>
      </c>
      <c r="K150" s="127"/>
    </row>
    <row r="151" spans="1:11" ht="89.25">
      <c r="A151" s="9" t="s">
        <v>25</v>
      </c>
      <c r="B151" s="2" t="s">
        <v>63</v>
      </c>
      <c r="C151" s="2">
        <v>3524</v>
      </c>
      <c r="D151" s="2">
        <v>9</v>
      </c>
      <c r="E151" s="2" t="s">
        <v>873</v>
      </c>
      <c r="F151" s="4" t="s">
        <v>862</v>
      </c>
      <c r="G151" s="74" t="s">
        <v>853</v>
      </c>
      <c r="H151" s="7">
        <v>38</v>
      </c>
      <c r="I151" s="2" t="s">
        <v>865</v>
      </c>
      <c r="J151" s="10" t="s">
        <v>196</v>
      </c>
      <c r="K151" s="127"/>
    </row>
    <row r="152" spans="1:11" ht="89.25">
      <c r="A152" s="9" t="s">
        <v>25</v>
      </c>
      <c r="B152" s="2" t="s">
        <v>63</v>
      </c>
      <c r="C152" s="2">
        <v>3524</v>
      </c>
      <c r="D152" s="2">
        <v>7</v>
      </c>
      <c r="E152" s="2" t="str">
        <f>"1000022973"</f>
        <v>1000022973</v>
      </c>
      <c r="F152" s="4" t="s">
        <v>860</v>
      </c>
      <c r="G152" s="74" t="str">
        <f>"DZ"</f>
        <v>DZ</v>
      </c>
      <c r="H152" s="7">
        <v>38</v>
      </c>
      <c r="I152" s="2" t="str">
        <f>"46181504"</f>
        <v>46181504</v>
      </c>
      <c r="J152" s="10" t="s">
        <v>196</v>
      </c>
      <c r="K152" s="127"/>
    </row>
    <row r="153" spans="1:11" ht="89.25">
      <c r="A153" s="9" t="s">
        <v>25</v>
      </c>
      <c r="B153" s="2" t="s">
        <v>63</v>
      </c>
      <c r="C153" s="2">
        <v>3524</v>
      </c>
      <c r="D153" s="2">
        <v>8</v>
      </c>
      <c r="E153" s="2" t="str">
        <f>"1000022974"</f>
        <v>1000022974</v>
      </c>
      <c r="F153" s="4" t="s">
        <v>861</v>
      </c>
      <c r="G153" s="74" t="str">
        <f>"DZ"</f>
        <v>DZ</v>
      </c>
      <c r="H153" s="7">
        <v>38</v>
      </c>
      <c r="I153" s="2" t="str">
        <f>"46181504"</f>
        <v>46181504</v>
      </c>
      <c r="J153" s="10" t="s">
        <v>196</v>
      </c>
      <c r="K153" s="127"/>
    </row>
    <row r="154" spans="1:11" ht="89.25">
      <c r="A154" s="9" t="s">
        <v>25</v>
      </c>
      <c r="B154" s="2" t="s">
        <v>63</v>
      </c>
      <c r="C154" s="2">
        <v>3524</v>
      </c>
      <c r="D154" s="2">
        <v>9</v>
      </c>
      <c r="E154" s="2" t="str">
        <f>"1000022975"</f>
        <v>1000022975</v>
      </c>
      <c r="F154" s="4" t="s">
        <v>862</v>
      </c>
      <c r="G154" s="74" t="str">
        <f>"DZ"</f>
        <v>DZ</v>
      </c>
      <c r="H154" s="7">
        <v>38</v>
      </c>
      <c r="I154" s="2" t="str">
        <f>"46181504"</f>
        <v>46181504</v>
      </c>
      <c r="J154" s="10" t="s">
        <v>196</v>
      </c>
      <c r="K154" s="127"/>
    </row>
    <row r="155" spans="1:11" ht="51">
      <c r="A155" s="9" t="s">
        <v>25</v>
      </c>
      <c r="B155" s="2" t="s">
        <v>63</v>
      </c>
      <c r="C155" s="2">
        <v>3524</v>
      </c>
      <c r="D155" s="2">
        <v>10</v>
      </c>
      <c r="E155" s="2" t="s">
        <v>874</v>
      </c>
      <c r="F155" s="4" t="s">
        <v>875</v>
      </c>
      <c r="G155" s="74" t="s">
        <v>853</v>
      </c>
      <c r="H155" s="7">
        <v>108.24</v>
      </c>
      <c r="I155" s="2" t="s">
        <v>865</v>
      </c>
      <c r="J155" s="10" t="s">
        <v>196</v>
      </c>
      <c r="K155" s="127"/>
    </row>
    <row r="156" spans="1:11" ht="51">
      <c r="A156" s="9" t="s">
        <v>25</v>
      </c>
      <c r="B156" s="2" t="s">
        <v>63</v>
      </c>
      <c r="C156" s="2">
        <v>3524</v>
      </c>
      <c r="D156" s="2">
        <v>11</v>
      </c>
      <c r="E156" s="2" t="s">
        <v>876</v>
      </c>
      <c r="F156" s="4" t="s">
        <v>877</v>
      </c>
      <c r="G156" s="74" t="s">
        <v>853</v>
      </c>
      <c r="H156" s="7">
        <v>108.24</v>
      </c>
      <c r="I156" s="2" t="s">
        <v>865</v>
      </c>
      <c r="J156" s="10" t="s">
        <v>196</v>
      </c>
      <c r="K156" s="127"/>
    </row>
    <row r="157" spans="1:11" ht="51">
      <c r="A157" s="9" t="s">
        <v>25</v>
      </c>
      <c r="B157" s="2" t="s">
        <v>63</v>
      </c>
      <c r="C157" s="2">
        <v>3524</v>
      </c>
      <c r="D157" s="2">
        <v>12</v>
      </c>
      <c r="E157" s="2" t="s">
        <v>878</v>
      </c>
      <c r="F157" s="4" t="s">
        <v>879</v>
      </c>
      <c r="G157" s="74" t="s">
        <v>853</v>
      </c>
      <c r="H157" s="7">
        <v>108.24</v>
      </c>
      <c r="I157" s="2" t="s">
        <v>865</v>
      </c>
      <c r="J157" s="10" t="s">
        <v>196</v>
      </c>
      <c r="K157" s="127"/>
    </row>
    <row r="158" spans="1:11" ht="38.25">
      <c r="A158" s="9" t="s">
        <v>25</v>
      </c>
      <c r="B158" s="2" t="s">
        <v>63</v>
      </c>
      <c r="C158" s="2">
        <v>3524</v>
      </c>
      <c r="D158" s="2">
        <v>13</v>
      </c>
      <c r="E158" s="2" t="s">
        <v>880</v>
      </c>
      <c r="F158" s="4" t="s">
        <v>881</v>
      </c>
      <c r="G158" s="74" t="s">
        <v>853</v>
      </c>
      <c r="H158" s="7">
        <v>30</v>
      </c>
      <c r="I158" s="2" t="s">
        <v>865</v>
      </c>
      <c r="J158" s="10" t="s">
        <v>196</v>
      </c>
      <c r="K158" s="127"/>
    </row>
    <row r="159" spans="1:11" ht="38.25">
      <c r="A159" s="9" t="s">
        <v>25</v>
      </c>
      <c r="B159" s="2" t="s">
        <v>63</v>
      </c>
      <c r="C159" s="2">
        <v>3524</v>
      </c>
      <c r="D159" s="2">
        <v>14</v>
      </c>
      <c r="E159" s="2" t="s">
        <v>882</v>
      </c>
      <c r="F159" s="4" t="s">
        <v>883</v>
      </c>
      <c r="G159" s="74" t="s">
        <v>853</v>
      </c>
      <c r="H159" s="7">
        <v>30</v>
      </c>
      <c r="I159" s="2" t="s">
        <v>865</v>
      </c>
      <c r="J159" s="10" t="s">
        <v>196</v>
      </c>
      <c r="K159" s="127"/>
    </row>
    <row r="160" spans="1:11" ht="25.5">
      <c r="A160" s="9" t="s">
        <v>25</v>
      </c>
      <c r="B160" s="2" t="s">
        <v>63</v>
      </c>
      <c r="C160" s="2">
        <v>3524</v>
      </c>
      <c r="D160" s="2">
        <v>15</v>
      </c>
      <c r="E160" s="2" t="s">
        <v>884</v>
      </c>
      <c r="F160" s="4" t="s">
        <v>856</v>
      </c>
      <c r="G160" s="74" t="s">
        <v>853</v>
      </c>
      <c r="H160" s="7">
        <v>105.3</v>
      </c>
      <c r="I160" s="2" t="s">
        <v>865</v>
      </c>
      <c r="J160" s="10" t="s">
        <v>196</v>
      </c>
      <c r="K160" s="127"/>
    </row>
    <row r="161" spans="1:11" ht="25.5">
      <c r="A161" s="116" t="s">
        <v>25</v>
      </c>
      <c r="B161" s="117" t="s">
        <v>63</v>
      </c>
      <c r="C161" s="117">
        <v>3524</v>
      </c>
      <c r="D161" s="124">
        <v>16</v>
      </c>
      <c r="E161" s="124">
        <v>1000029526</v>
      </c>
      <c r="F161" s="4" t="s">
        <v>857</v>
      </c>
      <c r="G161" s="122" t="s">
        <v>853</v>
      </c>
      <c r="H161" s="7">
        <v>105.3</v>
      </c>
      <c r="I161" s="117" t="s">
        <v>868</v>
      </c>
      <c r="J161" s="10" t="s">
        <v>196</v>
      </c>
      <c r="K161" s="127"/>
    </row>
    <row r="162" spans="1:11" ht="25.5">
      <c r="A162" s="116" t="s">
        <v>25</v>
      </c>
      <c r="B162" s="117" t="s">
        <v>63</v>
      </c>
      <c r="C162" s="117">
        <v>3524</v>
      </c>
      <c r="D162" s="124">
        <v>17</v>
      </c>
      <c r="E162" s="124">
        <v>1000029527</v>
      </c>
      <c r="F162" s="4" t="s">
        <v>858</v>
      </c>
      <c r="G162" s="122" t="s">
        <v>853</v>
      </c>
      <c r="H162" s="7">
        <v>105.3</v>
      </c>
      <c r="I162" s="117" t="s">
        <v>868</v>
      </c>
      <c r="J162" s="10" t="s">
        <v>196</v>
      </c>
      <c r="K162" s="127"/>
    </row>
    <row r="163" spans="1:11" ht="25.5">
      <c r="A163" s="116" t="s">
        <v>25</v>
      </c>
      <c r="B163" s="117" t="s">
        <v>63</v>
      </c>
      <c r="C163" s="117">
        <v>3524</v>
      </c>
      <c r="D163" s="124">
        <v>18</v>
      </c>
      <c r="E163" s="124">
        <v>1000001596</v>
      </c>
      <c r="F163" s="4" t="s">
        <v>859</v>
      </c>
      <c r="G163" s="122" t="s">
        <v>853</v>
      </c>
      <c r="H163" s="7">
        <v>105.3</v>
      </c>
      <c r="I163" s="117" t="s">
        <v>868</v>
      </c>
      <c r="J163" s="126"/>
      <c r="K163" s="127"/>
    </row>
    <row r="164" spans="1:11">
      <c r="A164" s="132"/>
      <c r="B164" s="132"/>
      <c r="C164" s="132"/>
      <c r="D164" s="133"/>
      <c r="E164" s="133"/>
      <c r="F164" s="119"/>
      <c r="G164" s="134"/>
      <c r="H164" s="135"/>
      <c r="I164" s="132"/>
      <c r="J164" s="136"/>
      <c r="K164" s="127"/>
    </row>
  </sheetData>
  <hyperlinks>
    <hyperlink ref="K112" r:id="rId1"/>
  </hyperlinks>
  <pageMargins left="0.7" right="0.7" top="0.75" bottom="0.75" header="0.3" footer="0.3"/>
  <pageSetup orientation="portrait" r:id="rId2"/>
  <legacyDrawing r:id="rId3"/>
  <tableParts count="1">
    <tablePart r:id="rId4"/>
  </tableParts>
</worksheet>
</file>

<file path=xl/worksheets/sheet7.xml><?xml version="1.0" encoding="utf-8"?>
<worksheet xmlns="http://schemas.openxmlformats.org/spreadsheetml/2006/main" xmlns:r="http://schemas.openxmlformats.org/officeDocument/2006/relationships">
  <sheetPr codeName="Sheet8"/>
  <dimension ref="A1:J27"/>
  <sheetViews>
    <sheetView workbookViewId="0">
      <selection activeCell="J22" sqref="J22"/>
    </sheetView>
  </sheetViews>
  <sheetFormatPr defaultColWidth="12.5703125" defaultRowHeight="15"/>
  <cols>
    <col min="1" max="1" width="8.140625" bestFit="1" customWidth="1"/>
    <col min="2" max="2" width="8.42578125" bestFit="1" customWidth="1"/>
    <col min="3" max="3" width="8.28515625" bestFit="1" customWidth="1"/>
    <col min="4" max="4" width="7.42578125" bestFit="1" customWidth="1"/>
    <col min="5" max="5" width="11" bestFit="1" customWidth="1"/>
    <col min="6" max="6" width="30.85546875" customWidth="1"/>
    <col min="7" max="7" width="9.5703125" bestFit="1" customWidth="1"/>
    <col min="8" max="8" width="6.42578125" bestFit="1" customWidth="1"/>
    <col min="9" max="9" width="9" bestFit="1" customWidth="1"/>
    <col min="10" max="10" width="23.42578125" bestFit="1" customWidth="1"/>
  </cols>
  <sheetData>
    <row r="1" spans="1:10">
      <c r="A1" s="32" t="s">
        <v>71</v>
      </c>
      <c r="B1" s="33" t="s">
        <v>208</v>
      </c>
      <c r="C1" s="33" t="s">
        <v>65</v>
      </c>
      <c r="D1" s="33" t="s">
        <v>207</v>
      </c>
      <c r="E1" s="33" t="s">
        <v>20</v>
      </c>
      <c r="F1" s="33" t="s">
        <v>21</v>
      </c>
      <c r="G1" s="33" t="s">
        <v>22</v>
      </c>
      <c r="H1" s="34" t="s">
        <v>66</v>
      </c>
      <c r="I1" s="33" t="s">
        <v>206</v>
      </c>
      <c r="J1" s="35" t="s">
        <v>205</v>
      </c>
    </row>
    <row r="2" spans="1:10" ht="39">
      <c r="A2" s="36" t="s">
        <v>40</v>
      </c>
      <c r="B2" s="31" t="s">
        <v>41</v>
      </c>
      <c r="C2" s="31">
        <v>2851</v>
      </c>
      <c r="D2" s="31">
        <v>7</v>
      </c>
      <c r="E2" s="31" t="str">
        <f>"1000002191"</f>
        <v>1000002191</v>
      </c>
      <c r="F2" s="31" t="str">
        <f>"WIPES: 600 total count. Disposable baby wipes, 50 wipes/tub, 12 tubs/cs, 9x13 wipe size"</f>
        <v>WIPES: 600 total count. Disposable baby wipes, 50 wipes/tub, 12 tubs/cs, 9x13 wipe size</v>
      </c>
      <c r="G2" s="37" t="str">
        <f t="shared" ref="G2:G8" si="0">"CA"</f>
        <v>CA</v>
      </c>
      <c r="H2" s="38">
        <v>31</v>
      </c>
      <c r="I2" s="31" t="str">
        <f t="shared" ref="I2:I8" si="1">"53131624"</f>
        <v>53131624</v>
      </c>
      <c r="J2" s="39" t="s">
        <v>130</v>
      </c>
    </row>
    <row r="3" spans="1:10" ht="64.5">
      <c r="A3" s="36" t="s">
        <v>40</v>
      </c>
      <c r="B3" s="31" t="s">
        <v>41</v>
      </c>
      <c r="C3" s="31">
        <v>3124</v>
      </c>
      <c r="D3" s="31">
        <v>5</v>
      </c>
      <c r="E3" s="31" t="str">
        <f>"1000025191"</f>
        <v>1000025191</v>
      </c>
      <c r="F3" s="31" t="str">
        <f>"WIPES: 600 total count. Disposable washcloth, alcohol free, preferred medical wipes, made with aloe vera, latex free, 9x13, 60 spun laced washcloths in a tub. 12 tubs/case."</f>
        <v>WIPES: 600 total count. Disposable washcloth, alcohol free, preferred medical wipes, made with aloe vera, latex free, 9x13, 60 spun laced washcloths in a tub. 12 tubs/case.</v>
      </c>
      <c r="G3" s="37" t="str">
        <f t="shared" si="0"/>
        <v>CA</v>
      </c>
      <c r="H3" s="38">
        <v>31</v>
      </c>
      <c r="I3" s="31" t="str">
        <f t="shared" si="1"/>
        <v>53131624</v>
      </c>
      <c r="J3" s="39" t="s">
        <v>130</v>
      </c>
    </row>
    <row r="4" spans="1:10" ht="51.75">
      <c r="A4" s="36" t="s">
        <v>40</v>
      </c>
      <c r="B4" s="31" t="s">
        <v>57</v>
      </c>
      <c r="C4" s="31">
        <v>3542</v>
      </c>
      <c r="D4" s="31">
        <v>1</v>
      </c>
      <c r="E4" s="31" t="str">
        <f>"1000024960"</f>
        <v>1000024960</v>
      </c>
      <c r="F4" s="31" t="str">
        <f>"WIPES: 300 total count. Disposable washcloth, single use pack, 3 regular washcloths per pkg. 100 pkgs/case, 300 total count washcloths."</f>
        <v>WIPES: 300 total count. Disposable washcloth, single use pack, 3 regular washcloths per pkg. 100 pkgs/case, 300 total count washcloths.</v>
      </c>
      <c r="G4" s="37" t="str">
        <f t="shared" si="0"/>
        <v>CA</v>
      </c>
      <c r="H4" s="38">
        <v>146</v>
      </c>
      <c r="I4" s="31" t="str">
        <f t="shared" si="1"/>
        <v>53131624</v>
      </c>
      <c r="J4" s="39" t="s">
        <v>130</v>
      </c>
    </row>
    <row r="5" spans="1:10" ht="51.75">
      <c r="A5" s="36" t="s">
        <v>40</v>
      </c>
      <c r="B5" s="31" t="s">
        <v>57</v>
      </c>
      <c r="C5" s="31">
        <v>3542</v>
      </c>
      <c r="D5" s="31">
        <v>2</v>
      </c>
      <c r="E5" s="31" t="str">
        <f>"1000024961"</f>
        <v>1000024961</v>
      </c>
      <c r="F5" s="31" t="str">
        <f>"WIPES: 270 total count. Disposable washcloth, single use pack, 3 large washcloths per pkg. 90 pkgs/case, 270 total count washcloths."</f>
        <v>WIPES: 270 total count. Disposable washcloth, single use pack, 3 large washcloths per pkg. 90 pkgs/case, 270 total count washcloths.</v>
      </c>
      <c r="G5" s="37" t="str">
        <f t="shared" si="0"/>
        <v>CA</v>
      </c>
      <c r="H5" s="38">
        <v>183</v>
      </c>
      <c r="I5" s="31" t="str">
        <f t="shared" si="1"/>
        <v>53131624</v>
      </c>
      <c r="J5" s="39" t="s">
        <v>130</v>
      </c>
    </row>
    <row r="6" spans="1:10" ht="51.75">
      <c r="A6" s="36" t="s">
        <v>40</v>
      </c>
      <c r="B6" s="31" t="s">
        <v>57</v>
      </c>
      <c r="C6" s="31">
        <v>3542</v>
      </c>
      <c r="D6" s="31">
        <v>3</v>
      </c>
      <c r="E6" s="31" t="str">
        <f>"1000024955"</f>
        <v>1000024955</v>
      </c>
      <c r="F6" s="31" t="str">
        <f>"WIPES: 384 total count. Disposable washcloth, single use pack, 8 large washcloths per pkg. 48 pkgs/case, 384 total count washcloths."</f>
        <v>WIPES: 384 total count. Disposable washcloth, single use pack, 8 large washcloths per pkg. 48 pkgs/case, 384 total count washcloths.</v>
      </c>
      <c r="G6" s="37" t="str">
        <f t="shared" si="0"/>
        <v>CA</v>
      </c>
      <c r="H6" s="38">
        <v>220</v>
      </c>
      <c r="I6" s="31" t="str">
        <f t="shared" si="1"/>
        <v>53131624</v>
      </c>
      <c r="J6" s="39" t="s">
        <v>130</v>
      </c>
    </row>
    <row r="7" spans="1:10" ht="51.75">
      <c r="A7" s="36" t="s">
        <v>40</v>
      </c>
      <c r="B7" s="31" t="s">
        <v>57</v>
      </c>
      <c r="C7" s="31">
        <v>3542</v>
      </c>
      <c r="D7" s="31">
        <v>4</v>
      </c>
      <c r="E7" s="31" t="str">
        <f>"1000024956"</f>
        <v>1000024956</v>
      </c>
      <c r="F7" s="31" t="str">
        <f>"WIPES: 432 total count. Disposable washcloth, multi use, container of 24 large washcloths. 18 containers/case"</f>
        <v>WIPES: 432 total count. Disposable washcloth, multi use, container of 24 large washcloths. 18 containers/case</v>
      </c>
      <c r="G7" s="37" t="str">
        <f t="shared" si="0"/>
        <v>CA</v>
      </c>
      <c r="H7" s="38">
        <v>248.4</v>
      </c>
      <c r="I7" s="31" t="str">
        <f t="shared" si="1"/>
        <v>53131624</v>
      </c>
      <c r="J7" s="39" t="s">
        <v>130</v>
      </c>
    </row>
    <row r="8" spans="1:10" ht="102.75">
      <c r="A8" s="36" t="s">
        <v>40</v>
      </c>
      <c r="B8" s="31" t="s">
        <v>57</v>
      </c>
      <c r="C8" s="31">
        <v>3542</v>
      </c>
      <c r="D8" s="31">
        <v>7</v>
      </c>
      <c r="E8" s="31" t="str">
        <f>"1000024958"</f>
        <v>1000024958</v>
      </c>
      <c r="F8" s="31" t="str">
        <f>"BATH SYSTEM:Disp Microwavable 8 cloth/pk 24pks/cs-no rinse req. Disposable Patient Bathing System. Microwavable package containing 8 thick, soft, pre-moistened washcloths with a blend of gentle cleansers, moisturizers &amp; aloe. No rinse required."</f>
        <v>BATH SYSTEM:Disp Microwavable 8 cloth/pk 24pks/cs-no rinse req. Disposable Patient Bathing System. Microwavable package containing 8 thick, soft, pre-moistened washcloths with a blend of gentle cleansers, moisturizers &amp; aloe. No rinse required.</v>
      </c>
      <c r="G8" s="37" t="str">
        <f t="shared" si="0"/>
        <v>CA</v>
      </c>
      <c r="H8" s="38">
        <v>33.15</v>
      </c>
      <c r="I8" s="31" t="str">
        <f t="shared" si="1"/>
        <v>53131624</v>
      </c>
      <c r="J8" s="39" t="s">
        <v>130</v>
      </c>
    </row>
    <row r="9" spans="1:10" ht="90">
      <c r="A9" s="36" t="s">
        <v>40</v>
      </c>
      <c r="B9" s="31" t="s">
        <v>44</v>
      </c>
      <c r="C9" s="31">
        <v>3682</v>
      </c>
      <c r="D9" s="31">
        <v>7</v>
      </c>
      <c r="E9" s="31" t="str">
        <f>"1000009785"</f>
        <v>1000009785</v>
      </c>
      <c r="F9" s="31" t="str">
        <f>"FIRST AID:Body Fluid Barrier 2 ~First Aid Kit, Body Fluid Barrier Kit, 2 Mouth-to-mouth barriers (one time use), face mask with shield, antiseptic wipes, red biohazard waste bags and gloves. Red nylon bag, 2 kits per bag"</f>
        <v>FIRST AID:Body Fluid Barrier 2 ~First Aid Kit, Body Fluid Barrier Kit, 2 Mouth-to-mouth barriers (one time use), face mask with shield, antiseptic wipes, red biohazard waste bags and gloves. Red nylon bag, 2 kits per bag</v>
      </c>
      <c r="G9" s="37" t="str">
        <f>"BG"</f>
        <v>BG</v>
      </c>
      <c r="H9" s="38">
        <v>29.36</v>
      </c>
      <c r="I9" s="31" t="str">
        <f>"42172001"</f>
        <v>42172001</v>
      </c>
      <c r="J9" s="39" t="s">
        <v>133</v>
      </c>
    </row>
    <row r="10" spans="1:10" ht="26.25">
      <c r="A10" s="36" t="s">
        <v>40</v>
      </c>
      <c r="B10" s="31" t="s">
        <v>44</v>
      </c>
      <c r="C10" s="31">
        <v>3682</v>
      </c>
      <c r="D10" s="31">
        <v>9</v>
      </c>
      <c r="E10" s="31" t="str">
        <f>"1000024816"</f>
        <v>1000024816</v>
      </c>
      <c r="F10" s="31" t="str">
        <f>"FIRST AID KIT REFILLS: First Aid Kit Refill components"</f>
        <v>FIRST AID KIT REFILLS: First Aid Kit Refill components</v>
      </c>
      <c r="G10" s="37" t="str">
        <f>"EA"</f>
        <v>EA</v>
      </c>
      <c r="H10" s="38">
        <v>0.01</v>
      </c>
      <c r="I10" s="31" t="str">
        <f>"42172001"</f>
        <v>42172001</v>
      </c>
      <c r="J10" s="39" t="s">
        <v>133</v>
      </c>
    </row>
    <row r="11" spans="1:10" ht="38.25">
      <c r="A11" s="116" t="s">
        <v>40</v>
      </c>
      <c r="B11" s="117" t="s">
        <v>44</v>
      </c>
      <c r="C11" s="117">
        <v>3682</v>
      </c>
      <c r="D11" s="117">
        <v>10</v>
      </c>
      <c r="E11" s="117">
        <v>1000029874</v>
      </c>
      <c r="F11" s="4" t="s">
        <v>848</v>
      </c>
      <c r="G11" s="74" t="s">
        <v>600</v>
      </c>
      <c r="H11" s="118">
        <v>24.63</v>
      </c>
      <c r="I11" s="2" t="str">
        <f>"42172001"</f>
        <v>42172001</v>
      </c>
      <c r="J11" s="10" t="s">
        <v>133</v>
      </c>
    </row>
    <row r="12" spans="1:10" ht="38.25">
      <c r="A12" s="116" t="s">
        <v>40</v>
      </c>
      <c r="B12" s="117" t="s">
        <v>44</v>
      </c>
      <c r="C12" s="117">
        <v>3682</v>
      </c>
      <c r="D12" s="117">
        <v>11</v>
      </c>
      <c r="E12" s="117">
        <v>1000029875</v>
      </c>
      <c r="F12" s="4" t="s">
        <v>849</v>
      </c>
      <c r="G12" s="74" t="s">
        <v>600</v>
      </c>
      <c r="H12" s="118">
        <v>123.36</v>
      </c>
      <c r="I12" s="2" t="str">
        <f>"42172001"</f>
        <v>42172001</v>
      </c>
      <c r="J12" s="10" t="s">
        <v>133</v>
      </c>
    </row>
    <row r="13" spans="1:10" ht="51.75">
      <c r="A13" s="36" t="s">
        <v>40</v>
      </c>
      <c r="B13" s="31" t="s">
        <v>41</v>
      </c>
      <c r="C13" s="31">
        <v>3124</v>
      </c>
      <c r="D13" s="31">
        <v>1</v>
      </c>
      <c r="E13" s="31" t="str">
        <f>"1000025195"</f>
        <v>1000025195</v>
      </c>
      <c r="F13" s="150" t="str">
        <f>"SANI NAPKIN:360/CS, 30/bag, 12 Bags/CS beltless (non-dispens) Maxi-pads(self-adhesive) safety shield-tapered ends, bulk case."</f>
        <v>SANI NAPKIN:360/CS, 30/bag, 12 Bags/CS beltless (non-dispens) Maxi-pads(self-adhesive) safety shield-tapered ends, bulk case.</v>
      </c>
      <c r="G13" s="37" t="str">
        <f>"CA"</f>
        <v>CA</v>
      </c>
      <c r="H13" s="38">
        <v>30</v>
      </c>
      <c r="I13" s="31" t="str">
        <f>"53131615"</f>
        <v>53131615</v>
      </c>
      <c r="J13" s="39" t="s">
        <v>131</v>
      </c>
    </row>
    <row r="14" spans="1:10" ht="51.75">
      <c r="A14" s="36" t="s">
        <v>40</v>
      </c>
      <c r="B14" s="31" t="s">
        <v>41</v>
      </c>
      <c r="C14" s="31">
        <v>3124</v>
      </c>
      <c r="D14" s="31">
        <v>2</v>
      </c>
      <c r="E14" s="31" t="str">
        <f>"1000025188"</f>
        <v>1000025188</v>
      </c>
      <c r="F14" s="149" t="str">
        <f>"SANI NAPKIN:250/cs Indv. wrapped, beltless (non-dispensing) Maxi-pads, self-adhesive, safety shield, tapered ends, individually wrapped, 250/cs"</f>
        <v>SANI NAPKIN:250/cs Indv. wrapped, beltless (non-dispensing) Maxi-pads, self-adhesive, safety shield, tapered ends, individually wrapped, 250/cs</v>
      </c>
      <c r="G14" s="37" t="str">
        <f>"CA"</f>
        <v>CA</v>
      </c>
      <c r="H14" s="38">
        <v>20</v>
      </c>
      <c r="I14" s="31" t="str">
        <f>"53131615"</f>
        <v>53131615</v>
      </c>
      <c r="J14" s="39" t="s">
        <v>131</v>
      </c>
    </row>
    <row r="15" spans="1:10" ht="51.75">
      <c r="A15" s="36" t="s">
        <v>40</v>
      </c>
      <c r="B15" s="31" t="s">
        <v>41</v>
      </c>
      <c r="C15" s="31">
        <v>3124</v>
      </c>
      <c r="D15" s="31">
        <v>3</v>
      </c>
      <c r="E15" s="31" t="str">
        <f>"1000025189"</f>
        <v>1000025189</v>
      </c>
      <c r="F15" s="31" t="str">
        <f>"TAMPONS: Regular Size, (non-dispensing) cardboard applicator, comfort shape, flushable applicator, 500/cs"</f>
        <v>TAMPONS: Regular Size, (non-dispensing) cardboard applicator, comfort shape, flushable applicator, 500/cs</v>
      </c>
      <c r="G15" s="37" t="str">
        <f>"CA"</f>
        <v>CA</v>
      </c>
      <c r="H15" s="38">
        <v>60</v>
      </c>
      <c r="I15" s="31" t="str">
        <f>"53131615"</f>
        <v>53131615</v>
      </c>
      <c r="J15" s="39" t="s">
        <v>131</v>
      </c>
    </row>
    <row r="16" spans="1:10" ht="39">
      <c r="A16" s="36" t="s">
        <v>40</v>
      </c>
      <c r="B16" s="31" t="s">
        <v>41</v>
      </c>
      <c r="C16" s="31">
        <v>3124</v>
      </c>
      <c r="D16" s="31">
        <v>4</v>
      </c>
      <c r="E16" s="31" t="str">
        <f>"1000025190"</f>
        <v>1000025190</v>
      </c>
      <c r="F16" s="31" t="str">
        <f>"TAMPON: Super Size, (non-dispensing) with cardboard applicator, comfort shape, 500/case"</f>
        <v>TAMPON: Super Size, (non-dispensing) with cardboard applicator, comfort shape, 500/case</v>
      </c>
      <c r="G16" s="37" t="str">
        <f>"CA"</f>
        <v>CA</v>
      </c>
      <c r="H16" s="38">
        <v>63</v>
      </c>
      <c r="I16" s="31" t="str">
        <f>"53131615"</f>
        <v>53131615</v>
      </c>
      <c r="J16" s="39" t="s">
        <v>131</v>
      </c>
    </row>
    <row r="17" spans="1:10">
      <c r="A17" s="36" t="s">
        <v>40</v>
      </c>
      <c r="B17" s="31" t="s">
        <v>41</v>
      </c>
      <c r="C17" s="31">
        <v>2851</v>
      </c>
      <c r="D17" s="31">
        <v>8</v>
      </c>
      <c r="E17" s="31" t="str">
        <f>"1000008974"</f>
        <v>1000008974</v>
      </c>
      <c r="F17" s="31" t="str">
        <f>"SHIPPING: General Charges"</f>
        <v>SHIPPING: General Charges</v>
      </c>
      <c r="G17" s="37" t="str">
        <f>"EA"</f>
        <v>EA</v>
      </c>
      <c r="H17" s="38">
        <v>30</v>
      </c>
      <c r="I17" s="31" t="str">
        <f>"78121603"</f>
        <v>78121603</v>
      </c>
      <c r="J17" s="39" t="s">
        <v>75</v>
      </c>
    </row>
    <row r="18" spans="1:10">
      <c r="A18" s="36" t="s">
        <v>40</v>
      </c>
      <c r="B18" s="31" t="s">
        <v>44</v>
      </c>
      <c r="C18" s="31">
        <v>2854</v>
      </c>
      <c r="D18" s="31">
        <v>8</v>
      </c>
      <c r="E18" s="31" t="str">
        <f>"1000008974"</f>
        <v>1000008974</v>
      </c>
      <c r="F18" s="31" t="str">
        <f>"SHIPPING: General Charges"</f>
        <v>SHIPPING: General Charges</v>
      </c>
      <c r="G18" s="37" t="str">
        <f>"EA"</f>
        <v>EA</v>
      </c>
      <c r="H18" s="38">
        <v>0.01</v>
      </c>
      <c r="I18" s="31" t="str">
        <f>"78121603"</f>
        <v>78121603</v>
      </c>
      <c r="J18" s="39" t="s">
        <v>75</v>
      </c>
    </row>
    <row r="19" spans="1:10" ht="39">
      <c r="A19" s="36" t="s">
        <v>40</v>
      </c>
      <c r="B19" s="31" t="s">
        <v>41</v>
      </c>
      <c r="C19" s="31">
        <v>2851</v>
      </c>
      <c r="D19" s="31">
        <v>4</v>
      </c>
      <c r="E19" s="31" t="str">
        <f>"1000004290"</f>
        <v>1000004290</v>
      </c>
      <c r="F19" s="31" t="str">
        <f>"UNDERPAD: 23""x24"", Disposable hospital underpad, polyback, flame retardant pad 23""x24"", 46gm, 200/cs"</f>
        <v>UNDERPAD: 23"x24", Disposable hospital underpad, polyback, flame retardant pad 23"x24", 46gm, 200/cs</v>
      </c>
      <c r="G19" s="37" t="str">
        <f t="shared" ref="G19:G26" si="2">"CA"</f>
        <v>CA</v>
      </c>
      <c r="H19" s="38">
        <v>28</v>
      </c>
      <c r="I19" s="31" t="str">
        <f>"42132101"</f>
        <v>42132101</v>
      </c>
      <c r="J19" s="39" t="s">
        <v>129</v>
      </c>
    </row>
    <row r="20" spans="1:10" ht="51.75">
      <c r="A20" s="36" t="s">
        <v>40</v>
      </c>
      <c r="B20" s="31" t="s">
        <v>41</v>
      </c>
      <c r="C20" s="31">
        <v>2851</v>
      </c>
      <c r="D20" s="31">
        <v>5</v>
      </c>
      <c r="E20" s="31" t="str">
        <f>"1000004313"</f>
        <v>1000004313</v>
      </c>
      <c r="F20" s="31" t="str">
        <f>"UNDERPAD: 23""x36"", Disposable hosptial underpad, polyback, flame retardant pad, 23""x36"", 68gm, 150/cs"</f>
        <v>UNDERPAD: 23"x36", Disposable hosptial underpad, polyback, flame retardant pad, 23"x36", 68gm, 150/cs</v>
      </c>
      <c r="G20" s="37" t="str">
        <f t="shared" si="2"/>
        <v>CA</v>
      </c>
      <c r="H20" s="38">
        <v>30</v>
      </c>
      <c r="I20" s="31" t="str">
        <f>"42132101"</f>
        <v>42132101</v>
      </c>
      <c r="J20" s="39" t="s">
        <v>129</v>
      </c>
    </row>
    <row r="21" spans="1:10" ht="39">
      <c r="A21" s="36" t="s">
        <v>40</v>
      </c>
      <c r="B21" s="31" t="s">
        <v>41</v>
      </c>
      <c r="C21" s="31">
        <v>2851</v>
      </c>
      <c r="D21" s="31">
        <v>6</v>
      </c>
      <c r="E21" s="31" t="str">
        <f>"1000004260"</f>
        <v>1000004260</v>
      </c>
      <c r="F21" s="31" t="str">
        <f>"UNDERPAD: 24""x36"", Disposable hospital underpad, polyback, flame retardant pad, 24""x36"", 130g, 150/cs"</f>
        <v>UNDERPAD: 24"x36", Disposable hospital underpad, polyback, flame retardant pad, 24"x36", 130g, 150/cs</v>
      </c>
      <c r="G21" s="37" t="str">
        <f t="shared" si="2"/>
        <v>CA</v>
      </c>
      <c r="H21" s="38">
        <v>35</v>
      </c>
      <c r="I21" s="31" t="str">
        <f>"42132101"</f>
        <v>42132101</v>
      </c>
      <c r="J21" s="39" t="s">
        <v>129</v>
      </c>
    </row>
    <row r="22" spans="1:10" ht="39">
      <c r="A22" s="36" t="s">
        <v>40</v>
      </c>
      <c r="B22" s="31" t="s">
        <v>41</v>
      </c>
      <c r="C22" s="31">
        <v>2851</v>
      </c>
      <c r="D22" s="31">
        <v>1</v>
      </c>
      <c r="E22" s="31" t="str">
        <f>"1000003996"</f>
        <v>1000003996</v>
      </c>
      <c r="F22" s="31" t="str">
        <f>"DISP DIAPERS: Infant, 11-16 LBS, prefolded, disposable diapers, 48/pk, 4pk/cs"</f>
        <v>DISP DIAPERS: Infant, 11-16 LBS, prefolded, disposable diapers, 48/pk, 4pk/cs</v>
      </c>
      <c r="G22" s="37" t="str">
        <f t="shared" si="2"/>
        <v>CA</v>
      </c>
      <c r="H22" s="38">
        <v>43</v>
      </c>
      <c r="I22" s="31" t="str">
        <f>"53102305"</f>
        <v>53102305</v>
      </c>
      <c r="J22" s="39" t="s">
        <v>128</v>
      </c>
    </row>
    <row r="23" spans="1:10" ht="39">
      <c r="A23" s="36" t="s">
        <v>40</v>
      </c>
      <c r="B23" s="31" t="s">
        <v>41</v>
      </c>
      <c r="C23" s="31">
        <v>2851</v>
      </c>
      <c r="D23" s="31">
        <v>2</v>
      </c>
      <c r="E23" s="31" t="str">
        <f>"1000003546"</f>
        <v>1000003546</v>
      </c>
      <c r="F23" s="31" t="str">
        <f>"DISP DIAPERS:Toddler, over 23 LBS, prefolded, disposable diapers. 32/pk 4 pk/cs"</f>
        <v>DISP DIAPERS:Toddler, over 23 LBS, prefolded, disposable diapers. 32/pk 4 pk/cs</v>
      </c>
      <c r="G23" s="37" t="str">
        <f t="shared" si="2"/>
        <v>CA</v>
      </c>
      <c r="H23" s="38">
        <v>43</v>
      </c>
      <c r="I23" s="31" t="str">
        <f>"53102305"</f>
        <v>53102305</v>
      </c>
      <c r="J23" s="39" t="s">
        <v>128</v>
      </c>
    </row>
    <row r="24" spans="1:10" ht="39">
      <c r="A24" s="36" t="s">
        <v>40</v>
      </c>
      <c r="B24" s="31" t="s">
        <v>41</v>
      </c>
      <c r="C24" s="31">
        <v>2851</v>
      </c>
      <c r="D24" s="31">
        <v>3</v>
      </c>
      <c r="E24" s="31" t="str">
        <f>"1000004031"</f>
        <v>1000004031</v>
      </c>
      <c r="F24" s="31" t="str">
        <f>"DISP DIAPERS:Newborn, 6-11 LBS, prefolded, disposable diapers, 400 per case."</f>
        <v>DISP DIAPERS:Newborn, 6-11 LBS, prefolded, disposable diapers, 400 per case.</v>
      </c>
      <c r="G24" s="37" t="str">
        <f t="shared" si="2"/>
        <v>CA</v>
      </c>
      <c r="H24" s="38">
        <v>59</v>
      </c>
      <c r="I24" s="31" t="str">
        <f>"53102305"</f>
        <v>53102305</v>
      </c>
      <c r="J24" s="39" t="s">
        <v>128</v>
      </c>
    </row>
    <row r="25" spans="1:10" ht="51.75">
      <c r="A25" s="36" t="s">
        <v>40</v>
      </c>
      <c r="B25" s="31" t="s">
        <v>57</v>
      </c>
      <c r="C25" s="31">
        <v>3542</v>
      </c>
      <c r="D25" s="31">
        <v>5</v>
      </c>
      <c r="E25" s="31" t="str">
        <f>"1000024957"</f>
        <v>1000024957</v>
      </c>
      <c r="F25" s="31" t="str">
        <f>"MOUTH MOISTURIZER: Hydrates lips and oral tissue. Contains Vitamin E &amp; Coconut Oil, water-based. 0.5 oz tube, 144 tubes/case."</f>
        <v>MOUTH MOISTURIZER: Hydrates lips and oral tissue. Contains Vitamin E &amp; Coconut Oil, water-based. 0.5 oz tube, 144 tubes/case.</v>
      </c>
      <c r="G25" s="37" t="str">
        <f t="shared" si="2"/>
        <v>CA</v>
      </c>
      <c r="H25" s="38">
        <v>353</v>
      </c>
      <c r="I25" s="31" t="str">
        <f>"53131630"</f>
        <v>53131630</v>
      </c>
      <c r="J25" s="39" t="s">
        <v>184</v>
      </c>
    </row>
    <row r="26" spans="1:10" ht="39">
      <c r="A26" s="36" t="s">
        <v>40</v>
      </c>
      <c r="B26" s="31" t="s">
        <v>57</v>
      </c>
      <c r="C26" s="31">
        <v>3542</v>
      </c>
      <c r="D26" s="31">
        <v>8</v>
      </c>
      <c r="E26" s="31" t="str">
        <f>"1000024959"</f>
        <v>1000024959</v>
      </c>
      <c r="F26" s="31" t="str">
        <f>"SHAMPOO CAP:Hair Care, Rinse free shampoo cap with conditioner. 40/cs"</f>
        <v>SHAMPOO CAP:Hair Care, Rinse free shampoo cap with conditioner. 40/cs</v>
      </c>
      <c r="G26" s="37" t="str">
        <f t="shared" si="2"/>
        <v>CA</v>
      </c>
      <c r="H26" s="38">
        <v>153.88</v>
      </c>
      <c r="I26" s="31" t="str">
        <f>"53131628"</f>
        <v>53131628</v>
      </c>
      <c r="J26" s="39" t="s">
        <v>170</v>
      </c>
    </row>
    <row r="27" spans="1:10" ht="64.5">
      <c r="A27" s="40" t="s">
        <v>40</v>
      </c>
      <c r="B27" s="41" t="s">
        <v>57</v>
      </c>
      <c r="C27" s="41">
        <v>3542</v>
      </c>
      <c r="D27" s="41">
        <v>6</v>
      </c>
      <c r="E27" s="41" t="str">
        <f>"1000009875"</f>
        <v>1000009875</v>
      </c>
      <c r="F27" s="41" t="str">
        <f>"TOOTHBRUSH: Collis Curve toothbrush, curved outer bristles to form a 45 degree angle to the tooth, short, stiff center bristles. Med 8/16 made from Tynes Nylon."</f>
        <v>TOOTHBRUSH: Collis Curve toothbrush, curved outer bristles to form a 45 degree angle to the tooth, short, stiff center bristles. Med 8/16 made from Tynes Nylon.</v>
      </c>
      <c r="G27" s="42" t="str">
        <f>"EA"</f>
        <v>EA</v>
      </c>
      <c r="H27" s="43">
        <v>3.56</v>
      </c>
      <c r="I27" s="41" t="str">
        <f>"53131503"</f>
        <v>53131503</v>
      </c>
      <c r="J27" s="44" t="s">
        <v>174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sheetPr codeName="Sheet9"/>
  <dimension ref="A1:J1612"/>
  <sheetViews>
    <sheetView workbookViewId="0">
      <pane ySplit="1" topLeftCell="A2" activePane="bottomLeft" state="frozen"/>
      <selection pane="bottomLeft" activeCell="N1606" sqref="N1606"/>
    </sheetView>
  </sheetViews>
  <sheetFormatPr defaultRowHeight="15"/>
  <cols>
    <col min="1" max="1" width="8.140625" bestFit="1" customWidth="1"/>
    <col min="2" max="2" width="8.7109375" bestFit="1" customWidth="1"/>
    <col min="3" max="3" width="8.28515625" bestFit="1" customWidth="1"/>
    <col min="4" max="4" width="7.42578125" bestFit="1" customWidth="1"/>
    <col min="5" max="5" width="11" bestFit="1" customWidth="1"/>
    <col min="6" max="6" width="38.5703125" customWidth="1"/>
    <col min="7" max="7" width="9.5703125" bestFit="1" customWidth="1"/>
    <col min="8" max="8" width="6.42578125" bestFit="1" customWidth="1"/>
    <col min="9" max="9" width="9" bestFit="1" customWidth="1"/>
    <col min="10" max="10" width="14.5703125" customWidth="1"/>
  </cols>
  <sheetData>
    <row r="1" spans="1:10">
      <c r="A1" s="12" t="s">
        <v>71</v>
      </c>
      <c r="B1" s="13" t="s">
        <v>208</v>
      </c>
      <c r="C1" s="13" t="s">
        <v>65</v>
      </c>
      <c r="D1" s="13" t="s">
        <v>207</v>
      </c>
      <c r="E1" s="13" t="s">
        <v>20</v>
      </c>
      <c r="F1" s="13" t="s">
        <v>21</v>
      </c>
      <c r="G1" s="13" t="s">
        <v>22</v>
      </c>
      <c r="H1" s="14" t="s">
        <v>66</v>
      </c>
      <c r="I1" s="13" t="s">
        <v>206</v>
      </c>
      <c r="J1" s="15" t="s">
        <v>205</v>
      </c>
    </row>
    <row r="2" spans="1:10" ht="39">
      <c r="A2" s="24" t="s">
        <v>27</v>
      </c>
      <c r="B2" s="21" t="s">
        <v>325</v>
      </c>
      <c r="C2" s="21">
        <v>3201</v>
      </c>
      <c r="D2" s="21">
        <v>1</v>
      </c>
      <c r="E2" s="21" t="str">
        <f>"1000013468"</f>
        <v>1000013468</v>
      </c>
      <c r="F2" s="21" t="str">
        <f>"BINDERS:Blk, 1, economy, O ring"</f>
        <v>BINDERS:Blk, 1, economy, O ring</v>
      </c>
      <c r="G2" s="22" t="str">
        <f t="shared" ref="G2:G49" si="0">"EA"</f>
        <v>EA</v>
      </c>
      <c r="H2" s="23">
        <v>3.15</v>
      </c>
      <c r="I2" s="21" t="str">
        <f t="shared" ref="I2:I65" si="1">"44122003"</f>
        <v>44122003</v>
      </c>
      <c r="J2" s="25" t="s">
        <v>76</v>
      </c>
    </row>
    <row r="3" spans="1:10" ht="39">
      <c r="A3" s="9" t="s">
        <v>27</v>
      </c>
      <c r="B3" s="2" t="s">
        <v>325</v>
      </c>
      <c r="C3" s="2">
        <v>3201</v>
      </c>
      <c r="D3" s="2">
        <v>2</v>
      </c>
      <c r="E3" s="2" t="str">
        <f>"1000013471"</f>
        <v>1000013471</v>
      </c>
      <c r="F3" s="2" t="str">
        <f>"BINDERS:Blk, 1, econ, clear view overlay, O ring"</f>
        <v>BINDERS:Blk, 1, econ, clear view overlay, O ring</v>
      </c>
      <c r="G3" s="3" t="str">
        <f t="shared" si="0"/>
        <v>EA</v>
      </c>
      <c r="H3" s="7">
        <v>3.22</v>
      </c>
      <c r="I3" s="2" t="str">
        <f t="shared" si="1"/>
        <v>44122003</v>
      </c>
      <c r="J3" s="10" t="s">
        <v>76</v>
      </c>
    </row>
    <row r="4" spans="1:10" ht="39">
      <c r="A4" s="24" t="s">
        <v>27</v>
      </c>
      <c r="B4" s="21" t="s">
        <v>325</v>
      </c>
      <c r="C4" s="21">
        <v>3201</v>
      </c>
      <c r="D4" s="21">
        <v>3</v>
      </c>
      <c r="E4" s="21" t="str">
        <f>"1000013469"</f>
        <v>1000013469</v>
      </c>
      <c r="F4" s="21" t="str">
        <f>"BINDERS:Royl Blu, 1, economy, O ring"</f>
        <v>BINDERS:Royl Blu, 1, economy, O ring</v>
      </c>
      <c r="G4" s="22" t="str">
        <f t="shared" si="0"/>
        <v>EA</v>
      </c>
      <c r="H4" s="23">
        <v>3.15</v>
      </c>
      <c r="I4" s="21" t="str">
        <f t="shared" si="1"/>
        <v>44122003</v>
      </c>
      <c r="J4" s="25" t="s">
        <v>76</v>
      </c>
    </row>
    <row r="5" spans="1:10" ht="39">
      <c r="A5" s="9" t="s">
        <v>27</v>
      </c>
      <c r="B5" s="2" t="s">
        <v>325</v>
      </c>
      <c r="C5" s="2">
        <v>3201</v>
      </c>
      <c r="D5" s="2">
        <v>4</v>
      </c>
      <c r="E5" s="2" t="str">
        <f>"1000013472"</f>
        <v>1000013472</v>
      </c>
      <c r="F5" s="2" t="str">
        <f>"BINDERS:Royl Blu, 1, econ, clear view overlay, O ring"</f>
        <v>BINDERS:Royl Blu, 1, econ, clear view overlay, O ring</v>
      </c>
      <c r="G5" s="3" t="str">
        <f t="shared" si="0"/>
        <v>EA</v>
      </c>
      <c r="H5" s="7">
        <v>3.22</v>
      </c>
      <c r="I5" s="2" t="str">
        <f t="shared" si="1"/>
        <v>44122003</v>
      </c>
      <c r="J5" s="10" t="s">
        <v>76</v>
      </c>
    </row>
    <row r="6" spans="1:10" ht="39">
      <c r="A6" s="24" t="s">
        <v>27</v>
      </c>
      <c r="B6" s="21" t="s">
        <v>325</v>
      </c>
      <c r="C6" s="21">
        <v>3201</v>
      </c>
      <c r="D6" s="21">
        <v>5</v>
      </c>
      <c r="E6" s="21" t="str">
        <f>"1000013470"</f>
        <v>1000013470</v>
      </c>
      <c r="F6" s="21" t="str">
        <f>"BINDERS:Wht, 1, economy, O ring"</f>
        <v>BINDERS:Wht, 1, economy, O ring</v>
      </c>
      <c r="G6" s="22" t="str">
        <f t="shared" si="0"/>
        <v>EA</v>
      </c>
      <c r="H6" s="23">
        <v>3.15</v>
      </c>
      <c r="I6" s="21" t="str">
        <f t="shared" si="1"/>
        <v>44122003</v>
      </c>
      <c r="J6" s="25" t="s">
        <v>76</v>
      </c>
    </row>
    <row r="7" spans="1:10" ht="39">
      <c r="A7" s="9" t="s">
        <v>27</v>
      </c>
      <c r="B7" s="2" t="s">
        <v>325</v>
      </c>
      <c r="C7" s="2">
        <v>3201</v>
      </c>
      <c r="D7" s="2">
        <v>6</v>
      </c>
      <c r="E7" s="2" t="str">
        <f>"1000013473"</f>
        <v>1000013473</v>
      </c>
      <c r="F7" s="2" t="str">
        <f>"BINDERS:Wht, 1, econ, clear view overlay, O ring"</f>
        <v>BINDERS:Wht, 1, econ, clear view overlay, O ring</v>
      </c>
      <c r="G7" s="3" t="str">
        <f t="shared" si="0"/>
        <v>EA</v>
      </c>
      <c r="H7" s="7">
        <v>3.22</v>
      </c>
      <c r="I7" s="2" t="str">
        <f t="shared" si="1"/>
        <v>44122003</v>
      </c>
      <c r="J7" s="10" t="s">
        <v>76</v>
      </c>
    </row>
    <row r="8" spans="1:10" ht="39">
      <c r="A8" s="24" t="s">
        <v>27</v>
      </c>
      <c r="B8" s="21" t="s">
        <v>325</v>
      </c>
      <c r="C8" s="21">
        <v>3201</v>
      </c>
      <c r="D8" s="21">
        <v>7</v>
      </c>
      <c r="E8" s="21" t="str">
        <f>"1000013474"</f>
        <v>1000013474</v>
      </c>
      <c r="F8" s="21" t="str">
        <f>"BINDERS:Blk, 2, economy, O ring"</f>
        <v>BINDERS:Blk, 2, economy, O ring</v>
      </c>
      <c r="G8" s="22" t="str">
        <f t="shared" si="0"/>
        <v>EA</v>
      </c>
      <c r="H8" s="23">
        <v>4.05</v>
      </c>
      <c r="I8" s="21" t="str">
        <f t="shared" si="1"/>
        <v>44122003</v>
      </c>
      <c r="J8" s="25" t="s">
        <v>76</v>
      </c>
    </row>
    <row r="9" spans="1:10" ht="39">
      <c r="A9" s="9" t="s">
        <v>27</v>
      </c>
      <c r="B9" s="2" t="s">
        <v>325</v>
      </c>
      <c r="C9" s="2">
        <v>3201</v>
      </c>
      <c r="D9" s="2">
        <v>8</v>
      </c>
      <c r="E9" s="2" t="str">
        <f>"1000013505"</f>
        <v>1000013505</v>
      </c>
      <c r="F9" s="2" t="str">
        <f>"BINDERS:Blk, 2, econ, clear view overlay, O ring"</f>
        <v>BINDERS:Blk, 2, econ, clear view overlay, O ring</v>
      </c>
      <c r="G9" s="3" t="str">
        <f t="shared" si="0"/>
        <v>EA</v>
      </c>
      <c r="H9" s="7">
        <v>4.1500000000000004</v>
      </c>
      <c r="I9" s="2" t="str">
        <f t="shared" si="1"/>
        <v>44122003</v>
      </c>
      <c r="J9" s="10" t="s">
        <v>76</v>
      </c>
    </row>
    <row r="10" spans="1:10" ht="39">
      <c r="A10" s="24" t="s">
        <v>27</v>
      </c>
      <c r="B10" s="21" t="s">
        <v>325</v>
      </c>
      <c r="C10" s="21">
        <v>3201</v>
      </c>
      <c r="D10" s="21">
        <v>9</v>
      </c>
      <c r="E10" s="21" t="str">
        <f>"1000013475"</f>
        <v>1000013475</v>
      </c>
      <c r="F10" s="21" t="str">
        <f>"BINDERS:Royl Blu, 2, economy, O ring"</f>
        <v>BINDERS:Royl Blu, 2, economy, O ring</v>
      </c>
      <c r="G10" s="22" t="str">
        <f t="shared" si="0"/>
        <v>EA</v>
      </c>
      <c r="H10" s="23">
        <v>4.05</v>
      </c>
      <c r="I10" s="21" t="str">
        <f t="shared" si="1"/>
        <v>44122003</v>
      </c>
      <c r="J10" s="25" t="s">
        <v>76</v>
      </c>
    </row>
    <row r="11" spans="1:10" ht="39">
      <c r="A11" s="9" t="s">
        <v>27</v>
      </c>
      <c r="B11" s="2" t="s">
        <v>325</v>
      </c>
      <c r="C11" s="2">
        <v>3201</v>
      </c>
      <c r="D11" s="2">
        <v>10</v>
      </c>
      <c r="E11" s="2" t="str">
        <f>"1000013506"</f>
        <v>1000013506</v>
      </c>
      <c r="F11" s="2" t="str">
        <f>"BINDERS:Royl Blu, 2, econ, clear view overlay, O ring"</f>
        <v>BINDERS:Royl Blu, 2, econ, clear view overlay, O ring</v>
      </c>
      <c r="G11" s="3" t="str">
        <f t="shared" si="0"/>
        <v>EA</v>
      </c>
      <c r="H11" s="7">
        <v>4.1500000000000004</v>
      </c>
      <c r="I11" s="2" t="str">
        <f t="shared" si="1"/>
        <v>44122003</v>
      </c>
      <c r="J11" s="10" t="s">
        <v>76</v>
      </c>
    </row>
    <row r="12" spans="1:10" ht="39">
      <c r="A12" s="24" t="s">
        <v>27</v>
      </c>
      <c r="B12" s="21" t="s">
        <v>325</v>
      </c>
      <c r="C12" s="21">
        <v>3201</v>
      </c>
      <c r="D12" s="21">
        <v>11</v>
      </c>
      <c r="E12" s="21" t="str">
        <f>"1000013476"</f>
        <v>1000013476</v>
      </c>
      <c r="F12" s="21" t="str">
        <f>"BINDERS:Wht, 2, economy, O ring"</f>
        <v>BINDERS:Wht, 2, economy, O ring</v>
      </c>
      <c r="G12" s="22" t="str">
        <f t="shared" si="0"/>
        <v>EA</v>
      </c>
      <c r="H12" s="23">
        <v>4.05</v>
      </c>
      <c r="I12" s="21" t="str">
        <f t="shared" si="1"/>
        <v>44122003</v>
      </c>
      <c r="J12" s="25" t="s">
        <v>76</v>
      </c>
    </row>
    <row r="13" spans="1:10" ht="39">
      <c r="A13" s="9" t="s">
        <v>27</v>
      </c>
      <c r="B13" s="2" t="s">
        <v>325</v>
      </c>
      <c r="C13" s="2">
        <v>3201</v>
      </c>
      <c r="D13" s="2">
        <v>12</v>
      </c>
      <c r="E13" s="2" t="str">
        <f>"1000013479"</f>
        <v>1000013479</v>
      </c>
      <c r="F13" s="2" t="str">
        <f>"BINDERS:Wht, 2, econ, clear view overlay, O ring"</f>
        <v>BINDERS:Wht, 2, econ, clear view overlay, O ring</v>
      </c>
      <c r="G13" s="3" t="str">
        <f t="shared" si="0"/>
        <v>EA</v>
      </c>
      <c r="H13" s="7">
        <v>4.1500000000000004</v>
      </c>
      <c r="I13" s="2" t="str">
        <f t="shared" si="1"/>
        <v>44122003</v>
      </c>
      <c r="J13" s="10" t="s">
        <v>76</v>
      </c>
    </row>
    <row r="14" spans="1:10" ht="39">
      <c r="A14" s="24" t="s">
        <v>27</v>
      </c>
      <c r="B14" s="21" t="s">
        <v>325</v>
      </c>
      <c r="C14" s="21">
        <v>3201</v>
      </c>
      <c r="D14" s="21">
        <v>13</v>
      </c>
      <c r="E14" s="21" t="str">
        <f>"1000013322"</f>
        <v>1000013322</v>
      </c>
      <c r="F14" s="21" t="str">
        <f>"BINDERS:Blk, 0.5 size, O ring, 120pt-Maxtile solid construction"</f>
        <v>BINDERS:Blk, 0.5 size, O ring, 120pt-Maxtile solid construction</v>
      </c>
      <c r="G14" s="22" t="str">
        <f t="shared" si="0"/>
        <v>EA</v>
      </c>
      <c r="H14" s="23">
        <v>2.9</v>
      </c>
      <c r="I14" s="21" t="str">
        <f t="shared" si="1"/>
        <v>44122003</v>
      </c>
      <c r="J14" s="25" t="s">
        <v>76</v>
      </c>
    </row>
    <row r="15" spans="1:10" ht="39">
      <c r="A15" s="9" t="s">
        <v>27</v>
      </c>
      <c r="B15" s="2" t="s">
        <v>325</v>
      </c>
      <c r="C15" s="2">
        <v>3201</v>
      </c>
      <c r="D15" s="2">
        <v>14</v>
      </c>
      <c r="E15" s="2" t="str">
        <f>"1000013323"</f>
        <v>1000013323</v>
      </c>
      <c r="F15" s="2" t="str">
        <f>"BINDERS:Royl Blu, 0.5 size, O ring, 120pt-Maxtile solid construction"</f>
        <v>BINDERS:Royl Blu, 0.5 size, O ring, 120pt-Maxtile solid construction</v>
      </c>
      <c r="G15" s="3" t="str">
        <f t="shared" si="0"/>
        <v>EA</v>
      </c>
      <c r="H15" s="7">
        <v>2.9</v>
      </c>
      <c r="I15" s="2" t="str">
        <f t="shared" si="1"/>
        <v>44122003</v>
      </c>
      <c r="J15" s="10" t="s">
        <v>76</v>
      </c>
    </row>
    <row r="16" spans="1:10" ht="39">
      <c r="A16" s="24" t="s">
        <v>27</v>
      </c>
      <c r="B16" s="21" t="s">
        <v>325</v>
      </c>
      <c r="C16" s="21">
        <v>3201</v>
      </c>
      <c r="D16" s="21">
        <v>15</v>
      </c>
      <c r="E16" s="21" t="str">
        <f>"1000013305"</f>
        <v>1000013305</v>
      </c>
      <c r="F16" s="21" t="str">
        <f>"BINDERS:Wht, 0.5 size, O ring, 120pt-Maxtile solid construction"</f>
        <v>BINDERS:Wht, 0.5 size, O ring, 120pt-Maxtile solid construction</v>
      </c>
      <c r="G16" s="22" t="str">
        <f t="shared" si="0"/>
        <v>EA</v>
      </c>
      <c r="H16" s="23">
        <v>2.9</v>
      </c>
      <c r="I16" s="21" t="str">
        <f t="shared" si="1"/>
        <v>44122003</v>
      </c>
      <c r="J16" s="25" t="s">
        <v>76</v>
      </c>
    </row>
    <row r="17" spans="1:10" ht="39">
      <c r="A17" s="9" t="s">
        <v>27</v>
      </c>
      <c r="B17" s="2" t="s">
        <v>325</v>
      </c>
      <c r="C17" s="2">
        <v>3201</v>
      </c>
      <c r="D17" s="2">
        <v>16</v>
      </c>
      <c r="E17" s="2" t="str">
        <f>"1000013306"</f>
        <v>1000013306</v>
      </c>
      <c r="F17" s="2" t="str">
        <f>"BINDERS:Lt Gry, 0.5 size, O ring, 120pt-Maxtile solid construction"</f>
        <v>BINDERS:Lt Gry, 0.5 size, O ring, 120pt-Maxtile solid construction</v>
      </c>
      <c r="G17" s="3" t="str">
        <f t="shared" si="0"/>
        <v>EA</v>
      </c>
      <c r="H17" s="7">
        <v>2.9</v>
      </c>
      <c r="I17" s="2" t="str">
        <f t="shared" si="1"/>
        <v>44122003</v>
      </c>
      <c r="J17" s="10" t="s">
        <v>76</v>
      </c>
    </row>
    <row r="18" spans="1:10" ht="39">
      <c r="A18" s="24" t="s">
        <v>27</v>
      </c>
      <c r="B18" s="21" t="s">
        <v>325</v>
      </c>
      <c r="C18" s="21">
        <v>3201</v>
      </c>
      <c r="D18" s="21">
        <v>17</v>
      </c>
      <c r="E18" s="21" t="str">
        <f>"1000013307"</f>
        <v>1000013307</v>
      </c>
      <c r="F18" s="21" t="str">
        <f>"BINDERS:Orng, 0.5 size, O ring, 120pt-Maxtile solid construction"</f>
        <v>BINDERS:Orng, 0.5 size, O ring, 120pt-Maxtile solid construction</v>
      </c>
      <c r="G18" s="22" t="str">
        <f t="shared" si="0"/>
        <v>EA</v>
      </c>
      <c r="H18" s="23">
        <v>2.9</v>
      </c>
      <c r="I18" s="21" t="str">
        <f t="shared" si="1"/>
        <v>44122003</v>
      </c>
      <c r="J18" s="25" t="s">
        <v>76</v>
      </c>
    </row>
    <row r="19" spans="1:10" ht="39">
      <c r="A19" s="9" t="s">
        <v>27</v>
      </c>
      <c r="B19" s="2" t="s">
        <v>325</v>
      </c>
      <c r="C19" s="2">
        <v>3201</v>
      </c>
      <c r="D19" s="2">
        <v>18</v>
      </c>
      <c r="E19" s="2" t="str">
        <f>"1000013308"</f>
        <v>1000013308</v>
      </c>
      <c r="F19" s="2" t="str">
        <f>"BINDERS:Yel, 0.5 size, O ring, 120pt-Maxtile solid construction"</f>
        <v>BINDERS:Yel, 0.5 size, O ring, 120pt-Maxtile solid construction</v>
      </c>
      <c r="G19" s="3" t="str">
        <f t="shared" si="0"/>
        <v>EA</v>
      </c>
      <c r="H19" s="7">
        <v>2.9</v>
      </c>
      <c r="I19" s="2" t="str">
        <f t="shared" si="1"/>
        <v>44122003</v>
      </c>
      <c r="J19" s="10" t="s">
        <v>76</v>
      </c>
    </row>
    <row r="20" spans="1:10" ht="39">
      <c r="A20" s="24" t="s">
        <v>27</v>
      </c>
      <c r="B20" s="21" t="s">
        <v>325</v>
      </c>
      <c r="C20" s="21">
        <v>3201</v>
      </c>
      <c r="D20" s="21">
        <v>19</v>
      </c>
      <c r="E20" s="21" t="str">
        <f>"1000013309"</f>
        <v>1000013309</v>
      </c>
      <c r="F20" s="21" t="str">
        <f>"BINDERS:Grn, 0.5 size, O ring, 120pt-Maxtile solid construction"</f>
        <v>BINDERS:Grn, 0.5 size, O ring, 120pt-Maxtile solid construction</v>
      </c>
      <c r="G20" s="22" t="str">
        <f t="shared" si="0"/>
        <v>EA</v>
      </c>
      <c r="H20" s="23">
        <v>2.9</v>
      </c>
      <c r="I20" s="21" t="str">
        <f t="shared" si="1"/>
        <v>44122003</v>
      </c>
      <c r="J20" s="25" t="s">
        <v>76</v>
      </c>
    </row>
    <row r="21" spans="1:10" ht="39">
      <c r="A21" s="9" t="s">
        <v>27</v>
      </c>
      <c r="B21" s="2" t="s">
        <v>325</v>
      </c>
      <c r="C21" s="2">
        <v>3201</v>
      </c>
      <c r="D21" s="2">
        <v>20</v>
      </c>
      <c r="E21" s="2" t="str">
        <f>"1000013336"</f>
        <v>1000013336</v>
      </c>
      <c r="F21" s="2" t="str">
        <f>"BINDERS:Burg, 0.5 size, O ring, 120pt-Maxtile solid construction"</f>
        <v>BINDERS:Burg, 0.5 size, O ring, 120pt-Maxtile solid construction</v>
      </c>
      <c r="G21" s="3" t="str">
        <f t="shared" si="0"/>
        <v>EA</v>
      </c>
      <c r="H21" s="7">
        <v>2.9</v>
      </c>
      <c r="I21" s="2" t="str">
        <f t="shared" si="1"/>
        <v>44122003</v>
      </c>
      <c r="J21" s="10" t="s">
        <v>76</v>
      </c>
    </row>
    <row r="22" spans="1:10" ht="39">
      <c r="A22" s="24" t="s">
        <v>27</v>
      </c>
      <c r="B22" s="21" t="s">
        <v>325</v>
      </c>
      <c r="C22" s="21">
        <v>3201</v>
      </c>
      <c r="D22" s="21">
        <v>21</v>
      </c>
      <c r="E22" s="21" t="str">
        <f>"1000013337"</f>
        <v>1000013337</v>
      </c>
      <c r="F22" s="21" t="str">
        <f>"BINDERS:Navy, 0.5 size, O ring, 120pt-Maxtile solid construction"</f>
        <v>BINDERS:Navy, 0.5 size, O ring, 120pt-Maxtile solid construction</v>
      </c>
      <c r="G22" s="22" t="str">
        <f t="shared" si="0"/>
        <v>EA</v>
      </c>
      <c r="H22" s="23">
        <v>2.9</v>
      </c>
      <c r="I22" s="21" t="str">
        <f t="shared" si="1"/>
        <v>44122003</v>
      </c>
      <c r="J22" s="25" t="s">
        <v>76</v>
      </c>
    </row>
    <row r="23" spans="1:10" ht="39">
      <c r="A23" s="9" t="s">
        <v>27</v>
      </c>
      <c r="B23" s="2" t="s">
        <v>325</v>
      </c>
      <c r="C23" s="2">
        <v>3201</v>
      </c>
      <c r="D23" s="2">
        <v>22</v>
      </c>
      <c r="E23" s="2" t="str">
        <f>"1000013310"</f>
        <v>1000013310</v>
      </c>
      <c r="F23" s="2" t="str">
        <f>"BINDERS:Blk, 0.5, clear view overlay front/back/spine, O ring, 120pt-Maxtile solid construction"</f>
        <v>BINDERS:Blk, 0.5, clear view overlay front/back/spine, O ring, 120pt-Maxtile solid construction</v>
      </c>
      <c r="G23" s="3" t="str">
        <f t="shared" si="0"/>
        <v>EA</v>
      </c>
      <c r="H23" s="7">
        <v>3.42</v>
      </c>
      <c r="I23" s="2" t="str">
        <f t="shared" si="1"/>
        <v>44122003</v>
      </c>
      <c r="J23" s="10" t="s">
        <v>76</v>
      </c>
    </row>
    <row r="24" spans="1:10" ht="39">
      <c r="A24" s="24" t="s">
        <v>27</v>
      </c>
      <c r="B24" s="21" t="s">
        <v>325</v>
      </c>
      <c r="C24" s="21">
        <v>3201</v>
      </c>
      <c r="D24" s="21">
        <v>23</v>
      </c>
      <c r="E24" s="21" t="str">
        <f>"1000013311"</f>
        <v>1000013311</v>
      </c>
      <c r="F24" s="21" t="str">
        <f>"BINDERS:Royl Blu, 0.5, clear view overlay front/back/spine, 120pt-Maxtile solid construction"</f>
        <v>BINDERS:Royl Blu, 0.5, clear view overlay front/back/spine, 120pt-Maxtile solid construction</v>
      </c>
      <c r="G24" s="22" t="str">
        <f t="shared" si="0"/>
        <v>EA</v>
      </c>
      <c r="H24" s="23">
        <v>3.42</v>
      </c>
      <c r="I24" s="21" t="str">
        <f t="shared" si="1"/>
        <v>44122003</v>
      </c>
      <c r="J24" s="25" t="s">
        <v>76</v>
      </c>
    </row>
    <row r="25" spans="1:10" ht="39">
      <c r="A25" s="9" t="s">
        <v>27</v>
      </c>
      <c r="B25" s="2" t="s">
        <v>325</v>
      </c>
      <c r="C25" s="2">
        <v>3201</v>
      </c>
      <c r="D25" s="2">
        <v>24</v>
      </c>
      <c r="E25" s="2" t="str">
        <f>"1000013312"</f>
        <v>1000013312</v>
      </c>
      <c r="F25" s="2" t="str">
        <f>"BINDERS:Red, 0.5, clear view overlay front/back/spine, O ring, 120pt-Maxtile solid construction"</f>
        <v>BINDERS:Red, 0.5, clear view overlay front/back/spine, O ring, 120pt-Maxtile solid construction</v>
      </c>
      <c r="G25" s="3" t="str">
        <f t="shared" si="0"/>
        <v>EA</v>
      </c>
      <c r="H25" s="7">
        <v>3.42</v>
      </c>
      <c r="I25" s="2" t="str">
        <f t="shared" si="1"/>
        <v>44122003</v>
      </c>
      <c r="J25" s="10" t="s">
        <v>76</v>
      </c>
    </row>
    <row r="26" spans="1:10" ht="39">
      <c r="A26" s="24" t="s">
        <v>27</v>
      </c>
      <c r="B26" s="21" t="s">
        <v>325</v>
      </c>
      <c r="C26" s="21">
        <v>3201</v>
      </c>
      <c r="D26" s="21">
        <v>25</v>
      </c>
      <c r="E26" s="21" t="str">
        <f>"1000013313"</f>
        <v>1000013313</v>
      </c>
      <c r="F26" s="21" t="str">
        <f>"BINDERS:Wht, 0.5, clear view overlay front/back/spine, 120pt-Maxtile solid construction"</f>
        <v>BINDERS:Wht, 0.5, clear view overlay front/back/spine, 120pt-Maxtile solid construction</v>
      </c>
      <c r="G26" s="22" t="str">
        <f t="shared" si="0"/>
        <v>EA</v>
      </c>
      <c r="H26" s="23">
        <v>3.42</v>
      </c>
      <c r="I26" s="21" t="str">
        <f t="shared" si="1"/>
        <v>44122003</v>
      </c>
      <c r="J26" s="25" t="s">
        <v>76</v>
      </c>
    </row>
    <row r="27" spans="1:10" ht="39">
      <c r="A27" s="9" t="s">
        <v>27</v>
      </c>
      <c r="B27" s="2" t="s">
        <v>325</v>
      </c>
      <c r="C27" s="2">
        <v>3201</v>
      </c>
      <c r="D27" s="2">
        <v>26</v>
      </c>
      <c r="E27" s="2" t="str">
        <f>"1000013314"</f>
        <v>1000013314</v>
      </c>
      <c r="F27" s="2" t="str">
        <f>"BINDERS:Lt Gry, 0.5, clear view overlay front/back/spine, O ring, 120pt-Maxtile solid construction"</f>
        <v>BINDERS:Lt Gry, 0.5, clear view overlay front/back/spine, O ring, 120pt-Maxtile solid construction</v>
      </c>
      <c r="G27" s="3" t="str">
        <f t="shared" si="0"/>
        <v>EA</v>
      </c>
      <c r="H27" s="7">
        <v>3.42</v>
      </c>
      <c r="I27" s="2" t="str">
        <f t="shared" si="1"/>
        <v>44122003</v>
      </c>
      <c r="J27" s="10" t="s">
        <v>76</v>
      </c>
    </row>
    <row r="28" spans="1:10" ht="39">
      <c r="A28" s="24" t="s">
        <v>27</v>
      </c>
      <c r="B28" s="21" t="s">
        <v>325</v>
      </c>
      <c r="C28" s="21">
        <v>3201</v>
      </c>
      <c r="D28" s="21">
        <v>27</v>
      </c>
      <c r="E28" s="21" t="str">
        <f>"1000013315"</f>
        <v>1000013315</v>
      </c>
      <c r="F28" s="21" t="str">
        <f>"BINDERS:Orng, 0.5, clear view overlay front/back/spine, O ring, 120pt-Maxtile solid construction"</f>
        <v>BINDERS:Orng, 0.5, clear view overlay front/back/spine, O ring, 120pt-Maxtile solid construction</v>
      </c>
      <c r="G28" s="22" t="str">
        <f t="shared" si="0"/>
        <v>EA</v>
      </c>
      <c r="H28" s="23">
        <v>3.42</v>
      </c>
      <c r="I28" s="21" t="str">
        <f t="shared" si="1"/>
        <v>44122003</v>
      </c>
      <c r="J28" s="25" t="s">
        <v>76</v>
      </c>
    </row>
    <row r="29" spans="1:10" ht="39">
      <c r="A29" s="9" t="s">
        <v>27</v>
      </c>
      <c r="B29" s="2" t="s">
        <v>325</v>
      </c>
      <c r="C29" s="2">
        <v>3201</v>
      </c>
      <c r="D29" s="2">
        <v>28</v>
      </c>
      <c r="E29" s="2" t="str">
        <f>"1000013316"</f>
        <v>1000013316</v>
      </c>
      <c r="F29" s="2" t="str">
        <f>"BINDERS:Yel, 0.5, clear view overlay front/back/spine, O ring, 120pt-Maxtile solid construction"</f>
        <v>BINDERS:Yel, 0.5, clear view overlay front/back/spine, O ring, 120pt-Maxtile solid construction</v>
      </c>
      <c r="G29" s="3" t="str">
        <f t="shared" si="0"/>
        <v>EA</v>
      </c>
      <c r="H29" s="7">
        <v>3.42</v>
      </c>
      <c r="I29" s="2" t="str">
        <f t="shared" si="1"/>
        <v>44122003</v>
      </c>
      <c r="J29" s="10" t="s">
        <v>76</v>
      </c>
    </row>
    <row r="30" spans="1:10" ht="39">
      <c r="A30" s="24" t="s">
        <v>27</v>
      </c>
      <c r="B30" s="21" t="s">
        <v>325</v>
      </c>
      <c r="C30" s="21">
        <v>3201</v>
      </c>
      <c r="D30" s="21">
        <v>29</v>
      </c>
      <c r="E30" s="21" t="str">
        <f>"1000013317"</f>
        <v>1000013317</v>
      </c>
      <c r="F30" s="21" t="str">
        <f>"BINDERS:Grn, 0.5, clear view overlay front/back/spine, O ring, 120pt-Maxtile solid construction"</f>
        <v>BINDERS:Grn, 0.5, clear view overlay front/back/spine, O ring, 120pt-Maxtile solid construction</v>
      </c>
      <c r="G30" s="22" t="str">
        <f t="shared" si="0"/>
        <v>EA</v>
      </c>
      <c r="H30" s="23">
        <v>3.42</v>
      </c>
      <c r="I30" s="21" t="str">
        <f t="shared" si="1"/>
        <v>44122003</v>
      </c>
      <c r="J30" s="25" t="s">
        <v>76</v>
      </c>
    </row>
    <row r="31" spans="1:10" ht="39">
      <c r="A31" s="9" t="s">
        <v>27</v>
      </c>
      <c r="B31" s="2" t="s">
        <v>325</v>
      </c>
      <c r="C31" s="2">
        <v>3201</v>
      </c>
      <c r="D31" s="2">
        <v>30</v>
      </c>
      <c r="E31" s="2" t="str">
        <f>"1000013318"</f>
        <v>1000013318</v>
      </c>
      <c r="F31" s="2" t="str">
        <f>"BINDERS:Burg, 0.5, clear view overlay front/back/spine, O ring, 120pt-Maxtile solid construction"</f>
        <v>BINDERS:Burg, 0.5, clear view overlay front/back/spine, O ring, 120pt-Maxtile solid construction</v>
      </c>
      <c r="G31" s="3" t="str">
        <f t="shared" si="0"/>
        <v>EA</v>
      </c>
      <c r="H31" s="7">
        <v>3.42</v>
      </c>
      <c r="I31" s="2" t="str">
        <f t="shared" si="1"/>
        <v>44122003</v>
      </c>
      <c r="J31" s="10" t="s">
        <v>76</v>
      </c>
    </row>
    <row r="32" spans="1:10" ht="39">
      <c r="A32" s="24" t="s">
        <v>27</v>
      </c>
      <c r="B32" s="21" t="s">
        <v>325</v>
      </c>
      <c r="C32" s="21">
        <v>3201</v>
      </c>
      <c r="D32" s="21">
        <v>31</v>
      </c>
      <c r="E32" s="21" t="str">
        <f>"1000013319"</f>
        <v>1000013319</v>
      </c>
      <c r="F32" s="21" t="str">
        <f>"BINDERS:Navy, 0.5, clear view overlay front/back/spine, O ring, 120pt-Maxtile solid construction"</f>
        <v>BINDERS:Navy, 0.5, clear view overlay front/back/spine, O ring, 120pt-Maxtile solid construction</v>
      </c>
      <c r="G32" s="22" t="str">
        <f t="shared" si="0"/>
        <v>EA</v>
      </c>
      <c r="H32" s="23">
        <v>3.42</v>
      </c>
      <c r="I32" s="21" t="str">
        <f t="shared" si="1"/>
        <v>44122003</v>
      </c>
      <c r="J32" s="25" t="s">
        <v>76</v>
      </c>
    </row>
    <row r="33" spans="1:10" ht="39">
      <c r="A33" s="9" t="s">
        <v>27</v>
      </c>
      <c r="B33" s="2" t="s">
        <v>325</v>
      </c>
      <c r="C33" s="2">
        <v>3201</v>
      </c>
      <c r="D33" s="2">
        <v>32</v>
      </c>
      <c r="E33" s="2" t="str">
        <f>"1000013320"</f>
        <v>1000013320</v>
      </c>
      <c r="F33" s="2" t="str">
        <f>"BINDERS:Blk, 1 size, O ring, 120pt-Maxtile solid construction"</f>
        <v>BINDERS:Blk, 1 size, O ring, 120pt-Maxtile solid construction</v>
      </c>
      <c r="G33" s="3" t="str">
        <f t="shared" si="0"/>
        <v>EA</v>
      </c>
      <c r="H33" s="7">
        <v>3.35</v>
      </c>
      <c r="I33" s="2" t="str">
        <f t="shared" si="1"/>
        <v>44122003</v>
      </c>
      <c r="J33" s="10" t="s">
        <v>76</v>
      </c>
    </row>
    <row r="34" spans="1:10" ht="39">
      <c r="A34" s="24" t="s">
        <v>27</v>
      </c>
      <c r="B34" s="21" t="s">
        <v>325</v>
      </c>
      <c r="C34" s="21">
        <v>3201</v>
      </c>
      <c r="D34" s="21">
        <v>33</v>
      </c>
      <c r="E34" s="21" t="str">
        <f>"1000013321"</f>
        <v>1000013321</v>
      </c>
      <c r="F34" s="21" t="str">
        <f>"BINDERS:Royl Blu, 1 size, O ring, 120pt-Maxtile solid construction"</f>
        <v>BINDERS:Royl Blu, 1 size, O ring, 120pt-Maxtile solid construction</v>
      </c>
      <c r="G34" s="22" t="str">
        <f t="shared" si="0"/>
        <v>EA</v>
      </c>
      <c r="H34" s="23">
        <v>3.35</v>
      </c>
      <c r="I34" s="21" t="str">
        <f t="shared" si="1"/>
        <v>44122003</v>
      </c>
      <c r="J34" s="25" t="s">
        <v>76</v>
      </c>
    </row>
    <row r="35" spans="1:10" ht="39">
      <c r="A35" s="9" t="s">
        <v>27</v>
      </c>
      <c r="B35" s="2" t="s">
        <v>325</v>
      </c>
      <c r="C35" s="2">
        <v>3201</v>
      </c>
      <c r="D35" s="2">
        <v>34</v>
      </c>
      <c r="E35" s="2" t="str">
        <f>"1000013350"</f>
        <v>1000013350</v>
      </c>
      <c r="F35" s="2" t="str">
        <f>"BINDERS:Red, 1 size, O ring, 120pt-Maxtile solid construction"</f>
        <v>BINDERS:Red, 1 size, O ring, 120pt-Maxtile solid construction</v>
      </c>
      <c r="G35" s="3" t="str">
        <f t="shared" si="0"/>
        <v>EA</v>
      </c>
      <c r="H35" s="7">
        <v>3.35</v>
      </c>
      <c r="I35" s="2" t="str">
        <f t="shared" si="1"/>
        <v>44122003</v>
      </c>
      <c r="J35" s="10" t="s">
        <v>76</v>
      </c>
    </row>
    <row r="36" spans="1:10" ht="39">
      <c r="A36" s="24" t="s">
        <v>27</v>
      </c>
      <c r="B36" s="21" t="s">
        <v>325</v>
      </c>
      <c r="C36" s="21">
        <v>3201</v>
      </c>
      <c r="D36" s="21">
        <v>35</v>
      </c>
      <c r="E36" s="21" t="str">
        <f>"1000013351"</f>
        <v>1000013351</v>
      </c>
      <c r="F36" s="21" t="str">
        <f>"BINDERS:Wht, 1 size, O ring, 120pt-Maxtile solid construction"</f>
        <v>BINDERS:Wht, 1 size, O ring, 120pt-Maxtile solid construction</v>
      </c>
      <c r="G36" s="22" t="str">
        <f t="shared" si="0"/>
        <v>EA</v>
      </c>
      <c r="H36" s="23">
        <v>3.35</v>
      </c>
      <c r="I36" s="21" t="str">
        <f t="shared" si="1"/>
        <v>44122003</v>
      </c>
      <c r="J36" s="25" t="s">
        <v>76</v>
      </c>
    </row>
    <row r="37" spans="1:10" ht="39">
      <c r="A37" s="9" t="s">
        <v>27</v>
      </c>
      <c r="B37" s="2" t="s">
        <v>325</v>
      </c>
      <c r="C37" s="2">
        <v>3201</v>
      </c>
      <c r="D37" s="2">
        <v>36</v>
      </c>
      <c r="E37" s="2" t="str">
        <f>"1000013324"</f>
        <v>1000013324</v>
      </c>
      <c r="F37" s="2" t="str">
        <f>"BINDERS:Lt Gry, 1 size, O ring, 120pt-Maxtile solid construction"</f>
        <v>BINDERS:Lt Gry, 1 size, O ring, 120pt-Maxtile solid construction</v>
      </c>
      <c r="G37" s="3" t="str">
        <f t="shared" si="0"/>
        <v>EA</v>
      </c>
      <c r="H37" s="7">
        <v>3.35</v>
      </c>
      <c r="I37" s="2" t="str">
        <f t="shared" si="1"/>
        <v>44122003</v>
      </c>
      <c r="J37" s="10" t="s">
        <v>76</v>
      </c>
    </row>
    <row r="38" spans="1:10" ht="39">
      <c r="A38" s="24" t="s">
        <v>27</v>
      </c>
      <c r="B38" s="21" t="s">
        <v>325</v>
      </c>
      <c r="C38" s="21">
        <v>3201</v>
      </c>
      <c r="D38" s="21">
        <v>37</v>
      </c>
      <c r="E38" s="21" t="str">
        <f>"1000013325"</f>
        <v>1000013325</v>
      </c>
      <c r="F38" s="21" t="str">
        <f>"BINDERS:Orng, 1 size, O ring, 120pt-Maxtile solid construction"</f>
        <v>BINDERS:Orng, 1 size, O ring, 120pt-Maxtile solid construction</v>
      </c>
      <c r="G38" s="22" t="str">
        <f t="shared" si="0"/>
        <v>EA</v>
      </c>
      <c r="H38" s="23">
        <v>3.35</v>
      </c>
      <c r="I38" s="21" t="str">
        <f t="shared" si="1"/>
        <v>44122003</v>
      </c>
      <c r="J38" s="25" t="s">
        <v>76</v>
      </c>
    </row>
    <row r="39" spans="1:10" ht="39">
      <c r="A39" s="9" t="s">
        <v>27</v>
      </c>
      <c r="B39" s="2" t="s">
        <v>325</v>
      </c>
      <c r="C39" s="2">
        <v>3201</v>
      </c>
      <c r="D39" s="2">
        <v>38</v>
      </c>
      <c r="E39" s="2" t="str">
        <f>"1000013326"</f>
        <v>1000013326</v>
      </c>
      <c r="F39" s="2" t="str">
        <f>"BINDERS:Yel, 1 size, O ring, 120pt-Maxtile solid construction"</f>
        <v>BINDERS:Yel, 1 size, O ring, 120pt-Maxtile solid construction</v>
      </c>
      <c r="G39" s="3" t="str">
        <f t="shared" si="0"/>
        <v>EA</v>
      </c>
      <c r="H39" s="7">
        <v>3.35</v>
      </c>
      <c r="I39" s="2" t="str">
        <f t="shared" si="1"/>
        <v>44122003</v>
      </c>
      <c r="J39" s="10" t="s">
        <v>76</v>
      </c>
    </row>
    <row r="40" spans="1:10" ht="39">
      <c r="A40" s="24" t="s">
        <v>27</v>
      </c>
      <c r="B40" s="21" t="s">
        <v>325</v>
      </c>
      <c r="C40" s="21">
        <v>3201</v>
      </c>
      <c r="D40" s="21">
        <v>39</v>
      </c>
      <c r="E40" s="21" t="str">
        <f>"1000013327"</f>
        <v>1000013327</v>
      </c>
      <c r="F40" s="21" t="str">
        <f>"BINDERS:Grn, 1 size, O ring, 120pt-Maxtile solid construction"</f>
        <v>BINDERS:Grn, 1 size, O ring, 120pt-Maxtile solid construction</v>
      </c>
      <c r="G40" s="22" t="str">
        <f t="shared" si="0"/>
        <v>EA</v>
      </c>
      <c r="H40" s="23">
        <v>3.35</v>
      </c>
      <c r="I40" s="21" t="str">
        <f t="shared" si="1"/>
        <v>44122003</v>
      </c>
      <c r="J40" s="25" t="s">
        <v>76</v>
      </c>
    </row>
    <row r="41" spans="1:10" ht="39">
      <c r="A41" s="9" t="s">
        <v>27</v>
      </c>
      <c r="B41" s="2" t="s">
        <v>325</v>
      </c>
      <c r="C41" s="2">
        <v>3201</v>
      </c>
      <c r="D41" s="2">
        <v>40</v>
      </c>
      <c r="E41" s="2" t="str">
        <f>"1000013328"</f>
        <v>1000013328</v>
      </c>
      <c r="F41" s="2" t="str">
        <f>"BINDERS:Burg, 1 size, O ring, 120pt-Maxtile solid construction"</f>
        <v>BINDERS:Burg, 1 size, O ring, 120pt-Maxtile solid construction</v>
      </c>
      <c r="G41" s="3" t="str">
        <f t="shared" si="0"/>
        <v>EA</v>
      </c>
      <c r="H41" s="7">
        <v>3.35</v>
      </c>
      <c r="I41" s="2" t="str">
        <f t="shared" si="1"/>
        <v>44122003</v>
      </c>
      <c r="J41" s="10" t="s">
        <v>76</v>
      </c>
    </row>
    <row r="42" spans="1:10" ht="39">
      <c r="A42" s="24" t="s">
        <v>27</v>
      </c>
      <c r="B42" s="21" t="s">
        <v>325</v>
      </c>
      <c r="C42" s="21">
        <v>3201</v>
      </c>
      <c r="D42" s="21">
        <v>41</v>
      </c>
      <c r="E42" s="21" t="str">
        <f>"1000013329"</f>
        <v>1000013329</v>
      </c>
      <c r="F42" s="21" t="str">
        <f>"BINDERS:Navy, 1 size, O ring, 120pt-Maxtile solid construction"</f>
        <v>BINDERS:Navy, 1 size, O ring, 120pt-Maxtile solid construction</v>
      </c>
      <c r="G42" s="22" t="str">
        <f t="shared" si="0"/>
        <v>EA</v>
      </c>
      <c r="H42" s="23">
        <v>3.35</v>
      </c>
      <c r="I42" s="21" t="str">
        <f t="shared" si="1"/>
        <v>44122003</v>
      </c>
      <c r="J42" s="25" t="s">
        <v>76</v>
      </c>
    </row>
    <row r="43" spans="1:10" ht="39">
      <c r="A43" s="9" t="s">
        <v>27</v>
      </c>
      <c r="B43" s="2" t="s">
        <v>325</v>
      </c>
      <c r="C43" s="2">
        <v>3201</v>
      </c>
      <c r="D43" s="2">
        <v>42</v>
      </c>
      <c r="E43" s="2" t="str">
        <f>"1000013489"</f>
        <v>1000013489</v>
      </c>
      <c r="F43" s="2" t="str">
        <f>"BINDERS:Purple, 1 size, O ring, 120pt-Maxtile solid construction"</f>
        <v>BINDERS:Purple, 1 size, O ring, 120pt-Maxtile solid construction</v>
      </c>
      <c r="G43" s="3" t="str">
        <f t="shared" si="0"/>
        <v>EA</v>
      </c>
      <c r="H43" s="7">
        <v>3.35</v>
      </c>
      <c r="I43" s="2" t="str">
        <f t="shared" si="1"/>
        <v>44122003</v>
      </c>
      <c r="J43" s="10" t="s">
        <v>76</v>
      </c>
    </row>
    <row r="44" spans="1:10" ht="39">
      <c r="A44" s="24" t="s">
        <v>27</v>
      </c>
      <c r="B44" s="21" t="s">
        <v>325</v>
      </c>
      <c r="C44" s="21">
        <v>3201</v>
      </c>
      <c r="D44" s="21">
        <v>43</v>
      </c>
      <c r="E44" s="21" t="str">
        <f>"1000013330"</f>
        <v>1000013330</v>
      </c>
      <c r="F44" s="21" t="str">
        <f>"BINDERS:Blk, 1, clear view overlay front/back/spine, O ring, 120pt-Maxtile solid construction"</f>
        <v>BINDERS:Blk, 1, clear view overlay front/back/spine, O ring, 120pt-Maxtile solid construction</v>
      </c>
      <c r="G44" s="22" t="str">
        <f t="shared" si="0"/>
        <v>EA</v>
      </c>
      <c r="H44" s="23">
        <v>4.21</v>
      </c>
      <c r="I44" s="21" t="str">
        <f t="shared" si="1"/>
        <v>44122003</v>
      </c>
      <c r="J44" s="25" t="s">
        <v>76</v>
      </c>
    </row>
    <row r="45" spans="1:10" ht="39">
      <c r="A45" s="9" t="s">
        <v>27</v>
      </c>
      <c r="B45" s="2" t="s">
        <v>325</v>
      </c>
      <c r="C45" s="2">
        <v>3201</v>
      </c>
      <c r="D45" s="2">
        <v>44</v>
      </c>
      <c r="E45" s="2" t="str">
        <f>"1000013331"</f>
        <v>1000013331</v>
      </c>
      <c r="F45" s="2" t="str">
        <f>"BINDERS:Royl Blu, 1, clear view overlay front/back/spine, O ring, 120pt-Maxtile solid construction"</f>
        <v>BINDERS:Royl Blu, 1, clear view overlay front/back/spine, O ring, 120pt-Maxtile solid construction</v>
      </c>
      <c r="G45" s="3" t="str">
        <f t="shared" si="0"/>
        <v>EA</v>
      </c>
      <c r="H45" s="7">
        <v>4.21</v>
      </c>
      <c r="I45" s="2" t="str">
        <f t="shared" si="1"/>
        <v>44122003</v>
      </c>
      <c r="J45" s="10" t="s">
        <v>76</v>
      </c>
    </row>
    <row r="46" spans="1:10" ht="39">
      <c r="A46" s="24" t="s">
        <v>27</v>
      </c>
      <c r="B46" s="21" t="s">
        <v>325</v>
      </c>
      <c r="C46" s="21">
        <v>3201</v>
      </c>
      <c r="D46" s="21">
        <v>45</v>
      </c>
      <c r="E46" s="21" t="str">
        <f>"1000013332"</f>
        <v>1000013332</v>
      </c>
      <c r="F46" s="21" t="str">
        <f>"BINDERS:Red, 1, clear view overlay front/back/spine, O ring, 120pt-Maxtile solid construction"</f>
        <v>BINDERS:Red, 1, clear view overlay front/back/spine, O ring, 120pt-Maxtile solid construction</v>
      </c>
      <c r="G46" s="22" t="str">
        <f t="shared" si="0"/>
        <v>EA</v>
      </c>
      <c r="H46" s="23">
        <v>4.21</v>
      </c>
      <c r="I46" s="21" t="str">
        <f t="shared" si="1"/>
        <v>44122003</v>
      </c>
      <c r="J46" s="25" t="s">
        <v>76</v>
      </c>
    </row>
    <row r="47" spans="1:10" ht="39">
      <c r="A47" s="9" t="s">
        <v>27</v>
      </c>
      <c r="B47" s="2" t="s">
        <v>325</v>
      </c>
      <c r="C47" s="2">
        <v>3201</v>
      </c>
      <c r="D47" s="2">
        <v>46</v>
      </c>
      <c r="E47" s="2" t="str">
        <f>"1000013333"</f>
        <v>1000013333</v>
      </c>
      <c r="F47" s="2" t="str">
        <f>"BINDERS:Wht, 1, clear view overlay front/back/spine, O ring, 120pt-Maxtile solid construction"</f>
        <v>BINDERS:Wht, 1, clear view overlay front/back/spine, O ring, 120pt-Maxtile solid construction</v>
      </c>
      <c r="G47" s="3" t="str">
        <f t="shared" si="0"/>
        <v>EA</v>
      </c>
      <c r="H47" s="7">
        <v>4.21</v>
      </c>
      <c r="I47" s="2" t="str">
        <f t="shared" si="1"/>
        <v>44122003</v>
      </c>
      <c r="J47" s="10" t="s">
        <v>76</v>
      </c>
    </row>
    <row r="48" spans="1:10" ht="39">
      <c r="A48" s="24" t="s">
        <v>27</v>
      </c>
      <c r="B48" s="21" t="s">
        <v>325</v>
      </c>
      <c r="C48" s="21">
        <v>3201</v>
      </c>
      <c r="D48" s="21">
        <v>47</v>
      </c>
      <c r="E48" s="21" t="str">
        <f>"1000013334"</f>
        <v>1000013334</v>
      </c>
      <c r="F48" s="21" t="str">
        <f>"BINDERS:Lt Gry, 1, clear view overlay front/back/spine, O ring, 120pt-Maxtile solid construction"</f>
        <v>BINDERS:Lt Gry, 1, clear view overlay front/back/spine, O ring, 120pt-Maxtile solid construction</v>
      </c>
      <c r="G48" s="22" t="str">
        <f t="shared" si="0"/>
        <v>EA</v>
      </c>
      <c r="H48" s="23">
        <v>4.21</v>
      </c>
      <c r="I48" s="21" t="str">
        <f t="shared" si="1"/>
        <v>44122003</v>
      </c>
      <c r="J48" s="25" t="s">
        <v>76</v>
      </c>
    </row>
    <row r="49" spans="1:10" ht="39">
      <c r="A49" s="9" t="s">
        <v>27</v>
      </c>
      <c r="B49" s="2" t="s">
        <v>325</v>
      </c>
      <c r="C49" s="2">
        <v>3201</v>
      </c>
      <c r="D49" s="2">
        <v>48</v>
      </c>
      <c r="E49" s="2" t="str">
        <f>"1000013335"</f>
        <v>1000013335</v>
      </c>
      <c r="F49" s="2" t="str">
        <f>"BINDERS:Orng, 1, clear view overlay front/back/spine, O ring, 120pt-Maxtile solid construction"</f>
        <v>BINDERS:Orng, 1, clear view overlay front/back/spine, O ring, 120pt-Maxtile solid construction</v>
      </c>
      <c r="G49" s="3" t="str">
        <f t="shared" si="0"/>
        <v>EA</v>
      </c>
      <c r="H49" s="7">
        <v>4.21</v>
      </c>
      <c r="I49" s="2" t="str">
        <f t="shared" si="1"/>
        <v>44122003</v>
      </c>
      <c r="J49" s="10" t="s">
        <v>76</v>
      </c>
    </row>
    <row r="50" spans="1:10" ht="39">
      <c r="A50" s="24" t="s">
        <v>27</v>
      </c>
      <c r="B50" s="21" t="s">
        <v>325</v>
      </c>
      <c r="C50" s="21">
        <v>3201</v>
      </c>
      <c r="D50" s="21">
        <v>49</v>
      </c>
      <c r="E50" s="21" t="str">
        <f>"1000013364"</f>
        <v>1000013364</v>
      </c>
      <c r="F50" s="21" t="str">
        <f>"BINDERS:Yel, 1, clear view overlay front/back/spine, O ring, 120pt-Maxtile solid construction"</f>
        <v>BINDERS:Yel, 1, clear view overlay front/back/spine, O ring, 120pt-Maxtile solid construction</v>
      </c>
      <c r="G50" s="22" t="str">
        <f t="shared" ref="G50:G113" si="2">"EA"</f>
        <v>EA</v>
      </c>
      <c r="H50" s="23">
        <v>4.21</v>
      </c>
      <c r="I50" s="21" t="str">
        <f t="shared" si="1"/>
        <v>44122003</v>
      </c>
      <c r="J50" s="25" t="s">
        <v>76</v>
      </c>
    </row>
    <row r="51" spans="1:10" ht="39">
      <c r="A51" s="9" t="s">
        <v>27</v>
      </c>
      <c r="B51" s="2" t="s">
        <v>325</v>
      </c>
      <c r="C51" s="2">
        <v>3201</v>
      </c>
      <c r="D51" s="2">
        <v>50</v>
      </c>
      <c r="E51" s="2" t="str">
        <f>"1000013365"</f>
        <v>1000013365</v>
      </c>
      <c r="F51" s="2" t="str">
        <f>"BINDERS:Grn, 1, clear view overlay front/back/spine, O ring, 120pt-Maxtile solid construction"</f>
        <v>BINDERS:Grn, 1, clear view overlay front/back/spine, O ring, 120pt-Maxtile solid construction</v>
      </c>
      <c r="G51" s="3" t="str">
        <f t="shared" si="2"/>
        <v>EA</v>
      </c>
      <c r="H51" s="7">
        <v>4.21</v>
      </c>
      <c r="I51" s="2" t="str">
        <f t="shared" si="1"/>
        <v>44122003</v>
      </c>
      <c r="J51" s="10" t="s">
        <v>76</v>
      </c>
    </row>
    <row r="52" spans="1:10" ht="39">
      <c r="A52" s="24" t="s">
        <v>27</v>
      </c>
      <c r="B52" s="21" t="s">
        <v>325</v>
      </c>
      <c r="C52" s="21">
        <v>3201</v>
      </c>
      <c r="D52" s="21">
        <v>51</v>
      </c>
      <c r="E52" s="21" t="str">
        <f>"1000013338"</f>
        <v>1000013338</v>
      </c>
      <c r="F52" s="21" t="str">
        <f>"BINDERS:Burg, 1, clear view overlay front/back/spine, O ring, 120pt-Maxtile solid construction"</f>
        <v>BINDERS:Burg, 1, clear view overlay front/back/spine, O ring, 120pt-Maxtile solid construction</v>
      </c>
      <c r="G52" s="22" t="str">
        <f t="shared" si="2"/>
        <v>EA</v>
      </c>
      <c r="H52" s="23">
        <v>4.21</v>
      </c>
      <c r="I52" s="21" t="str">
        <f t="shared" si="1"/>
        <v>44122003</v>
      </c>
      <c r="J52" s="25" t="s">
        <v>76</v>
      </c>
    </row>
    <row r="53" spans="1:10" ht="39">
      <c r="A53" s="9" t="s">
        <v>27</v>
      </c>
      <c r="B53" s="2" t="s">
        <v>325</v>
      </c>
      <c r="C53" s="2">
        <v>3201</v>
      </c>
      <c r="D53" s="2">
        <v>52</v>
      </c>
      <c r="E53" s="2" t="str">
        <f>"1000013339"</f>
        <v>1000013339</v>
      </c>
      <c r="F53" s="2" t="str">
        <f>"BINDERS:Navy, 1, clear view overlay front/back/spine, O ring, 120pt-Maxtile solid construction"</f>
        <v>BINDERS:Navy, 1, clear view overlay front/back/spine, O ring, 120pt-Maxtile solid construction</v>
      </c>
      <c r="G53" s="3" t="str">
        <f t="shared" si="2"/>
        <v>EA</v>
      </c>
      <c r="H53" s="7">
        <v>4.21</v>
      </c>
      <c r="I53" s="2" t="str">
        <f t="shared" si="1"/>
        <v>44122003</v>
      </c>
      <c r="J53" s="10" t="s">
        <v>76</v>
      </c>
    </row>
    <row r="54" spans="1:10" ht="39">
      <c r="A54" s="24" t="s">
        <v>27</v>
      </c>
      <c r="B54" s="21" t="s">
        <v>325</v>
      </c>
      <c r="C54" s="21">
        <v>3201</v>
      </c>
      <c r="D54" s="21">
        <v>53</v>
      </c>
      <c r="E54" s="21" t="str">
        <f>"1000013490"</f>
        <v>1000013490</v>
      </c>
      <c r="F54" s="21" t="str">
        <f>"BINDERS:Purple, 1, clear view overlay front/back/spine, O ring, 120pt-Maxtile solid construction"</f>
        <v>BINDERS:Purple, 1, clear view overlay front/back/spine, O ring, 120pt-Maxtile solid construction</v>
      </c>
      <c r="G54" s="22" t="str">
        <f t="shared" si="2"/>
        <v>EA</v>
      </c>
      <c r="H54" s="23">
        <v>4.21</v>
      </c>
      <c r="I54" s="21" t="str">
        <f t="shared" si="1"/>
        <v>44122003</v>
      </c>
      <c r="J54" s="25" t="s">
        <v>76</v>
      </c>
    </row>
    <row r="55" spans="1:10" ht="39">
      <c r="A55" s="9" t="s">
        <v>27</v>
      </c>
      <c r="B55" s="2" t="s">
        <v>325</v>
      </c>
      <c r="C55" s="2">
        <v>3201</v>
      </c>
      <c r="D55" s="2">
        <v>54</v>
      </c>
      <c r="E55" s="2" t="str">
        <f>"1000013340"</f>
        <v>1000013340</v>
      </c>
      <c r="F55" s="2" t="str">
        <f>"BINDERS:Blk, 1.5 size, O ring, 120pt-Maxtile solid construction"</f>
        <v>BINDERS:Blk, 1.5 size, O ring, 120pt-Maxtile solid construction</v>
      </c>
      <c r="G55" s="3" t="str">
        <f t="shared" si="2"/>
        <v>EA</v>
      </c>
      <c r="H55" s="7">
        <v>4.4000000000000004</v>
      </c>
      <c r="I55" s="2" t="str">
        <f t="shared" si="1"/>
        <v>44122003</v>
      </c>
      <c r="J55" s="10" t="s">
        <v>76</v>
      </c>
    </row>
    <row r="56" spans="1:10" ht="39">
      <c r="A56" s="24" t="s">
        <v>27</v>
      </c>
      <c r="B56" s="21" t="s">
        <v>325</v>
      </c>
      <c r="C56" s="21">
        <v>3201</v>
      </c>
      <c r="D56" s="21">
        <v>55</v>
      </c>
      <c r="E56" s="21" t="str">
        <f>"1000013341"</f>
        <v>1000013341</v>
      </c>
      <c r="F56" s="21" t="str">
        <f>"BINDERS:Royl Blu, 1.5 size, O ring, 120pt-Maxtile solid construction"</f>
        <v>BINDERS:Royl Blu, 1.5 size, O ring, 120pt-Maxtile solid construction</v>
      </c>
      <c r="G56" s="22" t="str">
        <f t="shared" si="2"/>
        <v>EA</v>
      </c>
      <c r="H56" s="23">
        <v>4.4000000000000004</v>
      </c>
      <c r="I56" s="21" t="str">
        <f t="shared" si="1"/>
        <v>44122003</v>
      </c>
      <c r="J56" s="25" t="s">
        <v>76</v>
      </c>
    </row>
    <row r="57" spans="1:10" ht="39">
      <c r="A57" s="9" t="s">
        <v>27</v>
      </c>
      <c r="B57" s="2" t="s">
        <v>325</v>
      </c>
      <c r="C57" s="2">
        <v>3201</v>
      </c>
      <c r="D57" s="2">
        <v>56</v>
      </c>
      <c r="E57" s="2" t="str">
        <f>"1000013342"</f>
        <v>1000013342</v>
      </c>
      <c r="F57" s="2" t="str">
        <f>"BINDERS:Red, 1.5 size, O ring, 120pt-Maxtile solid construction"</f>
        <v>BINDERS:Red, 1.5 size, O ring, 120pt-Maxtile solid construction</v>
      </c>
      <c r="G57" s="3" t="str">
        <f t="shared" si="2"/>
        <v>EA</v>
      </c>
      <c r="H57" s="7">
        <v>4.4000000000000004</v>
      </c>
      <c r="I57" s="2" t="str">
        <f t="shared" si="1"/>
        <v>44122003</v>
      </c>
      <c r="J57" s="10" t="s">
        <v>76</v>
      </c>
    </row>
    <row r="58" spans="1:10" ht="39">
      <c r="A58" s="24" t="s">
        <v>27</v>
      </c>
      <c r="B58" s="21" t="s">
        <v>325</v>
      </c>
      <c r="C58" s="21">
        <v>3201</v>
      </c>
      <c r="D58" s="21">
        <v>57</v>
      </c>
      <c r="E58" s="21" t="str">
        <f>"1000013343"</f>
        <v>1000013343</v>
      </c>
      <c r="F58" s="21" t="str">
        <f>"BINDERS:Wht, 1.5 size, O ring, 120pt-Maxtile solid construction"</f>
        <v>BINDERS:Wht, 1.5 size, O ring, 120pt-Maxtile solid construction</v>
      </c>
      <c r="G58" s="22" t="str">
        <f t="shared" si="2"/>
        <v>EA</v>
      </c>
      <c r="H58" s="23">
        <v>4.4000000000000004</v>
      </c>
      <c r="I58" s="21" t="str">
        <f t="shared" si="1"/>
        <v>44122003</v>
      </c>
      <c r="J58" s="25" t="s">
        <v>76</v>
      </c>
    </row>
    <row r="59" spans="1:10" ht="39">
      <c r="A59" s="9" t="s">
        <v>27</v>
      </c>
      <c r="B59" s="2" t="s">
        <v>325</v>
      </c>
      <c r="C59" s="2">
        <v>3201</v>
      </c>
      <c r="D59" s="2">
        <v>58</v>
      </c>
      <c r="E59" s="2" t="str">
        <f>"1000013344"</f>
        <v>1000013344</v>
      </c>
      <c r="F59" s="2" t="str">
        <f>"BINDERS:Lt Gry, 1.5 size, O ring, 120pt-Maxtile solid construction"</f>
        <v>BINDERS:Lt Gry, 1.5 size, O ring, 120pt-Maxtile solid construction</v>
      </c>
      <c r="G59" s="3" t="str">
        <f t="shared" si="2"/>
        <v>EA</v>
      </c>
      <c r="H59" s="7">
        <v>4.4000000000000004</v>
      </c>
      <c r="I59" s="2" t="str">
        <f t="shared" si="1"/>
        <v>44122003</v>
      </c>
      <c r="J59" s="10" t="s">
        <v>76</v>
      </c>
    </row>
    <row r="60" spans="1:10" ht="39">
      <c r="A60" s="24" t="s">
        <v>27</v>
      </c>
      <c r="B60" s="21" t="s">
        <v>325</v>
      </c>
      <c r="C60" s="21">
        <v>3201</v>
      </c>
      <c r="D60" s="21">
        <v>59</v>
      </c>
      <c r="E60" s="21" t="str">
        <f>"1000013345"</f>
        <v>1000013345</v>
      </c>
      <c r="F60" s="21" t="str">
        <f>"BINDERS:Orng, 1.5 size, O ring, 120pt-Maxtile solid construction"</f>
        <v>BINDERS:Orng, 1.5 size, O ring, 120pt-Maxtile solid construction</v>
      </c>
      <c r="G60" s="22" t="str">
        <f t="shared" si="2"/>
        <v>EA</v>
      </c>
      <c r="H60" s="23">
        <v>4.4000000000000004</v>
      </c>
      <c r="I60" s="21" t="str">
        <f t="shared" si="1"/>
        <v>44122003</v>
      </c>
      <c r="J60" s="25" t="s">
        <v>76</v>
      </c>
    </row>
    <row r="61" spans="1:10" ht="39">
      <c r="A61" s="9" t="s">
        <v>27</v>
      </c>
      <c r="B61" s="2" t="s">
        <v>325</v>
      </c>
      <c r="C61" s="2">
        <v>3201</v>
      </c>
      <c r="D61" s="2">
        <v>60</v>
      </c>
      <c r="E61" s="2" t="str">
        <f>"1000013346"</f>
        <v>1000013346</v>
      </c>
      <c r="F61" s="2" t="str">
        <f>"BINDERS:Yel, 1.5 size, O ring, 120pt-Maxtile solid construction"</f>
        <v>BINDERS:Yel, 1.5 size, O ring, 120pt-Maxtile solid construction</v>
      </c>
      <c r="G61" s="3" t="str">
        <f t="shared" si="2"/>
        <v>EA</v>
      </c>
      <c r="H61" s="7">
        <v>4.4000000000000004</v>
      </c>
      <c r="I61" s="2" t="str">
        <f t="shared" si="1"/>
        <v>44122003</v>
      </c>
      <c r="J61" s="10" t="s">
        <v>76</v>
      </c>
    </row>
    <row r="62" spans="1:10" ht="39">
      <c r="A62" s="24" t="s">
        <v>27</v>
      </c>
      <c r="B62" s="21" t="s">
        <v>325</v>
      </c>
      <c r="C62" s="21">
        <v>3201</v>
      </c>
      <c r="D62" s="21">
        <v>61</v>
      </c>
      <c r="E62" s="21" t="str">
        <f>"1000013347"</f>
        <v>1000013347</v>
      </c>
      <c r="F62" s="21" t="str">
        <f>"BINDERS:Grn, 1.5 size, O ring, 120pt-Maxtile solid construction"</f>
        <v>BINDERS:Grn, 1.5 size, O ring, 120pt-Maxtile solid construction</v>
      </c>
      <c r="G62" s="22" t="str">
        <f t="shared" si="2"/>
        <v>EA</v>
      </c>
      <c r="H62" s="23">
        <v>4.4000000000000004</v>
      </c>
      <c r="I62" s="21" t="str">
        <f t="shared" si="1"/>
        <v>44122003</v>
      </c>
      <c r="J62" s="25" t="s">
        <v>76</v>
      </c>
    </row>
    <row r="63" spans="1:10" ht="39">
      <c r="A63" s="9" t="s">
        <v>27</v>
      </c>
      <c r="B63" s="2" t="s">
        <v>325</v>
      </c>
      <c r="C63" s="2">
        <v>3201</v>
      </c>
      <c r="D63" s="2">
        <v>62</v>
      </c>
      <c r="E63" s="2" t="str">
        <f>"1000013348"</f>
        <v>1000013348</v>
      </c>
      <c r="F63" s="2" t="str">
        <f>"BINDERS:Burg, 1.5 size, O ring, 120pt-Maxtile solid construction"</f>
        <v>BINDERS:Burg, 1.5 size, O ring, 120pt-Maxtile solid construction</v>
      </c>
      <c r="G63" s="3" t="str">
        <f t="shared" si="2"/>
        <v>EA</v>
      </c>
      <c r="H63" s="7">
        <v>4.4000000000000004</v>
      </c>
      <c r="I63" s="2" t="str">
        <f t="shared" si="1"/>
        <v>44122003</v>
      </c>
      <c r="J63" s="10" t="s">
        <v>76</v>
      </c>
    </row>
    <row r="64" spans="1:10" ht="39">
      <c r="A64" s="24" t="s">
        <v>27</v>
      </c>
      <c r="B64" s="21" t="s">
        <v>325</v>
      </c>
      <c r="C64" s="21">
        <v>3201</v>
      </c>
      <c r="D64" s="21">
        <v>63</v>
      </c>
      <c r="E64" s="21" t="str">
        <f>"1000013349"</f>
        <v>1000013349</v>
      </c>
      <c r="F64" s="21" t="str">
        <f>"BINDERS:Navy, 1.5 size, O ring, 120pt-Maxtile solid construction"</f>
        <v>BINDERS:Navy, 1.5 size, O ring, 120pt-Maxtile solid construction</v>
      </c>
      <c r="G64" s="22" t="str">
        <f t="shared" si="2"/>
        <v>EA</v>
      </c>
      <c r="H64" s="23">
        <v>4.4000000000000004</v>
      </c>
      <c r="I64" s="21" t="str">
        <f t="shared" si="1"/>
        <v>44122003</v>
      </c>
      <c r="J64" s="25" t="s">
        <v>76</v>
      </c>
    </row>
    <row r="65" spans="1:10" ht="39">
      <c r="A65" s="9" t="s">
        <v>27</v>
      </c>
      <c r="B65" s="2" t="s">
        <v>325</v>
      </c>
      <c r="C65" s="2">
        <v>3201</v>
      </c>
      <c r="D65" s="2">
        <v>64</v>
      </c>
      <c r="E65" s="2" t="str">
        <f>"1000013513"</f>
        <v>1000013513</v>
      </c>
      <c r="F65" s="2" t="str">
        <f>"BINDERS:Purple, 1.5 size, O ring, 120pt-Maxtile solid construction"</f>
        <v>BINDERS:Purple, 1.5 size, O ring, 120pt-Maxtile solid construction</v>
      </c>
      <c r="G65" s="3" t="str">
        <f t="shared" si="2"/>
        <v>EA</v>
      </c>
      <c r="H65" s="7">
        <v>4.4000000000000004</v>
      </c>
      <c r="I65" s="2" t="str">
        <f t="shared" si="1"/>
        <v>44122003</v>
      </c>
      <c r="J65" s="10" t="s">
        <v>76</v>
      </c>
    </row>
    <row r="66" spans="1:10" ht="39">
      <c r="A66" s="24" t="s">
        <v>27</v>
      </c>
      <c r="B66" s="21" t="s">
        <v>325</v>
      </c>
      <c r="C66" s="21">
        <v>3201</v>
      </c>
      <c r="D66" s="21">
        <v>65</v>
      </c>
      <c r="E66" s="21" t="str">
        <f>"1000013480"</f>
        <v>1000013480</v>
      </c>
      <c r="F66" s="21" t="str">
        <f>"BINDERS:Royl Blu, 1.5, clear view overlay ,deluxe, O ring, 120pt-Maxtile solid construction"</f>
        <v>BINDERS:Royl Blu, 1.5, clear view overlay ,deluxe, O ring, 120pt-Maxtile solid construction</v>
      </c>
      <c r="G66" s="22" t="str">
        <f t="shared" si="2"/>
        <v>EA</v>
      </c>
      <c r="H66" s="23">
        <v>5.9</v>
      </c>
      <c r="I66" s="21" t="str">
        <f t="shared" ref="I66:I129" si="3">"44122003"</f>
        <v>44122003</v>
      </c>
      <c r="J66" s="25" t="s">
        <v>76</v>
      </c>
    </row>
    <row r="67" spans="1:10" ht="39">
      <c r="A67" s="9" t="s">
        <v>27</v>
      </c>
      <c r="B67" s="2" t="s">
        <v>325</v>
      </c>
      <c r="C67" s="2">
        <v>3201</v>
      </c>
      <c r="D67" s="2">
        <v>66</v>
      </c>
      <c r="E67" s="2" t="str">
        <f>"1000013481"</f>
        <v>1000013481</v>
      </c>
      <c r="F67" s="2" t="str">
        <f>"BINDERS:Red, 1.5, clear view overlay,deluxe, O ring, 120pt-Maxtile solid construction"</f>
        <v>BINDERS:Red, 1.5, clear view overlay,deluxe, O ring, 120pt-Maxtile solid construction</v>
      </c>
      <c r="G67" s="3" t="str">
        <f t="shared" si="2"/>
        <v>EA</v>
      </c>
      <c r="H67" s="7">
        <v>5.9</v>
      </c>
      <c r="I67" s="2" t="str">
        <f t="shared" si="3"/>
        <v>44122003</v>
      </c>
      <c r="J67" s="10" t="s">
        <v>76</v>
      </c>
    </row>
    <row r="68" spans="1:10" ht="39">
      <c r="A68" s="24" t="s">
        <v>27</v>
      </c>
      <c r="B68" s="21" t="s">
        <v>325</v>
      </c>
      <c r="C68" s="21">
        <v>3201</v>
      </c>
      <c r="D68" s="21">
        <v>67</v>
      </c>
      <c r="E68" s="21" t="str">
        <f>"1000013482"</f>
        <v>1000013482</v>
      </c>
      <c r="F68" s="21" t="str">
        <f>"BINDERS:Wht, 1.5, clear view overlay ,deluxe, O ring, 120pt-Maxtile solid construction"</f>
        <v>BINDERS:Wht, 1.5, clear view overlay ,deluxe, O ring, 120pt-Maxtile solid construction</v>
      </c>
      <c r="G68" s="22" t="str">
        <f t="shared" si="2"/>
        <v>EA</v>
      </c>
      <c r="H68" s="23">
        <v>5.9</v>
      </c>
      <c r="I68" s="21" t="str">
        <f t="shared" si="3"/>
        <v>44122003</v>
      </c>
      <c r="J68" s="25" t="s">
        <v>76</v>
      </c>
    </row>
    <row r="69" spans="1:10" ht="39">
      <c r="A69" s="9" t="s">
        <v>27</v>
      </c>
      <c r="B69" s="2" t="s">
        <v>325</v>
      </c>
      <c r="C69" s="2">
        <v>3201</v>
      </c>
      <c r="D69" s="2">
        <v>68</v>
      </c>
      <c r="E69" s="2" t="str">
        <f>"1000013483"</f>
        <v>1000013483</v>
      </c>
      <c r="F69" s="2" t="str">
        <f>"BINDERS:Lt Gray, 1.5, clear view overlay ,deluxe, O ring, 120pt-Maxtile solid construction"</f>
        <v>BINDERS:Lt Gray, 1.5, clear view overlay ,deluxe, O ring, 120pt-Maxtile solid construction</v>
      </c>
      <c r="G69" s="3" t="str">
        <f t="shared" si="2"/>
        <v>EA</v>
      </c>
      <c r="H69" s="7">
        <v>5.9</v>
      </c>
      <c r="I69" s="2" t="str">
        <f t="shared" si="3"/>
        <v>44122003</v>
      </c>
      <c r="J69" s="10" t="s">
        <v>76</v>
      </c>
    </row>
    <row r="70" spans="1:10" ht="39">
      <c r="A70" s="24" t="s">
        <v>27</v>
      </c>
      <c r="B70" s="21" t="s">
        <v>325</v>
      </c>
      <c r="C70" s="21">
        <v>3201</v>
      </c>
      <c r="D70" s="21">
        <v>69</v>
      </c>
      <c r="E70" s="21" t="str">
        <f>"1000013484"</f>
        <v>1000013484</v>
      </c>
      <c r="F70" s="21" t="str">
        <f>"BINDERS:Orng, 1.5, clear view overlay ,deluxe, O ring, 120pt-Maxtile solid construction"</f>
        <v>BINDERS:Orng, 1.5, clear view overlay ,deluxe, O ring, 120pt-Maxtile solid construction</v>
      </c>
      <c r="G70" s="22" t="str">
        <f t="shared" si="2"/>
        <v>EA</v>
      </c>
      <c r="H70" s="23">
        <v>5.9</v>
      </c>
      <c r="I70" s="21" t="str">
        <f t="shared" si="3"/>
        <v>44122003</v>
      </c>
      <c r="J70" s="25" t="s">
        <v>76</v>
      </c>
    </row>
    <row r="71" spans="1:10" ht="39">
      <c r="A71" s="9" t="s">
        <v>27</v>
      </c>
      <c r="B71" s="2" t="s">
        <v>325</v>
      </c>
      <c r="C71" s="2">
        <v>3201</v>
      </c>
      <c r="D71" s="2">
        <v>70</v>
      </c>
      <c r="E71" s="2" t="str">
        <f>"1000013485"</f>
        <v>1000013485</v>
      </c>
      <c r="F71" s="2" t="str">
        <f>"BINDERS:Yel, 1.5, clear view overlay ,deluxe, O ring, 120pt-Maxtile solid construction"</f>
        <v>BINDERS:Yel, 1.5, clear view overlay ,deluxe, O ring, 120pt-Maxtile solid construction</v>
      </c>
      <c r="G71" s="3" t="str">
        <f t="shared" si="2"/>
        <v>EA</v>
      </c>
      <c r="H71" s="7">
        <v>5.9</v>
      </c>
      <c r="I71" s="2" t="str">
        <f t="shared" si="3"/>
        <v>44122003</v>
      </c>
      <c r="J71" s="10" t="s">
        <v>76</v>
      </c>
    </row>
    <row r="72" spans="1:10" ht="39">
      <c r="A72" s="24" t="s">
        <v>27</v>
      </c>
      <c r="B72" s="21" t="s">
        <v>325</v>
      </c>
      <c r="C72" s="21">
        <v>3201</v>
      </c>
      <c r="D72" s="21">
        <v>71</v>
      </c>
      <c r="E72" s="21" t="str">
        <f>"1000013486"</f>
        <v>1000013486</v>
      </c>
      <c r="F72" s="21" t="str">
        <f>"BINDERS:Grn, 1.5, clear view overlay ,deluxe, O ring, 120pt-Maxtile solid construction"</f>
        <v>BINDERS:Grn, 1.5, clear view overlay ,deluxe, O ring, 120pt-Maxtile solid construction</v>
      </c>
      <c r="G72" s="22" t="str">
        <f t="shared" si="2"/>
        <v>EA</v>
      </c>
      <c r="H72" s="23">
        <v>5.9</v>
      </c>
      <c r="I72" s="21" t="str">
        <f t="shared" si="3"/>
        <v>44122003</v>
      </c>
      <c r="J72" s="25" t="s">
        <v>76</v>
      </c>
    </row>
    <row r="73" spans="1:10" ht="39">
      <c r="A73" s="9" t="s">
        <v>27</v>
      </c>
      <c r="B73" s="2" t="s">
        <v>325</v>
      </c>
      <c r="C73" s="2">
        <v>3201</v>
      </c>
      <c r="D73" s="2">
        <v>72</v>
      </c>
      <c r="E73" s="2" t="str">
        <f>"1000013487"</f>
        <v>1000013487</v>
      </c>
      <c r="F73" s="2" t="str">
        <f>"BINDERS:Burg, 1.5, clear view overlay ,deluxe, O ring, 120pt-Maxtile solid construction"</f>
        <v>BINDERS:Burg, 1.5, clear view overlay ,deluxe, O ring, 120pt-Maxtile solid construction</v>
      </c>
      <c r="G73" s="3" t="str">
        <f t="shared" si="2"/>
        <v>EA</v>
      </c>
      <c r="H73" s="7">
        <v>5.9</v>
      </c>
      <c r="I73" s="2" t="str">
        <f t="shared" si="3"/>
        <v>44122003</v>
      </c>
      <c r="J73" s="10" t="s">
        <v>76</v>
      </c>
    </row>
    <row r="74" spans="1:10" ht="39">
      <c r="A74" s="24" t="s">
        <v>27</v>
      </c>
      <c r="B74" s="21" t="s">
        <v>325</v>
      </c>
      <c r="C74" s="21">
        <v>3201</v>
      </c>
      <c r="D74" s="21">
        <v>73</v>
      </c>
      <c r="E74" s="21" t="str">
        <f>"1000013488"</f>
        <v>1000013488</v>
      </c>
      <c r="F74" s="21" t="str">
        <f>"BINDERS:Navy, 1.5, clear view overlay ,deluxe, O ring, 120pt-Maxtile solid construction"</f>
        <v>BINDERS:Navy, 1.5, clear view overlay ,deluxe, O ring, 120pt-Maxtile solid construction</v>
      </c>
      <c r="G74" s="22" t="str">
        <f t="shared" si="2"/>
        <v>EA</v>
      </c>
      <c r="H74" s="23">
        <v>5.9</v>
      </c>
      <c r="I74" s="21" t="str">
        <f t="shared" si="3"/>
        <v>44122003</v>
      </c>
      <c r="J74" s="25" t="s">
        <v>76</v>
      </c>
    </row>
    <row r="75" spans="1:10" ht="39">
      <c r="A75" s="9" t="s">
        <v>27</v>
      </c>
      <c r="B75" s="2" t="s">
        <v>325</v>
      </c>
      <c r="C75" s="2">
        <v>3201</v>
      </c>
      <c r="D75" s="2">
        <v>74</v>
      </c>
      <c r="E75" s="2" t="str">
        <f>"1000013514"</f>
        <v>1000013514</v>
      </c>
      <c r="F75" s="2" t="str">
        <f>"BINDERS:Purple, 1.5, clear view overlay front/back/spine, O ring, 120pt-Maxtile solid construction"</f>
        <v>BINDERS:Purple, 1.5, clear view overlay front/back/spine, O ring, 120pt-Maxtile solid construction</v>
      </c>
      <c r="G75" s="3" t="str">
        <f t="shared" si="2"/>
        <v>EA</v>
      </c>
      <c r="H75" s="7">
        <v>5.9</v>
      </c>
      <c r="I75" s="2" t="str">
        <f t="shared" si="3"/>
        <v>44122003</v>
      </c>
      <c r="J75" s="10" t="s">
        <v>76</v>
      </c>
    </row>
    <row r="76" spans="1:10" ht="39">
      <c r="A76" s="24" t="s">
        <v>27</v>
      </c>
      <c r="B76" s="21" t="s">
        <v>325</v>
      </c>
      <c r="C76" s="21">
        <v>3201</v>
      </c>
      <c r="D76" s="21">
        <v>75</v>
      </c>
      <c r="E76" s="21" t="str">
        <f>"1000013378"</f>
        <v>1000013378</v>
      </c>
      <c r="F76" s="21" t="str">
        <f>"BINDERS:Blk, 2 size, O ring, 120pt-Maxtile solid construction"</f>
        <v>BINDERS:Blk, 2 size, O ring, 120pt-Maxtile solid construction</v>
      </c>
      <c r="G76" s="22" t="str">
        <f t="shared" si="2"/>
        <v>EA</v>
      </c>
      <c r="H76" s="23">
        <v>6.51</v>
      </c>
      <c r="I76" s="21" t="str">
        <f t="shared" si="3"/>
        <v>44122003</v>
      </c>
      <c r="J76" s="25" t="s">
        <v>76</v>
      </c>
    </row>
    <row r="77" spans="1:10" ht="39">
      <c r="A77" s="9" t="s">
        <v>27</v>
      </c>
      <c r="B77" s="2" t="s">
        <v>325</v>
      </c>
      <c r="C77" s="2">
        <v>3201</v>
      </c>
      <c r="D77" s="2">
        <v>76</v>
      </c>
      <c r="E77" s="2" t="str">
        <f>"1000013379"</f>
        <v>1000013379</v>
      </c>
      <c r="F77" s="2" t="str">
        <f>"BINDERS:Royl Blu, 2 size, O ring, 120pt-Maxtile solid construction"</f>
        <v>BINDERS:Royl Blu, 2 size, O ring, 120pt-Maxtile solid construction</v>
      </c>
      <c r="G77" s="3" t="str">
        <f t="shared" si="2"/>
        <v>EA</v>
      </c>
      <c r="H77" s="7">
        <v>6.51</v>
      </c>
      <c r="I77" s="2" t="str">
        <f t="shared" si="3"/>
        <v>44122003</v>
      </c>
      <c r="J77" s="10" t="s">
        <v>76</v>
      </c>
    </row>
    <row r="78" spans="1:10" ht="39">
      <c r="A78" s="24" t="s">
        <v>27</v>
      </c>
      <c r="B78" s="21" t="s">
        <v>325</v>
      </c>
      <c r="C78" s="21">
        <v>3201</v>
      </c>
      <c r="D78" s="21">
        <v>77</v>
      </c>
      <c r="E78" s="21" t="str">
        <f>"1000013352"</f>
        <v>1000013352</v>
      </c>
      <c r="F78" s="21" t="str">
        <f>"BINDERS:Red, 2 size, O ring, 120pt-Maxtile solid construction"</f>
        <v>BINDERS:Red, 2 size, O ring, 120pt-Maxtile solid construction</v>
      </c>
      <c r="G78" s="22" t="str">
        <f t="shared" si="2"/>
        <v>EA</v>
      </c>
      <c r="H78" s="23">
        <v>6.51</v>
      </c>
      <c r="I78" s="21" t="str">
        <f t="shared" si="3"/>
        <v>44122003</v>
      </c>
      <c r="J78" s="25" t="s">
        <v>76</v>
      </c>
    </row>
    <row r="79" spans="1:10" ht="39">
      <c r="A79" s="9" t="s">
        <v>27</v>
      </c>
      <c r="B79" s="2" t="s">
        <v>325</v>
      </c>
      <c r="C79" s="2">
        <v>3201</v>
      </c>
      <c r="D79" s="2">
        <v>78</v>
      </c>
      <c r="E79" s="2" t="str">
        <f>"1000013353"</f>
        <v>1000013353</v>
      </c>
      <c r="F79" s="2" t="str">
        <f>"BINDERS:Wht, 2 size, O ring, 120pt-Maxtile solid construction"</f>
        <v>BINDERS:Wht, 2 size, O ring, 120pt-Maxtile solid construction</v>
      </c>
      <c r="G79" s="3" t="str">
        <f t="shared" si="2"/>
        <v>EA</v>
      </c>
      <c r="H79" s="7">
        <v>6.51</v>
      </c>
      <c r="I79" s="2" t="str">
        <f t="shared" si="3"/>
        <v>44122003</v>
      </c>
      <c r="J79" s="10" t="s">
        <v>76</v>
      </c>
    </row>
    <row r="80" spans="1:10" ht="39">
      <c r="A80" s="24" t="s">
        <v>27</v>
      </c>
      <c r="B80" s="21" t="s">
        <v>325</v>
      </c>
      <c r="C80" s="21">
        <v>3201</v>
      </c>
      <c r="D80" s="21">
        <v>79</v>
      </c>
      <c r="E80" s="21" t="str">
        <f>"1000013354"</f>
        <v>1000013354</v>
      </c>
      <c r="F80" s="21" t="str">
        <f>"BINDERS:Lt Gry, 2 size, O ring, 120pt-Maxtile solid construction"</f>
        <v>BINDERS:Lt Gry, 2 size, O ring, 120pt-Maxtile solid construction</v>
      </c>
      <c r="G80" s="22" t="str">
        <f t="shared" si="2"/>
        <v>EA</v>
      </c>
      <c r="H80" s="23">
        <v>6.51</v>
      </c>
      <c r="I80" s="21" t="str">
        <f t="shared" si="3"/>
        <v>44122003</v>
      </c>
      <c r="J80" s="25" t="s">
        <v>76</v>
      </c>
    </row>
    <row r="81" spans="1:10" ht="39">
      <c r="A81" s="9" t="s">
        <v>27</v>
      </c>
      <c r="B81" s="2" t="s">
        <v>325</v>
      </c>
      <c r="C81" s="2">
        <v>3201</v>
      </c>
      <c r="D81" s="2">
        <v>80</v>
      </c>
      <c r="E81" s="2" t="str">
        <f>"1000013355"</f>
        <v>1000013355</v>
      </c>
      <c r="F81" s="2" t="str">
        <f>"BINDERS:Orng, 2 size, O ring, 120pt-Maxtile solid construction"</f>
        <v>BINDERS:Orng, 2 size, O ring, 120pt-Maxtile solid construction</v>
      </c>
      <c r="G81" s="3" t="str">
        <f t="shared" si="2"/>
        <v>EA</v>
      </c>
      <c r="H81" s="7">
        <v>6.51</v>
      </c>
      <c r="I81" s="2" t="str">
        <f t="shared" si="3"/>
        <v>44122003</v>
      </c>
      <c r="J81" s="10" t="s">
        <v>76</v>
      </c>
    </row>
    <row r="82" spans="1:10" ht="39">
      <c r="A82" s="24" t="s">
        <v>27</v>
      </c>
      <c r="B82" s="21" t="s">
        <v>325</v>
      </c>
      <c r="C82" s="21">
        <v>3201</v>
      </c>
      <c r="D82" s="21">
        <v>81</v>
      </c>
      <c r="E82" s="21" t="str">
        <f>"1000013356"</f>
        <v>1000013356</v>
      </c>
      <c r="F82" s="21" t="str">
        <f>"BINDERS:Yel, 2 size, O ring, 120pt-Maxtile solid construction"</f>
        <v>BINDERS:Yel, 2 size, O ring, 120pt-Maxtile solid construction</v>
      </c>
      <c r="G82" s="22" t="str">
        <f t="shared" si="2"/>
        <v>EA</v>
      </c>
      <c r="H82" s="23">
        <v>6.51</v>
      </c>
      <c r="I82" s="21" t="str">
        <f t="shared" si="3"/>
        <v>44122003</v>
      </c>
      <c r="J82" s="25" t="s">
        <v>76</v>
      </c>
    </row>
    <row r="83" spans="1:10" ht="39">
      <c r="A83" s="9" t="s">
        <v>27</v>
      </c>
      <c r="B83" s="2" t="s">
        <v>325</v>
      </c>
      <c r="C83" s="2">
        <v>3201</v>
      </c>
      <c r="D83" s="2">
        <v>82</v>
      </c>
      <c r="E83" s="2" t="str">
        <f>"1000013357"</f>
        <v>1000013357</v>
      </c>
      <c r="F83" s="2" t="str">
        <f>"BINDERS:Grn, 2 size, O ring, 120pt-Maxtile solid construction"</f>
        <v>BINDERS:Grn, 2 size, O ring, 120pt-Maxtile solid construction</v>
      </c>
      <c r="G83" s="3" t="str">
        <f t="shared" si="2"/>
        <v>EA</v>
      </c>
      <c r="H83" s="7">
        <v>6.51</v>
      </c>
      <c r="I83" s="2" t="str">
        <f t="shared" si="3"/>
        <v>44122003</v>
      </c>
      <c r="J83" s="10" t="s">
        <v>76</v>
      </c>
    </row>
    <row r="84" spans="1:10" ht="39">
      <c r="A84" s="24" t="s">
        <v>27</v>
      </c>
      <c r="B84" s="21" t="s">
        <v>325</v>
      </c>
      <c r="C84" s="21">
        <v>3201</v>
      </c>
      <c r="D84" s="21">
        <v>83</v>
      </c>
      <c r="E84" s="21" t="str">
        <f>"1000013358"</f>
        <v>1000013358</v>
      </c>
      <c r="F84" s="21" t="str">
        <f>"BINDERS:Burg, 2 size, O ring, 120pt-Maxtile solid construction"</f>
        <v>BINDERS:Burg, 2 size, O ring, 120pt-Maxtile solid construction</v>
      </c>
      <c r="G84" s="22" t="str">
        <f t="shared" si="2"/>
        <v>EA</v>
      </c>
      <c r="H84" s="23">
        <v>6.51</v>
      </c>
      <c r="I84" s="21" t="str">
        <f t="shared" si="3"/>
        <v>44122003</v>
      </c>
      <c r="J84" s="25" t="s">
        <v>76</v>
      </c>
    </row>
    <row r="85" spans="1:10" ht="39">
      <c r="A85" s="9" t="s">
        <v>27</v>
      </c>
      <c r="B85" s="2" t="s">
        <v>325</v>
      </c>
      <c r="C85" s="2">
        <v>3201</v>
      </c>
      <c r="D85" s="2">
        <v>84</v>
      </c>
      <c r="E85" s="2" t="str">
        <f>"1000013359"</f>
        <v>1000013359</v>
      </c>
      <c r="F85" s="2" t="str">
        <f>"BINDERS:Navy, 2 size, O ring, 120pt-Maxtile solid construction"</f>
        <v>BINDERS:Navy, 2 size, O ring, 120pt-Maxtile solid construction</v>
      </c>
      <c r="G85" s="3" t="str">
        <f t="shared" si="2"/>
        <v>EA</v>
      </c>
      <c r="H85" s="7">
        <v>6.51</v>
      </c>
      <c r="I85" s="2" t="str">
        <f t="shared" si="3"/>
        <v>44122003</v>
      </c>
      <c r="J85" s="10" t="s">
        <v>76</v>
      </c>
    </row>
    <row r="86" spans="1:10" ht="39">
      <c r="A86" s="24" t="s">
        <v>27</v>
      </c>
      <c r="B86" s="21" t="s">
        <v>325</v>
      </c>
      <c r="C86" s="21">
        <v>3201</v>
      </c>
      <c r="D86" s="21">
        <v>85</v>
      </c>
      <c r="E86" s="21" t="str">
        <f>"1000013493"</f>
        <v>1000013493</v>
      </c>
      <c r="F86" s="21" t="str">
        <f>"BINDERS:Purple, 2 size, O ring, 120pt-Maxtile solid construction"</f>
        <v>BINDERS:Purple, 2 size, O ring, 120pt-Maxtile solid construction</v>
      </c>
      <c r="G86" s="22" t="str">
        <f t="shared" si="2"/>
        <v>EA</v>
      </c>
      <c r="H86" s="23">
        <v>6.51</v>
      </c>
      <c r="I86" s="21" t="str">
        <f t="shared" si="3"/>
        <v>44122003</v>
      </c>
      <c r="J86" s="25" t="s">
        <v>76</v>
      </c>
    </row>
    <row r="87" spans="1:10" ht="39">
      <c r="A87" s="9" t="s">
        <v>27</v>
      </c>
      <c r="B87" s="2" t="s">
        <v>325</v>
      </c>
      <c r="C87" s="2">
        <v>3201</v>
      </c>
      <c r="D87" s="2">
        <v>86</v>
      </c>
      <c r="E87" s="2" t="str">
        <f>"1000013360"</f>
        <v>1000013360</v>
      </c>
      <c r="F87" s="2" t="str">
        <f>"BINDERS:Blk, 2, clear view overlay front/back/spine, O ring, 120pt-Maxtile solid construction"</f>
        <v>BINDERS:Blk, 2, clear view overlay front/back/spine, O ring, 120pt-Maxtile solid construction</v>
      </c>
      <c r="G87" s="3" t="str">
        <f t="shared" si="2"/>
        <v>EA</v>
      </c>
      <c r="H87" s="7">
        <v>6.7</v>
      </c>
      <c r="I87" s="2" t="str">
        <f t="shared" si="3"/>
        <v>44122003</v>
      </c>
      <c r="J87" s="10" t="s">
        <v>76</v>
      </c>
    </row>
    <row r="88" spans="1:10" ht="39">
      <c r="A88" s="24" t="s">
        <v>27</v>
      </c>
      <c r="B88" s="21" t="s">
        <v>325</v>
      </c>
      <c r="C88" s="21">
        <v>3201</v>
      </c>
      <c r="D88" s="21">
        <v>87</v>
      </c>
      <c r="E88" s="21" t="str">
        <f>"1000013361"</f>
        <v>1000013361</v>
      </c>
      <c r="F88" s="21" t="str">
        <f>"BINDERS:Royl Blu, 2, clear view overlay front/back/spine, O ring, 120pt-Maxtile solid construction"</f>
        <v>BINDERS:Royl Blu, 2, clear view overlay front/back/spine, O ring, 120pt-Maxtile solid construction</v>
      </c>
      <c r="G88" s="22" t="str">
        <f t="shared" si="2"/>
        <v>EA</v>
      </c>
      <c r="H88" s="23">
        <v>6.7</v>
      </c>
      <c r="I88" s="21" t="str">
        <f t="shared" si="3"/>
        <v>44122003</v>
      </c>
      <c r="J88" s="25" t="s">
        <v>76</v>
      </c>
    </row>
    <row r="89" spans="1:10" ht="39">
      <c r="A89" s="9" t="s">
        <v>27</v>
      </c>
      <c r="B89" s="2" t="s">
        <v>325</v>
      </c>
      <c r="C89" s="2">
        <v>3201</v>
      </c>
      <c r="D89" s="2">
        <v>88</v>
      </c>
      <c r="E89" s="2" t="str">
        <f>"1000013362"</f>
        <v>1000013362</v>
      </c>
      <c r="F89" s="2" t="str">
        <f>"BINDERS:Red, 2, clear view overlay front/back/spine, O ring, 120pt-Maxtile solid construction"</f>
        <v>BINDERS:Red, 2, clear view overlay front/back/spine, O ring, 120pt-Maxtile solid construction</v>
      </c>
      <c r="G89" s="3" t="str">
        <f t="shared" si="2"/>
        <v>EA</v>
      </c>
      <c r="H89" s="7">
        <v>6.7</v>
      </c>
      <c r="I89" s="2" t="str">
        <f t="shared" si="3"/>
        <v>44122003</v>
      </c>
      <c r="J89" s="10" t="s">
        <v>76</v>
      </c>
    </row>
    <row r="90" spans="1:10" ht="39">
      <c r="A90" s="24" t="s">
        <v>27</v>
      </c>
      <c r="B90" s="21" t="s">
        <v>325</v>
      </c>
      <c r="C90" s="21">
        <v>3201</v>
      </c>
      <c r="D90" s="21">
        <v>89</v>
      </c>
      <c r="E90" s="21" t="str">
        <f>"1000013363"</f>
        <v>1000013363</v>
      </c>
      <c r="F90" s="21" t="str">
        <f>"BINDERS:Wht, 2, clear view overlay front/back/spine, O ring, 120pt-Maxtile solid construction"</f>
        <v>BINDERS:Wht, 2, clear view overlay front/back/spine, O ring, 120pt-Maxtile solid construction</v>
      </c>
      <c r="G90" s="22" t="str">
        <f t="shared" si="2"/>
        <v>EA</v>
      </c>
      <c r="H90" s="23">
        <v>6.7</v>
      </c>
      <c r="I90" s="21" t="str">
        <f t="shared" si="3"/>
        <v>44122003</v>
      </c>
      <c r="J90" s="25" t="s">
        <v>76</v>
      </c>
    </row>
    <row r="91" spans="1:10" ht="39">
      <c r="A91" s="9" t="s">
        <v>27</v>
      </c>
      <c r="B91" s="2" t="s">
        <v>325</v>
      </c>
      <c r="C91" s="2">
        <v>3201</v>
      </c>
      <c r="D91" s="2">
        <v>90</v>
      </c>
      <c r="E91" s="2" t="str">
        <f>"1000013392"</f>
        <v>1000013392</v>
      </c>
      <c r="F91" s="2" t="str">
        <f>"BINDERS:Lt Gry, 2, clear view overlay front/back/spine, O ring, 120pt-Maxtile solid construction"</f>
        <v>BINDERS:Lt Gry, 2, clear view overlay front/back/spine, O ring, 120pt-Maxtile solid construction</v>
      </c>
      <c r="G91" s="3" t="str">
        <f t="shared" si="2"/>
        <v>EA</v>
      </c>
      <c r="H91" s="7">
        <v>6.7</v>
      </c>
      <c r="I91" s="2" t="str">
        <f t="shared" si="3"/>
        <v>44122003</v>
      </c>
      <c r="J91" s="10" t="s">
        <v>76</v>
      </c>
    </row>
    <row r="92" spans="1:10" ht="39">
      <c r="A92" s="24" t="s">
        <v>27</v>
      </c>
      <c r="B92" s="21" t="s">
        <v>325</v>
      </c>
      <c r="C92" s="21">
        <v>3201</v>
      </c>
      <c r="D92" s="21">
        <v>91</v>
      </c>
      <c r="E92" s="21" t="str">
        <f>"1000013393"</f>
        <v>1000013393</v>
      </c>
      <c r="F92" s="21" t="str">
        <f>"BINDERS:Orng, 2, clear view overlay front/back/spine, O ring, 120pt-Maxtile solid construction"</f>
        <v>BINDERS:Orng, 2, clear view overlay front/back/spine, O ring, 120pt-Maxtile solid construction</v>
      </c>
      <c r="G92" s="22" t="str">
        <f t="shared" si="2"/>
        <v>EA</v>
      </c>
      <c r="H92" s="23">
        <v>6.7</v>
      </c>
      <c r="I92" s="21" t="str">
        <f t="shared" si="3"/>
        <v>44122003</v>
      </c>
      <c r="J92" s="25" t="s">
        <v>76</v>
      </c>
    </row>
    <row r="93" spans="1:10" ht="39">
      <c r="A93" s="9" t="s">
        <v>27</v>
      </c>
      <c r="B93" s="2" t="s">
        <v>325</v>
      </c>
      <c r="C93" s="2">
        <v>3201</v>
      </c>
      <c r="D93" s="2">
        <v>92</v>
      </c>
      <c r="E93" s="2" t="str">
        <f>"1000013366"</f>
        <v>1000013366</v>
      </c>
      <c r="F93" s="2" t="str">
        <f>"BINDERS:Yel, 2, clear view overlay front/back/spine, O ring, 120pt-Maxtile solid construction"</f>
        <v>BINDERS:Yel, 2, clear view overlay front/back/spine, O ring, 120pt-Maxtile solid construction</v>
      </c>
      <c r="G93" s="3" t="str">
        <f t="shared" si="2"/>
        <v>EA</v>
      </c>
      <c r="H93" s="7">
        <v>6.7</v>
      </c>
      <c r="I93" s="2" t="str">
        <f t="shared" si="3"/>
        <v>44122003</v>
      </c>
      <c r="J93" s="10" t="s">
        <v>76</v>
      </c>
    </row>
    <row r="94" spans="1:10" ht="39">
      <c r="A94" s="24" t="s">
        <v>27</v>
      </c>
      <c r="B94" s="21" t="s">
        <v>325</v>
      </c>
      <c r="C94" s="21">
        <v>3201</v>
      </c>
      <c r="D94" s="21">
        <v>93</v>
      </c>
      <c r="E94" s="21" t="str">
        <f>"1000013367"</f>
        <v>1000013367</v>
      </c>
      <c r="F94" s="21" t="str">
        <f>"BINDERS:Grn, 2, clear view overlay front/back/spine, O ring, 120pt-Maxtile solid construction"</f>
        <v>BINDERS:Grn, 2, clear view overlay front/back/spine, O ring, 120pt-Maxtile solid construction</v>
      </c>
      <c r="G94" s="22" t="str">
        <f t="shared" si="2"/>
        <v>EA</v>
      </c>
      <c r="H94" s="23">
        <v>6.7</v>
      </c>
      <c r="I94" s="21" t="str">
        <f t="shared" si="3"/>
        <v>44122003</v>
      </c>
      <c r="J94" s="25" t="s">
        <v>76</v>
      </c>
    </row>
    <row r="95" spans="1:10" ht="39">
      <c r="A95" s="9" t="s">
        <v>27</v>
      </c>
      <c r="B95" s="2" t="s">
        <v>325</v>
      </c>
      <c r="C95" s="2">
        <v>3201</v>
      </c>
      <c r="D95" s="2">
        <v>94</v>
      </c>
      <c r="E95" s="2" t="str">
        <f>"1000013368"</f>
        <v>1000013368</v>
      </c>
      <c r="F95" s="2" t="str">
        <f>"BINDERS:Burg, 2, clear view overlay front/back/spine, O ring, 120pt-Maxtile solid construction"</f>
        <v>BINDERS:Burg, 2, clear view overlay front/back/spine, O ring, 120pt-Maxtile solid construction</v>
      </c>
      <c r="G95" s="3" t="str">
        <f t="shared" si="2"/>
        <v>EA</v>
      </c>
      <c r="H95" s="7">
        <v>6.7</v>
      </c>
      <c r="I95" s="2" t="str">
        <f t="shared" si="3"/>
        <v>44122003</v>
      </c>
      <c r="J95" s="10" t="s">
        <v>76</v>
      </c>
    </row>
    <row r="96" spans="1:10" ht="39">
      <c r="A96" s="24" t="s">
        <v>27</v>
      </c>
      <c r="B96" s="21" t="s">
        <v>325</v>
      </c>
      <c r="C96" s="21">
        <v>3201</v>
      </c>
      <c r="D96" s="21">
        <v>95</v>
      </c>
      <c r="E96" s="21" t="str">
        <f>"1000013369"</f>
        <v>1000013369</v>
      </c>
      <c r="F96" s="21" t="str">
        <f>"BINDERS:Navy, 2, clear view overlay front/back/spine, O ring, 120pt-Maxtile solid construction"</f>
        <v>BINDERS:Navy, 2, clear view overlay front/back/spine, O ring, 120pt-Maxtile solid construction</v>
      </c>
      <c r="G96" s="22" t="str">
        <f t="shared" si="2"/>
        <v>EA</v>
      </c>
      <c r="H96" s="23">
        <v>6.7</v>
      </c>
      <c r="I96" s="21" t="str">
        <f t="shared" si="3"/>
        <v>44122003</v>
      </c>
      <c r="J96" s="25" t="s">
        <v>76</v>
      </c>
    </row>
    <row r="97" spans="1:10" ht="39">
      <c r="A97" s="9" t="s">
        <v>27</v>
      </c>
      <c r="B97" s="2" t="s">
        <v>325</v>
      </c>
      <c r="C97" s="2">
        <v>3201</v>
      </c>
      <c r="D97" s="2">
        <v>96</v>
      </c>
      <c r="E97" s="2" t="str">
        <f>"1000013494"</f>
        <v>1000013494</v>
      </c>
      <c r="F97" s="2" t="str">
        <f>"BINDERS:Purple, 2, clear view overlay front/back/spine, O ring, 120pt-Maxtile solid construction"</f>
        <v>BINDERS:Purple, 2, clear view overlay front/back/spine, O ring, 120pt-Maxtile solid construction</v>
      </c>
      <c r="G97" s="3" t="str">
        <f t="shared" si="2"/>
        <v>EA</v>
      </c>
      <c r="H97" s="7">
        <v>6.7</v>
      </c>
      <c r="I97" s="2" t="str">
        <f t="shared" si="3"/>
        <v>44122003</v>
      </c>
      <c r="J97" s="10" t="s">
        <v>76</v>
      </c>
    </row>
    <row r="98" spans="1:10" ht="39">
      <c r="A98" s="24" t="s">
        <v>27</v>
      </c>
      <c r="B98" s="21" t="s">
        <v>325</v>
      </c>
      <c r="C98" s="21">
        <v>3201</v>
      </c>
      <c r="D98" s="21">
        <v>97</v>
      </c>
      <c r="E98" s="21" t="str">
        <f>"1000013370"</f>
        <v>1000013370</v>
      </c>
      <c r="F98" s="21" t="str">
        <f>"BINDERS:Blk, 3 size, O ring, 120pt-Maxtile solid construction"</f>
        <v>BINDERS:Blk, 3 size, O ring, 120pt-Maxtile solid construction</v>
      </c>
      <c r="G98" s="22" t="str">
        <f t="shared" si="2"/>
        <v>EA</v>
      </c>
      <c r="H98" s="23">
        <v>7.9</v>
      </c>
      <c r="I98" s="21" t="str">
        <f t="shared" si="3"/>
        <v>44122003</v>
      </c>
      <c r="J98" s="25" t="s">
        <v>76</v>
      </c>
    </row>
    <row r="99" spans="1:10" ht="39">
      <c r="A99" s="9" t="s">
        <v>27</v>
      </c>
      <c r="B99" s="2" t="s">
        <v>325</v>
      </c>
      <c r="C99" s="2">
        <v>3201</v>
      </c>
      <c r="D99" s="2">
        <v>98</v>
      </c>
      <c r="E99" s="2" t="str">
        <f>"1000013371"</f>
        <v>1000013371</v>
      </c>
      <c r="F99" s="2" t="str">
        <f>"BINDERS:Royl Blu, 3 size, O ring, 120pt-Maxtile solid construction"</f>
        <v>BINDERS:Royl Blu, 3 size, O ring, 120pt-Maxtile solid construction</v>
      </c>
      <c r="G99" s="3" t="str">
        <f t="shared" si="2"/>
        <v>EA</v>
      </c>
      <c r="H99" s="7">
        <v>7.9</v>
      </c>
      <c r="I99" s="2" t="str">
        <f t="shared" si="3"/>
        <v>44122003</v>
      </c>
      <c r="J99" s="10" t="s">
        <v>76</v>
      </c>
    </row>
    <row r="100" spans="1:10" ht="39">
      <c r="A100" s="24" t="s">
        <v>27</v>
      </c>
      <c r="B100" s="21" t="s">
        <v>325</v>
      </c>
      <c r="C100" s="21">
        <v>3201</v>
      </c>
      <c r="D100" s="21">
        <v>99</v>
      </c>
      <c r="E100" s="21" t="str">
        <f>"1000013372"</f>
        <v>1000013372</v>
      </c>
      <c r="F100" s="21" t="str">
        <f>"BINDERS:Red, 3 size, O ring, 120pt-Maxtile solid construction"</f>
        <v>BINDERS:Red, 3 size, O ring, 120pt-Maxtile solid construction</v>
      </c>
      <c r="G100" s="22" t="str">
        <f t="shared" si="2"/>
        <v>EA</v>
      </c>
      <c r="H100" s="23">
        <v>7.9</v>
      </c>
      <c r="I100" s="21" t="str">
        <f t="shared" si="3"/>
        <v>44122003</v>
      </c>
      <c r="J100" s="25" t="s">
        <v>76</v>
      </c>
    </row>
    <row r="101" spans="1:10" ht="39">
      <c r="A101" s="9" t="s">
        <v>27</v>
      </c>
      <c r="B101" s="2" t="s">
        <v>325</v>
      </c>
      <c r="C101" s="2">
        <v>3201</v>
      </c>
      <c r="D101" s="2">
        <v>100</v>
      </c>
      <c r="E101" s="2" t="str">
        <f>"1000013373"</f>
        <v>1000013373</v>
      </c>
      <c r="F101" s="2" t="str">
        <f>"BINDERS:Wht, 3 size, O ring, 120pt-Maxtile solid construction"</f>
        <v>BINDERS:Wht, 3 size, O ring, 120pt-Maxtile solid construction</v>
      </c>
      <c r="G101" s="3" t="str">
        <f t="shared" si="2"/>
        <v>EA</v>
      </c>
      <c r="H101" s="7">
        <v>7.9</v>
      </c>
      <c r="I101" s="2" t="str">
        <f t="shared" si="3"/>
        <v>44122003</v>
      </c>
      <c r="J101" s="10" t="s">
        <v>76</v>
      </c>
    </row>
    <row r="102" spans="1:10" ht="39">
      <c r="A102" s="24" t="s">
        <v>27</v>
      </c>
      <c r="B102" s="21" t="s">
        <v>325</v>
      </c>
      <c r="C102" s="21">
        <v>3201</v>
      </c>
      <c r="D102" s="21">
        <v>101</v>
      </c>
      <c r="E102" s="21" t="str">
        <f>"1000013374"</f>
        <v>1000013374</v>
      </c>
      <c r="F102" s="21" t="str">
        <f>"BINDERS:Lt Gry, 3 size, O ring, 120pt-Maxtile solid construction"</f>
        <v>BINDERS:Lt Gry, 3 size, O ring, 120pt-Maxtile solid construction</v>
      </c>
      <c r="G102" s="22" t="str">
        <f t="shared" si="2"/>
        <v>EA</v>
      </c>
      <c r="H102" s="23">
        <v>7.9</v>
      </c>
      <c r="I102" s="21" t="str">
        <f t="shared" si="3"/>
        <v>44122003</v>
      </c>
      <c r="J102" s="25" t="s">
        <v>76</v>
      </c>
    </row>
    <row r="103" spans="1:10" ht="39">
      <c r="A103" s="9" t="s">
        <v>27</v>
      </c>
      <c r="B103" s="2" t="s">
        <v>325</v>
      </c>
      <c r="C103" s="2">
        <v>3201</v>
      </c>
      <c r="D103" s="2">
        <v>102</v>
      </c>
      <c r="E103" s="2" t="str">
        <f>"1000013375"</f>
        <v>1000013375</v>
      </c>
      <c r="F103" s="2" t="str">
        <f>"BINDERS:Orng, 3 size, O ring, 120pt-Maxtile solid construction"</f>
        <v>BINDERS:Orng, 3 size, O ring, 120pt-Maxtile solid construction</v>
      </c>
      <c r="G103" s="3" t="str">
        <f t="shared" si="2"/>
        <v>EA</v>
      </c>
      <c r="H103" s="7">
        <v>7.9</v>
      </c>
      <c r="I103" s="2" t="str">
        <f t="shared" si="3"/>
        <v>44122003</v>
      </c>
      <c r="J103" s="10" t="s">
        <v>76</v>
      </c>
    </row>
    <row r="104" spans="1:10" ht="39">
      <c r="A104" s="24" t="s">
        <v>27</v>
      </c>
      <c r="B104" s="21" t="s">
        <v>325</v>
      </c>
      <c r="C104" s="21">
        <v>3201</v>
      </c>
      <c r="D104" s="21">
        <v>103</v>
      </c>
      <c r="E104" s="21" t="str">
        <f>"1000013376"</f>
        <v>1000013376</v>
      </c>
      <c r="F104" s="21" t="str">
        <f>"BINDERS:Yel, 3 size, O ring, 120pt-Maxtile solid construction"</f>
        <v>BINDERS:Yel, 3 size, O ring, 120pt-Maxtile solid construction</v>
      </c>
      <c r="G104" s="22" t="str">
        <f t="shared" si="2"/>
        <v>EA</v>
      </c>
      <c r="H104" s="23">
        <v>7.9</v>
      </c>
      <c r="I104" s="21" t="str">
        <f t="shared" si="3"/>
        <v>44122003</v>
      </c>
      <c r="J104" s="25" t="s">
        <v>76</v>
      </c>
    </row>
    <row r="105" spans="1:10" ht="39">
      <c r="A105" s="9" t="s">
        <v>27</v>
      </c>
      <c r="B105" s="2" t="s">
        <v>325</v>
      </c>
      <c r="C105" s="2">
        <v>3201</v>
      </c>
      <c r="D105" s="2">
        <v>104</v>
      </c>
      <c r="E105" s="2" t="str">
        <f>"1000013377"</f>
        <v>1000013377</v>
      </c>
      <c r="F105" s="2" t="str">
        <f>"BINDERS:Grn, 3 size, O ring, 120pt-Maxtile solid construction"</f>
        <v>BINDERS:Grn, 3 size, O ring, 120pt-Maxtile solid construction</v>
      </c>
      <c r="G105" s="3" t="str">
        <f t="shared" si="2"/>
        <v>EA</v>
      </c>
      <c r="H105" s="7">
        <v>7.9</v>
      </c>
      <c r="I105" s="2" t="str">
        <f t="shared" si="3"/>
        <v>44122003</v>
      </c>
      <c r="J105" s="10" t="s">
        <v>76</v>
      </c>
    </row>
    <row r="106" spans="1:10" ht="39">
      <c r="A106" s="24" t="s">
        <v>27</v>
      </c>
      <c r="B106" s="21" t="s">
        <v>325</v>
      </c>
      <c r="C106" s="21">
        <v>3201</v>
      </c>
      <c r="D106" s="21">
        <v>105</v>
      </c>
      <c r="E106" s="21" t="str">
        <f>"1000013406"</f>
        <v>1000013406</v>
      </c>
      <c r="F106" s="21" t="str">
        <f>"BINDERS:Burg, 3 size, O ring, 120pt-Maxtile solid construction"</f>
        <v>BINDERS:Burg, 3 size, O ring, 120pt-Maxtile solid construction</v>
      </c>
      <c r="G106" s="22" t="str">
        <f t="shared" si="2"/>
        <v>EA</v>
      </c>
      <c r="H106" s="23">
        <v>7.9</v>
      </c>
      <c r="I106" s="21" t="str">
        <f t="shared" si="3"/>
        <v>44122003</v>
      </c>
      <c r="J106" s="25" t="s">
        <v>76</v>
      </c>
    </row>
    <row r="107" spans="1:10" ht="39">
      <c r="A107" s="9" t="s">
        <v>27</v>
      </c>
      <c r="B107" s="2" t="s">
        <v>325</v>
      </c>
      <c r="C107" s="2">
        <v>3201</v>
      </c>
      <c r="D107" s="2">
        <v>106</v>
      </c>
      <c r="E107" s="2" t="str">
        <f>"1000013407"</f>
        <v>1000013407</v>
      </c>
      <c r="F107" s="2" t="str">
        <f>"BINDERS:Navy, 3 size, O ring, 120pt-Maxtile solid construction"</f>
        <v>BINDERS:Navy, 3 size, O ring, 120pt-Maxtile solid construction</v>
      </c>
      <c r="G107" s="3" t="str">
        <f t="shared" si="2"/>
        <v>EA</v>
      </c>
      <c r="H107" s="7">
        <v>7.9</v>
      </c>
      <c r="I107" s="2" t="str">
        <f t="shared" si="3"/>
        <v>44122003</v>
      </c>
      <c r="J107" s="10" t="s">
        <v>76</v>
      </c>
    </row>
    <row r="108" spans="1:10" ht="39">
      <c r="A108" s="24" t="s">
        <v>27</v>
      </c>
      <c r="B108" s="21" t="s">
        <v>325</v>
      </c>
      <c r="C108" s="21">
        <v>3201</v>
      </c>
      <c r="D108" s="21">
        <v>107</v>
      </c>
      <c r="E108" s="21" t="str">
        <f>"1000013495"</f>
        <v>1000013495</v>
      </c>
      <c r="F108" s="21" t="str">
        <f>"BINDERS:Purple, 3 size, O ring, 120pt-Maxtile solid construction"</f>
        <v>BINDERS:Purple, 3 size, O ring, 120pt-Maxtile solid construction</v>
      </c>
      <c r="G108" s="22" t="str">
        <f t="shared" si="2"/>
        <v>EA</v>
      </c>
      <c r="H108" s="23">
        <v>1</v>
      </c>
      <c r="I108" s="21" t="str">
        <f t="shared" si="3"/>
        <v>44122003</v>
      </c>
      <c r="J108" s="25" t="s">
        <v>76</v>
      </c>
    </row>
    <row r="109" spans="1:10" ht="39">
      <c r="A109" s="9" t="s">
        <v>27</v>
      </c>
      <c r="B109" s="2" t="s">
        <v>325</v>
      </c>
      <c r="C109" s="2">
        <v>3201</v>
      </c>
      <c r="D109" s="2">
        <v>108</v>
      </c>
      <c r="E109" s="2" t="str">
        <f>"1000013380"</f>
        <v>1000013380</v>
      </c>
      <c r="F109" s="2" t="str">
        <f>"BINDERS:Blk, 3, clear view overlay front/back/spine, O ring, 120pt-Maxtile solid construction"</f>
        <v>BINDERS:Blk, 3, clear view overlay front/back/spine, O ring, 120pt-Maxtile solid construction</v>
      </c>
      <c r="G109" s="3" t="str">
        <f t="shared" si="2"/>
        <v>EA</v>
      </c>
      <c r="H109" s="7">
        <v>8.1999999999999993</v>
      </c>
      <c r="I109" s="2" t="str">
        <f t="shared" si="3"/>
        <v>44122003</v>
      </c>
      <c r="J109" s="10" t="s">
        <v>76</v>
      </c>
    </row>
    <row r="110" spans="1:10" ht="39">
      <c r="A110" s="24" t="s">
        <v>27</v>
      </c>
      <c r="B110" s="21" t="s">
        <v>325</v>
      </c>
      <c r="C110" s="21">
        <v>3201</v>
      </c>
      <c r="D110" s="21">
        <v>109</v>
      </c>
      <c r="E110" s="21" t="str">
        <f>"1000013381"</f>
        <v>1000013381</v>
      </c>
      <c r="F110" s="21" t="str">
        <f>"BINDERS:Royl Blu, 3, clear view overlay front/back/spine, O ring, 120pt-Maxtile solid construction"</f>
        <v>BINDERS:Royl Blu, 3, clear view overlay front/back/spine, O ring, 120pt-Maxtile solid construction</v>
      </c>
      <c r="G110" s="22" t="str">
        <f t="shared" si="2"/>
        <v>EA</v>
      </c>
      <c r="H110" s="23">
        <v>8.1999999999999993</v>
      </c>
      <c r="I110" s="21" t="str">
        <f t="shared" si="3"/>
        <v>44122003</v>
      </c>
      <c r="J110" s="25" t="s">
        <v>76</v>
      </c>
    </row>
    <row r="111" spans="1:10" ht="39">
      <c r="A111" s="9" t="s">
        <v>27</v>
      </c>
      <c r="B111" s="2" t="s">
        <v>325</v>
      </c>
      <c r="C111" s="2">
        <v>3201</v>
      </c>
      <c r="D111" s="2">
        <v>110</v>
      </c>
      <c r="E111" s="2" t="str">
        <f>"1000013382"</f>
        <v>1000013382</v>
      </c>
      <c r="F111" s="2" t="str">
        <f>"BINDERS:Red, 3, clear view overlay front/back/spine, O ring, 120pt-Maxtile solid construction"</f>
        <v>BINDERS:Red, 3, clear view overlay front/back/spine, O ring, 120pt-Maxtile solid construction</v>
      </c>
      <c r="G111" s="3" t="str">
        <f t="shared" si="2"/>
        <v>EA</v>
      </c>
      <c r="H111" s="7">
        <v>8.1999999999999993</v>
      </c>
      <c r="I111" s="2" t="str">
        <f t="shared" si="3"/>
        <v>44122003</v>
      </c>
      <c r="J111" s="10" t="s">
        <v>76</v>
      </c>
    </row>
    <row r="112" spans="1:10" ht="39">
      <c r="A112" s="24" t="s">
        <v>27</v>
      </c>
      <c r="B112" s="21" t="s">
        <v>325</v>
      </c>
      <c r="C112" s="21">
        <v>3201</v>
      </c>
      <c r="D112" s="21">
        <v>111</v>
      </c>
      <c r="E112" s="21" t="str">
        <f>"1000013383"</f>
        <v>1000013383</v>
      </c>
      <c r="F112" s="21" t="str">
        <f>"BINDERS:Wht, 3, clear view overlay front/back/spine, O ring, 120pt-Maxtile solid construction"</f>
        <v>BINDERS:Wht, 3, clear view overlay front/back/spine, O ring, 120pt-Maxtile solid construction</v>
      </c>
      <c r="G112" s="22" t="str">
        <f t="shared" si="2"/>
        <v>EA</v>
      </c>
      <c r="H112" s="23">
        <v>8.1999999999999993</v>
      </c>
      <c r="I112" s="21" t="str">
        <f t="shared" si="3"/>
        <v>44122003</v>
      </c>
      <c r="J112" s="25" t="s">
        <v>76</v>
      </c>
    </row>
    <row r="113" spans="1:10" ht="39">
      <c r="A113" s="9" t="s">
        <v>27</v>
      </c>
      <c r="B113" s="2" t="s">
        <v>325</v>
      </c>
      <c r="C113" s="2">
        <v>3201</v>
      </c>
      <c r="D113" s="2">
        <v>112</v>
      </c>
      <c r="E113" s="2" t="str">
        <f>"1000013384"</f>
        <v>1000013384</v>
      </c>
      <c r="F113" s="2" t="str">
        <f>"BINDERS:Lt Gry, 3, clear view overlay front/back/spine, O ring, 120pt-Maxtile solid construction"</f>
        <v>BINDERS:Lt Gry, 3, clear view overlay front/back/spine, O ring, 120pt-Maxtile solid construction</v>
      </c>
      <c r="G113" s="3" t="str">
        <f t="shared" si="2"/>
        <v>EA</v>
      </c>
      <c r="H113" s="7">
        <v>8.1999999999999993</v>
      </c>
      <c r="I113" s="2" t="str">
        <f t="shared" si="3"/>
        <v>44122003</v>
      </c>
      <c r="J113" s="10" t="s">
        <v>76</v>
      </c>
    </row>
    <row r="114" spans="1:10" ht="39">
      <c r="A114" s="24" t="s">
        <v>27</v>
      </c>
      <c r="B114" s="21" t="s">
        <v>325</v>
      </c>
      <c r="C114" s="21">
        <v>3201</v>
      </c>
      <c r="D114" s="21">
        <v>113</v>
      </c>
      <c r="E114" s="21" t="str">
        <f>"1000013385"</f>
        <v>1000013385</v>
      </c>
      <c r="F114" s="21" t="str">
        <f>"BINDERS:Orng, 3, clear view overlay front/back/spine, O ring, 120pt-Maxtile solid construction"</f>
        <v>BINDERS:Orng, 3, clear view overlay front/back/spine, O ring, 120pt-Maxtile solid construction</v>
      </c>
      <c r="G114" s="22" t="str">
        <f t="shared" ref="G114:G177" si="4">"EA"</f>
        <v>EA</v>
      </c>
      <c r="H114" s="23">
        <v>8.1999999999999993</v>
      </c>
      <c r="I114" s="21" t="str">
        <f t="shared" si="3"/>
        <v>44122003</v>
      </c>
      <c r="J114" s="25" t="s">
        <v>76</v>
      </c>
    </row>
    <row r="115" spans="1:10" ht="39">
      <c r="A115" s="9" t="s">
        <v>27</v>
      </c>
      <c r="B115" s="2" t="s">
        <v>325</v>
      </c>
      <c r="C115" s="2">
        <v>3201</v>
      </c>
      <c r="D115" s="2">
        <v>114</v>
      </c>
      <c r="E115" s="2" t="str">
        <f>"1000013386"</f>
        <v>1000013386</v>
      </c>
      <c r="F115" s="2" t="str">
        <f>"BINDERS:Yel, 3, clear view overlay front/back/spine, O ring, 120pt-Maxtile solid construction"</f>
        <v>BINDERS:Yel, 3, clear view overlay front/back/spine, O ring, 120pt-Maxtile solid construction</v>
      </c>
      <c r="G115" s="3" t="str">
        <f t="shared" si="4"/>
        <v>EA</v>
      </c>
      <c r="H115" s="7">
        <v>8.1999999999999993</v>
      </c>
      <c r="I115" s="2" t="str">
        <f t="shared" si="3"/>
        <v>44122003</v>
      </c>
      <c r="J115" s="10" t="s">
        <v>76</v>
      </c>
    </row>
    <row r="116" spans="1:10" ht="39">
      <c r="A116" s="24" t="s">
        <v>27</v>
      </c>
      <c r="B116" s="21" t="s">
        <v>325</v>
      </c>
      <c r="C116" s="21">
        <v>3201</v>
      </c>
      <c r="D116" s="21">
        <v>115</v>
      </c>
      <c r="E116" s="21" t="str">
        <f>"1000013387"</f>
        <v>1000013387</v>
      </c>
      <c r="F116" s="21" t="str">
        <f>"BINDERS:Grn, 3, clear view overlay front/back/spine, O ring, 120pt-Maxtile solid construction"</f>
        <v>BINDERS:Grn, 3, clear view overlay front/back/spine, O ring, 120pt-Maxtile solid construction</v>
      </c>
      <c r="G116" s="22" t="str">
        <f t="shared" si="4"/>
        <v>EA</v>
      </c>
      <c r="H116" s="23">
        <v>8.1999999999999993</v>
      </c>
      <c r="I116" s="21" t="str">
        <f t="shared" si="3"/>
        <v>44122003</v>
      </c>
      <c r="J116" s="25" t="s">
        <v>76</v>
      </c>
    </row>
    <row r="117" spans="1:10" ht="39">
      <c r="A117" s="9" t="s">
        <v>27</v>
      </c>
      <c r="B117" s="2" t="s">
        <v>325</v>
      </c>
      <c r="C117" s="2">
        <v>3201</v>
      </c>
      <c r="D117" s="2">
        <v>116</v>
      </c>
      <c r="E117" s="2" t="str">
        <f>"1000013496"</f>
        <v>1000013496</v>
      </c>
      <c r="F117" s="2" t="str">
        <f>"BINDERS:Purple, 3, clear view overlay front/back/spine, O ring, 120pt-Maxtile solid construction"</f>
        <v>BINDERS:Purple, 3, clear view overlay front/back/spine, O ring, 120pt-Maxtile solid construction</v>
      </c>
      <c r="G117" s="3" t="str">
        <f t="shared" si="4"/>
        <v>EA</v>
      </c>
      <c r="H117" s="7">
        <v>8.1999999999999993</v>
      </c>
      <c r="I117" s="2" t="str">
        <f t="shared" si="3"/>
        <v>44122003</v>
      </c>
      <c r="J117" s="10" t="s">
        <v>76</v>
      </c>
    </row>
    <row r="118" spans="1:10" ht="39">
      <c r="A118" s="24" t="s">
        <v>27</v>
      </c>
      <c r="B118" s="21" t="s">
        <v>325</v>
      </c>
      <c r="C118" s="21">
        <v>3201</v>
      </c>
      <c r="D118" s="21">
        <v>117</v>
      </c>
      <c r="E118" s="21" t="str">
        <f>"1000013388"</f>
        <v>1000013388</v>
      </c>
      <c r="F118" s="21" t="str">
        <f>"BINDERS:Blk, 1, D slant, deluxe, 120pt-Maxtile solid construction"</f>
        <v>BINDERS:Blk, 1, D slant, deluxe, 120pt-Maxtile solid construction</v>
      </c>
      <c r="G118" s="22" t="str">
        <f t="shared" si="4"/>
        <v>EA</v>
      </c>
      <c r="H118" s="23">
        <v>3.86</v>
      </c>
      <c r="I118" s="21" t="str">
        <f t="shared" si="3"/>
        <v>44122003</v>
      </c>
      <c r="J118" s="25" t="s">
        <v>76</v>
      </c>
    </row>
    <row r="119" spans="1:10" ht="39">
      <c r="A119" s="9" t="s">
        <v>27</v>
      </c>
      <c r="B119" s="2" t="s">
        <v>325</v>
      </c>
      <c r="C119" s="2">
        <v>3201</v>
      </c>
      <c r="D119" s="2">
        <v>118</v>
      </c>
      <c r="E119" s="2" t="str">
        <f>"1000013389"</f>
        <v>1000013389</v>
      </c>
      <c r="F119" s="2" t="str">
        <f>"BINDERS:Royl Blu, 1, D slant, deluxe, 120pt-Maxtile solid construction"</f>
        <v>BINDERS:Royl Blu, 1, D slant, deluxe, 120pt-Maxtile solid construction</v>
      </c>
      <c r="G119" s="3" t="str">
        <f t="shared" si="4"/>
        <v>EA</v>
      </c>
      <c r="H119" s="7">
        <v>3.86</v>
      </c>
      <c r="I119" s="2" t="str">
        <f t="shared" si="3"/>
        <v>44122003</v>
      </c>
      <c r="J119" s="10" t="s">
        <v>76</v>
      </c>
    </row>
    <row r="120" spans="1:10" ht="39">
      <c r="A120" s="24" t="s">
        <v>27</v>
      </c>
      <c r="B120" s="21" t="s">
        <v>325</v>
      </c>
      <c r="C120" s="21">
        <v>3201</v>
      </c>
      <c r="D120" s="21">
        <v>119</v>
      </c>
      <c r="E120" s="21" t="str">
        <f>"1000013390"</f>
        <v>1000013390</v>
      </c>
      <c r="F120" s="21" t="str">
        <f>"BINDERS:Red, 1, D slant, deluxe, 120pt-Maxtile solid construction"</f>
        <v>BINDERS:Red, 1, D slant, deluxe, 120pt-Maxtile solid construction</v>
      </c>
      <c r="G120" s="22" t="str">
        <f t="shared" si="4"/>
        <v>EA</v>
      </c>
      <c r="H120" s="23">
        <v>3.86</v>
      </c>
      <c r="I120" s="21" t="str">
        <f t="shared" si="3"/>
        <v>44122003</v>
      </c>
      <c r="J120" s="25" t="s">
        <v>76</v>
      </c>
    </row>
    <row r="121" spans="1:10" ht="39">
      <c r="A121" s="9" t="s">
        <v>27</v>
      </c>
      <c r="B121" s="2" t="s">
        <v>325</v>
      </c>
      <c r="C121" s="2">
        <v>3201</v>
      </c>
      <c r="D121" s="2">
        <v>120</v>
      </c>
      <c r="E121" s="2" t="str">
        <f>"1000013391"</f>
        <v>1000013391</v>
      </c>
      <c r="F121" s="2" t="str">
        <f>"BINDERS:Wht, 1, D slant, deluxe, 120pt-Maxtile solid construction"</f>
        <v>BINDERS:Wht, 1, D slant, deluxe, 120pt-Maxtile solid construction</v>
      </c>
      <c r="G121" s="3" t="str">
        <f t="shared" si="4"/>
        <v>EA</v>
      </c>
      <c r="H121" s="7">
        <v>3.86</v>
      </c>
      <c r="I121" s="2" t="str">
        <f t="shared" si="3"/>
        <v>44122003</v>
      </c>
      <c r="J121" s="10" t="s">
        <v>76</v>
      </c>
    </row>
    <row r="122" spans="1:10" ht="39">
      <c r="A122" s="24" t="s">
        <v>27</v>
      </c>
      <c r="B122" s="21" t="s">
        <v>325</v>
      </c>
      <c r="C122" s="21">
        <v>3201</v>
      </c>
      <c r="D122" s="21">
        <v>121</v>
      </c>
      <c r="E122" s="21" t="str">
        <f>"1000013420"</f>
        <v>1000013420</v>
      </c>
      <c r="F122" s="21" t="str">
        <f>"BINDERS:Lt Gry, 1, D slant, deluxe, 120pt-Maxtile solid construction"</f>
        <v>BINDERS:Lt Gry, 1, D slant, deluxe, 120pt-Maxtile solid construction</v>
      </c>
      <c r="G122" s="22" t="str">
        <f t="shared" si="4"/>
        <v>EA</v>
      </c>
      <c r="H122" s="23">
        <v>3.86</v>
      </c>
      <c r="I122" s="21" t="str">
        <f t="shared" si="3"/>
        <v>44122003</v>
      </c>
      <c r="J122" s="25" t="s">
        <v>76</v>
      </c>
    </row>
    <row r="123" spans="1:10" ht="39">
      <c r="A123" s="9" t="s">
        <v>27</v>
      </c>
      <c r="B123" s="2" t="s">
        <v>325</v>
      </c>
      <c r="C123" s="2">
        <v>3201</v>
      </c>
      <c r="D123" s="2">
        <v>122</v>
      </c>
      <c r="E123" s="2" t="str">
        <f>"1000013421"</f>
        <v>1000013421</v>
      </c>
      <c r="F123" s="2" t="str">
        <f>"BINDERS:Orng, 1, D slant, deluxe, 120pt-Maxtile solid construction"</f>
        <v>BINDERS:Orng, 1, D slant, deluxe, 120pt-Maxtile solid construction</v>
      </c>
      <c r="G123" s="3" t="str">
        <f t="shared" si="4"/>
        <v>EA</v>
      </c>
      <c r="H123" s="7">
        <v>3.86</v>
      </c>
      <c r="I123" s="2" t="str">
        <f t="shared" si="3"/>
        <v>44122003</v>
      </c>
      <c r="J123" s="10" t="s">
        <v>76</v>
      </c>
    </row>
    <row r="124" spans="1:10" ht="39">
      <c r="A124" s="24" t="s">
        <v>27</v>
      </c>
      <c r="B124" s="21" t="s">
        <v>325</v>
      </c>
      <c r="C124" s="21">
        <v>3201</v>
      </c>
      <c r="D124" s="21">
        <v>123</v>
      </c>
      <c r="E124" s="21" t="str">
        <f>"1000013394"</f>
        <v>1000013394</v>
      </c>
      <c r="F124" s="21" t="str">
        <f>"BINDERS:Yel, 1, D slant, deluxe, 120pt-Maxtile solid construction"</f>
        <v>BINDERS:Yel, 1, D slant, deluxe, 120pt-Maxtile solid construction</v>
      </c>
      <c r="G124" s="22" t="str">
        <f t="shared" si="4"/>
        <v>EA</v>
      </c>
      <c r="H124" s="23">
        <v>3.86</v>
      </c>
      <c r="I124" s="21" t="str">
        <f t="shared" si="3"/>
        <v>44122003</v>
      </c>
      <c r="J124" s="25" t="s">
        <v>76</v>
      </c>
    </row>
    <row r="125" spans="1:10" ht="39">
      <c r="A125" s="9" t="s">
        <v>27</v>
      </c>
      <c r="B125" s="2" t="s">
        <v>325</v>
      </c>
      <c r="C125" s="2">
        <v>3201</v>
      </c>
      <c r="D125" s="2">
        <v>124</v>
      </c>
      <c r="E125" s="2" t="str">
        <f>"1000013395"</f>
        <v>1000013395</v>
      </c>
      <c r="F125" s="2" t="str">
        <f>"BINDERS:Grn, 1, D slant, deluxe, 120pt-Maxtile solid construction"</f>
        <v>BINDERS:Grn, 1, D slant, deluxe, 120pt-Maxtile solid construction</v>
      </c>
      <c r="G125" s="3" t="str">
        <f t="shared" si="4"/>
        <v>EA</v>
      </c>
      <c r="H125" s="7">
        <v>3.86</v>
      </c>
      <c r="I125" s="2" t="str">
        <f t="shared" si="3"/>
        <v>44122003</v>
      </c>
      <c r="J125" s="10" t="s">
        <v>76</v>
      </c>
    </row>
    <row r="126" spans="1:10" ht="39">
      <c r="A126" s="24" t="s">
        <v>27</v>
      </c>
      <c r="B126" s="21" t="s">
        <v>325</v>
      </c>
      <c r="C126" s="21">
        <v>3201</v>
      </c>
      <c r="D126" s="21">
        <v>125</v>
      </c>
      <c r="E126" s="21" t="str">
        <f>"1000013396"</f>
        <v>1000013396</v>
      </c>
      <c r="F126" s="21" t="str">
        <f>"BINDERS:Burg, 1, D slant, deluxe, 120pt-Maxtile solid construction"</f>
        <v>BINDERS:Burg, 1, D slant, deluxe, 120pt-Maxtile solid construction</v>
      </c>
      <c r="G126" s="22" t="str">
        <f t="shared" si="4"/>
        <v>EA</v>
      </c>
      <c r="H126" s="23">
        <v>3.86</v>
      </c>
      <c r="I126" s="21" t="str">
        <f t="shared" si="3"/>
        <v>44122003</v>
      </c>
      <c r="J126" s="25" t="s">
        <v>76</v>
      </c>
    </row>
    <row r="127" spans="1:10" ht="39">
      <c r="A127" s="9" t="s">
        <v>27</v>
      </c>
      <c r="B127" s="2" t="s">
        <v>325</v>
      </c>
      <c r="C127" s="2">
        <v>3201</v>
      </c>
      <c r="D127" s="2">
        <v>126</v>
      </c>
      <c r="E127" s="2" t="str">
        <f>"1000013397"</f>
        <v>1000013397</v>
      </c>
      <c r="F127" s="2" t="str">
        <f>"BINDERS:Navy, 1, D slant, deluxe, 120pt-Maxtile solid construction"</f>
        <v>BINDERS:Navy, 1, D slant, deluxe, 120pt-Maxtile solid construction</v>
      </c>
      <c r="G127" s="3" t="str">
        <f t="shared" si="4"/>
        <v>EA</v>
      </c>
      <c r="H127" s="7">
        <v>3.86</v>
      </c>
      <c r="I127" s="2" t="str">
        <f t="shared" si="3"/>
        <v>44122003</v>
      </c>
      <c r="J127" s="10" t="s">
        <v>76</v>
      </c>
    </row>
    <row r="128" spans="1:10" ht="39">
      <c r="A128" s="24" t="s">
        <v>27</v>
      </c>
      <c r="B128" s="21" t="s">
        <v>325</v>
      </c>
      <c r="C128" s="21">
        <v>3201</v>
      </c>
      <c r="D128" s="21">
        <v>127</v>
      </c>
      <c r="E128" s="21" t="str">
        <f>"1000013497"</f>
        <v>1000013497</v>
      </c>
      <c r="F128" s="21" t="str">
        <f>"BINDERS:Purple, 1, D slant, deluxe, 120pt-Maxtile solid construction"</f>
        <v>BINDERS:Purple, 1, D slant, deluxe, 120pt-Maxtile solid construction</v>
      </c>
      <c r="G128" s="22" t="str">
        <f t="shared" si="4"/>
        <v>EA</v>
      </c>
      <c r="H128" s="23">
        <v>3.86</v>
      </c>
      <c r="I128" s="21" t="str">
        <f t="shared" si="3"/>
        <v>44122003</v>
      </c>
      <c r="J128" s="25" t="s">
        <v>76</v>
      </c>
    </row>
    <row r="129" spans="1:10" ht="39">
      <c r="A129" s="9" t="s">
        <v>27</v>
      </c>
      <c r="B129" s="2" t="s">
        <v>325</v>
      </c>
      <c r="C129" s="2">
        <v>3201</v>
      </c>
      <c r="D129" s="2">
        <v>128</v>
      </c>
      <c r="E129" s="2" t="str">
        <f>"1000013398"</f>
        <v>1000013398</v>
      </c>
      <c r="F129" s="2" t="str">
        <f>"BINDERS:Blk, 1, D, clear view overlay front/back/spine, deluxe, 120pt-Maxtile solid construction"</f>
        <v>BINDERS:Blk, 1, D, clear view overlay front/back/spine, deluxe, 120pt-Maxtile solid construction</v>
      </c>
      <c r="G129" s="3" t="str">
        <f t="shared" si="4"/>
        <v>EA</v>
      </c>
      <c r="H129" s="7">
        <v>5.41</v>
      </c>
      <c r="I129" s="2" t="str">
        <f t="shared" si="3"/>
        <v>44122003</v>
      </c>
      <c r="J129" s="10" t="s">
        <v>76</v>
      </c>
    </row>
    <row r="130" spans="1:10" ht="39">
      <c r="A130" s="24" t="s">
        <v>27</v>
      </c>
      <c r="B130" s="21" t="s">
        <v>325</v>
      </c>
      <c r="C130" s="21">
        <v>3201</v>
      </c>
      <c r="D130" s="21">
        <v>129</v>
      </c>
      <c r="E130" s="21" t="str">
        <f>"1000013399"</f>
        <v>1000013399</v>
      </c>
      <c r="F130" s="21" t="str">
        <f>"BINDERS:Royl Blu, 1, D, clear view overlay front/back/spine, deluxe, 120pt-Maxtile solid construction"</f>
        <v>BINDERS:Royl Blu, 1, D, clear view overlay front/back/spine, deluxe, 120pt-Maxtile solid construction</v>
      </c>
      <c r="G130" s="22" t="str">
        <f t="shared" si="4"/>
        <v>EA</v>
      </c>
      <c r="H130" s="23">
        <v>5.41</v>
      </c>
      <c r="I130" s="21" t="str">
        <f t="shared" ref="I130:I193" si="5">"44122003"</f>
        <v>44122003</v>
      </c>
      <c r="J130" s="25" t="s">
        <v>76</v>
      </c>
    </row>
    <row r="131" spans="1:10" ht="39">
      <c r="A131" s="9" t="s">
        <v>27</v>
      </c>
      <c r="B131" s="2" t="s">
        <v>325</v>
      </c>
      <c r="C131" s="2">
        <v>3201</v>
      </c>
      <c r="D131" s="2">
        <v>130</v>
      </c>
      <c r="E131" s="2" t="str">
        <f>"1000013400"</f>
        <v>1000013400</v>
      </c>
      <c r="F131" s="2" t="str">
        <f>"BINDERS:Red, 1, D, clear view overlay front/back/spine, deluxe, 120pt-Maxtile solid construction"</f>
        <v>BINDERS:Red, 1, D, clear view overlay front/back/spine, deluxe, 120pt-Maxtile solid construction</v>
      </c>
      <c r="G131" s="3" t="str">
        <f t="shared" si="4"/>
        <v>EA</v>
      </c>
      <c r="H131" s="7">
        <v>5.41</v>
      </c>
      <c r="I131" s="2" t="str">
        <f t="shared" si="5"/>
        <v>44122003</v>
      </c>
      <c r="J131" s="10" t="s">
        <v>76</v>
      </c>
    </row>
    <row r="132" spans="1:10" ht="39">
      <c r="A132" s="24" t="s">
        <v>27</v>
      </c>
      <c r="B132" s="21" t="s">
        <v>325</v>
      </c>
      <c r="C132" s="21">
        <v>3201</v>
      </c>
      <c r="D132" s="21">
        <v>131</v>
      </c>
      <c r="E132" s="21" t="str">
        <f>"1000013401"</f>
        <v>1000013401</v>
      </c>
      <c r="F132" s="21" t="str">
        <f>"BINDERS:Wht, 1, D, clear view overlay front/back/spine, deluxe, 120pt-Maxtile solid construction"</f>
        <v>BINDERS:Wht, 1, D, clear view overlay front/back/spine, deluxe, 120pt-Maxtile solid construction</v>
      </c>
      <c r="G132" s="22" t="str">
        <f t="shared" si="4"/>
        <v>EA</v>
      </c>
      <c r="H132" s="23">
        <v>5.41</v>
      </c>
      <c r="I132" s="21" t="str">
        <f t="shared" si="5"/>
        <v>44122003</v>
      </c>
      <c r="J132" s="25" t="s">
        <v>76</v>
      </c>
    </row>
    <row r="133" spans="1:10" ht="39">
      <c r="A133" s="9" t="s">
        <v>27</v>
      </c>
      <c r="B133" s="2" t="s">
        <v>325</v>
      </c>
      <c r="C133" s="2">
        <v>3201</v>
      </c>
      <c r="D133" s="2">
        <v>132</v>
      </c>
      <c r="E133" s="2" t="str">
        <f>"1000013402"</f>
        <v>1000013402</v>
      </c>
      <c r="F133" s="2" t="str">
        <f>"BINDERS:Lt Gray, 1, D, clear view overlay front/back/spine, deluxe, 120pt-Maxtile solid construction"</f>
        <v>BINDERS:Lt Gray, 1, D, clear view overlay front/back/spine, deluxe, 120pt-Maxtile solid construction</v>
      </c>
      <c r="G133" s="3" t="str">
        <f t="shared" si="4"/>
        <v>EA</v>
      </c>
      <c r="H133" s="7">
        <v>5.41</v>
      </c>
      <c r="I133" s="2" t="str">
        <f t="shared" si="5"/>
        <v>44122003</v>
      </c>
      <c r="J133" s="10" t="s">
        <v>76</v>
      </c>
    </row>
    <row r="134" spans="1:10" ht="39">
      <c r="A134" s="24" t="s">
        <v>27</v>
      </c>
      <c r="B134" s="21" t="s">
        <v>325</v>
      </c>
      <c r="C134" s="21">
        <v>3201</v>
      </c>
      <c r="D134" s="21">
        <v>133</v>
      </c>
      <c r="E134" s="21" t="str">
        <f>"1000013403"</f>
        <v>1000013403</v>
      </c>
      <c r="F134" s="21" t="str">
        <f>"BINDERS:Orng, 1, D, clear view overlay front/back/spine, deluxe, 120pt-Maxtile solid construction"</f>
        <v>BINDERS:Orng, 1, D, clear view overlay front/back/spine, deluxe, 120pt-Maxtile solid construction</v>
      </c>
      <c r="G134" s="22" t="str">
        <f t="shared" si="4"/>
        <v>EA</v>
      </c>
      <c r="H134" s="23">
        <v>5.41</v>
      </c>
      <c r="I134" s="21" t="str">
        <f t="shared" si="5"/>
        <v>44122003</v>
      </c>
      <c r="J134" s="25" t="s">
        <v>76</v>
      </c>
    </row>
    <row r="135" spans="1:10" ht="39">
      <c r="A135" s="9" t="s">
        <v>27</v>
      </c>
      <c r="B135" s="2" t="s">
        <v>325</v>
      </c>
      <c r="C135" s="2">
        <v>3201</v>
      </c>
      <c r="D135" s="2">
        <v>134</v>
      </c>
      <c r="E135" s="2" t="str">
        <f>"1000013404"</f>
        <v>1000013404</v>
      </c>
      <c r="F135" s="2" t="str">
        <f>"BINDERS:Yel, 1, D, clear view overlay front/back/spine, deluxe, 120pt-Maxtile solid construction"</f>
        <v>BINDERS:Yel, 1, D, clear view overlay front/back/spine, deluxe, 120pt-Maxtile solid construction</v>
      </c>
      <c r="G135" s="3" t="str">
        <f t="shared" si="4"/>
        <v>EA</v>
      </c>
      <c r="H135" s="7">
        <v>5.41</v>
      </c>
      <c r="I135" s="2" t="str">
        <f t="shared" si="5"/>
        <v>44122003</v>
      </c>
      <c r="J135" s="10" t="s">
        <v>76</v>
      </c>
    </row>
    <row r="136" spans="1:10" ht="39">
      <c r="A136" s="24" t="s">
        <v>27</v>
      </c>
      <c r="B136" s="21" t="s">
        <v>325</v>
      </c>
      <c r="C136" s="21">
        <v>3201</v>
      </c>
      <c r="D136" s="21">
        <v>135</v>
      </c>
      <c r="E136" s="21" t="str">
        <f>"1000013405"</f>
        <v>1000013405</v>
      </c>
      <c r="F136" s="21" t="str">
        <f>"BINDERS:Grn, 1, D, clear view overlay front/back/spine, deluxe, 120pt-Maxtile solid construction"</f>
        <v>BINDERS:Grn, 1, D, clear view overlay front/back/spine, deluxe, 120pt-Maxtile solid construction</v>
      </c>
      <c r="G136" s="22" t="str">
        <f t="shared" si="4"/>
        <v>EA</v>
      </c>
      <c r="H136" s="23">
        <v>5.41</v>
      </c>
      <c r="I136" s="21" t="str">
        <f t="shared" si="5"/>
        <v>44122003</v>
      </c>
      <c r="J136" s="25" t="s">
        <v>76</v>
      </c>
    </row>
    <row r="137" spans="1:10" ht="39">
      <c r="A137" s="9" t="s">
        <v>27</v>
      </c>
      <c r="B137" s="2" t="s">
        <v>325</v>
      </c>
      <c r="C137" s="2">
        <v>3201</v>
      </c>
      <c r="D137" s="2">
        <v>136</v>
      </c>
      <c r="E137" s="2" t="str">
        <f>"1000013434"</f>
        <v>1000013434</v>
      </c>
      <c r="F137" s="2" t="str">
        <f>"BINDERS:Burg, 1, D, clear view overlay front/back/spine, deluxe, 120pt-Maxtile solid construction"</f>
        <v>BINDERS:Burg, 1, D, clear view overlay front/back/spine, deluxe, 120pt-Maxtile solid construction</v>
      </c>
      <c r="G137" s="3" t="str">
        <f t="shared" si="4"/>
        <v>EA</v>
      </c>
      <c r="H137" s="7">
        <v>5.41</v>
      </c>
      <c r="I137" s="2" t="str">
        <f t="shared" si="5"/>
        <v>44122003</v>
      </c>
      <c r="J137" s="10" t="s">
        <v>76</v>
      </c>
    </row>
    <row r="138" spans="1:10" ht="39">
      <c r="A138" s="24" t="s">
        <v>27</v>
      </c>
      <c r="B138" s="21" t="s">
        <v>325</v>
      </c>
      <c r="C138" s="21">
        <v>3201</v>
      </c>
      <c r="D138" s="21">
        <v>137</v>
      </c>
      <c r="E138" s="21" t="str">
        <f>"1000013435"</f>
        <v>1000013435</v>
      </c>
      <c r="F138" s="21" t="str">
        <f>"BINDERS:Navy, 1, D, clear view overlay front/back/spine, deluxe, 120pt-Maxtile solid construction"</f>
        <v>BINDERS:Navy, 1, D, clear view overlay front/back/spine, deluxe, 120pt-Maxtile solid construction</v>
      </c>
      <c r="G138" s="22" t="str">
        <f t="shared" si="4"/>
        <v>EA</v>
      </c>
      <c r="H138" s="23">
        <v>5.41</v>
      </c>
      <c r="I138" s="21" t="str">
        <f t="shared" si="5"/>
        <v>44122003</v>
      </c>
      <c r="J138" s="25" t="s">
        <v>76</v>
      </c>
    </row>
    <row r="139" spans="1:10" ht="39">
      <c r="A139" s="9" t="s">
        <v>27</v>
      </c>
      <c r="B139" s="2" t="s">
        <v>325</v>
      </c>
      <c r="C139" s="2">
        <v>3201</v>
      </c>
      <c r="D139" s="2">
        <v>138</v>
      </c>
      <c r="E139" s="2" t="str">
        <f>"1000013498"</f>
        <v>1000013498</v>
      </c>
      <c r="F139" s="2" t="str">
        <f>"BINDERS:Purple, 1, D, clear view overlay front/back/spine, deluxe, 120pt-Maxtile solid construction"</f>
        <v>BINDERS:Purple, 1, D, clear view overlay front/back/spine, deluxe, 120pt-Maxtile solid construction</v>
      </c>
      <c r="G139" s="3" t="str">
        <f t="shared" si="4"/>
        <v>EA</v>
      </c>
      <c r="H139" s="7">
        <v>5.41</v>
      </c>
      <c r="I139" s="2" t="str">
        <f t="shared" si="5"/>
        <v>44122003</v>
      </c>
      <c r="J139" s="10" t="s">
        <v>76</v>
      </c>
    </row>
    <row r="140" spans="1:10" ht="39">
      <c r="A140" s="24" t="s">
        <v>27</v>
      </c>
      <c r="B140" s="21" t="s">
        <v>325</v>
      </c>
      <c r="C140" s="21">
        <v>3201</v>
      </c>
      <c r="D140" s="21">
        <v>139</v>
      </c>
      <c r="E140" s="21" t="str">
        <f>"1000013408"</f>
        <v>1000013408</v>
      </c>
      <c r="F140" s="21" t="str">
        <f>"BINDERS:Blk, 1.5, D slant, deluxe, 120pt-Maxtile solid construction"</f>
        <v>BINDERS:Blk, 1.5, D slant, deluxe, 120pt-Maxtile solid construction</v>
      </c>
      <c r="G140" s="22" t="str">
        <f t="shared" si="4"/>
        <v>EA</v>
      </c>
      <c r="H140" s="23">
        <v>6.4</v>
      </c>
      <c r="I140" s="21" t="str">
        <f t="shared" si="5"/>
        <v>44122003</v>
      </c>
      <c r="J140" s="25" t="s">
        <v>76</v>
      </c>
    </row>
    <row r="141" spans="1:10" ht="39">
      <c r="A141" s="9" t="s">
        <v>27</v>
      </c>
      <c r="B141" s="2" t="s">
        <v>325</v>
      </c>
      <c r="C141" s="2">
        <v>3201</v>
      </c>
      <c r="D141" s="2">
        <v>140</v>
      </c>
      <c r="E141" s="2" t="str">
        <f>"1000013409"</f>
        <v>1000013409</v>
      </c>
      <c r="F141" s="2" t="str">
        <f>"BINDERS:Royl Blu, 1.5, D slant, deluxe, 120pt-Maxtile solid construction"</f>
        <v>BINDERS:Royl Blu, 1.5, D slant, deluxe, 120pt-Maxtile solid construction</v>
      </c>
      <c r="G141" s="3" t="str">
        <f t="shared" si="4"/>
        <v>EA</v>
      </c>
      <c r="H141" s="7">
        <v>6.4</v>
      </c>
      <c r="I141" s="2" t="str">
        <f t="shared" si="5"/>
        <v>44122003</v>
      </c>
      <c r="J141" s="10" t="s">
        <v>76</v>
      </c>
    </row>
    <row r="142" spans="1:10" ht="39">
      <c r="A142" s="24" t="s">
        <v>27</v>
      </c>
      <c r="B142" s="21" t="s">
        <v>325</v>
      </c>
      <c r="C142" s="21">
        <v>3201</v>
      </c>
      <c r="D142" s="21">
        <v>141</v>
      </c>
      <c r="E142" s="21" t="str">
        <f>"1000013410"</f>
        <v>1000013410</v>
      </c>
      <c r="F142" s="21" t="str">
        <f>"BINDERS:Red, 1.5, D slant, deluxe, 120pt-Maxtile solid construction"</f>
        <v>BINDERS:Red, 1.5, D slant, deluxe, 120pt-Maxtile solid construction</v>
      </c>
      <c r="G142" s="22" t="str">
        <f t="shared" si="4"/>
        <v>EA</v>
      </c>
      <c r="H142" s="23">
        <v>6.4</v>
      </c>
      <c r="I142" s="21" t="str">
        <f t="shared" si="5"/>
        <v>44122003</v>
      </c>
      <c r="J142" s="25" t="s">
        <v>76</v>
      </c>
    </row>
    <row r="143" spans="1:10" ht="39">
      <c r="A143" s="9" t="s">
        <v>27</v>
      </c>
      <c r="B143" s="2" t="s">
        <v>325</v>
      </c>
      <c r="C143" s="2">
        <v>3201</v>
      </c>
      <c r="D143" s="2">
        <v>142</v>
      </c>
      <c r="E143" s="2" t="str">
        <f>"1000013411"</f>
        <v>1000013411</v>
      </c>
      <c r="F143" s="2" t="str">
        <f>"BINDERS:Wht, 1.5, D slant, deluxe, 120pt-Maxtile solid construction"</f>
        <v>BINDERS:Wht, 1.5, D slant, deluxe, 120pt-Maxtile solid construction</v>
      </c>
      <c r="G143" s="3" t="str">
        <f t="shared" si="4"/>
        <v>EA</v>
      </c>
      <c r="H143" s="7">
        <v>6.4</v>
      </c>
      <c r="I143" s="2" t="str">
        <f t="shared" si="5"/>
        <v>44122003</v>
      </c>
      <c r="J143" s="10" t="s">
        <v>76</v>
      </c>
    </row>
    <row r="144" spans="1:10" ht="39">
      <c r="A144" s="24" t="s">
        <v>27</v>
      </c>
      <c r="B144" s="21" t="s">
        <v>325</v>
      </c>
      <c r="C144" s="21">
        <v>3201</v>
      </c>
      <c r="D144" s="21">
        <v>143</v>
      </c>
      <c r="E144" s="21" t="str">
        <f>"1000013412"</f>
        <v>1000013412</v>
      </c>
      <c r="F144" s="21" t="str">
        <f>"BINDERS:Lt Gry, 1.5, D slant, deluxe, 120pt-Maxtile solid construction"</f>
        <v>BINDERS:Lt Gry, 1.5, D slant, deluxe, 120pt-Maxtile solid construction</v>
      </c>
      <c r="G144" s="22" t="str">
        <f t="shared" si="4"/>
        <v>EA</v>
      </c>
      <c r="H144" s="23">
        <v>6.4</v>
      </c>
      <c r="I144" s="21" t="str">
        <f t="shared" si="5"/>
        <v>44122003</v>
      </c>
      <c r="J144" s="25" t="s">
        <v>76</v>
      </c>
    </row>
    <row r="145" spans="1:10" ht="39">
      <c r="A145" s="9" t="s">
        <v>27</v>
      </c>
      <c r="B145" s="2" t="s">
        <v>325</v>
      </c>
      <c r="C145" s="2">
        <v>3201</v>
      </c>
      <c r="D145" s="2">
        <v>144</v>
      </c>
      <c r="E145" s="2" t="str">
        <f>"1000013413"</f>
        <v>1000013413</v>
      </c>
      <c r="F145" s="2" t="str">
        <f>"BINDERS:Orng, 1.5, D slant, deluxe, 120pt-Maxtile solid construction"</f>
        <v>BINDERS:Orng, 1.5, D slant, deluxe, 120pt-Maxtile solid construction</v>
      </c>
      <c r="G145" s="3" t="str">
        <f t="shared" si="4"/>
        <v>EA</v>
      </c>
      <c r="H145" s="7">
        <v>6.4</v>
      </c>
      <c r="I145" s="2" t="str">
        <f t="shared" si="5"/>
        <v>44122003</v>
      </c>
      <c r="J145" s="10" t="s">
        <v>76</v>
      </c>
    </row>
    <row r="146" spans="1:10" ht="39">
      <c r="A146" s="24" t="s">
        <v>27</v>
      </c>
      <c r="B146" s="21" t="s">
        <v>325</v>
      </c>
      <c r="C146" s="21">
        <v>3201</v>
      </c>
      <c r="D146" s="21">
        <v>145</v>
      </c>
      <c r="E146" s="21" t="str">
        <f>"1000013414"</f>
        <v>1000013414</v>
      </c>
      <c r="F146" s="21" t="str">
        <f>"BINDERS:Yel, 1.5, D slant, deluxe, 120pt-Maxtile solid construction"</f>
        <v>BINDERS:Yel, 1.5, D slant, deluxe, 120pt-Maxtile solid construction</v>
      </c>
      <c r="G146" s="22" t="str">
        <f t="shared" si="4"/>
        <v>EA</v>
      </c>
      <c r="H146" s="23">
        <v>6.4</v>
      </c>
      <c r="I146" s="21" t="str">
        <f t="shared" si="5"/>
        <v>44122003</v>
      </c>
      <c r="J146" s="25" t="s">
        <v>76</v>
      </c>
    </row>
    <row r="147" spans="1:10" ht="39">
      <c r="A147" s="9" t="s">
        <v>27</v>
      </c>
      <c r="B147" s="2" t="s">
        <v>325</v>
      </c>
      <c r="C147" s="2">
        <v>3201</v>
      </c>
      <c r="D147" s="2">
        <v>146</v>
      </c>
      <c r="E147" s="2" t="str">
        <f>"1000013415"</f>
        <v>1000013415</v>
      </c>
      <c r="F147" s="2" t="str">
        <f>"BINDERS:Grn, 1.5, D slant, deluxe, 120pt-Maxtile solid construction"</f>
        <v>BINDERS:Grn, 1.5, D slant, deluxe, 120pt-Maxtile solid construction</v>
      </c>
      <c r="G147" s="3" t="str">
        <f t="shared" si="4"/>
        <v>EA</v>
      </c>
      <c r="H147" s="7">
        <v>6.4</v>
      </c>
      <c r="I147" s="2" t="str">
        <f t="shared" si="5"/>
        <v>44122003</v>
      </c>
      <c r="J147" s="10" t="s">
        <v>76</v>
      </c>
    </row>
    <row r="148" spans="1:10" ht="39">
      <c r="A148" s="24" t="s">
        <v>27</v>
      </c>
      <c r="B148" s="21" t="s">
        <v>325</v>
      </c>
      <c r="C148" s="21">
        <v>3201</v>
      </c>
      <c r="D148" s="21">
        <v>147</v>
      </c>
      <c r="E148" s="21" t="str">
        <f>"1000013416"</f>
        <v>1000013416</v>
      </c>
      <c r="F148" s="21" t="str">
        <f>"BINDERS:Burg, 1.5, D slant, deluxe, 120pt-Maxtile solid construction"</f>
        <v>BINDERS:Burg, 1.5, D slant, deluxe, 120pt-Maxtile solid construction</v>
      </c>
      <c r="G148" s="22" t="str">
        <f t="shared" si="4"/>
        <v>EA</v>
      </c>
      <c r="H148" s="23">
        <v>6.4</v>
      </c>
      <c r="I148" s="21" t="str">
        <f t="shared" si="5"/>
        <v>44122003</v>
      </c>
      <c r="J148" s="25" t="s">
        <v>76</v>
      </c>
    </row>
    <row r="149" spans="1:10" ht="39">
      <c r="A149" s="9" t="s">
        <v>27</v>
      </c>
      <c r="B149" s="2" t="s">
        <v>325</v>
      </c>
      <c r="C149" s="2">
        <v>3201</v>
      </c>
      <c r="D149" s="2">
        <v>148</v>
      </c>
      <c r="E149" s="2" t="str">
        <f>"1000013417"</f>
        <v>1000013417</v>
      </c>
      <c r="F149" s="2" t="str">
        <f>"BINDERS:Navy, 1.5, D slant, deluxe, 120pt-Maxtile solid construction"</f>
        <v>BINDERS:Navy, 1.5, D slant, deluxe, 120pt-Maxtile solid construction</v>
      </c>
      <c r="G149" s="3" t="str">
        <f t="shared" si="4"/>
        <v>EA</v>
      </c>
      <c r="H149" s="7">
        <v>6.4</v>
      </c>
      <c r="I149" s="2" t="str">
        <f t="shared" si="5"/>
        <v>44122003</v>
      </c>
      <c r="J149" s="10" t="s">
        <v>76</v>
      </c>
    </row>
    <row r="150" spans="1:10" ht="39">
      <c r="A150" s="24" t="s">
        <v>27</v>
      </c>
      <c r="B150" s="21" t="s">
        <v>325</v>
      </c>
      <c r="C150" s="21">
        <v>3201</v>
      </c>
      <c r="D150" s="21">
        <v>149</v>
      </c>
      <c r="E150" s="21" t="str">
        <f>"1000013499"</f>
        <v>1000013499</v>
      </c>
      <c r="F150" s="21" t="str">
        <f>"BINDERS:Purple, 1.5, D slant, deluxe, 120pt-Maxtile solid construction"</f>
        <v>BINDERS:Purple, 1.5, D slant, deluxe, 120pt-Maxtile solid construction</v>
      </c>
      <c r="G150" s="22" t="str">
        <f t="shared" si="4"/>
        <v>EA</v>
      </c>
      <c r="H150" s="23">
        <v>6.4</v>
      </c>
      <c r="I150" s="21" t="str">
        <f t="shared" si="5"/>
        <v>44122003</v>
      </c>
      <c r="J150" s="25" t="s">
        <v>76</v>
      </c>
    </row>
    <row r="151" spans="1:10" ht="39">
      <c r="A151" s="9" t="s">
        <v>27</v>
      </c>
      <c r="B151" s="2" t="s">
        <v>325</v>
      </c>
      <c r="C151" s="2">
        <v>3201</v>
      </c>
      <c r="D151" s="2">
        <v>150</v>
      </c>
      <c r="E151" s="2" t="str">
        <f>"1000013418"</f>
        <v>1000013418</v>
      </c>
      <c r="F151" s="2" t="str">
        <f>"BINDERS:Blk, 1.5, D, clear view overlay front/back/spine, deluxe, 120pt-Maxtile solid construction"</f>
        <v>BINDERS:Blk, 1.5, D, clear view overlay front/back/spine, deluxe, 120pt-Maxtile solid construction</v>
      </c>
      <c r="G151" s="3" t="str">
        <f t="shared" si="4"/>
        <v>EA</v>
      </c>
      <c r="H151" s="7">
        <v>6.74</v>
      </c>
      <c r="I151" s="2" t="str">
        <f t="shared" si="5"/>
        <v>44122003</v>
      </c>
      <c r="J151" s="10" t="s">
        <v>76</v>
      </c>
    </row>
    <row r="152" spans="1:10" ht="39">
      <c r="A152" s="24" t="s">
        <v>27</v>
      </c>
      <c r="B152" s="21" t="s">
        <v>325</v>
      </c>
      <c r="C152" s="21">
        <v>3201</v>
      </c>
      <c r="D152" s="21">
        <v>151</v>
      </c>
      <c r="E152" s="21" t="str">
        <f>"1000013419"</f>
        <v>1000013419</v>
      </c>
      <c r="F152" s="21" t="str">
        <f>"BINDERS:Royl Blu, 1.5, D, clear view overlay front/back/spine, deluxe, 120pt-Maxtile solid construction"</f>
        <v>BINDERS:Royl Blu, 1.5, D, clear view overlay front/back/spine, deluxe, 120pt-Maxtile solid construction</v>
      </c>
      <c r="G152" s="22" t="str">
        <f t="shared" si="4"/>
        <v>EA</v>
      </c>
      <c r="H152" s="23">
        <v>6.74</v>
      </c>
      <c r="I152" s="21" t="str">
        <f t="shared" si="5"/>
        <v>44122003</v>
      </c>
      <c r="J152" s="25" t="s">
        <v>76</v>
      </c>
    </row>
    <row r="153" spans="1:10" ht="39">
      <c r="A153" s="9" t="s">
        <v>27</v>
      </c>
      <c r="B153" s="2" t="s">
        <v>325</v>
      </c>
      <c r="C153" s="2">
        <v>3201</v>
      </c>
      <c r="D153" s="2">
        <v>152</v>
      </c>
      <c r="E153" s="2" t="str">
        <f>"1000013448"</f>
        <v>1000013448</v>
      </c>
      <c r="F153" s="2" t="str">
        <f>"BINDERS:Red, 1.5, D, clear view overlay front/back/spine, deluxe, 120pt-Maxtile solid construction"</f>
        <v>BINDERS:Red, 1.5, D, clear view overlay front/back/spine, deluxe, 120pt-Maxtile solid construction</v>
      </c>
      <c r="G153" s="3" t="str">
        <f t="shared" si="4"/>
        <v>EA</v>
      </c>
      <c r="H153" s="7">
        <v>6.74</v>
      </c>
      <c r="I153" s="2" t="str">
        <f t="shared" si="5"/>
        <v>44122003</v>
      </c>
      <c r="J153" s="10" t="s">
        <v>76</v>
      </c>
    </row>
    <row r="154" spans="1:10" ht="39">
      <c r="A154" s="24" t="s">
        <v>27</v>
      </c>
      <c r="B154" s="21" t="s">
        <v>325</v>
      </c>
      <c r="C154" s="21">
        <v>3201</v>
      </c>
      <c r="D154" s="21">
        <v>153</v>
      </c>
      <c r="E154" s="21" t="str">
        <f>"1000013449"</f>
        <v>1000013449</v>
      </c>
      <c r="F154" s="21" t="str">
        <f>"BINDERS:Wht, 1.5, D, clear view overlay front/back/spine, deluxe, 120pt-Maxtile solid construction"</f>
        <v>BINDERS:Wht, 1.5, D, clear view overlay front/back/spine, deluxe, 120pt-Maxtile solid construction</v>
      </c>
      <c r="G154" s="22" t="str">
        <f t="shared" si="4"/>
        <v>EA</v>
      </c>
      <c r="H154" s="23">
        <v>6.74</v>
      </c>
      <c r="I154" s="21" t="str">
        <f t="shared" si="5"/>
        <v>44122003</v>
      </c>
      <c r="J154" s="25" t="s">
        <v>76</v>
      </c>
    </row>
    <row r="155" spans="1:10" ht="39">
      <c r="A155" s="9" t="s">
        <v>27</v>
      </c>
      <c r="B155" s="2" t="s">
        <v>325</v>
      </c>
      <c r="C155" s="2">
        <v>3201</v>
      </c>
      <c r="D155" s="2">
        <v>154</v>
      </c>
      <c r="E155" s="2" t="str">
        <f>"1000013422"</f>
        <v>1000013422</v>
      </c>
      <c r="F155" s="2" t="str">
        <f>"BINDERS:Lt Gray, 1.5, D, clear view overlay front/back/spine, deluxe, 120pt-Maxtile solid construction"</f>
        <v>BINDERS:Lt Gray, 1.5, D, clear view overlay front/back/spine, deluxe, 120pt-Maxtile solid construction</v>
      </c>
      <c r="G155" s="3" t="str">
        <f t="shared" si="4"/>
        <v>EA</v>
      </c>
      <c r="H155" s="7">
        <v>6.74</v>
      </c>
      <c r="I155" s="2" t="str">
        <f t="shared" si="5"/>
        <v>44122003</v>
      </c>
      <c r="J155" s="10" t="s">
        <v>76</v>
      </c>
    </row>
    <row r="156" spans="1:10" ht="39">
      <c r="A156" s="24" t="s">
        <v>27</v>
      </c>
      <c r="B156" s="21" t="s">
        <v>325</v>
      </c>
      <c r="C156" s="21">
        <v>3201</v>
      </c>
      <c r="D156" s="21">
        <v>155</v>
      </c>
      <c r="E156" s="21" t="str">
        <f>"1000013423"</f>
        <v>1000013423</v>
      </c>
      <c r="F156" s="21" t="str">
        <f>"BINDERS:Orng, 1.5, D, clear view overlay front/back/spine, deluxe, 120pt-Maxtile solid construction"</f>
        <v>BINDERS:Orng, 1.5, D, clear view overlay front/back/spine, deluxe, 120pt-Maxtile solid construction</v>
      </c>
      <c r="G156" s="22" t="str">
        <f t="shared" si="4"/>
        <v>EA</v>
      </c>
      <c r="H156" s="23">
        <v>6.74</v>
      </c>
      <c r="I156" s="21" t="str">
        <f t="shared" si="5"/>
        <v>44122003</v>
      </c>
      <c r="J156" s="25" t="s">
        <v>76</v>
      </c>
    </row>
    <row r="157" spans="1:10" ht="39">
      <c r="A157" s="9" t="s">
        <v>27</v>
      </c>
      <c r="B157" s="2" t="s">
        <v>325</v>
      </c>
      <c r="C157" s="2">
        <v>3201</v>
      </c>
      <c r="D157" s="2">
        <v>156</v>
      </c>
      <c r="E157" s="2" t="str">
        <f>"1000013424"</f>
        <v>1000013424</v>
      </c>
      <c r="F157" s="2" t="str">
        <f>"BINDERS:Yel, 1.5, D, clear view overlay front/back/spine, deluxe, 120pt-Maxtile solid construction"</f>
        <v>BINDERS:Yel, 1.5, D, clear view overlay front/back/spine, deluxe, 120pt-Maxtile solid construction</v>
      </c>
      <c r="G157" s="3" t="str">
        <f t="shared" si="4"/>
        <v>EA</v>
      </c>
      <c r="H157" s="7">
        <v>6.74</v>
      </c>
      <c r="I157" s="2" t="str">
        <f t="shared" si="5"/>
        <v>44122003</v>
      </c>
      <c r="J157" s="10" t="s">
        <v>76</v>
      </c>
    </row>
    <row r="158" spans="1:10" ht="39">
      <c r="A158" s="24" t="s">
        <v>27</v>
      </c>
      <c r="B158" s="21" t="s">
        <v>325</v>
      </c>
      <c r="C158" s="21">
        <v>3201</v>
      </c>
      <c r="D158" s="21">
        <v>157</v>
      </c>
      <c r="E158" s="21" t="str">
        <f>"1000013425"</f>
        <v>1000013425</v>
      </c>
      <c r="F158" s="21" t="str">
        <f>"BINDERS:Grn, 1.5, D, clear view overlay front/back/spine, deluxe, 120pt-Maxtile solid construction"</f>
        <v>BINDERS:Grn, 1.5, D, clear view overlay front/back/spine, deluxe, 120pt-Maxtile solid construction</v>
      </c>
      <c r="G158" s="22" t="str">
        <f t="shared" si="4"/>
        <v>EA</v>
      </c>
      <c r="H158" s="23">
        <v>6.74</v>
      </c>
      <c r="I158" s="21" t="str">
        <f t="shared" si="5"/>
        <v>44122003</v>
      </c>
      <c r="J158" s="25" t="s">
        <v>76</v>
      </c>
    </row>
    <row r="159" spans="1:10" ht="39">
      <c r="A159" s="9" t="s">
        <v>27</v>
      </c>
      <c r="B159" s="2" t="s">
        <v>325</v>
      </c>
      <c r="C159" s="2">
        <v>3201</v>
      </c>
      <c r="D159" s="2">
        <v>158</v>
      </c>
      <c r="E159" s="2" t="str">
        <f>"1000013426"</f>
        <v>1000013426</v>
      </c>
      <c r="F159" s="2" t="str">
        <f>"BINDERS:Burg, 1.5, D, clear view overlay front/back/spine, deluxe, 120pt-Maxtile solid construction"</f>
        <v>BINDERS:Burg, 1.5, D, clear view overlay front/back/spine, deluxe, 120pt-Maxtile solid construction</v>
      </c>
      <c r="G159" s="3" t="str">
        <f t="shared" si="4"/>
        <v>EA</v>
      </c>
      <c r="H159" s="7">
        <v>6.74</v>
      </c>
      <c r="I159" s="2" t="str">
        <f t="shared" si="5"/>
        <v>44122003</v>
      </c>
      <c r="J159" s="10" t="s">
        <v>76</v>
      </c>
    </row>
    <row r="160" spans="1:10" ht="39">
      <c r="A160" s="24" t="s">
        <v>27</v>
      </c>
      <c r="B160" s="21" t="s">
        <v>325</v>
      </c>
      <c r="C160" s="21">
        <v>3201</v>
      </c>
      <c r="D160" s="21">
        <v>159</v>
      </c>
      <c r="E160" s="21" t="str">
        <f>"1000013427"</f>
        <v>1000013427</v>
      </c>
      <c r="F160" s="21" t="str">
        <f>"BINDERS:Navy, 1.5, D, clear view overlay front/back/spine, deluxe, 120pt-Maxtile solid construction"</f>
        <v>BINDERS:Navy, 1.5, D, clear view overlay front/back/spine, deluxe, 120pt-Maxtile solid construction</v>
      </c>
      <c r="G160" s="22" t="str">
        <f t="shared" si="4"/>
        <v>EA</v>
      </c>
      <c r="H160" s="23">
        <v>6.74</v>
      </c>
      <c r="I160" s="21" t="str">
        <f t="shared" si="5"/>
        <v>44122003</v>
      </c>
      <c r="J160" s="25" t="s">
        <v>76</v>
      </c>
    </row>
    <row r="161" spans="1:10" ht="39">
      <c r="A161" s="9" t="s">
        <v>27</v>
      </c>
      <c r="B161" s="2" t="s">
        <v>325</v>
      </c>
      <c r="C161" s="2">
        <v>3201</v>
      </c>
      <c r="D161" s="2">
        <v>160</v>
      </c>
      <c r="E161" s="2" t="str">
        <f>"1000013500"</f>
        <v>1000013500</v>
      </c>
      <c r="F161" s="2" t="str">
        <f>"BINDERS:Purple, 1.5, D, clear view overlay front/back/spine, deluxe, 120pt-Maxtile solid construction"</f>
        <v>BINDERS:Purple, 1.5, D, clear view overlay front/back/spine, deluxe, 120pt-Maxtile solid construction</v>
      </c>
      <c r="G161" s="3" t="str">
        <f t="shared" si="4"/>
        <v>EA</v>
      </c>
      <c r="H161" s="7">
        <v>6.74</v>
      </c>
      <c r="I161" s="2" t="str">
        <f t="shared" si="5"/>
        <v>44122003</v>
      </c>
      <c r="J161" s="10" t="s">
        <v>76</v>
      </c>
    </row>
    <row r="162" spans="1:10" ht="39">
      <c r="A162" s="24" t="s">
        <v>27</v>
      </c>
      <c r="B162" s="21" t="s">
        <v>325</v>
      </c>
      <c r="C162" s="21">
        <v>3201</v>
      </c>
      <c r="D162" s="21">
        <v>161</v>
      </c>
      <c r="E162" s="21" t="str">
        <f>"1000013428"</f>
        <v>1000013428</v>
      </c>
      <c r="F162" s="21" t="str">
        <f>"BINDERS:Blk, 2, D slant, deluxe, 120pt-Maxtile solid construction"</f>
        <v>BINDERS:Blk, 2, D slant, deluxe, 120pt-Maxtile solid construction</v>
      </c>
      <c r="G162" s="22" t="str">
        <f t="shared" si="4"/>
        <v>EA</v>
      </c>
      <c r="H162" s="23">
        <v>6.56</v>
      </c>
      <c r="I162" s="21" t="str">
        <f t="shared" si="5"/>
        <v>44122003</v>
      </c>
      <c r="J162" s="25" t="s">
        <v>76</v>
      </c>
    </row>
    <row r="163" spans="1:10" ht="39">
      <c r="A163" s="9" t="s">
        <v>27</v>
      </c>
      <c r="B163" s="2" t="s">
        <v>325</v>
      </c>
      <c r="C163" s="2">
        <v>3201</v>
      </c>
      <c r="D163" s="2">
        <v>162</v>
      </c>
      <c r="E163" s="2" t="str">
        <f>"1000013429"</f>
        <v>1000013429</v>
      </c>
      <c r="F163" s="2" t="str">
        <f>"BINDERS:Royl Blu, 2, D slant, deluxe, 120pt-Maxtile solid construction"</f>
        <v>BINDERS:Royl Blu, 2, D slant, deluxe, 120pt-Maxtile solid construction</v>
      </c>
      <c r="G163" s="3" t="str">
        <f t="shared" si="4"/>
        <v>EA</v>
      </c>
      <c r="H163" s="7">
        <v>6.56</v>
      </c>
      <c r="I163" s="2" t="str">
        <f t="shared" si="5"/>
        <v>44122003</v>
      </c>
      <c r="J163" s="10" t="s">
        <v>76</v>
      </c>
    </row>
    <row r="164" spans="1:10" ht="39">
      <c r="A164" s="24" t="s">
        <v>27</v>
      </c>
      <c r="B164" s="21" t="s">
        <v>325</v>
      </c>
      <c r="C164" s="21">
        <v>3201</v>
      </c>
      <c r="D164" s="21">
        <v>163</v>
      </c>
      <c r="E164" s="21" t="str">
        <f>"1000013430"</f>
        <v>1000013430</v>
      </c>
      <c r="F164" s="21" t="str">
        <f>"BINDERS:Red, 2, D slant, deluxe, 120pt-Maxtile solid construction"</f>
        <v>BINDERS:Red, 2, D slant, deluxe, 120pt-Maxtile solid construction</v>
      </c>
      <c r="G164" s="22" t="str">
        <f t="shared" si="4"/>
        <v>EA</v>
      </c>
      <c r="H164" s="23">
        <v>6.56</v>
      </c>
      <c r="I164" s="21" t="str">
        <f t="shared" si="5"/>
        <v>44122003</v>
      </c>
      <c r="J164" s="25" t="s">
        <v>76</v>
      </c>
    </row>
    <row r="165" spans="1:10" ht="39">
      <c r="A165" s="9" t="s">
        <v>27</v>
      </c>
      <c r="B165" s="2" t="s">
        <v>325</v>
      </c>
      <c r="C165" s="2">
        <v>3201</v>
      </c>
      <c r="D165" s="2">
        <v>164</v>
      </c>
      <c r="E165" s="2" t="str">
        <f>"1000013431"</f>
        <v>1000013431</v>
      </c>
      <c r="F165" s="2" t="str">
        <f>"BINDERS:Wht, 2, D slant, deluxe, 120pt-Maxtile solid construction"</f>
        <v>BINDERS:Wht, 2, D slant, deluxe, 120pt-Maxtile solid construction</v>
      </c>
      <c r="G165" s="3" t="str">
        <f t="shared" si="4"/>
        <v>EA</v>
      </c>
      <c r="H165" s="7">
        <v>6.56</v>
      </c>
      <c r="I165" s="2" t="str">
        <f t="shared" si="5"/>
        <v>44122003</v>
      </c>
      <c r="J165" s="10" t="s">
        <v>76</v>
      </c>
    </row>
    <row r="166" spans="1:10" ht="39">
      <c r="A166" s="24" t="s">
        <v>27</v>
      </c>
      <c r="B166" s="21" t="s">
        <v>325</v>
      </c>
      <c r="C166" s="21">
        <v>3201</v>
      </c>
      <c r="D166" s="21">
        <v>165</v>
      </c>
      <c r="E166" s="21" t="str">
        <f>"1000013432"</f>
        <v>1000013432</v>
      </c>
      <c r="F166" s="21" t="str">
        <f>"BINDERS:Lt Gray, 2, D slant, deluxe, 120pt-Maxtile solid construction"</f>
        <v>BINDERS:Lt Gray, 2, D slant, deluxe, 120pt-Maxtile solid construction</v>
      </c>
      <c r="G166" s="22" t="str">
        <f t="shared" si="4"/>
        <v>EA</v>
      </c>
      <c r="H166" s="23">
        <v>6.56</v>
      </c>
      <c r="I166" s="21" t="str">
        <f t="shared" si="5"/>
        <v>44122003</v>
      </c>
      <c r="J166" s="25" t="s">
        <v>76</v>
      </c>
    </row>
    <row r="167" spans="1:10" ht="39">
      <c r="A167" s="9" t="s">
        <v>27</v>
      </c>
      <c r="B167" s="2" t="s">
        <v>325</v>
      </c>
      <c r="C167" s="2">
        <v>3201</v>
      </c>
      <c r="D167" s="2">
        <v>166</v>
      </c>
      <c r="E167" s="2" t="str">
        <f>"1000013433"</f>
        <v>1000013433</v>
      </c>
      <c r="F167" s="2" t="str">
        <f>"BINDERS:Orng, 2, D slant, deluxe, 120pt-Maxtile solid construction"</f>
        <v>BINDERS:Orng, 2, D slant, deluxe, 120pt-Maxtile solid construction</v>
      </c>
      <c r="G167" s="3" t="str">
        <f t="shared" si="4"/>
        <v>EA</v>
      </c>
      <c r="H167" s="7">
        <v>6.56</v>
      </c>
      <c r="I167" s="2" t="str">
        <f t="shared" si="5"/>
        <v>44122003</v>
      </c>
      <c r="J167" s="10" t="s">
        <v>76</v>
      </c>
    </row>
    <row r="168" spans="1:10" ht="39">
      <c r="A168" s="24" t="s">
        <v>27</v>
      </c>
      <c r="B168" s="21" t="s">
        <v>325</v>
      </c>
      <c r="C168" s="21">
        <v>3201</v>
      </c>
      <c r="D168" s="21">
        <v>167</v>
      </c>
      <c r="E168" s="21" t="str">
        <f>"1000013462"</f>
        <v>1000013462</v>
      </c>
      <c r="F168" s="21" t="str">
        <f>"BINDERS:Yel, 2, D slant, deluxe, 120pt-Maxtile solid construction"</f>
        <v>BINDERS:Yel, 2, D slant, deluxe, 120pt-Maxtile solid construction</v>
      </c>
      <c r="G168" s="22" t="str">
        <f t="shared" si="4"/>
        <v>EA</v>
      </c>
      <c r="H168" s="23">
        <v>6.56</v>
      </c>
      <c r="I168" s="21" t="str">
        <f t="shared" si="5"/>
        <v>44122003</v>
      </c>
      <c r="J168" s="25" t="s">
        <v>76</v>
      </c>
    </row>
    <row r="169" spans="1:10" ht="39">
      <c r="A169" s="9" t="s">
        <v>27</v>
      </c>
      <c r="B169" s="2" t="s">
        <v>325</v>
      </c>
      <c r="C169" s="2">
        <v>3201</v>
      </c>
      <c r="D169" s="2">
        <v>168</v>
      </c>
      <c r="E169" s="2" t="str">
        <f>"1000013463"</f>
        <v>1000013463</v>
      </c>
      <c r="F169" s="2" t="str">
        <f>"BINDERS:Grn, 2, D slant, deluxe, 120pt-Maxtile solid construction"</f>
        <v>BINDERS:Grn, 2, D slant, deluxe, 120pt-Maxtile solid construction</v>
      </c>
      <c r="G169" s="3" t="str">
        <f t="shared" si="4"/>
        <v>EA</v>
      </c>
      <c r="H169" s="7">
        <v>6.56</v>
      </c>
      <c r="I169" s="2" t="str">
        <f t="shared" si="5"/>
        <v>44122003</v>
      </c>
      <c r="J169" s="10" t="s">
        <v>76</v>
      </c>
    </row>
    <row r="170" spans="1:10" ht="39">
      <c r="A170" s="24" t="s">
        <v>27</v>
      </c>
      <c r="B170" s="21" t="s">
        <v>325</v>
      </c>
      <c r="C170" s="21">
        <v>3201</v>
      </c>
      <c r="D170" s="21">
        <v>169</v>
      </c>
      <c r="E170" s="21" t="str">
        <f>"1000013436"</f>
        <v>1000013436</v>
      </c>
      <c r="F170" s="21" t="str">
        <f>"BINDERS:Burg, 2, D slant, deluxe, 120pt-Maxtile solid construction"</f>
        <v>BINDERS:Burg, 2, D slant, deluxe, 120pt-Maxtile solid construction</v>
      </c>
      <c r="G170" s="22" t="str">
        <f t="shared" si="4"/>
        <v>EA</v>
      </c>
      <c r="H170" s="23">
        <v>6.56</v>
      </c>
      <c r="I170" s="21" t="str">
        <f t="shared" si="5"/>
        <v>44122003</v>
      </c>
      <c r="J170" s="25" t="s">
        <v>76</v>
      </c>
    </row>
    <row r="171" spans="1:10" ht="39">
      <c r="A171" s="9" t="s">
        <v>27</v>
      </c>
      <c r="B171" s="2" t="s">
        <v>325</v>
      </c>
      <c r="C171" s="2">
        <v>3201</v>
      </c>
      <c r="D171" s="2">
        <v>170</v>
      </c>
      <c r="E171" s="2" t="str">
        <f>"1000013437"</f>
        <v>1000013437</v>
      </c>
      <c r="F171" s="2" t="str">
        <f>"BINDERS:Navy, 2, D slant, deluxe, 120pt-Maxtile solid construction"</f>
        <v>BINDERS:Navy, 2, D slant, deluxe, 120pt-Maxtile solid construction</v>
      </c>
      <c r="G171" s="3" t="str">
        <f t="shared" si="4"/>
        <v>EA</v>
      </c>
      <c r="H171" s="7">
        <v>6.56</v>
      </c>
      <c r="I171" s="2" t="str">
        <f t="shared" si="5"/>
        <v>44122003</v>
      </c>
      <c r="J171" s="10" t="s">
        <v>76</v>
      </c>
    </row>
    <row r="172" spans="1:10" ht="39">
      <c r="A172" s="24" t="s">
        <v>27</v>
      </c>
      <c r="B172" s="21" t="s">
        <v>325</v>
      </c>
      <c r="C172" s="21">
        <v>3201</v>
      </c>
      <c r="D172" s="21">
        <v>171</v>
      </c>
      <c r="E172" s="21" t="str">
        <f>"1000013501"</f>
        <v>1000013501</v>
      </c>
      <c r="F172" s="21" t="str">
        <f>"BINDERS:Purple, 2, D slant, deluxe, 120pt-Maxtile solid construction"</f>
        <v>BINDERS:Purple, 2, D slant, deluxe, 120pt-Maxtile solid construction</v>
      </c>
      <c r="G172" s="22" t="str">
        <f t="shared" si="4"/>
        <v>EA</v>
      </c>
      <c r="H172" s="23">
        <v>6.56</v>
      </c>
      <c r="I172" s="21" t="str">
        <f t="shared" si="5"/>
        <v>44122003</v>
      </c>
      <c r="J172" s="25" t="s">
        <v>76</v>
      </c>
    </row>
    <row r="173" spans="1:10" ht="39">
      <c r="A173" s="9" t="s">
        <v>27</v>
      </c>
      <c r="B173" s="2" t="s">
        <v>325</v>
      </c>
      <c r="C173" s="2">
        <v>3201</v>
      </c>
      <c r="D173" s="2">
        <v>172</v>
      </c>
      <c r="E173" s="2" t="str">
        <f>"1000013438"</f>
        <v>1000013438</v>
      </c>
      <c r="F173" s="2" t="str">
        <f>"BINDERS:Blk, 2, D, clear view overlay front/back/spine, deluxe, 120pt-Maxtile solid construction"</f>
        <v>BINDERS:Blk, 2, D, clear view overlay front/back/spine, deluxe, 120pt-Maxtile solid construction</v>
      </c>
      <c r="G173" s="3" t="str">
        <f t="shared" si="4"/>
        <v>EA</v>
      </c>
      <c r="H173" s="7">
        <v>7.1</v>
      </c>
      <c r="I173" s="2" t="str">
        <f t="shared" si="5"/>
        <v>44122003</v>
      </c>
      <c r="J173" s="10" t="s">
        <v>76</v>
      </c>
    </row>
    <row r="174" spans="1:10" ht="39">
      <c r="A174" s="24" t="s">
        <v>27</v>
      </c>
      <c r="B174" s="21" t="s">
        <v>325</v>
      </c>
      <c r="C174" s="21">
        <v>3201</v>
      </c>
      <c r="D174" s="21">
        <v>173</v>
      </c>
      <c r="E174" s="21" t="str">
        <f>"1000013439"</f>
        <v>1000013439</v>
      </c>
      <c r="F174" s="21" t="str">
        <f>"BINDERS:Royl Blu, 2, D, clear view overlay front/back/spine, deluxe, 120pt-Maxtile solid construction"</f>
        <v>BINDERS:Royl Blu, 2, D, clear view overlay front/back/spine, deluxe, 120pt-Maxtile solid construction</v>
      </c>
      <c r="G174" s="22" t="str">
        <f t="shared" si="4"/>
        <v>EA</v>
      </c>
      <c r="H174" s="23">
        <v>7.1</v>
      </c>
      <c r="I174" s="21" t="str">
        <f t="shared" si="5"/>
        <v>44122003</v>
      </c>
      <c r="J174" s="25" t="s">
        <v>76</v>
      </c>
    </row>
    <row r="175" spans="1:10" ht="39">
      <c r="A175" s="9" t="s">
        <v>27</v>
      </c>
      <c r="B175" s="2" t="s">
        <v>325</v>
      </c>
      <c r="C175" s="2">
        <v>3201</v>
      </c>
      <c r="D175" s="2">
        <v>174</v>
      </c>
      <c r="E175" s="2" t="str">
        <f>"1000013440"</f>
        <v>1000013440</v>
      </c>
      <c r="F175" s="2" t="str">
        <f>"BINDERS:Red, 2, D, clear view overlay front/back/spine, deluxe, 120pt-Maxtile solid construction"</f>
        <v>BINDERS:Red, 2, D, clear view overlay front/back/spine, deluxe, 120pt-Maxtile solid construction</v>
      </c>
      <c r="G175" s="3" t="str">
        <f t="shared" si="4"/>
        <v>EA</v>
      </c>
      <c r="H175" s="7">
        <v>7.1</v>
      </c>
      <c r="I175" s="2" t="str">
        <f t="shared" si="5"/>
        <v>44122003</v>
      </c>
      <c r="J175" s="10" t="s">
        <v>76</v>
      </c>
    </row>
    <row r="176" spans="1:10" ht="39">
      <c r="A176" s="24" t="s">
        <v>27</v>
      </c>
      <c r="B176" s="21" t="s">
        <v>325</v>
      </c>
      <c r="C176" s="21">
        <v>3201</v>
      </c>
      <c r="D176" s="21">
        <v>175</v>
      </c>
      <c r="E176" s="21" t="str">
        <f>"1000013441"</f>
        <v>1000013441</v>
      </c>
      <c r="F176" s="21" t="str">
        <f>"BINDERS:Wht, 2, D, clear view overlay front/back/spine, deluxe, 120pt-Maxtile solid construction"</f>
        <v>BINDERS:Wht, 2, D, clear view overlay front/back/spine, deluxe, 120pt-Maxtile solid construction</v>
      </c>
      <c r="G176" s="22" t="str">
        <f t="shared" si="4"/>
        <v>EA</v>
      </c>
      <c r="H176" s="23">
        <v>7.1</v>
      </c>
      <c r="I176" s="21" t="str">
        <f t="shared" si="5"/>
        <v>44122003</v>
      </c>
      <c r="J176" s="25" t="s">
        <v>76</v>
      </c>
    </row>
    <row r="177" spans="1:10" ht="39">
      <c r="A177" s="9" t="s">
        <v>27</v>
      </c>
      <c r="B177" s="2" t="s">
        <v>325</v>
      </c>
      <c r="C177" s="2">
        <v>3201</v>
      </c>
      <c r="D177" s="2">
        <v>176</v>
      </c>
      <c r="E177" s="2" t="str">
        <f>"1000013442"</f>
        <v>1000013442</v>
      </c>
      <c r="F177" s="2" t="str">
        <f>"BINDERS:Lt Gray, 2, D, clear view overlay front/back/spine, deluxe, 120pt-Maxtile solid construction"</f>
        <v>BINDERS:Lt Gray, 2, D, clear view overlay front/back/spine, deluxe, 120pt-Maxtile solid construction</v>
      </c>
      <c r="G177" s="3" t="str">
        <f t="shared" si="4"/>
        <v>EA</v>
      </c>
      <c r="H177" s="7">
        <v>7.1</v>
      </c>
      <c r="I177" s="2" t="str">
        <f t="shared" si="5"/>
        <v>44122003</v>
      </c>
      <c r="J177" s="10" t="s">
        <v>76</v>
      </c>
    </row>
    <row r="178" spans="1:10" ht="39">
      <c r="A178" s="24" t="s">
        <v>27</v>
      </c>
      <c r="B178" s="21" t="s">
        <v>325</v>
      </c>
      <c r="C178" s="21">
        <v>3201</v>
      </c>
      <c r="D178" s="21">
        <v>177</v>
      </c>
      <c r="E178" s="21" t="str">
        <f>"1000013443"</f>
        <v>1000013443</v>
      </c>
      <c r="F178" s="21" t="str">
        <f>"BINDERS:Orng, 2, D, clear view overlay front/back/spine, deluxe, 120pt-Maxtile solid construction"</f>
        <v>BINDERS:Orng, 2, D, clear view overlay front/back/spine, deluxe, 120pt-Maxtile solid construction</v>
      </c>
      <c r="G178" s="22" t="str">
        <f t="shared" ref="G178:G212" si="6">"EA"</f>
        <v>EA</v>
      </c>
      <c r="H178" s="23">
        <v>7.1</v>
      </c>
      <c r="I178" s="21" t="str">
        <f t="shared" si="5"/>
        <v>44122003</v>
      </c>
      <c r="J178" s="25" t="s">
        <v>76</v>
      </c>
    </row>
    <row r="179" spans="1:10" ht="39">
      <c r="A179" s="9" t="s">
        <v>27</v>
      </c>
      <c r="B179" s="2" t="s">
        <v>325</v>
      </c>
      <c r="C179" s="2">
        <v>3201</v>
      </c>
      <c r="D179" s="2">
        <v>178</v>
      </c>
      <c r="E179" s="2" t="str">
        <f>"1000013444"</f>
        <v>1000013444</v>
      </c>
      <c r="F179" s="2" t="str">
        <f>"BINDERS:Yel, 2, D, clear view overlay front/back/spine, deluxe, 120pt-Maxtile solid construction"</f>
        <v>BINDERS:Yel, 2, D, clear view overlay front/back/spine, deluxe, 120pt-Maxtile solid construction</v>
      </c>
      <c r="G179" s="3" t="str">
        <f t="shared" si="6"/>
        <v>EA</v>
      </c>
      <c r="H179" s="7">
        <v>7.1</v>
      </c>
      <c r="I179" s="2" t="str">
        <f t="shared" si="5"/>
        <v>44122003</v>
      </c>
      <c r="J179" s="10" t="s">
        <v>76</v>
      </c>
    </row>
    <row r="180" spans="1:10" ht="39">
      <c r="A180" s="24" t="s">
        <v>27</v>
      </c>
      <c r="B180" s="21" t="s">
        <v>325</v>
      </c>
      <c r="C180" s="21">
        <v>3201</v>
      </c>
      <c r="D180" s="21">
        <v>179</v>
      </c>
      <c r="E180" s="21" t="str">
        <f>"1000013445"</f>
        <v>1000013445</v>
      </c>
      <c r="F180" s="21" t="str">
        <f>"BINDERS:Grn, 2, D, clear view overlay front/back/spine, deluxe, 120pt-Maxtile solid construction"</f>
        <v>BINDERS:Grn, 2, D, clear view overlay front/back/spine, deluxe, 120pt-Maxtile solid construction</v>
      </c>
      <c r="G180" s="22" t="str">
        <f t="shared" si="6"/>
        <v>EA</v>
      </c>
      <c r="H180" s="23">
        <v>7.1</v>
      </c>
      <c r="I180" s="21" t="str">
        <f t="shared" si="5"/>
        <v>44122003</v>
      </c>
      <c r="J180" s="25" t="s">
        <v>76</v>
      </c>
    </row>
    <row r="181" spans="1:10" ht="39">
      <c r="A181" s="9" t="s">
        <v>27</v>
      </c>
      <c r="B181" s="2" t="s">
        <v>325</v>
      </c>
      <c r="C181" s="2">
        <v>3201</v>
      </c>
      <c r="D181" s="2">
        <v>180</v>
      </c>
      <c r="E181" s="2" t="str">
        <f>"1000013446"</f>
        <v>1000013446</v>
      </c>
      <c r="F181" s="2" t="str">
        <f>"BINDERS:Burg, 2, D, clear view overlay front/back/spine, deluxe, 120pt-Maxtile solid construction"</f>
        <v>BINDERS:Burg, 2, D, clear view overlay front/back/spine, deluxe, 120pt-Maxtile solid construction</v>
      </c>
      <c r="G181" s="3" t="str">
        <f t="shared" si="6"/>
        <v>EA</v>
      </c>
      <c r="H181" s="7">
        <v>7.1</v>
      </c>
      <c r="I181" s="2" t="str">
        <f t="shared" si="5"/>
        <v>44122003</v>
      </c>
      <c r="J181" s="10" t="s">
        <v>76</v>
      </c>
    </row>
    <row r="182" spans="1:10" ht="39">
      <c r="A182" s="24" t="s">
        <v>27</v>
      </c>
      <c r="B182" s="21" t="s">
        <v>325</v>
      </c>
      <c r="C182" s="21">
        <v>3201</v>
      </c>
      <c r="D182" s="21">
        <v>181</v>
      </c>
      <c r="E182" s="21" t="str">
        <f>"1000013447"</f>
        <v>1000013447</v>
      </c>
      <c r="F182" s="21" t="str">
        <f>"BINDERS:Navy, 2, D, clear view overlay front/back/spine, deluxe, 120pt-Maxtile solid construction"</f>
        <v>BINDERS:Navy, 2, D, clear view overlay front/back/spine, deluxe, 120pt-Maxtile solid construction</v>
      </c>
      <c r="G182" s="22" t="str">
        <f t="shared" si="6"/>
        <v>EA</v>
      </c>
      <c r="H182" s="23">
        <v>7.1</v>
      </c>
      <c r="I182" s="21" t="str">
        <f t="shared" si="5"/>
        <v>44122003</v>
      </c>
      <c r="J182" s="25" t="s">
        <v>76</v>
      </c>
    </row>
    <row r="183" spans="1:10" ht="39">
      <c r="A183" s="9" t="s">
        <v>27</v>
      </c>
      <c r="B183" s="2" t="s">
        <v>325</v>
      </c>
      <c r="C183" s="2">
        <v>3201</v>
      </c>
      <c r="D183" s="2">
        <v>182</v>
      </c>
      <c r="E183" s="2" t="str">
        <f>"1000013502"</f>
        <v>1000013502</v>
      </c>
      <c r="F183" s="2" t="str">
        <f>"BINDERS:Purple, 2, D, clear view overlay front/back/spine, deluxe, 120pt-Maxtile solid construction"</f>
        <v>BINDERS:Purple, 2, D, clear view overlay front/back/spine, deluxe, 120pt-Maxtile solid construction</v>
      </c>
      <c r="G183" s="3" t="str">
        <f t="shared" si="6"/>
        <v>EA</v>
      </c>
      <c r="H183" s="7">
        <v>7.1</v>
      </c>
      <c r="I183" s="2" t="str">
        <f t="shared" si="5"/>
        <v>44122003</v>
      </c>
      <c r="J183" s="10" t="s">
        <v>76</v>
      </c>
    </row>
    <row r="184" spans="1:10" ht="39">
      <c r="A184" s="24" t="s">
        <v>27</v>
      </c>
      <c r="B184" s="21" t="s">
        <v>325</v>
      </c>
      <c r="C184" s="21">
        <v>3201</v>
      </c>
      <c r="D184" s="21">
        <v>183</v>
      </c>
      <c r="E184" s="21" t="str">
        <f>"1000013477"</f>
        <v>1000013477</v>
      </c>
      <c r="F184" s="21" t="str">
        <f>"BINDERS:Blk, 3, D slant, deluxe, 120pt-Maxtile solid construction"</f>
        <v>BINDERS:Blk, 3, D slant, deluxe, 120pt-Maxtile solid construction</v>
      </c>
      <c r="G184" s="22" t="str">
        <f t="shared" si="6"/>
        <v>EA</v>
      </c>
      <c r="H184" s="23">
        <v>8.4</v>
      </c>
      <c r="I184" s="21" t="str">
        <f t="shared" si="5"/>
        <v>44122003</v>
      </c>
      <c r="J184" s="25" t="s">
        <v>76</v>
      </c>
    </row>
    <row r="185" spans="1:10" ht="39">
      <c r="A185" s="9" t="s">
        <v>27</v>
      </c>
      <c r="B185" s="2" t="s">
        <v>325</v>
      </c>
      <c r="C185" s="2">
        <v>3201</v>
      </c>
      <c r="D185" s="2">
        <v>184</v>
      </c>
      <c r="E185" s="2" t="str">
        <f>"1000013478"</f>
        <v>1000013478</v>
      </c>
      <c r="F185" s="2" t="str">
        <f>"BINDERS:Royl Blu, 3, D slant, deluxe, 120pt-Maxtile solid construction"</f>
        <v>BINDERS:Royl Blu, 3, D slant, deluxe, 120pt-Maxtile solid construction</v>
      </c>
      <c r="G185" s="3" t="str">
        <f t="shared" si="6"/>
        <v>EA</v>
      </c>
      <c r="H185" s="7">
        <v>8.4</v>
      </c>
      <c r="I185" s="2" t="str">
        <f t="shared" si="5"/>
        <v>44122003</v>
      </c>
      <c r="J185" s="10" t="s">
        <v>76</v>
      </c>
    </row>
    <row r="186" spans="1:10" ht="39">
      <c r="A186" s="24" t="s">
        <v>27</v>
      </c>
      <c r="B186" s="21" t="s">
        <v>325</v>
      </c>
      <c r="C186" s="21">
        <v>3201</v>
      </c>
      <c r="D186" s="21">
        <v>185</v>
      </c>
      <c r="E186" s="21" t="str">
        <f>"1000013450"</f>
        <v>1000013450</v>
      </c>
      <c r="F186" s="21" t="str">
        <f>"BINDERS:Red, 3, D slant, deluxe, 120pt-Maxtile solid construction"</f>
        <v>BINDERS:Red, 3, D slant, deluxe, 120pt-Maxtile solid construction</v>
      </c>
      <c r="G186" s="22" t="str">
        <f t="shared" si="6"/>
        <v>EA</v>
      </c>
      <c r="H186" s="23">
        <v>8.4</v>
      </c>
      <c r="I186" s="21" t="str">
        <f t="shared" si="5"/>
        <v>44122003</v>
      </c>
      <c r="J186" s="25" t="s">
        <v>76</v>
      </c>
    </row>
    <row r="187" spans="1:10" ht="39">
      <c r="A187" s="9" t="s">
        <v>27</v>
      </c>
      <c r="B187" s="2" t="s">
        <v>325</v>
      </c>
      <c r="C187" s="2">
        <v>3201</v>
      </c>
      <c r="D187" s="2">
        <v>186</v>
      </c>
      <c r="E187" s="2" t="str">
        <f>"1000013451"</f>
        <v>1000013451</v>
      </c>
      <c r="F187" s="2" t="str">
        <f>"BINDERS:Wht, 3, D slant, deluxe, 120pt-Maxtile solid construction"</f>
        <v>BINDERS:Wht, 3, D slant, deluxe, 120pt-Maxtile solid construction</v>
      </c>
      <c r="G187" s="3" t="str">
        <f t="shared" si="6"/>
        <v>EA</v>
      </c>
      <c r="H187" s="7">
        <v>8.4</v>
      </c>
      <c r="I187" s="2" t="str">
        <f t="shared" si="5"/>
        <v>44122003</v>
      </c>
      <c r="J187" s="10" t="s">
        <v>76</v>
      </c>
    </row>
    <row r="188" spans="1:10" ht="39">
      <c r="A188" s="24" t="s">
        <v>27</v>
      </c>
      <c r="B188" s="21" t="s">
        <v>325</v>
      </c>
      <c r="C188" s="21">
        <v>3201</v>
      </c>
      <c r="D188" s="21">
        <v>187</v>
      </c>
      <c r="E188" s="21" t="str">
        <f>"1000013452"</f>
        <v>1000013452</v>
      </c>
      <c r="F188" s="21" t="str">
        <f>"BINDERS:Lt Gray, 3, D slant, deluxe, 120pt-Maxtile solid construction"</f>
        <v>BINDERS:Lt Gray, 3, D slant, deluxe, 120pt-Maxtile solid construction</v>
      </c>
      <c r="G188" s="22" t="str">
        <f t="shared" si="6"/>
        <v>EA</v>
      </c>
      <c r="H188" s="23">
        <v>8.4</v>
      </c>
      <c r="I188" s="21" t="str">
        <f t="shared" si="5"/>
        <v>44122003</v>
      </c>
      <c r="J188" s="25" t="s">
        <v>76</v>
      </c>
    </row>
    <row r="189" spans="1:10" ht="39">
      <c r="A189" s="9" t="s">
        <v>27</v>
      </c>
      <c r="B189" s="2" t="s">
        <v>325</v>
      </c>
      <c r="C189" s="2">
        <v>3201</v>
      </c>
      <c r="D189" s="2">
        <v>188</v>
      </c>
      <c r="E189" s="2" t="str">
        <f>"1000013453"</f>
        <v>1000013453</v>
      </c>
      <c r="F189" s="2" t="str">
        <f>"BINDERS:Orng, 3, D slant, deluxe, 120pt-Maxtile solid construction"</f>
        <v>BINDERS:Orng, 3, D slant, deluxe, 120pt-Maxtile solid construction</v>
      </c>
      <c r="G189" s="3" t="str">
        <f t="shared" si="6"/>
        <v>EA</v>
      </c>
      <c r="H189" s="7">
        <v>8.4</v>
      </c>
      <c r="I189" s="2" t="str">
        <f t="shared" si="5"/>
        <v>44122003</v>
      </c>
      <c r="J189" s="10" t="s">
        <v>76</v>
      </c>
    </row>
    <row r="190" spans="1:10" ht="39">
      <c r="A190" s="24" t="s">
        <v>27</v>
      </c>
      <c r="B190" s="21" t="s">
        <v>325</v>
      </c>
      <c r="C190" s="21">
        <v>3201</v>
      </c>
      <c r="D190" s="21">
        <v>189</v>
      </c>
      <c r="E190" s="21" t="str">
        <f>"1000013454"</f>
        <v>1000013454</v>
      </c>
      <c r="F190" s="21" t="str">
        <f>"BINDERS:Yel, 3, D slant, deluxe, 120pt-Maxtile solid construction"</f>
        <v>BINDERS:Yel, 3, D slant, deluxe, 120pt-Maxtile solid construction</v>
      </c>
      <c r="G190" s="22" t="str">
        <f t="shared" si="6"/>
        <v>EA</v>
      </c>
      <c r="H190" s="23">
        <v>8.4</v>
      </c>
      <c r="I190" s="21" t="str">
        <f t="shared" si="5"/>
        <v>44122003</v>
      </c>
      <c r="J190" s="25" t="s">
        <v>76</v>
      </c>
    </row>
    <row r="191" spans="1:10" ht="39">
      <c r="A191" s="9" t="s">
        <v>27</v>
      </c>
      <c r="B191" s="2" t="s">
        <v>325</v>
      </c>
      <c r="C191" s="2">
        <v>3201</v>
      </c>
      <c r="D191" s="2">
        <v>190</v>
      </c>
      <c r="E191" s="2" t="str">
        <f>"1000013455"</f>
        <v>1000013455</v>
      </c>
      <c r="F191" s="2" t="str">
        <f>"BINDERS:Grn, 3, D slant, deluxe, 120pt-Maxtile solid construction"</f>
        <v>BINDERS:Grn, 3, D slant, deluxe, 120pt-Maxtile solid construction</v>
      </c>
      <c r="G191" s="3" t="str">
        <f t="shared" si="6"/>
        <v>EA</v>
      </c>
      <c r="H191" s="7">
        <v>8.4</v>
      </c>
      <c r="I191" s="2" t="str">
        <f t="shared" si="5"/>
        <v>44122003</v>
      </c>
      <c r="J191" s="10" t="s">
        <v>76</v>
      </c>
    </row>
    <row r="192" spans="1:10" ht="39">
      <c r="A192" s="24" t="s">
        <v>27</v>
      </c>
      <c r="B192" s="21" t="s">
        <v>325</v>
      </c>
      <c r="C192" s="21">
        <v>3201</v>
      </c>
      <c r="D192" s="21">
        <v>191</v>
      </c>
      <c r="E192" s="21" t="str">
        <f>"1000013456"</f>
        <v>1000013456</v>
      </c>
      <c r="F192" s="21" t="str">
        <f>"BINDERS:Burg, 3, D slant, deluxe, 120pt-Maxtile solid construction"</f>
        <v>BINDERS:Burg, 3, D slant, deluxe, 120pt-Maxtile solid construction</v>
      </c>
      <c r="G192" s="22" t="str">
        <f t="shared" si="6"/>
        <v>EA</v>
      </c>
      <c r="H192" s="23">
        <v>8.4</v>
      </c>
      <c r="I192" s="21" t="str">
        <f t="shared" si="5"/>
        <v>44122003</v>
      </c>
      <c r="J192" s="25" t="s">
        <v>76</v>
      </c>
    </row>
    <row r="193" spans="1:10" ht="39">
      <c r="A193" s="9" t="s">
        <v>27</v>
      </c>
      <c r="B193" s="2" t="s">
        <v>325</v>
      </c>
      <c r="C193" s="2">
        <v>3201</v>
      </c>
      <c r="D193" s="2">
        <v>192</v>
      </c>
      <c r="E193" s="2" t="str">
        <f>"1000013457"</f>
        <v>1000013457</v>
      </c>
      <c r="F193" s="2" t="str">
        <f>"BINDERS:Navy, 3, D slant, deluxe, 120pt-Maxtile solid construction"</f>
        <v>BINDERS:Navy, 3, D slant, deluxe, 120pt-Maxtile solid construction</v>
      </c>
      <c r="G193" s="3" t="str">
        <f t="shared" si="6"/>
        <v>EA</v>
      </c>
      <c r="H193" s="7">
        <v>8.4</v>
      </c>
      <c r="I193" s="2" t="str">
        <f t="shared" si="5"/>
        <v>44122003</v>
      </c>
      <c r="J193" s="10" t="s">
        <v>76</v>
      </c>
    </row>
    <row r="194" spans="1:10" ht="39">
      <c r="A194" s="24" t="s">
        <v>27</v>
      </c>
      <c r="B194" s="21" t="s">
        <v>325</v>
      </c>
      <c r="C194" s="21">
        <v>3201</v>
      </c>
      <c r="D194" s="21">
        <v>193</v>
      </c>
      <c r="E194" s="21" t="str">
        <f>"1000013503"</f>
        <v>1000013503</v>
      </c>
      <c r="F194" s="21" t="str">
        <f>"BINDERS:Purple, 3, D slant, deluxe, 120pt-Maxtile solid construction"</f>
        <v>BINDERS:Purple, 3, D slant, deluxe, 120pt-Maxtile solid construction</v>
      </c>
      <c r="G194" s="22" t="str">
        <f t="shared" si="6"/>
        <v>EA</v>
      </c>
      <c r="H194" s="23">
        <v>8.4</v>
      </c>
      <c r="I194" s="21" t="str">
        <f t="shared" ref="I194:I213" si="7">"44122003"</f>
        <v>44122003</v>
      </c>
      <c r="J194" s="25" t="s">
        <v>76</v>
      </c>
    </row>
    <row r="195" spans="1:10" ht="39">
      <c r="A195" s="9" t="s">
        <v>27</v>
      </c>
      <c r="B195" s="2" t="s">
        <v>325</v>
      </c>
      <c r="C195" s="2">
        <v>3201</v>
      </c>
      <c r="D195" s="2">
        <v>194</v>
      </c>
      <c r="E195" s="2" t="str">
        <f>"1000013458"</f>
        <v>1000013458</v>
      </c>
      <c r="F195" s="2" t="str">
        <f>"BINDERS:Blk, 3, D, clear view overlay front/back/spine, deluxe, 120pt-Maxtile solid construction"</f>
        <v>BINDERS:Blk, 3, D, clear view overlay front/back/spine, deluxe, 120pt-Maxtile solid construction</v>
      </c>
      <c r="G195" s="3" t="str">
        <f t="shared" si="6"/>
        <v>EA</v>
      </c>
      <c r="H195" s="7">
        <v>8.9</v>
      </c>
      <c r="I195" s="2" t="str">
        <f t="shared" si="7"/>
        <v>44122003</v>
      </c>
      <c r="J195" s="10" t="s">
        <v>76</v>
      </c>
    </row>
    <row r="196" spans="1:10" ht="39">
      <c r="A196" s="24" t="s">
        <v>27</v>
      </c>
      <c r="B196" s="21" t="s">
        <v>325</v>
      </c>
      <c r="C196" s="21">
        <v>3201</v>
      </c>
      <c r="D196" s="21">
        <v>195</v>
      </c>
      <c r="E196" s="21" t="str">
        <f>"1000013459"</f>
        <v>1000013459</v>
      </c>
      <c r="F196" s="21" t="str">
        <f>"BINDERS:Royl Blu, 3, D, clear view overlay front/back/spine, deluxe, 120pt-Maxtile solid construction"</f>
        <v>BINDERS:Royl Blu, 3, D, clear view overlay front/back/spine, deluxe, 120pt-Maxtile solid construction</v>
      </c>
      <c r="G196" s="22" t="str">
        <f t="shared" si="6"/>
        <v>EA</v>
      </c>
      <c r="H196" s="23">
        <v>8.9</v>
      </c>
      <c r="I196" s="21" t="str">
        <f t="shared" si="7"/>
        <v>44122003</v>
      </c>
      <c r="J196" s="25" t="s">
        <v>76</v>
      </c>
    </row>
    <row r="197" spans="1:10" ht="39">
      <c r="A197" s="9" t="s">
        <v>27</v>
      </c>
      <c r="B197" s="2" t="s">
        <v>325</v>
      </c>
      <c r="C197" s="2">
        <v>3201</v>
      </c>
      <c r="D197" s="2">
        <v>196</v>
      </c>
      <c r="E197" s="2" t="str">
        <f>"1000013460"</f>
        <v>1000013460</v>
      </c>
      <c r="F197" s="2" t="str">
        <f>"BINDERS:Red, 3, D, clear view overlay front/back/spine, deluxe, 120pt-Maxtile solid construction"</f>
        <v>BINDERS:Red, 3, D, clear view overlay front/back/spine, deluxe, 120pt-Maxtile solid construction</v>
      </c>
      <c r="G197" s="3" t="str">
        <f t="shared" si="6"/>
        <v>EA</v>
      </c>
      <c r="H197" s="7">
        <v>8.9</v>
      </c>
      <c r="I197" s="2" t="str">
        <f t="shared" si="7"/>
        <v>44122003</v>
      </c>
      <c r="J197" s="10" t="s">
        <v>76</v>
      </c>
    </row>
    <row r="198" spans="1:10" ht="39">
      <c r="A198" s="24" t="s">
        <v>27</v>
      </c>
      <c r="B198" s="21" t="s">
        <v>325</v>
      </c>
      <c r="C198" s="21">
        <v>3201</v>
      </c>
      <c r="D198" s="21">
        <v>197</v>
      </c>
      <c r="E198" s="21" t="str">
        <f>"1000013461"</f>
        <v>1000013461</v>
      </c>
      <c r="F198" s="21" t="str">
        <f>"BINDERS:Wht, 3, D, clear view overlay front/back/spine, deluxe, 120pt-Maxtile solid construction"</f>
        <v>BINDERS:Wht, 3, D, clear view overlay front/back/spine, deluxe, 120pt-Maxtile solid construction</v>
      </c>
      <c r="G198" s="22" t="str">
        <f t="shared" si="6"/>
        <v>EA</v>
      </c>
      <c r="H198" s="23">
        <v>8.9</v>
      </c>
      <c r="I198" s="21" t="str">
        <f t="shared" si="7"/>
        <v>44122003</v>
      </c>
      <c r="J198" s="25" t="s">
        <v>76</v>
      </c>
    </row>
    <row r="199" spans="1:10" ht="39">
      <c r="A199" s="9" t="s">
        <v>27</v>
      </c>
      <c r="B199" s="2" t="s">
        <v>325</v>
      </c>
      <c r="C199" s="2">
        <v>3201</v>
      </c>
      <c r="D199" s="2">
        <v>198</v>
      </c>
      <c r="E199" s="2" t="str">
        <f>"1000013491"</f>
        <v>1000013491</v>
      </c>
      <c r="F199" s="2" t="str">
        <f>"BINDERS:Lt Gray, 3, D, clear view overlay front/back/spine, deluxe, 120pt-Maxtile solid construction"</f>
        <v>BINDERS:Lt Gray, 3, D, clear view overlay front/back/spine, deluxe, 120pt-Maxtile solid construction</v>
      </c>
      <c r="G199" s="3" t="str">
        <f t="shared" si="6"/>
        <v>EA</v>
      </c>
      <c r="H199" s="7">
        <v>8.9</v>
      </c>
      <c r="I199" s="2" t="str">
        <f t="shared" si="7"/>
        <v>44122003</v>
      </c>
      <c r="J199" s="10" t="s">
        <v>76</v>
      </c>
    </row>
    <row r="200" spans="1:10" ht="39">
      <c r="A200" s="24" t="s">
        <v>27</v>
      </c>
      <c r="B200" s="21" t="s">
        <v>325</v>
      </c>
      <c r="C200" s="21">
        <v>3201</v>
      </c>
      <c r="D200" s="21">
        <v>199</v>
      </c>
      <c r="E200" s="21" t="str">
        <f>"1000013492"</f>
        <v>1000013492</v>
      </c>
      <c r="F200" s="21" t="str">
        <f>"BINDERS:Orng, 3, D, clear view overlay front/back/spine, deluxe, 120pt-Maxtile solid construction"</f>
        <v>BINDERS:Orng, 3, D, clear view overlay front/back/spine, deluxe, 120pt-Maxtile solid construction</v>
      </c>
      <c r="G200" s="22" t="str">
        <f t="shared" si="6"/>
        <v>EA</v>
      </c>
      <c r="H200" s="23">
        <v>8.9</v>
      </c>
      <c r="I200" s="21" t="str">
        <f t="shared" si="7"/>
        <v>44122003</v>
      </c>
      <c r="J200" s="25" t="s">
        <v>76</v>
      </c>
    </row>
    <row r="201" spans="1:10" ht="39">
      <c r="A201" s="9" t="s">
        <v>27</v>
      </c>
      <c r="B201" s="2" t="s">
        <v>325</v>
      </c>
      <c r="C201" s="2">
        <v>3201</v>
      </c>
      <c r="D201" s="2">
        <v>200</v>
      </c>
      <c r="E201" s="2" t="str">
        <f>"1000013464"</f>
        <v>1000013464</v>
      </c>
      <c r="F201" s="2" t="str">
        <f>"BINDERS:Yel, 3, D, clear view overlay front/back/spine, deluxe, 120pt-Maxtile solid construction"</f>
        <v>BINDERS:Yel, 3, D, clear view overlay front/back/spine, deluxe, 120pt-Maxtile solid construction</v>
      </c>
      <c r="G201" s="3" t="str">
        <f t="shared" si="6"/>
        <v>EA</v>
      </c>
      <c r="H201" s="7">
        <v>8.9</v>
      </c>
      <c r="I201" s="2" t="str">
        <f t="shared" si="7"/>
        <v>44122003</v>
      </c>
      <c r="J201" s="10" t="s">
        <v>76</v>
      </c>
    </row>
    <row r="202" spans="1:10" ht="39">
      <c r="A202" s="24" t="s">
        <v>27</v>
      </c>
      <c r="B202" s="21" t="s">
        <v>325</v>
      </c>
      <c r="C202" s="21">
        <v>3201</v>
      </c>
      <c r="D202" s="21">
        <v>201</v>
      </c>
      <c r="E202" s="21" t="str">
        <f>"1000013465"</f>
        <v>1000013465</v>
      </c>
      <c r="F202" s="21" t="str">
        <f>"BINDERS:Grn, 3, D, clear view overlay front/back/spine, deluxe, 120pt-Maxtile solid construction"</f>
        <v>BINDERS:Grn, 3, D, clear view overlay front/back/spine, deluxe, 120pt-Maxtile solid construction</v>
      </c>
      <c r="G202" s="22" t="str">
        <f t="shared" si="6"/>
        <v>EA</v>
      </c>
      <c r="H202" s="23">
        <v>8.9</v>
      </c>
      <c r="I202" s="21" t="str">
        <f t="shared" si="7"/>
        <v>44122003</v>
      </c>
      <c r="J202" s="25" t="s">
        <v>76</v>
      </c>
    </row>
    <row r="203" spans="1:10" ht="39">
      <c r="A203" s="9" t="s">
        <v>27</v>
      </c>
      <c r="B203" s="2" t="s">
        <v>325</v>
      </c>
      <c r="C203" s="2">
        <v>3201</v>
      </c>
      <c r="D203" s="2">
        <v>202</v>
      </c>
      <c r="E203" s="2" t="str">
        <f>"1000013466"</f>
        <v>1000013466</v>
      </c>
      <c r="F203" s="2" t="str">
        <f>"BINDERS:Burg, 3, D, clear view overlay front/back/spine, deluxe, 120pt-Maxtile solid construction"</f>
        <v>BINDERS:Burg, 3, D, clear view overlay front/back/spine, deluxe, 120pt-Maxtile solid construction</v>
      </c>
      <c r="G203" s="3" t="str">
        <f t="shared" si="6"/>
        <v>EA</v>
      </c>
      <c r="H203" s="7">
        <v>8.9</v>
      </c>
      <c r="I203" s="2" t="str">
        <f t="shared" si="7"/>
        <v>44122003</v>
      </c>
      <c r="J203" s="10" t="s">
        <v>76</v>
      </c>
    </row>
    <row r="204" spans="1:10" ht="39">
      <c r="A204" s="24" t="s">
        <v>27</v>
      </c>
      <c r="B204" s="21" t="s">
        <v>325</v>
      </c>
      <c r="C204" s="21">
        <v>3201</v>
      </c>
      <c r="D204" s="21">
        <v>203</v>
      </c>
      <c r="E204" s="21" t="str">
        <f>"1000013467"</f>
        <v>1000013467</v>
      </c>
      <c r="F204" s="21" t="str">
        <f>"BINDERS:Navy, 3, D, clear view overlay front/back/spine, deluxe, 120pt-Maxtile solid construction"</f>
        <v>BINDERS:Navy, 3, D, clear view overlay front/back/spine, deluxe, 120pt-Maxtile solid construction</v>
      </c>
      <c r="G204" s="22" t="str">
        <f t="shared" si="6"/>
        <v>EA</v>
      </c>
      <c r="H204" s="23">
        <v>8.9</v>
      </c>
      <c r="I204" s="21" t="str">
        <f t="shared" si="7"/>
        <v>44122003</v>
      </c>
      <c r="J204" s="25" t="s">
        <v>76</v>
      </c>
    </row>
    <row r="205" spans="1:10" ht="39">
      <c r="A205" s="9" t="s">
        <v>27</v>
      </c>
      <c r="B205" s="2" t="s">
        <v>325</v>
      </c>
      <c r="C205" s="2">
        <v>3201</v>
      </c>
      <c r="D205" s="2">
        <v>204</v>
      </c>
      <c r="E205" s="2" t="str">
        <f>"1000013504"</f>
        <v>1000013504</v>
      </c>
      <c r="F205" s="2" t="str">
        <f>"BINDERS:Purple, 3, D, clear view overlay front/back/spine, deluxe, 120pt-Maxtile solid construction"</f>
        <v>BINDERS:Purple, 3, D, clear view overlay front/back/spine, deluxe, 120pt-Maxtile solid construction</v>
      </c>
      <c r="G205" s="3" t="str">
        <f t="shared" si="6"/>
        <v>EA</v>
      </c>
      <c r="H205" s="7">
        <v>8.9</v>
      </c>
      <c r="I205" s="2" t="str">
        <f t="shared" si="7"/>
        <v>44122003</v>
      </c>
      <c r="J205" s="10" t="s">
        <v>76</v>
      </c>
    </row>
    <row r="206" spans="1:10" ht="39">
      <c r="A206" s="24" t="s">
        <v>27</v>
      </c>
      <c r="B206" s="21" t="s">
        <v>325</v>
      </c>
      <c r="C206" s="21">
        <v>3201</v>
      </c>
      <c r="D206" s="21">
        <v>205</v>
      </c>
      <c r="E206" s="21" t="str">
        <f>"1000013507"</f>
        <v>1000013507</v>
      </c>
      <c r="F206" s="21" t="str">
        <f>"BINDERS:Stick On Labels for spine, accessories"</f>
        <v>BINDERS:Stick On Labels for spine, accessories</v>
      </c>
      <c r="G206" s="22" t="str">
        <f t="shared" si="6"/>
        <v>EA</v>
      </c>
      <c r="H206" s="23">
        <v>0.4</v>
      </c>
      <c r="I206" s="21" t="str">
        <f t="shared" si="7"/>
        <v>44122003</v>
      </c>
      <c r="J206" s="25" t="s">
        <v>76</v>
      </c>
    </row>
    <row r="207" spans="1:10" ht="39">
      <c r="A207" s="9" t="s">
        <v>27</v>
      </c>
      <c r="B207" s="2" t="s">
        <v>325</v>
      </c>
      <c r="C207" s="2">
        <v>3201</v>
      </c>
      <c r="D207" s="2">
        <v>206</v>
      </c>
      <c r="E207" s="2" t="str">
        <f>"1000013508"</f>
        <v>1000013508</v>
      </c>
      <c r="F207" s="2" t="str">
        <f>"BINDERS:Business Card holders, stick on, accessories"</f>
        <v>BINDERS:Business Card holders, stick on, accessories</v>
      </c>
      <c r="G207" s="3" t="str">
        <f t="shared" si="6"/>
        <v>EA</v>
      </c>
      <c r="H207" s="7">
        <v>0.4</v>
      </c>
      <c r="I207" s="2" t="str">
        <f t="shared" si="7"/>
        <v>44122003</v>
      </c>
      <c r="J207" s="10" t="s">
        <v>76</v>
      </c>
    </row>
    <row r="208" spans="1:10" ht="39">
      <c r="A208" s="24" t="s">
        <v>27</v>
      </c>
      <c r="B208" s="21" t="s">
        <v>325</v>
      </c>
      <c r="C208" s="21">
        <v>3201</v>
      </c>
      <c r="D208" s="21">
        <v>207</v>
      </c>
      <c r="E208" s="21" t="str">
        <f>"1000013509"</f>
        <v>1000013509</v>
      </c>
      <c r="F208" s="21" t="str">
        <f>"BINDERS:CD Rom holder, stick on, accessories"</f>
        <v>BINDERS:CD Rom holder, stick on, accessories</v>
      </c>
      <c r="G208" s="22" t="str">
        <f t="shared" si="6"/>
        <v>EA</v>
      </c>
      <c r="H208" s="23">
        <v>0.6</v>
      </c>
      <c r="I208" s="21" t="str">
        <f t="shared" si="7"/>
        <v>44122003</v>
      </c>
      <c r="J208" s="25" t="s">
        <v>76</v>
      </c>
    </row>
    <row r="209" spans="1:10" ht="39">
      <c r="A209" s="9" t="s">
        <v>27</v>
      </c>
      <c r="B209" s="2" t="s">
        <v>325</v>
      </c>
      <c r="C209" s="2">
        <v>3201</v>
      </c>
      <c r="D209" s="2">
        <v>208</v>
      </c>
      <c r="E209" s="2" t="str">
        <f>"1000013510"</f>
        <v>1000013510</v>
      </c>
      <c r="F209" s="2" t="str">
        <f>"BINDERS:3.5 Diskette holder, stick on, accessories"</f>
        <v>BINDERS:3.5 Diskette holder, stick on, accessories</v>
      </c>
      <c r="G209" s="3" t="str">
        <f t="shared" si="6"/>
        <v>EA</v>
      </c>
      <c r="H209" s="7">
        <v>0.6</v>
      </c>
      <c r="I209" s="2" t="str">
        <f t="shared" si="7"/>
        <v>44122003</v>
      </c>
      <c r="J209" s="10" t="s">
        <v>76</v>
      </c>
    </row>
    <row r="210" spans="1:10" ht="39">
      <c r="A210" s="24" t="s">
        <v>27</v>
      </c>
      <c r="B210" s="21" t="s">
        <v>325</v>
      </c>
      <c r="C210" s="21">
        <v>3201</v>
      </c>
      <c r="D210" s="21">
        <v>209</v>
      </c>
      <c r="E210" s="21" t="str">
        <f>"1000013512"</f>
        <v>1000013512</v>
      </c>
      <c r="F210" s="21" t="str">
        <f>"BINDERS:Curved Type Loose Leaf Page Lifter, accessories"</f>
        <v>BINDERS:Curved Type Loose Leaf Page Lifter, accessories</v>
      </c>
      <c r="G210" s="22" t="str">
        <f t="shared" si="6"/>
        <v>EA</v>
      </c>
      <c r="H210" s="23">
        <v>0.25</v>
      </c>
      <c r="I210" s="21" t="str">
        <f t="shared" si="7"/>
        <v>44122003</v>
      </c>
      <c r="J210" s="25" t="s">
        <v>76</v>
      </c>
    </row>
    <row r="211" spans="1:10" ht="39">
      <c r="A211" s="9" t="s">
        <v>27</v>
      </c>
      <c r="B211" s="2" t="s">
        <v>325</v>
      </c>
      <c r="C211" s="2">
        <v>3201</v>
      </c>
      <c r="D211" s="2">
        <v>210</v>
      </c>
      <c r="E211" s="2" t="str">
        <f>"1000013511"</f>
        <v>1000013511</v>
      </c>
      <c r="F211" s="2" t="str">
        <f>"BINDERS:Loose Leaf Page Lifter, for all D binders, size 11x5"</f>
        <v>BINDERS:Loose Leaf Page Lifter, for all D binders, size 11x5</v>
      </c>
      <c r="G211" s="3" t="str">
        <f t="shared" si="6"/>
        <v>EA</v>
      </c>
      <c r="H211" s="7">
        <v>0.35</v>
      </c>
      <c r="I211" s="2" t="str">
        <f t="shared" si="7"/>
        <v>44122003</v>
      </c>
      <c r="J211" s="10" t="s">
        <v>76</v>
      </c>
    </row>
    <row r="212" spans="1:10" ht="39">
      <c r="A212" s="24" t="s">
        <v>27</v>
      </c>
      <c r="B212" s="21" t="s">
        <v>325</v>
      </c>
      <c r="C212" s="21">
        <v>3201</v>
      </c>
      <c r="D212" s="21">
        <v>211</v>
      </c>
      <c r="E212" s="21" t="str">
        <f>"1000022902"</f>
        <v>1000022902</v>
      </c>
      <c r="F212" s="21" t="str">
        <f>"BINDERS: Black, 1.5, clear view overlay ,deluxe, O ring, 120 pt, maxtile solid construction"</f>
        <v>BINDERS: Black, 1.5, clear view overlay ,deluxe, O ring, 120 pt, maxtile solid construction</v>
      </c>
      <c r="G212" s="22" t="str">
        <f t="shared" si="6"/>
        <v>EA</v>
      </c>
      <c r="H212" s="23">
        <v>5.9</v>
      </c>
      <c r="I212" s="21" t="str">
        <f t="shared" si="7"/>
        <v>44122003</v>
      </c>
      <c r="J212" s="25" t="s">
        <v>76</v>
      </c>
    </row>
    <row r="213" spans="1:10" ht="77.25">
      <c r="A213" s="9" t="s">
        <v>27</v>
      </c>
      <c r="B213" s="2" t="s">
        <v>325</v>
      </c>
      <c r="C213" s="2">
        <v>3201</v>
      </c>
      <c r="D213" s="2">
        <v>212</v>
      </c>
      <c r="E213" s="2" t="str">
        <f>"1000029091"</f>
        <v>1000029091</v>
      </c>
      <c r="F213" s="2" t="str">
        <f>"MSDS BINDER KIT: 1.5 in yellow deluxe O ring binder with clear view over lay. Powder coated, yellow wire rack with mounting bracket and hardware. 30 in chain w easy connectors and eye bolt assembly to attach binder to rack."</f>
        <v>MSDS BINDER KIT: 1.5 in yellow deluxe O ring binder with clear view over lay. Powder coated, yellow wire rack with mounting bracket and hardware. 30 in chain w easy connectors and eye bolt assembly to attach binder to rack.</v>
      </c>
      <c r="G213" s="3" t="str">
        <f>"KT"</f>
        <v>KT</v>
      </c>
      <c r="H213" s="7">
        <v>34.92</v>
      </c>
      <c r="I213" s="2" t="str">
        <f t="shared" si="7"/>
        <v>44122003</v>
      </c>
      <c r="J213" s="10" t="s">
        <v>76</v>
      </c>
    </row>
    <row r="214" spans="1:10" ht="64.5">
      <c r="A214" s="9" t="s">
        <v>27</v>
      </c>
      <c r="B214" s="2" t="s">
        <v>63</v>
      </c>
      <c r="C214" s="2">
        <v>3202</v>
      </c>
      <c r="D214" s="2">
        <v>1</v>
      </c>
      <c r="E214" s="2" t="str">
        <f>"1000005010"</f>
        <v>1000005010</v>
      </c>
      <c r="F214" s="2" t="str">
        <f>"DESK PEN SET:Blk-Ball pt w/24 chain-adhesive lock base~Desk sets, ball point Pen with 24 chain - adhesive lock base, rubber- ized barrel, refillable, individually packaged in plastic bag. Black ink~BLACK INC"</f>
        <v>DESK PEN SET:Blk-Ball pt w/24 chain-adhesive lock base~Desk sets, ball point Pen with 24 chain - adhesive lock base, rubber- ized barrel, refillable, individually packaged in plastic bag. Black ink~BLACK INC</v>
      </c>
      <c r="G214" s="3" t="str">
        <f>"EA"</f>
        <v>EA</v>
      </c>
      <c r="H214" s="7">
        <v>4.5</v>
      </c>
      <c r="I214" s="2" t="str">
        <f>"44111509"</f>
        <v>44111509</v>
      </c>
      <c r="J214" s="10" t="s">
        <v>185</v>
      </c>
    </row>
    <row r="215" spans="1:10" ht="64.5">
      <c r="A215" s="24" t="s">
        <v>27</v>
      </c>
      <c r="B215" s="21" t="s">
        <v>63</v>
      </c>
      <c r="C215" s="21">
        <v>3202</v>
      </c>
      <c r="D215" s="21">
        <v>2</v>
      </c>
      <c r="E215" s="21" t="str">
        <f>"1000005009"</f>
        <v>1000005009</v>
      </c>
      <c r="F215" s="21" t="str">
        <f>"DESK PEN SET:Blu-Ball pt w/24 chain-adhesive lock base~Desk sets, ball point Pen with 24 chain - adhesive lock base, rubber- ized barrel, refillable, individually packaged in plastic bag. Blue ink"</f>
        <v>DESK PEN SET:Blu-Ball pt w/24 chain-adhesive lock base~Desk sets, ball point Pen with 24 chain - adhesive lock base, rubber- ized barrel, refillable, individually packaged in plastic bag. Blue ink</v>
      </c>
      <c r="G215" s="22" t="str">
        <f>"EA"</f>
        <v>EA</v>
      </c>
      <c r="H215" s="23">
        <v>4.5</v>
      </c>
      <c r="I215" s="21" t="str">
        <f>"44111509"</f>
        <v>44111509</v>
      </c>
      <c r="J215" s="25" t="s">
        <v>185</v>
      </c>
    </row>
    <row r="216" spans="1:10" ht="26.25">
      <c r="A216" s="9" t="s">
        <v>27</v>
      </c>
      <c r="B216" s="2" t="s">
        <v>63</v>
      </c>
      <c r="C216" s="2">
        <v>3202</v>
      </c>
      <c r="D216" s="2">
        <v>3</v>
      </c>
      <c r="E216" s="2" t="str">
        <f>"1000002114"</f>
        <v>1000002114</v>
      </c>
      <c r="F216" s="2" t="str">
        <f>"PEN REFILL:Refills for above chained desk set pen Black ink"</f>
        <v>PEN REFILL:Refills for above chained desk set pen Black ink</v>
      </c>
      <c r="G216" s="3" t="str">
        <f>"EA"</f>
        <v>EA</v>
      </c>
      <c r="H216" s="7">
        <v>0.75</v>
      </c>
      <c r="I216" s="2" t="str">
        <f>"44111509"</f>
        <v>44111509</v>
      </c>
      <c r="J216" s="10" t="s">
        <v>185</v>
      </c>
    </row>
    <row r="217" spans="1:10" ht="26.25">
      <c r="A217" s="24" t="s">
        <v>27</v>
      </c>
      <c r="B217" s="21" t="s">
        <v>63</v>
      </c>
      <c r="C217" s="21">
        <v>3202</v>
      </c>
      <c r="D217" s="21">
        <v>4</v>
      </c>
      <c r="E217" s="21" t="str">
        <f>"1000002113"</f>
        <v>1000002113</v>
      </c>
      <c r="F217" s="21" t="str">
        <f>"PEN REFILL:Refills for above chained desk set pen Blue ink"</f>
        <v>PEN REFILL:Refills for above chained desk set pen Blue ink</v>
      </c>
      <c r="G217" s="22" t="str">
        <f>"EA"</f>
        <v>EA</v>
      </c>
      <c r="H217" s="23">
        <v>0.75</v>
      </c>
      <c r="I217" s="21" t="str">
        <f>"44111509"</f>
        <v>44111509</v>
      </c>
      <c r="J217" s="25" t="s">
        <v>185</v>
      </c>
    </row>
    <row r="218" spans="1:10" ht="39">
      <c r="A218" s="9" t="s">
        <v>27</v>
      </c>
      <c r="B218" s="2" t="s">
        <v>63</v>
      </c>
      <c r="C218" s="2">
        <v>3202</v>
      </c>
      <c r="D218" s="2">
        <v>5</v>
      </c>
      <c r="E218" s="2" t="str">
        <f>"1000004729"</f>
        <v>1000004729</v>
      </c>
      <c r="F218" s="2" t="str">
        <f>"PEN:M-Pt/blk-brl/gld-tr/Ex/blk~Executive Ball Point, Retractable, Medium Point. Black Barrel with Gold Trim. Ink Color: Black"</f>
        <v>PEN:M-Pt/blk-brl/gld-tr/Ex/blk~Executive Ball Point, Retractable, Medium Point. Black Barrel with Gold Trim. Ink Color: Black</v>
      </c>
      <c r="G218" s="3" t="str">
        <f t="shared" ref="G218:G249" si="8">"DZ"</f>
        <v>DZ</v>
      </c>
      <c r="H218" s="7">
        <v>14.75</v>
      </c>
      <c r="I218" s="2" t="str">
        <f>"44121704"</f>
        <v>44121704</v>
      </c>
      <c r="J218" s="10" t="s">
        <v>186</v>
      </c>
    </row>
    <row r="219" spans="1:10" ht="39">
      <c r="A219" s="24" t="s">
        <v>27</v>
      </c>
      <c r="B219" s="21" t="s">
        <v>63</v>
      </c>
      <c r="C219" s="21">
        <v>3202</v>
      </c>
      <c r="D219" s="21">
        <v>6</v>
      </c>
      <c r="E219" s="21" t="str">
        <f>"1000004730"</f>
        <v>1000004730</v>
      </c>
      <c r="F219" s="21" t="str">
        <f>"PEN:M-Pt/blk-brl/gld-tr/Ex/bl~Executive Ball Point, Retractable, Medium Point. Black Barrel with Gold Trim. Ink Color: Blue"</f>
        <v>PEN:M-Pt/blk-brl/gld-tr/Ex/bl~Executive Ball Point, Retractable, Medium Point. Black Barrel with Gold Trim. Ink Color: Blue</v>
      </c>
      <c r="G219" s="22" t="str">
        <f t="shared" si="8"/>
        <v>DZ</v>
      </c>
      <c r="H219" s="23">
        <v>14.75</v>
      </c>
      <c r="I219" s="21" t="str">
        <f>"44121704"</f>
        <v>44121704</v>
      </c>
      <c r="J219" s="25" t="s">
        <v>186</v>
      </c>
    </row>
    <row r="220" spans="1:10" ht="39">
      <c r="A220" s="9" t="s">
        <v>27</v>
      </c>
      <c r="B220" s="2" t="s">
        <v>63</v>
      </c>
      <c r="C220" s="2">
        <v>3202</v>
      </c>
      <c r="D220" s="2">
        <v>7</v>
      </c>
      <c r="E220" s="2" t="str">
        <f>"1000004458"</f>
        <v>1000004458</v>
      </c>
      <c r="F220" s="2" t="str">
        <f>"PEN:M-Pt/Mar-brl/gld-tr/Ex/blk~Executive Ball Point, Retractable, Medium Point. Maroon Barrel with Gold Trim. Ink Color: Black"</f>
        <v>PEN:M-Pt/Mar-brl/gld-tr/Ex/blk~Executive Ball Point, Retractable, Medium Point. Maroon Barrel with Gold Trim. Ink Color: Black</v>
      </c>
      <c r="G220" s="3" t="str">
        <f t="shared" si="8"/>
        <v>DZ</v>
      </c>
      <c r="H220" s="7">
        <v>14.75</v>
      </c>
      <c r="I220" s="2" t="str">
        <f>"44121704"</f>
        <v>44121704</v>
      </c>
      <c r="J220" s="10" t="s">
        <v>186</v>
      </c>
    </row>
    <row r="221" spans="1:10" ht="39">
      <c r="A221" s="24" t="s">
        <v>27</v>
      </c>
      <c r="B221" s="21" t="s">
        <v>63</v>
      </c>
      <c r="C221" s="21">
        <v>3202</v>
      </c>
      <c r="D221" s="21">
        <v>8</v>
      </c>
      <c r="E221" s="21" t="str">
        <f>"1000004714"</f>
        <v>1000004714</v>
      </c>
      <c r="F221" s="21" t="str">
        <f>"PEN:M-Pt/Mar-brl/gld-tr/Ex/bl~Executive Ball Point, Retractable, Medium Point. Maroon Barrel with Gold Trim. Ink Color: Blue"</f>
        <v>PEN:M-Pt/Mar-brl/gld-tr/Ex/bl~Executive Ball Point, Retractable, Medium Point. Maroon Barrel with Gold Trim. Ink Color: Blue</v>
      </c>
      <c r="G221" s="22" t="str">
        <f t="shared" si="8"/>
        <v>DZ</v>
      </c>
      <c r="H221" s="23">
        <v>14.75</v>
      </c>
      <c r="I221" s="21" t="str">
        <f>"44121704"</f>
        <v>44121704</v>
      </c>
      <c r="J221" s="25" t="s">
        <v>186</v>
      </c>
    </row>
    <row r="222" spans="1:10" ht="39">
      <c r="A222" s="9" t="s">
        <v>27</v>
      </c>
      <c r="B222" s="2" t="s">
        <v>63</v>
      </c>
      <c r="C222" s="2">
        <v>3202</v>
      </c>
      <c r="D222" s="2">
        <v>9</v>
      </c>
      <c r="E222" s="2" t="str">
        <f>"1000002782"</f>
        <v>1000002782</v>
      </c>
      <c r="F222" s="2" t="str">
        <f>"PEN:3mm/blk/Ul-Fn/Ex/Rl/bal~Executive rolling ball Arrowhead .3MM ultra Fine Tip Black"</f>
        <v>PEN:3mm/blk/Ul-Fn/Ex/Rl/bal~Executive rolling ball Arrowhead .3MM ultra Fine Tip Black</v>
      </c>
      <c r="G222" s="3" t="str">
        <f t="shared" si="8"/>
        <v>DZ</v>
      </c>
      <c r="H222" s="7">
        <v>10.7</v>
      </c>
      <c r="I222" s="2" t="str">
        <f t="shared" ref="I222:I227" si="9">"44121701"</f>
        <v>44121701</v>
      </c>
      <c r="J222" s="10" t="s">
        <v>187</v>
      </c>
    </row>
    <row r="223" spans="1:10" ht="39">
      <c r="A223" s="24" t="s">
        <v>27</v>
      </c>
      <c r="B223" s="21" t="s">
        <v>63</v>
      </c>
      <c r="C223" s="21">
        <v>3202</v>
      </c>
      <c r="D223" s="21">
        <v>10</v>
      </c>
      <c r="E223" s="21" t="str">
        <f>"1000005307"</f>
        <v>1000005307</v>
      </c>
      <c r="F223" s="21" t="str">
        <f>"PEN:3mm/blk/Ul-Fn/Ex/Rl/bal~Executive rolling ball Arrowhead .3MM ultra Fine Tip Blue"</f>
        <v>PEN:3mm/blk/Ul-Fn/Ex/Rl/bal~Executive rolling ball Arrowhead .3MM ultra Fine Tip Blue</v>
      </c>
      <c r="G223" s="22" t="str">
        <f t="shared" si="8"/>
        <v>DZ</v>
      </c>
      <c r="H223" s="23">
        <v>10.7</v>
      </c>
      <c r="I223" s="21" t="str">
        <f t="shared" si="9"/>
        <v>44121701</v>
      </c>
      <c r="J223" s="25" t="s">
        <v>187</v>
      </c>
    </row>
    <row r="224" spans="1:10" ht="39">
      <c r="A224" s="9" t="s">
        <v>27</v>
      </c>
      <c r="B224" s="2" t="s">
        <v>63</v>
      </c>
      <c r="C224" s="2">
        <v>3202</v>
      </c>
      <c r="D224" s="2">
        <v>11</v>
      </c>
      <c r="E224" s="2" t="str">
        <f>"1000005306"</f>
        <v>1000005306</v>
      </c>
      <c r="F224" s="2" t="str">
        <f>"PEN:3mm/Rd/Ul-Fn/Ex/Rl/bal~Executive rolling ball Arrowhead .3MM ultra Fine Tip Red"</f>
        <v>PEN:3mm/Rd/Ul-Fn/Ex/Rl/bal~Executive rolling ball Arrowhead .3MM ultra Fine Tip Red</v>
      </c>
      <c r="G224" s="3" t="str">
        <f t="shared" si="8"/>
        <v>DZ</v>
      </c>
      <c r="H224" s="7">
        <v>10.7</v>
      </c>
      <c r="I224" s="2" t="str">
        <f t="shared" si="9"/>
        <v>44121701</v>
      </c>
      <c r="J224" s="10" t="s">
        <v>187</v>
      </c>
    </row>
    <row r="225" spans="1:10" ht="39">
      <c r="A225" s="24" t="s">
        <v>27</v>
      </c>
      <c r="B225" s="21" t="s">
        <v>63</v>
      </c>
      <c r="C225" s="21">
        <v>3202</v>
      </c>
      <c r="D225" s="21">
        <v>12</v>
      </c>
      <c r="E225" s="21" t="str">
        <f>"1000003058"</f>
        <v>1000003058</v>
      </c>
      <c r="F225" s="21" t="str">
        <f>"PEN:2mm/Rd/Ex-Fn/ec/Rl/bal~Executive rolling ball - extra fine tip .2MM Needle tip Red"</f>
        <v>PEN:2mm/Rd/Ex-Fn/ec/Rl/bal~Executive rolling ball - extra fine tip .2MM Needle tip Red</v>
      </c>
      <c r="G225" s="22" t="str">
        <f t="shared" si="8"/>
        <v>DZ</v>
      </c>
      <c r="H225" s="23">
        <v>11.55</v>
      </c>
      <c r="I225" s="21" t="str">
        <f t="shared" si="9"/>
        <v>44121701</v>
      </c>
      <c r="J225" s="25" t="s">
        <v>187</v>
      </c>
    </row>
    <row r="226" spans="1:10" ht="26.25">
      <c r="A226" s="9" t="s">
        <v>27</v>
      </c>
      <c r="B226" s="2" t="s">
        <v>63</v>
      </c>
      <c r="C226" s="2">
        <v>3202</v>
      </c>
      <c r="D226" s="2">
        <v>13</v>
      </c>
      <c r="E226" s="2" t="str">
        <f>"1000004433"</f>
        <v>1000004433</v>
      </c>
      <c r="F226" s="2" t="str">
        <f>"PEN:4mm/blk/Ex/Rl/bal~Executive Roller Ball .4mm tip Black Ink"</f>
        <v>PEN:4mm/blk/Ex/Rl/bal~Executive Roller Ball .4mm tip Black Ink</v>
      </c>
      <c r="G226" s="3" t="str">
        <f t="shared" si="8"/>
        <v>DZ</v>
      </c>
      <c r="H226" s="7">
        <v>9.25</v>
      </c>
      <c r="I226" s="2" t="str">
        <f t="shared" si="9"/>
        <v>44121701</v>
      </c>
      <c r="J226" s="10" t="s">
        <v>187</v>
      </c>
    </row>
    <row r="227" spans="1:10" ht="26.25">
      <c r="A227" s="24" t="s">
        <v>27</v>
      </c>
      <c r="B227" s="21" t="s">
        <v>63</v>
      </c>
      <c r="C227" s="21">
        <v>3202</v>
      </c>
      <c r="D227" s="21">
        <v>14</v>
      </c>
      <c r="E227" s="21" t="str">
        <f>"1000004979"</f>
        <v>1000004979</v>
      </c>
      <c r="F227" s="21" t="str">
        <f>"PEN:4mm/bl/Ex/Rl/bal~Executive Roller Ball .4mm tip blue ink"</f>
        <v>PEN:4mm/bl/Ex/Rl/bal~Executive Roller Ball .4mm tip blue ink</v>
      </c>
      <c r="G227" s="22" t="str">
        <f t="shared" si="8"/>
        <v>DZ</v>
      </c>
      <c r="H227" s="23">
        <v>9.25</v>
      </c>
      <c r="I227" s="21" t="str">
        <f t="shared" si="9"/>
        <v>44121701</v>
      </c>
      <c r="J227" s="25" t="s">
        <v>187</v>
      </c>
    </row>
    <row r="228" spans="1:10" ht="26.25">
      <c r="A228" s="24" t="s">
        <v>27</v>
      </c>
      <c r="B228" s="21" t="s">
        <v>63</v>
      </c>
      <c r="C228" s="21">
        <v>3202</v>
      </c>
      <c r="D228" s="21">
        <v>15</v>
      </c>
      <c r="E228" s="21" t="str">
        <f>"1000003593"</f>
        <v>1000003593</v>
      </c>
      <c r="F228" s="21" t="str">
        <f>"PEN:5mm/Fn-blk~Liquid Ink Roller Ball Schneider Xtra 805 Fine Point, Black"</f>
        <v>PEN:5mm/Fn-blk~Liquid Ink Roller Ball Schneider Xtra 805 Fine Point, Black</v>
      </c>
      <c r="G228" s="22" t="str">
        <f t="shared" si="8"/>
        <v>DZ</v>
      </c>
      <c r="H228" s="23">
        <v>18</v>
      </c>
      <c r="I228" s="21" t="str">
        <f>"44121703"</f>
        <v>44121703</v>
      </c>
      <c r="J228" s="25" t="s">
        <v>188</v>
      </c>
    </row>
    <row r="229" spans="1:10" ht="26.25">
      <c r="A229" s="9" t="s">
        <v>27</v>
      </c>
      <c r="B229" s="2" t="s">
        <v>63</v>
      </c>
      <c r="C229" s="2">
        <v>3202</v>
      </c>
      <c r="D229" s="2">
        <v>16</v>
      </c>
      <c r="E229" s="2" t="str">
        <f>"1000003594"</f>
        <v>1000003594</v>
      </c>
      <c r="F229" s="2" t="str">
        <f>"PEN:5mm/Fn-bl~Liquid Ink Roller Ball Schneider Xtra 805 Fine Point, Blue"</f>
        <v>PEN:5mm/Fn-bl~Liquid Ink Roller Ball Schneider Xtra 805 Fine Point, Blue</v>
      </c>
      <c r="G229" s="3" t="str">
        <f t="shared" si="8"/>
        <v>DZ</v>
      </c>
      <c r="H229" s="7">
        <v>18</v>
      </c>
      <c r="I229" s="2" t="str">
        <f>"44121703"</f>
        <v>44121703</v>
      </c>
      <c r="J229" s="10" t="s">
        <v>188</v>
      </c>
    </row>
    <row r="230" spans="1:10" ht="26.25">
      <c r="A230" s="24" t="s">
        <v>27</v>
      </c>
      <c r="B230" s="21" t="s">
        <v>63</v>
      </c>
      <c r="C230" s="21">
        <v>3202</v>
      </c>
      <c r="D230" s="21">
        <v>17</v>
      </c>
      <c r="E230" s="21" t="str">
        <f>"1000003361"</f>
        <v>1000003361</v>
      </c>
      <c r="F230" s="21" t="str">
        <f>"PEN:5mm/Fn-Rd~Liquid Ink Roller Ball Schneider Xtra 805 Fine Point, Red"</f>
        <v>PEN:5mm/Fn-Rd~Liquid Ink Roller Ball Schneider Xtra 805 Fine Point, Red</v>
      </c>
      <c r="G230" s="22" t="str">
        <f t="shared" si="8"/>
        <v>DZ</v>
      </c>
      <c r="H230" s="23">
        <v>18</v>
      </c>
      <c r="I230" s="21" t="str">
        <f>"44121703"</f>
        <v>44121703</v>
      </c>
      <c r="J230" s="25" t="s">
        <v>188</v>
      </c>
    </row>
    <row r="231" spans="1:10">
      <c r="A231" s="9" t="s">
        <v>27</v>
      </c>
      <c r="B231" s="2" t="s">
        <v>63</v>
      </c>
      <c r="C231" s="2">
        <v>3202</v>
      </c>
      <c r="D231" s="2">
        <v>18</v>
      </c>
      <c r="E231" s="2" t="str">
        <f>"1000011934"</f>
        <v>1000011934</v>
      </c>
      <c r="F231" s="2" t="str">
        <f>"PEN: Blk, Fine point, retractable"</f>
        <v>PEN: Blk, Fine point, retractable</v>
      </c>
      <c r="G231" s="3" t="str">
        <f t="shared" si="8"/>
        <v>DZ</v>
      </c>
      <c r="H231" s="7">
        <v>5.55</v>
      </c>
      <c r="I231" s="2" t="str">
        <f t="shared" ref="I231:I266" si="10">"44121704"</f>
        <v>44121704</v>
      </c>
      <c r="J231" s="10" t="s">
        <v>186</v>
      </c>
    </row>
    <row r="232" spans="1:10">
      <c r="A232" s="24" t="s">
        <v>27</v>
      </c>
      <c r="B232" s="21" t="s">
        <v>63</v>
      </c>
      <c r="C232" s="21">
        <v>3202</v>
      </c>
      <c r="D232" s="21">
        <v>19</v>
      </c>
      <c r="E232" s="21" t="str">
        <f>"1000011935"</f>
        <v>1000011935</v>
      </c>
      <c r="F232" s="21" t="str">
        <f>"PEN: Blu, Fine point, retractable"</f>
        <v>PEN: Blu, Fine point, retractable</v>
      </c>
      <c r="G232" s="22" t="str">
        <f t="shared" si="8"/>
        <v>DZ</v>
      </c>
      <c r="H232" s="23">
        <v>5.55</v>
      </c>
      <c r="I232" s="21" t="str">
        <f t="shared" si="10"/>
        <v>44121704</v>
      </c>
      <c r="J232" s="25" t="s">
        <v>186</v>
      </c>
    </row>
    <row r="233" spans="1:10">
      <c r="A233" s="9" t="s">
        <v>27</v>
      </c>
      <c r="B233" s="2" t="s">
        <v>63</v>
      </c>
      <c r="C233" s="2">
        <v>3202</v>
      </c>
      <c r="D233" s="2">
        <v>20</v>
      </c>
      <c r="E233" s="2" t="str">
        <f>"1000011936"</f>
        <v>1000011936</v>
      </c>
      <c r="F233" s="2" t="str">
        <f>"PEN: Red, Fine point, retractable"</f>
        <v>PEN: Red, Fine point, retractable</v>
      </c>
      <c r="G233" s="3" t="str">
        <f t="shared" si="8"/>
        <v>DZ</v>
      </c>
      <c r="H233" s="7">
        <v>5.55</v>
      </c>
      <c r="I233" s="2" t="str">
        <f t="shared" si="10"/>
        <v>44121704</v>
      </c>
      <c r="J233" s="10" t="s">
        <v>186</v>
      </c>
    </row>
    <row r="234" spans="1:10">
      <c r="A234" s="24" t="s">
        <v>27</v>
      </c>
      <c r="B234" s="21" t="s">
        <v>63</v>
      </c>
      <c r="C234" s="21">
        <v>3202</v>
      </c>
      <c r="D234" s="21">
        <v>21</v>
      </c>
      <c r="E234" s="21" t="str">
        <f>"1000011937"</f>
        <v>1000011937</v>
      </c>
      <c r="F234" s="21" t="str">
        <f>"PEN: Blk, Med point, retractable"</f>
        <v>PEN: Blk, Med point, retractable</v>
      </c>
      <c r="G234" s="22" t="str">
        <f t="shared" si="8"/>
        <v>DZ</v>
      </c>
      <c r="H234" s="23">
        <v>5.55</v>
      </c>
      <c r="I234" s="21" t="str">
        <f t="shared" si="10"/>
        <v>44121704</v>
      </c>
      <c r="J234" s="25" t="s">
        <v>186</v>
      </c>
    </row>
    <row r="235" spans="1:10">
      <c r="A235" s="9" t="s">
        <v>27</v>
      </c>
      <c r="B235" s="2" t="s">
        <v>63</v>
      </c>
      <c r="C235" s="2">
        <v>3202</v>
      </c>
      <c r="D235" s="2">
        <v>22</v>
      </c>
      <c r="E235" s="2" t="str">
        <f>"1000011921"</f>
        <v>1000011921</v>
      </c>
      <c r="F235" s="2" t="str">
        <f>"PEN: Blu, Med point, retractable"</f>
        <v>PEN: Blu, Med point, retractable</v>
      </c>
      <c r="G235" s="3" t="str">
        <f t="shared" si="8"/>
        <v>DZ</v>
      </c>
      <c r="H235" s="7">
        <v>5.55</v>
      </c>
      <c r="I235" s="2" t="str">
        <f t="shared" si="10"/>
        <v>44121704</v>
      </c>
      <c r="J235" s="10" t="s">
        <v>186</v>
      </c>
    </row>
    <row r="236" spans="1:10">
      <c r="A236" s="24" t="s">
        <v>27</v>
      </c>
      <c r="B236" s="21" t="s">
        <v>63</v>
      </c>
      <c r="C236" s="21">
        <v>3202</v>
      </c>
      <c r="D236" s="21">
        <v>23</v>
      </c>
      <c r="E236" s="21" t="str">
        <f>"1000011922"</f>
        <v>1000011922</v>
      </c>
      <c r="F236" s="21" t="str">
        <f>"PEN: Red, Med point, retractable"</f>
        <v>PEN: Red, Med point, retractable</v>
      </c>
      <c r="G236" s="22" t="str">
        <f t="shared" si="8"/>
        <v>DZ</v>
      </c>
      <c r="H236" s="23">
        <v>5.55</v>
      </c>
      <c r="I236" s="21" t="str">
        <f t="shared" si="10"/>
        <v>44121704</v>
      </c>
      <c r="J236" s="25" t="s">
        <v>186</v>
      </c>
    </row>
    <row r="237" spans="1:10" ht="77.25">
      <c r="A237" s="9" t="s">
        <v>27</v>
      </c>
      <c r="B237" s="2" t="s">
        <v>63</v>
      </c>
      <c r="C237" s="2">
        <v>3202</v>
      </c>
      <c r="D237" s="2">
        <v>24</v>
      </c>
      <c r="E237" s="2" t="str">
        <f>"1000004490"</f>
        <v>1000004490</v>
      </c>
      <c r="F237" s="2" t="str">
        <f>"PEN:No-Ret/Blk/Ref/Fin~Alpha grip, ball point pen w/cushioned grip, is refillable, non-retractable, has pocket clip on cap. Cap &amp;barrel color indicates ink color. transparent body allows you to monitor ink level. Fine point, Black"</f>
        <v>PEN:No-Ret/Blk/Ref/Fin~Alpha grip, ball point pen w/cushioned grip, is refillable, non-retractable, has pocket clip on cap. Cap &amp;barrel color indicates ink color. transparent body allows you to monitor ink level. Fine point, Black</v>
      </c>
      <c r="G237" s="3" t="str">
        <f t="shared" si="8"/>
        <v>DZ</v>
      </c>
      <c r="H237" s="7">
        <v>9.25</v>
      </c>
      <c r="I237" s="2" t="str">
        <f t="shared" si="10"/>
        <v>44121704</v>
      </c>
      <c r="J237" s="10" t="s">
        <v>186</v>
      </c>
    </row>
    <row r="238" spans="1:10" ht="77.25">
      <c r="A238" s="24" t="s">
        <v>27</v>
      </c>
      <c r="B238" s="21" t="s">
        <v>63</v>
      </c>
      <c r="C238" s="21">
        <v>3202</v>
      </c>
      <c r="D238" s="21">
        <v>25</v>
      </c>
      <c r="E238" s="21" t="str">
        <f>"1000004465"</f>
        <v>1000004465</v>
      </c>
      <c r="F238" s="21" t="str">
        <f>"PEN:No-Ret/Blk/Ref/Med~Alpha grip, ball point pen w/cushioned grip, is refillable, non-retractable, has pocket clip on cap. Cap &amp;barrel color indicates ink color. transparent body allows you to monitor ink level. Medium point, Black"</f>
        <v>PEN:No-Ret/Blk/Ref/Med~Alpha grip, ball point pen w/cushioned grip, is refillable, non-retractable, has pocket clip on cap. Cap &amp;barrel color indicates ink color. transparent body allows you to monitor ink level. Medium point, Black</v>
      </c>
      <c r="G238" s="22" t="str">
        <f t="shared" si="8"/>
        <v>DZ</v>
      </c>
      <c r="H238" s="23">
        <v>9.25</v>
      </c>
      <c r="I238" s="21" t="str">
        <f t="shared" si="10"/>
        <v>44121704</v>
      </c>
      <c r="J238" s="25" t="s">
        <v>186</v>
      </c>
    </row>
    <row r="239" spans="1:10" ht="77.25">
      <c r="A239" s="9" t="s">
        <v>27</v>
      </c>
      <c r="B239" s="2" t="s">
        <v>63</v>
      </c>
      <c r="C239" s="2">
        <v>3202</v>
      </c>
      <c r="D239" s="2">
        <v>26</v>
      </c>
      <c r="E239" s="2" t="str">
        <f>"1000002440"</f>
        <v>1000002440</v>
      </c>
      <c r="F239" s="2" t="str">
        <f>"PEN:No-Ret/Red/Ref/Fn~Alpha grip, ball point pen w/cushioned grip, is refillable, non-retractable, has pocket clip on cap. Cap &amp;barrel color indicates ink color. transparent body allows you to monitor ink level. Fine point, Red"</f>
        <v>PEN:No-Ret/Red/Ref/Fn~Alpha grip, ball point pen w/cushioned grip, is refillable, non-retractable, has pocket clip on cap. Cap &amp;barrel color indicates ink color. transparent body allows you to monitor ink level. Fine point, Red</v>
      </c>
      <c r="G239" s="3" t="str">
        <f t="shared" si="8"/>
        <v>DZ</v>
      </c>
      <c r="H239" s="7">
        <v>9.25</v>
      </c>
      <c r="I239" s="2" t="str">
        <f t="shared" si="10"/>
        <v>44121704</v>
      </c>
      <c r="J239" s="10" t="s">
        <v>186</v>
      </c>
    </row>
    <row r="240" spans="1:10" ht="77.25">
      <c r="A240" s="24" t="s">
        <v>27</v>
      </c>
      <c r="B240" s="21" t="s">
        <v>63</v>
      </c>
      <c r="C240" s="21">
        <v>3202</v>
      </c>
      <c r="D240" s="21">
        <v>27</v>
      </c>
      <c r="E240" s="21" t="str">
        <f>"1000002581"</f>
        <v>1000002581</v>
      </c>
      <c r="F240" s="21" t="str">
        <f>"PEN:No-Ret/Red/Ref/Med~Alpha grip, ball point pen w/cushioned grip, is refillable, non-retractable, has pocket clip on cap. Cap &amp;barrel color indicates ink color. transparent body allows you to monitor ink level. Medium point, Red"</f>
        <v>PEN:No-Ret/Red/Ref/Med~Alpha grip, ball point pen w/cushioned grip, is refillable, non-retractable, has pocket clip on cap. Cap &amp;barrel color indicates ink color. transparent body allows you to monitor ink level. Medium point, Red</v>
      </c>
      <c r="G240" s="22" t="str">
        <f t="shared" si="8"/>
        <v>DZ</v>
      </c>
      <c r="H240" s="23">
        <v>9.25</v>
      </c>
      <c r="I240" s="21" t="str">
        <f t="shared" si="10"/>
        <v>44121704</v>
      </c>
      <c r="J240" s="25" t="s">
        <v>186</v>
      </c>
    </row>
    <row r="241" spans="1:10" ht="77.25">
      <c r="A241" s="9" t="s">
        <v>27</v>
      </c>
      <c r="B241" s="2" t="s">
        <v>63</v>
      </c>
      <c r="C241" s="2">
        <v>3202</v>
      </c>
      <c r="D241" s="2">
        <v>28</v>
      </c>
      <c r="E241" s="2" t="str">
        <f>"1000002992"</f>
        <v>1000002992</v>
      </c>
      <c r="F241" s="2" t="str">
        <f>"PEN:No-Ret/Bl/Ref/Fin~Alpha grip, ball point pen w/cushioned grip, is refillable, non-retractable, has pocket clip on cap. Cap &amp;barrel color indicates ink color. transparent body allows you to monitor ink level. Fine point, Blue"</f>
        <v>PEN:No-Ret/Bl/Ref/Fin~Alpha grip, ball point pen w/cushioned grip, is refillable, non-retractable, has pocket clip on cap. Cap &amp;barrel color indicates ink color. transparent body allows you to monitor ink level. Fine point, Blue</v>
      </c>
      <c r="G241" s="3" t="str">
        <f t="shared" si="8"/>
        <v>DZ</v>
      </c>
      <c r="H241" s="7">
        <v>9.25</v>
      </c>
      <c r="I241" s="2" t="str">
        <f t="shared" si="10"/>
        <v>44121704</v>
      </c>
      <c r="J241" s="10" t="s">
        <v>186</v>
      </c>
    </row>
    <row r="242" spans="1:10" ht="77.25">
      <c r="A242" s="24" t="s">
        <v>27</v>
      </c>
      <c r="B242" s="21" t="s">
        <v>63</v>
      </c>
      <c r="C242" s="21">
        <v>3202</v>
      </c>
      <c r="D242" s="21">
        <v>29</v>
      </c>
      <c r="E242" s="21" t="str">
        <f>"1000002991"</f>
        <v>1000002991</v>
      </c>
      <c r="F242" s="21" t="str">
        <f>"PEN:No-Ret/Bl/Ref/Med~Alpha grip, ball point pen w/cushioned grip, is refillable, non-retractable, has pocket clip on cap. Cap &amp;barrel color indicates ink color. transparent body allows you to monitor ink level. Medium point, Blue"</f>
        <v>PEN:No-Ret/Bl/Ref/Med~Alpha grip, ball point pen w/cushioned grip, is refillable, non-retractable, has pocket clip on cap. Cap &amp;barrel color indicates ink color. transparent body allows you to monitor ink level. Medium point, Blue</v>
      </c>
      <c r="G242" s="22" t="str">
        <f t="shared" si="8"/>
        <v>DZ</v>
      </c>
      <c r="H242" s="23">
        <v>9.25</v>
      </c>
      <c r="I242" s="21" t="str">
        <f t="shared" si="10"/>
        <v>44121704</v>
      </c>
      <c r="J242" s="25" t="s">
        <v>186</v>
      </c>
    </row>
    <row r="243" spans="1:10" ht="39">
      <c r="A243" s="9" t="s">
        <v>27</v>
      </c>
      <c r="B243" s="2" t="s">
        <v>63</v>
      </c>
      <c r="C243" s="2">
        <v>3202</v>
      </c>
      <c r="D243" s="2">
        <v>30</v>
      </c>
      <c r="E243" s="2" t="str">
        <f>"1000003107"</f>
        <v>1000003107</v>
      </c>
      <c r="F243" s="2" t="str">
        <f>"PEN:State of Ok Med pt red~Pen, ball point, soft grip stick pen, without eraser. Imprinted State of Oklahoma Medium point, red"</f>
        <v>PEN:State of Ok Med pt red~Pen, ball point, soft grip stick pen, without eraser. Imprinted State of Oklahoma Medium point, red</v>
      </c>
      <c r="G243" s="3" t="str">
        <f t="shared" si="8"/>
        <v>DZ</v>
      </c>
      <c r="H243" s="7">
        <v>8.9499999999999993</v>
      </c>
      <c r="I243" s="2" t="str">
        <f t="shared" si="10"/>
        <v>44121704</v>
      </c>
      <c r="J243" s="10" t="s">
        <v>186</v>
      </c>
    </row>
    <row r="244" spans="1:10" ht="51.75">
      <c r="A244" s="24" t="s">
        <v>27</v>
      </c>
      <c r="B244" s="21" t="s">
        <v>63</v>
      </c>
      <c r="C244" s="21">
        <v>3202</v>
      </c>
      <c r="D244" s="21">
        <v>31</v>
      </c>
      <c r="E244" s="21" t="str">
        <f>"1000003251"</f>
        <v>1000003251</v>
      </c>
      <c r="F244" s="21" t="str">
        <f>"PEN:HexSTATE OF OK Fine pt blk~Pen, ball point, hexagon barrel, stick pen, without eraser, Heat Stamped STATE OF OKLAHOMA Fine point, black"</f>
        <v>PEN:HexSTATE OF OK Fine pt blk~Pen, ball point, hexagon barrel, stick pen, without eraser, Heat Stamped STATE OF OKLAHOMA Fine point, black</v>
      </c>
      <c r="G244" s="22" t="str">
        <f t="shared" si="8"/>
        <v>DZ</v>
      </c>
      <c r="H244" s="23">
        <v>4</v>
      </c>
      <c r="I244" s="21" t="str">
        <f t="shared" si="10"/>
        <v>44121704</v>
      </c>
      <c r="J244" s="25" t="s">
        <v>186</v>
      </c>
    </row>
    <row r="245" spans="1:10" ht="51.75">
      <c r="A245" s="9" t="s">
        <v>27</v>
      </c>
      <c r="B245" s="2" t="s">
        <v>63</v>
      </c>
      <c r="C245" s="2">
        <v>3202</v>
      </c>
      <c r="D245" s="2">
        <v>32</v>
      </c>
      <c r="E245" s="2" t="str">
        <f>"1000004568"</f>
        <v>1000004568</v>
      </c>
      <c r="F245" s="2" t="str">
        <f>"PEN:Hex STATE OF OK Fine pt blue~Pen, ball point, hexagon barrel, stick pen, without eraser, Heat Stamped STATE OF OKLAHOMA Fine point, blue"</f>
        <v>PEN:Hex STATE OF OK Fine pt blue~Pen, ball point, hexagon barrel, stick pen, without eraser, Heat Stamped STATE OF OKLAHOMA Fine point, blue</v>
      </c>
      <c r="G245" s="3" t="str">
        <f t="shared" si="8"/>
        <v>DZ</v>
      </c>
      <c r="H245" s="7">
        <v>4</v>
      </c>
      <c r="I245" s="2" t="str">
        <f t="shared" si="10"/>
        <v>44121704</v>
      </c>
      <c r="J245" s="10" t="s">
        <v>186</v>
      </c>
    </row>
    <row r="246" spans="1:10" ht="51.75">
      <c r="A246" s="24" t="s">
        <v>27</v>
      </c>
      <c r="B246" s="21" t="s">
        <v>63</v>
      </c>
      <c r="C246" s="21">
        <v>3202</v>
      </c>
      <c r="D246" s="21">
        <v>33</v>
      </c>
      <c r="E246" s="21" t="str">
        <f>"1000004365"</f>
        <v>1000004365</v>
      </c>
      <c r="F246" s="21" t="str">
        <f>"PEN:Hex STATE OF OKL Fine pt red~Pen, ball point, hexagon barrel, stick pen, without eraser, Heat Stamped STATE OF OKLAHOMA Fine point, red"</f>
        <v>PEN:Hex STATE OF OKL Fine pt red~Pen, ball point, hexagon barrel, stick pen, without eraser, Heat Stamped STATE OF OKLAHOMA Fine point, red</v>
      </c>
      <c r="G246" s="22" t="str">
        <f t="shared" si="8"/>
        <v>DZ</v>
      </c>
      <c r="H246" s="23">
        <v>4</v>
      </c>
      <c r="I246" s="21" t="str">
        <f t="shared" si="10"/>
        <v>44121704</v>
      </c>
      <c r="J246" s="25" t="s">
        <v>186</v>
      </c>
    </row>
    <row r="247" spans="1:10" ht="39">
      <c r="A247" s="9" t="s">
        <v>27</v>
      </c>
      <c r="B247" s="2" t="s">
        <v>63</v>
      </c>
      <c r="C247" s="2">
        <v>3202</v>
      </c>
      <c r="D247" s="2">
        <v>34</v>
      </c>
      <c r="E247" s="2" t="str">
        <f>"1000004366"</f>
        <v>1000004366</v>
      </c>
      <c r="F247" s="2" t="str">
        <f>"PEN:Hexagon barrel, stick pen, without eraser, Heat Stamped STATE OF OKLAHOMA Medium point, black"</f>
        <v>PEN:Hexagon barrel, stick pen, without eraser, Heat Stamped STATE OF OKLAHOMA Medium point, black</v>
      </c>
      <c r="G247" s="3" t="str">
        <f t="shared" si="8"/>
        <v>DZ</v>
      </c>
      <c r="H247" s="7">
        <v>4</v>
      </c>
      <c r="I247" s="2" t="str">
        <f t="shared" si="10"/>
        <v>44121704</v>
      </c>
      <c r="J247" s="10" t="s">
        <v>186</v>
      </c>
    </row>
    <row r="248" spans="1:10" ht="51.75">
      <c r="A248" s="24" t="s">
        <v>27</v>
      </c>
      <c r="B248" s="21" t="s">
        <v>63</v>
      </c>
      <c r="C248" s="21">
        <v>3202</v>
      </c>
      <c r="D248" s="21">
        <v>35</v>
      </c>
      <c r="E248" s="21" t="str">
        <f>"1000002316"</f>
        <v>1000002316</v>
      </c>
      <c r="F248" s="21" t="str">
        <f>"PEN:HexSTATE OF OK Med pt blue~Pen, ball point, hexagon barrel, stick pen, without eraser, Heat Stamped STATE OF OKLAHOMA Medium point, blue"</f>
        <v>PEN:HexSTATE OF OK Med pt blue~Pen, ball point, hexagon barrel, stick pen, without eraser, Heat Stamped STATE OF OKLAHOMA Medium point, blue</v>
      </c>
      <c r="G248" s="22" t="str">
        <f t="shared" si="8"/>
        <v>DZ</v>
      </c>
      <c r="H248" s="23">
        <v>4</v>
      </c>
      <c r="I248" s="21" t="str">
        <f t="shared" si="10"/>
        <v>44121704</v>
      </c>
      <c r="J248" s="25" t="s">
        <v>186</v>
      </c>
    </row>
    <row r="249" spans="1:10" ht="51.75">
      <c r="A249" s="9" t="s">
        <v>27</v>
      </c>
      <c r="B249" s="2" t="s">
        <v>63</v>
      </c>
      <c r="C249" s="2">
        <v>3202</v>
      </c>
      <c r="D249" s="2">
        <v>36</v>
      </c>
      <c r="E249" s="2" t="str">
        <f>"1000004756"</f>
        <v>1000004756</v>
      </c>
      <c r="F249" s="2" t="str">
        <f>"PEN:HexSTATE OF OK Med pt red~Pen, ball point, hexagon barrel, stick pen, without eraser, Heat Stamped STATE OF OKLAHOMA Medium point, red"</f>
        <v>PEN:HexSTATE OF OK Med pt red~Pen, ball point, hexagon barrel, stick pen, without eraser, Heat Stamped STATE OF OKLAHOMA Medium point, red</v>
      </c>
      <c r="G249" s="3" t="str">
        <f t="shared" si="8"/>
        <v>DZ</v>
      </c>
      <c r="H249" s="7">
        <v>4</v>
      </c>
      <c r="I249" s="2" t="str">
        <f t="shared" si="10"/>
        <v>44121704</v>
      </c>
      <c r="J249" s="10" t="s">
        <v>186</v>
      </c>
    </row>
    <row r="250" spans="1:10" ht="39">
      <c r="A250" s="24" t="s">
        <v>27</v>
      </c>
      <c r="B250" s="21" t="s">
        <v>63</v>
      </c>
      <c r="C250" s="21">
        <v>3202</v>
      </c>
      <c r="D250" s="21">
        <v>37</v>
      </c>
      <c r="E250" s="21" t="str">
        <f>"1000011949"</f>
        <v>1000011949</v>
      </c>
      <c r="F250" s="21" t="str">
        <f>"PEN: No Eraser, Blk barrel, ball point, stick pen, easy, free flow ink in Med point only, minature disposable, ink color: Blk only"</f>
        <v>PEN: No Eraser, Blk barrel, ball point, stick pen, easy, free flow ink in Med point only, minature disposable, ink color: Blk only</v>
      </c>
      <c r="G250" s="22" t="str">
        <f>"EA"</f>
        <v>EA</v>
      </c>
      <c r="H250" s="23">
        <v>0.18</v>
      </c>
      <c r="I250" s="21" t="str">
        <f t="shared" si="10"/>
        <v>44121704</v>
      </c>
      <c r="J250" s="25" t="s">
        <v>186</v>
      </c>
    </row>
    <row r="251" spans="1:10" ht="39">
      <c r="A251" s="9" t="s">
        <v>27</v>
      </c>
      <c r="B251" s="2" t="s">
        <v>63</v>
      </c>
      <c r="C251" s="2">
        <v>3202</v>
      </c>
      <c r="D251" s="2">
        <v>38</v>
      </c>
      <c r="E251" s="2" t="str">
        <f>"1000011950"</f>
        <v>1000011950</v>
      </c>
      <c r="F251" s="2" t="str">
        <f>"PEN: Blk, archival ink, gel, permanent and waterproof, retractable, rubber grip, big ink reservoir, Med point only, Blk, refillable"</f>
        <v>PEN: Blk, archival ink, gel, permanent and waterproof, retractable, rubber grip, big ink reservoir, Med point only, Blk, refillable</v>
      </c>
      <c r="G251" s="3" t="str">
        <f t="shared" ref="G251:G275" si="11">"DZ"</f>
        <v>DZ</v>
      </c>
      <c r="H251" s="7">
        <v>17</v>
      </c>
      <c r="I251" s="2" t="str">
        <f t="shared" si="10"/>
        <v>44121704</v>
      </c>
      <c r="J251" s="10" t="s">
        <v>186</v>
      </c>
    </row>
    <row r="252" spans="1:10" ht="39">
      <c r="A252" s="24" t="s">
        <v>27</v>
      </c>
      <c r="B252" s="21" t="s">
        <v>63</v>
      </c>
      <c r="C252" s="21">
        <v>3202</v>
      </c>
      <c r="D252" s="21">
        <v>39</v>
      </c>
      <c r="E252" s="21" t="str">
        <f>"1000011951"</f>
        <v>1000011951</v>
      </c>
      <c r="F252" s="21" t="str">
        <f>"PEN: Blu, archival ink, gel, permanent and waterproof, retractable, rubber grip, big ink reservoir, Med point only, Blu, refillable"</f>
        <v>PEN: Blu, archival ink, gel, permanent and waterproof, retractable, rubber grip, big ink reservoir, Med point only, Blu, refillable</v>
      </c>
      <c r="G252" s="22" t="str">
        <f t="shared" si="11"/>
        <v>DZ</v>
      </c>
      <c r="H252" s="23">
        <v>17</v>
      </c>
      <c r="I252" s="21" t="str">
        <f t="shared" si="10"/>
        <v>44121704</v>
      </c>
      <c r="J252" s="25" t="s">
        <v>186</v>
      </c>
    </row>
    <row r="253" spans="1:10" ht="39">
      <c r="A253" s="9" t="s">
        <v>27</v>
      </c>
      <c r="B253" s="2" t="s">
        <v>63</v>
      </c>
      <c r="C253" s="2">
        <v>3202</v>
      </c>
      <c r="D253" s="2">
        <v>40</v>
      </c>
      <c r="E253" s="2" t="str">
        <f>"1000011924"</f>
        <v>1000011924</v>
      </c>
      <c r="F253" s="2" t="str">
        <f>"PEN: Red, archival ink, gel, permanent and waterproof, retractable, rubber grip, big ink reservoir, Med point only, red, refillable"</f>
        <v>PEN: Red, archival ink, gel, permanent and waterproof, retractable, rubber grip, big ink reservoir, Med point only, red, refillable</v>
      </c>
      <c r="G253" s="3" t="str">
        <f t="shared" si="11"/>
        <v>DZ</v>
      </c>
      <c r="H253" s="7">
        <v>17</v>
      </c>
      <c r="I253" s="2" t="str">
        <f t="shared" si="10"/>
        <v>44121704</v>
      </c>
      <c r="J253" s="10" t="s">
        <v>186</v>
      </c>
    </row>
    <row r="254" spans="1:10" ht="39">
      <c r="A254" s="24" t="s">
        <v>27</v>
      </c>
      <c r="B254" s="21" t="s">
        <v>63</v>
      </c>
      <c r="C254" s="21">
        <v>3202</v>
      </c>
      <c r="D254" s="21">
        <v>41</v>
      </c>
      <c r="E254" s="21" t="str">
        <f>"1000011925"</f>
        <v>1000011925</v>
      </c>
      <c r="F254" s="21" t="str">
        <f>"PEN: Blk, not refillable, archival ink, gel, permanent and waterproof, stick pen, rubber grip, big ink reservoir, Med point only"</f>
        <v>PEN: Blk, not refillable, archival ink, gel, permanent and waterproof, stick pen, rubber grip, big ink reservoir, Med point only</v>
      </c>
      <c r="G254" s="22" t="str">
        <f t="shared" si="11"/>
        <v>DZ</v>
      </c>
      <c r="H254" s="23">
        <v>17</v>
      </c>
      <c r="I254" s="21" t="str">
        <f t="shared" si="10"/>
        <v>44121704</v>
      </c>
      <c r="J254" s="25" t="s">
        <v>186</v>
      </c>
    </row>
    <row r="255" spans="1:10" ht="39">
      <c r="A255" s="9" t="s">
        <v>27</v>
      </c>
      <c r="B255" s="2" t="s">
        <v>63</v>
      </c>
      <c r="C255" s="2">
        <v>3202</v>
      </c>
      <c r="D255" s="2">
        <v>42</v>
      </c>
      <c r="E255" s="2" t="str">
        <f>"1000011926"</f>
        <v>1000011926</v>
      </c>
      <c r="F255" s="2" t="str">
        <f>"PEN: Blu, not refillable, archival ink, gel, permanent and waterproof, stick pen, rubber grip, big ink reservoir, Med point only"</f>
        <v>PEN: Blu, not refillable, archival ink, gel, permanent and waterproof, stick pen, rubber grip, big ink reservoir, Med point only</v>
      </c>
      <c r="G255" s="3" t="str">
        <f t="shared" si="11"/>
        <v>DZ</v>
      </c>
      <c r="H255" s="7">
        <v>17</v>
      </c>
      <c r="I255" s="2" t="str">
        <f t="shared" si="10"/>
        <v>44121704</v>
      </c>
      <c r="J255" s="10" t="s">
        <v>186</v>
      </c>
    </row>
    <row r="256" spans="1:10" ht="39">
      <c r="A256" s="24" t="s">
        <v>27</v>
      </c>
      <c r="B256" s="21" t="s">
        <v>63</v>
      </c>
      <c r="C256" s="21">
        <v>3202</v>
      </c>
      <c r="D256" s="21">
        <v>43</v>
      </c>
      <c r="E256" s="21" t="str">
        <f>"1000011927"</f>
        <v>1000011927</v>
      </c>
      <c r="F256" s="21" t="str">
        <f>"PEN: Red, not refillable, archival ink, gel, permanent and waterproof, stick pen, rubber grip, big ink reservoir, Med point only"</f>
        <v>PEN: Red, not refillable, archival ink, gel, permanent and waterproof, stick pen, rubber grip, big ink reservoir, Med point only</v>
      </c>
      <c r="G256" s="22" t="str">
        <f t="shared" si="11"/>
        <v>DZ</v>
      </c>
      <c r="H256" s="23">
        <v>17</v>
      </c>
      <c r="I256" s="21" t="str">
        <f t="shared" si="10"/>
        <v>44121704</v>
      </c>
      <c r="J256" s="25" t="s">
        <v>186</v>
      </c>
    </row>
    <row r="257" spans="1:10" ht="39">
      <c r="A257" s="9" t="s">
        <v>27</v>
      </c>
      <c r="B257" s="2" t="s">
        <v>63</v>
      </c>
      <c r="C257" s="2">
        <v>3202</v>
      </c>
      <c r="D257" s="2">
        <v>44</v>
      </c>
      <c r="E257" s="2" t="str">
        <f>"1000011928"</f>
        <v>1000011928</v>
      </c>
      <c r="F257" s="2" t="str">
        <f>"PEN: Blk, fine point cushion grip, gel, archival ink, permanent and waterproof, imprint available, refillable"</f>
        <v>PEN: Blk, fine point cushion grip, gel, archival ink, permanent and waterproof, imprint available, refillable</v>
      </c>
      <c r="G257" s="3" t="str">
        <f t="shared" si="11"/>
        <v>DZ</v>
      </c>
      <c r="H257" s="7">
        <v>10</v>
      </c>
      <c r="I257" s="2" t="str">
        <f t="shared" si="10"/>
        <v>44121704</v>
      </c>
      <c r="J257" s="10" t="s">
        <v>186</v>
      </c>
    </row>
    <row r="258" spans="1:10" ht="39">
      <c r="A258" s="24" t="s">
        <v>27</v>
      </c>
      <c r="B258" s="21" t="s">
        <v>63</v>
      </c>
      <c r="C258" s="21">
        <v>3202</v>
      </c>
      <c r="D258" s="21">
        <v>45</v>
      </c>
      <c r="E258" s="21" t="str">
        <f>"1000011929"</f>
        <v>1000011929</v>
      </c>
      <c r="F258" s="21" t="str">
        <f>"PEN: Blu, fine point cushion grip, gel, archival ink, permanent and waterproof, imprint available, refillable"</f>
        <v>PEN: Blu, fine point cushion grip, gel, archival ink, permanent and waterproof, imprint available, refillable</v>
      </c>
      <c r="G258" s="22" t="str">
        <f t="shared" si="11"/>
        <v>DZ</v>
      </c>
      <c r="H258" s="23">
        <v>10</v>
      </c>
      <c r="I258" s="21" t="str">
        <f t="shared" si="10"/>
        <v>44121704</v>
      </c>
      <c r="J258" s="25" t="s">
        <v>186</v>
      </c>
    </row>
    <row r="259" spans="1:10" ht="39">
      <c r="A259" s="9" t="s">
        <v>27</v>
      </c>
      <c r="B259" s="2" t="s">
        <v>63</v>
      </c>
      <c r="C259" s="2">
        <v>3202</v>
      </c>
      <c r="D259" s="2">
        <v>46</v>
      </c>
      <c r="E259" s="2" t="str">
        <f>"1000011930"</f>
        <v>1000011930</v>
      </c>
      <c r="F259" s="2" t="str">
        <f>"PEN: Red, fine point cushion grip, gel, archival ink, permanent and waterproof, imprint available, refillable"</f>
        <v>PEN: Red, fine point cushion grip, gel, archival ink, permanent and waterproof, imprint available, refillable</v>
      </c>
      <c r="G259" s="3" t="str">
        <f t="shared" si="11"/>
        <v>DZ</v>
      </c>
      <c r="H259" s="7">
        <v>10</v>
      </c>
      <c r="I259" s="2" t="str">
        <f t="shared" si="10"/>
        <v>44121704</v>
      </c>
      <c r="J259" s="10" t="s">
        <v>186</v>
      </c>
    </row>
    <row r="260" spans="1:10" ht="39">
      <c r="A260" s="24" t="s">
        <v>27</v>
      </c>
      <c r="B260" s="21" t="s">
        <v>63</v>
      </c>
      <c r="C260" s="21">
        <v>3202</v>
      </c>
      <c r="D260" s="21">
        <v>47</v>
      </c>
      <c r="E260" s="21" t="str">
        <f>"1000011931"</f>
        <v>1000011931</v>
      </c>
      <c r="F260" s="21" t="str">
        <f>"PEN: Blk, med point cushion grip, gel, archival ink, permanent and waterproof, imprint available, refillable"</f>
        <v>PEN: Blk, med point cushion grip, gel, archival ink, permanent and waterproof, imprint available, refillable</v>
      </c>
      <c r="G260" s="22" t="str">
        <f t="shared" si="11"/>
        <v>DZ</v>
      </c>
      <c r="H260" s="23">
        <v>10</v>
      </c>
      <c r="I260" s="21" t="str">
        <f t="shared" si="10"/>
        <v>44121704</v>
      </c>
      <c r="J260" s="25" t="s">
        <v>186</v>
      </c>
    </row>
    <row r="261" spans="1:10" ht="39">
      <c r="A261" s="9" t="s">
        <v>27</v>
      </c>
      <c r="B261" s="2" t="s">
        <v>63</v>
      </c>
      <c r="C261" s="2">
        <v>3202</v>
      </c>
      <c r="D261" s="2">
        <v>48</v>
      </c>
      <c r="E261" s="2" t="str">
        <f>"1000011960"</f>
        <v>1000011960</v>
      </c>
      <c r="F261" s="2" t="str">
        <f>"PEN: Blu, med point cushion grip, gel, archival ink, permanent and waterproof, imprint available, refillable"</f>
        <v>PEN: Blu, med point cushion grip, gel, archival ink, permanent and waterproof, imprint available, refillable</v>
      </c>
      <c r="G261" s="3" t="str">
        <f t="shared" si="11"/>
        <v>DZ</v>
      </c>
      <c r="H261" s="7">
        <v>10</v>
      </c>
      <c r="I261" s="2" t="str">
        <f t="shared" si="10"/>
        <v>44121704</v>
      </c>
      <c r="J261" s="10" t="s">
        <v>186</v>
      </c>
    </row>
    <row r="262" spans="1:10" ht="39">
      <c r="A262" s="24" t="s">
        <v>27</v>
      </c>
      <c r="B262" s="21" t="s">
        <v>63</v>
      </c>
      <c r="C262" s="21">
        <v>3202</v>
      </c>
      <c r="D262" s="21">
        <v>49</v>
      </c>
      <c r="E262" s="21" t="str">
        <f>"1000011961"</f>
        <v>1000011961</v>
      </c>
      <c r="F262" s="21" t="str">
        <f>"PEN: Red, med point cushion grip, gel, archival ink, permanent and waterproof, imprint available, refillable"</f>
        <v>PEN: Red, med point cushion grip, gel, archival ink, permanent and waterproof, imprint available, refillable</v>
      </c>
      <c r="G262" s="22" t="str">
        <f t="shared" si="11"/>
        <v>DZ</v>
      </c>
      <c r="H262" s="23">
        <v>10</v>
      </c>
      <c r="I262" s="21" t="str">
        <f t="shared" si="10"/>
        <v>44121704</v>
      </c>
      <c r="J262" s="25" t="s">
        <v>186</v>
      </c>
    </row>
    <row r="263" spans="1:10" ht="39">
      <c r="A263" s="9" t="s">
        <v>27</v>
      </c>
      <c r="B263" s="2" t="s">
        <v>63</v>
      </c>
      <c r="C263" s="2">
        <v>3202</v>
      </c>
      <c r="D263" s="2">
        <v>50</v>
      </c>
      <c r="E263" s="2" t="str">
        <f>"1000011962"</f>
        <v>1000011962</v>
      </c>
      <c r="F263" s="2" t="str">
        <f>"PEN: Unprintable, Blk, fine point, gel, archival ink, retractable, permanent and waterproof, refillable, cushion grip"</f>
        <v>PEN: Unprintable, Blk, fine point, gel, archival ink, retractable, permanent and waterproof, refillable, cushion grip</v>
      </c>
      <c r="G263" s="3" t="str">
        <f t="shared" si="11"/>
        <v>DZ</v>
      </c>
      <c r="H263" s="7">
        <v>16.3</v>
      </c>
      <c r="I263" s="2" t="str">
        <f t="shared" si="10"/>
        <v>44121704</v>
      </c>
      <c r="J263" s="10" t="s">
        <v>186</v>
      </c>
    </row>
    <row r="264" spans="1:10" ht="39">
      <c r="A264" s="24" t="s">
        <v>27</v>
      </c>
      <c r="B264" s="21" t="s">
        <v>63</v>
      </c>
      <c r="C264" s="21">
        <v>3202</v>
      </c>
      <c r="D264" s="21">
        <v>51</v>
      </c>
      <c r="E264" s="21" t="str">
        <f>"1000011963"</f>
        <v>1000011963</v>
      </c>
      <c r="F264" s="21" t="str">
        <f>"PEN: Unprintable, Blu, fine point, gel, archival ink, retractable, permanent and waterproof, refillable, cushion grip"</f>
        <v>PEN: Unprintable, Blu, fine point, gel, archival ink, retractable, permanent and waterproof, refillable, cushion grip</v>
      </c>
      <c r="G264" s="22" t="str">
        <f t="shared" si="11"/>
        <v>DZ</v>
      </c>
      <c r="H264" s="23">
        <v>16.3</v>
      </c>
      <c r="I264" s="21" t="str">
        <f t="shared" si="10"/>
        <v>44121704</v>
      </c>
      <c r="J264" s="25" t="s">
        <v>186</v>
      </c>
    </row>
    <row r="265" spans="1:10" ht="39">
      <c r="A265" s="9" t="s">
        <v>27</v>
      </c>
      <c r="B265" s="2" t="s">
        <v>63</v>
      </c>
      <c r="C265" s="2">
        <v>3202</v>
      </c>
      <c r="D265" s="2">
        <v>52</v>
      </c>
      <c r="E265" s="2" t="str">
        <f>"1000011965"</f>
        <v>1000011965</v>
      </c>
      <c r="F265" s="2" t="str">
        <f>"PEN: Unprintable, Blk, med point, gel, archival ink, retractable, permanent and waterproof, refillable, cushion grip"</f>
        <v>PEN: Unprintable, Blk, med point, gel, archival ink, retractable, permanent and waterproof, refillable, cushion grip</v>
      </c>
      <c r="G265" s="3" t="str">
        <f t="shared" si="11"/>
        <v>DZ</v>
      </c>
      <c r="H265" s="7">
        <v>16.3</v>
      </c>
      <c r="I265" s="2" t="str">
        <f t="shared" si="10"/>
        <v>44121704</v>
      </c>
      <c r="J265" s="10" t="s">
        <v>186</v>
      </c>
    </row>
    <row r="266" spans="1:10" ht="39">
      <c r="A266" s="24" t="s">
        <v>27</v>
      </c>
      <c r="B266" s="21" t="s">
        <v>63</v>
      </c>
      <c r="C266" s="21">
        <v>3202</v>
      </c>
      <c r="D266" s="21">
        <v>53</v>
      </c>
      <c r="E266" s="21" t="str">
        <f>"1000011938"</f>
        <v>1000011938</v>
      </c>
      <c r="F266" s="21" t="str">
        <f>"PEN: Unprintable, Blu, med point, gel, archival ink, retractable, permanent and waterproof, refillable, cushion grip"</f>
        <v>PEN: Unprintable, Blu, med point, gel, archival ink, retractable, permanent and waterproof, refillable, cushion grip</v>
      </c>
      <c r="G266" s="22" t="str">
        <f t="shared" si="11"/>
        <v>DZ</v>
      </c>
      <c r="H266" s="23">
        <v>16.3</v>
      </c>
      <c r="I266" s="21" t="str">
        <f t="shared" si="10"/>
        <v>44121704</v>
      </c>
      <c r="J266" s="25" t="s">
        <v>186</v>
      </c>
    </row>
    <row r="267" spans="1:10" ht="26.25">
      <c r="A267" s="24" t="s">
        <v>27</v>
      </c>
      <c r="B267" s="21" t="s">
        <v>63</v>
      </c>
      <c r="C267" s="21">
        <v>3202</v>
      </c>
      <c r="D267" s="21">
        <v>55</v>
      </c>
      <c r="E267" s="21" t="str">
        <f>"1000012521"</f>
        <v>1000012521</v>
      </c>
      <c r="F267" s="21" t="str">
        <f>"INK REFILL: Blk, for #10000011950, retractable, med point"</f>
        <v>INK REFILL: Blk, for #10000011950, retractable, med point</v>
      </c>
      <c r="G267" s="22" t="str">
        <f t="shared" si="11"/>
        <v>DZ</v>
      </c>
      <c r="H267" s="23">
        <v>10.35</v>
      </c>
      <c r="I267" s="21" t="str">
        <f t="shared" ref="I267:I275" si="12">"44121900"</f>
        <v>44121900</v>
      </c>
      <c r="J267" s="25" t="s">
        <v>189</v>
      </c>
    </row>
    <row r="268" spans="1:10" ht="26.25">
      <c r="A268" s="9" t="s">
        <v>27</v>
      </c>
      <c r="B268" s="2" t="s">
        <v>63</v>
      </c>
      <c r="C268" s="2">
        <v>3202</v>
      </c>
      <c r="D268" s="2">
        <v>56</v>
      </c>
      <c r="E268" s="2" t="str">
        <f>"1000012522"</f>
        <v>1000012522</v>
      </c>
      <c r="F268" s="2" t="str">
        <f>"INK REFILL: Blu, for #10000011951, retractable, med point"</f>
        <v>INK REFILL: Blu, for #10000011951, retractable, med point</v>
      </c>
      <c r="G268" s="3" t="str">
        <f t="shared" si="11"/>
        <v>DZ</v>
      </c>
      <c r="H268" s="7">
        <v>10.35</v>
      </c>
      <c r="I268" s="2" t="str">
        <f t="shared" si="12"/>
        <v>44121900</v>
      </c>
      <c r="J268" s="10" t="s">
        <v>189</v>
      </c>
    </row>
    <row r="269" spans="1:10" ht="26.25">
      <c r="A269" s="24" t="s">
        <v>27</v>
      </c>
      <c r="B269" s="21" t="s">
        <v>63</v>
      </c>
      <c r="C269" s="21">
        <v>3202</v>
      </c>
      <c r="D269" s="21">
        <v>57</v>
      </c>
      <c r="E269" s="21" t="str">
        <f>"1000012504"</f>
        <v>1000012504</v>
      </c>
      <c r="F269" s="21" t="str">
        <f>"INK REFILL: Red, for #10000011924, retractable, med point"</f>
        <v>INK REFILL: Red, for #10000011924, retractable, med point</v>
      </c>
      <c r="G269" s="22" t="str">
        <f t="shared" si="11"/>
        <v>DZ</v>
      </c>
      <c r="H269" s="23">
        <v>10.35</v>
      </c>
      <c r="I269" s="21" t="str">
        <f t="shared" si="12"/>
        <v>44121900</v>
      </c>
      <c r="J269" s="25" t="s">
        <v>189</v>
      </c>
    </row>
    <row r="270" spans="1:10" ht="26.25">
      <c r="A270" s="9" t="s">
        <v>27</v>
      </c>
      <c r="B270" s="2" t="s">
        <v>63</v>
      </c>
      <c r="C270" s="2">
        <v>3202</v>
      </c>
      <c r="D270" s="2">
        <v>58</v>
      </c>
      <c r="E270" s="2" t="str">
        <f>"1000012505"</f>
        <v>1000012505</v>
      </c>
      <c r="F270" s="2" t="str">
        <f>"INK REFILL: Blk, for #10000011928, gel stick, fine point"</f>
        <v>INK REFILL: Blk, for #10000011928, gel stick, fine point</v>
      </c>
      <c r="G270" s="3" t="str">
        <f t="shared" si="11"/>
        <v>DZ</v>
      </c>
      <c r="H270" s="7">
        <v>4.25</v>
      </c>
      <c r="I270" s="2" t="str">
        <f t="shared" si="12"/>
        <v>44121900</v>
      </c>
      <c r="J270" s="10" t="s">
        <v>189</v>
      </c>
    </row>
    <row r="271" spans="1:10" ht="26.25">
      <c r="A271" s="24" t="s">
        <v>27</v>
      </c>
      <c r="B271" s="21" t="s">
        <v>63</v>
      </c>
      <c r="C271" s="21">
        <v>3202</v>
      </c>
      <c r="D271" s="21">
        <v>59</v>
      </c>
      <c r="E271" s="21" t="str">
        <f>"1000012506"</f>
        <v>1000012506</v>
      </c>
      <c r="F271" s="21" t="str">
        <f>"INK REFILL: Blk, for #10000011931, gel stick, med point"</f>
        <v>INK REFILL: Blk, for #10000011931, gel stick, med point</v>
      </c>
      <c r="G271" s="22" t="str">
        <f t="shared" si="11"/>
        <v>DZ</v>
      </c>
      <c r="H271" s="23">
        <v>4.25</v>
      </c>
      <c r="I271" s="21" t="str">
        <f t="shared" si="12"/>
        <v>44121900</v>
      </c>
      <c r="J271" s="25" t="s">
        <v>189</v>
      </c>
    </row>
    <row r="272" spans="1:10" ht="26.25">
      <c r="A272" s="9" t="s">
        <v>27</v>
      </c>
      <c r="B272" s="2" t="s">
        <v>63</v>
      </c>
      <c r="C272" s="2">
        <v>3202</v>
      </c>
      <c r="D272" s="2">
        <v>60</v>
      </c>
      <c r="E272" s="2" t="str">
        <f>"1000012508"</f>
        <v>1000012508</v>
      </c>
      <c r="F272" s="2" t="str">
        <f>"INK REFILL: Blu, for #10000011929, gel stick, fine point"</f>
        <v>INK REFILL: Blu, for #10000011929, gel stick, fine point</v>
      </c>
      <c r="G272" s="3" t="str">
        <f t="shared" si="11"/>
        <v>DZ</v>
      </c>
      <c r="H272" s="7">
        <v>4.25</v>
      </c>
      <c r="I272" s="2" t="str">
        <f t="shared" si="12"/>
        <v>44121900</v>
      </c>
      <c r="J272" s="10" t="s">
        <v>189</v>
      </c>
    </row>
    <row r="273" spans="1:10" ht="26.25">
      <c r="A273" s="24" t="s">
        <v>27</v>
      </c>
      <c r="B273" s="21" t="s">
        <v>63</v>
      </c>
      <c r="C273" s="21">
        <v>3202</v>
      </c>
      <c r="D273" s="21">
        <v>61</v>
      </c>
      <c r="E273" s="21" t="str">
        <f>"1000012509"</f>
        <v>1000012509</v>
      </c>
      <c r="F273" s="21" t="str">
        <f>"INK REFILL: Blu, for #10000011960, gel stick, med point"</f>
        <v>INK REFILL: Blu, for #10000011960, gel stick, med point</v>
      </c>
      <c r="G273" s="22" t="str">
        <f t="shared" si="11"/>
        <v>DZ</v>
      </c>
      <c r="H273" s="23">
        <v>4.25</v>
      </c>
      <c r="I273" s="21" t="str">
        <f t="shared" si="12"/>
        <v>44121900</v>
      </c>
      <c r="J273" s="25" t="s">
        <v>189</v>
      </c>
    </row>
    <row r="274" spans="1:10" ht="26.25">
      <c r="A274" s="9" t="s">
        <v>27</v>
      </c>
      <c r="B274" s="2" t="s">
        <v>63</v>
      </c>
      <c r="C274" s="2">
        <v>3202</v>
      </c>
      <c r="D274" s="2">
        <v>62</v>
      </c>
      <c r="E274" s="2" t="str">
        <f>"1000012510"</f>
        <v>1000012510</v>
      </c>
      <c r="F274" s="2" t="str">
        <f>"INK REFILL: Red, for #10000011930, gel stick, fine point"</f>
        <v>INK REFILL: Red, for #10000011930, gel stick, fine point</v>
      </c>
      <c r="G274" s="3" t="str">
        <f t="shared" si="11"/>
        <v>DZ</v>
      </c>
      <c r="H274" s="7">
        <v>4.25</v>
      </c>
      <c r="I274" s="2" t="str">
        <f t="shared" si="12"/>
        <v>44121900</v>
      </c>
      <c r="J274" s="10" t="s">
        <v>189</v>
      </c>
    </row>
    <row r="275" spans="1:10" ht="26.25">
      <c r="A275" s="24" t="s">
        <v>27</v>
      </c>
      <c r="B275" s="21" t="s">
        <v>63</v>
      </c>
      <c r="C275" s="21">
        <v>3202</v>
      </c>
      <c r="D275" s="21">
        <v>63</v>
      </c>
      <c r="E275" s="21" t="str">
        <f>"1000012511"</f>
        <v>1000012511</v>
      </c>
      <c r="F275" s="21" t="str">
        <f>"INK REFILL: Red, for #10000011961, gel stick, med point"</f>
        <v>INK REFILL: Red, for #10000011961, gel stick, med point</v>
      </c>
      <c r="G275" s="22" t="str">
        <f t="shared" si="11"/>
        <v>DZ</v>
      </c>
      <c r="H275" s="23">
        <v>4.25</v>
      </c>
      <c r="I275" s="21" t="str">
        <f t="shared" si="12"/>
        <v>44121900</v>
      </c>
      <c r="J275" s="25" t="s">
        <v>189</v>
      </c>
    </row>
    <row r="276" spans="1:10" ht="39">
      <c r="A276" s="24" t="s">
        <v>27</v>
      </c>
      <c r="B276" s="21" t="s">
        <v>63</v>
      </c>
      <c r="C276" s="21">
        <v>3202</v>
      </c>
      <c r="D276" s="21">
        <v>64</v>
      </c>
      <c r="E276" s="21" t="str">
        <f>"1000002524"</f>
        <v>1000002524</v>
      </c>
      <c r="F276" s="21" t="str">
        <f>"PEN:4/blk sec-pen/6~Flexible, transparent, vinyl tubing, 4 long, black ink, security pens (for correctional facilities). Box of 6"</f>
        <v>PEN:4/blk sec-pen/6~Flexible, transparent, vinyl tubing, 4 long, black ink, security pens (for correctional facilities). Box of 6</v>
      </c>
      <c r="G276" s="22" t="str">
        <f>"BX"</f>
        <v>BX</v>
      </c>
      <c r="H276" s="23">
        <v>2.7</v>
      </c>
      <c r="I276" s="21" t="str">
        <f>"44121711"</f>
        <v>44121711</v>
      </c>
      <c r="J276" s="25" t="s">
        <v>190</v>
      </c>
    </row>
    <row r="277" spans="1:10" ht="51.75">
      <c r="A277" s="9" t="s">
        <v>27</v>
      </c>
      <c r="B277" s="2" t="s">
        <v>63</v>
      </c>
      <c r="C277" s="2">
        <v>3202</v>
      </c>
      <c r="D277" s="2">
        <v>65</v>
      </c>
      <c r="E277" s="2" t="str">
        <f>"1000004061"</f>
        <v>1000004061</v>
      </c>
      <c r="F277" s="2" t="str">
        <f>"PEN:4/blk sec-pen/6-no box~Flexible, transparent, vinyl tubing, 4 long, black ink, security pens (for correctional facilities). Bulk Rate (not boxed)"</f>
        <v>PEN:4/blk sec-pen/6-no box~Flexible, transparent, vinyl tubing, 4 long, black ink, security pens (for correctional facilities). Bulk Rate (not boxed)</v>
      </c>
      <c r="G277" s="3" t="str">
        <f>"EA"</f>
        <v>EA</v>
      </c>
      <c r="H277" s="7">
        <v>0.45</v>
      </c>
      <c r="I277" s="2" t="str">
        <f>"44121711"</f>
        <v>44121711</v>
      </c>
      <c r="J277" s="10" t="s">
        <v>190</v>
      </c>
    </row>
    <row r="278" spans="1:10" ht="26.25">
      <c r="A278" s="9" t="s">
        <v>27</v>
      </c>
      <c r="B278" s="2" t="s">
        <v>63</v>
      </c>
      <c r="C278" s="2">
        <v>3202</v>
      </c>
      <c r="D278" s="2">
        <v>66</v>
      </c>
      <c r="E278" s="2" t="str">
        <f>"1000003349"</f>
        <v>1000003349</v>
      </c>
      <c r="F278" s="2" t="str">
        <f>"MARKER:Dry erase, Asst, Skillcraft, 4/pkg, Color: black, blue, red, green"</f>
        <v>MARKER:Dry erase, Asst, Skillcraft, 4/pkg, Color: black, blue, red, green</v>
      </c>
      <c r="G278" s="3" t="str">
        <f t="shared" ref="G278:G286" si="13">"PK"</f>
        <v>PK</v>
      </c>
      <c r="H278" s="7">
        <v>5</v>
      </c>
      <c r="I278" s="2" t="str">
        <f t="shared" ref="I278:I310" si="14">"44121708"</f>
        <v>44121708</v>
      </c>
      <c r="J278" s="10" t="s">
        <v>191</v>
      </c>
    </row>
    <row r="279" spans="1:10">
      <c r="A279" s="24" t="s">
        <v>27</v>
      </c>
      <c r="B279" s="21" t="s">
        <v>63</v>
      </c>
      <c r="C279" s="21">
        <v>3202</v>
      </c>
      <c r="D279" s="21">
        <v>67</v>
      </c>
      <c r="E279" s="21" t="str">
        <f>"1000004356"</f>
        <v>1000004356</v>
      </c>
      <c r="F279" s="21" t="str">
        <f>"MARKERS:Dry Erase, Black, 4 PKG. SKILLCRAFT"</f>
        <v>MARKERS:Dry Erase, Black, 4 PKG. SKILLCRAFT</v>
      </c>
      <c r="G279" s="22" t="str">
        <f t="shared" si="13"/>
        <v>PK</v>
      </c>
      <c r="H279" s="23">
        <v>5</v>
      </c>
      <c r="I279" s="21" t="str">
        <f t="shared" si="14"/>
        <v>44121708</v>
      </c>
      <c r="J279" s="25" t="s">
        <v>191</v>
      </c>
    </row>
    <row r="280" spans="1:10">
      <c r="A280" s="9" t="s">
        <v>27</v>
      </c>
      <c r="B280" s="2" t="s">
        <v>63</v>
      </c>
      <c r="C280" s="2">
        <v>3202</v>
      </c>
      <c r="D280" s="2">
        <v>68</v>
      </c>
      <c r="E280" s="2" t="str">
        <f>"1000004479"</f>
        <v>1000004479</v>
      </c>
      <c r="F280" s="2" t="str">
        <f>"MARKERS:Dry Erase, Red, 4 PKG. SKILLCRAFT"</f>
        <v>MARKERS:Dry Erase, Red, 4 PKG. SKILLCRAFT</v>
      </c>
      <c r="G280" s="3" t="str">
        <f t="shared" si="13"/>
        <v>PK</v>
      </c>
      <c r="H280" s="7">
        <v>5</v>
      </c>
      <c r="I280" s="2" t="str">
        <f t="shared" si="14"/>
        <v>44121708</v>
      </c>
      <c r="J280" s="10" t="s">
        <v>191</v>
      </c>
    </row>
    <row r="281" spans="1:10">
      <c r="A281" s="24" t="s">
        <v>27</v>
      </c>
      <c r="B281" s="21" t="s">
        <v>63</v>
      </c>
      <c r="C281" s="21">
        <v>3202</v>
      </c>
      <c r="D281" s="21">
        <v>69</v>
      </c>
      <c r="E281" s="21" t="str">
        <f>"1000004357"</f>
        <v>1000004357</v>
      </c>
      <c r="F281" s="21" t="str">
        <f>"MARKERS:Dry Erase, Blue, 4 PKG. SKILLCRAFT"</f>
        <v>MARKERS:Dry Erase, Blue, 4 PKG. SKILLCRAFT</v>
      </c>
      <c r="G281" s="22" t="str">
        <f t="shared" si="13"/>
        <v>PK</v>
      </c>
      <c r="H281" s="23">
        <v>5</v>
      </c>
      <c r="I281" s="21" t="str">
        <f t="shared" si="14"/>
        <v>44121708</v>
      </c>
      <c r="J281" s="25" t="s">
        <v>191</v>
      </c>
    </row>
    <row r="282" spans="1:10">
      <c r="A282" s="9" t="s">
        <v>27</v>
      </c>
      <c r="B282" s="2" t="s">
        <v>63</v>
      </c>
      <c r="C282" s="2">
        <v>3202</v>
      </c>
      <c r="D282" s="2">
        <v>70</v>
      </c>
      <c r="E282" s="2" t="str">
        <f>"1000004378"</f>
        <v>1000004378</v>
      </c>
      <c r="F282" s="2" t="str">
        <f>"MARKERS:Dry Erase, Green, 4 PKG. SKILLCRAFT"</f>
        <v>MARKERS:Dry Erase, Green, 4 PKG. SKILLCRAFT</v>
      </c>
      <c r="G282" s="3" t="str">
        <f t="shared" si="13"/>
        <v>PK</v>
      </c>
      <c r="H282" s="7">
        <v>5</v>
      </c>
      <c r="I282" s="2" t="str">
        <f t="shared" si="14"/>
        <v>44121708</v>
      </c>
      <c r="J282" s="10" t="s">
        <v>191</v>
      </c>
    </row>
    <row r="283" spans="1:10" ht="39">
      <c r="A283" s="24" t="s">
        <v>27</v>
      </c>
      <c r="B283" s="21" t="s">
        <v>63</v>
      </c>
      <c r="C283" s="21">
        <v>3202</v>
      </c>
      <c r="D283" s="21">
        <v>71</v>
      </c>
      <c r="E283" s="21" t="str">
        <f>"1000004377"</f>
        <v>1000004377</v>
      </c>
      <c r="F283" s="21" t="str">
        <f>"MARKER:Dry Erase pkg/4 Or~Pen, Marking, Dry Erase Marker, Skilcraft - pkg of 4 Orange Markers"</f>
        <v>MARKER:Dry Erase pkg/4 Or~Pen, Marking, Dry Erase Marker, Skilcraft - pkg of 4 Orange Markers</v>
      </c>
      <c r="G283" s="22" t="str">
        <f t="shared" si="13"/>
        <v>PK</v>
      </c>
      <c r="H283" s="23">
        <v>5</v>
      </c>
      <c r="I283" s="21" t="str">
        <f t="shared" si="14"/>
        <v>44121708</v>
      </c>
      <c r="J283" s="25" t="s">
        <v>191</v>
      </c>
    </row>
    <row r="284" spans="1:10" ht="39">
      <c r="A284" s="9" t="s">
        <v>27</v>
      </c>
      <c r="B284" s="2" t="s">
        <v>63</v>
      </c>
      <c r="C284" s="2">
        <v>3202</v>
      </c>
      <c r="D284" s="2">
        <v>72</v>
      </c>
      <c r="E284" s="2" t="str">
        <f>"1000004478"</f>
        <v>1000004478</v>
      </c>
      <c r="F284" s="2" t="str">
        <f>"MARKER:Dry Erase pkg/4 Yel~Pen, Marking, Dry Erase Marker, Skilcraft - pkg of 4 Yellow Markers"</f>
        <v>MARKER:Dry Erase pkg/4 Yel~Pen, Marking, Dry Erase Marker, Skilcraft - pkg of 4 Yellow Markers</v>
      </c>
      <c r="G284" s="3" t="str">
        <f t="shared" si="13"/>
        <v>PK</v>
      </c>
      <c r="H284" s="7">
        <v>5</v>
      </c>
      <c r="I284" s="2" t="str">
        <f t="shared" si="14"/>
        <v>44121708</v>
      </c>
      <c r="J284" s="10" t="s">
        <v>191</v>
      </c>
    </row>
    <row r="285" spans="1:10" ht="39">
      <c r="A285" s="24" t="s">
        <v>27</v>
      </c>
      <c r="B285" s="21" t="s">
        <v>63</v>
      </c>
      <c r="C285" s="21">
        <v>3202</v>
      </c>
      <c r="D285" s="21">
        <v>73</v>
      </c>
      <c r="E285" s="21" t="str">
        <f>"1000004480"</f>
        <v>1000004480</v>
      </c>
      <c r="F285" s="21" t="str">
        <f>"MARKER:Dry Erase pkg/4 Pur~Pen, Marking, Dry Erase Marker, Skilcraft - pkg of 4 Purple Markers"</f>
        <v>MARKER:Dry Erase pkg/4 Pur~Pen, Marking, Dry Erase Marker, Skilcraft - pkg of 4 Purple Markers</v>
      </c>
      <c r="G285" s="22" t="str">
        <f t="shared" si="13"/>
        <v>PK</v>
      </c>
      <c r="H285" s="23">
        <v>5</v>
      </c>
      <c r="I285" s="21" t="str">
        <f t="shared" si="14"/>
        <v>44121708</v>
      </c>
      <c r="J285" s="25" t="s">
        <v>191</v>
      </c>
    </row>
    <row r="286" spans="1:10" ht="39">
      <c r="A286" s="9" t="s">
        <v>27</v>
      </c>
      <c r="B286" s="2" t="s">
        <v>63</v>
      </c>
      <c r="C286" s="2">
        <v>3202</v>
      </c>
      <c r="D286" s="2">
        <v>74</v>
      </c>
      <c r="E286" s="2" t="str">
        <f>"1000004381"</f>
        <v>1000004381</v>
      </c>
      <c r="F286" s="2" t="str">
        <f>"MARKER:Dry Erase kg/4 Br~Pen, Marking, Dry Erase Marker, Skilcraft - pkg of 4 Brown Markers"</f>
        <v>MARKER:Dry Erase kg/4 Br~Pen, Marking, Dry Erase Marker, Skilcraft - pkg of 4 Brown Markers</v>
      </c>
      <c r="G286" s="3" t="str">
        <f t="shared" si="13"/>
        <v>PK</v>
      </c>
      <c r="H286" s="7">
        <v>5</v>
      </c>
      <c r="I286" s="2" t="str">
        <f t="shared" si="14"/>
        <v>44121708</v>
      </c>
      <c r="J286" s="10" t="s">
        <v>191</v>
      </c>
    </row>
    <row r="287" spans="1:10">
      <c r="A287" s="24" t="s">
        <v>27</v>
      </c>
      <c r="B287" s="21" t="s">
        <v>63</v>
      </c>
      <c r="C287" s="21">
        <v>3202</v>
      </c>
      <c r="D287" s="21">
        <v>75</v>
      </c>
      <c r="E287" s="21" t="str">
        <f>"1000003145"</f>
        <v>1000003145</v>
      </c>
      <c r="F287" s="21" t="str">
        <f>"MARKER:Broad tip perm Black Marker Pen"</f>
        <v>MARKER:Broad tip perm Black Marker Pen</v>
      </c>
      <c r="G287" s="22" t="str">
        <f t="shared" ref="G287:G304" si="15">"DZ"</f>
        <v>DZ</v>
      </c>
      <c r="H287" s="23">
        <v>6.8</v>
      </c>
      <c r="I287" s="21" t="str">
        <f t="shared" si="14"/>
        <v>44121708</v>
      </c>
      <c r="J287" s="25" t="s">
        <v>191</v>
      </c>
    </row>
    <row r="288" spans="1:10">
      <c r="A288" s="9" t="s">
        <v>27</v>
      </c>
      <c r="B288" s="2" t="s">
        <v>63</v>
      </c>
      <c r="C288" s="2">
        <v>3202</v>
      </c>
      <c r="D288" s="2">
        <v>76</v>
      </c>
      <c r="E288" s="2" t="str">
        <f>"1000003144"</f>
        <v>1000003144</v>
      </c>
      <c r="F288" s="2" t="str">
        <f>"MARKER:Broad tip perm Blue Marker Pen"</f>
        <v>MARKER:Broad tip perm Blue Marker Pen</v>
      </c>
      <c r="G288" s="3" t="str">
        <f t="shared" si="15"/>
        <v>DZ</v>
      </c>
      <c r="H288" s="7">
        <v>6.8</v>
      </c>
      <c r="I288" s="2" t="str">
        <f t="shared" si="14"/>
        <v>44121708</v>
      </c>
      <c r="J288" s="10" t="s">
        <v>191</v>
      </c>
    </row>
    <row r="289" spans="1:10" ht="26.25">
      <c r="A289" s="24" t="s">
        <v>27</v>
      </c>
      <c r="B289" s="21" t="s">
        <v>63</v>
      </c>
      <c r="C289" s="21">
        <v>3202</v>
      </c>
      <c r="D289" s="21">
        <v>77</v>
      </c>
      <c r="E289" s="21" t="str">
        <f>"1000002428"</f>
        <v>1000002428</v>
      </c>
      <c r="F289" s="21" t="str">
        <f>"MARKER:Broad Felt Tip Green Marking Board Tip, Permanent Marker"</f>
        <v>MARKER:Broad Felt Tip Green Marking Board Tip, Permanent Marker</v>
      </c>
      <c r="G289" s="22" t="str">
        <f t="shared" si="15"/>
        <v>DZ</v>
      </c>
      <c r="H289" s="23">
        <v>6.8</v>
      </c>
      <c r="I289" s="21" t="str">
        <f t="shared" si="14"/>
        <v>44121708</v>
      </c>
      <c r="J289" s="25" t="s">
        <v>191</v>
      </c>
    </row>
    <row r="290" spans="1:10">
      <c r="A290" s="9" t="s">
        <v>27</v>
      </c>
      <c r="B290" s="2" t="s">
        <v>63</v>
      </c>
      <c r="C290" s="2">
        <v>3202</v>
      </c>
      <c r="D290" s="2">
        <v>78</v>
      </c>
      <c r="E290" s="2" t="str">
        <f>"1000002427"</f>
        <v>1000002427</v>
      </c>
      <c r="F290" s="2" t="str">
        <f>"MARKER:Broad tip perm Red Marker Pen"</f>
        <v>MARKER:Broad tip perm Red Marker Pen</v>
      </c>
      <c r="G290" s="3" t="str">
        <f t="shared" si="15"/>
        <v>DZ</v>
      </c>
      <c r="H290" s="7">
        <v>6.8</v>
      </c>
      <c r="I290" s="2" t="str">
        <f t="shared" si="14"/>
        <v>44121708</v>
      </c>
      <c r="J290" s="10" t="s">
        <v>191</v>
      </c>
    </row>
    <row r="291" spans="1:10" ht="26.25">
      <c r="A291" s="24" t="s">
        <v>27</v>
      </c>
      <c r="B291" s="21" t="s">
        <v>63</v>
      </c>
      <c r="C291" s="21">
        <v>3202</v>
      </c>
      <c r="D291" s="21">
        <v>79</v>
      </c>
      <c r="E291" s="21" t="str">
        <f>"1000005251"</f>
        <v>1000005251</v>
      </c>
      <c r="F291" s="21" t="str">
        <f>"MARKER:China (Grease Pencils) Blk~China Markers (Grease Pencils) Black"</f>
        <v>MARKER:China (Grease Pencils) Blk~China Markers (Grease Pencils) Black</v>
      </c>
      <c r="G291" s="22" t="str">
        <f t="shared" si="15"/>
        <v>DZ</v>
      </c>
      <c r="H291" s="23">
        <v>8.5</v>
      </c>
      <c r="I291" s="21" t="str">
        <f t="shared" si="14"/>
        <v>44121708</v>
      </c>
      <c r="J291" s="25" t="s">
        <v>191</v>
      </c>
    </row>
    <row r="292" spans="1:10" ht="26.25">
      <c r="A292" s="9" t="s">
        <v>27</v>
      </c>
      <c r="B292" s="2" t="s">
        <v>63</v>
      </c>
      <c r="C292" s="2">
        <v>3202</v>
      </c>
      <c r="D292" s="2">
        <v>80</v>
      </c>
      <c r="E292" s="2" t="str">
        <f>"1000003969"</f>
        <v>1000003969</v>
      </c>
      <c r="F292" s="2" t="str">
        <f>"MARKER:China (Grease Pencils) Red~China Markers (Grease Pencils) Red"</f>
        <v>MARKER:China (Grease Pencils) Red~China Markers (Grease Pencils) Red</v>
      </c>
      <c r="G292" s="3" t="str">
        <f t="shared" si="15"/>
        <v>DZ</v>
      </c>
      <c r="H292" s="7">
        <v>8.5</v>
      </c>
      <c r="I292" s="2" t="str">
        <f t="shared" si="14"/>
        <v>44121708</v>
      </c>
      <c r="J292" s="10" t="s">
        <v>191</v>
      </c>
    </row>
    <row r="293" spans="1:10" ht="26.25">
      <c r="A293" s="9" t="s">
        <v>27</v>
      </c>
      <c r="B293" s="2" t="s">
        <v>63</v>
      </c>
      <c r="C293" s="2">
        <v>3202</v>
      </c>
      <c r="D293" s="2">
        <v>82</v>
      </c>
      <c r="E293" s="2" t="str">
        <f>"1000002281"</f>
        <v>1000002281</v>
      </c>
      <c r="F293" s="2" t="str">
        <f>"MARKER:Fine tip rubber brl Blue~Pen, marking, fine tip marker, rubberized barrel Blue"</f>
        <v>MARKER:Fine tip rubber brl Blue~Pen, marking, fine tip marker, rubberized barrel Blue</v>
      </c>
      <c r="G293" s="3" t="str">
        <f t="shared" si="15"/>
        <v>DZ</v>
      </c>
      <c r="H293" s="7">
        <v>11.3</v>
      </c>
      <c r="I293" s="2" t="str">
        <f t="shared" si="14"/>
        <v>44121708</v>
      </c>
      <c r="J293" s="10" t="s">
        <v>191</v>
      </c>
    </row>
    <row r="294" spans="1:10" ht="26.25">
      <c r="A294" s="24" t="s">
        <v>27</v>
      </c>
      <c r="B294" s="21" t="s">
        <v>63</v>
      </c>
      <c r="C294" s="21">
        <v>3202</v>
      </c>
      <c r="D294" s="21">
        <v>83</v>
      </c>
      <c r="E294" s="21" t="str">
        <f>"1000002306"</f>
        <v>1000002306</v>
      </c>
      <c r="F294" s="21" t="str">
        <f>"MARKER:Fine tip rubber brl Red~Pen, marking, fine tip marker, rubberized barrel Red"</f>
        <v>MARKER:Fine tip rubber brl Red~Pen, marking, fine tip marker, rubberized barrel Red</v>
      </c>
      <c r="G294" s="22" t="str">
        <f t="shared" si="15"/>
        <v>DZ</v>
      </c>
      <c r="H294" s="23">
        <v>11.3</v>
      </c>
      <c r="I294" s="21" t="str">
        <f t="shared" si="14"/>
        <v>44121708</v>
      </c>
      <c r="J294" s="25" t="s">
        <v>191</v>
      </c>
    </row>
    <row r="295" spans="1:10">
      <c r="A295" s="9" t="s">
        <v>27</v>
      </c>
      <c r="B295" s="2" t="s">
        <v>63</v>
      </c>
      <c r="C295" s="2">
        <v>3202</v>
      </c>
      <c r="D295" s="2">
        <v>84</v>
      </c>
      <c r="E295" s="2" t="str">
        <f>"1000011946"</f>
        <v>1000011946</v>
      </c>
      <c r="F295" s="2" t="str">
        <f>"MARKER: Blk, Bold Mark Jr., permanent ink"</f>
        <v>MARKER: Blk, Bold Mark Jr., permanent ink</v>
      </c>
      <c r="G295" s="3" t="str">
        <f t="shared" si="15"/>
        <v>DZ</v>
      </c>
      <c r="H295" s="7">
        <v>10</v>
      </c>
      <c r="I295" s="2" t="str">
        <f t="shared" si="14"/>
        <v>44121708</v>
      </c>
      <c r="J295" s="10" t="s">
        <v>191</v>
      </c>
    </row>
    <row r="296" spans="1:10">
      <c r="A296" s="24" t="s">
        <v>27</v>
      </c>
      <c r="B296" s="21" t="s">
        <v>63</v>
      </c>
      <c r="C296" s="21">
        <v>3202</v>
      </c>
      <c r="D296" s="21">
        <v>85</v>
      </c>
      <c r="E296" s="21" t="str">
        <f>"1000011975"</f>
        <v>1000011975</v>
      </c>
      <c r="F296" s="21" t="str">
        <f>"MARKER: Blk, ultra fine tip, rubberized barrel"</f>
        <v>MARKER: Blk, ultra fine tip, rubberized barrel</v>
      </c>
      <c r="G296" s="22" t="str">
        <f t="shared" si="15"/>
        <v>DZ</v>
      </c>
      <c r="H296" s="23">
        <v>14</v>
      </c>
      <c r="I296" s="21" t="str">
        <f t="shared" si="14"/>
        <v>44121708</v>
      </c>
      <c r="J296" s="25" t="s">
        <v>191</v>
      </c>
    </row>
    <row r="297" spans="1:10">
      <c r="A297" s="9" t="s">
        <v>27</v>
      </c>
      <c r="B297" s="2" t="s">
        <v>63</v>
      </c>
      <c r="C297" s="2">
        <v>3202</v>
      </c>
      <c r="D297" s="2">
        <v>86</v>
      </c>
      <c r="E297" s="2" t="str">
        <f>"1000011976"</f>
        <v>1000011976</v>
      </c>
      <c r="F297" s="2" t="str">
        <f>"MARKER: Blu, ultra fine tip, rubberized barrel"</f>
        <v>MARKER: Blu, ultra fine tip, rubberized barrel</v>
      </c>
      <c r="G297" s="3" t="str">
        <f t="shared" si="15"/>
        <v>DZ</v>
      </c>
      <c r="H297" s="7">
        <v>14</v>
      </c>
      <c r="I297" s="2" t="str">
        <f t="shared" si="14"/>
        <v>44121708</v>
      </c>
      <c r="J297" s="10" t="s">
        <v>191</v>
      </c>
    </row>
    <row r="298" spans="1:10">
      <c r="A298" s="24" t="s">
        <v>27</v>
      </c>
      <c r="B298" s="21" t="s">
        <v>63</v>
      </c>
      <c r="C298" s="21">
        <v>3202</v>
      </c>
      <c r="D298" s="21">
        <v>87</v>
      </c>
      <c r="E298" s="21" t="str">
        <f>"1000011977"</f>
        <v>1000011977</v>
      </c>
      <c r="F298" s="21" t="str">
        <f>"MARKER: Red, ultra fine tip, rubberized barrel"</f>
        <v>MARKER: Red, ultra fine tip, rubberized barrel</v>
      </c>
      <c r="G298" s="22" t="str">
        <f t="shared" si="15"/>
        <v>DZ</v>
      </c>
      <c r="H298" s="23">
        <v>14</v>
      </c>
      <c r="I298" s="21" t="str">
        <f t="shared" si="14"/>
        <v>44121708</v>
      </c>
      <c r="J298" s="25" t="s">
        <v>191</v>
      </c>
    </row>
    <row r="299" spans="1:10" ht="51.75">
      <c r="A299" s="9" t="s">
        <v>27</v>
      </c>
      <c r="B299" s="2" t="s">
        <v>63</v>
      </c>
      <c r="C299" s="2">
        <v>3202</v>
      </c>
      <c r="D299" s="2">
        <v>88</v>
      </c>
      <c r="E299" s="2" t="str">
        <f>"1000002391"</f>
        <v>1000002391</v>
      </c>
      <c r="F299" s="2" t="str">
        <f>"MARKER:Ult-Fin Plas Brl/Blk~Markers, Fine Point Ultra Fine Tip Marker, Plastic Barrel Color: Black~Ultra Fine Tip Marker, Plastic Barrel, Color: Black"</f>
        <v>MARKER:Ult-Fin Plas Brl/Blk~Markers, Fine Point Ultra Fine Tip Marker, Plastic Barrel Color: Black~Ultra Fine Tip Marker, Plastic Barrel, Color: Black</v>
      </c>
      <c r="G299" s="3" t="str">
        <f t="shared" si="15"/>
        <v>DZ</v>
      </c>
      <c r="H299" s="7">
        <v>9.5</v>
      </c>
      <c r="I299" s="2" t="str">
        <f t="shared" si="14"/>
        <v>44121708</v>
      </c>
      <c r="J299" s="10" t="s">
        <v>191</v>
      </c>
    </row>
    <row r="300" spans="1:10" ht="51.75">
      <c r="A300" s="24" t="s">
        <v>27</v>
      </c>
      <c r="B300" s="21" t="s">
        <v>63</v>
      </c>
      <c r="C300" s="21">
        <v>3202</v>
      </c>
      <c r="D300" s="21">
        <v>89</v>
      </c>
      <c r="E300" s="21" t="str">
        <f>"1000002416"</f>
        <v>1000002416</v>
      </c>
      <c r="F300" s="21" t="str">
        <f>"MARKER:Ult-Fin Plas Brl/Bl~Markers, Fine Point Ultra Fine Tip Marker, Plastic Barrel Color: Blue~Ultra Fine Tip Marker, Plastic Barrel, Color: Blue"</f>
        <v>MARKER:Ult-Fin Plas Brl/Bl~Markers, Fine Point Ultra Fine Tip Marker, Plastic Barrel Color: Blue~Ultra Fine Tip Marker, Plastic Barrel, Color: Blue</v>
      </c>
      <c r="G300" s="22" t="str">
        <f t="shared" si="15"/>
        <v>DZ</v>
      </c>
      <c r="H300" s="23">
        <v>9.5</v>
      </c>
      <c r="I300" s="21" t="str">
        <f t="shared" si="14"/>
        <v>44121708</v>
      </c>
      <c r="J300" s="25" t="s">
        <v>191</v>
      </c>
    </row>
    <row r="301" spans="1:10" ht="51.75">
      <c r="A301" s="9" t="s">
        <v>27</v>
      </c>
      <c r="B301" s="2" t="s">
        <v>63</v>
      </c>
      <c r="C301" s="2">
        <v>3202</v>
      </c>
      <c r="D301" s="2">
        <v>90</v>
      </c>
      <c r="E301" s="2" t="str">
        <f>"1000002392"</f>
        <v>1000002392</v>
      </c>
      <c r="F301" s="2" t="str">
        <f>"MARKER:Ult-Fin Plas Brl/Rd~Markers, Fine Point Ultra Fine Tip Marker, Plastic Barrel Color: Red~Ultra Fine Tip Marker, Plastic Barrel, Color: Red"</f>
        <v>MARKER:Ult-Fin Plas Brl/Rd~Markers, Fine Point Ultra Fine Tip Marker, Plastic Barrel Color: Red~Ultra Fine Tip Marker, Plastic Barrel, Color: Red</v>
      </c>
      <c r="G301" s="3" t="str">
        <f t="shared" si="15"/>
        <v>DZ</v>
      </c>
      <c r="H301" s="7">
        <v>9.5</v>
      </c>
      <c r="I301" s="2" t="str">
        <f t="shared" si="14"/>
        <v>44121708</v>
      </c>
      <c r="J301" s="10" t="s">
        <v>191</v>
      </c>
    </row>
    <row r="302" spans="1:10">
      <c r="A302" s="24" t="s">
        <v>27</v>
      </c>
      <c r="B302" s="21" t="s">
        <v>63</v>
      </c>
      <c r="C302" s="21">
        <v>3202</v>
      </c>
      <c r="D302" s="21">
        <v>91</v>
      </c>
      <c r="E302" s="21" t="str">
        <f>"1000011987"</f>
        <v>1000011987</v>
      </c>
      <c r="F302" s="21" t="str">
        <f>"MARKER: Blk, fine point, fine tip, plastic barrel"</f>
        <v>MARKER: Blk, fine point, fine tip, plastic barrel</v>
      </c>
      <c r="G302" s="22" t="str">
        <f t="shared" si="15"/>
        <v>DZ</v>
      </c>
      <c r="H302" s="23">
        <v>8</v>
      </c>
      <c r="I302" s="21" t="str">
        <f t="shared" si="14"/>
        <v>44121708</v>
      </c>
      <c r="J302" s="25" t="s">
        <v>191</v>
      </c>
    </row>
    <row r="303" spans="1:10">
      <c r="A303" s="9" t="s">
        <v>27</v>
      </c>
      <c r="B303" s="2" t="s">
        <v>63</v>
      </c>
      <c r="C303" s="2">
        <v>3202</v>
      </c>
      <c r="D303" s="2">
        <v>92</v>
      </c>
      <c r="E303" s="2" t="str">
        <f>"1000011988"</f>
        <v>1000011988</v>
      </c>
      <c r="F303" s="2" t="str">
        <f>"MARKER: Blu, fine point, fine tip, plastic barrel"</f>
        <v>MARKER: Blu, fine point, fine tip, plastic barrel</v>
      </c>
      <c r="G303" s="3" t="str">
        <f t="shared" si="15"/>
        <v>DZ</v>
      </c>
      <c r="H303" s="7">
        <v>8</v>
      </c>
      <c r="I303" s="2" t="str">
        <f t="shared" si="14"/>
        <v>44121708</v>
      </c>
      <c r="J303" s="10" t="s">
        <v>191</v>
      </c>
    </row>
    <row r="304" spans="1:10">
      <c r="A304" s="24" t="s">
        <v>27</v>
      </c>
      <c r="B304" s="21" t="s">
        <v>63</v>
      </c>
      <c r="C304" s="21">
        <v>3202</v>
      </c>
      <c r="D304" s="21">
        <v>93</v>
      </c>
      <c r="E304" s="21" t="str">
        <f>"1000011989"</f>
        <v>1000011989</v>
      </c>
      <c r="F304" s="21" t="str">
        <f>"MARKER: Red, fine point, fine tip, plastic barrel"</f>
        <v>MARKER: Red, fine point, fine tip, plastic barrel</v>
      </c>
      <c r="G304" s="22" t="str">
        <f t="shared" si="15"/>
        <v>DZ</v>
      </c>
      <c r="H304" s="23">
        <v>8</v>
      </c>
      <c r="I304" s="21" t="str">
        <f t="shared" si="14"/>
        <v>44121708</v>
      </c>
      <c r="J304" s="25" t="s">
        <v>191</v>
      </c>
    </row>
    <row r="305" spans="1:10" ht="64.5">
      <c r="A305" s="9" t="s">
        <v>27</v>
      </c>
      <c r="B305" s="2" t="s">
        <v>63</v>
      </c>
      <c r="C305" s="2">
        <v>3202</v>
      </c>
      <c r="D305" s="2">
        <v>94</v>
      </c>
      <c r="E305" s="2" t="str">
        <f>"1000003350"</f>
        <v>1000003350</v>
      </c>
      <c r="F305" s="2" t="str">
        <f>"MARKER:Dry er/4/Ast/Brn/Or/Yel/Pur~Pen, marking, dry erase marker, Skilcraft, pkg of 4. Pen, Marking, Dry Erase Marker Assorted Colors: Brown, Orange, Yellow, Purple~Pen, Marking, Dry Erase Marker, Assorted Colors:"</f>
        <v>MARKER:Dry er/4/Ast/Brn/Or/Yel/Pur~Pen, marking, dry erase marker, Skilcraft, pkg of 4. Pen, Marking, Dry Erase Marker Assorted Colors: Brown, Orange, Yellow, Purple~Pen, Marking, Dry Erase Marker, Assorted Colors:</v>
      </c>
      <c r="G305" s="3" t="str">
        <f>"PK"</f>
        <v>PK</v>
      </c>
      <c r="H305" s="7">
        <v>5</v>
      </c>
      <c r="I305" s="2" t="str">
        <f t="shared" si="14"/>
        <v>44121708</v>
      </c>
      <c r="J305" s="10" t="s">
        <v>191</v>
      </c>
    </row>
    <row r="306" spans="1:10" ht="64.5">
      <c r="A306" s="24" t="s">
        <v>27</v>
      </c>
      <c r="B306" s="21" t="s">
        <v>63</v>
      </c>
      <c r="C306" s="21">
        <v>3202</v>
      </c>
      <c r="D306" s="21">
        <v>95</v>
      </c>
      <c r="E306" s="21" t="str">
        <f>"1000004362"</f>
        <v>1000004362</v>
      </c>
      <c r="F306" s="21" t="str">
        <f>"MARKER:Flip Cha Fin 4/Blk/Blue/Grn/Red~Markers, Bullet Point Flip Chart Markers, Bullet Tip. 4 Markers per set. Color: Black, Blue, Green and Red~Flip Chart Markers, bullet tip. 4 markers per set. Colors:"</f>
        <v>MARKER:Flip Cha Fin 4/Blk/Blue/Grn/Red~Markers, Bullet Point Flip Chart Markers, Bullet Tip. 4 Markers per set. Color: Black, Blue, Green and Red~Flip Chart Markers, bullet tip. 4 markers per set. Colors:</v>
      </c>
      <c r="G306" s="22" t="str">
        <f>"ST"</f>
        <v>ST</v>
      </c>
      <c r="H306" s="23">
        <v>4.3</v>
      </c>
      <c r="I306" s="21" t="str">
        <f t="shared" si="14"/>
        <v>44121708</v>
      </c>
      <c r="J306" s="25" t="s">
        <v>191</v>
      </c>
    </row>
    <row r="307" spans="1:10" ht="51.75">
      <c r="A307" s="9" t="s">
        <v>27</v>
      </c>
      <c r="B307" s="2" t="s">
        <v>63</v>
      </c>
      <c r="C307" s="2">
        <v>3202</v>
      </c>
      <c r="D307" s="2">
        <v>96</v>
      </c>
      <c r="E307" s="2" t="str">
        <f>"1000005239"</f>
        <v>1000005239</v>
      </c>
      <c r="F307" s="2" t="str">
        <f>"MARKER:Flip Cha Fin 4/Blk~Markers, Bullet Point Flip Chart Markers, Bullet Tip. 4 Markers per set. Color: Black~Flip Chart Markers, Bullet Tip. 4 Markers per set. Color:"</f>
        <v>MARKER:Flip Cha Fin 4/Blk~Markers, Bullet Point Flip Chart Markers, Bullet Tip. 4 Markers per set. Color: Black~Flip Chart Markers, Bullet Tip. 4 Markers per set. Color:</v>
      </c>
      <c r="G307" s="3" t="str">
        <f>"ST"</f>
        <v>ST</v>
      </c>
      <c r="H307" s="7">
        <v>4.3</v>
      </c>
      <c r="I307" s="2" t="str">
        <f t="shared" si="14"/>
        <v>44121708</v>
      </c>
      <c r="J307" s="10" t="s">
        <v>191</v>
      </c>
    </row>
    <row r="308" spans="1:10" ht="51.75">
      <c r="A308" s="24" t="s">
        <v>27</v>
      </c>
      <c r="B308" s="21" t="s">
        <v>63</v>
      </c>
      <c r="C308" s="21">
        <v>3202</v>
      </c>
      <c r="D308" s="21">
        <v>97</v>
      </c>
      <c r="E308" s="21" t="str">
        <f>"1000003192"</f>
        <v>1000003192</v>
      </c>
      <c r="F308" s="21" t="str">
        <f>"MARKER:Flip Cha Fin 4/Bl~Markers, Bullet Point Flip Chart Markers, Bullet Tip. 4 Markers per set. Color: Blue~Flip Chart Markers, Bullet Tip. 4 markers per set."</f>
        <v>MARKER:Flip Cha Fin 4/Bl~Markers, Bullet Point Flip Chart Markers, Bullet Tip. 4 Markers per set. Color: Blue~Flip Chart Markers, Bullet Tip. 4 markers per set.</v>
      </c>
      <c r="G308" s="22" t="str">
        <f>"ST"</f>
        <v>ST</v>
      </c>
      <c r="H308" s="23">
        <v>4.3</v>
      </c>
      <c r="I308" s="21" t="str">
        <f t="shared" si="14"/>
        <v>44121708</v>
      </c>
      <c r="J308" s="25" t="s">
        <v>191</v>
      </c>
    </row>
    <row r="309" spans="1:10" ht="51.75">
      <c r="A309" s="9" t="s">
        <v>27</v>
      </c>
      <c r="B309" s="2" t="s">
        <v>63</v>
      </c>
      <c r="C309" s="2">
        <v>3202</v>
      </c>
      <c r="D309" s="2">
        <v>98</v>
      </c>
      <c r="E309" s="2" t="str">
        <f>"1000004643"</f>
        <v>1000004643</v>
      </c>
      <c r="F309" s="2" t="str">
        <f>"MARKER:Flip Cha Fin 4/Gr~Markers, Bullet Point Flip Chart Markers, Bullet Tip. 4 Markers per set. Color: Green~Flip Chart Markers, Bullet Tip. 4 markers per set."</f>
        <v>MARKER:Flip Cha Fin 4/Gr~Markers, Bullet Point Flip Chart Markers, Bullet Tip. 4 Markers per set. Color: Green~Flip Chart Markers, Bullet Tip. 4 markers per set.</v>
      </c>
      <c r="G309" s="3" t="str">
        <f>"ST"</f>
        <v>ST</v>
      </c>
      <c r="H309" s="7">
        <v>4.3</v>
      </c>
      <c r="I309" s="2" t="str">
        <f t="shared" si="14"/>
        <v>44121708</v>
      </c>
      <c r="J309" s="10" t="s">
        <v>191</v>
      </c>
    </row>
    <row r="310" spans="1:10" ht="51.75">
      <c r="A310" s="24" t="s">
        <v>27</v>
      </c>
      <c r="B310" s="21" t="s">
        <v>63</v>
      </c>
      <c r="C310" s="21">
        <v>3202</v>
      </c>
      <c r="D310" s="21">
        <v>99</v>
      </c>
      <c r="E310" s="21" t="str">
        <f>"1000003193"</f>
        <v>1000003193</v>
      </c>
      <c r="F310" s="21" t="str">
        <f>"MARKER:Flip Cha Fin 4/Red~Markers, Bullet Point Flip Chart Markers, Bullet Tip. 4 Markers per set. Color: Red~Flip Chart Markers, Bullet Tip. 4 markers per set."</f>
        <v>MARKER:Flip Cha Fin 4/Red~Markers, Bullet Point Flip Chart Markers, Bullet Tip. 4 Markers per set. Color: Red~Flip Chart Markers, Bullet Tip. 4 markers per set.</v>
      </c>
      <c r="G310" s="22" t="str">
        <f>"ST"</f>
        <v>ST</v>
      </c>
      <c r="H310" s="23">
        <v>4.3</v>
      </c>
      <c r="I310" s="21" t="str">
        <f t="shared" si="14"/>
        <v>44121708</v>
      </c>
      <c r="J310" s="25" t="s">
        <v>191</v>
      </c>
    </row>
    <row r="311" spans="1:10" ht="39">
      <c r="A311" s="24" t="s">
        <v>27</v>
      </c>
      <c r="B311" s="21" t="s">
        <v>63</v>
      </c>
      <c r="C311" s="21">
        <v>3202</v>
      </c>
      <c r="D311" s="21">
        <v>100</v>
      </c>
      <c r="E311" s="21" t="str">
        <f>"1000003741"</f>
        <v>1000003741</v>
      </c>
      <c r="F311" s="21" t="str">
        <f>"MARKERS:Ref/Cart-Flt-pkg/3Fluor Or~Felt Markers, refill cartridges - recyclable package of 3 Fluorescent Orange"</f>
        <v>MARKERS:Ref/Cart-Flt-pkg/3Fluor Or~Felt Markers, refill cartridges - recyclable package of 3 Fluorescent Orange</v>
      </c>
      <c r="G311" s="22" t="str">
        <f>"PK"</f>
        <v>PK</v>
      </c>
      <c r="H311" s="23">
        <v>4.1500000000000004</v>
      </c>
      <c r="I311" s="21" t="str">
        <f>"44121712"</f>
        <v>44121712</v>
      </c>
      <c r="J311" s="25" t="s">
        <v>192</v>
      </c>
    </row>
    <row r="312" spans="1:10" ht="39">
      <c r="A312" s="9" t="s">
        <v>27</v>
      </c>
      <c r="B312" s="2" t="s">
        <v>63</v>
      </c>
      <c r="C312" s="2">
        <v>3202</v>
      </c>
      <c r="D312" s="2">
        <v>101</v>
      </c>
      <c r="E312" s="2" t="str">
        <f>"1000003765"</f>
        <v>1000003765</v>
      </c>
      <c r="F312" s="2" t="str">
        <f>"CANCELLED - MARKERS:Ref/Cart-Flt-pkg/3Fluor Pk~Felt Markers, refill cartridges - recyclable package of 3 Fluorescent Pink"</f>
        <v>CANCELLED - MARKERS:Ref/Cart-Flt-pkg/3Fluor Pk~Felt Markers, refill cartridges - recyclable package of 3 Fluorescent Pink</v>
      </c>
      <c r="G312" s="3" t="str">
        <f>"PK"</f>
        <v>PK</v>
      </c>
      <c r="H312" s="7">
        <v>4.1500000000000004</v>
      </c>
      <c r="I312" s="2" t="str">
        <f>"44121712"</f>
        <v>44121712</v>
      </c>
      <c r="J312" s="10" t="s">
        <v>192</v>
      </c>
    </row>
    <row r="313" spans="1:10" ht="39">
      <c r="A313" s="24" t="s">
        <v>27</v>
      </c>
      <c r="B313" s="21" t="s">
        <v>63</v>
      </c>
      <c r="C313" s="21">
        <v>3202</v>
      </c>
      <c r="D313" s="21">
        <v>102</v>
      </c>
      <c r="E313" s="21" t="str">
        <f>"1000004270"</f>
        <v>1000004270</v>
      </c>
      <c r="F313" s="21" t="str">
        <f>"CANCELLED - MARKERS:Ref/Cart-Flt-pkg/3Fluor Yel~Felt Markers, refill cartridges - recyclable package of 3 Fluorescent Yellow"</f>
        <v>CANCELLED - MARKERS:Ref/Cart-Flt-pkg/3Fluor Yel~Felt Markers, refill cartridges - recyclable package of 3 Fluorescent Yellow</v>
      </c>
      <c r="G313" s="22" t="str">
        <f>"PK"</f>
        <v>PK</v>
      </c>
      <c r="H313" s="23">
        <v>4.1500000000000004</v>
      </c>
      <c r="I313" s="21" t="str">
        <f>"44121712"</f>
        <v>44121712</v>
      </c>
      <c r="J313" s="25" t="s">
        <v>192</v>
      </c>
    </row>
    <row r="314" spans="1:10" ht="39">
      <c r="A314" s="9" t="s">
        <v>27</v>
      </c>
      <c r="B314" s="2" t="s">
        <v>63</v>
      </c>
      <c r="C314" s="2">
        <v>3202</v>
      </c>
      <c r="D314" s="2">
        <v>103</v>
      </c>
      <c r="E314" s="2" t="str">
        <f>"1000012512"</f>
        <v>1000012512</v>
      </c>
      <c r="F314" s="2" t="str">
        <f>"CANCELLED - MARKERS:Ref/Cart-Flt-pkg/3Fluor Grn~Felt Markers, refill cartridges - recyclable package of 3 Fluorescent Green"</f>
        <v>CANCELLED - MARKERS:Ref/Cart-Flt-pkg/3Fluor Grn~Felt Markers, refill cartridges - recyclable package of 3 Fluorescent Green</v>
      </c>
      <c r="G314" s="3" t="str">
        <f>"PK"</f>
        <v>PK</v>
      </c>
      <c r="H314" s="7">
        <v>4.1500000000000004</v>
      </c>
      <c r="I314" s="2" t="str">
        <f>"44121712"</f>
        <v>44121712</v>
      </c>
      <c r="J314" s="10" t="s">
        <v>192</v>
      </c>
    </row>
    <row r="315" spans="1:10" ht="39">
      <c r="A315" s="24" t="s">
        <v>27</v>
      </c>
      <c r="B315" s="21" t="s">
        <v>63</v>
      </c>
      <c r="C315" s="21">
        <v>3202</v>
      </c>
      <c r="D315" s="21">
        <v>104</v>
      </c>
      <c r="E315" s="21" t="str">
        <f>"1000003742"</f>
        <v>1000003742</v>
      </c>
      <c r="F315" s="21" t="str">
        <f>"CANCELLED -ARKERS:Ref/Cart-Flt-pkg/3Fluor Bl~Felt Markers, refill cartridges - recyclable package of 3 Fluorescent Blue"</f>
        <v>CANCELLED -ARKERS:Ref/Cart-Flt-pkg/3Fluor Bl~Felt Markers, refill cartridges - recyclable package of 3 Fluorescent Blue</v>
      </c>
      <c r="G315" s="22" t="str">
        <f>"PK"</f>
        <v>PK</v>
      </c>
      <c r="H315" s="23">
        <v>4.1500000000000004</v>
      </c>
      <c r="I315" s="21" t="str">
        <f>"44121712"</f>
        <v>44121712</v>
      </c>
      <c r="J315" s="25" t="s">
        <v>192</v>
      </c>
    </row>
    <row r="316" spans="1:10" ht="26.25">
      <c r="A316" s="9" t="s">
        <v>27</v>
      </c>
      <c r="B316" s="2" t="s">
        <v>63</v>
      </c>
      <c r="C316" s="2">
        <v>3202</v>
      </c>
      <c r="D316" s="2">
        <v>105</v>
      </c>
      <c r="E316" s="2" t="str">
        <f>"1000004854"</f>
        <v>1000004854</v>
      </c>
      <c r="F316" s="2" t="str">
        <f>"HIGHLIGHTER:Flourescent Blue, Broad Tip Marker"</f>
        <v>HIGHLIGHTER:Flourescent Blue, Broad Tip Marker</v>
      </c>
      <c r="G316" s="3" t="str">
        <f>"DZ"</f>
        <v>DZ</v>
      </c>
      <c r="H316" s="7">
        <v>5.7</v>
      </c>
      <c r="I316" s="2" t="str">
        <f t="shared" ref="I316:I327" si="16">"44121716"</f>
        <v>44121716</v>
      </c>
      <c r="J316" s="10" t="s">
        <v>193</v>
      </c>
    </row>
    <row r="317" spans="1:10" ht="26.25">
      <c r="A317" s="24" t="s">
        <v>27</v>
      </c>
      <c r="B317" s="21" t="s">
        <v>63</v>
      </c>
      <c r="C317" s="21">
        <v>3202</v>
      </c>
      <c r="D317" s="21">
        <v>106</v>
      </c>
      <c r="E317" s="21" t="str">
        <f>"1000004371"</f>
        <v>1000004371</v>
      </c>
      <c r="F317" s="21" t="str">
        <f>"HIGHLIGHTER:Flourescent Yellow, Broad Tip Marker"</f>
        <v>HIGHLIGHTER:Flourescent Yellow, Broad Tip Marker</v>
      </c>
      <c r="G317" s="22" t="str">
        <f>"DZ"</f>
        <v>DZ</v>
      </c>
      <c r="H317" s="23">
        <v>5.7</v>
      </c>
      <c r="I317" s="21" t="str">
        <f t="shared" si="16"/>
        <v>44121716</v>
      </c>
      <c r="J317" s="25" t="s">
        <v>193</v>
      </c>
    </row>
    <row r="318" spans="1:10" ht="39">
      <c r="A318" s="9" t="s">
        <v>27</v>
      </c>
      <c r="B318" s="2" t="s">
        <v>63</v>
      </c>
      <c r="C318" s="2">
        <v>3202</v>
      </c>
      <c r="D318" s="2">
        <v>107</v>
      </c>
      <c r="E318" s="2" t="str">
        <f>"1000003441"</f>
        <v>1000003441</v>
      </c>
      <c r="F318" s="2" t="str">
        <f>"HIGHLIGHTER:Broad tip Fluores orange~Pen, marking, highlighter broad tip marker Fluorescent orange~FLOURESCENT ORANGE"</f>
        <v>HIGHLIGHTER:Broad tip Fluores orange~Pen, marking, highlighter broad tip marker Fluorescent orange~FLOURESCENT ORANGE</v>
      </c>
      <c r="G318" s="3" t="str">
        <f>"DZ"</f>
        <v>DZ</v>
      </c>
      <c r="H318" s="7">
        <v>5.7</v>
      </c>
      <c r="I318" s="2" t="str">
        <f t="shared" si="16"/>
        <v>44121716</v>
      </c>
      <c r="J318" s="10" t="s">
        <v>193</v>
      </c>
    </row>
    <row r="319" spans="1:10" ht="26.25">
      <c r="A319" s="24" t="s">
        <v>27</v>
      </c>
      <c r="B319" s="21" t="s">
        <v>63</v>
      </c>
      <c r="C319" s="21">
        <v>3202</v>
      </c>
      <c r="D319" s="21">
        <v>108</v>
      </c>
      <c r="E319" s="21" t="str">
        <f>"1000005339"</f>
        <v>1000005339</v>
      </c>
      <c r="F319" s="21" t="str">
        <f>"HIGHLIGHTER:Flourescent Green, Broad Tip Marker"</f>
        <v>HIGHLIGHTER:Flourescent Green, Broad Tip Marker</v>
      </c>
      <c r="G319" s="22" t="str">
        <f>"DZ"</f>
        <v>DZ</v>
      </c>
      <c r="H319" s="23">
        <v>5.7</v>
      </c>
      <c r="I319" s="21" t="str">
        <f t="shared" si="16"/>
        <v>44121716</v>
      </c>
      <c r="J319" s="25" t="s">
        <v>193</v>
      </c>
    </row>
    <row r="320" spans="1:10" ht="39">
      <c r="A320" s="9" t="s">
        <v>27</v>
      </c>
      <c r="B320" s="2" t="s">
        <v>63</v>
      </c>
      <c r="C320" s="2">
        <v>3202</v>
      </c>
      <c r="D320" s="2">
        <v>109</v>
      </c>
      <c r="E320" s="2" t="str">
        <f>"1000005286"</f>
        <v>1000005286</v>
      </c>
      <c r="F320" s="2" t="str">
        <f>"HIGHLIGHTER:Broad Fluor Lavr~Pen, marking, highlighter broad tip marker Fluorescent Lavender"</f>
        <v>HIGHLIGHTER:Broad Fluor Lavr~Pen, marking, highlighter broad tip marker Fluorescent Lavender</v>
      </c>
      <c r="G320" s="3" t="str">
        <f>"DZ"</f>
        <v>DZ</v>
      </c>
      <c r="H320" s="7">
        <v>5.7</v>
      </c>
      <c r="I320" s="2" t="str">
        <f t="shared" si="16"/>
        <v>44121716</v>
      </c>
      <c r="J320" s="10" t="s">
        <v>193</v>
      </c>
    </row>
    <row r="321" spans="1:10" ht="26.25">
      <c r="A321" s="24" t="s">
        <v>27</v>
      </c>
      <c r="B321" s="21" t="s">
        <v>63</v>
      </c>
      <c r="C321" s="21">
        <v>3202</v>
      </c>
      <c r="D321" s="21">
        <v>110</v>
      </c>
      <c r="E321" s="21" t="str">
        <f>"1000003082"</f>
        <v>1000003082</v>
      </c>
      <c r="F321" s="21" t="str">
        <f>"HIGHLIGHTER:Ref-pkg-6 Fluor Or~Highlighter, refillable - package of 6 Fluorescent Orange"</f>
        <v>HIGHLIGHTER:Ref-pkg-6 Fluor Or~Highlighter, refillable - package of 6 Fluorescent Orange</v>
      </c>
      <c r="G321" s="22" t="str">
        <f>"PK"</f>
        <v>PK</v>
      </c>
      <c r="H321" s="23">
        <v>8.5</v>
      </c>
      <c r="I321" s="21" t="str">
        <f t="shared" si="16"/>
        <v>44121716</v>
      </c>
      <c r="J321" s="25" t="s">
        <v>193</v>
      </c>
    </row>
    <row r="322" spans="1:10" ht="26.25">
      <c r="A322" s="9" t="s">
        <v>27</v>
      </c>
      <c r="B322" s="2" t="s">
        <v>63</v>
      </c>
      <c r="C322" s="2">
        <v>3202</v>
      </c>
      <c r="D322" s="2">
        <v>114</v>
      </c>
      <c r="E322" s="2" t="str">
        <f>"1000002668"</f>
        <v>1000002668</v>
      </c>
      <c r="F322" s="2" t="str">
        <f>"HIGHLIGHTER:Pocket/Stick Fluor Gr~Highlighter Pocket Stick Fluorescent Green"</f>
        <v>HIGHLIGHTER:Pocket/Stick Fluor Gr~Highlighter Pocket Stick Fluorescent Green</v>
      </c>
      <c r="G322" s="3" t="str">
        <f>"DZ"</f>
        <v>DZ</v>
      </c>
      <c r="H322" s="7">
        <v>11.25</v>
      </c>
      <c r="I322" s="2" t="str">
        <f t="shared" si="16"/>
        <v>44121716</v>
      </c>
      <c r="J322" s="10" t="s">
        <v>193</v>
      </c>
    </row>
    <row r="323" spans="1:10" ht="26.25">
      <c r="A323" s="24" t="s">
        <v>27</v>
      </c>
      <c r="B323" s="21" t="s">
        <v>63</v>
      </c>
      <c r="C323" s="21">
        <v>3202</v>
      </c>
      <c r="D323" s="21">
        <v>115</v>
      </c>
      <c r="E323" s="21" t="str">
        <f>"1000002664"</f>
        <v>1000002664</v>
      </c>
      <c r="F323" s="21" t="str">
        <f>"HIGHLIGHTER:Pocket/Stick Fluor Pk~Highlighter Pocket Stick Fluorescent Pink"</f>
        <v>HIGHLIGHTER:Pocket/Stick Fluor Pk~Highlighter Pocket Stick Fluorescent Pink</v>
      </c>
      <c r="G323" s="22" t="str">
        <f>"DZ"</f>
        <v>DZ</v>
      </c>
      <c r="H323" s="23">
        <v>11.25</v>
      </c>
      <c r="I323" s="21" t="str">
        <f t="shared" si="16"/>
        <v>44121716</v>
      </c>
      <c r="J323" s="25" t="s">
        <v>193</v>
      </c>
    </row>
    <row r="324" spans="1:10" ht="39">
      <c r="A324" s="9" t="s">
        <v>27</v>
      </c>
      <c r="B324" s="2" t="s">
        <v>63</v>
      </c>
      <c r="C324" s="2">
        <v>3202</v>
      </c>
      <c r="D324" s="2">
        <v>116</v>
      </c>
      <c r="E324" s="2" t="str">
        <f>"1000005274"</f>
        <v>1000005274</v>
      </c>
      <c r="F324" s="2" t="str">
        <f>"HIGHLIGHTER:Pocket/Stick Fluor Yell~Highlighter Pocket Stick Fluorescent Yellow"</f>
        <v>HIGHLIGHTER:Pocket/Stick Fluor Yell~Highlighter Pocket Stick Fluorescent Yellow</v>
      </c>
      <c r="G324" s="3" t="str">
        <f>"DZ"</f>
        <v>DZ</v>
      </c>
      <c r="H324" s="7">
        <v>11.25</v>
      </c>
      <c r="I324" s="2" t="str">
        <f t="shared" si="16"/>
        <v>44121716</v>
      </c>
      <c r="J324" s="10" t="s">
        <v>193</v>
      </c>
    </row>
    <row r="325" spans="1:10" ht="26.25">
      <c r="A325" s="24" t="s">
        <v>27</v>
      </c>
      <c r="B325" s="21" t="s">
        <v>63</v>
      </c>
      <c r="C325" s="21">
        <v>3202</v>
      </c>
      <c r="D325" s="21">
        <v>117</v>
      </c>
      <c r="E325" s="21" t="str">
        <f>"1000002669"</f>
        <v>1000002669</v>
      </c>
      <c r="F325" s="21" t="str">
        <f>"HIGHLIGHTER:Pocket/Stick Fluor Bl~Highlighter Pocket Stick Fluorescent Blue"</f>
        <v>HIGHLIGHTER:Pocket/Stick Fluor Bl~Highlighter Pocket Stick Fluorescent Blue</v>
      </c>
      <c r="G325" s="22" t="str">
        <f>"DZ"</f>
        <v>DZ</v>
      </c>
      <c r="H325" s="23">
        <v>11.25</v>
      </c>
      <c r="I325" s="21" t="str">
        <f t="shared" si="16"/>
        <v>44121716</v>
      </c>
      <c r="J325" s="25" t="s">
        <v>193</v>
      </c>
    </row>
    <row r="326" spans="1:10" ht="26.25">
      <c r="A326" s="9" t="s">
        <v>27</v>
      </c>
      <c r="B326" s="2" t="s">
        <v>63</v>
      </c>
      <c r="C326" s="2">
        <v>3202</v>
      </c>
      <c r="D326" s="2">
        <v>118</v>
      </c>
      <c r="E326" s="2" t="str">
        <f>"1000004002"</f>
        <v>1000004002</v>
      </c>
      <c r="F326" s="2" t="str">
        <f>"HIGHLIGHTER:Flourescent Pink, Broad Tip Marker"</f>
        <v>HIGHLIGHTER:Flourescent Pink, Broad Tip Marker</v>
      </c>
      <c r="G326" s="3" t="str">
        <f>"DZ"</f>
        <v>DZ</v>
      </c>
      <c r="H326" s="7">
        <v>5.7</v>
      </c>
      <c r="I326" s="2" t="str">
        <f t="shared" si="16"/>
        <v>44121716</v>
      </c>
      <c r="J326" s="10" t="s">
        <v>193</v>
      </c>
    </row>
    <row r="327" spans="1:10" ht="90">
      <c r="A327" s="24" t="s">
        <v>27</v>
      </c>
      <c r="B327" s="21" t="s">
        <v>63</v>
      </c>
      <c r="C327" s="21">
        <v>3202</v>
      </c>
      <c r="D327" s="21">
        <v>119</v>
      </c>
      <c r="E327" s="21" t="str">
        <f>"1000003926"</f>
        <v>1000003926</v>
      </c>
      <c r="F327" s="21" t="str">
        <f>"HIGHLIGHTER:set/4/Fluores Blue~Multipurpose highlighter - works on carbonless, carbon &amp; thermal (fax) paper. Computer printouts and photocopies. Won't discolor, eradicate or smear. Free Ink Highlighter, visible ink barrel, chisel tip set of 4 Color: Fluo"</f>
        <v>HIGHLIGHTER:set/4/Fluores Blue~Multipurpose highlighter - works on carbonless, carbon &amp; thermal (fax) paper. Computer printouts and photocopies. Won't discolor, eradicate or smear. Free Ink Highlighter, visible ink barrel, chisel tip set of 4 Color: Fluo</v>
      </c>
      <c r="G327" s="22" t="str">
        <f>"ST"</f>
        <v>ST</v>
      </c>
      <c r="H327" s="23">
        <v>7</v>
      </c>
      <c r="I327" s="21" t="str">
        <f t="shared" si="16"/>
        <v>44121716</v>
      </c>
      <c r="J327" s="25" t="s">
        <v>193</v>
      </c>
    </row>
    <row r="328" spans="1:10" ht="90">
      <c r="A328" s="9" t="s">
        <v>27</v>
      </c>
      <c r="B328" s="2" t="s">
        <v>63</v>
      </c>
      <c r="C328" s="2">
        <v>3202</v>
      </c>
      <c r="D328" s="2">
        <v>120</v>
      </c>
      <c r="E328" s="2" t="str">
        <f>"1000004470"</f>
        <v>1000004470</v>
      </c>
      <c r="F328" s="2" t="str">
        <f>"HIGHLIGHTER:set/4/Fluores Pink~Multipurpose highlighter - works on carbonless, carbon &amp; thermal (fax) paper. Computer printouts and photocopies. Won't discolor, eradicate or smear. Free Ink Highlighter, visible ink barrel, chisel tip set of 4 Color: Fluo"</f>
        <v>HIGHLIGHTER:set/4/Fluores Pink~Multipurpose highlighter - works on carbonless, carbon &amp; thermal (fax) paper. Computer printouts and photocopies. Won't discolor, eradicate or smear. Free Ink Highlighter, visible ink barrel, chisel tip set of 4 Color: Fluo</v>
      </c>
      <c r="G328" s="3" t="str">
        <f>"ST"</f>
        <v>ST</v>
      </c>
      <c r="H328" s="7">
        <v>7</v>
      </c>
      <c r="I328" s="2" t="str">
        <f>"44121708"</f>
        <v>44121708</v>
      </c>
      <c r="J328" s="10" t="s">
        <v>191</v>
      </c>
    </row>
    <row r="329" spans="1:10" ht="77.25">
      <c r="A329" s="9" t="s">
        <v>27</v>
      </c>
      <c r="B329" s="2" t="s">
        <v>63</v>
      </c>
      <c r="C329" s="2">
        <v>3202</v>
      </c>
      <c r="D329" s="2">
        <v>121</v>
      </c>
      <c r="E329" s="2" t="str">
        <f>"1000004443"</f>
        <v>1000004443</v>
      </c>
      <c r="F329" s="2" t="str">
        <f>"HIGHLIGHTER:set/4/Fluores Yell~Multipurpose highlighter - works on carbonless, carbon &amp; thermal (fax) paper. Computer printouts and photocopies. Won't discolor, eradicate or smear.Free Ink Highlighter, visible ink barrel, chisel tip set of 4 Color: Fluor"</f>
        <v>HIGHLIGHTER:set/4/Fluores Yell~Multipurpose highlighter - works on carbonless, carbon &amp; thermal (fax) paper. Computer printouts and photocopies. Won't discolor, eradicate or smear.Free Ink Highlighter, visible ink barrel, chisel tip set of 4 Color: Fluor</v>
      </c>
      <c r="G329" s="3" t="str">
        <f>"ST"</f>
        <v>ST</v>
      </c>
      <c r="H329" s="7">
        <v>7</v>
      </c>
      <c r="I329" s="2" t="str">
        <f>"44121716"</f>
        <v>44121716</v>
      </c>
      <c r="J329" s="10" t="s">
        <v>193</v>
      </c>
    </row>
    <row r="330" spans="1:10" ht="90">
      <c r="A330" s="24" t="s">
        <v>27</v>
      </c>
      <c r="B330" s="21" t="s">
        <v>63</v>
      </c>
      <c r="C330" s="21">
        <v>3202</v>
      </c>
      <c r="D330" s="21">
        <v>122</v>
      </c>
      <c r="E330" s="21" t="str">
        <f>"1000003921"</f>
        <v>1000003921</v>
      </c>
      <c r="F330" s="21" t="str">
        <f>"HIGHLIGHTER:set/4/Floures Green~Multipurpose highlighter - works on carbonless, carbon &amp; thermal (fax) paper. Computer printouts and photocopies. Won't discolor, eradicate or smear. Free Ink Highlighter, visible ink barrel, chisel tip set of 4 Color: Flu"</f>
        <v>HIGHLIGHTER:set/4/Floures Green~Multipurpose highlighter - works on carbonless, carbon &amp; thermal (fax) paper. Computer printouts and photocopies. Won't discolor, eradicate or smear. Free Ink Highlighter, visible ink barrel, chisel tip set of 4 Color: Flu</v>
      </c>
      <c r="G330" s="22" t="str">
        <f>"ST"</f>
        <v>ST</v>
      </c>
      <c r="H330" s="23">
        <v>7</v>
      </c>
      <c r="I330" s="21" t="str">
        <f>"44121716"</f>
        <v>44121716</v>
      </c>
      <c r="J330" s="25" t="s">
        <v>193</v>
      </c>
    </row>
    <row r="331" spans="1:10" ht="77.25">
      <c r="A331" s="9" t="s">
        <v>27</v>
      </c>
      <c r="B331" s="2" t="s">
        <v>63</v>
      </c>
      <c r="C331" s="2">
        <v>3202</v>
      </c>
      <c r="D331" s="2">
        <v>123</v>
      </c>
      <c r="E331" s="2" t="str">
        <f>"1000002626"</f>
        <v>1000002626</v>
      </c>
      <c r="F331" s="2" t="str">
        <f>"HIGHLIGHTER:Asst Colors/4pk~Multipurpose - works on carbonless, carbon &amp; thermal (fax) paper, computer printouts, and photocopies. Won't discolor, eradicate or smear. Free Ink Highlighter, Visable Ink Barrel, Chisel Tip, yellow, pink, green, blue. Avery"</f>
        <v>HIGHLIGHTER:Asst Colors/4pk~Multipurpose - works on carbonless, carbon &amp; thermal (fax) paper, computer printouts, and photocopies. Won't discolor, eradicate or smear. Free Ink Highlighter, Visable Ink Barrel, Chisel Tip, yellow, pink, green, blue. Avery</v>
      </c>
      <c r="G331" s="3" t="str">
        <f>"ST"</f>
        <v>ST</v>
      </c>
      <c r="H331" s="7">
        <v>7</v>
      </c>
      <c r="I331" s="2" t="str">
        <f>"44121716"</f>
        <v>44121716</v>
      </c>
      <c r="J331" s="10" t="s">
        <v>193</v>
      </c>
    </row>
    <row r="332" spans="1:10" ht="77.25">
      <c r="A332" s="24" t="s">
        <v>27</v>
      </c>
      <c r="B332" s="21" t="s">
        <v>63</v>
      </c>
      <c r="C332" s="21">
        <v>3202</v>
      </c>
      <c r="D332" s="21">
        <v>124</v>
      </c>
      <c r="E332" s="21" t="str">
        <f>"1000003470"</f>
        <v>1000003470</v>
      </c>
      <c r="F332" s="21" t="str">
        <f>"ITEM CANCELLED FROM CONTRACT ON 2012/12/13 HIGHLIGHTER:Ret/fac- brl/Asst 4 pk-5mm~Retractable Highlighter, retracts like a pen. The faceted barrel offers easy, solid gripping by different hand sizes. Chisel tip, yellow, pink, orange, purple. Avery"</f>
        <v>ITEM CANCELLED FROM CONTRACT ON 2012/12/13 HIGHLIGHTER:Ret/fac- brl/Asst 4 pk-5mm~Retractable Highlighter, retracts like a pen. The faceted barrel offers easy, solid gripping by different hand sizes. Chisel tip, yellow, pink, orange, purple. Avery</v>
      </c>
      <c r="G332" s="22" t="str">
        <f>"PK"</f>
        <v>PK</v>
      </c>
      <c r="H332" s="23">
        <v>5.25</v>
      </c>
      <c r="I332" s="21" t="str">
        <f>"44121716"</f>
        <v>44121716</v>
      </c>
      <c r="J332" s="25" t="s">
        <v>193</v>
      </c>
    </row>
    <row r="333" spans="1:10" ht="64.5">
      <c r="A333" s="9" t="s">
        <v>27</v>
      </c>
      <c r="B333" s="2" t="s">
        <v>63</v>
      </c>
      <c r="C333" s="2">
        <v>3202</v>
      </c>
      <c r="D333" s="2">
        <v>125</v>
      </c>
      <c r="E333" s="2" t="str">
        <f>"1000003469"</f>
        <v>1000003469</v>
      </c>
      <c r="F333" s="2" t="str">
        <f>"HIGHLIGHTER:Ret/fac-brl/4pk-5mm~Retractable Highlighter, retracts like a pen. The faceted barrel offers easy, solid gripping by different hand sizes. Chisel tip, yellow. Avery"</f>
        <v>HIGHLIGHTER:Ret/fac-brl/4pk-5mm~Retractable Highlighter, retracts like a pen. The faceted barrel offers easy, solid gripping by different hand sizes. Chisel tip, yellow. Avery</v>
      </c>
      <c r="G333" s="3" t="str">
        <f>"PK"</f>
        <v>PK</v>
      </c>
      <c r="H333" s="7">
        <v>5.25</v>
      </c>
      <c r="I333" s="2" t="str">
        <f>"44121716"</f>
        <v>44121716</v>
      </c>
      <c r="J333" s="10" t="s">
        <v>193</v>
      </c>
    </row>
    <row r="334" spans="1:10">
      <c r="A334" s="9" t="s">
        <v>27</v>
      </c>
      <c r="B334" s="2" t="s">
        <v>63</v>
      </c>
      <c r="C334" s="2">
        <v>3202</v>
      </c>
      <c r="D334" s="2">
        <v>126</v>
      </c>
      <c r="E334" s="2" t="str">
        <f>"1000011940"</f>
        <v>1000011940</v>
      </c>
      <c r="F334" s="2" t="str">
        <f>"PEN: Blk, Fine point, rolling ball"</f>
        <v>PEN: Blk, Fine point, rolling ball</v>
      </c>
      <c r="G334" s="3" t="str">
        <f t="shared" ref="G334:G349" si="17">"DZ"</f>
        <v>DZ</v>
      </c>
      <c r="H334" s="7">
        <v>9.8000000000000007</v>
      </c>
      <c r="I334" s="2" t="str">
        <f t="shared" ref="I334:I339" si="18">"44121701"</f>
        <v>44121701</v>
      </c>
      <c r="J334" s="10" t="s">
        <v>187</v>
      </c>
    </row>
    <row r="335" spans="1:10">
      <c r="A335" s="24" t="s">
        <v>27</v>
      </c>
      <c r="B335" s="21" t="s">
        <v>63</v>
      </c>
      <c r="C335" s="21">
        <v>3202</v>
      </c>
      <c r="D335" s="21">
        <v>127</v>
      </c>
      <c r="E335" s="21" t="str">
        <f>"1000011941"</f>
        <v>1000011941</v>
      </c>
      <c r="F335" s="21" t="str">
        <f>"PEN: Blu, Fine point, rolling ball"</f>
        <v>PEN: Blu, Fine point, rolling ball</v>
      </c>
      <c r="G335" s="22" t="str">
        <f t="shared" si="17"/>
        <v>DZ</v>
      </c>
      <c r="H335" s="23">
        <v>9.8000000000000007</v>
      </c>
      <c r="I335" s="21" t="str">
        <f t="shared" si="18"/>
        <v>44121701</v>
      </c>
      <c r="J335" s="25" t="s">
        <v>187</v>
      </c>
    </row>
    <row r="336" spans="1:10">
      <c r="A336" s="9" t="s">
        <v>27</v>
      </c>
      <c r="B336" s="2" t="s">
        <v>63</v>
      </c>
      <c r="C336" s="2">
        <v>3202</v>
      </c>
      <c r="D336" s="2">
        <v>128</v>
      </c>
      <c r="E336" s="2" t="str">
        <f>"1000011942"</f>
        <v>1000011942</v>
      </c>
      <c r="F336" s="2" t="str">
        <f>"PEN: Red, Fine point, rolling ball"</f>
        <v>PEN: Red, Fine point, rolling ball</v>
      </c>
      <c r="G336" s="3" t="str">
        <f t="shared" si="17"/>
        <v>DZ</v>
      </c>
      <c r="H336" s="7">
        <v>9.8000000000000007</v>
      </c>
      <c r="I336" s="2" t="str">
        <f t="shared" si="18"/>
        <v>44121701</v>
      </c>
      <c r="J336" s="10" t="s">
        <v>187</v>
      </c>
    </row>
    <row r="337" spans="1:10">
      <c r="A337" s="24" t="s">
        <v>27</v>
      </c>
      <c r="B337" s="21" t="s">
        <v>63</v>
      </c>
      <c r="C337" s="21">
        <v>3202</v>
      </c>
      <c r="D337" s="21">
        <v>129</v>
      </c>
      <c r="E337" s="21" t="str">
        <f>"1000011943"</f>
        <v>1000011943</v>
      </c>
      <c r="F337" s="21" t="str">
        <f>"PEN: Blk, Med point, rolling ball"</f>
        <v>PEN: Blk, Med point, rolling ball</v>
      </c>
      <c r="G337" s="22" t="str">
        <f t="shared" si="17"/>
        <v>DZ</v>
      </c>
      <c r="H337" s="23">
        <v>9.8000000000000007</v>
      </c>
      <c r="I337" s="21" t="str">
        <f t="shared" si="18"/>
        <v>44121701</v>
      </c>
      <c r="J337" s="25" t="s">
        <v>187</v>
      </c>
    </row>
    <row r="338" spans="1:10">
      <c r="A338" s="9" t="s">
        <v>27</v>
      </c>
      <c r="B338" s="2" t="s">
        <v>63</v>
      </c>
      <c r="C338" s="2">
        <v>3202</v>
      </c>
      <c r="D338" s="2">
        <v>130</v>
      </c>
      <c r="E338" s="2" t="str">
        <f>"1000011944"</f>
        <v>1000011944</v>
      </c>
      <c r="F338" s="2" t="str">
        <f>"PEN: Blu, Med point, rolling ball"</f>
        <v>PEN: Blu, Med point, rolling ball</v>
      </c>
      <c r="G338" s="3" t="str">
        <f t="shared" si="17"/>
        <v>DZ</v>
      </c>
      <c r="H338" s="7">
        <v>9.8000000000000007</v>
      </c>
      <c r="I338" s="2" t="str">
        <f t="shared" si="18"/>
        <v>44121701</v>
      </c>
      <c r="J338" s="10" t="s">
        <v>187</v>
      </c>
    </row>
    <row r="339" spans="1:10">
      <c r="A339" s="24" t="s">
        <v>27</v>
      </c>
      <c r="B339" s="21" t="s">
        <v>63</v>
      </c>
      <c r="C339" s="21">
        <v>3202</v>
      </c>
      <c r="D339" s="21">
        <v>131</v>
      </c>
      <c r="E339" s="21" t="str">
        <f>"1000011945"</f>
        <v>1000011945</v>
      </c>
      <c r="F339" s="21" t="str">
        <f>"PEN: Red, Med point, rolling ball"</f>
        <v>PEN: Red, Med point, rolling ball</v>
      </c>
      <c r="G339" s="22" t="str">
        <f t="shared" si="17"/>
        <v>DZ</v>
      </c>
      <c r="H339" s="23">
        <v>9.8000000000000007</v>
      </c>
      <c r="I339" s="21" t="str">
        <f t="shared" si="18"/>
        <v>44121701</v>
      </c>
      <c r="J339" s="25" t="s">
        <v>187</v>
      </c>
    </row>
    <row r="340" spans="1:10" ht="26.25">
      <c r="A340" s="9" t="s">
        <v>27</v>
      </c>
      <c r="B340" s="2" t="s">
        <v>63</v>
      </c>
      <c r="C340" s="2">
        <v>3202</v>
      </c>
      <c r="D340" s="2">
        <v>132</v>
      </c>
      <c r="E340" s="2" t="str">
        <f>"1000011952"</f>
        <v>1000011952</v>
      </c>
      <c r="F340" s="2" t="str">
        <f>"REFILL: Blk, logo premier bubble top pen"</f>
        <v>REFILL: Blk, logo premier bubble top pen</v>
      </c>
      <c r="G340" s="3" t="str">
        <f t="shared" si="17"/>
        <v>DZ</v>
      </c>
      <c r="H340" s="7">
        <v>1</v>
      </c>
      <c r="I340" s="2" t="str">
        <f t="shared" ref="I340:I346" si="19">"44121900"</f>
        <v>44121900</v>
      </c>
      <c r="J340" s="10" t="s">
        <v>189</v>
      </c>
    </row>
    <row r="341" spans="1:10" ht="26.25">
      <c r="A341" s="24" t="s">
        <v>27</v>
      </c>
      <c r="B341" s="21" t="s">
        <v>63</v>
      </c>
      <c r="C341" s="21">
        <v>3202</v>
      </c>
      <c r="D341" s="21">
        <v>133</v>
      </c>
      <c r="E341" s="21" t="str">
        <f>"1000011953"</f>
        <v>1000011953</v>
      </c>
      <c r="F341" s="21" t="str">
        <f>"REFILL: Blu, logo premier bubble top pen"</f>
        <v>REFILL: Blu, logo premier bubble top pen</v>
      </c>
      <c r="G341" s="22" t="str">
        <f t="shared" si="17"/>
        <v>DZ</v>
      </c>
      <c r="H341" s="23">
        <v>1</v>
      </c>
      <c r="I341" s="21" t="str">
        <f t="shared" si="19"/>
        <v>44121900</v>
      </c>
      <c r="J341" s="25" t="s">
        <v>189</v>
      </c>
    </row>
    <row r="342" spans="1:10" ht="26.25">
      <c r="A342" s="9" t="s">
        <v>27</v>
      </c>
      <c r="B342" s="2" t="s">
        <v>63</v>
      </c>
      <c r="C342" s="2">
        <v>3202</v>
      </c>
      <c r="D342" s="2">
        <v>134</v>
      </c>
      <c r="E342" s="2" t="str">
        <f>"1000012507"</f>
        <v>1000012507</v>
      </c>
      <c r="F342" s="2" t="str">
        <f>"INK REFILL: Blk, for #1000011962, retractable, fine point"</f>
        <v>INK REFILL: Blk, for #1000011962, retractable, fine point</v>
      </c>
      <c r="G342" s="3" t="str">
        <f t="shared" si="17"/>
        <v>DZ</v>
      </c>
      <c r="H342" s="7">
        <v>7.95</v>
      </c>
      <c r="I342" s="2" t="str">
        <f t="shared" si="19"/>
        <v>44121900</v>
      </c>
      <c r="J342" s="10" t="s">
        <v>189</v>
      </c>
    </row>
    <row r="343" spans="1:10" ht="26.25">
      <c r="A343" s="24" t="s">
        <v>27</v>
      </c>
      <c r="B343" s="21" t="s">
        <v>63</v>
      </c>
      <c r="C343" s="21">
        <v>3202</v>
      </c>
      <c r="D343" s="21">
        <v>135</v>
      </c>
      <c r="E343" s="21" t="str">
        <f>"1000012500"</f>
        <v>1000012500</v>
      </c>
      <c r="F343" s="21" t="str">
        <f>"INK REFILL: Blk, for #1000011963, retractable, med point"</f>
        <v>INK REFILL: Blk, for #1000011963, retractable, med point</v>
      </c>
      <c r="G343" s="22" t="str">
        <f t="shared" si="17"/>
        <v>DZ</v>
      </c>
      <c r="H343" s="23">
        <v>7.95</v>
      </c>
      <c r="I343" s="21" t="str">
        <f t="shared" si="19"/>
        <v>44121900</v>
      </c>
      <c r="J343" s="25" t="s">
        <v>189</v>
      </c>
    </row>
    <row r="344" spans="1:10" ht="26.25">
      <c r="A344" s="9" t="s">
        <v>27</v>
      </c>
      <c r="B344" s="2" t="s">
        <v>63</v>
      </c>
      <c r="C344" s="2">
        <v>3202</v>
      </c>
      <c r="D344" s="2">
        <v>136</v>
      </c>
      <c r="E344" s="2" t="str">
        <f>"1000012501"</f>
        <v>1000012501</v>
      </c>
      <c r="F344" s="2" t="str">
        <f>"INK REFILL: Blu, for #1000011964, retractable, fine point"</f>
        <v>INK REFILL: Blu, for #1000011964, retractable, fine point</v>
      </c>
      <c r="G344" s="3" t="str">
        <f t="shared" si="17"/>
        <v>DZ</v>
      </c>
      <c r="H344" s="7">
        <v>7.95</v>
      </c>
      <c r="I344" s="2" t="str">
        <f t="shared" si="19"/>
        <v>44121900</v>
      </c>
      <c r="J344" s="10" t="s">
        <v>189</v>
      </c>
    </row>
    <row r="345" spans="1:10" ht="26.25">
      <c r="A345" s="24" t="s">
        <v>27</v>
      </c>
      <c r="B345" s="21" t="s">
        <v>63</v>
      </c>
      <c r="C345" s="21">
        <v>3202</v>
      </c>
      <c r="D345" s="21">
        <v>137</v>
      </c>
      <c r="E345" s="21" t="str">
        <f>"1000012502"</f>
        <v>1000012502</v>
      </c>
      <c r="F345" s="21" t="str">
        <f>"INK REFILL: Blu, for #1000011965, retractable, med point"</f>
        <v>INK REFILL: Blu, for #1000011965, retractable, med point</v>
      </c>
      <c r="G345" s="22" t="str">
        <f t="shared" si="17"/>
        <v>DZ</v>
      </c>
      <c r="H345" s="23">
        <v>7.95</v>
      </c>
      <c r="I345" s="21" t="str">
        <f t="shared" si="19"/>
        <v>44121900</v>
      </c>
      <c r="J345" s="25" t="s">
        <v>189</v>
      </c>
    </row>
    <row r="346" spans="1:10" ht="26.25">
      <c r="A346" s="9" t="s">
        <v>27</v>
      </c>
      <c r="B346" s="2" t="s">
        <v>63</v>
      </c>
      <c r="C346" s="2">
        <v>3202</v>
      </c>
      <c r="D346" s="2">
        <v>138</v>
      </c>
      <c r="E346" s="2" t="str">
        <f>"1000012503"</f>
        <v>1000012503</v>
      </c>
      <c r="F346" s="2" t="str">
        <f>"INK REFILL: Red, for #1000011964, retractable, fine point"</f>
        <v>INK REFILL: Red, for #1000011964, retractable, fine point</v>
      </c>
      <c r="G346" s="3" t="str">
        <f t="shared" si="17"/>
        <v>DZ</v>
      </c>
      <c r="H346" s="7">
        <v>7.95</v>
      </c>
      <c r="I346" s="2" t="str">
        <f t="shared" si="19"/>
        <v>44121900</v>
      </c>
      <c r="J346" s="10" t="s">
        <v>189</v>
      </c>
    </row>
    <row r="347" spans="1:10" ht="39">
      <c r="A347" s="9" t="s">
        <v>27</v>
      </c>
      <c r="B347" s="2" t="s">
        <v>63</v>
      </c>
      <c r="C347" s="2">
        <v>3202</v>
      </c>
      <c r="D347" s="2">
        <v>139</v>
      </c>
      <c r="E347" s="2" t="str">
        <f>"1000003409"</f>
        <v>1000003409</v>
      </c>
      <c r="F347" s="2" t="str">
        <f>"PEN:7mm/Med-blk~Liquid Ink Roller Ball Free Ink Roller .7MM Medium Ink Color: Black~Free Ink Roller .7MM Medium Black"</f>
        <v>PEN:7mm/Med-blk~Liquid Ink Roller Ball Free Ink Roller .7MM Medium Ink Color: Black~Free Ink Roller .7MM Medium Black</v>
      </c>
      <c r="G347" s="3" t="str">
        <f t="shared" si="17"/>
        <v>DZ</v>
      </c>
      <c r="H347" s="7">
        <v>22.3</v>
      </c>
      <c r="I347" s="2" t="str">
        <f>"44121703"</f>
        <v>44121703</v>
      </c>
      <c r="J347" s="10" t="s">
        <v>188</v>
      </c>
    </row>
    <row r="348" spans="1:10" ht="39">
      <c r="A348" s="24" t="s">
        <v>27</v>
      </c>
      <c r="B348" s="21" t="s">
        <v>63</v>
      </c>
      <c r="C348" s="21">
        <v>3202</v>
      </c>
      <c r="D348" s="21">
        <v>140</v>
      </c>
      <c r="E348" s="21" t="str">
        <f>"1000003382"</f>
        <v>1000003382</v>
      </c>
      <c r="F348" s="21" t="str">
        <f>"PEN:7mm/Med-bl~Liquid Ink Roller Ball Free Ink Roller .7MM Medium Ink Color: Blue~Free Ink Roller .7MM Medium, Blue"</f>
        <v>PEN:7mm/Med-bl~Liquid Ink Roller Ball Free Ink Roller .7MM Medium Ink Color: Blue~Free Ink Roller .7MM Medium, Blue</v>
      </c>
      <c r="G348" s="22" t="str">
        <f t="shared" si="17"/>
        <v>DZ</v>
      </c>
      <c r="H348" s="23">
        <v>22.3</v>
      </c>
      <c r="I348" s="21" t="str">
        <f>"44121703"</f>
        <v>44121703</v>
      </c>
      <c r="J348" s="25" t="s">
        <v>188</v>
      </c>
    </row>
    <row r="349" spans="1:10" ht="39">
      <c r="A349" s="9" t="s">
        <v>27</v>
      </c>
      <c r="B349" s="2" t="s">
        <v>63</v>
      </c>
      <c r="C349" s="2">
        <v>3202</v>
      </c>
      <c r="D349" s="2">
        <v>141</v>
      </c>
      <c r="E349" s="2" t="str">
        <f>"1000002529"</f>
        <v>1000002529</v>
      </c>
      <c r="F349" s="2" t="str">
        <f>"PEN:7mm/Med-Rd~Liquid Ink Roller Ball Free Ink Roller .7MM Medium Ink Color: Red~Free Ink Roller .7MM Medium, Red"</f>
        <v>PEN:7mm/Med-Rd~Liquid Ink Roller Ball Free Ink Roller .7MM Medium Ink Color: Red~Free Ink Roller .7MM Medium, Red</v>
      </c>
      <c r="G349" s="3" t="str">
        <f t="shared" si="17"/>
        <v>DZ</v>
      </c>
      <c r="H349" s="7">
        <v>22.3</v>
      </c>
      <c r="I349" s="2" t="str">
        <f>"44121703"</f>
        <v>44121703</v>
      </c>
      <c r="J349" s="10" t="s">
        <v>188</v>
      </c>
    </row>
    <row r="350" spans="1:10" ht="77.25">
      <c r="A350" s="24" t="s">
        <v>27</v>
      </c>
      <c r="B350" s="21" t="s">
        <v>63</v>
      </c>
      <c r="C350" s="21">
        <v>3202</v>
      </c>
      <c r="D350" s="21">
        <v>142</v>
      </c>
      <c r="E350" s="21" t="str">
        <f>"1000011978"</f>
        <v>1000011978</v>
      </c>
      <c r="F350" s="21" t="str">
        <f>"PEN: Blk Barrel w/ Chrome Trim, logo premier bubble top pen, blue, Med ball point only, twist to open, full color OK State Seal under cap, custom imprint on barrel, refills available, logo imprint available, inquire for minimum order"</f>
        <v>PEN: Blk Barrel w/ Chrome Trim, logo premier bubble top pen, blue, Med ball point only, twist to open, full color OK State Seal under cap, custom imprint on barrel, refills available, logo imprint available, inquire for minimum order</v>
      </c>
      <c r="G350" s="22" t="str">
        <f>"EA"</f>
        <v>EA</v>
      </c>
      <c r="H350" s="23">
        <v>5.5</v>
      </c>
      <c r="I350" s="21" t="str">
        <f t="shared" ref="I350:I366" si="20">"44121704"</f>
        <v>44121704</v>
      </c>
      <c r="J350" s="25" t="s">
        <v>186</v>
      </c>
    </row>
    <row r="351" spans="1:10" ht="77.25">
      <c r="A351" s="9" t="s">
        <v>27</v>
      </c>
      <c r="B351" s="2" t="s">
        <v>63</v>
      </c>
      <c r="C351" s="2">
        <v>3202</v>
      </c>
      <c r="D351" s="2">
        <v>143</v>
      </c>
      <c r="E351" s="2" t="str">
        <f>"1000011979"</f>
        <v>1000011979</v>
      </c>
      <c r="F351" s="2" t="str">
        <f>"PEN: Chrome Barrel w/ Chrome Trim, logo premier bubble top pen, blue, Med ball point only, twist to open, full color OK State Seal under cap, custom imprint on barrel, refills available, logo imprint available, inquire for minimum order"</f>
        <v>PEN: Chrome Barrel w/ Chrome Trim, logo premier bubble top pen, blue, Med ball point only, twist to open, full color OK State Seal under cap, custom imprint on barrel, refills available, logo imprint available, inquire for minimum order</v>
      </c>
      <c r="G351" s="3" t="str">
        <f>"EA"</f>
        <v>EA</v>
      </c>
      <c r="H351" s="7">
        <v>5.5</v>
      </c>
      <c r="I351" s="2" t="str">
        <f t="shared" si="20"/>
        <v>44121704</v>
      </c>
      <c r="J351" s="10" t="s">
        <v>186</v>
      </c>
    </row>
    <row r="352" spans="1:10" ht="26.25">
      <c r="A352" s="24" t="s">
        <v>27</v>
      </c>
      <c r="B352" s="21" t="s">
        <v>63</v>
      </c>
      <c r="C352" s="21">
        <v>3202</v>
      </c>
      <c r="D352" s="21">
        <v>144</v>
      </c>
      <c r="E352" s="21" t="str">
        <f>"1000011993"</f>
        <v>1000011993</v>
      </c>
      <c r="F352" s="21" t="str">
        <f>"PEN: Blk, easy grip, fine point, retractable, ball point, clear barrel"</f>
        <v>PEN: Blk, easy grip, fine point, retractable, ball point, clear barrel</v>
      </c>
      <c r="G352" s="22" t="str">
        <f t="shared" ref="G352:G386" si="21">"DZ"</f>
        <v>DZ</v>
      </c>
      <c r="H352" s="23">
        <v>9</v>
      </c>
      <c r="I352" s="21" t="str">
        <f t="shared" si="20"/>
        <v>44121704</v>
      </c>
      <c r="J352" s="25" t="s">
        <v>186</v>
      </c>
    </row>
    <row r="353" spans="1:10" ht="26.25">
      <c r="A353" s="9" t="s">
        <v>27</v>
      </c>
      <c r="B353" s="2" t="s">
        <v>63</v>
      </c>
      <c r="C353" s="2">
        <v>3202</v>
      </c>
      <c r="D353" s="2">
        <v>145</v>
      </c>
      <c r="E353" s="2" t="str">
        <f>"1000011966"</f>
        <v>1000011966</v>
      </c>
      <c r="F353" s="2" t="str">
        <f>"PEN: Blu, easy grip, fine point, retractable, ball point, clear barrel"</f>
        <v>PEN: Blu, easy grip, fine point, retractable, ball point, clear barrel</v>
      </c>
      <c r="G353" s="3" t="str">
        <f t="shared" si="21"/>
        <v>DZ</v>
      </c>
      <c r="H353" s="7">
        <v>9</v>
      </c>
      <c r="I353" s="2" t="str">
        <f t="shared" si="20"/>
        <v>44121704</v>
      </c>
      <c r="J353" s="10" t="s">
        <v>186</v>
      </c>
    </row>
    <row r="354" spans="1:10" ht="26.25">
      <c r="A354" s="24" t="s">
        <v>27</v>
      </c>
      <c r="B354" s="21" t="s">
        <v>63</v>
      </c>
      <c r="C354" s="21">
        <v>3202</v>
      </c>
      <c r="D354" s="21">
        <v>146</v>
      </c>
      <c r="E354" s="21" t="str">
        <f>"1000011967"</f>
        <v>1000011967</v>
      </c>
      <c r="F354" s="21" t="str">
        <f>"PEN: Blk, easy grip, med point, retractable, ball point, clear barrel"</f>
        <v>PEN: Blk, easy grip, med point, retractable, ball point, clear barrel</v>
      </c>
      <c r="G354" s="22" t="str">
        <f t="shared" si="21"/>
        <v>DZ</v>
      </c>
      <c r="H354" s="23">
        <v>9</v>
      </c>
      <c r="I354" s="21" t="str">
        <f t="shared" si="20"/>
        <v>44121704</v>
      </c>
      <c r="J354" s="25" t="s">
        <v>186</v>
      </c>
    </row>
    <row r="355" spans="1:10" ht="26.25">
      <c r="A355" s="9" t="s">
        <v>27</v>
      </c>
      <c r="B355" s="2" t="s">
        <v>63</v>
      </c>
      <c r="C355" s="2">
        <v>3202</v>
      </c>
      <c r="D355" s="2">
        <v>147</v>
      </c>
      <c r="E355" s="2" t="str">
        <f>"1000011968"</f>
        <v>1000011968</v>
      </c>
      <c r="F355" s="2" t="str">
        <f>"PEN: Blu, easy grip, med point, retractable, ball point, clear barrel"</f>
        <v>PEN: Blu, easy grip, med point, retractable, ball point, clear barrel</v>
      </c>
      <c r="G355" s="3" t="str">
        <f t="shared" si="21"/>
        <v>DZ</v>
      </c>
      <c r="H355" s="7">
        <v>9</v>
      </c>
      <c r="I355" s="2" t="str">
        <f t="shared" si="20"/>
        <v>44121704</v>
      </c>
      <c r="J355" s="10" t="s">
        <v>186</v>
      </c>
    </row>
    <row r="356" spans="1:10" ht="26.25">
      <c r="A356" s="24" t="s">
        <v>27</v>
      </c>
      <c r="B356" s="21" t="s">
        <v>63</v>
      </c>
      <c r="C356" s="21">
        <v>3202</v>
      </c>
      <c r="D356" s="21">
        <v>148</v>
      </c>
      <c r="E356" s="21" t="str">
        <f>"1000011969"</f>
        <v>1000011969</v>
      </c>
      <c r="F356" s="21" t="str">
        <f>"PEN: Red easy grip, med point, retractable, ball point, clear barrel"</f>
        <v>PEN: Red easy grip, med point, retractable, ball point, clear barrel</v>
      </c>
      <c r="G356" s="22" t="str">
        <f t="shared" si="21"/>
        <v>DZ</v>
      </c>
      <c r="H356" s="23">
        <v>9</v>
      </c>
      <c r="I356" s="21" t="str">
        <f t="shared" si="20"/>
        <v>44121704</v>
      </c>
      <c r="J356" s="25" t="s">
        <v>186</v>
      </c>
    </row>
    <row r="357" spans="1:10" ht="51.75">
      <c r="A357" s="9" t="s">
        <v>27</v>
      </c>
      <c r="B357" s="2" t="s">
        <v>63</v>
      </c>
      <c r="C357" s="2">
        <v>3202</v>
      </c>
      <c r="D357" s="2">
        <v>149</v>
      </c>
      <c r="E357" s="2" t="str">
        <f>"1000011971"</f>
        <v>1000011971</v>
      </c>
      <c r="F357" s="2" t="str">
        <f>"PEN: Blk, triangular cushioned grip, ergonomic, push button top advances the tip while the push button side retracts the tip. Pentel Wow!"</f>
        <v>PEN: Blk, triangular cushioned grip, ergonomic, push button top advances the tip while the push button side retracts the tip. Pentel Wow!</v>
      </c>
      <c r="G357" s="3" t="str">
        <f t="shared" si="21"/>
        <v>DZ</v>
      </c>
      <c r="H357" s="7">
        <v>6.25</v>
      </c>
      <c r="I357" s="2" t="str">
        <f t="shared" si="20"/>
        <v>44121704</v>
      </c>
      <c r="J357" s="10" t="s">
        <v>186</v>
      </c>
    </row>
    <row r="358" spans="1:10" ht="51.75">
      <c r="A358" s="24" t="s">
        <v>27</v>
      </c>
      <c r="B358" s="21" t="s">
        <v>63</v>
      </c>
      <c r="C358" s="21">
        <v>3202</v>
      </c>
      <c r="D358" s="21">
        <v>150</v>
      </c>
      <c r="E358" s="21" t="str">
        <f>"1000011972"</f>
        <v>1000011972</v>
      </c>
      <c r="F358" s="21" t="str">
        <f>"PEN: Blu, triangular cushioned grip, ergonomic, push button top advances the tip while the push button side retracts the tip. Pentel Wow!"</f>
        <v>PEN: Blu, triangular cushioned grip, ergonomic, push button top advances the tip while the push button side retracts the tip. Pentel Wow!</v>
      </c>
      <c r="G358" s="22" t="str">
        <f t="shared" si="21"/>
        <v>DZ</v>
      </c>
      <c r="H358" s="23">
        <v>6.25</v>
      </c>
      <c r="I358" s="21" t="str">
        <f t="shared" si="20"/>
        <v>44121704</v>
      </c>
      <c r="J358" s="25" t="s">
        <v>186</v>
      </c>
    </row>
    <row r="359" spans="1:10" ht="51.75">
      <c r="A359" s="9" t="s">
        <v>27</v>
      </c>
      <c r="B359" s="2" t="s">
        <v>63</v>
      </c>
      <c r="C359" s="2">
        <v>3202</v>
      </c>
      <c r="D359" s="2">
        <v>151</v>
      </c>
      <c r="E359" s="2" t="str">
        <f>"1000011973"</f>
        <v>1000011973</v>
      </c>
      <c r="F359" s="2" t="str">
        <f>"PEN: Red, triangular cushioned grip, ergonomic, push button top advances the tip while the push button side retracts the tip. Pentel Wow!"</f>
        <v>PEN: Red, triangular cushioned grip, ergonomic, push button top advances the tip while the push button side retracts the tip. Pentel Wow!</v>
      </c>
      <c r="G359" s="3" t="str">
        <f t="shared" si="21"/>
        <v>DZ</v>
      </c>
      <c r="H359" s="7">
        <v>6.25</v>
      </c>
      <c r="I359" s="2" t="str">
        <f t="shared" si="20"/>
        <v>44121704</v>
      </c>
      <c r="J359" s="10" t="s">
        <v>186</v>
      </c>
    </row>
    <row r="360" spans="1:10" ht="39">
      <c r="A360" s="24" t="s">
        <v>27</v>
      </c>
      <c r="B360" s="21" t="s">
        <v>63</v>
      </c>
      <c r="C360" s="21">
        <v>3202</v>
      </c>
      <c r="D360" s="21">
        <v>152</v>
      </c>
      <c r="E360" s="21" t="str">
        <f>"1000012001"</f>
        <v>1000012001</v>
      </c>
      <c r="F360" s="21" t="str">
        <f>"PEN: Navy, Zebra Sarasa Brand, gel, archival ink, permanent &amp; waterproof, retractable, rubber grip, big ink reservoir, med point only"</f>
        <v>PEN: Navy, Zebra Sarasa Brand, gel, archival ink, permanent &amp; waterproof, retractable, rubber grip, big ink reservoir, med point only</v>
      </c>
      <c r="G360" s="22" t="str">
        <f t="shared" si="21"/>
        <v>DZ</v>
      </c>
      <c r="H360" s="23">
        <v>17</v>
      </c>
      <c r="I360" s="21" t="str">
        <f t="shared" si="20"/>
        <v>44121704</v>
      </c>
      <c r="J360" s="25" t="s">
        <v>186</v>
      </c>
    </row>
    <row r="361" spans="1:10" ht="39">
      <c r="A361" s="9" t="s">
        <v>27</v>
      </c>
      <c r="B361" s="2" t="s">
        <v>63</v>
      </c>
      <c r="C361" s="2">
        <v>3202</v>
      </c>
      <c r="D361" s="2">
        <v>153</v>
      </c>
      <c r="E361" s="2" t="str">
        <f>"1000012002"</f>
        <v>1000012002</v>
      </c>
      <c r="F361" s="2" t="str">
        <f>"PEN: Cobalt, Zebra Sarasa Brand, gel, archival ink, permanent &amp; waterproof, retractable, rubber grip, big ink reservoir, med point only"</f>
        <v>PEN: Cobalt, Zebra Sarasa Brand, gel, archival ink, permanent &amp; waterproof, retractable, rubber grip, big ink reservoir, med point only</v>
      </c>
      <c r="G361" s="3" t="str">
        <f t="shared" si="21"/>
        <v>DZ</v>
      </c>
      <c r="H361" s="7">
        <v>17</v>
      </c>
      <c r="I361" s="2" t="str">
        <f t="shared" si="20"/>
        <v>44121704</v>
      </c>
      <c r="J361" s="10" t="s">
        <v>186</v>
      </c>
    </row>
    <row r="362" spans="1:10" ht="51.75">
      <c r="A362" s="24" t="s">
        <v>27</v>
      </c>
      <c r="B362" s="21" t="s">
        <v>63</v>
      </c>
      <c r="C362" s="21">
        <v>3202</v>
      </c>
      <c r="D362" s="21">
        <v>154</v>
      </c>
      <c r="E362" s="21" t="str">
        <f>"1000012003"</f>
        <v>1000012003</v>
      </c>
      <c r="F362" s="21" t="str">
        <f>"PEN: Mahogany, Zebra Sarasa Brand, gel, archival ink, permanent &amp; waterproof, retractable, rubber grip, big ink reservoir, med point only"</f>
        <v>PEN: Mahogany, Zebra Sarasa Brand, gel, archival ink, permanent &amp; waterproof, retractable, rubber grip, big ink reservoir, med point only</v>
      </c>
      <c r="G362" s="22" t="str">
        <f t="shared" si="21"/>
        <v>DZ</v>
      </c>
      <c r="H362" s="23">
        <v>17</v>
      </c>
      <c r="I362" s="21" t="str">
        <f t="shared" si="20"/>
        <v>44121704</v>
      </c>
      <c r="J362" s="25" t="s">
        <v>186</v>
      </c>
    </row>
    <row r="363" spans="1:10" ht="51.75">
      <c r="A363" s="9" t="s">
        <v>27</v>
      </c>
      <c r="B363" s="2" t="s">
        <v>63</v>
      </c>
      <c r="C363" s="2">
        <v>3202</v>
      </c>
      <c r="D363" s="2">
        <v>155</v>
      </c>
      <c r="E363" s="2" t="str">
        <f>"1000012004"</f>
        <v>1000012004</v>
      </c>
      <c r="F363" s="2" t="str">
        <f>"PEN: Forrest Grn, Zebra Sarasa Brand, gel, archival ink, permanent &amp; waterproof, retractable, rubber grip, big ink reservoir, med point only"</f>
        <v>PEN: Forrest Grn, Zebra Sarasa Brand, gel, archival ink, permanent &amp; waterproof, retractable, rubber grip, big ink reservoir, med point only</v>
      </c>
      <c r="G363" s="3" t="str">
        <f t="shared" si="21"/>
        <v>DZ</v>
      </c>
      <c r="H363" s="7">
        <v>17</v>
      </c>
      <c r="I363" s="2" t="str">
        <f t="shared" si="20"/>
        <v>44121704</v>
      </c>
      <c r="J363" s="10" t="s">
        <v>186</v>
      </c>
    </row>
    <row r="364" spans="1:10" ht="51.75">
      <c r="A364" s="24" t="s">
        <v>27</v>
      </c>
      <c r="B364" s="21" t="s">
        <v>63</v>
      </c>
      <c r="C364" s="21">
        <v>3202</v>
      </c>
      <c r="D364" s="21">
        <v>156</v>
      </c>
      <c r="E364" s="21" t="str">
        <f>"1000012005"</f>
        <v>1000012005</v>
      </c>
      <c r="F364" s="21" t="str">
        <f>"PEN: Lime Grn, Zebra Sarasa Brand, gel, archival ink, permanent &amp; waterproof, retractable, rubber grip, big ink reservoir, med point only"</f>
        <v>PEN: Lime Grn, Zebra Sarasa Brand, gel, archival ink, permanent &amp; waterproof, retractable, rubber grip, big ink reservoir, med point only</v>
      </c>
      <c r="G364" s="22" t="str">
        <f t="shared" si="21"/>
        <v>DZ</v>
      </c>
      <c r="H364" s="23">
        <v>17</v>
      </c>
      <c r="I364" s="21" t="str">
        <f t="shared" si="20"/>
        <v>44121704</v>
      </c>
      <c r="J364" s="25" t="s">
        <v>186</v>
      </c>
    </row>
    <row r="365" spans="1:10" ht="39">
      <c r="A365" s="9" t="s">
        <v>27</v>
      </c>
      <c r="B365" s="2" t="s">
        <v>63</v>
      </c>
      <c r="C365" s="2">
        <v>3202</v>
      </c>
      <c r="D365" s="2">
        <v>157</v>
      </c>
      <c r="E365" s="2" t="str">
        <f>"1000012006"</f>
        <v>1000012006</v>
      </c>
      <c r="F365" s="2" t="str">
        <f>"PEN: Orange, Zebra Sarasa Brand, gel, archival ink, permanent &amp; waterproof, retractable, rubber grip, big ink reservoir, med point only"</f>
        <v>PEN: Orange, Zebra Sarasa Brand, gel, archival ink, permanent &amp; waterproof, retractable, rubber grip, big ink reservoir, med point only</v>
      </c>
      <c r="G365" s="3" t="str">
        <f t="shared" si="21"/>
        <v>DZ</v>
      </c>
      <c r="H365" s="7">
        <v>17</v>
      </c>
      <c r="I365" s="2" t="str">
        <f t="shared" si="20"/>
        <v>44121704</v>
      </c>
      <c r="J365" s="10" t="s">
        <v>186</v>
      </c>
    </row>
    <row r="366" spans="1:10" ht="51.75">
      <c r="A366" s="24" t="s">
        <v>27</v>
      </c>
      <c r="B366" s="21" t="s">
        <v>63</v>
      </c>
      <c r="C366" s="21">
        <v>3202</v>
      </c>
      <c r="D366" s="21">
        <v>158</v>
      </c>
      <c r="E366" s="21" t="str">
        <f>"1000011980"</f>
        <v>1000011980</v>
      </c>
      <c r="F366" s="21" t="str">
        <f>"PEN: Fuchsia, Zebra Sarasa Brand, gel, archival ink, permanent &amp; waterproof, retractable, rubber grip, big ink reservoir, med point only"</f>
        <v>PEN: Fuchsia, Zebra Sarasa Brand, gel, archival ink, permanent &amp; waterproof, retractable, rubber grip, big ink reservoir, med point only</v>
      </c>
      <c r="G366" s="22" t="str">
        <f t="shared" si="21"/>
        <v>DZ</v>
      </c>
      <c r="H366" s="23">
        <v>17</v>
      </c>
      <c r="I366" s="21" t="str">
        <f t="shared" si="20"/>
        <v>44121704</v>
      </c>
      <c r="J366" s="25" t="s">
        <v>186</v>
      </c>
    </row>
    <row r="367" spans="1:10" ht="26.25">
      <c r="A367" s="9" t="s">
        <v>27</v>
      </c>
      <c r="B367" s="2" t="s">
        <v>63</v>
      </c>
      <c r="C367" s="2">
        <v>3202</v>
      </c>
      <c r="D367" s="2">
        <v>159</v>
      </c>
      <c r="E367" s="2" t="str">
        <f>"1000003385"</f>
        <v>1000003385</v>
      </c>
      <c r="F367" s="2" t="str">
        <f>"PEN:5mm/Fn-Grn~Liquid Ink Roller Ball Schneider Xtra 805 Fine Point, Green"</f>
        <v>PEN:5mm/Fn-Grn~Liquid Ink Roller Ball Schneider Xtra 805 Fine Point, Green</v>
      </c>
      <c r="G367" s="3" t="str">
        <f t="shared" si="21"/>
        <v>DZ</v>
      </c>
      <c r="H367" s="7">
        <v>18</v>
      </c>
      <c r="I367" s="2" t="str">
        <f>"44121703"</f>
        <v>44121703</v>
      </c>
      <c r="J367" s="10" t="s">
        <v>187</v>
      </c>
    </row>
    <row r="368" spans="1:10" ht="51.75">
      <c r="A368" s="9" t="s">
        <v>27</v>
      </c>
      <c r="B368" s="2" t="s">
        <v>63</v>
      </c>
      <c r="C368" s="2">
        <v>3202</v>
      </c>
      <c r="D368" s="2">
        <v>160</v>
      </c>
      <c r="E368" s="2" t="str">
        <f>"1000003110"</f>
        <v>1000003110</v>
      </c>
      <c r="F368" s="2" t="str">
        <f>"PEN:No-Ret/rub-Med/Blk~Pens, ball point, w/rubber grip, non-retractable. Pentel RSVP-ball point pen with rubber Comfort Zone grip. Medium point, Black ink."</f>
        <v>PEN:No-Ret/rub-Med/Blk~Pens, ball point, w/rubber grip, non-retractable. Pentel RSVP-ball point pen with rubber Comfort Zone grip. Medium point, Black ink.</v>
      </c>
      <c r="G368" s="3" t="str">
        <f t="shared" si="21"/>
        <v>DZ</v>
      </c>
      <c r="H368" s="7">
        <v>7.85</v>
      </c>
      <c r="I368" s="2" t="str">
        <f t="shared" ref="I368:I374" si="22">"44121704"</f>
        <v>44121704</v>
      </c>
      <c r="J368" s="10" t="s">
        <v>186</v>
      </c>
    </row>
    <row r="369" spans="1:10" ht="51.75">
      <c r="A369" s="24" t="s">
        <v>27</v>
      </c>
      <c r="B369" s="21" t="s">
        <v>63</v>
      </c>
      <c r="C369" s="21">
        <v>3202</v>
      </c>
      <c r="D369" s="21">
        <v>161</v>
      </c>
      <c r="E369" s="21" t="str">
        <f>"1000002556"</f>
        <v>1000002556</v>
      </c>
      <c r="F369" s="21" t="str">
        <f>"PEN:No-Ret/rub-Med/Bl~Pens, ball point, w/rubber grip, non-retractable. Pentel RSVP-ball point pen with rubber Comfort Zone grip. Medium point, Blue ink.."</f>
        <v>PEN:No-Ret/rub-Med/Bl~Pens, ball point, w/rubber grip, non-retractable. Pentel RSVP-ball point pen with rubber Comfort Zone grip. Medium point, Blue ink..</v>
      </c>
      <c r="G369" s="22" t="str">
        <f t="shared" si="21"/>
        <v>DZ</v>
      </c>
      <c r="H369" s="23">
        <v>7.85</v>
      </c>
      <c r="I369" s="21" t="str">
        <f t="shared" si="22"/>
        <v>44121704</v>
      </c>
      <c r="J369" s="25" t="s">
        <v>186</v>
      </c>
    </row>
    <row r="370" spans="1:10" ht="51.75">
      <c r="A370" s="9" t="s">
        <v>27</v>
      </c>
      <c r="B370" s="2" t="s">
        <v>63</v>
      </c>
      <c r="C370" s="2">
        <v>3202</v>
      </c>
      <c r="D370" s="2">
        <v>162</v>
      </c>
      <c r="E370" s="2" t="str">
        <f>"1000003076"</f>
        <v>1000003076</v>
      </c>
      <c r="F370" s="2" t="str">
        <f>"PEN:No-Ret/rub-Med/Red~Pens, ball point, w/rubber grip, non-retractable. Pentel RSVP-ball point pen with rubber Comfort Zone grip. Medium point, Red ink."</f>
        <v>PEN:No-Ret/rub-Med/Red~Pens, ball point, w/rubber grip, non-retractable. Pentel RSVP-ball point pen with rubber Comfort Zone grip. Medium point, Red ink.</v>
      </c>
      <c r="G370" s="3" t="str">
        <f t="shared" si="21"/>
        <v>DZ</v>
      </c>
      <c r="H370" s="7">
        <v>7.85</v>
      </c>
      <c r="I370" s="2" t="str">
        <f t="shared" si="22"/>
        <v>44121704</v>
      </c>
      <c r="J370" s="10" t="s">
        <v>186</v>
      </c>
    </row>
    <row r="371" spans="1:10" ht="51.75">
      <c r="A371" s="24" t="s">
        <v>27</v>
      </c>
      <c r="B371" s="21" t="s">
        <v>63</v>
      </c>
      <c r="C371" s="21">
        <v>3202</v>
      </c>
      <c r="D371" s="21">
        <v>163</v>
      </c>
      <c r="E371" s="21" t="str">
        <f>"1000002855"</f>
        <v>1000002855</v>
      </c>
      <c r="F371" s="21" t="str">
        <f>"PEN:No-Ret/rub-Med/Grn~Pens, ball point, w/rubber grip, non-retractable. Pentel RSVP-ball point pen with rubber Comfort Zone grip. Medium point, Green ink."</f>
        <v>PEN:No-Ret/rub-Med/Grn~Pens, ball point, w/rubber grip, non-retractable. Pentel RSVP-ball point pen with rubber Comfort Zone grip. Medium point, Green ink.</v>
      </c>
      <c r="G371" s="22" t="str">
        <f t="shared" si="21"/>
        <v>DZ</v>
      </c>
      <c r="H371" s="23">
        <v>7.85</v>
      </c>
      <c r="I371" s="21" t="str">
        <f t="shared" si="22"/>
        <v>44121704</v>
      </c>
      <c r="J371" s="25" t="s">
        <v>186</v>
      </c>
    </row>
    <row r="372" spans="1:10" ht="51.75">
      <c r="A372" s="9" t="s">
        <v>27</v>
      </c>
      <c r="B372" s="2" t="s">
        <v>63</v>
      </c>
      <c r="C372" s="2">
        <v>3202</v>
      </c>
      <c r="D372" s="2">
        <v>164</v>
      </c>
      <c r="E372" s="2" t="str">
        <f>"1000011982"</f>
        <v>1000011982</v>
      </c>
      <c r="F372" s="2" t="str">
        <f>"PEN:No-Ret/rub-Med/Pink~7Pens, ball point, w/rubber grip, non-retractable. Pentel RSVP-ball point pen with rubber Comfort Zone grip. Med point, Pink ink."</f>
        <v>PEN:No-Ret/rub-Med/Pink~7Pens, ball point, w/rubber grip, non-retractable. Pentel RSVP-ball point pen with rubber Comfort Zone grip. Med point, Pink ink.</v>
      </c>
      <c r="G372" s="3" t="str">
        <f t="shared" si="21"/>
        <v>DZ</v>
      </c>
      <c r="H372" s="7">
        <v>7.85</v>
      </c>
      <c r="I372" s="2" t="str">
        <f t="shared" si="22"/>
        <v>44121704</v>
      </c>
      <c r="J372" s="10" t="s">
        <v>186</v>
      </c>
    </row>
    <row r="373" spans="1:10" ht="51.75">
      <c r="A373" s="24" t="s">
        <v>27</v>
      </c>
      <c r="B373" s="21" t="s">
        <v>63</v>
      </c>
      <c r="C373" s="21">
        <v>3202</v>
      </c>
      <c r="D373" s="21">
        <v>165</v>
      </c>
      <c r="E373" s="21" t="str">
        <f>"1000011981"</f>
        <v>1000011981</v>
      </c>
      <c r="F373" s="21" t="str">
        <f>"PEN:No-Ret/rub-Med/SkBl~7Pens, ball point, w/rubber grip, non-retractable. Pentel RSVP-ball point pen with rubber Comfort Zone grip. Med point, Sky Blu ink."</f>
        <v>PEN:No-Ret/rub-Med/SkBl~7Pens, ball point, w/rubber grip, non-retractable. Pentel RSVP-ball point pen with rubber Comfort Zone grip. Med point, Sky Blu ink.</v>
      </c>
      <c r="G373" s="22" t="str">
        <f t="shared" si="21"/>
        <v>DZ</v>
      </c>
      <c r="H373" s="23">
        <v>7.85</v>
      </c>
      <c r="I373" s="21" t="str">
        <f t="shared" si="22"/>
        <v>44121704</v>
      </c>
      <c r="J373" s="25" t="s">
        <v>186</v>
      </c>
    </row>
    <row r="374" spans="1:10" ht="51.75">
      <c r="A374" s="9" t="s">
        <v>27</v>
      </c>
      <c r="B374" s="2" t="s">
        <v>63</v>
      </c>
      <c r="C374" s="2">
        <v>3202</v>
      </c>
      <c r="D374" s="2">
        <v>166</v>
      </c>
      <c r="E374" s="2" t="str">
        <f>"1000003660"</f>
        <v>1000003660</v>
      </c>
      <c r="F374" s="2" t="str">
        <f>"PEN:No-Ret/rub-Med/Vio~7Pens, ball point, w/rubber grip, non-retractable. Pentel RSVP-ball point pen with rubber Comfort Zone grip. Medium point, Violet ink."</f>
        <v>PEN:No-Ret/rub-Med/Vio~7Pens, ball point, w/rubber grip, non-retractable. Pentel RSVP-ball point pen with rubber Comfort Zone grip. Medium point, Violet ink.</v>
      </c>
      <c r="G374" s="3" t="str">
        <f t="shared" si="21"/>
        <v>DZ</v>
      </c>
      <c r="H374" s="7">
        <v>7.85</v>
      </c>
      <c r="I374" s="2" t="str">
        <f t="shared" si="22"/>
        <v>44121704</v>
      </c>
      <c r="J374" s="10" t="s">
        <v>186</v>
      </c>
    </row>
    <row r="375" spans="1:10" ht="39">
      <c r="A375" s="24" t="s">
        <v>27</v>
      </c>
      <c r="B375" s="21" t="s">
        <v>63</v>
      </c>
      <c r="C375" s="21">
        <v>3202</v>
      </c>
      <c r="D375" s="21">
        <v>167</v>
      </c>
      <c r="E375" s="21" t="str">
        <f>"1000011983"</f>
        <v>1000011983</v>
      </c>
      <c r="F375" s="21" t="str">
        <f>"PEN: Blk, .7mm, liquid gel roller metal tip, retractable, stainless steel tip, rubber grip, med point, Pentel Energel"</f>
        <v>PEN: Blk, .7mm, liquid gel roller metal tip, retractable, stainless steel tip, rubber grip, med point, Pentel Energel</v>
      </c>
      <c r="G375" s="22" t="str">
        <f t="shared" si="21"/>
        <v>DZ</v>
      </c>
      <c r="H375" s="23">
        <v>23.5</v>
      </c>
      <c r="I375" s="21" t="str">
        <f t="shared" ref="I375:I381" si="23">"44121701"</f>
        <v>44121701</v>
      </c>
      <c r="J375" s="25" t="s">
        <v>187</v>
      </c>
    </row>
    <row r="376" spans="1:10" ht="39">
      <c r="A376" s="9" t="s">
        <v>27</v>
      </c>
      <c r="B376" s="2" t="s">
        <v>63</v>
      </c>
      <c r="C376" s="2">
        <v>3202</v>
      </c>
      <c r="D376" s="2">
        <v>168</v>
      </c>
      <c r="E376" s="2" t="str">
        <f>"1000011984"</f>
        <v>1000011984</v>
      </c>
      <c r="F376" s="2" t="str">
        <f>"PEN: Blu, .7mm, liquid gel roller metal tip, retractable, stainless steel tip, rubber grip, med point, Pentel Energel"</f>
        <v>PEN: Blu, .7mm, liquid gel roller metal tip, retractable, stainless steel tip, rubber grip, med point, Pentel Energel</v>
      </c>
      <c r="G376" s="3" t="str">
        <f t="shared" si="21"/>
        <v>DZ</v>
      </c>
      <c r="H376" s="7">
        <v>23.5</v>
      </c>
      <c r="I376" s="2" t="str">
        <f t="shared" si="23"/>
        <v>44121701</v>
      </c>
      <c r="J376" s="10" t="s">
        <v>187</v>
      </c>
    </row>
    <row r="377" spans="1:10" ht="39">
      <c r="A377" s="24" t="s">
        <v>27</v>
      </c>
      <c r="B377" s="21" t="s">
        <v>63</v>
      </c>
      <c r="C377" s="21">
        <v>3202</v>
      </c>
      <c r="D377" s="21">
        <v>169</v>
      </c>
      <c r="E377" s="21" t="str">
        <f>"1000011985"</f>
        <v>1000011985</v>
      </c>
      <c r="F377" s="21" t="str">
        <f>"PEN: Red, .7mm, liquid gel roller metal tip, retractable, stainless steel tip, rubber grip, med point, Pentel Energel"</f>
        <v>PEN: Red, .7mm, liquid gel roller metal tip, retractable, stainless steel tip, rubber grip, med point, Pentel Energel</v>
      </c>
      <c r="G377" s="22" t="str">
        <f t="shared" si="21"/>
        <v>DZ</v>
      </c>
      <c r="H377" s="23">
        <v>23.5</v>
      </c>
      <c r="I377" s="21" t="str">
        <f t="shared" si="23"/>
        <v>44121701</v>
      </c>
      <c r="J377" s="25" t="s">
        <v>187</v>
      </c>
    </row>
    <row r="378" spans="1:10" ht="39">
      <c r="A378" s="9" t="s">
        <v>27</v>
      </c>
      <c r="B378" s="2" t="s">
        <v>63</v>
      </c>
      <c r="C378" s="2">
        <v>3202</v>
      </c>
      <c r="D378" s="2">
        <v>170</v>
      </c>
      <c r="E378" s="2" t="str">
        <f>"1000012010"</f>
        <v>1000012010</v>
      </c>
      <c r="F378" s="2" t="str">
        <f>"PEN: Blk, .7mm, stick pen, liquid gel roller metal tip, stainless steel tip, rubber grip, med point, Pentel Energel"</f>
        <v>PEN: Blk, .7mm, stick pen, liquid gel roller metal tip, stainless steel tip, rubber grip, med point, Pentel Energel</v>
      </c>
      <c r="G378" s="3" t="str">
        <f t="shared" si="21"/>
        <v>DZ</v>
      </c>
      <c r="H378" s="7">
        <v>20</v>
      </c>
      <c r="I378" s="2" t="str">
        <f t="shared" si="23"/>
        <v>44121701</v>
      </c>
      <c r="J378" s="10" t="s">
        <v>187</v>
      </c>
    </row>
    <row r="379" spans="1:10" ht="39">
      <c r="A379" s="24" t="s">
        <v>27</v>
      </c>
      <c r="B379" s="21" t="s">
        <v>63</v>
      </c>
      <c r="C379" s="21">
        <v>3202</v>
      </c>
      <c r="D379" s="21">
        <v>171</v>
      </c>
      <c r="E379" s="21" t="str">
        <f>"1000012011"</f>
        <v>1000012011</v>
      </c>
      <c r="F379" s="21" t="str">
        <f>"PEN: Blu, .7mm, stick pen, liquid gel roller metal tip, stainless steel tip, rubber grip, med point, Pentel Energel"</f>
        <v>PEN: Blu, .7mm, stick pen, liquid gel roller metal tip, stainless steel tip, rubber grip, med point, Pentel Energel</v>
      </c>
      <c r="G379" s="22" t="str">
        <f t="shared" si="21"/>
        <v>DZ</v>
      </c>
      <c r="H379" s="23">
        <v>20</v>
      </c>
      <c r="I379" s="21" t="str">
        <f t="shared" si="23"/>
        <v>44121701</v>
      </c>
      <c r="J379" s="25" t="s">
        <v>187</v>
      </c>
    </row>
    <row r="380" spans="1:10" ht="39">
      <c r="A380" s="9" t="s">
        <v>27</v>
      </c>
      <c r="B380" s="2" t="s">
        <v>63</v>
      </c>
      <c r="C380" s="2">
        <v>3202</v>
      </c>
      <c r="D380" s="2">
        <v>172</v>
      </c>
      <c r="E380" s="2" t="str">
        <f>"1000012012"</f>
        <v>1000012012</v>
      </c>
      <c r="F380" s="2" t="str">
        <f>"PEN: Red, .7mm, stick pen, liquid gel roller metal tip, stainless steel tip, rubber grip, med point, Pentel Energel"</f>
        <v>PEN: Red, .7mm, stick pen, liquid gel roller metal tip, stainless steel tip, rubber grip, med point, Pentel Energel</v>
      </c>
      <c r="G380" s="3" t="str">
        <f t="shared" si="21"/>
        <v>DZ</v>
      </c>
      <c r="H380" s="7">
        <v>20</v>
      </c>
      <c r="I380" s="2" t="str">
        <f t="shared" si="23"/>
        <v>44121701</v>
      </c>
      <c r="J380" s="10" t="s">
        <v>187</v>
      </c>
    </row>
    <row r="381" spans="1:10" ht="39">
      <c r="A381" s="24" t="s">
        <v>27</v>
      </c>
      <c r="B381" s="21" t="s">
        <v>63</v>
      </c>
      <c r="C381" s="21">
        <v>3202</v>
      </c>
      <c r="D381" s="21">
        <v>173</v>
      </c>
      <c r="E381" s="21" t="str">
        <f>"1000012013"</f>
        <v>1000012013</v>
      </c>
      <c r="F381" s="21" t="str">
        <f>"PEN: Purple, .7mm, stick pen, liquid gel roller metal tip, stainless steel tip, rubber grip, med point, Pentel Energel"</f>
        <v>PEN: Purple, .7mm, stick pen, liquid gel roller metal tip, stainless steel tip, rubber grip, med point, Pentel Energel</v>
      </c>
      <c r="G381" s="22" t="str">
        <f t="shared" si="21"/>
        <v>DZ</v>
      </c>
      <c r="H381" s="23">
        <v>20</v>
      </c>
      <c r="I381" s="21" t="str">
        <f t="shared" si="23"/>
        <v>44121701</v>
      </c>
      <c r="J381" s="25" t="s">
        <v>187</v>
      </c>
    </row>
    <row r="382" spans="1:10" ht="39">
      <c r="A382" s="24" t="s">
        <v>27</v>
      </c>
      <c r="B382" s="21" t="s">
        <v>63</v>
      </c>
      <c r="C382" s="21">
        <v>3202</v>
      </c>
      <c r="D382" s="21">
        <v>174</v>
      </c>
      <c r="E382" s="21" t="str">
        <f>"1000012514"</f>
        <v>1000012514</v>
      </c>
      <c r="F382" s="21" t="str">
        <f>"PEN: Blk, 75% recycled, ball point w/ soft rubber grip, extra large clip, retractable, medium point, Zebra Jimnie Clip"</f>
        <v>PEN: Blk, 75% recycled, ball point w/ soft rubber grip, extra large clip, retractable, medium point, Zebra Jimnie Clip</v>
      </c>
      <c r="G382" s="22" t="str">
        <f t="shared" si="21"/>
        <v>DZ</v>
      </c>
      <c r="H382" s="23">
        <v>15.2</v>
      </c>
      <c r="I382" s="21" t="str">
        <f t="shared" ref="I382:I387" si="24">"44121704"</f>
        <v>44121704</v>
      </c>
      <c r="J382" s="25" t="s">
        <v>186</v>
      </c>
    </row>
    <row r="383" spans="1:10" ht="39">
      <c r="A383" s="9" t="s">
        <v>27</v>
      </c>
      <c r="B383" s="2" t="s">
        <v>63</v>
      </c>
      <c r="C383" s="2">
        <v>3202</v>
      </c>
      <c r="D383" s="2">
        <v>175</v>
      </c>
      <c r="E383" s="2" t="str">
        <f>"1000012515"</f>
        <v>1000012515</v>
      </c>
      <c r="F383" s="2" t="str">
        <f>"PEN: Blu, 75% recycled, ball point w/ soft rubber grip, extra large clip, retractable, medium point, Zebra Jimnie Clip"</f>
        <v>PEN: Blu, 75% recycled, ball point w/ soft rubber grip, extra large clip, retractable, medium point, Zebra Jimnie Clip</v>
      </c>
      <c r="G383" s="3" t="str">
        <f t="shared" si="21"/>
        <v>DZ</v>
      </c>
      <c r="H383" s="7">
        <v>15.2</v>
      </c>
      <c r="I383" s="2" t="str">
        <f t="shared" si="24"/>
        <v>44121704</v>
      </c>
      <c r="J383" s="10" t="s">
        <v>186</v>
      </c>
    </row>
    <row r="384" spans="1:10" ht="39">
      <c r="A384" s="24" t="s">
        <v>27</v>
      </c>
      <c r="B384" s="21" t="s">
        <v>63</v>
      </c>
      <c r="C384" s="21">
        <v>3202</v>
      </c>
      <c r="D384" s="21">
        <v>176</v>
      </c>
      <c r="E384" s="21" t="str">
        <f>"1000012497"</f>
        <v>1000012497</v>
      </c>
      <c r="F384" s="21" t="str">
        <f>"PEN: Red, 75% recycled, ball point w/ soft rubber grip, extra large clip, retractable, medium point, Zebra Jimnie Clip"</f>
        <v>PEN: Red, 75% recycled, ball point w/ soft rubber grip, extra large clip, retractable, medium point, Zebra Jimnie Clip</v>
      </c>
      <c r="G384" s="22" t="str">
        <f t="shared" si="21"/>
        <v>DZ</v>
      </c>
      <c r="H384" s="23">
        <v>15.2</v>
      </c>
      <c r="I384" s="21" t="str">
        <f t="shared" si="24"/>
        <v>44121704</v>
      </c>
      <c r="J384" s="25" t="s">
        <v>186</v>
      </c>
    </row>
    <row r="385" spans="1:10" ht="51.75">
      <c r="A385" s="9" t="s">
        <v>27</v>
      </c>
      <c r="B385" s="2" t="s">
        <v>63</v>
      </c>
      <c r="C385" s="2">
        <v>3202</v>
      </c>
      <c r="D385" s="2">
        <v>177</v>
      </c>
      <c r="E385" s="2" t="str">
        <f>"1000011999"</f>
        <v>1000011999</v>
      </c>
      <c r="F385" s="2" t="str">
        <f>"PEN: Blk, wide barrel, ball point w/ lg soft rubber grip, designer metal pocket clip, clear barrel , retractable, med point, Zebra Z-Grip Max"</f>
        <v>PEN: Blk, wide barrel, ball point w/ lg soft rubber grip, designer metal pocket clip, clear barrel , retractable, med point, Zebra Z-Grip Max</v>
      </c>
      <c r="G385" s="3" t="str">
        <f t="shared" si="21"/>
        <v>DZ</v>
      </c>
      <c r="H385" s="7">
        <v>8.8000000000000007</v>
      </c>
      <c r="I385" s="2" t="str">
        <f t="shared" si="24"/>
        <v>44121704</v>
      </c>
      <c r="J385" s="10" t="s">
        <v>186</v>
      </c>
    </row>
    <row r="386" spans="1:10" ht="51.75">
      <c r="A386" s="24" t="s">
        <v>27</v>
      </c>
      <c r="B386" s="21" t="s">
        <v>63</v>
      </c>
      <c r="C386" s="21">
        <v>3202</v>
      </c>
      <c r="D386" s="21">
        <v>178</v>
      </c>
      <c r="E386" s="21" t="str">
        <f>"1000012007"</f>
        <v>1000012007</v>
      </c>
      <c r="F386" s="21" t="str">
        <f>"PEN: Red, wide barrel, ball point w/ lg soft rubber grip, designer metal pocket clip, clear barrel, retractable, med point, Zebra Z-Grip Max"</f>
        <v>PEN: Red, wide barrel, ball point w/ lg soft rubber grip, designer metal pocket clip, clear barrel, retractable, med point, Zebra Z-Grip Max</v>
      </c>
      <c r="G386" s="22" t="str">
        <f t="shared" si="21"/>
        <v>DZ</v>
      </c>
      <c r="H386" s="23">
        <v>8.8000000000000007</v>
      </c>
      <c r="I386" s="21" t="str">
        <f t="shared" si="24"/>
        <v>44121704</v>
      </c>
      <c r="J386" s="25" t="s">
        <v>186</v>
      </c>
    </row>
    <row r="387" spans="1:10" ht="26.25">
      <c r="A387" s="9" t="s">
        <v>27</v>
      </c>
      <c r="B387" s="2" t="s">
        <v>63</v>
      </c>
      <c r="C387" s="2">
        <v>3202</v>
      </c>
      <c r="D387" s="2">
        <v>179</v>
      </c>
      <c r="E387" s="2" t="str">
        <f>"1000012008"</f>
        <v>1000012008</v>
      </c>
      <c r="F387" s="2" t="str">
        <f>"PEN: Blk, glossy barrel w/ chrome accent, retractable, smooth rubber grip, med point"</f>
        <v>PEN: Blk, glossy barrel w/ chrome accent, retractable, smooth rubber grip, med point</v>
      </c>
      <c r="G387" s="3" t="str">
        <f>"EA"</f>
        <v>EA</v>
      </c>
      <c r="H387" s="7">
        <v>3.6</v>
      </c>
      <c r="I387" s="2" t="str">
        <f t="shared" si="24"/>
        <v>44121704</v>
      </c>
      <c r="J387" s="10" t="s">
        <v>186</v>
      </c>
    </row>
    <row r="388" spans="1:10" ht="26.25">
      <c r="A388" s="24" t="s">
        <v>27</v>
      </c>
      <c r="B388" s="21" t="s">
        <v>63</v>
      </c>
      <c r="C388" s="21">
        <v>3202</v>
      </c>
      <c r="D388" s="21">
        <v>180</v>
      </c>
      <c r="E388" s="21" t="str">
        <f>"1000004093"</f>
        <v>1000004093</v>
      </c>
      <c r="F388" s="21" t="str">
        <f>"ERASER:Whiteboard/Avery~Whiteboard Eraser. Brand: Avery"</f>
        <v>ERASER:Whiteboard/Avery~Whiteboard Eraser. Brand: Avery</v>
      </c>
      <c r="G388" s="22" t="str">
        <f>"EA"</f>
        <v>EA</v>
      </c>
      <c r="H388" s="23">
        <v>3</v>
      </c>
      <c r="I388" s="21" t="str">
        <f>"44111905"</f>
        <v>44111905</v>
      </c>
      <c r="J388" s="25" t="s">
        <v>194</v>
      </c>
    </row>
    <row r="389" spans="1:10" ht="26.25">
      <c r="A389" s="9" t="s">
        <v>27</v>
      </c>
      <c r="B389" s="2" t="s">
        <v>63</v>
      </c>
      <c r="C389" s="2">
        <v>3202</v>
      </c>
      <c r="D389" s="2">
        <v>181</v>
      </c>
      <c r="E389" s="2" t="str">
        <f>"1000003663"</f>
        <v>1000003663</v>
      </c>
      <c r="F389" s="2" t="str">
        <f>"WIPES:Board/Dry-Er/50ct~Dry Erase Marker Board Wipes, 50 count, Pop-Up Dispenser"</f>
        <v>WIPES:Board/Dry-Er/50ct~Dry Erase Marker Board Wipes, 50 count, Pop-Up Dispenser</v>
      </c>
      <c r="G389" s="3" t="str">
        <f>"EA"</f>
        <v>EA</v>
      </c>
      <c r="H389" s="7">
        <v>5.5</v>
      </c>
      <c r="I389" s="2" t="str">
        <f>"44111905"</f>
        <v>44111905</v>
      </c>
      <c r="J389" s="10" t="s">
        <v>194</v>
      </c>
    </row>
    <row r="390" spans="1:10" ht="26.25">
      <c r="A390" s="24" t="s">
        <v>27</v>
      </c>
      <c r="B390" s="21" t="s">
        <v>63</v>
      </c>
      <c r="C390" s="21">
        <v>3202</v>
      </c>
      <c r="D390" s="21">
        <v>182</v>
      </c>
      <c r="E390" s="21" t="str">
        <f>"1000002447"</f>
        <v>1000002447</v>
      </c>
      <c r="F390" s="21" t="str">
        <f>"MARKER: Black, Sharpie® Permanent Marker, Fine Tip, Box of 12"</f>
        <v>MARKER: Black, Sharpie® Permanent Marker, Fine Tip, Box of 12</v>
      </c>
      <c r="G390" s="22" t="str">
        <f t="shared" ref="G390:G396" si="25">"BX"</f>
        <v>BX</v>
      </c>
      <c r="H390" s="23">
        <v>8.76</v>
      </c>
      <c r="I390" s="21" t="str">
        <f t="shared" ref="I390:I396" si="26">"44121708"</f>
        <v>44121708</v>
      </c>
      <c r="J390" s="25" t="s">
        <v>191</v>
      </c>
    </row>
    <row r="391" spans="1:10" ht="26.25">
      <c r="A391" s="9" t="s">
        <v>27</v>
      </c>
      <c r="B391" s="2" t="s">
        <v>63</v>
      </c>
      <c r="C391" s="2">
        <v>3202</v>
      </c>
      <c r="D391" s="2">
        <v>183</v>
      </c>
      <c r="E391" s="2" t="str">
        <f>"1000004194"</f>
        <v>1000004194</v>
      </c>
      <c r="F391" s="2" t="str">
        <f>"MARKER: Red, Sharpie® Permanent Marker, Fine Tip, Box of 12"</f>
        <v>MARKER: Red, Sharpie® Permanent Marker, Fine Tip, Box of 12</v>
      </c>
      <c r="G391" s="3" t="str">
        <f t="shared" si="25"/>
        <v>BX</v>
      </c>
      <c r="H391" s="7">
        <v>8.76</v>
      </c>
      <c r="I391" s="2" t="str">
        <f t="shared" si="26"/>
        <v>44121708</v>
      </c>
      <c r="J391" s="10" t="s">
        <v>191</v>
      </c>
    </row>
    <row r="392" spans="1:10" ht="26.25">
      <c r="A392" s="24" t="s">
        <v>27</v>
      </c>
      <c r="B392" s="21" t="s">
        <v>63</v>
      </c>
      <c r="C392" s="21">
        <v>3202</v>
      </c>
      <c r="D392" s="21">
        <v>184</v>
      </c>
      <c r="E392" s="21" t="str">
        <f>"1000002448"</f>
        <v>1000002448</v>
      </c>
      <c r="F392" s="21" t="str">
        <f>"MARKER: Blue, Sharpie® Permanent Marker, Fine Tip, Box of 12"</f>
        <v>MARKER: Blue, Sharpie® Permanent Marker, Fine Tip, Box of 12</v>
      </c>
      <c r="G392" s="22" t="str">
        <f t="shared" si="25"/>
        <v>BX</v>
      </c>
      <c r="H392" s="23">
        <v>8.76</v>
      </c>
      <c r="I392" s="21" t="str">
        <f t="shared" si="26"/>
        <v>44121708</v>
      </c>
      <c r="J392" s="25" t="s">
        <v>191</v>
      </c>
    </row>
    <row r="393" spans="1:10" ht="26.25">
      <c r="A393" s="9" t="s">
        <v>27</v>
      </c>
      <c r="B393" s="2" t="s">
        <v>63</v>
      </c>
      <c r="C393" s="2">
        <v>3202</v>
      </c>
      <c r="D393" s="2">
        <v>185</v>
      </c>
      <c r="E393" s="2" t="str">
        <f>"1000002169"</f>
        <v>1000002169</v>
      </c>
      <c r="F393" s="2" t="str">
        <f>"MARKER: Green, Sharpie® Permanent Marker, Fine Tip, Box of 12"</f>
        <v>MARKER: Green, Sharpie® Permanent Marker, Fine Tip, Box of 12</v>
      </c>
      <c r="G393" s="3" t="str">
        <f t="shared" si="25"/>
        <v>BX</v>
      </c>
      <c r="H393" s="7">
        <v>8.76</v>
      </c>
      <c r="I393" s="2" t="str">
        <f t="shared" si="26"/>
        <v>44121708</v>
      </c>
      <c r="J393" s="10" t="s">
        <v>191</v>
      </c>
    </row>
    <row r="394" spans="1:10" ht="26.25">
      <c r="A394" s="24" t="s">
        <v>27</v>
      </c>
      <c r="B394" s="21" t="s">
        <v>63</v>
      </c>
      <c r="C394" s="21">
        <v>3202</v>
      </c>
      <c r="D394" s="21">
        <v>186</v>
      </c>
      <c r="E394" s="21" t="str">
        <f>"1000004195"</f>
        <v>1000004195</v>
      </c>
      <c r="F394" s="21" t="str">
        <f>"MARKER: Purple, Sharpie® Permanent Marker, Fine Tip, Box of 12"</f>
        <v>MARKER: Purple, Sharpie® Permanent Marker, Fine Tip, Box of 12</v>
      </c>
      <c r="G394" s="22" t="str">
        <f t="shared" si="25"/>
        <v>BX</v>
      </c>
      <c r="H394" s="23">
        <v>8.76</v>
      </c>
      <c r="I394" s="21" t="str">
        <f t="shared" si="26"/>
        <v>44121708</v>
      </c>
      <c r="J394" s="25" t="s">
        <v>191</v>
      </c>
    </row>
    <row r="395" spans="1:10" ht="26.25">
      <c r="A395" s="9" t="s">
        <v>27</v>
      </c>
      <c r="B395" s="2" t="s">
        <v>63</v>
      </c>
      <c r="C395" s="2">
        <v>3202</v>
      </c>
      <c r="D395" s="2">
        <v>187</v>
      </c>
      <c r="E395" s="2" t="str">
        <f>"1000002774"</f>
        <v>1000002774</v>
      </c>
      <c r="F395" s="2" t="str">
        <f>"MARKER: Retractable, Black, Sharpie® Permanent Marker, Fine Tip, Box of 12"</f>
        <v>MARKER: Retractable, Black, Sharpie® Permanent Marker, Fine Tip, Box of 12</v>
      </c>
      <c r="G395" s="3" t="str">
        <f t="shared" si="25"/>
        <v>BX</v>
      </c>
      <c r="H395" s="7">
        <v>21.12</v>
      </c>
      <c r="I395" s="2" t="str">
        <f t="shared" si="26"/>
        <v>44121708</v>
      </c>
      <c r="J395" s="10" t="s">
        <v>191</v>
      </c>
    </row>
    <row r="396" spans="1:10" ht="39">
      <c r="A396" s="24" t="s">
        <v>27</v>
      </c>
      <c r="B396" s="21" t="s">
        <v>63</v>
      </c>
      <c r="C396" s="21">
        <v>3202</v>
      </c>
      <c r="D396" s="21">
        <v>188</v>
      </c>
      <c r="E396" s="21" t="str">
        <f>"1000023194"</f>
        <v>1000023194</v>
      </c>
      <c r="F396" s="21" t="str">
        <f>"MARKER: Assorted, Sharpie® Permanent Marker, Black, Red, Blue, Purple, Fine Tip, Box of 12"</f>
        <v>MARKER: Assorted, Sharpie® Permanent Marker, Black, Red, Blue, Purple, Fine Tip, Box of 12</v>
      </c>
      <c r="G396" s="22" t="str">
        <f t="shared" si="25"/>
        <v>BX</v>
      </c>
      <c r="H396" s="23">
        <v>11.57</v>
      </c>
      <c r="I396" s="21" t="str">
        <f t="shared" si="26"/>
        <v>44121708</v>
      </c>
      <c r="J396" s="25" t="s">
        <v>191</v>
      </c>
    </row>
    <row r="397" spans="1:10" ht="26.25">
      <c r="A397" s="9" t="s">
        <v>27</v>
      </c>
      <c r="B397" s="2" t="s">
        <v>63</v>
      </c>
      <c r="C397" s="2">
        <v>3202</v>
      </c>
      <c r="D397" s="2">
        <v>189</v>
      </c>
      <c r="E397" s="2" t="str">
        <f>"1000004432"</f>
        <v>1000004432</v>
      </c>
      <c r="F397" s="2" t="str">
        <f>"PEN:4mm/Rd/Ex/Rl/bal~Executive Roller Ball .4mm tip RED INK"</f>
        <v>PEN:4mm/Rd/Ex/Rl/bal~Executive Roller Ball .4mm tip RED INK</v>
      </c>
      <c r="G397" s="3" t="str">
        <f t="shared" ref="G397:G404" si="27">"DZ"</f>
        <v>DZ</v>
      </c>
      <c r="H397" s="7">
        <v>9.25</v>
      </c>
      <c r="I397" s="2" t="str">
        <f>"44121701"</f>
        <v>44121701</v>
      </c>
      <c r="J397" s="10" t="s">
        <v>187</v>
      </c>
    </row>
    <row r="398" spans="1:10" ht="26.25">
      <c r="A398" s="24" t="s">
        <v>27</v>
      </c>
      <c r="B398" s="21" t="s">
        <v>63</v>
      </c>
      <c r="C398" s="21">
        <v>3202</v>
      </c>
      <c r="D398" s="21">
        <v>190</v>
      </c>
      <c r="E398" s="21" t="str">
        <f>"1000023494"</f>
        <v>1000023494</v>
      </c>
      <c r="F398" s="21" t="str">
        <f>"PEN: Retractable, Med point, Economy RT, smooth barrel ballpoint pen. Black Ink"</f>
        <v>PEN: Retractable, Med point, Economy RT, smooth barrel ballpoint pen. Black Ink</v>
      </c>
      <c r="G398" s="22" t="str">
        <f t="shared" si="27"/>
        <v>DZ</v>
      </c>
      <c r="H398" s="23">
        <v>4.5</v>
      </c>
      <c r="I398" s="21" t="str">
        <f>"44121704"</f>
        <v>44121704</v>
      </c>
      <c r="J398" s="25" t="s">
        <v>186</v>
      </c>
    </row>
    <row r="399" spans="1:10" ht="26.25">
      <c r="A399" s="9" t="s">
        <v>27</v>
      </c>
      <c r="B399" s="2" t="s">
        <v>63</v>
      </c>
      <c r="C399" s="2">
        <v>3202</v>
      </c>
      <c r="D399" s="2">
        <v>191</v>
      </c>
      <c r="E399" s="2" t="str">
        <f>"1000029364"</f>
        <v>1000029364</v>
      </c>
      <c r="F399" s="2" t="str">
        <f>"PEN:Black,Zebra Z-Mulsion EX,Medium Point, Hybrid Gel, Medium Point, Rubber Grip"</f>
        <v>PEN:Black,Zebra Z-Mulsion EX,Medium Point, Hybrid Gel, Medium Point, Rubber Grip</v>
      </c>
      <c r="G399" s="3" t="str">
        <f t="shared" si="27"/>
        <v>DZ</v>
      </c>
      <c r="H399" s="7">
        <v>21</v>
      </c>
      <c r="I399" s="2" t="str">
        <f>"44121704"</f>
        <v>44121704</v>
      </c>
      <c r="J399" s="10" t="s">
        <v>186</v>
      </c>
    </row>
    <row r="400" spans="1:10" ht="26.25">
      <c r="A400" s="24" t="s">
        <v>27</v>
      </c>
      <c r="B400" s="21" t="s">
        <v>63</v>
      </c>
      <c r="C400" s="21">
        <v>3202</v>
      </c>
      <c r="D400" s="21">
        <v>192</v>
      </c>
      <c r="E400" s="21" t="str">
        <f>"1000029365"</f>
        <v>1000029365</v>
      </c>
      <c r="F400" s="21" t="str">
        <f>"PEN:Blue,Zebra Z-Mulsion EX,Medium Point, Hybrid Gel, Medium Point, Rubber Grip"</f>
        <v>PEN:Blue,Zebra Z-Mulsion EX,Medium Point, Hybrid Gel, Medium Point, Rubber Grip</v>
      </c>
      <c r="G400" s="22" t="str">
        <f t="shared" si="27"/>
        <v>DZ</v>
      </c>
      <c r="H400" s="23">
        <v>21</v>
      </c>
      <c r="I400" s="21" t="str">
        <f>"44121704"</f>
        <v>44121704</v>
      </c>
      <c r="J400" s="25" t="s">
        <v>186</v>
      </c>
    </row>
    <row r="401" spans="1:10" ht="26.25">
      <c r="A401" s="9" t="s">
        <v>27</v>
      </c>
      <c r="B401" s="2" t="s">
        <v>63</v>
      </c>
      <c r="C401" s="2">
        <v>3202</v>
      </c>
      <c r="D401" s="2">
        <v>193</v>
      </c>
      <c r="E401" s="2" t="str">
        <f>"1000029366"</f>
        <v>1000029366</v>
      </c>
      <c r="F401" s="2" t="str">
        <f>"PEN:Red,Zebra Z-Mulsion EX,Medium Point, Hybrid Gel, Medium Point, Rubber Grip"</f>
        <v>PEN:Red,Zebra Z-Mulsion EX,Medium Point, Hybrid Gel, Medium Point, Rubber Grip</v>
      </c>
      <c r="G401" s="3" t="str">
        <f t="shared" si="27"/>
        <v>DZ</v>
      </c>
      <c r="H401" s="7">
        <v>21</v>
      </c>
      <c r="I401" s="2" t="str">
        <f>"44121704"</f>
        <v>44121704</v>
      </c>
      <c r="J401" s="10" t="s">
        <v>186</v>
      </c>
    </row>
    <row r="402" spans="1:10" ht="26.25">
      <c r="A402" s="24" t="s">
        <v>27</v>
      </c>
      <c r="B402" s="21" t="s">
        <v>63</v>
      </c>
      <c r="C402" s="21">
        <v>3202</v>
      </c>
      <c r="D402" s="21">
        <v>194</v>
      </c>
      <c r="E402" s="21" t="str">
        <f>"1000029367"</f>
        <v>1000029367</v>
      </c>
      <c r="F402" s="21" t="str">
        <f>"PEN:Black,Zebra Z-Grip Max Gel,Medium Point, Ergonomic, Rubber Grip"</f>
        <v>PEN:Black,Zebra Z-Grip Max Gel,Medium Point, Ergonomic, Rubber Grip</v>
      </c>
      <c r="G402" s="22" t="str">
        <f t="shared" si="27"/>
        <v>DZ</v>
      </c>
      <c r="H402" s="23">
        <v>16.7</v>
      </c>
      <c r="I402" s="21" t="str">
        <f>"60121524"</f>
        <v>60121524</v>
      </c>
      <c r="J402" s="25" t="s">
        <v>186</v>
      </c>
    </row>
    <row r="403" spans="1:10" ht="26.25">
      <c r="A403" s="9" t="s">
        <v>27</v>
      </c>
      <c r="B403" s="2" t="s">
        <v>63</v>
      </c>
      <c r="C403" s="2">
        <v>3202</v>
      </c>
      <c r="D403" s="2">
        <v>195</v>
      </c>
      <c r="E403" s="2" t="str">
        <f>"1000029368"</f>
        <v>1000029368</v>
      </c>
      <c r="F403" s="2" t="str">
        <f>"PEN:Blue,Zebra Z-Grip Max Gel,Medium Point, Ergonomic, Rubber Grip"</f>
        <v>PEN:Blue,Zebra Z-Grip Max Gel,Medium Point, Ergonomic, Rubber Grip</v>
      </c>
      <c r="G403" s="3" t="str">
        <f t="shared" si="27"/>
        <v>DZ</v>
      </c>
      <c r="H403" s="7">
        <v>16.7</v>
      </c>
      <c r="I403" s="2" t="str">
        <f>"60121524"</f>
        <v>60121524</v>
      </c>
      <c r="J403" s="10" t="s">
        <v>186</v>
      </c>
    </row>
    <row r="404" spans="1:10" ht="26.25">
      <c r="A404" s="24" t="s">
        <v>27</v>
      </c>
      <c r="B404" s="21" t="s">
        <v>63</v>
      </c>
      <c r="C404" s="21">
        <v>3202</v>
      </c>
      <c r="D404" s="21">
        <v>196</v>
      </c>
      <c r="E404" s="21" t="str">
        <f>"1000029369"</f>
        <v>1000029369</v>
      </c>
      <c r="F404" s="21" t="str">
        <f>"PEN:Red,Zebra Z-Grip Max Gel,Medium Point, Ergonomic, Rubber Grip"</f>
        <v>PEN:Red,Zebra Z-Grip Max Gel,Medium Point, Ergonomic, Rubber Grip</v>
      </c>
      <c r="G404" s="22" t="str">
        <f t="shared" si="27"/>
        <v>DZ</v>
      </c>
      <c r="H404" s="23">
        <v>16.7</v>
      </c>
      <c r="I404" s="21" t="str">
        <f>"60121524"</f>
        <v>60121524</v>
      </c>
      <c r="J404" s="25" t="s">
        <v>195</v>
      </c>
    </row>
    <row r="405" spans="1:10" ht="77.25">
      <c r="A405" s="9" t="s">
        <v>27</v>
      </c>
      <c r="B405" s="2" t="s">
        <v>64</v>
      </c>
      <c r="C405" s="2">
        <v>3203</v>
      </c>
      <c r="D405" s="2">
        <v>1</v>
      </c>
      <c r="E405" s="2" t="str">
        <f>"1000004468"</f>
        <v>1000004468</v>
      </c>
      <c r="F405" s="2" t="str">
        <f>"CASSETTE:HP 62, Total Time 62~Standard premium cassette with basf recording tape general purpose, high performance with box and label, clean running, low noise tape, ideal for recording, and high speed duplication of all general requirements with leaders"</f>
        <v>CASSETTE:HP 62, Total Time 62~Standard premium cassette with basf recording tape general purpose, high performance with box and label, clean running, low noise tape, ideal for recording, and high speed duplication of all general requirements with leaders</v>
      </c>
      <c r="G405" s="3" t="str">
        <f t="shared" ref="G405:G439" si="28">"EA"</f>
        <v>EA</v>
      </c>
      <c r="H405" s="7">
        <v>0.97</v>
      </c>
      <c r="I405" s="2" t="str">
        <f>"43201809"</f>
        <v>43201809</v>
      </c>
      <c r="J405" s="10" t="s">
        <v>197</v>
      </c>
    </row>
    <row r="406" spans="1:10" ht="77.25">
      <c r="A406" s="24" t="s">
        <v>27</v>
      </c>
      <c r="B406" s="21" t="s">
        <v>64</v>
      </c>
      <c r="C406" s="21">
        <v>3203</v>
      </c>
      <c r="D406" s="21">
        <v>2</v>
      </c>
      <c r="E406" s="21" t="str">
        <f>"1000003162"</f>
        <v>1000003162</v>
      </c>
      <c r="F406" s="21" t="str">
        <f>"CASSETTE:HP 92, Total Time 92~Standard premium cassette with basf recording tape general purpose, high performance with box and label, clean running, low noise tape, ideal for recording, and high speed duplication of all general requirements with leaders"</f>
        <v>CASSETTE:HP 92, Total Time 92~Standard premium cassette with basf recording tape general purpose, high performance with box and label, clean running, low noise tape, ideal for recording, and high speed duplication of all general requirements with leaders</v>
      </c>
      <c r="G406" s="22" t="str">
        <f t="shared" si="28"/>
        <v>EA</v>
      </c>
      <c r="H406" s="23">
        <v>1.17</v>
      </c>
      <c r="I406" s="21" t="str">
        <f>"43201809"</f>
        <v>43201809</v>
      </c>
      <c r="J406" s="25" t="s">
        <v>197</v>
      </c>
    </row>
    <row r="407" spans="1:10" ht="26.25">
      <c r="A407" s="9" t="s">
        <v>27</v>
      </c>
      <c r="B407" s="2" t="s">
        <v>64</v>
      </c>
      <c r="C407" s="2">
        <v>3203</v>
      </c>
      <c r="D407" s="2">
        <v>3</v>
      </c>
      <c r="E407" s="2" t="str">
        <f>"1000003211"</f>
        <v>1000003211</v>
      </c>
      <c r="F407" s="2" t="str">
        <f>"CASSETTE:HP 122~HP122"</f>
        <v>CASSETTE:HP 122~HP122</v>
      </c>
      <c r="G407" s="3" t="str">
        <f t="shared" si="28"/>
        <v>EA</v>
      </c>
      <c r="H407" s="7">
        <v>2.02</v>
      </c>
      <c r="I407" s="2" t="str">
        <f>"43201809"</f>
        <v>43201809</v>
      </c>
      <c r="J407" s="10" t="s">
        <v>197</v>
      </c>
    </row>
    <row r="408" spans="1:10" ht="51.75">
      <c r="A408" s="24" t="s">
        <v>27</v>
      </c>
      <c r="B408" s="21" t="s">
        <v>64</v>
      </c>
      <c r="C408" s="21">
        <v>3203</v>
      </c>
      <c r="D408" s="21">
        <v>4</v>
      </c>
      <c r="E408" s="21" t="str">
        <f>"1000013558"</f>
        <v>1000013558</v>
      </c>
      <c r="F408" s="21" t="str">
        <f>"CASSETTE: Audio, HPB 62, total time 62, standard premium cassette with basf recording tape, high performance (no box, no label) bulk."</f>
        <v>CASSETTE: Audio, HPB 62, total time 62, standard premium cassette with basf recording tape, high performance (no box, no label) bulk.</v>
      </c>
      <c r="G408" s="22" t="str">
        <f t="shared" si="28"/>
        <v>EA</v>
      </c>
      <c r="H408" s="23">
        <v>0.87</v>
      </c>
      <c r="I408" s="21" t="str">
        <f>"45131604"</f>
        <v>45131604</v>
      </c>
      <c r="J408" s="25" t="s">
        <v>198</v>
      </c>
    </row>
    <row r="409" spans="1:10" ht="51.75">
      <c r="A409" s="24" t="s">
        <v>27</v>
      </c>
      <c r="B409" s="21" t="s">
        <v>64</v>
      </c>
      <c r="C409" s="21">
        <v>3203</v>
      </c>
      <c r="D409" s="21">
        <v>5</v>
      </c>
      <c r="E409" s="21" t="str">
        <f>"1000002106"</f>
        <v>1000002106</v>
      </c>
      <c r="F409" s="21" t="str">
        <f>"CASSETTE:HPB 92,Total Time 92~Standard premium cassette with basf recording tape, high performance (no box, no label) bulk. Hpb 92, total time 92"</f>
        <v>CASSETTE:HPB 92,Total Time 92~Standard premium cassette with basf recording tape, high performance (no box, no label) bulk. Hpb 92, total time 92</v>
      </c>
      <c r="G409" s="22" t="str">
        <f t="shared" si="28"/>
        <v>EA</v>
      </c>
      <c r="H409" s="23">
        <v>1.01</v>
      </c>
      <c r="I409" s="21" t="str">
        <f>"43201809"</f>
        <v>43201809</v>
      </c>
      <c r="J409" s="25" t="s">
        <v>197</v>
      </c>
    </row>
    <row r="410" spans="1:10" ht="51.75">
      <c r="A410" s="9" t="s">
        <v>27</v>
      </c>
      <c r="B410" s="2" t="s">
        <v>64</v>
      </c>
      <c r="C410" s="2">
        <v>3203</v>
      </c>
      <c r="D410" s="2">
        <v>6</v>
      </c>
      <c r="E410" s="2" t="str">
        <f>"1000013576"</f>
        <v>1000013576</v>
      </c>
      <c r="F410" s="2" t="str">
        <f>"CASSETTE: Audio, HPB 122, total time 122, standard premium cassette with basf recording tape, high performance (no box, no label) bulk."</f>
        <v>CASSETTE: Audio, HPB 122, total time 122, standard premium cassette with basf recording tape, high performance (no box, no label) bulk.</v>
      </c>
      <c r="G410" s="3" t="str">
        <f t="shared" si="28"/>
        <v>EA</v>
      </c>
      <c r="H410" s="7">
        <v>0.99</v>
      </c>
      <c r="I410" s="2" t="str">
        <f>"45131604"</f>
        <v>45131604</v>
      </c>
      <c r="J410" s="10" t="s">
        <v>198</v>
      </c>
    </row>
    <row r="411" spans="1:10" ht="77.25">
      <c r="A411" s="9" t="s">
        <v>27</v>
      </c>
      <c r="B411" s="2" t="s">
        <v>64</v>
      </c>
      <c r="C411" s="2">
        <v>3203</v>
      </c>
      <c r="D411" s="2">
        <v>7</v>
      </c>
      <c r="E411" s="2" t="str">
        <f>"1000002836"</f>
        <v>1000002836</v>
      </c>
      <c r="F411" s="2" t="str">
        <f>"CASSETTE:MS 62, Total Time 62~Standard premium cassette with basf recording tape, master series with box and label ultra low noise/high output tape features extended high end frequency response. A superior tape for music mastering and duplication."</f>
        <v>CASSETTE:MS 62, Total Time 62~Standard premium cassette with basf recording tape, master series with box and label ultra low noise/high output tape features extended high end frequency response. A superior tape for music mastering and duplication.</v>
      </c>
      <c r="G411" s="3" t="str">
        <f t="shared" si="28"/>
        <v>EA</v>
      </c>
      <c r="H411" s="7">
        <v>1.1399999999999999</v>
      </c>
      <c r="I411" s="2" t="str">
        <f>"43201809"</f>
        <v>43201809</v>
      </c>
      <c r="J411" s="10" t="s">
        <v>197</v>
      </c>
    </row>
    <row r="412" spans="1:10" ht="90">
      <c r="A412" s="24" t="s">
        <v>27</v>
      </c>
      <c r="B412" s="21" t="s">
        <v>64</v>
      </c>
      <c r="C412" s="21">
        <v>3203</v>
      </c>
      <c r="D412" s="21">
        <v>8</v>
      </c>
      <c r="E412" s="21" t="str">
        <f>"1000013577"</f>
        <v>1000013577</v>
      </c>
      <c r="F412" s="21" t="str">
        <f>"CASSETTE: Audio, MS 77, total time 77, standard premium cassette with basf recording tape, master series with box and label ultra low noise/high output tape features extended high end frequency response. A superior tape for music mastering and duplicatio"</f>
        <v>CASSETTE: Audio, MS 77, total time 77, standard premium cassette with basf recording tape, master series with box and label ultra low noise/high output tape features extended high end frequency response. A superior tape for music mastering and duplicatio</v>
      </c>
      <c r="G412" s="22" t="str">
        <f t="shared" si="28"/>
        <v>EA</v>
      </c>
      <c r="H412" s="23">
        <v>1.34</v>
      </c>
      <c r="I412" s="21" t="str">
        <f>"45131604"</f>
        <v>45131604</v>
      </c>
      <c r="J412" s="25" t="s">
        <v>198</v>
      </c>
    </row>
    <row r="413" spans="1:10" ht="77.25">
      <c r="A413" s="24" t="s">
        <v>27</v>
      </c>
      <c r="B413" s="21" t="s">
        <v>64</v>
      </c>
      <c r="C413" s="21">
        <v>3203</v>
      </c>
      <c r="D413" s="21">
        <v>9</v>
      </c>
      <c r="E413" s="21" t="str">
        <f>"1000003912"</f>
        <v>1000003912</v>
      </c>
      <c r="F413" s="21" t="str">
        <f>"CASSETTE:MS 92, Total Time 92~Standard premium cassette with basf recording tape, master series with box and label ultra low noise/high output tape features extended high end frequency response. A superior tape for music mastering and duplication."</f>
        <v>CASSETTE:MS 92, Total Time 92~Standard premium cassette with basf recording tape, master series with box and label ultra low noise/high output tape features extended high end frequency response. A superior tape for music mastering and duplication.</v>
      </c>
      <c r="G413" s="22" t="str">
        <f t="shared" si="28"/>
        <v>EA</v>
      </c>
      <c r="H413" s="23">
        <v>1.44</v>
      </c>
      <c r="I413" s="21" t="str">
        <f t="shared" ref="I413:I418" si="29">"43201809"</f>
        <v>43201809</v>
      </c>
      <c r="J413" s="25" t="s">
        <v>197</v>
      </c>
    </row>
    <row r="414" spans="1:10" ht="26.25">
      <c r="A414" s="9" t="s">
        <v>27</v>
      </c>
      <c r="B414" s="2" t="s">
        <v>64</v>
      </c>
      <c r="C414" s="2">
        <v>3203</v>
      </c>
      <c r="D414" s="2">
        <v>10</v>
      </c>
      <c r="E414" s="2" t="str">
        <f>"1000003936"</f>
        <v>1000003936</v>
      </c>
      <c r="F414" s="2" t="str">
        <f>"CASSETTE:MS 96"</f>
        <v>CASSETTE:MS 96</v>
      </c>
      <c r="G414" s="3" t="str">
        <f t="shared" si="28"/>
        <v>EA</v>
      </c>
      <c r="H414" s="7">
        <v>1.44</v>
      </c>
      <c r="I414" s="2" t="str">
        <f t="shared" si="29"/>
        <v>43201809</v>
      </c>
      <c r="J414" s="10" t="s">
        <v>197</v>
      </c>
    </row>
    <row r="415" spans="1:10" ht="77.25">
      <c r="A415" s="24" t="s">
        <v>27</v>
      </c>
      <c r="B415" s="21" t="s">
        <v>64</v>
      </c>
      <c r="C415" s="21">
        <v>3203</v>
      </c>
      <c r="D415" s="21">
        <v>11</v>
      </c>
      <c r="E415" s="21" t="str">
        <f>"1000003666"</f>
        <v>1000003666</v>
      </c>
      <c r="F415" s="21" t="str">
        <f>"CASSETTE:MS 120, Total Time 120~Standard premium cassette with basf recording tape, master series with box and label ultra low noise/high output tape features extended high end frequency response. A superior tape for music mastering and duplication."</f>
        <v>CASSETTE:MS 120, Total Time 120~Standard premium cassette with basf recording tape, master series with box and label ultra low noise/high output tape features extended high end frequency response. A superior tape for music mastering and duplication.</v>
      </c>
      <c r="G415" s="22" t="str">
        <f t="shared" si="28"/>
        <v>EA</v>
      </c>
      <c r="H415" s="23">
        <v>2.23</v>
      </c>
      <c r="I415" s="21" t="str">
        <f t="shared" si="29"/>
        <v>43201809</v>
      </c>
      <c r="J415" s="25" t="s">
        <v>197</v>
      </c>
    </row>
    <row r="416" spans="1:10" ht="39">
      <c r="A416" s="9" t="s">
        <v>27</v>
      </c>
      <c r="B416" s="2" t="s">
        <v>64</v>
      </c>
      <c r="C416" s="2">
        <v>3203</v>
      </c>
      <c r="D416" s="2">
        <v>12</v>
      </c>
      <c r="E416" s="2" t="str">
        <f>"1000004519"</f>
        <v>1000004519</v>
      </c>
      <c r="F416" s="2" t="str">
        <f>"CASSETTE:MSB 62,Total Time 62~Standard cassette tape master series (no box, no label) bulk Msb 62, total time 62"</f>
        <v>CASSETTE:MSB 62,Total Time 62~Standard cassette tape master series (no box, no label) bulk Msb 62, total time 62</v>
      </c>
      <c r="G416" s="3" t="str">
        <f t="shared" si="28"/>
        <v>EA</v>
      </c>
      <c r="H416" s="7">
        <v>0.98</v>
      </c>
      <c r="I416" s="2" t="str">
        <f t="shared" si="29"/>
        <v>43201809</v>
      </c>
      <c r="J416" s="10" t="s">
        <v>197</v>
      </c>
    </row>
    <row r="417" spans="1:10" ht="39">
      <c r="A417" s="24" t="s">
        <v>27</v>
      </c>
      <c r="B417" s="21" t="s">
        <v>64</v>
      </c>
      <c r="C417" s="21">
        <v>3203</v>
      </c>
      <c r="D417" s="21">
        <v>13</v>
      </c>
      <c r="E417" s="21" t="str">
        <f>"1000002474"</f>
        <v>1000002474</v>
      </c>
      <c r="F417" s="21" t="str">
        <f>"CASSETTE:MSB 92,Total Time 92~Standard cassette tape master series (no box, no label) bulk Msb 92, total time 92"</f>
        <v>CASSETTE:MSB 92,Total Time 92~Standard cassette tape master series (no box, no label) bulk Msb 92, total time 92</v>
      </c>
      <c r="G417" s="22" t="str">
        <f t="shared" si="28"/>
        <v>EA</v>
      </c>
      <c r="H417" s="23">
        <v>1.18</v>
      </c>
      <c r="I417" s="21" t="str">
        <f t="shared" si="29"/>
        <v>43201809</v>
      </c>
      <c r="J417" s="25" t="s">
        <v>197</v>
      </c>
    </row>
    <row r="418" spans="1:10" ht="39">
      <c r="A418" s="9" t="s">
        <v>27</v>
      </c>
      <c r="B418" s="2" t="s">
        <v>64</v>
      </c>
      <c r="C418" s="2">
        <v>3203</v>
      </c>
      <c r="D418" s="2">
        <v>14</v>
      </c>
      <c r="E418" s="2" t="str">
        <f>"1000002931"</f>
        <v>1000002931</v>
      </c>
      <c r="F418" s="2" t="str">
        <f>"CASSETTE:MSB 122, Total Time 122~Standard cassette tape master series (no box, no label) bulk"</f>
        <v>CASSETTE:MSB 122, Total Time 122~Standard cassette tape master series (no box, no label) bulk</v>
      </c>
      <c r="G418" s="3" t="str">
        <f t="shared" si="28"/>
        <v>EA</v>
      </c>
      <c r="H418" s="7">
        <v>1.97</v>
      </c>
      <c r="I418" s="2" t="str">
        <f t="shared" si="29"/>
        <v>43201809</v>
      </c>
      <c r="J418" s="10" t="s">
        <v>197</v>
      </c>
    </row>
    <row r="419" spans="1:10" ht="26.25">
      <c r="A419" s="9" t="s">
        <v>27</v>
      </c>
      <c r="B419" s="2" t="s">
        <v>64</v>
      </c>
      <c r="C419" s="2">
        <v>3203</v>
      </c>
      <c r="D419" s="2">
        <v>15</v>
      </c>
      <c r="E419" s="2" t="str">
        <f>"1000013578"</f>
        <v>1000013578</v>
      </c>
      <c r="F419" s="2" t="str">
        <f>"RECORDING TAPE: T 10 1/2"", Bulk 1/2 VHS-C Color (Super Hi Grade) ""with label and box"""</f>
        <v>RECORDING TAPE: T 10 1/2", Bulk 1/2 VHS-C Color (Super Hi Grade) "with label and box"</v>
      </c>
      <c r="G419" s="3" t="str">
        <f t="shared" si="28"/>
        <v>EA</v>
      </c>
      <c r="H419" s="7">
        <v>1.56</v>
      </c>
      <c r="I419" s="2" t="str">
        <f t="shared" ref="I419:I431" si="30">"45131604"</f>
        <v>45131604</v>
      </c>
      <c r="J419" s="10" t="s">
        <v>198</v>
      </c>
    </row>
    <row r="420" spans="1:10" ht="26.25">
      <c r="A420" s="24" t="s">
        <v>27</v>
      </c>
      <c r="B420" s="21" t="s">
        <v>64</v>
      </c>
      <c r="C420" s="21">
        <v>3203</v>
      </c>
      <c r="D420" s="21">
        <v>16</v>
      </c>
      <c r="E420" s="21" t="str">
        <f>"1000003214"</f>
        <v>1000003214</v>
      </c>
      <c r="F420" s="21" t="str">
        <f>"RECORDING TAPE: MBS 96 1/2"" VHS-C Color (Super Hi Grade) ""with label and box"""</f>
        <v>RECORDING TAPE: MBS 96 1/2" VHS-C Color (Super Hi Grade) "with label and box"</v>
      </c>
      <c r="G420" s="22" t="str">
        <f t="shared" si="28"/>
        <v>EA</v>
      </c>
      <c r="H420" s="23">
        <v>1.6</v>
      </c>
      <c r="I420" s="21" t="str">
        <f t="shared" si="30"/>
        <v>45131604</v>
      </c>
      <c r="J420" s="25" t="s">
        <v>198</v>
      </c>
    </row>
    <row r="421" spans="1:10" ht="26.25">
      <c r="A421" s="9" t="s">
        <v>27</v>
      </c>
      <c r="B421" s="2" t="s">
        <v>64</v>
      </c>
      <c r="C421" s="2">
        <v>3203</v>
      </c>
      <c r="D421" s="2">
        <v>17</v>
      </c>
      <c r="E421" s="2" t="str">
        <f>"1000013586"</f>
        <v>1000013586</v>
      </c>
      <c r="F421" s="2" t="str">
        <f>"RECORDING TAPE: T 30 1/2"", Bulk 1/2 VHS-C Color (Super Hi Grade) ""with label and box"""</f>
        <v>RECORDING TAPE: T 30 1/2", Bulk 1/2 VHS-C Color (Super Hi Grade) "with label and box"</v>
      </c>
      <c r="G421" s="3" t="str">
        <f t="shared" si="28"/>
        <v>EA</v>
      </c>
      <c r="H421" s="7">
        <v>1.7</v>
      </c>
      <c r="I421" s="2" t="str">
        <f t="shared" si="30"/>
        <v>45131604</v>
      </c>
      <c r="J421" s="10" t="s">
        <v>198</v>
      </c>
    </row>
    <row r="422" spans="1:10" ht="26.25">
      <c r="A422" s="24" t="s">
        <v>27</v>
      </c>
      <c r="B422" s="21" t="s">
        <v>64</v>
      </c>
      <c r="C422" s="21">
        <v>3203</v>
      </c>
      <c r="D422" s="21">
        <v>18</v>
      </c>
      <c r="E422" s="21" t="str">
        <f>"1000003886"</f>
        <v>1000003886</v>
      </c>
      <c r="F422" s="21" t="str">
        <f>"RECORDING TAPE: T 45 1/2"" VHS-C Color (Super Hi Grade) ""with label and box"""</f>
        <v>RECORDING TAPE: T 45 1/2" VHS-C Color (Super Hi Grade) "with label and box"</v>
      </c>
      <c r="G422" s="22" t="str">
        <f t="shared" si="28"/>
        <v>EA</v>
      </c>
      <c r="H422" s="23">
        <v>1.8</v>
      </c>
      <c r="I422" s="21" t="str">
        <f t="shared" si="30"/>
        <v>45131604</v>
      </c>
      <c r="J422" s="25" t="s">
        <v>198</v>
      </c>
    </row>
    <row r="423" spans="1:10" ht="26.25">
      <c r="A423" s="9" t="s">
        <v>27</v>
      </c>
      <c r="B423" s="2" t="s">
        <v>64</v>
      </c>
      <c r="C423" s="2">
        <v>3203</v>
      </c>
      <c r="D423" s="2">
        <v>19</v>
      </c>
      <c r="E423" s="2" t="str">
        <f>"1000004442"</f>
        <v>1000004442</v>
      </c>
      <c r="F423" s="2" t="str">
        <f>"RECORDING TAPE: T 60 1/2"", Bulk, VHS-C Color (Super Hi Grade) ""with label and box"""</f>
        <v>RECORDING TAPE: T 60 1/2", Bulk, VHS-C Color (Super Hi Grade) "with label and box"</v>
      </c>
      <c r="G423" s="3" t="str">
        <f t="shared" si="28"/>
        <v>EA</v>
      </c>
      <c r="H423" s="7">
        <v>1.9</v>
      </c>
      <c r="I423" s="2" t="str">
        <f t="shared" si="30"/>
        <v>45131604</v>
      </c>
      <c r="J423" s="10" t="s">
        <v>198</v>
      </c>
    </row>
    <row r="424" spans="1:10" ht="26.25">
      <c r="A424" s="24" t="s">
        <v>27</v>
      </c>
      <c r="B424" s="21" t="s">
        <v>64</v>
      </c>
      <c r="C424" s="21">
        <v>3203</v>
      </c>
      <c r="D424" s="21">
        <v>20</v>
      </c>
      <c r="E424" s="21" t="str">
        <f>"1000013587"</f>
        <v>1000013587</v>
      </c>
      <c r="F424" s="21" t="str">
        <f>"RECORDING TAPE: T 90 1/2"", Bulk 1/2 VHS-C Color (Super Hi Grade) ""with label and box"""</f>
        <v>RECORDING TAPE: T 90 1/2", Bulk 1/2 VHS-C Color (Super Hi Grade) "with label and box"</v>
      </c>
      <c r="G424" s="22" t="str">
        <f t="shared" si="28"/>
        <v>EA</v>
      </c>
      <c r="H424" s="23">
        <v>2.1</v>
      </c>
      <c r="I424" s="21" t="str">
        <f t="shared" si="30"/>
        <v>45131604</v>
      </c>
      <c r="J424" s="25" t="s">
        <v>198</v>
      </c>
    </row>
    <row r="425" spans="1:10" ht="26.25">
      <c r="A425" s="9" t="s">
        <v>27</v>
      </c>
      <c r="B425" s="2" t="s">
        <v>64</v>
      </c>
      <c r="C425" s="2">
        <v>3203</v>
      </c>
      <c r="D425" s="2">
        <v>21</v>
      </c>
      <c r="E425" s="2" t="str">
        <f>"1000013588"</f>
        <v>1000013588</v>
      </c>
      <c r="F425" s="2" t="str">
        <f>"RECORDING TAPE:  T 120 1/2"", Bulk 1/2 VHS-C Color (Super Hi Grade) ""with label and box"""</f>
        <v>RECORDING TAPE:  T 120 1/2", Bulk 1/2 VHS-C Color (Super Hi Grade) "with label and box"</v>
      </c>
      <c r="G425" s="3" t="str">
        <f t="shared" si="28"/>
        <v>EA</v>
      </c>
      <c r="H425" s="7">
        <v>2.2200000000000002</v>
      </c>
      <c r="I425" s="2" t="str">
        <f t="shared" si="30"/>
        <v>45131604</v>
      </c>
      <c r="J425" s="10" t="s">
        <v>198</v>
      </c>
    </row>
    <row r="426" spans="1:10" ht="39">
      <c r="A426" s="24" t="s">
        <v>27</v>
      </c>
      <c r="B426" s="21" t="s">
        <v>64</v>
      </c>
      <c r="C426" s="21">
        <v>3203</v>
      </c>
      <c r="D426" s="21">
        <v>22</v>
      </c>
      <c r="E426" s="21" t="str">
        <f>"1000013562"</f>
        <v>1000013562</v>
      </c>
      <c r="F426" s="21" t="str">
        <f>"RECORDING TAPE:T15 1/2 Super Color Plus, VHS-C Color(Super Hi Grade), Bulk(no label or box)"</f>
        <v>RECORDING TAPE:T15 1/2 Super Color Plus, VHS-C Color(Super Hi Grade), Bulk(no label or box)</v>
      </c>
      <c r="G426" s="22" t="str">
        <f t="shared" si="28"/>
        <v>EA</v>
      </c>
      <c r="H426" s="23">
        <v>1.26</v>
      </c>
      <c r="I426" s="21" t="str">
        <f t="shared" si="30"/>
        <v>45131604</v>
      </c>
      <c r="J426" s="25" t="s">
        <v>198</v>
      </c>
    </row>
    <row r="427" spans="1:10" ht="39">
      <c r="A427" s="9" t="s">
        <v>27</v>
      </c>
      <c r="B427" s="2" t="s">
        <v>64</v>
      </c>
      <c r="C427" s="2">
        <v>3203</v>
      </c>
      <c r="D427" s="2">
        <v>23</v>
      </c>
      <c r="E427" s="2" t="str">
        <f>"1000013563"</f>
        <v>1000013563</v>
      </c>
      <c r="F427" s="2" t="str">
        <f>"RECORDING TAPE:T30 1/2 Super Color Plus, VHS-C Color(Super Hi Grade), Bulk(no label or box)"</f>
        <v>RECORDING TAPE:T30 1/2 Super Color Plus, VHS-C Color(Super Hi Grade), Bulk(no label or box)</v>
      </c>
      <c r="G427" s="3" t="str">
        <f t="shared" si="28"/>
        <v>EA</v>
      </c>
      <c r="H427" s="7">
        <v>1.41</v>
      </c>
      <c r="I427" s="2" t="str">
        <f t="shared" si="30"/>
        <v>45131604</v>
      </c>
      <c r="J427" s="10" t="s">
        <v>198</v>
      </c>
    </row>
    <row r="428" spans="1:10" ht="39">
      <c r="A428" s="24" t="s">
        <v>27</v>
      </c>
      <c r="B428" s="21" t="s">
        <v>64</v>
      </c>
      <c r="C428" s="21">
        <v>3203</v>
      </c>
      <c r="D428" s="21">
        <v>24</v>
      </c>
      <c r="E428" s="21" t="str">
        <f>"1000013564"</f>
        <v>1000013564</v>
      </c>
      <c r="F428" s="21" t="str">
        <f>"RECORDING TAPE:T45 1/2 Super Color Plus, VHS-C Color(Super Hi Grade), Bulk(no label or box)"</f>
        <v>RECORDING TAPE:T45 1/2 Super Color Plus, VHS-C Color(Super Hi Grade), Bulk(no label or box)</v>
      </c>
      <c r="G428" s="22" t="str">
        <f t="shared" si="28"/>
        <v>EA</v>
      </c>
      <c r="H428" s="23">
        <v>1.6</v>
      </c>
      <c r="I428" s="21" t="str">
        <f t="shared" si="30"/>
        <v>45131604</v>
      </c>
      <c r="J428" s="25" t="s">
        <v>198</v>
      </c>
    </row>
    <row r="429" spans="1:10" ht="39">
      <c r="A429" s="9" t="s">
        <v>27</v>
      </c>
      <c r="B429" s="2" t="s">
        <v>64</v>
      </c>
      <c r="C429" s="2">
        <v>3203</v>
      </c>
      <c r="D429" s="2">
        <v>25</v>
      </c>
      <c r="E429" s="2" t="str">
        <f>"1000013582"</f>
        <v>1000013582</v>
      </c>
      <c r="F429" s="2" t="str">
        <f>"RECORDING TAPE:T60 1/2 Super Color Plus, VHS-C Color(Super Hi Grade), Bulk(no label or box)"</f>
        <v>RECORDING TAPE:T60 1/2 Super Color Plus, VHS-C Color(Super Hi Grade), Bulk(no label or box)</v>
      </c>
      <c r="G429" s="3" t="str">
        <f t="shared" si="28"/>
        <v>EA</v>
      </c>
      <c r="H429" s="7">
        <v>1.7</v>
      </c>
      <c r="I429" s="2" t="str">
        <f t="shared" si="30"/>
        <v>45131604</v>
      </c>
      <c r="J429" s="10" t="s">
        <v>198</v>
      </c>
    </row>
    <row r="430" spans="1:10" ht="39">
      <c r="A430" s="24" t="s">
        <v>27</v>
      </c>
      <c r="B430" s="21" t="s">
        <v>64</v>
      </c>
      <c r="C430" s="21">
        <v>3203</v>
      </c>
      <c r="D430" s="21">
        <v>26</v>
      </c>
      <c r="E430" s="21" t="str">
        <f>"1000013583"</f>
        <v>1000013583</v>
      </c>
      <c r="F430" s="21" t="str">
        <f>"RECORDING TAPE:T120 1/2 Super Color Plus, VHS-C Color(Super Hi Grade), Bulk(no label or box)"</f>
        <v>RECORDING TAPE:T120 1/2 Super Color Plus, VHS-C Color(Super Hi Grade), Bulk(no label or box)</v>
      </c>
      <c r="G430" s="22" t="str">
        <f t="shared" si="28"/>
        <v>EA</v>
      </c>
      <c r="H430" s="23">
        <v>2.2000000000000002</v>
      </c>
      <c r="I430" s="21" t="str">
        <f t="shared" si="30"/>
        <v>45131604</v>
      </c>
      <c r="J430" s="25" t="s">
        <v>198</v>
      </c>
    </row>
    <row r="431" spans="1:10" ht="26.25">
      <c r="A431" s="9" t="s">
        <v>27</v>
      </c>
      <c r="B431" s="2" t="s">
        <v>64</v>
      </c>
      <c r="C431" s="2">
        <v>3203</v>
      </c>
      <c r="D431" s="2">
        <v>27</v>
      </c>
      <c r="E431" s="2" t="str">
        <f>"1000013584"</f>
        <v>1000013584</v>
      </c>
      <c r="F431" s="2" t="str">
        <f>"CASSETTE: Audio, Leaderless Tapes"</f>
        <v>CASSETTE: Audio, Leaderless Tapes</v>
      </c>
      <c r="G431" s="3" t="str">
        <f t="shared" si="28"/>
        <v>EA</v>
      </c>
      <c r="H431" s="7">
        <v>0.11</v>
      </c>
      <c r="I431" s="2" t="str">
        <f t="shared" si="30"/>
        <v>45131604</v>
      </c>
      <c r="J431" s="10" t="s">
        <v>198</v>
      </c>
    </row>
    <row r="432" spans="1:10" ht="26.25">
      <c r="A432" s="9" t="s">
        <v>27</v>
      </c>
      <c r="B432" s="2" t="s">
        <v>64</v>
      </c>
      <c r="C432" s="2">
        <v>3203</v>
      </c>
      <c r="D432" s="2">
        <v>28</v>
      </c>
      <c r="E432" s="2" t="str">
        <f>"1000013585"</f>
        <v>1000013585</v>
      </c>
      <c r="F432" s="2" t="str">
        <f>"JEWEL CASE: Black base, slimline (CD not included)"</f>
        <v>JEWEL CASE: Black base, slimline (CD not included)</v>
      </c>
      <c r="G432" s="3" t="str">
        <f t="shared" si="28"/>
        <v>EA</v>
      </c>
      <c r="H432" s="7">
        <v>0.24</v>
      </c>
      <c r="I432" s="2" t="str">
        <f t="shared" ref="I432:I439" si="31">"43202101"</f>
        <v>43202101</v>
      </c>
      <c r="J432" s="10" t="s">
        <v>199</v>
      </c>
    </row>
    <row r="433" spans="1:10" ht="26.25">
      <c r="A433" s="24" t="s">
        <v>27</v>
      </c>
      <c r="B433" s="21" t="s">
        <v>64</v>
      </c>
      <c r="C433" s="21">
        <v>3203</v>
      </c>
      <c r="D433" s="21">
        <v>29</v>
      </c>
      <c r="E433" s="21" t="str">
        <f>"1000013589"</f>
        <v>1000013589</v>
      </c>
      <c r="F433" s="21" t="str">
        <f>"JEWEL CASE: Color base, slimline (CD not included)"</f>
        <v>JEWEL CASE: Color base, slimline (CD not included)</v>
      </c>
      <c r="G433" s="22" t="str">
        <f t="shared" si="28"/>
        <v>EA</v>
      </c>
      <c r="H433" s="23">
        <v>0.28000000000000003</v>
      </c>
      <c r="I433" s="21" t="str">
        <f t="shared" si="31"/>
        <v>43202101</v>
      </c>
      <c r="J433" s="25" t="s">
        <v>199</v>
      </c>
    </row>
    <row r="434" spans="1:10" ht="26.25">
      <c r="A434" s="9" t="s">
        <v>27</v>
      </c>
      <c r="B434" s="2" t="s">
        <v>64</v>
      </c>
      <c r="C434" s="2">
        <v>3203</v>
      </c>
      <c r="D434" s="2">
        <v>30</v>
      </c>
      <c r="E434" s="2" t="str">
        <f>"1000013590"</f>
        <v>1000013590</v>
      </c>
      <c r="F434" s="2" t="str">
        <f>"JEWEL CASE: Non slimline, black (CD not included)"</f>
        <v>JEWEL CASE: Non slimline, black (CD not included)</v>
      </c>
      <c r="G434" s="3" t="str">
        <f t="shared" si="28"/>
        <v>EA</v>
      </c>
      <c r="H434" s="7">
        <v>0.24</v>
      </c>
      <c r="I434" s="2" t="str">
        <f t="shared" si="31"/>
        <v>43202101</v>
      </c>
      <c r="J434" s="10" t="s">
        <v>199</v>
      </c>
    </row>
    <row r="435" spans="1:10" ht="26.25">
      <c r="A435" s="24" t="s">
        <v>27</v>
      </c>
      <c r="B435" s="21" t="s">
        <v>64</v>
      </c>
      <c r="C435" s="21">
        <v>3203</v>
      </c>
      <c r="D435" s="21">
        <v>31</v>
      </c>
      <c r="E435" s="21" t="str">
        <f>"1000013591"</f>
        <v>1000013591</v>
      </c>
      <c r="F435" s="21" t="str">
        <f>"JEWEL CASE: Clear, clam shell (CD not included)"</f>
        <v>JEWEL CASE: Clear, clam shell (CD not included)</v>
      </c>
      <c r="G435" s="22" t="str">
        <f t="shared" si="28"/>
        <v>EA</v>
      </c>
      <c r="H435" s="23">
        <v>0.36</v>
      </c>
      <c r="I435" s="21" t="str">
        <f t="shared" si="31"/>
        <v>43202101</v>
      </c>
      <c r="J435" s="25" t="s">
        <v>199</v>
      </c>
    </row>
    <row r="436" spans="1:10" ht="26.25">
      <c r="A436" s="9" t="s">
        <v>27</v>
      </c>
      <c r="B436" s="2" t="s">
        <v>64</v>
      </c>
      <c r="C436" s="2">
        <v>3203</v>
      </c>
      <c r="D436" s="2">
        <v>32</v>
      </c>
      <c r="E436" s="2" t="str">
        <f>"1000013592"</f>
        <v>1000013592</v>
      </c>
      <c r="F436" s="2" t="str">
        <f>"JEWEL CASE: Color, clam shell (CD not included)"</f>
        <v>JEWEL CASE: Color, clam shell (CD not included)</v>
      </c>
      <c r="G436" s="3" t="str">
        <f t="shared" si="28"/>
        <v>EA</v>
      </c>
      <c r="H436" s="7">
        <v>0.41</v>
      </c>
      <c r="I436" s="2" t="str">
        <f t="shared" si="31"/>
        <v>43202101</v>
      </c>
      <c r="J436" s="10" t="s">
        <v>199</v>
      </c>
    </row>
    <row r="437" spans="1:10" ht="26.25">
      <c r="A437" s="24" t="s">
        <v>27</v>
      </c>
      <c r="B437" s="21" t="s">
        <v>64</v>
      </c>
      <c r="C437" s="21">
        <v>3203</v>
      </c>
      <c r="D437" s="21">
        <v>33</v>
      </c>
      <c r="E437" s="21" t="str">
        <f>"1000013596"</f>
        <v>1000013596</v>
      </c>
      <c r="F437" s="21" t="str">
        <f>"SLEEVE: White, paper window sleeve, fold over (CD not included)"</f>
        <v>SLEEVE: White, paper window sleeve, fold over (CD not included)</v>
      </c>
      <c r="G437" s="22" t="str">
        <f t="shared" si="28"/>
        <v>EA</v>
      </c>
      <c r="H437" s="23">
        <v>0.1</v>
      </c>
      <c r="I437" s="21" t="str">
        <f t="shared" si="31"/>
        <v>43202101</v>
      </c>
      <c r="J437" s="25" t="s">
        <v>199</v>
      </c>
    </row>
    <row r="438" spans="1:10" ht="26.25">
      <c r="A438" s="9" t="s">
        <v>27</v>
      </c>
      <c r="B438" s="2" t="s">
        <v>64</v>
      </c>
      <c r="C438" s="2">
        <v>3203</v>
      </c>
      <c r="D438" s="2">
        <v>34</v>
      </c>
      <c r="E438" s="2" t="str">
        <f>"1000013573"</f>
        <v>1000013573</v>
      </c>
      <c r="F438" s="2" t="str">
        <f>"SLEEVE: Color, paper window sleeve, fold over (CD not included)"</f>
        <v>SLEEVE: Color, paper window sleeve, fold over (CD not included)</v>
      </c>
      <c r="G438" s="3" t="str">
        <f t="shared" si="28"/>
        <v>EA</v>
      </c>
      <c r="H438" s="7">
        <v>0.12</v>
      </c>
      <c r="I438" s="2" t="str">
        <f t="shared" si="31"/>
        <v>43202101</v>
      </c>
      <c r="J438" s="10" t="s">
        <v>199</v>
      </c>
    </row>
    <row r="439" spans="1:10" ht="26.25">
      <c r="A439" s="24" t="s">
        <v>27</v>
      </c>
      <c r="B439" s="21" t="s">
        <v>64</v>
      </c>
      <c r="C439" s="21">
        <v>3203</v>
      </c>
      <c r="D439" s="21">
        <v>35</v>
      </c>
      <c r="E439" s="21" t="str">
        <f>"1000013574"</f>
        <v>1000013574</v>
      </c>
      <c r="F439" s="21" t="str">
        <f>"SLEEVE: Peel &amp; Seel, window sleeve, fold over (CD not included)"</f>
        <v>SLEEVE: Peel &amp; Seel, window sleeve, fold over (CD not included)</v>
      </c>
      <c r="G439" s="22" t="str">
        <f t="shared" si="28"/>
        <v>EA</v>
      </c>
      <c r="H439" s="23">
        <v>0.22</v>
      </c>
      <c r="I439" s="21" t="str">
        <f t="shared" si="31"/>
        <v>43202101</v>
      </c>
      <c r="J439" s="25" t="s">
        <v>199</v>
      </c>
    </row>
    <row r="440" spans="1:10" ht="26.25">
      <c r="A440" s="24" t="s">
        <v>27</v>
      </c>
      <c r="B440" s="21" t="s">
        <v>64</v>
      </c>
      <c r="C440" s="21">
        <v>3203</v>
      </c>
      <c r="D440" s="21">
        <v>36</v>
      </c>
      <c r="E440" s="21" t="str">
        <f>"1000013575"</f>
        <v>1000013575</v>
      </c>
      <c r="F440" s="21" t="str">
        <f>"DISC: 10 per package, ""CDR"" (Writable Compact Disc)"</f>
        <v>DISC: 10 per package, "CDR" (Writable Compact Disc)</v>
      </c>
      <c r="G440" s="22" t="str">
        <f t="shared" ref="G440:G448" si="32">"PK"</f>
        <v>PK</v>
      </c>
      <c r="H440" s="23">
        <v>4</v>
      </c>
      <c r="I440" s="21" t="str">
        <f t="shared" ref="I440:I445" si="33">"43201809"</f>
        <v>43201809</v>
      </c>
      <c r="J440" s="25" t="s">
        <v>197</v>
      </c>
    </row>
    <row r="441" spans="1:10" ht="26.25">
      <c r="A441" s="9" t="s">
        <v>27</v>
      </c>
      <c r="B441" s="2" t="s">
        <v>64</v>
      </c>
      <c r="C441" s="2">
        <v>3203</v>
      </c>
      <c r="D441" s="2">
        <v>37</v>
      </c>
      <c r="E441" s="2" t="str">
        <f>"1000013555"</f>
        <v>1000013555</v>
      </c>
      <c r="F441" s="2" t="str">
        <f>"DISC: 25 per package, ""CDR"" (Writable Compact Disc)"</f>
        <v>DISC: 25 per package, "CDR" (Writable Compact Disc)</v>
      </c>
      <c r="G441" s="3" t="str">
        <f t="shared" si="32"/>
        <v>PK</v>
      </c>
      <c r="H441" s="7">
        <v>10</v>
      </c>
      <c r="I441" s="2" t="str">
        <f t="shared" si="33"/>
        <v>43201809</v>
      </c>
      <c r="J441" s="10" t="s">
        <v>197</v>
      </c>
    </row>
    <row r="442" spans="1:10" ht="26.25">
      <c r="A442" s="24" t="s">
        <v>27</v>
      </c>
      <c r="B442" s="21" t="s">
        <v>64</v>
      </c>
      <c r="C442" s="21">
        <v>3203</v>
      </c>
      <c r="D442" s="21">
        <v>38</v>
      </c>
      <c r="E442" s="21" t="str">
        <f>"1000013556"</f>
        <v>1000013556</v>
      </c>
      <c r="F442" s="21" t="str">
        <f>"DISC: 50 per package, ""CDR"" (Writable Compact Disc)"</f>
        <v>DISC: 50 per package, "CDR" (Writable Compact Disc)</v>
      </c>
      <c r="G442" s="22" t="str">
        <f t="shared" si="32"/>
        <v>PK</v>
      </c>
      <c r="H442" s="23">
        <v>17</v>
      </c>
      <c r="I442" s="21" t="str">
        <f t="shared" si="33"/>
        <v>43201809</v>
      </c>
      <c r="J442" s="25" t="s">
        <v>197</v>
      </c>
    </row>
    <row r="443" spans="1:10" ht="26.25">
      <c r="A443" s="9" t="s">
        <v>27</v>
      </c>
      <c r="B443" s="2" t="s">
        <v>64</v>
      </c>
      <c r="C443" s="2">
        <v>3203</v>
      </c>
      <c r="D443" s="2">
        <v>39</v>
      </c>
      <c r="E443" s="2" t="str">
        <f>"1000013557"</f>
        <v>1000013557</v>
      </c>
      <c r="F443" s="2" t="str">
        <f>"DISC: 10 per package, ""CDRW"" (ReWritable Compact Disc)"</f>
        <v>DISC: 10 per package, "CDRW" (ReWritable Compact Disc)</v>
      </c>
      <c r="G443" s="3" t="str">
        <f t="shared" si="32"/>
        <v>PK</v>
      </c>
      <c r="H443" s="7">
        <v>7.84</v>
      </c>
      <c r="I443" s="2" t="str">
        <f t="shared" si="33"/>
        <v>43201809</v>
      </c>
      <c r="J443" s="10" t="s">
        <v>197</v>
      </c>
    </row>
    <row r="444" spans="1:10" ht="26.25">
      <c r="A444" s="24" t="s">
        <v>27</v>
      </c>
      <c r="B444" s="21" t="s">
        <v>64</v>
      </c>
      <c r="C444" s="21">
        <v>3203</v>
      </c>
      <c r="D444" s="21">
        <v>40</v>
      </c>
      <c r="E444" s="21" t="str">
        <f>"1000013568"</f>
        <v>1000013568</v>
      </c>
      <c r="F444" s="21" t="str">
        <f>"DISC: 25 per package, ""CDRW"" (ReWritable Compact Disc)"</f>
        <v>DISC: 25 per package, "CDRW" (ReWritable Compact Disc)</v>
      </c>
      <c r="G444" s="22" t="str">
        <f t="shared" si="32"/>
        <v>PK</v>
      </c>
      <c r="H444" s="23">
        <v>17.61</v>
      </c>
      <c r="I444" s="21" t="str">
        <f t="shared" si="33"/>
        <v>43201809</v>
      </c>
      <c r="J444" s="25" t="s">
        <v>197</v>
      </c>
    </row>
    <row r="445" spans="1:10" ht="26.25">
      <c r="A445" s="9" t="s">
        <v>27</v>
      </c>
      <c r="B445" s="2" t="s">
        <v>64</v>
      </c>
      <c r="C445" s="2">
        <v>3203</v>
      </c>
      <c r="D445" s="2">
        <v>41</v>
      </c>
      <c r="E445" s="2" t="str">
        <f>"1000013569"</f>
        <v>1000013569</v>
      </c>
      <c r="F445" s="2" t="str">
        <f>"DISC: 50 per package, ""CDRW"" (ReWritable Compact Disc)"</f>
        <v>DISC: 50 per package, "CDRW" (ReWritable Compact Disc)</v>
      </c>
      <c r="G445" s="3" t="str">
        <f t="shared" si="32"/>
        <v>PK</v>
      </c>
      <c r="H445" s="7">
        <v>33.630000000000003</v>
      </c>
      <c r="I445" s="2" t="str">
        <f t="shared" si="33"/>
        <v>43201809</v>
      </c>
      <c r="J445" s="10" t="s">
        <v>197</v>
      </c>
    </row>
    <row r="446" spans="1:10" ht="39">
      <c r="A446" s="9" t="s">
        <v>27</v>
      </c>
      <c r="B446" s="2" t="s">
        <v>64</v>
      </c>
      <c r="C446" s="2">
        <v>3203</v>
      </c>
      <c r="D446" s="2">
        <v>42</v>
      </c>
      <c r="E446" s="2" t="str">
        <f>"1000002348"</f>
        <v>1000002348</v>
      </c>
      <c r="F446" s="2" t="str">
        <f>"DISC:DVD-R Write Digit Video 10/pkg~DVD (Digital Video Disc) DVD-R Writeable Digital Video Disc (10 per package)"</f>
        <v>DISC:DVD-R Write Digit Video 10/pkg~DVD (Digital Video Disc) DVD-R Writeable Digital Video Disc (10 per package)</v>
      </c>
      <c r="G446" s="3" t="str">
        <f t="shared" si="32"/>
        <v>PK</v>
      </c>
      <c r="H446" s="7">
        <v>4.62</v>
      </c>
      <c r="I446" s="2" t="str">
        <f>"43202003"</f>
        <v>43202003</v>
      </c>
      <c r="J446" s="10" t="s">
        <v>200</v>
      </c>
    </row>
    <row r="447" spans="1:10" ht="51.75">
      <c r="A447" s="24" t="s">
        <v>27</v>
      </c>
      <c r="B447" s="21" t="s">
        <v>64</v>
      </c>
      <c r="C447" s="21">
        <v>3203</v>
      </c>
      <c r="D447" s="21">
        <v>43</v>
      </c>
      <c r="E447" s="21" t="str">
        <f>"1000005056"</f>
        <v>1000005056</v>
      </c>
      <c r="F447" s="21" t="str">
        <f>"DISC:DVD-R Write Digit Video 25/pkg~DVD (Digital Video Disc) DVD Writeable Digital Video Disc (25 per package)~DVD-R Writeable Digital Video Disc (25 per package)"</f>
        <v>DISC:DVD-R Write Digit Video 25/pkg~DVD (Digital Video Disc) DVD Writeable Digital Video Disc (25 per package)~DVD-R Writeable Digital Video Disc (25 per package)</v>
      </c>
      <c r="G447" s="22" t="str">
        <f t="shared" si="32"/>
        <v>PK</v>
      </c>
      <c r="H447" s="23">
        <v>11.55</v>
      </c>
      <c r="I447" s="21" t="str">
        <f>"43202003"</f>
        <v>43202003</v>
      </c>
      <c r="J447" s="25" t="s">
        <v>200</v>
      </c>
    </row>
    <row r="448" spans="1:10" ht="51.75">
      <c r="A448" s="9" t="s">
        <v>27</v>
      </c>
      <c r="B448" s="2" t="s">
        <v>64</v>
      </c>
      <c r="C448" s="2">
        <v>3203</v>
      </c>
      <c r="D448" s="2">
        <v>44</v>
      </c>
      <c r="E448" s="2" t="str">
        <f>"1000005081"</f>
        <v>1000005081</v>
      </c>
      <c r="F448" s="2" t="str">
        <f>"DISC:DVD-R Write Digit Video 50/pkg~DVD (Digital Video Disc) DVD Writeable Digital Video Disc (50 per package)~DVD-R Writeable Digital Video Disc (50 per package)"</f>
        <v>DISC:DVD-R Write Digit Video 50/pkg~DVD (Digital Video Disc) DVD Writeable Digital Video Disc (50 per package)~DVD-R Writeable Digital Video Disc (50 per package)</v>
      </c>
      <c r="G448" s="3" t="str">
        <f t="shared" si="32"/>
        <v>PK</v>
      </c>
      <c r="H448" s="7">
        <v>22.78</v>
      </c>
      <c r="I448" s="2" t="str">
        <f>"43202003"</f>
        <v>43202003</v>
      </c>
      <c r="J448" s="10" t="s">
        <v>200</v>
      </c>
    </row>
    <row r="449" spans="1:10" ht="39">
      <c r="A449" s="24" t="s">
        <v>27</v>
      </c>
      <c r="B449" s="21" t="s">
        <v>64</v>
      </c>
      <c r="C449" s="21">
        <v>3203</v>
      </c>
      <c r="D449" s="21">
        <v>45</v>
      </c>
      <c r="E449" s="21" t="str">
        <f>"1000013570"</f>
        <v>1000013570</v>
      </c>
      <c r="F449" s="21" t="str">
        <f>"SERVICE: Duplication, CDR, bulk, no imprinting, CDR included"</f>
        <v>SERVICE: Duplication, CDR, bulk, no imprinting, CDR included</v>
      </c>
      <c r="G449" s="22" t="str">
        <f t="shared" ref="G449:G464" si="34">"EA"</f>
        <v>EA</v>
      </c>
      <c r="H449" s="23">
        <v>0.4</v>
      </c>
      <c r="I449" s="21" t="str">
        <f t="shared" ref="I449:I457" si="35">"73151907"</f>
        <v>73151907</v>
      </c>
      <c r="J449" s="25" t="s">
        <v>201</v>
      </c>
    </row>
    <row r="450" spans="1:10" ht="39">
      <c r="A450" s="9" t="s">
        <v>27</v>
      </c>
      <c r="B450" s="2" t="s">
        <v>64</v>
      </c>
      <c r="C450" s="2">
        <v>3203</v>
      </c>
      <c r="D450" s="2">
        <v>46</v>
      </c>
      <c r="E450" s="2" t="str">
        <f>"1000013571"</f>
        <v>1000013571</v>
      </c>
      <c r="F450" s="2" t="str">
        <f>"SERVICE: Duplication, CDR, bulk, one color, CDR included"</f>
        <v>SERVICE: Duplication, CDR, bulk, one color, CDR included</v>
      </c>
      <c r="G450" s="3" t="str">
        <f t="shared" si="34"/>
        <v>EA</v>
      </c>
      <c r="H450" s="7">
        <v>1</v>
      </c>
      <c r="I450" s="2" t="str">
        <f t="shared" si="35"/>
        <v>73151907</v>
      </c>
      <c r="J450" s="10" t="s">
        <v>201</v>
      </c>
    </row>
    <row r="451" spans="1:10" ht="39">
      <c r="A451" s="24" t="s">
        <v>27</v>
      </c>
      <c r="B451" s="21" t="s">
        <v>64</v>
      </c>
      <c r="C451" s="21">
        <v>3203</v>
      </c>
      <c r="D451" s="21">
        <v>47</v>
      </c>
      <c r="E451" s="21" t="str">
        <f>"1000013572"</f>
        <v>1000013572</v>
      </c>
      <c r="F451" s="21" t="str">
        <f>"SERVICE: Duplication, CDR, bulk, full color, CDR included"</f>
        <v>SERVICE: Duplication, CDR, bulk, full color, CDR included</v>
      </c>
      <c r="G451" s="22" t="str">
        <f t="shared" si="34"/>
        <v>EA</v>
      </c>
      <c r="H451" s="23">
        <v>1.5</v>
      </c>
      <c r="I451" s="21" t="str">
        <f t="shared" si="35"/>
        <v>73151907</v>
      </c>
      <c r="J451" s="25" t="s">
        <v>201</v>
      </c>
    </row>
    <row r="452" spans="1:10" ht="39">
      <c r="A452" s="9" t="s">
        <v>27</v>
      </c>
      <c r="B452" s="2" t="s">
        <v>64</v>
      </c>
      <c r="C452" s="2">
        <v>3203</v>
      </c>
      <c r="D452" s="2">
        <v>48</v>
      </c>
      <c r="E452" s="2" t="str">
        <f>"1000013597"</f>
        <v>1000013597</v>
      </c>
      <c r="F452" s="2" t="str">
        <f>"SERVICE: Duplication, CDRW, bulk, no imprinting, CDRW included"</f>
        <v>SERVICE: Duplication, CDRW, bulk, no imprinting, CDRW included</v>
      </c>
      <c r="G452" s="3" t="str">
        <f t="shared" si="34"/>
        <v>EA</v>
      </c>
      <c r="H452" s="7">
        <v>1.2</v>
      </c>
      <c r="I452" s="2" t="str">
        <f t="shared" si="35"/>
        <v>73151907</v>
      </c>
      <c r="J452" s="10" t="s">
        <v>201</v>
      </c>
    </row>
    <row r="453" spans="1:10" ht="39">
      <c r="A453" s="24" t="s">
        <v>27</v>
      </c>
      <c r="B453" s="21" t="s">
        <v>64</v>
      </c>
      <c r="C453" s="21">
        <v>3203</v>
      </c>
      <c r="D453" s="21">
        <v>49</v>
      </c>
      <c r="E453" s="21" t="str">
        <f>"1000013598"</f>
        <v>1000013598</v>
      </c>
      <c r="F453" s="21" t="str">
        <f>"SERVICE: Duplication, CDRW, bulk, one color, CDRW included"</f>
        <v>SERVICE: Duplication, CDRW, bulk, one color, CDRW included</v>
      </c>
      <c r="G453" s="22" t="str">
        <f t="shared" si="34"/>
        <v>EA</v>
      </c>
      <c r="H453" s="23">
        <v>1.7</v>
      </c>
      <c r="I453" s="21" t="str">
        <f t="shared" si="35"/>
        <v>73151907</v>
      </c>
      <c r="J453" s="25" t="s">
        <v>201</v>
      </c>
    </row>
    <row r="454" spans="1:10" ht="39">
      <c r="A454" s="9" t="s">
        <v>27</v>
      </c>
      <c r="B454" s="2" t="s">
        <v>64</v>
      </c>
      <c r="C454" s="2">
        <v>3203</v>
      </c>
      <c r="D454" s="2">
        <v>50</v>
      </c>
      <c r="E454" s="2" t="str">
        <f>"1000013599"</f>
        <v>1000013599</v>
      </c>
      <c r="F454" s="2" t="str">
        <f>"SERVICE: Duplication, CDRW, bulk, full color, CDRW included"</f>
        <v>SERVICE: Duplication, CDRW, bulk, full color, CDRW included</v>
      </c>
      <c r="G454" s="3" t="str">
        <f t="shared" si="34"/>
        <v>EA</v>
      </c>
      <c r="H454" s="7">
        <v>2.2000000000000002</v>
      </c>
      <c r="I454" s="2" t="str">
        <f t="shared" si="35"/>
        <v>73151907</v>
      </c>
      <c r="J454" s="10" t="s">
        <v>201</v>
      </c>
    </row>
    <row r="455" spans="1:10" ht="39">
      <c r="A455" s="24" t="s">
        <v>27</v>
      </c>
      <c r="B455" s="21" t="s">
        <v>64</v>
      </c>
      <c r="C455" s="21">
        <v>3203</v>
      </c>
      <c r="D455" s="21">
        <v>51</v>
      </c>
      <c r="E455" s="21" t="str">
        <f>"1000013559"</f>
        <v>1000013559</v>
      </c>
      <c r="F455" s="21" t="str">
        <f>"SERVICE: Duplication, DVD, bulk, no imprinting, DVD included"</f>
        <v>SERVICE: Duplication, DVD, bulk, no imprinting, DVD included</v>
      </c>
      <c r="G455" s="22" t="str">
        <f t="shared" si="34"/>
        <v>EA</v>
      </c>
      <c r="H455" s="23">
        <v>0.75</v>
      </c>
      <c r="I455" s="21" t="str">
        <f t="shared" si="35"/>
        <v>73151907</v>
      </c>
      <c r="J455" s="25" t="s">
        <v>201</v>
      </c>
    </row>
    <row r="456" spans="1:10" ht="39">
      <c r="A456" s="9" t="s">
        <v>27</v>
      </c>
      <c r="B456" s="2" t="s">
        <v>64</v>
      </c>
      <c r="C456" s="2">
        <v>3203</v>
      </c>
      <c r="D456" s="2">
        <v>52</v>
      </c>
      <c r="E456" s="2" t="str">
        <f>"1000013560"</f>
        <v>1000013560</v>
      </c>
      <c r="F456" s="2" t="str">
        <f>"SERVICE: Duplication, DVD, bulk, one color, CDR included"</f>
        <v>SERVICE: Duplication, DVD, bulk, one color, CDR included</v>
      </c>
      <c r="G456" s="3" t="str">
        <f t="shared" si="34"/>
        <v>EA</v>
      </c>
      <c r="H456" s="7">
        <v>1.25</v>
      </c>
      <c r="I456" s="2" t="str">
        <f t="shared" si="35"/>
        <v>73151907</v>
      </c>
      <c r="J456" s="10" t="s">
        <v>201</v>
      </c>
    </row>
    <row r="457" spans="1:10" ht="39">
      <c r="A457" s="24" t="s">
        <v>27</v>
      </c>
      <c r="B457" s="21" t="s">
        <v>64</v>
      </c>
      <c r="C457" s="21">
        <v>3203</v>
      </c>
      <c r="D457" s="21">
        <v>53</v>
      </c>
      <c r="E457" s="21" t="str">
        <f>"1000013561"</f>
        <v>1000013561</v>
      </c>
      <c r="F457" s="21" t="str">
        <f>"SERVICE: Duplication, DVD, bulk, full color, CDR included"</f>
        <v>SERVICE: Duplication, DVD, bulk, full color, CDR included</v>
      </c>
      <c r="G457" s="22" t="str">
        <f t="shared" si="34"/>
        <v>EA</v>
      </c>
      <c r="H457" s="23">
        <v>1.75</v>
      </c>
      <c r="I457" s="21" t="str">
        <f t="shared" si="35"/>
        <v>73151907</v>
      </c>
      <c r="J457" s="25" t="s">
        <v>201</v>
      </c>
    </row>
    <row r="458" spans="1:10" ht="39">
      <c r="A458" s="9" t="s">
        <v>27</v>
      </c>
      <c r="B458" s="2" t="s">
        <v>64</v>
      </c>
      <c r="C458" s="2">
        <v>3203</v>
      </c>
      <c r="D458" s="2">
        <v>54</v>
      </c>
      <c r="E458" s="2" t="str">
        <f>"1000003525"</f>
        <v>1000003525</v>
      </c>
      <c r="F458" s="2" t="str">
        <f>"DIGITAL VIDEO EQP:Sony PDVM-40N,40 Min,Small Size~DV Cam Sony PDVM-40N - 40 minutes, small size"</f>
        <v>DIGITAL VIDEO EQP:Sony PDVM-40N,40 Min,Small Size~DV Cam Sony PDVM-40N - 40 minutes, small size</v>
      </c>
      <c r="G458" s="3" t="str">
        <f t="shared" si="34"/>
        <v>EA</v>
      </c>
      <c r="H458" s="7">
        <v>12</v>
      </c>
      <c r="I458" s="2" t="str">
        <f t="shared" ref="I458:I464" si="36">"83121701"</f>
        <v>83121701</v>
      </c>
      <c r="J458" s="10" t="s">
        <v>202</v>
      </c>
    </row>
    <row r="459" spans="1:10" ht="39">
      <c r="A459" s="24" t="s">
        <v>27</v>
      </c>
      <c r="B459" s="21" t="s">
        <v>64</v>
      </c>
      <c r="C459" s="21">
        <v>3203</v>
      </c>
      <c r="D459" s="21">
        <v>55</v>
      </c>
      <c r="E459" s="21" t="str">
        <f>"1000003553"</f>
        <v>1000003553</v>
      </c>
      <c r="F459" s="21" t="str">
        <f>"DIGITAL VIDEO EQP:Sony PDVM-34N,34 Min,Full Size~DV Cam Sony PDVM-34N - 34 minutes, full size"</f>
        <v>DIGITAL VIDEO EQP:Sony PDVM-34N,34 Min,Full Size~DV Cam Sony PDVM-34N - 34 minutes, full size</v>
      </c>
      <c r="G459" s="22" t="str">
        <f t="shared" si="34"/>
        <v>EA</v>
      </c>
      <c r="H459" s="23">
        <v>14.5</v>
      </c>
      <c r="I459" s="21" t="str">
        <f t="shared" si="36"/>
        <v>83121701</v>
      </c>
      <c r="J459" s="25" t="s">
        <v>202</v>
      </c>
    </row>
    <row r="460" spans="1:10" ht="39">
      <c r="A460" s="9" t="s">
        <v>27</v>
      </c>
      <c r="B460" s="2" t="s">
        <v>64</v>
      </c>
      <c r="C460" s="2">
        <v>3203</v>
      </c>
      <c r="D460" s="2">
        <v>56</v>
      </c>
      <c r="E460" s="2" t="str">
        <f>"1000003569"</f>
        <v>1000003569</v>
      </c>
      <c r="F460" s="2" t="str">
        <f>"DV CAM:DV Cam - Sony PDVM-64N - 64 minutes, full size~DV Cam Sony PDVM-64N - 64 minutes, full size"</f>
        <v>DV CAM:DV Cam - Sony PDVM-64N - 64 minutes, full size~DV Cam Sony PDVM-64N - 64 minutes, full size</v>
      </c>
      <c r="G460" s="3" t="str">
        <f t="shared" si="34"/>
        <v>EA</v>
      </c>
      <c r="H460" s="7">
        <v>15.25</v>
      </c>
      <c r="I460" s="2" t="str">
        <f t="shared" si="36"/>
        <v>83121701</v>
      </c>
      <c r="J460" s="10" t="s">
        <v>202</v>
      </c>
    </row>
    <row r="461" spans="1:10" ht="39">
      <c r="A461" s="24" t="s">
        <v>27</v>
      </c>
      <c r="B461" s="21" t="s">
        <v>64</v>
      </c>
      <c r="C461" s="21">
        <v>3203</v>
      </c>
      <c r="D461" s="21">
        <v>57</v>
      </c>
      <c r="E461" s="21" t="str">
        <f>"1000003524"</f>
        <v>1000003524</v>
      </c>
      <c r="F461" s="21" t="str">
        <f>"DIGITAL VIDEO EQP:Sony PDVM-94N,94 Min,Full Size~DV Cam Sony PDVM-94N - 94 minutes, full size"</f>
        <v>DIGITAL VIDEO EQP:Sony PDVM-94N,94 Min,Full Size~DV Cam Sony PDVM-94N - 94 minutes, full size</v>
      </c>
      <c r="G461" s="22" t="str">
        <f t="shared" si="34"/>
        <v>EA</v>
      </c>
      <c r="H461" s="23">
        <v>21.5</v>
      </c>
      <c r="I461" s="21" t="str">
        <f t="shared" si="36"/>
        <v>83121701</v>
      </c>
      <c r="J461" s="25" t="s">
        <v>202</v>
      </c>
    </row>
    <row r="462" spans="1:10" ht="39">
      <c r="A462" s="9" t="s">
        <v>27</v>
      </c>
      <c r="B462" s="2" t="s">
        <v>64</v>
      </c>
      <c r="C462" s="2">
        <v>3203</v>
      </c>
      <c r="D462" s="2">
        <v>58</v>
      </c>
      <c r="E462" s="2" t="str">
        <f>"1000003565"</f>
        <v>1000003565</v>
      </c>
      <c r="F462" s="2" t="str">
        <f>"DIGITAL VIDEO EQP:DV Cam/Sony PDVM-184N,184 Min,Full Size~DV Cam Sony PDVM-184N - 184 minutes, full size"</f>
        <v>DIGITAL VIDEO EQP:DV Cam/Sony PDVM-184N,184 Min,Full Size~DV Cam Sony PDVM-184N - 184 minutes, full size</v>
      </c>
      <c r="G462" s="3" t="str">
        <f t="shared" si="34"/>
        <v>EA</v>
      </c>
      <c r="H462" s="7">
        <v>24.5</v>
      </c>
      <c r="I462" s="2" t="str">
        <f t="shared" si="36"/>
        <v>83121701</v>
      </c>
      <c r="J462" s="10" t="s">
        <v>202</v>
      </c>
    </row>
    <row r="463" spans="1:10" ht="51.75">
      <c r="A463" s="24" t="s">
        <v>27</v>
      </c>
      <c r="B463" s="21" t="s">
        <v>64</v>
      </c>
      <c r="C463" s="21">
        <v>3203</v>
      </c>
      <c r="D463" s="21">
        <v>59</v>
      </c>
      <c r="E463" s="21" t="str">
        <f>"1000013579"</f>
        <v>1000013579</v>
      </c>
      <c r="F463" s="21" t="str">
        <f>"DIGITAL VIDEO EQP:Mini DV,Panasonic AY_DVM63MZ,63 Minutes,Min Order of 5~Mini DV Panasonic AY-DVM63MZ - 63 minutes. MINIMUM ORDER OF 5"</f>
        <v>DIGITAL VIDEO EQP:Mini DV,Panasonic AY_DVM63MZ,63 Minutes,Min Order of 5~Mini DV Panasonic AY-DVM63MZ - 63 minutes. MINIMUM ORDER OF 5</v>
      </c>
      <c r="G463" s="22" t="str">
        <f t="shared" si="34"/>
        <v>EA</v>
      </c>
      <c r="H463" s="23">
        <v>7.82</v>
      </c>
      <c r="I463" s="21" t="str">
        <f t="shared" si="36"/>
        <v>83121701</v>
      </c>
      <c r="J463" s="25" t="s">
        <v>202</v>
      </c>
    </row>
    <row r="464" spans="1:10" ht="77.25">
      <c r="A464" s="9" t="s">
        <v>27</v>
      </c>
      <c r="B464" s="2" t="s">
        <v>64</v>
      </c>
      <c r="C464" s="2">
        <v>3203</v>
      </c>
      <c r="D464" s="2">
        <v>60</v>
      </c>
      <c r="E464" s="2" t="str">
        <f>"1000003564"</f>
        <v>1000003564</v>
      </c>
      <c r="F464" s="2" t="str">
        <f>"DIGITAL VIDEO EQP:Mini DV,Panasonic AY_DVM83MZ,83 Minutes,Min Order of 5~Mini DV Panasonic AY-DVM83MZ - 83 minutes. MINIMUM ORDER OF 5~Panasonic AY-DVM83MZ - 83 minutes. MINIMUM ORDER OF 5"</f>
        <v>DIGITAL VIDEO EQP:Mini DV,Panasonic AY_DVM83MZ,83 Minutes,Min Order of 5~Mini DV Panasonic AY-DVM83MZ - 83 minutes. MINIMUM ORDER OF 5~Panasonic AY-DVM83MZ - 83 minutes. MINIMUM ORDER OF 5</v>
      </c>
      <c r="G464" s="3" t="str">
        <f t="shared" si="34"/>
        <v>EA</v>
      </c>
      <c r="H464" s="7">
        <v>9</v>
      </c>
      <c r="I464" s="2" t="str">
        <f t="shared" si="36"/>
        <v>83121701</v>
      </c>
      <c r="J464" s="10" t="s">
        <v>202</v>
      </c>
    </row>
    <row r="465" spans="1:10" ht="26.25">
      <c r="A465" s="24" t="s">
        <v>27</v>
      </c>
      <c r="B465" s="21" t="s">
        <v>64</v>
      </c>
      <c r="C465" s="21">
        <v>3203</v>
      </c>
      <c r="D465" s="21">
        <v>61</v>
      </c>
      <c r="E465" s="21" t="str">
        <f>"1000013580"</f>
        <v>1000013580</v>
      </c>
      <c r="F465" s="21" t="str">
        <f>"DISC: 10pk, CD+R, high standard, one time record, certifiable for 50 years, writeable"</f>
        <v>DISC: 10pk, CD+R, high standard, one time record, certifiable for 50 years, writeable</v>
      </c>
      <c r="G465" s="22" t="str">
        <f t="shared" ref="G465:G482" si="37">"PK"</f>
        <v>PK</v>
      </c>
      <c r="H465" s="23">
        <v>5.17</v>
      </c>
      <c r="I465" s="21" t="str">
        <f t="shared" ref="I465:I470" si="38">"43201809"</f>
        <v>43201809</v>
      </c>
      <c r="J465" s="25" t="s">
        <v>197</v>
      </c>
    </row>
    <row r="466" spans="1:10" ht="26.25">
      <c r="A466" s="9" t="s">
        <v>27</v>
      </c>
      <c r="B466" s="2" t="s">
        <v>64</v>
      </c>
      <c r="C466" s="2">
        <v>3203</v>
      </c>
      <c r="D466" s="2">
        <v>62</v>
      </c>
      <c r="E466" s="2" t="str">
        <f>"1000013581"</f>
        <v>1000013581</v>
      </c>
      <c r="F466" s="2" t="str">
        <f>"DISC: 25pk, CD+R, high standard, one time record, certifiable for 50 years, writable"</f>
        <v>DISC: 25pk, CD+R, high standard, one time record, certifiable for 50 years, writable</v>
      </c>
      <c r="G466" s="3" t="str">
        <f t="shared" si="37"/>
        <v>PK</v>
      </c>
      <c r="H466" s="7">
        <v>10</v>
      </c>
      <c r="I466" s="2" t="str">
        <f t="shared" si="38"/>
        <v>43201809</v>
      </c>
      <c r="J466" s="10" t="s">
        <v>197</v>
      </c>
    </row>
    <row r="467" spans="1:10" ht="26.25">
      <c r="A467" s="24" t="s">
        <v>27</v>
      </c>
      <c r="B467" s="21" t="s">
        <v>64</v>
      </c>
      <c r="C467" s="21">
        <v>3203</v>
      </c>
      <c r="D467" s="21">
        <v>63</v>
      </c>
      <c r="E467" s="21" t="str">
        <f>"1000013593"</f>
        <v>1000013593</v>
      </c>
      <c r="F467" s="21" t="str">
        <f>"DISC: 50pk, CD+R, high standard, one time record, certifiable for 50 years, writable"</f>
        <v>DISC: 50pk, CD+R, high standard, one time record, certifiable for 50 years, writable</v>
      </c>
      <c r="G467" s="22" t="str">
        <f t="shared" si="37"/>
        <v>PK</v>
      </c>
      <c r="H467" s="23">
        <v>17.5</v>
      </c>
      <c r="I467" s="21" t="str">
        <f t="shared" si="38"/>
        <v>43201809</v>
      </c>
      <c r="J467" s="25" t="s">
        <v>197</v>
      </c>
    </row>
    <row r="468" spans="1:10" ht="26.25">
      <c r="A468" s="9" t="s">
        <v>27</v>
      </c>
      <c r="B468" s="2" t="s">
        <v>64</v>
      </c>
      <c r="C468" s="2">
        <v>3203</v>
      </c>
      <c r="D468" s="2">
        <v>64</v>
      </c>
      <c r="E468" s="2" t="str">
        <f>"1000013594"</f>
        <v>1000013594</v>
      </c>
      <c r="F468" s="2" t="str">
        <f>"DISC: 10pk, CD+RW, high standard, one time record, certifiable for 50 years, re-writable"</f>
        <v>DISC: 10pk, CD+RW, high standard, one time record, certifiable for 50 years, re-writable</v>
      </c>
      <c r="G468" s="3" t="str">
        <f t="shared" si="37"/>
        <v>PK</v>
      </c>
      <c r="H468" s="7">
        <v>8</v>
      </c>
      <c r="I468" s="2" t="str">
        <f t="shared" si="38"/>
        <v>43201809</v>
      </c>
      <c r="J468" s="10" t="s">
        <v>197</v>
      </c>
    </row>
    <row r="469" spans="1:10" ht="26.25">
      <c r="A469" s="24" t="s">
        <v>27</v>
      </c>
      <c r="B469" s="21" t="s">
        <v>64</v>
      </c>
      <c r="C469" s="21">
        <v>3203</v>
      </c>
      <c r="D469" s="21">
        <v>65</v>
      </c>
      <c r="E469" s="21" t="str">
        <f>"1000013595"</f>
        <v>1000013595</v>
      </c>
      <c r="F469" s="21" t="str">
        <f>"DISC: 25pk, CD+RW, high standard, one time record, certifiable for 50 years, re-writable"</f>
        <v>DISC: 25pk, CD+RW, high standard, one time record, certifiable for 50 years, re-writable</v>
      </c>
      <c r="G469" s="22" t="str">
        <f t="shared" si="37"/>
        <v>PK</v>
      </c>
      <c r="H469" s="23">
        <v>17.649999999999999</v>
      </c>
      <c r="I469" s="21" t="str">
        <f t="shared" si="38"/>
        <v>43201809</v>
      </c>
      <c r="J469" s="25" t="s">
        <v>197</v>
      </c>
    </row>
    <row r="470" spans="1:10" ht="26.25">
      <c r="A470" s="9" t="s">
        <v>27</v>
      </c>
      <c r="B470" s="2" t="s">
        <v>64</v>
      </c>
      <c r="C470" s="2">
        <v>3203</v>
      </c>
      <c r="D470" s="2">
        <v>66</v>
      </c>
      <c r="E470" s="2" t="str">
        <f>"1000013565"</f>
        <v>1000013565</v>
      </c>
      <c r="F470" s="2" t="str">
        <f>"DISC: 50pk, CD+RW, high standard, one time record, certifiable for 50 years, re-writable"</f>
        <v>DISC: 50pk, CD+RW, high standard, one time record, certifiable for 50 years, re-writable</v>
      </c>
      <c r="G470" s="3" t="str">
        <f t="shared" si="37"/>
        <v>PK</v>
      </c>
      <c r="H470" s="7">
        <v>34.31</v>
      </c>
      <c r="I470" s="2" t="str">
        <f t="shared" si="38"/>
        <v>43201809</v>
      </c>
      <c r="J470" s="10" t="s">
        <v>197</v>
      </c>
    </row>
    <row r="471" spans="1:10" ht="39">
      <c r="A471" s="24" t="s">
        <v>27</v>
      </c>
      <c r="B471" s="21" t="s">
        <v>64</v>
      </c>
      <c r="C471" s="21">
        <v>3203</v>
      </c>
      <c r="D471" s="21">
        <v>67</v>
      </c>
      <c r="E471" s="21" t="str">
        <f>"1000005265"</f>
        <v>1000005265</v>
      </c>
      <c r="F471" s="21" t="str">
        <f>"DISC:DVD+R Write Digit Video 10-pkg~DVD (Digital Video Disc) DVD+R Writeable Digital Video Disc (10 per package)"</f>
        <v>DISC:DVD+R Write Digit Video 10-pkg~DVD (Digital Video Disc) DVD+R Writeable Digital Video Disc (10 per package)</v>
      </c>
      <c r="G471" s="22" t="str">
        <f t="shared" si="37"/>
        <v>PK</v>
      </c>
      <c r="H471" s="23">
        <v>6.8</v>
      </c>
      <c r="I471" s="21" t="str">
        <f>"43202003"</f>
        <v>43202003</v>
      </c>
      <c r="J471" s="25" t="s">
        <v>200</v>
      </c>
    </row>
    <row r="472" spans="1:10" ht="39">
      <c r="A472" s="9" t="s">
        <v>27</v>
      </c>
      <c r="B472" s="2" t="s">
        <v>64</v>
      </c>
      <c r="C472" s="2">
        <v>3203</v>
      </c>
      <c r="D472" s="2">
        <v>68</v>
      </c>
      <c r="E472" s="2" t="str">
        <f>"1000004770"</f>
        <v>1000004770</v>
      </c>
      <c r="F472" s="2" t="str">
        <f>"DISC:DVD+R Write Digit Video 25/pkg~DVD (Digital Video Disc) DVD+R Writeable Digital Video Disc (25 per package)"</f>
        <v>DISC:DVD+R Write Digit Video 25/pkg~DVD (Digital Video Disc) DVD+R Writeable Digital Video Disc (25 per package)</v>
      </c>
      <c r="G472" s="3" t="str">
        <f t="shared" si="37"/>
        <v>PK</v>
      </c>
      <c r="H472" s="7">
        <v>15</v>
      </c>
      <c r="I472" s="2" t="str">
        <f>"43202003"</f>
        <v>43202003</v>
      </c>
      <c r="J472" s="10" t="s">
        <v>200</v>
      </c>
    </row>
    <row r="473" spans="1:10" ht="39">
      <c r="A473" s="24" t="s">
        <v>27</v>
      </c>
      <c r="B473" s="21" t="s">
        <v>64</v>
      </c>
      <c r="C473" s="21">
        <v>3203</v>
      </c>
      <c r="D473" s="21">
        <v>69</v>
      </c>
      <c r="E473" s="21" t="str">
        <f>"1000002300"</f>
        <v>1000002300</v>
      </c>
      <c r="F473" s="21" t="str">
        <f>"DISC:DVD+R Write Digit Video 50/pkg~DVD (Digital Video Disc) DVD+R Writeable Digital Video Disc (50 per package)"</f>
        <v>DISC:DVD+R Write Digit Video 50/pkg~DVD (Digital Video Disc) DVD+R Writeable Digital Video Disc (50 per package)</v>
      </c>
      <c r="G473" s="22" t="str">
        <f t="shared" si="37"/>
        <v>PK</v>
      </c>
      <c r="H473" s="23">
        <v>25.99</v>
      </c>
      <c r="I473" s="21" t="str">
        <f>"43202003"</f>
        <v>43202003</v>
      </c>
      <c r="J473" s="25" t="s">
        <v>200</v>
      </c>
    </row>
    <row r="474" spans="1:10" ht="64.5">
      <c r="A474" s="24" t="s">
        <v>27</v>
      </c>
      <c r="B474" s="21" t="s">
        <v>64</v>
      </c>
      <c r="C474" s="21">
        <v>3203</v>
      </c>
      <c r="D474" s="21">
        <v>70</v>
      </c>
      <c r="E474" s="21" t="str">
        <f>"1000001198"</f>
        <v>1000001198</v>
      </c>
      <c r="F474" s="21" t="str">
        <f>"DISC:DVD-RW Re-Write Digit Vid~DVDRW Re-Writeable Digital Video Disc DVD-RW Re-Writeable Digital Video Disc (10 per package)~DVD-RW Re-Writeable Digital Video Disc (10 per package)"</f>
        <v>DISC:DVD-RW Re-Write Digit Vid~DVDRW Re-Writeable Digital Video Disc DVD-RW Re-Writeable Digital Video Disc (10 per package)~DVD-RW Re-Writeable Digital Video Disc (10 per package)</v>
      </c>
      <c r="G474" s="22" t="str">
        <f t="shared" si="37"/>
        <v>PK</v>
      </c>
      <c r="H474" s="23">
        <v>10.37</v>
      </c>
      <c r="I474" s="21" t="str">
        <f>"43201811"</f>
        <v>43201811</v>
      </c>
      <c r="J474" s="25" t="s">
        <v>203</v>
      </c>
    </row>
    <row r="475" spans="1:10" ht="64.5">
      <c r="A475" s="9" t="s">
        <v>27</v>
      </c>
      <c r="B475" s="2" t="s">
        <v>64</v>
      </c>
      <c r="C475" s="2">
        <v>3203</v>
      </c>
      <c r="D475" s="2">
        <v>71</v>
      </c>
      <c r="E475" s="2" t="str">
        <f>"1000001199"</f>
        <v>1000001199</v>
      </c>
      <c r="F475" s="2" t="str">
        <f>"DISC:DVD-RW Re-Write Digit Vid~DVDRW Re-Writeable Digital Video Disc DVD-RW Re-Writeable Digital Video Disc (25 per package)~DVD-RW Re-Writeable Digital Video Disc (25 per package)"</f>
        <v>DISC:DVD-RW Re-Write Digit Vid~DVDRW Re-Writeable Digital Video Disc DVD-RW Re-Writeable Digital Video Disc (25 per package)~DVD-RW Re-Writeable Digital Video Disc (25 per package)</v>
      </c>
      <c r="G475" s="3" t="str">
        <f t="shared" si="37"/>
        <v>PK</v>
      </c>
      <c r="H475" s="7">
        <v>23.07</v>
      </c>
      <c r="I475" s="2" t="str">
        <f>"43201811"</f>
        <v>43201811</v>
      </c>
      <c r="J475" s="10" t="s">
        <v>203</v>
      </c>
    </row>
    <row r="476" spans="1:10" ht="64.5">
      <c r="A476" s="24" t="s">
        <v>27</v>
      </c>
      <c r="B476" s="21" t="s">
        <v>64</v>
      </c>
      <c r="C476" s="21">
        <v>3203</v>
      </c>
      <c r="D476" s="21">
        <v>72</v>
      </c>
      <c r="E476" s="21" t="str">
        <f>"1000001851"</f>
        <v>1000001851</v>
      </c>
      <c r="F476" s="21" t="str">
        <f>"DISC:DVD+RW Re-Write Digit Vid~DVDRW Re-Writeable Digital Video Disc DVD+RW Re-Writeable Digital Video Disc (25 per package)~DVD+RW Re-Writeable Digital Video Disc (25 per package)"</f>
        <v>DISC:DVD+RW Re-Write Digit Vid~DVDRW Re-Writeable Digital Video Disc DVD+RW Re-Writeable Digital Video Disc (25 per package)~DVD+RW Re-Writeable Digital Video Disc (25 per package)</v>
      </c>
      <c r="G476" s="22" t="str">
        <f t="shared" si="37"/>
        <v>PK</v>
      </c>
      <c r="H476" s="23">
        <v>21.84</v>
      </c>
      <c r="I476" s="21" t="str">
        <f>"43201811"</f>
        <v>43201811</v>
      </c>
      <c r="J476" s="25" t="s">
        <v>203</v>
      </c>
    </row>
    <row r="477" spans="1:10" ht="26.25">
      <c r="A477" s="24" t="s">
        <v>27</v>
      </c>
      <c r="B477" s="21" t="s">
        <v>64</v>
      </c>
      <c r="C477" s="21">
        <v>3203</v>
      </c>
      <c r="D477" s="21">
        <v>73</v>
      </c>
      <c r="E477" s="21" t="str">
        <f>"1000013566"</f>
        <v>1000013566</v>
      </c>
      <c r="F477" s="21" t="str">
        <f>"DISC: 100 per package, ""CDR"" (Writable Compact Disc)"</f>
        <v>DISC: 100 per package, "CDR" (Writable Compact Disc)</v>
      </c>
      <c r="G477" s="22" t="str">
        <f t="shared" si="37"/>
        <v>PK</v>
      </c>
      <c r="H477" s="23">
        <v>28</v>
      </c>
      <c r="I477" s="21" t="str">
        <f>"43201809"</f>
        <v>43201809</v>
      </c>
      <c r="J477" s="25" t="s">
        <v>197</v>
      </c>
    </row>
    <row r="478" spans="1:10" ht="26.25">
      <c r="A478" s="9" t="s">
        <v>27</v>
      </c>
      <c r="B478" s="2" t="s">
        <v>64</v>
      </c>
      <c r="C478" s="2">
        <v>3203</v>
      </c>
      <c r="D478" s="2">
        <v>74</v>
      </c>
      <c r="E478" s="2" t="str">
        <f>"1000013567"</f>
        <v>1000013567</v>
      </c>
      <c r="F478" s="2" t="str">
        <f>"DISC: 100 per package, ""CDRW"" (ReWritable Compact Disc)"</f>
        <v>DISC: 100 per package, "CDRW" (ReWritable Compact Disc)</v>
      </c>
      <c r="G478" s="3" t="str">
        <f t="shared" si="37"/>
        <v>PK</v>
      </c>
      <c r="H478" s="7">
        <v>74.56</v>
      </c>
      <c r="I478" s="2" t="str">
        <f>"43201809"</f>
        <v>43201809</v>
      </c>
      <c r="J478" s="10" t="s">
        <v>197</v>
      </c>
    </row>
    <row r="479" spans="1:10" ht="51.75">
      <c r="A479" s="9" t="s">
        <v>27</v>
      </c>
      <c r="B479" s="2" t="s">
        <v>64</v>
      </c>
      <c r="C479" s="2">
        <v>3203</v>
      </c>
      <c r="D479" s="2">
        <v>75</v>
      </c>
      <c r="E479" s="2" t="str">
        <f>"1000001853"</f>
        <v>1000001853</v>
      </c>
      <c r="F479" s="2" t="str">
        <f>"DISC:DVD-R, Digit Write Video~DVD (Digital Video Disc), DVD-R, Digital Writeable Video Disc (100 per package)~DVD (Digital Video Disc), DVD-R, Digital Writeable Video"</f>
        <v>DISC:DVD-R, Digit Write Video~DVD (Digital Video Disc), DVD-R, Digital Writeable Video Disc (100 per package)~DVD (Digital Video Disc), DVD-R, Digital Writeable Video</v>
      </c>
      <c r="G479" s="3" t="str">
        <f t="shared" si="37"/>
        <v>PK</v>
      </c>
      <c r="H479" s="7">
        <v>37</v>
      </c>
      <c r="I479" s="2" t="str">
        <f>"43202001"</f>
        <v>43202001</v>
      </c>
      <c r="J479" s="10" t="s">
        <v>204</v>
      </c>
    </row>
    <row r="480" spans="1:10" ht="51.75">
      <c r="A480" s="24" t="s">
        <v>27</v>
      </c>
      <c r="B480" s="21" t="s">
        <v>64</v>
      </c>
      <c r="C480" s="21">
        <v>3203</v>
      </c>
      <c r="D480" s="21">
        <v>76</v>
      </c>
      <c r="E480" s="21" t="str">
        <f>"1000001477"</f>
        <v>1000001477</v>
      </c>
      <c r="F480" s="21" t="str">
        <f>"DISC:DVD+R, Digit Write Video~DVD (Digital Video Disc), DVD+R, Digital Writeable Video Disc (100 per package)~DVD (Digital Video Disc), DVD+R, Digital Writeable Video"</f>
        <v>DISC:DVD+R, Digit Write Video~DVD (Digital Video Disc), DVD+R, Digital Writeable Video Disc (100 per package)~DVD (Digital Video Disc), DVD+R, Digital Writeable Video</v>
      </c>
      <c r="G480" s="22" t="str">
        <f t="shared" si="37"/>
        <v>PK</v>
      </c>
      <c r="H480" s="23">
        <v>36</v>
      </c>
      <c r="I480" s="21" t="str">
        <f>"43202001"</f>
        <v>43202001</v>
      </c>
      <c r="J480" s="25" t="s">
        <v>204</v>
      </c>
    </row>
    <row r="481" spans="1:10" ht="51.75">
      <c r="A481" s="9" t="s">
        <v>27</v>
      </c>
      <c r="B481" s="2" t="s">
        <v>64</v>
      </c>
      <c r="C481" s="2">
        <v>3203</v>
      </c>
      <c r="D481" s="2">
        <v>77</v>
      </c>
      <c r="E481" s="2" t="str">
        <f>"1000001692"</f>
        <v>1000001692</v>
      </c>
      <c r="F481" s="2" t="str">
        <f>"DISC:DVDRW, Re-Write Digit Vid~DVDRW, Re-Writeable Digital Video Disc, DVD-RW, (100 per package)~DVDRW, Re-Writeable Digital Video Disc,"</f>
        <v>DISC:DVDRW, Re-Write Digit Vid~DVDRW, Re-Writeable Digital Video Disc, DVD-RW, (100 per package)~DVDRW, Re-Writeable Digital Video Disc,</v>
      </c>
      <c r="G481" s="3" t="str">
        <f t="shared" si="37"/>
        <v>PK</v>
      </c>
      <c r="H481" s="7">
        <v>85.68</v>
      </c>
      <c r="I481" s="2" t="str">
        <f>"43202001"</f>
        <v>43202001</v>
      </c>
      <c r="J481" s="10" t="s">
        <v>204</v>
      </c>
    </row>
    <row r="482" spans="1:10" ht="26.25">
      <c r="A482" s="24" t="s">
        <v>27</v>
      </c>
      <c r="B482" s="21" t="s">
        <v>64</v>
      </c>
      <c r="C482" s="21">
        <v>3203</v>
      </c>
      <c r="D482" s="21">
        <v>78</v>
      </c>
      <c r="E482" s="21" t="str">
        <f>"1000000770"</f>
        <v>1000000770</v>
      </c>
      <c r="F482" s="21" t="str">
        <f>"DISC:DVD+RW Disk 100/pkg"</f>
        <v>DISC:DVD+RW Disk 100/pkg</v>
      </c>
      <c r="G482" s="22" t="str">
        <f t="shared" si="37"/>
        <v>PK</v>
      </c>
      <c r="H482" s="23">
        <v>83.3</v>
      </c>
      <c r="I482" s="21" t="str">
        <f>"43202001"</f>
        <v>43202001</v>
      </c>
      <c r="J482" s="25" t="s">
        <v>204</v>
      </c>
    </row>
    <row r="483" spans="1:10" ht="26.25">
      <c r="A483" s="9" t="s">
        <v>27</v>
      </c>
      <c r="B483" s="2" t="s">
        <v>64</v>
      </c>
      <c r="C483" s="2">
        <v>3203</v>
      </c>
      <c r="D483" s="2">
        <v>79</v>
      </c>
      <c r="E483" s="2" t="str">
        <f>"1000027548"</f>
        <v>1000027548</v>
      </c>
      <c r="F483" s="2" t="str">
        <f>"BLU-RAY DISC:BD-R, EA, 25G 4X - Blu-Ray Disc, Recordable, BD-R, 25GB, 4X, sold by the each"</f>
        <v>BLU-RAY DISC:BD-R, EA, 25G 4X - Blu-Ray Disc, Recordable, BD-R, 25GB, 4X, sold by the each</v>
      </c>
      <c r="G483" s="3" t="str">
        <f>"EA"</f>
        <v>EA</v>
      </c>
      <c r="H483" s="7">
        <v>2.7</v>
      </c>
      <c r="I483" s="2" t="str">
        <f t="shared" ref="I483:I490" si="39">"43202003"</f>
        <v>43202003</v>
      </c>
      <c r="J483" s="10" t="s">
        <v>200</v>
      </c>
    </row>
    <row r="484" spans="1:10" ht="39">
      <c r="A484" s="24" t="s">
        <v>27</v>
      </c>
      <c r="B484" s="21" t="s">
        <v>64</v>
      </c>
      <c r="C484" s="21">
        <v>3203</v>
      </c>
      <c r="D484" s="21">
        <v>80</v>
      </c>
      <c r="E484" s="21" t="str">
        <f>"1000027565"</f>
        <v>1000027565</v>
      </c>
      <c r="F484" s="21" t="str">
        <f>"BLU-RAY DISC:BD-R 10/PK 25G 4X - Blu-Ray Disc, Recordable, BD-R, 25GB, 4X, 10 discs per package"</f>
        <v>BLU-RAY DISC:BD-R 10/PK 25G 4X - Blu-Ray Disc, Recordable, BD-R, 25GB, 4X, 10 discs per package</v>
      </c>
      <c r="G484" s="22" t="str">
        <f t="shared" ref="G484:G490" si="40">"PK"</f>
        <v>PK</v>
      </c>
      <c r="H484" s="23">
        <v>14.85</v>
      </c>
      <c r="I484" s="21" t="str">
        <f t="shared" si="39"/>
        <v>43202003</v>
      </c>
      <c r="J484" s="25" t="s">
        <v>200</v>
      </c>
    </row>
    <row r="485" spans="1:10" ht="39">
      <c r="A485" s="9" t="s">
        <v>27</v>
      </c>
      <c r="B485" s="2" t="s">
        <v>64</v>
      </c>
      <c r="C485" s="2">
        <v>3203</v>
      </c>
      <c r="D485" s="2">
        <v>81</v>
      </c>
      <c r="E485" s="2" t="str">
        <f>"1000027566"</f>
        <v>1000027566</v>
      </c>
      <c r="F485" s="2" t="str">
        <f>"BLU-RAY DISC:BD-R 25/PK 25G 4X - Blu-Ray Disc, Recordable, BD-R, 25GB, 4X, 25 discs per package"</f>
        <v>BLU-RAY DISC:BD-R 25/PK 25G 4X - Blu-Ray Disc, Recordable, BD-R, 25GB, 4X, 25 discs per package</v>
      </c>
      <c r="G485" s="3" t="str">
        <f t="shared" si="40"/>
        <v>PK</v>
      </c>
      <c r="H485" s="7">
        <v>29.7</v>
      </c>
      <c r="I485" s="2" t="str">
        <f t="shared" si="39"/>
        <v>43202003</v>
      </c>
      <c r="J485" s="10" t="s">
        <v>200</v>
      </c>
    </row>
    <row r="486" spans="1:10" ht="39">
      <c r="A486" s="24" t="s">
        <v>27</v>
      </c>
      <c r="B486" s="21" t="s">
        <v>64</v>
      </c>
      <c r="C486" s="21">
        <v>3203</v>
      </c>
      <c r="D486" s="21">
        <v>82</v>
      </c>
      <c r="E486" s="21" t="str">
        <f>"1000027567"</f>
        <v>1000027567</v>
      </c>
      <c r="F486" s="21" t="str">
        <f>"BLU-RAY DISC:BD-R 50/PK 25G 4X - Blu-Ray Disc, Recordable, BD-R, 25GB, 4X, 50 discs per package"</f>
        <v>BLU-RAY DISC:BD-R 50/PK 25G 4X - Blu-Ray Disc, Recordable, BD-R, 25GB, 4X, 50 discs per package</v>
      </c>
      <c r="G486" s="22" t="str">
        <f t="shared" si="40"/>
        <v>PK</v>
      </c>
      <c r="H486" s="23">
        <v>53.4</v>
      </c>
      <c r="I486" s="21" t="str">
        <f t="shared" si="39"/>
        <v>43202003</v>
      </c>
      <c r="J486" s="25" t="s">
        <v>200</v>
      </c>
    </row>
    <row r="487" spans="1:10" ht="39">
      <c r="A487" s="9" t="s">
        <v>27</v>
      </c>
      <c r="B487" s="2" t="s">
        <v>64</v>
      </c>
      <c r="C487" s="2">
        <v>3203</v>
      </c>
      <c r="D487" s="2">
        <v>83</v>
      </c>
      <c r="E487" s="2" t="str">
        <f>"1000027568"</f>
        <v>1000027568</v>
      </c>
      <c r="F487" s="2" t="str">
        <f>"BLU-RAY DISC:BD-R 25/PK 50G 6X - Blu-Ray Disc, Recordable, BD-R, 50GB, 6x, 25 discs per package"</f>
        <v>BLU-RAY DISC:BD-R 25/PK 50G 6X - Blu-Ray Disc, Recordable, BD-R, 50GB, 6x, 25 discs per package</v>
      </c>
      <c r="G487" s="3" t="str">
        <f t="shared" si="40"/>
        <v>PK</v>
      </c>
      <c r="H487" s="7">
        <v>118.5</v>
      </c>
      <c r="I487" s="2" t="str">
        <f t="shared" si="39"/>
        <v>43202003</v>
      </c>
      <c r="J487" s="10" t="s">
        <v>200</v>
      </c>
    </row>
    <row r="488" spans="1:10" ht="39">
      <c r="A488" s="24" t="s">
        <v>27</v>
      </c>
      <c r="B488" s="21" t="s">
        <v>64</v>
      </c>
      <c r="C488" s="21">
        <v>3203</v>
      </c>
      <c r="D488" s="21">
        <v>84</v>
      </c>
      <c r="E488" s="21" t="str">
        <f>"1000027569"</f>
        <v>1000027569</v>
      </c>
      <c r="F488" s="21" t="str">
        <f>"BLU-RAY DISC:BD-R 50/PK 50G 6X - Blu-Ray Disc, Recordable, BD-R, 50GB, 6x, 50 discs per package"</f>
        <v>BLU-RAY DISC:BD-R 50/PK 50G 6X - Blu-Ray Disc, Recordable, BD-R, 50GB, 6x, 50 discs per package</v>
      </c>
      <c r="G488" s="22" t="str">
        <f t="shared" si="40"/>
        <v>PK</v>
      </c>
      <c r="H488" s="23">
        <v>209.4</v>
      </c>
      <c r="I488" s="21" t="str">
        <f t="shared" si="39"/>
        <v>43202003</v>
      </c>
      <c r="J488" s="25" t="s">
        <v>200</v>
      </c>
    </row>
    <row r="489" spans="1:10" ht="39">
      <c r="A489" s="9" t="s">
        <v>27</v>
      </c>
      <c r="B489" s="2" t="s">
        <v>64</v>
      </c>
      <c r="C489" s="2">
        <v>3203</v>
      </c>
      <c r="D489" s="2">
        <v>85</v>
      </c>
      <c r="E489" s="2" t="str">
        <f>"1000027570"</f>
        <v>1000027570</v>
      </c>
      <c r="F489" s="2" t="str">
        <f>"BLU-RAY DISC:BD-RE 25/PK 25G 2X - Blu-Ray Disc, Re-Recordable, BD-RE, 25GB, 2X, 25 discs per package"</f>
        <v>BLU-RAY DISC:BD-RE 25/PK 25G 2X - Blu-Ray Disc, Re-Recordable, BD-RE, 25GB, 2X, 25 discs per package</v>
      </c>
      <c r="G489" s="3" t="str">
        <f t="shared" si="40"/>
        <v>PK</v>
      </c>
      <c r="H489" s="7">
        <v>86.7</v>
      </c>
      <c r="I489" s="2" t="str">
        <f t="shared" si="39"/>
        <v>43202003</v>
      </c>
      <c r="J489" s="10" t="s">
        <v>200</v>
      </c>
    </row>
    <row r="490" spans="1:10" ht="39">
      <c r="A490" s="24" t="s">
        <v>27</v>
      </c>
      <c r="B490" s="21" t="s">
        <v>64</v>
      </c>
      <c r="C490" s="21">
        <v>3203</v>
      </c>
      <c r="D490" s="21">
        <v>86</v>
      </c>
      <c r="E490" s="21" t="str">
        <f>"1000027571"</f>
        <v>1000027571</v>
      </c>
      <c r="F490" s="21" t="str">
        <f>"BLU-RAY DISC:BD-RE 50/PK 25G 2X - Blu-Ray Disc, Re-Recordable, BD-RE, 25GB, 2X, 50 discs per package"</f>
        <v>BLU-RAY DISC:BD-RE 50/PK 25G 2X - Blu-Ray Disc, Re-Recordable, BD-RE, 25GB, 2X, 50 discs per package</v>
      </c>
      <c r="G490" s="22" t="str">
        <f t="shared" si="40"/>
        <v>PK</v>
      </c>
      <c r="H490" s="23">
        <v>237.74</v>
      </c>
      <c r="I490" s="21" t="str">
        <f t="shared" si="39"/>
        <v>43202003</v>
      </c>
      <c r="J490" s="25" t="s">
        <v>200</v>
      </c>
    </row>
    <row r="491" spans="1:10" ht="39">
      <c r="A491" s="9" t="s">
        <v>27</v>
      </c>
      <c r="B491" s="2" t="s">
        <v>31</v>
      </c>
      <c r="C491" s="2">
        <v>3204</v>
      </c>
      <c r="D491" s="2">
        <v>1</v>
      </c>
      <c r="E491" s="2" t="str">
        <f>"1000017061"</f>
        <v>1000017061</v>
      </c>
      <c r="F491" s="2" t="str">
        <f>"CLEANING KIT: HP item # C8554A-HEW, HP image cleaning kit (Yld 50k) for LJ 9500 series"</f>
        <v>CLEANING KIT: HP item # C8554A-HEW, HP image cleaning kit (Yld 50k) for LJ 9500 series</v>
      </c>
      <c r="G491" s="3" t="str">
        <f>"KT"</f>
        <v>KT</v>
      </c>
      <c r="H491" s="7">
        <v>51</v>
      </c>
      <c r="I491" s="2" t="str">
        <f>"44103107"</f>
        <v>44103107</v>
      </c>
      <c r="J491" s="10" t="s">
        <v>93</v>
      </c>
    </row>
    <row r="492" spans="1:10" ht="51.75">
      <c r="A492" s="24" t="s">
        <v>27</v>
      </c>
      <c r="B492" s="21" t="s">
        <v>31</v>
      </c>
      <c r="C492" s="21">
        <v>3204</v>
      </c>
      <c r="D492" s="21">
        <v>2</v>
      </c>
      <c r="E492" s="21" t="str">
        <f>"1000017023"</f>
        <v>1000017023</v>
      </c>
      <c r="F492" s="21" t="str">
        <f>"DRUM:BRO Item # DR200-BC, Brand Compatible HL Drum for 720/ 730/ 760/ 3550/ 3650/ 4350/ 4450/ 4550/ 4650/ 6550/ 6650/ 7550/ 7650/ 7750 (Yld 20k)"</f>
        <v>DRUM:BRO Item # DR200-BC, Brand Compatible HL Drum for 720/ 730/ 760/ 3550/ 3650/ 4350/ 4450/ 4550/ 4650/ 6550/ 6650/ 7550/ 7650/ 7750 (Yld 20k)</v>
      </c>
      <c r="G492" s="22" t="str">
        <f t="shared" ref="G492:G531" si="41">"EA"</f>
        <v>EA</v>
      </c>
      <c r="H492" s="23">
        <v>153</v>
      </c>
      <c r="I492" s="21" t="str">
        <f t="shared" ref="I492:I531" si="42">"44103109"</f>
        <v>44103109</v>
      </c>
      <c r="J492" s="25" t="s">
        <v>94</v>
      </c>
    </row>
    <row r="493" spans="1:10" ht="51.75">
      <c r="A493" s="9" t="s">
        <v>27</v>
      </c>
      <c r="B493" s="2" t="s">
        <v>31</v>
      </c>
      <c r="C493" s="2">
        <v>3204</v>
      </c>
      <c r="D493" s="2">
        <v>3</v>
      </c>
      <c r="E493" s="2" t="str">
        <f>"1000017024"</f>
        <v>1000017024</v>
      </c>
      <c r="F493" s="2" t="str">
        <f>"DRUM:BRO Item # DR200-BRT, HL Drum for 720/ 730/ 760/ 3550/ 3650/ 4350/ 4450/ 4550/ 4650/ 6550/ 6650/ 7550/ 7650/ 7750 (Yld 20k)"</f>
        <v>DRUM:BRO Item # DR200-BRT, HL Drum for 720/ 730/ 760/ 3550/ 3650/ 4350/ 4450/ 4550/ 4650/ 6550/ 6650/ 7550/ 7650/ 7750 (Yld 20k)</v>
      </c>
      <c r="G493" s="3" t="str">
        <f t="shared" si="41"/>
        <v>EA</v>
      </c>
      <c r="H493" s="7">
        <v>214.66</v>
      </c>
      <c r="I493" s="2" t="str">
        <f t="shared" si="42"/>
        <v>44103109</v>
      </c>
      <c r="J493" s="10" t="s">
        <v>94</v>
      </c>
    </row>
    <row r="494" spans="1:10" ht="39">
      <c r="A494" s="24" t="s">
        <v>27</v>
      </c>
      <c r="B494" s="21" t="s">
        <v>31</v>
      </c>
      <c r="C494" s="21">
        <v>3204</v>
      </c>
      <c r="D494" s="21">
        <v>4</v>
      </c>
      <c r="E494" s="21" t="str">
        <f>"1000017025"</f>
        <v>1000017025</v>
      </c>
      <c r="F494" s="21" t="str">
        <f>"DRUM:BRO Item # DR250-BC, Brand Compatible Brother Fax Drum Unit for PPF-2800/MFC-4800/6800 (Yld 20k)"</f>
        <v>DRUM:BRO Item # DR250-BC, Brand Compatible Brother Fax Drum Unit for PPF-2800/MFC-4800/6800 (Yld 20k)</v>
      </c>
      <c r="G494" s="22" t="str">
        <f t="shared" si="41"/>
        <v>EA</v>
      </c>
      <c r="H494" s="23">
        <v>97</v>
      </c>
      <c r="I494" s="21" t="str">
        <f t="shared" si="42"/>
        <v>44103109</v>
      </c>
      <c r="J494" s="25" t="s">
        <v>94</v>
      </c>
    </row>
    <row r="495" spans="1:10" ht="39">
      <c r="A495" s="9" t="s">
        <v>27</v>
      </c>
      <c r="B495" s="2" t="s">
        <v>31</v>
      </c>
      <c r="C495" s="2">
        <v>3204</v>
      </c>
      <c r="D495" s="2">
        <v>5</v>
      </c>
      <c r="E495" s="2" t="str">
        <f>"1000017026"</f>
        <v>1000017026</v>
      </c>
      <c r="F495" s="2" t="str">
        <f>"DRUM:BRO Item # DR250-BRT, Brother Fax Drum Unit for PPF-2800/MFC-4800/6800 (Yld 20k)"</f>
        <v>DRUM:BRO Item # DR250-BRT, Brother Fax Drum Unit for PPF-2800/MFC-4800/6800 (Yld 20k)</v>
      </c>
      <c r="G495" s="3" t="str">
        <f t="shared" si="41"/>
        <v>EA</v>
      </c>
      <c r="H495" s="7">
        <v>196.49</v>
      </c>
      <c r="I495" s="2" t="str">
        <f t="shared" si="42"/>
        <v>44103109</v>
      </c>
      <c r="J495" s="10" t="s">
        <v>94</v>
      </c>
    </row>
    <row r="496" spans="1:10" ht="39">
      <c r="A496" s="24" t="s">
        <v>27</v>
      </c>
      <c r="B496" s="21" t="s">
        <v>31</v>
      </c>
      <c r="C496" s="21">
        <v>3204</v>
      </c>
      <c r="D496" s="21">
        <v>6</v>
      </c>
      <c r="E496" s="21" t="str">
        <f>"1000017027"</f>
        <v>1000017027</v>
      </c>
      <c r="F496" s="21" t="str">
        <f>"DRUM:BRO Item # DR350-BC, Brand Compatible Brother Drum unit for HL2040, HL 2070N"</f>
        <v>DRUM:BRO Item # DR350-BC, Brand Compatible Brother Drum unit for HL2040, HL 2070N</v>
      </c>
      <c r="G496" s="22" t="str">
        <f t="shared" si="41"/>
        <v>EA</v>
      </c>
      <c r="H496" s="23">
        <v>92</v>
      </c>
      <c r="I496" s="21" t="str">
        <f t="shared" si="42"/>
        <v>44103109</v>
      </c>
      <c r="J496" s="25" t="s">
        <v>94</v>
      </c>
    </row>
    <row r="497" spans="1:10" ht="26.25">
      <c r="A497" s="9" t="s">
        <v>27</v>
      </c>
      <c r="B497" s="2" t="s">
        <v>31</v>
      </c>
      <c r="C497" s="2">
        <v>3204</v>
      </c>
      <c r="D497" s="2">
        <v>7</v>
      </c>
      <c r="E497" s="2" t="str">
        <f>"1000000730"</f>
        <v>1000000730</v>
      </c>
      <c r="F497" s="2" t="str">
        <f>"DRUM:BRO Item # DR-350-BRT, Brother Drum unit (Yld 12,000) HL2040, HL 2070N"</f>
        <v>DRUM:BRO Item # DR-350-BRT, Brother Drum unit (Yld 12,000) HL2040, HL 2070N</v>
      </c>
      <c r="G497" s="3" t="str">
        <f t="shared" si="41"/>
        <v>EA</v>
      </c>
      <c r="H497" s="7">
        <v>136.66</v>
      </c>
      <c r="I497" s="2" t="str">
        <f t="shared" si="42"/>
        <v>44103109</v>
      </c>
      <c r="J497" s="10" t="s">
        <v>94</v>
      </c>
    </row>
    <row r="498" spans="1:10" ht="39">
      <c r="A498" s="24" t="s">
        <v>27</v>
      </c>
      <c r="B498" s="21" t="s">
        <v>31</v>
      </c>
      <c r="C498" s="21">
        <v>3204</v>
      </c>
      <c r="D498" s="21">
        <v>8</v>
      </c>
      <c r="E498" s="21" t="str">
        <f>"1000017028"</f>
        <v>1000017028</v>
      </c>
      <c r="F498" s="21" t="str">
        <f>"DRUM:BRO Item # DR360-BRT, Brother drum, for HL-2140, HL-2170W laser printers and MFC 7440N and MFC7840W (Yld 12k)"</f>
        <v>DRUM:BRO Item # DR360-BRT, Brother drum, for HL-2140, HL-2170W laser printers and MFC 7440N and MFC7840W (Yld 12k)</v>
      </c>
      <c r="G498" s="22" t="str">
        <f t="shared" si="41"/>
        <v>EA</v>
      </c>
      <c r="H498" s="23">
        <v>108.32</v>
      </c>
      <c r="I498" s="21" t="str">
        <f t="shared" si="42"/>
        <v>44103109</v>
      </c>
      <c r="J498" s="25" t="s">
        <v>94</v>
      </c>
    </row>
    <row r="499" spans="1:10" ht="39">
      <c r="A499" s="9" t="s">
        <v>27</v>
      </c>
      <c r="B499" s="2" t="s">
        <v>31</v>
      </c>
      <c r="C499" s="2">
        <v>3204</v>
      </c>
      <c r="D499" s="2">
        <v>9</v>
      </c>
      <c r="E499" s="2" t="str">
        <f>"1000017002"</f>
        <v>1000017002</v>
      </c>
      <c r="F499" s="2" t="str">
        <f>"DRUM:BRO Item # DR400-BC, Brand Compatible Drum Cartridge for Brother HL-1240/1250/1270N (Yield 20k)"</f>
        <v>DRUM:BRO Item # DR400-BC, Brand Compatible Drum Cartridge for Brother HL-1240/1250/1270N (Yield 20k)</v>
      </c>
      <c r="G499" s="3" t="str">
        <f t="shared" si="41"/>
        <v>EA</v>
      </c>
      <c r="H499" s="7">
        <v>140</v>
      </c>
      <c r="I499" s="2" t="str">
        <f t="shared" si="42"/>
        <v>44103109</v>
      </c>
      <c r="J499" s="10" t="s">
        <v>94</v>
      </c>
    </row>
    <row r="500" spans="1:10" ht="26.25">
      <c r="A500" s="24" t="s">
        <v>27</v>
      </c>
      <c r="B500" s="21" t="s">
        <v>31</v>
      </c>
      <c r="C500" s="21">
        <v>3204</v>
      </c>
      <c r="D500" s="21">
        <v>10</v>
      </c>
      <c r="E500" s="21" t="str">
        <f>"1000001584"</f>
        <v>1000001584</v>
      </c>
      <c r="F500" s="21" t="str">
        <f>"DRUM:BRO Item # DR400-BRT, Drum Cartridge for Brother HL-1240/1250/1270N (Yield 20k)"</f>
        <v>DRUM:BRO Item # DR400-BRT, Drum Cartridge for Brother HL-1240/1250/1270N (Yield 20k)</v>
      </c>
      <c r="G500" s="22" t="str">
        <f t="shared" si="41"/>
        <v>EA</v>
      </c>
      <c r="H500" s="23">
        <v>182.66</v>
      </c>
      <c r="I500" s="21" t="str">
        <f t="shared" si="42"/>
        <v>44103109</v>
      </c>
      <c r="J500" s="25" t="s">
        <v>94</v>
      </c>
    </row>
    <row r="501" spans="1:10" ht="39">
      <c r="A501" s="9" t="s">
        <v>27</v>
      </c>
      <c r="B501" s="2" t="s">
        <v>31</v>
      </c>
      <c r="C501" s="2">
        <v>3204</v>
      </c>
      <c r="D501" s="2">
        <v>11</v>
      </c>
      <c r="E501" s="2" t="str">
        <f>"1000017048"</f>
        <v>1000017048</v>
      </c>
      <c r="F501" s="2" t="str">
        <f>"DRUM:BRO Item # DR520-BRT, Brother Drum for LaserJet HL5250DN, HL5240 high yield (25k)"</f>
        <v>DRUM:BRO Item # DR520-BRT, Brother Drum for LaserJet HL5250DN, HL5240 high yield (25k)</v>
      </c>
      <c r="G501" s="3" t="str">
        <f t="shared" si="41"/>
        <v>EA</v>
      </c>
      <c r="H501" s="7">
        <v>207.66</v>
      </c>
      <c r="I501" s="2" t="str">
        <f t="shared" si="42"/>
        <v>44103109</v>
      </c>
      <c r="J501" s="10" t="s">
        <v>94</v>
      </c>
    </row>
    <row r="502" spans="1:10" ht="26.25">
      <c r="A502" s="24" t="s">
        <v>27</v>
      </c>
      <c r="B502" s="21" t="s">
        <v>31</v>
      </c>
      <c r="C502" s="21">
        <v>3204</v>
      </c>
      <c r="D502" s="21">
        <v>12</v>
      </c>
      <c r="E502" s="21" t="str">
        <f>"1000017049"</f>
        <v>1000017049</v>
      </c>
      <c r="F502" s="21" t="str">
        <f>"DRUM:CAN Item # 6812A001AA-CAN, Canon PC-1060/1080F Toner/Drum (Yld 4k)"</f>
        <v>DRUM:CAN Item # 6812A001AA-CAN, Canon PC-1060/1080F Toner/Drum (Yld 4k)</v>
      </c>
      <c r="G502" s="22" t="str">
        <f t="shared" si="41"/>
        <v>EA</v>
      </c>
      <c r="H502" s="23">
        <v>150</v>
      </c>
      <c r="I502" s="21" t="str">
        <f t="shared" si="42"/>
        <v>44103109</v>
      </c>
      <c r="J502" s="25" t="s">
        <v>94</v>
      </c>
    </row>
    <row r="503" spans="1:10" ht="26.25">
      <c r="A503" s="9" t="s">
        <v>27</v>
      </c>
      <c r="B503" s="2" t="s">
        <v>31</v>
      </c>
      <c r="C503" s="2">
        <v>3204</v>
      </c>
      <c r="D503" s="2">
        <v>15</v>
      </c>
      <c r="E503" s="2" t="str">
        <f>"1000017052"</f>
        <v>1000017052</v>
      </c>
      <c r="F503" s="2" t="str">
        <f>"DRUM:HP Item # C8560A-HEW, HP Black drum for LaserJet 9500 (Yld 40k)"</f>
        <v>DRUM:HP Item # C8560A-HEW, HP Black drum for LaserJet 9500 (Yld 40k)</v>
      </c>
      <c r="G503" s="3" t="str">
        <f t="shared" si="41"/>
        <v>EA</v>
      </c>
      <c r="H503" s="7">
        <v>331</v>
      </c>
      <c r="I503" s="2" t="str">
        <f t="shared" si="42"/>
        <v>44103109</v>
      </c>
      <c r="J503" s="10" t="s">
        <v>94</v>
      </c>
    </row>
    <row r="504" spans="1:10" ht="26.25">
      <c r="A504" s="24" t="s">
        <v>27</v>
      </c>
      <c r="B504" s="21" t="s">
        <v>31</v>
      </c>
      <c r="C504" s="21">
        <v>3204</v>
      </c>
      <c r="D504" s="21">
        <v>16</v>
      </c>
      <c r="E504" s="21" t="str">
        <f>"1000017053"</f>
        <v>1000017053</v>
      </c>
      <c r="F504" s="21" t="str">
        <f>"DRUM:HP Item # C8561A-HEW, HP Cyan Drum for LaserJet 9500 (Yld 40k)"</f>
        <v>DRUM:HP Item # C8561A-HEW, HP Cyan Drum for LaserJet 9500 (Yld 40k)</v>
      </c>
      <c r="G504" s="22" t="str">
        <f t="shared" si="41"/>
        <v>EA</v>
      </c>
      <c r="H504" s="23">
        <v>515</v>
      </c>
      <c r="I504" s="21" t="str">
        <f t="shared" si="42"/>
        <v>44103109</v>
      </c>
      <c r="J504" s="25" t="s">
        <v>94</v>
      </c>
    </row>
    <row r="505" spans="1:10" ht="26.25">
      <c r="A505" s="9" t="s">
        <v>27</v>
      </c>
      <c r="B505" s="2" t="s">
        <v>31</v>
      </c>
      <c r="C505" s="2">
        <v>3204</v>
      </c>
      <c r="D505" s="2">
        <v>17</v>
      </c>
      <c r="E505" s="2" t="str">
        <f>"1000017054"</f>
        <v>1000017054</v>
      </c>
      <c r="F505" s="2" t="str">
        <f>"DRUM:HP Item # C8562A-HEW, HP Yellow Drum for LaserJet 9500 (Yld 40k)"</f>
        <v>DRUM:HP Item # C8562A-HEW, HP Yellow Drum for LaserJet 9500 (Yld 40k)</v>
      </c>
      <c r="G505" s="3" t="str">
        <f t="shared" si="41"/>
        <v>EA</v>
      </c>
      <c r="H505" s="7">
        <v>515</v>
      </c>
      <c r="I505" s="2" t="str">
        <f t="shared" si="42"/>
        <v>44103109</v>
      </c>
      <c r="J505" s="10" t="s">
        <v>94</v>
      </c>
    </row>
    <row r="506" spans="1:10" ht="26.25">
      <c r="A506" s="24" t="s">
        <v>27</v>
      </c>
      <c r="B506" s="21" t="s">
        <v>31</v>
      </c>
      <c r="C506" s="21">
        <v>3204</v>
      </c>
      <c r="D506" s="21">
        <v>18</v>
      </c>
      <c r="E506" s="21" t="str">
        <f>"1000017003"</f>
        <v>1000017003</v>
      </c>
      <c r="F506" s="21" t="str">
        <f>"DRUM:HP Item # C8563A-HEW, HP Magenta Drum for LaserJet 9500 (Yld 40k)"</f>
        <v>DRUM:HP Item # C8563A-HEW, HP Magenta Drum for LaserJet 9500 (Yld 40k)</v>
      </c>
      <c r="G506" s="22" t="str">
        <f t="shared" si="41"/>
        <v>EA</v>
      </c>
      <c r="H506" s="23">
        <v>515</v>
      </c>
      <c r="I506" s="21" t="str">
        <f t="shared" si="42"/>
        <v>44103109</v>
      </c>
      <c r="J506" s="25" t="s">
        <v>94</v>
      </c>
    </row>
    <row r="507" spans="1:10" ht="26.25">
      <c r="A507" s="9" t="s">
        <v>27</v>
      </c>
      <c r="B507" s="2" t="s">
        <v>31</v>
      </c>
      <c r="C507" s="2">
        <v>3204</v>
      </c>
      <c r="D507" s="2">
        <v>19</v>
      </c>
      <c r="E507" s="2" t="str">
        <f>"1000000061"</f>
        <v>1000000061</v>
      </c>
      <c r="F507" s="2" t="str">
        <f>"DRUM:HP Item # C9704A-HEW, Color LaserJet 2500 Imaging Drum (Yld 20k Black/5k Color)"</f>
        <v>DRUM:HP Item # C9704A-HEW, Color LaserJet 2500 Imaging Drum (Yld 20k Black/5k Color)</v>
      </c>
      <c r="G507" s="3" t="str">
        <f t="shared" si="41"/>
        <v>EA</v>
      </c>
      <c r="H507" s="7">
        <v>192.32</v>
      </c>
      <c r="I507" s="2" t="str">
        <f t="shared" si="42"/>
        <v>44103109</v>
      </c>
      <c r="J507" s="10" t="s">
        <v>94</v>
      </c>
    </row>
    <row r="508" spans="1:10" ht="26.25">
      <c r="A508" s="24" t="s">
        <v>27</v>
      </c>
      <c r="B508" s="21" t="s">
        <v>31</v>
      </c>
      <c r="C508" s="21">
        <v>3204</v>
      </c>
      <c r="D508" s="21">
        <v>20</v>
      </c>
      <c r="E508" s="21" t="str">
        <f>"1000001292"</f>
        <v>1000001292</v>
      </c>
      <c r="F508" s="21" t="str">
        <f>"DRUM:HP Item # Q3964A-HEW, CLJ 2550 Imaging Drum Unit"</f>
        <v>DRUM:HP Item # Q3964A-HEW, CLJ 2550 Imaging Drum Unit</v>
      </c>
      <c r="G508" s="22" t="str">
        <f t="shared" si="41"/>
        <v>EA</v>
      </c>
      <c r="H508" s="23">
        <v>186.49</v>
      </c>
      <c r="I508" s="21" t="str">
        <f t="shared" si="42"/>
        <v>44103109</v>
      </c>
      <c r="J508" s="25" t="s">
        <v>94</v>
      </c>
    </row>
    <row r="509" spans="1:10" ht="39">
      <c r="A509" s="9" t="s">
        <v>27</v>
      </c>
      <c r="B509" s="2" t="s">
        <v>31</v>
      </c>
      <c r="C509" s="2">
        <v>3204</v>
      </c>
      <c r="D509" s="2">
        <v>21</v>
      </c>
      <c r="E509" s="2" t="str">
        <f>"1000017004"</f>
        <v>1000017004</v>
      </c>
      <c r="F509" s="2" t="str">
        <f>"DRUM:LEX Item # 10S0150-BC, Brand compatible toner/drum unit for Lexmark Optra E210 (Yld 2k)"</f>
        <v>DRUM:LEX Item # 10S0150-BC, Brand compatible toner/drum unit for Lexmark Optra E210 (Yld 2k)</v>
      </c>
      <c r="G509" s="3" t="str">
        <f t="shared" si="41"/>
        <v>EA</v>
      </c>
      <c r="H509" s="7">
        <v>73</v>
      </c>
      <c r="I509" s="2" t="str">
        <f t="shared" si="42"/>
        <v>44103109</v>
      </c>
      <c r="J509" s="10" t="s">
        <v>94</v>
      </c>
    </row>
    <row r="510" spans="1:10" ht="39">
      <c r="A510" s="24" t="s">
        <v>27</v>
      </c>
      <c r="B510" s="21" t="s">
        <v>31</v>
      </c>
      <c r="C510" s="21">
        <v>3204</v>
      </c>
      <c r="D510" s="21">
        <v>22</v>
      </c>
      <c r="E510" s="21" t="str">
        <f>"1000017005"</f>
        <v>1000017005</v>
      </c>
      <c r="F510" s="21" t="str">
        <f>"DRUM:LEX Item # 10S0150-LEX, Lexmark toner/drum unit for Lexmark Optra E210 (Yld 2k)"</f>
        <v>DRUM:LEX Item # 10S0150-LEX, Lexmark toner/drum unit for Lexmark Optra E210 (Yld 2k)</v>
      </c>
      <c r="G510" s="22" t="str">
        <f t="shared" si="41"/>
        <v>EA</v>
      </c>
      <c r="H510" s="23">
        <v>88</v>
      </c>
      <c r="I510" s="21" t="str">
        <f t="shared" si="42"/>
        <v>44103109</v>
      </c>
      <c r="J510" s="25" t="s">
        <v>94</v>
      </c>
    </row>
    <row r="511" spans="1:10" ht="39">
      <c r="A511" s="9" t="s">
        <v>27</v>
      </c>
      <c r="B511" s="2" t="s">
        <v>31</v>
      </c>
      <c r="C511" s="2">
        <v>3204</v>
      </c>
      <c r="D511" s="2">
        <v>23</v>
      </c>
      <c r="E511" s="2" t="str">
        <f>"1000017007"</f>
        <v>1000017007</v>
      </c>
      <c r="F511" s="2" t="str">
        <f>"DRUM:OKI Item # 40433318-OKI, Drum for Okidata Okifax 5700, 5750, 5900, 5950 Fax Machines (Yld 20k)"</f>
        <v>DRUM:OKI Item # 40433318-OKI, Drum for Okidata Okifax 5700, 5750, 5900, 5950 Fax Machines (Yld 20k)</v>
      </c>
      <c r="G511" s="3" t="str">
        <f t="shared" si="41"/>
        <v>EA</v>
      </c>
      <c r="H511" s="7">
        <v>238.15</v>
      </c>
      <c r="I511" s="2" t="str">
        <f t="shared" si="42"/>
        <v>44103109</v>
      </c>
      <c r="J511" s="10" t="s">
        <v>94</v>
      </c>
    </row>
    <row r="512" spans="1:10" ht="39">
      <c r="A512" s="24" t="s">
        <v>27</v>
      </c>
      <c r="B512" s="21" t="s">
        <v>31</v>
      </c>
      <c r="C512" s="21">
        <v>3204</v>
      </c>
      <c r="D512" s="21">
        <v>24</v>
      </c>
      <c r="E512" s="21" t="str">
        <f>"1000017006"</f>
        <v>1000017006</v>
      </c>
      <c r="F512" s="21" t="str">
        <f>"DRUM:OKI Item # 41962801-OKI, Okidata Type C4 Yellow Drum C7100, C7300, C7500, C7550, C7350 Series Digital Printers (Yld 30k)"</f>
        <v>DRUM:OKI Item # 41962801-OKI, Okidata Type C4 Yellow Drum C7100, C7300, C7500, C7550, C7350 Series Digital Printers (Yld 30k)</v>
      </c>
      <c r="G512" s="22" t="str">
        <f t="shared" si="41"/>
        <v>EA</v>
      </c>
      <c r="H512" s="23">
        <v>154</v>
      </c>
      <c r="I512" s="21" t="str">
        <f t="shared" si="42"/>
        <v>44103109</v>
      </c>
      <c r="J512" s="25" t="s">
        <v>94</v>
      </c>
    </row>
    <row r="513" spans="1:10" ht="39">
      <c r="A513" s="9" t="s">
        <v>27</v>
      </c>
      <c r="B513" s="2" t="s">
        <v>31</v>
      </c>
      <c r="C513" s="2">
        <v>3204</v>
      </c>
      <c r="D513" s="2">
        <v>25</v>
      </c>
      <c r="E513" s="2" t="str">
        <f>"1000017008"</f>
        <v>1000017008</v>
      </c>
      <c r="F513" s="2" t="str">
        <f>"DRUM:OKI Item # 41962802-OKI, Okidata Type C4 Magenta Drum C7100, C7300, C7350, C7550, C7500 Series Digital Printers (Yld 30k)"</f>
        <v>DRUM:OKI Item # 41962802-OKI, Okidata Type C4 Magenta Drum C7100, C7300, C7350, C7550, C7500 Series Digital Printers (Yld 30k)</v>
      </c>
      <c r="G513" s="3" t="str">
        <f t="shared" si="41"/>
        <v>EA</v>
      </c>
      <c r="H513" s="7">
        <v>154</v>
      </c>
      <c r="I513" s="2" t="str">
        <f t="shared" si="42"/>
        <v>44103109</v>
      </c>
      <c r="J513" s="10" t="s">
        <v>94</v>
      </c>
    </row>
    <row r="514" spans="1:10" ht="39">
      <c r="A514" s="24" t="s">
        <v>27</v>
      </c>
      <c r="B514" s="21" t="s">
        <v>31</v>
      </c>
      <c r="C514" s="21">
        <v>3204</v>
      </c>
      <c r="D514" s="21">
        <v>26</v>
      </c>
      <c r="E514" s="21" t="str">
        <f>"1000017384"</f>
        <v>1000017384</v>
      </c>
      <c r="F514" s="21" t="str">
        <f>"DRUM:OKI Item # 41962803-OKI, Okidata Type C4 Cyan Drum C7100, C7300, C7350, C7550, C7500 Series Digital Printers ( Yld 30k)"</f>
        <v>DRUM:OKI Item # 41962803-OKI, Okidata Type C4 Cyan Drum C7100, C7300, C7350, C7550, C7500 Series Digital Printers ( Yld 30k)</v>
      </c>
      <c r="G514" s="22" t="str">
        <f t="shared" si="41"/>
        <v>EA</v>
      </c>
      <c r="H514" s="23">
        <v>154</v>
      </c>
      <c r="I514" s="21" t="str">
        <f t="shared" si="42"/>
        <v>44103109</v>
      </c>
      <c r="J514" s="25" t="s">
        <v>94</v>
      </c>
    </row>
    <row r="515" spans="1:10" ht="39">
      <c r="A515" s="9" t="s">
        <v>27</v>
      </c>
      <c r="B515" s="2" t="s">
        <v>31</v>
      </c>
      <c r="C515" s="2">
        <v>3204</v>
      </c>
      <c r="D515" s="2">
        <v>27</v>
      </c>
      <c r="E515" s="2" t="str">
        <f>"1000017062"</f>
        <v>1000017062</v>
      </c>
      <c r="F515" s="2" t="str">
        <f>"DRUM:OKI Item # 41962804-OKI, Okidata Type C4 Black Drum C7100, C7300, C7350, C7550, C7500 Series Digital Printers (Yld 30k)"</f>
        <v>DRUM:OKI Item # 41962804-OKI, Okidata Type C4 Black Drum C7100, C7300, C7350, C7550, C7500 Series Digital Printers (Yld 30k)</v>
      </c>
      <c r="G515" s="3" t="str">
        <f t="shared" si="41"/>
        <v>EA</v>
      </c>
      <c r="H515" s="7">
        <v>149</v>
      </c>
      <c r="I515" s="2" t="str">
        <f t="shared" si="42"/>
        <v>44103109</v>
      </c>
      <c r="J515" s="10" t="s">
        <v>94</v>
      </c>
    </row>
    <row r="516" spans="1:10" ht="39">
      <c r="A516" s="24" t="s">
        <v>27</v>
      </c>
      <c r="B516" s="21" t="s">
        <v>31</v>
      </c>
      <c r="C516" s="21">
        <v>3204</v>
      </c>
      <c r="D516" s="21">
        <v>28</v>
      </c>
      <c r="E516" s="21" t="str">
        <f>"1000017063"</f>
        <v>1000017063</v>
      </c>
      <c r="F516" s="21" t="str">
        <f>"DRUM:OKI Item # 42126601-OKI, Yellow Image Drum Unit for Okidata C5100N &amp; C5300N Printers"</f>
        <v>DRUM:OKI Item # 42126601-OKI, Yellow Image Drum Unit for Okidata C5100N &amp; C5300N Printers</v>
      </c>
      <c r="G516" s="22" t="str">
        <f t="shared" si="41"/>
        <v>EA</v>
      </c>
      <c r="H516" s="23">
        <v>108</v>
      </c>
      <c r="I516" s="21" t="str">
        <f t="shared" si="42"/>
        <v>44103109</v>
      </c>
      <c r="J516" s="25" t="s">
        <v>94</v>
      </c>
    </row>
    <row r="517" spans="1:10" ht="39">
      <c r="A517" s="9" t="s">
        <v>27</v>
      </c>
      <c r="B517" s="2" t="s">
        <v>31</v>
      </c>
      <c r="C517" s="2">
        <v>3204</v>
      </c>
      <c r="D517" s="2">
        <v>29</v>
      </c>
      <c r="E517" s="2" t="str">
        <f>"1000017064"</f>
        <v>1000017064</v>
      </c>
      <c r="F517" s="2" t="str">
        <f>"DRUM:OKI Item # 42126602-OKI, Magenta Image Drum Unit for Okidata C5100N &amp; C5300N Printers"</f>
        <v>DRUM:OKI Item # 42126602-OKI, Magenta Image Drum Unit for Okidata C5100N &amp; C5300N Printers</v>
      </c>
      <c r="G517" s="3" t="str">
        <f t="shared" si="41"/>
        <v>EA</v>
      </c>
      <c r="H517" s="7">
        <v>108</v>
      </c>
      <c r="I517" s="2" t="str">
        <f t="shared" si="42"/>
        <v>44103109</v>
      </c>
      <c r="J517" s="10" t="s">
        <v>94</v>
      </c>
    </row>
    <row r="518" spans="1:10" ht="39">
      <c r="A518" s="24" t="s">
        <v>27</v>
      </c>
      <c r="B518" s="21" t="s">
        <v>31</v>
      </c>
      <c r="C518" s="21">
        <v>3204</v>
      </c>
      <c r="D518" s="21">
        <v>30</v>
      </c>
      <c r="E518" s="21" t="str">
        <f>"1000017065"</f>
        <v>1000017065</v>
      </c>
      <c r="F518" s="21" t="str">
        <f>"DRUM:OKI Item # 42126603-OKI, Cyan Image Drum Unit for Okidata C5100N &amp; C5300N Printers"</f>
        <v>DRUM:OKI Item # 42126603-OKI, Cyan Image Drum Unit for Okidata C5100N &amp; C5300N Printers</v>
      </c>
      <c r="G518" s="22" t="str">
        <f t="shared" si="41"/>
        <v>EA</v>
      </c>
      <c r="H518" s="23">
        <v>108</v>
      </c>
      <c r="I518" s="21" t="str">
        <f t="shared" si="42"/>
        <v>44103109</v>
      </c>
      <c r="J518" s="25" t="s">
        <v>94</v>
      </c>
    </row>
    <row r="519" spans="1:10" ht="39">
      <c r="A519" s="9" t="s">
        <v>27</v>
      </c>
      <c r="B519" s="2" t="s">
        <v>31</v>
      </c>
      <c r="C519" s="2">
        <v>3204</v>
      </c>
      <c r="D519" s="2">
        <v>31</v>
      </c>
      <c r="E519" s="2" t="str">
        <f>"1000017066"</f>
        <v>1000017066</v>
      </c>
      <c r="F519" s="2" t="str">
        <f>"DRUM:OKI Item # 42126604-OKI, Black Image Drum Unit for Okidata C5100N &amp; C5300N Printers."</f>
        <v>DRUM:OKI Item # 42126604-OKI, Black Image Drum Unit for Okidata C5100N &amp; C5300N Printers.</v>
      </c>
      <c r="G519" s="3" t="str">
        <f t="shared" si="41"/>
        <v>EA</v>
      </c>
      <c r="H519" s="7">
        <v>85</v>
      </c>
      <c r="I519" s="2" t="str">
        <f t="shared" si="42"/>
        <v>44103109</v>
      </c>
      <c r="J519" s="10" t="s">
        <v>94</v>
      </c>
    </row>
    <row r="520" spans="1:10" ht="26.25">
      <c r="A520" s="24" t="s">
        <v>27</v>
      </c>
      <c r="B520" s="21" t="s">
        <v>31</v>
      </c>
      <c r="C520" s="21">
        <v>3204</v>
      </c>
      <c r="D520" s="21">
        <v>32</v>
      </c>
      <c r="E520" s="21" t="str">
        <f>"1000017029"</f>
        <v>1000017029</v>
      </c>
      <c r="F520" s="21" t="str">
        <f>"DRUM:OKI Item # 42126661-OKI, Okidata black drum for C3200N (Yld 15k)"</f>
        <v>DRUM:OKI Item # 42126661-OKI, Okidata black drum for C3200N (Yld 15k)</v>
      </c>
      <c r="G520" s="22" t="str">
        <f t="shared" si="41"/>
        <v>EA</v>
      </c>
      <c r="H520" s="23">
        <v>119</v>
      </c>
      <c r="I520" s="21" t="str">
        <f t="shared" si="42"/>
        <v>44103109</v>
      </c>
      <c r="J520" s="25" t="s">
        <v>94</v>
      </c>
    </row>
    <row r="521" spans="1:10" ht="51.75">
      <c r="A521" s="9" t="s">
        <v>27</v>
      </c>
      <c r="B521" s="2" t="s">
        <v>31</v>
      </c>
      <c r="C521" s="2">
        <v>3204</v>
      </c>
      <c r="D521" s="2">
        <v>33</v>
      </c>
      <c r="E521" s="2" t="str">
        <f>"1000022108"</f>
        <v>1000022108</v>
      </c>
      <c r="F521" s="2" t="str">
        <f>"DRUM:OKI, Item # 56116801-OKI, Image Drum for OL400e/ 410e/ 410ePS/ 600e/ 610e/ 610ePS/ 810e/ 810ePS/ OKIPAGE 6e/ 6ex (Yld 10k)"</f>
        <v>DRUM:OKI, Item # 56116801-OKI, Image Drum for OL400e/ 410e/ 410ePS/ 600e/ 610e/ 610ePS/ 810e/ 810ePS/ OKIPAGE 6e/ 6ex (Yld 10k)</v>
      </c>
      <c r="G521" s="3" t="str">
        <f t="shared" si="41"/>
        <v>EA</v>
      </c>
      <c r="H521" s="7">
        <v>167</v>
      </c>
      <c r="I521" s="2" t="str">
        <f t="shared" si="42"/>
        <v>44103109</v>
      </c>
      <c r="J521" s="10" t="s">
        <v>94</v>
      </c>
    </row>
    <row r="522" spans="1:10" ht="51.75">
      <c r="A522" s="24" t="s">
        <v>27</v>
      </c>
      <c r="B522" s="21" t="s">
        <v>31</v>
      </c>
      <c r="C522" s="21">
        <v>3204</v>
      </c>
      <c r="D522" s="21">
        <v>34</v>
      </c>
      <c r="E522" s="21" t="str">
        <f>"1000017030"</f>
        <v>1000017030</v>
      </c>
      <c r="F522" s="21" t="str">
        <f>"DRUM:OKI Item # 56116901, Image Drum Kit for Okidata Fax Machines, Okifax 5050, 5300 Plus, 5600 Plus, 1050, 2450, 5250, 5650 &amp; 5680. (Yld. 20k)"</f>
        <v>DRUM:OKI Item # 56116901, Image Drum Kit for Okidata Fax Machines, Okifax 5050, 5300 Plus, 5600 Plus, 1050, 2450, 5250, 5650 &amp; 5680. (Yld. 20k)</v>
      </c>
      <c r="G522" s="22" t="str">
        <f t="shared" si="41"/>
        <v>EA</v>
      </c>
      <c r="H522" s="23">
        <v>214</v>
      </c>
      <c r="I522" s="21" t="str">
        <f t="shared" si="42"/>
        <v>44103109</v>
      </c>
      <c r="J522" s="25" t="s">
        <v>94</v>
      </c>
    </row>
    <row r="523" spans="1:10" ht="39">
      <c r="A523" s="9" t="s">
        <v>27</v>
      </c>
      <c r="B523" s="2" t="s">
        <v>31</v>
      </c>
      <c r="C523" s="2">
        <v>3204</v>
      </c>
      <c r="D523" s="2">
        <v>35</v>
      </c>
      <c r="E523" s="2" t="str">
        <f>"1000001667"</f>
        <v>1000001667</v>
      </c>
      <c r="F523" s="2" t="str">
        <f>"DRUM:PAN Item # KXFA84-PAN, Drum Unit for Panasonic Fax Machines, KX-FL541, KX-FL 511, KX-FL611, KX-FLM651"</f>
        <v>DRUM:PAN Item # KXFA84-PAN, Drum Unit for Panasonic Fax Machines, KX-FL541, KX-FL 511, KX-FL611, KX-FLM651</v>
      </c>
      <c r="G523" s="3" t="str">
        <f t="shared" si="41"/>
        <v>EA</v>
      </c>
      <c r="H523" s="7">
        <v>109.99</v>
      </c>
      <c r="I523" s="2" t="str">
        <f t="shared" si="42"/>
        <v>44103109</v>
      </c>
      <c r="J523" s="10" t="s">
        <v>94</v>
      </c>
    </row>
    <row r="524" spans="1:10" ht="39">
      <c r="A524" s="24" t="s">
        <v>27</v>
      </c>
      <c r="B524" s="21" t="s">
        <v>31</v>
      </c>
      <c r="C524" s="21">
        <v>3204</v>
      </c>
      <c r="D524" s="21">
        <v>36</v>
      </c>
      <c r="E524" s="21" t="str">
        <f>"1000017031"</f>
        <v>1000017031</v>
      </c>
      <c r="F524" s="21" t="str">
        <f>"DRUM:QMS Item # 1710520001-QMS, Magicolor 2300DL/2350EN OPC Drum (Yld 45k)"</f>
        <v>DRUM:QMS Item # 1710520001-QMS, Magicolor 2300DL/2350EN OPC Drum (Yld 45k)</v>
      </c>
      <c r="G524" s="22" t="str">
        <f t="shared" si="41"/>
        <v>EA</v>
      </c>
      <c r="H524" s="23">
        <v>158</v>
      </c>
      <c r="I524" s="21" t="str">
        <f t="shared" si="42"/>
        <v>44103109</v>
      </c>
      <c r="J524" s="25" t="s">
        <v>94</v>
      </c>
    </row>
    <row r="525" spans="1:10" ht="51.75">
      <c r="A525" s="9" t="s">
        <v>27</v>
      </c>
      <c r="B525" s="2" t="s">
        <v>31</v>
      </c>
      <c r="C525" s="2">
        <v>3204</v>
      </c>
      <c r="D525" s="2">
        <v>37</v>
      </c>
      <c r="E525" s="2" t="str">
        <f>"1000017032"</f>
        <v>1000017032</v>
      </c>
      <c r="F525" s="2" t="str">
        <f>"DRUM:SHA Item # AL100DR-SHR, Sharp Drum for Sharp AL-1000/1010/1041/1200/1215/1220/1250/1340/1451 Copiers (Yld 18k)"</f>
        <v>DRUM:SHA Item # AL100DR-SHR, Sharp Drum for Sharp AL-1000/1010/1041/1200/1215/1220/1250/1340/1451 Copiers (Yld 18k)</v>
      </c>
      <c r="G525" s="3" t="str">
        <f t="shared" si="41"/>
        <v>EA</v>
      </c>
      <c r="H525" s="7">
        <v>199</v>
      </c>
      <c r="I525" s="2" t="str">
        <f t="shared" si="42"/>
        <v>44103109</v>
      </c>
      <c r="J525" s="10" t="s">
        <v>94</v>
      </c>
    </row>
    <row r="526" spans="1:10" ht="39">
      <c r="A526" s="24" t="s">
        <v>27</v>
      </c>
      <c r="B526" s="21" t="s">
        <v>31</v>
      </c>
      <c r="C526" s="21">
        <v>3204</v>
      </c>
      <c r="D526" s="21">
        <v>38</v>
      </c>
      <c r="E526" s="21" t="str">
        <f>"1000017033"</f>
        <v>1000017033</v>
      </c>
      <c r="F526" s="21" t="str">
        <f>"DRUM:SHA Item # FO45DR-SHR, Sharp Drum for FO4500, FO5500, FO5600, FO6500, FO6550 Fax Models.(Yld 20k)"</f>
        <v>DRUM:SHA Item # FO45DR-SHR, Sharp Drum for FO4500, FO5500, FO5600, FO6500, FO6550 Fax Models.(Yld 20k)</v>
      </c>
      <c r="G526" s="22" t="str">
        <f t="shared" si="41"/>
        <v>EA</v>
      </c>
      <c r="H526" s="23">
        <v>107</v>
      </c>
      <c r="I526" s="21" t="str">
        <f t="shared" si="42"/>
        <v>44103109</v>
      </c>
      <c r="J526" s="25" t="s">
        <v>94</v>
      </c>
    </row>
    <row r="527" spans="1:10" ht="51.75">
      <c r="A527" s="9" t="s">
        <v>27</v>
      </c>
      <c r="B527" s="2" t="s">
        <v>31</v>
      </c>
      <c r="C527" s="2">
        <v>3204</v>
      </c>
      <c r="D527" s="2">
        <v>39</v>
      </c>
      <c r="E527" s="2" t="str">
        <f>"1000001882"</f>
        <v>1000001882</v>
      </c>
      <c r="F527" s="2" t="str">
        <f>"DRUM:SHR Item # FO47DR-SHR, Sharp Fax imaging unit, Drum for FO4400, FO4450, FO4700, FO4970, FO5550, FO5800, FO6700 Fax Models, (Yld 20k)"</f>
        <v>DRUM:SHR Item # FO47DR-SHR, Sharp Fax imaging unit, Drum for FO4400, FO4450, FO4700, FO4970, FO5550, FO5800, FO6700 Fax Models, (Yld 20k)</v>
      </c>
      <c r="G527" s="3" t="str">
        <f t="shared" si="41"/>
        <v>EA</v>
      </c>
      <c r="H527" s="7">
        <v>103.82</v>
      </c>
      <c r="I527" s="2" t="str">
        <f t="shared" si="42"/>
        <v>44103109</v>
      </c>
      <c r="J527" s="10" t="s">
        <v>94</v>
      </c>
    </row>
    <row r="528" spans="1:10" ht="39">
      <c r="A528" s="24" t="s">
        <v>27</v>
      </c>
      <c r="B528" s="21" t="s">
        <v>31</v>
      </c>
      <c r="C528" s="21">
        <v>3204</v>
      </c>
      <c r="D528" s="21">
        <v>40</v>
      </c>
      <c r="E528" s="21" t="str">
        <f>"1000017034"</f>
        <v>1000017034</v>
      </c>
      <c r="F528" s="21" t="str">
        <f>"DRUM:XER Item # 113R00671-XER, Drum Cartridge for Xerox C20, M20, M20i, FaxCentre 2218, WorkCentre 4118p, 4118x (Yld 20k)"</f>
        <v>DRUM:XER Item # 113R00671-XER, Drum Cartridge for Xerox C20, M20, M20i, FaxCentre 2218, WorkCentre 4118p, 4118x (Yld 20k)</v>
      </c>
      <c r="G528" s="22" t="str">
        <f t="shared" si="41"/>
        <v>EA</v>
      </c>
      <c r="H528" s="23">
        <v>107.16</v>
      </c>
      <c r="I528" s="21" t="str">
        <f t="shared" si="42"/>
        <v>44103109</v>
      </c>
      <c r="J528" s="25" t="s">
        <v>94</v>
      </c>
    </row>
    <row r="529" spans="1:10" ht="39">
      <c r="A529" s="9" t="s">
        <v>27</v>
      </c>
      <c r="B529" s="2" t="s">
        <v>31</v>
      </c>
      <c r="C529" s="2">
        <v>3204</v>
      </c>
      <c r="D529" s="2">
        <v>41</v>
      </c>
      <c r="E529" s="2" t="str">
        <f>"1000017074"</f>
        <v>1000017074</v>
      </c>
      <c r="F529" s="2" t="str">
        <f>"DRUM:XER Item # 113R457-XER, Xerox Drum unit for Work Centre Pro 575, 555 Fax machines (Yld 20k)"</f>
        <v>DRUM:XER Item # 113R457-XER, Xerox Drum unit for Work Centre Pro 575, 555 Fax machines (Yld 20k)</v>
      </c>
      <c r="G529" s="3" t="str">
        <f t="shared" si="41"/>
        <v>EA</v>
      </c>
      <c r="H529" s="7">
        <v>171</v>
      </c>
      <c r="I529" s="2" t="str">
        <f t="shared" si="42"/>
        <v>44103109</v>
      </c>
      <c r="J529" s="10" t="s">
        <v>94</v>
      </c>
    </row>
    <row r="530" spans="1:10" ht="39">
      <c r="A530" s="24" t="s">
        <v>27</v>
      </c>
      <c r="B530" s="21" t="s">
        <v>31</v>
      </c>
      <c r="C530" s="21">
        <v>3204</v>
      </c>
      <c r="D530" s="21">
        <v>42</v>
      </c>
      <c r="E530" s="21" t="str">
        <f>"1000017010"</f>
        <v>1000017010</v>
      </c>
      <c r="F530" s="21" t="str">
        <f>"DRUM:XER Item # 113R663-XER, Black Laser Drum Unit for WorkCentre Pro 412, M15 &amp; FaxCentre F12 Printers (Yld 15k)"</f>
        <v>DRUM:XER Item # 113R663-XER, Black Laser Drum Unit for WorkCentre Pro 412, M15 &amp; FaxCentre F12 Printers (Yld 15k)</v>
      </c>
      <c r="G530" s="22" t="str">
        <f t="shared" si="41"/>
        <v>EA</v>
      </c>
      <c r="H530" s="23">
        <v>100</v>
      </c>
      <c r="I530" s="21" t="str">
        <f t="shared" si="42"/>
        <v>44103109</v>
      </c>
      <c r="J530" s="25" t="s">
        <v>94</v>
      </c>
    </row>
    <row r="531" spans="1:10" ht="26.25">
      <c r="A531" s="9" t="s">
        <v>27</v>
      </c>
      <c r="B531" s="2" t="s">
        <v>31</v>
      </c>
      <c r="C531" s="2">
        <v>3204</v>
      </c>
      <c r="D531" s="2">
        <v>43</v>
      </c>
      <c r="E531" s="2" t="str">
        <f>"1000017399"</f>
        <v>1000017399</v>
      </c>
      <c r="F531" s="2" t="str">
        <f>"DRUM:XER Item # 13R573-XER, Drum for WorkCentre Pro 215 (Yld 18k)"</f>
        <v>DRUM:XER Item # 13R573-XER, Drum for WorkCentre Pro 215 (Yld 18k)</v>
      </c>
      <c r="G531" s="3" t="str">
        <f t="shared" si="41"/>
        <v>EA</v>
      </c>
      <c r="H531" s="7">
        <v>169</v>
      </c>
      <c r="I531" s="2" t="str">
        <f t="shared" si="42"/>
        <v>44103109</v>
      </c>
      <c r="J531" s="10" t="s">
        <v>94</v>
      </c>
    </row>
    <row r="532" spans="1:10" ht="39">
      <c r="A532" s="24" t="s">
        <v>27</v>
      </c>
      <c r="B532" s="21" t="s">
        <v>31</v>
      </c>
      <c r="C532" s="21">
        <v>3204</v>
      </c>
      <c r="D532" s="21">
        <v>44</v>
      </c>
      <c r="E532" s="21" t="str">
        <f>"1000022135"</f>
        <v>1000022135</v>
      </c>
      <c r="F532" s="21" t="str">
        <f>"FAX FILM: XER, Item # 8R3186-XER, Thermal transfer refills (2/Pkg) designed for the Xerox 7024 / 7280 thermal transfer fax machines."</f>
        <v>FAX FILM: XER, Item # 8R3186-XER, Thermal transfer refills (2/Pkg) designed for the Xerox 7024 / 7280 thermal transfer fax machines.</v>
      </c>
      <c r="G532" s="22" t="str">
        <f>"PK"</f>
        <v>PK</v>
      </c>
      <c r="H532" s="23">
        <v>156</v>
      </c>
      <c r="I532" s="21" t="str">
        <f>"44103117"</f>
        <v>44103117</v>
      </c>
      <c r="J532" s="25" t="s">
        <v>95</v>
      </c>
    </row>
    <row r="533" spans="1:10" ht="64.5">
      <c r="A533" s="9" t="s">
        <v>27</v>
      </c>
      <c r="B533" s="2" t="s">
        <v>31</v>
      </c>
      <c r="C533" s="2">
        <v>3204</v>
      </c>
      <c r="D533" s="2">
        <v>45</v>
      </c>
      <c r="E533" s="2" t="str">
        <f>"1000017400"</f>
        <v>1000017400</v>
      </c>
      <c r="F533" s="2" t="str">
        <f>"FILM ROLL:PAN Item # KXFA133-PAN, Thermal Transfer Film Roll Refill Ribbon for Panasonic Fax machines F1000/ F1006/ F1020/ F1050/ F1070/ F1100/ F1150/ F1200 and Panafax KX-F929 (Yld 650)"</f>
        <v>FILM ROLL:PAN Item # KXFA133-PAN, Thermal Transfer Film Roll Refill Ribbon for Panasonic Fax machines F1000/ F1006/ F1020/ F1050/ F1070/ F1100/ F1150/ F1200 and Panafax KX-F929 (Yld 650)</v>
      </c>
      <c r="G533" s="3" t="str">
        <f>"EA"</f>
        <v>EA</v>
      </c>
      <c r="H533" s="7">
        <v>44</v>
      </c>
      <c r="I533" s="2" t="str">
        <f>"44103117"</f>
        <v>44103117</v>
      </c>
      <c r="J533" s="10" t="s">
        <v>95</v>
      </c>
    </row>
    <row r="534" spans="1:10" ht="51.75">
      <c r="A534" s="24" t="s">
        <v>27</v>
      </c>
      <c r="B534" s="21" t="s">
        <v>31</v>
      </c>
      <c r="C534" s="21">
        <v>3204</v>
      </c>
      <c r="D534" s="21">
        <v>46</v>
      </c>
      <c r="E534" s="21" t="str">
        <f>"1000017375"</f>
        <v>1000017375</v>
      </c>
      <c r="F534" s="21" t="str">
        <f>"FILM ROLL:PAN Item # KXFA92-PAN, Panasonic Film Roll Refills for KX-FPG376/ KX-FPG381/ FPG377/ FPG378/ FPG379/ FPG391/ FPG550/ KX-FG6550/ KX-FP145, 2/Box"</f>
        <v>FILM ROLL:PAN Item # KXFA92-PAN, Panasonic Film Roll Refills for KX-FPG376/ KX-FPG381/ FPG377/ FPG378/ FPG379/ FPG391/ FPG550/ KX-FG6550/ KX-FP145, 2/Box</v>
      </c>
      <c r="G534" s="22" t="str">
        <f>"BX"</f>
        <v>BX</v>
      </c>
      <c r="H534" s="23">
        <v>25</v>
      </c>
      <c r="I534" s="21" t="str">
        <f>"44103117"</f>
        <v>44103117</v>
      </c>
      <c r="J534" s="25" t="s">
        <v>95</v>
      </c>
    </row>
    <row r="535" spans="1:10" ht="39">
      <c r="A535" s="9" t="s">
        <v>27</v>
      </c>
      <c r="B535" s="2" t="s">
        <v>31</v>
      </c>
      <c r="C535" s="2">
        <v>3204</v>
      </c>
      <c r="D535" s="2">
        <v>47</v>
      </c>
      <c r="E535" s="2" t="str">
        <f>"1000017376"</f>
        <v>1000017376</v>
      </c>
      <c r="F535" s="2" t="str">
        <f>"FILM ROLL:PAN Item # KXFA93-PAN, Panasonic Film Cartridge for Panafax KX-FHD331, KXFHD351, KXFPG371 Fax Machines"</f>
        <v>FILM ROLL:PAN Item # KXFA93-PAN, Panasonic Film Cartridge for Panafax KX-FHD331, KXFHD351, KXFPG371 Fax Machines</v>
      </c>
      <c r="G535" s="3" t="str">
        <f>"EA"</f>
        <v>EA</v>
      </c>
      <c r="H535" s="7">
        <v>28.48</v>
      </c>
      <c r="I535" s="2" t="str">
        <f>"44103117"</f>
        <v>44103117</v>
      </c>
      <c r="J535" s="10" t="s">
        <v>95</v>
      </c>
    </row>
    <row r="536" spans="1:10" ht="39">
      <c r="A536" s="24" t="s">
        <v>27</v>
      </c>
      <c r="B536" s="21" t="s">
        <v>31</v>
      </c>
      <c r="C536" s="21">
        <v>3204</v>
      </c>
      <c r="D536" s="21">
        <v>48</v>
      </c>
      <c r="E536" s="21" t="str">
        <f>"1000017377"</f>
        <v>1000017377</v>
      </c>
      <c r="F536" s="21" t="str">
        <f>"FUSER KIT:HEW Item # C8556A-HEW, HP fuser kit 110 &amp; 220 volts for LJ 9500 series (Yld 100k)"</f>
        <v>FUSER KIT:HEW Item # C8556A-HEW, HP fuser kit 110 &amp; 220 volts for LJ 9500 series (Yld 100k)</v>
      </c>
      <c r="G536" s="22" t="str">
        <f>"EA"</f>
        <v>EA</v>
      </c>
      <c r="H536" s="23">
        <v>280</v>
      </c>
      <c r="I536" s="21" t="str">
        <f t="shared" ref="I536:I544" si="43">"44103004"</f>
        <v>44103004</v>
      </c>
      <c r="J536" s="25" t="s">
        <v>96</v>
      </c>
    </row>
    <row r="537" spans="1:10" ht="26.25">
      <c r="A537" s="9" t="s">
        <v>27</v>
      </c>
      <c r="B537" s="2" t="s">
        <v>31</v>
      </c>
      <c r="C537" s="2">
        <v>3204</v>
      </c>
      <c r="D537" s="2">
        <v>49</v>
      </c>
      <c r="E537" s="2" t="str">
        <f>"1000017285"</f>
        <v>1000017285</v>
      </c>
      <c r="F537" s="2" t="str">
        <f>"FUSER KIT:HP Item # C4155A-HEW, HP Color LaserJet 8500 Fuser Kit 110V (Yld 100k)"</f>
        <v>FUSER KIT:HP Item # C4155A-HEW, HP Color LaserJet 8500 Fuser Kit 110V (Yld 100k)</v>
      </c>
      <c r="G537" s="3" t="str">
        <f>"EA"</f>
        <v>EA</v>
      </c>
      <c r="H537" s="7">
        <v>363</v>
      </c>
      <c r="I537" s="2" t="str">
        <f t="shared" si="43"/>
        <v>44103004</v>
      </c>
      <c r="J537" s="10" t="s">
        <v>96</v>
      </c>
    </row>
    <row r="538" spans="1:10" ht="26.25">
      <c r="A538" s="24" t="s">
        <v>27</v>
      </c>
      <c r="B538" s="21" t="s">
        <v>31</v>
      </c>
      <c r="C538" s="21">
        <v>3204</v>
      </c>
      <c r="D538" s="21">
        <v>50</v>
      </c>
      <c r="E538" s="21" t="str">
        <f>"1000017055"</f>
        <v>1000017055</v>
      </c>
      <c r="F538" s="21" t="str">
        <f>"FUSER KIT:HP Item # C9725A-HEW, HP LJ4600 Fuser Kit, 110V w Fuser (Yld 150k)"</f>
        <v>FUSER KIT:HP Item # C9725A-HEW, HP LJ4600 Fuser Kit, 110V w Fuser (Yld 150k)</v>
      </c>
      <c r="G538" s="22" t="str">
        <f>"EA"</f>
        <v>EA</v>
      </c>
      <c r="H538" s="23">
        <v>310.32</v>
      </c>
      <c r="I538" s="21" t="str">
        <f t="shared" si="43"/>
        <v>44103004</v>
      </c>
      <c r="J538" s="25" t="s">
        <v>96</v>
      </c>
    </row>
    <row r="539" spans="1:10" ht="39">
      <c r="A539" s="9" t="s">
        <v>27</v>
      </c>
      <c r="B539" s="2" t="s">
        <v>31</v>
      </c>
      <c r="C539" s="2">
        <v>3204</v>
      </c>
      <c r="D539" s="2">
        <v>51</v>
      </c>
      <c r="E539" s="2" t="str">
        <f>"1000017056"</f>
        <v>1000017056</v>
      </c>
      <c r="F539" s="2" t="str">
        <f>"FUSER KIT:HP Item # Q3655A-HEW, HP Fuser Kit for Color LaserJet 3500 3700 printers, 110-127V"</f>
        <v>FUSER KIT:HP Item # Q3655A-HEW, HP Fuser Kit for Color LaserJet 3500 3700 printers, 110-127V</v>
      </c>
      <c r="G539" s="3" t="str">
        <f>"EA"</f>
        <v>EA</v>
      </c>
      <c r="H539" s="7">
        <v>77</v>
      </c>
      <c r="I539" s="2" t="str">
        <f t="shared" si="43"/>
        <v>44103004</v>
      </c>
      <c r="J539" s="10" t="s">
        <v>96</v>
      </c>
    </row>
    <row r="540" spans="1:10" ht="26.25">
      <c r="A540" s="24" t="s">
        <v>27</v>
      </c>
      <c r="B540" s="21" t="s">
        <v>31</v>
      </c>
      <c r="C540" s="21">
        <v>3204</v>
      </c>
      <c r="D540" s="21">
        <v>52</v>
      </c>
      <c r="E540" s="21" t="str">
        <f>"1000000356"</f>
        <v>1000000356</v>
      </c>
      <c r="F540" s="21" t="str">
        <f>"FUSER KT: Item # C9735A-HEW, Color LaserJet 500 Smart Print Fuser Kit 110v, Yields 150k"</f>
        <v>FUSER KT: Item # C9735A-HEW, Color LaserJet 500 Smart Print Fuser Kit 110v, Yields 150k</v>
      </c>
      <c r="G540" s="22" t="str">
        <f>"KT"</f>
        <v>KT</v>
      </c>
      <c r="H540" s="23">
        <v>364.66</v>
      </c>
      <c r="I540" s="21" t="str">
        <f t="shared" si="43"/>
        <v>44103004</v>
      </c>
      <c r="J540" s="25" t="s">
        <v>96</v>
      </c>
    </row>
    <row r="541" spans="1:10" ht="64.5">
      <c r="A541" s="9" t="s">
        <v>27</v>
      </c>
      <c r="B541" s="2" t="s">
        <v>31</v>
      </c>
      <c r="C541" s="2">
        <v>3204</v>
      </c>
      <c r="D541" s="2">
        <v>53</v>
      </c>
      <c r="E541" s="2" t="str">
        <f>"1000000082"</f>
        <v>1000000082</v>
      </c>
      <c r="F541" s="2" t="str">
        <f>"FUSER KT:HP Item # C4197A-HEW, LaserJet 4500 Fuser Kit 110V HP Laser Printers Color LaserJet 4500 Series, 4550 Series, Yields: 100,000 pages for b/w, Yields up to 50,000 pages - color"</f>
        <v>FUSER KT:HP Item # C4197A-HEW, LaserJet 4500 Fuser Kit 110V HP Laser Printers Color LaserJet 4500 Series, 4550 Series, Yields: 100,000 pages for b/w, Yields up to 50,000 pages - color</v>
      </c>
      <c r="G541" s="3" t="str">
        <f>"KT"</f>
        <v>KT</v>
      </c>
      <c r="H541" s="7">
        <v>282</v>
      </c>
      <c r="I541" s="2" t="str">
        <f t="shared" si="43"/>
        <v>44103004</v>
      </c>
      <c r="J541" s="10" t="s">
        <v>96</v>
      </c>
    </row>
    <row r="542" spans="1:10" ht="39">
      <c r="A542" s="24" t="s">
        <v>27</v>
      </c>
      <c r="B542" s="21" t="s">
        <v>31</v>
      </c>
      <c r="C542" s="21">
        <v>3204</v>
      </c>
      <c r="D542" s="21">
        <v>54</v>
      </c>
      <c r="E542" s="21" t="str">
        <f>"1000000394"</f>
        <v>1000000394</v>
      </c>
      <c r="F542" s="21" t="str">
        <f>"FUSER KT:HP Item # Q3676A-HEW, Toner for Hewlett Packard Printers Fuser Kit (110V) HP 4650"</f>
        <v>FUSER KT:HP Item # Q3676A-HEW, Toner for Hewlett Packard Printers Fuser Kit (110V) HP 4650</v>
      </c>
      <c r="G542" s="22" t="str">
        <f>"KT"</f>
        <v>KT</v>
      </c>
      <c r="H542" s="23">
        <v>343.66</v>
      </c>
      <c r="I542" s="21" t="str">
        <f t="shared" si="43"/>
        <v>44103004</v>
      </c>
      <c r="J542" s="25" t="s">
        <v>96</v>
      </c>
    </row>
    <row r="543" spans="1:10" ht="39">
      <c r="A543" s="9" t="s">
        <v>27</v>
      </c>
      <c r="B543" s="2" t="s">
        <v>31</v>
      </c>
      <c r="C543" s="2">
        <v>3204</v>
      </c>
      <c r="D543" s="2">
        <v>55</v>
      </c>
      <c r="E543" s="2" t="str">
        <f>"1000000059"</f>
        <v>1000000059</v>
      </c>
      <c r="F543" s="2" t="str">
        <f>"FUSER KT:HP Item # Q3984A-HEW, Toner for Hewlett Packard Printers HP Laser Toner Fuser Kit 110V"</f>
        <v>FUSER KT:HP Item # Q3984A-HEW, Toner for Hewlett Packard Printers HP Laser Toner Fuser Kit 110V</v>
      </c>
      <c r="G543" s="3" t="str">
        <f>"KT"</f>
        <v>KT</v>
      </c>
      <c r="H543" s="7">
        <v>361.99</v>
      </c>
      <c r="I543" s="2" t="str">
        <f t="shared" si="43"/>
        <v>44103004</v>
      </c>
      <c r="J543" s="10" t="s">
        <v>96</v>
      </c>
    </row>
    <row r="544" spans="1:10" ht="39">
      <c r="A544" s="24" t="s">
        <v>27</v>
      </c>
      <c r="B544" s="21" t="s">
        <v>31</v>
      </c>
      <c r="C544" s="21">
        <v>3204</v>
      </c>
      <c r="D544" s="21">
        <v>56</v>
      </c>
      <c r="E544" s="21" t="str">
        <f>"1000016984"</f>
        <v>1000016984</v>
      </c>
      <c r="F544" s="21" t="str">
        <f>"FUSER:XER Item # 016188700-XER, Xerox Tektronix Fuser for Xerox Phaser 7700 Printers, 110 Volt (Yld 60k)"</f>
        <v>FUSER:XER Item # 016188700-XER, Xerox Tektronix Fuser for Xerox Phaser 7700 Printers, 110 Volt (Yld 60k)</v>
      </c>
      <c r="G544" s="22" t="str">
        <f t="shared" ref="G544:G580" si="44">"EA"</f>
        <v>EA</v>
      </c>
      <c r="H544" s="23">
        <v>251</v>
      </c>
      <c r="I544" s="21" t="str">
        <f t="shared" si="43"/>
        <v>44103004</v>
      </c>
      <c r="J544" s="25" t="s">
        <v>96</v>
      </c>
    </row>
    <row r="545" spans="1:10" ht="26.25">
      <c r="A545" s="24" t="s">
        <v>27</v>
      </c>
      <c r="B545" s="21" t="s">
        <v>31</v>
      </c>
      <c r="C545" s="21">
        <v>3204</v>
      </c>
      <c r="D545" s="21">
        <v>57</v>
      </c>
      <c r="E545" s="21" t="str">
        <f>"1000017057"</f>
        <v>1000017057</v>
      </c>
      <c r="F545" s="21" t="str">
        <f>"IMAGING UNIT:XER # 108R00591-XER, Xerox Imaging Unit for Phaser 6250"</f>
        <v>IMAGING UNIT:XER # 108R00591-XER, Xerox Imaging Unit for Phaser 6250</v>
      </c>
      <c r="G545" s="22" t="str">
        <f t="shared" si="44"/>
        <v>EA</v>
      </c>
      <c r="H545" s="23">
        <v>351</v>
      </c>
      <c r="I545" s="21" t="str">
        <f>"44101706"</f>
        <v>44101706</v>
      </c>
      <c r="J545" s="25" t="s">
        <v>97</v>
      </c>
    </row>
    <row r="546" spans="1:10" ht="39">
      <c r="A546" s="9" t="s">
        <v>27</v>
      </c>
      <c r="B546" s="2" t="s">
        <v>31</v>
      </c>
      <c r="C546" s="2">
        <v>3204</v>
      </c>
      <c r="D546" s="2">
        <v>58</v>
      </c>
      <c r="E546" s="2" t="str">
        <f>"1000016953"</f>
        <v>1000016953</v>
      </c>
      <c r="F546" s="2" t="str">
        <f>"INK CART:BRO Item # LC21BK-BRT, Brother Black ink cartridge for MFC-3100C/5100C (Yld 800)"</f>
        <v>INK CART:BRO Item # LC21BK-BRT, Brother Black ink cartridge for MFC-3100C/5100C (Yld 800)</v>
      </c>
      <c r="G546" s="3" t="str">
        <f t="shared" si="44"/>
        <v>EA</v>
      </c>
      <c r="H546" s="7">
        <v>24</v>
      </c>
      <c r="I546" s="2" t="str">
        <f>"44103105"</f>
        <v>44103105</v>
      </c>
      <c r="J546" s="10" t="s">
        <v>98</v>
      </c>
    </row>
    <row r="547" spans="1:10" ht="26.25">
      <c r="A547" s="9" t="s">
        <v>27</v>
      </c>
      <c r="B547" s="2" t="s">
        <v>31</v>
      </c>
      <c r="C547" s="2">
        <v>3204</v>
      </c>
      <c r="D547" s="2">
        <v>59</v>
      </c>
      <c r="E547" s="2" t="str">
        <f>"1000000808"</f>
        <v>1000000808</v>
      </c>
      <c r="F547" s="2" t="str">
        <f>"INK CART:BRO Item # LC21C-BRT, Cyan ink for Brother MFC-3100C/5100C (yield 400)"</f>
        <v>INK CART:BRO Item # LC21C-BRT, Cyan ink for Brother MFC-3100C/5100C (yield 400)</v>
      </c>
      <c r="G547" s="3" t="str">
        <f t="shared" si="44"/>
        <v>EA</v>
      </c>
      <c r="H547" s="7">
        <v>15</v>
      </c>
      <c r="I547" s="2" t="str">
        <f>"44103103"</f>
        <v>44103103</v>
      </c>
      <c r="J547" s="10" t="s">
        <v>99</v>
      </c>
    </row>
    <row r="548" spans="1:10" ht="39">
      <c r="A548" s="24" t="s">
        <v>27</v>
      </c>
      <c r="B548" s="21" t="s">
        <v>31</v>
      </c>
      <c r="C548" s="21">
        <v>3204</v>
      </c>
      <c r="D548" s="21">
        <v>60</v>
      </c>
      <c r="E548" s="21" t="str">
        <f>"1000016954"</f>
        <v>1000016954</v>
      </c>
      <c r="F548" s="21" t="str">
        <f>"INK CART:BRO Item # LC21M-BRT, Brother Magenta ink cartridge for MFC-3100C/5100C (Yld 400)"</f>
        <v>INK CART:BRO Item # LC21M-BRT, Brother Magenta ink cartridge for MFC-3100C/5100C (Yld 400)</v>
      </c>
      <c r="G548" s="22" t="str">
        <f t="shared" si="44"/>
        <v>EA</v>
      </c>
      <c r="H548" s="23">
        <v>15</v>
      </c>
      <c r="I548" s="21" t="str">
        <f t="shared" ref="I548:I553" si="45">"44103105"</f>
        <v>44103105</v>
      </c>
      <c r="J548" s="25" t="s">
        <v>98</v>
      </c>
    </row>
    <row r="549" spans="1:10" ht="26.25">
      <c r="A549" s="9" t="s">
        <v>27</v>
      </c>
      <c r="B549" s="2" t="s">
        <v>31</v>
      </c>
      <c r="C549" s="2">
        <v>3204</v>
      </c>
      <c r="D549" s="2">
        <v>61</v>
      </c>
      <c r="E549" s="2" t="str">
        <f>"1000016955"</f>
        <v>1000016955</v>
      </c>
      <c r="F549" s="2" t="str">
        <f>"INK CART:BRO Item # LC21Y-BRT, Brother Yellow ink cartridge for MFC-3100C/5100C (Yld 400)"</f>
        <v>INK CART:BRO Item # LC21Y-BRT, Brother Yellow ink cartridge for MFC-3100C/5100C (Yld 400)</v>
      </c>
      <c r="G549" s="3" t="str">
        <f t="shared" si="44"/>
        <v>EA</v>
      </c>
      <c r="H549" s="7">
        <v>15</v>
      </c>
      <c r="I549" s="2" t="str">
        <f t="shared" si="45"/>
        <v>44103105</v>
      </c>
      <c r="J549" s="10" t="s">
        <v>98</v>
      </c>
    </row>
    <row r="550" spans="1:10" ht="39">
      <c r="A550" s="24" t="s">
        <v>27</v>
      </c>
      <c r="B550" s="21" t="s">
        <v>31</v>
      </c>
      <c r="C550" s="21">
        <v>3204</v>
      </c>
      <c r="D550" s="21">
        <v>62</v>
      </c>
      <c r="E550" s="21" t="str">
        <f>"1000001365"</f>
        <v>1000001365</v>
      </c>
      <c r="F550" s="21" t="str">
        <f>"INK CART:BRO Item # LC31BK-BRT, Black Ink (Yld 500) for Brother PPF 1920C Multifunction Machine"</f>
        <v>INK CART:BRO Item # LC31BK-BRT, Black Ink (Yld 500) for Brother PPF 1920C Multifunction Machine</v>
      </c>
      <c r="G550" s="22" t="str">
        <f t="shared" si="44"/>
        <v>EA</v>
      </c>
      <c r="H550" s="23">
        <v>23</v>
      </c>
      <c r="I550" s="21" t="str">
        <f t="shared" si="45"/>
        <v>44103105</v>
      </c>
      <c r="J550" s="25" t="s">
        <v>98</v>
      </c>
    </row>
    <row r="551" spans="1:10" ht="39">
      <c r="A551" s="9" t="s">
        <v>27</v>
      </c>
      <c r="B551" s="2" t="s">
        <v>31</v>
      </c>
      <c r="C551" s="2">
        <v>3204</v>
      </c>
      <c r="D551" s="2">
        <v>63</v>
      </c>
      <c r="E551" s="2" t="str">
        <f>"1000000004"</f>
        <v>1000000004</v>
      </c>
      <c r="F551" s="2" t="str">
        <f>"INK CART:BRO Item # LC31C-BRT, Cyan Ink cartridge for Brother PPF 1920C Multifunction Machine"</f>
        <v>INK CART:BRO Item # LC31C-BRT, Cyan Ink cartridge for Brother PPF 1920C Multifunction Machine</v>
      </c>
      <c r="G551" s="3" t="str">
        <f t="shared" si="44"/>
        <v>EA</v>
      </c>
      <c r="H551" s="7">
        <v>13</v>
      </c>
      <c r="I551" s="2" t="str">
        <f t="shared" si="45"/>
        <v>44103105</v>
      </c>
      <c r="J551" s="10" t="s">
        <v>98</v>
      </c>
    </row>
    <row r="552" spans="1:10" ht="39">
      <c r="A552" s="24" t="s">
        <v>27</v>
      </c>
      <c r="B552" s="21" t="s">
        <v>31</v>
      </c>
      <c r="C552" s="21">
        <v>3204</v>
      </c>
      <c r="D552" s="21">
        <v>64</v>
      </c>
      <c r="E552" s="21" t="str">
        <f>"1000001031"</f>
        <v>1000001031</v>
      </c>
      <c r="F552" s="21" t="str">
        <f>"INK CART:BRO Item # LC31M-BRT, Magenta Toner for Brother PPF 1920C Multifunction Machine"</f>
        <v>INK CART:BRO Item # LC31M-BRT, Magenta Toner for Brother PPF 1920C Multifunction Machine</v>
      </c>
      <c r="G552" s="22" t="str">
        <f t="shared" si="44"/>
        <v>EA</v>
      </c>
      <c r="H552" s="23">
        <v>13</v>
      </c>
      <c r="I552" s="21" t="str">
        <f t="shared" si="45"/>
        <v>44103105</v>
      </c>
      <c r="J552" s="25" t="s">
        <v>98</v>
      </c>
    </row>
    <row r="553" spans="1:10" ht="39">
      <c r="A553" s="9" t="s">
        <v>27</v>
      </c>
      <c r="B553" s="2" t="s">
        <v>31</v>
      </c>
      <c r="C553" s="2">
        <v>3204</v>
      </c>
      <c r="D553" s="2">
        <v>65</v>
      </c>
      <c r="E553" s="2" t="str">
        <f>"1000000182"</f>
        <v>1000000182</v>
      </c>
      <c r="F553" s="2" t="str">
        <f>"INK CART:BRO Item # LC31Y-BRT, Yellow Ink Cartridge for Brother PPF 1920C Multifunction Machine"</f>
        <v>INK CART:BRO Item # LC31Y-BRT, Yellow Ink Cartridge for Brother PPF 1920C Multifunction Machine</v>
      </c>
      <c r="G553" s="3" t="str">
        <f t="shared" si="44"/>
        <v>EA</v>
      </c>
      <c r="H553" s="7">
        <v>13</v>
      </c>
      <c r="I553" s="2" t="str">
        <f t="shared" si="45"/>
        <v>44103105</v>
      </c>
      <c r="J553" s="10" t="s">
        <v>98</v>
      </c>
    </row>
    <row r="554" spans="1:10" ht="51.75">
      <c r="A554" s="24" t="s">
        <v>27</v>
      </c>
      <c r="B554" s="21" t="s">
        <v>31</v>
      </c>
      <c r="C554" s="21">
        <v>3204</v>
      </c>
      <c r="D554" s="21">
        <v>66</v>
      </c>
      <c r="E554" s="21" t="str">
        <f>"1000000807"</f>
        <v>1000000807</v>
      </c>
      <c r="F554" s="21" t="str">
        <f>"INK CART:BRO Item # LC41BK-BRT, Black Ink for Brother Intellifax 11840c/ 1940cn/ 2440/ MFC 210C/ 420CN/ 620CN/ 3240C/ 3340N/ 5440CN/ 5840CN"</f>
        <v>INK CART:BRO Item # LC41BK-BRT, Black Ink for Brother Intellifax 11840c/ 1940cn/ 2440/ MFC 210C/ 420CN/ 620CN/ 3240C/ 3340N/ 5440CN/ 5840CN</v>
      </c>
      <c r="G554" s="22" t="str">
        <f t="shared" si="44"/>
        <v>EA</v>
      </c>
      <c r="H554" s="23">
        <v>28.32</v>
      </c>
      <c r="I554" s="21" t="str">
        <f>"44103103"</f>
        <v>44103103</v>
      </c>
      <c r="J554" s="25" t="s">
        <v>99</v>
      </c>
    </row>
    <row r="555" spans="1:10" ht="51.75">
      <c r="A555" s="24" t="s">
        <v>27</v>
      </c>
      <c r="B555" s="21" t="s">
        <v>31</v>
      </c>
      <c r="C555" s="21">
        <v>3204</v>
      </c>
      <c r="D555" s="21">
        <v>67</v>
      </c>
      <c r="E555" s="21" t="str">
        <f>"1000001468"</f>
        <v>1000001468</v>
      </c>
      <c r="F555" s="21" t="str">
        <f>"INK CART:BRO Item # LC41C-BRT, Cyan Ink for Brother Intellifax 1840c/1940cn /2440 MFC 210C/420CN/620CN/ 3240C/3340N/5440CN/5840CN"</f>
        <v>INK CART:BRO Item # LC41C-BRT, Cyan Ink for Brother Intellifax 1840c/1940cn /2440 MFC 210C/420CN/620CN/ 3240C/3340N/5440CN/5840CN</v>
      </c>
      <c r="G555" s="22" t="str">
        <f t="shared" si="44"/>
        <v>EA</v>
      </c>
      <c r="H555" s="23">
        <v>14.99</v>
      </c>
      <c r="I555" s="21" t="str">
        <f t="shared" ref="I555:I618" si="46">"44103105"</f>
        <v>44103105</v>
      </c>
      <c r="J555" s="25" t="s">
        <v>98</v>
      </c>
    </row>
    <row r="556" spans="1:10" ht="51.75">
      <c r="A556" s="9" t="s">
        <v>27</v>
      </c>
      <c r="B556" s="2" t="s">
        <v>31</v>
      </c>
      <c r="C556" s="2">
        <v>3204</v>
      </c>
      <c r="D556" s="2">
        <v>68</v>
      </c>
      <c r="E556" s="2" t="str">
        <f>"1000001469"</f>
        <v>1000001469</v>
      </c>
      <c r="F556" s="2" t="str">
        <f>"INK CART:BRO Item # LC41M-BRT, Magenta Ink for Brother Intellifax 1840c/1940cn /2440 MFC 210C/420CN/620CN/ 3240C/3340N/5440CN/5840CN"</f>
        <v>INK CART:BRO Item # LC41M-BRT, Magenta Ink for Brother Intellifax 1840c/1940cn /2440 MFC 210C/420CN/620CN/ 3240C/3340N/5440CN/5840CN</v>
      </c>
      <c r="G556" s="3" t="str">
        <f t="shared" si="44"/>
        <v>EA</v>
      </c>
      <c r="H556" s="7">
        <v>14.99</v>
      </c>
      <c r="I556" s="2" t="str">
        <f t="shared" si="46"/>
        <v>44103105</v>
      </c>
      <c r="J556" s="10" t="s">
        <v>98</v>
      </c>
    </row>
    <row r="557" spans="1:10" ht="51.75">
      <c r="A557" s="24" t="s">
        <v>27</v>
      </c>
      <c r="B557" s="21" t="s">
        <v>31</v>
      </c>
      <c r="C557" s="21">
        <v>3204</v>
      </c>
      <c r="D557" s="21">
        <v>69</v>
      </c>
      <c r="E557" s="21" t="str">
        <f>"1000001470"</f>
        <v>1000001470</v>
      </c>
      <c r="F557" s="21" t="str">
        <f>"INK CART:BRO Item # LC41Y-BRT, Yellow Ink for Brother Intellifax 1840c/1940cn /2440 MFC 210C/420CN/620CN/ 3240C/3340N/5440CN/5840CN"</f>
        <v>INK CART:BRO Item # LC41Y-BRT, Yellow Ink for Brother Intellifax 1840c/1940cn /2440 MFC 210C/420CN/620CN/ 3240C/3340N/5440CN/5840CN</v>
      </c>
      <c r="G557" s="22" t="str">
        <f t="shared" si="44"/>
        <v>EA</v>
      </c>
      <c r="H557" s="23">
        <v>14.99</v>
      </c>
      <c r="I557" s="21" t="str">
        <f t="shared" si="46"/>
        <v>44103105</v>
      </c>
      <c r="J557" s="25" t="s">
        <v>98</v>
      </c>
    </row>
    <row r="558" spans="1:10" ht="51.75">
      <c r="A558" s="9" t="s">
        <v>27</v>
      </c>
      <c r="B558" s="2" t="s">
        <v>31</v>
      </c>
      <c r="C558" s="2">
        <v>3204</v>
      </c>
      <c r="D558" s="2">
        <v>70</v>
      </c>
      <c r="E558" s="2" t="str">
        <f>"1000017084"</f>
        <v>1000017084</v>
      </c>
      <c r="F558" s="2" t="str">
        <f>"INK CART:BRO Item # LC51BK-BRT, Brother Black ink cartridge for FAX 1860C, 2480C, MFC2480C, MFC240CN, MFC685CW, MFC3360C, MFC5460CN (Yld 500)"</f>
        <v>INK CART:BRO Item # LC51BK-BRT, Brother Black ink cartridge for FAX 1860C, 2480C, MFC2480C, MFC240CN, MFC685CW, MFC3360C, MFC5460CN (Yld 500)</v>
      </c>
      <c r="G558" s="3" t="str">
        <f t="shared" si="44"/>
        <v>EA</v>
      </c>
      <c r="H558" s="7">
        <v>27.06</v>
      </c>
      <c r="I558" s="2" t="str">
        <f t="shared" si="46"/>
        <v>44103105</v>
      </c>
      <c r="J558" s="10" t="s">
        <v>98</v>
      </c>
    </row>
    <row r="559" spans="1:10" ht="51.75">
      <c r="A559" s="24" t="s">
        <v>27</v>
      </c>
      <c r="B559" s="21" t="s">
        <v>31</v>
      </c>
      <c r="C559" s="21">
        <v>3204</v>
      </c>
      <c r="D559" s="21">
        <v>71</v>
      </c>
      <c r="E559" s="21" t="str">
        <f>"1000017085"</f>
        <v>1000017085</v>
      </c>
      <c r="F559" s="21" t="str">
        <f>"INK CART:BRO Item # LC51C-BRT, Brother Cyan ink cartridge for FAX 1860C, 2480C, MFC2480C, MFC240CN, MFC685CW, MFC3360C, MFC5460CN (Yld 500)"</f>
        <v>INK CART:BRO Item # LC51C-BRT, Brother Cyan ink cartridge for FAX 1860C, 2480C, MFC2480C, MFC240CN, MFC685CW, MFC3360C, MFC5460CN (Yld 500)</v>
      </c>
      <c r="G559" s="22" t="str">
        <f t="shared" si="44"/>
        <v>EA</v>
      </c>
      <c r="H559" s="23">
        <v>16.82</v>
      </c>
      <c r="I559" s="21" t="str">
        <f t="shared" si="46"/>
        <v>44103105</v>
      </c>
      <c r="J559" s="25" t="s">
        <v>98</v>
      </c>
    </row>
    <row r="560" spans="1:10" ht="51.75">
      <c r="A560" s="9" t="s">
        <v>27</v>
      </c>
      <c r="B560" s="2" t="s">
        <v>31</v>
      </c>
      <c r="C560" s="2">
        <v>3204</v>
      </c>
      <c r="D560" s="2">
        <v>72</v>
      </c>
      <c r="E560" s="2" t="str">
        <f>"1000017086"</f>
        <v>1000017086</v>
      </c>
      <c r="F560" s="2" t="str">
        <f>"INK CART:BRO Item # LC51M-BRT, Brother Magenta ink cartridge for FAX 1860C, 2480C, MFC2480C, MFC240CN, MFC685CW, MFC3360C, MFC5460CN (Yld 500)"</f>
        <v>INK CART:BRO Item # LC51M-BRT, Brother Magenta ink cartridge for FAX 1860C, 2480C, MFC2480C, MFC240CN, MFC685CW, MFC3360C, MFC5460CN (Yld 500)</v>
      </c>
      <c r="G560" s="3" t="str">
        <f t="shared" si="44"/>
        <v>EA</v>
      </c>
      <c r="H560" s="7">
        <v>16.82</v>
      </c>
      <c r="I560" s="2" t="str">
        <f t="shared" si="46"/>
        <v>44103105</v>
      </c>
      <c r="J560" s="10" t="s">
        <v>98</v>
      </c>
    </row>
    <row r="561" spans="1:10" ht="51.75">
      <c r="A561" s="24" t="s">
        <v>27</v>
      </c>
      <c r="B561" s="21" t="s">
        <v>31</v>
      </c>
      <c r="C561" s="21">
        <v>3204</v>
      </c>
      <c r="D561" s="21">
        <v>73</v>
      </c>
      <c r="E561" s="21" t="str">
        <f>"1000017113"</f>
        <v>1000017113</v>
      </c>
      <c r="F561" s="21" t="str">
        <f>"INK CART:BRO Item # LC51Y-BRT, Brother Yellow ink cartridge for FAX 1860C, 2480C, MFC2480C, MFC240CN, MFC685CW, MFC3360C, MFC5460CN (Yld 500)"</f>
        <v>INK CART:BRO Item # LC51Y-BRT, Brother Yellow ink cartridge for FAX 1860C, 2480C, MFC2480C, MFC240CN, MFC685CW, MFC3360C, MFC5460CN (Yld 500)</v>
      </c>
      <c r="G561" s="22" t="str">
        <f t="shared" si="44"/>
        <v>EA</v>
      </c>
      <c r="H561" s="23">
        <v>16.82</v>
      </c>
      <c r="I561" s="21" t="str">
        <f t="shared" si="46"/>
        <v>44103105</v>
      </c>
      <c r="J561" s="25" t="s">
        <v>98</v>
      </c>
    </row>
    <row r="562" spans="1:10" ht="51.75">
      <c r="A562" s="9" t="s">
        <v>27</v>
      </c>
      <c r="B562" s="2" t="s">
        <v>31</v>
      </c>
      <c r="C562" s="2">
        <v>3204</v>
      </c>
      <c r="D562" s="2">
        <v>74</v>
      </c>
      <c r="E562" s="2" t="str">
        <f>"1000017088"</f>
        <v>1000017088</v>
      </c>
      <c r="F562" s="2" t="str">
        <f>"INK CART:BRO Item # LC61BK-BRT, Brother Black ink MFC290C,MFC490CW, MFC790CW, MFC5490CN, MFC5890CW, DCP165C, DPC385CN, DPC585CW 450 yield"</f>
        <v>INK CART:BRO Item # LC61BK-BRT, Brother Black ink MFC290C,MFC490CW, MFC790CW, MFC5490CN, MFC5890CW, DCP165C, DPC385CN, DPC585CW 450 yield</v>
      </c>
      <c r="G562" s="3" t="str">
        <f t="shared" si="44"/>
        <v>EA</v>
      </c>
      <c r="H562" s="7">
        <v>25.99</v>
      </c>
      <c r="I562" s="2" t="str">
        <f t="shared" si="46"/>
        <v>44103105</v>
      </c>
      <c r="J562" s="10" t="s">
        <v>98</v>
      </c>
    </row>
    <row r="563" spans="1:10" ht="51.75">
      <c r="A563" s="24" t="s">
        <v>27</v>
      </c>
      <c r="B563" s="21" t="s">
        <v>31</v>
      </c>
      <c r="C563" s="21">
        <v>3204</v>
      </c>
      <c r="D563" s="21">
        <v>75</v>
      </c>
      <c r="E563" s="21" t="str">
        <f>"1000017089"</f>
        <v>1000017089</v>
      </c>
      <c r="F563" s="21" t="str">
        <f>"INK CART:BRO Item # LC61C-BRT, Brother Cyan Ink (Yld 325) for MFC290C,MFC490CW, MFC790CW, MFC5490CN, MFC5890CW, DCP165C, DPC385CN, DPC585CW"</f>
        <v>INK CART:BRO Item # LC61C-BRT, Brother Cyan Ink (Yld 325) for MFC290C,MFC490CW, MFC790CW, MFC5490CN, MFC5890CW, DCP165C, DPC385CN, DPC585CW</v>
      </c>
      <c r="G563" s="22" t="str">
        <f t="shared" si="44"/>
        <v>EA</v>
      </c>
      <c r="H563" s="23">
        <v>11.99</v>
      </c>
      <c r="I563" s="21" t="str">
        <f t="shared" si="46"/>
        <v>44103105</v>
      </c>
      <c r="J563" s="25" t="s">
        <v>98</v>
      </c>
    </row>
    <row r="564" spans="1:10" ht="51.75">
      <c r="A564" s="9" t="s">
        <v>27</v>
      </c>
      <c r="B564" s="2" t="s">
        <v>31</v>
      </c>
      <c r="C564" s="2">
        <v>3204</v>
      </c>
      <c r="D564" s="2">
        <v>76</v>
      </c>
      <c r="E564" s="2" t="str">
        <f>"1000017039"</f>
        <v>1000017039</v>
      </c>
      <c r="F564" s="2" t="str">
        <f>"INK CART:BRO Item # LC61M-BRT, Brother Magenta Ink for MFC290C,MFC490CW, MFC790CW, MFC5490CN, MFC5890CW, DCP165C, DPC385CN, DPC585CW (325 Yld)"</f>
        <v>INK CART:BRO Item # LC61M-BRT, Brother Magenta Ink for MFC290C,MFC490CW, MFC790CW, MFC5490CN, MFC5890CW, DCP165C, DPC385CN, DPC585CW (325 Yld)</v>
      </c>
      <c r="G564" s="3" t="str">
        <f t="shared" si="44"/>
        <v>EA</v>
      </c>
      <c r="H564" s="7">
        <v>11.99</v>
      </c>
      <c r="I564" s="2" t="str">
        <f t="shared" si="46"/>
        <v>44103105</v>
      </c>
      <c r="J564" s="10" t="s">
        <v>98</v>
      </c>
    </row>
    <row r="565" spans="1:10" ht="51.75">
      <c r="A565" s="24" t="s">
        <v>27</v>
      </c>
      <c r="B565" s="21" t="s">
        <v>31</v>
      </c>
      <c r="C565" s="21">
        <v>3204</v>
      </c>
      <c r="D565" s="21">
        <v>77</v>
      </c>
      <c r="E565" s="21" t="str">
        <f>"1000017040"</f>
        <v>1000017040</v>
      </c>
      <c r="F565" s="21" t="str">
        <f>"INK CART:BRO Item # LC61Y-BRT, Brother Yellow Ink for MFC290C,MFC490CW, MFC790CW, MFC5490CN, MFC5890CW, DCP165C, DPC385CN, DPC585CW (325 Yld)"</f>
        <v>INK CART:BRO Item # LC61Y-BRT, Brother Yellow Ink for MFC290C,MFC490CW, MFC790CW, MFC5490CN, MFC5890CW, DCP165C, DPC385CN, DPC585CW (325 Yld)</v>
      </c>
      <c r="G565" s="22" t="str">
        <f t="shared" si="44"/>
        <v>EA</v>
      </c>
      <c r="H565" s="23">
        <v>11.99</v>
      </c>
      <c r="I565" s="21" t="str">
        <f t="shared" si="46"/>
        <v>44103105</v>
      </c>
      <c r="J565" s="25" t="s">
        <v>98</v>
      </c>
    </row>
    <row r="566" spans="1:10" ht="51.75">
      <c r="A566" s="9" t="s">
        <v>27</v>
      </c>
      <c r="B566" s="2" t="s">
        <v>31</v>
      </c>
      <c r="C566" s="2">
        <v>3204</v>
      </c>
      <c r="D566" s="2">
        <v>78</v>
      </c>
      <c r="E566" s="2" t="str">
        <f>"1000017041"</f>
        <v>1000017041</v>
      </c>
      <c r="F566" s="2" t="str">
        <f>"INK CART:BRO Item # LC65HYBKS-BRT, Brother black high capacity inkjet cartridge designed for the Brother MFC-5890CN / MFC-6490CW inkjet printers (900 page yield)"</f>
        <v>INK CART:BRO Item # LC65HYBKS-BRT, Brother black high capacity inkjet cartridge designed for the Brother MFC-5890CN / MFC-6490CW inkjet printers (900 page yield)</v>
      </c>
      <c r="G566" s="3" t="str">
        <f t="shared" si="44"/>
        <v>EA</v>
      </c>
      <c r="H566" s="7">
        <v>94</v>
      </c>
      <c r="I566" s="2" t="str">
        <f t="shared" si="46"/>
        <v>44103105</v>
      </c>
      <c r="J566" s="10" t="s">
        <v>98</v>
      </c>
    </row>
    <row r="567" spans="1:10" ht="39">
      <c r="A567" s="24" t="s">
        <v>27</v>
      </c>
      <c r="B567" s="21" t="s">
        <v>31</v>
      </c>
      <c r="C567" s="21">
        <v>3204</v>
      </c>
      <c r="D567" s="21">
        <v>79</v>
      </c>
      <c r="E567" s="21" t="str">
        <f>"1000017043"</f>
        <v>1000017043</v>
      </c>
      <c r="F567" s="21" t="str">
        <f>"INK CART:BRO Item # PC301-BRT, Brother Thermal Print Cartridge for IntelliFAX 750/ 770/ 870MC/ MFC970MC (Yld 250)"</f>
        <v>INK CART:BRO Item # PC301-BRT, Brother Thermal Print Cartridge for IntelliFAX 750/ 770/ 870MC/ MFC970MC (Yld 250)</v>
      </c>
      <c r="G567" s="22" t="str">
        <f t="shared" si="44"/>
        <v>EA</v>
      </c>
      <c r="H567" s="23">
        <v>28.06</v>
      </c>
      <c r="I567" s="21" t="str">
        <f t="shared" si="46"/>
        <v>44103105</v>
      </c>
      <c r="J567" s="25" t="s">
        <v>98</v>
      </c>
    </row>
    <row r="568" spans="1:10" ht="39">
      <c r="A568" s="9" t="s">
        <v>27</v>
      </c>
      <c r="B568" s="2" t="s">
        <v>31</v>
      </c>
      <c r="C568" s="2">
        <v>3204</v>
      </c>
      <c r="D568" s="2">
        <v>80</v>
      </c>
      <c r="E568" s="2" t="str">
        <f>"1000000088"</f>
        <v>1000000088</v>
      </c>
      <c r="F568" s="2" t="str">
        <f>"INK CART:CAN Item # 8190A003-CAN, Black Ink Cartridge for Canon PIXMA ip90V/ I70/ I80/ IP90"</f>
        <v>INK CART:CAN Item # 8190A003-CAN, Black Ink Cartridge for Canon PIXMA ip90V/ I70/ I80/ IP90</v>
      </c>
      <c r="G568" s="3" t="str">
        <f t="shared" si="44"/>
        <v>EA</v>
      </c>
      <c r="H568" s="7">
        <v>18.32</v>
      </c>
      <c r="I568" s="2" t="str">
        <f t="shared" si="46"/>
        <v>44103105</v>
      </c>
      <c r="J568" s="10" t="s">
        <v>98</v>
      </c>
    </row>
    <row r="569" spans="1:10" ht="39">
      <c r="A569" s="24" t="s">
        <v>27</v>
      </c>
      <c r="B569" s="21" t="s">
        <v>31</v>
      </c>
      <c r="C569" s="21">
        <v>3204</v>
      </c>
      <c r="D569" s="21">
        <v>81</v>
      </c>
      <c r="E569" s="21" t="str">
        <f>"1000001227"</f>
        <v>1000001227</v>
      </c>
      <c r="F569" s="21" t="str">
        <f>"INK CART:CAN Item # 0615B002-CAN, Black Ink PG-40 (Yld 490) for Canon Printers IP1600, IP620D, IP6220D, MP170 AND MP750 printers"</f>
        <v>INK CART:CAN Item # 0615B002-CAN, Black Ink PG-40 (Yld 490) for Canon Printers IP1600, IP620D, IP6220D, MP170 AND MP750 printers</v>
      </c>
      <c r="G569" s="22" t="str">
        <f t="shared" si="44"/>
        <v>EA</v>
      </c>
      <c r="H569" s="23">
        <v>23.66</v>
      </c>
      <c r="I569" s="21" t="str">
        <f t="shared" si="46"/>
        <v>44103105</v>
      </c>
      <c r="J569" s="25" t="s">
        <v>98</v>
      </c>
    </row>
    <row r="570" spans="1:10" ht="39">
      <c r="A570" s="9" t="s">
        <v>27</v>
      </c>
      <c r="B570" s="2" t="s">
        <v>31</v>
      </c>
      <c r="C570" s="2">
        <v>3204</v>
      </c>
      <c r="D570" s="2">
        <v>82</v>
      </c>
      <c r="E570" s="2" t="str">
        <f>"1000017139"</f>
        <v>1000017139</v>
      </c>
      <c r="F570" s="2" t="str">
        <f>"INK CART:CAN Item # 0616B002-CAN, Canon PG-50 Black IP1600, IP6210D, IP6220D, MP170 AND MP750 printers"</f>
        <v>INK CART:CAN Item # 0616B002-CAN, Canon PG-50 Black IP1600, IP6210D, IP6220D, MP170 AND MP750 printers</v>
      </c>
      <c r="G570" s="3" t="str">
        <f t="shared" si="44"/>
        <v>EA</v>
      </c>
      <c r="H570" s="7">
        <v>32</v>
      </c>
      <c r="I570" s="2" t="str">
        <f t="shared" si="46"/>
        <v>44103105</v>
      </c>
      <c r="J570" s="10" t="s">
        <v>98</v>
      </c>
    </row>
    <row r="571" spans="1:10" ht="39">
      <c r="A571" s="24" t="s">
        <v>27</v>
      </c>
      <c r="B571" s="21" t="s">
        <v>31</v>
      </c>
      <c r="C571" s="21">
        <v>3204</v>
      </c>
      <c r="D571" s="21">
        <v>83</v>
      </c>
      <c r="E571" s="21" t="str">
        <f>"1000017114"</f>
        <v>1000017114</v>
      </c>
      <c r="F571" s="21" t="str">
        <f>"INK CART:CAN Item # 0617B002-CAN, Canon CL-41 color cartridge IP1600, IP6210D, IP6220D, MP170 AND MP750 printers"</f>
        <v>INK CART:CAN Item # 0617B002-CAN, Canon CL-41 color cartridge IP1600, IP6210D, IP6220D, MP170 AND MP750 printers</v>
      </c>
      <c r="G571" s="22" t="str">
        <f t="shared" si="44"/>
        <v>EA</v>
      </c>
      <c r="H571" s="23">
        <v>28.66</v>
      </c>
      <c r="I571" s="21" t="str">
        <f t="shared" si="46"/>
        <v>44103105</v>
      </c>
      <c r="J571" s="25" t="s">
        <v>98</v>
      </c>
    </row>
    <row r="572" spans="1:10" ht="39">
      <c r="A572" s="9" t="s">
        <v>27</v>
      </c>
      <c r="B572" s="2" t="s">
        <v>31</v>
      </c>
      <c r="C572" s="2">
        <v>3204</v>
      </c>
      <c r="D572" s="2">
        <v>84</v>
      </c>
      <c r="E572" s="2" t="str">
        <f>"1000017115"</f>
        <v>1000017115</v>
      </c>
      <c r="F572" s="2" t="str">
        <f>"INK CART:CAN Item # 0618B002-CAN, Canon CL-51 Color IP1600, IP6210D, IP6220D, MP170 and MP750 printers"</f>
        <v>INK CART:CAN Item # 0618B002-CAN, Canon CL-51 Color IP1600, IP6210D, IP6220D, MP170 and MP750 printers</v>
      </c>
      <c r="G572" s="3" t="str">
        <f t="shared" si="44"/>
        <v>EA</v>
      </c>
      <c r="H572" s="7">
        <v>37</v>
      </c>
      <c r="I572" s="2" t="str">
        <f t="shared" si="46"/>
        <v>44103105</v>
      </c>
      <c r="J572" s="10" t="s">
        <v>98</v>
      </c>
    </row>
    <row r="573" spans="1:10" ht="39">
      <c r="A573" s="24" t="s">
        <v>27</v>
      </c>
      <c r="B573" s="21" t="s">
        <v>31</v>
      </c>
      <c r="C573" s="21">
        <v>3204</v>
      </c>
      <c r="D573" s="21">
        <v>85</v>
      </c>
      <c r="E573" s="21" t="str">
        <f>"1000017090"</f>
        <v>1000017090</v>
      </c>
      <c r="F573" s="21" t="str">
        <f>"INK CART:CAN item # 0619B002-CAN, Canon CL-52 photo ink cartridge for IP1600, IP6210D, MP170 and MP750 printers"</f>
        <v>INK CART:CAN item # 0619B002-CAN, Canon CL-52 photo ink cartridge for IP1600, IP6210D, MP170 and MP750 printers</v>
      </c>
      <c r="G573" s="22" t="str">
        <f t="shared" si="44"/>
        <v>EA</v>
      </c>
      <c r="H573" s="23">
        <v>25</v>
      </c>
      <c r="I573" s="21" t="str">
        <f t="shared" si="46"/>
        <v>44103105</v>
      </c>
      <c r="J573" s="25" t="s">
        <v>98</v>
      </c>
    </row>
    <row r="574" spans="1:10" ht="51.75">
      <c r="A574" s="9" t="s">
        <v>27</v>
      </c>
      <c r="B574" s="2" t="s">
        <v>31</v>
      </c>
      <c r="C574" s="2">
        <v>3204</v>
      </c>
      <c r="D574" s="2">
        <v>86</v>
      </c>
      <c r="E574" s="2" t="str">
        <f>"1000017091"</f>
        <v>1000017091</v>
      </c>
      <c r="F574" s="2" t="str">
        <f>"INK CART:CAN Item # 0628B002-CAN, Canon PGI-5 Black inkjet cartridge designed for the Canon PIXMA iP4200 / iP5200 / iP5200R inkjet printers"</f>
        <v>INK CART:CAN Item # 0628B002-CAN, Canon PGI-5 Black inkjet cartridge designed for the Canon PIXMA iP4200 / iP5200 / iP5200R inkjet printers</v>
      </c>
      <c r="G574" s="3" t="str">
        <f t="shared" si="44"/>
        <v>EA</v>
      </c>
      <c r="H574" s="7">
        <v>19.32</v>
      </c>
      <c r="I574" s="2" t="str">
        <f t="shared" si="46"/>
        <v>44103105</v>
      </c>
      <c r="J574" s="10" t="s">
        <v>98</v>
      </c>
    </row>
    <row r="575" spans="1:10" ht="51.75">
      <c r="A575" s="24" t="s">
        <v>27</v>
      </c>
      <c r="B575" s="21" t="s">
        <v>31</v>
      </c>
      <c r="C575" s="21">
        <v>3204</v>
      </c>
      <c r="D575" s="21">
        <v>87</v>
      </c>
      <c r="E575" s="21" t="str">
        <f>"1000000089"</f>
        <v>1000000089</v>
      </c>
      <c r="F575" s="21" t="str">
        <f>"INK CART:CAN Item # 0884A003-CAN, Black Ink Cartridge (BX-3) for Canon Printers B540/550/640 Multipass 100/800/1000 Fax Inkjet Printer (Yld 2000)"</f>
        <v>INK CART:CAN Item # 0884A003-CAN, Black Ink Cartridge (BX-3) for Canon Printers B540/550/640 Multipass 100/800/1000 Fax Inkjet Printer (Yld 2000)</v>
      </c>
      <c r="G575" s="22" t="str">
        <f t="shared" si="44"/>
        <v>EA</v>
      </c>
      <c r="H575" s="23">
        <v>41</v>
      </c>
      <c r="I575" s="21" t="str">
        <f t="shared" si="46"/>
        <v>44103105</v>
      </c>
      <c r="J575" s="25" t="s">
        <v>98</v>
      </c>
    </row>
    <row r="576" spans="1:10" ht="51.75">
      <c r="A576" s="9" t="s">
        <v>27</v>
      </c>
      <c r="B576" s="2" t="s">
        <v>31</v>
      </c>
      <c r="C576" s="2">
        <v>3204</v>
      </c>
      <c r="D576" s="2">
        <v>88</v>
      </c>
      <c r="E576" s="2" t="str">
        <f>"1000017092"</f>
        <v>1000017092</v>
      </c>
      <c r="F576" s="2" t="str">
        <f>"INK CART:CAN Item # 0885A003-CAN, Canon BC-05 Canon tri-color inkjet cartridge designed for the Canon BJC 150 / 210/ 240/ 250/ 255/ 1000 inkjet printers (300 Yld)"</f>
        <v>INK CART:CAN Item # 0885A003-CAN, Canon BC-05 Canon tri-color inkjet cartridge designed for the Canon BJC 150 / 210/ 240/ 250/ 255/ 1000 inkjet printers (300 Yld)</v>
      </c>
      <c r="G576" s="3" t="str">
        <f t="shared" si="44"/>
        <v>EA</v>
      </c>
      <c r="H576" s="7">
        <v>40</v>
      </c>
      <c r="I576" s="2" t="str">
        <f t="shared" si="46"/>
        <v>44103105</v>
      </c>
      <c r="J576" s="10" t="s">
        <v>98</v>
      </c>
    </row>
    <row r="577" spans="1:10" ht="39">
      <c r="A577" s="24" t="s">
        <v>27</v>
      </c>
      <c r="B577" s="21" t="s">
        <v>31</v>
      </c>
      <c r="C577" s="21">
        <v>3204</v>
      </c>
      <c r="D577" s="21">
        <v>89</v>
      </c>
      <c r="E577" s="21" t="str">
        <f>"1000017094"</f>
        <v>1000017094</v>
      </c>
      <c r="F577" s="21" t="str">
        <f>"INK CART:CAN Item # 0905A003-CAN, Canon BC-10 Black toner cartridge BJC 30/50/70/80/ Star Writer 300/350C/4000 (Yld 3k)"</f>
        <v>INK CART:CAN Item # 0905A003-CAN, Canon BC-10 Black toner cartridge BJC 30/50/70/80/ Star Writer 300/350C/4000 (Yld 3k)</v>
      </c>
      <c r="G577" s="22" t="str">
        <f t="shared" si="44"/>
        <v>EA</v>
      </c>
      <c r="H577" s="23">
        <v>42</v>
      </c>
      <c r="I577" s="21" t="str">
        <f t="shared" si="46"/>
        <v>44103105</v>
      </c>
      <c r="J577" s="25" t="s">
        <v>98</v>
      </c>
    </row>
    <row r="578" spans="1:10" ht="39">
      <c r="A578" s="9" t="s">
        <v>27</v>
      </c>
      <c r="B578" s="2" t="s">
        <v>31</v>
      </c>
      <c r="C578" s="2">
        <v>3204</v>
      </c>
      <c r="D578" s="2">
        <v>90</v>
      </c>
      <c r="E578" s="2" t="str">
        <f>"1000017095"</f>
        <v>1000017095</v>
      </c>
      <c r="F578" s="2" t="str">
        <f>"INK CART:CAN Item # 0907A003-CAN, Canon BC-11E, BJC 50/70/80 Series Tri-Color Cartridge (Yld 4k)"</f>
        <v>INK CART:CAN Item # 0907A003-CAN, Canon BC-11E, BJC 50/70/80 Series Tri-Color Cartridge (Yld 4k)</v>
      </c>
      <c r="G578" s="3" t="str">
        <f t="shared" si="44"/>
        <v>EA</v>
      </c>
      <c r="H578" s="7">
        <v>47</v>
      </c>
      <c r="I578" s="2" t="str">
        <f t="shared" si="46"/>
        <v>44103105</v>
      </c>
      <c r="J578" s="10" t="s">
        <v>98</v>
      </c>
    </row>
    <row r="579" spans="1:10" ht="51.75">
      <c r="A579" s="24" t="s">
        <v>27</v>
      </c>
      <c r="B579" s="21" t="s">
        <v>31</v>
      </c>
      <c r="C579" s="21">
        <v>3204</v>
      </c>
      <c r="D579" s="21">
        <v>91</v>
      </c>
      <c r="E579" s="21" t="str">
        <f>"1000017096"</f>
        <v>1000017096</v>
      </c>
      <c r="F579" s="21" t="str">
        <f>"INK CART:CAN Item # 0954A003-CAN, Canon BCI-21BK, BJC 2000/2010/2500/ 3000/4000/41/42/43/Black Tank Refill for BC21 (Yld 200)"</f>
        <v>INK CART:CAN Item # 0954A003-CAN, Canon BCI-21BK, BJC 2000/2010/2500/ 3000/4000/41/42/43/Black Tank Refill for BC21 (Yld 200)</v>
      </c>
      <c r="G579" s="22" t="str">
        <f t="shared" si="44"/>
        <v>EA</v>
      </c>
      <c r="H579" s="23">
        <v>10</v>
      </c>
      <c r="I579" s="21" t="str">
        <f t="shared" si="46"/>
        <v>44103105</v>
      </c>
      <c r="J579" s="25" t="s">
        <v>98</v>
      </c>
    </row>
    <row r="580" spans="1:10" ht="51.75">
      <c r="A580" s="9" t="s">
        <v>27</v>
      </c>
      <c r="B580" s="2" t="s">
        <v>31</v>
      </c>
      <c r="C580" s="2">
        <v>3204</v>
      </c>
      <c r="D580" s="2">
        <v>92</v>
      </c>
      <c r="E580" s="2" t="str">
        <f>"1000017123"</f>
        <v>1000017123</v>
      </c>
      <c r="F580" s="2" t="str">
        <f>"INK CART:CAN Item # 0955A003-CAN, Canon BCI-21C, BJC 2000/2010/2500/4000/41/42/43/C3000 3-Color Tank Refill for BC21 (Yld 200)"</f>
        <v>INK CART:CAN Item # 0955A003-CAN, Canon BCI-21C, BJC 2000/2010/2500/4000/41/42/43/C3000 3-Color Tank Refill for BC21 (Yld 200)</v>
      </c>
      <c r="G580" s="3" t="str">
        <f t="shared" si="44"/>
        <v>EA</v>
      </c>
      <c r="H580" s="7">
        <v>27</v>
      </c>
      <c r="I580" s="2" t="str">
        <f t="shared" si="46"/>
        <v>44103105</v>
      </c>
      <c r="J580" s="10" t="s">
        <v>98</v>
      </c>
    </row>
    <row r="581" spans="1:10" ht="39">
      <c r="A581" s="24" t="s">
        <v>27</v>
      </c>
      <c r="B581" s="21" t="s">
        <v>31</v>
      </c>
      <c r="C581" s="21">
        <v>3204</v>
      </c>
      <c r="D581" s="21">
        <v>93</v>
      </c>
      <c r="E581" s="21" t="str">
        <f>"1000017124"</f>
        <v>1000017124</v>
      </c>
      <c r="F581" s="21" t="str">
        <f>"INK CART:CAN Item # 0956A003-CAN, Canon BCI-10 black inkjet cartridges designed for the Canon BJ 30/BJC 50/BJC 70/BJC 80 (3/kt)"</f>
        <v>INK CART:CAN Item # 0956A003-CAN, Canon BCI-10 black inkjet cartridges designed for the Canon BJ 30/BJC 50/BJC 70/BJC 80 (3/kt)</v>
      </c>
      <c r="G581" s="22" t="str">
        <f>"KT"</f>
        <v>KT</v>
      </c>
      <c r="H581" s="23">
        <v>18</v>
      </c>
      <c r="I581" s="21" t="str">
        <f t="shared" si="46"/>
        <v>44103105</v>
      </c>
      <c r="J581" s="25" t="s">
        <v>98</v>
      </c>
    </row>
    <row r="582" spans="1:10" ht="39">
      <c r="A582" s="9" t="s">
        <v>27</v>
      </c>
      <c r="B582" s="2" t="s">
        <v>31</v>
      </c>
      <c r="C582" s="2">
        <v>3204</v>
      </c>
      <c r="D582" s="2">
        <v>94</v>
      </c>
      <c r="E582" s="2" t="str">
        <f>"1000017125"</f>
        <v>1000017125</v>
      </c>
      <c r="F582" s="2" t="str">
        <f>"INK CART:CAN Item # 0957A003-CAN, Canon BCI-11BK, BJC 50/BJC 70/BJC 80 Series Black Tank (3/package) (Yld 30)"</f>
        <v>INK CART:CAN Item # 0957A003-CAN, Canon BCI-11BK, BJC 50/BJC 70/BJC 80 Series Black Tank (3/package) (Yld 30)</v>
      </c>
      <c r="G582" s="3" t="str">
        <f>"PK"</f>
        <v>PK</v>
      </c>
      <c r="H582" s="7">
        <v>15</v>
      </c>
      <c r="I582" s="2" t="str">
        <f t="shared" si="46"/>
        <v>44103105</v>
      </c>
      <c r="J582" s="10" t="s">
        <v>98</v>
      </c>
    </row>
    <row r="583" spans="1:10" ht="39">
      <c r="A583" s="24" t="s">
        <v>27</v>
      </c>
      <c r="B583" s="21" t="s">
        <v>31</v>
      </c>
      <c r="C583" s="21">
        <v>3204</v>
      </c>
      <c r="D583" s="21">
        <v>95</v>
      </c>
      <c r="E583" s="21" t="str">
        <f>"1000017153"</f>
        <v>1000017153</v>
      </c>
      <c r="F583" s="21" t="str">
        <f>"INK CART:CAN Item # 0958A003-CAN, Canon BCI-11C, BJC 50/BJC 70/BJC 80 Series Color Tank (3/bx) (Yld 240)"</f>
        <v>INK CART:CAN Item # 0958A003-CAN, Canon BCI-11C, BJC 50/BJC 70/BJC 80 Series Color Tank (3/bx) (Yld 240)</v>
      </c>
      <c r="G583" s="22" t="str">
        <f>"BX"</f>
        <v>BX</v>
      </c>
      <c r="H583" s="23">
        <v>24</v>
      </c>
      <c r="I583" s="21" t="str">
        <f t="shared" si="46"/>
        <v>44103105</v>
      </c>
      <c r="J583" s="25" t="s">
        <v>98</v>
      </c>
    </row>
    <row r="584" spans="1:10" ht="51.75">
      <c r="A584" s="9" t="s">
        <v>27</v>
      </c>
      <c r="B584" s="2" t="s">
        <v>31</v>
      </c>
      <c r="C584" s="2">
        <v>3204</v>
      </c>
      <c r="D584" s="2">
        <v>96</v>
      </c>
      <c r="E584" s="2" t="str">
        <f>"1000017109"</f>
        <v>1000017109</v>
      </c>
      <c r="F584" s="2" t="str">
        <f>"INK CART:CAN Item # 1899B002-CAN, Canon PG-30 pigmented black inkjet print cartridge, for Pixma IP1800, MP140, MP210, MP470 inkjet printers"</f>
        <v>INK CART:CAN Item # 1899B002-CAN, Canon PG-30 pigmented black inkjet print cartridge, for Pixma IP1800, MP140, MP210, MP470 inkjet printers</v>
      </c>
      <c r="G584" s="3" t="str">
        <f t="shared" ref="G584:G598" si="47">"EA"</f>
        <v>EA</v>
      </c>
      <c r="H584" s="7">
        <v>18</v>
      </c>
      <c r="I584" s="2" t="str">
        <f t="shared" si="46"/>
        <v>44103105</v>
      </c>
      <c r="J584" s="10" t="s">
        <v>98</v>
      </c>
    </row>
    <row r="585" spans="1:10" ht="51.75">
      <c r="A585" s="24" t="s">
        <v>27</v>
      </c>
      <c r="B585" s="21" t="s">
        <v>31</v>
      </c>
      <c r="C585" s="21">
        <v>3204</v>
      </c>
      <c r="D585" s="21">
        <v>97</v>
      </c>
      <c r="E585" s="21" t="str">
        <f>"1000017136"</f>
        <v>1000017136</v>
      </c>
      <c r="F585" s="21" t="str">
        <f>"INK CART:CAN Item # 1900B002-CAN, Canon CL-31 tri-color (cyan, magenta, yellow) inkjet print cartridge, for Pixma IP1800, MP140, MP210, MP470"</f>
        <v>INK CART:CAN Item # 1900B002-CAN, Canon CL-31 tri-color (cyan, magenta, yellow) inkjet print cartridge, for Pixma IP1800, MP140, MP210, MP470</v>
      </c>
      <c r="G585" s="22" t="str">
        <f t="shared" si="47"/>
        <v>EA</v>
      </c>
      <c r="H585" s="23">
        <v>21</v>
      </c>
      <c r="I585" s="21" t="str">
        <f t="shared" si="46"/>
        <v>44103105</v>
      </c>
      <c r="J585" s="25" t="s">
        <v>98</v>
      </c>
    </row>
    <row r="586" spans="1:10" ht="51.75">
      <c r="A586" s="9" t="s">
        <v>27</v>
      </c>
      <c r="B586" s="2" t="s">
        <v>31</v>
      </c>
      <c r="C586" s="2">
        <v>3204</v>
      </c>
      <c r="D586" s="2">
        <v>98</v>
      </c>
      <c r="E586" s="2" t="str">
        <f>"1000017116"</f>
        <v>1000017116</v>
      </c>
      <c r="F586" s="2" t="str">
        <f>"INK CART:CAN Item # 4479A003-CAN, Canon BCI-3EBK, BJC 6000/S450/S600 S750 Black Ink Tank Refill for BC-30E (Yld 500) (AKA F473131400)"</f>
        <v>INK CART:CAN Item # 4479A003-CAN, Canon BCI-3EBK, BJC 6000/S450/S600 S750 Black Ink Tank Refill for BC-30E (Yld 500) (AKA F473131400)</v>
      </c>
      <c r="G586" s="3" t="str">
        <f t="shared" si="47"/>
        <v>EA</v>
      </c>
      <c r="H586" s="7">
        <v>19</v>
      </c>
      <c r="I586" s="2" t="str">
        <f t="shared" si="46"/>
        <v>44103105</v>
      </c>
      <c r="J586" s="10" t="s">
        <v>98</v>
      </c>
    </row>
    <row r="587" spans="1:10" ht="39">
      <c r="A587" s="24" t="s">
        <v>27</v>
      </c>
      <c r="B587" s="21" t="s">
        <v>31</v>
      </c>
      <c r="C587" s="21">
        <v>3204</v>
      </c>
      <c r="D587" s="21">
        <v>99</v>
      </c>
      <c r="E587" s="21" t="str">
        <f>"1000017117"</f>
        <v>1000017117</v>
      </c>
      <c r="F587" s="21" t="str">
        <f>"INK CART:CAN Item # 4480A003-CAN, Canon BCI-3EC, BJC 6000/S450/S600 S750 Cyan Ink Tank Refill for BC-31E"</f>
        <v>INK CART:CAN Item # 4480A003-CAN, Canon BCI-3EC, BJC 6000/S450/S600 S750 Cyan Ink Tank Refill for BC-31E</v>
      </c>
      <c r="G587" s="22" t="str">
        <f t="shared" si="47"/>
        <v>EA</v>
      </c>
      <c r="H587" s="23">
        <v>13</v>
      </c>
      <c r="I587" s="21" t="str">
        <f t="shared" si="46"/>
        <v>44103105</v>
      </c>
      <c r="J587" s="25" t="s">
        <v>98</v>
      </c>
    </row>
    <row r="588" spans="1:10" ht="39">
      <c r="A588" s="9" t="s">
        <v>27</v>
      </c>
      <c r="B588" s="2" t="s">
        <v>31</v>
      </c>
      <c r="C588" s="2">
        <v>3204</v>
      </c>
      <c r="D588" s="2">
        <v>100</v>
      </c>
      <c r="E588" s="2" t="str">
        <f>"1000017118"</f>
        <v>1000017118</v>
      </c>
      <c r="F588" s="2" t="str">
        <f>"INK CART:CAN Item # 4481A003-CAN, Canon BCI-3EM BJC 6000/S450/S600/ S750 Magenta Ink Tank Refill for BC-31E"</f>
        <v>INK CART:CAN Item # 4481A003-CAN, Canon BCI-3EM BJC 6000/S450/S600/ S750 Magenta Ink Tank Refill for BC-31E</v>
      </c>
      <c r="G588" s="3" t="str">
        <f t="shared" si="47"/>
        <v>EA</v>
      </c>
      <c r="H588" s="7">
        <v>13</v>
      </c>
      <c r="I588" s="2" t="str">
        <f t="shared" si="46"/>
        <v>44103105</v>
      </c>
      <c r="J588" s="10" t="s">
        <v>98</v>
      </c>
    </row>
    <row r="589" spans="1:10" ht="39">
      <c r="A589" s="24" t="s">
        <v>27</v>
      </c>
      <c r="B589" s="21" t="s">
        <v>31</v>
      </c>
      <c r="C589" s="21">
        <v>3204</v>
      </c>
      <c r="D589" s="21">
        <v>101</v>
      </c>
      <c r="E589" s="21" t="str">
        <f>"1000017119"</f>
        <v>1000017119</v>
      </c>
      <c r="F589" s="21" t="str">
        <f>"INK CART:CAN Item # 4482A003-CAN, Canon BCI-3EY BJC 6000/S450/S600/ S750 Yellow Ink Tank Refill for BC-31E (AKA F473161400)"</f>
        <v>INK CART:CAN Item # 4482A003-CAN, Canon BCI-3EY BJC 6000/S450/S600/ S750 Yellow Ink Tank Refill for BC-31E (AKA F473161400)</v>
      </c>
      <c r="G589" s="22" t="str">
        <f t="shared" si="47"/>
        <v>EA</v>
      </c>
      <c r="H589" s="23">
        <v>13</v>
      </c>
      <c r="I589" s="21" t="str">
        <f t="shared" si="46"/>
        <v>44103105</v>
      </c>
      <c r="J589" s="25" t="s">
        <v>98</v>
      </c>
    </row>
    <row r="590" spans="1:10" ht="39">
      <c r="A590" s="9" t="s">
        <v>27</v>
      </c>
      <c r="B590" s="2" t="s">
        <v>31</v>
      </c>
      <c r="C590" s="2">
        <v>3204</v>
      </c>
      <c r="D590" s="2">
        <v>102</v>
      </c>
      <c r="E590" s="2" t="str">
        <f>"1000017120"</f>
        <v>1000017120</v>
      </c>
      <c r="F590" s="2" t="str">
        <f>"INK CART:CAN Item # 4705A003-CAN, Canon BCI-6Bk S800/BJC8200 Black Ink (AKA F473221400)"</f>
        <v>INK CART:CAN Item # 4705A003-CAN, Canon BCI-6Bk S800/BJC8200 Black Ink (AKA F473221400)</v>
      </c>
      <c r="G590" s="3" t="str">
        <f t="shared" si="47"/>
        <v>EA</v>
      </c>
      <c r="H590" s="7">
        <v>14.82</v>
      </c>
      <c r="I590" s="2" t="str">
        <f t="shared" si="46"/>
        <v>44103105</v>
      </c>
      <c r="J590" s="10" t="s">
        <v>98</v>
      </c>
    </row>
    <row r="591" spans="1:10" ht="39">
      <c r="A591" s="24" t="s">
        <v>27</v>
      </c>
      <c r="B591" s="21" t="s">
        <v>31</v>
      </c>
      <c r="C591" s="21">
        <v>3204</v>
      </c>
      <c r="D591" s="21">
        <v>103</v>
      </c>
      <c r="E591" s="21" t="str">
        <f>"1000017121"</f>
        <v>1000017121</v>
      </c>
      <c r="F591" s="21" t="str">
        <f>"INK CART:CAN Item # 4706A003-CAN, Canon BCI-6C S800/BJC8200 Cyan Ink (AKA F473231400)"</f>
        <v>INK CART:CAN Item # 4706A003-CAN, Canon BCI-6C S800/BJC8200 Cyan Ink (AKA F473231400)</v>
      </c>
      <c r="G591" s="22" t="str">
        <f t="shared" si="47"/>
        <v>EA</v>
      </c>
      <c r="H591" s="23">
        <v>14.99</v>
      </c>
      <c r="I591" s="21" t="str">
        <f t="shared" si="46"/>
        <v>44103105</v>
      </c>
      <c r="J591" s="25" t="s">
        <v>98</v>
      </c>
    </row>
    <row r="592" spans="1:10" ht="26.25">
      <c r="A592" s="9" t="s">
        <v>27</v>
      </c>
      <c r="B592" s="2" t="s">
        <v>31</v>
      </c>
      <c r="C592" s="2">
        <v>3204</v>
      </c>
      <c r="D592" s="2">
        <v>104</v>
      </c>
      <c r="E592" s="2" t="str">
        <f>"1000017122"</f>
        <v>1000017122</v>
      </c>
      <c r="F592" s="2" t="str">
        <f>"INK CART:CAN Item # 4707A003-CAN, Canon BCI-6M S800/BJC8200 Magenta Ink"</f>
        <v>INK CART:CAN Item # 4707A003-CAN, Canon BCI-6M S800/BJC8200 Magenta Ink</v>
      </c>
      <c r="G592" s="3" t="str">
        <f t="shared" si="47"/>
        <v>EA</v>
      </c>
      <c r="H592" s="7">
        <v>14.99</v>
      </c>
      <c r="I592" s="2" t="str">
        <f t="shared" si="46"/>
        <v>44103105</v>
      </c>
      <c r="J592" s="10" t="s">
        <v>98</v>
      </c>
    </row>
    <row r="593" spans="1:10" ht="39">
      <c r="A593" s="24" t="s">
        <v>27</v>
      </c>
      <c r="B593" s="21" t="s">
        <v>31</v>
      </c>
      <c r="C593" s="21">
        <v>3204</v>
      </c>
      <c r="D593" s="21">
        <v>105</v>
      </c>
      <c r="E593" s="21" t="str">
        <f>"1000017150"</f>
        <v>1000017150</v>
      </c>
      <c r="F593" s="21" t="str">
        <f>"INK CART:CAN Item # 4708A003-CAN, Canon, BCI-6Y S800/BJC8200 Yellow Ink (AKA F473251400)"</f>
        <v>INK CART:CAN Item # 4708A003-CAN, Canon, BCI-6Y S800/BJC8200 Yellow Ink (AKA F473251400)</v>
      </c>
      <c r="G593" s="22" t="str">
        <f t="shared" si="47"/>
        <v>EA</v>
      </c>
      <c r="H593" s="23">
        <v>14.99</v>
      </c>
      <c r="I593" s="21" t="str">
        <f t="shared" si="46"/>
        <v>44103105</v>
      </c>
      <c r="J593" s="25" t="s">
        <v>98</v>
      </c>
    </row>
    <row r="594" spans="1:10" ht="26.25">
      <c r="A594" s="9" t="s">
        <v>27</v>
      </c>
      <c r="B594" s="2" t="s">
        <v>31</v>
      </c>
      <c r="C594" s="2">
        <v>3204</v>
      </c>
      <c r="D594" s="2">
        <v>106</v>
      </c>
      <c r="E594" s="2" t="str">
        <f>"1000017151"</f>
        <v>1000017151</v>
      </c>
      <c r="F594" s="2" t="str">
        <f>"INK CART:CAN Item # 4709A003-CAN, Canon BCI-6PC S800/BJC8200 Photo Cyan Ink"</f>
        <v>INK CART:CAN Item # 4709A003-CAN, Canon BCI-6PC S800/BJC8200 Photo Cyan Ink</v>
      </c>
      <c r="G594" s="3" t="str">
        <f t="shared" si="47"/>
        <v>EA</v>
      </c>
      <c r="H594" s="7">
        <v>14.99</v>
      </c>
      <c r="I594" s="2" t="str">
        <f t="shared" si="46"/>
        <v>44103105</v>
      </c>
      <c r="J594" s="10" t="s">
        <v>98</v>
      </c>
    </row>
    <row r="595" spans="1:10" ht="39">
      <c r="A595" s="24" t="s">
        <v>27</v>
      </c>
      <c r="B595" s="21" t="s">
        <v>31</v>
      </c>
      <c r="C595" s="21">
        <v>3204</v>
      </c>
      <c r="D595" s="21">
        <v>107</v>
      </c>
      <c r="E595" s="21" t="str">
        <f>"1000017152"</f>
        <v>1000017152</v>
      </c>
      <c r="F595" s="21" t="str">
        <f>"INK CART:CAN Item # 4710A003-CAN, Canon BCI-6PM S800/BJC8200 Photo Magenta Ink (AKA F473271400)"</f>
        <v>INK CART:CAN Item # 4710A003-CAN, Canon BCI-6PM S800/BJC8200 Photo Magenta Ink (AKA F473271400)</v>
      </c>
      <c r="G595" s="22" t="str">
        <f t="shared" si="47"/>
        <v>EA</v>
      </c>
      <c r="H595" s="23">
        <v>14.99</v>
      </c>
      <c r="I595" s="21" t="str">
        <f t="shared" si="46"/>
        <v>44103105</v>
      </c>
      <c r="J595" s="25" t="s">
        <v>98</v>
      </c>
    </row>
    <row r="596" spans="1:10" ht="26.25">
      <c r="A596" s="9" t="s">
        <v>27</v>
      </c>
      <c r="B596" s="2" t="s">
        <v>31</v>
      </c>
      <c r="C596" s="2">
        <v>3204</v>
      </c>
      <c r="D596" s="2">
        <v>108</v>
      </c>
      <c r="E596" s="2" t="str">
        <f>"1000017154"</f>
        <v>1000017154</v>
      </c>
      <c r="F596" s="2" t="str">
        <f>"INK CART:CAN Item # 6881A003AA-CAN, Canon BCI-24 S200/S300 Black Ink"</f>
        <v>INK CART:CAN Item # 6881A003AA-CAN, Canon BCI-24 S200/S300 Black Ink</v>
      </c>
      <c r="G596" s="3" t="str">
        <f t="shared" si="47"/>
        <v>EA</v>
      </c>
      <c r="H596" s="7">
        <v>8</v>
      </c>
      <c r="I596" s="2" t="str">
        <f t="shared" si="46"/>
        <v>44103105</v>
      </c>
      <c r="J596" s="10" t="s">
        <v>98</v>
      </c>
    </row>
    <row r="597" spans="1:10" ht="39">
      <c r="A597" s="24" t="s">
        <v>27</v>
      </c>
      <c r="B597" s="21" t="s">
        <v>31</v>
      </c>
      <c r="C597" s="21">
        <v>3204</v>
      </c>
      <c r="D597" s="21">
        <v>109</v>
      </c>
      <c r="E597" s="21" t="str">
        <f>"1000017155"</f>
        <v>1000017155</v>
      </c>
      <c r="F597" s="21" t="str">
        <f>"INK CART:CAN Item # 6882A019-CAN (Replaces 6882A003AA) Canon BCI-24 S200/S300 Canon Color Ink"</f>
        <v>INK CART:CAN Item # 6882A019-CAN (Replaces 6882A003AA) Canon BCI-24 S200/S300 Canon Color Ink</v>
      </c>
      <c r="G597" s="22" t="str">
        <f t="shared" si="47"/>
        <v>EA</v>
      </c>
      <c r="H597" s="23">
        <v>19</v>
      </c>
      <c r="I597" s="21" t="str">
        <f t="shared" si="46"/>
        <v>44103105</v>
      </c>
      <c r="J597" s="25" t="s">
        <v>98</v>
      </c>
    </row>
    <row r="598" spans="1:10" ht="26.25">
      <c r="A598" s="9" t="s">
        <v>27</v>
      </c>
      <c r="B598" s="2" t="s">
        <v>31</v>
      </c>
      <c r="C598" s="2">
        <v>3204</v>
      </c>
      <c r="D598" s="2">
        <v>110</v>
      </c>
      <c r="E598" s="2" t="str">
        <f>"1000017130"</f>
        <v>1000017130</v>
      </c>
      <c r="F598" s="2" t="str">
        <f>"INK CART:CAN Item # 8191A003-CAN, Canon i70 BCI-15 Ink Tank Multi -Clr"</f>
        <v>INK CART:CAN Item # 8191A003-CAN, Canon i70 BCI-15 Ink Tank Multi -Clr</v>
      </c>
      <c r="G598" s="3" t="str">
        <f t="shared" si="47"/>
        <v>EA</v>
      </c>
      <c r="H598" s="7">
        <v>26.66</v>
      </c>
      <c r="I598" s="2" t="str">
        <f t="shared" si="46"/>
        <v>44103105</v>
      </c>
      <c r="J598" s="10" t="s">
        <v>98</v>
      </c>
    </row>
    <row r="599" spans="1:10" ht="51.75">
      <c r="A599" s="24" t="s">
        <v>27</v>
      </c>
      <c r="B599" s="21" t="s">
        <v>31</v>
      </c>
      <c r="C599" s="21">
        <v>3204</v>
      </c>
      <c r="D599" s="21">
        <v>111</v>
      </c>
      <c r="E599" s="21" t="str">
        <f>"1000017132"</f>
        <v>1000017132</v>
      </c>
      <c r="F599" s="21" t="str">
        <f>"INK CART:CAN Item # 9818A003-CAN, Canon BCI 16 color inkjet cartridges (2 per package) designed for the Canon Selphy DS-700, Pixma iP90"</f>
        <v>INK CART:CAN Item # 9818A003-CAN, Canon BCI 16 color inkjet cartridges (2 per package) designed for the Canon Selphy DS-700, Pixma iP90</v>
      </c>
      <c r="G599" s="22" t="str">
        <f>"PK"</f>
        <v>PK</v>
      </c>
      <c r="H599" s="23">
        <v>29.66</v>
      </c>
      <c r="I599" s="21" t="str">
        <f t="shared" si="46"/>
        <v>44103105</v>
      </c>
      <c r="J599" s="25" t="s">
        <v>98</v>
      </c>
    </row>
    <row r="600" spans="1:10" ht="39">
      <c r="A600" s="9" t="s">
        <v>27</v>
      </c>
      <c r="B600" s="2" t="s">
        <v>31</v>
      </c>
      <c r="C600" s="2">
        <v>3204</v>
      </c>
      <c r="D600" s="2">
        <v>112</v>
      </c>
      <c r="E600" s="2" t="str">
        <f>"1000017134"</f>
        <v>1000017134</v>
      </c>
      <c r="F600" s="2" t="str">
        <f>"INK CART:CAN Item # CLI-36-CAN, Canon 1511B002 color ink for Pixma Mini 260, IP100 and 260 printers"</f>
        <v>INK CART:CAN Item # CLI-36-CAN, Canon 1511B002 color ink for Pixma Mini 260, IP100 and 260 printers</v>
      </c>
      <c r="G600" s="3" t="str">
        <f t="shared" ref="G600:G631" si="48">"EA"</f>
        <v>EA</v>
      </c>
      <c r="H600" s="7">
        <v>20.99</v>
      </c>
      <c r="I600" s="2" t="str">
        <f t="shared" si="46"/>
        <v>44103105</v>
      </c>
      <c r="J600" s="10" t="s">
        <v>98</v>
      </c>
    </row>
    <row r="601" spans="1:10" ht="39">
      <c r="A601" s="24" t="s">
        <v>27</v>
      </c>
      <c r="B601" s="21" t="s">
        <v>31</v>
      </c>
      <c r="C601" s="21">
        <v>3204</v>
      </c>
      <c r="D601" s="21">
        <v>113</v>
      </c>
      <c r="E601" s="21" t="str">
        <f>"1000017135"</f>
        <v>1000017135</v>
      </c>
      <c r="F601" s="21" t="str">
        <f>"INK CART:CAN Item # CLI-8BK-CAN, Canon ink Black IP4200 IP5200 5200R 6600D MP500 MP780"</f>
        <v>INK CART:CAN Item # CLI-8BK-CAN, Canon ink Black IP4200 IP5200 5200R 6600D MP500 MP780</v>
      </c>
      <c r="G601" s="22" t="str">
        <f t="shared" si="48"/>
        <v>EA</v>
      </c>
      <c r="H601" s="23">
        <v>16.32</v>
      </c>
      <c r="I601" s="21" t="str">
        <f t="shared" si="46"/>
        <v>44103105</v>
      </c>
      <c r="J601" s="25" t="s">
        <v>98</v>
      </c>
    </row>
    <row r="602" spans="1:10" ht="39">
      <c r="A602" s="9" t="s">
        <v>27</v>
      </c>
      <c r="B602" s="2" t="s">
        <v>31</v>
      </c>
      <c r="C602" s="2">
        <v>3204</v>
      </c>
      <c r="D602" s="2">
        <v>114</v>
      </c>
      <c r="E602" s="2" t="str">
        <f>"1000017163"</f>
        <v>1000017163</v>
      </c>
      <c r="F602" s="2" t="str">
        <f>"INK CART:CAN Item # CLI-8C-CAN, Canon ink Cyan IP4200 IP5200 5200R 6600D MP500 MP780"</f>
        <v>INK CART:CAN Item # CLI-8C-CAN, Canon ink Cyan IP4200 IP5200 5200R 6600D MP500 MP780</v>
      </c>
      <c r="G602" s="3" t="str">
        <f t="shared" si="48"/>
        <v>EA</v>
      </c>
      <c r="H602" s="7">
        <v>16.32</v>
      </c>
      <c r="I602" s="2" t="str">
        <f t="shared" si="46"/>
        <v>44103105</v>
      </c>
      <c r="J602" s="10" t="s">
        <v>98</v>
      </c>
    </row>
    <row r="603" spans="1:10" ht="39">
      <c r="A603" s="24" t="s">
        <v>27</v>
      </c>
      <c r="B603" s="21" t="s">
        <v>31</v>
      </c>
      <c r="C603" s="21">
        <v>3204</v>
      </c>
      <c r="D603" s="21">
        <v>115</v>
      </c>
      <c r="E603" s="21" t="str">
        <f>"1000017164"</f>
        <v>1000017164</v>
      </c>
      <c r="F603" s="21" t="str">
        <f>"INK CART:CAN Item # CLI-8M-CAN, Canon ink Magenta IP4200 IP5200 5200R 6600D MP500 MP780"</f>
        <v>INK CART:CAN Item # CLI-8M-CAN, Canon ink Magenta IP4200 IP5200 5200R 6600D MP500 MP780</v>
      </c>
      <c r="G603" s="22" t="str">
        <f t="shared" si="48"/>
        <v>EA</v>
      </c>
      <c r="H603" s="23">
        <v>16.32</v>
      </c>
      <c r="I603" s="21" t="str">
        <f t="shared" si="46"/>
        <v>44103105</v>
      </c>
      <c r="J603" s="25" t="s">
        <v>98</v>
      </c>
    </row>
    <row r="604" spans="1:10" ht="39">
      <c r="A604" s="9" t="s">
        <v>27</v>
      </c>
      <c r="B604" s="2" t="s">
        <v>31</v>
      </c>
      <c r="C604" s="2">
        <v>3204</v>
      </c>
      <c r="D604" s="2">
        <v>116</v>
      </c>
      <c r="E604" s="2" t="str">
        <f>"1000017165"</f>
        <v>1000017165</v>
      </c>
      <c r="F604" s="2" t="str">
        <f>"INK CART:CAN Item # CLI-8PC-CAN, Canon ink photo Cyan IP4200 IP5200 5200R 6600D MP500 MP780"</f>
        <v>INK CART:CAN Item # CLI-8PC-CAN, Canon ink photo Cyan IP4200 IP5200 5200R 6600D MP500 MP780</v>
      </c>
      <c r="G604" s="3" t="str">
        <f t="shared" si="48"/>
        <v>EA</v>
      </c>
      <c r="H604" s="7">
        <v>16.32</v>
      </c>
      <c r="I604" s="2" t="str">
        <f t="shared" si="46"/>
        <v>44103105</v>
      </c>
      <c r="J604" s="10" t="s">
        <v>98</v>
      </c>
    </row>
    <row r="605" spans="1:10" ht="39">
      <c r="A605" s="24" t="s">
        <v>27</v>
      </c>
      <c r="B605" s="21" t="s">
        <v>31</v>
      </c>
      <c r="C605" s="21">
        <v>3204</v>
      </c>
      <c r="D605" s="21">
        <v>117</v>
      </c>
      <c r="E605" s="21" t="str">
        <f>"1000017192"</f>
        <v>1000017192</v>
      </c>
      <c r="F605" s="21" t="str">
        <f>"INK CART:CAN Item # CLI-8PM-CAN, Canon ink photo Magenta IP4200 IP5200 5200R 6600D MP500 MP780"</f>
        <v>INK CART:CAN Item # CLI-8PM-CAN, Canon ink photo Magenta IP4200 IP5200 5200R 6600D MP500 MP780</v>
      </c>
      <c r="G605" s="22" t="str">
        <f t="shared" si="48"/>
        <v>EA</v>
      </c>
      <c r="H605" s="23">
        <v>16.32</v>
      </c>
      <c r="I605" s="21" t="str">
        <f t="shared" si="46"/>
        <v>44103105</v>
      </c>
      <c r="J605" s="25" t="s">
        <v>98</v>
      </c>
    </row>
    <row r="606" spans="1:10" ht="39">
      <c r="A606" s="9" t="s">
        <v>27</v>
      </c>
      <c r="B606" s="2" t="s">
        <v>31</v>
      </c>
      <c r="C606" s="2">
        <v>3204</v>
      </c>
      <c r="D606" s="2">
        <v>118</v>
      </c>
      <c r="E606" s="2" t="str">
        <f>"1000017167"</f>
        <v>1000017167</v>
      </c>
      <c r="F606" s="2" t="str">
        <f>"INK CART:CAN Item # CLI-8PY-CAN, Canon ink photo Yellow IP4200 IP5200 5200R 6600D MP500 MP781"</f>
        <v>INK CART:CAN Item # CLI-8PY-CAN, Canon ink photo Yellow IP4200 IP5200 5200R 6600D MP500 MP781</v>
      </c>
      <c r="G606" s="3" t="str">
        <f t="shared" si="48"/>
        <v>EA</v>
      </c>
      <c r="H606" s="7">
        <v>13</v>
      </c>
      <c r="I606" s="2" t="str">
        <f t="shared" si="46"/>
        <v>44103105</v>
      </c>
      <c r="J606" s="10" t="s">
        <v>98</v>
      </c>
    </row>
    <row r="607" spans="1:10" ht="39">
      <c r="A607" s="24" t="s">
        <v>27</v>
      </c>
      <c r="B607" s="21" t="s">
        <v>31</v>
      </c>
      <c r="C607" s="21">
        <v>3204</v>
      </c>
      <c r="D607" s="21">
        <v>119</v>
      </c>
      <c r="E607" s="21" t="str">
        <f>"1000017168"</f>
        <v>1000017168</v>
      </c>
      <c r="F607" s="21" t="str">
        <f>"INK CART:CAN Item # CLI-8Y-CAN, Canon ink yellow IP4200 IP5200 5200R 6600D MP500 MP780"</f>
        <v>INK CART:CAN Item # CLI-8Y-CAN, Canon ink yellow IP4200 IP5200 5200R 6600D MP500 MP780</v>
      </c>
      <c r="G607" s="22" t="str">
        <f t="shared" si="48"/>
        <v>EA</v>
      </c>
      <c r="H607" s="23">
        <v>16.32</v>
      </c>
      <c r="I607" s="21" t="str">
        <f t="shared" si="46"/>
        <v>44103105</v>
      </c>
      <c r="J607" s="25" t="s">
        <v>98</v>
      </c>
    </row>
    <row r="608" spans="1:10" ht="26.25">
      <c r="A608" s="9" t="s">
        <v>27</v>
      </c>
      <c r="B608" s="2" t="s">
        <v>31</v>
      </c>
      <c r="C608" s="2">
        <v>3204</v>
      </c>
      <c r="D608" s="2">
        <v>120</v>
      </c>
      <c r="E608" s="2" t="str">
        <f>"1000017146"</f>
        <v>1000017146</v>
      </c>
      <c r="F608" s="2" t="str">
        <f>"INK CART:CAN Item # PGI-35-CAN, Canon Black ink tank for Pixma IP100 photo printers"</f>
        <v>INK CART:CAN Item # PGI-35-CAN, Canon Black ink tank for Pixma IP100 photo printers</v>
      </c>
      <c r="G608" s="3" t="str">
        <f t="shared" si="48"/>
        <v>EA</v>
      </c>
      <c r="H608" s="7">
        <v>18.86</v>
      </c>
      <c r="I608" s="2" t="str">
        <f t="shared" si="46"/>
        <v>44103105</v>
      </c>
      <c r="J608" s="10" t="s">
        <v>98</v>
      </c>
    </row>
    <row r="609" spans="1:10" ht="51.75">
      <c r="A609" s="24" t="s">
        <v>27</v>
      </c>
      <c r="B609" s="21" t="s">
        <v>31</v>
      </c>
      <c r="C609" s="21">
        <v>3204</v>
      </c>
      <c r="D609" s="21">
        <v>121</v>
      </c>
      <c r="E609" s="21" t="str">
        <f>"1000017159"</f>
        <v>1000017159</v>
      </c>
      <c r="F609" s="21" t="str">
        <f>"INK CART:EPS Item # S020093-EPS. Epson T050 Black Inkjet Cartridge. Consolidated Part No. for S020093 and S020187 for Epson Stylus 400/500/600"</f>
        <v>INK CART:EPS Item # S020093-EPS. Epson T050 Black Inkjet Cartridge. Consolidated Part No. for S020093 and S020187 for Epson Stylus 400/500/600</v>
      </c>
      <c r="G609" s="22" t="str">
        <f t="shared" si="48"/>
        <v>EA</v>
      </c>
      <c r="H609" s="23">
        <v>18</v>
      </c>
      <c r="I609" s="21" t="str">
        <f t="shared" si="46"/>
        <v>44103105</v>
      </c>
      <c r="J609" s="25" t="s">
        <v>98</v>
      </c>
    </row>
    <row r="610" spans="1:10" ht="39">
      <c r="A610" s="9" t="s">
        <v>27</v>
      </c>
      <c r="B610" s="2" t="s">
        <v>31</v>
      </c>
      <c r="C610" s="2">
        <v>3204</v>
      </c>
      <c r="D610" s="2">
        <v>122</v>
      </c>
      <c r="E610" s="2" t="str">
        <f>"1000000513"</f>
        <v>1000000513</v>
      </c>
      <c r="F610" s="2" t="str">
        <f>"INK CART:EPS Item # S020118-EPS, Black ink cartridge for Epson Printers Stylus Color 3000/Pro 5000 (Yld 3.2k)"</f>
        <v>INK CART:EPS Item # S020118-EPS, Black ink cartridge for Epson Printers Stylus Color 3000/Pro 5000 (Yld 3.2k)</v>
      </c>
      <c r="G610" s="3" t="str">
        <f t="shared" si="48"/>
        <v>EA</v>
      </c>
      <c r="H610" s="7">
        <v>65</v>
      </c>
      <c r="I610" s="2" t="str">
        <f t="shared" si="46"/>
        <v>44103105</v>
      </c>
      <c r="J610" s="10" t="s">
        <v>98</v>
      </c>
    </row>
    <row r="611" spans="1:10" ht="39">
      <c r="A611" s="24" t="s">
        <v>27</v>
      </c>
      <c r="B611" s="21" t="s">
        <v>31</v>
      </c>
      <c r="C611" s="21">
        <v>3204</v>
      </c>
      <c r="D611" s="21">
        <v>123</v>
      </c>
      <c r="E611" s="21" t="str">
        <f>"1000017160"</f>
        <v>1000017160</v>
      </c>
      <c r="F611" s="21" t="str">
        <f>"INK CART:EPS Item # S020122-EPS, Epson, Stylus Color 3000/Pro 5000 Yellow Ink Cartridge (Yld 2.1k)"</f>
        <v>INK CART:EPS Item # S020122-EPS, Epson, Stylus Color 3000/Pro 5000 Yellow Ink Cartridge (Yld 2.1k)</v>
      </c>
      <c r="G611" s="22" t="str">
        <f t="shared" si="48"/>
        <v>EA</v>
      </c>
      <c r="H611" s="23">
        <v>65</v>
      </c>
      <c r="I611" s="21" t="str">
        <f t="shared" si="46"/>
        <v>44103105</v>
      </c>
      <c r="J611" s="25" t="s">
        <v>98</v>
      </c>
    </row>
    <row r="612" spans="1:10" ht="39">
      <c r="A612" s="9" t="s">
        <v>27</v>
      </c>
      <c r="B612" s="2" t="s">
        <v>31</v>
      </c>
      <c r="C612" s="2">
        <v>3204</v>
      </c>
      <c r="D612" s="2">
        <v>124</v>
      </c>
      <c r="E612" s="2" t="str">
        <f>"1000000514"</f>
        <v>1000000514</v>
      </c>
      <c r="F612" s="2" t="str">
        <f>"INK CART:EPS Item # S020126-EPS, Magenta Ink cartridges for Epson Printers Stylus Color 3000/Pro 5000 (Yld 2.1k)"</f>
        <v>INK CART:EPS Item # S020126-EPS, Magenta Ink cartridges for Epson Printers Stylus Color 3000/Pro 5000 (Yld 2.1k)</v>
      </c>
      <c r="G612" s="3" t="str">
        <f t="shared" si="48"/>
        <v>EA</v>
      </c>
      <c r="H612" s="7">
        <v>65</v>
      </c>
      <c r="I612" s="2" t="str">
        <f t="shared" si="46"/>
        <v>44103105</v>
      </c>
      <c r="J612" s="10" t="s">
        <v>98</v>
      </c>
    </row>
    <row r="613" spans="1:10" ht="39">
      <c r="A613" s="24" t="s">
        <v>27</v>
      </c>
      <c r="B613" s="21" t="s">
        <v>31</v>
      </c>
      <c r="C613" s="21">
        <v>3204</v>
      </c>
      <c r="D613" s="21">
        <v>125</v>
      </c>
      <c r="E613" s="21" t="str">
        <f>"1000016951"</f>
        <v>1000016951</v>
      </c>
      <c r="F613" s="21" t="str">
        <f>"INK CART: EPS Item # S020130-EPS, Epson Stylus Color 3000/Pro 5000 Cyan Ink Cartridge (Yld 2.1k)"</f>
        <v>INK CART: EPS Item # S020130-EPS, Epson Stylus Color 3000/Pro 5000 Cyan Ink Cartridge (Yld 2.1k)</v>
      </c>
      <c r="G613" s="22" t="str">
        <f t="shared" si="48"/>
        <v>EA</v>
      </c>
      <c r="H613" s="23">
        <v>65</v>
      </c>
      <c r="I613" s="21" t="str">
        <f t="shared" si="46"/>
        <v>44103105</v>
      </c>
      <c r="J613" s="25" t="s">
        <v>98</v>
      </c>
    </row>
    <row r="614" spans="1:10" ht="64.5">
      <c r="A614" s="9" t="s">
        <v>27</v>
      </c>
      <c r="B614" s="2" t="s">
        <v>31</v>
      </c>
      <c r="C614" s="2">
        <v>3204</v>
      </c>
      <c r="D614" s="2">
        <v>126</v>
      </c>
      <c r="E614" s="2" t="str">
        <f>"1000022115"</f>
        <v>1000022115</v>
      </c>
      <c r="F614" s="2" t="str">
        <f>"INK CART: EPS Item # S18709-EPS, Black InkJet Cartridge for Epson Stylus Color 400 / 500 / 600 / 600Q / 640 / 660 / 670 , Stylus Photo 700 / 750 / 1200 (replaces S020187 &amp; S020093)"</f>
        <v>INK CART: EPS Item # S18709-EPS, Black InkJet Cartridge for Epson Stylus Color 400 / 500 / 600 / 600Q / 640 / 660 / 670 , Stylus Photo 700 / 750 / 1200 (replaces S020187 &amp; S020093)</v>
      </c>
      <c r="G614" s="3" t="str">
        <f t="shared" si="48"/>
        <v>EA</v>
      </c>
      <c r="H614" s="7">
        <v>26</v>
      </c>
      <c r="I614" s="2" t="str">
        <f t="shared" si="46"/>
        <v>44103105</v>
      </c>
      <c r="J614" s="10" t="s">
        <v>98</v>
      </c>
    </row>
    <row r="615" spans="1:10" ht="26.25">
      <c r="A615" s="24" t="s">
        <v>27</v>
      </c>
      <c r="B615" s="21" t="s">
        <v>31</v>
      </c>
      <c r="C615" s="21">
        <v>3204</v>
      </c>
      <c r="D615" s="21">
        <v>127</v>
      </c>
      <c r="E615" s="21" t="str">
        <f>"1000016952"</f>
        <v>1000016952</v>
      </c>
      <c r="F615" s="21" t="str">
        <f>"INK CART: EPS Item # S189108-EPS, Epson Black InkJet Cartridge for Stylus 740/800"</f>
        <v>INK CART: EPS Item # S189108-EPS, Epson Black InkJet Cartridge for Stylus 740/800</v>
      </c>
      <c r="G615" s="22" t="str">
        <f t="shared" si="48"/>
        <v>EA</v>
      </c>
      <c r="H615" s="23">
        <v>31</v>
      </c>
      <c r="I615" s="21" t="str">
        <f t="shared" si="46"/>
        <v>44103105</v>
      </c>
      <c r="J615" s="25" t="s">
        <v>98</v>
      </c>
    </row>
    <row r="616" spans="1:10" ht="26.25">
      <c r="A616" s="9" t="s">
        <v>27</v>
      </c>
      <c r="B616" s="2" t="s">
        <v>31</v>
      </c>
      <c r="C616" s="2">
        <v>3204</v>
      </c>
      <c r="D616" s="2">
        <v>128</v>
      </c>
      <c r="E616" s="2" t="str">
        <f>"1000017161"</f>
        <v>1000017161</v>
      </c>
      <c r="F616" s="2" t="str">
        <f>"INK CART:EPS Item # S191089-EPS, Epson Color Ink Cartridge for Stylus 400/440/600/800"</f>
        <v>INK CART:EPS Item # S191089-EPS, Epson Color Ink Cartridge for Stylus 400/440/600/800</v>
      </c>
      <c r="G616" s="3" t="str">
        <f t="shared" si="48"/>
        <v>EA</v>
      </c>
      <c r="H616" s="7">
        <v>29</v>
      </c>
      <c r="I616" s="2" t="str">
        <f t="shared" si="46"/>
        <v>44103105</v>
      </c>
      <c r="J616" s="10" t="s">
        <v>98</v>
      </c>
    </row>
    <row r="617" spans="1:10" ht="26.25">
      <c r="A617" s="24" t="s">
        <v>27</v>
      </c>
      <c r="B617" s="21" t="s">
        <v>31</v>
      </c>
      <c r="C617" s="21">
        <v>3204</v>
      </c>
      <c r="D617" s="21">
        <v>129</v>
      </c>
      <c r="E617" s="21" t="str">
        <f>"1000022116"</f>
        <v>1000022116</v>
      </c>
      <c r="F617" s="21" t="str">
        <f>"INK CART: EPS Item # T0010011-EPS, 5 Color Ink Cartridge for Stylus Photo 1200 (Yld 320)"</f>
        <v>INK CART: EPS Item # T0010011-EPS, 5 Color Ink Cartridge for Stylus Photo 1200 (Yld 320)</v>
      </c>
      <c r="G617" s="22" t="str">
        <f t="shared" si="48"/>
        <v>EA</v>
      </c>
      <c r="H617" s="23">
        <v>30</v>
      </c>
      <c r="I617" s="21" t="str">
        <f t="shared" si="46"/>
        <v>44103105</v>
      </c>
      <c r="J617" s="25" t="s">
        <v>98</v>
      </c>
    </row>
    <row r="618" spans="1:10" ht="39">
      <c r="A618" s="9" t="s">
        <v>27</v>
      </c>
      <c r="B618" s="2" t="s">
        <v>31</v>
      </c>
      <c r="C618" s="2">
        <v>3204</v>
      </c>
      <c r="D618" s="2">
        <v>130</v>
      </c>
      <c r="E618" s="2" t="str">
        <f>"1000017162"</f>
        <v>1000017162</v>
      </c>
      <c r="F618" s="2" t="str">
        <f>"INK CART:EPS Item # T003011-EPS, Epson Stylus Color 900/900N/980/980N Black Ink Cartridge(Yld 840)"</f>
        <v>INK CART:EPS Item # T003011-EPS, Epson Stylus Color 900/900N/980/980N Black Ink Cartridge(Yld 840)</v>
      </c>
      <c r="G618" s="3" t="str">
        <f t="shared" si="48"/>
        <v>EA</v>
      </c>
      <c r="H618" s="7">
        <v>33</v>
      </c>
      <c r="I618" s="2" t="str">
        <f t="shared" si="46"/>
        <v>44103105</v>
      </c>
      <c r="J618" s="10" t="s">
        <v>98</v>
      </c>
    </row>
    <row r="619" spans="1:10" ht="39">
      <c r="A619" s="24" t="s">
        <v>27</v>
      </c>
      <c r="B619" s="21" t="s">
        <v>31</v>
      </c>
      <c r="C619" s="21">
        <v>3204</v>
      </c>
      <c r="D619" s="21">
        <v>131</v>
      </c>
      <c r="E619" s="21" t="str">
        <f>"1000017190"</f>
        <v>1000017190</v>
      </c>
      <c r="F619" s="21" t="str">
        <f>"INK CART:EPS Item # T007201-EPS, Epson Black Cartridge (Yld 375) Stylus Photo 780/ 870/ 875DC/ 875DCS/ 890/ 1270/ 1280"</f>
        <v>INK CART:EPS Item # T007201-EPS, Epson Black Cartridge (Yld 375) Stylus Photo 780/ 870/ 875DC/ 875DCS/ 890/ 1270/ 1280</v>
      </c>
      <c r="G619" s="22" t="str">
        <f t="shared" si="48"/>
        <v>EA</v>
      </c>
      <c r="H619" s="23">
        <v>29.06</v>
      </c>
      <c r="I619" s="21" t="str">
        <f t="shared" ref="I619:I682" si="49">"44103105"</f>
        <v>44103105</v>
      </c>
      <c r="J619" s="25" t="s">
        <v>98</v>
      </c>
    </row>
    <row r="620" spans="1:10" ht="26.25">
      <c r="A620" s="9" t="s">
        <v>27</v>
      </c>
      <c r="B620" s="2" t="s">
        <v>31</v>
      </c>
      <c r="C620" s="2">
        <v>3204</v>
      </c>
      <c r="D620" s="2">
        <v>132</v>
      </c>
      <c r="E620" s="2" t="str">
        <f>"1000017191"</f>
        <v>1000017191</v>
      </c>
      <c r="F620" s="2" t="str">
        <f>"INK CART:EPS Item # T009201-EPS, Epson Color Cartridge (Yld 330) Stylus Photo 1270/1280"</f>
        <v>INK CART:EPS Item # T009201-EPS, Epson Color Cartridge (Yld 330) Stylus Photo 1270/1280</v>
      </c>
      <c r="G620" s="3" t="str">
        <f t="shared" si="48"/>
        <v>EA</v>
      </c>
      <c r="H620" s="7">
        <v>33.76</v>
      </c>
      <c r="I620" s="2" t="str">
        <f t="shared" si="49"/>
        <v>44103105</v>
      </c>
      <c r="J620" s="10" t="s">
        <v>98</v>
      </c>
    </row>
    <row r="621" spans="1:10" ht="26.25">
      <c r="A621" s="24" t="s">
        <v>27</v>
      </c>
      <c r="B621" s="21" t="s">
        <v>31</v>
      </c>
      <c r="C621" s="21">
        <v>3204</v>
      </c>
      <c r="D621" s="21">
        <v>133</v>
      </c>
      <c r="E621" s="21" t="str">
        <f>"1000017219"</f>
        <v>1000017219</v>
      </c>
      <c r="F621" s="21" t="str">
        <f>"INK CART:EPS Item # T017201-EPS, Epson Stylus Color 777 Black Cartridge (Yld 190)"</f>
        <v>INK CART:EPS Item # T017201-EPS, Epson Stylus Color 777 Black Cartridge (Yld 190)</v>
      </c>
      <c r="G621" s="22" t="str">
        <f t="shared" si="48"/>
        <v>EA</v>
      </c>
      <c r="H621" s="23">
        <v>30</v>
      </c>
      <c r="I621" s="21" t="str">
        <f t="shared" si="49"/>
        <v>44103105</v>
      </c>
      <c r="J621" s="25" t="s">
        <v>98</v>
      </c>
    </row>
    <row r="622" spans="1:10" ht="26.25">
      <c r="A622" s="9" t="s">
        <v>27</v>
      </c>
      <c r="B622" s="2" t="s">
        <v>31</v>
      </c>
      <c r="C622" s="2">
        <v>3204</v>
      </c>
      <c r="D622" s="2">
        <v>134</v>
      </c>
      <c r="E622" s="2" t="str">
        <f>"1000017193"</f>
        <v>1000017193</v>
      </c>
      <c r="F622" s="2" t="str">
        <f>"INK CART:EPS Item # T018201-EPS, Epson Stylus Color 777 Color Cartridge (Yld 150)"</f>
        <v>INK CART:EPS Item # T018201-EPS, Epson Stylus Color 777 Color Cartridge (Yld 150)</v>
      </c>
      <c r="G622" s="3" t="str">
        <f t="shared" si="48"/>
        <v>EA</v>
      </c>
      <c r="H622" s="7">
        <v>25</v>
      </c>
      <c r="I622" s="2" t="str">
        <f t="shared" si="49"/>
        <v>44103105</v>
      </c>
      <c r="J622" s="10" t="s">
        <v>98</v>
      </c>
    </row>
    <row r="623" spans="1:10" ht="26.25">
      <c r="A623" s="24" t="s">
        <v>27</v>
      </c>
      <c r="B623" s="21" t="s">
        <v>31</v>
      </c>
      <c r="C623" s="21">
        <v>3204</v>
      </c>
      <c r="D623" s="21">
        <v>135</v>
      </c>
      <c r="E623" s="21" t="str">
        <f>"1000017194"</f>
        <v>1000017194</v>
      </c>
      <c r="F623" s="21" t="str">
        <f>"INK CART:EPS Item # T019201-EPS, Epson Stylus Color 880 Black Ink Cartridge (Yld 190)"</f>
        <v>INK CART:EPS Item # T019201-EPS, Epson Stylus Color 880 Black Ink Cartridge (Yld 190)</v>
      </c>
      <c r="G623" s="22" t="str">
        <f t="shared" si="48"/>
        <v>EA</v>
      </c>
      <c r="H623" s="23">
        <v>27</v>
      </c>
      <c r="I623" s="21" t="str">
        <f t="shared" si="49"/>
        <v>44103105</v>
      </c>
      <c r="J623" s="25" t="s">
        <v>98</v>
      </c>
    </row>
    <row r="624" spans="1:10" ht="26.25">
      <c r="A624" s="9" t="s">
        <v>27</v>
      </c>
      <c r="B624" s="2" t="s">
        <v>31</v>
      </c>
      <c r="C624" s="2">
        <v>3204</v>
      </c>
      <c r="D624" s="2">
        <v>136</v>
      </c>
      <c r="E624" s="2" t="str">
        <f>"1000017195"</f>
        <v>1000017195</v>
      </c>
      <c r="F624" s="2" t="str">
        <f>"INK CART:EPS Item # T020201-EPS, Epson Stylus Color 880 Color Cartridge (Yld 150)"</f>
        <v>INK CART:EPS Item # T020201-EPS, Epson Stylus Color 880 Color Cartridge (Yld 150)</v>
      </c>
      <c r="G624" s="3" t="str">
        <f t="shared" si="48"/>
        <v>EA</v>
      </c>
      <c r="H624" s="7">
        <v>25</v>
      </c>
      <c r="I624" s="2" t="str">
        <f t="shared" si="49"/>
        <v>44103105</v>
      </c>
      <c r="J624" s="10" t="s">
        <v>98</v>
      </c>
    </row>
    <row r="625" spans="1:10" ht="26.25">
      <c r="A625" s="24" t="s">
        <v>27</v>
      </c>
      <c r="B625" s="21" t="s">
        <v>31</v>
      </c>
      <c r="C625" s="21">
        <v>3204</v>
      </c>
      <c r="D625" s="21">
        <v>137</v>
      </c>
      <c r="E625" s="21" t="str">
        <f>"1000017169"</f>
        <v>1000017169</v>
      </c>
      <c r="F625" s="21" t="str">
        <f>"INK CART:EPS Item # T026201-EPS, Epson Stylus Color 820 Black Inkjet Cartridge (Yld 370)"</f>
        <v>INK CART:EPS Item # T026201-EPS, Epson Stylus Color 820 Black Inkjet Cartridge (Yld 370)</v>
      </c>
      <c r="G625" s="22" t="str">
        <f t="shared" si="48"/>
        <v>EA</v>
      </c>
      <c r="H625" s="23">
        <v>26</v>
      </c>
      <c r="I625" s="21" t="str">
        <f t="shared" si="49"/>
        <v>44103105</v>
      </c>
      <c r="J625" s="25" t="s">
        <v>98</v>
      </c>
    </row>
    <row r="626" spans="1:10" ht="26.25">
      <c r="A626" s="9" t="s">
        <v>27</v>
      </c>
      <c r="B626" s="2" t="s">
        <v>31</v>
      </c>
      <c r="C626" s="2">
        <v>3204</v>
      </c>
      <c r="D626" s="2">
        <v>138</v>
      </c>
      <c r="E626" s="2" t="str">
        <f>"1000017170"</f>
        <v>1000017170</v>
      </c>
      <c r="F626" s="2" t="str">
        <f>"INK CART:EPS Item # T027201-EPS, Epson Stylus Photo 820 InkJet Cartridge, Color (Yld 220)"</f>
        <v>INK CART:EPS Item # T027201-EPS, Epson Stylus Photo 820 InkJet Cartridge, Color (Yld 220)</v>
      </c>
      <c r="G626" s="3" t="str">
        <f t="shared" si="48"/>
        <v>EA</v>
      </c>
      <c r="H626" s="7">
        <v>22</v>
      </c>
      <c r="I626" s="2" t="str">
        <f t="shared" si="49"/>
        <v>44103105</v>
      </c>
      <c r="J626" s="10" t="s">
        <v>98</v>
      </c>
    </row>
    <row r="627" spans="1:10" ht="26.25">
      <c r="A627" s="24" t="s">
        <v>27</v>
      </c>
      <c r="B627" s="21" t="s">
        <v>31</v>
      </c>
      <c r="C627" s="21">
        <v>3204</v>
      </c>
      <c r="D627" s="21">
        <v>139</v>
      </c>
      <c r="E627" s="21" t="str">
        <f>"1000017171"</f>
        <v>1000017171</v>
      </c>
      <c r="F627" s="21" t="str">
        <f>"INK CART:EPS Item # T032120-EPS, Epson Stylus C80/C82 Inkjet Cartridge Black (Yld 870)"</f>
        <v>INK CART:EPS Item # T032120-EPS, Epson Stylus C80/C82 Inkjet Cartridge Black (Yld 870)</v>
      </c>
      <c r="G627" s="22" t="str">
        <f t="shared" si="48"/>
        <v>EA</v>
      </c>
      <c r="H627" s="23">
        <v>35</v>
      </c>
      <c r="I627" s="21" t="str">
        <f t="shared" si="49"/>
        <v>44103105</v>
      </c>
      <c r="J627" s="25" t="s">
        <v>98</v>
      </c>
    </row>
    <row r="628" spans="1:10" ht="26.25">
      <c r="A628" s="9" t="s">
        <v>27</v>
      </c>
      <c r="B628" s="2" t="s">
        <v>31</v>
      </c>
      <c r="C628" s="2">
        <v>3204</v>
      </c>
      <c r="D628" s="2">
        <v>140</v>
      </c>
      <c r="E628" s="2" t="str">
        <f>"1000017172"</f>
        <v>1000017172</v>
      </c>
      <c r="F628" s="2" t="str">
        <f>"INK CART:EPS Item # T033120-EPS, Epson Ink cartridge, Black for Stylus Photo 960 Printer"</f>
        <v>INK CART:EPS Item # T033120-EPS, Epson Ink cartridge, Black for Stylus Photo 960 Printer</v>
      </c>
      <c r="G628" s="3" t="str">
        <f t="shared" si="48"/>
        <v>EA</v>
      </c>
      <c r="H628" s="7">
        <v>13</v>
      </c>
      <c r="I628" s="2" t="str">
        <f t="shared" si="49"/>
        <v>44103105</v>
      </c>
      <c r="J628" s="10" t="s">
        <v>98</v>
      </c>
    </row>
    <row r="629" spans="1:10" ht="26.25">
      <c r="A629" s="24" t="s">
        <v>27</v>
      </c>
      <c r="B629" s="21" t="s">
        <v>31</v>
      </c>
      <c r="C629" s="21">
        <v>3204</v>
      </c>
      <c r="D629" s="21">
        <v>141</v>
      </c>
      <c r="E629" s="21" t="str">
        <f>"1000017173"</f>
        <v>1000017173</v>
      </c>
      <c r="F629" s="21" t="str">
        <f>"INK CART:EPS Item # T033220-EPS, Epson Ink cartridge, Cyan for Stylus Photo 960 Printer"</f>
        <v>INK CART:EPS Item # T033220-EPS, Epson Ink cartridge, Cyan for Stylus Photo 960 Printer</v>
      </c>
      <c r="G629" s="22" t="str">
        <f t="shared" si="48"/>
        <v>EA</v>
      </c>
      <c r="H629" s="23">
        <v>13</v>
      </c>
      <c r="I629" s="21" t="str">
        <f t="shared" si="49"/>
        <v>44103105</v>
      </c>
      <c r="J629" s="25" t="s">
        <v>98</v>
      </c>
    </row>
    <row r="630" spans="1:10" ht="39">
      <c r="A630" s="9" t="s">
        <v>27</v>
      </c>
      <c r="B630" s="2" t="s">
        <v>31</v>
      </c>
      <c r="C630" s="2">
        <v>3204</v>
      </c>
      <c r="D630" s="2">
        <v>142</v>
      </c>
      <c r="E630" s="2" t="str">
        <f>"1000017174"</f>
        <v>1000017174</v>
      </c>
      <c r="F630" s="2" t="str">
        <f>"INK CART:EPS Item # T033420-EPS, Epson Ink cartridge, Yellow for Stylus Photo 960 Printer (Yld 460)"</f>
        <v>INK CART:EPS Item # T033420-EPS, Epson Ink cartridge, Yellow for Stylus Photo 960 Printer (Yld 460)</v>
      </c>
      <c r="G630" s="3" t="str">
        <f t="shared" si="48"/>
        <v>EA</v>
      </c>
      <c r="H630" s="7">
        <v>13</v>
      </c>
      <c r="I630" s="2" t="str">
        <f t="shared" si="49"/>
        <v>44103105</v>
      </c>
      <c r="J630" s="10" t="s">
        <v>98</v>
      </c>
    </row>
    <row r="631" spans="1:10" ht="39">
      <c r="A631" s="24" t="s">
        <v>27</v>
      </c>
      <c r="B631" s="21" t="s">
        <v>31</v>
      </c>
      <c r="C631" s="21">
        <v>3204</v>
      </c>
      <c r="D631" s="21">
        <v>143</v>
      </c>
      <c r="E631" s="21" t="str">
        <f>"1000017175"</f>
        <v>1000017175</v>
      </c>
      <c r="F631" s="21" t="str">
        <f>"INK CART:EPS Item # T033520-EPS, Epson Ink cartridge, Light Cyan for Stylus Photo 960 Printer"</f>
        <v>INK CART:EPS Item # T033520-EPS, Epson Ink cartridge, Light Cyan for Stylus Photo 960 Printer</v>
      </c>
      <c r="G631" s="22" t="str">
        <f t="shared" si="48"/>
        <v>EA</v>
      </c>
      <c r="H631" s="23">
        <v>13</v>
      </c>
      <c r="I631" s="21" t="str">
        <f t="shared" si="49"/>
        <v>44103105</v>
      </c>
      <c r="J631" s="25" t="s">
        <v>98</v>
      </c>
    </row>
    <row r="632" spans="1:10" ht="39">
      <c r="A632" s="9" t="s">
        <v>27</v>
      </c>
      <c r="B632" s="2" t="s">
        <v>31</v>
      </c>
      <c r="C632" s="2">
        <v>3204</v>
      </c>
      <c r="D632" s="2">
        <v>144</v>
      </c>
      <c r="E632" s="2" t="str">
        <f>"1000017205"</f>
        <v>1000017205</v>
      </c>
      <c r="F632" s="2" t="str">
        <f>"INK CART:EPS Item # T033620-EPS, Epson Ink cartridge, Magenta for Stylus Photo 960 Printer"</f>
        <v>INK CART:EPS Item # T033620-EPS, Epson Ink cartridge, Magenta for Stylus Photo 960 Printer</v>
      </c>
      <c r="G632" s="3" t="str">
        <f t="shared" ref="G632:G652" si="50">"EA"</f>
        <v>EA</v>
      </c>
      <c r="H632" s="7">
        <v>13</v>
      </c>
      <c r="I632" s="2" t="str">
        <f t="shared" si="49"/>
        <v>44103105</v>
      </c>
      <c r="J632" s="10" t="s">
        <v>98</v>
      </c>
    </row>
    <row r="633" spans="1:10" ht="39">
      <c r="A633" s="24" t="s">
        <v>27</v>
      </c>
      <c r="B633" s="21" t="s">
        <v>31</v>
      </c>
      <c r="C633" s="21">
        <v>3204</v>
      </c>
      <c r="D633" s="21">
        <v>145</v>
      </c>
      <c r="E633" s="21" t="str">
        <f>"1000000515"</f>
        <v>1000000515</v>
      </c>
      <c r="F633" s="21" t="str">
        <f>"INK CART:EPS Item # T034120-EPS. Photo Black Ink for Epson Printers Stylus Photo 2200 (Yld 628)"</f>
        <v>INK CART:EPS Item # T034120-EPS. Photo Black Ink for Epson Printers Stylus Photo 2200 (Yld 628)</v>
      </c>
      <c r="G633" s="22" t="str">
        <f t="shared" si="50"/>
        <v>EA</v>
      </c>
      <c r="H633" s="23">
        <v>11</v>
      </c>
      <c r="I633" s="21" t="str">
        <f t="shared" si="49"/>
        <v>44103105</v>
      </c>
      <c r="J633" s="25" t="s">
        <v>98</v>
      </c>
    </row>
    <row r="634" spans="1:10" ht="39">
      <c r="A634" s="9" t="s">
        <v>27</v>
      </c>
      <c r="B634" s="2" t="s">
        <v>31</v>
      </c>
      <c r="C634" s="2">
        <v>3204</v>
      </c>
      <c r="D634" s="2">
        <v>146</v>
      </c>
      <c r="E634" s="2" t="str">
        <f>"1000001781"</f>
        <v>1000001781</v>
      </c>
      <c r="F634" s="2" t="str">
        <f>"INK CART:EPS Item # T034220-EPS, Cyan Ink for Epson Printers Stylus Photo 2200 Inkjet Cartridge (Yld 440)"</f>
        <v>INK CART:EPS Item # T034220-EPS, Cyan Ink for Epson Printers Stylus Photo 2200 Inkjet Cartridge (Yld 440)</v>
      </c>
      <c r="G634" s="3" t="str">
        <f t="shared" si="50"/>
        <v>EA</v>
      </c>
      <c r="H634" s="7">
        <v>12</v>
      </c>
      <c r="I634" s="2" t="str">
        <f t="shared" si="49"/>
        <v>44103105</v>
      </c>
      <c r="J634" s="10" t="s">
        <v>98</v>
      </c>
    </row>
    <row r="635" spans="1:10" ht="39">
      <c r="A635" s="24" t="s">
        <v>27</v>
      </c>
      <c r="B635" s="21" t="s">
        <v>31</v>
      </c>
      <c r="C635" s="21">
        <v>3204</v>
      </c>
      <c r="D635" s="21">
        <v>147</v>
      </c>
      <c r="E635" s="21" t="str">
        <f>"1000001782"</f>
        <v>1000001782</v>
      </c>
      <c r="F635" s="21" t="str">
        <f>"INK CART:EPS Item # T034320-EPS, Magenta Ink for Epson Printers Stylus Photo 2200 Inkjet Cartridge (Yld 440)"</f>
        <v>INK CART:EPS Item # T034320-EPS, Magenta Ink for Epson Printers Stylus Photo 2200 Inkjet Cartridge (Yld 440)</v>
      </c>
      <c r="G635" s="22" t="str">
        <f t="shared" si="50"/>
        <v>EA</v>
      </c>
      <c r="H635" s="23">
        <v>12</v>
      </c>
      <c r="I635" s="21" t="str">
        <f t="shared" si="49"/>
        <v>44103105</v>
      </c>
      <c r="J635" s="25" t="s">
        <v>98</v>
      </c>
    </row>
    <row r="636" spans="1:10" ht="39">
      <c r="A636" s="9" t="s">
        <v>27</v>
      </c>
      <c r="B636" s="2" t="s">
        <v>31</v>
      </c>
      <c r="C636" s="2">
        <v>3204</v>
      </c>
      <c r="D636" s="2">
        <v>148</v>
      </c>
      <c r="E636" s="2" t="str">
        <f>"1000001641"</f>
        <v>1000001641</v>
      </c>
      <c r="F636" s="2" t="str">
        <f>"INK CART:EPS Item # T034420-EPS, Yellow Ink for Epson Printers Stylus Photo 2200 Inkjet Cartridge (Yld 440)"</f>
        <v>INK CART:EPS Item # T034420-EPS, Yellow Ink for Epson Printers Stylus Photo 2200 Inkjet Cartridge (Yld 440)</v>
      </c>
      <c r="G636" s="3" t="str">
        <f t="shared" si="50"/>
        <v>EA</v>
      </c>
      <c r="H636" s="7">
        <v>11</v>
      </c>
      <c r="I636" s="2" t="str">
        <f t="shared" si="49"/>
        <v>44103105</v>
      </c>
      <c r="J636" s="10" t="s">
        <v>98</v>
      </c>
    </row>
    <row r="637" spans="1:10" ht="39">
      <c r="A637" s="24" t="s">
        <v>27</v>
      </c>
      <c r="B637" s="21" t="s">
        <v>31</v>
      </c>
      <c r="C637" s="21">
        <v>3204</v>
      </c>
      <c r="D637" s="21">
        <v>149</v>
      </c>
      <c r="E637" s="21" t="str">
        <f>"1000017231"</f>
        <v>1000017231</v>
      </c>
      <c r="F637" s="21" t="str">
        <f>"INK CART:EPS Item # T034520-EPS, Epson Stylus Photo 2200 Inkjet Cartridge, Light Cyan (Yld 440)"</f>
        <v>INK CART:EPS Item # T034520-EPS, Epson Stylus Photo 2200 Inkjet Cartridge, Light Cyan (Yld 440)</v>
      </c>
      <c r="G637" s="22" t="str">
        <f t="shared" si="50"/>
        <v>EA</v>
      </c>
      <c r="H637" s="23">
        <v>12</v>
      </c>
      <c r="I637" s="21" t="str">
        <f t="shared" si="49"/>
        <v>44103105</v>
      </c>
      <c r="J637" s="25" t="s">
        <v>98</v>
      </c>
    </row>
    <row r="638" spans="1:10" ht="39">
      <c r="A638" s="9" t="s">
        <v>27</v>
      </c>
      <c r="B638" s="2" t="s">
        <v>31</v>
      </c>
      <c r="C638" s="2">
        <v>3204</v>
      </c>
      <c r="D638" s="2">
        <v>150</v>
      </c>
      <c r="E638" s="2" t="str">
        <f>"1000001642"</f>
        <v>1000001642</v>
      </c>
      <c r="F638" s="2" t="str">
        <f>"INK CART:EPS Item # T034620-EPS, Light Magenta Ink for Epson Printers Stylus Photo 2200 Inkjet Cartridge (Yld 440)"</f>
        <v>INK CART:EPS Item # T034620-EPS, Light Magenta Ink for Epson Printers Stylus Photo 2200 Inkjet Cartridge (Yld 440)</v>
      </c>
      <c r="G638" s="3" t="str">
        <f t="shared" si="50"/>
        <v>EA</v>
      </c>
      <c r="H638" s="7">
        <v>11</v>
      </c>
      <c r="I638" s="2" t="str">
        <f t="shared" si="49"/>
        <v>44103105</v>
      </c>
      <c r="J638" s="10" t="s">
        <v>98</v>
      </c>
    </row>
    <row r="639" spans="1:10" ht="39">
      <c r="A639" s="24" t="s">
        <v>27</v>
      </c>
      <c r="B639" s="21" t="s">
        <v>31</v>
      </c>
      <c r="C639" s="21">
        <v>3204</v>
      </c>
      <c r="D639" s="21">
        <v>151</v>
      </c>
      <c r="E639" s="21" t="str">
        <f>"1000001643"</f>
        <v>1000001643</v>
      </c>
      <c r="F639" s="21" t="str">
        <f>"INK CART:EPS Item # T034720-EPS, Light Black Ink for Epson Printers Stylus Photo 2200 Inkjet Cartridge, (Yld 440)"</f>
        <v>INK CART:EPS Item # T034720-EPS, Light Black Ink for Epson Printers Stylus Photo 2200 Inkjet Cartridge, (Yld 440)</v>
      </c>
      <c r="G639" s="22" t="str">
        <f t="shared" si="50"/>
        <v>EA</v>
      </c>
      <c r="H639" s="23">
        <v>12</v>
      </c>
      <c r="I639" s="21" t="str">
        <f t="shared" si="49"/>
        <v>44103105</v>
      </c>
      <c r="J639" s="25" t="s">
        <v>98</v>
      </c>
    </row>
    <row r="640" spans="1:10" ht="39">
      <c r="A640" s="9" t="s">
        <v>27</v>
      </c>
      <c r="B640" s="2" t="s">
        <v>31</v>
      </c>
      <c r="C640" s="2">
        <v>3204</v>
      </c>
      <c r="D640" s="2">
        <v>152</v>
      </c>
      <c r="E640" s="2" t="str">
        <f>"1000017207"</f>
        <v>1000017207</v>
      </c>
      <c r="F640" s="2" t="str">
        <f>"INK CART:EPS Item # T034820-EPS, Epson Stylus Photo 2200 Inkjet Cartridge, Matte Black (Yld 440)"</f>
        <v>INK CART:EPS Item # T034820-EPS, Epson Stylus Photo 2200 Inkjet Cartridge, Matte Black (Yld 440)</v>
      </c>
      <c r="G640" s="3" t="str">
        <f t="shared" si="50"/>
        <v>EA</v>
      </c>
      <c r="H640" s="7">
        <v>12</v>
      </c>
      <c r="I640" s="2" t="str">
        <f t="shared" si="49"/>
        <v>44103105</v>
      </c>
      <c r="J640" s="10" t="s">
        <v>98</v>
      </c>
    </row>
    <row r="641" spans="1:10" ht="26.25">
      <c r="A641" s="24" t="s">
        <v>27</v>
      </c>
      <c r="B641" s="21" t="s">
        <v>31</v>
      </c>
      <c r="C641" s="21">
        <v>3204</v>
      </c>
      <c r="D641" s="21">
        <v>153</v>
      </c>
      <c r="E641" s="21" t="str">
        <f>"1000022117"</f>
        <v>1000022117</v>
      </c>
      <c r="F641" s="21" t="str">
        <f>"INK CART: EPS Item # T036120. Black Epson T036 Inkjet Cartridge for Stylus Color 42/44."</f>
        <v>INK CART: EPS Item # T036120. Black Epson T036 Inkjet Cartridge for Stylus Color 42/44.</v>
      </c>
      <c r="G641" s="22" t="str">
        <f t="shared" si="50"/>
        <v>EA</v>
      </c>
      <c r="H641" s="23">
        <v>18</v>
      </c>
      <c r="I641" s="21" t="str">
        <f t="shared" si="49"/>
        <v>44103105</v>
      </c>
      <c r="J641" s="25" t="s">
        <v>98</v>
      </c>
    </row>
    <row r="642" spans="1:10" ht="26.25">
      <c r="A642" s="9" t="s">
        <v>27</v>
      </c>
      <c r="B642" s="2" t="s">
        <v>31</v>
      </c>
      <c r="C642" s="2">
        <v>3204</v>
      </c>
      <c r="D642" s="2">
        <v>154</v>
      </c>
      <c r="E642" s="2" t="str">
        <f>"1000022118"</f>
        <v>1000022118</v>
      </c>
      <c r="F642" s="2" t="str">
        <f>"INK CART: EPS Item # T037020. Tri-color Epson T037 Inkjet Cartridge for Stylus Color 42/44."</f>
        <v>INK CART: EPS Item # T037020. Tri-color Epson T037 Inkjet Cartridge for Stylus Color 42/44.</v>
      </c>
      <c r="G642" s="3" t="str">
        <f t="shared" si="50"/>
        <v>EA</v>
      </c>
      <c r="H642" s="7">
        <v>20</v>
      </c>
      <c r="I642" s="2" t="str">
        <f t="shared" si="49"/>
        <v>44103105</v>
      </c>
      <c r="J642" s="10" t="s">
        <v>98</v>
      </c>
    </row>
    <row r="643" spans="1:10" ht="26.25">
      <c r="A643" s="24" t="s">
        <v>27</v>
      </c>
      <c r="B643" s="21" t="s">
        <v>31</v>
      </c>
      <c r="C643" s="21">
        <v>3204</v>
      </c>
      <c r="D643" s="21">
        <v>155</v>
      </c>
      <c r="E643" s="21" t="str">
        <f>"1000017208"</f>
        <v>1000017208</v>
      </c>
      <c r="F643" s="21" t="str">
        <f>"INK CART:EPS Item # T040120-EPS, Epson Stylus C62 Inkjet Cartridge, Black (Yld 600)"</f>
        <v>INK CART:EPS Item # T040120-EPS, Epson Stylus C62 Inkjet Cartridge, Black (Yld 600)</v>
      </c>
      <c r="G643" s="22" t="str">
        <f t="shared" si="50"/>
        <v>EA</v>
      </c>
      <c r="H643" s="23">
        <v>29</v>
      </c>
      <c r="I643" s="21" t="str">
        <f t="shared" si="49"/>
        <v>44103105</v>
      </c>
      <c r="J643" s="25" t="s">
        <v>98</v>
      </c>
    </row>
    <row r="644" spans="1:10" ht="26.25">
      <c r="A644" s="9" t="s">
        <v>27</v>
      </c>
      <c r="B644" s="2" t="s">
        <v>31</v>
      </c>
      <c r="C644" s="2">
        <v>3204</v>
      </c>
      <c r="D644" s="2">
        <v>156</v>
      </c>
      <c r="E644" s="2" t="str">
        <f>"1000017209"</f>
        <v>1000017209</v>
      </c>
      <c r="F644" s="2" t="str">
        <f>"INK CART:EPS Item # T041020-EPS, Epson Stylus C62 Inkjet Cartridge, Color (Yld 300)"</f>
        <v>INK CART:EPS Item # T041020-EPS, Epson Stylus C62 Inkjet Cartridge, Color (Yld 300)</v>
      </c>
      <c r="G644" s="3" t="str">
        <f t="shared" si="50"/>
        <v>EA</v>
      </c>
      <c r="H644" s="7">
        <v>28</v>
      </c>
      <c r="I644" s="2" t="str">
        <f t="shared" si="49"/>
        <v>44103105</v>
      </c>
      <c r="J644" s="10" t="s">
        <v>98</v>
      </c>
    </row>
    <row r="645" spans="1:10" ht="26.25">
      <c r="A645" s="24" t="s">
        <v>27</v>
      </c>
      <c r="B645" s="21" t="s">
        <v>31</v>
      </c>
      <c r="C645" s="21">
        <v>3204</v>
      </c>
      <c r="D645" s="21">
        <v>157</v>
      </c>
      <c r="E645" s="21" t="str">
        <f>"1000017182"</f>
        <v>1000017182</v>
      </c>
      <c r="F645" s="21" t="str">
        <f>"INK CART:EPS Item # T042220-EPS, Epson Stylus C82 Inkjet Cartridge, Cyan (Yld 420)"</f>
        <v>INK CART:EPS Item # T042220-EPS, Epson Stylus C82 Inkjet Cartridge, Cyan (Yld 420)</v>
      </c>
      <c r="G645" s="22" t="str">
        <f t="shared" si="50"/>
        <v>EA</v>
      </c>
      <c r="H645" s="23">
        <v>14</v>
      </c>
      <c r="I645" s="21" t="str">
        <f t="shared" si="49"/>
        <v>44103105</v>
      </c>
      <c r="J645" s="25" t="s">
        <v>98</v>
      </c>
    </row>
    <row r="646" spans="1:10" ht="26.25">
      <c r="A646" s="9" t="s">
        <v>27</v>
      </c>
      <c r="B646" s="2" t="s">
        <v>31</v>
      </c>
      <c r="C646" s="2">
        <v>3204</v>
      </c>
      <c r="D646" s="2">
        <v>158</v>
      </c>
      <c r="E646" s="2" t="str">
        <f>"1000017183"</f>
        <v>1000017183</v>
      </c>
      <c r="F646" s="2" t="str">
        <f>"INK CART:EPS Item # T042320-EPS, Epson Stylus C82 Inkjet Cartridge, Magenta (Yld 420)"</f>
        <v>INK CART:EPS Item # T042320-EPS, Epson Stylus C82 Inkjet Cartridge, Magenta (Yld 420)</v>
      </c>
      <c r="G646" s="3" t="str">
        <f t="shared" si="50"/>
        <v>EA</v>
      </c>
      <c r="H646" s="7">
        <v>13</v>
      </c>
      <c r="I646" s="2" t="str">
        <f t="shared" si="49"/>
        <v>44103105</v>
      </c>
      <c r="J646" s="10" t="s">
        <v>98</v>
      </c>
    </row>
    <row r="647" spans="1:10" ht="26.25">
      <c r="A647" s="24" t="s">
        <v>27</v>
      </c>
      <c r="B647" s="21" t="s">
        <v>31</v>
      </c>
      <c r="C647" s="21">
        <v>3204</v>
      </c>
      <c r="D647" s="21">
        <v>159</v>
      </c>
      <c r="E647" s="21" t="str">
        <f>"1000017184"</f>
        <v>1000017184</v>
      </c>
      <c r="F647" s="21" t="str">
        <f>"INK CART:EPS Item # T042420-EPS, Epson Stylus C82 Inkjet Cartridge, Yellow (Yld 420)"</f>
        <v>INK CART:EPS Item # T042420-EPS, Epson Stylus C82 Inkjet Cartridge, Yellow (Yld 420)</v>
      </c>
      <c r="G647" s="22" t="str">
        <f t="shared" si="50"/>
        <v>EA</v>
      </c>
      <c r="H647" s="23">
        <v>13</v>
      </c>
      <c r="I647" s="21" t="str">
        <f t="shared" si="49"/>
        <v>44103105</v>
      </c>
      <c r="J647" s="25" t="s">
        <v>98</v>
      </c>
    </row>
    <row r="648" spans="1:10" ht="39">
      <c r="A648" s="9" t="s">
        <v>27</v>
      </c>
      <c r="B648" s="2" t="s">
        <v>31</v>
      </c>
      <c r="C648" s="2">
        <v>3204</v>
      </c>
      <c r="D648" s="2">
        <v>160</v>
      </c>
      <c r="E648" s="2" t="str">
        <f>"1000017185"</f>
        <v>1000017185</v>
      </c>
      <c r="F648" s="2" t="str">
        <f>"INK CART:EPS Item # T043120-EPS, Epson Stylus C64/C84/CX6400 High Yld High Capacity Black Ink Ctg"</f>
        <v>INK CART:EPS Item # T043120-EPS, Epson Stylus C64/C84/CX6400 High Yld High Capacity Black Ink Ctg</v>
      </c>
      <c r="G648" s="3" t="str">
        <f t="shared" si="50"/>
        <v>EA</v>
      </c>
      <c r="H648" s="7">
        <v>35</v>
      </c>
      <c r="I648" s="2" t="str">
        <f t="shared" si="49"/>
        <v>44103105</v>
      </c>
      <c r="J648" s="10" t="s">
        <v>98</v>
      </c>
    </row>
    <row r="649" spans="1:10" ht="26.25">
      <c r="A649" s="24" t="s">
        <v>27</v>
      </c>
      <c r="B649" s="21" t="s">
        <v>31</v>
      </c>
      <c r="C649" s="21">
        <v>3204</v>
      </c>
      <c r="D649" s="21">
        <v>161</v>
      </c>
      <c r="E649" s="21" t="str">
        <f>"1000017186"</f>
        <v>1000017186</v>
      </c>
      <c r="F649" s="21" t="str">
        <f>"INK CART:EPS Item # T044120-EPS, Epson Stylus C64/C84/CX6400 Black Ink Ctg (Yld 400)"</f>
        <v>INK CART:EPS Item # T044120-EPS, Epson Stylus C64/C84/CX6400 Black Ink Ctg (Yld 400)</v>
      </c>
      <c r="G649" s="22" t="str">
        <f t="shared" si="50"/>
        <v>EA</v>
      </c>
      <c r="H649" s="23">
        <v>25</v>
      </c>
      <c r="I649" s="21" t="str">
        <f t="shared" si="49"/>
        <v>44103105</v>
      </c>
      <c r="J649" s="25" t="s">
        <v>98</v>
      </c>
    </row>
    <row r="650" spans="1:10" ht="26.25">
      <c r="A650" s="9" t="s">
        <v>27</v>
      </c>
      <c r="B650" s="2" t="s">
        <v>31</v>
      </c>
      <c r="C650" s="2">
        <v>3204</v>
      </c>
      <c r="D650" s="2">
        <v>162</v>
      </c>
      <c r="E650" s="2" t="str">
        <f>"1000017187"</f>
        <v>1000017187</v>
      </c>
      <c r="F650" s="2" t="str">
        <f>"INK CART:EPS Item # T044220-EPS, Epson Stylus C64/C84/CX6400 Cyan Ink Ctg (Yld 400)"</f>
        <v>INK CART:EPS Item # T044220-EPS, Epson Stylus C64/C84/CX6400 Cyan Ink Ctg (Yld 400)</v>
      </c>
      <c r="G650" s="3" t="str">
        <f t="shared" si="50"/>
        <v>EA</v>
      </c>
      <c r="H650" s="7">
        <v>12</v>
      </c>
      <c r="I650" s="2" t="str">
        <f t="shared" si="49"/>
        <v>44103105</v>
      </c>
      <c r="J650" s="10" t="s">
        <v>98</v>
      </c>
    </row>
    <row r="651" spans="1:10" ht="26.25">
      <c r="A651" s="24" t="s">
        <v>27</v>
      </c>
      <c r="B651" s="21" t="s">
        <v>31</v>
      </c>
      <c r="C651" s="21">
        <v>3204</v>
      </c>
      <c r="D651" s="21">
        <v>163</v>
      </c>
      <c r="E651" s="21" t="str">
        <f>"1000017188"</f>
        <v>1000017188</v>
      </c>
      <c r="F651" s="21" t="str">
        <f>"INK CART:EPS Item # T044320-EPS, Epson Stylus C64/C84/CX6400 Magenta Ink Ctg (Yld 400)"</f>
        <v>INK CART:EPS Item # T044320-EPS, Epson Stylus C64/C84/CX6400 Magenta Ink Ctg (Yld 400)</v>
      </c>
      <c r="G651" s="22" t="str">
        <f t="shared" si="50"/>
        <v>EA</v>
      </c>
      <c r="H651" s="23">
        <v>12</v>
      </c>
      <c r="I651" s="21" t="str">
        <f t="shared" si="49"/>
        <v>44103105</v>
      </c>
      <c r="J651" s="25" t="s">
        <v>98</v>
      </c>
    </row>
    <row r="652" spans="1:10" ht="26.25">
      <c r="A652" s="9" t="s">
        <v>27</v>
      </c>
      <c r="B652" s="2" t="s">
        <v>31</v>
      </c>
      <c r="C652" s="2">
        <v>3204</v>
      </c>
      <c r="D652" s="2">
        <v>164</v>
      </c>
      <c r="E652" s="2" t="str">
        <f>"1000017189"</f>
        <v>1000017189</v>
      </c>
      <c r="F652" s="2" t="str">
        <f>"INK CART:EPS Item # T044420-EPS, Epson Stylus C64/C84/CX6400 Yellow Ink Ctg (Yld 400)"</f>
        <v>INK CART:EPS Item # T044420-EPS, Epson Stylus C64/C84/CX6400 Yellow Ink Ctg (Yld 400)</v>
      </c>
      <c r="G652" s="3" t="str">
        <f t="shared" si="50"/>
        <v>EA</v>
      </c>
      <c r="H652" s="7">
        <v>12</v>
      </c>
      <c r="I652" s="2" t="str">
        <f t="shared" si="49"/>
        <v>44103105</v>
      </c>
      <c r="J652" s="10" t="s">
        <v>98</v>
      </c>
    </row>
    <row r="653" spans="1:10" ht="39">
      <c r="A653" s="24" t="s">
        <v>27</v>
      </c>
      <c r="B653" s="21" t="s">
        <v>31</v>
      </c>
      <c r="C653" s="21">
        <v>3204</v>
      </c>
      <c r="D653" s="21">
        <v>165</v>
      </c>
      <c r="E653" s="21" t="str">
        <f>"1000017218"</f>
        <v>1000017218</v>
      </c>
      <c r="F653" s="21" t="str">
        <f>"INK CART:EPS Item # T044520-EPS, Epson T044520 ink for C84 multi pack includes Cyan, Magenta and Yellow"</f>
        <v>INK CART:EPS Item # T044520-EPS, Epson T044520 ink for C84 multi pack includes Cyan, Magenta and Yellow</v>
      </c>
      <c r="G653" s="22" t="str">
        <f>"PK"</f>
        <v>PK</v>
      </c>
      <c r="H653" s="23">
        <v>38</v>
      </c>
      <c r="I653" s="21" t="str">
        <f t="shared" si="49"/>
        <v>44103105</v>
      </c>
      <c r="J653" s="25" t="s">
        <v>98</v>
      </c>
    </row>
    <row r="654" spans="1:10" ht="39">
      <c r="A654" s="9" t="s">
        <v>27</v>
      </c>
      <c r="B654" s="2" t="s">
        <v>31</v>
      </c>
      <c r="C654" s="2">
        <v>3204</v>
      </c>
      <c r="D654" s="2">
        <v>166</v>
      </c>
      <c r="E654" s="2" t="str">
        <f>"1000017243"</f>
        <v>1000017243</v>
      </c>
      <c r="F654" s="2" t="str">
        <f>"INK CART:EPS Item # T048120-EPS, Epson Black InkCtg (Yld 630) Stylus Photo R300/300M/RX500"</f>
        <v>INK CART:EPS Item # T048120-EPS, Epson Black InkCtg (Yld 630) Stylus Photo R300/300M/RX500</v>
      </c>
      <c r="G654" s="3" t="str">
        <f t="shared" ref="G654:G675" si="51">"EA"</f>
        <v>EA</v>
      </c>
      <c r="H654" s="7">
        <v>19.32</v>
      </c>
      <c r="I654" s="2" t="str">
        <f t="shared" si="49"/>
        <v>44103105</v>
      </c>
      <c r="J654" s="10" t="s">
        <v>98</v>
      </c>
    </row>
    <row r="655" spans="1:10" ht="26.25">
      <c r="A655" s="24" t="s">
        <v>27</v>
      </c>
      <c r="B655" s="21" t="s">
        <v>31</v>
      </c>
      <c r="C655" s="21">
        <v>3204</v>
      </c>
      <c r="D655" s="21">
        <v>167</v>
      </c>
      <c r="E655" s="21" t="str">
        <f>"1000017244"</f>
        <v>1000017244</v>
      </c>
      <c r="F655" s="21" t="str">
        <f>"INK CART:EPS Item # T048220-EPS, Epson Stylus Photo Cyan Inkjet R300/ R330M/R50"</f>
        <v>INK CART:EPS Item # T048220-EPS, Epson Stylus Photo Cyan Inkjet R300/ R330M/R50</v>
      </c>
      <c r="G655" s="22" t="str">
        <f t="shared" si="51"/>
        <v>EA</v>
      </c>
      <c r="H655" s="23">
        <v>13</v>
      </c>
      <c r="I655" s="21" t="str">
        <f t="shared" si="49"/>
        <v>44103105</v>
      </c>
      <c r="J655" s="25" t="s">
        <v>98</v>
      </c>
    </row>
    <row r="656" spans="1:10" ht="39">
      <c r="A656" s="9" t="s">
        <v>27</v>
      </c>
      <c r="B656" s="2" t="s">
        <v>31</v>
      </c>
      <c r="C656" s="2">
        <v>3204</v>
      </c>
      <c r="D656" s="2">
        <v>168</v>
      </c>
      <c r="E656" s="2" t="str">
        <f>"1000017220"</f>
        <v>1000017220</v>
      </c>
      <c r="F656" s="2" t="str">
        <f>"INK CART:EPS Item # T048320-EPS, Epson Magenta Ink Ctg Stylus Photo R300/300M/RX500"</f>
        <v>INK CART:EPS Item # T048320-EPS, Epson Magenta Ink Ctg Stylus Photo R300/300M/RX500</v>
      </c>
      <c r="G656" s="3" t="str">
        <f t="shared" si="51"/>
        <v>EA</v>
      </c>
      <c r="H656" s="7">
        <v>15.09</v>
      </c>
      <c r="I656" s="2" t="str">
        <f t="shared" si="49"/>
        <v>44103105</v>
      </c>
      <c r="J656" s="10" t="s">
        <v>98</v>
      </c>
    </row>
    <row r="657" spans="1:10" ht="26.25">
      <c r="A657" s="24" t="s">
        <v>27</v>
      </c>
      <c r="B657" s="21" t="s">
        <v>31</v>
      </c>
      <c r="C657" s="21">
        <v>3204</v>
      </c>
      <c r="D657" s="21">
        <v>169</v>
      </c>
      <c r="E657" s="21" t="str">
        <f>"1000017221"</f>
        <v>1000017221</v>
      </c>
      <c r="F657" s="21" t="str">
        <f>"INK CART:EPS Item # T048420-EPS, Epson Yellow Ink Ctg Stylus Photo R300/300M/RX500"</f>
        <v>INK CART:EPS Item # T048420-EPS, Epson Yellow Ink Ctg Stylus Photo R300/300M/RX500</v>
      </c>
      <c r="G657" s="22" t="str">
        <f t="shared" si="51"/>
        <v>EA</v>
      </c>
      <c r="H657" s="23">
        <v>13</v>
      </c>
      <c r="I657" s="21" t="str">
        <f t="shared" si="49"/>
        <v>44103105</v>
      </c>
      <c r="J657" s="25" t="s">
        <v>98</v>
      </c>
    </row>
    <row r="658" spans="1:10" ht="39">
      <c r="A658" s="9" t="s">
        <v>27</v>
      </c>
      <c r="B658" s="2" t="s">
        <v>31</v>
      </c>
      <c r="C658" s="2">
        <v>3204</v>
      </c>
      <c r="D658" s="2">
        <v>170</v>
      </c>
      <c r="E658" s="2" t="str">
        <f>"1000017196"</f>
        <v>1000017196</v>
      </c>
      <c r="F658" s="2" t="str">
        <f>"INK CART:EPS Item # T048520-EPS, Epson Light Cyan Ink Ctg (Yld 430) Stylus Photo R300/300M/RX500"</f>
        <v>INK CART:EPS Item # T048520-EPS, Epson Light Cyan Ink Ctg (Yld 430) Stylus Photo R300/300M/RX500</v>
      </c>
      <c r="G658" s="3" t="str">
        <f t="shared" si="51"/>
        <v>EA</v>
      </c>
      <c r="H658" s="7">
        <v>13</v>
      </c>
      <c r="I658" s="2" t="str">
        <f t="shared" si="49"/>
        <v>44103105</v>
      </c>
      <c r="J658" s="10" t="s">
        <v>98</v>
      </c>
    </row>
    <row r="659" spans="1:10" ht="39">
      <c r="A659" s="24" t="s">
        <v>27</v>
      </c>
      <c r="B659" s="21" t="s">
        <v>31</v>
      </c>
      <c r="C659" s="21">
        <v>3204</v>
      </c>
      <c r="D659" s="21">
        <v>171</v>
      </c>
      <c r="E659" s="21" t="str">
        <f>"1000017197"</f>
        <v>1000017197</v>
      </c>
      <c r="F659" s="21" t="str">
        <f>"INK CART:EPS Item # T048620;EPS, Epson Light Magenta Ink Ctg Yld 430 Stylus Photo R300/300M/RX500"</f>
        <v>INK CART:EPS Item # T048620;EPS, Epson Light Magenta Ink Ctg Yld 430 Stylus Photo R300/300M/RX500</v>
      </c>
      <c r="G659" s="22" t="str">
        <f t="shared" si="51"/>
        <v>EA</v>
      </c>
      <c r="H659" s="23">
        <v>13</v>
      </c>
      <c r="I659" s="21" t="str">
        <f t="shared" si="49"/>
        <v>44103105</v>
      </c>
      <c r="J659" s="25" t="s">
        <v>98</v>
      </c>
    </row>
    <row r="660" spans="1:10" ht="26.25">
      <c r="A660" s="9" t="s">
        <v>27</v>
      </c>
      <c r="B660" s="2" t="s">
        <v>31</v>
      </c>
      <c r="C660" s="2">
        <v>3204</v>
      </c>
      <c r="D660" s="2">
        <v>172</v>
      </c>
      <c r="E660" s="2" t="str">
        <f>"1000017198"</f>
        <v>1000017198</v>
      </c>
      <c r="F660" s="2" t="str">
        <f>"INK CART:EPS Item # T054020-EPS, Epson R800 Ultra Chrome gloss optimizer"</f>
        <v>INK CART:EPS Item # T054020-EPS, Epson R800 Ultra Chrome gloss optimizer</v>
      </c>
      <c r="G660" s="3" t="str">
        <f t="shared" si="51"/>
        <v>EA</v>
      </c>
      <c r="H660" s="7">
        <v>14</v>
      </c>
      <c r="I660" s="2" t="str">
        <f t="shared" si="49"/>
        <v>44103105</v>
      </c>
      <c r="J660" s="10" t="s">
        <v>98</v>
      </c>
    </row>
    <row r="661" spans="1:10" ht="26.25">
      <c r="A661" s="24" t="s">
        <v>27</v>
      </c>
      <c r="B661" s="21" t="s">
        <v>31</v>
      </c>
      <c r="C661" s="21">
        <v>3204</v>
      </c>
      <c r="D661" s="21">
        <v>173</v>
      </c>
      <c r="E661" s="21" t="str">
        <f>"1000017199"</f>
        <v>1000017199</v>
      </c>
      <c r="F661" s="21" t="str">
        <f>"INK CART:EPS Item # T054120-EPS, Epson R800 Ultra Chrome photo black"</f>
        <v>INK CART:EPS Item # T054120-EPS, Epson R800 Ultra Chrome photo black</v>
      </c>
      <c r="G661" s="22" t="str">
        <f t="shared" si="51"/>
        <v>EA</v>
      </c>
      <c r="H661" s="23">
        <v>17.989999999999998</v>
      </c>
      <c r="I661" s="21" t="str">
        <f t="shared" si="49"/>
        <v>44103105</v>
      </c>
      <c r="J661" s="25" t="s">
        <v>98</v>
      </c>
    </row>
    <row r="662" spans="1:10" ht="26.25">
      <c r="A662" s="9" t="s">
        <v>27</v>
      </c>
      <c r="B662" s="2" t="s">
        <v>31</v>
      </c>
      <c r="C662" s="2">
        <v>3204</v>
      </c>
      <c r="D662" s="2">
        <v>174</v>
      </c>
      <c r="E662" s="2" t="str">
        <f>"1000017200"</f>
        <v>1000017200</v>
      </c>
      <c r="F662" s="2" t="str">
        <f>"INK CART:EPS Item # T054220-EPS, Epson R800 Ultra Chrome Cyan"</f>
        <v>INK CART:EPS Item # T054220-EPS, Epson R800 Ultra Chrome Cyan</v>
      </c>
      <c r="G662" s="3" t="str">
        <f t="shared" si="51"/>
        <v>EA</v>
      </c>
      <c r="H662" s="7">
        <v>17.989999999999998</v>
      </c>
      <c r="I662" s="2" t="str">
        <f t="shared" si="49"/>
        <v>44103105</v>
      </c>
      <c r="J662" s="10" t="s">
        <v>98</v>
      </c>
    </row>
    <row r="663" spans="1:10" ht="26.25">
      <c r="A663" s="24" t="s">
        <v>27</v>
      </c>
      <c r="B663" s="21" t="s">
        <v>31</v>
      </c>
      <c r="C663" s="21">
        <v>3204</v>
      </c>
      <c r="D663" s="21">
        <v>175</v>
      </c>
      <c r="E663" s="21" t="str">
        <f>"1000017201"</f>
        <v>1000017201</v>
      </c>
      <c r="F663" s="21" t="str">
        <f>"INK CART:EPS Item # T054320-EPS, Epson R800 Ultra Chrome Magenta"</f>
        <v>INK CART:EPS Item # T054320-EPS, Epson R800 Ultra Chrome Magenta</v>
      </c>
      <c r="G663" s="22" t="str">
        <f t="shared" si="51"/>
        <v>EA</v>
      </c>
      <c r="H663" s="23">
        <v>17.989999999999998</v>
      </c>
      <c r="I663" s="21" t="str">
        <f t="shared" si="49"/>
        <v>44103105</v>
      </c>
      <c r="J663" s="25" t="s">
        <v>98</v>
      </c>
    </row>
    <row r="664" spans="1:10" ht="26.25">
      <c r="A664" s="9" t="s">
        <v>27</v>
      </c>
      <c r="B664" s="2" t="s">
        <v>31</v>
      </c>
      <c r="C664" s="2">
        <v>3204</v>
      </c>
      <c r="D664" s="2">
        <v>176</v>
      </c>
      <c r="E664" s="2" t="str">
        <f>"1000017202"</f>
        <v>1000017202</v>
      </c>
      <c r="F664" s="2" t="str">
        <f>"INK CART:EPS Item # T054420-EPS, Epson R800 Ultra Chrome Yellow"</f>
        <v>INK CART:EPS Item # T054420-EPS, Epson R800 Ultra Chrome Yellow</v>
      </c>
      <c r="G664" s="3" t="str">
        <f t="shared" si="51"/>
        <v>EA</v>
      </c>
      <c r="H664" s="7">
        <v>17.989999999999998</v>
      </c>
      <c r="I664" s="2" t="str">
        <f t="shared" si="49"/>
        <v>44103105</v>
      </c>
      <c r="J664" s="10" t="s">
        <v>98</v>
      </c>
    </row>
    <row r="665" spans="1:10" ht="26.25">
      <c r="A665" s="24" t="s">
        <v>27</v>
      </c>
      <c r="B665" s="21" t="s">
        <v>31</v>
      </c>
      <c r="C665" s="21">
        <v>3204</v>
      </c>
      <c r="D665" s="21">
        <v>177</v>
      </c>
      <c r="E665" s="21" t="str">
        <f>"1000017203"</f>
        <v>1000017203</v>
      </c>
      <c r="F665" s="21" t="str">
        <f>"INK CART:EPS Item # T054720-EPS, Epson R800 Ultra Chrome red"</f>
        <v>INK CART:EPS Item # T054720-EPS, Epson R800 Ultra Chrome red</v>
      </c>
      <c r="G665" s="22" t="str">
        <f t="shared" si="51"/>
        <v>EA</v>
      </c>
      <c r="H665" s="23">
        <v>17.989999999999998</v>
      </c>
      <c r="I665" s="21" t="str">
        <f t="shared" si="49"/>
        <v>44103105</v>
      </c>
      <c r="J665" s="25" t="s">
        <v>98</v>
      </c>
    </row>
    <row r="666" spans="1:10" ht="26.25">
      <c r="A666" s="9" t="s">
        <v>27</v>
      </c>
      <c r="B666" s="2" t="s">
        <v>31</v>
      </c>
      <c r="C666" s="2">
        <v>3204</v>
      </c>
      <c r="D666" s="2">
        <v>178</v>
      </c>
      <c r="E666" s="2" t="str">
        <f>"1000017204"</f>
        <v>1000017204</v>
      </c>
      <c r="F666" s="2" t="str">
        <f>"INK CART:EPS Item # T054820-EPS, Epson R800 Ultra Chrome matte black"</f>
        <v>INK CART:EPS Item # T054820-EPS, Epson R800 Ultra Chrome matte black</v>
      </c>
      <c r="G666" s="3" t="str">
        <f t="shared" si="51"/>
        <v>EA</v>
      </c>
      <c r="H666" s="7">
        <v>17.989999999999998</v>
      </c>
      <c r="I666" s="2" t="str">
        <f t="shared" si="49"/>
        <v>44103105</v>
      </c>
      <c r="J666" s="10" t="s">
        <v>98</v>
      </c>
    </row>
    <row r="667" spans="1:10" ht="26.25">
      <c r="A667" s="24" t="s">
        <v>27</v>
      </c>
      <c r="B667" s="21" t="s">
        <v>31</v>
      </c>
      <c r="C667" s="21">
        <v>3204</v>
      </c>
      <c r="D667" s="21">
        <v>179</v>
      </c>
      <c r="E667" s="21" t="str">
        <f>"1000017230"</f>
        <v>1000017230</v>
      </c>
      <c r="F667" s="21" t="str">
        <f>"INK CART:EPS Item # T054920-EPS, Epson R800 Ultra Chrome blue"</f>
        <v>INK CART:EPS Item # T054920-EPS, Epson R800 Ultra Chrome blue</v>
      </c>
      <c r="G667" s="22" t="str">
        <f t="shared" si="51"/>
        <v>EA</v>
      </c>
      <c r="H667" s="23">
        <v>14</v>
      </c>
      <c r="I667" s="21" t="str">
        <f t="shared" si="49"/>
        <v>44103105</v>
      </c>
      <c r="J667" s="25" t="s">
        <v>98</v>
      </c>
    </row>
    <row r="668" spans="1:10" ht="26.25">
      <c r="A668" s="9" t="s">
        <v>27</v>
      </c>
      <c r="B668" s="2" t="s">
        <v>31</v>
      </c>
      <c r="C668" s="2">
        <v>3204</v>
      </c>
      <c r="D668" s="2">
        <v>180</v>
      </c>
      <c r="E668" s="2" t="str">
        <f>"1000017256"</f>
        <v>1000017256</v>
      </c>
      <c r="F668" s="2" t="str">
        <f>"INK CART:EPS Item # T059120-EPS, Epson Photo Black Ink Cartridge - Stylus Photo R2400"</f>
        <v>INK CART:EPS Item # T059120-EPS, Epson Photo Black Ink Cartridge - Stylus Photo R2400</v>
      </c>
      <c r="G668" s="3" t="str">
        <f t="shared" si="51"/>
        <v>EA</v>
      </c>
      <c r="H668" s="7">
        <v>17.66</v>
      </c>
      <c r="I668" s="2" t="str">
        <f t="shared" si="49"/>
        <v>44103105</v>
      </c>
      <c r="J668" s="10" t="s">
        <v>98</v>
      </c>
    </row>
    <row r="669" spans="1:10" ht="39">
      <c r="A669" s="24" t="s">
        <v>27</v>
      </c>
      <c r="B669" s="21" t="s">
        <v>31</v>
      </c>
      <c r="C669" s="21">
        <v>3204</v>
      </c>
      <c r="D669" s="21">
        <v>181</v>
      </c>
      <c r="E669" s="21" t="str">
        <f>"1000017257"</f>
        <v>1000017257</v>
      </c>
      <c r="F669" s="21" t="str">
        <f>"INK CART:EPS Item # T059220-EPS, Epson Photo Stylus R2400 Cyan UltraChrome K3 ink cartridge"</f>
        <v>INK CART:EPS Item # T059220-EPS, Epson Photo Stylus R2400 Cyan UltraChrome K3 ink cartridge</v>
      </c>
      <c r="G669" s="22" t="str">
        <f t="shared" si="51"/>
        <v>EA</v>
      </c>
      <c r="H669" s="23">
        <v>17.66</v>
      </c>
      <c r="I669" s="21" t="str">
        <f t="shared" si="49"/>
        <v>44103105</v>
      </c>
      <c r="J669" s="25" t="s">
        <v>98</v>
      </c>
    </row>
    <row r="670" spans="1:10" ht="39">
      <c r="A670" s="9" t="s">
        <v>27</v>
      </c>
      <c r="B670" s="2" t="s">
        <v>31</v>
      </c>
      <c r="C670" s="2">
        <v>3204</v>
      </c>
      <c r="D670" s="2">
        <v>182</v>
      </c>
      <c r="E670" s="2" t="str">
        <f>"1000017232"</f>
        <v>1000017232</v>
      </c>
      <c r="F670" s="2" t="str">
        <f>"INK CART:EPS Item # T059320-EPS, Epson Photo Stylus R2400 Magenta UltraChrome K3 ink cartridge"</f>
        <v>INK CART:EPS Item # T059320-EPS, Epson Photo Stylus R2400 Magenta UltraChrome K3 ink cartridge</v>
      </c>
      <c r="G670" s="3" t="str">
        <f t="shared" si="51"/>
        <v>EA</v>
      </c>
      <c r="H670" s="7">
        <v>18.32</v>
      </c>
      <c r="I670" s="2" t="str">
        <f t="shared" si="49"/>
        <v>44103105</v>
      </c>
      <c r="J670" s="10" t="s">
        <v>98</v>
      </c>
    </row>
    <row r="671" spans="1:10" ht="39">
      <c r="A671" s="24" t="s">
        <v>27</v>
      </c>
      <c r="B671" s="21" t="s">
        <v>31</v>
      </c>
      <c r="C671" s="21">
        <v>3204</v>
      </c>
      <c r="D671" s="21">
        <v>183</v>
      </c>
      <c r="E671" s="21" t="str">
        <f>"1000017210"</f>
        <v>1000017210</v>
      </c>
      <c r="F671" s="21" t="str">
        <f>"INK CART:EPS Item # T059520-EPS, Epson Photo Stylus R2400 Light Cyan UltraChrome K3 ink cartridge"</f>
        <v>INK CART:EPS Item # T059520-EPS, Epson Photo Stylus R2400 Light Cyan UltraChrome K3 ink cartridge</v>
      </c>
      <c r="G671" s="22" t="str">
        <f t="shared" si="51"/>
        <v>EA</v>
      </c>
      <c r="H671" s="23">
        <v>17.66</v>
      </c>
      <c r="I671" s="21" t="str">
        <f t="shared" si="49"/>
        <v>44103105</v>
      </c>
      <c r="J671" s="25" t="s">
        <v>98</v>
      </c>
    </row>
    <row r="672" spans="1:10" ht="26.25">
      <c r="A672" s="9" t="s">
        <v>27</v>
      </c>
      <c r="B672" s="2" t="s">
        <v>31</v>
      </c>
      <c r="C672" s="2">
        <v>3204</v>
      </c>
      <c r="D672" s="2">
        <v>184</v>
      </c>
      <c r="E672" s="2" t="str">
        <f>"1000017211"</f>
        <v>1000017211</v>
      </c>
      <c r="F672" s="2" t="str">
        <f>"INK CART:EPS Item # T0601-EPS, Epson Stylus C88 black ink"</f>
        <v>INK CART:EPS Item # T0601-EPS, Epson Stylus C88 black ink</v>
      </c>
      <c r="G672" s="3" t="str">
        <f t="shared" si="51"/>
        <v>EA</v>
      </c>
      <c r="H672" s="7">
        <v>21.92</v>
      </c>
      <c r="I672" s="2" t="str">
        <f t="shared" si="49"/>
        <v>44103105</v>
      </c>
      <c r="J672" s="10" t="s">
        <v>98</v>
      </c>
    </row>
    <row r="673" spans="1:10" ht="64.5">
      <c r="A673" s="24" t="s">
        <v>27</v>
      </c>
      <c r="B673" s="21" t="s">
        <v>31</v>
      </c>
      <c r="C673" s="21">
        <v>3204</v>
      </c>
      <c r="D673" s="21">
        <v>185</v>
      </c>
      <c r="E673" s="21" t="str">
        <f>"1000017212"</f>
        <v>1000017212</v>
      </c>
      <c r="F673" s="21" t="str">
        <f>"INK CART:EPS Item # T060220-EPS, Epson Cyan ink for Epson All-in-One Machines Stylus CX3800, CX3810, CX4200, CX4800, CX5800F, CX7800 and Epson Inkjet Printers Stylus C68, Stylus C88 Series"</f>
        <v>INK CART:EPS Item # T060220-EPS, Epson Cyan ink for Epson All-in-One Machines Stylus CX3800, CX3810, CX4200, CX4800, CX5800F, CX7800 and Epson Inkjet Printers Stylus C68, Stylus C88 Series</v>
      </c>
      <c r="G673" s="22" t="str">
        <f t="shared" si="51"/>
        <v>EA</v>
      </c>
      <c r="H673" s="23">
        <v>15.26</v>
      </c>
      <c r="I673" s="21" t="str">
        <f t="shared" si="49"/>
        <v>44103105</v>
      </c>
      <c r="J673" s="25" t="s">
        <v>98</v>
      </c>
    </row>
    <row r="674" spans="1:10" ht="64.5">
      <c r="A674" s="9" t="s">
        <v>27</v>
      </c>
      <c r="B674" s="2" t="s">
        <v>31</v>
      </c>
      <c r="C674" s="2">
        <v>3204</v>
      </c>
      <c r="D674" s="2">
        <v>186</v>
      </c>
      <c r="E674" s="2" t="str">
        <f>"1000017213"</f>
        <v>1000017213</v>
      </c>
      <c r="F674" s="2" t="str">
        <f>"INK CART:EPS Item # T060320-EPS, Epson Magenta ink Epson All-in-One Machines Stylus CX3800, CX3810, CX4200, CX4800, CX5800F, CX7800 and Epson Inkjet Printers Stylus C68, Stylus C88 Series"</f>
        <v>INK CART:EPS Item # T060320-EPS, Epson Magenta ink Epson All-in-One Machines Stylus CX3800, CX3810, CX4200, CX4800, CX5800F, CX7800 and Epson Inkjet Printers Stylus C68, Stylus C88 Series</v>
      </c>
      <c r="G674" s="3" t="str">
        <f t="shared" si="51"/>
        <v>EA</v>
      </c>
      <c r="H674" s="7">
        <v>14</v>
      </c>
      <c r="I674" s="2" t="str">
        <f t="shared" si="49"/>
        <v>44103105</v>
      </c>
      <c r="J674" s="10" t="s">
        <v>98</v>
      </c>
    </row>
    <row r="675" spans="1:10" ht="64.5">
      <c r="A675" s="24" t="s">
        <v>27</v>
      </c>
      <c r="B675" s="21" t="s">
        <v>31</v>
      </c>
      <c r="C675" s="21">
        <v>3204</v>
      </c>
      <c r="D675" s="21">
        <v>187</v>
      </c>
      <c r="E675" s="21" t="str">
        <f>"1000017214"</f>
        <v>1000017214</v>
      </c>
      <c r="F675" s="21" t="str">
        <f>"INK CART:EPS Item # T060420-EPS, Epson Yellow ink Epson All-in-One Machines Stylus CX3800, CX3810, CX4200, CX4800, CX5800F, CX7800 and Epson Inkjet Printers Stylus C68, Stylus C88 Series"</f>
        <v>INK CART:EPS Item # T060420-EPS, Epson Yellow ink Epson All-in-One Machines Stylus CX3800, CX3810, CX4200, CX4800, CX5800F, CX7800 and Epson Inkjet Printers Stylus C68, Stylus C88 Series</v>
      </c>
      <c r="G675" s="22" t="str">
        <f t="shared" si="51"/>
        <v>EA</v>
      </c>
      <c r="H675" s="23">
        <v>14</v>
      </c>
      <c r="I675" s="21" t="str">
        <f t="shared" si="49"/>
        <v>44103105</v>
      </c>
      <c r="J675" s="25" t="s">
        <v>98</v>
      </c>
    </row>
    <row r="676" spans="1:10" ht="64.5">
      <c r="A676" s="9" t="s">
        <v>27</v>
      </c>
      <c r="B676" s="2" t="s">
        <v>31</v>
      </c>
      <c r="C676" s="2">
        <v>3204</v>
      </c>
      <c r="D676" s="2">
        <v>188</v>
      </c>
      <c r="E676" s="2" t="str">
        <f>"1000017215"</f>
        <v>1000017215</v>
      </c>
      <c r="F676" s="2" t="str">
        <f>"INK CART:EPS Item # T068120-EPS, Epson Durabrite black high capacity dual pack Epson stylus C120/CX5000/Cx6000/CX7000F/CX8400/CX9400F. (Yld 370 per cartridge) 2/package"</f>
        <v>INK CART:EPS Item # T068120-EPS, Epson Durabrite black high capacity dual pack Epson stylus C120/CX5000/Cx6000/CX7000F/CX8400/CX9400F. (Yld 370 per cartridge) 2/package</v>
      </c>
      <c r="G676" s="3" t="str">
        <f>"PK"</f>
        <v>PK</v>
      </c>
      <c r="H676" s="7">
        <v>39</v>
      </c>
      <c r="I676" s="2" t="str">
        <f t="shared" si="49"/>
        <v>44103105</v>
      </c>
      <c r="J676" s="10" t="s">
        <v>98</v>
      </c>
    </row>
    <row r="677" spans="1:10" ht="39">
      <c r="A677" s="24" t="s">
        <v>27</v>
      </c>
      <c r="B677" s="21" t="s">
        <v>31</v>
      </c>
      <c r="C677" s="21">
        <v>3204</v>
      </c>
      <c r="D677" s="21">
        <v>189</v>
      </c>
      <c r="E677" s="21" t="str">
        <f>"1000000512"</f>
        <v>1000000512</v>
      </c>
      <c r="F677" s="21" t="str">
        <f>"INK CART:EPS Item # T069120-EPS, Ultra Black ink, smudge, fade and water resistant for the Epson CX5000 and CX6000 inkjet printers."</f>
        <v>INK CART:EPS Item # T069120-EPS, Ultra Black ink, smudge, fade and water resistant for the Epson CX5000 and CX6000 inkjet printers.</v>
      </c>
      <c r="G677" s="22" t="str">
        <f>"EA"</f>
        <v>EA</v>
      </c>
      <c r="H677" s="23">
        <v>17.72</v>
      </c>
      <c r="I677" s="21" t="str">
        <f t="shared" si="49"/>
        <v>44103105</v>
      </c>
      <c r="J677" s="25" t="s">
        <v>98</v>
      </c>
    </row>
    <row r="678" spans="1:10" ht="51.75">
      <c r="A678" s="9" t="s">
        <v>27</v>
      </c>
      <c r="B678" s="2" t="s">
        <v>31</v>
      </c>
      <c r="C678" s="2">
        <v>3204</v>
      </c>
      <c r="D678" s="2">
        <v>190</v>
      </c>
      <c r="E678" s="2" t="str">
        <f>"1000017216"</f>
        <v>1000017216</v>
      </c>
      <c r="F678" s="2" t="str">
        <f>"INK CART:EPS Item # T069320-EPS, Epson durable ultra Magenta ink, smudge, fade and water resistant for the Epson CX5000 and CX6000 inkjet printers."</f>
        <v>INK CART:EPS Item # T069320-EPS, Epson durable ultra Magenta ink, smudge, fade and water resistant for the Epson CX5000 and CX6000 inkjet printers.</v>
      </c>
      <c r="G678" s="3" t="str">
        <f>"EA"</f>
        <v>EA</v>
      </c>
      <c r="H678" s="7">
        <v>14.19</v>
      </c>
      <c r="I678" s="2" t="str">
        <f t="shared" si="49"/>
        <v>44103105</v>
      </c>
      <c r="J678" s="10" t="s">
        <v>98</v>
      </c>
    </row>
    <row r="679" spans="1:10" ht="51.75">
      <c r="A679" s="24" t="s">
        <v>27</v>
      </c>
      <c r="B679" s="21" t="s">
        <v>31</v>
      </c>
      <c r="C679" s="21">
        <v>3204</v>
      </c>
      <c r="D679" s="21">
        <v>191</v>
      </c>
      <c r="E679" s="21" t="str">
        <f>"1000017217"</f>
        <v>1000017217</v>
      </c>
      <c r="F679" s="21" t="str">
        <f>"INK CART:EPS Item # T069420-EPS, Epson durable ultra yellow ink, smudge, fade and water resistant for the Epson CX5000 and CX6000 inkjet printers. ."</f>
        <v>INK CART:EPS Item # T069420-EPS, Epson durable ultra yellow ink, smudge, fade and water resistant for the Epson CX5000 and CX6000 inkjet printers. .</v>
      </c>
      <c r="G679" s="22" t="str">
        <f>"EA"</f>
        <v>EA</v>
      </c>
      <c r="H679" s="23">
        <v>14.19</v>
      </c>
      <c r="I679" s="21" t="str">
        <f t="shared" si="49"/>
        <v>44103105</v>
      </c>
      <c r="J679" s="25" t="s">
        <v>98</v>
      </c>
    </row>
    <row r="680" spans="1:10" ht="90">
      <c r="A680" s="9" t="s">
        <v>27</v>
      </c>
      <c r="B680" s="2" t="s">
        <v>31</v>
      </c>
      <c r="C680" s="2">
        <v>3204</v>
      </c>
      <c r="D680" s="2">
        <v>192</v>
      </c>
      <c r="E680" s="2" t="str">
        <f>"1000017241"</f>
        <v>1000017241</v>
      </c>
      <c r="F680" s="2" t="str">
        <f>"INK CART:EPS Item # T069520-EPS, Epson Durabrite Ultra ink, multipack, includes Cyan, Magenta, Yellow ink crtg. Smudge, fade and water resistant for Epson NX400, NX300, NX200, NX100, CX9400F, CX8400, CX700F, CX6000, CX5000V, CX5000 and C120 Stylus print"</f>
        <v>INK CART:EPS Item # T069520-EPS, Epson Durabrite Ultra ink, multipack, includes Cyan, Magenta, Yellow ink crtg. Smudge, fade and water resistant for Epson NX400, NX300, NX200, NX100, CX9400F, CX8400, CX700F, CX6000, CX5000V, CX5000 and C120 Stylus print</v>
      </c>
      <c r="G680" s="3" t="str">
        <f>"PK"</f>
        <v>PK</v>
      </c>
      <c r="H680" s="7">
        <v>37</v>
      </c>
      <c r="I680" s="2" t="str">
        <f t="shared" si="49"/>
        <v>44103105</v>
      </c>
      <c r="J680" s="10" t="s">
        <v>98</v>
      </c>
    </row>
    <row r="681" spans="1:10" ht="39">
      <c r="A681" s="24" t="s">
        <v>27</v>
      </c>
      <c r="B681" s="21" t="s">
        <v>31</v>
      </c>
      <c r="C681" s="21">
        <v>3204</v>
      </c>
      <c r="D681" s="21">
        <v>193</v>
      </c>
      <c r="E681" s="21" t="str">
        <f>"1000017242"</f>
        <v>1000017242</v>
      </c>
      <c r="F681" s="21" t="str">
        <f>"INK CART:EPS Item # T078120-EPS, Epson 78 Black Ink Cartridge for Stylus Photo RX580/ RX595/RX680/ R260/ R280/R380/ RX580"</f>
        <v>INK CART:EPS Item # T078120-EPS, Epson 78 Black Ink Cartridge for Stylus Photo RX580/ RX595/RX680/ R260/ R280/R380/ RX580</v>
      </c>
      <c r="G681" s="22" t="str">
        <f t="shared" ref="G681:G709" si="52">"EA"</f>
        <v>EA</v>
      </c>
      <c r="H681" s="23">
        <v>17.260000000000002</v>
      </c>
      <c r="I681" s="21" t="str">
        <f t="shared" si="49"/>
        <v>44103105</v>
      </c>
      <c r="J681" s="25" t="s">
        <v>98</v>
      </c>
    </row>
    <row r="682" spans="1:10" ht="64.5">
      <c r="A682" s="9" t="s">
        <v>27</v>
      </c>
      <c r="B682" s="2" t="s">
        <v>31</v>
      </c>
      <c r="C682" s="2">
        <v>3204</v>
      </c>
      <c r="D682" s="2">
        <v>194</v>
      </c>
      <c r="E682" s="2" t="str">
        <f>"1000017270"</f>
        <v>1000017270</v>
      </c>
      <c r="F682" s="2" t="str">
        <f>"INK CART:EPS Item # T078220-EPS, Epson 78 Cyan Ink Cartridge for Epson All-in-One Machine: Stylus Photo RX580/ RX595/ RX680. Epson Photo Printers: Stylus Photo R260/ R280/ R380/ RX580"</f>
        <v>INK CART:EPS Item # T078220-EPS, Epson 78 Cyan Ink Cartridge for Epson All-in-One Machine: Stylus Photo RX580/ RX595/ RX680. Epson Photo Printers: Stylus Photo R260/ R280/ R380/ RX580</v>
      </c>
      <c r="G682" s="3" t="str">
        <f t="shared" si="52"/>
        <v>EA</v>
      </c>
      <c r="H682" s="7">
        <v>14.19</v>
      </c>
      <c r="I682" s="2" t="str">
        <f t="shared" si="49"/>
        <v>44103105</v>
      </c>
      <c r="J682" s="10" t="s">
        <v>98</v>
      </c>
    </row>
    <row r="683" spans="1:10" ht="64.5">
      <c r="A683" s="24" t="s">
        <v>27</v>
      </c>
      <c r="B683" s="21" t="s">
        <v>31</v>
      </c>
      <c r="C683" s="21">
        <v>3204</v>
      </c>
      <c r="D683" s="21">
        <v>195</v>
      </c>
      <c r="E683" s="21" t="str">
        <f>"1000017222"</f>
        <v>1000017222</v>
      </c>
      <c r="F683" s="21" t="str">
        <f>"INK CART:EPS Item # T078420-EPS, Epson 78 Yellow Ink Cartridge for Epson All-in-One Machines Stylus Photo RX580/ RX595/ RX680, Epson Photo Printers Stylus Photo R260/ R280/ R380/ RX580"</f>
        <v>INK CART:EPS Item # T078420-EPS, Epson 78 Yellow Ink Cartridge for Epson All-in-One Machines Stylus Photo RX580/ RX595/ RX680, Epson Photo Printers Stylus Photo R260/ R280/ R380/ RX580</v>
      </c>
      <c r="G683" s="22" t="str">
        <f t="shared" si="52"/>
        <v>EA</v>
      </c>
      <c r="H683" s="23">
        <v>14.19</v>
      </c>
      <c r="I683" s="21" t="str">
        <f t="shared" ref="I683:I743" si="53">"44103105"</f>
        <v>44103105</v>
      </c>
      <c r="J683" s="25" t="s">
        <v>98</v>
      </c>
    </row>
    <row r="684" spans="1:10" ht="64.5">
      <c r="A684" s="9" t="s">
        <v>27</v>
      </c>
      <c r="B684" s="2" t="s">
        <v>31</v>
      </c>
      <c r="C684" s="2">
        <v>3204</v>
      </c>
      <c r="D684" s="2">
        <v>196</v>
      </c>
      <c r="E684" s="2" t="str">
        <f>"1000017223"</f>
        <v>1000017223</v>
      </c>
      <c r="F684" s="2" t="str">
        <f>"INK CART:EPS Item # T078520-EPS, Epson 78 Light Cyan Ink Cartridge for Epson All-in-One Machines Stylus Photo RX580/ RX595/ RX680, Epson Photo Printers Stylus Photo R260/ R280/ R380/ RX580"</f>
        <v>INK CART:EPS Item # T078520-EPS, Epson 78 Light Cyan Ink Cartridge for Epson All-in-One Machines Stylus Photo RX580/ RX595/ RX680, Epson Photo Printers Stylus Photo R260/ R280/ R380/ RX580</v>
      </c>
      <c r="G684" s="3" t="str">
        <f t="shared" si="52"/>
        <v>EA</v>
      </c>
      <c r="H684" s="7">
        <v>14.19</v>
      </c>
      <c r="I684" s="2" t="str">
        <f t="shared" si="53"/>
        <v>44103105</v>
      </c>
      <c r="J684" s="10" t="s">
        <v>98</v>
      </c>
    </row>
    <row r="685" spans="1:10" ht="64.5">
      <c r="A685" s="24" t="s">
        <v>27</v>
      </c>
      <c r="B685" s="21" t="s">
        <v>31</v>
      </c>
      <c r="C685" s="21">
        <v>3204</v>
      </c>
      <c r="D685" s="21">
        <v>197</v>
      </c>
      <c r="E685" s="21" t="str">
        <f>"1000017224"</f>
        <v>1000017224</v>
      </c>
      <c r="F685" s="21" t="str">
        <f>"INK CART:EPS Item # T078620-EPS, Epson 78 Light Magenta Ink Cartridge for Epson All-in-One Machines Stylus Photo RX580/ RX595/ RX680, Epson Photo Printers Stylus Photo R260/ R280/ R380/ RX580"</f>
        <v>INK CART:EPS Item # T078620-EPS, Epson 78 Light Magenta Ink Cartridge for Epson All-in-One Machines Stylus Photo RX580/ RX595/ RX680, Epson Photo Printers Stylus Photo R260/ R280/ R380/ RX580</v>
      </c>
      <c r="G685" s="22" t="str">
        <f t="shared" si="52"/>
        <v>EA</v>
      </c>
      <c r="H685" s="23">
        <v>14.19</v>
      </c>
      <c r="I685" s="21" t="str">
        <f t="shared" si="53"/>
        <v>44103105</v>
      </c>
      <c r="J685" s="25" t="s">
        <v>98</v>
      </c>
    </row>
    <row r="686" spans="1:10" ht="26.25">
      <c r="A686" s="9" t="s">
        <v>27</v>
      </c>
      <c r="B686" s="2" t="s">
        <v>31</v>
      </c>
      <c r="C686" s="2">
        <v>3204</v>
      </c>
      <c r="D686" s="2">
        <v>198</v>
      </c>
      <c r="E686" s="2" t="str">
        <f>"1000000523"</f>
        <v>1000000523</v>
      </c>
      <c r="F686" s="2" t="str">
        <f>"INK CART:EPS Item # T079120-EPS, Epson black stylus photo 1400 high capacity ink"</f>
        <v>INK CART:EPS Item # T079120-EPS, Epson black stylus photo 1400 high capacity ink</v>
      </c>
      <c r="G686" s="3" t="str">
        <f t="shared" si="52"/>
        <v>EA</v>
      </c>
      <c r="H686" s="7">
        <v>19</v>
      </c>
      <c r="I686" s="2" t="str">
        <f t="shared" si="53"/>
        <v>44103105</v>
      </c>
      <c r="J686" s="10" t="s">
        <v>98</v>
      </c>
    </row>
    <row r="687" spans="1:10" ht="39">
      <c r="A687" s="24" t="s">
        <v>27</v>
      </c>
      <c r="B687" s="21" t="s">
        <v>31</v>
      </c>
      <c r="C687" s="21">
        <v>3204</v>
      </c>
      <c r="D687" s="21">
        <v>199</v>
      </c>
      <c r="E687" s="21" t="str">
        <f>"1000017225"</f>
        <v>1000017225</v>
      </c>
      <c r="F687" s="21" t="str">
        <f>"INK CART:EPS Item # T079220-EPS, Epson Cyan high capacity inkjet cartridge designed for the Epson Stylus Photo 1400 inkjet printers"</f>
        <v>INK CART:EPS Item # T079220-EPS, Epson Cyan high capacity inkjet cartridge designed for the Epson Stylus Photo 1400 inkjet printers</v>
      </c>
      <c r="G687" s="22" t="str">
        <f t="shared" si="52"/>
        <v>EA</v>
      </c>
      <c r="H687" s="23">
        <v>19</v>
      </c>
      <c r="I687" s="21" t="str">
        <f t="shared" si="53"/>
        <v>44103105</v>
      </c>
      <c r="J687" s="25" t="s">
        <v>98</v>
      </c>
    </row>
    <row r="688" spans="1:10" ht="51.75">
      <c r="A688" s="9" t="s">
        <v>27</v>
      </c>
      <c r="B688" s="2" t="s">
        <v>31</v>
      </c>
      <c r="C688" s="2">
        <v>3204</v>
      </c>
      <c r="D688" s="2">
        <v>200</v>
      </c>
      <c r="E688" s="2" t="str">
        <f>"1000017226"</f>
        <v>1000017226</v>
      </c>
      <c r="F688" s="2" t="str">
        <f>"INK CART:EPS Item # T079320-EPS, Epson magenta high capacity inkjet cartridge designed for the Epson Stylus Photo 1400 inkjet printers"</f>
        <v>INK CART:EPS Item # T079320-EPS, Epson magenta high capacity inkjet cartridge designed for the Epson Stylus Photo 1400 inkjet printers</v>
      </c>
      <c r="G688" s="3" t="str">
        <f t="shared" si="52"/>
        <v>EA</v>
      </c>
      <c r="H688" s="7">
        <v>22.32</v>
      </c>
      <c r="I688" s="2" t="str">
        <f t="shared" si="53"/>
        <v>44103105</v>
      </c>
      <c r="J688" s="10" t="s">
        <v>98</v>
      </c>
    </row>
    <row r="689" spans="1:10" ht="39">
      <c r="A689" s="24" t="s">
        <v>27</v>
      </c>
      <c r="B689" s="21" t="s">
        <v>31</v>
      </c>
      <c r="C689" s="21">
        <v>3204</v>
      </c>
      <c r="D689" s="21">
        <v>201</v>
      </c>
      <c r="E689" s="21" t="str">
        <f>"1000001931"</f>
        <v>1000001931</v>
      </c>
      <c r="F689" s="21" t="str">
        <f>"INK CART:EPS Item # T079420-EPS, Epson yellow high capacity inkjet cartridge designed for the Epson Stylus Photo 1400 inkjet printers"</f>
        <v>INK CART:EPS Item # T079420-EPS, Epson yellow high capacity inkjet cartridge designed for the Epson Stylus Photo 1400 inkjet printers</v>
      </c>
      <c r="G689" s="22" t="str">
        <f t="shared" si="52"/>
        <v>EA</v>
      </c>
      <c r="H689" s="23">
        <v>19</v>
      </c>
      <c r="I689" s="21" t="str">
        <f t="shared" si="53"/>
        <v>44103105</v>
      </c>
      <c r="J689" s="25" t="s">
        <v>98</v>
      </c>
    </row>
    <row r="690" spans="1:10" ht="39">
      <c r="A690" s="9" t="s">
        <v>27</v>
      </c>
      <c r="B690" s="2" t="s">
        <v>31</v>
      </c>
      <c r="C690" s="2">
        <v>3204</v>
      </c>
      <c r="D690" s="2">
        <v>202</v>
      </c>
      <c r="E690" s="2" t="str">
        <f>"1000000650"</f>
        <v>1000000650</v>
      </c>
      <c r="F690" s="2" t="str">
        <f>"INK CART:EPS Item # T079520-EPS, Epson Cyan high capacity inkjet cartridge designed for the Epson Stylus Photo 1400 inkjet printers"</f>
        <v>INK CART:EPS Item # T079520-EPS, Epson Cyan high capacity inkjet cartridge designed for the Epson Stylus Photo 1400 inkjet printers</v>
      </c>
      <c r="G690" s="3" t="str">
        <f t="shared" si="52"/>
        <v>EA</v>
      </c>
      <c r="H690" s="7">
        <v>22.32</v>
      </c>
      <c r="I690" s="2" t="str">
        <f t="shared" si="53"/>
        <v>44103105</v>
      </c>
      <c r="J690" s="10" t="s">
        <v>98</v>
      </c>
    </row>
    <row r="691" spans="1:10" ht="51.75">
      <c r="A691" s="24" t="s">
        <v>27</v>
      </c>
      <c r="B691" s="21" t="s">
        <v>31</v>
      </c>
      <c r="C691" s="21">
        <v>3204</v>
      </c>
      <c r="D691" s="21">
        <v>203</v>
      </c>
      <c r="E691" s="21" t="str">
        <f>"1000000511"</f>
        <v>1000000511</v>
      </c>
      <c r="F691" s="21" t="str">
        <f>"INK CART:EPS Item # T079620-EPS, Epson magenta high capacity inkjet cartridge designed for the Epson Stylus Photo 1400 inkjet printers"</f>
        <v>INK CART:EPS Item # T079620-EPS, Epson magenta high capacity inkjet cartridge designed for the Epson Stylus Photo 1400 inkjet printers</v>
      </c>
      <c r="G691" s="22" t="str">
        <f t="shared" si="52"/>
        <v>EA</v>
      </c>
      <c r="H691" s="23">
        <v>22.32</v>
      </c>
      <c r="I691" s="21" t="str">
        <f t="shared" si="53"/>
        <v>44103105</v>
      </c>
      <c r="J691" s="25" t="s">
        <v>98</v>
      </c>
    </row>
    <row r="692" spans="1:10" ht="51.75">
      <c r="A692" s="9" t="s">
        <v>27</v>
      </c>
      <c r="B692" s="2" t="s">
        <v>31</v>
      </c>
      <c r="C692" s="2">
        <v>3204</v>
      </c>
      <c r="D692" s="2">
        <v>204</v>
      </c>
      <c r="E692" s="2" t="str">
        <f>"1000017227"</f>
        <v>1000017227</v>
      </c>
      <c r="F692" s="2" t="str">
        <f>"INK CART:EPS Item # T088120-EPS, Epson No. 88 black ink cartridge for Stylus CX7400, CX4400, NX400, NX300, NX200, and NX100 features DuraBrite Ultra ink"</f>
        <v>INK CART:EPS Item # T088120-EPS, Epson No. 88 black ink cartridge for Stylus CX7400, CX4400, NX400, NX300, NX200, and NX100 features DuraBrite Ultra ink</v>
      </c>
      <c r="G692" s="3" t="str">
        <f t="shared" si="52"/>
        <v>EA</v>
      </c>
      <c r="H692" s="7">
        <v>13.66</v>
      </c>
      <c r="I692" s="2" t="str">
        <f t="shared" si="53"/>
        <v>44103105</v>
      </c>
      <c r="J692" s="10" t="s">
        <v>98</v>
      </c>
    </row>
    <row r="693" spans="1:10" ht="51.75">
      <c r="A693" s="24" t="s">
        <v>27</v>
      </c>
      <c r="B693" s="21" t="s">
        <v>31</v>
      </c>
      <c r="C693" s="21">
        <v>3204</v>
      </c>
      <c r="D693" s="21">
        <v>205</v>
      </c>
      <c r="E693" s="21" t="str">
        <f>"1000017228"</f>
        <v>1000017228</v>
      </c>
      <c r="F693" s="21" t="str">
        <f>"INK CART:EPS Item #T069220-EPS, Epson durable ultra Cyan ink, smudge, fade and water resistant for the Epson CX5000 and CX6000 inkjet printers."</f>
        <v>INK CART:EPS Item #T069220-EPS, Epson durable ultra Cyan ink, smudge, fade and water resistant for the Epson CX5000 and CX6000 inkjet printers.</v>
      </c>
      <c r="G693" s="22" t="str">
        <f t="shared" si="52"/>
        <v>EA</v>
      </c>
      <c r="H693" s="23">
        <v>14.19</v>
      </c>
      <c r="I693" s="21" t="str">
        <f t="shared" si="53"/>
        <v>44103105</v>
      </c>
      <c r="J693" s="25" t="s">
        <v>98</v>
      </c>
    </row>
    <row r="694" spans="1:10" ht="51.75">
      <c r="A694" s="9" t="s">
        <v>27</v>
      </c>
      <c r="B694" s="2" t="s">
        <v>31</v>
      </c>
      <c r="C694" s="2">
        <v>3204</v>
      </c>
      <c r="D694" s="2">
        <v>206</v>
      </c>
      <c r="E694" s="2" t="str">
        <f>"1000017229"</f>
        <v>1000017229</v>
      </c>
      <c r="F694" s="2" t="str">
        <f>"INK CART:HEW Item # C4906AN-HEW, HP 940XL Black inkjet cartridge, high capacity 2,200 page yield, for Officejet Pro 8500 inkjet printers."</f>
        <v>INK CART:HEW Item # C4906AN-HEW, HP 940XL Black inkjet cartridge, high capacity 2,200 page yield, for Officejet Pro 8500 inkjet printers.</v>
      </c>
      <c r="G694" s="3" t="str">
        <f t="shared" si="52"/>
        <v>EA</v>
      </c>
      <c r="H694" s="7">
        <v>38.99</v>
      </c>
      <c r="I694" s="2" t="str">
        <f t="shared" si="53"/>
        <v>44103105</v>
      </c>
      <c r="J694" s="10" t="s">
        <v>98</v>
      </c>
    </row>
    <row r="695" spans="1:10" ht="90">
      <c r="A695" s="24" t="s">
        <v>27</v>
      </c>
      <c r="B695" s="21" t="s">
        <v>31</v>
      </c>
      <c r="C695" s="21">
        <v>3204</v>
      </c>
      <c r="D695" s="21">
        <v>207</v>
      </c>
      <c r="E695" s="21" t="str">
        <f>"1000000066"</f>
        <v>1000000066</v>
      </c>
      <c r="F695" s="21" t="str">
        <f>"INK CART:HP Item # C9386AN-HEW, No. 88 Vivera ink, Cyan (Yld 620) for HP All-in-One Printers Officejet Pro L7580/L7590/L7650/L7680/L7780 and Officejet Pro K5400 Series, K550 Series, HP Wide Format Printers Officejet Pro K8600 Series"</f>
        <v>INK CART:HP Item # C9386AN-HEW, No. 88 Vivera ink, Cyan (Yld 620) for HP All-in-One Printers Officejet Pro L7580/L7590/L7650/L7680/L7780 and Officejet Pro K5400 Series, K550 Series, HP Wide Format Printers Officejet Pro K8600 Series</v>
      </c>
      <c r="G695" s="22" t="str">
        <f t="shared" si="52"/>
        <v>EA</v>
      </c>
      <c r="H695" s="23">
        <v>17.989999999999998</v>
      </c>
      <c r="I695" s="21" t="str">
        <f t="shared" si="53"/>
        <v>44103105</v>
      </c>
      <c r="J695" s="25" t="s">
        <v>98</v>
      </c>
    </row>
    <row r="696" spans="1:10" ht="39">
      <c r="A696" s="9" t="s">
        <v>27</v>
      </c>
      <c r="B696" s="2" t="s">
        <v>31</v>
      </c>
      <c r="C696" s="2">
        <v>3204</v>
      </c>
      <c r="D696" s="2">
        <v>208</v>
      </c>
      <c r="E696" s="2" t="str">
        <f>"1000017255"</f>
        <v>1000017255</v>
      </c>
      <c r="F696" s="2" t="str">
        <f>"INK CART:HP Item # 51604A-HEW, HP Black Ink Cartridge for HP ThinkJet, QuietJet Printers, 500 page yield."</f>
        <v>INK CART:HP Item # 51604A-HEW, HP Black Ink Cartridge for HP ThinkJet, QuietJet Printers, 500 page yield.</v>
      </c>
      <c r="G696" s="3" t="str">
        <f t="shared" si="52"/>
        <v>EA</v>
      </c>
      <c r="H696" s="7">
        <v>15.32</v>
      </c>
      <c r="I696" s="2" t="str">
        <f t="shared" si="53"/>
        <v>44103105</v>
      </c>
      <c r="J696" s="10" t="s">
        <v>98</v>
      </c>
    </row>
    <row r="697" spans="1:10" ht="51.75">
      <c r="A697" s="9" t="s">
        <v>27</v>
      </c>
      <c r="B697" s="2" t="s">
        <v>31</v>
      </c>
      <c r="C697" s="2">
        <v>3204</v>
      </c>
      <c r="D697" s="2">
        <v>210</v>
      </c>
      <c r="E697" s="2" t="str">
        <f>"1000001890"</f>
        <v>1000001890</v>
      </c>
      <c r="F697" s="2" t="str">
        <f>"INK CART:HP Item # 51626A-HEW, High capacity, black ink cartridge for Hewlett Packard Printers, HP DeskJet 200/400/500 (yld 1k)"</f>
        <v>INK CART:HP Item # 51626A-HEW, High capacity, black ink cartridge for Hewlett Packard Printers, HP DeskJet 200/400/500 (yld 1k)</v>
      </c>
      <c r="G697" s="3" t="str">
        <f t="shared" si="52"/>
        <v>EA</v>
      </c>
      <c r="H697" s="7">
        <v>38</v>
      </c>
      <c r="I697" s="2" t="str">
        <f t="shared" si="53"/>
        <v>44103105</v>
      </c>
      <c r="J697" s="10" t="s">
        <v>98</v>
      </c>
    </row>
    <row r="698" spans="1:10" ht="39">
      <c r="A698" s="24" t="s">
        <v>27</v>
      </c>
      <c r="B698" s="21" t="s">
        <v>31</v>
      </c>
      <c r="C698" s="21">
        <v>3204</v>
      </c>
      <c r="D698" s="21">
        <v>211</v>
      </c>
      <c r="E698" s="21" t="str">
        <f>"1000001535"</f>
        <v>1000001535</v>
      </c>
      <c r="F698" s="21" t="str">
        <f>"INK CART:HP Item # 51629A-HEW, Black ink for Hewlett Packard Printers, HP DeskJet 600/ 660C/ 670TV/ 680/ 690C (yld 650)"</f>
        <v>INK CART:HP Item # 51629A-HEW, Black ink for Hewlett Packard Printers, HP DeskJet 600/ 660C/ 670TV/ 680/ 690C (yld 650)</v>
      </c>
      <c r="G698" s="22" t="str">
        <f t="shared" si="52"/>
        <v>EA</v>
      </c>
      <c r="H698" s="23">
        <v>39.22</v>
      </c>
      <c r="I698" s="21" t="str">
        <f t="shared" si="53"/>
        <v>44103105</v>
      </c>
      <c r="J698" s="25" t="s">
        <v>98</v>
      </c>
    </row>
    <row r="699" spans="1:10" ht="39">
      <c r="A699" s="9" t="s">
        <v>27</v>
      </c>
      <c r="B699" s="2" t="s">
        <v>31</v>
      </c>
      <c r="C699" s="2">
        <v>3204</v>
      </c>
      <c r="D699" s="2">
        <v>212</v>
      </c>
      <c r="E699" s="2" t="str">
        <f>"1000000281"</f>
        <v>1000000281</v>
      </c>
      <c r="F699" s="2" t="str">
        <f>"INK CART:HP Item # 51633M-HEW, Black ink for Hewlett Packard Printers, HP Portable DeskJet 300/310/320/340 (yld 750)"</f>
        <v>INK CART:HP Item # 51633M-HEW, Black ink for Hewlett Packard Printers, HP Portable DeskJet 300/310/320/340 (yld 750)</v>
      </c>
      <c r="G699" s="3" t="str">
        <f t="shared" si="52"/>
        <v>EA</v>
      </c>
      <c r="H699" s="7">
        <v>37</v>
      </c>
      <c r="I699" s="2" t="str">
        <f t="shared" si="53"/>
        <v>44103105</v>
      </c>
      <c r="J699" s="10" t="s">
        <v>98</v>
      </c>
    </row>
    <row r="700" spans="1:10" ht="51.75">
      <c r="A700" s="24" t="s">
        <v>27</v>
      </c>
      <c r="B700" s="21" t="s">
        <v>31</v>
      </c>
      <c r="C700" s="21">
        <v>3204</v>
      </c>
      <c r="D700" s="21">
        <v>213</v>
      </c>
      <c r="E700" s="21" t="str">
        <f>"1000017283"</f>
        <v>1000017283</v>
      </c>
      <c r="F700" s="21" t="str">
        <f>"INK CART:HP Item # 51640A-HEW, HP 40 black ink cartridge for DeskJet 1200C, DesignJet 230/ 250C/ 330/ 350C/ 450C/ 650C Ink Cartridge, Black (Yld 1,100)"</f>
        <v>INK CART:HP Item # 51640A-HEW, HP 40 black ink cartridge for DeskJet 1200C, DesignJet 230/ 250C/ 330/ 350C/ 450C/ 650C Ink Cartridge, Black (Yld 1,100)</v>
      </c>
      <c r="G700" s="22" t="str">
        <f t="shared" si="52"/>
        <v>EA</v>
      </c>
      <c r="H700" s="23" t="s">
        <v>795</v>
      </c>
      <c r="I700" s="21" t="str">
        <f t="shared" si="53"/>
        <v>44103105</v>
      </c>
      <c r="J700" s="25" t="s">
        <v>98</v>
      </c>
    </row>
    <row r="701" spans="1:10" ht="39">
      <c r="A701" s="24" t="s">
        <v>27</v>
      </c>
      <c r="B701" s="21" t="s">
        <v>31</v>
      </c>
      <c r="C701" s="21">
        <v>3204</v>
      </c>
      <c r="D701" s="21">
        <v>217</v>
      </c>
      <c r="E701" s="21" t="str">
        <f>"1000017234"</f>
        <v>1000017234</v>
      </c>
      <c r="F701" s="21" t="str">
        <f>"INK CART:HP Item # 51641A-HEW, HP Cartridge,Tri-Color (Yld 360) DeskJet 820C/ 850C/ 855C/ 870C/ 1000C/ 1100C"</f>
        <v>INK CART:HP Item # 51641A-HEW, HP Cartridge,Tri-Color (Yld 360) DeskJet 820C/ 850C/ 855C/ 870C/ 1000C/ 1100C</v>
      </c>
      <c r="G701" s="22" t="str">
        <f t="shared" si="52"/>
        <v>EA</v>
      </c>
      <c r="H701" s="23">
        <v>42</v>
      </c>
      <c r="I701" s="21" t="str">
        <f t="shared" si="53"/>
        <v>44103105</v>
      </c>
      <c r="J701" s="25" t="s">
        <v>98</v>
      </c>
    </row>
    <row r="702" spans="1:10" ht="39">
      <c r="A702" s="9" t="s">
        <v>27</v>
      </c>
      <c r="B702" s="2" t="s">
        <v>31</v>
      </c>
      <c r="C702" s="2">
        <v>3204</v>
      </c>
      <c r="D702" s="2">
        <v>218</v>
      </c>
      <c r="E702" s="2" t="str">
        <f>"1000017235"</f>
        <v>1000017235</v>
      </c>
      <c r="F702" s="2" t="str">
        <f>"INK CART:HP Item # 51644C-HEW, HP Ink Cartridge, Cyan (Yld 365) for DesignJet 350C/ 750C/ 755CM/ 450C/ 455CA/ 488C"</f>
        <v>INK CART:HP Item # 51644C-HEW, HP Ink Cartridge, Cyan (Yld 365) for DesignJet 350C/ 750C/ 755CM/ 450C/ 455CA/ 488C</v>
      </c>
      <c r="G702" s="3" t="str">
        <f t="shared" si="52"/>
        <v>EA</v>
      </c>
      <c r="H702" s="7">
        <v>36</v>
      </c>
      <c r="I702" s="2" t="str">
        <f t="shared" si="53"/>
        <v>44103105</v>
      </c>
      <c r="J702" s="10" t="s">
        <v>98</v>
      </c>
    </row>
    <row r="703" spans="1:10" ht="39">
      <c r="A703" s="24" t="s">
        <v>27</v>
      </c>
      <c r="B703" s="21" t="s">
        <v>31</v>
      </c>
      <c r="C703" s="21">
        <v>3204</v>
      </c>
      <c r="D703" s="21">
        <v>219</v>
      </c>
      <c r="E703" s="21" t="str">
        <f>"1000017236"</f>
        <v>1000017236</v>
      </c>
      <c r="F703" s="21" t="str">
        <f>"INK CART:HP Item # 51644M-HEW, HP Ink Cartridge, Magenta (Yld 365) for DesignJet 350C/ 750C/ 755CM/ 450C/455CA/ 488C"</f>
        <v>INK CART:HP Item # 51644M-HEW, HP Ink Cartridge, Magenta (Yld 365) for DesignJet 350C/ 750C/ 755CM/ 450C/455CA/ 488C</v>
      </c>
      <c r="G703" s="22" t="str">
        <f t="shared" si="52"/>
        <v>EA</v>
      </c>
      <c r="H703" s="23">
        <v>36</v>
      </c>
      <c r="I703" s="21" t="str">
        <f t="shared" si="53"/>
        <v>44103105</v>
      </c>
      <c r="J703" s="25" t="s">
        <v>98</v>
      </c>
    </row>
    <row r="704" spans="1:10" ht="39">
      <c r="A704" s="9" t="s">
        <v>27</v>
      </c>
      <c r="B704" s="2" t="s">
        <v>31</v>
      </c>
      <c r="C704" s="2">
        <v>3204</v>
      </c>
      <c r="D704" s="2">
        <v>220</v>
      </c>
      <c r="E704" s="2" t="str">
        <f>"1000017237"</f>
        <v>1000017237</v>
      </c>
      <c r="F704" s="2" t="str">
        <f>"INK CART:HP Item # 51644Y-HEW, HP DesignJet 350C/750C/ 755CM/ 450C/ 455CA/ 488C Ink Cartridge, Yellow (Yld 365)"</f>
        <v>INK CART:HP Item # 51644Y-HEW, HP DesignJet 350C/750C/ 755CM/ 450C/ 455CA/ 488C Ink Cartridge, Yellow (Yld 365)</v>
      </c>
      <c r="G704" s="3" t="str">
        <f t="shared" si="52"/>
        <v>EA</v>
      </c>
      <c r="H704" s="7">
        <v>36</v>
      </c>
      <c r="I704" s="2" t="str">
        <f t="shared" si="53"/>
        <v>44103105</v>
      </c>
      <c r="J704" s="10" t="s">
        <v>98</v>
      </c>
    </row>
    <row r="705" spans="1:10" ht="39">
      <c r="A705" s="24" t="s">
        <v>27</v>
      </c>
      <c r="B705" s="21" t="s">
        <v>31</v>
      </c>
      <c r="C705" s="21">
        <v>3204</v>
      </c>
      <c r="D705" s="21">
        <v>221</v>
      </c>
      <c r="E705" s="21" t="str">
        <f>"1000001346"</f>
        <v>1000001346</v>
      </c>
      <c r="F705" s="21" t="str">
        <f>"INK CART:HP Item # 51645A-HEW, Black ink cartridge for Hewlett Packard Printers, HP DeskJet 700/710c/712c/720c (Yld 1.1k)"</f>
        <v>INK CART:HP Item # 51645A-HEW, Black ink cartridge for Hewlett Packard Printers, HP DeskJet 700/710c/712c/720c (Yld 1.1k)</v>
      </c>
      <c r="G705" s="22" t="str">
        <f t="shared" si="52"/>
        <v>EA</v>
      </c>
      <c r="H705" s="23">
        <v>34</v>
      </c>
      <c r="I705" s="21" t="str">
        <f t="shared" si="53"/>
        <v>44103105</v>
      </c>
      <c r="J705" s="25" t="s">
        <v>98</v>
      </c>
    </row>
    <row r="706" spans="1:10" ht="39">
      <c r="A706" s="9" t="s">
        <v>27</v>
      </c>
      <c r="B706" s="2" t="s">
        <v>31</v>
      </c>
      <c r="C706" s="2">
        <v>3204</v>
      </c>
      <c r="D706" s="2">
        <v>222</v>
      </c>
      <c r="E706" s="2" t="str">
        <f>"1000001536"</f>
        <v>1000001536</v>
      </c>
      <c r="F706" s="2" t="str">
        <f>"INK CART:HP Item # 51649A-HEW, HP 49 Color, high capacity inkjet cartridge Hewlett Packard Printers, (yld 315)"</f>
        <v>INK CART:HP Item # 51649A-HEW, HP 49 Color, high capacity inkjet cartridge Hewlett Packard Printers, (yld 315)</v>
      </c>
      <c r="G706" s="3" t="str">
        <f t="shared" si="52"/>
        <v>EA</v>
      </c>
      <c r="H706" s="7">
        <v>40</v>
      </c>
      <c r="I706" s="2" t="str">
        <f t="shared" si="53"/>
        <v>44103105</v>
      </c>
      <c r="J706" s="10" t="s">
        <v>98</v>
      </c>
    </row>
    <row r="707" spans="1:10" ht="39">
      <c r="A707" s="24" t="s">
        <v>27</v>
      </c>
      <c r="B707" s="21" t="s">
        <v>31</v>
      </c>
      <c r="C707" s="21">
        <v>3204</v>
      </c>
      <c r="D707" s="21">
        <v>223</v>
      </c>
      <c r="E707" s="21" t="str">
        <f>"1000017238"</f>
        <v>1000017238</v>
      </c>
      <c r="F707" s="21" t="str">
        <f>"INK CART:HP Item # 51650M-HEW, HP 50 Magenta Ink Cartridge for DesignJet 250C/650C (Yld 410)"</f>
        <v>INK CART:HP Item # 51650M-HEW, HP 50 Magenta Ink Cartridge for DesignJet 250C/650C (Yld 410)</v>
      </c>
      <c r="G707" s="22" t="str">
        <f t="shared" si="52"/>
        <v>EA</v>
      </c>
      <c r="H707" s="23">
        <v>38</v>
      </c>
      <c r="I707" s="21" t="str">
        <f t="shared" si="53"/>
        <v>44103105</v>
      </c>
      <c r="J707" s="25" t="s">
        <v>98</v>
      </c>
    </row>
    <row r="708" spans="1:10" ht="39">
      <c r="A708" s="9" t="s">
        <v>27</v>
      </c>
      <c r="B708" s="2" t="s">
        <v>31</v>
      </c>
      <c r="C708" s="2">
        <v>3204</v>
      </c>
      <c r="D708" s="2">
        <v>224</v>
      </c>
      <c r="E708" s="2" t="str">
        <f>"1000017239"</f>
        <v>1000017239</v>
      </c>
      <c r="F708" s="2" t="str">
        <f>"INK CART:HP Item # 51650Y-HEW, HP 50 Yellow Ink Cartridge for DesignJet 250C/650C (Yld 410)"</f>
        <v>INK CART:HP Item # 51650Y-HEW, HP 50 Yellow Ink Cartridge for DesignJet 250C/650C (Yld 410)</v>
      </c>
      <c r="G708" s="3" t="str">
        <f t="shared" si="52"/>
        <v>EA</v>
      </c>
      <c r="H708" s="7">
        <v>38</v>
      </c>
      <c r="I708" s="2" t="str">
        <f t="shared" si="53"/>
        <v>44103105</v>
      </c>
      <c r="J708" s="10" t="s">
        <v>98</v>
      </c>
    </row>
    <row r="709" spans="1:10" ht="39">
      <c r="A709" s="24" t="s">
        <v>27</v>
      </c>
      <c r="B709" s="21" t="s">
        <v>31</v>
      </c>
      <c r="C709" s="21">
        <v>3204</v>
      </c>
      <c r="D709" s="21">
        <v>225</v>
      </c>
      <c r="E709" s="21" t="str">
        <f>"1000017251"</f>
        <v>1000017251</v>
      </c>
      <c r="F709" s="21" t="str">
        <f>"INK CART:HP Item # C1806A-HEW, HP Black ink cartridge for DeskJet 2000CP/ 2500CP/ 3000CP/ 3800CP"</f>
        <v>INK CART:HP Item # C1806A-HEW, HP Black ink cartridge for DeskJet 2000CP/ 2500CP/ 3000CP/ 3800CP</v>
      </c>
      <c r="G709" s="22" t="str">
        <f t="shared" si="52"/>
        <v>EA</v>
      </c>
      <c r="H709" s="23">
        <v>164</v>
      </c>
      <c r="I709" s="21" t="str">
        <f t="shared" si="53"/>
        <v>44103105</v>
      </c>
      <c r="J709" s="25" t="s">
        <v>98</v>
      </c>
    </row>
    <row r="710" spans="1:10" ht="39">
      <c r="A710" s="9" t="s">
        <v>27</v>
      </c>
      <c r="B710" s="2" t="s">
        <v>31</v>
      </c>
      <c r="C710" s="2">
        <v>3204</v>
      </c>
      <c r="D710" s="2">
        <v>226</v>
      </c>
      <c r="E710" s="2" t="str">
        <f>"1000017252"</f>
        <v>1000017252</v>
      </c>
      <c r="F710" s="2" t="str">
        <f>"INK CART:HP Item # C1807A-HEW, HP Ink Cartridge, Cyan for DesignJet 2000CP/ 2500CP/ 3000CP/ 3800CP Series (Yld 400)"</f>
        <v>INK CART:HP Item # C1807A-HEW, HP Ink Cartridge, Cyan for DesignJet 2000CP/ 2500CP/ 3000CP/ 3800CP Series (Yld 400)</v>
      </c>
      <c r="G710" s="3" t="str">
        <f t="shared" ref="G710:G741" si="54">"EA"</f>
        <v>EA</v>
      </c>
      <c r="H710" s="7">
        <v>164</v>
      </c>
      <c r="I710" s="2" t="str">
        <f t="shared" si="53"/>
        <v>44103105</v>
      </c>
      <c r="J710" s="10" t="s">
        <v>98</v>
      </c>
    </row>
    <row r="711" spans="1:10" ht="39">
      <c r="A711" s="24" t="s">
        <v>27</v>
      </c>
      <c r="B711" s="21" t="s">
        <v>31</v>
      </c>
      <c r="C711" s="21">
        <v>3204</v>
      </c>
      <c r="D711" s="21">
        <v>227</v>
      </c>
      <c r="E711" s="21" t="str">
        <f>"1000017253"</f>
        <v>1000017253</v>
      </c>
      <c r="F711" s="21" t="str">
        <f>"INK CART:HP Item # C1808A-HEW, HP Ink Cartridge, Magenta (Yld 400) for DesignJet 2000CP/ 2500CP/ 3000CP/ 3800CP Series"</f>
        <v>INK CART:HP Item # C1808A-HEW, HP Ink Cartridge, Magenta (Yld 400) for DesignJet 2000CP/ 2500CP/ 3000CP/ 3800CP Series</v>
      </c>
      <c r="G711" s="22" t="str">
        <f t="shared" si="54"/>
        <v>EA</v>
      </c>
      <c r="H711" s="23">
        <v>164</v>
      </c>
      <c r="I711" s="21" t="str">
        <f t="shared" si="53"/>
        <v>44103105</v>
      </c>
      <c r="J711" s="25" t="s">
        <v>98</v>
      </c>
    </row>
    <row r="712" spans="1:10" ht="39">
      <c r="A712" s="9" t="s">
        <v>27</v>
      </c>
      <c r="B712" s="2" t="s">
        <v>31</v>
      </c>
      <c r="C712" s="2">
        <v>3204</v>
      </c>
      <c r="D712" s="2">
        <v>228</v>
      </c>
      <c r="E712" s="2" t="str">
        <f>"1000017281"</f>
        <v>1000017281</v>
      </c>
      <c r="F712" s="2" t="str">
        <f>"INK CART:HP Item # C1809A-HEW, HP Ink Cartridge, Yellow for DesignJet 2000CP/ 2500CP/ 3000CP (Yld 400)"</f>
        <v>INK CART:HP Item # C1809A-HEW, HP Ink Cartridge, Yellow for DesignJet 2000CP/ 2500CP/ 3000CP (Yld 400)</v>
      </c>
      <c r="G712" s="3" t="str">
        <f t="shared" si="54"/>
        <v>EA</v>
      </c>
      <c r="H712" s="7">
        <v>164</v>
      </c>
      <c r="I712" s="2" t="str">
        <f t="shared" si="53"/>
        <v>44103105</v>
      </c>
      <c r="J712" s="10" t="s">
        <v>98</v>
      </c>
    </row>
    <row r="713" spans="1:10" ht="64.5">
      <c r="A713" s="24" t="s">
        <v>27</v>
      </c>
      <c r="B713" s="21" t="s">
        <v>31</v>
      </c>
      <c r="C713" s="21">
        <v>3204</v>
      </c>
      <c r="D713" s="21">
        <v>229</v>
      </c>
      <c r="E713" s="21" t="str">
        <f>"1000001568"</f>
        <v>1000001568</v>
      </c>
      <c r="F713" s="21" t="str">
        <f>"INK CART:HP Item # C1823D-HEW, Tri-Color Photo ink cartridge for Hewlett Packard Printers, HP DeskJet 710C/712C/720C/722C/880C/648/690 (yield 445)"</f>
        <v>INK CART:HP Item # C1823D-HEW, Tri-Color Photo ink cartridge for Hewlett Packard Printers, HP DeskJet 710C/712C/720C/722C/880C/648/690 (yield 445)</v>
      </c>
      <c r="G713" s="22" t="str">
        <f t="shared" si="54"/>
        <v>EA</v>
      </c>
      <c r="H713" s="23">
        <v>48.32</v>
      </c>
      <c r="I713" s="21" t="str">
        <f t="shared" si="53"/>
        <v>44103105</v>
      </c>
      <c r="J713" s="25" t="s">
        <v>98</v>
      </c>
    </row>
    <row r="714" spans="1:10" ht="39">
      <c r="A714" s="9" t="s">
        <v>27</v>
      </c>
      <c r="B714" s="2" t="s">
        <v>31</v>
      </c>
      <c r="C714" s="2">
        <v>3204</v>
      </c>
      <c r="D714" s="2">
        <v>230</v>
      </c>
      <c r="E714" s="2" t="str">
        <f>"1000000176"</f>
        <v>1000000176</v>
      </c>
      <c r="F714" s="2" t="str">
        <f>"INK CART:HP Item # C4096A-HEW, Black printer cartridge for Hewlett Packard Printers, LaserJet 2100/2200 Series, (yield 5k)"</f>
        <v>INK CART:HP Item # C4096A-HEW, Black printer cartridge for Hewlett Packard Printers, LaserJet 2100/2200 Series, (yield 5k)</v>
      </c>
      <c r="G714" s="3" t="str">
        <f t="shared" si="54"/>
        <v>EA</v>
      </c>
      <c r="H714" s="7">
        <v>128.99</v>
      </c>
      <c r="I714" s="2" t="str">
        <f t="shared" si="53"/>
        <v>44103105</v>
      </c>
      <c r="J714" s="10" t="s">
        <v>98</v>
      </c>
    </row>
    <row r="715" spans="1:10" ht="39">
      <c r="A715" s="24" t="s">
        <v>27</v>
      </c>
      <c r="B715" s="21" t="s">
        <v>31</v>
      </c>
      <c r="C715" s="21">
        <v>3204</v>
      </c>
      <c r="D715" s="21">
        <v>231</v>
      </c>
      <c r="E715" s="21" t="str">
        <f>"1000017319"</f>
        <v>1000017319</v>
      </c>
      <c r="F715" s="21" t="str">
        <f>"INK CART:HP Item # C4804A-HEW, HP No. 12 Ink Business Ink 3000 Ctg. Cyan, HP 3300 (Yld 3.3k)"</f>
        <v>INK CART:HP Item # C4804A-HEW, HP No. 12 Ink Business Ink 3000 Ctg. Cyan, HP 3300 (Yld 3.3k)</v>
      </c>
      <c r="G715" s="22" t="str">
        <f t="shared" si="54"/>
        <v>EA</v>
      </c>
      <c r="H715" s="23">
        <v>76</v>
      </c>
      <c r="I715" s="21" t="str">
        <f t="shared" si="53"/>
        <v>44103105</v>
      </c>
      <c r="J715" s="25" t="s">
        <v>98</v>
      </c>
    </row>
    <row r="716" spans="1:10" ht="26.25">
      <c r="A716" s="9" t="s">
        <v>27</v>
      </c>
      <c r="B716" s="2" t="s">
        <v>31</v>
      </c>
      <c r="C716" s="2">
        <v>3204</v>
      </c>
      <c r="D716" s="2">
        <v>232</v>
      </c>
      <c r="E716" s="2" t="str">
        <f>"1000017320"</f>
        <v>1000017320</v>
      </c>
      <c r="F716" s="2" t="str">
        <f>"INK CART:HP Item # C4805A-HEW, HP No. 12 Ink Ctg. Magenta, HP 3000/3300 (Yld 3.3k)"</f>
        <v>INK CART:HP Item # C4805A-HEW, HP No. 12 Ink Ctg. Magenta, HP 3000/3300 (Yld 3.3k)</v>
      </c>
      <c r="G716" s="3" t="str">
        <f t="shared" si="54"/>
        <v>EA</v>
      </c>
      <c r="H716" s="7">
        <v>76</v>
      </c>
      <c r="I716" s="2" t="str">
        <f t="shared" si="53"/>
        <v>44103105</v>
      </c>
      <c r="J716" s="10" t="s">
        <v>98</v>
      </c>
    </row>
    <row r="717" spans="1:10" ht="26.25">
      <c r="A717" s="24" t="s">
        <v>27</v>
      </c>
      <c r="B717" s="21" t="s">
        <v>31</v>
      </c>
      <c r="C717" s="21">
        <v>3204</v>
      </c>
      <c r="D717" s="21">
        <v>233</v>
      </c>
      <c r="E717" s="21" t="str">
        <f>"1000017347"</f>
        <v>1000017347</v>
      </c>
      <c r="F717" s="21" t="str">
        <f>"INK CART:HP Item # C4806A-HEW, HP No. 12 Ink Ctg. Yellow, HP 3000/3300 (Yld 3.3k)"</f>
        <v>INK CART:HP Item # C4806A-HEW, HP No. 12 Ink Ctg. Yellow, HP 3000/3300 (Yld 3.3k)</v>
      </c>
      <c r="G717" s="22" t="str">
        <f t="shared" si="54"/>
        <v>EA</v>
      </c>
      <c r="H717" s="23">
        <v>76</v>
      </c>
      <c r="I717" s="21" t="str">
        <f t="shared" si="53"/>
        <v>44103105</v>
      </c>
      <c r="J717" s="25" t="s">
        <v>98</v>
      </c>
    </row>
    <row r="718" spans="1:10" ht="39">
      <c r="A718" s="9" t="s">
        <v>27</v>
      </c>
      <c r="B718" s="2" t="s">
        <v>31</v>
      </c>
      <c r="C718" s="2">
        <v>3204</v>
      </c>
      <c r="D718" s="2">
        <v>234</v>
      </c>
      <c r="E718" s="2" t="str">
        <f>"1000017348"</f>
        <v>1000017348</v>
      </c>
      <c r="F718" s="2" t="str">
        <f>"INK CART:HP Item # C4814A-HEW, HP No. 13 Black Business inkjet 1000/1100/1200 series Officejet Pro K850 series"</f>
        <v>INK CART:HP Item # C4814A-HEW, HP No. 13 Black Business inkjet 1000/1100/1200 series Officejet Pro K850 series</v>
      </c>
      <c r="G718" s="3" t="str">
        <f t="shared" si="54"/>
        <v>EA</v>
      </c>
      <c r="H718" s="7">
        <v>28</v>
      </c>
      <c r="I718" s="2" t="str">
        <f t="shared" si="53"/>
        <v>44103105</v>
      </c>
      <c r="J718" s="10" t="s">
        <v>98</v>
      </c>
    </row>
    <row r="719" spans="1:10" ht="26.25">
      <c r="A719" s="24" t="s">
        <v>27</v>
      </c>
      <c r="B719" s="21" t="s">
        <v>31</v>
      </c>
      <c r="C719" s="21">
        <v>3204</v>
      </c>
      <c r="D719" s="21">
        <v>235</v>
      </c>
      <c r="E719" s="21" t="str">
        <f>"1000000944"</f>
        <v>1000000944</v>
      </c>
      <c r="F719" s="21" t="str">
        <f>"INK CART:HP Item # C4836AN-HEW, No. 11 Ink Ctg, Cyan, DeskJet 2200/2250 (Yld 1.75k)"</f>
        <v>INK CART:HP Item # C4836AN-HEW, No. 11 Ink Ctg, Cyan, DeskJet 2200/2250 (Yld 1.75k)</v>
      </c>
      <c r="G719" s="22" t="str">
        <f t="shared" si="54"/>
        <v>EA</v>
      </c>
      <c r="H719" s="23">
        <v>39</v>
      </c>
      <c r="I719" s="21" t="str">
        <f t="shared" si="53"/>
        <v>44103105</v>
      </c>
      <c r="J719" s="25" t="s">
        <v>98</v>
      </c>
    </row>
    <row r="720" spans="1:10" ht="39">
      <c r="A720" s="9" t="s">
        <v>27</v>
      </c>
      <c r="B720" s="2" t="s">
        <v>31</v>
      </c>
      <c r="C720" s="2">
        <v>3204</v>
      </c>
      <c r="D720" s="2">
        <v>236</v>
      </c>
      <c r="E720" s="2" t="str">
        <f>"1000001891"</f>
        <v>1000001891</v>
      </c>
      <c r="F720" s="2" t="str">
        <f>"INK CART:HP Item # C4837AN-HEW, No. 11 Ink Ctg, Magenta, DeskJet 2200/2250 Series (Yld 1.75k)"</f>
        <v>INK CART:HP Item # C4837AN-HEW, No. 11 Ink Ctg, Magenta, DeskJet 2200/2250 Series (Yld 1.75k)</v>
      </c>
      <c r="G720" s="3" t="str">
        <f t="shared" si="54"/>
        <v>EA</v>
      </c>
      <c r="H720" s="7">
        <v>39</v>
      </c>
      <c r="I720" s="2" t="str">
        <f t="shared" si="53"/>
        <v>44103105</v>
      </c>
      <c r="J720" s="10" t="s">
        <v>98</v>
      </c>
    </row>
    <row r="721" spans="1:10" ht="39">
      <c r="A721" s="24" t="s">
        <v>27</v>
      </c>
      <c r="B721" s="21" t="s">
        <v>31</v>
      </c>
      <c r="C721" s="21">
        <v>3204</v>
      </c>
      <c r="D721" s="21">
        <v>237</v>
      </c>
      <c r="E721" s="21" t="str">
        <f>"1000000945"</f>
        <v>1000000945</v>
      </c>
      <c r="F721" s="21" t="str">
        <f>"INK CART:HP Item # C4838AN-HEW, No. 11 Ink Ctg, Yellow, DeskJet 2200/2250 Series (Yld 1.75k)"</f>
        <v>INK CART:HP Item # C4838AN-HEW, No. 11 Ink Ctg, Yellow, DeskJet 2200/2250 Series (Yld 1.75k)</v>
      </c>
      <c r="G721" s="22" t="str">
        <f t="shared" si="54"/>
        <v>EA</v>
      </c>
      <c r="H721" s="23">
        <v>39</v>
      </c>
      <c r="I721" s="21" t="str">
        <f t="shared" si="53"/>
        <v>44103105</v>
      </c>
      <c r="J721" s="25" t="s">
        <v>98</v>
      </c>
    </row>
    <row r="722" spans="1:10" ht="26.25">
      <c r="A722" s="9" t="s">
        <v>27</v>
      </c>
      <c r="B722" s="2" t="s">
        <v>31</v>
      </c>
      <c r="C722" s="2">
        <v>3204</v>
      </c>
      <c r="D722" s="2">
        <v>238</v>
      </c>
      <c r="E722" s="2" t="str">
        <f>"1000017297"</f>
        <v>1000017297</v>
      </c>
      <c r="F722" s="2" t="str">
        <f>"INK CART:HP Item # C4841A-HEW, No. 10 Cyan Ink Cartridge for HP 2000C/2500C (Yld 1.65k)"</f>
        <v>INK CART:HP Item # C4841A-HEW, No. 10 Cyan Ink Cartridge for HP 2000C/2500C (Yld 1.65k)</v>
      </c>
      <c r="G722" s="3" t="str">
        <f t="shared" si="54"/>
        <v>EA</v>
      </c>
      <c r="H722" s="7">
        <v>38</v>
      </c>
      <c r="I722" s="2" t="str">
        <f t="shared" si="53"/>
        <v>44103105</v>
      </c>
      <c r="J722" s="10" t="s">
        <v>98</v>
      </c>
    </row>
    <row r="723" spans="1:10" ht="26.25">
      <c r="A723" s="24" t="s">
        <v>27</v>
      </c>
      <c r="B723" s="21" t="s">
        <v>31</v>
      </c>
      <c r="C723" s="21">
        <v>3204</v>
      </c>
      <c r="D723" s="21">
        <v>239</v>
      </c>
      <c r="E723" s="21" t="str">
        <f>"1000017298"</f>
        <v>1000017298</v>
      </c>
      <c r="F723" s="21" t="str">
        <f>"INK CART:HP Item # C4842A-HEW, HP No. 10 Ink Ctg, Yellow, HP 2000C/2500C (Yld 1.65k)"</f>
        <v>INK CART:HP Item # C4842A-HEW, HP No. 10 Ink Ctg, Yellow, HP 2000C/2500C (Yld 1.65k)</v>
      </c>
      <c r="G723" s="22" t="str">
        <f t="shared" si="54"/>
        <v>EA</v>
      </c>
      <c r="H723" s="23">
        <v>38</v>
      </c>
      <c r="I723" s="21" t="str">
        <f t="shared" si="53"/>
        <v>44103105</v>
      </c>
      <c r="J723" s="25" t="s">
        <v>98</v>
      </c>
    </row>
    <row r="724" spans="1:10" ht="26.25">
      <c r="A724" s="9" t="s">
        <v>27</v>
      </c>
      <c r="B724" s="2" t="s">
        <v>31</v>
      </c>
      <c r="C724" s="2">
        <v>3204</v>
      </c>
      <c r="D724" s="2">
        <v>240</v>
      </c>
      <c r="E724" s="2" t="str">
        <f>"1000017299"</f>
        <v>1000017299</v>
      </c>
      <c r="F724" s="2" t="str">
        <f>"INK CART:HP Item # C4843A-HEW, HP No. 10 Ink Ctg, Magenta, HP 2000C/2500C (Yld 1.65k)"</f>
        <v>INK CART:HP Item # C4843A-HEW, HP No. 10 Ink Ctg, Magenta, HP 2000C/2500C (Yld 1.65k)</v>
      </c>
      <c r="G724" s="3" t="str">
        <f t="shared" si="54"/>
        <v>EA</v>
      </c>
      <c r="H724" s="7">
        <v>38</v>
      </c>
      <c r="I724" s="2" t="str">
        <f t="shared" si="53"/>
        <v>44103105</v>
      </c>
      <c r="J724" s="10" t="s">
        <v>98</v>
      </c>
    </row>
    <row r="725" spans="1:10" ht="39">
      <c r="A725" s="24" t="s">
        <v>27</v>
      </c>
      <c r="B725" s="21" t="s">
        <v>31</v>
      </c>
      <c r="C725" s="21">
        <v>3204</v>
      </c>
      <c r="D725" s="21">
        <v>241</v>
      </c>
      <c r="E725" s="21" t="str">
        <f>"1000000100"</f>
        <v>1000000100</v>
      </c>
      <c r="F725" s="21" t="str">
        <f>"INK CART:HP Item # C4844A-HEW, No. 10 Ink Ctg, Black, HP 2000C/ 2500C/ DesignJet 500/ 800 (Yld 1.43k)"</f>
        <v>INK CART:HP Item # C4844A-HEW, No. 10 Ink Ctg, Black, HP 2000C/ 2500C/ DesignJet 500/ 800 (Yld 1.43k)</v>
      </c>
      <c r="G725" s="22" t="str">
        <f t="shared" si="54"/>
        <v>EA</v>
      </c>
      <c r="H725" s="23">
        <v>41.99</v>
      </c>
      <c r="I725" s="21" t="str">
        <f t="shared" si="53"/>
        <v>44103105</v>
      </c>
      <c r="J725" s="25" t="s">
        <v>98</v>
      </c>
    </row>
    <row r="726" spans="1:10" ht="39">
      <c r="A726" s="9" t="s">
        <v>27</v>
      </c>
      <c r="B726" s="2" t="s">
        <v>31</v>
      </c>
      <c r="C726" s="2">
        <v>3204</v>
      </c>
      <c r="D726" s="2">
        <v>242</v>
      </c>
      <c r="E726" s="2" t="str">
        <f>"1000000721"</f>
        <v>1000000721</v>
      </c>
      <c r="F726" s="2" t="str">
        <f>"INK CART:HP Item # C4846A-HEW, No. 80 Ink Ctg, Cyan, 350ml, DesignJet 1000 Series (Yld 4.4k)"</f>
        <v>INK CART:HP Item # C4846A-HEW, No. 80 Ink Ctg, Cyan, 350ml, DesignJet 1000 Series (Yld 4.4k)</v>
      </c>
      <c r="G726" s="3" t="str">
        <f t="shared" si="54"/>
        <v>EA</v>
      </c>
      <c r="H726" s="7">
        <v>158.99</v>
      </c>
      <c r="I726" s="2" t="str">
        <f t="shared" si="53"/>
        <v>44103105</v>
      </c>
      <c r="J726" s="10" t="s">
        <v>98</v>
      </c>
    </row>
    <row r="727" spans="1:10" ht="39">
      <c r="A727" s="24" t="s">
        <v>27</v>
      </c>
      <c r="B727" s="21" t="s">
        <v>31</v>
      </c>
      <c r="C727" s="21">
        <v>3204</v>
      </c>
      <c r="D727" s="21">
        <v>243</v>
      </c>
      <c r="E727" s="21" t="str">
        <f>"1000017300"</f>
        <v>1000017300</v>
      </c>
      <c r="F727" s="21" t="str">
        <f>"INK CART:HP Item # C4847A-HEW, HP No. 80 Ink Ctg, Magenta (Yld 4.4k), DesignJet 1000/ 1050/ 1055"</f>
        <v>INK CART:HP Item # C4847A-HEW, HP No. 80 Ink Ctg, Magenta (Yld 4.4k), DesignJet 1000/ 1050/ 1055</v>
      </c>
      <c r="G727" s="22" t="str">
        <f t="shared" si="54"/>
        <v>EA</v>
      </c>
      <c r="H727" s="23">
        <v>158.99</v>
      </c>
      <c r="I727" s="21" t="str">
        <f t="shared" si="53"/>
        <v>44103105</v>
      </c>
      <c r="J727" s="25" t="s">
        <v>98</v>
      </c>
    </row>
    <row r="728" spans="1:10" ht="39">
      <c r="A728" s="9" t="s">
        <v>27</v>
      </c>
      <c r="B728" s="2" t="s">
        <v>31</v>
      </c>
      <c r="C728" s="2">
        <v>3204</v>
      </c>
      <c r="D728" s="2">
        <v>244</v>
      </c>
      <c r="E728" s="2" t="str">
        <f>"1000017301"</f>
        <v>1000017301</v>
      </c>
      <c r="F728" s="2" t="str">
        <f>"INK CART:HP Item # C4848A-HEW, HP No. 80 Ink Ctg, Yellow, (Yld 4.4k) DesignJet 1000/1050/1055 Series"</f>
        <v>INK CART:HP Item # C4848A-HEW, HP No. 80 Ink Ctg, Yellow, (Yld 4.4k) DesignJet 1000/1050/1055 Series</v>
      </c>
      <c r="G728" s="3" t="str">
        <f t="shared" si="54"/>
        <v>EA</v>
      </c>
      <c r="H728" s="7">
        <v>158.99</v>
      </c>
      <c r="I728" s="2" t="str">
        <f t="shared" si="53"/>
        <v>44103105</v>
      </c>
      <c r="J728" s="10" t="s">
        <v>98</v>
      </c>
    </row>
    <row r="729" spans="1:10" ht="39">
      <c r="A729" s="24" t="s">
        <v>27</v>
      </c>
      <c r="B729" s="21" t="s">
        <v>31</v>
      </c>
      <c r="C729" s="21">
        <v>3204</v>
      </c>
      <c r="D729" s="21">
        <v>245</v>
      </c>
      <c r="E729" s="21" t="str">
        <f>"1000001338"</f>
        <v>1000001338</v>
      </c>
      <c r="F729" s="21" t="str">
        <f>"INK CART:HP Item # C4871A-HEW, No. 80 Ink Ctg, Black, (Yld 4.4k) DesignJet 1000/1050/1055 Series"</f>
        <v>INK CART:HP Item # C4871A-HEW, No. 80 Ink Ctg, Black, (Yld 4.4k) DesignJet 1000/1050/1055 Series</v>
      </c>
      <c r="G729" s="22" t="str">
        <f t="shared" si="54"/>
        <v>EA</v>
      </c>
      <c r="H729" s="23">
        <v>158.99</v>
      </c>
      <c r="I729" s="21" t="str">
        <f t="shared" si="53"/>
        <v>44103105</v>
      </c>
      <c r="J729" s="25" t="s">
        <v>98</v>
      </c>
    </row>
    <row r="730" spans="1:10" ht="39">
      <c r="A730" s="9" t="s">
        <v>27</v>
      </c>
      <c r="B730" s="2" t="s">
        <v>31</v>
      </c>
      <c r="C730" s="2">
        <v>3204</v>
      </c>
      <c r="D730" s="2">
        <v>246</v>
      </c>
      <c r="E730" s="2" t="str">
        <f>"1000017302"</f>
        <v>1000017302</v>
      </c>
      <c r="F730" s="2" t="str">
        <f>"INK CART:HP Item # C4902AN-HEW, HP No. 940 Black inkjet cartridge, (Yld 1000), for Officejet Pro 8500 inkjet printers"</f>
        <v>INK CART:HP Item # C4902AN-HEW, HP No. 940 Black inkjet cartridge, (Yld 1000), for Officejet Pro 8500 inkjet printers</v>
      </c>
      <c r="G730" s="3" t="str">
        <f t="shared" si="54"/>
        <v>EA</v>
      </c>
      <c r="H730" s="7">
        <v>26.99</v>
      </c>
      <c r="I730" s="2" t="str">
        <f t="shared" si="53"/>
        <v>44103105</v>
      </c>
      <c r="J730" s="10" t="s">
        <v>98</v>
      </c>
    </row>
    <row r="731" spans="1:10" ht="39">
      <c r="A731" s="24" t="s">
        <v>27</v>
      </c>
      <c r="B731" s="21" t="s">
        <v>31</v>
      </c>
      <c r="C731" s="21">
        <v>3204</v>
      </c>
      <c r="D731" s="21">
        <v>247</v>
      </c>
      <c r="E731" s="21" t="str">
        <f>"1000017303"</f>
        <v>1000017303</v>
      </c>
      <c r="F731" s="21" t="str">
        <f>"INK CART:HP Item # C4903AN-HEW, HP No. 940 Cyan inkjet cartridge, (Yld 900) for Officejet Pro 8500 inkjet printers"</f>
        <v>INK CART:HP Item # C4903AN-HEW, HP No. 940 Cyan inkjet cartridge, (Yld 900) for Officejet Pro 8500 inkjet printers</v>
      </c>
      <c r="G731" s="22" t="str">
        <f t="shared" si="54"/>
        <v>EA</v>
      </c>
      <c r="H731" s="23">
        <v>20.99</v>
      </c>
      <c r="I731" s="21" t="str">
        <f t="shared" si="53"/>
        <v>44103105</v>
      </c>
      <c r="J731" s="25" t="s">
        <v>98</v>
      </c>
    </row>
    <row r="732" spans="1:10" ht="39">
      <c r="A732" s="9" t="s">
        <v>27</v>
      </c>
      <c r="B732" s="2" t="s">
        <v>31</v>
      </c>
      <c r="C732" s="2">
        <v>3204</v>
      </c>
      <c r="D732" s="2">
        <v>248</v>
      </c>
      <c r="E732" s="2" t="str">
        <f>"1000017304"</f>
        <v>1000017304</v>
      </c>
      <c r="F732" s="2" t="str">
        <f>"INK CART:HP Item # C4904AN-HEW, HP No. 940 Magenta inkjet cartridge, (Yld 900) for Officejet Pro 8500 inkjet printers"</f>
        <v>INK CART:HP Item # C4904AN-HEW, HP No. 940 Magenta inkjet cartridge, (Yld 900) for Officejet Pro 8500 inkjet printers</v>
      </c>
      <c r="G732" s="3" t="str">
        <f t="shared" si="54"/>
        <v>EA</v>
      </c>
      <c r="H732" s="7">
        <v>20.99</v>
      </c>
      <c r="I732" s="2" t="str">
        <f t="shared" si="53"/>
        <v>44103105</v>
      </c>
      <c r="J732" s="10" t="s">
        <v>98</v>
      </c>
    </row>
    <row r="733" spans="1:10" ht="39">
      <c r="A733" s="24" t="s">
        <v>27</v>
      </c>
      <c r="B733" s="21" t="s">
        <v>31</v>
      </c>
      <c r="C733" s="21">
        <v>3204</v>
      </c>
      <c r="D733" s="21">
        <v>249</v>
      </c>
      <c r="E733" s="21" t="str">
        <f>"1000017331"</f>
        <v>1000017331</v>
      </c>
      <c r="F733" s="21" t="str">
        <f>"INK CART:HP Item # C4905AN-HEW, HP No. 940 Yellow inkjet cartridge, (Yld 900) for Officejet Pro 8500 inkjet printers"</f>
        <v>INK CART:HP Item # C4905AN-HEW, HP No. 940 Yellow inkjet cartridge, (Yld 900) for Officejet Pro 8500 inkjet printers</v>
      </c>
      <c r="G733" s="22" t="str">
        <f t="shared" si="54"/>
        <v>EA</v>
      </c>
      <c r="H733" s="23">
        <v>20.99</v>
      </c>
      <c r="I733" s="21" t="str">
        <f t="shared" si="53"/>
        <v>44103105</v>
      </c>
      <c r="J733" s="25" t="s">
        <v>98</v>
      </c>
    </row>
    <row r="734" spans="1:10" ht="51.75">
      <c r="A734" s="9" t="s">
        <v>27</v>
      </c>
      <c r="B734" s="2" t="s">
        <v>31</v>
      </c>
      <c r="C734" s="2">
        <v>3204</v>
      </c>
      <c r="D734" s="2">
        <v>250</v>
      </c>
      <c r="E734" s="2" t="str">
        <f>"1000017332"</f>
        <v>1000017332</v>
      </c>
      <c r="F734" s="2" t="str">
        <f>"INK CART:HP Item # C4907AN-HEW, HP 940XL Cyan inkjet cartridge, high capacity 1,400 page yield for Officejet Pro 8500 inkjet printers"</f>
        <v>INK CART:HP Item # C4907AN-HEW, HP 940XL Cyan inkjet cartridge, high capacity 1,400 page yield for Officejet Pro 8500 inkjet printers</v>
      </c>
      <c r="G734" s="3" t="str">
        <f t="shared" si="54"/>
        <v>EA</v>
      </c>
      <c r="H734" s="7">
        <v>27.99</v>
      </c>
      <c r="I734" s="2" t="str">
        <f t="shared" si="53"/>
        <v>44103105</v>
      </c>
      <c r="J734" s="10" t="s">
        <v>98</v>
      </c>
    </row>
    <row r="735" spans="1:10" ht="51.75">
      <c r="A735" s="24" t="s">
        <v>27</v>
      </c>
      <c r="B735" s="21" t="s">
        <v>31</v>
      </c>
      <c r="C735" s="21">
        <v>3204</v>
      </c>
      <c r="D735" s="21">
        <v>251</v>
      </c>
      <c r="E735" s="21" t="str">
        <f>"1000017333"</f>
        <v>1000017333</v>
      </c>
      <c r="F735" s="21" t="str">
        <f>"INK CART:HP Item # C4908AN-HEW, HP 940XL Magenta inkjet cartridge, high capacity 1,400 page yield for Officejet Pro 8500 inkjet printers"</f>
        <v>INK CART:HP Item # C4908AN-HEW, HP 940XL Magenta inkjet cartridge, high capacity 1,400 page yield for Officejet Pro 8500 inkjet printers</v>
      </c>
      <c r="G735" s="22" t="str">
        <f t="shared" si="54"/>
        <v>EA</v>
      </c>
      <c r="H735" s="23">
        <v>27.99</v>
      </c>
      <c r="I735" s="21" t="str">
        <f t="shared" si="53"/>
        <v>44103105</v>
      </c>
      <c r="J735" s="25" t="s">
        <v>98</v>
      </c>
    </row>
    <row r="736" spans="1:10" ht="51.75">
      <c r="A736" s="9" t="s">
        <v>27</v>
      </c>
      <c r="B736" s="2" t="s">
        <v>31</v>
      </c>
      <c r="C736" s="2">
        <v>3204</v>
      </c>
      <c r="D736" s="2">
        <v>252</v>
      </c>
      <c r="E736" s="2" t="str">
        <f>"1000017360"</f>
        <v>1000017360</v>
      </c>
      <c r="F736" s="2" t="str">
        <f>"INK CART:HP Item # C4909AN-HEW, HP 940XL Yellow inkjet cartridge, high capacity 1,400 page yield for Officejet Pro 8500 inkjet printers"</f>
        <v>INK CART:HP Item # C4909AN-HEW, HP 940XL Yellow inkjet cartridge, high capacity 1,400 page yield for Officejet Pro 8500 inkjet printers</v>
      </c>
      <c r="G736" s="3" t="str">
        <f t="shared" si="54"/>
        <v>EA</v>
      </c>
      <c r="H736" s="7">
        <v>27.99</v>
      </c>
      <c r="I736" s="2" t="str">
        <f t="shared" si="53"/>
        <v>44103105</v>
      </c>
      <c r="J736" s="10" t="s">
        <v>98</v>
      </c>
    </row>
    <row r="737" spans="1:10" ht="26.25">
      <c r="A737" s="24" t="s">
        <v>27</v>
      </c>
      <c r="B737" s="21" t="s">
        <v>31</v>
      </c>
      <c r="C737" s="21">
        <v>3204</v>
      </c>
      <c r="D737" s="21">
        <v>253</v>
      </c>
      <c r="E737" s="21" t="str">
        <f>"1000017361"</f>
        <v>1000017361</v>
      </c>
      <c r="F737" s="21" t="str">
        <f>"INK CART:HP Item # C4911A-HEW, HP No. 82 Ink Ctg, Cyan, DesignJet 500/500PS/800/800PS"</f>
        <v>INK CART:HP Item # C4911A-HEW, HP No. 82 Ink Ctg, Cyan, DesignJet 500/500PS/800/800PS</v>
      </c>
      <c r="G737" s="22" t="str">
        <f t="shared" si="54"/>
        <v>EA</v>
      </c>
      <c r="H737" s="23">
        <v>46</v>
      </c>
      <c r="I737" s="21" t="str">
        <f t="shared" si="53"/>
        <v>44103105</v>
      </c>
      <c r="J737" s="25" t="s">
        <v>98</v>
      </c>
    </row>
    <row r="738" spans="1:10" ht="39">
      <c r="A738" s="9" t="s">
        <v>27</v>
      </c>
      <c r="B738" s="2" t="s">
        <v>31</v>
      </c>
      <c r="C738" s="2">
        <v>3204</v>
      </c>
      <c r="D738" s="2">
        <v>254</v>
      </c>
      <c r="E738" s="2" t="str">
        <f>"1000017310"</f>
        <v>1000017310</v>
      </c>
      <c r="F738" s="2" t="str">
        <f>"INK CART:HP Item # C4912A-HEW, HP No. 82 Ink Ctg, Magenta, DesignJet 500/500PS/800/800PS"</f>
        <v>INK CART:HP Item # C4912A-HEW, HP No. 82 Ink Ctg, Magenta, DesignJet 500/500PS/800/800PS</v>
      </c>
      <c r="G738" s="3" t="str">
        <f t="shared" si="54"/>
        <v>EA</v>
      </c>
      <c r="H738" s="7">
        <v>45.69</v>
      </c>
      <c r="I738" s="2" t="str">
        <f t="shared" si="53"/>
        <v>44103105</v>
      </c>
      <c r="J738" s="10" t="s">
        <v>98</v>
      </c>
    </row>
    <row r="739" spans="1:10" ht="39">
      <c r="A739" s="24" t="s">
        <v>27</v>
      </c>
      <c r="B739" s="21" t="s">
        <v>31</v>
      </c>
      <c r="C739" s="21">
        <v>3204</v>
      </c>
      <c r="D739" s="21">
        <v>255</v>
      </c>
      <c r="E739" s="21" t="str">
        <f>"1000017311"</f>
        <v>1000017311</v>
      </c>
      <c r="F739" s="21" t="str">
        <f>"INK CART:HP Item # C4913A-HEW, HP No. 82 Ink Ctg, Yellow, for DesignJet 500/500PS/800/800PS"</f>
        <v>INK CART:HP Item # C4913A-HEW, HP No. 82 Ink Ctg, Yellow, for DesignJet 500/500PS/800/800PS</v>
      </c>
      <c r="G739" s="22" t="str">
        <f t="shared" si="54"/>
        <v>EA</v>
      </c>
      <c r="H739" s="23">
        <v>45.69</v>
      </c>
      <c r="I739" s="21" t="str">
        <f t="shared" si="53"/>
        <v>44103105</v>
      </c>
      <c r="J739" s="25" t="s">
        <v>98</v>
      </c>
    </row>
    <row r="740" spans="1:10" ht="39">
      <c r="A740" s="9" t="s">
        <v>27</v>
      </c>
      <c r="B740" s="2" t="s">
        <v>31</v>
      </c>
      <c r="C740" s="2">
        <v>3204</v>
      </c>
      <c r="D740" s="2">
        <v>256</v>
      </c>
      <c r="E740" s="2" t="str">
        <f>"1000017312"</f>
        <v>1000017312</v>
      </c>
      <c r="F740" s="2" t="str">
        <f>"INK CART:HP Item # C4930A-HEW, HP No. 81 Dye Ink Cartridge, Black, HP Designjet 5000/5500 (Yld 1k)"</f>
        <v>INK CART:HP Item # C4930A-HEW, HP No. 81 Dye Ink Cartridge, Black, HP Designjet 5000/5500 (Yld 1k)</v>
      </c>
      <c r="G740" s="3" t="str">
        <f t="shared" si="54"/>
        <v>EA</v>
      </c>
      <c r="H740" s="7">
        <v>226</v>
      </c>
      <c r="I740" s="2" t="str">
        <f t="shared" si="53"/>
        <v>44103105</v>
      </c>
      <c r="J740" s="10" t="s">
        <v>98</v>
      </c>
    </row>
    <row r="741" spans="1:10" ht="39">
      <c r="A741" s="24" t="s">
        <v>27</v>
      </c>
      <c r="B741" s="21" t="s">
        <v>31</v>
      </c>
      <c r="C741" s="21">
        <v>3204</v>
      </c>
      <c r="D741" s="21">
        <v>257</v>
      </c>
      <c r="E741" s="21" t="str">
        <f>"1000017313"</f>
        <v>1000017313</v>
      </c>
      <c r="F741" s="21" t="str">
        <f>"INK CART:HP Item # C4931A-HEW, HP No. 81 Dye Ink Cartridge, Cyan, HP Designjet 5000/5500 (Yld 1k)"</f>
        <v>INK CART:HP Item # C4931A-HEW, HP No. 81 Dye Ink Cartridge, Cyan, HP Designjet 5000/5500 (Yld 1k)</v>
      </c>
      <c r="G741" s="22" t="str">
        <f t="shared" si="54"/>
        <v>EA</v>
      </c>
      <c r="H741" s="23">
        <v>220</v>
      </c>
      <c r="I741" s="21" t="str">
        <f t="shared" si="53"/>
        <v>44103105</v>
      </c>
      <c r="J741" s="25" t="s">
        <v>98</v>
      </c>
    </row>
    <row r="742" spans="1:10" ht="39">
      <c r="A742" s="9" t="s">
        <v>27</v>
      </c>
      <c r="B742" s="2" t="s">
        <v>31</v>
      </c>
      <c r="C742" s="2">
        <v>3204</v>
      </c>
      <c r="D742" s="2">
        <v>258</v>
      </c>
      <c r="E742" s="2" t="str">
        <f>"1000017314"</f>
        <v>1000017314</v>
      </c>
      <c r="F742" s="2" t="str">
        <f>"INK CART:HP Item # C4932A-HEW, HP No. 81 Dye Ink Cartridge, Magenta, HP Designjet 5000/5500 (Yld 1k)"</f>
        <v>INK CART:HP Item # C4932A-HEW, HP No. 81 Dye Ink Cartridge, Magenta, HP Designjet 5000/5500 (Yld 1k)</v>
      </c>
      <c r="G742" s="3" t="str">
        <f t="shared" ref="G742:G773" si="55">"EA"</f>
        <v>EA</v>
      </c>
      <c r="H742" s="7">
        <v>220</v>
      </c>
      <c r="I742" s="2" t="str">
        <f t="shared" si="53"/>
        <v>44103105</v>
      </c>
      <c r="J742" s="10" t="s">
        <v>98</v>
      </c>
    </row>
    <row r="743" spans="1:10" ht="39">
      <c r="A743" s="24" t="s">
        <v>27</v>
      </c>
      <c r="B743" s="21" t="s">
        <v>31</v>
      </c>
      <c r="C743" s="21">
        <v>3204</v>
      </c>
      <c r="D743" s="21">
        <v>259</v>
      </c>
      <c r="E743" s="21" t="str">
        <f>"1000017315"</f>
        <v>1000017315</v>
      </c>
      <c r="F743" s="21" t="str">
        <f>"INK CART:HP Item # C4933A-HEW, HP No. 81 Dye Ink Cartridge, Yellow, HP Designjet 5000/5500 (Yld 1k)"</f>
        <v>INK CART:HP Item # C4933A-HEW, HP No. 81 Dye Ink Cartridge, Yellow, HP Designjet 5000/5500 (Yld 1k)</v>
      </c>
      <c r="G743" s="22" t="str">
        <f t="shared" si="55"/>
        <v>EA</v>
      </c>
      <c r="H743" s="23">
        <v>220</v>
      </c>
      <c r="I743" s="21" t="str">
        <f t="shared" si="53"/>
        <v>44103105</v>
      </c>
      <c r="J743" s="25" t="s">
        <v>98</v>
      </c>
    </row>
    <row r="744" spans="1:10" ht="39">
      <c r="A744" s="9" t="s">
        <v>27</v>
      </c>
      <c r="B744" s="2" t="s">
        <v>31</v>
      </c>
      <c r="C744" s="2">
        <v>3204</v>
      </c>
      <c r="D744" s="2">
        <v>260</v>
      </c>
      <c r="E744" s="2" t="str">
        <f>"1000017316"</f>
        <v>1000017316</v>
      </c>
      <c r="F744" s="2" t="str">
        <f>"INK CART:HP Item # C4934A-HEW, HP No. 81 Dye Ink Cartridge, Light Cyan, HP Designjet5000/5500 (Yld 1k)"</f>
        <v>INK CART:HP Item # C4934A-HEW, HP No. 81 Dye Ink Cartridge, Light Cyan, HP Designjet5000/5500 (Yld 1k)</v>
      </c>
      <c r="G744" s="3" t="str">
        <f t="shared" si="55"/>
        <v>EA</v>
      </c>
      <c r="H744" s="7">
        <v>220</v>
      </c>
      <c r="I744" s="2" t="str">
        <f t="shared" ref="I744:I807" si="56">"44103105"</f>
        <v>44103105</v>
      </c>
      <c r="J744" s="10" t="s">
        <v>98</v>
      </c>
    </row>
    <row r="745" spans="1:10" ht="39">
      <c r="A745" s="24" t="s">
        <v>27</v>
      </c>
      <c r="B745" s="21" t="s">
        <v>31</v>
      </c>
      <c r="C745" s="21">
        <v>3204</v>
      </c>
      <c r="D745" s="21">
        <v>261</v>
      </c>
      <c r="E745" s="21" t="str">
        <f>"1000017317"</f>
        <v>1000017317</v>
      </c>
      <c r="F745" s="21" t="str">
        <f>"INK CART:HP Item # C4935A-HEW, HP No. 81 Dye Ink Cartridge, Light Magenta Designjet 5000/5500 (Yld 1k)"</f>
        <v>INK CART:HP Item # C4935A-HEW, HP No. 81 Dye Ink Cartridge, Light Magenta Designjet 5000/5500 (Yld 1k)</v>
      </c>
      <c r="G745" s="22" t="str">
        <f t="shared" si="55"/>
        <v>EA</v>
      </c>
      <c r="H745" s="23">
        <v>220</v>
      </c>
      <c r="I745" s="21" t="str">
        <f t="shared" si="56"/>
        <v>44103105</v>
      </c>
      <c r="J745" s="25" t="s">
        <v>98</v>
      </c>
    </row>
    <row r="746" spans="1:10" ht="39">
      <c r="A746" s="9" t="s">
        <v>27</v>
      </c>
      <c r="B746" s="2" t="s">
        <v>31</v>
      </c>
      <c r="C746" s="2">
        <v>3204</v>
      </c>
      <c r="D746" s="2">
        <v>262</v>
      </c>
      <c r="E746" s="2" t="str">
        <f>"1000017344"</f>
        <v>1000017344</v>
      </c>
      <c r="F746" s="2" t="str">
        <f>"INK CART:HP Item # C4940A-HEW, HP No. 83 Black InkJet Cartridge for Designjet 5000/5500PS UV/5500 UV, 680ml."</f>
        <v>INK CART:HP Item # C4940A-HEW, HP No. 83 Black InkJet Cartridge for Designjet 5000/5500PS UV/5500 UV, 680ml.</v>
      </c>
      <c r="G746" s="3" t="str">
        <f t="shared" si="55"/>
        <v>EA</v>
      </c>
      <c r="H746" s="7">
        <v>295</v>
      </c>
      <c r="I746" s="2" t="str">
        <f t="shared" si="56"/>
        <v>44103105</v>
      </c>
      <c r="J746" s="10" t="s">
        <v>98</v>
      </c>
    </row>
    <row r="747" spans="1:10" ht="39">
      <c r="A747" s="24" t="s">
        <v>27</v>
      </c>
      <c r="B747" s="21" t="s">
        <v>31</v>
      </c>
      <c r="C747" s="21">
        <v>3204</v>
      </c>
      <c r="D747" s="21">
        <v>263</v>
      </c>
      <c r="E747" s="21" t="str">
        <f>"1000017345"</f>
        <v>1000017345</v>
      </c>
      <c r="F747" s="21" t="str">
        <f>"INK CART:HP Item # C4941A-HEW, HP No. 83 Cyan InkJet Cartridge for Designjet 5000/5500PS UV/5500 UV, 680 ml."</f>
        <v>INK CART:HP Item # C4941A-HEW, HP No. 83 Cyan InkJet Cartridge for Designjet 5000/5500PS UV/5500 UV, 680 ml.</v>
      </c>
      <c r="G747" s="22" t="str">
        <f t="shared" si="55"/>
        <v>EA</v>
      </c>
      <c r="H747" s="23">
        <v>295</v>
      </c>
      <c r="I747" s="21" t="str">
        <f t="shared" si="56"/>
        <v>44103105</v>
      </c>
      <c r="J747" s="25" t="s">
        <v>98</v>
      </c>
    </row>
    <row r="748" spans="1:10" ht="39">
      <c r="A748" s="9" t="s">
        <v>27</v>
      </c>
      <c r="B748" s="2" t="s">
        <v>31</v>
      </c>
      <c r="C748" s="2">
        <v>3204</v>
      </c>
      <c r="D748" s="2">
        <v>264</v>
      </c>
      <c r="E748" s="2" t="str">
        <f>"1000017346"</f>
        <v>1000017346</v>
      </c>
      <c r="F748" s="2" t="str">
        <f>"INK CART:HP Item # C4942A-HEW, HP No. 83 Magenta InkJet Cartridge for Designjet 5000/5500PS UV/5500 UV, 680 ml."</f>
        <v>INK CART:HP Item # C4942A-HEW, HP No. 83 Magenta InkJet Cartridge for Designjet 5000/5500PS UV/5500 UV, 680 ml.</v>
      </c>
      <c r="G748" s="3" t="str">
        <f t="shared" si="55"/>
        <v>EA</v>
      </c>
      <c r="H748" s="7">
        <v>295</v>
      </c>
      <c r="I748" s="2" t="str">
        <f t="shared" si="56"/>
        <v>44103105</v>
      </c>
      <c r="J748" s="10" t="s">
        <v>98</v>
      </c>
    </row>
    <row r="749" spans="1:10" ht="39">
      <c r="A749" s="24" t="s">
        <v>27</v>
      </c>
      <c r="B749" s="21" t="s">
        <v>31</v>
      </c>
      <c r="C749" s="21">
        <v>3204</v>
      </c>
      <c r="D749" s="21">
        <v>265</v>
      </c>
      <c r="E749" s="21" t="str">
        <f>"1000017373"</f>
        <v>1000017373</v>
      </c>
      <c r="F749" s="21" t="str">
        <f>"INK CART:HP Item # C4943A-HEW, HP No. 83 Yellow InkJet Cartridge for Designjet 5000/5500PS UV/5500 UV, 680 ml."</f>
        <v>INK CART:HP Item # C4943A-HEW, HP No. 83 Yellow InkJet Cartridge for Designjet 5000/5500PS UV/5500 UV, 680 ml.</v>
      </c>
      <c r="G749" s="22" t="str">
        <f t="shared" si="55"/>
        <v>EA</v>
      </c>
      <c r="H749" s="23">
        <v>295</v>
      </c>
      <c r="I749" s="21" t="str">
        <f t="shared" si="56"/>
        <v>44103105</v>
      </c>
      <c r="J749" s="25" t="s">
        <v>98</v>
      </c>
    </row>
    <row r="750" spans="1:10" ht="39">
      <c r="A750" s="9" t="s">
        <v>27</v>
      </c>
      <c r="B750" s="2" t="s">
        <v>31</v>
      </c>
      <c r="C750" s="2">
        <v>3204</v>
      </c>
      <c r="D750" s="2">
        <v>266</v>
      </c>
      <c r="E750" s="2" t="str">
        <f>"1000017374"</f>
        <v>1000017374</v>
      </c>
      <c r="F750" s="2" t="str">
        <f>"INK CART:HP Item # C4944A-HEW, HP No. 83 Light Cyan InkJet Cartridge for Designjet 5000/5500PS UV/5500 UV, 680 ml."</f>
        <v>INK CART:HP Item # C4944A-HEW, HP No. 83 Light Cyan InkJet Cartridge for Designjet 5000/5500PS UV/5500 UV, 680 ml.</v>
      </c>
      <c r="G750" s="3" t="str">
        <f t="shared" si="55"/>
        <v>EA</v>
      </c>
      <c r="H750" s="7">
        <v>295</v>
      </c>
      <c r="I750" s="2" t="str">
        <f t="shared" si="56"/>
        <v>44103105</v>
      </c>
      <c r="J750" s="10" t="s">
        <v>98</v>
      </c>
    </row>
    <row r="751" spans="1:10" ht="39">
      <c r="A751" s="24" t="s">
        <v>27</v>
      </c>
      <c r="B751" s="21" t="s">
        <v>31</v>
      </c>
      <c r="C751" s="21">
        <v>3204</v>
      </c>
      <c r="D751" s="21">
        <v>267</v>
      </c>
      <c r="E751" s="21" t="str">
        <f>"1000017323"</f>
        <v>1000017323</v>
      </c>
      <c r="F751" s="21" t="str">
        <f>"INK CART:HP Item # C4945A-HEW, HP No. 83 Light Magenta InkJet Cartridge for Designjet 5000/5500PS UV/5500 UV, 680 ml."</f>
        <v>INK CART:HP Item # C4945A-HEW, HP No. 83 Light Magenta InkJet Cartridge for Designjet 5000/5500PS UV/5500 UV, 680 ml.</v>
      </c>
      <c r="G751" s="22" t="str">
        <f t="shared" si="55"/>
        <v>EA</v>
      </c>
      <c r="H751" s="23">
        <v>295</v>
      </c>
      <c r="I751" s="21" t="str">
        <f t="shared" si="56"/>
        <v>44103105</v>
      </c>
      <c r="J751" s="25" t="s">
        <v>98</v>
      </c>
    </row>
    <row r="752" spans="1:10" ht="51.75">
      <c r="A752" s="9" t="s">
        <v>27</v>
      </c>
      <c r="B752" s="2" t="s">
        <v>31</v>
      </c>
      <c r="C752" s="2">
        <v>3204</v>
      </c>
      <c r="D752" s="2">
        <v>270</v>
      </c>
      <c r="E752" s="2" t="str">
        <f>"1000017324"</f>
        <v>1000017324</v>
      </c>
      <c r="F752" s="2" t="str">
        <f>"INK CART:HP Item # C5016A-HEW, HP 84 Ink Cartridge. HP Black InkJet Cartridge for Designjet 10PS, 120, 130, 20PS, 50PS, 90 Printers, 69ml"</f>
        <v>INK CART:HP Item # C5016A-HEW, HP 84 Ink Cartridge. HP Black InkJet Cartridge for Designjet 10PS, 120, 130, 20PS, 50PS, 90 Printers, 69ml</v>
      </c>
      <c r="G752" s="3" t="str">
        <f t="shared" si="55"/>
        <v>EA</v>
      </c>
      <c r="H752" s="7">
        <v>41</v>
      </c>
      <c r="I752" s="2" t="str">
        <f t="shared" si="56"/>
        <v>44103105</v>
      </c>
      <c r="J752" s="10" t="s">
        <v>98</v>
      </c>
    </row>
    <row r="753" spans="1:10" ht="39">
      <c r="A753" s="24" t="s">
        <v>27</v>
      </c>
      <c r="B753" s="21" t="s">
        <v>31</v>
      </c>
      <c r="C753" s="21">
        <v>3204</v>
      </c>
      <c r="D753" s="21">
        <v>271</v>
      </c>
      <c r="E753" s="21" t="str">
        <f>"1000017325"</f>
        <v>1000017325</v>
      </c>
      <c r="F753" s="21" t="str">
        <f>"INK CART:HP Item # C5058A-HEW, HP No. 90 Black wide format cartridge for HP Designjet 4000/4000ps (Yld 400ml)"</f>
        <v>INK CART:HP Item # C5058A-HEW, HP No. 90 Black wide format cartridge for HP Designjet 4000/4000ps (Yld 400ml)</v>
      </c>
      <c r="G753" s="22" t="str">
        <f t="shared" si="55"/>
        <v>EA</v>
      </c>
      <c r="H753" s="23">
        <v>166.32</v>
      </c>
      <c r="I753" s="21" t="str">
        <f t="shared" si="56"/>
        <v>44103105</v>
      </c>
      <c r="J753" s="25" t="s">
        <v>98</v>
      </c>
    </row>
    <row r="754" spans="1:10" ht="51.75">
      <c r="A754" s="9" t="s">
        <v>27</v>
      </c>
      <c r="B754" s="2" t="s">
        <v>31</v>
      </c>
      <c r="C754" s="2">
        <v>3204</v>
      </c>
      <c r="D754" s="2">
        <v>272</v>
      </c>
      <c r="E754" s="2" t="str">
        <f>"1000017326"</f>
        <v>1000017326</v>
      </c>
      <c r="F754" s="2" t="str">
        <f>"INK CART:HP Item # C5060A-HEW, HP No. 90 Cyan inkjet cartridge designed for the HP DesignJet 4000 / 4000ps inkjet printers (225 ml)"</f>
        <v>INK CART:HP Item # C5060A-HEW, HP No. 90 Cyan inkjet cartridge designed for the HP DesignJet 4000 / 4000ps inkjet printers (225 ml)</v>
      </c>
      <c r="G754" s="3" t="str">
        <f t="shared" si="55"/>
        <v>EA</v>
      </c>
      <c r="H754" s="7">
        <v>146</v>
      </c>
      <c r="I754" s="2" t="str">
        <f t="shared" si="56"/>
        <v>44103105</v>
      </c>
      <c r="J754" s="10" t="s">
        <v>98</v>
      </c>
    </row>
    <row r="755" spans="1:10" ht="51.75">
      <c r="A755" s="24" t="s">
        <v>27</v>
      </c>
      <c r="B755" s="21" t="s">
        <v>31</v>
      </c>
      <c r="C755" s="21">
        <v>3204</v>
      </c>
      <c r="D755" s="21">
        <v>273</v>
      </c>
      <c r="E755" s="21" t="str">
        <f>"1000017327"</f>
        <v>1000017327</v>
      </c>
      <c r="F755" s="21" t="str">
        <f>"INK CART:HP Item # C5061A-HEW, HP No. 90 Cyan high capacity inkjet cartridge designed for the HP DesignJet 4000 / 4000ps inkjet printers (400 ml)"</f>
        <v>INK CART:HP Item # C5061A-HEW, HP No. 90 Cyan high capacity inkjet cartridge designed for the HP DesignJet 4000 / 4000ps inkjet printers (400 ml)</v>
      </c>
      <c r="G755" s="22" t="str">
        <f t="shared" si="55"/>
        <v>EA</v>
      </c>
      <c r="H755" s="23">
        <v>183</v>
      </c>
      <c r="I755" s="21" t="str">
        <f t="shared" si="56"/>
        <v>44103105</v>
      </c>
      <c r="J755" s="25" t="s">
        <v>98</v>
      </c>
    </row>
    <row r="756" spans="1:10" ht="26.25">
      <c r="A756" s="9" t="s">
        <v>27</v>
      </c>
      <c r="B756" s="2" t="s">
        <v>31</v>
      </c>
      <c r="C756" s="2">
        <v>3204</v>
      </c>
      <c r="D756" s="2">
        <v>274</v>
      </c>
      <c r="E756" s="2" t="str">
        <f>"1000017328"</f>
        <v>1000017328</v>
      </c>
      <c r="F756" s="2" t="str">
        <f>"INK CART:HP Item # C5062A-HEW, HP No. 90 Magenta inkjet cartridge 225ml"</f>
        <v>INK CART:HP Item # C5062A-HEW, HP No. 90 Magenta inkjet cartridge 225ml</v>
      </c>
      <c r="G756" s="3" t="str">
        <f t="shared" si="55"/>
        <v>EA</v>
      </c>
      <c r="H756" s="7">
        <v>146</v>
      </c>
      <c r="I756" s="2" t="str">
        <f t="shared" si="56"/>
        <v>44103105</v>
      </c>
      <c r="J756" s="10" t="s">
        <v>98</v>
      </c>
    </row>
    <row r="757" spans="1:10" ht="26.25">
      <c r="A757" s="24" t="s">
        <v>27</v>
      </c>
      <c r="B757" s="21" t="s">
        <v>31</v>
      </c>
      <c r="C757" s="21">
        <v>3204</v>
      </c>
      <c r="D757" s="21">
        <v>275</v>
      </c>
      <c r="E757" s="21" t="str">
        <f>"1000017329"</f>
        <v>1000017329</v>
      </c>
      <c r="F757" s="21" t="str">
        <f>"INK CART:HP Item # C5063A-HEW, HP No. 90 Magenta inkjet cartridge 400ml"</f>
        <v>INK CART:HP Item # C5063A-HEW, HP No. 90 Magenta inkjet cartridge 400ml</v>
      </c>
      <c r="G757" s="22" t="str">
        <f t="shared" si="55"/>
        <v>EA</v>
      </c>
      <c r="H757" s="23">
        <v>183</v>
      </c>
      <c r="I757" s="21" t="str">
        <f t="shared" si="56"/>
        <v>44103105</v>
      </c>
      <c r="J757" s="25" t="s">
        <v>98</v>
      </c>
    </row>
    <row r="758" spans="1:10" ht="39">
      <c r="A758" s="9" t="s">
        <v>27</v>
      </c>
      <c r="B758" s="2" t="s">
        <v>31</v>
      </c>
      <c r="C758" s="2">
        <v>3204</v>
      </c>
      <c r="D758" s="2">
        <v>276</v>
      </c>
      <c r="E758" s="2" t="str">
        <f>"1000017330"</f>
        <v>1000017330</v>
      </c>
      <c r="F758" s="2" t="str">
        <f>"INK CART:HP Item # C5064A-HEW, HP No. 90 Yellow inkjet cartridge for DesignJet 4000, 4500 series, 225ML"</f>
        <v>INK CART:HP Item # C5064A-HEW, HP No. 90 Yellow inkjet cartridge for DesignJet 4000, 4500 series, 225ML</v>
      </c>
      <c r="G758" s="3" t="str">
        <f t="shared" si="55"/>
        <v>EA</v>
      </c>
      <c r="H758" s="7">
        <v>146</v>
      </c>
      <c r="I758" s="2" t="str">
        <f t="shared" si="56"/>
        <v>44103105</v>
      </c>
      <c r="J758" s="10" t="s">
        <v>98</v>
      </c>
    </row>
    <row r="759" spans="1:10" ht="26.25">
      <c r="A759" s="24" t="s">
        <v>27</v>
      </c>
      <c r="B759" s="21" t="s">
        <v>31</v>
      </c>
      <c r="C759" s="21">
        <v>3204</v>
      </c>
      <c r="D759" s="21">
        <v>277</v>
      </c>
      <c r="E759" s="21" t="str">
        <f>"1000017357"</f>
        <v>1000017357</v>
      </c>
      <c r="F759" s="21" t="str">
        <f>"INK CART:HP Item # C5065A-HEW, HP No. 90 Yellow inkjet cartridge 400ml"</f>
        <v>INK CART:HP Item # C5065A-HEW, HP No. 90 Yellow inkjet cartridge 400ml</v>
      </c>
      <c r="G759" s="22" t="str">
        <f t="shared" si="55"/>
        <v>EA</v>
      </c>
      <c r="H759" s="23">
        <v>183</v>
      </c>
      <c r="I759" s="21" t="str">
        <f t="shared" si="56"/>
        <v>44103105</v>
      </c>
      <c r="J759" s="25" t="s">
        <v>98</v>
      </c>
    </row>
    <row r="760" spans="1:10" ht="26.25">
      <c r="A760" s="9" t="s">
        <v>27</v>
      </c>
      <c r="B760" s="2" t="s">
        <v>31</v>
      </c>
      <c r="C760" s="2">
        <v>3204</v>
      </c>
      <c r="D760" s="2">
        <v>278</v>
      </c>
      <c r="E760" s="2" t="str">
        <f>"1000000058"</f>
        <v>1000000058</v>
      </c>
      <c r="F760" s="2" t="str">
        <f>"INK CART:HP Item # C6578AN-HEW, No. 78 Ink Ctg, High Yield,Tri-color Yield 970 pages"</f>
        <v>INK CART:HP Item # C6578AN-HEW, No. 78 Ink Ctg, High Yield,Tri-color Yield 970 pages</v>
      </c>
      <c r="G760" s="3" t="str">
        <f t="shared" si="55"/>
        <v>EA</v>
      </c>
      <c r="H760" s="7">
        <v>66.989999999999995</v>
      </c>
      <c r="I760" s="2" t="str">
        <f t="shared" si="56"/>
        <v>44103105</v>
      </c>
      <c r="J760" s="10" t="s">
        <v>98</v>
      </c>
    </row>
    <row r="761" spans="1:10" ht="26.25">
      <c r="A761" s="24" t="s">
        <v>27</v>
      </c>
      <c r="B761" s="21" t="s">
        <v>31</v>
      </c>
      <c r="C761" s="21">
        <v>3204</v>
      </c>
      <c r="D761" s="21">
        <v>279</v>
      </c>
      <c r="E761" s="21" t="str">
        <f>"1000000057"</f>
        <v>1000000057</v>
      </c>
      <c r="F761" s="21" t="str">
        <f>"INK CART:HP Item # C6578DN-HEW, No. 78 Ink Ctg, Tri-Color, Yield 450 pages"</f>
        <v>INK CART:HP Item # C6578DN-HEW, No. 78 Ink Ctg, Tri-Color, Yield 450 pages</v>
      </c>
      <c r="G761" s="22" t="str">
        <f t="shared" si="55"/>
        <v>EA</v>
      </c>
      <c r="H761" s="23">
        <v>41.99</v>
      </c>
      <c r="I761" s="21" t="str">
        <f t="shared" si="56"/>
        <v>44103105</v>
      </c>
      <c r="J761" s="25" t="s">
        <v>98</v>
      </c>
    </row>
    <row r="762" spans="1:10" ht="39">
      <c r="A762" s="9" t="s">
        <v>27</v>
      </c>
      <c r="B762" s="2" t="s">
        <v>31</v>
      </c>
      <c r="C762" s="2">
        <v>3204</v>
      </c>
      <c r="D762" s="2">
        <v>280</v>
      </c>
      <c r="E762" s="2" t="str">
        <f>"1000017358"</f>
        <v>1000017358</v>
      </c>
      <c r="F762" s="2" t="str">
        <f>"INK CART:HP Item # C6602A-HEW, HP Addmaster IJ 6000 Black POS Inkjet Ctg (7M Character)"</f>
        <v>INK CART:HP Item # C6602A-HEW, HP Addmaster IJ 6000 Black POS Inkjet Ctg (7M Character)</v>
      </c>
      <c r="G762" s="3" t="str">
        <f t="shared" si="55"/>
        <v>EA</v>
      </c>
      <c r="H762" s="7">
        <v>21.32</v>
      </c>
      <c r="I762" s="2" t="str">
        <f t="shared" si="56"/>
        <v>44103105</v>
      </c>
      <c r="J762" s="10" t="s">
        <v>98</v>
      </c>
    </row>
    <row r="763" spans="1:10" ht="39">
      <c r="A763" s="24" t="s">
        <v>27</v>
      </c>
      <c r="B763" s="21" t="s">
        <v>31</v>
      </c>
      <c r="C763" s="21">
        <v>3204</v>
      </c>
      <c r="D763" s="21">
        <v>281</v>
      </c>
      <c r="E763" s="21" t="str">
        <f>"1000017359"</f>
        <v>1000017359</v>
      </c>
      <c r="F763" s="21" t="str">
        <f>"INK CART:HP Item # C6602R-HEW, HP Addmaster IJ 6000 Red POS Inkjet Ctg (7M Character)"</f>
        <v>INK CART:HP Item # C6602R-HEW, HP Addmaster IJ 6000 Red POS Inkjet Ctg (7M Character)</v>
      </c>
      <c r="G763" s="22" t="str">
        <f t="shared" si="55"/>
        <v>EA</v>
      </c>
      <c r="H763" s="23">
        <v>21.64</v>
      </c>
      <c r="I763" s="21" t="str">
        <f t="shared" si="56"/>
        <v>44103105</v>
      </c>
      <c r="J763" s="25" t="s">
        <v>98</v>
      </c>
    </row>
    <row r="764" spans="1:10" ht="39">
      <c r="A764" s="9" t="s">
        <v>27</v>
      </c>
      <c r="B764" s="2" t="s">
        <v>31</v>
      </c>
      <c r="C764" s="2">
        <v>3204</v>
      </c>
      <c r="D764" s="2">
        <v>282</v>
      </c>
      <c r="E764" s="2" t="str">
        <f>"1000001537"</f>
        <v>1000001537</v>
      </c>
      <c r="F764" s="2" t="str">
        <f>"INK CART:HP Item # C6614DN-HEW, No. 20 Ink Ctg, Black, (Yld 325) DeskJet 610/612/640/642/648 HP Fax 925"</f>
        <v>INK CART:HP Item # C6614DN-HEW, No. 20 Ink Ctg, Black, (Yld 325) DeskJet 610/612/640/642/648 HP Fax 925</v>
      </c>
      <c r="G764" s="3" t="str">
        <f t="shared" si="55"/>
        <v>EA</v>
      </c>
      <c r="H764" s="7">
        <v>35</v>
      </c>
      <c r="I764" s="2" t="str">
        <f t="shared" si="56"/>
        <v>44103105</v>
      </c>
      <c r="J764" s="10" t="s">
        <v>98</v>
      </c>
    </row>
    <row r="765" spans="1:10" ht="51.75">
      <c r="A765" s="24" t="s">
        <v>27</v>
      </c>
      <c r="B765" s="21" t="s">
        <v>31</v>
      </c>
      <c r="C765" s="21">
        <v>3204</v>
      </c>
      <c r="D765" s="21">
        <v>283</v>
      </c>
      <c r="E765" s="21" t="str">
        <f>"1000000081"</f>
        <v>1000000081</v>
      </c>
      <c r="F765" s="21" t="str">
        <f>"INK CART:HP Item # C6615DN-HEW, No. 15 Black Ink Cartridge for Hewlett Packard Printers, HP DeskJet 810C/812C/840/842, (Yld 415)"</f>
        <v>INK CART:HP Item # C6615DN-HEW, No. 15 Black Ink Cartridge for Hewlett Packard Printers, HP DeskJet 810C/812C/840/842, (Yld 415)</v>
      </c>
      <c r="G765" s="22" t="str">
        <f t="shared" si="55"/>
        <v>EA</v>
      </c>
      <c r="H765" s="23">
        <v>39.39</v>
      </c>
      <c r="I765" s="21" t="str">
        <f t="shared" si="56"/>
        <v>44103105</v>
      </c>
      <c r="J765" s="25" t="s">
        <v>98</v>
      </c>
    </row>
    <row r="766" spans="1:10" ht="39">
      <c r="A766" s="9" t="s">
        <v>27</v>
      </c>
      <c r="B766" s="2" t="s">
        <v>31</v>
      </c>
      <c r="C766" s="2">
        <v>3204</v>
      </c>
      <c r="D766" s="2">
        <v>284</v>
      </c>
      <c r="E766" s="2" t="str">
        <f>"1000001789"</f>
        <v>1000001789</v>
      </c>
      <c r="F766" s="2" t="str">
        <f>"INK CART:HP Item # C6625AN-HEW, No. 17 ink cartridge Tri-Color for Hewlett Packard Printers, HP DeskJet 840/842 (yield 430)"</f>
        <v>INK CART:HP Item # C6625AN-HEW, No. 17 ink cartridge Tri-Color for Hewlett Packard Printers, HP DeskJet 840/842 (yield 430)</v>
      </c>
      <c r="G766" s="3" t="str">
        <f t="shared" si="55"/>
        <v>EA</v>
      </c>
      <c r="H766" s="7">
        <v>38</v>
      </c>
      <c r="I766" s="2" t="str">
        <f t="shared" si="56"/>
        <v>44103105</v>
      </c>
      <c r="J766" s="10" t="s">
        <v>98</v>
      </c>
    </row>
    <row r="767" spans="1:10" ht="39">
      <c r="A767" s="24" t="s">
        <v>27</v>
      </c>
      <c r="B767" s="21" t="s">
        <v>31</v>
      </c>
      <c r="C767" s="21">
        <v>3204</v>
      </c>
      <c r="D767" s="21">
        <v>285</v>
      </c>
      <c r="E767" s="21" t="str">
        <f>"1000001534"</f>
        <v>1000001534</v>
      </c>
      <c r="F767" s="21" t="str">
        <f>"INK CART:HP Item # C6628AN-HEW, No. 19 Black Ink Cartridge (Yld 485) for Hewlett Packard Printers HP DeskJet 350/350CBi."</f>
        <v>INK CART:HP Item # C6628AN-HEW, No. 19 Black Ink Cartridge (Yld 485) for Hewlett Packard Printers HP DeskJet 350/350CBi.</v>
      </c>
      <c r="G767" s="22" t="str">
        <f t="shared" si="55"/>
        <v>EA</v>
      </c>
      <c r="H767" s="23">
        <v>39</v>
      </c>
      <c r="I767" s="21" t="str">
        <f t="shared" si="56"/>
        <v>44103105</v>
      </c>
      <c r="J767" s="25" t="s">
        <v>98</v>
      </c>
    </row>
    <row r="768" spans="1:10" ht="115.5">
      <c r="A768" s="9" t="s">
        <v>27</v>
      </c>
      <c r="B768" s="2" t="s">
        <v>31</v>
      </c>
      <c r="C768" s="2">
        <v>3204</v>
      </c>
      <c r="D768" s="2">
        <v>286</v>
      </c>
      <c r="E768" s="2" t="str">
        <f>"1000000854"</f>
        <v>1000000854</v>
      </c>
      <c r="F768" s="2" t="str">
        <f>"INK CART:HP Item # C6656AN-HEW, No. 56 Black Ink (yld 450) PSC 1210/1210v/1210xi/1350/ 2110/2175/2175v/2175xi/2210/2410/2510 Officejet 4110/6110 Digital Copier 410 Deskjet 450ci/450cbi/450/51150/5550/5650/5650w/ Photosmart 7150/7260/7350/7550/7660/7760/7"</f>
        <v>INK CART:HP Item # C6656AN-HEW, No. 56 Black Ink (yld 450) PSC 1210/1210v/1210xi/1350/ 2110/2175/2175v/2175xi/2210/2410/2510 Officejet 4110/6110 Digital Copier 410 Deskjet 450ci/450cbi/450/51150/5550/5650/5650w/ Photosmart 7150/7260/7350/7550/7660/7760/7</v>
      </c>
      <c r="G768" s="3" t="str">
        <f t="shared" si="55"/>
        <v>EA</v>
      </c>
      <c r="H768" s="7">
        <v>25.99</v>
      </c>
      <c r="I768" s="2" t="str">
        <f t="shared" si="56"/>
        <v>44103105</v>
      </c>
      <c r="J768" s="10" t="s">
        <v>98</v>
      </c>
    </row>
    <row r="769" spans="1:10" ht="102.75">
      <c r="A769" s="24" t="s">
        <v>27</v>
      </c>
      <c r="B769" s="21" t="s">
        <v>31</v>
      </c>
      <c r="C769" s="21">
        <v>3204</v>
      </c>
      <c r="D769" s="21">
        <v>287</v>
      </c>
      <c r="E769" s="21" t="str">
        <f>"1000000201"</f>
        <v>1000000201</v>
      </c>
      <c r="F769" s="21" t="str">
        <f>"INK CART:HP Item # C6657AN-HEW, # 57 Tri-Color Ink (Yld 450) PSC 1210/1210v/1210xi/1350/ 2110/2175/2175v/2175xi/2210/2410/2510 Officejet 4110/110 Digital Copier 410/ DeskJet 450ci/450cbi/450/51150/5550/5650/5650 w/Photosmart 7150/7260/7350/7550/7660/7760"</f>
        <v>INK CART:HP Item # C6657AN-HEW, # 57 Tri-Color Ink (Yld 450) PSC 1210/1210v/1210xi/1350/ 2110/2175/2175v/2175xi/2210/2410/2510 Officejet 4110/110 Digital Copier 410/ DeskJet 450ci/450cbi/450/51150/5550/5650/5650 w/Photosmart 7150/7260/7350/7550/7660/7760</v>
      </c>
      <c r="G769" s="22" t="str">
        <f t="shared" si="55"/>
        <v>EA</v>
      </c>
      <c r="H769" s="23">
        <v>43.99</v>
      </c>
      <c r="I769" s="21" t="str">
        <f t="shared" si="56"/>
        <v>44103105</v>
      </c>
      <c r="J769" s="25" t="s">
        <v>98</v>
      </c>
    </row>
    <row r="770" spans="1:10" ht="77.25">
      <c r="A770" s="9" t="s">
        <v>27</v>
      </c>
      <c r="B770" s="2" t="s">
        <v>31</v>
      </c>
      <c r="C770" s="2">
        <v>3204</v>
      </c>
      <c r="D770" s="2">
        <v>288</v>
      </c>
      <c r="E770" s="2" t="str">
        <f>"1000001939"</f>
        <v>1000001939</v>
      </c>
      <c r="F770" s="2" t="str">
        <f>"INK CART:HP Item # C6658AN-HEW, No. 58 Black InkJet Cartridge (450 yld) PSC 2110/ 2175/ 2175v/ 2175xi/ 2210 Officejet 6110/ 450ci/ 450cbi/ 450/ 51150/ 5550/ 5650 w/Photosmart 7150/ 7260/ 7350/ 7550/ 7660/ 7760/ 7960"</f>
        <v>INK CART:HP Item # C6658AN-HEW, No. 58 Black InkJet Cartridge (450 yld) PSC 2110/ 2175/ 2175v/ 2175xi/ 2210 Officejet 6110/ 450ci/ 450cbi/ 450/ 51150/ 5550/ 5650 w/Photosmart 7150/ 7260/ 7350/ 7550/ 7660/ 7760/ 7960</v>
      </c>
      <c r="G770" s="3" t="str">
        <f t="shared" si="55"/>
        <v>EA</v>
      </c>
      <c r="H770" s="7">
        <v>31.99</v>
      </c>
      <c r="I770" s="2" t="str">
        <f t="shared" si="56"/>
        <v>44103105</v>
      </c>
      <c r="J770" s="10" t="s">
        <v>98</v>
      </c>
    </row>
    <row r="771" spans="1:10" ht="39">
      <c r="A771" s="24" t="s">
        <v>27</v>
      </c>
      <c r="B771" s="21" t="s">
        <v>31</v>
      </c>
      <c r="C771" s="21">
        <v>3204</v>
      </c>
      <c r="D771" s="21">
        <v>289</v>
      </c>
      <c r="E771" s="21" t="str">
        <f>"1000017343"</f>
        <v>1000017343</v>
      </c>
      <c r="F771" s="21" t="str">
        <f>"INK CART:HP Item # C8721WN-HEW, HP No. 02 Black ink Photosmart 3210, 3310, 8250, Yields 660 pages"</f>
        <v>INK CART:HP Item # C8721WN-HEW, HP No. 02 Black ink Photosmart 3210, 3310, 8250, Yields 660 pages</v>
      </c>
      <c r="G771" s="22" t="str">
        <f t="shared" si="55"/>
        <v>EA</v>
      </c>
      <c r="H771" s="23">
        <v>21.99</v>
      </c>
      <c r="I771" s="21" t="str">
        <f t="shared" si="56"/>
        <v>44103105</v>
      </c>
      <c r="J771" s="25" t="s">
        <v>98</v>
      </c>
    </row>
    <row r="772" spans="1:10" ht="39">
      <c r="A772" s="9" t="s">
        <v>27</v>
      </c>
      <c r="B772" s="2" t="s">
        <v>31</v>
      </c>
      <c r="C772" s="2">
        <v>3204</v>
      </c>
      <c r="D772" s="2">
        <v>290</v>
      </c>
      <c r="E772" s="2" t="str">
        <f>"1000001508"</f>
        <v>1000001508</v>
      </c>
      <c r="F772" s="2" t="str">
        <f>"INK CART:HP Item # C8727AN-HEW, No. 27 Black ink cartridge for Hewlett Packard Printers DeskJet 3320/3420/3425 (Yld 200)"</f>
        <v>INK CART:HP Item # C8727AN-HEW, No. 27 Black ink cartridge for Hewlett Packard Printers DeskJet 3320/3420/3425 (Yld 200)</v>
      </c>
      <c r="G772" s="3" t="str">
        <f t="shared" si="55"/>
        <v>EA</v>
      </c>
      <c r="H772" s="7">
        <v>21.99</v>
      </c>
      <c r="I772" s="2" t="str">
        <f t="shared" si="56"/>
        <v>44103105</v>
      </c>
      <c r="J772" s="10" t="s">
        <v>98</v>
      </c>
    </row>
    <row r="773" spans="1:10" ht="39">
      <c r="A773" s="24" t="s">
        <v>27</v>
      </c>
      <c r="B773" s="21" t="s">
        <v>31</v>
      </c>
      <c r="C773" s="21">
        <v>3204</v>
      </c>
      <c r="D773" s="21">
        <v>291</v>
      </c>
      <c r="E773" s="21" t="str">
        <f>"1000001533"</f>
        <v>1000001533</v>
      </c>
      <c r="F773" s="21" t="str">
        <f>"INK CART:HP Item # C8728AN-HEW, No. 28 ink cartridge, Tri-Color toner for Hewlett Packard Printers DeskJet 3320/3420/3425 (Yld 190)"</f>
        <v>INK CART:HP Item # C8728AN-HEW, No. 28 ink cartridge, Tri-Color toner for Hewlett Packard Printers DeskJet 3320/3420/3425 (Yld 190)</v>
      </c>
      <c r="G773" s="22" t="str">
        <f t="shared" si="55"/>
        <v>EA</v>
      </c>
      <c r="H773" s="23">
        <v>27.99</v>
      </c>
      <c r="I773" s="21" t="str">
        <f t="shared" si="56"/>
        <v>44103105</v>
      </c>
      <c r="J773" s="25" t="s">
        <v>98</v>
      </c>
    </row>
    <row r="774" spans="1:10" ht="26.25">
      <c r="A774" s="9" t="s">
        <v>27</v>
      </c>
      <c r="B774" s="2" t="s">
        <v>31</v>
      </c>
      <c r="C774" s="2">
        <v>3204</v>
      </c>
      <c r="D774" s="2">
        <v>292</v>
      </c>
      <c r="E774" s="2" t="str">
        <f>"1000017370"</f>
        <v>1000017370</v>
      </c>
      <c r="F774" s="2" t="str">
        <f>"INK CART:HP Item # C8765WN, HP No. 94 Yields up to 480 pages BLK IJ cart Deskjet"</f>
        <v>INK CART:HP Item # C8765WN, HP No. 94 Yields up to 480 pages BLK IJ cart Deskjet</v>
      </c>
      <c r="G774" s="3" t="str">
        <f t="shared" ref="G774:G807" si="57">"EA"</f>
        <v>EA</v>
      </c>
      <c r="H774" s="7">
        <v>25.99</v>
      </c>
      <c r="I774" s="2" t="str">
        <f t="shared" si="56"/>
        <v>44103105</v>
      </c>
      <c r="J774" s="10" t="s">
        <v>98</v>
      </c>
    </row>
    <row r="775" spans="1:10" ht="39">
      <c r="A775" s="24" t="s">
        <v>27</v>
      </c>
      <c r="B775" s="21" t="s">
        <v>31</v>
      </c>
      <c r="C775" s="21">
        <v>3204</v>
      </c>
      <c r="D775" s="21">
        <v>293</v>
      </c>
      <c r="E775" s="21" t="str">
        <f>"1000000615"</f>
        <v>1000000615</v>
      </c>
      <c r="F775" s="21" t="str">
        <f>"INK CART:HP Item # C8766WN-HEW, No. 95 Tri-Color inkjet cartridge for Hewlett Packard Printers"</f>
        <v>INK CART:HP Item # C8766WN-HEW, No. 95 Tri-Color inkjet cartridge for Hewlett Packard Printers</v>
      </c>
      <c r="G775" s="22" t="str">
        <f t="shared" si="57"/>
        <v>EA</v>
      </c>
      <c r="H775" s="23">
        <v>31.99</v>
      </c>
      <c r="I775" s="21" t="str">
        <f t="shared" si="56"/>
        <v>44103105</v>
      </c>
      <c r="J775" s="25" t="s">
        <v>98</v>
      </c>
    </row>
    <row r="776" spans="1:10" ht="102.75">
      <c r="A776" s="9" t="s">
        <v>27</v>
      </c>
      <c r="B776" s="2" t="s">
        <v>31</v>
      </c>
      <c r="C776" s="2">
        <v>3204</v>
      </c>
      <c r="D776" s="2">
        <v>294</v>
      </c>
      <c r="E776" s="2" t="str">
        <f>"1000000069"</f>
        <v>1000000069</v>
      </c>
      <c r="F776" s="2" t="str">
        <f>"INK CART:HP Item # C8767WN-HEW, # 96 ink cartridge (Yld 860) for DeskJet 5740/5740xi/650/ 6520xi/6540/6540dt/6540xi/6840/6840dt/6840xi Officejet 6200/7310/7310xi/7410/7410xi Photo Smart 2610v/2610xi/2710/2710xi/8150/8150v/8150xi/8450/8450xi/PSC 2355"</f>
        <v>INK CART:HP Item # C8767WN-HEW, # 96 ink cartridge (Yld 860) for DeskJet 5740/5740xi/650/ 6520xi/6540/6540dt/6540xi/6840/6840dt/6840xi Officejet 6200/7310/7310xi/7410/7410xi Photo Smart 2610v/2610xi/2710/2710xi/8150/8150v/8150xi/8450/8450xi/PSC 2355</v>
      </c>
      <c r="G776" s="3" t="str">
        <f t="shared" si="57"/>
        <v>EA</v>
      </c>
      <c r="H776" s="7">
        <v>36.99</v>
      </c>
      <c r="I776" s="2" t="str">
        <f t="shared" si="56"/>
        <v>44103105</v>
      </c>
      <c r="J776" s="10" t="s">
        <v>98</v>
      </c>
    </row>
    <row r="777" spans="1:10" ht="26.25">
      <c r="A777" s="24" t="s">
        <v>27</v>
      </c>
      <c r="B777" s="21" t="s">
        <v>31</v>
      </c>
      <c r="C777" s="21">
        <v>3204</v>
      </c>
      <c r="D777" s="21">
        <v>295</v>
      </c>
      <c r="E777" s="21" t="str">
        <f>"1000017371"</f>
        <v>1000017371</v>
      </c>
      <c r="F777" s="21" t="str">
        <f>"INK CART:HP Item # C8771WN-HEW, HP No. 02 Dark Cyan ink,Photosmart 3210,3310,8250"</f>
        <v>INK CART:HP Item # C8771WN-HEW, HP No. 02 Dark Cyan ink,Photosmart 3210,3310,8250</v>
      </c>
      <c r="G777" s="22" t="str">
        <f t="shared" si="57"/>
        <v>EA</v>
      </c>
      <c r="H777" s="23">
        <v>11.99</v>
      </c>
      <c r="I777" s="21" t="str">
        <f t="shared" si="56"/>
        <v>44103105</v>
      </c>
      <c r="J777" s="25" t="s">
        <v>98</v>
      </c>
    </row>
    <row r="778" spans="1:10" ht="26.25">
      <c r="A778" s="9" t="s">
        <v>27</v>
      </c>
      <c r="B778" s="2" t="s">
        <v>31</v>
      </c>
      <c r="C778" s="2">
        <v>3204</v>
      </c>
      <c r="D778" s="2">
        <v>296</v>
      </c>
      <c r="E778" s="2" t="str">
        <f>"1000017372"</f>
        <v>1000017372</v>
      </c>
      <c r="F778" s="2" t="str">
        <f>"INK CART:HP Item # C8772WN-HEW, HP No. 02 Magenta ink Photosmart 3210,3310,8250"</f>
        <v>INK CART:HP Item # C8772WN-HEW, HP No. 02 Magenta ink Photosmart 3210,3310,8250</v>
      </c>
      <c r="G778" s="3" t="str">
        <f t="shared" si="57"/>
        <v>EA</v>
      </c>
      <c r="H778" s="7">
        <v>11.99</v>
      </c>
      <c r="I778" s="2" t="str">
        <f t="shared" si="56"/>
        <v>44103105</v>
      </c>
      <c r="J778" s="10" t="s">
        <v>98</v>
      </c>
    </row>
    <row r="779" spans="1:10" ht="26.25">
      <c r="A779" s="24" t="s">
        <v>27</v>
      </c>
      <c r="B779" s="21" t="s">
        <v>31</v>
      </c>
      <c r="C779" s="21">
        <v>3204</v>
      </c>
      <c r="D779" s="21">
        <v>297</v>
      </c>
      <c r="E779" s="21" t="str">
        <f>"1000017412"</f>
        <v>1000017412</v>
      </c>
      <c r="F779" s="21" t="str">
        <f>"INK CART:HP Item # C8773WN-HEW, HP No. 02 Yellow ink Photosmart 3210,3310,8250"</f>
        <v>INK CART:HP Item # C8773WN-HEW, HP No. 02 Yellow ink Photosmart 3210,3310,8250</v>
      </c>
      <c r="G779" s="22" t="str">
        <f t="shared" si="57"/>
        <v>EA</v>
      </c>
      <c r="H779" s="23">
        <v>11.99</v>
      </c>
      <c r="I779" s="21" t="str">
        <f t="shared" si="56"/>
        <v>44103105</v>
      </c>
      <c r="J779" s="25" t="s">
        <v>98</v>
      </c>
    </row>
    <row r="780" spans="1:10" ht="26.25">
      <c r="A780" s="9" t="s">
        <v>27</v>
      </c>
      <c r="B780" s="2" t="s">
        <v>31</v>
      </c>
      <c r="C780" s="2">
        <v>3204</v>
      </c>
      <c r="D780" s="2">
        <v>298</v>
      </c>
      <c r="E780" s="2" t="str">
        <f>"1000017413"</f>
        <v>1000017413</v>
      </c>
      <c r="F780" s="2" t="str">
        <f>"INK CART:HP Item # C8774WN-HEW, HP No. 02 Light Cyan ink Photosmart 3210,3310,8250"</f>
        <v>INK CART:HP Item # C8774WN-HEW, HP No. 02 Light Cyan ink Photosmart 3210,3310,8250</v>
      </c>
      <c r="G780" s="3" t="str">
        <f t="shared" si="57"/>
        <v>EA</v>
      </c>
      <c r="H780" s="7">
        <v>11.99</v>
      </c>
      <c r="I780" s="2" t="str">
        <f t="shared" si="56"/>
        <v>44103105</v>
      </c>
      <c r="J780" s="10" t="s">
        <v>98</v>
      </c>
    </row>
    <row r="781" spans="1:10" ht="39">
      <c r="A781" s="24" t="s">
        <v>27</v>
      </c>
      <c r="B781" s="21" t="s">
        <v>31</v>
      </c>
      <c r="C781" s="21">
        <v>3204</v>
      </c>
      <c r="D781" s="21">
        <v>299</v>
      </c>
      <c r="E781" s="21" t="str">
        <f>"1000017349"</f>
        <v>1000017349</v>
      </c>
      <c r="F781" s="21" t="str">
        <f>"INK CART:HP Item # C8775WN-HEW, HP No. 02 Light Magenta ink Photosmart 3210,3310,8250"</f>
        <v>INK CART:HP Item # C8775WN-HEW, HP No. 02 Light Magenta ink Photosmart 3210,3310,8250</v>
      </c>
      <c r="G781" s="22" t="str">
        <f t="shared" si="57"/>
        <v>EA</v>
      </c>
      <c r="H781" s="23">
        <v>11.99</v>
      </c>
      <c r="I781" s="21" t="str">
        <f t="shared" si="56"/>
        <v>44103105</v>
      </c>
      <c r="J781" s="25" t="s">
        <v>98</v>
      </c>
    </row>
    <row r="782" spans="1:10" ht="51.75">
      <c r="A782" s="9" t="s">
        <v>27</v>
      </c>
      <c r="B782" s="2" t="s">
        <v>31</v>
      </c>
      <c r="C782" s="2">
        <v>3204</v>
      </c>
      <c r="D782" s="2">
        <v>302</v>
      </c>
      <c r="E782" s="2" t="str">
        <f>"1000000749"</f>
        <v>1000000749</v>
      </c>
      <c r="F782" s="2" t="str">
        <f>"INK CART:HP Item # C9351AN-HEW,  No. 21 Black Photo ink (Yld 190) All-in-One Printers DeskJet , DeskJet, Officejet,  Fax Machines, and Photo Printers."</f>
        <v>INK CART:HP Item # C9351AN-HEW,  No. 21 Black Photo ink (Yld 190) All-in-One Printers DeskJet , DeskJet, Officejet,  Fax Machines, and Photo Printers.</v>
      </c>
      <c r="G782" s="3" t="str">
        <f t="shared" si="57"/>
        <v>EA</v>
      </c>
      <c r="H782" s="7">
        <v>15.99</v>
      </c>
      <c r="I782" s="2" t="str">
        <f t="shared" si="56"/>
        <v>44103105</v>
      </c>
      <c r="J782" s="10" t="s">
        <v>98</v>
      </c>
    </row>
    <row r="783" spans="1:10" ht="51.75">
      <c r="A783" s="24" t="s">
        <v>27</v>
      </c>
      <c r="B783" s="21" t="s">
        <v>31</v>
      </c>
      <c r="C783" s="21">
        <v>3204</v>
      </c>
      <c r="D783" s="21">
        <v>303</v>
      </c>
      <c r="E783" s="21" t="str">
        <f>"1000000064"</f>
        <v>1000000064</v>
      </c>
      <c r="F783" s="21" t="str">
        <f>"INK CART:HP Item # C9352AN-HEW, No. 22 Tri-Color Photo Ink (Yld 165) All-in-One Printers DeskJet, Officejet,Fax Machines, Inkjet Printers, and Photo Printers"</f>
        <v>INK CART:HP Item # C9352AN-HEW, No. 22 Tri-Color Photo Ink (Yld 165) All-in-One Printers DeskJet, Officejet,Fax Machines, Inkjet Printers, and Photo Printers</v>
      </c>
      <c r="G783" s="22" t="str">
        <f t="shared" si="57"/>
        <v>EA</v>
      </c>
      <c r="H783" s="23">
        <v>21.99</v>
      </c>
      <c r="I783" s="21" t="str">
        <f t="shared" si="56"/>
        <v>44103105</v>
      </c>
      <c r="J783" s="25" t="s">
        <v>98</v>
      </c>
    </row>
    <row r="784" spans="1:10" ht="26.25">
      <c r="A784" s="9" t="s">
        <v>27</v>
      </c>
      <c r="B784" s="2" t="s">
        <v>31</v>
      </c>
      <c r="C784" s="2">
        <v>3204</v>
      </c>
      <c r="D784" s="2">
        <v>304</v>
      </c>
      <c r="E784" s="2" t="str">
        <f>"1000017353"</f>
        <v>1000017353</v>
      </c>
      <c r="F784" s="2" t="str">
        <f>"INK CART:HP Item # C9359AN-HEW, HP No. 59 Gray Photo Inkjet 7960/7760/7660/245/145"</f>
        <v>INK CART:HP Item # C9359AN-HEW, HP No. 59 Gray Photo Inkjet 7960/7760/7660/245/145</v>
      </c>
      <c r="G784" s="3" t="str">
        <f t="shared" si="57"/>
        <v>EA</v>
      </c>
      <c r="H784" s="7">
        <v>28</v>
      </c>
      <c r="I784" s="2" t="str">
        <f t="shared" si="56"/>
        <v>44103105</v>
      </c>
      <c r="J784" s="10" t="s">
        <v>98</v>
      </c>
    </row>
    <row r="785" spans="1:10" ht="51.75">
      <c r="A785" s="24" t="s">
        <v>27</v>
      </c>
      <c r="B785" s="21" t="s">
        <v>31</v>
      </c>
      <c r="C785" s="21">
        <v>3204</v>
      </c>
      <c r="D785" s="21">
        <v>305</v>
      </c>
      <c r="E785" s="21" t="str">
        <f>"1000000504"</f>
        <v>1000000504</v>
      </c>
      <c r="F785" s="21" t="str">
        <f>"INK CART:HP Item # C9360AN-HEW, No. 102 Photo Gray Inkjet Cartridge designed for the HP Photosmart 8750 inkjet printers (23 ml yield)"</f>
        <v>INK CART:HP Item # C9360AN-HEW, No. 102 Photo Gray Inkjet Cartridge designed for the HP Photosmart 8750 inkjet printers (23 ml yield)</v>
      </c>
      <c r="G785" s="22" t="str">
        <f t="shared" si="57"/>
        <v>EA</v>
      </c>
      <c r="H785" s="23">
        <v>33.99</v>
      </c>
      <c r="I785" s="21" t="str">
        <f t="shared" si="56"/>
        <v>44103105</v>
      </c>
      <c r="J785" s="25" t="s">
        <v>98</v>
      </c>
    </row>
    <row r="786" spans="1:10" ht="26.25">
      <c r="A786" s="9" t="s">
        <v>27</v>
      </c>
      <c r="B786" s="2" t="s">
        <v>31</v>
      </c>
      <c r="C786" s="2">
        <v>3204</v>
      </c>
      <c r="D786" s="2">
        <v>306</v>
      </c>
      <c r="E786" s="2" t="str">
        <f>"1000017354"</f>
        <v>1000017354</v>
      </c>
      <c r="F786" s="2" t="str">
        <f>"INK CART:HP Item # C9361WN-HEW, HP #93 Tri color inkjet cartridge"</f>
        <v>INK CART:HP Item # C9361WN-HEW, HP #93 Tri color inkjet cartridge</v>
      </c>
      <c r="G786" s="3" t="str">
        <f t="shared" si="57"/>
        <v>EA</v>
      </c>
      <c r="H786" s="7">
        <v>25.99</v>
      </c>
      <c r="I786" s="2" t="str">
        <f t="shared" si="56"/>
        <v>44103105</v>
      </c>
      <c r="J786" s="10" t="s">
        <v>98</v>
      </c>
    </row>
    <row r="787" spans="1:10" ht="39">
      <c r="A787" s="24" t="s">
        <v>27</v>
      </c>
      <c r="B787" s="21" t="s">
        <v>31</v>
      </c>
      <c r="C787" s="21">
        <v>3204</v>
      </c>
      <c r="D787" s="21">
        <v>307</v>
      </c>
      <c r="E787" s="21" t="str">
        <f>"1000017355"</f>
        <v>1000017355</v>
      </c>
      <c r="F787" s="21" t="str">
        <f>"INK CART:HP Item # C9362WN-HEW, HP #92 Black ink. (Yld 220) Works with Deskjet, Officejet, Photosmart &amp; PSC units"</f>
        <v>INK CART:HP Item # C9362WN-HEW, HP #92 Black ink. (Yld 220) Works with Deskjet, Officejet, Photosmart &amp; PSC units</v>
      </c>
      <c r="G787" s="22" t="str">
        <f t="shared" si="57"/>
        <v>EA</v>
      </c>
      <c r="H787" s="23">
        <v>15.99</v>
      </c>
      <c r="I787" s="21" t="str">
        <f t="shared" si="56"/>
        <v>44103105</v>
      </c>
      <c r="J787" s="25" t="s">
        <v>98</v>
      </c>
    </row>
    <row r="788" spans="1:10" ht="64.5">
      <c r="A788" s="9" t="s">
        <v>27</v>
      </c>
      <c r="B788" s="2" t="s">
        <v>31</v>
      </c>
      <c r="C788" s="2">
        <v>3204</v>
      </c>
      <c r="D788" s="2">
        <v>308</v>
      </c>
      <c r="E788" s="2" t="str">
        <f>"1000001137"</f>
        <v>1000001137</v>
      </c>
      <c r="F788" s="2" t="str">
        <f>"INK CART:HP Item # C9363WN-HEW No. 97 ink cartridges for DeskJet 5740/ 5748/ 6520 / 6540/ 6543/ 6840/ 6840dt/ 6843/ Officejet 7310/ 7313/ 7410/ 7413/Photo Smart 2713/ 8150/ 8153/ 8158/ 8450/ 8453/ 8458"</f>
        <v>INK CART:HP Item # C9363WN-HEW No. 97 ink cartridges for DeskJet 5740/ 5748/ 6520 / 6540/ 6543/ 6840/ 6840dt/ 6843/ Officejet 7310/ 7313/ 7410/ 7413/Photo Smart 2713/ 8150/ 8153/ 8158/ 8450/ 8453/ 8458</v>
      </c>
      <c r="G788" s="3" t="str">
        <f t="shared" si="57"/>
        <v>EA</v>
      </c>
      <c r="H788" s="7">
        <v>43.99</v>
      </c>
      <c r="I788" s="2" t="str">
        <f t="shared" si="56"/>
        <v>44103105</v>
      </c>
      <c r="J788" s="10" t="s">
        <v>98</v>
      </c>
    </row>
    <row r="789" spans="1:10" ht="51.75">
      <c r="A789" s="24" t="s">
        <v>27</v>
      </c>
      <c r="B789" s="21" t="s">
        <v>31</v>
      </c>
      <c r="C789" s="21">
        <v>3204</v>
      </c>
      <c r="D789" s="21">
        <v>309</v>
      </c>
      <c r="E789" s="21" t="str">
        <f>"1000000616"</f>
        <v>1000000616</v>
      </c>
      <c r="F789" s="21" t="str">
        <f>"INK CART:HP Item # C9364WN-HEW,Hewlett Packard #98 Black ink for HP Printers Officejet, PhotoSmart, DeskJet, Photo Printers, Photosmart and Portable Printers."</f>
        <v>INK CART:HP Item # C9364WN-HEW,Hewlett Packard #98 Black ink for HP Printers Officejet, PhotoSmart, DeskJet, Photo Printers, Photosmart and Portable Printers.</v>
      </c>
      <c r="G789" s="22" t="str">
        <f t="shared" si="57"/>
        <v>EA</v>
      </c>
      <c r="H789" s="23">
        <v>25.99</v>
      </c>
      <c r="I789" s="21" t="str">
        <f t="shared" si="56"/>
        <v>44103105</v>
      </c>
      <c r="J789" s="25" t="s">
        <v>98</v>
      </c>
    </row>
    <row r="790" spans="1:10" ht="39">
      <c r="A790" s="9" t="s">
        <v>27</v>
      </c>
      <c r="B790" s="2" t="s">
        <v>31</v>
      </c>
      <c r="C790" s="2">
        <v>3204</v>
      </c>
      <c r="D790" s="2">
        <v>310</v>
      </c>
      <c r="E790" s="2" t="str">
        <f>"1000017356"</f>
        <v>1000017356</v>
      </c>
      <c r="F790" s="2" t="str">
        <f>"INK CART:HP Item # C9365AN-HEW, HP 101 Ink Cartridge. Photo Blue Inkjet Cartridge for Photosmart 8750, Cartridge. (Yld 13 ml)"</f>
        <v>INK CART:HP Item # C9365AN-HEW, HP 101 Ink Cartridge. Photo Blue Inkjet Cartridge for Photosmart 8750, Cartridge. (Yld 13 ml)</v>
      </c>
      <c r="G790" s="3" t="str">
        <f t="shared" si="57"/>
        <v>EA</v>
      </c>
      <c r="H790" s="7">
        <v>28.99</v>
      </c>
      <c r="I790" s="2" t="str">
        <f t="shared" si="56"/>
        <v>44103105</v>
      </c>
      <c r="J790" s="10" t="s">
        <v>98</v>
      </c>
    </row>
    <row r="791" spans="1:10" ht="26.25">
      <c r="A791" s="24" t="s">
        <v>27</v>
      </c>
      <c r="B791" s="21" t="s">
        <v>31</v>
      </c>
      <c r="C791" s="21">
        <v>3204</v>
      </c>
      <c r="D791" s="21">
        <v>311</v>
      </c>
      <c r="E791" s="21" t="str">
        <f>"1000000359"</f>
        <v>1000000359</v>
      </c>
      <c r="F791" s="21" t="str">
        <f>"INK CART:HP Item # C9368AN-HEW, Grey Photo No. 100 for Hewlett Packard Printers"</f>
        <v>INK CART:HP Item # C9368AN-HEW, Grey Photo No. 100 for Hewlett Packard Printers</v>
      </c>
      <c r="G791" s="22" t="str">
        <f t="shared" si="57"/>
        <v>EA</v>
      </c>
      <c r="H791" s="23">
        <v>29</v>
      </c>
      <c r="I791" s="21" t="str">
        <f t="shared" si="56"/>
        <v>44103105</v>
      </c>
      <c r="J791" s="25" t="s">
        <v>98</v>
      </c>
    </row>
    <row r="792" spans="1:10" ht="64.5">
      <c r="A792" s="9" t="s">
        <v>27</v>
      </c>
      <c r="B792" s="2" t="s">
        <v>31</v>
      </c>
      <c r="C792" s="2">
        <v>3204</v>
      </c>
      <c r="D792" s="2">
        <v>312</v>
      </c>
      <c r="E792" s="2" t="str">
        <f>"1000001817"</f>
        <v>1000001817</v>
      </c>
      <c r="F792" s="2" t="str">
        <f>"INK CART:HP Item # C9369WN-HEW, No.99 Photo ink cartridge for DeskJet 5740/6540/6840, Photosmart 2610/8150/8450, Officejet 6210/7310/7410 and PSC 2355 inkjet printers"</f>
        <v>INK CART:HP Item # C9369WN-HEW, No.99 Photo ink cartridge for DeskJet 5740/6540/6840, Photosmart 2610/8150/8450, Officejet 6210/7310/7410 and PSC 2355 inkjet printers</v>
      </c>
      <c r="G792" s="3" t="str">
        <f t="shared" si="57"/>
        <v>EA</v>
      </c>
      <c r="H792" s="7">
        <v>31.99</v>
      </c>
      <c r="I792" s="2" t="str">
        <f t="shared" si="56"/>
        <v>44103105</v>
      </c>
      <c r="J792" s="10" t="s">
        <v>98</v>
      </c>
    </row>
    <row r="793" spans="1:10" ht="77.25">
      <c r="A793" s="24" t="s">
        <v>27</v>
      </c>
      <c r="B793" s="21" t="s">
        <v>31</v>
      </c>
      <c r="C793" s="21">
        <v>3204</v>
      </c>
      <c r="D793" s="21">
        <v>313</v>
      </c>
      <c r="E793" s="21" t="str">
        <f>"1000000065"</f>
        <v>1000000065</v>
      </c>
      <c r="F793" s="21" t="str">
        <f>"INK CART:HP Item # C9385AN-HEW, No.88 Vivera ink Black (Yld 620) for HP All-in-One Printers Officejet Pro L7580/L7590/L7650/L7680/L7780, Officejet Pro K5400 Series, K550 Series, HP Wide Format Printers Officejet Pro K8600 Series"</f>
        <v>INK CART:HP Item # C9385AN-HEW, No.88 Vivera ink Black (Yld 620) for HP All-in-One Printers Officejet Pro L7580/L7590/L7650/L7680/L7780, Officejet Pro K5400 Series, K550 Series, HP Wide Format Printers Officejet Pro K8600 Series</v>
      </c>
      <c r="G793" s="22" t="str">
        <f t="shared" si="57"/>
        <v>EA</v>
      </c>
      <c r="H793" s="23">
        <v>24.99</v>
      </c>
      <c r="I793" s="21" t="str">
        <f t="shared" si="56"/>
        <v>44103105</v>
      </c>
      <c r="J793" s="25" t="s">
        <v>98</v>
      </c>
    </row>
    <row r="794" spans="1:10" ht="90">
      <c r="A794" s="9" t="s">
        <v>27</v>
      </c>
      <c r="B794" s="2" t="s">
        <v>31</v>
      </c>
      <c r="C794" s="2">
        <v>3204</v>
      </c>
      <c r="D794" s="2">
        <v>314</v>
      </c>
      <c r="E794" s="2" t="str">
        <f>"1000000067"</f>
        <v>1000000067</v>
      </c>
      <c r="F794" s="2" t="str">
        <f>"INK CART:HP Item # C9387AN-HEW, No.88 Vivera Ink Magenta (Yld 620) for HP All-in-One Printers Officejet Pro L7580/L7590/L7650/L7680/L7780 and Officejet Pro K5400 Series, K550 Series, HP Wide Format Printers Officejet Pro K8600 Series"</f>
        <v>INK CART:HP Item # C9387AN-HEW, No.88 Vivera Ink Magenta (Yld 620) for HP All-in-One Printers Officejet Pro L7580/L7590/L7650/L7680/L7780 and Officejet Pro K5400 Series, K550 Series, HP Wide Format Printers Officejet Pro K8600 Series</v>
      </c>
      <c r="G794" s="3" t="str">
        <f t="shared" si="57"/>
        <v>EA</v>
      </c>
      <c r="H794" s="7">
        <v>17.989999999999998</v>
      </c>
      <c r="I794" s="2" t="str">
        <f t="shared" si="56"/>
        <v>44103105</v>
      </c>
      <c r="J794" s="10" t="s">
        <v>98</v>
      </c>
    </row>
    <row r="795" spans="1:10" ht="90">
      <c r="A795" s="24" t="s">
        <v>27</v>
      </c>
      <c r="B795" s="21" t="s">
        <v>31</v>
      </c>
      <c r="C795" s="21">
        <v>3204</v>
      </c>
      <c r="D795" s="21">
        <v>315</v>
      </c>
      <c r="E795" s="21" t="str">
        <f>"1000000068"</f>
        <v>1000000068</v>
      </c>
      <c r="F795" s="21" t="str">
        <f>"INK CART:HP Item # C9388AN-HEW, No. 88 Vivera ink Yellow (Yld 620) for HP All-in-One Printers Officejet Pro L7580/L7590/L7650/L7680/L7780 and Officejet Pro K5400 Series, K550 Series, HP Wide Format Printers Officejet Pro K8600 Series"</f>
        <v>INK CART:HP Item # C9388AN-HEW, No. 88 Vivera ink Yellow (Yld 620) for HP All-in-One Printers Officejet Pro L7580/L7590/L7650/L7680/L7780 and Officejet Pro K5400 Series, K550 Series, HP Wide Format Printers Officejet Pro K8600 Series</v>
      </c>
      <c r="G795" s="22" t="str">
        <f t="shared" si="57"/>
        <v>EA</v>
      </c>
      <c r="H795" s="23">
        <v>17.989999999999998</v>
      </c>
      <c r="I795" s="21" t="str">
        <f t="shared" si="56"/>
        <v>44103105</v>
      </c>
      <c r="J795" s="25" t="s">
        <v>98</v>
      </c>
    </row>
    <row r="796" spans="1:10" ht="39">
      <c r="A796" s="9" t="s">
        <v>27</v>
      </c>
      <c r="B796" s="2" t="s">
        <v>31</v>
      </c>
      <c r="C796" s="2">
        <v>3204</v>
      </c>
      <c r="D796" s="2">
        <v>316</v>
      </c>
      <c r="E796" s="2" t="str">
        <f>"1000017396"</f>
        <v>1000017396</v>
      </c>
      <c r="F796" s="2" t="str">
        <f>"INK CART:HP Item # C9390A-HEW, HP No. 70 Light Cyan ink for Z3100 large format printer 130ml"</f>
        <v>INK CART:HP Item # C9390A-HEW, HP No. 70 Light Cyan ink for Z3100 large format printer 130ml</v>
      </c>
      <c r="G796" s="3" t="str">
        <f t="shared" si="57"/>
        <v>EA</v>
      </c>
      <c r="H796" s="7">
        <v>83.92</v>
      </c>
      <c r="I796" s="2" t="str">
        <f t="shared" si="56"/>
        <v>44103105</v>
      </c>
      <c r="J796" s="10" t="s">
        <v>98</v>
      </c>
    </row>
    <row r="797" spans="1:10" ht="39">
      <c r="A797" s="24" t="s">
        <v>27</v>
      </c>
      <c r="B797" s="21" t="s">
        <v>31</v>
      </c>
      <c r="C797" s="21">
        <v>3204</v>
      </c>
      <c r="D797" s="21">
        <v>317</v>
      </c>
      <c r="E797" s="21" t="str">
        <f>"1000017397"</f>
        <v>1000017397</v>
      </c>
      <c r="F797" s="21" t="str">
        <f>"INK CART:HP Item # C9391AN-HEW, HP No. 88 large Cyan Ink Cartridge TIJ 4.0 Inkjet cartridge with Vivera inks OfficeJet Pro K550"</f>
        <v>INK CART:HP Item # C9391AN-HEW, HP No. 88 large Cyan Ink Cartridge TIJ 4.0 Inkjet cartridge with Vivera inks OfficeJet Pro K550</v>
      </c>
      <c r="G797" s="22" t="str">
        <f t="shared" si="57"/>
        <v>EA</v>
      </c>
      <c r="H797" s="23">
        <v>27.99</v>
      </c>
      <c r="I797" s="21" t="str">
        <f t="shared" si="56"/>
        <v>44103105</v>
      </c>
      <c r="J797" s="25" t="s">
        <v>98</v>
      </c>
    </row>
    <row r="798" spans="1:10" ht="39">
      <c r="A798" s="9" t="s">
        <v>27</v>
      </c>
      <c r="B798" s="2" t="s">
        <v>31</v>
      </c>
      <c r="C798" s="2">
        <v>3204</v>
      </c>
      <c r="D798" s="2">
        <v>318</v>
      </c>
      <c r="E798" s="2" t="str">
        <f>"1000017398"</f>
        <v>1000017398</v>
      </c>
      <c r="F798" s="2" t="str">
        <f>"INK CART:HP Item # C9392-HEW, HP No. 88 large Magenta Ink Cartridge TIJ 4.0 Inkjet cartridge with Vivera inks OfficeJet Pro K550"</f>
        <v>INK CART:HP Item # C9392-HEW, HP No. 88 large Magenta Ink Cartridge TIJ 4.0 Inkjet cartridge with Vivera inks OfficeJet Pro K550</v>
      </c>
      <c r="G798" s="3" t="str">
        <f t="shared" si="57"/>
        <v>EA</v>
      </c>
      <c r="H798" s="7">
        <v>27.99</v>
      </c>
      <c r="I798" s="2" t="str">
        <f t="shared" si="56"/>
        <v>44103105</v>
      </c>
      <c r="J798" s="10" t="s">
        <v>98</v>
      </c>
    </row>
    <row r="799" spans="1:10" ht="51.75">
      <c r="A799" s="24" t="s">
        <v>27</v>
      </c>
      <c r="B799" s="21" t="s">
        <v>31</v>
      </c>
      <c r="C799" s="21">
        <v>3204</v>
      </c>
      <c r="D799" s="21">
        <v>319</v>
      </c>
      <c r="E799" s="21" t="str">
        <f>"1000017425"</f>
        <v>1000017425</v>
      </c>
      <c r="F799" s="21" t="str">
        <f>"INK CART:HP Item # C9393AN-HEW, HP No. 88 large Yellow Ink Cartridge TIJ 4.0 Inkjet OfficeJet Pro K550cartridge with Vivera inks OfficeJet Pro K550"</f>
        <v>INK CART:HP Item # C9393AN-HEW, HP No. 88 large Yellow Ink Cartridge TIJ 4.0 Inkjet OfficeJet Pro K550cartridge with Vivera inks OfficeJet Pro K550</v>
      </c>
      <c r="G799" s="22" t="str">
        <f t="shared" si="57"/>
        <v>EA</v>
      </c>
      <c r="H799" s="23">
        <v>27.99</v>
      </c>
      <c r="I799" s="21" t="str">
        <f t="shared" si="56"/>
        <v>44103105</v>
      </c>
      <c r="J799" s="25" t="s">
        <v>98</v>
      </c>
    </row>
    <row r="800" spans="1:10" ht="90">
      <c r="A800" s="9" t="s">
        <v>27</v>
      </c>
      <c r="B800" s="2" t="s">
        <v>31</v>
      </c>
      <c r="C800" s="2">
        <v>3204</v>
      </c>
      <c r="D800" s="2">
        <v>320</v>
      </c>
      <c r="E800" s="2" t="str">
        <f>"1000001940"</f>
        <v>1000001940</v>
      </c>
      <c r="F800" s="2" t="str">
        <f>"INK CART:HP Item # C9396AN-HEW: No. 88 Large Black Ink Cartridge (Yld 2450) for HP All-in-One Printers Officejet Pro L7580/L7590/L7650/L7680/L7780 and Officejet Pro K5400 Series, K550 Series, HP Wide Format Printers Officejet Pro K8600 Series"</f>
        <v>INK CART:HP Item # C9396AN-HEW: No. 88 Large Black Ink Cartridge (Yld 2450) for HP All-in-One Printers Officejet Pro L7580/L7590/L7650/L7680/L7780 and Officejet Pro K5400 Series, K550 Series, HP Wide Format Printers Officejet Pro K8600 Series</v>
      </c>
      <c r="G800" s="3" t="str">
        <f t="shared" si="57"/>
        <v>EA</v>
      </c>
      <c r="H800" s="7">
        <v>49.99</v>
      </c>
      <c r="I800" s="2" t="str">
        <f t="shared" si="56"/>
        <v>44103105</v>
      </c>
      <c r="J800" s="10" t="s">
        <v>98</v>
      </c>
    </row>
    <row r="801" spans="1:10" ht="39">
      <c r="A801" s="24" t="s">
        <v>27</v>
      </c>
      <c r="B801" s="21" t="s">
        <v>31</v>
      </c>
      <c r="C801" s="21">
        <v>3204</v>
      </c>
      <c r="D801" s="21">
        <v>321</v>
      </c>
      <c r="E801" s="21" t="str">
        <f>"1000017387"</f>
        <v>1000017387</v>
      </c>
      <c r="F801" s="21" t="str">
        <f>"INK CART:HP Item # C9397A-HEW, HP No. 72 photo black Vivera ink cartridge, 69 ML for T1100 and T610 inkjet printers."</f>
        <v>INK CART:HP Item # C9397A-HEW, HP No. 72 photo black Vivera ink cartridge, 69 ML for T1100 and T610 inkjet printers.</v>
      </c>
      <c r="G801" s="22" t="str">
        <f t="shared" si="57"/>
        <v>EA</v>
      </c>
      <c r="H801" s="23">
        <v>49.89</v>
      </c>
      <c r="I801" s="21" t="str">
        <f t="shared" si="56"/>
        <v>44103105</v>
      </c>
      <c r="J801" s="25" t="s">
        <v>98</v>
      </c>
    </row>
    <row r="802" spans="1:10" ht="39">
      <c r="A802" s="9" t="s">
        <v>27</v>
      </c>
      <c r="B802" s="2" t="s">
        <v>31</v>
      </c>
      <c r="C802" s="2">
        <v>3204</v>
      </c>
      <c r="D802" s="2">
        <v>322</v>
      </c>
      <c r="E802" s="2" t="str">
        <f>"1000017362"</f>
        <v>1000017362</v>
      </c>
      <c r="F802" s="2" t="str">
        <f>"INK CART:HP Item # C9398A-HEW, HP No. 72 Cyan Ink for DesignJet T1100 and T610 Printers, 69ml."</f>
        <v>INK CART:HP Item # C9398A-HEW, HP No. 72 Cyan Ink for DesignJet T1100 and T610 Printers, 69ml.</v>
      </c>
      <c r="G802" s="3" t="str">
        <f t="shared" si="57"/>
        <v>EA</v>
      </c>
      <c r="H802" s="7">
        <v>64</v>
      </c>
      <c r="I802" s="2" t="str">
        <f t="shared" si="56"/>
        <v>44103105</v>
      </c>
      <c r="J802" s="10" t="s">
        <v>98</v>
      </c>
    </row>
    <row r="803" spans="1:10" ht="39">
      <c r="A803" s="24" t="s">
        <v>27</v>
      </c>
      <c r="B803" s="21" t="s">
        <v>31</v>
      </c>
      <c r="C803" s="21">
        <v>3204</v>
      </c>
      <c r="D803" s="21">
        <v>323</v>
      </c>
      <c r="E803" s="21" t="str">
        <f>"1000017363"</f>
        <v>1000017363</v>
      </c>
      <c r="F803" s="21" t="str">
        <f>"INK CART:HP Item # C9399A-HEW, HP No. 72 Magenta Ink for DesignJet T1100 and T610 Printers, 69ml"</f>
        <v>INK CART:HP Item # C9399A-HEW, HP No. 72 Magenta Ink for DesignJet T1100 and T610 Printers, 69ml</v>
      </c>
      <c r="G803" s="22" t="str">
        <f t="shared" si="57"/>
        <v>EA</v>
      </c>
      <c r="H803" s="23">
        <v>64</v>
      </c>
      <c r="I803" s="21" t="str">
        <f t="shared" si="56"/>
        <v>44103105</v>
      </c>
      <c r="J803" s="25" t="s">
        <v>98</v>
      </c>
    </row>
    <row r="804" spans="1:10" ht="39">
      <c r="A804" s="9" t="s">
        <v>27</v>
      </c>
      <c r="B804" s="2" t="s">
        <v>31</v>
      </c>
      <c r="C804" s="2">
        <v>3204</v>
      </c>
      <c r="D804" s="2">
        <v>324</v>
      </c>
      <c r="E804" s="2" t="str">
        <f>"1000017364"</f>
        <v>1000017364</v>
      </c>
      <c r="F804" s="2" t="str">
        <f>"INK CART:HP Item # C9400A-HEW, HP No. 72 Yellow Ink for DesignJet T1100 and T610 Printers, 69ml."</f>
        <v>INK CART:HP Item # C9400A-HEW, HP No. 72 Yellow Ink for DesignJet T1100 and T610 Printers, 69ml.</v>
      </c>
      <c r="G804" s="3" t="str">
        <f t="shared" si="57"/>
        <v>EA</v>
      </c>
      <c r="H804" s="7">
        <v>64</v>
      </c>
      <c r="I804" s="2" t="str">
        <f t="shared" si="56"/>
        <v>44103105</v>
      </c>
      <c r="J804" s="10" t="s">
        <v>98</v>
      </c>
    </row>
    <row r="805" spans="1:10" ht="39">
      <c r="A805" s="24" t="s">
        <v>27</v>
      </c>
      <c r="B805" s="21" t="s">
        <v>31</v>
      </c>
      <c r="C805" s="21">
        <v>3204</v>
      </c>
      <c r="D805" s="21">
        <v>325</v>
      </c>
      <c r="E805" s="21" t="str">
        <f>"1000017365"</f>
        <v>1000017365</v>
      </c>
      <c r="F805" s="21" t="str">
        <f>"INK CART:HP Item # C9401A-HEW, HP No. 72 Gray ink for T1100 and T610 inkjet printers 69ml"</f>
        <v>INK CART:HP Item # C9401A-HEW, HP No. 72 Gray ink for T1100 and T610 inkjet printers 69ml</v>
      </c>
      <c r="G805" s="22" t="str">
        <f t="shared" si="57"/>
        <v>EA</v>
      </c>
      <c r="H805" s="23">
        <v>49.89</v>
      </c>
      <c r="I805" s="21" t="str">
        <f t="shared" si="56"/>
        <v>44103105</v>
      </c>
      <c r="J805" s="25" t="s">
        <v>98</v>
      </c>
    </row>
    <row r="806" spans="1:10" ht="26.25">
      <c r="A806" s="9" t="s">
        <v>27</v>
      </c>
      <c r="B806" s="2" t="s">
        <v>31</v>
      </c>
      <c r="C806" s="2">
        <v>3204</v>
      </c>
      <c r="D806" s="2">
        <v>326</v>
      </c>
      <c r="E806" s="2" t="str">
        <f>"1000017366"</f>
        <v>1000017366</v>
      </c>
      <c r="F806" s="2" t="str">
        <f>"INK CART:HP Item # C9426A-HEW, HP No. 85 Magenta Ink Cartridge for DesignJet 30,130, 90"</f>
        <v>INK CART:HP Item # C9426A-HEW, HP No. 85 Magenta Ink Cartridge for DesignJet 30,130, 90</v>
      </c>
      <c r="G806" s="3" t="str">
        <f t="shared" si="57"/>
        <v>EA</v>
      </c>
      <c r="H806" s="7">
        <v>40</v>
      </c>
      <c r="I806" s="2" t="str">
        <f t="shared" si="56"/>
        <v>44103105</v>
      </c>
      <c r="J806" s="10" t="s">
        <v>98</v>
      </c>
    </row>
    <row r="807" spans="1:10" ht="39">
      <c r="A807" s="24" t="s">
        <v>27</v>
      </c>
      <c r="B807" s="21" t="s">
        <v>31</v>
      </c>
      <c r="C807" s="21">
        <v>3204</v>
      </c>
      <c r="D807" s="21">
        <v>327</v>
      </c>
      <c r="E807" s="21" t="str">
        <f>"1000017367"</f>
        <v>1000017367</v>
      </c>
      <c r="F807" s="21" t="str">
        <f>"INK CART:HP Item # C9430A-HEW, HP No. 84 Black ink cartridge for Designjet, 3 per package"</f>
        <v>INK CART:HP Item # C9430A-HEW, HP No. 84 Black ink cartridge for Designjet, 3 per package</v>
      </c>
      <c r="G807" s="22" t="str">
        <f t="shared" si="57"/>
        <v>EA</v>
      </c>
      <c r="H807" s="23">
        <v>99</v>
      </c>
      <c r="I807" s="21" t="str">
        <f t="shared" si="56"/>
        <v>44103105</v>
      </c>
      <c r="J807" s="25" t="s">
        <v>98</v>
      </c>
    </row>
    <row r="808" spans="1:10" ht="39">
      <c r="A808" s="9" t="s">
        <v>27</v>
      </c>
      <c r="B808" s="2" t="s">
        <v>31</v>
      </c>
      <c r="C808" s="2">
        <v>3204</v>
      </c>
      <c r="D808" s="2">
        <v>328</v>
      </c>
      <c r="E808" s="2" t="str">
        <f>"1000017368"</f>
        <v>1000017368</v>
      </c>
      <c r="F808" s="2" t="str">
        <f>"INK CART:HP Item # C9431A-HEW, HP No. 85 Cyan ink cartridge for Designjet 30, 130, 90 HP printers, 3 per package"</f>
        <v>INK CART:HP Item # C9431A-HEW, HP No. 85 Cyan ink cartridge for Designjet 30, 130, 90 HP printers, 3 per package</v>
      </c>
      <c r="G808" s="3" t="str">
        <f>"PK"</f>
        <v>PK</v>
      </c>
      <c r="H808" s="7">
        <v>92</v>
      </c>
      <c r="I808" s="2" t="str">
        <f t="shared" ref="I808:I876" si="58">"44103105"</f>
        <v>44103105</v>
      </c>
      <c r="J808" s="10" t="s">
        <v>98</v>
      </c>
    </row>
    <row r="809" spans="1:10" ht="39">
      <c r="A809" s="24" t="s">
        <v>27</v>
      </c>
      <c r="B809" s="21" t="s">
        <v>31</v>
      </c>
      <c r="C809" s="21">
        <v>3204</v>
      </c>
      <c r="D809" s="21">
        <v>329</v>
      </c>
      <c r="E809" s="21" t="str">
        <f>"1000017369"</f>
        <v>1000017369</v>
      </c>
      <c r="F809" s="21" t="str">
        <f>"INK CART:HP Item # C9433A-HEW, No. 85 Yellow ink cartridge for Designjet 30,130,90 HP printers, 3 per package"</f>
        <v>INK CART:HP Item # C9433A-HEW, No. 85 Yellow ink cartridge for Designjet 30,130,90 HP printers, 3 per package</v>
      </c>
      <c r="G809" s="22" t="str">
        <f>"PK"</f>
        <v>PK</v>
      </c>
      <c r="H809" s="23">
        <v>103</v>
      </c>
      <c r="I809" s="21" t="str">
        <f t="shared" si="58"/>
        <v>44103105</v>
      </c>
      <c r="J809" s="25" t="s">
        <v>98</v>
      </c>
    </row>
    <row r="810" spans="1:10" ht="39">
      <c r="A810" s="9" t="s">
        <v>27</v>
      </c>
      <c r="B810" s="2" t="s">
        <v>31</v>
      </c>
      <c r="C810" s="2">
        <v>3204</v>
      </c>
      <c r="D810" s="2">
        <v>330</v>
      </c>
      <c r="E810" s="2" t="str">
        <f>"1000017409"</f>
        <v>1000017409</v>
      </c>
      <c r="F810" s="2" t="str">
        <f>"INK CART:HP Item # C9434A-HEW, No. 85 Light Cyan ink cartridge for Designjet 30,130,90 HP printers, 3 per package"</f>
        <v>INK CART:HP Item # C9434A-HEW, No. 85 Light Cyan ink cartridge for Designjet 30,130,90 HP printers, 3 per package</v>
      </c>
      <c r="G810" s="3" t="str">
        <f>"PK"</f>
        <v>PK</v>
      </c>
      <c r="H810" s="7">
        <v>103</v>
      </c>
      <c r="I810" s="2" t="str">
        <f t="shared" si="58"/>
        <v>44103105</v>
      </c>
      <c r="J810" s="10" t="s">
        <v>98</v>
      </c>
    </row>
    <row r="811" spans="1:10" ht="26.25">
      <c r="A811" s="24" t="s">
        <v>27</v>
      </c>
      <c r="B811" s="21" t="s">
        <v>31</v>
      </c>
      <c r="C811" s="21">
        <v>3204</v>
      </c>
      <c r="D811" s="21">
        <v>331</v>
      </c>
      <c r="E811" s="21" t="str">
        <f>"1000000671"</f>
        <v>1000000671</v>
      </c>
      <c r="F811" s="21" t="str">
        <f>"INK CART:HP Item #C9435A, Light Magenta No. 85 Ink for DesignJet 30,90, and 130, 3 pk"</f>
        <v>INK CART:HP Item #C9435A, Light Magenta No. 85 Ink for DesignJet 30,90, and 130, 3 pk</v>
      </c>
      <c r="G811" s="22" t="str">
        <f>"PK"</f>
        <v>PK</v>
      </c>
      <c r="H811" s="23">
        <v>103</v>
      </c>
      <c r="I811" s="21" t="str">
        <f t="shared" si="58"/>
        <v>44103105</v>
      </c>
      <c r="J811" s="25" t="s">
        <v>98</v>
      </c>
    </row>
    <row r="812" spans="1:10" ht="39">
      <c r="A812" s="9" t="s">
        <v>27</v>
      </c>
      <c r="B812" s="2" t="s">
        <v>31</v>
      </c>
      <c r="C812" s="2">
        <v>3204</v>
      </c>
      <c r="D812" s="2">
        <v>332</v>
      </c>
      <c r="E812" s="2" t="str">
        <f>"1000017410"</f>
        <v>1000017410</v>
      </c>
      <c r="F812" s="2" t="str">
        <f>"INK CART:HP Item # C9448A-HEW, HP No. 70 matte black ink for Z3100 large format printer 130ml"</f>
        <v>INK CART:HP Item # C9448A-HEW, HP No. 70 matte black ink for Z3100 large format printer 130ml</v>
      </c>
      <c r="G812" s="3" t="str">
        <f t="shared" ref="G812:G828" si="59">"EA"</f>
        <v>EA</v>
      </c>
      <c r="H812" s="7">
        <v>83.92</v>
      </c>
      <c r="I812" s="2" t="str">
        <f t="shared" si="58"/>
        <v>44103105</v>
      </c>
      <c r="J812" s="10" t="s">
        <v>98</v>
      </c>
    </row>
    <row r="813" spans="1:10" ht="39">
      <c r="A813" s="24" t="s">
        <v>27</v>
      </c>
      <c r="B813" s="21" t="s">
        <v>31</v>
      </c>
      <c r="C813" s="21">
        <v>3204</v>
      </c>
      <c r="D813" s="21">
        <v>333</v>
      </c>
      <c r="E813" s="21" t="str">
        <f>"1000017411"</f>
        <v>1000017411</v>
      </c>
      <c r="F813" s="21" t="str">
        <f>"INK CART:HP Item # C9449A-HEW, HP No. 70 photo black ink for Z3100 large format printer 130ml"</f>
        <v>INK CART:HP Item # C9449A-HEW, HP No. 70 photo black ink for Z3100 large format printer 130ml</v>
      </c>
      <c r="G813" s="22" t="str">
        <f t="shared" si="59"/>
        <v>EA</v>
      </c>
      <c r="H813" s="23">
        <v>78</v>
      </c>
      <c r="I813" s="21" t="str">
        <f t="shared" si="58"/>
        <v>44103105</v>
      </c>
      <c r="J813" s="25" t="s">
        <v>98</v>
      </c>
    </row>
    <row r="814" spans="1:10" ht="26.25">
      <c r="A814" s="9" t="s">
        <v>27</v>
      </c>
      <c r="B814" s="2" t="s">
        <v>31</v>
      </c>
      <c r="C814" s="2">
        <v>3204</v>
      </c>
      <c r="D814" s="2">
        <v>334</v>
      </c>
      <c r="E814" s="2" t="str">
        <f>"1000017437"</f>
        <v>1000017437</v>
      </c>
      <c r="F814" s="2" t="str">
        <f>"INK CART:HP Item # C9450A-HEW, HP No. 70 Gray ink for Z3100 large format printer 130ml"</f>
        <v>INK CART:HP Item # C9450A-HEW, HP No. 70 Gray ink for Z3100 large format printer 130ml</v>
      </c>
      <c r="G814" s="3" t="str">
        <f t="shared" si="59"/>
        <v>EA</v>
      </c>
      <c r="H814" s="7">
        <v>83.92</v>
      </c>
      <c r="I814" s="2" t="str">
        <f t="shared" si="58"/>
        <v>44103105</v>
      </c>
      <c r="J814" s="10" t="s">
        <v>98</v>
      </c>
    </row>
    <row r="815" spans="1:10" ht="39">
      <c r="A815" s="24" t="s">
        <v>27</v>
      </c>
      <c r="B815" s="21" t="s">
        <v>31</v>
      </c>
      <c r="C815" s="21">
        <v>3204</v>
      </c>
      <c r="D815" s="21">
        <v>335</v>
      </c>
      <c r="E815" s="21" t="str">
        <f>"1000017388"</f>
        <v>1000017388</v>
      </c>
      <c r="F815" s="21" t="str">
        <f>"INK CART:HP Item # C9451A-HEW, HP No. 70 Light Gray ink for Z3100 large format printer 130 ml"</f>
        <v>INK CART:HP Item # C9451A-HEW, HP No. 70 Light Gray ink for Z3100 large format printer 130 ml</v>
      </c>
      <c r="G815" s="22" t="str">
        <f t="shared" si="59"/>
        <v>EA</v>
      </c>
      <c r="H815" s="23">
        <v>83.92</v>
      </c>
      <c r="I815" s="21" t="str">
        <f t="shared" si="58"/>
        <v>44103105</v>
      </c>
      <c r="J815" s="25" t="s">
        <v>98</v>
      </c>
    </row>
    <row r="816" spans="1:10" ht="39">
      <c r="A816" s="9" t="s">
        <v>27</v>
      </c>
      <c r="B816" s="2" t="s">
        <v>31</v>
      </c>
      <c r="C816" s="2">
        <v>3204</v>
      </c>
      <c r="D816" s="2">
        <v>336</v>
      </c>
      <c r="E816" s="2" t="str">
        <f>"1000017389"</f>
        <v>1000017389</v>
      </c>
      <c r="F816" s="2" t="str">
        <f>"INK CART:HP Item # C9453A-HEW, HP No. 70 Magenta ink for Z3100 large format printer 130 ml"</f>
        <v>INK CART:HP Item # C9453A-HEW, HP No. 70 Magenta ink for Z3100 large format printer 130 ml</v>
      </c>
      <c r="G816" s="3" t="str">
        <f t="shared" si="59"/>
        <v>EA</v>
      </c>
      <c r="H816" s="7">
        <v>83.92</v>
      </c>
      <c r="I816" s="2" t="str">
        <f t="shared" si="58"/>
        <v>44103105</v>
      </c>
      <c r="J816" s="10" t="s">
        <v>98</v>
      </c>
    </row>
    <row r="817" spans="1:10" ht="39">
      <c r="A817" s="24" t="s">
        <v>27</v>
      </c>
      <c r="B817" s="21" t="s">
        <v>31</v>
      </c>
      <c r="C817" s="21">
        <v>3204</v>
      </c>
      <c r="D817" s="21">
        <v>337</v>
      </c>
      <c r="E817" s="21" t="str">
        <f>"1000017390"</f>
        <v>1000017390</v>
      </c>
      <c r="F817" s="21" t="str">
        <f>"INK CART:HP Item # C9454A-HEW, HP No. 70 Yellow ink for Z3100 large format printer 130ml"</f>
        <v>INK CART:HP Item # C9454A-HEW, HP No. 70 Yellow ink for Z3100 large format printer 130ml</v>
      </c>
      <c r="G817" s="22" t="str">
        <f t="shared" si="59"/>
        <v>EA</v>
      </c>
      <c r="H817" s="23">
        <v>83.92</v>
      </c>
      <c r="I817" s="21" t="str">
        <f t="shared" si="58"/>
        <v>44103105</v>
      </c>
      <c r="J817" s="25" t="s">
        <v>98</v>
      </c>
    </row>
    <row r="818" spans="1:10" ht="39">
      <c r="A818" s="9" t="s">
        <v>27</v>
      </c>
      <c r="B818" s="2" t="s">
        <v>31</v>
      </c>
      <c r="C818" s="2">
        <v>3204</v>
      </c>
      <c r="D818" s="2">
        <v>338</v>
      </c>
      <c r="E818" s="2" t="str">
        <f>"1000017391"</f>
        <v>1000017391</v>
      </c>
      <c r="F818" s="2" t="str">
        <f>"INK CART:HP Item # C9455A-HEW, HP No. 70 Light Magenta ink for Z3100 large format printer 130ml"</f>
        <v>INK CART:HP Item # C9455A-HEW, HP No. 70 Light Magenta ink for Z3100 large format printer 130ml</v>
      </c>
      <c r="G818" s="3" t="str">
        <f t="shared" si="59"/>
        <v>EA</v>
      </c>
      <c r="H818" s="7">
        <v>83.92</v>
      </c>
      <c r="I818" s="2" t="str">
        <f t="shared" si="58"/>
        <v>44103105</v>
      </c>
      <c r="J818" s="10" t="s">
        <v>98</v>
      </c>
    </row>
    <row r="819" spans="1:10" ht="39">
      <c r="A819" s="24" t="s">
        <v>27</v>
      </c>
      <c r="B819" s="21" t="s">
        <v>31</v>
      </c>
      <c r="C819" s="21">
        <v>3204</v>
      </c>
      <c r="D819" s="21">
        <v>339</v>
      </c>
      <c r="E819" s="21" t="str">
        <f>"1000017392"</f>
        <v>1000017392</v>
      </c>
      <c r="F819" s="21" t="str">
        <f>"INK CART:HP Item # C9456A-HEW, HP No. 70 Red ink 130 ml for A2100 and Z3100 large format printer"</f>
        <v>INK CART:HP Item # C9456A-HEW, HP No. 70 Red ink 130 ml for A2100 and Z3100 large format printer</v>
      </c>
      <c r="G819" s="22" t="str">
        <f t="shared" si="59"/>
        <v>EA</v>
      </c>
      <c r="H819" s="23">
        <v>83.92</v>
      </c>
      <c r="I819" s="21" t="str">
        <f t="shared" si="58"/>
        <v>44103105</v>
      </c>
      <c r="J819" s="25" t="s">
        <v>98</v>
      </c>
    </row>
    <row r="820" spans="1:10" ht="39">
      <c r="A820" s="9" t="s">
        <v>27</v>
      </c>
      <c r="B820" s="2" t="s">
        <v>31</v>
      </c>
      <c r="C820" s="2">
        <v>3204</v>
      </c>
      <c r="D820" s="2">
        <v>340</v>
      </c>
      <c r="E820" s="2" t="str">
        <f>"1000016919"</f>
        <v>1000016919</v>
      </c>
      <c r="F820" s="2" t="str">
        <f>"INK CART:HP Item # C9457A-HEW, HP No. 70 Green ink for Z3100 large format printer 130 ml"</f>
        <v>INK CART:HP Item # C9457A-HEW, HP No. 70 Green ink for Z3100 large format printer 130 ml</v>
      </c>
      <c r="G820" s="3" t="str">
        <f t="shared" si="59"/>
        <v>EA</v>
      </c>
      <c r="H820" s="7">
        <v>83.92</v>
      </c>
      <c r="I820" s="2" t="str">
        <f t="shared" si="58"/>
        <v>44103105</v>
      </c>
      <c r="J820" s="10" t="s">
        <v>98</v>
      </c>
    </row>
    <row r="821" spans="1:10" ht="39">
      <c r="A821" s="24" t="s">
        <v>27</v>
      </c>
      <c r="B821" s="21" t="s">
        <v>31</v>
      </c>
      <c r="C821" s="21">
        <v>3204</v>
      </c>
      <c r="D821" s="21">
        <v>341</v>
      </c>
      <c r="E821" s="21" t="str">
        <f>"1000017393"</f>
        <v>1000017393</v>
      </c>
      <c r="F821" s="21" t="str">
        <f>"INK CART:HP Item # C9458A-HEW, HP No. 70 Blue ink for Z2100 &amp; Z3100 large format printer 130ml"</f>
        <v>INK CART:HP Item # C9458A-HEW, HP No. 70 Blue ink for Z2100 &amp; Z3100 large format printer 130ml</v>
      </c>
      <c r="G821" s="22" t="str">
        <f t="shared" si="59"/>
        <v>EA</v>
      </c>
      <c r="H821" s="23">
        <v>83.92</v>
      </c>
      <c r="I821" s="21" t="str">
        <f t="shared" si="58"/>
        <v>44103105</v>
      </c>
      <c r="J821" s="25" t="s">
        <v>98</v>
      </c>
    </row>
    <row r="822" spans="1:10" ht="39">
      <c r="A822" s="9" t="s">
        <v>27</v>
      </c>
      <c r="B822" s="2" t="s">
        <v>31</v>
      </c>
      <c r="C822" s="2">
        <v>3204</v>
      </c>
      <c r="D822" s="2">
        <v>342</v>
      </c>
      <c r="E822" s="2" t="str">
        <f>"1000017394"</f>
        <v>1000017394</v>
      </c>
      <c r="F822" s="2" t="str">
        <f>"INK CART:HP Item # C9459A-HEW, HP No. 70 Gloss Enhancer for Designjet Z2100 &amp; Z3100 series"</f>
        <v>INK CART:HP Item # C9459A-HEW, HP No. 70 Gloss Enhancer for Designjet Z2100 &amp; Z3100 series</v>
      </c>
      <c r="G822" s="3" t="str">
        <f t="shared" si="59"/>
        <v>EA</v>
      </c>
      <c r="H822" s="7">
        <v>70</v>
      </c>
      <c r="I822" s="2" t="str">
        <f t="shared" si="58"/>
        <v>44103105</v>
      </c>
      <c r="J822" s="10" t="s">
        <v>98</v>
      </c>
    </row>
    <row r="823" spans="1:10" ht="51.75">
      <c r="A823" s="24" t="s">
        <v>27</v>
      </c>
      <c r="B823" s="21" t="s">
        <v>31</v>
      </c>
      <c r="C823" s="21">
        <v>3204</v>
      </c>
      <c r="D823" s="21">
        <v>343</v>
      </c>
      <c r="E823" s="21" t="str">
        <f>"1000017423"</f>
        <v>1000017423</v>
      </c>
      <c r="F823" s="21" t="str">
        <f>"INK CART:HP Item # CB304AN-HEW, HP No. 110 tri-color Vivera ink cartridge, for Photosmart A432,A433, A434, A436, A516, A616, and A716 printers"</f>
        <v>INK CART:HP Item # CB304AN-HEW, HP No. 110 tri-color Vivera ink cartridge, for Photosmart A432,A433, A434, A436, A516, A616, and A716 printers</v>
      </c>
      <c r="G823" s="22" t="str">
        <f t="shared" si="59"/>
        <v>EA</v>
      </c>
      <c r="H823" s="23">
        <v>32</v>
      </c>
      <c r="I823" s="21" t="str">
        <f t="shared" si="58"/>
        <v>44103105</v>
      </c>
      <c r="J823" s="25" t="s">
        <v>98</v>
      </c>
    </row>
    <row r="824" spans="1:10" ht="26.25">
      <c r="A824" s="9" t="s">
        <v>27</v>
      </c>
      <c r="B824" s="2" t="s">
        <v>31</v>
      </c>
      <c r="C824" s="2">
        <v>3204</v>
      </c>
      <c r="D824" s="2">
        <v>344</v>
      </c>
      <c r="E824" s="2" t="str">
        <f>"1000017424"</f>
        <v>1000017424</v>
      </c>
      <c r="F824" s="2" t="str">
        <f>"INK CART:HP Item # CB334AN-HEW, HP No. 54 Black ink for DeskJet F4140, F4135, (Yld 600)"</f>
        <v>INK CART:HP Item # CB334AN-HEW, HP No. 54 Black ink for DeskJet F4140, F4135, (Yld 600)</v>
      </c>
      <c r="G824" s="3" t="str">
        <f t="shared" si="59"/>
        <v>EA</v>
      </c>
      <c r="H824" s="7">
        <v>36.99</v>
      </c>
      <c r="I824" s="2" t="str">
        <f t="shared" si="58"/>
        <v>44103105</v>
      </c>
      <c r="J824" s="10" t="s">
        <v>98</v>
      </c>
    </row>
    <row r="825" spans="1:10" ht="51.75">
      <c r="A825" s="24" t="s">
        <v>27</v>
      </c>
      <c r="B825" s="21" t="s">
        <v>31</v>
      </c>
      <c r="C825" s="21">
        <v>3204</v>
      </c>
      <c r="D825" s="21">
        <v>345</v>
      </c>
      <c r="E825" s="21" t="str">
        <f>"1000017401"</f>
        <v>1000017401</v>
      </c>
      <c r="F825" s="21" t="str">
        <f>"INK CART:HP Item # CB335WN-HEW, HP No. 74 Black inkjet cartridge HP Deskjet-Officejet-Photosmart C4200| D4200| C4300| C5200| J5700 series. (Yld 200 pages)"</f>
        <v>INK CART:HP Item # CB335WN-HEW, HP No. 74 Black inkjet cartridge HP Deskjet-Officejet-Photosmart C4200| D4200| C4300| C5200| J5700 series. (Yld 200 pages)</v>
      </c>
      <c r="G825" s="22" t="str">
        <f t="shared" si="59"/>
        <v>EA</v>
      </c>
      <c r="H825" s="23">
        <v>15.99</v>
      </c>
      <c r="I825" s="21" t="str">
        <f t="shared" si="58"/>
        <v>44103105</v>
      </c>
      <c r="J825" s="25" t="s">
        <v>98</v>
      </c>
    </row>
    <row r="826" spans="1:10" ht="64.5">
      <c r="A826" s="9" t="s">
        <v>27</v>
      </c>
      <c r="B826" s="2" t="s">
        <v>31</v>
      </c>
      <c r="C826" s="2">
        <v>3204</v>
      </c>
      <c r="D826" s="2">
        <v>346</v>
      </c>
      <c r="E826" s="2" t="str">
        <f>"1000017402"</f>
        <v>1000017402</v>
      </c>
      <c r="F826" s="2" t="str">
        <f>"INK CART:HP Item # CB336WN-HEW, HP 74XL Black ink (Yld 750) for HP officejet J5700 / J5725 / J5730 / J5735 / J5738 / J5740 / J5750 / J5780 / J5783 / J5785 / J5788 / J5790 inkjet printers"</f>
        <v>INK CART:HP Item # CB336WN-HEW, HP 74XL Black ink (Yld 750) for HP officejet J5700 / J5725 / J5730 / J5735 / J5738 / J5740 / J5750 / J5780 / J5783 / J5785 / J5788 / J5790 inkjet printers</v>
      </c>
      <c r="G826" s="3" t="str">
        <f t="shared" si="59"/>
        <v>EA</v>
      </c>
      <c r="H826" s="7">
        <v>41.99</v>
      </c>
      <c r="I826" s="2" t="str">
        <f t="shared" si="58"/>
        <v>44103105</v>
      </c>
      <c r="J826" s="10" t="s">
        <v>98</v>
      </c>
    </row>
    <row r="827" spans="1:10" ht="51.75">
      <c r="A827" s="24" t="s">
        <v>27</v>
      </c>
      <c r="B827" s="21" t="s">
        <v>31</v>
      </c>
      <c r="C827" s="21">
        <v>3204</v>
      </c>
      <c r="D827" s="21">
        <v>347</v>
      </c>
      <c r="E827" s="21" t="str">
        <f>"1000017403"</f>
        <v>1000017403</v>
      </c>
      <c r="F827" s="21" t="str">
        <f>"INK CART:HP Item # CB337WN-HEW, HP No. 75 tricolor inkjet cartridge for HP Deskjet Officejet Photosmart C4200| D4200| C4300| C5200| J5700 series.(Yld 170 pgs)"</f>
        <v>INK CART:HP Item # CB337WN-HEW, HP No. 75 tricolor inkjet cartridge for HP Deskjet Officejet Photosmart C4200| D4200| C4300| C5200| J5700 series.(Yld 170 pgs)</v>
      </c>
      <c r="G827" s="22" t="str">
        <f t="shared" si="59"/>
        <v>EA</v>
      </c>
      <c r="H827" s="23">
        <v>20.99</v>
      </c>
      <c r="I827" s="21" t="str">
        <f t="shared" si="58"/>
        <v>44103105</v>
      </c>
      <c r="J827" s="25" t="s">
        <v>98</v>
      </c>
    </row>
    <row r="828" spans="1:10" ht="64.5">
      <c r="A828" s="9" t="s">
        <v>27</v>
      </c>
      <c r="B828" s="2" t="s">
        <v>31</v>
      </c>
      <c r="C828" s="2">
        <v>3204</v>
      </c>
      <c r="D828" s="2">
        <v>348</v>
      </c>
      <c r="E828" s="2" t="str">
        <f>"1000017404"</f>
        <v>1000017404</v>
      </c>
      <c r="F828" s="2" t="str">
        <f>"INK CART:HP Item # CB338WN-HEW, HP 75XL Tri-Color ink (Yld 520) for OfficeJet, HP All-in-One Printers, Officejet, Photosmart, HP Inkjet Printers Deskjet, and HP Photo Printers Deskjet Series"</f>
        <v>INK CART:HP Item # CB338WN-HEW, HP 75XL Tri-Color ink (Yld 520) for OfficeJet, HP All-in-One Printers, Officejet, Photosmart, HP Inkjet Printers Deskjet, and HP Photo Printers Deskjet Series</v>
      </c>
      <c r="G828" s="3" t="str">
        <f t="shared" si="59"/>
        <v>EA</v>
      </c>
      <c r="H828" s="7">
        <v>49.99</v>
      </c>
      <c r="I828" s="2" t="str">
        <f t="shared" si="58"/>
        <v>44103105</v>
      </c>
      <c r="J828" s="10" t="s">
        <v>98</v>
      </c>
    </row>
    <row r="829" spans="1:10" ht="39">
      <c r="A829" s="24" t="s">
        <v>27</v>
      </c>
      <c r="B829" s="21" t="s">
        <v>31</v>
      </c>
      <c r="C829" s="21">
        <v>3204</v>
      </c>
      <c r="D829" s="21">
        <v>349</v>
      </c>
      <c r="E829" s="21" t="str">
        <f>"1000017405"</f>
        <v>1000017405</v>
      </c>
      <c r="F829" s="21" t="str">
        <f>"INK CART:HP Item # CB339A-HEW, HP No. 70 matte black 130ML twin pack for Z2100 and Z3100 printers"</f>
        <v>INK CART:HP Item # CB339A-HEW, HP No. 70 matte black 130ML twin pack for Z2100 and Z3100 printers</v>
      </c>
      <c r="G829" s="22" t="str">
        <f t="shared" ref="G829:G838" si="60">"PK"</f>
        <v>PK</v>
      </c>
      <c r="H829" s="23">
        <v>119</v>
      </c>
      <c r="I829" s="21" t="str">
        <f t="shared" si="58"/>
        <v>44103105</v>
      </c>
      <c r="J829" s="25" t="s">
        <v>98</v>
      </c>
    </row>
    <row r="830" spans="1:10" ht="39">
      <c r="A830" s="9" t="s">
        <v>27</v>
      </c>
      <c r="B830" s="2" t="s">
        <v>31</v>
      </c>
      <c r="C830" s="2">
        <v>3204</v>
      </c>
      <c r="D830" s="2">
        <v>350</v>
      </c>
      <c r="E830" s="2" t="str">
        <f>"1000017406"</f>
        <v>1000017406</v>
      </c>
      <c r="F830" s="2" t="str">
        <f>"INK CART:HP Item # CB340A-HEW, HP No. 70 photo Black 130ML toner, twin pack for Z2100, Z3200 and Z3100 series printers"</f>
        <v>INK CART:HP Item # CB340A-HEW, HP No. 70 photo Black 130ML toner, twin pack for Z2100, Z3200 and Z3100 series printers</v>
      </c>
      <c r="G830" s="3" t="str">
        <f t="shared" si="60"/>
        <v>PK</v>
      </c>
      <c r="H830" s="7">
        <v>120</v>
      </c>
      <c r="I830" s="2" t="str">
        <f t="shared" si="58"/>
        <v>44103105</v>
      </c>
      <c r="J830" s="10" t="s">
        <v>98</v>
      </c>
    </row>
    <row r="831" spans="1:10" ht="51.75">
      <c r="A831" s="24" t="s">
        <v>27</v>
      </c>
      <c r="B831" s="21" t="s">
        <v>31</v>
      </c>
      <c r="C831" s="21">
        <v>3204</v>
      </c>
      <c r="D831" s="21">
        <v>351</v>
      </c>
      <c r="E831" s="21" t="str">
        <f>"1000017407"</f>
        <v>1000017407</v>
      </c>
      <c r="F831" s="21" t="str">
        <f>"INK CART:HP Item # CB341A-HEW, HP No. 70 Gray ink cartridge for HP Designjet Z2100, Z3100, and Z3200 series wide format printers (twin pack)"</f>
        <v>INK CART:HP Item # CB341A-HEW, HP No. 70 Gray ink cartridge for HP Designjet Z2100, Z3100, and Z3200 series wide format printers (twin pack)</v>
      </c>
      <c r="G831" s="22" t="str">
        <f t="shared" si="60"/>
        <v>PK</v>
      </c>
      <c r="H831" s="23">
        <v>118</v>
      </c>
      <c r="I831" s="21" t="str">
        <f t="shared" si="58"/>
        <v>44103105</v>
      </c>
      <c r="J831" s="25" t="s">
        <v>98</v>
      </c>
    </row>
    <row r="832" spans="1:10" ht="39">
      <c r="A832" s="9" t="s">
        <v>27</v>
      </c>
      <c r="B832" s="2" t="s">
        <v>31</v>
      </c>
      <c r="C832" s="2">
        <v>3204</v>
      </c>
      <c r="D832" s="2">
        <v>352</v>
      </c>
      <c r="E832" s="2" t="str">
        <f>"1000017408"</f>
        <v>1000017408</v>
      </c>
      <c r="F832" s="2" t="str">
        <f>"INK CART:HP Item # CB342A-HEW, HP No. Light Gray 130ML twin pack for Z2100 Z3200, AND Z3100 printers"</f>
        <v>INK CART:HP Item # CB342A-HEW, HP No. Light Gray 130ML twin pack for Z2100 Z3200, AND Z3100 printers</v>
      </c>
      <c r="G832" s="3" t="str">
        <f t="shared" si="60"/>
        <v>PK</v>
      </c>
      <c r="H832" s="7">
        <v>119</v>
      </c>
      <c r="I832" s="2" t="str">
        <f t="shared" si="58"/>
        <v>44103105</v>
      </c>
      <c r="J832" s="10" t="s">
        <v>98</v>
      </c>
    </row>
    <row r="833" spans="1:10" ht="39">
      <c r="A833" s="24" t="s">
        <v>27</v>
      </c>
      <c r="B833" s="21" t="s">
        <v>31</v>
      </c>
      <c r="C833" s="21">
        <v>3204</v>
      </c>
      <c r="D833" s="21">
        <v>353</v>
      </c>
      <c r="E833" s="21" t="str">
        <f>"1000017433"</f>
        <v>1000017433</v>
      </c>
      <c r="F833" s="21" t="str">
        <f>"INK CART:HP Item # CB344A-HEW, HP No. 70 Magenta 130ML twin pack for Z2100, Z3200 and Z3100 printers"</f>
        <v>INK CART:HP Item # CB344A-HEW, HP No. 70 Magenta 130ML twin pack for Z2100, Z3200 and Z3100 printers</v>
      </c>
      <c r="G833" s="22" t="str">
        <f t="shared" si="60"/>
        <v>PK</v>
      </c>
      <c r="H833" s="23">
        <v>118</v>
      </c>
      <c r="I833" s="21" t="str">
        <f t="shared" si="58"/>
        <v>44103105</v>
      </c>
      <c r="J833" s="25" t="s">
        <v>98</v>
      </c>
    </row>
    <row r="834" spans="1:10" ht="39">
      <c r="A834" s="9" t="s">
        <v>27</v>
      </c>
      <c r="B834" s="2" t="s">
        <v>31</v>
      </c>
      <c r="C834" s="2">
        <v>3204</v>
      </c>
      <c r="D834" s="2">
        <v>354</v>
      </c>
      <c r="E834" s="2" t="str">
        <f>"1000017434"</f>
        <v>1000017434</v>
      </c>
      <c r="F834" s="2" t="str">
        <f>"INK CART:HP Item # CB345A-HEW, HP No. 70 Yellow 130ML twin pack for Z2100, Z3200 and Z3100 printers"</f>
        <v>INK CART:HP Item # CB345A-HEW, HP No. 70 Yellow 130ML twin pack for Z2100, Z3200 and Z3100 printers</v>
      </c>
      <c r="G834" s="3" t="str">
        <f t="shared" si="60"/>
        <v>PK</v>
      </c>
      <c r="H834" s="7">
        <v>119</v>
      </c>
      <c r="I834" s="2" t="str">
        <f t="shared" si="58"/>
        <v>44103105</v>
      </c>
      <c r="J834" s="10" t="s">
        <v>98</v>
      </c>
    </row>
    <row r="835" spans="1:10" ht="39">
      <c r="A835" s="24" t="s">
        <v>27</v>
      </c>
      <c r="B835" s="21" t="s">
        <v>31</v>
      </c>
      <c r="C835" s="21">
        <v>3204</v>
      </c>
      <c r="D835" s="21">
        <v>355</v>
      </c>
      <c r="E835" s="21" t="str">
        <f>"1000017435"</f>
        <v>1000017435</v>
      </c>
      <c r="F835" s="21" t="str">
        <f>"INK CART:HP Item # CB346A-HEW, HP No. 70 Light Magenta 130ML twin pack or Z2100, Z3200 AND Z3100 printers"</f>
        <v>INK CART:HP Item # CB346A-HEW, HP No. 70 Light Magenta 130ML twin pack or Z2100, Z3200 AND Z3100 printers</v>
      </c>
      <c r="G835" s="22" t="str">
        <f t="shared" si="60"/>
        <v>PK</v>
      </c>
      <c r="H835" s="23">
        <v>118</v>
      </c>
      <c r="I835" s="21" t="str">
        <f t="shared" si="58"/>
        <v>44103105</v>
      </c>
      <c r="J835" s="25" t="s">
        <v>98</v>
      </c>
    </row>
    <row r="836" spans="1:10" ht="51.75">
      <c r="A836" s="9" t="s">
        <v>27</v>
      </c>
      <c r="B836" s="2" t="s">
        <v>31</v>
      </c>
      <c r="C836" s="2">
        <v>3204</v>
      </c>
      <c r="D836" s="2">
        <v>356</v>
      </c>
      <c r="E836" s="2" t="str">
        <f>"1000017436"</f>
        <v>1000017436</v>
      </c>
      <c r="F836" s="2" t="str">
        <f>"INK CART:HP Item # CB347A-HEW, HP No. 70 Red ink cartridges 130ML , 2 per package, for Designjet Z3100 and Z2100 photo printer series."</f>
        <v>INK CART:HP Item # CB347A-HEW, HP No. 70 Red ink cartridges 130ML , 2 per package, for Designjet Z3100 and Z2100 photo printer series.</v>
      </c>
      <c r="G836" s="3" t="str">
        <f t="shared" si="60"/>
        <v>PK</v>
      </c>
      <c r="H836" s="7">
        <v>118</v>
      </c>
      <c r="I836" s="2" t="str">
        <f t="shared" si="58"/>
        <v>44103105</v>
      </c>
      <c r="J836" s="10" t="s">
        <v>98</v>
      </c>
    </row>
    <row r="837" spans="1:10" ht="51.75">
      <c r="A837" s="24" t="s">
        <v>27</v>
      </c>
      <c r="B837" s="21" t="s">
        <v>31</v>
      </c>
      <c r="C837" s="21">
        <v>3204</v>
      </c>
      <c r="D837" s="21">
        <v>357</v>
      </c>
      <c r="E837" s="21" t="str">
        <f>"1000017438"</f>
        <v>1000017438</v>
      </c>
      <c r="F837" s="21" t="str">
        <f>"INK CART:HP Item # CB348A-HEW, HP No.70 Green ink cartridges, 130ML, 2 per package, for Designjet Z3200, Z3100 and Z2100 photo printer series"</f>
        <v>INK CART:HP Item # CB348A-HEW, HP No.70 Green ink cartridges, 130ML, 2 per package, for Designjet Z3200, Z3100 and Z2100 photo printer series</v>
      </c>
      <c r="G837" s="22" t="str">
        <f t="shared" si="60"/>
        <v>PK</v>
      </c>
      <c r="H837" s="23">
        <v>118</v>
      </c>
      <c r="I837" s="21" t="str">
        <f t="shared" si="58"/>
        <v>44103105</v>
      </c>
      <c r="J837" s="25" t="s">
        <v>98</v>
      </c>
    </row>
    <row r="838" spans="1:10" ht="51.75">
      <c r="A838" s="9" t="s">
        <v>27</v>
      </c>
      <c r="B838" s="2" t="s">
        <v>31</v>
      </c>
      <c r="C838" s="2">
        <v>3204</v>
      </c>
      <c r="D838" s="2">
        <v>358</v>
      </c>
      <c r="E838" s="2" t="str">
        <f>"1000017414"</f>
        <v>1000017414</v>
      </c>
      <c r="F838" s="2" t="str">
        <f>"INK CART:HP Item # CB349A-HEW, HP No.70, Blue ink cartridge, 130ML, 2 per package for the HP Designjet Z3200 and Z3100 Photo Printer series"</f>
        <v>INK CART:HP Item # CB349A-HEW, HP No.70, Blue ink cartridge, 130ML, 2 per package for the HP Designjet Z3200 and Z3100 Photo Printer series</v>
      </c>
      <c r="G838" s="3" t="str">
        <f t="shared" si="60"/>
        <v>PK</v>
      </c>
      <c r="H838" s="7">
        <v>118</v>
      </c>
      <c r="I838" s="2" t="str">
        <f t="shared" si="58"/>
        <v>44103105</v>
      </c>
      <c r="J838" s="10" t="s">
        <v>98</v>
      </c>
    </row>
    <row r="839" spans="1:10" ht="39">
      <c r="A839" s="24" t="s">
        <v>27</v>
      </c>
      <c r="B839" s="21" t="s">
        <v>31</v>
      </c>
      <c r="C839" s="21">
        <v>3204</v>
      </c>
      <c r="D839" s="21">
        <v>359</v>
      </c>
      <c r="E839" s="21" t="str">
        <f>"1000017415"</f>
        <v>1000017415</v>
      </c>
      <c r="F839" s="21" t="str">
        <f>"INK CART:HP Item # CB350A-HEW, HP Gloss enhancer, 130ML for the HP Designjet Z3200 and Z3100 Photo Printer series"</f>
        <v>INK CART:HP Item # CB350A-HEW, HP Gloss enhancer, 130ML for the HP Designjet Z3200 and Z3100 Photo Printer series</v>
      </c>
      <c r="G839" s="22" t="str">
        <f>"EA"</f>
        <v>EA</v>
      </c>
      <c r="H839" s="23">
        <v>90</v>
      </c>
      <c r="I839" s="21" t="str">
        <f t="shared" si="58"/>
        <v>44103105</v>
      </c>
      <c r="J839" s="25" t="s">
        <v>98</v>
      </c>
    </row>
    <row r="840" spans="1:10" ht="39">
      <c r="A840" s="9" t="s">
        <v>27</v>
      </c>
      <c r="B840" s="2" t="s">
        <v>31</v>
      </c>
      <c r="C840" s="2">
        <v>3204</v>
      </c>
      <c r="D840" s="2">
        <v>360</v>
      </c>
      <c r="E840" s="2" t="str">
        <f>"1000017416"</f>
        <v>1000017416</v>
      </c>
      <c r="F840" s="2" t="str">
        <f>"INK CART:HP Item # CB351A-HEW, HP N. 70 Light Cyan 130ML, twin pack for Z2100, Z3200 and Z3100 printers"</f>
        <v>INK CART:HP Item # CB351A-HEW, HP N. 70 Light Cyan 130ML, twin pack for Z2100, Z3200 and Z3100 printers</v>
      </c>
      <c r="G840" s="3" t="str">
        <f>"PK"</f>
        <v>PK</v>
      </c>
      <c r="H840" s="7">
        <v>119</v>
      </c>
      <c r="I840" s="2" t="str">
        <f t="shared" si="58"/>
        <v>44103105</v>
      </c>
      <c r="J840" s="10" t="s">
        <v>98</v>
      </c>
    </row>
    <row r="841" spans="1:10" ht="39">
      <c r="A841" s="24" t="s">
        <v>27</v>
      </c>
      <c r="B841" s="21" t="s">
        <v>31</v>
      </c>
      <c r="C841" s="21">
        <v>3204</v>
      </c>
      <c r="D841" s="21">
        <v>361</v>
      </c>
      <c r="E841" s="21" t="str">
        <f>"1000017430"</f>
        <v>1000017430</v>
      </c>
      <c r="F841" s="21" t="str">
        <f>"INK CART:HP Item # CC635-HEW, HP No. 701 Black inkjet print cartridge, 350 page yield for 640 fax"</f>
        <v>INK CART:HP Item # CC635-HEW, HP No. 701 Black inkjet print cartridge, 350 page yield for 640 fax</v>
      </c>
      <c r="G841" s="22" t="str">
        <f t="shared" ref="G841:G851" si="61">"EA"</f>
        <v>EA</v>
      </c>
      <c r="H841" s="23">
        <v>36.99</v>
      </c>
      <c r="I841" s="21" t="str">
        <f t="shared" si="58"/>
        <v>44103105</v>
      </c>
      <c r="J841" s="25" t="s">
        <v>98</v>
      </c>
    </row>
    <row r="842" spans="1:10" ht="39">
      <c r="A842" s="9" t="s">
        <v>27</v>
      </c>
      <c r="B842" s="2" t="s">
        <v>31</v>
      </c>
      <c r="C842" s="2">
        <v>3204</v>
      </c>
      <c r="D842" s="2">
        <v>362</v>
      </c>
      <c r="E842" s="2" t="str">
        <f>"1000017431"</f>
        <v>1000017431</v>
      </c>
      <c r="F842" s="2" t="str">
        <f>"INK CART:HP Item # CC640WN-HEW, HP No. 60 Black ink for deskjet D2500/D2530/2560/F4200 (Yld 200 pages)"</f>
        <v>INK CART:HP Item # CC640WN-HEW, HP No. 60 Black ink for deskjet D2500/D2530/2560/F4200 (Yld 200 pages)</v>
      </c>
      <c r="G842" s="3" t="str">
        <f t="shared" si="61"/>
        <v>EA</v>
      </c>
      <c r="H842" s="7">
        <v>15.99</v>
      </c>
      <c r="I842" s="2" t="str">
        <f t="shared" si="58"/>
        <v>44103105</v>
      </c>
      <c r="J842" s="10" t="s">
        <v>98</v>
      </c>
    </row>
    <row r="843" spans="1:10" ht="51.75">
      <c r="A843" s="24" t="s">
        <v>27</v>
      </c>
      <c r="B843" s="21" t="s">
        <v>31</v>
      </c>
      <c r="C843" s="21">
        <v>3204</v>
      </c>
      <c r="D843" s="21">
        <v>363</v>
      </c>
      <c r="E843" s="21" t="str">
        <f>"1000017432"</f>
        <v>1000017432</v>
      </c>
      <c r="F843" s="21" t="str">
        <f>"INK CART:HP Item # CC641WN-HEW, HP No. 60 XL Black ink for DeskJet D2500/D2530/2560/F4200 high yield 600 page"</f>
        <v>INK CART:HP Item # CC641WN-HEW, HP No. 60 XL Black ink for DeskJet D2500/D2530/2560/F4200 high yield 600 page</v>
      </c>
      <c r="G843" s="22" t="str">
        <f t="shared" si="61"/>
        <v>EA</v>
      </c>
      <c r="H843" s="23">
        <v>36.99</v>
      </c>
      <c r="I843" s="21" t="str">
        <f t="shared" si="58"/>
        <v>44103105</v>
      </c>
      <c r="J843" s="25" t="s">
        <v>98</v>
      </c>
    </row>
    <row r="844" spans="1:10" ht="51.75">
      <c r="A844" s="9" t="s">
        <v>27</v>
      </c>
      <c r="B844" s="2" t="s">
        <v>31</v>
      </c>
      <c r="C844" s="2">
        <v>3204</v>
      </c>
      <c r="D844" s="2">
        <v>364</v>
      </c>
      <c r="E844" s="2" t="str">
        <f>"1000017459"</f>
        <v>1000017459</v>
      </c>
      <c r="F844" s="2" t="str">
        <f>"INK CART:HP Item # CC643WN-HEW, HP No. 60 tricolor ink for deskjet D2500/D2530/2560/F4200 standard yield 165 page"</f>
        <v>INK CART:HP Item # CC643WN-HEW, HP No. 60 tricolor ink for deskjet D2500/D2530/2560/F4200 standard yield 165 page</v>
      </c>
      <c r="G844" s="3" t="str">
        <f t="shared" si="61"/>
        <v>EA</v>
      </c>
      <c r="H844" s="7">
        <v>20.99</v>
      </c>
      <c r="I844" s="2" t="str">
        <f t="shared" si="58"/>
        <v>44103105</v>
      </c>
      <c r="J844" s="10" t="s">
        <v>98</v>
      </c>
    </row>
    <row r="845" spans="1:10" ht="39">
      <c r="A845" s="24" t="s">
        <v>27</v>
      </c>
      <c r="B845" s="21" t="s">
        <v>31</v>
      </c>
      <c r="C845" s="21">
        <v>3204</v>
      </c>
      <c r="D845" s="21">
        <v>365</v>
      </c>
      <c r="E845" s="21" t="str">
        <f>"1000017460"</f>
        <v>1000017460</v>
      </c>
      <c r="F845" s="21" t="str">
        <f>"INK CART:HP Item # CC653AN-HEW, HP No. 901 Black ink for Officejet 4500/4580/4640/4680 (Yld 200)"</f>
        <v>INK CART:HP Item # CC653AN-HEW, HP No. 901 Black ink for Officejet 4500/4580/4640/4680 (Yld 200)</v>
      </c>
      <c r="G845" s="22" t="str">
        <f t="shared" si="61"/>
        <v>EA</v>
      </c>
      <c r="H845" s="23">
        <v>15.99</v>
      </c>
      <c r="I845" s="21" t="str">
        <f t="shared" si="58"/>
        <v>44103105</v>
      </c>
      <c r="J845" s="25" t="s">
        <v>98</v>
      </c>
    </row>
    <row r="846" spans="1:10" ht="26.25">
      <c r="A846" s="9" t="s">
        <v>27</v>
      </c>
      <c r="B846" s="2" t="s">
        <v>31</v>
      </c>
      <c r="C846" s="2">
        <v>3204</v>
      </c>
      <c r="D846" s="2">
        <v>366</v>
      </c>
      <c r="E846" s="2" t="str">
        <f>"1000017461"</f>
        <v>1000017461</v>
      </c>
      <c r="F846" s="2" t="str">
        <f>"INK CART:HP Item # CC654AN-HEW, HP No. 901 XL Black inkjet cartridge (Yld 700)"</f>
        <v>INK CART:HP Item # CC654AN-HEW, HP No. 901 XL Black inkjet cartridge (Yld 700)</v>
      </c>
      <c r="G846" s="3" t="str">
        <f t="shared" si="61"/>
        <v>EA</v>
      </c>
      <c r="H846" s="7">
        <v>38.99</v>
      </c>
      <c r="I846" s="2" t="str">
        <f t="shared" si="58"/>
        <v>44103105</v>
      </c>
      <c r="J846" s="10" t="s">
        <v>98</v>
      </c>
    </row>
    <row r="847" spans="1:10" ht="26.25">
      <c r="A847" s="24" t="s">
        <v>27</v>
      </c>
      <c r="B847" s="21" t="s">
        <v>31</v>
      </c>
      <c r="C847" s="21">
        <v>3204</v>
      </c>
      <c r="D847" s="21">
        <v>367</v>
      </c>
      <c r="E847" s="21" t="str">
        <f>"1000017462"</f>
        <v>1000017462</v>
      </c>
      <c r="F847" s="21" t="str">
        <f>"INK CART:HP Item # CC656AN-HEW, HP No. 901 Tri-color inkjet cartridge (Yld 360)"</f>
        <v>INK CART:HP Item # CC656AN-HEW, HP No. 901 Tri-color inkjet cartridge (Yld 360)</v>
      </c>
      <c r="G847" s="22" t="str">
        <f t="shared" si="61"/>
        <v>EA</v>
      </c>
      <c r="H847" s="23">
        <v>29.99</v>
      </c>
      <c r="I847" s="21" t="str">
        <f t="shared" si="58"/>
        <v>44103105</v>
      </c>
      <c r="J847" s="25" t="s">
        <v>98</v>
      </c>
    </row>
    <row r="848" spans="1:10" ht="51.75">
      <c r="A848" s="9" t="s">
        <v>27</v>
      </c>
      <c r="B848" s="2" t="s">
        <v>31</v>
      </c>
      <c r="C848" s="2">
        <v>3204</v>
      </c>
      <c r="D848" s="2">
        <v>368</v>
      </c>
      <c r="E848" s="2" t="str">
        <f>"1000017463"</f>
        <v>1000017463</v>
      </c>
      <c r="F848" s="2" t="str">
        <f>"INK CART:HP Item # CD972AN-HEW, HP 920XL Cyan Officejet Ink Cartridge, 700 page for the HP Officejet 6500 Wireless All-in-One and Officejet 6500 All-In-One printers"</f>
        <v>INK CART:HP Item # CD972AN-HEW, HP 920XL Cyan Officejet Ink Cartridge, 700 page for the HP Officejet 6500 Wireless All-in-One and Officejet 6500 All-In-One printers</v>
      </c>
      <c r="G848" s="3" t="str">
        <f t="shared" si="61"/>
        <v>EA</v>
      </c>
      <c r="H848" s="7">
        <v>16</v>
      </c>
      <c r="I848" s="2" t="str">
        <f t="shared" si="58"/>
        <v>44103105</v>
      </c>
      <c r="J848" s="10" t="s">
        <v>98</v>
      </c>
    </row>
    <row r="849" spans="1:10" ht="51.75">
      <c r="A849" s="24" t="s">
        <v>27</v>
      </c>
      <c r="B849" s="21" t="s">
        <v>31</v>
      </c>
      <c r="C849" s="21">
        <v>3204</v>
      </c>
      <c r="D849" s="21">
        <v>369</v>
      </c>
      <c r="E849" s="21" t="str">
        <f>"1000017464"</f>
        <v>1000017464</v>
      </c>
      <c r="F849" s="21" t="str">
        <f>"INK CART:HP Item # CD973AN-HEW, HP 920XL Magenta Officejet Ink Cartridge, 700 page for the HP Officejet 6500 Wireless All-in-One and Officejet 6500 All-In-One printers"</f>
        <v>INK CART:HP Item # CD973AN-HEW, HP 920XL Magenta Officejet Ink Cartridge, 700 page for the HP Officejet 6500 Wireless All-in-One and Officejet 6500 All-In-One printers</v>
      </c>
      <c r="G849" s="22" t="str">
        <f t="shared" si="61"/>
        <v>EA</v>
      </c>
      <c r="H849" s="23">
        <v>16</v>
      </c>
      <c r="I849" s="21" t="str">
        <f t="shared" si="58"/>
        <v>44103105</v>
      </c>
      <c r="J849" s="25" t="s">
        <v>98</v>
      </c>
    </row>
    <row r="850" spans="1:10" ht="51.75">
      <c r="A850" s="9" t="s">
        <v>27</v>
      </c>
      <c r="B850" s="2" t="s">
        <v>31</v>
      </c>
      <c r="C850" s="2">
        <v>3204</v>
      </c>
      <c r="D850" s="2">
        <v>370</v>
      </c>
      <c r="E850" s="2" t="str">
        <f>"1000017439"</f>
        <v>1000017439</v>
      </c>
      <c r="F850" s="2" t="str">
        <f>"INK CART:HP Item # CD974AN-HEW, HP 920XL Yellow Officejet Ink Cartridge, 700 page for the HP Officejet 6500 Wireless All-in-One and Officejet 6500 All-In-One printers"</f>
        <v>INK CART:HP Item # CD974AN-HEW, HP 920XL Yellow Officejet Ink Cartridge, 700 page for the HP Officejet 6500 Wireless All-in-One and Officejet 6500 All-In-One printers</v>
      </c>
      <c r="G850" s="3" t="str">
        <f t="shared" si="61"/>
        <v>EA</v>
      </c>
      <c r="H850" s="7">
        <v>16</v>
      </c>
      <c r="I850" s="2" t="str">
        <f t="shared" si="58"/>
        <v>44103105</v>
      </c>
      <c r="J850" s="10" t="s">
        <v>98</v>
      </c>
    </row>
    <row r="851" spans="1:10" ht="51.75">
      <c r="A851" s="24" t="s">
        <v>27</v>
      </c>
      <c r="B851" s="21" t="s">
        <v>31</v>
      </c>
      <c r="C851" s="21">
        <v>3204</v>
      </c>
      <c r="D851" s="21">
        <v>371</v>
      </c>
      <c r="E851" s="21" t="str">
        <f>"1000017440"</f>
        <v>1000017440</v>
      </c>
      <c r="F851" s="21" t="str">
        <f>"INK CART:HP Item # CD975AN-HEW, HP 920XL Black Officejet Ink Cartridge, 1200 page for the HP Officejet 6500 Wireless All-in-One and Officejet 6500 All-In-One printers"</f>
        <v>INK CART:HP Item # CD975AN-HEW, HP 920XL Black Officejet Ink Cartridge, 1200 page for the HP Officejet 6500 Wireless All-in-One and Officejet 6500 All-In-One printers</v>
      </c>
      <c r="G851" s="22" t="str">
        <f t="shared" si="61"/>
        <v>EA</v>
      </c>
      <c r="H851" s="23">
        <v>34.99</v>
      </c>
      <c r="I851" s="21" t="str">
        <f t="shared" si="58"/>
        <v>44103105</v>
      </c>
      <c r="J851" s="25" t="s">
        <v>98</v>
      </c>
    </row>
    <row r="852" spans="1:10" ht="77.25">
      <c r="A852" s="9" t="s">
        <v>27</v>
      </c>
      <c r="B852" s="2" t="s">
        <v>31</v>
      </c>
      <c r="C852" s="2">
        <v>3204</v>
      </c>
      <c r="D852" s="2">
        <v>372</v>
      </c>
      <c r="E852" s="2" t="str">
        <f>"1000017503"</f>
        <v>1000017503</v>
      </c>
      <c r="F852" s="2" t="str">
        <f>"INK CART:HP Item # Q7964AN-HEW, HP Photo value pack. 1 ea. vivera ink Blk, Cyan, Lt. Cyan, Magenta, Lt. Magenta, Yellow, 150 sheets 4x6 borderless adv. photo paper, glossy 9 mil for Photosmart 8250PSC 7280, 3110, C6180, 3210, 3310 Series, C7180, C5180"</f>
        <v>INK CART:HP Item # Q7964AN-HEW, HP Photo value pack. 1 ea. vivera ink Blk, Cyan, Lt. Cyan, Magenta, Lt. Magenta, Yellow, 150 sheets 4x6 borderless adv. photo paper, glossy 9 mil for Photosmart 8250PSC 7280, 3110, C6180, 3210, 3310 Series, C7180, C5180</v>
      </c>
      <c r="G852" s="3" t="str">
        <f>"PK"</f>
        <v>PK</v>
      </c>
      <c r="H852" s="7">
        <v>43.99</v>
      </c>
      <c r="I852" s="2" t="str">
        <f t="shared" si="58"/>
        <v>44103105</v>
      </c>
      <c r="J852" s="10" t="s">
        <v>98</v>
      </c>
    </row>
    <row r="853" spans="1:10" ht="39">
      <c r="A853" s="24" t="s">
        <v>27</v>
      </c>
      <c r="B853" s="21" t="s">
        <v>31</v>
      </c>
      <c r="C853" s="21">
        <v>3204</v>
      </c>
      <c r="D853" s="21">
        <v>373</v>
      </c>
      <c r="E853" s="21" t="str">
        <f>"1000017562"</f>
        <v>1000017562</v>
      </c>
      <c r="F853" s="21" t="str">
        <f>"INK CART:LEX Item # 15M0120-LEX, Lexmark No. 20 Color ink cartridge for Lexmark Z42/43/51/52/53/82 (Yld 275)"</f>
        <v>INK CART:LEX Item # 15M0120-LEX, Lexmark No. 20 Color ink cartridge for Lexmark Z42/43/51/52/53/82 (Yld 275)</v>
      </c>
      <c r="G853" s="22" t="str">
        <f t="shared" ref="G853:G874" si="62">"EA"</f>
        <v>EA</v>
      </c>
      <c r="H853" s="23">
        <v>53.08</v>
      </c>
      <c r="I853" s="21" t="str">
        <f t="shared" si="58"/>
        <v>44103105</v>
      </c>
      <c r="J853" s="25" t="s">
        <v>98</v>
      </c>
    </row>
    <row r="854" spans="1:10" ht="39">
      <c r="A854" s="9" t="s">
        <v>27</v>
      </c>
      <c r="B854" s="2" t="s">
        <v>31</v>
      </c>
      <c r="C854" s="2">
        <v>3204</v>
      </c>
      <c r="D854" s="2">
        <v>374</v>
      </c>
      <c r="E854" s="2" t="str">
        <f>"1000017563"</f>
        <v>1000017563</v>
      </c>
      <c r="F854" s="2" t="str">
        <f>"INK CART:LEX Item # 15M0125-LEX, Lexmark No. 25 color ink cartridge for Lexmark Z42/43/51/52/53/82"</f>
        <v>INK CART:LEX Item # 15M0125-LEX, Lexmark No. 25 color ink cartridge for Lexmark Z42/43/51/52/53/82</v>
      </c>
      <c r="G854" s="3" t="str">
        <f t="shared" si="62"/>
        <v>EA</v>
      </c>
      <c r="H854" s="7">
        <v>52</v>
      </c>
      <c r="I854" s="2" t="str">
        <f t="shared" si="58"/>
        <v>44103105</v>
      </c>
      <c r="J854" s="10" t="s">
        <v>98</v>
      </c>
    </row>
    <row r="855" spans="1:10" ht="26.25">
      <c r="A855" s="24" t="s">
        <v>27</v>
      </c>
      <c r="B855" s="21" t="s">
        <v>31</v>
      </c>
      <c r="C855" s="21">
        <v>3204</v>
      </c>
      <c r="D855" s="21">
        <v>375</v>
      </c>
      <c r="E855" s="21" t="str">
        <f>"1000017564"</f>
        <v>1000017564</v>
      </c>
      <c r="F855" s="21" t="str">
        <f>"INK CART:LEX Item # 15M2971-LEX, Lexmark No. 71 black inkjet cartridge for Color Jetprinters"</f>
        <v>INK CART:LEX Item # 15M2971-LEX, Lexmark No. 71 black inkjet cartridge for Color Jetprinters</v>
      </c>
      <c r="G855" s="22" t="str">
        <f t="shared" si="62"/>
        <v>EA</v>
      </c>
      <c r="H855" s="23">
        <v>25</v>
      </c>
      <c r="I855" s="21" t="str">
        <f t="shared" si="58"/>
        <v>44103105</v>
      </c>
      <c r="J855" s="25" t="s">
        <v>98</v>
      </c>
    </row>
    <row r="856" spans="1:10" ht="51.75">
      <c r="A856" s="9" t="s">
        <v>27</v>
      </c>
      <c r="B856" s="2" t="s">
        <v>31</v>
      </c>
      <c r="C856" s="2">
        <v>3204</v>
      </c>
      <c r="D856" s="2">
        <v>376</v>
      </c>
      <c r="E856" s="2" t="str">
        <f>"1000017565"</f>
        <v>1000017565</v>
      </c>
      <c r="F856" s="2" t="str">
        <f>"INK CART:LEX Item # 16G0055-LEX, Lexmark No. 55 black inkjet cartridge for Lexmark P3150, P707, Z12, Z22, Z32, Z705, Z715, high yield, high resolution"</f>
        <v>INK CART:LEX Item # 16G0055-LEX, Lexmark No. 55 black inkjet cartridge for Lexmark P3150, P707, Z12, Z22, Z32, Z705, Z715, high yield, high resolution</v>
      </c>
      <c r="G856" s="3" t="str">
        <f t="shared" si="62"/>
        <v>EA</v>
      </c>
      <c r="H856" s="7">
        <v>48</v>
      </c>
      <c r="I856" s="2" t="str">
        <f t="shared" si="58"/>
        <v>44103105</v>
      </c>
      <c r="J856" s="10" t="s">
        <v>98</v>
      </c>
    </row>
    <row r="857" spans="1:10" ht="77.25">
      <c r="A857" s="24" t="s">
        <v>27</v>
      </c>
      <c r="B857" s="21" t="s">
        <v>31</v>
      </c>
      <c r="C857" s="21">
        <v>3204</v>
      </c>
      <c r="D857" s="21">
        <v>377</v>
      </c>
      <c r="E857" s="21" t="str">
        <f>"1000017542"</f>
        <v>1000017542</v>
      </c>
      <c r="F857" s="21" t="str">
        <f>"INK CART:LEX Item # 17G0050-LEX, Lexmark No. 50 for Lexmark All-in-One Machines P3150, Lexmark Inkjet Printers P3150, Z12, Z22, Z32, Z705, Z715 Lexmark Photo Printers P3150, P707, Z705 Black Standard Yield Cartridge (Yld 410)"</f>
        <v>INK CART:LEX Item # 17G0050-LEX, Lexmark No. 50 for Lexmark All-in-One Machines P3150, Lexmark Inkjet Printers P3150, Z12, Z22, Z32, Z705, Z715 Lexmark Photo Printers P3150, P707, Z705 Black Standard Yield Cartridge (Yld 410)</v>
      </c>
      <c r="G857" s="22" t="str">
        <f t="shared" si="62"/>
        <v>EA</v>
      </c>
      <c r="H857" s="23">
        <v>40.99</v>
      </c>
      <c r="I857" s="21" t="str">
        <f t="shared" si="58"/>
        <v>44103105</v>
      </c>
      <c r="J857" s="25" t="s">
        <v>98</v>
      </c>
    </row>
    <row r="858" spans="1:10" ht="39">
      <c r="A858" s="9" t="s">
        <v>27</v>
      </c>
      <c r="B858" s="2" t="s">
        <v>31</v>
      </c>
      <c r="C858" s="2">
        <v>3204</v>
      </c>
      <c r="D858" s="2">
        <v>378</v>
      </c>
      <c r="E858" s="2" t="str">
        <f>"1000017543"</f>
        <v>1000017543</v>
      </c>
      <c r="F858" s="2" t="str">
        <f>"INK CART:LEX Item # 17G0060-LEX, Lexmark No. 60 High Resolution Color Inkjet Cartridge for Lexmark Z12/22/32, standard yield"</f>
        <v>INK CART:LEX Item # 17G0060-LEX, Lexmark No. 60 High Resolution Color Inkjet Cartridge for Lexmark Z12/22/32, standard yield</v>
      </c>
      <c r="G858" s="3" t="str">
        <f t="shared" si="62"/>
        <v>EA</v>
      </c>
      <c r="H858" s="7">
        <v>38</v>
      </c>
      <c r="I858" s="2" t="str">
        <f t="shared" si="58"/>
        <v>44103105</v>
      </c>
      <c r="J858" s="10" t="s">
        <v>98</v>
      </c>
    </row>
    <row r="859" spans="1:10" ht="39">
      <c r="A859" s="24" t="s">
        <v>27</v>
      </c>
      <c r="B859" s="21" t="s">
        <v>31</v>
      </c>
      <c r="C859" s="21">
        <v>3204</v>
      </c>
      <c r="D859" s="21">
        <v>379</v>
      </c>
      <c r="E859" s="21" t="str">
        <f>"1000017569"</f>
        <v>1000017569</v>
      </c>
      <c r="F859" s="21" t="str">
        <f>"INK CART:LEX Item # 18C0031-LEX, Lexmark No. 31 Color Photo Ink Cartridge for ColorJet Printers"</f>
        <v>INK CART:LEX Item # 18C0031-LEX, Lexmark No. 31 Color Photo Ink Cartridge for ColorJet Printers</v>
      </c>
      <c r="G859" s="22" t="str">
        <f t="shared" si="62"/>
        <v>EA</v>
      </c>
      <c r="H859" s="23">
        <v>34</v>
      </c>
      <c r="I859" s="21" t="str">
        <f t="shared" si="58"/>
        <v>44103105</v>
      </c>
      <c r="J859" s="25" t="s">
        <v>98</v>
      </c>
    </row>
    <row r="860" spans="1:10" ht="39">
      <c r="A860" s="9" t="s">
        <v>27</v>
      </c>
      <c r="B860" s="2" t="s">
        <v>31</v>
      </c>
      <c r="C860" s="2">
        <v>3204</v>
      </c>
      <c r="D860" s="2">
        <v>380</v>
      </c>
      <c r="E860" s="2" t="str">
        <f>"1000017571"</f>
        <v>1000017571</v>
      </c>
      <c r="F860" s="2" t="str">
        <f>"INK CART:LEX Item # 18C0033-LEX, Lexmark No. 33 Color Inkjet Cartridge for X5250/ X5270/ X7170/ X7350, P315, P6250, Z816"</f>
        <v>INK CART:LEX Item # 18C0033-LEX, Lexmark No. 33 Color Inkjet Cartridge for X5250/ X5270/ X7170/ X7350, P315, P6250, Z816</v>
      </c>
      <c r="G860" s="3" t="str">
        <f t="shared" si="62"/>
        <v>EA</v>
      </c>
      <c r="H860" s="7">
        <v>32.32</v>
      </c>
      <c r="I860" s="2" t="str">
        <f t="shared" si="58"/>
        <v>44103105</v>
      </c>
      <c r="J860" s="10" t="s">
        <v>98</v>
      </c>
    </row>
    <row r="861" spans="1:10" ht="51.75">
      <c r="A861" s="24" t="s">
        <v>27</v>
      </c>
      <c r="B861" s="21" t="s">
        <v>31</v>
      </c>
      <c r="C861" s="21">
        <v>3204</v>
      </c>
      <c r="D861" s="21">
        <v>381</v>
      </c>
      <c r="E861" s="21" t="str">
        <f>"1000017572"</f>
        <v>1000017572</v>
      </c>
      <c r="F861" s="21" t="str">
        <f>"INK CART:LEX Item # 18C0034-LEX, Lexmark No. 34 Ink, High Yield Black Inkjet Cartridge for X2500, X5075, X5250, X5270, X7170, X7350, Z1300 &amp; Z1420"</f>
        <v>INK CART:LEX Item # 18C0034-LEX, Lexmark No. 34 Ink, High Yield Black Inkjet Cartridge for X2500, X5075, X5250, X5270, X7170, X7350, Z1300 &amp; Z1420</v>
      </c>
      <c r="G861" s="22" t="str">
        <f t="shared" si="62"/>
        <v>EA</v>
      </c>
      <c r="H861" s="23">
        <v>36.19</v>
      </c>
      <c r="I861" s="21" t="str">
        <f t="shared" si="58"/>
        <v>44103105</v>
      </c>
      <c r="J861" s="25" t="s">
        <v>98</v>
      </c>
    </row>
    <row r="862" spans="1:10" ht="51.75">
      <c r="A862" s="9" t="s">
        <v>27</v>
      </c>
      <c r="B862" s="2" t="s">
        <v>31</v>
      </c>
      <c r="C862" s="2">
        <v>3204</v>
      </c>
      <c r="D862" s="2">
        <v>382</v>
      </c>
      <c r="E862" s="2" t="str">
        <f>"1000017549"</f>
        <v>1000017549</v>
      </c>
      <c r="F862" s="2" t="str">
        <f>"INK CART:LEX Item # 18C0035-LEX, Lexmark No. 35 Ink Color Inkjet Cartridge for P315, X2500, X5075, X5250, X5270, X7170, X7350, Z1300 &amp; Z1420 Printers"</f>
        <v>INK CART:LEX Item # 18C0035-LEX, Lexmark No. 35 Ink Color Inkjet Cartridge for P315, X2500, X5075, X5250, X5270, X7170, X7350, Z1300 &amp; Z1420 Printers</v>
      </c>
      <c r="G862" s="3" t="str">
        <f t="shared" si="62"/>
        <v>EA</v>
      </c>
      <c r="H862" s="7">
        <v>43.69</v>
      </c>
      <c r="I862" s="2" t="str">
        <f t="shared" si="58"/>
        <v>44103105</v>
      </c>
      <c r="J862" s="10" t="s">
        <v>98</v>
      </c>
    </row>
    <row r="863" spans="1:10" ht="39">
      <c r="A863" s="24" t="s">
        <v>27</v>
      </c>
      <c r="B863" s="21" t="s">
        <v>31</v>
      </c>
      <c r="C863" s="21">
        <v>3204</v>
      </c>
      <c r="D863" s="21">
        <v>383</v>
      </c>
      <c r="E863" s="21" t="str">
        <f>"1000017550"</f>
        <v>1000017550</v>
      </c>
      <c r="F863" s="21" t="str">
        <f>"INK CART:LEX Item # 18C0781-LEX, Lexmark No. 1 Ink Color Inkjet Cartridge for Lexmark Z735 / X2350 / X2470 / X3470."</f>
        <v>INK CART:LEX Item # 18C0781-LEX, Lexmark No. 1 Ink Color Inkjet Cartridge for Lexmark Z735 / X2350 / X2470 / X3470.</v>
      </c>
      <c r="G863" s="22" t="str">
        <f t="shared" si="62"/>
        <v>EA</v>
      </c>
      <c r="H863" s="23">
        <v>23</v>
      </c>
      <c r="I863" s="21" t="str">
        <f t="shared" si="58"/>
        <v>44103105</v>
      </c>
      <c r="J863" s="25" t="s">
        <v>98</v>
      </c>
    </row>
    <row r="864" spans="1:10" ht="39">
      <c r="A864" s="9" t="s">
        <v>27</v>
      </c>
      <c r="B864" s="2" t="s">
        <v>31</v>
      </c>
      <c r="C864" s="2">
        <v>3204</v>
      </c>
      <c r="D864" s="2">
        <v>384</v>
      </c>
      <c r="E864" s="2" t="str">
        <f>"1000017575"</f>
        <v>1000017575</v>
      </c>
      <c r="F864" s="2" t="str">
        <f>"INK CART:LEX Item # 18C1524-LEX, Lexmark No. 24 Color ink cartridge for X3430, X3550, X4550, Z1420"</f>
        <v>INK CART:LEX Item # 18C1524-LEX, Lexmark No. 24 Color ink cartridge for X3430, X3550, X4550, Z1420</v>
      </c>
      <c r="G864" s="3" t="str">
        <f t="shared" si="62"/>
        <v>EA</v>
      </c>
      <c r="H864" s="7">
        <v>24</v>
      </c>
      <c r="I864" s="2" t="str">
        <f t="shared" si="58"/>
        <v>44103105</v>
      </c>
      <c r="J864" s="10" t="s">
        <v>98</v>
      </c>
    </row>
    <row r="865" spans="1:10" ht="39">
      <c r="A865" s="24" t="s">
        <v>27</v>
      </c>
      <c r="B865" s="21" t="s">
        <v>31</v>
      </c>
      <c r="C865" s="21">
        <v>3204</v>
      </c>
      <c r="D865" s="21">
        <v>385</v>
      </c>
      <c r="E865" s="21" t="str">
        <f>"1000017576"</f>
        <v>1000017576</v>
      </c>
      <c r="F865" s="21" t="str">
        <f>"INK CART:LEX Item # 18C2090-LEX, Lexmark No. 14 Black Ink Cartridge (18C2090) for X2600, X2650, Z2300 printers."</f>
        <v>INK CART:LEX Item # 18C2090-LEX, Lexmark No. 14 Black Ink Cartridge (18C2090) for X2600, X2650, Z2300 printers.</v>
      </c>
      <c r="G865" s="22" t="str">
        <f t="shared" si="62"/>
        <v>EA</v>
      </c>
      <c r="H865" s="23">
        <v>23</v>
      </c>
      <c r="I865" s="21" t="str">
        <f t="shared" si="58"/>
        <v>44103105</v>
      </c>
      <c r="J865" s="25" t="s">
        <v>98</v>
      </c>
    </row>
    <row r="866" spans="1:10" ht="51.75">
      <c r="A866" s="9" t="s">
        <v>27</v>
      </c>
      <c r="B866" s="2" t="s">
        <v>31</v>
      </c>
      <c r="C866" s="2">
        <v>3204</v>
      </c>
      <c r="D866" s="2">
        <v>386</v>
      </c>
      <c r="E866" s="2" t="str">
        <f>"1000017577"</f>
        <v>1000017577</v>
      </c>
      <c r="F866" s="2" t="str">
        <f>"INK CART:LEX Item # 18L0032-LEX, Lexmark No. 82 Black Inkjet Cartridge for Z55, Z65, X5150, X6150, X6170 Color Jetprinters, High Resolution."</f>
        <v>INK CART:LEX Item # 18L0032-LEX, Lexmark No. 82 Black Inkjet Cartridge for Z55, Z65, X5150, X6150, X6170 Color Jetprinters, High Resolution.</v>
      </c>
      <c r="G866" s="3" t="str">
        <f t="shared" si="62"/>
        <v>EA</v>
      </c>
      <c r="H866" s="7">
        <v>42.86</v>
      </c>
      <c r="I866" s="2" t="str">
        <f t="shared" si="58"/>
        <v>44103105</v>
      </c>
      <c r="J866" s="10" t="s">
        <v>98</v>
      </c>
    </row>
    <row r="867" spans="1:10" ht="51.75">
      <c r="A867" s="24" t="s">
        <v>27</v>
      </c>
      <c r="B867" s="21" t="s">
        <v>31</v>
      </c>
      <c r="C867" s="21">
        <v>3204</v>
      </c>
      <c r="D867" s="21">
        <v>387</v>
      </c>
      <c r="E867" s="21" t="str">
        <f>"1000017578"</f>
        <v>1000017578</v>
      </c>
      <c r="F867" s="21" t="str">
        <f>"INK CART:LEX Item # 18L0042-LEX, Lexmark No. 83 High Resolution Color Inkjet Cartridge for Z55, Z65, X5150, X6150, X6170 Color Jetprinters."</f>
        <v>INK CART:LEX Item # 18L0042-LEX, Lexmark No. 83 High Resolution Color Inkjet Cartridge for Z55, Z65, X5150, X6150, X6170 Color Jetprinters.</v>
      </c>
      <c r="G867" s="22" t="str">
        <f t="shared" si="62"/>
        <v>EA</v>
      </c>
      <c r="H867" s="23">
        <v>53.98</v>
      </c>
      <c r="I867" s="21" t="str">
        <f t="shared" si="58"/>
        <v>44103105</v>
      </c>
      <c r="J867" s="25" t="s">
        <v>98</v>
      </c>
    </row>
    <row r="868" spans="1:10" ht="26.25">
      <c r="A868" s="9" t="s">
        <v>27</v>
      </c>
      <c r="B868" s="2" t="s">
        <v>31</v>
      </c>
      <c r="C868" s="2">
        <v>3204</v>
      </c>
      <c r="D868" s="2">
        <v>388</v>
      </c>
      <c r="E868" s="2" t="str">
        <f>"1000017621"</f>
        <v>1000017621</v>
      </c>
      <c r="F868" s="2" t="str">
        <f>"INK CART:PRI Item # 53319-PRI, Primera Black Ink Cartridge"</f>
        <v>INK CART:PRI Item # 53319-PRI, Primera Black Ink Cartridge</v>
      </c>
      <c r="G868" s="3" t="str">
        <f t="shared" si="62"/>
        <v>EA</v>
      </c>
      <c r="H868" s="7">
        <v>57</v>
      </c>
      <c r="I868" s="2" t="str">
        <f t="shared" si="58"/>
        <v>44103105</v>
      </c>
      <c r="J868" s="10" t="s">
        <v>98</v>
      </c>
    </row>
    <row r="869" spans="1:10" ht="26.25">
      <c r="A869" s="24" t="s">
        <v>27</v>
      </c>
      <c r="B869" s="21" t="s">
        <v>31</v>
      </c>
      <c r="C869" s="21">
        <v>3204</v>
      </c>
      <c r="D869" s="21">
        <v>389</v>
      </c>
      <c r="E869" s="21" t="str">
        <f>"1000017622"</f>
        <v>1000017622</v>
      </c>
      <c r="F869" s="21" t="str">
        <f>"INK CART:PRI Item # 53321-PRI, Primera Multi-Color Ink Cartridge"</f>
        <v>INK CART:PRI Item # 53321-PRI, Primera Multi-Color Ink Cartridge</v>
      </c>
      <c r="G869" s="22" t="str">
        <f t="shared" si="62"/>
        <v>EA</v>
      </c>
      <c r="H869" s="23">
        <v>57</v>
      </c>
      <c r="I869" s="21" t="str">
        <f t="shared" si="58"/>
        <v>44103105</v>
      </c>
      <c r="J869" s="25" t="s">
        <v>98</v>
      </c>
    </row>
    <row r="870" spans="1:10" ht="26.25">
      <c r="A870" s="9" t="s">
        <v>27</v>
      </c>
      <c r="B870" s="2" t="s">
        <v>31</v>
      </c>
      <c r="C870" s="2">
        <v>3204</v>
      </c>
      <c r="D870" s="2">
        <v>390</v>
      </c>
      <c r="E870" s="2" t="str">
        <f>"1000000587"</f>
        <v>1000000587</v>
      </c>
      <c r="F870" s="2" t="str">
        <f>"INK CART:PRI Item # 53324-PRI, Primera Color photo cartridge."</f>
        <v>INK CART:PRI Item # 53324-PRI, Primera Color photo cartridge.</v>
      </c>
      <c r="G870" s="3" t="str">
        <f t="shared" si="62"/>
        <v>EA</v>
      </c>
      <c r="H870" s="7">
        <v>51</v>
      </c>
      <c r="I870" s="2" t="str">
        <f t="shared" si="58"/>
        <v>44103105</v>
      </c>
      <c r="J870" s="10" t="s">
        <v>98</v>
      </c>
    </row>
    <row r="871" spans="1:10" ht="26.25">
      <c r="A871" s="24" t="s">
        <v>27</v>
      </c>
      <c r="B871" s="21" t="s">
        <v>31</v>
      </c>
      <c r="C871" s="21">
        <v>3204</v>
      </c>
      <c r="D871" s="21">
        <v>391</v>
      </c>
      <c r="E871" s="21" t="str">
        <f>"1000017597"</f>
        <v>1000017597</v>
      </c>
      <c r="F871" s="21" t="str">
        <f>"INK CART:PRI Item # 53330-PRI, Primera Color ink Cartridge for Bravo II printer"</f>
        <v>INK CART:PRI Item # 53330-PRI, Primera Color ink Cartridge for Bravo II printer</v>
      </c>
      <c r="G871" s="22" t="str">
        <f t="shared" si="62"/>
        <v>EA</v>
      </c>
      <c r="H871" s="23">
        <v>43</v>
      </c>
      <c r="I871" s="21" t="str">
        <f t="shared" si="58"/>
        <v>44103105</v>
      </c>
      <c r="J871" s="25" t="s">
        <v>98</v>
      </c>
    </row>
    <row r="872" spans="1:10" ht="26.25">
      <c r="A872" s="9" t="s">
        <v>27</v>
      </c>
      <c r="B872" s="2" t="s">
        <v>31</v>
      </c>
      <c r="C872" s="2">
        <v>3204</v>
      </c>
      <c r="D872" s="2">
        <v>392</v>
      </c>
      <c r="E872" s="2" t="str">
        <f>"1000017598"</f>
        <v>1000017598</v>
      </c>
      <c r="F872" s="2" t="str">
        <f>"INK CART:PRI Item # 53331-PRI, Primera Black ink Cartridge for Bravo II printer"</f>
        <v>INK CART:PRI Item # 53331-PRI, Primera Black ink Cartridge for Bravo II printer</v>
      </c>
      <c r="G872" s="3" t="str">
        <f t="shared" si="62"/>
        <v>EA</v>
      </c>
      <c r="H872" s="7">
        <v>43</v>
      </c>
      <c r="I872" s="2" t="str">
        <f t="shared" si="58"/>
        <v>44103105</v>
      </c>
      <c r="J872" s="10" t="s">
        <v>98</v>
      </c>
    </row>
    <row r="873" spans="1:10" ht="64.5">
      <c r="A873" s="24" t="s">
        <v>27</v>
      </c>
      <c r="B873" s="21" t="s">
        <v>31</v>
      </c>
      <c r="C873" s="21">
        <v>3204</v>
      </c>
      <c r="D873" s="21">
        <v>393</v>
      </c>
      <c r="E873" s="21" t="str">
        <f>"1000017659"</f>
        <v>1000017659</v>
      </c>
      <c r="F873" s="21" t="str">
        <f>"INK CART:SHA Item # UXC70B-SHR, UX-B 700 Inkjet Cartridge (Yld 600) Replaces FO-C60B-black inkjet cartridge designed for the Sharp FO-B1600 / UX-A1000 / UX-B20 inkjet fax machines"</f>
        <v>INK CART:SHA Item # UXC70B-SHR, UX-B 700 Inkjet Cartridge (Yld 600) Replaces FO-C60B-black inkjet cartridge designed for the Sharp FO-B1600 / UX-A1000 / UX-B20 inkjet fax machines</v>
      </c>
      <c r="G873" s="22" t="str">
        <f t="shared" si="62"/>
        <v>EA</v>
      </c>
      <c r="H873" s="23">
        <v>35</v>
      </c>
      <c r="I873" s="21" t="str">
        <f t="shared" si="58"/>
        <v>44103105</v>
      </c>
      <c r="J873" s="25" t="s">
        <v>98</v>
      </c>
    </row>
    <row r="874" spans="1:10" ht="39">
      <c r="A874" s="9" t="s">
        <v>27</v>
      </c>
      <c r="B874" s="2" t="s">
        <v>31</v>
      </c>
      <c r="C874" s="2">
        <v>3204</v>
      </c>
      <c r="D874" s="2">
        <v>394</v>
      </c>
      <c r="E874" s="2" t="str">
        <f>"1000017660"</f>
        <v>1000017660</v>
      </c>
      <c r="F874" s="2" t="str">
        <f>"INK CART:SHA Item # UXC80B-SHR, Sharp UXC80B black inkjet for UX-B800SE fax machine Fits Models: UXB800SE (Yld 480)"</f>
        <v>INK CART:SHA Item # UXC80B-SHR, Sharp UXC80B black inkjet for UX-B800SE fax machine Fits Models: UXB800SE (Yld 480)</v>
      </c>
      <c r="G874" s="3" t="str">
        <f t="shared" si="62"/>
        <v>EA</v>
      </c>
      <c r="H874" s="7">
        <v>37</v>
      </c>
      <c r="I874" s="2" t="str">
        <f t="shared" si="58"/>
        <v>44103105</v>
      </c>
      <c r="J874" s="10" t="s">
        <v>98</v>
      </c>
    </row>
    <row r="875" spans="1:10" ht="26.25">
      <c r="A875" s="24" t="s">
        <v>27</v>
      </c>
      <c r="B875" s="21" t="s">
        <v>31</v>
      </c>
      <c r="C875" s="21">
        <v>3204</v>
      </c>
      <c r="D875" s="21">
        <v>395</v>
      </c>
      <c r="E875" s="21" t="str">
        <f>"1000001378"</f>
        <v>1000001378</v>
      </c>
      <c r="F875" s="21" t="str">
        <f>"INK CART:XER Item # 108R00606-XER, Xerox Phaser 8400 Magenta Ink (Yld 3400) 3 pack"</f>
        <v>INK CART:XER Item # 108R00606-XER, Xerox Phaser 8400 Magenta Ink (Yld 3400) 3 pack</v>
      </c>
      <c r="G875" s="22" t="str">
        <f t="shared" ref="G875:G887" si="63">"PK"</f>
        <v>PK</v>
      </c>
      <c r="H875" s="23">
        <v>136</v>
      </c>
      <c r="I875" s="21" t="str">
        <f t="shared" si="58"/>
        <v>44103105</v>
      </c>
      <c r="J875" s="25" t="s">
        <v>98</v>
      </c>
    </row>
    <row r="876" spans="1:10" ht="26.25">
      <c r="A876" s="9" t="s">
        <v>27</v>
      </c>
      <c r="B876" s="2" t="s">
        <v>31</v>
      </c>
      <c r="C876" s="2">
        <v>3204</v>
      </c>
      <c r="D876" s="2">
        <v>396</v>
      </c>
      <c r="E876" s="2" t="str">
        <f>"1000000608"</f>
        <v>1000000608</v>
      </c>
      <c r="F876" s="2" t="str">
        <f>"INK CART:XER Item # 108R00607-XER. Xerox Phaser 8400 Yellow Ink, 3 pack"</f>
        <v>INK CART:XER Item # 108R00607-XER. Xerox Phaser 8400 Yellow Ink, 3 pack</v>
      </c>
      <c r="G876" s="3" t="str">
        <f t="shared" si="63"/>
        <v>PK</v>
      </c>
      <c r="H876" s="7">
        <v>136</v>
      </c>
      <c r="I876" s="2" t="str">
        <f t="shared" si="58"/>
        <v>44103105</v>
      </c>
      <c r="J876" s="10" t="s">
        <v>98</v>
      </c>
    </row>
    <row r="877" spans="1:10" ht="26.25">
      <c r="A877" s="9" t="s">
        <v>27</v>
      </c>
      <c r="B877" s="2" t="s">
        <v>31</v>
      </c>
      <c r="C877" s="2">
        <v>3204</v>
      </c>
      <c r="D877" s="2">
        <v>397</v>
      </c>
      <c r="E877" s="2" t="str">
        <f>"1000001185"</f>
        <v>1000001185</v>
      </c>
      <c r="F877" s="2" t="str">
        <f>"INK STICKS:XER Item # 108R00604-XER, Xerox Phaser 8400 Black Ink Sticks (Yld 3.4k) 3 pack"</f>
        <v>INK STICKS:XER Item # 108R00604-XER, Xerox Phaser 8400 Black Ink Sticks (Yld 3.4k) 3 pack</v>
      </c>
      <c r="G877" s="3" t="str">
        <f t="shared" si="63"/>
        <v>PK</v>
      </c>
      <c r="H877" s="7">
        <v>91</v>
      </c>
      <c r="I877" s="2" t="str">
        <f>"44103106"</f>
        <v>44103106</v>
      </c>
      <c r="J877" s="10" t="s">
        <v>100</v>
      </c>
    </row>
    <row r="878" spans="1:10" ht="39">
      <c r="A878" s="24" t="s">
        <v>27</v>
      </c>
      <c r="B878" s="21" t="s">
        <v>31</v>
      </c>
      <c r="C878" s="21">
        <v>3204</v>
      </c>
      <c r="D878" s="21">
        <v>398</v>
      </c>
      <c r="E878" s="21" t="str">
        <f>"1000017058"</f>
        <v>1000017058</v>
      </c>
      <c r="F878" s="21" t="str">
        <f>"INK STICK:XER Item # 108R00608-XER, Xerox Black Solid Ink Sticks for Xerox Phaser 8400, 6 per package (Yld 6.8k)"</f>
        <v>INK STICK:XER Item # 108R00608-XER, Xerox Black Solid Ink Sticks for Xerox Phaser 8400, 6 per package (Yld 6.8k)</v>
      </c>
      <c r="G878" s="22" t="str">
        <f t="shared" si="63"/>
        <v>PK</v>
      </c>
      <c r="H878" s="23">
        <v>147</v>
      </c>
      <c r="I878" s="21" t="str">
        <f t="shared" ref="I878:I883" si="64">"44103109"</f>
        <v>44103109</v>
      </c>
      <c r="J878" s="25" t="s">
        <v>94</v>
      </c>
    </row>
    <row r="879" spans="1:10" ht="39">
      <c r="A879" s="9" t="s">
        <v>27</v>
      </c>
      <c r="B879" s="2" t="s">
        <v>31</v>
      </c>
      <c r="C879" s="2">
        <v>3204</v>
      </c>
      <c r="D879" s="2">
        <v>399</v>
      </c>
      <c r="E879" s="2" t="str">
        <f>"1000017059"</f>
        <v>1000017059</v>
      </c>
      <c r="F879" s="2" t="str">
        <f>"INK STICK:XER Item # 108R00668-XER, Black Ink Stick Refills for Xerox Phaser 8500, 8550, 3 per package"</f>
        <v>INK STICK:XER Item # 108R00668-XER, Black Ink Stick Refills for Xerox Phaser 8500, 8550, 3 per package</v>
      </c>
      <c r="G879" s="3" t="str">
        <f t="shared" si="63"/>
        <v>PK</v>
      </c>
      <c r="H879" s="7">
        <v>70</v>
      </c>
      <c r="I879" s="2" t="str">
        <f t="shared" si="64"/>
        <v>44103109</v>
      </c>
      <c r="J879" s="10" t="s">
        <v>94</v>
      </c>
    </row>
    <row r="880" spans="1:10" ht="51.75">
      <c r="A880" s="24" t="s">
        <v>27</v>
      </c>
      <c r="B880" s="21" t="s">
        <v>31</v>
      </c>
      <c r="C880" s="21">
        <v>3204</v>
      </c>
      <c r="D880" s="21">
        <v>400</v>
      </c>
      <c r="E880" s="21" t="str">
        <f>"1000017060"</f>
        <v>1000017060</v>
      </c>
      <c r="F880" s="21" t="str">
        <f>"INK STICK:XER Item # 108R00669-XER, Cyan Ink Stick Refills for Xerox Phaser 8500 / 8500DN / 8500N / 8550 / 8550DP / 8550DT / 8550DX, 3 per package"</f>
        <v>INK STICK:XER Item # 108R00669-XER, Cyan Ink Stick Refills for Xerox Phaser 8500 / 8500DN / 8500N / 8550 / 8550DP / 8550DT / 8550DX, 3 per package</v>
      </c>
      <c r="G880" s="22" t="str">
        <f t="shared" si="63"/>
        <v>PK</v>
      </c>
      <c r="H880" s="23">
        <v>114</v>
      </c>
      <c r="I880" s="21" t="str">
        <f t="shared" si="64"/>
        <v>44103109</v>
      </c>
      <c r="J880" s="25" t="s">
        <v>94</v>
      </c>
    </row>
    <row r="881" spans="1:10" ht="51.75">
      <c r="A881" s="9" t="s">
        <v>27</v>
      </c>
      <c r="B881" s="2" t="s">
        <v>31</v>
      </c>
      <c r="C881" s="2">
        <v>3204</v>
      </c>
      <c r="D881" s="2">
        <v>401</v>
      </c>
      <c r="E881" s="2" t="str">
        <f>"1000017378"</f>
        <v>1000017378</v>
      </c>
      <c r="F881" s="2" t="str">
        <f>"INK STICK:XER Item # 108R00670-XER, Magenta Ink Stick Refills for Xerox Phaser 8500 / 8500DN / 8500N / 8550 / 8550DP / 8550DT / 8550DX, 3 per package"</f>
        <v>INK STICK:XER Item # 108R00670-XER, Magenta Ink Stick Refills for Xerox Phaser 8500 / 8500DN / 8500N / 8550 / 8550DP / 8550DT / 8550DX, 3 per package</v>
      </c>
      <c r="G881" s="3" t="str">
        <f t="shared" si="63"/>
        <v>PK</v>
      </c>
      <c r="H881" s="7">
        <v>110</v>
      </c>
      <c r="I881" s="2" t="str">
        <f t="shared" si="64"/>
        <v>44103109</v>
      </c>
      <c r="J881" s="10" t="s">
        <v>94</v>
      </c>
    </row>
    <row r="882" spans="1:10" ht="51.75">
      <c r="A882" s="24" t="s">
        <v>27</v>
      </c>
      <c r="B882" s="21" t="s">
        <v>31</v>
      </c>
      <c r="C882" s="21">
        <v>3204</v>
      </c>
      <c r="D882" s="21">
        <v>402</v>
      </c>
      <c r="E882" s="21" t="str">
        <f>"1000017379"</f>
        <v>1000017379</v>
      </c>
      <c r="F882" s="21" t="str">
        <f>"INK STICK:XER Item # 108R00671-XER, Yellow Ink Stick Refills for Xerox Phaser 8500 / 8500DN / 8500N / 8550 / 8550DP / 8550DT / 8550DX, 3 per package"</f>
        <v>INK STICK:XER Item # 108R00671-XER, Yellow Ink Stick Refills for Xerox Phaser 8500 / 8500DN / 8500N / 8550 / 8550DP / 8550DT / 8550DX, 3 per package</v>
      </c>
      <c r="G882" s="22" t="str">
        <f t="shared" si="63"/>
        <v>PK</v>
      </c>
      <c r="H882" s="23">
        <v>110</v>
      </c>
      <c r="I882" s="21" t="str">
        <f t="shared" si="64"/>
        <v>44103109</v>
      </c>
      <c r="J882" s="25" t="s">
        <v>94</v>
      </c>
    </row>
    <row r="883" spans="1:10" ht="51.75">
      <c r="A883" s="9" t="s">
        <v>27</v>
      </c>
      <c r="B883" s="2" t="s">
        <v>31</v>
      </c>
      <c r="C883" s="2">
        <v>3204</v>
      </c>
      <c r="D883" s="2">
        <v>403</v>
      </c>
      <c r="E883" s="2" t="str">
        <f>"1000017380"</f>
        <v>1000017380</v>
      </c>
      <c r="F883" s="2" t="str">
        <f>"INK STICK:XER Item # 108R00672-XER, Black Ink Stick Refills for Xerox Phaser 8500 / 8500DN / 8500N / 8550 / 8550DP / 8550DT / 8550DX, 6 per package"</f>
        <v>INK STICK:XER Item # 108R00672-XER, Black Ink Stick Refills for Xerox Phaser 8500 / 8500DN / 8500N / 8550 / 8550DP / 8550DT / 8550DX, 6 per package</v>
      </c>
      <c r="G883" s="3" t="str">
        <f t="shared" si="63"/>
        <v>PK</v>
      </c>
      <c r="H883" s="7">
        <v>106</v>
      </c>
      <c r="I883" s="2" t="str">
        <f t="shared" si="64"/>
        <v>44103109</v>
      </c>
      <c r="J883" s="10" t="s">
        <v>94</v>
      </c>
    </row>
    <row r="884" spans="1:10" ht="51.75">
      <c r="A884" s="24" t="s">
        <v>27</v>
      </c>
      <c r="B884" s="21" t="s">
        <v>31</v>
      </c>
      <c r="C884" s="21">
        <v>3204</v>
      </c>
      <c r="D884" s="21">
        <v>404</v>
      </c>
      <c r="E884" s="21" t="str">
        <f>"1000017381"</f>
        <v>1000017381</v>
      </c>
      <c r="F884" s="21" t="str">
        <f>"INK STICK:XER Item # 108R00723-XER, Xerox Cyan solid ink sticks, 3,400 page yield, 3 ink sticks per package for Xerox Phaser 8560, 8560MFP printers"</f>
        <v>INK STICK:XER Item # 108R00723-XER, Xerox Cyan solid ink sticks, 3,400 page yield, 3 ink sticks per package for Xerox Phaser 8560, 8560MFP printers</v>
      </c>
      <c r="G884" s="22" t="str">
        <f t="shared" si="63"/>
        <v>PK</v>
      </c>
      <c r="H884" s="23">
        <v>125.82</v>
      </c>
      <c r="I884" s="21" t="str">
        <f>"44103106"</f>
        <v>44103106</v>
      </c>
      <c r="J884" s="25" t="s">
        <v>100</v>
      </c>
    </row>
    <row r="885" spans="1:10" ht="51.75">
      <c r="A885" s="9" t="s">
        <v>27</v>
      </c>
      <c r="B885" s="2" t="s">
        <v>31</v>
      </c>
      <c r="C885" s="2">
        <v>3204</v>
      </c>
      <c r="D885" s="2">
        <v>405</v>
      </c>
      <c r="E885" s="2" t="str">
        <f>"1000017382"</f>
        <v>1000017382</v>
      </c>
      <c r="F885" s="2" t="str">
        <f>"INK STICK:XER Item # 108R00724-XER, Xerox Magenta solid ink sticks, 3,400 page yield, 3 ink sticks per package for Xerox Phaser 8560, 8560MFP printers"</f>
        <v>INK STICK:XER Item # 108R00724-XER, Xerox Magenta solid ink sticks, 3,400 page yield, 3 ink sticks per package for Xerox Phaser 8560, 8560MFP printers</v>
      </c>
      <c r="G885" s="3" t="str">
        <f t="shared" si="63"/>
        <v>PK</v>
      </c>
      <c r="H885" s="7">
        <v>127.66</v>
      </c>
      <c r="I885" s="2" t="str">
        <f>"44103106"</f>
        <v>44103106</v>
      </c>
      <c r="J885" s="10" t="s">
        <v>100</v>
      </c>
    </row>
    <row r="886" spans="1:10" ht="51.75">
      <c r="A886" s="24" t="s">
        <v>27</v>
      </c>
      <c r="B886" s="21" t="s">
        <v>31</v>
      </c>
      <c r="C886" s="21">
        <v>3204</v>
      </c>
      <c r="D886" s="21">
        <v>406</v>
      </c>
      <c r="E886" s="21" t="str">
        <f>"1000017383"</f>
        <v>1000017383</v>
      </c>
      <c r="F886" s="21" t="str">
        <f>"INK STICK:XER Item # 108R00725-XER, Xerox Yellow solid ink sticks, 3,400 page yield, 3 ink sticks per package for Xerox Phaser 8560, 8560MFP printers"</f>
        <v>INK STICK:XER Item # 108R00725-XER, Xerox Yellow solid ink sticks, 3,400 page yield, 3 ink sticks per package for Xerox Phaser 8560, 8560MFP printers</v>
      </c>
      <c r="G886" s="22" t="str">
        <f t="shared" si="63"/>
        <v>PK</v>
      </c>
      <c r="H886" s="23">
        <v>125.82</v>
      </c>
      <c r="I886" s="21" t="str">
        <f>"44103106"</f>
        <v>44103106</v>
      </c>
      <c r="J886" s="25" t="s">
        <v>100</v>
      </c>
    </row>
    <row r="887" spans="1:10" ht="51.75">
      <c r="A887" s="9" t="s">
        <v>27</v>
      </c>
      <c r="B887" s="2" t="s">
        <v>31</v>
      </c>
      <c r="C887" s="2">
        <v>3204</v>
      </c>
      <c r="D887" s="2">
        <v>407</v>
      </c>
      <c r="E887" s="2" t="str">
        <f>"1000017067"</f>
        <v>1000017067</v>
      </c>
      <c r="F887" s="2" t="str">
        <f>"INK STICK:XER Item # 108R00726-XER, Xerox Black solid ink sticks, 3,400 page yield, 3 ink sticks per package for Xerox Phaser 8560, 8560MFP printers"</f>
        <v>INK STICK:XER Item # 108R00726-XER, Xerox Black solid ink sticks, 3,400 page yield, 3 ink sticks per package for Xerox Phaser 8560, 8560MFP printers</v>
      </c>
      <c r="G887" s="3" t="str">
        <f t="shared" si="63"/>
        <v>PK</v>
      </c>
      <c r="H887" s="7">
        <v>81.99</v>
      </c>
      <c r="I887" s="2" t="str">
        <f>"44103106"</f>
        <v>44103106</v>
      </c>
      <c r="J887" s="10" t="s">
        <v>100</v>
      </c>
    </row>
    <row r="888" spans="1:10" ht="51.75">
      <c r="A888" s="9" t="s">
        <v>27</v>
      </c>
      <c r="B888" s="2" t="s">
        <v>31</v>
      </c>
      <c r="C888" s="2">
        <v>3204</v>
      </c>
      <c r="D888" s="2">
        <v>408</v>
      </c>
      <c r="E888" s="2" t="str">
        <f>"1000017068"</f>
        <v>1000017068</v>
      </c>
      <c r="F888" s="2" t="str">
        <f>"MAINT. KIT:HP Item # C3914-HEW, HP LaserJet 8100 Maintenance Kit,110V. Includes fuser assembly, transfer roller, eight feed separation rollers."</f>
        <v>MAINT. KIT:HP Item # C3914-HEW, HP LaserJet 8100 Maintenance Kit,110V. Includes fuser assembly, transfer roller, eight feed separation rollers.</v>
      </c>
      <c r="G888" s="3" t="str">
        <f t="shared" ref="G888:G899" si="65">"KT"</f>
        <v>KT</v>
      </c>
      <c r="H888" s="7">
        <v>424</v>
      </c>
      <c r="I888" s="2" t="str">
        <f>"44103125"</f>
        <v>44103125</v>
      </c>
      <c r="J888" s="10" t="s">
        <v>101</v>
      </c>
    </row>
    <row r="889" spans="1:10" ht="26.25">
      <c r="A889" s="24" t="s">
        <v>27</v>
      </c>
      <c r="B889" s="21" t="s">
        <v>31</v>
      </c>
      <c r="C889" s="21">
        <v>3204</v>
      </c>
      <c r="D889" s="21">
        <v>409</v>
      </c>
      <c r="E889" s="21" t="str">
        <f>"1000017069"</f>
        <v>1000017069</v>
      </c>
      <c r="F889" s="21" t="str">
        <f>"MAINT. KIT:HP Item # C411867902-HEW, HP 4000/4050 Maintenance Kit 110V (Yld 200k)"</f>
        <v>MAINT. KIT:HP Item # C411867902-HEW, HP 4000/4050 Maintenance Kit 110V (Yld 200k)</v>
      </c>
      <c r="G889" s="22" t="str">
        <f t="shared" si="65"/>
        <v>KT</v>
      </c>
      <c r="H889" s="23">
        <v>274</v>
      </c>
      <c r="I889" s="21">
        <v>44103125</v>
      </c>
      <c r="J889" s="25" t="s">
        <v>101</v>
      </c>
    </row>
    <row r="890" spans="1:10" ht="51.75">
      <c r="A890" s="9" t="s">
        <v>27</v>
      </c>
      <c r="B890" s="2" t="s">
        <v>31</v>
      </c>
      <c r="C890" s="2">
        <v>3204</v>
      </c>
      <c r="D890" s="2">
        <v>410</v>
      </c>
      <c r="E890" s="2" t="str">
        <f>"1000017070"</f>
        <v>1000017070</v>
      </c>
      <c r="F890" s="2" t="str">
        <f>"MAINT. KIT:HP Item # C8057A-HEW, HP Maintenance Kit for HP LaserJet 4100 includes three separation rollers, transfer roller, three paper feed rollers, pickup roller"</f>
        <v>MAINT. KIT:HP Item # C8057A-HEW, HP Maintenance Kit for HP LaserJet 4100 includes three separation rollers, transfer roller, three paper feed rollers, pickup roller</v>
      </c>
      <c r="G890" s="3" t="str">
        <f t="shared" si="65"/>
        <v>KT</v>
      </c>
      <c r="H890" s="7">
        <v>285</v>
      </c>
      <c r="I890" s="2" t="str">
        <f t="shared" ref="I890:I897" si="66">"44103125"</f>
        <v>44103125</v>
      </c>
      <c r="J890" s="10" t="s">
        <v>101</v>
      </c>
    </row>
    <row r="891" spans="1:10" ht="51.75">
      <c r="A891" s="24" t="s">
        <v>27</v>
      </c>
      <c r="B891" s="21" t="s">
        <v>31</v>
      </c>
      <c r="C891" s="21">
        <v>3204</v>
      </c>
      <c r="D891" s="21">
        <v>411</v>
      </c>
      <c r="E891" s="21" t="str">
        <f>"1000017071"</f>
        <v>1000017071</v>
      </c>
      <c r="F891" s="21" t="str">
        <f>"MAINT. KIT:HP Item # C9152A-HEW, HP LaserJet 9000 Maintenance Kit includes fusing assembly, seven feed/separation rollers, two pickup rollers and one transfer roller."</f>
        <v>MAINT. KIT:HP Item # C9152A-HEW, HP LaserJet 9000 Maintenance Kit includes fusing assembly, seven feed/separation rollers, two pickup rollers and one transfer roller.</v>
      </c>
      <c r="G891" s="22" t="str">
        <f t="shared" si="65"/>
        <v>KT</v>
      </c>
      <c r="H891" s="23">
        <v>462</v>
      </c>
      <c r="I891" s="21" t="str">
        <f t="shared" si="66"/>
        <v>44103125</v>
      </c>
      <c r="J891" s="25" t="s">
        <v>101</v>
      </c>
    </row>
    <row r="892" spans="1:10" ht="26.25">
      <c r="A892" s="9" t="s">
        <v>27</v>
      </c>
      <c r="B892" s="2" t="s">
        <v>31</v>
      </c>
      <c r="C892" s="2">
        <v>3204</v>
      </c>
      <c r="D892" s="2">
        <v>412</v>
      </c>
      <c r="E892" s="2" t="str">
        <f>"1000000705"</f>
        <v>1000000705</v>
      </c>
      <c r="F892" s="2" t="str">
        <f>"MAINT. KIT:HP Item # Q2429A-HEW, LaserJet 2300 Maintenance Kit, 110V"</f>
        <v>MAINT. KIT:HP Item # Q2429A-HEW, LaserJet 2300 Maintenance Kit, 110V</v>
      </c>
      <c r="G892" s="3" t="str">
        <f t="shared" si="65"/>
        <v>KT</v>
      </c>
      <c r="H892" s="7">
        <v>268</v>
      </c>
      <c r="I892" s="2" t="str">
        <f t="shared" si="66"/>
        <v>44103125</v>
      </c>
      <c r="J892" s="10" t="s">
        <v>101</v>
      </c>
    </row>
    <row r="893" spans="1:10" ht="64.5">
      <c r="A893" s="24" t="s">
        <v>27</v>
      </c>
      <c r="B893" s="21" t="s">
        <v>31</v>
      </c>
      <c r="C893" s="21">
        <v>3204</v>
      </c>
      <c r="D893" s="21">
        <v>413</v>
      </c>
      <c r="E893" s="21" t="str">
        <f>"1000000565"</f>
        <v>1000000565</v>
      </c>
      <c r="F893" s="21" t="str">
        <f>"MAINTEN. KIT: HP Item # Q5421A-HEW, HP maintenance kit. HP LaserJet 4250/4350 Series Printer includes fusing assembly, separation, transfer and feed roller for Tray 1, 2 feed rollers for 500 sheet tray."</f>
        <v>MAINTEN. KIT: HP Item # Q5421A-HEW, HP maintenance kit. HP LaserJet 4250/4350 Series Printer includes fusing assembly, separation, transfer and feed roller for Tray 1, 2 feed rollers for 500 sheet tray.</v>
      </c>
      <c r="G893" s="22" t="str">
        <f t="shared" si="65"/>
        <v>KT</v>
      </c>
      <c r="H893" s="23">
        <v>308</v>
      </c>
      <c r="I893" s="21" t="str">
        <f t="shared" si="66"/>
        <v>44103125</v>
      </c>
      <c r="J893" s="25" t="s">
        <v>101</v>
      </c>
    </row>
    <row r="894" spans="1:10" ht="26.25">
      <c r="A894" s="9" t="s">
        <v>27</v>
      </c>
      <c r="B894" s="2" t="s">
        <v>31</v>
      </c>
      <c r="C894" s="2">
        <v>3204</v>
      </c>
      <c r="D894" s="2">
        <v>414</v>
      </c>
      <c r="E894" s="2" t="str">
        <f>"1000017072"</f>
        <v>1000017072</v>
      </c>
      <c r="F894" s="2" t="str">
        <f>"MAINT. KIT:HP Item # Q5997A-HEW, Maintenance Kit for HP LaserJet 4345"</f>
        <v>MAINT. KIT:HP Item # Q5997A-HEW, Maintenance Kit for HP LaserJet 4345</v>
      </c>
      <c r="G894" s="3" t="str">
        <f t="shared" si="65"/>
        <v>KT</v>
      </c>
      <c r="H894" s="7">
        <v>105</v>
      </c>
      <c r="I894" s="2" t="str">
        <f t="shared" si="66"/>
        <v>44103125</v>
      </c>
      <c r="J894" s="10" t="s">
        <v>101</v>
      </c>
    </row>
    <row r="895" spans="1:10" ht="39">
      <c r="A895" s="24" t="s">
        <v>27</v>
      </c>
      <c r="B895" s="21" t="s">
        <v>31</v>
      </c>
      <c r="C895" s="21">
        <v>3204</v>
      </c>
      <c r="D895" s="21">
        <v>415</v>
      </c>
      <c r="E895" s="21" t="str">
        <f>"1000001862"</f>
        <v>1000001862</v>
      </c>
      <c r="F895" s="21" t="str">
        <f>"MAINT. KIT: XER Item # 108R00603-XER, Xerox Phaser 8400 Maintenance Kit, Extended Capacity (Yld 30k)"</f>
        <v>MAINT. KIT: XER Item # 108R00603-XER, Xerox Phaser 8400 Maintenance Kit, Extended Capacity (Yld 30k)</v>
      </c>
      <c r="G895" s="22" t="str">
        <f t="shared" si="65"/>
        <v>KT</v>
      </c>
      <c r="H895" s="23">
        <v>181</v>
      </c>
      <c r="I895" s="21" t="str">
        <f t="shared" si="66"/>
        <v>44103125</v>
      </c>
      <c r="J895" s="25" t="s">
        <v>101</v>
      </c>
    </row>
    <row r="896" spans="1:10" ht="39">
      <c r="A896" s="9" t="s">
        <v>27</v>
      </c>
      <c r="B896" s="2" t="s">
        <v>31</v>
      </c>
      <c r="C896" s="2">
        <v>3204</v>
      </c>
      <c r="D896" s="2">
        <v>416</v>
      </c>
      <c r="E896" s="2" t="str">
        <f>"1000016920"</f>
        <v>1000016920</v>
      </c>
      <c r="F896" s="2" t="str">
        <f>"MAINT. KIT:XER Item # 108R00675-XER, Maintenance Kit for Xerox Phaser 8500, 8550, 8560, 8560MFP Printers"</f>
        <v>MAINT. KIT:XER Item # 108R00675-XER, Maintenance Kit for Xerox Phaser 8500, 8550, 8560, 8560MFP Printers</v>
      </c>
      <c r="G896" s="3" t="str">
        <f t="shared" si="65"/>
        <v>KT</v>
      </c>
      <c r="H896" s="7">
        <v>137.65</v>
      </c>
      <c r="I896" s="2" t="str">
        <f t="shared" si="66"/>
        <v>44103125</v>
      </c>
      <c r="J896" s="10" t="s">
        <v>101</v>
      </c>
    </row>
    <row r="897" spans="1:10" ht="39">
      <c r="A897" s="24" t="s">
        <v>27</v>
      </c>
      <c r="B897" s="21" t="s">
        <v>31</v>
      </c>
      <c r="C897" s="21">
        <v>3204</v>
      </c>
      <c r="D897" s="21">
        <v>417</v>
      </c>
      <c r="E897" s="21" t="str">
        <f>"1000017073"</f>
        <v>1000017073</v>
      </c>
      <c r="F897" s="21" t="str">
        <f>"MAINT. KIT:XER Item # 108R00676-XER, Extended Capacity Maintenance Kit for Xerox Phaser 8500, 8550, 8560, 8560MFP Printers"</f>
        <v>MAINT. KIT:XER Item # 108R00676-XER, Extended Capacity Maintenance Kit for Xerox Phaser 8500, 8550, 8560, 8560MFP Printers</v>
      </c>
      <c r="G897" s="22" t="str">
        <f t="shared" si="65"/>
        <v>KT</v>
      </c>
      <c r="H897" s="23">
        <v>192.32</v>
      </c>
      <c r="I897" s="21" t="str">
        <f t="shared" si="66"/>
        <v>44103125</v>
      </c>
      <c r="J897" s="25" t="s">
        <v>101</v>
      </c>
    </row>
    <row r="898" spans="1:10" ht="39">
      <c r="A898" s="9" t="s">
        <v>27</v>
      </c>
      <c r="B898" s="2" t="s">
        <v>31</v>
      </c>
      <c r="C898" s="2">
        <v>3204</v>
      </c>
      <c r="D898" s="2">
        <v>418</v>
      </c>
      <c r="E898" s="2" t="str">
        <f>"1000016973"</f>
        <v>1000016973</v>
      </c>
      <c r="F898" s="2" t="str">
        <f>"PHOTOCONDUCTOR KIT:LEX # 12A8302-LEX, Lexmark Toner photoconductor kit for E232/ 232t/ 330/ 332n/ 332tn (Yld 30k)"</f>
        <v>PHOTOCONDUCTOR KIT:LEX # 12A8302-LEX, Lexmark Toner photoconductor kit for E232/ 232t/ 330/ 332n/ 332tn (Yld 30k)</v>
      </c>
      <c r="G898" s="3" t="str">
        <f t="shared" si="65"/>
        <v>KT</v>
      </c>
      <c r="H898" s="7">
        <v>75</v>
      </c>
      <c r="I898" s="2" t="str">
        <f>"44101706"</f>
        <v>44101706</v>
      </c>
      <c r="J898" s="10" t="s">
        <v>97</v>
      </c>
    </row>
    <row r="899" spans="1:10" ht="39">
      <c r="A899" s="24" t="s">
        <v>27</v>
      </c>
      <c r="B899" s="21" t="s">
        <v>31</v>
      </c>
      <c r="C899" s="21">
        <v>3204</v>
      </c>
      <c r="D899" s="21">
        <v>419</v>
      </c>
      <c r="E899" s="21" t="str">
        <f>"1000016972"</f>
        <v>1000016972</v>
      </c>
      <c r="F899" s="21" t="str">
        <f>"PHOTOCONDUCTOR KIT: LEX # 12L0251-LEX, Lexmark Photoconductor Kit for Optra W 810 (Yld 90k)"</f>
        <v>PHOTOCONDUCTOR KIT: LEX # 12L0251-LEX, Lexmark Photoconductor Kit for Optra W 810 (Yld 90k)</v>
      </c>
      <c r="G899" s="22" t="str">
        <f t="shared" si="65"/>
        <v>KT</v>
      </c>
      <c r="H899" s="23">
        <v>534</v>
      </c>
      <c r="I899" s="21" t="str">
        <f>"44101706"</f>
        <v>44101706</v>
      </c>
      <c r="J899" s="25" t="s">
        <v>97</v>
      </c>
    </row>
    <row r="900" spans="1:10" ht="39">
      <c r="A900" s="9" t="s">
        <v>27</v>
      </c>
      <c r="B900" s="2" t="s">
        <v>31</v>
      </c>
      <c r="C900" s="2">
        <v>3204</v>
      </c>
      <c r="D900" s="2">
        <v>420</v>
      </c>
      <c r="E900" s="2" t="str">
        <f>"1000016974"</f>
        <v>1000016974</v>
      </c>
      <c r="F900" s="2" t="str">
        <f>"PHOTOCONDUCTOR:LEX # 69G8257-LEX, Lexmark Photoconductor Unit for Lexmark Optra E/E+ (Yld 20k)"</f>
        <v>PHOTOCONDUCTOR:LEX # 69G8257-LEX, Lexmark Photoconductor Unit for Lexmark Optra E/E+ (Yld 20k)</v>
      </c>
      <c r="G900" s="3" t="str">
        <f t="shared" ref="G900:G916" si="67">"EA"</f>
        <v>EA</v>
      </c>
      <c r="H900" s="7">
        <v>134</v>
      </c>
      <c r="I900" s="2" t="str">
        <f>"44101706"</f>
        <v>44101706</v>
      </c>
      <c r="J900" s="10" t="s">
        <v>97</v>
      </c>
    </row>
    <row r="901" spans="1:10" ht="39">
      <c r="A901" s="24" t="s">
        <v>27</v>
      </c>
      <c r="B901" s="21" t="s">
        <v>31</v>
      </c>
      <c r="C901" s="21">
        <v>3204</v>
      </c>
      <c r="D901" s="21">
        <v>421</v>
      </c>
      <c r="E901" s="21" t="str">
        <f>"1000016922"</f>
        <v>1000016922</v>
      </c>
      <c r="F901" s="21" t="str">
        <f>"PHOTOCONDUCTOR:LEX Item # E250X22G-LEX, Photoconductor Unit for Lexmark E250, E350, E352, E450 Printers, 30,000 Yield."</f>
        <v>PHOTOCONDUCTOR:LEX Item # E250X22G-LEX, Photoconductor Unit for Lexmark E250, E350, E352, E450 Printers, 30,000 Yield.</v>
      </c>
      <c r="G901" s="22" t="str">
        <f t="shared" si="67"/>
        <v>EA</v>
      </c>
      <c r="H901" s="23">
        <v>46</v>
      </c>
      <c r="I901" s="21" t="str">
        <f>"44101706"</f>
        <v>44101706</v>
      </c>
      <c r="J901" s="25" t="s">
        <v>97</v>
      </c>
    </row>
    <row r="902" spans="1:10" ht="39">
      <c r="A902" s="9" t="s">
        <v>27</v>
      </c>
      <c r="B902" s="2" t="s">
        <v>31</v>
      </c>
      <c r="C902" s="2">
        <v>3204</v>
      </c>
      <c r="D902" s="2">
        <v>422</v>
      </c>
      <c r="E902" s="2" t="str">
        <f>"1000000011"</f>
        <v>1000000011</v>
      </c>
      <c r="F902" s="2" t="str">
        <f>"PRINTHEAD CLEANER: Item C4964A-HEW, No. 83 Lt Cyan printhead/cleaner Designjet 5000 Series, Designjet 5500 Series"</f>
        <v>PRINTHEAD CLEANER: Item C4964A-HEW, No. 83 Lt Cyan printhead/cleaner Designjet 5000 Series, Designjet 5500 Series</v>
      </c>
      <c r="G902" s="3" t="str">
        <f t="shared" si="67"/>
        <v>EA</v>
      </c>
      <c r="H902" s="7">
        <v>175.98</v>
      </c>
      <c r="I902" s="2" t="str">
        <f t="shared" ref="I902:I933" si="68">"44103110"</f>
        <v>44103110</v>
      </c>
      <c r="J902" s="10" t="s">
        <v>102</v>
      </c>
    </row>
    <row r="903" spans="1:10" ht="39">
      <c r="A903" s="24" t="s">
        <v>27</v>
      </c>
      <c r="B903" s="21" t="s">
        <v>31</v>
      </c>
      <c r="C903" s="21">
        <v>3204</v>
      </c>
      <c r="D903" s="21">
        <v>423</v>
      </c>
      <c r="E903" s="21" t="str">
        <f>"1000000012"</f>
        <v>1000000012</v>
      </c>
      <c r="F903" s="21" t="str">
        <f>"PRINTHEAD CLEANER: Item C4965A-HEW, No 83 Lt Magenta printhead/cleaner Designjet 5000 Series, Designjet 5500 Series"</f>
        <v>PRINTHEAD CLEANER: Item C4965A-HEW, No 83 Lt Magenta printhead/cleaner Designjet 5000 Series, Designjet 5500 Series</v>
      </c>
      <c r="G903" s="22" t="str">
        <f t="shared" si="67"/>
        <v>EA</v>
      </c>
      <c r="H903" s="23">
        <v>173.32</v>
      </c>
      <c r="I903" s="21" t="str">
        <f t="shared" si="68"/>
        <v>44103110</v>
      </c>
      <c r="J903" s="25" t="s">
        <v>102</v>
      </c>
    </row>
    <row r="904" spans="1:10" ht="51.75">
      <c r="A904" s="9" t="s">
        <v>27</v>
      </c>
      <c r="B904" s="2" t="s">
        <v>31</v>
      </c>
      <c r="C904" s="2">
        <v>3204</v>
      </c>
      <c r="D904" s="2">
        <v>424</v>
      </c>
      <c r="E904" s="2" t="str">
        <f>"1000016975"</f>
        <v>1000016975</v>
      </c>
      <c r="F904" s="2" t="str">
        <f>"PRINTHEAD:CAN Item # 0899A003-CAN, Canon BC-21E, Printhead with multicolor ink cartridge, BJC 2000/2010/2500/3000/4000 Series (Yld 2k)"</f>
        <v>PRINTHEAD:CAN Item # 0899A003-CAN, Canon BC-21E, Printhead with multicolor ink cartridge, BJC 2000/2010/2500/3000/4000 Series (Yld 2k)</v>
      </c>
      <c r="G904" s="3" t="str">
        <f t="shared" si="67"/>
        <v>EA</v>
      </c>
      <c r="H904" s="7">
        <v>56</v>
      </c>
      <c r="I904" s="2" t="str">
        <f t="shared" si="68"/>
        <v>44103110</v>
      </c>
      <c r="J904" s="10" t="s">
        <v>102</v>
      </c>
    </row>
    <row r="905" spans="1:10" ht="51.75">
      <c r="A905" s="24" t="s">
        <v>27</v>
      </c>
      <c r="B905" s="21" t="s">
        <v>31</v>
      </c>
      <c r="C905" s="21">
        <v>3204</v>
      </c>
      <c r="D905" s="21">
        <v>425</v>
      </c>
      <c r="E905" s="21" t="str">
        <f>"1000016959"</f>
        <v>1000016959</v>
      </c>
      <c r="F905" s="21" t="str">
        <f>"PRINTHEAD:HP Item # C4800A-HEW, HP No. 10 Printhead, Black for HP 2000C/2500C/DesignJet Colorpro GA/CAD (Yld 12k)"</f>
        <v>PRINTHEAD:HP Item # C4800A-HEW, HP No. 10 Printhead, Black for HP 2000C/2500C/DesignJet Colorpro GA/CAD (Yld 12k)</v>
      </c>
      <c r="G905" s="22" t="str">
        <f t="shared" si="67"/>
        <v>EA</v>
      </c>
      <c r="H905" s="23">
        <v>37</v>
      </c>
      <c r="I905" s="21" t="str">
        <f t="shared" si="68"/>
        <v>44103110</v>
      </c>
      <c r="J905" s="25" t="s">
        <v>102</v>
      </c>
    </row>
    <row r="906" spans="1:10" ht="39">
      <c r="A906" s="9" t="s">
        <v>27</v>
      </c>
      <c r="B906" s="2" t="s">
        <v>31</v>
      </c>
      <c r="C906" s="2">
        <v>3204</v>
      </c>
      <c r="D906" s="2">
        <v>426</v>
      </c>
      <c r="E906" s="2" t="str">
        <f>"1000016960"</f>
        <v>1000016960</v>
      </c>
      <c r="F906" s="2" t="str">
        <f>"PRINTHEAD:HP Item # C4801A-HEW, HP No. 10 Printhead, Cyan,(Yld 12k) for HP 2000C/2500C/DesignJet"</f>
        <v>PRINTHEAD:HP Item # C4801A-HEW, HP No. 10 Printhead, Cyan,(Yld 12k) for HP 2000C/2500C/DesignJet</v>
      </c>
      <c r="G906" s="3" t="str">
        <f t="shared" si="67"/>
        <v>EA</v>
      </c>
      <c r="H906" s="7">
        <v>36</v>
      </c>
      <c r="I906" s="2" t="str">
        <f t="shared" si="68"/>
        <v>44103110</v>
      </c>
      <c r="J906" s="10" t="s">
        <v>102</v>
      </c>
    </row>
    <row r="907" spans="1:10" ht="39">
      <c r="A907" s="24" t="s">
        <v>27</v>
      </c>
      <c r="B907" s="21" t="s">
        <v>31</v>
      </c>
      <c r="C907" s="21">
        <v>3204</v>
      </c>
      <c r="D907" s="21">
        <v>427</v>
      </c>
      <c r="E907" s="21" t="str">
        <f>"1000016961"</f>
        <v>1000016961</v>
      </c>
      <c r="F907" s="21" t="str">
        <f>"PRINTHEAD:HP Item # C4802A-HEW, HP No. 10 Printhead, Magenta, (Yld 12k) HP 2000C/2500C/DesignJet"</f>
        <v>PRINTHEAD:HP Item # C4802A-HEW, HP No. 10 Printhead, Magenta, (Yld 12k) HP 2000C/2500C/DesignJet</v>
      </c>
      <c r="G907" s="22" t="str">
        <f t="shared" si="67"/>
        <v>EA</v>
      </c>
      <c r="H907" s="23">
        <v>36</v>
      </c>
      <c r="I907" s="21" t="str">
        <f t="shared" si="68"/>
        <v>44103110</v>
      </c>
      <c r="J907" s="25" t="s">
        <v>102</v>
      </c>
    </row>
    <row r="908" spans="1:10" ht="39">
      <c r="A908" s="9" t="s">
        <v>27</v>
      </c>
      <c r="B908" s="2" t="s">
        <v>31</v>
      </c>
      <c r="C908" s="2">
        <v>3204</v>
      </c>
      <c r="D908" s="2">
        <v>428</v>
      </c>
      <c r="E908" s="2" t="str">
        <f>"1000016962"</f>
        <v>1000016962</v>
      </c>
      <c r="F908" s="2" t="str">
        <f>"PRINTHEAD:HP Item # C4803A-HEW, HP No. 10 Printhead, Yellow (Yld 12k) HP 2000C/2500C/DesignJet"</f>
        <v>PRINTHEAD:HP Item # C4803A-HEW, HP No. 10 Printhead, Yellow (Yld 12k) HP 2000C/2500C/DesignJet</v>
      </c>
      <c r="G908" s="3" t="str">
        <f t="shared" si="67"/>
        <v>EA</v>
      </c>
      <c r="H908" s="7">
        <v>36</v>
      </c>
      <c r="I908" s="2" t="str">
        <f t="shared" si="68"/>
        <v>44103110</v>
      </c>
      <c r="J908" s="10" t="s">
        <v>102</v>
      </c>
    </row>
    <row r="909" spans="1:10" ht="39">
      <c r="A909" s="24" t="s">
        <v>27</v>
      </c>
      <c r="B909" s="21" t="s">
        <v>31</v>
      </c>
      <c r="C909" s="21">
        <v>3204</v>
      </c>
      <c r="D909" s="21">
        <v>429</v>
      </c>
      <c r="E909" s="21" t="str">
        <f>"1000016963"</f>
        <v>1000016963</v>
      </c>
      <c r="F909" s="21" t="str">
        <f>"PRINTHEAD:HP Item # C4810A-HEW, HP No. 11 Printhead, Black for DesignJet 500/ 500PS/ 800/ 800PS/ DeskJet 2200/ 2250 (Yld 16k)"</f>
        <v>PRINTHEAD:HP Item # C4810A-HEW, HP No. 11 Printhead, Black for DesignJet 500/ 500PS/ 800/ 800PS/ DeskJet 2200/ 2250 (Yld 16k)</v>
      </c>
      <c r="G909" s="22" t="str">
        <f t="shared" si="67"/>
        <v>EA</v>
      </c>
      <c r="H909" s="23">
        <v>41.99</v>
      </c>
      <c r="I909" s="21" t="str">
        <f t="shared" si="68"/>
        <v>44103110</v>
      </c>
      <c r="J909" s="25" t="s">
        <v>102</v>
      </c>
    </row>
    <row r="910" spans="1:10" ht="39">
      <c r="A910" s="9" t="s">
        <v>27</v>
      </c>
      <c r="B910" s="2" t="s">
        <v>31</v>
      </c>
      <c r="C910" s="2">
        <v>3204</v>
      </c>
      <c r="D910" s="2">
        <v>430</v>
      </c>
      <c r="E910" s="2" t="str">
        <f>"1000016964"</f>
        <v>1000016964</v>
      </c>
      <c r="F910" s="2" t="str">
        <f>"PRINTHEAD:HP Item # C4811A-HEW, HP No. 11 Printhead, Cyan DesignJet 500/500PS/800/ 800PS/DeskJet 2200/2250, (Yld 24k)"</f>
        <v>PRINTHEAD:HP Item # C4811A-HEW, HP No. 11 Printhead, Cyan DesignJet 500/500PS/800/ 800PS/DeskJet 2200/2250, (Yld 24k)</v>
      </c>
      <c r="G910" s="3" t="str">
        <f t="shared" si="67"/>
        <v>EA</v>
      </c>
      <c r="H910" s="7">
        <v>41.99</v>
      </c>
      <c r="I910" s="2" t="str">
        <f t="shared" si="68"/>
        <v>44103110</v>
      </c>
      <c r="J910" s="10" t="s">
        <v>102</v>
      </c>
    </row>
    <row r="911" spans="1:10" ht="39">
      <c r="A911" s="24" t="s">
        <v>27</v>
      </c>
      <c r="B911" s="21" t="s">
        <v>31</v>
      </c>
      <c r="C911" s="21">
        <v>3204</v>
      </c>
      <c r="D911" s="21">
        <v>431</v>
      </c>
      <c r="E911" s="21" t="str">
        <f>"1000016965"</f>
        <v>1000016965</v>
      </c>
      <c r="F911" s="21" t="str">
        <f>"PRINTHEAD:HP Item # C4812A-HEW, HP No. 11 Printhead, Magenta, DesignJet 500/ 500PS/ 800/ 800PS/ DeskJet 2200/2250 (Yld 24k)"</f>
        <v>PRINTHEAD:HP Item # C4812A-HEW, HP No. 11 Printhead, Magenta, DesignJet 500/ 500PS/ 800/ 800PS/ DeskJet 2200/2250 (Yld 24k)</v>
      </c>
      <c r="G911" s="22" t="str">
        <f t="shared" si="67"/>
        <v>EA</v>
      </c>
      <c r="H911" s="23">
        <v>41.99</v>
      </c>
      <c r="I911" s="21" t="str">
        <f t="shared" si="68"/>
        <v>44103110</v>
      </c>
      <c r="J911" s="25" t="s">
        <v>102</v>
      </c>
    </row>
    <row r="912" spans="1:10" ht="39">
      <c r="A912" s="9" t="s">
        <v>27</v>
      </c>
      <c r="B912" s="2" t="s">
        <v>31</v>
      </c>
      <c r="C912" s="2">
        <v>3204</v>
      </c>
      <c r="D912" s="2">
        <v>432</v>
      </c>
      <c r="E912" s="2" t="str">
        <f>"1000016983"</f>
        <v>1000016983</v>
      </c>
      <c r="F912" s="2" t="str">
        <f>"PRINTHEAD:HP Item # C4813A-HEW, HP No. 11 Printhead, Yellow, DesignJet 500/ 500PS/ 800/ 800PS/ DeskJet 2200/2250 (Yld 24k)"</f>
        <v>PRINTHEAD:HP Item # C4813A-HEW, HP No. 11 Printhead, Yellow, DesignJet 500/ 500PS/ 800/ 800PS/ DeskJet 2200/2250 (Yld 24k)</v>
      </c>
      <c r="G912" s="3" t="str">
        <f t="shared" si="67"/>
        <v>EA</v>
      </c>
      <c r="H912" s="7">
        <v>41.99</v>
      </c>
      <c r="I912" s="2" t="str">
        <f t="shared" si="68"/>
        <v>44103110</v>
      </c>
      <c r="J912" s="10" t="s">
        <v>102</v>
      </c>
    </row>
    <row r="913" spans="1:10" ht="39">
      <c r="A913" s="24" t="s">
        <v>27</v>
      </c>
      <c r="B913" s="21" t="s">
        <v>31</v>
      </c>
      <c r="C913" s="21">
        <v>3204</v>
      </c>
      <c r="D913" s="21">
        <v>433</v>
      </c>
      <c r="E913" s="21" t="str">
        <f>"1000000243"</f>
        <v>1000000243</v>
      </c>
      <c r="F913" s="21" t="str">
        <f>"PRINTHEAD:HP Item # C4820A-HEW, No. 80 Printhead and Printhead Cleaner, Black, HP Design Jet 1000 1050C/1055CM"</f>
        <v>PRINTHEAD:HP Item # C4820A-HEW, No. 80 Printhead and Printhead Cleaner, Black, HP Design Jet 1000 1050C/1055CM</v>
      </c>
      <c r="G913" s="22" t="str">
        <f t="shared" si="67"/>
        <v>EA</v>
      </c>
      <c r="H913" s="23">
        <v>155.32</v>
      </c>
      <c r="I913" s="21" t="str">
        <f t="shared" si="68"/>
        <v>44103110</v>
      </c>
      <c r="J913" s="25" t="s">
        <v>102</v>
      </c>
    </row>
    <row r="914" spans="1:10" ht="39">
      <c r="A914" s="9" t="s">
        <v>27</v>
      </c>
      <c r="B914" s="2" t="s">
        <v>31</v>
      </c>
      <c r="C914" s="2">
        <v>3204</v>
      </c>
      <c r="D914" s="2">
        <v>434</v>
      </c>
      <c r="E914" s="2" t="str">
        <f>"1000000219"</f>
        <v>1000000219</v>
      </c>
      <c r="F914" s="2" t="str">
        <f>"PRINTHEAD:HP Item # C4821A-HEW, No. 80 Printhead and Printhead Cleaner, Cyan, Design Jet 1000 1050/1055CM"</f>
        <v>PRINTHEAD:HP Item # C4821A-HEW, No. 80 Printhead and Printhead Cleaner, Cyan, Design Jet 1000 1050/1055CM</v>
      </c>
      <c r="G914" s="3" t="str">
        <f t="shared" si="67"/>
        <v>EA</v>
      </c>
      <c r="H914" s="7">
        <v>157.66</v>
      </c>
      <c r="I914" s="2" t="str">
        <f t="shared" si="68"/>
        <v>44103110</v>
      </c>
      <c r="J914" s="10" t="s">
        <v>102</v>
      </c>
    </row>
    <row r="915" spans="1:10" ht="39">
      <c r="A915" s="24" t="s">
        <v>27</v>
      </c>
      <c r="B915" s="21" t="s">
        <v>31</v>
      </c>
      <c r="C915" s="21">
        <v>3204</v>
      </c>
      <c r="D915" s="21">
        <v>435</v>
      </c>
      <c r="E915" s="21" t="str">
        <f>"1000000220"</f>
        <v>1000000220</v>
      </c>
      <c r="F915" s="21" t="str">
        <f>"PRINTHEAD:HP Item # C4822A-HEW, No. 80 Printhead and Printhead Cleaner, Magenta, Design Jet 1000/1050/1055CM"</f>
        <v>PRINTHEAD:HP Item # C4822A-HEW, No. 80 Printhead and Printhead Cleaner, Magenta, Design Jet 1000/1050/1055CM</v>
      </c>
      <c r="G915" s="22" t="str">
        <f t="shared" si="67"/>
        <v>EA</v>
      </c>
      <c r="H915" s="23">
        <v>157.66</v>
      </c>
      <c r="I915" s="21" t="str">
        <f t="shared" si="68"/>
        <v>44103110</v>
      </c>
      <c r="J915" s="25" t="s">
        <v>102</v>
      </c>
    </row>
    <row r="916" spans="1:10" ht="39">
      <c r="A916" s="9" t="s">
        <v>27</v>
      </c>
      <c r="B916" s="2" t="s">
        <v>31</v>
      </c>
      <c r="C916" s="2">
        <v>3204</v>
      </c>
      <c r="D916" s="2">
        <v>436</v>
      </c>
      <c r="E916" s="2" t="str">
        <f>"1000001337"</f>
        <v>1000001337</v>
      </c>
      <c r="F916" s="2" t="str">
        <f>"PRINTHEAD:HP Item # C4823A-HEW, No. 80 Printhead and Printhead Cleaner, Yellow, Design Jet 1000/1050/1055CM"</f>
        <v>PRINTHEAD:HP Item # C4823A-HEW, No. 80 Printhead and Printhead Cleaner, Yellow, Design Jet 1000/1050/1055CM</v>
      </c>
      <c r="G916" s="3" t="str">
        <f t="shared" si="67"/>
        <v>EA</v>
      </c>
      <c r="H916" s="7">
        <v>157.66</v>
      </c>
      <c r="I916" s="2" t="str">
        <f t="shared" si="68"/>
        <v>44103110</v>
      </c>
      <c r="J916" s="10" t="s">
        <v>102</v>
      </c>
    </row>
    <row r="917" spans="1:10" ht="39">
      <c r="A917" s="24" t="s">
        <v>27</v>
      </c>
      <c r="B917" s="21" t="s">
        <v>31</v>
      </c>
      <c r="C917" s="21">
        <v>3204</v>
      </c>
      <c r="D917" s="21">
        <v>437</v>
      </c>
      <c r="E917" s="21" t="str">
        <f>"1000000606"</f>
        <v>1000000606</v>
      </c>
      <c r="F917" s="21" t="str">
        <f>"PRINTHEAD:HP Item # C4890A-HEW, No. 80 Value Pack, Black (350 ml Ink Ctg, Printhead, Printhead Cleaner), DesignJet 1000 Series"</f>
        <v>PRINTHEAD:HP Item # C4890A-HEW, No. 80 Value Pack, Black (350 ml Ink Ctg, Printhead, Printhead Cleaner), DesignJet 1000 Series</v>
      </c>
      <c r="G917" s="22" t="str">
        <f>"PK"</f>
        <v>PK</v>
      </c>
      <c r="H917" s="23">
        <v>236</v>
      </c>
      <c r="I917" s="21" t="str">
        <f t="shared" si="68"/>
        <v>44103110</v>
      </c>
      <c r="J917" s="25" t="s">
        <v>102</v>
      </c>
    </row>
    <row r="918" spans="1:10" ht="39">
      <c r="A918" s="9" t="s">
        <v>27</v>
      </c>
      <c r="B918" s="2" t="s">
        <v>31</v>
      </c>
      <c r="C918" s="2">
        <v>3204</v>
      </c>
      <c r="D918" s="2">
        <v>438</v>
      </c>
      <c r="E918" s="2" t="str">
        <f>"1000000607"</f>
        <v>1000000607</v>
      </c>
      <c r="F918" s="2" t="str">
        <f>"PRINTHEAD:HP Item # C4891A-HEW, No. 80 Value Pack, Cyan (350 ml Ink Ctg, printhead and printhead cleaner)"</f>
        <v>PRINTHEAD:HP Item # C4891A-HEW, No. 80 Value Pack, Cyan (350 ml Ink Ctg, printhead and printhead cleaner)</v>
      </c>
      <c r="G918" s="3" t="str">
        <f>"PK"</f>
        <v>PK</v>
      </c>
      <c r="H918" s="7">
        <v>246</v>
      </c>
      <c r="I918" s="2" t="str">
        <f t="shared" si="68"/>
        <v>44103110</v>
      </c>
      <c r="J918" s="10" t="s">
        <v>102</v>
      </c>
    </row>
    <row r="919" spans="1:10" ht="39">
      <c r="A919" s="24" t="s">
        <v>27</v>
      </c>
      <c r="B919" s="21" t="s">
        <v>31</v>
      </c>
      <c r="C919" s="21">
        <v>3204</v>
      </c>
      <c r="D919" s="21">
        <v>439</v>
      </c>
      <c r="E919" s="21" t="str">
        <f>"1000001521"</f>
        <v>1000001521</v>
      </c>
      <c r="F919" s="21" t="str">
        <f>"PRINTHEAD:HP Item # C4893A-HEW, No. 80 Value Pack, Yellow (350 ml Ink Ctg, Printhead, Printhead Cleaner), DesignJet 1000 Series"</f>
        <v>PRINTHEAD:HP Item # C4893A-HEW, No. 80 Value Pack, Yellow (350 ml Ink Ctg, Printhead, Printhead Cleaner), DesignJet 1000 Series</v>
      </c>
      <c r="G919" s="22" t="str">
        <f>"PK"</f>
        <v>PK</v>
      </c>
      <c r="H919" s="23">
        <v>254</v>
      </c>
      <c r="I919" s="21" t="str">
        <f t="shared" si="68"/>
        <v>44103110</v>
      </c>
      <c r="J919" s="25" t="s">
        <v>102</v>
      </c>
    </row>
    <row r="920" spans="1:10" ht="26.25">
      <c r="A920" s="9" t="s">
        <v>27</v>
      </c>
      <c r="B920" s="2" t="s">
        <v>31</v>
      </c>
      <c r="C920" s="2">
        <v>3204</v>
      </c>
      <c r="D920" s="2">
        <v>440</v>
      </c>
      <c r="E920" s="2" t="str">
        <f>"1000017009"</f>
        <v>1000017009</v>
      </c>
      <c r="F920" s="2" t="str">
        <f>"PRINTHEAD:HP Item # C4920A-HEW, HP No. 14 Printhead, Black, for CP 1160 Series, (Yld 8ml)"</f>
        <v>PRINTHEAD:HP Item # C4920A-HEW, HP No. 14 Printhead, Black, for CP 1160 Series, (Yld 8ml)</v>
      </c>
      <c r="G920" s="3" t="str">
        <f t="shared" ref="G920:G928" si="69">"EA"</f>
        <v>EA</v>
      </c>
      <c r="H920" s="7">
        <v>38</v>
      </c>
      <c r="I920" s="2" t="str">
        <f t="shared" si="68"/>
        <v>44103110</v>
      </c>
      <c r="J920" s="10" t="s">
        <v>102</v>
      </c>
    </row>
    <row r="921" spans="1:10" ht="26.25">
      <c r="A921" s="24" t="s">
        <v>27</v>
      </c>
      <c r="B921" s="21" t="s">
        <v>31</v>
      </c>
      <c r="C921" s="21">
        <v>3204</v>
      </c>
      <c r="D921" s="21">
        <v>441</v>
      </c>
      <c r="E921" s="21" t="str">
        <f>"1000016985"</f>
        <v>1000016985</v>
      </c>
      <c r="F921" s="21" t="str">
        <f>"PRINTHEAD:HP Item # C4921A-HEW, HP No. 14 Printhead, Cyan, CP 1160 Series (Yld 30k)"</f>
        <v>PRINTHEAD:HP Item # C4921A-HEW, HP No. 14 Printhead, Cyan, CP 1160 Series (Yld 30k)</v>
      </c>
      <c r="G921" s="22" t="str">
        <f t="shared" si="69"/>
        <v>EA</v>
      </c>
      <c r="H921" s="23">
        <v>38</v>
      </c>
      <c r="I921" s="21" t="str">
        <f t="shared" si="68"/>
        <v>44103110</v>
      </c>
      <c r="J921" s="25" t="s">
        <v>102</v>
      </c>
    </row>
    <row r="922" spans="1:10" ht="26.25">
      <c r="A922" s="9" t="s">
        <v>27</v>
      </c>
      <c r="B922" s="2" t="s">
        <v>31</v>
      </c>
      <c r="C922" s="2">
        <v>3204</v>
      </c>
      <c r="D922" s="2">
        <v>442</v>
      </c>
      <c r="E922" s="2" t="str">
        <f>"1000016986"</f>
        <v>1000016986</v>
      </c>
      <c r="F922" s="2" t="str">
        <f>"PRINTHEAD:HP Item # C4922A-HEW, HP No. 14 Printhead, Magenta, CP 1160 Series, (Yld 30k)"</f>
        <v>PRINTHEAD:HP Item # C4922A-HEW, HP No. 14 Printhead, Magenta, CP 1160 Series, (Yld 30k)</v>
      </c>
      <c r="G922" s="3" t="str">
        <f t="shared" si="69"/>
        <v>EA</v>
      </c>
      <c r="H922" s="7">
        <v>38</v>
      </c>
      <c r="I922" s="2" t="str">
        <f t="shared" si="68"/>
        <v>44103110</v>
      </c>
      <c r="J922" s="10" t="s">
        <v>102</v>
      </c>
    </row>
    <row r="923" spans="1:10" ht="26.25">
      <c r="A923" s="24" t="s">
        <v>27</v>
      </c>
      <c r="B923" s="21" t="s">
        <v>31</v>
      </c>
      <c r="C923" s="21">
        <v>3204</v>
      </c>
      <c r="D923" s="21">
        <v>443</v>
      </c>
      <c r="E923" s="21" t="str">
        <f>"1000016987"</f>
        <v>1000016987</v>
      </c>
      <c r="F923" s="21" t="str">
        <f>"PRINTHEAD:HP Item # C4923A-HEW, HP No. 14 Printhead, Yellow, CP 1160 Series (Yld 30k)"</f>
        <v>PRINTHEAD:HP Item # C4923A-HEW, HP No. 14 Printhead, Yellow, CP 1160 Series (Yld 30k)</v>
      </c>
      <c r="G923" s="22" t="str">
        <f t="shared" si="69"/>
        <v>EA</v>
      </c>
      <c r="H923" s="23">
        <v>38</v>
      </c>
      <c r="I923" s="21" t="str">
        <f t="shared" si="68"/>
        <v>44103110</v>
      </c>
      <c r="J923" s="25" t="s">
        <v>102</v>
      </c>
    </row>
    <row r="924" spans="1:10" ht="26.25">
      <c r="A924" s="9" t="s">
        <v>27</v>
      </c>
      <c r="B924" s="2" t="s">
        <v>31</v>
      </c>
      <c r="C924" s="2">
        <v>3204</v>
      </c>
      <c r="D924" s="2">
        <v>444</v>
      </c>
      <c r="E924" s="2" t="str">
        <f>"1000016923"</f>
        <v>1000016923</v>
      </c>
      <c r="F924" s="2" t="str">
        <f>"PRINTHEAD:HP Item # C4954A-HEW, HP DeskJet 5000 No. 81 Printhead and cleaner, Light Cyan"</f>
        <v>PRINTHEAD:HP Item # C4954A-HEW, HP DeskJet 5000 No. 81 Printhead and cleaner, Light Cyan</v>
      </c>
      <c r="G924" s="3" t="str">
        <f t="shared" si="69"/>
        <v>EA</v>
      </c>
      <c r="H924" s="7">
        <v>154</v>
      </c>
      <c r="I924" s="2" t="str">
        <f t="shared" si="68"/>
        <v>44103110</v>
      </c>
      <c r="J924" s="10" t="s">
        <v>102</v>
      </c>
    </row>
    <row r="925" spans="1:10" ht="39">
      <c r="A925" s="24" t="s">
        <v>27</v>
      </c>
      <c r="B925" s="21" t="s">
        <v>31</v>
      </c>
      <c r="C925" s="21">
        <v>3204</v>
      </c>
      <c r="D925" s="21">
        <v>445</v>
      </c>
      <c r="E925" s="21" t="str">
        <f>"1000016932"</f>
        <v>1000016932</v>
      </c>
      <c r="F925" s="21" t="str">
        <f>"PRINTHEAD:HP Item # C4955A-HEW, HP DeskJet 5000 No. 81 Printhead and cleaner, Light Magenta"</f>
        <v>PRINTHEAD:HP Item # C4955A-HEW, HP DeskJet 5000 No. 81 Printhead and cleaner, Light Magenta</v>
      </c>
      <c r="G925" s="22" t="str">
        <f t="shared" si="69"/>
        <v>EA</v>
      </c>
      <c r="H925" s="23">
        <v>150</v>
      </c>
      <c r="I925" s="21" t="str">
        <f t="shared" si="68"/>
        <v>44103110</v>
      </c>
      <c r="J925" s="25" t="s">
        <v>102</v>
      </c>
    </row>
    <row r="926" spans="1:10" ht="39">
      <c r="A926" s="9" t="s">
        <v>27</v>
      </c>
      <c r="B926" s="2" t="s">
        <v>31</v>
      </c>
      <c r="C926" s="2">
        <v>3204</v>
      </c>
      <c r="D926" s="2">
        <v>446</v>
      </c>
      <c r="E926" s="2" t="str">
        <f>"1000016966"</f>
        <v>1000016966</v>
      </c>
      <c r="F926" s="2" t="str">
        <f>"PRINTHEAD:HP Item # C4960A-HEW, HP No. 83 Black printhead/cleaner Wide Format Printers Designjet 5000 Series, Designjet 5500 Series"</f>
        <v>PRINTHEAD:HP Item # C4960A-HEW, HP No. 83 Black printhead/cleaner Wide Format Printers Designjet 5000 Series, Designjet 5500 Series</v>
      </c>
      <c r="G926" s="3" t="str">
        <f t="shared" si="69"/>
        <v>EA</v>
      </c>
      <c r="H926" s="7">
        <v>174.82</v>
      </c>
      <c r="I926" s="2" t="str">
        <f t="shared" si="68"/>
        <v>44103110</v>
      </c>
      <c r="J926" s="10" t="s">
        <v>102</v>
      </c>
    </row>
    <row r="927" spans="1:10" ht="51.75">
      <c r="A927" s="24" t="s">
        <v>27</v>
      </c>
      <c r="B927" s="21" t="s">
        <v>31</v>
      </c>
      <c r="C927" s="21">
        <v>3204</v>
      </c>
      <c r="D927" s="21">
        <v>447</v>
      </c>
      <c r="E927" s="21" t="str">
        <f>"1000016967"</f>
        <v>1000016967</v>
      </c>
      <c r="F927" s="21" t="str">
        <f>"PRINTHEAD:HP Item # C4961A-HEW, HP No. 83 Cyan printhead/cleaner for Wide format printers designjet 5000 series and Designjet 5500 series"</f>
        <v>PRINTHEAD:HP Item # C4961A-HEW, HP No. 83 Cyan printhead/cleaner for Wide format printers designjet 5000 series and Designjet 5500 series</v>
      </c>
      <c r="G927" s="22" t="str">
        <f t="shared" si="69"/>
        <v>EA</v>
      </c>
      <c r="H927" s="23">
        <v>178.32</v>
      </c>
      <c r="I927" s="21" t="str">
        <f t="shared" si="68"/>
        <v>44103110</v>
      </c>
      <c r="J927" s="25" t="s">
        <v>102</v>
      </c>
    </row>
    <row r="928" spans="1:10" ht="39">
      <c r="A928" s="9" t="s">
        <v>27</v>
      </c>
      <c r="B928" s="2" t="s">
        <v>31</v>
      </c>
      <c r="C928" s="2">
        <v>3204</v>
      </c>
      <c r="D928" s="2">
        <v>448</v>
      </c>
      <c r="E928" s="2" t="str">
        <f>"1000016968"</f>
        <v>1000016968</v>
      </c>
      <c r="F928" s="2" t="str">
        <f>"PRINTHEAD:HP Item # C4962A-HEW, HP No. 83 Magenta printhead/cleaner Designjet 5000 Series, Designjet 5500 Series"</f>
        <v>PRINTHEAD:HP Item # C4962A-HEW, HP No. 83 Magenta printhead/cleaner Designjet 5000 Series, Designjet 5500 Series</v>
      </c>
      <c r="G928" s="3" t="str">
        <f t="shared" si="69"/>
        <v>EA</v>
      </c>
      <c r="H928" s="7">
        <v>178.32</v>
      </c>
      <c r="I928" s="2" t="str">
        <f t="shared" si="68"/>
        <v>44103110</v>
      </c>
      <c r="J928" s="10" t="s">
        <v>102</v>
      </c>
    </row>
    <row r="929" spans="1:10" ht="51.75">
      <c r="A929" s="24" t="s">
        <v>27</v>
      </c>
      <c r="B929" s="21" t="s">
        <v>31</v>
      </c>
      <c r="C929" s="21">
        <v>3204</v>
      </c>
      <c r="D929" s="21">
        <v>449</v>
      </c>
      <c r="E929" s="21" t="str">
        <f>"1000016969"</f>
        <v>1000016969</v>
      </c>
      <c r="F929" s="21" t="str">
        <f>"PRINTHEAD:HP Item # C4990A-HEW, HP No. 81 Ink Cartridge. HP Ink Black Value Pack Cartridge/ Printhead/ Cleaner for Designjet 5000/ 5500 Series"</f>
        <v>PRINTHEAD:HP Item # C4990A-HEW, HP No. 81 Ink Cartridge. HP Ink Black Value Pack Cartridge/ Printhead/ Cleaner for Designjet 5000/ 5500 Series</v>
      </c>
      <c r="G929" s="22" t="str">
        <f t="shared" ref="G929:G934" si="70">"PK"</f>
        <v>PK</v>
      </c>
      <c r="H929" s="23">
        <v>374</v>
      </c>
      <c r="I929" s="21" t="str">
        <f t="shared" si="68"/>
        <v>44103110</v>
      </c>
      <c r="J929" s="25" t="s">
        <v>102</v>
      </c>
    </row>
    <row r="930" spans="1:10" ht="51.75">
      <c r="A930" s="9" t="s">
        <v>27</v>
      </c>
      <c r="B930" s="2" t="s">
        <v>31</v>
      </c>
      <c r="C930" s="2">
        <v>3204</v>
      </c>
      <c r="D930" s="2">
        <v>450</v>
      </c>
      <c r="E930" s="2" t="str">
        <f>"1000016970"</f>
        <v>1000016970</v>
      </c>
      <c r="F930" s="2" t="str">
        <f>"PRINTHEAD:HP Item # C4991A-HEW, HP No. 81 Ink Cartridge. HP Ink Cyan Value Pack Cartridge/ Printhead/ Cleaner for Designjet 5000/ 5500 Series"</f>
        <v>PRINTHEAD:HP Item # C4991A-HEW, HP No. 81 Ink Cartridge. HP Ink Cyan Value Pack Cartridge/ Printhead/ Cleaner for Designjet 5000/ 5500 Series</v>
      </c>
      <c r="G930" s="3" t="str">
        <f t="shared" si="70"/>
        <v>PK</v>
      </c>
      <c r="H930" s="7">
        <v>374</v>
      </c>
      <c r="I930" s="2" t="str">
        <f t="shared" si="68"/>
        <v>44103110</v>
      </c>
      <c r="J930" s="10" t="s">
        <v>102</v>
      </c>
    </row>
    <row r="931" spans="1:10" ht="51.75">
      <c r="A931" s="24" t="s">
        <v>27</v>
      </c>
      <c r="B931" s="21" t="s">
        <v>31</v>
      </c>
      <c r="C931" s="21">
        <v>3204</v>
      </c>
      <c r="D931" s="21">
        <v>451</v>
      </c>
      <c r="E931" s="21" t="str">
        <f>"1000016997"</f>
        <v>1000016997</v>
      </c>
      <c r="F931" s="21" t="str">
        <f>"PRINTHEAD:HP Item # C4992A-HEW, HP No. 81 Ink Cartridge. HP Ink Magenta Value Pack Cartridge/ Printhead/ Cleaner for Designjet 5000/ 5500 Series"</f>
        <v>PRINTHEAD:HP Item # C4992A-HEW, HP No. 81 Ink Cartridge. HP Ink Magenta Value Pack Cartridge/ Printhead/ Cleaner for Designjet 5000/ 5500 Series</v>
      </c>
      <c r="G931" s="22" t="str">
        <f t="shared" si="70"/>
        <v>PK</v>
      </c>
      <c r="H931" s="23">
        <v>374</v>
      </c>
      <c r="I931" s="21" t="str">
        <f t="shared" si="68"/>
        <v>44103110</v>
      </c>
      <c r="J931" s="25" t="s">
        <v>102</v>
      </c>
    </row>
    <row r="932" spans="1:10" ht="51.75">
      <c r="A932" s="9" t="s">
        <v>27</v>
      </c>
      <c r="B932" s="2" t="s">
        <v>31</v>
      </c>
      <c r="C932" s="2">
        <v>3204</v>
      </c>
      <c r="D932" s="2">
        <v>452</v>
      </c>
      <c r="E932" s="2" t="str">
        <f>"1000016988"</f>
        <v>1000016988</v>
      </c>
      <c r="F932" s="2" t="str">
        <f>"PRINTHEAD:HP Item # C4993A-HEW, HP No. 81 Ink Cartridge. HP Ink Yellow Value Pack Cartridge/ Printhead/ Cleaner for Designjet 5000/ 5500 Series"</f>
        <v>PRINTHEAD:HP Item # C4993A-HEW, HP No. 81 Ink Cartridge. HP Ink Yellow Value Pack Cartridge/ Printhead/ Cleaner for Designjet 5000/ 5500 Series</v>
      </c>
      <c r="G932" s="3" t="str">
        <f t="shared" si="70"/>
        <v>PK</v>
      </c>
      <c r="H932" s="7">
        <v>334</v>
      </c>
      <c r="I932" s="2" t="str">
        <f t="shared" si="68"/>
        <v>44103110</v>
      </c>
      <c r="J932" s="10" t="s">
        <v>102</v>
      </c>
    </row>
    <row r="933" spans="1:10" ht="51.75">
      <c r="A933" s="24" t="s">
        <v>27</v>
      </c>
      <c r="B933" s="21" t="s">
        <v>31</v>
      </c>
      <c r="C933" s="21">
        <v>3204</v>
      </c>
      <c r="D933" s="21">
        <v>453</v>
      </c>
      <c r="E933" s="21" t="str">
        <f>"1000016989"</f>
        <v>1000016989</v>
      </c>
      <c r="F933" s="21" t="str">
        <f>"PRINTHEAD:HP Item # C4994A-HEW, HP No. 81 Ink Cartridge. HP Ink Light Cyan Value Pack Cartridge/ Printhead/ Cleaner for Designjet 5000/ 5500 Series"</f>
        <v>PRINTHEAD:HP Item # C4994A-HEW, HP No. 81 Ink Cartridge. HP Ink Light Cyan Value Pack Cartridge/ Printhead/ Cleaner for Designjet 5000/ 5500 Series</v>
      </c>
      <c r="G933" s="22" t="str">
        <f t="shared" si="70"/>
        <v>PK</v>
      </c>
      <c r="H933" s="23">
        <v>374</v>
      </c>
      <c r="I933" s="21" t="str">
        <f t="shared" si="68"/>
        <v>44103110</v>
      </c>
      <c r="J933" s="25" t="s">
        <v>102</v>
      </c>
    </row>
    <row r="934" spans="1:10" ht="51.75">
      <c r="A934" s="9" t="s">
        <v>27</v>
      </c>
      <c r="B934" s="2" t="s">
        <v>31</v>
      </c>
      <c r="C934" s="2">
        <v>3204</v>
      </c>
      <c r="D934" s="2">
        <v>454</v>
      </c>
      <c r="E934" s="2" t="str">
        <f>"1000016990"</f>
        <v>1000016990</v>
      </c>
      <c r="F934" s="2" t="str">
        <f>"PRINTHEAD:HP Item # C4995A-HEW, HP No. 81 Ink Cartridge. HP Ink Light Magenta Value Pack Cartridge/ Printhead/ Cleaner for Designjet 5000/ 5500 Series"</f>
        <v>PRINTHEAD:HP Item # C4995A-HEW, HP No. 81 Ink Cartridge. HP Ink Light Magenta Value Pack Cartridge/ Printhead/ Cleaner for Designjet 5000/ 5500 Series</v>
      </c>
      <c r="G934" s="3" t="str">
        <f t="shared" si="70"/>
        <v>PK</v>
      </c>
      <c r="H934" s="7">
        <v>371</v>
      </c>
      <c r="I934" s="2" t="str">
        <f t="shared" ref="I934:I958" si="71">"44103110"</f>
        <v>44103110</v>
      </c>
      <c r="J934" s="10" t="s">
        <v>102</v>
      </c>
    </row>
    <row r="935" spans="1:10" ht="39">
      <c r="A935" s="24" t="s">
        <v>27</v>
      </c>
      <c r="B935" s="21" t="s">
        <v>31</v>
      </c>
      <c r="C935" s="21">
        <v>3204</v>
      </c>
      <c r="D935" s="21">
        <v>455</v>
      </c>
      <c r="E935" s="21" t="str">
        <f>"1000016991"</f>
        <v>1000016991</v>
      </c>
      <c r="F935" s="21" t="str">
        <f>"PRINTHEAD:HP Item # C5019A-HEW, HP Black Printhead, High Resolution for DesignJet 10PS/20PS/50PS HP 120 Ctg,"</f>
        <v>PRINTHEAD:HP Item # C5019A-HEW, HP Black Printhead, High Resolution for DesignJet 10PS/20PS/50PS HP 120 Ctg,</v>
      </c>
      <c r="G935" s="22" t="str">
        <f>"EA"</f>
        <v>EA</v>
      </c>
      <c r="H935" s="23">
        <v>41</v>
      </c>
      <c r="I935" s="21" t="str">
        <f t="shared" si="71"/>
        <v>44103110</v>
      </c>
      <c r="J935" s="25" t="s">
        <v>102</v>
      </c>
    </row>
    <row r="936" spans="1:10" ht="39">
      <c r="A936" s="9" t="s">
        <v>27</v>
      </c>
      <c r="B936" s="2" t="s">
        <v>31</v>
      </c>
      <c r="C936" s="2">
        <v>3204</v>
      </c>
      <c r="D936" s="2">
        <v>456</v>
      </c>
      <c r="E936" s="2" t="str">
        <f>"1000016992"</f>
        <v>1000016992</v>
      </c>
      <c r="F936" s="2" t="str">
        <f>"PRINTHEAD:HP Item # C5023A-HEW, HP No. 12 Printhead, Black, (Yld 32k) HP 3000 Business Inkjet"</f>
        <v>PRINTHEAD:HP Item # C5023A-HEW, HP No. 12 Printhead, Black, (Yld 32k) HP 3000 Business Inkjet</v>
      </c>
      <c r="G936" s="3" t="str">
        <f>"EA"</f>
        <v>EA</v>
      </c>
      <c r="H936" s="7">
        <v>82</v>
      </c>
      <c r="I936" s="2" t="str">
        <f t="shared" si="71"/>
        <v>44103110</v>
      </c>
      <c r="J936" s="10" t="s">
        <v>102</v>
      </c>
    </row>
    <row r="937" spans="1:10" ht="39">
      <c r="A937" s="24" t="s">
        <v>27</v>
      </c>
      <c r="B937" s="21" t="s">
        <v>31</v>
      </c>
      <c r="C937" s="21">
        <v>3204</v>
      </c>
      <c r="D937" s="21">
        <v>457</v>
      </c>
      <c r="E937" s="21" t="str">
        <f>"1000016993"</f>
        <v>1000016993</v>
      </c>
      <c r="F937" s="21" t="str">
        <f>"PRINTHEAD:HP Item # C5024A-HEW, HP No. 12 Printhead, Cyan, HP 3000 Business Inkjet (Yld 48k)"</f>
        <v>PRINTHEAD:HP Item # C5024A-HEW, HP No. 12 Printhead, Cyan, HP 3000 Business Inkjet (Yld 48k)</v>
      </c>
      <c r="G937" s="22" t="str">
        <f>"EA"</f>
        <v>EA</v>
      </c>
      <c r="H937" s="23">
        <v>82</v>
      </c>
      <c r="I937" s="21" t="str">
        <f t="shared" si="71"/>
        <v>44103110</v>
      </c>
      <c r="J937" s="25" t="s">
        <v>102</v>
      </c>
    </row>
    <row r="938" spans="1:10" ht="39">
      <c r="A938" s="9" t="s">
        <v>27</v>
      </c>
      <c r="B938" s="2" t="s">
        <v>31</v>
      </c>
      <c r="C938" s="2">
        <v>3204</v>
      </c>
      <c r="D938" s="2">
        <v>458</v>
      </c>
      <c r="E938" s="2" t="str">
        <f>"1000016976"</f>
        <v>1000016976</v>
      </c>
      <c r="F938" s="2" t="str">
        <f>"PRINTHEAD:HP Item # C5025A-HEW, HP No. 12 Printhead, Magenta, HP 3000 Business Inkjet (Yld 48k)"</f>
        <v>PRINTHEAD:HP Item # C5025A-HEW, HP No. 12 Printhead, Magenta, HP 3000 Business Inkjet (Yld 48k)</v>
      </c>
      <c r="G938" s="3" t="str">
        <f>"EA"</f>
        <v>EA</v>
      </c>
      <c r="H938" s="7">
        <v>82</v>
      </c>
      <c r="I938" s="2" t="str">
        <f t="shared" si="71"/>
        <v>44103110</v>
      </c>
      <c r="J938" s="10" t="s">
        <v>102</v>
      </c>
    </row>
    <row r="939" spans="1:10" ht="39">
      <c r="A939" s="24" t="s">
        <v>27</v>
      </c>
      <c r="B939" s="21" t="s">
        <v>31</v>
      </c>
      <c r="C939" s="21">
        <v>3204</v>
      </c>
      <c r="D939" s="21">
        <v>459</v>
      </c>
      <c r="E939" s="21" t="str">
        <f>"1000016977"</f>
        <v>1000016977</v>
      </c>
      <c r="F939" s="21" t="str">
        <f>"PRINTHEAD:HP Item # C5026A-HEW, HP No. 12 Printhead, Yellow HP 3000 Business Inkjet, (Yld 48k)"</f>
        <v>PRINTHEAD:HP Item # C5026A-HEW, HP No. 12 Printhead, Yellow HP 3000 Business Inkjet, (Yld 48k)</v>
      </c>
      <c r="G939" s="22" t="str">
        <f>"EA"</f>
        <v>EA</v>
      </c>
      <c r="H939" s="23">
        <v>82</v>
      </c>
      <c r="I939" s="21" t="str">
        <f t="shared" si="71"/>
        <v>44103110</v>
      </c>
      <c r="J939" s="25" t="s">
        <v>102</v>
      </c>
    </row>
    <row r="940" spans="1:10" ht="51.75">
      <c r="A940" s="9" t="s">
        <v>27</v>
      </c>
      <c r="B940" s="2" t="s">
        <v>31</v>
      </c>
      <c r="C940" s="2">
        <v>3204</v>
      </c>
      <c r="D940" s="2">
        <v>460</v>
      </c>
      <c r="E940" s="2" t="str">
        <f>"1000001429"</f>
        <v>1000001429</v>
      </c>
      <c r="F940" s="2" t="str">
        <f>"PRINTHEAD:HP Item # C5078A-HEW, No. 90 Black Value pack includes 400 ml Black ink cartridge, print head and printhead cleaner for DesignJet 4000 and 4500 Series"</f>
        <v>PRINTHEAD:HP Item # C5078A-HEW, No. 90 Black Value pack includes 400 ml Black ink cartridge, print head and printhead cleaner for DesignJet 4000 and 4500 Series</v>
      </c>
      <c r="G940" s="3" t="str">
        <f>"PK"</f>
        <v>PK</v>
      </c>
      <c r="H940" s="7">
        <v>229</v>
      </c>
      <c r="I940" s="2" t="str">
        <f t="shared" si="71"/>
        <v>44103110</v>
      </c>
      <c r="J940" s="10" t="s">
        <v>102</v>
      </c>
    </row>
    <row r="941" spans="1:10" ht="51.75">
      <c r="A941" s="24" t="s">
        <v>27</v>
      </c>
      <c r="B941" s="21" t="s">
        <v>31</v>
      </c>
      <c r="C941" s="21">
        <v>3204</v>
      </c>
      <c r="D941" s="21">
        <v>461</v>
      </c>
      <c r="E941" s="21" t="str">
        <f>"1000001430"</f>
        <v>1000001430</v>
      </c>
      <c r="F941" s="21" t="str">
        <f>"PRINTHEAD:HP Item # C5079A-HEW No 90 Cyan Value pack includes 400 ml Cyan ink cartridge, print head and printhead cleaner for DesignJet 4000 and 4500 Series"</f>
        <v>PRINTHEAD:HP Item # C5079A-HEW No 90 Cyan Value pack includes 400 ml Cyan ink cartridge, print head and printhead cleaner for DesignJet 4000 and 4500 Series</v>
      </c>
      <c r="G941" s="22" t="str">
        <f>"PK"</f>
        <v>PK</v>
      </c>
      <c r="H941" s="23">
        <v>260</v>
      </c>
      <c r="I941" s="21" t="str">
        <f t="shared" si="71"/>
        <v>44103110</v>
      </c>
      <c r="J941" s="25" t="s">
        <v>102</v>
      </c>
    </row>
    <row r="942" spans="1:10" ht="51.75">
      <c r="A942" s="9" t="s">
        <v>27</v>
      </c>
      <c r="B942" s="2" t="s">
        <v>31</v>
      </c>
      <c r="C942" s="2">
        <v>3204</v>
      </c>
      <c r="D942" s="2">
        <v>462</v>
      </c>
      <c r="E942" s="2" t="str">
        <f>"1000001408"</f>
        <v>1000001408</v>
      </c>
      <c r="F942" s="2" t="str">
        <f>"PRINTHEAD:HP Item # C5080A-HEW, No 90 Magenta Value pack includes 400 ml Magenta ink cartridge, print head and printhead cleaner for DesignJet 4000 and 4500 Series"</f>
        <v>PRINTHEAD:HP Item # C5080A-HEW, No 90 Magenta Value pack includes 400 ml Magenta ink cartridge, print head and printhead cleaner for DesignJet 4000 and 4500 Series</v>
      </c>
      <c r="G942" s="3" t="str">
        <f>"PK"</f>
        <v>PK</v>
      </c>
      <c r="H942" s="7">
        <v>260</v>
      </c>
      <c r="I942" s="2" t="str">
        <f t="shared" si="71"/>
        <v>44103110</v>
      </c>
      <c r="J942" s="10" t="s">
        <v>102</v>
      </c>
    </row>
    <row r="943" spans="1:10" ht="51.75">
      <c r="A943" s="24" t="s">
        <v>27</v>
      </c>
      <c r="B943" s="21" t="s">
        <v>31</v>
      </c>
      <c r="C943" s="21">
        <v>3204</v>
      </c>
      <c r="D943" s="21">
        <v>463</v>
      </c>
      <c r="E943" s="21" t="str">
        <f>"1000000890"</f>
        <v>1000000890</v>
      </c>
      <c r="F943" s="21" t="str">
        <f>"PRINTHEAD:HP Item # C5081A-HEW, No 90 Yellow Value pack includes 400 ml Yellow ink cartridge, print head and printhead cleaner for DesignJet 4000 and 4500 Series"</f>
        <v>PRINTHEAD:HP Item # C5081A-HEW, No 90 Yellow Value pack includes 400 ml Yellow ink cartridge, print head and printhead cleaner for DesignJet 4000 and 4500 Series</v>
      </c>
      <c r="G943" s="22" t="str">
        <f>"PK"</f>
        <v>PK</v>
      </c>
      <c r="H943" s="23">
        <v>260</v>
      </c>
      <c r="I943" s="21" t="str">
        <f t="shared" si="71"/>
        <v>44103110</v>
      </c>
      <c r="J943" s="25" t="s">
        <v>102</v>
      </c>
    </row>
    <row r="944" spans="1:10" ht="39">
      <c r="A944" s="9" t="s">
        <v>27</v>
      </c>
      <c r="B944" s="2" t="s">
        <v>31</v>
      </c>
      <c r="C944" s="2">
        <v>3204</v>
      </c>
      <c r="D944" s="2">
        <v>464</v>
      </c>
      <c r="E944" s="2" t="str">
        <f>"1000000777"</f>
        <v>1000000777</v>
      </c>
      <c r="F944" s="2" t="str">
        <f>"PRINTHEAD: HP Item # C9381A, HP 88, Black/Yellow printhead for Officejet Pro K550 Printers"</f>
        <v>PRINTHEAD: HP Item # C9381A, HP 88, Black/Yellow printhead for Officejet Pro K550 Printers</v>
      </c>
      <c r="G944" s="3" t="str">
        <f t="shared" ref="G944:G957" si="72">"EA"</f>
        <v>EA</v>
      </c>
      <c r="H944" s="7">
        <v>77.989999999999995</v>
      </c>
      <c r="I944" s="2" t="str">
        <f t="shared" si="71"/>
        <v>44103110</v>
      </c>
      <c r="J944" s="10" t="s">
        <v>102</v>
      </c>
    </row>
    <row r="945" spans="1:10" ht="39">
      <c r="A945" s="24" t="s">
        <v>27</v>
      </c>
      <c r="B945" s="21" t="s">
        <v>31</v>
      </c>
      <c r="C945" s="21">
        <v>3204</v>
      </c>
      <c r="D945" s="21">
        <v>465</v>
      </c>
      <c r="E945" s="21" t="str">
        <f>"1000001818"</f>
        <v>1000001818</v>
      </c>
      <c r="F945" s="21" t="str">
        <f>"PRINTHEAD: HP Item # C9382A, HP 88, Cyan/Magenta printhead for Officejet Pro K550 Printers"</f>
        <v>PRINTHEAD: HP Item # C9382A, HP 88, Cyan/Magenta printhead for Officejet Pro K550 Printers</v>
      </c>
      <c r="G945" s="22" t="str">
        <f t="shared" si="72"/>
        <v>EA</v>
      </c>
      <c r="H945" s="23">
        <v>77.989999999999995</v>
      </c>
      <c r="I945" s="21" t="str">
        <f t="shared" si="71"/>
        <v>44103110</v>
      </c>
      <c r="J945" s="25" t="s">
        <v>102</v>
      </c>
    </row>
    <row r="946" spans="1:10" ht="51.75">
      <c r="A946" s="9" t="s">
        <v>27</v>
      </c>
      <c r="B946" s="2" t="s">
        <v>31</v>
      </c>
      <c r="C946" s="2">
        <v>3204</v>
      </c>
      <c r="D946" s="2">
        <v>466</v>
      </c>
      <c r="E946" s="2" t="str">
        <f>"1000016978"</f>
        <v>1000016978</v>
      </c>
      <c r="F946" s="2" t="str">
        <f>"PRINTHEAD:HP Item # C9405A-HEW, HP No. 70 Printhead, Light Magenta / Light Cyan for Designjet Z2100, Z3100 series and Photosmart Pro B8850 Printers."</f>
        <v>PRINTHEAD:HP Item # C9405A-HEW, HP No. 70 Printhead, Light Magenta / Light Cyan for Designjet Z2100, Z3100 series and Photosmart Pro B8850 Printers.</v>
      </c>
      <c r="G946" s="3" t="str">
        <f t="shared" si="72"/>
        <v>EA</v>
      </c>
      <c r="H946" s="7">
        <v>64</v>
      </c>
      <c r="I946" s="2" t="str">
        <f t="shared" si="71"/>
        <v>44103110</v>
      </c>
      <c r="J946" s="10" t="s">
        <v>102</v>
      </c>
    </row>
    <row r="947" spans="1:10" ht="51.75">
      <c r="A947" s="24" t="s">
        <v>27</v>
      </c>
      <c r="B947" s="21" t="s">
        <v>31</v>
      </c>
      <c r="C947" s="21">
        <v>3204</v>
      </c>
      <c r="D947" s="21">
        <v>467</v>
      </c>
      <c r="E947" s="21" t="str">
        <f>"1000016979"</f>
        <v>1000016979</v>
      </c>
      <c r="F947" s="21" t="str">
        <f>"PRINTHEAD:HP Item # C9406A-HEW, HP No. 70 Magenta / Yellow Printhead for Designjet Z2100, Z3100 series and Photosmart Pro B8850 Printers."</f>
        <v>PRINTHEAD:HP Item # C9406A-HEW, HP No. 70 Magenta / Yellow Printhead for Designjet Z2100, Z3100 series and Photosmart Pro B8850 Printers.</v>
      </c>
      <c r="G947" s="22" t="str">
        <f t="shared" si="72"/>
        <v>EA</v>
      </c>
      <c r="H947" s="23">
        <v>60</v>
      </c>
      <c r="I947" s="21" t="str">
        <f t="shared" si="71"/>
        <v>44103110</v>
      </c>
      <c r="J947" s="25" t="s">
        <v>102</v>
      </c>
    </row>
    <row r="948" spans="1:10" ht="51.75">
      <c r="A948" s="9" t="s">
        <v>27</v>
      </c>
      <c r="B948" s="2" t="s">
        <v>31</v>
      </c>
      <c r="C948" s="2">
        <v>3204</v>
      </c>
      <c r="D948" s="2">
        <v>468</v>
      </c>
      <c r="E948" s="2" t="str">
        <f>"1000016980"</f>
        <v>1000016980</v>
      </c>
      <c r="F948" s="2" t="str">
        <f>"PRINTHEAD:HP Item # C9407A-HEW, HP No. 70 Printhead, Photo Black / Light Grey for Designjet Z2100, Z3100 series and Photosmart Pro B8850 Printers."</f>
        <v>PRINTHEAD:HP Item # C9407A-HEW, HP No. 70 Printhead, Photo Black / Light Grey for Designjet Z2100, Z3100 series and Photosmart Pro B8850 Printers.</v>
      </c>
      <c r="G948" s="3" t="str">
        <f t="shared" si="72"/>
        <v>EA</v>
      </c>
      <c r="H948" s="7">
        <v>64</v>
      </c>
      <c r="I948" s="2" t="str">
        <f t="shared" si="71"/>
        <v>44103110</v>
      </c>
      <c r="J948" s="10" t="s">
        <v>102</v>
      </c>
    </row>
    <row r="949" spans="1:10" ht="51.75">
      <c r="A949" s="24" t="s">
        <v>27</v>
      </c>
      <c r="B949" s="21" t="s">
        <v>31</v>
      </c>
      <c r="C949" s="21">
        <v>3204</v>
      </c>
      <c r="D949" s="21">
        <v>469</v>
      </c>
      <c r="E949" s="21" t="str">
        <f>"1000016981"</f>
        <v>1000016981</v>
      </c>
      <c r="F949" s="21" t="str">
        <f>"PRINTHEAD:HP Item # C9408A-HEW, HP No. 70 Printhead, Blue / Green for Designjet Z2100, Z3100 series and Photosmart Pro B8850 Printers."</f>
        <v>PRINTHEAD:HP Item # C9408A-HEW, HP No. 70 Printhead, Blue / Green for Designjet Z2100, Z3100 series and Photosmart Pro B8850 Printers.</v>
      </c>
      <c r="G949" s="22" t="str">
        <f t="shared" si="72"/>
        <v>EA</v>
      </c>
      <c r="H949" s="23">
        <v>66</v>
      </c>
      <c r="I949" s="21" t="str">
        <f t="shared" si="71"/>
        <v>44103110</v>
      </c>
      <c r="J949" s="25" t="s">
        <v>102</v>
      </c>
    </row>
    <row r="950" spans="1:10" ht="51.75">
      <c r="A950" s="9" t="s">
        <v>27</v>
      </c>
      <c r="B950" s="2" t="s">
        <v>31</v>
      </c>
      <c r="C950" s="2">
        <v>3204</v>
      </c>
      <c r="D950" s="2">
        <v>470</v>
      </c>
      <c r="E950" s="2" t="str">
        <f>"1000016982"</f>
        <v>1000016982</v>
      </c>
      <c r="F950" s="2" t="str">
        <f>"PRINTHEAD:HP Item # C9409A-HEW, HP No. 70 Printhead, Black / Red for Designjet Z2100, Z3100 series and Photosmart Pro B8850 Printers."</f>
        <v>PRINTHEAD:HP Item # C9409A-HEW, HP No. 70 Printhead, Black / Red for Designjet Z2100, Z3100 series and Photosmart Pro B8850 Printers.</v>
      </c>
      <c r="G950" s="3" t="str">
        <f t="shared" si="72"/>
        <v>EA</v>
      </c>
      <c r="H950" s="7">
        <v>65</v>
      </c>
      <c r="I950" s="2" t="str">
        <f t="shared" si="71"/>
        <v>44103110</v>
      </c>
      <c r="J950" s="10" t="s">
        <v>102</v>
      </c>
    </row>
    <row r="951" spans="1:10" ht="39">
      <c r="A951" s="24" t="s">
        <v>27</v>
      </c>
      <c r="B951" s="21" t="s">
        <v>31</v>
      </c>
      <c r="C951" s="21">
        <v>3204</v>
      </c>
      <c r="D951" s="21">
        <v>471</v>
      </c>
      <c r="E951" s="21" t="str">
        <f>"1000016994"</f>
        <v>1000016994</v>
      </c>
      <c r="F951" s="21" t="str">
        <f>"PRINTHEAD:HP Item # C9410A-HEW, HP No. 70 Printhead, Gloss enhancer for Designjet Z2100 and Z3100 series Printers."</f>
        <v>PRINTHEAD:HP Item # C9410A-HEW, HP No. 70 Printhead, Gloss enhancer for Designjet Z2100 and Z3100 series Printers.</v>
      </c>
      <c r="G951" s="22" t="str">
        <f t="shared" si="72"/>
        <v>EA</v>
      </c>
      <c r="H951" s="23">
        <v>64</v>
      </c>
      <c r="I951" s="21" t="str">
        <f t="shared" si="71"/>
        <v>44103110</v>
      </c>
      <c r="J951" s="25" t="s">
        <v>102</v>
      </c>
    </row>
    <row r="952" spans="1:10" ht="26.25">
      <c r="A952" s="9" t="s">
        <v>27</v>
      </c>
      <c r="B952" s="2" t="s">
        <v>31</v>
      </c>
      <c r="C952" s="2">
        <v>3204</v>
      </c>
      <c r="D952" s="2">
        <v>472</v>
      </c>
      <c r="E952" s="2" t="str">
        <f>"1000016995"</f>
        <v>1000016995</v>
      </c>
      <c r="F952" s="2" t="str">
        <f>"PRINTHEAD:HP Item # C9420A-HEW, HP No. 85 Cyan Printhead designjet 30, 130 ,90"</f>
        <v>PRINTHEAD:HP Item # C9420A-HEW, HP No. 85 Cyan Printhead designjet 30, 130 ,90</v>
      </c>
      <c r="G952" s="3" t="str">
        <f t="shared" si="72"/>
        <v>EA</v>
      </c>
      <c r="H952" s="7">
        <v>42</v>
      </c>
      <c r="I952" s="2" t="str">
        <f t="shared" si="71"/>
        <v>44103110</v>
      </c>
      <c r="J952" s="10" t="s">
        <v>102</v>
      </c>
    </row>
    <row r="953" spans="1:10" ht="26.25">
      <c r="A953" s="24" t="s">
        <v>27</v>
      </c>
      <c r="B953" s="21" t="s">
        <v>31</v>
      </c>
      <c r="C953" s="21">
        <v>3204</v>
      </c>
      <c r="D953" s="21">
        <v>473</v>
      </c>
      <c r="E953" s="21" t="str">
        <f>"1000016996"</f>
        <v>1000016996</v>
      </c>
      <c r="F953" s="21" t="str">
        <f>"PRINTHEAD:HP Item # C9421A-HEW, HP No. 85 Magenta Printhead designjet 30, 130 ,90"</f>
        <v>PRINTHEAD:HP Item # C9421A-HEW, HP No. 85 Magenta Printhead designjet 30, 130 ,90</v>
      </c>
      <c r="G953" s="22" t="str">
        <f t="shared" si="72"/>
        <v>EA</v>
      </c>
      <c r="H953" s="23">
        <v>42</v>
      </c>
      <c r="I953" s="21" t="str">
        <f t="shared" si="71"/>
        <v>44103110</v>
      </c>
      <c r="J953" s="25" t="s">
        <v>102</v>
      </c>
    </row>
    <row r="954" spans="1:10" ht="26.25">
      <c r="A954" s="9" t="s">
        <v>27</v>
      </c>
      <c r="B954" s="2" t="s">
        <v>31</v>
      </c>
      <c r="C954" s="2">
        <v>3204</v>
      </c>
      <c r="D954" s="2">
        <v>474</v>
      </c>
      <c r="E954" s="2" t="str">
        <f>"1000017035"</f>
        <v>1000017035</v>
      </c>
      <c r="F954" s="2" t="str">
        <f>"PRINTHEAD:HP Item # C9422A-HEW, HP No. 85 Yellow Printhead designjet 30, 130 ,90"</f>
        <v>PRINTHEAD:HP Item # C9422A-HEW, HP No. 85 Yellow Printhead designjet 30, 130 ,90</v>
      </c>
      <c r="G954" s="3" t="str">
        <f t="shared" si="72"/>
        <v>EA</v>
      </c>
      <c r="H954" s="7">
        <v>42</v>
      </c>
      <c r="I954" s="2" t="str">
        <f t="shared" si="71"/>
        <v>44103110</v>
      </c>
      <c r="J954" s="10" t="s">
        <v>102</v>
      </c>
    </row>
    <row r="955" spans="1:10" ht="26.25">
      <c r="A955" s="24" t="s">
        <v>27</v>
      </c>
      <c r="B955" s="21" t="s">
        <v>31</v>
      </c>
      <c r="C955" s="21">
        <v>3204</v>
      </c>
      <c r="D955" s="21">
        <v>475</v>
      </c>
      <c r="E955" s="21" t="str">
        <f>"1000016998"</f>
        <v>1000016998</v>
      </c>
      <c r="F955" s="21" t="str">
        <f>"PRINTHEAD:HP Item # C9423A-HEW, HP No. 85 Light Cyan Printhead for DesignJet 31/130/90"</f>
        <v>PRINTHEAD:HP Item # C9423A-HEW, HP No. 85 Light Cyan Printhead for DesignJet 31/130/90</v>
      </c>
      <c r="G955" s="22" t="str">
        <f t="shared" si="72"/>
        <v>EA</v>
      </c>
      <c r="H955" s="23">
        <v>41</v>
      </c>
      <c r="I955" s="21" t="str">
        <f t="shared" si="71"/>
        <v>44103110</v>
      </c>
      <c r="J955" s="25" t="s">
        <v>102</v>
      </c>
    </row>
    <row r="956" spans="1:10" ht="26.25">
      <c r="A956" s="9" t="s">
        <v>27</v>
      </c>
      <c r="B956" s="2" t="s">
        <v>31</v>
      </c>
      <c r="C956" s="2">
        <v>3204</v>
      </c>
      <c r="D956" s="2">
        <v>476</v>
      </c>
      <c r="E956" s="2" t="str">
        <f>"1000016999"</f>
        <v>1000016999</v>
      </c>
      <c r="F956" s="2" t="str">
        <f>"PRINTHEAD:HP Item # C9424A-HEW, HP No. 85 Light Magenta Printhead designjet 30, 130 ,90"</f>
        <v>PRINTHEAD:HP Item # C9424A-HEW, HP No. 85 Light Magenta Printhead designjet 30, 130 ,90</v>
      </c>
      <c r="G956" s="3" t="str">
        <f t="shared" si="72"/>
        <v>EA</v>
      </c>
      <c r="H956" s="7">
        <v>41</v>
      </c>
      <c r="I956" s="2" t="str">
        <f t="shared" si="71"/>
        <v>44103110</v>
      </c>
      <c r="J956" s="10" t="s">
        <v>102</v>
      </c>
    </row>
    <row r="957" spans="1:10" ht="39">
      <c r="A957" s="24" t="s">
        <v>27</v>
      </c>
      <c r="B957" s="21" t="s">
        <v>31</v>
      </c>
      <c r="C957" s="21">
        <v>3204</v>
      </c>
      <c r="D957" s="21">
        <v>477</v>
      </c>
      <c r="E957" s="21" t="str">
        <f>"1000001399"</f>
        <v>1000001399</v>
      </c>
      <c r="F957" s="21" t="str">
        <f>"PRINTHEAD: Item C4963A-HEW, No. 83 Yellow printhead/cleaner Designjet 5000 Series, Designjet 5500 Series"</f>
        <v>PRINTHEAD: Item C4963A-HEW, No. 83 Yellow printhead/cleaner Designjet 5000 Series, Designjet 5500 Series</v>
      </c>
      <c r="G957" s="22" t="str">
        <f t="shared" si="72"/>
        <v>EA</v>
      </c>
      <c r="H957" s="23">
        <v>172.98</v>
      </c>
      <c r="I957" s="21" t="str">
        <f t="shared" si="71"/>
        <v>44103110</v>
      </c>
      <c r="J957" s="25" t="s">
        <v>102</v>
      </c>
    </row>
    <row r="958" spans="1:10" ht="51.75">
      <c r="A958" s="9" t="s">
        <v>27</v>
      </c>
      <c r="B958" s="2" t="s">
        <v>31</v>
      </c>
      <c r="C958" s="2">
        <v>3204</v>
      </c>
      <c r="D958" s="2">
        <v>478</v>
      </c>
      <c r="E958" s="2" t="str">
        <f>"1000001662"</f>
        <v>1000001662</v>
      </c>
      <c r="F958" s="2" t="str">
        <f>"PRINTHEAD:HP tem # C4892A-HEW, No. 80 Value Pack, Magenta (350 ml Ink Ctg, Printhead, Printhead Cleaner), DesignJet 1000 Series"</f>
        <v>PRINTHEAD:HP tem # C4892A-HEW, No. 80 Value Pack, Magenta (350 ml Ink Ctg, Printhead, Printhead Cleaner), DesignJet 1000 Series</v>
      </c>
      <c r="G958" s="3" t="str">
        <f>"PK"</f>
        <v>PK</v>
      </c>
      <c r="H958" s="7">
        <v>246</v>
      </c>
      <c r="I958" s="2" t="str">
        <f t="shared" si="71"/>
        <v>44103110</v>
      </c>
      <c r="J958" s="10" t="s">
        <v>102</v>
      </c>
    </row>
    <row r="959" spans="1:10" ht="39">
      <c r="A959" s="24" t="s">
        <v>27</v>
      </c>
      <c r="B959" s="21" t="s">
        <v>31</v>
      </c>
      <c r="C959" s="21">
        <v>3204</v>
      </c>
      <c r="D959" s="21">
        <v>479</v>
      </c>
      <c r="E959" s="21" t="str">
        <f>"1000016925"</f>
        <v>1000016925</v>
      </c>
      <c r="F959" s="21" t="str">
        <f>"RIBBON:BRO Item # 7020-BRT, Brother Black correctable typewriter ribbon for Brother 1030 ,1230, 7020,and 17020 typewriters"</f>
        <v>RIBBON:BRO Item # 7020-BRT, Brother Black correctable typewriter ribbon for Brother 1030 ,1230, 7020,and 17020 typewriters</v>
      </c>
      <c r="G959" s="22" t="str">
        <f>"EA"</f>
        <v>EA</v>
      </c>
      <c r="H959" s="23">
        <v>7.56</v>
      </c>
      <c r="I959" s="21" t="str">
        <f>"44102606"</f>
        <v>44102606</v>
      </c>
      <c r="J959" s="25" t="s">
        <v>103</v>
      </c>
    </row>
    <row r="960" spans="1:10" ht="51.75">
      <c r="A960" s="24" t="s">
        <v>27</v>
      </c>
      <c r="B960" s="21" t="s">
        <v>31</v>
      </c>
      <c r="C960" s="21">
        <v>3204</v>
      </c>
      <c r="D960" s="21">
        <v>480</v>
      </c>
      <c r="E960" s="21" t="str">
        <f>"1000017042"</f>
        <v>1000017042</v>
      </c>
      <c r="F960" s="21" t="str">
        <f>"RIBBON:BRO Item # PC101-BRT, Brother Thermal Ribbon for IntelliFAX 150/ 1250/ 1350/ 1550 MC/ MFC1450/ 1550/ 1750/ 1850/ 1950 (Yld 750)"</f>
        <v>RIBBON:BRO Item # PC101-BRT, Brother Thermal Ribbon for IntelliFAX 150/ 1250/ 1350/ 1550 MC/ MFC1450/ 1550/ 1750/ 1850/ 1950 (Yld 750)</v>
      </c>
      <c r="G960" s="22" t="str">
        <f>"EA"</f>
        <v>EA</v>
      </c>
      <c r="H960" s="23">
        <v>40</v>
      </c>
      <c r="I960" s="21" t="str">
        <f t="shared" ref="I960:I966" si="73">"44103117"</f>
        <v>44103117</v>
      </c>
      <c r="J960" s="25" t="s">
        <v>104</v>
      </c>
    </row>
    <row r="961" spans="1:10" ht="51.75">
      <c r="A961" s="9" t="s">
        <v>27</v>
      </c>
      <c r="B961" s="2" t="s">
        <v>31</v>
      </c>
      <c r="C961" s="2">
        <v>3204</v>
      </c>
      <c r="D961" s="2">
        <v>481</v>
      </c>
      <c r="E961" s="2" t="str">
        <f>"1000016926"</f>
        <v>1000016926</v>
      </c>
      <c r="F961" s="2" t="str">
        <f>"RIBBON:BRO Item # PC201-BC, Brand Compatible to Brother IntelliFAX 1170/ 1270/ 1570MC/ MFC1770/ 1870MC/ 1970MC Ribbon Cartridge (Yld 450)"</f>
        <v>RIBBON:BRO Item # PC201-BC, Brand Compatible to Brother IntelliFAX 1170/ 1270/ 1570MC/ MFC1770/ 1870MC/ 1970MC Ribbon Cartridge (Yld 450)</v>
      </c>
      <c r="G961" s="3" t="str">
        <f>"EA"</f>
        <v>EA</v>
      </c>
      <c r="H961" s="7">
        <v>25</v>
      </c>
      <c r="I961" s="2" t="str">
        <f t="shared" si="73"/>
        <v>44103117</v>
      </c>
      <c r="J961" s="10" t="s">
        <v>104</v>
      </c>
    </row>
    <row r="962" spans="1:10" ht="51.75">
      <c r="A962" s="24" t="s">
        <v>27</v>
      </c>
      <c r="B962" s="21" t="s">
        <v>31</v>
      </c>
      <c r="C962" s="21">
        <v>3204</v>
      </c>
      <c r="D962" s="21">
        <v>482</v>
      </c>
      <c r="E962" s="21" t="str">
        <f>"1000016927"</f>
        <v>1000016927</v>
      </c>
      <c r="F962" s="21" t="str">
        <f>"RIBBON:BRO Item # PC201-BRT, Brother Thermal Ribbon cartridge for IntelliFAX 1170/ 1270/ 1570MC/ MFC1770/ 1870MC/ 1970MC (Yld 450)"</f>
        <v>RIBBON:BRO Item # PC201-BRT, Brother Thermal Ribbon cartridge for IntelliFAX 1170/ 1270/ 1570MC/ MFC1770/ 1870MC/ 1970MC (Yld 450)</v>
      </c>
      <c r="G962" s="22" t="str">
        <f>"EA"</f>
        <v>EA</v>
      </c>
      <c r="H962" s="23">
        <v>33.659999999999997</v>
      </c>
      <c r="I962" s="21" t="str">
        <f t="shared" si="73"/>
        <v>44103117</v>
      </c>
      <c r="J962" s="25" t="s">
        <v>104</v>
      </c>
    </row>
    <row r="963" spans="1:10" ht="51.75">
      <c r="A963" s="9" t="s">
        <v>27</v>
      </c>
      <c r="B963" s="2" t="s">
        <v>31</v>
      </c>
      <c r="C963" s="2">
        <v>3204</v>
      </c>
      <c r="D963" s="2">
        <v>483</v>
      </c>
      <c r="E963" s="2" t="str">
        <f>"1000016928"</f>
        <v>1000016928</v>
      </c>
      <c r="F963" s="2" t="str">
        <f>"RIBBON:BRO Item # PC304RF-BRT, Brother Black Ribbon Refill for IntelliFAX IntelliFAX 750/ 770/ 870MC/ MFC970MC (Yld 1k) 4 per package"</f>
        <v>RIBBON:BRO Item # PC304RF-BRT, Brother Black Ribbon Refill for IntelliFAX IntelliFAX 750/ 770/ 870MC/ MFC970MC (Yld 1k) 4 per package</v>
      </c>
      <c r="G963" s="3" t="str">
        <f>"PK"</f>
        <v>PK</v>
      </c>
      <c r="H963" s="7">
        <v>68</v>
      </c>
      <c r="I963" s="2" t="str">
        <f t="shared" si="73"/>
        <v>44103117</v>
      </c>
      <c r="J963" s="10" t="s">
        <v>104</v>
      </c>
    </row>
    <row r="964" spans="1:10" ht="39">
      <c r="A964" s="24" t="s">
        <v>27</v>
      </c>
      <c r="B964" s="21" t="s">
        <v>31</v>
      </c>
      <c r="C964" s="21">
        <v>3204</v>
      </c>
      <c r="D964" s="21">
        <v>484</v>
      </c>
      <c r="E964" s="21" t="str">
        <f>"1000017044"</f>
        <v>1000017044</v>
      </c>
      <c r="F964" s="21" t="str">
        <f>"RIBBON:BRO Item # PC401-BRT, Brother Black Thermal Print Cartridge (Yld 150 pages) for Intellfax 560/580MC/MFC-660MC"</f>
        <v>RIBBON:BRO Item # PC401-BRT, Brother Black Thermal Print Cartridge (Yld 150 pages) for Intellfax 560/580MC/MFC-660MC</v>
      </c>
      <c r="G964" s="22" t="str">
        <f>"EA"</f>
        <v>EA</v>
      </c>
      <c r="H964" s="23">
        <v>24</v>
      </c>
      <c r="I964" s="21" t="str">
        <f t="shared" si="73"/>
        <v>44103117</v>
      </c>
      <c r="J964" s="25" t="s">
        <v>104</v>
      </c>
    </row>
    <row r="965" spans="1:10" ht="39">
      <c r="A965" s="9" t="s">
        <v>27</v>
      </c>
      <c r="B965" s="2" t="s">
        <v>31</v>
      </c>
      <c r="C965" s="2">
        <v>3204</v>
      </c>
      <c r="D965" s="2">
        <v>485</v>
      </c>
      <c r="E965" s="2" t="str">
        <f>"1000016929"</f>
        <v>1000016929</v>
      </c>
      <c r="F965" s="2" t="str">
        <f>"RIBBON:BRO Item # PC91-BRT, Brother Ribbon Kit for IntelliFAX 900/950M/980M/1500ML, Kit includes one frame, one ribbon (Yld 500)"</f>
        <v>RIBBON:BRO Item # PC91-BRT, Brother Ribbon Kit for IntelliFAX 900/950M/980M/1500ML, Kit includes one frame, one ribbon (Yld 500)</v>
      </c>
      <c r="G965" s="3" t="str">
        <f>"KT"</f>
        <v>KT</v>
      </c>
      <c r="H965" s="7">
        <v>29</v>
      </c>
      <c r="I965" s="2" t="str">
        <f t="shared" si="73"/>
        <v>44103117</v>
      </c>
      <c r="J965" s="10" t="s">
        <v>104</v>
      </c>
    </row>
    <row r="966" spans="1:10" ht="39">
      <c r="A966" s="24" t="s">
        <v>27</v>
      </c>
      <c r="B966" s="21" t="s">
        <v>31</v>
      </c>
      <c r="C966" s="21">
        <v>3204</v>
      </c>
      <c r="D966" s="21">
        <v>486</v>
      </c>
      <c r="E966" s="21" t="str">
        <f>"1000016930"</f>
        <v>1000016930</v>
      </c>
      <c r="F966" s="21" t="str">
        <f>"RIBBON:BRO Item # PC92RF-BRT, Brother Refill Ribbon for IntelliFAX 900/ 950M/ 980M/ 1500ML (Yld 1k) 2 per package"</f>
        <v>RIBBON:BRO Item # PC92RF-BRT, Brother Refill Ribbon for IntelliFAX 900/ 950M/ 980M/ 1500ML (Yld 1k) 2 per package</v>
      </c>
      <c r="G966" s="22" t="str">
        <f>"PK"</f>
        <v>PK</v>
      </c>
      <c r="H966" s="23">
        <v>49</v>
      </c>
      <c r="I966" s="21" t="str">
        <f t="shared" si="73"/>
        <v>44103117</v>
      </c>
      <c r="J966" s="25" t="s">
        <v>104</v>
      </c>
    </row>
    <row r="967" spans="1:10" ht="26.25">
      <c r="A967" s="24" t="s">
        <v>27</v>
      </c>
      <c r="B967" s="21" t="s">
        <v>31</v>
      </c>
      <c r="C967" s="21">
        <v>3204</v>
      </c>
      <c r="D967" s="21">
        <v>487</v>
      </c>
      <c r="E967" s="21" t="str">
        <f>"1000016950"</f>
        <v>1000016950</v>
      </c>
      <c r="F967" s="21" t="str">
        <f>"RIBBON: DEC Item # LA30RKA-DEC, LA-30N Black Nylon Cartridge (Yld 2mil characters)"</f>
        <v>RIBBON: DEC Item # LA30RKA-DEC, LA-30N Black Nylon Cartridge (Yld 2mil characters)</v>
      </c>
      <c r="G967" s="22" t="str">
        <f t="shared" ref="G967:G998" si="74">"EA"</f>
        <v>EA</v>
      </c>
      <c r="H967" s="23">
        <v>14</v>
      </c>
      <c r="I967" s="21" t="str">
        <f>"44103112"</f>
        <v>44103112</v>
      </c>
      <c r="J967" s="25" t="s">
        <v>105</v>
      </c>
    </row>
    <row r="968" spans="1:10" ht="39">
      <c r="A968" s="9" t="s">
        <v>27</v>
      </c>
      <c r="B968" s="2" t="s">
        <v>31</v>
      </c>
      <c r="C968" s="2">
        <v>3204</v>
      </c>
      <c r="D968" s="2">
        <v>488</v>
      </c>
      <c r="E968" s="2" t="str">
        <f>"1000017022"</f>
        <v>1000017022</v>
      </c>
      <c r="F968" s="2" t="str">
        <f>"RIBBON:EPS Item # 7753-EPS, Epson Black Fabric Printer Ribbon for Epson LQ-200/ 300/ 500/ 800/ L1000/ AP3000/ 4000/ 5000"</f>
        <v>RIBBON:EPS Item # 7753-EPS, Epson Black Fabric Printer Ribbon for Epson LQ-200/ 300/ 500/ 800/ L1000/ AP3000/ 4000/ 5000</v>
      </c>
      <c r="G968" s="3" t="str">
        <f t="shared" si="74"/>
        <v>EA</v>
      </c>
      <c r="H968" s="7">
        <v>7</v>
      </c>
      <c r="I968" s="2" t="str">
        <f>"44103112"</f>
        <v>44103112</v>
      </c>
      <c r="J968" s="10" t="s">
        <v>105</v>
      </c>
    </row>
    <row r="969" spans="1:10" ht="51.75">
      <c r="A969" s="9" t="s">
        <v>27</v>
      </c>
      <c r="B969" s="2" t="s">
        <v>31</v>
      </c>
      <c r="C969" s="2">
        <v>3204</v>
      </c>
      <c r="D969" s="2">
        <v>489</v>
      </c>
      <c r="E969" s="2" t="str">
        <f>"1000017181"</f>
        <v>1000017181</v>
      </c>
      <c r="F969" s="2" t="str">
        <f>"RIBBON:EPS Item # 7754-EPS, Epson Black HD Nylon (Yld 3mil characters) LQ-1000/ 1010/ 1050/ 1050+/ 1170/ 1170+/ L750/ AP4500/ AP5500"</f>
        <v>RIBBON:EPS Item # 7754-EPS, Epson Black HD Nylon (Yld 3mil characters) LQ-1000/ 1010/ 1050/ 1050+/ 1170/ 1170+/ L750/ AP4500/ AP5500</v>
      </c>
      <c r="G969" s="3" t="str">
        <f t="shared" si="74"/>
        <v>EA</v>
      </c>
      <c r="H969" s="7">
        <v>9.7799999999999994</v>
      </c>
      <c r="I969" s="2" t="str">
        <f>"44102606"</f>
        <v>44102606</v>
      </c>
      <c r="J969" s="10" t="s">
        <v>103</v>
      </c>
    </row>
    <row r="970" spans="1:10" ht="51.75">
      <c r="A970" s="24" t="s">
        <v>27</v>
      </c>
      <c r="B970" s="21" t="s">
        <v>31</v>
      </c>
      <c r="C970" s="21">
        <v>3204</v>
      </c>
      <c r="D970" s="21">
        <v>490</v>
      </c>
      <c r="E970" s="21" t="str">
        <f>"1000017047"</f>
        <v>1000017047</v>
      </c>
      <c r="F970" s="21" t="str">
        <f>"RIBBON:EPS Item # 8750-EPS, Epson, Black Fabric Printer Ribbon for MX/ FX/ RX80 Series/ T1000/ AP2000/ 85,6,6E/ LX800 Black Nylon (Yld 3mil characters)"</f>
        <v>RIBBON:EPS Item # 8750-EPS, Epson, Black Fabric Printer Ribbon for MX/ FX/ RX80 Series/ T1000/ AP2000/ 85,6,6E/ LX800 Black Nylon (Yld 3mil characters)</v>
      </c>
      <c r="G970" s="22" t="str">
        <f t="shared" si="74"/>
        <v>EA</v>
      </c>
      <c r="H970" s="23">
        <v>6</v>
      </c>
      <c r="I970" s="21" t="str">
        <f>"44103112"</f>
        <v>44103112</v>
      </c>
      <c r="J970" s="25" t="s">
        <v>105</v>
      </c>
    </row>
    <row r="971" spans="1:10" ht="39">
      <c r="A971" s="24" t="s">
        <v>27</v>
      </c>
      <c r="B971" s="21" t="s">
        <v>31</v>
      </c>
      <c r="C971" s="21">
        <v>3204</v>
      </c>
      <c r="D971" s="21">
        <v>491</v>
      </c>
      <c r="E971" s="21" t="str">
        <f>"1000017156"</f>
        <v>1000017156</v>
      </c>
      <c r="F971" s="21" t="str">
        <f>"RIBBON:EPS Item # 8755-EPS, Epson Black Nylon (Yld 2mil characters) MX/FX/RX100 Series/ 1170/ 286/ 286E/ 1050/ T750/ AP2500"</f>
        <v>RIBBON:EPS Item # 8755-EPS, Epson Black Nylon (Yld 2mil characters) MX/FX/RX100 Series/ 1170/ 286/ 286E/ 1050/ T750/ AP2500</v>
      </c>
      <c r="G971" s="22" t="str">
        <f t="shared" si="74"/>
        <v>EA</v>
      </c>
      <c r="H971" s="23">
        <v>9</v>
      </c>
      <c r="I971" s="21" t="str">
        <f>"44102606"</f>
        <v>44102606</v>
      </c>
      <c r="J971" s="25" t="s">
        <v>103</v>
      </c>
    </row>
    <row r="972" spans="1:10" ht="26.25">
      <c r="A972" s="9" t="s">
        <v>27</v>
      </c>
      <c r="B972" s="2" t="s">
        <v>31</v>
      </c>
      <c r="C972" s="2">
        <v>3204</v>
      </c>
      <c r="D972" s="2">
        <v>492</v>
      </c>
      <c r="E972" s="2" t="str">
        <f>"1000017157"</f>
        <v>1000017157</v>
      </c>
      <c r="F972" s="2" t="str">
        <f>"RIBBON:EPS Item # 8766, Epson, DFX-5000/5000+/8000/8500 Black"</f>
        <v>RIBBON:EPS Item # 8766, Epson, DFX-5000/5000+/8000/8500 Black</v>
      </c>
      <c r="G972" s="3" t="str">
        <f t="shared" si="74"/>
        <v>EA</v>
      </c>
      <c r="H972" s="7">
        <v>32</v>
      </c>
      <c r="I972" s="2" t="str">
        <f t="shared" ref="I972:I988" si="75">"44103112"</f>
        <v>44103112</v>
      </c>
      <c r="J972" s="10" t="s">
        <v>105</v>
      </c>
    </row>
    <row r="973" spans="1:10" ht="39">
      <c r="A973" s="24" t="s">
        <v>27</v>
      </c>
      <c r="B973" s="21" t="s">
        <v>31</v>
      </c>
      <c r="C973" s="21">
        <v>3204</v>
      </c>
      <c r="D973" s="21">
        <v>493</v>
      </c>
      <c r="E973" s="21" t="str">
        <f>"1000016946"</f>
        <v>1000016946</v>
      </c>
      <c r="F973" s="21" t="str">
        <f>"RIBBON:EPS Item # ERC38BR-EPS, Epson ERC-34/TM300 Series/TM2155 Black/Red POS Ribbon"</f>
        <v>RIBBON:EPS Item # ERC38BR-EPS, Epson ERC-34/TM300 Series/TM2155 Black/Red POS Ribbon</v>
      </c>
      <c r="G973" s="22" t="str">
        <f t="shared" si="74"/>
        <v>EA</v>
      </c>
      <c r="H973" s="23">
        <v>6</v>
      </c>
      <c r="I973" s="21" t="str">
        <f t="shared" si="75"/>
        <v>44103112</v>
      </c>
      <c r="J973" s="25" t="s">
        <v>105</v>
      </c>
    </row>
    <row r="974" spans="1:10" ht="39">
      <c r="A974" s="9" t="s">
        <v>27</v>
      </c>
      <c r="B974" s="2" t="s">
        <v>31</v>
      </c>
      <c r="C974" s="2">
        <v>3204</v>
      </c>
      <c r="D974" s="2">
        <v>494</v>
      </c>
      <c r="E974" s="2" t="str">
        <f>"1000017158"</f>
        <v>1000017158</v>
      </c>
      <c r="F974" s="2" t="str">
        <f>"RIBBON:EPS Item # S015086-EPS, Epson Black Nylon Ribbon for LQ-2070/ 2080/ 2170/ 2180/ FX2170/ FX2180 printer"</f>
        <v>RIBBON:EPS Item # S015086-EPS, Epson Black Nylon Ribbon for LQ-2070/ 2080/ 2170/ 2180/ FX2170/ FX2180 printer</v>
      </c>
      <c r="G974" s="3" t="str">
        <f t="shared" si="74"/>
        <v>EA</v>
      </c>
      <c r="H974" s="7">
        <v>34</v>
      </c>
      <c r="I974" s="2" t="str">
        <f t="shared" si="75"/>
        <v>44103112</v>
      </c>
      <c r="J974" s="10" t="s">
        <v>105</v>
      </c>
    </row>
    <row r="975" spans="1:10" ht="26.25">
      <c r="A975" s="24" t="s">
        <v>27</v>
      </c>
      <c r="B975" s="21" t="s">
        <v>31</v>
      </c>
      <c r="C975" s="21">
        <v>3204</v>
      </c>
      <c r="D975" s="21">
        <v>495</v>
      </c>
      <c r="E975" s="21" t="str">
        <f>"1000016947"</f>
        <v>1000016947</v>
      </c>
      <c r="F975" s="21" t="str">
        <f>"RIBBON:EPS Item # S015329-EPS, Epson FX-890 black nylon ribbon"</f>
        <v>RIBBON:EPS Item # S015329-EPS, Epson FX-890 black nylon ribbon</v>
      </c>
      <c r="G975" s="22" t="str">
        <f t="shared" si="74"/>
        <v>EA</v>
      </c>
      <c r="H975" s="23">
        <v>8</v>
      </c>
      <c r="I975" s="21" t="str">
        <f t="shared" si="75"/>
        <v>44103112</v>
      </c>
      <c r="J975" s="25" t="s">
        <v>105</v>
      </c>
    </row>
    <row r="976" spans="1:10" ht="26.25">
      <c r="A976" s="9" t="s">
        <v>27</v>
      </c>
      <c r="B976" s="2" t="s">
        <v>31</v>
      </c>
      <c r="C976" s="2">
        <v>3204</v>
      </c>
      <c r="D976" s="2">
        <v>496</v>
      </c>
      <c r="E976" s="2" t="str">
        <f>"1000016948"</f>
        <v>1000016948</v>
      </c>
      <c r="F976" s="2" t="str">
        <f>"RIBBON:FUJ Item # 0601-FUG, Fujitsu I. Ribbon Black DL3300, 3400, 3600"</f>
        <v>RIBBON:FUJ Item # 0601-FUG, Fujitsu I. Ribbon Black DL3300, 3400, 3600</v>
      </c>
      <c r="G976" s="3" t="str">
        <f t="shared" si="74"/>
        <v>EA</v>
      </c>
      <c r="H976" s="7">
        <v>20.84</v>
      </c>
      <c r="I976" s="2" t="str">
        <f t="shared" si="75"/>
        <v>44103112</v>
      </c>
      <c r="J976" s="10" t="s">
        <v>105</v>
      </c>
    </row>
    <row r="977" spans="1:10" ht="51.75">
      <c r="A977" s="9" t="s">
        <v>27</v>
      </c>
      <c r="B977" s="2" t="s">
        <v>31</v>
      </c>
      <c r="C977" s="2">
        <v>3204</v>
      </c>
      <c r="D977" s="2">
        <v>500</v>
      </c>
      <c r="E977" s="2" t="str">
        <f>"1000016958"</f>
        <v>1000016958</v>
      </c>
      <c r="F977" s="2" t="str">
        <f>"RIBBON:IBM Item # 6475399-IBM, IBM printer ribbon, 64 character US print band .095 standard band designed for the IBM 6262 dot matrix printers"</f>
        <v>RIBBON:IBM Item # 6475399-IBM, IBM printer ribbon, 64 character US print band .095 standard band designed for the IBM 6262 dot matrix printers</v>
      </c>
      <c r="G977" s="3" t="str">
        <f t="shared" si="74"/>
        <v>EA</v>
      </c>
      <c r="H977" s="7">
        <v>536</v>
      </c>
      <c r="I977" s="2" t="str">
        <f t="shared" si="75"/>
        <v>44103112</v>
      </c>
      <c r="J977" s="10" t="s">
        <v>105</v>
      </c>
    </row>
    <row r="978" spans="1:10" ht="51.75">
      <c r="A978" s="24" t="s">
        <v>27</v>
      </c>
      <c r="B978" s="21" t="s">
        <v>31</v>
      </c>
      <c r="C978" s="21">
        <v>3204</v>
      </c>
      <c r="D978" s="21">
        <v>503</v>
      </c>
      <c r="E978" s="21" t="str">
        <f>"1000017013"</f>
        <v>1000017013</v>
      </c>
      <c r="F978" s="21" t="str">
        <f>"RIBBON:LEX Item # 1040400-LEX, Lexmark Printer Ribbon for 6262 printer. General Purpose, black nylon 14.25 x 20 yd (Yld 1.5 million characters)"</f>
        <v>RIBBON:LEX Item # 1040400-LEX, Lexmark Printer Ribbon for 6262 printer. General Purpose, black nylon 14.25 x 20 yd (Yld 1.5 million characters)</v>
      </c>
      <c r="G978" s="22" t="str">
        <f t="shared" si="74"/>
        <v>EA</v>
      </c>
      <c r="H978" s="23">
        <v>84</v>
      </c>
      <c r="I978" s="21" t="str">
        <f t="shared" si="75"/>
        <v>44103112</v>
      </c>
      <c r="J978" s="25" t="s">
        <v>105</v>
      </c>
    </row>
    <row r="979" spans="1:10" ht="51.75">
      <c r="A979" s="9" t="s">
        <v>27</v>
      </c>
      <c r="B979" s="2" t="s">
        <v>31</v>
      </c>
      <c r="C979" s="2">
        <v>3204</v>
      </c>
      <c r="D979" s="2">
        <v>504</v>
      </c>
      <c r="E979" s="2" t="str">
        <f>"1000017014"</f>
        <v>1000017014</v>
      </c>
      <c r="F979" s="2" t="str">
        <f>"RIBBON:LEX Item # 11A3540-LEX, Lexmark Black Nylon Ribbon with Re-Inker for IBM 2380/2381/2390/2391, PPS II &amp; Other Printers"</f>
        <v>RIBBON:LEX Item # 11A3540-LEX, Lexmark Black Nylon Ribbon with Re-Inker for IBM 2380/2381/2390/2391, PPS II &amp; Other Printers</v>
      </c>
      <c r="G979" s="3" t="str">
        <f t="shared" si="74"/>
        <v>EA</v>
      </c>
      <c r="H979" s="7">
        <v>14</v>
      </c>
      <c r="I979" s="2" t="str">
        <f t="shared" si="75"/>
        <v>44103112</v>
      </c>
      <c r="J979" s="10" t="s">
        <v>105</v>
      </c>
    </row>
    <row r="980" spans="1:10" ht="39">
      <c r="A980" s="24" t="s">
        <v>27</v>
      </c>
      <c r="B980" s="21" t="s">
        <v>31</v>
      </c>
      <c r="C980" s="21">
        <v>3204</v>
      </c>
      <c r="D980" s="21">
        <v>505</v>
      </c>
      <c r="E980" s="21" t="str">
        <f>"1000016956"</f>
        <v>1000016956</v>
      </c>
      <c r="F980" s="21" t="str">
        <f>"RIBBON:LEX Item # 13L0034-LEX, Lexmark Black printer ribbon designed for the Lexmark 4227 Plus dot matrix printers."</f>
        <v>RIBBON:LEX Item # 13L0034-LEX, Lexmark Black printer ribbon designed for the Lexmark 4227 Plus dot matrix printers.</v>
      </c>
      <c r="G980" s="22" t="str">
        <f t="shared" si="74"/>
        <v>EA</v>
      </c>
      <c r="H980" s="23">
        <v>50.82</v>
      </c>
      <c r="I980" s="21" t="str">
        <f t="shared" si="75"/>
        <v>44103112</v>
      </c>
      <c r="J980" s="25" t="s">
        <v>105</v>
      </c>
    </row>
    <row r="981" spans="1:10" ht="39">
      <c r="A981" s="9" t="s">
        <v>27</v>
      </c>
      <c r="B981" s="2" t="s">
        <v>31</v>
      </c>
      <c r="C981" s="2">
        <v>3204</v>
      </c>
      <c r="D981" s="2">
        <v>506</v>
      </c>
      <c r="E981" s="2" t="str">
        <f>"1000016957"</f>
        <v>1000016957</v>
      </c>
      <c r="F981" s="2" t="str">
        <f>"RIBBON:LEX Item # 6328829-LEX, Lexmark Nylon Ribbon for IBM Proprinter 4201/II/III Printers"</f>
        <v>RIBBON:LEX Item # 6328829-LEX, Lexmark Nylon Ribbon for IBM Proprinter 4201/II/III Printers</v>
      </c>
      <c r="G981" s="3" t="str">
        <f t="shared" si="74"/>
        <v>EA</v>
      </c>
      <c r="H981" s="7">
        <v>16</v>
      </c>
      <c r="I981" s="2" t="str">
        <f t="shared" si="75"/>
        <v>44103112</v>
      </c>
      <c r="J981" s="10" t="s">
        <v>105</v>
      </c>
    </row>
    <row r="982" spans="1:10" ht="51.75">
      <c r="A982" s="24" t="s">
        <v>27</v>
      </c>
      <c r="B982" s="21" t="s">
        <v>31</v>
      </c>
      <c r="C982" s="21">
        <v>3204</v>
      </c>
      <c r="D982" s="21">
        <v>507</v>
      </c>
      <c r="E982" s="21" t="str">
        <f>"1000001759"</f>
        <v>1000001759</v>
      </c>
      <c r="F982" s="21" t="str">
        <f>"RIBBON:OKI Item # 42377801-OKI, Self-inking black printer ribbon cartridge designed for the Okidata Microline 420 / 421 / 490 / 491 dot matrix printers (4 million characters yield)"</f>
        <v>RIBBON:OKI Item # 42377801-OKI, Self-inking black printer ribbon cartridge designed for the Okidata Microline 420 / 421 / 490 / 491 dot matrix printers (4 million characters yield)</v>
      </c>
      <c r="G982" s="22" t="str">
        <f t="shared" si="74"/>
        <v>EA</v>
      </c>
      <c r="H982" s="23">
        <v>18</v>
      </c>
      <c r="I982" s="21" t="str">
        <f t="shared" si="75"/>
        <v>44103112</v>
      </c>
      <c r="J982" s="25" t="s">
        <v>105</v>
      </c>
    </row>
    <row r="983" spans="1:10" ht="51.75">
      <c r="A983" s="9" t="s">
        <v>27</v>
      </c>
      <c r="B983" s="2" t="s">
        <v>31</v>
      </c>
      <c r="C983" s="2">
        <v>3204</v>
      </c>
      <c r="D983" s="2">
        <v>508</v>
      </c>
      <c r="E983" s="2" t="str">
        <f>"1000017087"</f>
        <v>1000017087</v>
      </c>
      <c r="F983" s="2" t="str">
        <f>"RIBBON:OKI Item # 52102001-OKI, Black Fabric Printer Ribbon for the Okidata Microline 100 Series / 320 / 320T / 321 / 321T Dot Matrix Printers"</f>
        <v>RIBBON:OKI Item # 52102001-OKI, Black Fabric Printer Ribbon for the Okidata Microline 100 Series / 320 / 320T / 321 / 321T Dot Matrix Printers</v>
      </c>
      <c r="G983" s="3" t="str">
        <f t="shared" si="74"/>
        <v>EA</v>
      </c>
      <c r="H983" s="7">
        <v>12</v>
      </c>
      <c r="I983" s="2" t="str">
        <f t="shared" si="75"/>
        <v>44103112</v>
      </c>
      <c r="J983" s="10" t="s">
        <v>105</v>
      </c>
    </row>
    <row r="984" spans="1:10" ht="51.75">
      <c r="A984" s="24" t="s">
        <v>27</v>
      </c>
      <c r="B984" s="21" t="s">
        <v>31</v>
      </c>
      <c r="C984" s="21">
        <v>3204</v>
      </c>
      <c r="D984" s="21">
        <v>509</v>
      </c>
      <c r="E984" s="21" t="str">
        <f>"1000017036"</f>
        <v>1000017036</v>
      </c>
      <c r="F984" s="21" t="str">
        <f>"RIBBON:OKI Item # 52103601-OKI, Black Nylon Fabric Printer Ribbon for Okidata Microline Printers ML 393/395/393C/393+/393C+/395C Series."</f>
        <v>RIBBON:OKI Item # 52103601-OKI, Black Nylon Fabric Printer Ribbon for Okidata Microline Printers ML 393/395/393C/393+/393C+/395C Series.</v>
      </c>
      <c r="G984" s="22" t="str">
        <f t="shared" si="74"/>
        <v>EA</v>
      </c>
      <c r="H984" s="23">
        <v>34</v>
      </c>
      <c r="I984" s="21" t="str">
        <f t="shared" si="75"/>
        <v>44103112</v>
      </c>
      <c r="J984" s="25" t="s">
        <v>105</v>
      </c>
    </row>
    <row r="985" spans="1:10" ht="39">
      <c r="A985" s="9" t="s">
        <v>27</v>
      </c>
      <c r="B985" s="2" t="s">
        <v>31</v>
      </c>
      <c r="C985" s="2">
        <v>3204</v>
      </c>
      <c r="D985" s="2">
        <v>510</v>
      </c>
      <c r="E985" s="2" t="str">
        <f>"1000017037"</f>
        <v>1000017037</v>
      </c>
      <c r="F985" s="2" t="str">
        <f>"RIBBON:OKI Item # 52104001-OKI, Black Nylon Ribbon for Okidata ML 380 / 390 / 390Turbo / 391 / 391Turbo"</f>
        <v>RIBBON:OKI Item # 52104001-OKI, Black Nylon Ribbon for Okidata ML 380 / 390 / 390Turbo / 391 / 391Turbo</v>
      </c>
      <c r="G985" s="3" t="str">
        <f t="shared" si="74"/>
        <v>EA</v>
      </c>
      <c r="H985" s="7">
        <v>15</v>
      </c>
      <c r="I985" s="2" t="str">
        <f t="shared" si="75"/>
        <v>44103112</v>
      </c>
      <c r="J985" s="10" t="s">
        <v>105</v>
      </c>
    </row>
    <row r="986" spans="1:10" ht="39">
      <c r="A986" s="24" t="s">
        <v>27</v>
      </c>
      <c r="B986" s="21" t="s">
        <v>31</v>
      </c>
      <c r="C986" s="21">
        <v>3204</v>
      </c>
      <c r="D986" s="21">
        <v>511</v>
      </c>
      <c r="E986" s="21" t="str">
        <f>"1000017038"</f>
        <v>1000017038</v>
      </c>
      <c r="F986" s="21" t="str">
        <f>"RIBBON:OKI Item # 52105801-OKI, Black Fabric Printer Ribbon for Okidata Pacemark 3410 Printer."</f>
        <v>RIBBON:OKI Item # 52105801-OKI, Black Fabric Printer Ribbon for Okidata Pacemark 3410 Printer.</v>
      </c>
      <c r="G986" s="22" t="str">
        <f t="shared" si="74"/>
        <v>EA</v>
      </c>
      <c r="H986" s="23">
        <v>43</v>
      </c>
      <c r="I986" s="21" t="str">
        <f t="shared" si="75"/>
        <v>44103112</v>
      </c>
      <c r="J986" s="25" t="s">
        <v>105</v>
      </c>
    </row>
    <row r="987" spans="1:10" ht="26.25">
      <c r="A987" s="9" t="s">
        <v>27</v>
      </c>
      <c r="B987" s="2" t="s">
        <v>31</v>
      </c>
      <c r="C987" s="2">
        <v>3204</v>
      </c>
      <c r="D987" s="2">
        <v>512</v>
      </c>
      <c r="E987" s="2" t="str">
        <f>"1000001530"</f>
        <v>1000001530</v>
      </c>
      <c r="F987" s="2" t="str">
        <f>"RIBBON:OKI Item # 52106001-OKI, Black, nylon ribbon for Okidata Printers ML 590/591"</f>
        <v>RIBBON:OKI Item # 52106001-OKI, Black, nylon ribbon for Okidata Printers ML 590/591</v>
      </c>
      <c r="G987" s="3" t="str">
        <f t="shared" si="74"/>
        <v>EA</v>
      </c>
      <c r="H987" s="7">
        <v>19</v>
      </c>
      <c r="I987" s="2" t="str">
        <f t="shared" si="75"/>
        <v>44103112</v>
      </c>
      <c r="J987" s="10" t="s">
        <v>105</v>
      </c>
    </row>
    <row r="988" spans="1:10" ht="39">
      <c r="A988" s="24" t="s">
        <v>27</v>
      </c>
      <c r="B988" s="21" t="s">
        <v>31</v>
      </c>
      <c r="C988" s="21">
        <v>3204</v>
      </c>
      <c r="D988" s="21">
        <v>513</v>
      </c>
      <c r="E988" s="21" t="str">
        <f>"1000000118"</f>
        <v>1000000118</v>
      </c>
      <c r="F988" s="21" t="str">
        <f>"RIBBON:OKI Item # 52107001-OKI, Black Fabric Printer Ribbon designed for the Okidata Microline 520/521 Dot Matrix Printers"</f>
        <v>RIBBON:OKI Item # 52107001-OKI, Black Fabric Printer Ribbon designed for the Okidata Microline 520/521 Dot Matrix Printers</v>
      </c>
      <c r="G988" s="22" t="str">
        <f t="shared" si="74"/>
        <v>EA</v>
      </c>
      <c r="H988" s="23">
        <v>19</v>
      </c>
      <c r="I988" s="21" t="str">
        <f t="shared" si="75"/>
        <v>44103112</v>
      </c>
      <c r="J988" s="25" t="s">
        <v>105</v>
      </c>
    </row>
    <row r="989" spans="1:10" ht="64.5">
      <c r="A989" s="9" t="s">
        <v>27</v>
      </c>
      <c r="B989" s="2" t="s">
        <v>31</v>
      </c>
      <c r="C989" s="2">
        <v>3204</v>
      </c>
      <c r="D989" s="2">
        <v>514</v>
      </c>
      <c r="E989" s="2" t="str">
        <f>"1000017015"</f>
        <v>1000017015</v>
      </c>
      <c r="F989" s="2" t="str">
        <f>"RIBBON:PAN Item # KXFA53-PAN, Panasonic Fax Thermal Ribbon for KX -FP 80 / FP 81 / FP 85 / FP151 / FP155 / FP195 / FP86 / FPC 91 / FPC 95 / FPC161 / FPC165 / FPC175 / FPC91 / FPC96"</f>
        <v>RIBBON:PAN Item # KXFA53-PAN, Panasonic Fax Thermal Ribbon for KX -FP 80 / FP 81 / FP 85 / FP151 / FP155 / FP195 / FP86 / FPC 91 / FPC 95 / FPC161 / FPC165 / FPC175 / FPC91 / FPC96</v>
      </c>
      <c r="G989" s="3" t="str">
        <f t="shared" si="74"/>
        <v>EA</v>
      </c>
      <c r="H989" s="7">
        <v>18</v>
      </c>
      <c r="I989" s="2" t="str">
        <f>"44103117"</f>
        <v>44103117</v>
      </c>
      <c r="J989" s="10" t="s">
        <v>104</v>
      </c>
    </row>
    <row r="990" spans="1:10" ht="39">
      <c r="A990" s="24" t="s">
        <v>27</v>
      </c>
      <c r="B990" s="21" t="s">
        <v>31</v>
      </c>
      <c r="C990" s="21">
        <v>3204</v>
      </c>
      <c r="D990" s="21">
        <v>515</v>
      </c>
      <c r="E990" s="21" t="str">
        <f>"1000017016"</f>
        <v>1000017016</v>
      </c>
      <c r="F990" s="21" t="str">
        <f>"RIBBON:PAN Item # KXFA55-PAN, Thermal Transfer Ribbon for Panasonic Fax machines KXFP81/85"</f>
        <v>RIBBON:PAN Item # KXFA55-PAN, Thermal Transfer Ribbon for Panasonic Fax machines KXFP81/85</v>
      </c>
      <c r="G990" s="22" t="str">
        <f t="shared" si="74"/>
        <v>EA</v>
      </c>
      <c r="H990" s="23">
        <v>32</v>
      </c>
      <c r="I990" s="21" t="str">
        <f>"44103117"</f>
        <v>44103117</v>
      </c>
      <c r="J990" s="25" t="s">
        <v>104</v>
      </c>
    </row>
    <row r="991" spans="1:10" ht="51.75">
      <c r="A991" s="9" t="s">
        <v>27</v>
      </c>
      <c r="B991" s="2" t="s">
        <v>31</v>
      </c>
      <c r="C991" s="2">
        <v>3204</v>
      </c>
      <c r="D991" s="2">
        <v>516</v>
      </c>
      <c r="E991" s="2" t="str">
        <f>"1000017017"</f>
        <v>1000017017</v>
      </c>
      <c r="F991" s="2" t="str">
        <f>"RIBBON:PAN Item # KXFA65-PAN, Fax Thermal Ribbon (Yld 330) for plain paper fax machines KX -FHD301 / -FM106 / -FPC135 / FP101 / FP105 / FP121 / FPC141 / FPW11"</f>
        <v>RIBBON:PAN Item # KXFA65-PAN, Fax Thermal Ribbon (Yld 330) for plain paper fax machines KX -FHD301 / -FM106 / -FPC135 / FP101 / FP105 / FP121 / FPC141 / FPW11</v>
      </c>
      <c r="G991" s="3" t="str">
        <f t="shared" si="74"/>
        <v>EA</v>
      </c>
      <c r="H991" s="7">
        <v>35</v>
      </c>
      <c r="I991" s="2" t="str">
        <f>"44103117"</f>
        <v>44103117</v>
      </c>
      <c r="J991" s="10" t="s">
        <v>104</v>
      </c>
    </row>
    <row r="992" spans="1:10" ht="51.75">
      <c r="A992" s="9" t="s">
        <v>27</v>
      </c>
      <c r="B992" s="2" t="s">
        <v>31</v>
      </c>
      <c r="C992" s="2">
        <v>3204</v>
      </c>
      <c r="D992" s="2">
        <v>517</v>
      </c>
      <c r="E992" s="2" t="str">
        <f>"1000017018"</f>
        <v>1000017018</v>
      </c>
      <c r="F992" s="2" t="str">
        <f>"RIBBON:PAN Item # KXP115-PAN, Panasonic, Black Nylon Ribbon for Panasonic KXP1150, KXP1180, KXP1180i, KXP1191, KXP1695, KXP2000 printers"</f>
        <v>RIBBON:PAN Item # KXP115-PAN, Panasonic, Black Nylon Ribbon for Panasonic KXP1150, KXP1180, KXP1180i, KXP1191, KXP1695, KXP2000 printers</v>
      </c>
      <c r="G992" s="3" t="str">
        <f t="shared" si="74"/>
        <v>EA</v>
      </c>
      <c r="H992" s="7">
        <v>14</v>
      </c>
      <c r="I992" s="2" t="str">
        <f>"44103112"</f>
        <v>44103112</v>
      </c>
      <c r="J992" s="10" t="s">
        <v>105</v>
      </c>
    </row>
    <row r="993" spans="1:10" ht="39">
      <c r="A993" s="24" t="s">
        <v>27</v>
      </c>
      <c r="B993" s="21" t="s">
        <v>31</v>
      </c>
      <c r="C993" s="21">
        <v>3204</v>
      </c>
      <c r="D993" s="21">
        <v>518</v>
      </c>
      <c r="E993" s="21" t="str">
        <f>"1000017019"</f>
        <v>1000017019</v>
      </c>
      <c r="F993" s="21" t="str">
        <f>"RIBBON:PAN Item # KXP145-PAN, Panasonic, Black, Nylon Ribbon for Panasonic KXP1123, KXP1124, KXP1124i, KXP2023 Printers"</f>
        <v>RIBBON:PAN Item # KXP145-PAN, Panasonic, Black, Nylon Ribbon for Panasonic KXP1123, KXP1124, KXP1124i, KXP2023 Printers</v>
      </c>
      <c r="G993" s="22" t="str">
        <f t="shared" si="74"/>
        <v>EA</v>
      </c>
      <c r="H993" s="23">
        <v>5</v>
      </c>
      <c r="I993" s="21" t="str">
        <f>"44103112"</f>
        <v>44103112</v>
      </c>
      <c r="J993" s="25" t="s">
        <v>105</v>
      </c>
    </row>
    <row r="994" spans="1:10" ht="39">
      <c r="A994" s="9" t="s">
        <v>27</v>
      </c>
      <c r="B994" s="2" t="s">
        <v>31</v>
      </c>
      <c r="C994" s="2">
        <v>3204</v>
      </c>
      <c r="D994" s="2">
        <v>519</v>
      </c>
      <c r="E994" s="2" t="str">
        <f>"1000017020"</f>
        <v>1000017020</v>
      </c>
      <c r="F994" s="2" t="str">
        <f>"RIBBON:PAN Item # KXP155-PAN, Panasonic, Black Nylon Ribbon for KXP1624, KXP1654, KXP2624, KXP3624 Printers"</f>
        <v>RIBBON:PAN Item # KXP155-PAN, Panasonic, Black Nylon Ribbon for KXP1624, KXP1654, KXP2624, KXP3624 Printers</v>
      </c>
      <c r="G994" s="3" t="str">
        <f t="shared" si="74"/>
        <v>EA</v>
      </c>
      <c r="H994" s="7">
        <v>14</v>
      </c>
      <c r="I994" s="2" t="str">
        <f>"44103112"</f>
        <v>44103112</v>
      </c>
      <c r="J994" s="10" t="s">
        <v>105</v>
      </c>
    </row>
    <row r="995" spans="1:10" ht="26.25">
      <c r="A995" s="9" t="s">
        <v>27</v>
      </c>
      <c r="B995" s="2" t="s">
        <v>31</v>
      </c>
      <c r="C995" s="2">
        <v>3204</v>
      </c>
      <c r="D995" s="2">
        <v>520</v>
      </c>
      <c r="E995" s="2" t="str">
        <f>"1000001669"</f>
        <v>1000001669</v>
      </c>
      <c r="F995" s="2" t="str">
        <f>"RIBBON:PAN Item # SKX-ECK-PAN, Panasonic Correction Typewriter Ribbon"</f>
        <v>RIBBON:PAN Item # SKX-ECK-PAN, Panasonic Correction Typewriter Ribbon</v>
      </c>
      <c r="G995" s="3" t="str">
        <f t="shared" si="74"/>
        <v>EA</v>
      </c>
      <c r="H995" s="7">
        <v>4</v>
      </c>
      <c r="I995" s="2" t="str">
        <f>"44102606"</f>
        <v>44102606</v>
      </c>
      <c r="J995" s="10" t="s">
        <v>103</v>
      </c>
    </row>
    <row r="996" spans="1:10" ht="51.75">
      <c r="A996" s="9" t="s">
        <v>27</v>
      </c>
      <c r="B996" s="2" t="s">
        <v>31</v>
      </c>
      <c r="C996" s="2">
        <v>3204</v>
      </c>
      <c r="D996" s="2">
        <v>521</v>
      </c>
      <c r="E996" s="2" t="str">
        <f>"1000017021"</f>
        <v>1000017021</v>
      </c>
      <c r="F996" s="2" t="str">
        <f>"RIBBON:SHA Item # EC888C-BC, Brand Compatible printer ribbon for Sharp Calculators, black and red ribbons (Replaces BR80C ribbon)"</f>
        <v>RIBBON:SHA Item # EC888C-BC, Brand Compatible printer ribbon for Sharp Calculators, black and red ribbons (Replaces BR80C ribbon)</v>
      </c>
      <c r="G996" s="3" t="str">
        <f t="shared" si="74"/>
        <v>EA</v>
      </c>
      <c r="H996" s="7">
        <v>3</v>
      </c>
      <c r="I996" s="2" t="str">
        <f>"44101805"</f>
        <v>44101805</v>
      </c>
      <c r="J996" s="10" t="s">
        <v>106</v>
      </c>
    </row>
    <row r="997" spans="1:10" ht="64.5">
      <c r="A997" s="24" t="s">
        <v>27</v>
      </c>
      <c r="B997" s="21" t="s">
        <v>31</v>
      </c>
      <c r="C997" s="21">
        <v>3204</v>
      </c>
      <c r="D997" s="21">
        <v>522</v>
      </c>
      <c r="E997" s="21" t="str">
        <f>"1000017045"</f>
        <v>1000017045</v>
      </c>
      <c r="F997" s="21" t="str">
        <f>"RIBBON:SHA Item # FO15CR-SHR, Sharp Thermal Transfer Ink Ribbon for Sharp Plain Paper Fax, for use with Sharp 1660, 1850, UX500, 510, 510A, 600M, 1000, 1100, 1300, 1400, FO 1450, 1460, 1470, 1650"</f>
        <v>RIBBON:SHA Item # FO15CR-SHR, Sharp Thermal Transfer Ink Ribbon for Sharp Plain Paper Fax, for use with Sharp 1660, 1850, UX500, 510, 510A, 600M, 1000, 1100, 1300, 1400, FO 1450, 1460, 1470, 1650</v>
      </c>
      <c r="G997" s="22" t="str">
        <f t="shared" si="74"/>
        <v>EA</v>
      </c>
      <c r="H997" s="23">
        <v>37</v>
      </c>
      <c r="I997" s="21" t="str">
        <f>"44103117"</f>
        <v>44103117</v>
      </c>
      <c r="J997" s="25" t="s">
        <v>104</v>
      </c>
    </row>
    <row r="998" spans="1:10" ht="77.25">
      <c r="A998" s="9" t="s">
        <v>27</v>
      </c>
      <c r="B998" s="2" t="s">
        <v>31</v>
      </c>
      <c r="C998" s="2">
        <v>3204</v>
      </c>
      <c r="D998" s="2">
        <v>523</v>
      </c>
      <c r="E998" s="2" t="str">
        <f>"1000017046"</f>
        <v>1000017046</v>
      </c>
      <c r="F998" s="2" t="str">
        <f>"RIBBON:SHA Item # UX15CR-SHR, Thermal Transfer Imaging Film Ribbon. Sharp UX 1460 /1650 /1660 / 1850/510 510A/600M/FO1450/-1000/-1100/-1300/-1400/-1460/-1650/-1660/-1850/-500/-510/-510A/-600M/-FO1450/1000/1100/1300/1400/500"</f>
        <v>RIBBON:SHA Item # UX15CR-SHR, Thermal Transfer Imaging Film Ribbon. Sharp UX 1460 /1650 /1660 / 1850/510 510A/600M/FO1450/-1000/-1100/-1300/-1400/-1460/-1650/-1660/-1850/-500/-510/-510A/-600M/-FO1450/1000/1100/1300/1400/500</v>
      </c>
      <c r="G998" s="3" t="str">
        <f t="shared" si="74"/>
        <v>EA</v>
      </c>
      <c r="H998" s="7">
        <v>35</v>
      </c>
      <c r="I998" s="2" t="str">
        <f>"44103117"</f>
        <v>44103117</v>
      </c>
      <c r="J998" s="10" t="s">
        <v>104</v>
      </c>
    </row>
    <row r="999" spans="1:10" ht="51.75">
      <c r="A999" s="24" t="s">
        <v>27</v>
      </c>
      <c r="B999" s="21" t="s">
        <v>31</v>
      </c>
      <c r="C999" s="21">
        <v>3204</v>
      </c>
      <c r="D999" s="21">
        <v>524</v>
      </c>
      <c r="E999" s="21" t="str">
        <f>"1000017100"</f>
        <v>1000017100</v>
      </c>
      <c r="F999" s="21" t="str">
        <f>"RIBBON:SHA Item # UX3CR-SHR, Thermal Transfer Imaging Film Ribbon for Sharp Fax machines, UX 300 / 305 / 330L / 340L / 355L / 460 / 465L / 470. 2 ribbons per box. (Yld 100)"</f>
        <v>RIBBON:SHA Item # UX3CR-SHR, Thermal Transfer Imaging Film Ribbon for Sharp Fax machines, UX 300 / 305 / 330L / 340L / 355L / 460 / 465L / 470. 2 ribbons per box. (Yld 100)</v>
      </c>
      <c r="G999" s="22" t="str">
        <f>"BX"</f>
        <v>BX</v>
      </c>
      <c r="H999" s="23">
        <v>25</v>
      </c>
      <c r="I999" s="21" t="str">
        <f>"44103117"</f>
        <v>44103117</v>
      </c>
      <c r="J999" s="25" t="s">
        <v>104</v>
      </c>
    </row>
    <row r="1000" spans="1:10" ht="39">
      <c r="A1000" s="9" t="s">
        <v>27</v>
      </c>
      <c r="B1000" s="2" t="s">
        <v>31</v>
      </c>
      <c r="C1000" s="2">
        <v>3204</v>
      </c>
      <c r="D1000" s="2">
        <v>525</v>
      </c>
      <c r="E1000" s="2" t="str">
        <f>"1000017075"</f>
        <v>1000017075</v>
      </c>
      <c r="F1000" s="2" t="str">
        <f>"RIBBON:SHA Item # UX5CR-SHR, Thermal Transfer Film Refill Ribbon for UX P100 / -P200 Fax Machine, (Yld 150)"</f>
        <v>RIBBON:SHA Item # UX5CR-SHR, Thermal Transfer Film Refill Ribbon for UX P100 / -P200 Fax Machine, (Yld 150)</v>
      </c>
      <c r="G1000" s="3" t="str">
        <f t="shared" ref="G1000:G1023" si="76">"EA"</f>
        <v>EA</v>
      </c>
      <c r="H1000" s="7">
        <v>21</v>
      </c>
      <c r="I1000" s="2" t="str">
        <f>"44103117"</f>
        <v>44103117</v>
      </c>
      <c r="J1000" s="10" t="s">
        <v>104</v>
      </c>
    </row>
    <row r="1001" spans="1:10" ht="51.75">
      <c r="A1001" s="24" t="s">
        <v>27</v>
      </c>
      <c r="B1001" s="21" t="s">
        <v>31</v>
      </c>
      <c r="C1001" s="21">
        <v>3204</v>
      </c>
      <c r="D1001" s="21">
        <v>527</v>
      </c>
      <c r="E1001" s="21" t="str">
        <f>"1000017001"</f>
        <v>1000017001</v>
      </c>
      <c r="F1001" s="21" t="str">
        <f>"STAPLE CART:HP Item # C8091A-HEW, HP Laser toner staple refill designed for the Hewlett Packard HP Color LaserJet 9500mfp laser toner printers (5,000 staples)"</f>
        <v>STAPLE CART:HP Item # C8091A-HEW, HP Laser toner staple refill designed for the Hewlett Packard HP Color LaserJet 9500mfp laser toner printers (5,000 staples)</v>
      </c>
      <c r="G1001" s="22" t="str">
        <f t="shared" si="76"/>
        <v>EA</v>
      </c>
      <c r="H1001" s="23">
        <v>30</v>
      </c>
      <c r="I1001" s="21" t="str">
        <f>"44122107"</f>
        <v>44122107</v>
      </c>
      <c r="J1001" s="25" t="s">
        <v>107</v>
      </c>
    </row>
    <row r="1002" spans="1:10" ht="39">
      <c r="A1002" s="9" t="s">
        <v>27</v>
      </c>
      <c r="B1002" s="2" t="s">
        <v>31</v>
      </c>
      <c r="C1002" s="2">
        <v>3204</v>
      </c>
      <c r="D1002" s="2">
        <v>528</v>
      </c>
      <c r="E1002" s="2" t="str">
        <f>"1000017000"</f>
        <v>1000017000</v>
      </c>
      <c r="F1002" s="2" t="str">
        <f>"STAPLE CART:HP Item # C8092A-HEW, HP Staple Cartridge for HP Laserjet 9000 series, 5,000 staples per cartridge"</f>
        <v>STAPLE CART:HP Item # C8092A-HEW, HP Staple Cartridge for HP Laserjet 9000 series, 5,000 staples per cartridge</v>
      </c>
      <c r="G1002" s="3" t="str">
        <f t="shared" si="76"/>
        <v>EA</v>
      </c>
      <c r="H1002" s="7">
        <v>30</v>
      </c>
      <c r="I1002" s="2" t="str">
        <f>"44122107"</f>
        <v>44122107</v>
      </c>
      <c r="J1002" s="10" t="s">
        <v>107</v>
      </c>
    </row>
    <row r="1003" spans="1:10" ht="26.25">
      <c r="A1003" s="24" t="s">
        <v>27</v>
      </c>
      <c r="B1003" s="21" t="s">
        <v>31</v>
      </c>
      <c r="C1003" s="21">
        <v>3204</v>
      </c>
      <c r="D1003" s="21">
        <v>529</v>
      </c>
      <c r="E1003" s="21" t="str">
        <f>"1000017097"</f>
        <v>1000017097</v>
      </c>
      <c r="F1003" s="21" t="str">
        <f>"TONER:BRO Item # TN04C-BRT, Brother Cyan toner for HL2700CN/MFC-9420CN (Yld 6.6k)"</f>
        <v>TONER:BRO Item # TN04C-BRT, Brother Cyan toner for HL2700CN/MFC-9420CN (Yld 6.6k)</v>
      </c>
      <c r="G1003" s="22" t="str">
        <f t="shared" si="76"/>
        <v>EA</v>
      </c>
      <c r="H1003" s="23">
        <v>167</v>
      </c>
      <c r="I1003" s="21" t="str">
        <f>"44103105"</f>
        <v>44103105</v>
      </c>
      <c r="J1003" s="25" t="s">
        <v>98</v>
      </c>
    </row>
    <row r="1004" spans="1:10" ht="39">
      <c r="A1004" s="9" t="s">
        <v>27</v>
      </c>
      <c r="B1004" s="2" t="s">
        <v>31</v>
      </c>
      <c r="C1004" s="2">
        <v>3204</v>
      </c>
      <c r="D1004" s="2">
        <v>530</v>
      </c>
      <c r="E1004" s="2" t="str">
        <f>"1000017098"</f>
        <v>1000017098</v>
      </c>
      <c r="F1004" s="2" t="str">
        <f>"TONER:BRO Item # TN04M-BRT, Brother Magenta toner for HL2700CN/MFC-9420CN (Yld 6.6k)"</f>
        <v>TONER:BRO Item # TN04M-BRT, Brother Magenta toner for HL2700CN/MFC-9420CN (Yld 6.6k)</v>
      </c>
      <c r="G1004" s="3" t="str">
        <f t="shared" si="76"/>
        <v>EA</v>
      </c>
      <c r="H1004" s="7">
        <v>167</v>
      </c>
      <c r="I1004" s="2" t="str">
        <f>"44103105"</f>
        <v>44103105</v>
      </c>
      <c r="J1004" s="10" t="s">
        <v>98</v>
      </c>
    </row>
    <row r="1005" spans="1:10" ht="26.25">
      <c r="A1005" s="24" t="s">
        <v>27</v>
      </c>
      <c r="B1005" s="21" t="s">
        <v>31</v>
      </c>
      <c r="C1005" s="21">
        <v>3204</v>
      </c>
      <c r="D1005" s="21">
        <v>531</v>
      </c>
      <c r="E1005" s="21" t="str">
        <f>"1000017099"</f>
        <v>1000017099</v>
      </c>
      <c r="F1005" s="21" t="str">
        <f>"TONER:BRO Item # TN04Y-BRT, Brother Yellow toner for HL2700CN/MFC-9420CN (Yld 6.6k)"</f>
        <v>TONER:BRO Item # TN04Y-BRT, Brother Yellow toner for HL2700CN/MFC-9420CN (Yld 6.6k)</v>
      </c>
      <c r="G1005" s="22" t="str">
        <f t="shared" si="76"/>
        <v>EA</v>
      </c>
      <c r="H1005" s="23">
        <v>167</v>
      </c>
      <c r="I1005" s="21" t="str">
        <f>"44103105"</f>
        <v>44103105</v>
      </c>
      <c r="J1005" s="25" t="s">
        <v>98</v>
      </c>
    </row>
    <row r="1006" spans="1:10" ht="26.25">
      <c r="A1006" s="9" t="s">
        <v>27</v>
      </c>
      <c r="B1006" s="2" t="s">
        <v>31</v>
      </c>
      <c r="C1006" s="2">
        <v>3204</v>
      </c>
      <c r="D1006" s="2">
        <v>532</v>
      </c>
      <c r="E1006" s="2" t="str">
        <f>"1000017126"</f>
        <v>1000017126</v>
      </c>
      <c r="F1006" s="2" t="str">
        <f>"TONER:BRO Item # TN200HL-BRT, Brother Laser Toner cartridge for HL 720/730/760 (Yld 2.2k)"</f>
        <v>TONER:BRO Item # TN200HL-BRT, Brother Laser Toner cartridge for HL 720/730/760 (Yld 2.2k)</v>
      </c>
      <c r="G1006" s="3" t="str">
        <f t="shared" si="76"/>
        <v>EA</v>
      </c>
      <c r="H1006" s="7">
        <v>31</v>
      </c>
      <c r="I1006" s="2" t="str">
        <f>"44103105"</f>
        <v>44103105</v>
      </c>
      <c r="J1006" s="10" t="s">
        <v>98</v>
      </c>
    </row>
    <row r="1007" spans="1:10" ht="39">
      <c r="A1007" s="24" t="s">
        <v>27</v>
      </c>
      <c r="B1007" s="21" t="s">
        <v>31</v>
      </c>
      <c r="C1007" s="21">
        <v>3204</v>
      </c>
      <c r="D1007" s="21">
        <v>533</v>
      </c>
      <c r="E1007" s="21" t="str">
        <f>"1000017101"</f>
        <v>1000017101</v>
      </c>
      <c r="F1007" s="21" t="str">
        <f>"TONER:BRO Item # TN250-BC, Brand Compatible Laser Toner Cartridge for Brother PPF-2800/ MFC-4800/ 6800 (Yld2.2k)"</f>
        <v>TONER:BRO Item # TN250-BC, Brand Compatible Laser Toner Cartridge for Brother PPF-2800/ MFC-4800/ 6800 (Yld2.2k)</v>
      </c>
      <c r="G1007" s="22" t="str">
        <f t="shared" si="76"/>
        <v>EA</v>
      </c>
      <c r="H1007" s="23">
        <v>29</v>
      </c>
      <c r="I1007" s="21" t="str">
        <f>"44103105"</f>
        <v>44103105</v>
      </c>
      <c r="J1007" s="25" t="s">
        <v>98</v>
      </c>
    </row>
    <row r="1008" spans="1:10" ht="39">
      <c r="A1008" s="9" t="s">
        <v>27</v>
      </c>
      <c r="B1008" s="2" t="s">
        <v>31</v>
      </c>
      <c r="C1008" s="2">
        <v>3204</v>
      </c>
      <c r="D1008" s="2">
        <v>534</v>
      </c>
      <c r="E1008" s="2" t="str">
        <f>"1000000183"</f>
        <v>1000000183</v>
      </c>
      <c r="F1008" s="2" t="str">
        <f>"TONER:BRO Item # TN250-BRT, Laser Toner Cartridge for Brother PPF-2800/MFC-4800/6800 (Yld 2.2k)"</f>
        <v>TONER:BRO Item # TN250-BRT, Laser Toner Cartridge for Brother PPF-2800/MFC-4800/6800 (Yld 2.2k)</v>
      </c>
      <c r="G1008" s="3" t="str">
        <f t="shared" si="76"/>
        <v>EA</v>
      </c>
      <c r="H1008" s="7">
        <v>43.32</v>
      </c>
      <c r="I1008" s="2" t="str">
        <f>"44103103"</f>
        <v>44103103</v>
      </c>
      <c r="J1008" s="10" t="s">
        <v>99</v>
      </c>
    </row>
    <row r="1009" spans="1:10" ht="77.25">
      <c r="A1009" s="9" t="s">
        <v>27</v>
      </c>
      <c r="B1009" s="2" t="s">
        <v>31</v>
      </c>
      <c r="C1009" s="2">
        <v>3204</v>
      </c>
      <c r="D1009" s="2">
        <v>535</v>
      </c>
      <c r="E1009" s="2" t="str">
        <f>"1000017102"</f>
        <v>1000017102</v>
      </c>
      <c r="F1009" s="5" t="s">
        <v>108</v>
      </c>
      <c r="G1009" s="3" t="str">
        <f t="shared" si="76"/>
        <v>EA</v>
      </c>
      <c r="H1009" s="7">
        <v>48.32</v>
      </c>
      <c r="I1009" s="2" t="str">
        <f>"44103105"</f>
        <v>44103105</v>
      </c>
      <c r="J1009" s="10" t="s">
        <v>98</v>
      </c>
    </row>
    <row r="1010" spans="1:10" ht="39">
      <c r="A1010" s="24" t="s">
        <v>27</v>
      </c>
      <c r="B1010" s="21" t="s">
        <v>31</v>
      </c>
      <c r="C1010" s="21">
        <v>3204</v>
      </c>
      <c r="D1010" s="21">
        <v>536</v>
      </c>
      <c r="E1010" s="21" t="str">
        <f>"1000017077"</f>
        <v>1000017077</v>
      </c>
      <c r="F1010" s="21" t="str">
        <f>"TONER:BRO Item # TN350-BC, Brand Compatible Black Toner for Brother HL-2040/2070N (Yld 2.5k)"</f>
        <v>TONER:BRO Item # TN350-BC, Brand Compatible Black Toner for Brother HL-2040/2070N (Yld 2.5k)</v>
      </c>
      <c r="G1010" s="22" t="str">
        <f t="shared" si="76"/>
        <v>EA</v>
      </c>
      <c r="H1010" s="23">
        <v>52</v>
      </c>
      <c r="I1010" s="21" t="str">
        <f>"44103105"</f>
        <v>44103105</v>
      </c>
      <c r="J1010" s="25" t="s">
        <v>98</v>
      </c>
    </row>
    <row r="1011" spans="1:10" ht="26.25">
      <c r="A1011" s="24" t="s">
        <v>27</v>
      </c>
      <c r="B1011" s="21" t="s">
        <v>31</v>
      </c>
      <c r="C1011" s="21">
        <v>3204</v>
      </c>
      <c r="D1011" s="21">
        <v>537</v>
      </c>
      <c r="E1011" s="21" t="str">
        <f>"1000000729"</f>
        <v>1000000729</v>
      </c>
      <c r="F1011" s="21" t="str">
        <f>"TONER:BRO Item # TN350-BRO, Brother HL-2040/2070N Black toner yld 2.5k"</f>
        <v>TONER:BRO Item # TN350-BRO, Brother HL-2040/2070N Black toner yld 2.5k</v>
      </c>
      <c r="G1011" s="22" t="str">
        <f t="shared" si="76"/>
        <v>EA</v>
      </c>
      <c r="H1011" s="23">
        <v>72.66</v>
      </c>
      <c r="I1011" s="21" t="str">
        <f>"44103103"</f>
        <v>44103103</v>
      </c>
      <c r="J1011" s="25" t="s">
        <v>99</v>
      </c>
    </row>
    <row r="1012" spans="1:10" ht="39">
      <c r="A1012" s="9" t="s">
        <v>27</v>
      </c>
      <c r="B1012" s="2" t="s">
        <v>31</v>
      </c>
      <c r="C1012" s="2">
        <v>3204</v>
      </c>
      <c r="D1012" s="2">
        <v>538</v>
      </c>
      <c r="E1012" s="2" t="str">
        <f>"1000017078"</f>
        <v>1000017078</v>
      </c>
      <c r="F1012" s="2" t="str">
        <f>"TONER:BRO Item # TN430-BC, Brand Compatible Toner for Brother Printers Brother HL 1240/1250/1270N Toner Cartridge (Yld 3K)"</f>
        <v>TONER:BRO Item # TN430-BC, Brand Compatible Toner for Brother Printers Brother HL 1240/1250/1270N Toner Cartridge (Yld 3K)</v>
      </c>
      <c r="G1012" s="3" t="str">
        <f t="shared" si="76"/>
        <v>EA</v>
      </c>
      <c r="H1012" s="7">
        <v>50</v>
      </c>
      <c r="I1012" s="2" t="str">
        <f>"44103105"</f>
        <v>44103105</v>
      </c>
      <c r="J1012" s="10" t="s">
        <v>98</v>
      </c>
    </row>
    <row r="1013" spans="1:10" ht="39">
      <c r="A1013" s="9" t="s">
        <v>27</v>
      </c>
      <c r="B1013" s="2" t="s">
        <v>31</v>
      </c>
      <c r="C1013" s="2">
        <v>3204</v>
      </c>
      <c r="D1013" s="2">
        <v>539</v>
      </c>
      <c r="E1013" s="2" t="str">
        <f>"1000001582"</f>
        <v>1000001582</v>
      </c>
      <c r="F1013" s="2" t="str">
        <f>"TONER:BRO Item # TN430-BRT, Toner for Brother Printers Brother HL 1240/1250/1270N Toner Cartridge (Yld 3K)"</f>
        <v>TONER:BRO Item # TN430-BRT, Toner for Brother Printers Brother HL 1240/1250/1270N Toner Cartridge (Yld 3K)</v>
      </c>
      <c r="G1013" s="3" t="str">
        <f t="shared" si="76"/>
        <v>EA</v>
      </c>
      <c r="H1013" s="7">
        <v>68.819999999999993</v>
      </c>
      <c r="I1013" s="2" t="str">
        <f>"44103103"</f>
        <v>44103103</v>
      </c>
      <c r="J1013" s="10" t="s">
        <v>99</v>
      </c>
    </row>
    <row r="1014" spans="1:10" ht="39">
      <c r="A1014" s="24" t="s">
        <v>27</v>
      </c>
      <c r="B1014" s="21" t="s">
        <v>31</v>
      </c>
      <c r="C1014" s="21">
        <v>3204</v>
      </c>
      <c r="D1014" s="21">
        <v>540</v>
      </c>
      <c r="E1014" s="21" t="str">
        <f>"1000017079"</f>
        <v>1000017079</v>
      </c>
      <c r="F1014" s="21" t="str">
        <f>"TONER:BRO Item # TN460-BC, Brand Compatible for Brother Toner HL1240/1250/1270N PPF-4750/5750 (Yld 6k)"</f>
        <v>TONER:BRO Item # TN460-BC, Brand Compatible for Brother Toner HL1240/1250/1270N PPF-4750/5750 (Yld 6k)</v>
      </c>
      <c r="G1014" s="22" t="str">
        <f t="shared" si="76"/>
        <v>EA</v>
      </c>
      <c r="H1014" s="23">
        <v>67</v>
      </c>
      <c r="I1014" s="21" t="str">
        <f>"44103105"</f>
        <v>44103105</v>
      </c>
      <c r="J1014" s="25" t="s">
        <v>98</v>
      </c>
    </row>
    <row r="1015" spans="1:10" ht="39">
      <c r="A1015" s="24" t="s">
        <v>27</v>
      </c>
      <c r="B1015" s="21" t="s">
        <v>31</v>
      </c>
      <c r="C1015" s="21">
        <v>3204</v>
      </c>
      <c r="D1015" s="21">
        <v>541</v>
      </c>
      <c r="E1015" s="21" t="str">
        <f>"1000001583"</f>
        <v>1000001583</v>
      </c>
      <c r="F1015" s="21" t="str">
        <f>"TONER:BRO Item # TN460-BRT, Toner for Brother Printers Brother HL 1240/1250/1270N Toner Cartridge (Yld 6k)"</f>
        <v>TONER:BRO Item # TN460-BRT, Toner for Brother Printers Brother HL 1240/1250/1270N Toner Cartridge (Yld 6k)</v>
      </c>
      <c r="G1015" s="22" t="str">
        <f t="shared" si="76"/>
        <v>EA</v>
      </c>
      <c r="H1015" s="23">
        <v>95.96</v>
      </c>
      <c r="I1015" s="21" t="str">
        <f>"44103103"</f>
        <v>44103103</v>
      </c>
      <c r="J1015" s="25" t="s">
        <v>99</v>
      </c>
    </row>
    <row r="1016" spans="1:10" ht="51.75">
      <c r="A1016" s="9" t="s">
        <v>27</v>
      </c>
      <c r="B1016" s="2" t="s">
        <v>31</v>
      </c>
      <c r="C1016" s="2">
        <v>3204</v>
      </c>
      <c r="D1016" s="2">
        <v>542</v>
      </c>
      <c r="E1016" s="2" t="str">
        <f>"1000000086"</f>
        <v>1000000086</v>
      </c>
      <c r="F1016" s="2" t="str">
        <f>"TONER:BRO Item # TN5000PF-BRT, Brother toner for IntelliFAX 2750/ 2650/ 3550/ 4350/ 4450/ 4550/ 4650/ 5000PF/ 6550/ 6650/ 7550/ 7650/ 7750 Toner (Yld 2.2k)"</f>
        <v>TONER:BRO Item # TN5000PF-BRT, Brother toner for IntelliFAX 2750/ 2650/ 3550/ 4350/ 4450/ 4550/ 4650/ 5000PF/ 6550/ 6650/ 7550/ 7650/ 7750 Toner (Yld 2.2k)</v>
      </c>
      <c r="G1016" s="3" t="str">
        <f t="shared" si="76"/>
        <v>EA</v>
      </c>
      <c r="H1016" s="7">
        <v>37.979999999999997</v>
      </c>
      <c r="I1016" s="2" t="str">
        <f>"44103103"</f>
        <v>44103103</v>
      </c>
      <c r="J1016" s="10" t="s">
        <v>99</v>
      </c>
    </row>
    <row r="1017" spans="1:10" ht="26.25">
      <c r="A1017" s="9" t="s">
        <v>27</v>
      </c>
      <c r="B1017" s="2" t="s">
        <v>31</v>
      </c>
      <c r="C1017" s="2">
        <v>3204</v>
      </c>
      <c r="D1017" s="2">
        <v>543</v>
      </c>
      <c r="E1017" s="2" t="str">
        <f>"1000017080"</f>
        <v>1000017080</v>
      </c>
      <c r="F1017" s="2" t="str">
        <f>"TONER:BRO Item # TN540-BRT, Brother Black toner for HL 5140/5150 (Yld 3.5k)"</f>
        <v>TONER:BRO Item # TN540-BRT, Brother Black toner for HL 5140/5150 (Yld 3.5k)</v>
      </c>
      <c r="G1017" s="3" t="str">
        <f t="shared" si="76"/>
        <v>EA</v>
      </c>
      <c r="H1017" s="7">
        <v>81.22</v>
      </c>
      <c r="I1017" s="2" t="str">
        <f t="shared" ref="I1017:I1030" si="77">"44103105"</f>
        <v>44103105</v>
      </c>
      <c r="J1017" s="10" t="s">
        <v>98</v>
      </c>
    </row>
    <row r="1018" spans="1:10" ht="39">
      <c r="A1018" s="24" t="s">
        <v>27</v>
      </c>
      <c r="B1018" s="21" t="s">
        <v>31</v>
      </c>
      <c r="C1018" s="21">
        <v>3204</v>
      </c>
      <c r="D1018" s="21">
        <v>544</v>
      </c>
      <c r="E1018" s="21" t="str">
        <f>"1000017081"</f>
        <v>1000017081</v>
      </c>
      <c r="F1018" s="21" t="str">
        <f>"TONER:BRO Item # TN550-BRO, Brother Black laser toner for HL-5250DN &amp; HL-5240 / MFC 8460 (Yld 3.5k)"</f>
        <v>TONER:BRO Item # TN550-BRO, Brother Black laser toner for HL-5250DN &amp; HL-5240 / MFC 8460 (Yld 3.5k)</v>
      </c>
      <c r="G1018" s="22" t="str">
        <f t="shared" si="76"/>
        <v>EA</v>
      </c>
      <c r="H1018" s="23">
        <v>89.49</v>
      </c>
      <c r="I1018" s="21" t="str">
        <f t="shared" si="77"/>
        <v>44103105</v>
      </c>
      <c r="J1018" s="25" t="s">
        <v>98</v>
      </c>
    </row>
    <row r="1019" spans="1:10" ht="39">
      <c r="A1019" s="9" t="s">
        <v>27</v>
      </c>
      <c r="B1019" s="2" t="s">
        <v>31</v>
      </c>
      <c r="C1019" s="2">
        <v>3204</v>
      </c>
      <c r="D1019" s="2">
        <v>545</v>
      </c>
      <c r="E1019" s="2" t="str">
        <f>"1000017082"</f>
        <v>1000017082</v>
      </c>
      <c r="F1019" s="2" t="str">
        <f>"TONER:BRO Item # TN570-BRT, Brother Black Toner cartridge, high yield for MFC-8220, F/HL5140 (Yld 6700)"</f>
        <v>TONER:BRO Item # TN570-BRT, Brother Black Toner cartridge, high yield for MFC-8220, F/HL5140 (Yld 6700)</v>
      </c>
      <c r="G1019" s="3" t="str">
        <f t="shared" si="76"/>
        <v>EA</v>
      </c>
      <c r="H1019" s="7">
        <v>107.99</v>
      </c>
      <c r="I1019" s="2" t="str">
        <f t="shared" si="77"/>
        <v>44103105</v>
      </c>
      <c r="J1019" s="10" t="s">
        <v>98</v>
      </c>
    </row>
    <row r="1020" spans="1:10" ht="26.25">
      <c r="A1020" s="24" t="s">
        <v>27</v>
      </c>
      <c r="B1020" s="21" t="s">
        <v>31</v>
      </c>
      <c r="C1020" s="21">
        <v>3204</v>
      </c>
      <c r="D1020" s="21">
        <v>546</v>
      </c>
      <c r="E1020" s="21" t="str">
        <f>"1000017083"</f>
        <v>1000017083</v>
      </c>
      <c r="F1020" s="21" t="str">
        <f>"TONER:BRO Item # TN580-BRT, Brother LaserJet HL5250DN, HL5240, high yield toner (Yld 7k)"</f>
        <v>TONER:BRO Item # TN580-BRT, Brother LaserJet HL5250DN, HL5240, high yield toner (Yld 7k)</v>
      </c>
      <c r="G1020" s="22" t="str">
        <f t="shared" si="76"/>
        <v>EA</v>
      </c>
      <c r="H1020" s="23">
        <v>114.99</v>
      </c>
      <c r="I1020" s="21" t="str">
        <f t="shared" si="77"/>
        <v>44103105</v>
      </c>
      <c r="J1020" s="25" t="s">
        <v>98</v>
      </c>
    </row>
    <row r="1021" spans="1:10" ht="51.75">
      <c r="A1021" s="9" t="s">
        <v>27</v>
      </c>
      <c r="B1021" s="2" t="s">
        <v>31</v>
      </c>
      <c r="C1021" s="2">
        <v>3204</v>
      </c>
      <c r="D1021" s="2">
        <v>547</v>
      </c>
      <c r="E1021" s="2" t="str">
        <f>"1000017111"</f>
        <v>1000017111</v>
      </c>
      <c r="F1021" s="2" t="str">
        <f>"TONER:CAN Item # 0263B001A-CAN, Canon No. 104 black laser toner cartridge designed for the Canon FaxPhone L120 laser toner fax machine (Yld 2k)"</f>
        <v>TONER:CAN Item # 0263B001A-CAN, Canon No. 104 black laser toner cartridge designed for the Canon FaxPhone L120 laser toner fax machine (Yld 2k)</v>
      </c>
      <c r="G1021" s="3" t="str">
        <f t="shared" si="76"/>
        <v>EA</v>
      </c>
      <c r="H1021" s="7">
        <v>79.66</v>
      </c>
      <c r="I1021" s="2" t="str">
        <f t="shared" si="77"/>
        <v>44103105</v>
      </c>
      <c r="J1021" s="10" t="s">
        <v>98</v>
      </c>
    </row>
    <row r="1022" spans="1:10" ht="51.75">
      <c r="A1022" s="24" t="s">
        <v>27</v>
      </c>
      <c r="B1022" s="21" t="s">
        <v>31</v>
      </c>
      <c r="C1022" s="21">
        <v>3204</v>
      </c>
      <c r="D1022" s="21">
        <v>548</v>
      </c>
      <c r="E1022" s="21" t="str">
        <f>"1000017112"</f>
        <v>1000017112</v>
      </c>
      <c r="F1022" s="21" t="str">
        <f>"TONER:CAN Item # 0264B001AA-CAN, Canon black toner cartridge, Canon All-in-One Machines imageCLASS MF6530, MF6540, MF6550, MF6560, MF6580, MF6590, (Yld 5k)"</f>
        <v>TONER:CAN Item # 0264B001AA-CAN, Canon black toner cartridge, Canon All-in-One Machines imageCLASS MF6530, MF6540, MF6550, MF6560, MF6580, MF6590, (Yld 5k)</v>
      </c>
      <c r="G1022" s="22" t="str">
        <f t="shared" si="76"/>
        <v>EA</v>
      </c>
      <c r="H1022" s="23">
        <v>167</v>
      </c>
      <c r="I1022" s="21" t="str">
        <f t="shared" si="77"/>
        <v>44103105</v>
      </c>
      <c r="J1022" s="25" t="s">
        <v>98</v>
      </c>
    </row>
    <row r="1023" spans="1:10" ht="39">
      <c r="A1023" s="9" t="s">
        <v>27</v>
      </c>
      <c r="B1023" s="2" t="s">
        <v>31</v>
      </c>
      <c r="C1023" s="2">
        <v>3204</v>
      </c>
      <c r="D1023" s="2">
        <v>549</v>
      </c>
      <c r="E1023" s="2" t="str">
        <f>"1000017127"</f>
        <v>1000017127</v>
      </c>
      <c r="F1023" s="2" t="str">
        <f>"TONER:CAN Item # 1376A003AA-CAN, Canon, NPG-5 NP 3030/3050 Toner Cartridge (Yld 13.6k)"</f>
        <v>TONER:CAN Item # 1376A003AA-CAN, Canon, NPG-5 NP 3030/3050 Toner Cartridge (Yld 13.6k)</v>
      </c>
      <c r="G1023" s="3" t="str">
        <f t="shared" si="76"/>
        <v>EA</v>
      </c>
      <c r="H1023" s="7">
        <v>62</v>
      </c>
      <c r="I1023" s="2" t="str">
        <f t="shared" si="77"/>
        <v>44103105</v>
      </c>
      <c r="J1023" s="10" t="s">
        <v>98</v>
      </c>
    </row>
    <row r="1024" spans="1:10" ht="39">
      <c r="A1024" s="24" t="s">
        <v>27</v>
      </c>
      <c r="B1024" s="21" t="s">
        <v>31</v>
      </c>
      <c r="C1024" s="21">
        <v>3204</v>
      </c>
      <c r="D1024" s="21">
        <v>550</v>
      </c>
      <c r="E1024" s="21" t="str">
        <f>"1000017128"</f>
        <v>1000017128</v>
      </c>
      <c r="F1024" s="21" t="str">
        <f>"TONER:CAN Item # 1379A004AA-CAN, Canon NPG-9, NP 6016/6521 Toner Cartridge (2/package) (Yld 7.6k)"</f>
        <v>TONER:CAN Item # 1379A004AA-CAN, Canon NPG-9, NP 6016/6521 Toner Cartridge (2/package) (Yld 7.6k)</v>
      </c>
      <c r="G1024" s="22" t="str">
        <f>"PK"</f>
        <v>PK</v>
      </c>
      <c r="H1024" s="23">
        <v>77</v>
      </c>
      <c r="I1024" s="21" t="str">
        <f t="shared" si="77"/>
        <v>44103105</v>
      </c>
      <c r="J1024" s="25" t="s">
        <v>98</v>
      </c>
    </row>
    <row r="1025" spans="1:10" ht="26.25">
      <c r="A1025" s="9" t="s">
        <v>27</v>
      </c>
      <c r="B1025" s="2" t="s">
        <v>31</v>
      </c>
      <c r="C1025" s="2">
        <v>3204</v>
      </c>
      <c r="D1025" s="2">
        <v>551</v>
      </c>
      <c r="E1025" s="2" t="str">
        <f>"1000017103"</f>
        <v>1000017103</v>
      </c>
      <c r="F1025" s="2" t="str">
        <f>"TONER:CAN Item # 1381A004AA-CAN, Canon, NPG10, NP 6050 Black Toner (Yld 30k)"</f>
        <v>TONER:CAN Item # 1381A004AA-CAN, Canon, NPG10, NP 6050 Black Toner (Yld 30k)</v>
      </c>
      <c r="G1025" s="3" t="str">
        <f t="shared" ref="G1025:G1055" si="78">"EA"</f>
        <v>EA</v>
      </c>
      <c r="H1025" s="7">
        <v>85</v>
      </c>
      <c r="I1025" s="2" t="str">
        <f t="shared" si="77"/>
        <v>44103105</v>
      </c>
      <c r="J1025" s="10" t="s">
        <v>98</v>
      </c>
    </row>
    <row r="1026" spans="1:10" ht="39">
      <c r="A1026" s="24" t="s">
        <v>27</v>
      </c>
      <c r="B1026" s="21" t="s">
        <v>31</v>
      </c>
      <c r="C1026" s="21">
        <v>3204</v>
      </c>
      <c r="D1026" s="21">
        <v>552</v>
      </c>
      <c r="E1026" s="21" t="str">
        <f>"1000017104"</f>
        <v>1000017104</v>
      </c>
      <c r="F1026" s="21" t="str">
        <f>"TONER:CAN Item # 1382A003AA-CAN, Canon NPG-11, NP 6012/ 6012F/ 6412/ 6412F/7130 Black Toner (Yld 5k)"</f>
        <v>TONER:CAN Item # 1382A003AA-CAN, Canon NPG-11, NP 6012/ 6012F/ 6412/ 6412F/7130 Black Toner (Yld 5k)</v>
      </c>
      <c r="G1026" s="22" t="str">
        <f t="shared" si="78"/>
        <v>EA</v>
      </c>
      <c r="H1026" s="23">
        <v>43</v>
      </c>
      <c r="I1026" s="21" t="str">
        <f t="shared" si="77"/>
        <v>44103105</v>
      </c>
      <c r="J1026" s="25" t="s">
        <v>98</v>
      </c>
    </row>
    <row r="1027" spans="1:10" ht="39">
      <c r="A1027" s="9" t="s">
        <v>27</v>
      </c>
      <c r="B1027" s="2" t="s">
        <v>31</v>
      </c>
      <c r="C1027" s="2">
        <v>3204</v>
      </c>
      <c r="D1027" s="2">
        <v>553</v>
      </c>
      <c r="E1027" s="2" t="str">
        <f>"1000017105"</f>
        <v>1000017105</v>
      </c>
      <c r="F1027" s="2" t="str">
        <f>"TONER:CAN Item # 1388A003AA-CAN, Canon ImageRunner 210/210E/210S/ GP200/200D/ 200F/200S/215/2005 Toner (Yld 9.6k)"</f>
        <v>TONER:CAN Item # 1388A003AA-CAN, Canon ImageRunner 210/210E/210S/ GP200/200D/ 200F/200S/215/2005 Toner (Yld 9.6k)</v>
      </c>
      <c r="G1027" s="3" t="str">
        <f t="shared" si="78"/>
        <v>EA</v>
      </c>
      <c r="H1027" s="7">
        <v>41</v>
      </c>
      <c r="I1027" s="2" t="str">
        <f t="shared" si="77"/>
        <v>44103105</v>
      </c>
      <c r="J1027" s="10" t="s">
        <v>98</v>
      </c>
    </row>
    <row r="1028" spans="1:10" ht="39">
      <c r="A1028" s="24" t="s">
        <v>27</v>
      </c>
      <c r="B1028" s="21" t="s">
        <v>31</v>
      </c>
      <c r="C1028" s="21">
        <v>3204</v>
      </c>
      <c r="D1028" s="21">
        <v>554</v>
      </c>
      <c r="E1028" s="21" t="str">
        <f>"1000017106"</f>
        <v>1000017106</v>
      </c>
      <c r="F1028" s="21" t="str">
        <f>"TONER:CAN Item # 1474A002AA-CAN, Canon A-30, PC 1/ 2/ 3/ 5/ 6RE/ 7/ 8/ 11/ 12/ 65 Toner Cartridge (Yld 3k)"</f>
        <v>TONER:CAN Item # 1474A002AA-CAN, Canon A-30, PC 1/ 2/ 3/ 5/ 6RE/ 7/ 8/ 11/ 12/ 65 Toner Cartridge (Yld 3k)</v>
      </c>
      <c r="G1028" s="22" t="str">
        <f t="shared" si="78"/>
        <v>EA</v>
      </c>
      <c r="H1028" s="23">
        <v>125</v>
      </c>
      <c r="I1028" s="21" t="str">
        <f t="shared" si="77"/>
        <v>44103105</v>
      </c>
      <c r="J1028" s="25" t="s">
        <v>98</v>
      </c>
    </row>
    <row r="1029" spans="1:10" ht="51.75">
      <c r="A1029" s="9" t="s">
        <v>27</v>
      </c>
      <c r="B1029" s="2" t="s">
        <v>31</v>
      </c>
      <c r="C1029" s="2">
        <v>3204</v>
      </c>
      <c r="D1029" s="2">
        <v>555</v>
      </c>
      <c r="E1029" s="2" t="str">
        <f>"1000017107"</f>
        <v>1000017107</v>
      </c>
      <c r="F1029" s="2" t="str">
        <f>"TONER:CAN Item # 1491A002AA-BC, Canon E-40 Brand Compatible for PC 210/ 300/ 310/ 320/ 330/ 330L/ 530/ 550/ 710/ 720 /730/740 (Yld 4k)"</f>
        <v>TONER:CAN Item # 1491A002AA-BC, Canon E-40 Brand Compatible for PC 210/ 300/ 310/ 320/ 330/ 330L/ 530/ 550/ 710/ 720 /730/740 (Yld 4k)</v>
      </c>
      <c r="G1029" s="3" t="str">
        <f t="shared" si="78"/>
        <v>EA</v>
      </c>
      <c r="H1029" s="7">
        <v>109</v>
      </c>
      <c r="I1029" s="2" t="str">
        <f t="shared" si="77"/>
        <v>44103105</v>
      </c>
      <c r="J1029" s="10" t="s">
        <v>98</v>
      </c>
    </row>
    <row r="1030" spans="1:10" ht="39">
      <c r="A1030" s="24" t="s">
        <v>27</v>
      </c>
      <c r="B1030" s="21" t="s">
        <v>31</v>
      </c>
      <c r="C1030" s="21">
        <v>3204</v>
      </c>
      <c r="D1030" s="21">
        <v>556</v>
      </c>
      <c r="E1030" s="21" t="str">
        <f>"1000017108"</f>
        <v>1000017108</v>
      </c>
      <c r="F1030" s="21" t="str">
        <f>"TONER:CAN Item # 1491A002AA-CAN, Canon E-40 PC 210/ 300/310/ 320/330/ 330L/ 530/550/710/720 /730/740 (Yld 4k)"</f>
        <v>TONER:CAN Item # 1491A002AA-CAN, Canon E-40 PC 210/ 300/310/ 320/330/ 330L/ 530/550/710/720 /730/740 (Yld 4k)</v>
      </c>
      <c r="G1030" s="22" t="str">
        <f t="shared" si="78"/>
        <v>EA</v>
      </c>
      <c r="H1030" s="23">
        <v>159.66</v>
      </c>
      <c r="I1030" s="21" t="str">
        <f t="shared" si="77"/>
        <v>44103105</v>
      </c>
      <c r="J1030" s="25" t="s">
        <v>98</v>
      </c>
    </row>
    <row r="1031" spans="1:10" ht="51.75">
      <c r="A1031" s="9" t="s">
        <v>27</v>
      </c>
      <c r="B1031" s="2" t="s">
        <v>31</v>
      </c>
      <c r="C1031" s="2">
        <v>3204</v>
      </c>
      <c r="D1031" s="2">
        <v>557</v>
      </c>
      <c r="E1031" s="2" t="str">
        <f>"1000001553"</f>
        <v>1000001553</v>
      </c>
      <c r="F1031" s="2" t="str">
        <f>"TONER:CAN Item # 1492A002AA-CAN, Toner for Canon Printers (E-20) PC 210/300/310/320/330/330L/530/ 550/710/ 720/730/740 (Yld 2k)"</f>
        <v>TONER:CAN Item # 1492A002AA-CAN, Toner for Canon Printers (E-20) PC 210/300/310/320/330/330L/530/ 550/710/ 720/730/740 (Yld 2k)</v>
      </c>
      <c r="G1031" s="3" t="str">
        <f t="shared" si="78"/>
        <v>EA</v>
      </c>
      <c r="H1031" s="7">
        <v>92</v>
      </c>
      <c r="I1031" s="2" t="str">
        <f>"44103103"</f>
        <v>44103103</v>
      </c>
      <c r="J1031" s="10" t="s">
        <v>98</v>
      </c>
    </row>
    <row r="1032" spans="1:10" ht="39">
      <c r="A1032" s="24" t="s">
        <v>27</v>
      </c>
      <c r="B1032" s="21" t="s">
        <v>31</v>
      </c>
      <c r="C1032" s="21">
        <v>3204</v>
      </c>
      <c r="D1032" s="21">
        <v>558</v>
      </c>
      <c r="E1032" s="21" t="str">
        <f>"1000017137"</f>
        <v>1000017137</v>
      </c>
      <c r="F1032" s="21" t="str">
        <f>"TONER:CAN Item # 3708A001AA-CAN, Canon NP 30/50/60/90 Positive Micrographic Toner Cartridge (MP20 P01) (Yld 3k)"</f>
        <v>TONER:CAN Item # 3708A001AA-CAN, Canon NP 30/50/60/90 Positive Micrographic Toner Cartridge (MP20 P01) (Yld 3k)</v>
      </c>
      <c r="G1032" s="22" t="str">
        <f t="shared" si="78"/>
        <v>EA</v>
      </c>
      <c r="H1032" s="23">
        <v>149</v>
      </c>
      <c r="I1032" s="21" t="str">
        <f>"44103105"</f>
        <v>44103105</v>
      </c>
      <c r="J1032" s="25" t="s">
        <v>98</v>
      </c>
    </row>
    <row r="1033" spans="1:10" ht="51.75">
      <c r="A1033" s="9" t="s">
        <v>27</v>
      </c>
      <c r="B1033" s="2" t="s">
        <v>31</v>
      </c>
      <c r="C1033" s="2">
        <v>3204</v>
      </c>
      <c r="D1033" s="2">
        <v>559</v>
      </c>
      <c r="E1033" s="2" t="str">
        <f>"1000017138"</f>
        <v>1000017138</v>
      </c>
      <c r="F1033" s="2" t="str">
        <f>"TONER:CAN Item # 3708A007AA-CAN (Replaces 3708A005AA) Canon NP20N/30/ 50/ 60/ 90 Negative Micrographic Toner Cartridge (MP20 N01) (Yld 3k)"</f>
        <v>TONER:CAN Item # 3708A007AA-CAN (Replaces 3708A005AA) Canon NP20N/30/ 50/ 60/ 90 Negative Micrographic Toner Cartridge (MP20 N01) (Yld 3k)</v>
      </c>
      <c r="G1033" s="3" t="str">
        <f t="shared" si="78"/>
        <v>EA</v>
      </c>
      <c r="H1033" s="7">
        <v>142</v>
      </c>
      <c r="I1033" s="2" t="str">
        <f>"44103105"</f>
        <v>44103105</v>
      </c>
      <c r="J1033" s="10" t="s">
        <v>98</v>
      </c>
    </row>
    <row r="1034" spans="1:10" ht="39">
      <c r="A1034" s="24" t="s">
        <v>27</v>
      </c>
      <c r="B1034" s="21" t="s">
        <v>31</v>
      </c>
      <c r="C1034" s="21">
        <v>3204</v>
      </c>
      <c r="D1034" s="21">
        <v>562</v>
      </c>
      <c r="E1034" s="21" t="str">
        <f>"1000017141"</f>
        <v>1000017141</v>
      </c>
      <c r="F1034" s="21" t="str">
        <f>"TONER:CAN Item # 4234A003AA-CAN, Canon GPR-4 ImageRunner 5000/6000 GPR4 Black Toner (Yld 33k)"</f>
        <v>TONER:CAN Item # 4234A003AA-CAN, Canon GPR-4 ImageRunner 5000/6000 GPR4 Black Toner (Yld 33k)</v>
      </c>
      <c r="G1034" s="22" t="str">
        <f t="shared" si="78"/>
        <v>EA</v>
      </c>
      <c r="H1034" s="23">
        <v>77</v>
      </c>
      <c r="I1034" s="21" t="str">
        <f>"44103105"</f>
        <v>44103105</v>
      </c>
      <c r="J1034" s="25" t="s">
        <v>98</v>
      </c>
    </row>
    <row r="1035" spans="1:10" ht="39">
      <c r="A1035" s="24" t="s">
        <v>27</v>
      </c>
      <c r="B1035" s="21" t="s">
        <v>31</v>
      </c>
      <c r="C1035" s="21">
        <v>3204</v>
      </c>
      <c r="D1035" s="21">
        <v>563</v>
      </c>
      <c r="E1035" s="21" t="str">
        <f>"1000001228"</f>
        <v>1000001228</v>
      </c>
      <c r="F1035" s="21" t="str">
        <f>"TONER:CAN Item # 6647A003AA-CAN, Black Toner GPR-6 (Yld15k) for ImageRunner 2200/2800/3300"</f>
        <v>TONER:CAN Item # 6647A003AA-CAN, Black Toner GPR-6 (Yld15k) for ImageRunner 2200/2800/3300</v>
      </c>
      <c r="G1035" s="22" t="str">
        <f t="shared" si="78"/>
        <v>EA</v>
      </c>
      <c r="H1035" s="23">
        <v>45</v>
      </c>
      <c r="I1035" s="21" t="str">
        <f>"44103103"</f>
        <v>44103103</v>
      </c>
      <c r="J1035" s="25" t="s">
        <v>99</v>
      </c>
    </row>
    <row r="1036" spans="1:10" ht="39">
      <c r="A1036" s="9" t="s">
        <v>27</v>
      </c>
      <c r="B1036" s="2" t="s">
        <v>31</v>
      </c>
      <c r="C1036" s="2">
        <v>3204</v>
      </c>
      <c r="D1036" s="2">
        <v>564</v>
      </c>
      <c r="E1036" s="2" t="str">
        <f>"1000017179"</f>
        <v>1000017179</v>
      </c>
      <c r="F1036" s="2" t="str">
        <f>"TONER:CAN Item # 6836A003AA-CAN, Canon GPR-8 Black Toner (Yld 7.85k) for ImageRunner 1600/2000/2010F"</f>
        <v>TONER:CAN Item # 6836A003AA-CAN, Canon GPR-8 Black Toner (Yld 7.85k) for ImageRunner 1600/2000/2010F</v>
      </c>
      <c r="G1036" s="3" t="str">
        <f t="shared" si="78"/>
        <v>EA</v>
      </c>
      <c r="H1036" s="7">
        <v>28</v>
      </c>
      <c r="I1036" s="2" t="str">
        <f>"44103105"</f>
        <v>44103105</v>
      </c>
      <c r="J1036" s="10" t="s">
        <v>98</v>
      </c>
    </row>
    <row r="1037" spans="1:10" ht="39">
      <c r="A1037" s="24" t="s">
        <v>27</v>
      </c>
      <c r="B1037" s="21" t="s">
        <v>31</v>
      </c>
      <c r="C1037" s="21">
        <v>3204</v>
      </c>
      <c r="D1037" s="21">
        <v>565</v>
      </c>
      <c r="E1037" s="21" t="str">
        <f>"1000017129"</f>
        <v>1000017129</v>
      </c>
      <c r="F1037" s="21" t="str">
        <f>"TONER:CAN Item # 7814A003AA-CAN, Canon 1370 F Digital Copier Black Toner GPR-10 (Yld 5.3k)"</f>
        <v>TONER:CAN Item # 7814A003AA-CAN, Canon 1370 F Digital Copier Black Toner GPR-10 (Yld 5.3k)</v>
      </c>
      <c r="G1037" s="22" t="str">
        <f t="shared" si="78"/>
        <v>EA</v>
      </c>
      <c r="H1037" s="23">
        <v>31.99</v>
      </c>
      <c r="I1037" s="21" t="str">
        <f>"44103105"</f>
        <v>44103105</v>
      </c>
      <c r="J1037" s="25" t="s">
        <v>98</v>
      </c>
    </row>
    <row r="1038" spans="1:10" ht="39">
      <c r="A1038" s="9" t="s">
        <v>27</v>
      </c>
      <c r="B1038" s="2" t="s">
        <v>31</v>
      </c>
      <c r="C1038" s="2">
        <v>3204</v>
      </c>
      <c r="D1038" s="2">
        <v>566</v>
      </c>
      <c r="E1038" s="2" t="str">
        <f>"1000001444"</f>
        <v>1000001444</v>
      </c>
      <c r="F1038" s="2" t="str">
        <f>"TONER:CAN Item # 7833A001AA-CAN, Toner for Canon Printers (NR) S-35 ctg.for Imageclass (Yld 35k)"</f>
        <v>TONER:CAN Item # 7833A001AA-CAN, Toner for Canon Printers (NR) S-35 ctg.for Imageclass (Yld 35k)</v>
      </c>
      <c r="G1038" s="3" t="str">
        <f t="shared" si="78"/>
        <v>EA</v>
      </c>
      <c r="H1038" s="7">
        <v>140.66</v>
      </c>
      <c r="I1038" s="2" t="str">
        <f>"44103103"</f>
        <v>44103103</v>
      </c>
      <c r="J1038" s="10" t="s">
        <v>99</v>
      </c>
    </row>
    <row r="1039" spans="1:10" ht="39">
      <c r="A1039" s="24" t="s">
        <v>27</v>
      </c>
      <c r="B1039" s="21" t="s">
        <v>31</v>
      </c>
      <c r="C1039" s="21">
        <v>3204</v>
      </c>
      <c r="D1039" s="21">
        <v>567</v>
      </c>
      <c r="E1039" s="21" t="str">
        <f>"1000001229"</f>
        <v>1000001229</v>
      </c>
      <c r="F1039" s="21" t="str">
        <f>"TONER:CAN Item # 8489A001AA-CAN, Black Toner for ImageClass MF5530, MF5550, X25 (Yld 2.5k)"</f>
        <v>TONER:CAN Item # 8489A001AA-CAN, Black Toner for ImageClass MF5530, MF5550, X25 (Yld 2.5k)</v>
      </c>
      <c r="G1039" s="22" t="str">
        <f t="shared" si="78"/>
        <v>EA</v>
      </c>
      <c r="H1039" s="23">
        <v>88.65</v>
      </c>
      <c r="I1039" s="21" t="str">
        <f>"44103103"</f>
        <v>44103103</v>
      </c>
      <c r="J1039" s="25" t="s">
        <v>99</v>
      </c>
    </row>
    <row r="1040" spans="1:10" ht="39">
      <c r="A1040" s="9" t="s">
        <v>27</v>
      </c>
      <c r="B1040" s="2" t="s">
        <v>31</v>
      </c>
      <c r="C1040" s="2">
        <v>3204</v>
      </c>
      <c r="D1040" s="2">
        <v>568</v>
      </c>
      <c r="E1040" s="2" t="str">
        <f>"1000017131"</f>
        <v>1000017131</v>
      </c>
      <c r="F1040" s="2" t="str">
        <f>"TONER:CAN Item # 9634A003-CAN, Canon GPR-16 black toner cartridge for Imagerunner 3035, 3045, 3530, 3570, and 4570"</f>
        <v>TONER:CAN Item # 9634A003-CAN, Canon GPR-16 black toner cartridge for Imagerunner 3035, 3045, 3530, 3570, and 4570</v>
      </c>
      <c r="G1040" s="3" t="str">
        <f t="shared" si="78"/>
        <v>EA</v>
      </c>
      <c r="H1040" s="7">
        <v>65</v>
      </c>
      <c r="I1040" s="2" t="str">
        <f>"44103105"</f>
        <v>44103105</v>
      </c>
      <c r="J1040" s="10" t="s">
        <v>98</v>
      </c>
    </row>
    <row r="1041" spans="1:10" ht="51.75">
      <c r="A1041" s="24" t="s">
        <v>27</v>
      </c>
      <c r="B1041" s="21" t="s">
        <v>31</v>
      </c>
      <c r="C1041" s="21">
        <v>3204</v>
      </c>
      <c r="D1041" s="21">
        <v>569</v>
      </c>
      <c r="E1041" s="21" t="str">
        <f>"1000017133"</f>
        <v>1000017133</v>
      </c>
      <c r="F1041" s="21" t="str">
        <f>"TONER:CAN Item # C4127XR-REM, Remanufactured Black toner for Canon Laser Printers LBP-52X, HP Laser Printers LaserJet 4000 Series, LaserJet 4050 Series (Yld 10k)"</f>
        <v>TONER:CAN Item # C4127XR-REM, Remanufactured Black toner for Canon Laser Printers LBP-52X, HP Laser Printers LaserJet 4000 Series, LaserJet 4050 Series (Yld 10k)</v>
      </c>
      <c r="G1041" s="22" t="str">
        <f t="shared" si="78"/>
        <v>EA</v>
      </c>
      <c r="H1041" s="23">
        <v>64</v>
      </c>
      <c r="I1041" s="21" t="str">
        <f>"44103105"</f>
        <v>44103105</v>
      </c>
      <c r="J1041" s="25" t="s">
        <v>98</v>
      </c>
    </row>
    <row r="1042" spans="1:10" ht="51.75">
      <c r="A1042" s="9" t="s">
        <v>27</v>
      </c>
      <c r="B1042" s="2" t="s">
        <v>31</v>
      </c>
      <c r="C1042" s="2">
        <v>3204</v>
      </c>
      <c r="D1042" s="2">
        <v>570</v>
      </c>
      <c r="E1042" s="2" t="str">
        <f>"1000022114"</f>
        <v>1000022114</v>
      </c>
      <c r="F1042" s="2" t="str">
        <f>"TONER: CAN Item # FX1-CAN Fax Toner Cartridge for L700/720/760/770/775/777/780/785/790/L3300 (Yld 4k)(AKA 1551A002AA)"</f>
        <v>TONER: CAN Item # FX1-CAN Fax Toner Cartridge for L700/720/760/770/775/777/780/785/790/L3300 (Yld 4k)(AKA 1551A002AA)</v>
      </c>
      <c r="G1042" s="3" t="str">
        <f t="shared" si="78"/>
        <v>EA</v>
      </c>
      <c r="H1042" s="7">
        <v>97</v>
      </c>
      <c r="I1042" s="2" t="str">
        <f>"44103103"</f>
        <v>44103103</v>
      </c>
      <c r="J1042" s="10" t="s">
        <v>99</v>
      </c>
    </row>
    <row r="1043" spans="1:10" ht="39">
      <c r="A1043" s="9" t="s">
        <v>27</v>
      </c>
      <c r="B1043" s="2" t="s">
        <v>31</v>
      </c>
      <c r="C1043" s="2">
        <v>3204</v>
      </c>
      <c r="D1043" s="2">
        <v>571</v>
      </c>
      <c r="E1043" s="2" t="str">
        <f>"1000017142"</f>
        <v>1000017142</v>
      </c>
      <c r="F1043" s="2" t="str">
        <f>"TONER:CAN Item # FX2-BC, Brand Compatible for Canon Laser Fax 5000/ 5500/ 7000/ 7100/ 7500/ 7700 (Yld 4k)"</f>
        <v>TONER:CAN Item # FX2-BC, Brand Compatible for Canon Laser Fax 5000/ 5500/ 7000/ 7100/ 7500/ 7700 (Yld 4k)</v>
      </c>
      <c r="G1043" s="3" t="str">
        <f t="shared" si="78"/>
        <v>EA</v>
      </c>
      <c r="H1043" s="7">
        <v>73</v>
      </c>
      <c r="I1043" s="2" t="str">
        <f>"44103105"</f>
        <v>44103105</v>
      </c>
      <c r="J1043" s="10" t="s">
        <v>98</v>
      </c>
    </row>
    <row r="1044" spans="1:10" ht="39">
      <c r="A1044" s="24" t="s">
        <v>27</v>
      </c>
      <c r="B1044" s="21" t="s">
        <v>31</v>
      </c>
      <c r="C1044" s="21">
        <v>3204</v>
      </c>
      <c r="D1044" s="21">
        <v>572</v>
      </c>
      <c r="E1044" s="21" t="str">
        <f>"1000001660"</f>
        <v>1000001660</v>
      </c>
      <c r="F1044" s="21" t="str">
        <f>"TONER:CAN Item # FX2-CAN, Fax Toner Cartridges for Canon Printers L5000/L5500/L7000/7100/7500/7700 (Yld 4k)"</f>
        <v>TONER:CAN Item # FX2-CAN, Fax Toner Cartridges for Canon Printers L5000/L5500/L7000/7100/7500/7700 (Yld 4k)</v>
      </c>
      <c r="G1044" s="22" t="str">
        <f t="shared" si="78"/>
        <v>EA</v>
      </c>
      <c r="H1044" s="23">
        <v>93</v>
      </c>
      <c r="I1044" s="21" t="str">
        <f>"44103103"</f>
        <v>44103103</v>
      </c>
      <c r="J1044" s="25" t="s">
        <v>99</v>
      </c>
    </row>
    <row r="1045" spans="1:10" ht="51.75">
      <c r="A1045" s="9" t="s">
        <v>27</v>
      </c>
      <c r="B1045" s="2" t="s">
        <v>31</v>
      </c>
      <c r="C1045" s="2">
        <v>3204</v>
      </c>
      <c r="D1045" s="2">
        <v>573</v>
      </c>
      <c r="E1045" s="2" t="str">
        <f>"1000001445"</f>
        <v>1000001445</v>
      </c>
      <c r="F1045" s="2" t="str">
        <f>"TONER:CAN Item # FX3-BC, Brand Compatible Fax Toner Cartridge for Canon L2060/L3500/L4000/L4500 Multipass 6000 (Yld 4k)"</f>
        <v>TONER:CAN Item # FX3-BC, Brand Compatible Fax Toner Cartridge for Canon L2060/L3500/L4000/L4500 Multipass 6000 (Yld 4k)</v>
      </c>
      <c r="G1045" s="3" t="str">
        <f t="shared" si="78"/>
        <v>EA</v>
      </c>
      <c r="H1045" s="7">
        <v>72</v>
      </c>
      <c r="I1045" s="2" t="str">
        <f>"44103103"</f>
        <v>44103103</v>
      </c>
      <c r="J1045" s="10" t="s">
        <v>99</v>
      </c>
    </row>
    <row r="1046" spans="1:10" ht="39">
      <c r="A1046" s="24" t="s">
        <v>27</v>
      </c>
      <c r="B1046" s="21" t="s">
        <v>31</v>
      </c>
      <c r="C1046" s="21">
        <v>3204</v>
      </c>
      <c r="D1046" s="21">
        <v>574</v>
      </c>
      <c r="E1046" s="21" t="str">
        <f>"1000001659"</f>
        <v>1000001659</v>
      </c>
      <c r="F1046" s="21" t="str">
        <f>"TONER:CAN Item # FX3-CAN, Toner for Canon Printers L2060/L3500/L4000/L4500 Multipass 6000 (Yld 4k)"</f>
        <v>TONER:CAN Item # FX3-CAN, Toner for Canon Printers L2060/L3500/L4000/L4500 Multipass 6000 (Yld 4k)</v>
      </c>
      <c r="G1046" s="22" t="str">
        <f t="shared" si="78"/>
        <v>EA</v>
      </c>
      <c r="H1046" s="23">
        <v>88.49</v>
      </c>
      <c r="I1046" s="21" t="str">
        <f>"44103103"</f>
        <v>44103103</v>
      </c>
      <c r="J1046" s="25" t="s">
        <v>99</v>
      </c>
    </row>
    <row r="1047" spans="1:10" ht="39">
      <c r="A1047" s="24" t="s">
        <v>27</v>
      </c>
      <c r="B1047" s="21" t="s">
        <v>31</v>
      </c>
      <c r="C1047" s="21">
        <v>3204</v>
      </c>
      <c r="D1047" s="21">
        <v>575</v>
      </c>
      <c r="E1047" s="21" t="str">
        <f>"1000017143"</f>
        <v>1000017143</v>
      </c>
      <c r="F1047" s="21" t="str">
        <f>"TONER:CAN Item # FX4-BC, Brand Compatible for Canon LC8500/9000/9500 Black Fax Toner (Yld 4k)"</f>
        <v>TONER:CAN Item # FX4-BC, Brand Compatible for Canon LC8500/9000/9500 Black Fax Toner (Yld 4k)</v>
      </c>
      <c r="G1047" s="22" t="str">
        <f t="shared" si="78"/>
        <v>EA</v>
      </c>
      <c r="H1047" s="23">
        <v>77</v>
      </c>
      <c r="I1047" s="21" t="str">
        <f>"44103105"</f>
        <v>44103105</v>
      </c>
      <c r="J1047" s="25" t="s">
        <v>98</v>
      </c>
    </row>
    <row r="1048" spans="1:10" ht="26.25">
      <c r="A1048" s="9" t="s">
        <v>27</v>
      </c>
      <c r="B1048" s="2" t="s">
        <v>31</v>
      </c>
      <c r="C1048" s="2">
        <v>3204</v>
      </c>
      <c r="D1048" s="2">
        <v>576</v>
      </c>
      <c r="E1048" s="2" t="str">
        <f>"1000017144"</f>
        <v>1000017144</v>
      </c>
      <c r="F1048" s="2" t="str">
        <f>"TONER:CAN Item # FX4-CAN, Canon Black fax toner cartridge for LC8500/9000/9500 (Yld 4k)"</f>
        <v>TONER:CAN Item # FX4-CAN, Canon Black fax toner cartridge for LC8500/9000/9500 (Yld 4k)</v>
      </c>
      <c r="G1048" s="3" t="str">
        <f t="shared" si="78"/>
        <v>EA</v>
      </c>
      <c r="H1048" s="7">
        <v>94</v>
      </c>
      <c r="I1048" s="2" t="str">
        <f>"44103105"</f>
        <v>44103105</v>
      </c>
      <c r="J1048" s="10" t="s">
        <v>98</v>
      </c>
    </row>
    <row r="1049" spans="1:10" ht="39">
      <c r="A1049" s="9" t="s">
        <v>27</v>
      </c>
      <c r="B1049" s="2" t="s">
        <v>31</v>
      </c>
      <c r="C1049" s="2">
        <v>3204</v>
      </c>
      <c r="D1049" s="2">
        <v>577</v>
      </c>
      <c r="E1049" s="2" t="str">
        <f>"1000001661"</f>
        <v>1000001661</v>
      </c>
      <c r="F1049" s="2" t="str">
        <f>"TONER:CAN Item # FX6-BC, Brand Compatible Fax Toner for Canon Printers LC3170/3175 (Yld 5k)"</f>
        <v>TONER:CAN Item # FX6-BC, Brand Compatible Fax Toner for Canon Printers LC3170/3175 (Yld 5k)</v>
      </c>
      <c r="G1049" s="3" t="str">
        <f t="shared" si="78"/>
        <v>EA</v>
      </c>
      <c r="H1049" s="7">
        <v>99</v>
      </c>
      <c r="I1049" s="2" t="str">
        <f>"44103103"</f>
        <v>44103103</v>
      </c>
      <c r="J1049" s="10" t="s">
        <v>99</v>
      </c>
    </row>
    <row r="1050" spans="1:10" ht="26.25">
      <c r="A1050" s="24" t="s">
        <v>27</v>
      </c>
      <c r="B1050" s="21" t="s">
        <v>31</v>
      </c>
      <c r="C1050" s="21">
        <v>3204</v>
      </c>
      <c r="D1050" s="21">
        <v>578</v>
      </c>
      <c r="E1050" s="21" t="str">
        <f>"1000000052"</f>
        <v>1000000052</v>
      </c>
      <c r="F1050" s="21" t="str">
        <f>"TONER:CAN Item # FX6-CAN, Black Fax Toner for Canon Printers LC3170/3175 (Yld 5k)"</f>
        <v>TONER:CAN Item # FX6-CAN, Black Fax Toner for Canon Printers LC3170/3175 (Yld 5k)</v>
      </c>
      <c r="G1050" s="22" t="str">
        <f t="shared" si="78"/>
        <v>EA</v>
      </c>
      <c r="H1050" s="23">
        <v>119.32</v>
      </c>
      <c r="I1050" s="21" t="str">
        <f>"44103103"</f>
        <v>44103103</v>
      </c>
      <c r="J1050" s="25" t="s">
        <v>99</v>
      </c>
    </row>
    <row r="1051" spans="1:10" ht="39">
      <c r="A1051" s="9" t="s">
        <v>27</v>
      </c>
      <c r="B1051" s="2" t="s">
        <v>31</v>
      </c>
      <c r="C1051" s="2">
        <v>3204</v>
      </c>
      <c r="D1051" s="2">
        <v>579</v>
      </c>
      <c r="E1051" s="2" t="str">
        <f>"1000000274"</f>
        <v>1000000274</v>
      </c>
      <c r="F1051" s="2" t="str">
        <f>"TONER:CAN Item # FX7-BC, Brand Compatible Black Fax Toner for Canon Printers LC710 (Yld 4.5k)"</f>
        <v>TONER:CAN Item # FX7-BC, Brand Compatible Black Fax Toner for Canon Printers LC710 (Yld 4.5k)</v>
      </c>
      <c r="G1051" s="3" t="str">
        <f t="shared" si="78"/>
        <v>EA</v>
      </c>
      <c r="H1051" s="7">
        <v>86</v>
      </c>
      <c r="I1051" s="2" t="str">
        <f>"44103103"</f>
        <v>44103103</v>
      </c>
      <c r="J1051" s="10" t="s">
        <v>99</v>
      </c>
    </row>
    <row r="1052" spans="1:10" ht="26.25">
      <c r="A1052" s="24" t="s">
        <v>27</v>
      </c>
      <c r="B1052" s="21" t="s">
        <v>31</v>
      </c>
      <c r="C1052" s="21">
        <v>3204</v>
      </c>
      <c r="D1052" s="21">
        <v>580</v>
      </c>
      <c r="E1052" s="21" t="str">
        <f>"1000001138"</f>
        <v>1000001138</v>
      </c>
      <c r="F1052" s="21" t="str">
        <f>"TONER:CAN Item # FX7-CAN, Fax Toner for Canon Printers LC710 Fax Toner (Yld 4.5k)"</f>
        <v>TONER:CAN Item # FX7-CAN, Fax Toner for Canon Printers LC710 Fax Toner (Yld 4.5k)</v>
      </c>
      <c r="G1052" s="22" t="str">
        <f t="shared" si="78"/>
        <v>EA</v>
      </c>
      <c r="H1052" s="23">
        <v>116</v>
      </c>
      <c r="I1052" s="21" t="str">
        <f>"44103103"</f>
        <v>44103103</v>
      </c>
      <c r="J1052" s="25" t="s">
        <v>99</v>
      </c>
    </row>
    <row r="1053" spans="1:10" ht="26.25">
      <c r="A1053" s="24" t="s">
        <v>27</v>
      </c>
      <c r="B1053" s="21" t="s">
        <v>31</v>
      </c>
      <c r="C1053" s="21">
        <v>3204</v>
      </c>
      <c r="D1053" s="21">
        <v>581</v>
      </c>
      <c r="E1053" s="21" t="str">
        <f>"1000017145"</f>
        <v>1000017145</v>
      </c>
      <c r="F1053" s="21" t="str">
        <f>"TONER:CAN Item # FX8-CAN, Canon Toner Cartridge for LC510 Fax (Yld 3,500)"</f>
        <v>TONER:CAN Item # FX8-CAN, Canon Toner Cartridge for LC510 Fax (Yld 3,500)</v>
      </c>
      <c r="G1053" s="22" t="str">
        <f t="shared" si="78"/>
        <v>EA</v>
      </c>
      <c r="H1053" s="23">
        <v>114</v>
      </c>
      <c r="I1053" s="21" t="str">
        <f>"44103105"</f>
        <v>44103105</v>
      </c>
      <c r="J1053" s="25" t="s">
        <v>98</v>
      </c>
    </row>
    <row r="1054" spans="1:10" ht="26.25">
      <c r="A1054" s="9" t="s">
        <v>27</v>
      </c>
      <c r="B1054" s="2" t="s">
        <v>31</v>
      </c>
      <c r="C1054" s="2">
        <v>3204</v>
      </c>
      <c r="D1054" s="2">
        <v>582</v>
      </c>
      <c r="E1054" s="2" t="str">
        <f>"1000017147"</f>
        <v>1000017147</v>
      </c>
      <c r="F1054" s="2" t="str">
        <f>"TONER:CSR Item # 370QB012-CS, Copystar TK-18CS Toner (Yld 6k)"</f>
        <v>TONER:CSR Item # 370QB012-CS, Copystar TK-18CS Toner (Yld 6k)</v>
      </c>
      <c r="G1054" s="3" t="str">
        <f t="shared" si="78"/>
        <v>EA</v>
      </c>
      <c r="H1054" s="7">
        <v>85</v>
      </c>
      <c r="I1054" s="2" t="str">
        <f>"44103105"</f>
        <v>44103105</v>
      </c>
      <c r="J1054" s="10" t="s">
        <v>98</v>
      </c>
    </row>
    <row r="1055" spans="1:10" ht="39">
      <c r="A1055" s="9" t="s">
        <v>27</v>
      </c>
      <c r="B1055" s="2" t="s">
        <v>31</v>
      </c>
      <c r="C1055" s="2">
        <v>3204</v>
      </c>
      <c r="D1055" s="2">
        <v>583</v>
      </c>
      <c r="E1055" s="2" t="str">
        <f>"1000000452"</f>
        <v>1000000452</v>
      </c>
      <c r="F1055" s="2" t="str">
        <f>"TONER:DEL Item # 1700-BC, Brand Compatible Black Toner for Dell Printers DELL P1700 (Yld 6k)"</f>
        <v>TONER:DEL Item # 1700-BC, Brand Compatible Black Toner for Dell Printers DELL P1700 (Yld 6k)</v>
      </c>
      <c r="G1055" s="3" t="str">
        <f t="shared" si="78"/>
        <v>EA</v>
      </c>
      <c r="H1055" s="7">
        <v>103</v>
      </c>
      <c r="I1055" s="2" t="str">
        <f>"44103103"</f>
        <v>44103103</v>
      </c>
      <c r="J1055" s="10" t="s">
        <v>99</v>
      </c>
    </row>
    <row r="1056" spans="1:10" ht="26.25">
      <c r="A1056" s="24" t="s">
        <v>27</v>
      </c>
      <c r="B1056" s="21" t="s">
        <v>31</v>
      </c>
      <c r="C1056" s="21">
        <v>3204</v>
      </c>
      <c r="D1056" s="21">
        <v>584</v>
      </c>
      <c r="E1056" s="21" t="str">
        <f>"1000017148"</f>
        <v>1000017148</v>
      </c>
      <c r="F1056" s="21" t="str">
        <f>"TONER:DEL Item # 1600-BC, Brand Compatible toner for Dell 1600N"</f>
        <v>TONER:DEL Item # 1600-BC, Brand Compatible toner for Dell 1600N</v>
      </c>
      <c r="G1056" s="22" t="str">
        <f t="shared" ref="G1056:G1086" si="79">"EA"</f>
        <v>EA</v>
      </c>
      <c r="H1056" s="23">
        <v>68</v>
      </c>
      <c r="I1056" s="21" t="str">
        <f t="shared" ref="I1056:I1069" si="80">"44103105"</f>
        <v>44103105</v>
      </c>
      <c r="J1056" s="25" t="s">
        <v>98</v>
      </c>
    </row>
    <row r="1057" spans="1:10" ht="26.25">
      <c r="A1057" s="9" t="s">
        <v>27</v>
      </c>
      <c r="B1057" s="2" t="s">
        <v>31</v>
      </c>
      <c r="C1057" s="2">
        <v>3204</v>
      </c>
      <c r="D1057" s="2">
        <v>585</v>
      </c>
      <c r="E1057" s="2" t="str">
        <f>"1000017149"</f>
        <v>1000017149</v>
      </c>
      <c r="F1057" s="2" t="str">
        <f>"TONER:DEL Item # 2500-MSE, Brand Compatible toner for Dell S2500, S2500N"</f>
        <v>TONER:DEL Item # 2500-MSE, Brand Compatible toner for Dell S2500, S2500N</v>
      </c>
      <c r="G1057" s="3" t="str">
        <f t="shared" si="79"/>
        <v>EA</v>
      </c>
      <c r="H1057" s="7">
        <v>169</v>
      </c>
      <c r="I1057" s="2" t="str">
        <f t="shared" si="80"/>
        <v>44103105</v>
      </c>
      <c r="J1057" s="10" t="s">
        <v>98</v>
      </c>
    </row>
    <row r="1058" spans="1:10" ht="39">
      <c r="A1058" s="24" t="s">
        <v>27</v>
      </c>
      <c r="B1058" s="21" t="s">
        <v>31</v>
      </c>
      <c r="C1058" s="21">
        <v>3204</v>
      </c>
      <c r="D1058" s="21">
        <v>586</v>
      </c>
      <c r="E1058" s="21" t="str">
        <f>"1000017176"</f>
        <v>1000017176</v>
      </c>
      <c r="F1058" s="21" t="str">
        <f>"TONER:DEL Item # 5200N-MSE, Brand Compatible toner cartridge for Dell M5200, M5300 (Yld 21k)"</f>
        <v>TONER:DEL Item # 5200N-MSE, Brand Compatible toner cartridge for Dell M5200, M5300 (Yld 21k)</v>
      </c>
      <c r="G1058" s="22" t="str">
        <f t="shared" si="79"/>
        <v>EA</v>
      </c>
      <c r="H1058" s="23">
        <v>156</v>
      </c>
      <c r="I1058" s="21" t="str">
        <f t="shared" si="80"/>
        <v>44103105</v>
      </c>
      <c r="J1058" s="25" t="s">
        <v>98</v>
      </c>
    </row>
    <row r="1059" spans="1:10" ht="26.25">
      <c r="A1059" s="9" t="s">
        <v>27</v>
      </c>
      <c r="B1059" s="2" t="s">
        <v>31</v>
      </c>
      <c r="C1059" s="2">
        <v>3204</v>
      </c>
      <c r="D1059" s="2">
        <v>587</v>
      </c>
      <c r="E1059" s="2" t="str">
        <f>"1000017177"</f>
        <v>1000017177</v>
      </c>
      <c r="F1059" s="2" t="str">
        <f>"TONER:DEL Item # 5210-BC, Brand Compatible toner cartridge for Dell 5210N/5310N"</f>
        <v>TONER:DEL Item # 5210-BC, Brand Compatible toner cartridge for Dell 5210N/5310N</v>
      </c>
      <c r="G1059" s="3" t="str">
        <f t="shared" si="79"/>
        <v>EA</v>
      </c>
      <c r="H1059" s="7">
        <v>163</v>
      </c>
      <c r="I1059" s="2" t="str">
        <f t="shared" si="80"/>
        <v>44103105</v>
      </c>
      <c r="J1059" s="10" t="s">
        <v>98</v>
      </c>
    </row>
    <row r="1060" spans="1:10" ht="39">
      <c r="A1060" s="24" t="s">
        <v>27</v>
      </c>
      <c r="B1060" s="21" t="s">
        <v>31</v>
      </c>
      <c r="C1060" s="21">
        <v>3204</v>
      </c>
      <c r="D1060" s="21">
        <v>588</v>
      </c>
      <c r="E1060" s="21" t="str">
        <f>"1000017178"</f>
        <v>1000017178</v>
      </c>
      <c r="F1060" s="21" t="str">
        <f>"TONER:DEL Item # P1500-MSE, Brand Compatible Black toner for Dell P1500, (Yld 6k)"</f>
        <v>TONER:DEL Item # P1500-MSE, Brand Compatible Black toner for Dell P1500, (Yld 6k)</v>
      </c>
      <c r="G1060" s="22" t="str">
        <f t="shared" si="79"/>
        <v>EA</v>
      </c>
      <c r="H1060" s="23">
        <v>86</v>
      </c>
      <c r="I1060" s="21" t="str">
        <f t="shared" si="80"/>
        <v>44103105</v>
      </c>
      <c r="J1060" s="25" t="s">
        <v>98</v>
      </c>
    </row>
    <row r="1061" spans="1:10" ht="26.25">
      <c r="A1061" s="9" t="s">
        <v>27</v>
      </c>
      <c r="B1061" s="2" t="s">
        <v>31</v>
      </c>
      <c r="C1061" s="2">
        <v>3204</v>
      </c>
      <c r="D1061" s="2">
        <v>589</v>
      </c>
      <c r="E1061" s="2" t="str">
        <f>"1000017206"</f>
        <v>1000017206</v>
      </c>
      <c r="F1061" s="2" t="str">
        <f>"TONER:DEL Item # W5300-MSE, Brand Compatible toner for Dell W5600N"</f>
        <v>TONER:DEL Item # W5300-MSE, Brand Compatible toner for Dell W5600N</v>
      </c>
      <c r="G1061" s="3" t="str">
        <f t="shared" si="79"/>
        <v>EA</v>
      </c>
      <c r="H1061" s="7">
        <v>166</v>
      </c>
      <c r="I1061" s="2" t="str">
        <f t="shared" si="80"/>
        <v>44103105</v>
      </c>
      <c r="J1061" s="10" t="s">
        <v>98</v>
      </c>
    </row>
    <row r="1062" spans="1:10" ht="26.25">
      <c r="A1062" s="24" t="s">
        <v>27</v>
      </c>
      <c r="B1062" s="21" t="s">
        <v>31</v>
      </c>
      <c r="C1062" s="21">
        <v>3204</v>
      </c>
      <c r="D1062" s="21">
        <v>590</v>
      </c>
      <c r="E1062" s="21" t="str">
        <f>"1000017180"</f>
        <v>1000017180</v>
      </c>
      <c r="F1062" s="21" t="str">
        <f>"TONER:EPS Item # S020187-EPS, Epson Black Photo 440/640/750/1200"</f>
        <v>TONER:EPS Item # S020187-EPS, Epson Black Photo 440/640/750/1200</v>
      </c>
      <c r="G1062" s="22" t="str">
        <f t="shared" si="79"/>
        <v>EA</v>
      </c>
      <c r="H1062" s="23">
        <v>23</v>
      </c>
      <c r="I1062" s="21" t="str">
        <f t="shared" si="80"/>
        <v>44103105</v>
      </c>
      <c r="J1062" s="25" t="s">
        <v>98</v>
      </c>
    </row>
    <row r="1063" spans="1:10" ht="39">
      <c r="A1063" s="9" t="s">
        <v>27</v>
      </c>
      <c r="B1063" s="2" t="s">
        <v>31</v>
      </c>
      <c r="C1063" s="2">
        <v>3204</v>
      </c>
      <c r="D1063" s="2">
        <v>591</v>
      </c>
      <c r="E1063" s="2" t="str">
        <f>"1000017240"</f>
        <v>1000017240</v>
      </c>
      <c r="F1063" s="2" t="str">
        <f>"TONER:HP Item # 92274A-BC, Brand Compatible Cartridge (Yld 3.3k) for Hewlett Packard 4L/4ML/4P/4MP PX Black Toner"</f>
        <v>TONER:HP Item # 92274A-BC, Brand Compatible Cartridge (Yld 3.3k) for Hewlett Packard 4L/4ML/4P/4MP PX Black Toner</v>
      </c>
      <c r="G1063" s="3" t="str">
        <f t="shared" si="79"/>
        <v>EA</v>
      </c>
      <c r="H1063" s="7">
        <v>72</v>
      </c>
      <c r="I1063" s="2" t="str">
        <f t="shared" si="80"/>
        <v>44103105</v>
      </c>
      <c r="J1063" s="10" t="s">
        <v>98</v>
      </c>
    </row>
    <row r="1064" spans="1:10" ht="26.25">
      <c r="A1064" s="24" t="s">
        <v>27</v>
      </c>
      <c r="B1064" s="21" t="s">
        <v>31</v>
      </c>
      <c r="C1064" s="21">
        <v>3204</v>
      </c>
      <c r="D1064" s="21">
        <v>592</v>
      </c>
      <c r="E1064" s="21" t="str">
        <f>"1000017268"</f>
        <v>1000017268</v>
      </c>
      <c r="F1064" s="21" t="str">
        <f>"TONER:HP Item # 92274A-HEW, HP Black Toner 4L/4ML/4P/4MP PX (Yld 3.3k)"</f>
        <v>TONER:HP Item # 92274A-HEW, HP Black Toner 4L/4ML/4P/4MP PX (Yld 3.3k)</v>
      </c>
      <c r="G1064" s="22" t="str">
        <f t="shared" si="79"/>
        <v>EA</v>
      </c>
      <c r="H1064" s="23">
        <v>117</v>
      </c>
      <c r="I1064" s="21" t="str">
        <f t="shared" si="80"/>
        <v>44103105</v>
      </c>
      <c r="J1064" s="25" t="s">
        <v>98</v>
      </c>
    </row>
    <row r="1065" spans="1:10" ht="26.25">
      <c r="A1065" s="9" t="s">
        <v>27</v>
      </c>
      <c r="B1065" s="2" t="s">
        <v>31</v>
      </c>
      <c r="C1065" s="2">
        <v>3204</v>
      </c>
      <c r="D1065" s="2">
        <v>593</v>
      </c>
      <c r="E1065" s="2" t="str">
        <f>"1000017269"</f>
        <v>1000017269</v>
      </c>
      <c r="F1065" s="2" t="str">
        <f>"TONER:HP Item # 92274A-MICR, MICR Toner Cartridge (Yld 3.3k) for 4L/4ML/4P/4MP PX"</f>
        <v>TONER:HP Item # 92274A-MICR, MICR Toner Cartridge (Yld 3.3k) for 4L/4ML/4P/4MP PX</v>
      </c>
      <c r="G1065" s="3" t="str">
        <f t="shared" si="79"/>
        <v>EA</v>
      </c>
      <c r="H1065" s="7">
        <v>90</v>
      </c>
      <c r="I1065" s="2" t="str">
        <f t="shared" si="80"/>
        <v>44103105</v>
      </c>
      <c r="J1065" s="10" t="s">
        <v>98</v>
      </c>
    </row>
    <row r="1066" spans="1:10" ht="39">
      <c r="A1066" s="24" t="s">
        <v>27</v>
      </c>
      <c r="B1066" s="21" t="s">
        <v>31</v>
      </c>
      <c r="C1066" s="21">
        <v>3204</v>
      </c>
      <c r="D1066" s="21">
        <v>594</v>
      </c>
      <c r="E1066" s="21" t="str">
        <f>"1000017296"</f>
        <v>1000017296</v>
      </c>
      <c r="F1066" s="21" t="str">
        <f>"TONER:HP Item # 92275A-BC, Brand Compatible Toner Cartridge for Hewlett Packard (Yld 3k) IIP/IIP Plus/IIIP LX Black"</f>
        <v>TONER:HP Item # 92275A-BC, Brand Compatible Toner Cartridge for Hewlett Packard (Yld 3k) IIP/IIP Plus/IIIP LX Black</v>
      </c>
      <c r="G1066" s="22" t="str">
        <f t="shared" si="79"/>
        <v>EA</v>
      </c>
      <c r="H1066" s="23">
        <v>84</v>
      </c>
      <c r="I1066" s="21" t="str">
        <f t="shared" si="80"/>
        <v>44103105</v>
      </c>
      <c r="J1066" s="25" t="s">
        <v>98</v>
      </c>
    </row>
    <row r="1067" spans="1:10" ht="39">
      <c r="A1067" s="9" t="s">
        <v>27</v>
      </c>
      <c r="B1067" s="2" t="s">
        <v>31</v>
      </c>
      <c r="C1067" s="2">
        <v>3204</v>
      </c>
      <c r="D1067" s="2">
        <v>595</v>
      </c>
      <c r="E1067" s="2" t="str">
        <f>"1000017271"</f>
        <v>1000017271</v>
      </c>
      <c r="F1067" s="2" t="str">
        <f>"TONER:HP Item # 92291A-BC, Brand Compatible for Hewlett Packard 3SI/3SI Plus/4SI/4SIMX NX Toner Cartridge (Yld 10.2k)"</f>
        <v>TONER:HP Item # 92291A-BC, Brand Compatible for Hewlett Packard 3SI/3SI Plus/4SI/4SIMX NX Toner Cartridge (Yld 10.2k)</v>
      </c>
      <c r="G1067" s="3" t="str">
        <f t="shared" si="79"/>
        <v>EA</v>
      </c>
      <c r="H1067" s="7">
        <v>91</v>
      </c>
      <c r="I1067" s="2" t="str">
        <f t="shared" si="80"/>
        <v>44103105</v>
      </c>
      <c r="J1067" s="10" t="s">
        <v>98</v>
      </c>
    </row>
    <row r="1068" spans="1:10" ht="39">
      <c r="A1068" s="24" t="s">
        <v>27</v>
      </c>
      <c r="B1068" s="21" t="s">
        <v>31</v>
      </c>
      <c r="C1068" s="21">
        <v>3204</v>
      </c>
      <c r="D1068" s="21">
        <v>596</v>
      </c>
      <c r="E1068" s="21" t="str">
        <f>"1000017272"</f>
        <v>1000017272</v>
      </c>
      <c r="F1068" s="21" t="str">
        <f>"TONER:HP Item # 92291A-REM, Remanufactured toner cartridge for HP 3SI/3SI Plus/4SI/4SIMX NX Blk (Yld 10.2k)"</f>
        <v>TONER:HP Item # 92291A-REM, Remanufactured toner cartridge for HP 3SI/3SI Plus/4SI/4SIMX NX Blk (Yld 10.2k)</v>
      </c>
      <c r="G1068" s="22" t="str">
        <f t="shared" si="79"/>
        <v>EA</v>
      </c>
      <c r="H1068" s="23">
        <v>93</v>
      </c>
      <c r="I1068" s="21" t="str">
        <f t="shared" si="80"/>
        <v>44103105</v>
      </c>
      <c r="J1068" s="25" t="s">
        <v>98</v>
      </c>
    </row>
    <row r="1069" spans="1:10" ht="39">
      <c r="A1069" s="9" t="s">
        <v>27</v>
      </c>
      <c r="B1069" s="2" t="s">
        <v>31</v>
      </c>
      <c r="C1069" s="2">
        <v>3204</v>
      </c>
      <c r="D1069" s="2">
        <v>598</v>
      </c>
      <c r="E1069" s="2" t="str">
        <f>"1000017248"</f>
        <v>1000017248</v>
      </c>
      <c r="F1069" s="2" t="str">
        <f>"TONER:HP Item # 92298A-BC, Brand Compatible Black toner for Hewlett Packard 4/4M/4 Plus/4M Plus/5/5M/5N EX (Yld 6.8k)"</f>
        <v>TONER:HP Item # 92298A-BC, Brand Compatible Black toner for Hewlett Packard 4/4M/4 Plus/4M Plus/5/5M/5N EX (Yld 6.8k)</v>
      </c>
      <c r="G1069" s="3" t="str">
        <f t="shared" si="79"/>
        <v>EA</v>
      </c>
      <c r="H1069" s="7">
        <v>72</v>
      </c>
      <c r="I1069" s="2" t="str">
        <f t="shared" si="80"/>
        <v>44103105</v>
      </c>
      <c r="J1069" s="10" t="s">
        <v>98</v>
      </c>
    </row>
    <row r="1070" spans="1:10" ht="39">
      <c r="A1070" s="24" t="s">
        <v>27</v>
      </c>
      <c r="B1070" s="21" t="s">
        <v>31</v>
      </c>
      <c r="C1070" s="21">
        <v>3204</v>
      </c>
      <c r="D1070" s="21">
        <v>599</v>
      </c>
      <c r="E1070" s="21" t="str">
        <f>"1000000451"</f>
        <v>1000000451</v>
      </c>
      <c r="F1070" s="21" t="str">
        <f>"TONER:HP Item # 92298A-HEW, LaserJet printer cartridge for Hewlett Packard Printers, HP 4/4M/4 Plus/4M Plus/5/5M/5N/ (yld 6.8k)"</f>
        <v>TONER:HP Item # 92298A-HEW, LaserJet printer cartridge for Hewlett Packard Printers, HP 4/4M/4 Plus/4M Plus/5/5M/5N/ (yld 6.8k)</v>
      </c>
      <c r="G1070" s="22" t="str">
        <f t="shared" si="79"/>
        <v>EA</v>
      </c>
      <c r="H1070" s="23">
        <v>131.99</v>
      </c>
      <c r="I1070" s="21" t="str">
        <f>"44103103"</f>
        <v>44103103</v>
      </c>
      <c r="J1070" s="25" t="s">
        <v>99</v>
      </c>
    </row>
    <row r="1071" spans="1:10" ht="51.75">
      <c r="A1071" s="24" t="s">
        <v>27</v>
      </c>
      <c r="B1071" s="21" t="s">
        <v>31</v>
      </c>
      <c r="C1071" s="21">
        <v>3204</v>
      </c>
      <c r="D1071" s="21">
        <v>600</v>
      </c>
      <c r="E1071" s="21" t="str">
        <f>"1000017249"</f>
        <v>1000017249</v>
      </c>
      <c r="F1071" s="21" t="str">
        <f>"TONER:HP Item # 92298A-MICR, HP 98A Black MICR Toner Cartridge for HP LaserJet 4 / 4 4M 4Plus 4MPlus / 4M / 4MPlus / 4Plus / 5 / 5 5M 5N 5Se / 5M / 5N / 5Se (Yld 6.8k)"</f>
        <v>TONER:HP Item # 92298A-MICR, HP 98A Black MICR Toner Cartridge for HP LaserJet 4 / 4 4M 4Plus 4MPlus / 4M / 4MPlus / 4Plus / 5 / 5 5M 5N 5Se / 5M / 5N / 5Se (Yld 6.8k)</v>
      </c>
      <c r="G1071" s="22" t="str">
        <f t="shared" si="79"/>
        <v>EA</v>
      </c>
      <c r="H1071" s="23">
        <v>195</v>
      </c>
      <c r="I1071" s="21" t="str">
        <f>"44103105"</f>
        <v>44103105</v>
      </c>
      <c r="J1071" s="25" t="s">
        <v>98</v>
      </c>
    </row>
    <row r="1072" spans="1:10" ht="51.75">
      <c r="A1072" s="9" t="s">
        <v>27</v>
      </c>
      <c r="B1072" s="2" t="s">
        <v>31</v>
      </c>
      <c r="C1072" s="2">
        <v>3204</v>
      </c>
      <c r="D1072" s="2">
        <v>601</v>
      </c>
      <c r="E1072" s="2" t="str">
        <f>"1000017250"</f>
        <v>1000017250</v>
      </c>
      <c r="F1072" s="2" t="str">
        <f>"TONER:HP Item # 92298AR-REM, HP Remanufactured 4/4M/4 Plus/4M Plus/5/5M/5N EX Black Toner Cartridge (Yld 6.8k) NLLD"</f>
        <v>TONER:HP Item # 92298AR-REM, HP Remanufactured 4/4M/4 Plus/4M Plus/5/5M/5N EX Black Toner Cartridge (Yld 6.8k) NLLD</v>
      </c>
      <c r="G1072" s="3" t="str">
        <f t="shared" si="79"/>
        <v>EA</v>
      </c>
      <c r="H1072" s="7">
        <v>55</v>
      </c>
      <c r="I1072" s="2" t="str">
        <f>"44103105"</f>
        <v>44103105</v>
      </c>
      <c r="J1072" s="10" t="s">
        <v>98</v>
      </c>
    </row>
    <row r="1073" spans="1:10" ht="39">
      <c r="A1073" s="9" t="s">
        <v>27</v>
      </c>
      <c r="B1073" s="2" t="s">
        <v>31</v>
      </c>
      <c r="C1073" s="2">
        <v>3204</v>
      </c>
      <c r="D1073" s="2">
        <v>602</v>
      </c>
      <c r="E1073" s="2" t="str">
        <f>"1000000469"</f>
        <v>1000000469</v>
      </c>
      <c r="F1073" s="2" t="str">
        <f>"TONER:HP Item # 92298X-BC, Brand compatible, black toner for Hewlett Packard Printers, 4/4M/4+/4M+/5/5M/5N (yld 8.8k)"</f>
        <v>TONER:HP Item # 92298X-BC, Brand compatible, black toner for Hewlett Packard Printers, 4/4M/4+/4M+/5/5M/5N (yld 8.8k)</v>
      </c>
      <c r="G1073" s="3" t="str">
        <f t="shared" si="79"/>
        <v>EA</v>
      </c>
      <c r="H1073" s="7">
        <v>63</v>
      </c>
      <c r="I1073" s="2" t="str">
        <f>"44103103"</f>
        <v>44103103</v>
      </c>
      <c r="J1073" s="10" t="s">
        <v>99</v>
      </c>
    </row>
    <row r="1074" spans="1:10" ht="26.25">
      <c r="A1074" s="24" t="s">
        <v>27</v>
      </c>
      <c r="B1074" s="21" t="s">
        <v>31</v>
      </c>
      <c r="C1074" s="21">
        <v>3204</v>
      </c>
      <c r="D1074" s="21">
        <v>603</v>
      </c>
      <c r="E1074" s="21" t="str">
        <f>"1000022119"</f>
        <v>1000022119</v>
      </c>
      <c r="F1074" s="21" t="str">
        <f>"TONER: HP Item #C3102A-HEW, Cyan Toner for Color LaserJet 5/5M (Yld 3k)"</f>
        <v>TONER: HP Item #C3102A-HEW, Cyan Toner for Color LaserJet 5/5M (Yld 3k)</v>
      </c>
      <c r="G1074" s="22" t="str">
        <f t="shared" si="79"/>
        <v>EA</v>
      </c>
      <c r="H1074" s="23">
        <v>39</v>
      </c>
      <c r="I1074" s="21" t="str">
        <f>"44103103"</f>
        <v>44103103</v>
      </c>
      <c r="J1074" s="25" t="s">
        <v>99</v>
      </c>
    </row>
    <row r="1075" spans="1:10" ht="26.25">
      <c r="A1075" s="9" t="s">
        <v>27</v>
      </c>
      <c r="B1075" s="2" t="s">
        <v>31</v>
      </c>
      <c r="C1075" s="2">
        <v>3204</v>
      </c>
      <c r="D1075" s="2">
        <v>604</v>
      </c>
      <c r="E1075" s="2" t="str">
        <f>"1000022120"</f>
        <v>1000022120</v>
      </c>
      <c r="F1075" s="2" t="str">
        <f>"TONER: HP Item #C3103A-HEW, Yellow Toner for Color LaserJet 5/5M (Yld 3k)"</f>
        <v>TONER: HP Item #C3103A-HEW, Yellow Toner for Color LaserJet 5/5M (Yld 3k)</v>
      </c>
      <c r="G1075" s="3" t="str">
        <f t="shared" si="79"/>
        <v>EA</v>
      </c>
      <c r="H1075" s="7">
        <v>39</v>
      </c>
      <c r="I1075" s="2" t="str">
        <f>"44103103"</f>
        <v>44103103</v>
      </c>
      <c r="J1075" s="10" t="s">
        <v>99</v>
      </c>
    </row>
    <row r="1076" spans="1:10" ht="26.25">
      <c r="A1076" s="24" t="s">
        <v>27</v>
      </c>
      <c r="B1076" s="21" t="s">
        <v>31</v>
      </c>
      <c r="C1076" s="21">
        <v>3204</v>
      </c>
      <c r="D1076" s="21">
        <v>605</v>
      </c>
      <c r="E1076" s="21" t="str">
        <f>"1000022121"</f>
        <v>1000022121</v>
      </c>
      <c r="F1076" s="21" t="str">
        <f>"TONER: HP Item #C3104A-HEW, Magenta Toner for Color LaserJet 5/5M (Yld 3k)"</f>
        <v>TONER: HP Item #C3104A-HEW, Magenta Toner for Color LaserJet 5/5M (Yld 3k)</v>
      </c>
      <c r="G1076" s="22" t="str">
        <f t="shared" si="79"/>
        <v>EA</v>
      </c>
      <c r="H1076" s="23">
        <v>39</v>
      </c>
      <c r="I1076" s="21" t="str">
        <f>"44103103"</f>
        <v>44103103</v>
      </c>
      <c r="J1076" s="25" t="s">
        <v>99</v>
      </c>
    </row>
    <row r="1077" spans="1:10" ht="39">
      <c r="A1077" s="24" t="s">
        <v>27</v>
      </c>
      <c r="B1077" s="21" t="s">
        <v>31</v>
      </c>
      <c r="C1077" s="21">
        <v>3204</v>
      </c>
      <c r="D1077" s="21">
        <v>606</v>
      </c>
      <c r="E1077" s="21" t="str">
        <f>"1000017308"</f>
        <v>1000017308</v>
      </c>
      <c r="F1077" s="21" t="str">
        <f>"TONER:HP Item # C3900A-BC, Brand Compatible Black toner for HP LaserJet 4V/4MV (Yld 8.1k)"</f>
        <v>TONER:HP Item # C3900A-BC, Brand Compatible Black toner for HP LaserJet 4V/4MV (Yld 8.1k)</v>
      </c>
      <c r="G1077" s="22" t="str">
        <f t="shared" si="79"/>
        <v>EA</v>
      </c>
      <c r="H1077" s="23">
        <v>110</v>
      </c>
      <c r="I1077" s="21" t="str">
        <f>"44103105"</f>
        <v>44103105</v>
      </c>
      <c r="J1077" s="25" t="s">
        <v>98</v>
      </c>
    </row>
    <row r="1078" spans="1:10" ht="26.25">
      <c r="A1078" s="9" t="s">
        <v>27</v>
      </c>
      <c r="B1078" s="2" t="s">
        <v>31</v>
      </c>
      <c r="C1078" s="2">
        <v>3204</v>
      </c>
      <c r="D1078" s="2">
        <v>607</v>
      </c>
      <c r="E1078" s="2" t="str">
        <f>"1000017309"</f>
        <v>1000017309</v>
      </c>
      <c r="F1078" s="2" t="str">
        <f>"TONER:HP Item # C3900A-HEW, HP Black toner for HP LaserJet 4V/4MV (Yld 8.1k)"</f>
        <v>TONER:HP Item # C3900A-HEW, HP Black toner for HP LaserJet 4V/4MV (Yld 8.1k)</v>
      </c>
      <c r="G1078" s="3" t="str">
        <f t="shared" si="79"/>
        <v>EA</v>
      </c>
      <c r="H1078" s="7">
        <v>139</v>
      </c>
      <c r="I1078" s="2" t="str">
        <f>"44103105"</f>
        <v>44103105</v>
      </c>
      <c r="J1078" s="10" t="s">
        <v>98</v>
      </c>
    </row>
    <row r="1079" spans="1:10" ht="26.25">
      <c r="A1079" s="24" t="s">
        <v>27</v>
      </c>
      <c r="B1079" s="21" t="s">
        <v>31</v>
      </c>
      <c r="C1079" s="21">
        <v>3204</v>
      </c>
      <c r="D1079" s="21">
        <v>608</v>
      </c>
      <c r="E1079" s="21" t="str">
        <f>"1000017284"</f>
        <v>1000017284</v>
      </c>
      <c r="F1079" s="21" t="str">
        <f>"TONER:HP Item # C3900A-MICR, MICR Black MICR Toner for Laserjet 4V/4MV (Yld 8.1k)"</f>
        <v>TONER:HP Item # C3900A-MICR, MICR Black MICR Toner for Laserjet 4V/4MV (Yld 8.1k)</v>
      </c>
      <c r="G1079" s="22" t="str">
        <f t="shared" si="79"/>
        <v>EA</v>
      </c>
      <c r="H1079" s="23">
        <v>139</v>
      </c>
      <c r="I1079" s="21" t="str">
        <f>"44103105"</f>
        <v>44103105</v>
      </c>
      <c r="J1079" s="25" t="s">
        <v>98</v>
      </c>
    </row>
    <row r="1080" spans="1:10" ht="39">
      <c r="A1080" s="9" t="s">
        <v>27</v>
      </c>
      <c r="B1080" s="2" t="s">
        <v>31</v>
      </c>
      <c r="C1080" s="2">
        <v>3204</v>
      </c>
      <c r="D1080" s="2">
        <v>609</v>
      </c>
      <c r="E1080" s="2" t="str">
        <f>"1000017260"</f>
        <v>1000017260</v>
      </c>
      <c r="F1080" s="2" t="str">
        <f>"TONER:HP Item # C3903A-BC, Brand Compatible Black toner cartridge for HP 5P/5MP/6P/6MP (Yld 4k)"</f>
        <v>TONER:HP Item # C3903A-BC, Brand Compatible Black toner cartridge for HP 5P/5MP/6P/6MP (Yld 4k)</v>
      </c>
      <c r="G1080" s="3" t="str">
        <f t="shared" si="79"/>
        <v>EA</v>
      </c>
      <c r="H1080" s="7">
        <v>62</v>
      </c>
      <c r="I1080" s="2" t="str">
        <f>"44103105"</f>
        <v>44103105</v>
      </c>
      <c r="J1080" s="10" t="s">
        <v>98</v>
      </c>
    </row>
    <row r="1081" spans="1:10" ht="39">
      <c r="A1081" s="9" t="s">
        <v>27</v>
      </c>
      <c r="B1081" s="2" t="s">
        <v>31</v>
      </c>
      <c r="C1081" s="2">
        <v>3204</v>
      </c>
      <c r="D1081" s="2">
        <v>610</v>
      </c>
      <c r="E1081" s="2" t="str">
        <f>"1000000631"</f>
        <v>1000000631</v>
      </c>
      <c r="F1081" s="2" t="str">
        <f>"TONER:HP Item # C3903A-HEW, Black Toner for Hewlett Packard Printers HP 5P/5MP/6P/6MP VX (Yld 4k)"</f>
        <v>TONER:HP Item # C3903A-HEW, Black Toner for Hewlett Packard Printers HP 5P/5MP/6P/6MP VX (Yld 4k)</v>
      </c>
      <c r="G1081" s="3" t="str">
        <f t="shared" si="79"/>
        <v>EA</v>
      </c>
      <c r="H1081" s="7">
        <v>111.16</v>
      </c>
      <c r="I1081" s="2" t="str">
        <f>"44103103"</f>
        <v>44103103</v>
      </c>
      <c r="J1081" s="10" t="s">
        <v>99</v>
      </c>
    </row>
    <row r="1082" spans="1:10" ht="39">
      <c r="A1082" s="24" t="s">
        <v>27</v>
      </c>
      <c r="B1082" s="21" t="s">
        <v>31</v>
      </c>
      <c r="C1082" s="21">
        <v>3204</v>
      </c>
      <c r="D1082" s="21">
        <v>611</v>
      </c>
      <c r="E1082" s="21" t="str">
        <f>"1000017261"</f>
        <v>1000017261</v>
      </c>
      <c r="F1082" s="21" t="str">
        <f>"TONER:HP Item # C3903AR-REM, Remanufactured Black toner for HP 5P/5MP/6P/6MP"</f>
        <v>TONER:HP Item # C3903AR-REM, Remanufactured Black toner for HP 5P/5MP/6P/6MP</v>
      </c>
      <c r="G1082" s="22" t="str">
        <f t="shared" si="79"/>
        <v>EA</v>
      </c>
      <c r="H1082" s="23">
        <v>40</v>
      </c>
      <c r="I1082" s="21" t="str">
        <f>"44103105"</f>
        <v>44103105</v>
      </c>
      <c r="J1082" s="25" t="s">
        <v>98</v>
      </c>
    </row>
    <row r="1083" spans="1:10" ht="39">
      <c r="A1083" s="9" t="s">
        <v>27</v>
      </c>
      <c r="B1083" s="2" t="s">
        <v>31</v>
      </c>
      <c r="C1083" s="2">
        <v>3204</v>
      </c>
      <c r="D1083" s="2">
        <v>612</v>
      </c>
      <c r="E1083" s="2" t="str">
        <f>"1000017262"</f>
        <v>1000017262</v>
      </c>
      <c r="F1083" s="2" t="str">
        <f>"TONER:HP Item # C3906A-BC, Brand Compatible Black toner cartridge for HP 5L/6L/3100 AX (Yld 2.5k)"</f>
        <v>TONER:HP Item # C3906A-BC, Brand Compatible Black toner cartridge for HP 5L/6L/3100 AX (Yld 2.5k)</v>
      </c>
      <c r="G1083" s="3" t="str">
        <f t="shared" si="79"/>
        <v>EA</v>
      </c>
      <c r="H1083" s="7">
        <v>52</v>
      </c>
      <c r="I1083" s="2" t="str">
        <f>"44103105"</f>
        <v>44103105</v>
      </c>
      <c r="J1083" s="10" t="s">
        <v>98</v>
      </c>
    </row>
    <row r="1084" spans="1:10" ht="39">
      <c r="A1084" s="9" t="s">
        <v>27</v>
      </c>
      <c r="B1084" s="2" t="s">
        <v>31</v>
      </c>
      <c r="C1084" s="2">
        <v>3204</v>
      </c>
      <c r="D1084" s="2">
        <v>614</v>
      </c>
      <c r="E1084" s="2" t="str">
        <f>"1000017264"</f>
        <v>1000017264</v>
      </c>
      <c r="F1084" s="2" t="str">
        <f>"TONER:HP Item # C3906AR-REM, Remanufactured Black toner for HP 5L/6L/3100 AX"</f>
        <v>TONER:HP Item # C3906AR-REM, Remanufactured Black toner for HP 5L/6L/3100 AX</v>
      </c>
      <c r="G1084" s="3" t="str">
        <f t="shared" si="79"/>
        <v>EA</v>
      </c>
      <c r="H1084" s="7">
        <v>37</v>
      </c>
      <c r="I1084" s="2" t="str">
        <f>"44103105"</f>
        <v>44103105</v>
      </c>
      <c r="J1084" s="10" t="s">
        <v>98</v>
      </c>
    </row>
    <row r="1085" spans="1:10" ht="39">
      <c r="A1085" s="24" t="s">
        <v>27</v>
      </c>
      <c r="B1085" s="21" t="s">
        <v>31</v>
      </c>
      <c r="C1085" s="21">
        <v>3204</v>
      </c>
      <c r="D1085" s="21">
        <v>615</v>
      </c>
      <c r="E1085" s="21" t="str">
        <f>"1000000472"</f>
        <v>1000000472</v>
      </c>
      <c r="F1085" s="21" t="str">
        <f>"TONER:HP Item # C3909A-BC, Brand compatible, black Toner for Hewlett Packard Printers, 5SI MX (yld 15k)"</f>
        <v>TONER:HP Item # C3909A-BC, Brand compatible, black Toner for Hewlett Packard Printers, 5SI MX (yld 15k)</v>
      </c>
      <c r="G1085" s="22" t="str">
        <f t="shared" si="79"/>
        <v>EA</v>
      </c>
      <c r="H1085" s="23">
        <v>135</v>
      </c>
      <c r="I1085" s="21" t="str">
        <f>"44103103"</f>
        <v>44103103</v>
      </c>
      <c r="J1085" s="25" t="s">
        <v>99</v>
      </c>
    </row>
    <row r="1086" spans="1:10" ht="39">
      <c r="A1086" s="24" t="s">
        <v>27</v>
      </c>
      <c r="B1086" s="21" t="s">
        <v>31</v>
      </c>
      <c r="C1086" s="21">
        <v>3204</v>
      </c>
      <c r="D1086" s="21">
        <v>616</v>
      </c>
      <c r="E1086" s="21" t="str">
        <f>"1000017265"</f>
        <v>1000017265</v>
      </c>
      <c r="F1086" s="21" t="str">
        <f>"TONER:HP Item # C3909A-BCM, Brand Compatible MICR Toner for 5SI MX, Black cartridge (Yld 15k)"</f>
        <v>TONER:HP Item # C3909A-BCM, Brand Compatible MICR Toner for 5SI MX, Black cartridge (Yld 15k)</v>
      </c>
      <c r="G1086" s="22" t="str">
        <f t="shared" si="79"/>
        <v>EA</v>
      </c>
      <c r="H1086" s="23">
        <v>179</v>
      </c>
      <c r="I1086" s="21" t="str">
        <f>"44103105"</f>
        <v>44103105</v>
      </c>
      <c r="J1086" s="25" t="s">
        <v>98</v>
      </c>
    </row>
    <row r="1087" spans="1:10" ht="26.25">
      <c r="A1087" s="9" t="s">
        <v>27</v>
      </c>
      <c r="B1087" s="2" t="s">
        <v>31</v>
      </c>
      <c r="C1087" s="2">
        <v>3204</v>
      </c>
      <c r="D1087" s="2">
        <v>617</v>
      </c>
      <c r="E1087" s="2" t="str">
        <f>"1000000632"</f>
        <v>1000000632</v>
      </c>
      <c r="F1087" s="2" t="str">
        <f>"TONER:HP Item # C3909A-HEW, Black Toner for Hewlett Packard Printers HP 5SI MX (yield 15k)"</f>
        <v>TONER:HP Item # C3909A-HEW, Black Toner for Hewlett Packard Printers HP 5SI MX (yield 15k)</v>
      </c>
      <c r="G1087" s="3" t="str">
        <f t="shared" ref="G1087:G1118" si="81">"EA"</f>
        <v>EA</v>
      </c>
      <c r="H1087" s="7">
        <v>205</v>
      </c>
      <c r="I1087" s="2" t="str">
        <f>"44103103"</f>
        <v>44103103</v>
      </c>
      <c r="J1087" s="10" t="s">
        <v>99</v>
      </c>
    </row>
    <row r="1088" spans="1:10" ht="39">
      <c r="A1088" s="24" t="s">
        <v>27</v>
      </c>
      <c r="B1088" s="21" t="s">
        <v>31</v>
      </c>
      <c r="C1088" s="21">
        <v>3204</v>
      </c>
      <c r="D1088" s="21">
        <v>618</v>
      </c>
      <c r="E1088" s="21" t="str">
        <f>"1000022133"</f>
        <v>1000022133</v>
      </c>
      <c r="F1088" s="21" t="str">
        <f>"TONER: HP Item# C3909A-MICR, Troy Black Toner (Yld 15k) for 5SI MX (AKA 0217981001) magnetic ink for check printing"</f>
        <v>TONER: HP Item# C3909A-MICR, Troy Black Toner (Yld 15k) for 5SI MX (AKA 0217981001) magnetic ink for check printing</v>
      </c>
      <c r="G1088" s="22" t="str">
        <f t="shared" si="81"/>
        <v>EA</v>
      </c>
      <c r="H1088" s="23">
        <v>425</v>
      </c>
      <c r="I1088" s="21" t="str">
        <f>"44103103"</f>
        <v>44103103</v>
      </c>
      <c r="J1088" s="25" t="s">
        <v>99</v>
      </c>
    </row>
    <row r="1089" spans="1:10" ht="39">
      <c r="A1089" s="9" t="s">
        <v>27</v>
      </c>
      <c r="B1089" s="2" t="s">
        <v>31</v>
      </c>
      <c r="C1089" s="2">
        <v>3204</v>
      </c>
      <c r="D1089" s="2">
        <v>619</v>
      </c>
      <c r="E1089" s="2" t="str">
        <f>"1000017267"</f>
        <v>1000017267</v>
      </c>
      <c r="F1089" s="2" t="str">
        <f>"TONER:HP Item # C3909AR-REM, Remanufactured Black toner cartridge for 5SI MX (Yld 15k)"</f>
        <v>TONER:HP Item # C3909AR-REM, Remanufactured Black toner cartridge for 5SI MX (Yld 15k)</v>
      </c>
      <c r="G1089" s="3" t="str">
        <f t="shared" si="81"/>
        <v>EA</v>
      </c>
      <c r="H1089" s="7">
        <v>108</v>
      </c>
      <c r="I1089" s="2" t="str">
        <f>"44103105"</f>
        <v>44103105</v>
      </c>
      <c r="J1089" s="10" t="s">
        <v>98</v>
      </c>
    </row>
    <row r="1090" spans="1:10" ht="39">
      <c r="A1090" s="9" t="s">
        <v>27</v>
      </c>
      <c r="B1090" s="2" t="s">
        <v>31</v>
      </c>
      <c r="C1090" s="2">
        <v>3204</v>
      </c>
      <c r="D1090" s="2">
        <v>620</v>
      </c>
      <c r="E1090" s="2" t="str">
        <f>"1000017350"</f>
        <v>1000017350</v>
      </c>
      <c r="F1090" s="2" t="str">
        <f>"TONER:HP Item # C3909X-BC, Brand Compatible Black toner for HP 5 SI High Yield (17k)"</f>
        <v>TONER:HP Item # C3909X-BC, Brand Compatible Black toner for HP 5 SI High Yield (17k)</v>
      </c>
      <c r="G1090" s="3" t="str">
        <f t="shared" si="81"/>
        <v>EA</v>
      </c>
      <c r="H1090" s="7">
        <v>128</v>
      </c>
      <c r="I1090" s="2" t="str">
        <f>"44103103"</f>
        <v>44103103</v>
      </c>
      <c r="J1090" s="10" t="s">
        <v>99</v>
      </c>
    </row>
    <row r="1091" spans="1:10" ht="39">
      <c r="A1091" s="24" t="s">
        <v>27</v>
      </c>
      <c r="B1091" s="21" t="s">
        <v>31</v>
      </c>
      <c r="C1091" s="21">
        <v>3204</v>
      </c>
      <c r="D1091" s="21">
        <v>621</v>
      </c>
      <c r="E1091" s="21" t="str">
        <f>"1000000623"</f>
        <v>1000000623</v>
      </c>
      <c r="F1091" s="21" t="str">
        <f>"TONER:HP Item # C4092A-BC, Brand compatible, 1100/1100A Series Ultra Precise Toner for Hewlett Packard Printers, (yld 2.5k)"</f>
        <v>TONER:HP Item # C4092A-BC, Brand compatible, 1100/1100A Series Ultra Precise Toner for Hewlett Packard Printers, (yld 2.5k)</v>
      </c>
      <c r="G1091" s="22" t="str">
        <f t="shared" si="81"/>
        <v>EA</v>
      </c>
      <c r="H1091" s="23">
        <v>46</v>
      </c>
      <c r="I1091" s="21" t="str">
        <f>"44103103"</f>
        <v>44103103</v>
      </c>
      <c r="J1091" s="25" t="s">
        <v>99</v>
      </c>
    </row>
    <row r="1092" spans="1:10" ht="39">
      <c r="A1092" s="24" t="s">
        <v>27</v>
      </c>
      <c r="B1092" s="21" t="s">
        <v>31</v>
      </c>
      <c r="C1092" s="21">
        <v>3204</v>
      </c>
      <c r="D1092" s="21">
        <v>622</v>
      </c>
      <c r="E1092" s="21" t="str">
        <f>"1000017293"</f>
        <v>1000017293</v>
      </c>
      <c r="F1092" s="21" t="str">
        <f>"TONER:HP Item # C4092A-BCM, Brand Compatible for HP LaserJet 1100/1100A MICR Toner (Yld 2.5k)"</f>
        <v>TONER:HP Item # C4092A-BCM, Brand Compatible for HP LaserJet 1100/1100A MICR Toner (Yld 2.5k)</v>
      </c>
      <c r="G1092" s="22" t="str">
        <f t="shared" si="81"/>
        <v>EA</v>
      </c>
      <c r="H1092" s="23">
        <v>153</v>
      </c>
      <c r="I1092" s="21" t="str">
        <f>"44103105"</f>
        <v>44103105</v>
      </c>
      <c r="J1092" s="25" t="s">
        <v>98</v>
      </c>
    </row>
    <row r="1093" spans="1:10" ht="39">
      <c r="A1093" s="9" t="s">
        <v>27</v>
      </c>
      <c r="B1093" s="2" t="s">
        <v>31</v>
      </c>
      <c r="C1093" s="2">
        <v>3204</v>
      </c>
      <c r="D1093" s="2">
        <v>623</v>
      </c>
      <c r="E1093" s="2" t="str">
        <f>"1000000440"</f>
        <v>1000000440</v>
      </c>
      <c r="F1093" s="2" t="str">
        <f>"TONER:HP Item # C4092A-HEW, HP:1100/1100A Series Ultra Precise Toner for Hewlett Packard Printers (yld 2.5k)"</f>
        <v>TONER:HP Item # C4092A-HEW, HP:1100/1100A Series Ultra Precise Toner for Hewlett Packard Printers (yld 2.5k)</v>
      </c>
      <c r="G1093" s="3" t="str">
        <f t="shared" si="81"/>
        <v>EA</v>
      </c>
      <c r="H1093" s="7">
        <v>77.989999999999995</v>
      </c>
      <c r="I1093" s="2" t="str">
        <f>"44103103"</f>
        <v>44103103</v>
      </c>
      <c r="J1093" s="10" t="s">
        <v>99</v>
      </c>
    </row>
    <row r="1094" spans="1:10" ht="39">
      <c r="A1094" s="9" t="s">
        <v>27</v>
      </c>
      <c r="B1094" s="2" t="s">
        <v>31</v>
      </c>
      <c r="C1094" s="2">
        <v>3204</v>
      </c>
      <c r="D1094" s="2">
        <v>624</v>
      </c>
      <c r="E1094" s="2" t="str">
        <f>"1000017294"</f>
        <v>1000017294</v>
      </c>
      <c r="F1094" s="2" t="str">
        <f>"TONER:HP Item # C4096A-BC, Brand Compatible Black toner for HP 2100/2200 Series (Yld 5k)"</f>
        <v>TONER:HP Item # C4096A-BC, Brand Compatible Black toner for HP 2100/2200 Series (Yld 5k)</v>
      </c>
      <c r="G1094" s="3" t="str">
        <f t="shared" si="81"/>
        <v>EA</v>
      </c>
      <c r="H1094" s="7">
        <v>77</v>
      </c>
      <c r="I1094" s="2" t="str">
        <f>"44103105"</f>
        <v>44103105</v>
      </c>
      <c r="J1094" s="10" t="s">
        <v>98</v>
      </c>
    </row>
    <row r="1095" spans="1:10" ht="26.25">
      <c r="A1095" s="24" t="s">
        <v>27</v>
      </c>
      <c r="B1095" s="21" t="s">
        <v>31</v>
      </c>
      <c r="C1095" s="21">
        <v>3204</v>
      </c>
      <c r="D1095" s="21">
        <v>625</v>
      </c>
      <c r="E1095" s="21" t="str">
        <f>"1000017295"</f>
        <v>1000017295</v>
      </c>
      <c r="F1095" s="21" t="str">
        <f>"TONER:HP Item # C4096A-BCM, Brand Compatible 2100/2200 Toner MICR"</f>
        <v>TONER:HP Item # C4096A-BCM, Brand Compatible 2100/2200 Toner MICR</v>
      </c>
      <c r="G1095" s="22" t="str">
        <f t="shared" si="81"/>
        <v>EA</v>
      </c>
      <c r="H1095" s="23">
        <v>145</v>
      </c>
      <c r="I1095" s="21" t="str">
        <f>"44103105"</f>
        <v>44103105</v>
      </c>
      <c r="J1095" s="25" t="s">
        <v>98</v>
      </c>
    </row>
    <row r="1096" spans="1:10" ht="39">
      <c r="A1096" s="9" t="s">
        <v>27</v>
      </c>
      <c r="B1096" s="2" t="s">
        <v>31</v>
      </c>
      <c r="C1096" s="2">
        <v>3204</v>
      </c>
      <c r="D1096" s="2">
        <v>626</v>
      </c>
      <c r="E1096" s="2" t="str">
        <f>"1000017321"</f>
        <v>1000017321</v>
      </c>
      <c r="F1096" s="2" t="str">
        <f>"TONER:HP Item # C4127A-BC, Brand Compatible Black toner for HP 4000 Series (Yld 6k)"</f>
        <v>TONER:HP Item # C4127A-BC, Brand Compatible Black toner for HP 4000 Series (Yld 6k)</v>
      </c>
      <c r="G1096" s="3" t="str">
        <f t="shared" si="81"/>
        <v>EA</v>
      </c>
      <c r="H1096" s="7">
        <v>72</v>
      </c>
      <c r="I1096" s="2" t="str">
        <f>"44103105"</f>
        <v>44103105</v>
      </c>
      <c r="J1096" s="10" t="s">
        <v>98</v>
      </c>
    </row>
    <row r="1097" spans="1:10" ht="26.25">
      <c r="A1097" s="24" t="s">
        <v>27</v>
      </c>
      <c r="B1097" s="21" t="s">
        <v>31</v>
      </c>
      <c r="C1097" s="21">
        <v>3204</v>
      </c>
      <c r="D1097" s="21">
        <v>627</v>
      </c>
      <c r="E1097" s="21" t="str">
        <f>"1000017322"</f>
        <v>1000017322</v>
      </c>
      <c r="F1097" s="21" t="str">
        <f>"TONER:HP Item # C4127A-BCM, Brand Compatible 4000 Series MICR Toner (Yld 6k)"</f>
        <v>TONER:HP Item # C4127A-BCM, Brand Compatible 4000 Series MICR Toner (Yld 6k)</v>
      </c>
      <c r="G1097" s="22" t="str">
        <f t="shared" si="81"/>
        <v>EA</v>
      </c>
      <c r="H1097" s="23">
        <v>140</v>
      </c>
      <c r="I1097" s="21" t="str">
        <f>"44103105"</f>
        <v>44103105</v>
      </c>
      <c r="J1097" s="25" t="s">
        <v>98</v>
      </c>
    </row>
    <row r="1098" spans="1:10" ht="39">
      <c r="A1098" s="9" t="s">
        <v>27</v>
      </c>
      <c r="B1098" s="2" t="s">
        <v>31</v>
      </c>
      <c r="C1098" s="2">
        <v>3204</v>
      </c>
      <c r="D1098" s="2">
        <v>629</v>
      </c>
      <c r="E1098" s="2" t="str">
        <f>"1000017273"</f>
        <v>1000017273</v>
      </c>
      <c r="F1098" s="2" t="str">
        <f>"TONER:HP Item # C4127A-REM, Remanufactured Black laser toner cartridge designed for HP 4000/4050 Toner (Yld 10k)"</f>
        <v>TONER:HP Item # C4127A-REM, Remanufactured Black laser toner cartridge designed for HP 4000/4050 Toner (Yld 10k)</v>
      </c>
      <c r="G1098" s="3" t="str">
        <f t="shared" si="81"/>
        <v>EA</v>
      </c>
      <c r="H1098" s="7">
        <v>79</v>
      </c>
      <c r="I1098" s="2" t="str">
        <f>"44103105"</f>
        <v>44103105</v>
      </c>
      <c r="J1098" s="10" t="s">
        <v>98</v>
      </c>
    </row>
    <row r="1099" spans="1:10" ht="39">
      <c r="A1099" s="9" t="s">
        <v>27</v>
      </c>
      <c r="B1099" s="2" t="s">
        <v>31</v>
      </c>
      <c r="C1099" s="2">
        <v>3204</v>
      </c>
      <c r="D1099" s="2">
        <v>630</v>
      </c>
      <c r="E1099" s="2" t="str">
        <f>"1000000470"</f>
        <v>1000000470</v>
      </c>
      <c r="F1099" s="2" t="str">
        <f>"TONER:HP Item # C4127X-BC, Brand compatible Toner for Hewlett Packard Printers 4000 Series (yld 10k)"</f>
        <v>TONER:HP Item # C4127X-BC, Brand compatible Toner for Hewlett Packard Printers 4000 Series (yld 10k)</v>
      </c>
      <c r="G1099" s="3" t="str">
        <f t="shared" si="81"/>
        <v>EA</v>
      </c>
      <c r="H1099" s="7">
        <v>91</v>
      </c>
      <c r="I1099" s="2" t="str">
        <f>"44103103"</f>
        <v>44103103</v>
      </c>
      <c r="J1099" s="10" t="s">
        <v>99</v>
      </c>
    </row>
    <row r="1100" spans="1:10" ht="26.25">
      <c r="A1100" s="24" t="s">
        <v>27</v>
      </c>
      <c r="B1100" s="21" t="s">
        <v>31</v>
      </c>
      <c r="C1100" s="21">
        <v>3204</v>
      </c>
      <c r="D1100" s="21">
        <v>631</v>
      </c>
      <c r="E1100" s="21" t="str">
        <f>"1000017274"</f>
        <v>1000017274</v>
      </c>
      <c r="F1100" s="21" t="str">
        <f>"TONER:HP Item # C4127X-BCM, Brand Compatible 4000 Series MICR Toner (Yld 10k)"</f>
        <v>TONER:HP Item # C4127X-BCM, Brand Compatible 4000 Series MICR Toner (Yld 10k)</v>
      </c>
      <c r="G1100" s="22" t="str">
        <f t="shared" si="81"/>
        <v>EA</v>
      </c>
      <c r="H1100" s="23">
        <v>233</v>
      </c>
      <c r="I1100" s="21" t="str">
        <f>"44103105"</f>
        <v>44103105</v>
      </c>
      <c r="J1100" s="25" t="s">
        <v>98</v>
      </c>
    </row>
    <row r="1101" spans="1:10" ht="39">
      <c r="A1101" s="24" t="s">
        <v>27</v>
      </c>
      <c r="B1101" s="21" t="s">
        <v>31</v>
      </c>
      <c r="C1101" s="21">
        <v>3204</v>
      </c>
      <c r="D1101" s="21">
        <v>632</v>
      </c>
      <c r="E1101" s="21" t="str">
        <f>"1000001304"</f>
        <v>1000001304</v>
      </c>
      <c r="F1101" s="21" t="str">
        <f>"TONER:HP Item # C4127X-HEW, Toner for Hewlett Packard Printers HP 4000Series (Yld 10k)"</f>
        <v>TONER:HP Item # C4127X-HEW, Toner for Hewlett Packard Printers HP 4000Series (Yld 10k)</v>
      </c>
      <c r="G1101" s="22" t="str">
        <f t="shared" si="81"/>
        <v>EA</v>
      </c>
      <c r="H1101" s="23">
        <v>167.99</v>
      </c>
      <c r="I1101" s="21" t="str">
        <f>"44103103"</f>
        <v>44103103</v>
      </c>
      <c r="J1101" s="25" t="s">
        <v>99</v>
      </c>
    </row>
    <row r="1102" spans="1:10" ht="39">
      <c r="A1102" s="9" t="s">
        <v>27</v>
      </c>
      <c r="B1102" s="2" t="s">
        <v>31</v>
      </c>
      <c r="C1102" s="2">
        <v>3204</v>
      </c>
      <c r="D1102" s="2">
        <v>633</v>
      </c>
      <c r="E1102" s="2" t="str">
        <f>"1000017275"</f>
        <v>1000017275</v>
      </c>
      <c r="F1102" s="2" t="str">
        <f>"TONER:HP Item # C4129X-BC, Brand Compatible Toner Cartridge (Yld 10k) for HP 5000"</f>
        <v>TONER:HP Item # C4129X-BC, Brand Compatible Toner Cartridge (Yld 10k) for HP 5000</v>
      </c>
      <c r="G1102" s="3" t="str">
        <f t="shared" si="81"/>
        <v>EA</v>
      </c>
      <c r="H1102" s="7">
        <v>76</v>
      </c>
      <c r="I1102" s="2" t="str">
        <f t="shared" ref="I1102:I1112" si="82">"44103105"</f>
        <v>44103105</v>
      </c>
      <c r="J1102" s="10" t="s">
        <v>98</v>
      </c>
    </row>
    <row r="1103" spans="1:10" ht="39">
      <c r="A1103" s="24" t="s">
        <v>27</v>
      </c>
      <c r="B1103" s="21" t="s">
        <v>31</v>
      </c>
      <c r="C1103" s="21">
        <v>3204</v>
      </c>
      <c r="D1103" s="21">
        <v>634</v>
      </c>
      <c r="E1103" s="21" t="str">
        <f>"1000017276"</f>
        <v>1000017276</v>
      </c>
      <c r="F1103" s="21" t="str">
        <f>"TONER:HP Item # C4129X-BCM, Brand Compatible for 5000, MICR Toner UltraPrec.(Yld 10k)"</f>
        <v>TONER:HP Item # C4129X-BCM, Brand Compatible for 5000, MICR Toner UltraPrec.(Yld 10k)</v>
      </c>
      <c r="G1103" s="22" t="str">
        <f t="shared" si="81"/>
        <v>EA</v>
      </c>
      <c r="H1103" s="23">
        <v>185</v>
      </c>
      <c r="I1103" s="21" t="str">
        <f t="shared" si="82"/>
        <v>44103105</v>
      </c>
      <c r="J1103" s="25" t="s">
        <v>98</v>
      </c>
    </row>
    <row r="1104" spans="1:10" ht="26.25">
      <c r="A1104" s="9" t="s">
        <v>27</v>
      </c>
      <c r="B1104" s="2" t="s">
        <v>31</v>
      </c>
      <c r="C1104" s="2">
        <v>3204</v>
      </c>
      <c r="D1104" s="2">
        <v>635</v>
      </c>
      <c r="E1104" s="2" t="str">
        <f>"1000017277"</f>
        <v>1000017277</v>
      </c>
      <c r="F1104" s="2" t="str">
        <f>"TONER:HP Item # C4129X-HEW, HP UltraPrecise Toner for Laserjet 5000 (Yld 10k)"</f>
        <v>TONER:HP Item # C4129X-HEW, HP UltraPrecise Toner for Laserjet 5000 (Yld 10k)</v>
      </c>
      <c r="G1104" s="3" t="str">
        <f t="shared" si="81"/>
        <v>EA</v>
      </c>
      <c r="H1104" s="7">
        <v>215.99</v>
      </c>
      <c r="I1104" s="2" t="str">
        <f t="shared" si="82"/>
        <v>44103105</v>
      </c>
      <c r="J1104" s="10" t="s">
        <v>98</v>
      </c>
    </row>
    <row r="1105" spans="1:10" ht="39">
      <c r="A1105" s="24" t="s">
        <v>27</v>
      </c>
      <c r="B1105" s="21" t="s">
        <v>31</v>
      </c>
      <c r="C1105" s="21">
        <v>3204</v>
      </c>
      <c r="D1105" s="21">
        <v>636</v>
      </c>
      <c r="E1105" s="21" t="str">
        <f>"1000017278"</f>
        <v>1000017278</v>
      </c>
      <c r="F1105" s="21" t="str">
        <f>"TONER:HP Item # C4149A-BC, Brand Compatible for Hewlett Packard Color LaserJet 8500 Toner Cartridge, Black (Yld 17k)"</f>
        <v>TONER:HP Item # C4149A-BC, Brand Compatible for Hewlett Packard Color LaserJet 8500 Toner Cartridge, Black (Yld 17k)</v>
      </c>
      <c r="G1105" s="22" t="str">
        <f t="shared" si="81"/>
        <v>EA</v>
      </c>
      <c r="H1105" s="23">
        <v>87</v>
      </c>
      <c r="I1105" s="21" t="str">
        <f t="shared" si="82"/>
        <v>44103105</v>
      </c>
      <c r="J1105" s="25" t="s">
        <v>98</v>
      </c>
    </row>
    <row r="1106" spans="1:10" ht="26.25">
      <c r="A1106" s="9" t="s">
        <v>27</v>
      </c>
      <c r="B1106" s="2" t="s">
        <v>31</v>
      </c>
      <c r="C1106" s="2">
        <v>3204</v>
      </c>
      <c r="D1106" s="2">
        <v>637</v>
      </c>
      <c r="E1106" s="2" t="str">
        <f>"1000017279"</f>
        <v>1000017279</v>
      </c>
      <c r="F1106" s="2" t="str">
        <f>"TONER:HP Item # C4149A-HEW, HP Black Color LaserJet 8500 Toner (Yld 17k)"</f>
        <v>TONER:HP Item # C4149A-HEW, HP Black Color LaserJet 8500 Toner (Yld 17k)</v>
      </c>
      <c r="G1106" s="3" t="str">
        <f t="shared" si="81"/>
        <v>EA</v>
      </c>
      <c r="H1106" s="7">
        <v>129</v>
      </c>
      <c r="I1106" s="2" t="str">
        <f t="shared" si="82"/>
        <v>44103105</v>
      </c>
      <c r="J1106" s="10" t="s">
        <v>98</v>
      </c>
    </row>
    <row r="1107" spans="1:10" ht="39">
      <c r="A1107" s="24" t="s">
        <v>27</v>
      </c>
      <c r="B1107" s="21" t="s">
        <v>31</v>
      </c>
      <c r="C1107" s="21">
        <v>3204</v>
      </c>
      <c r="D1107" s="21">
        <v>638</v>
      </c>
      <c r="E1107" s="21" t="str">
        <f>"1000017280"</f>
        <v>1000017280</v>
      </c>
      <c r="F1107" s="21" t="str">
        <f>"TONER:HP Item # C4150A-BC, Brand Compatible for Hewlett Packard Color LaserJet 8500 Toner Cartridge, Cyan (Yld 8.5k)"</f>
        <v>TONER:HP Item # C4150A-BC, Brand Compatible for Hewlett Packard Color LaserJet 8500 Toner Cartridge, Cyan (Yld 8.5k)</v>
      </c>
      <c r="G1107" s="22" t="str">
        <f t="shared" si="81"/>
        <v>EA</v>
      </c>
      <c r="H1107" s="23">
        <v>135</v>
      </c>
      <c r="I1107" s="21" t="str">
        <f t="shared" si="82"/>
        <v>44103105</v>
      </c>
      <c r="J1107" s="25" t="s">
        <v>98</v>
      </c>
    </row>
    <row r="1108" spans="1:10" ht="26.25">
      <c r="A1108" s="9" t="s">
        <v>27</v>
      </c>
      <c r="B1108" s="2" t="s">
        <v>31</v>
      </c>
      <c r="C1108" s="2">
        <v>3204</v>
      </c>
      <c r="D1108" s="2">
        <v>639</v>
      </c>
      <c r="E1108" s="2" t="str">
        <f>"1000017305"</f>
        <v>1000017305</v>
      </c>
      <c r="F1108" s="2" t="str">
        <f>"TONER:HP Item # C4150A-HEW, HP Color LaserJet 8500 Toner Cyan (Yld 8.5k)"</f>
        <v>TONER:HP Item # C4150A-HEW, HP Color LaserJet 8500 Toner Cyan (Yld 8.5k)</v>
      </c>
      <c r="G1108" s="3" t="str">
        <f t="shared" si="81"/>
        <v>EA</v>
      </c>
      <c r="H1108" s="7">
        <v>196</v>
      </c>
      <c r="I1108" s="2" t="str">
        <f t="shared" si="82"/>
        <v>44103105</v>
      </c>
      <c r="J1108" s="10" t="s">
        <v>98</v>
      </c>
    </row>
    <row r="1109" spans="1:10" ht="39">
      <c r="A1109" s="24" t="s">
        <v>27</v>
      </c>
      <c r="B1109" s="21" t="s">
        <v>31</v>
      </c>
      <c r="C1109" s="21">
        <v>3204</v>
      </c>
      <c r="D1109" s="21">
        <v>640</v>
      </c>
      <c r="E1109" s="21" t="str">
        <f>"1000017306"</f>
        <v>1000017306</v>
      </c>
      <c r="F1109" s="21" t="str">
        <f>"TONER:HP Item # C4151A-BC, Brand Compatible for Hewlett Packard Color LaserJet 8500 Toner Cartridge, Magenta (Yld 8.5k)"</f>
        <v>TONER:HP Item # C4151A-BC, Brand Compatible for Hewlett Packard Color LaserJet 8500 Toner Cartridge, Magenta (Yld 8.5k)</v>
      </c>
      <c r="G1109" s="22" t="str">
        <f t="shared" si="81"/>
        <v>EA</v>
      </c>
      <c r="H1109" s="23">
        <v>135</v>
      </c>
      <c r="I1109" s="21" t="str">
        <f t="shared" si="82"/>
        <v>44103105</v>
      </c>
      <c r="J1109" s="25" t="s">
        <v>98</v>
      </c>
    </row>
    <row r="1110" spans="1:10" ht="26.25">
      <c r="A1110" s="9" t="s">
        <v>27</v>
      </c>
      <c r="B1110" s="2" t="s">
        <v>31</v>
      </c>
      <c r="C1110" s="2">
        <v>3204</v>
      </c>
      <c r="D1110" s="2">
        <v>641</v>
      </c>
      <c r="E1110" s="2" t="str">
        <f>"1000017307"</f>
        <v>1000017307</v>
      </c>
      <c r="F1110" s="2" t="str">
        <f>"TONER:HP Item # C4151A-HEW, HP Color LaserJet 8500 Toner, Magenta (Yld 8.5k)"</f>
        <v>TONER:HP Item # C4151A-HEW, HP Color LaserJet 8500 Toner, Magenta (Yld 8.5k)</v>
      </c>
      <c r="G1110" s="3" t="str">
        <f t="shared" si="81"/>
        <v>EA</v>
      </c>
      <c r="H1110" s="7">
        <v>197</v>
      </c>
      <c r="I1110" s="2" t="str">
        <f t="shared" si="82"/>
        <v>44103105</v>
      </c>
      <c r="J1110" s="10" t="s">
        <v>98</v>
      </c>
    </row>
    <row r="1111" spans="1:10" ht="39">
      <c r="A1111" s="24" t="s">
        <v>27</v>
      </c>
      <c r="B1111" s="21" t="s">
        <v>31</v>
      </c>
      <c r="C1111" s="21">
        <v>3204</v>
      </c>
      <c r="D1111" s="21">
        <v>642</v>
      </c>
      <c r="E1111" s="21" t="str">
        <f>"1000017334"</f>
        <v>1000017334</v>
      </c>
      <c r="F1111" s="21" t="str">
        <f>"TONER:HP Item # C4152A-BC, Brand Compatible for Hewlett Packard Color LaserJet 8500 Toner Cartridge, Yellow (Yld 8.5k)"</f>
        <v>TONER:HP Item # C4152A-BC, Brand Compatible for Hewlett Packard Color LaserJet 8500 Toner Cartridge, Yellow (Yld 8.5k)</v>
      </c>
      <c r="G1111" s="22" t="str">
        <f t="shared" si="81"/>
        <v>EA</v>
      </c>
      <c r="H1111" s="23">
        <v>135</v>
      </c>
      <c r="I1111" s="21" t="str">
        <f t="shared" si="82"/>
        <v>44103105</v>
      </c>
      <c r="J1111" s="25" t="s">
        <v>98</v>
      </c>
    </row>
    <row r="1112" spans="1:10" ht="26.25">
      <c r="A1112" s="9" t="s">
        <v>27</v>
      </c>
      <c r="B1112" s="2" t="s">
        <v>31</v>
      </c>
      <c r="C1112" s="2">
        <v>3204</v>
      </c>
      <c r="D1112" s="2">
        <v>643</v>
      </c>
      <c r="E1112" s="2" t="str">
        <f>"1000017335"</f>
        <v>1000017335</v>
      </c>
      <c r="F1112" s="2" t="str">
        <f>"TONER:HP Item # C4152A-HEW, HP Color LaserJet 8500 Toner Yellow (Yld 8.5k)"</f>
        <v>TONER:HP Item # C4152A-HEW, HP Color LaserJet 8500 Toner Yellow (Yld 8.5k)</v>
      </c>
      <c r="G1112" s="3" t="str">
        <f t="shared" si="81"/>
        <v>EA</v>
      </c>
      <c r="H1112" s="7">
        <v>197</v>
      </c>
      <c r="I1112" s="2" t="str">
        <f t="shared" si="82"/>
        <v>44103105</v>
      </c>
      <c r="J1112" s="10" t="s">
        <v>98</v>
      </c>
    </row>
    <row r="1113" spans="1:10" ht="51.75">
      <c r="A1113" s="9" t="s">
        <v>27</v>
      </c>
      <c r="B1113" s="2" t="s">
        <v>31</v>
      </c>
      <c r="C1113" s="2">
        <v>3204</v>
      </c>
      <c r="D1113" s="2">
        <v>644</v>
      </c>
      <c r="E1113" s="2" t="str">
        <f>"1000000663"</f>
        <v>1000000663</v>
      </c>
      <c r="F1113" s="2" t="str">
        <f>"TONER:HP Item # C4182X-BC, Brand Compatible Toner for Hewlett Packard Printers HP 8100/N/DN Series Ultra Precise toner cartridge (Yld 20k)"</f>
        <v>TONER:HP Item # C4182X-BC, Brand Compatible Toner for Hewlett Packard Printers HP 8100/N/DN Series Ultra Precise toner cartridge (Yld 20k)</v>
      </c>
      <c r="G1113" s="3" t="str">
        <f t="shared" si="81"/>
        <v>EA</v>
      </c>
      <c r="H1113" s="7">
        <v>145</v>
      </c>
      <c r="I1113" s="2" t="str">
        <f>"44103103"</f>
        <v>44103103</v>
      </c>
      <c r="J1113" s="10" t="s">
        <v>99</v>
      </c>
    </row>
    <row r="1114" spans="1:10" ht="39">
      <c r="A1114" s="24" t="s">
        <v>27</v>
      </c>
      <c r="B1114" s="21" t="s">
        <v>31</v>
      </c>
      <c r="C1114" s="21">
        <v>3204</v>
      </c>
      <c r="D1114" s="21">
        <v>645</v>
      </c>
      <c r="E1114" s="21" t="str">
        <f>"1000017286"</f>
        <v>1000017286</v>
      </c>
      <c r="F1114" s="21" t="str">
        <f>"TONER:HP Item # C4182X-HEW, HP Black Ultraprecise Laser Toner Cartridge for 8100/N/DN Series UltraPrecise Toner (Yld 20k)"</f>
        <v>TONER:HP Item # C4182X-HEW, HP Black Ultraprecise Laser Toner Cartridge for 8100/N/DN Series UltraPrecise Toner (Yld 20k)</v>
      </c>
      <c r="G1114" s="22" t="str">
        <f t="shared" si="81"/>
        <v>EA</v>
      </c>
      <c r="H1114" s="23">
        <v>260.99</v>
      </c>
      <c r="I1114" s="21" t="str">
        <f t="shared" ref="I1114:I1119" si="83">"44103105"</f>
        <v>44103105</v>
      </c>
      <c r="J1114" s="25" t="s">
        <v>98</v>
      </c>
    </row>
    <row r="1115" spans="1:10" ht="26.25">
      <c r="A1115" s="9" t="s">
        <v>27</v>
      </c>
      <c r="B1115" s="2" t="s">
        <v>31</v>
      </c>
      <c r="C1115" s="2">
        <v>3204</v>
      </c>
      <c r="D1115" s="2">
        <v>646</v>
      </c>
      <c r="E1115" s="2" t="str">
        <f>"1000017287"</f>
        <v>1000017287</v>
      </c>
      <c r="F1115" s="2" t="str">
        <f>"TONER:HP Item # C4182X-MICR, LaserJet 8100 MICR Toner Cartridge (0281023001) (Yld 20k)"</f>
        <v>TONER:HP Item # C4182X-MICR, LaserJet 8100 MICR Toner Cartridge (0281023001) (Yld 20k)</v>
      </c>
      <c r="G1115" s="3" t="str">
        <f t="shared" si="81"/>
        <v>EA</v>
      </c>
      <c r="H1115" s="7">
        <v>486</v>
      </c>
      <c r="I1115" s="2" t="str">
        <f t="shared" si="83"/>
        <v>44103105</v>
      </c>
      <c r="J1115" s="10" t="s">
        <v>98</v>
      </c>
    </row>
    <row r="1116" spans="1:10" ht="39">
      <c r="A1116" s="24" t="s">
        <v>27</v>
      </c>
      <c r="B1116" s="21" t="s">
        <v>31</v>
      </c>
      <c r="C1116" s="21">
        <v>3204</v>
      </c>
      <c r="D1116" s="21">
        <v>647</v>
      </c>
      <c r="E1116" s="21" t="str">
        <f>"1000017288"</f>
        <v>1000017288</v>
      </c>
      <c r="F1116" s="21" t="str">
        <f>"TONER:HP Item # C4182XR-REM, Remanufactured LaserJet 8100 Series Toner Cartridge (Yld 20k)"</f>
        <v>TONER:HP Item # C4182XR-REM, Remanufactured LaserJet 8100 Series Toner Cartridge (Yld 20k)</v>
      </c>
      <c r="G1116" s="22" t="str">
        <f t="shared" si="81"/>
        <v>EA</v>
      </c>
      <c r="H1116" s="23">
        <v>102</v>
      </c>
      <c r="I1116" s="21" t="str">
        <f t="shared" si="83"/>
        <v>44103105</v>
      </c>
      <c r="J1116" s="25" t="s">
        <v>98</v>
      </c>
    </row>
    <row r="1117" spans="1:10" ht="39">
      <c r="A1117" s="9" t="s">
        <v>27</v>
      </c>
      <c r="B1117" s="2" t="s">
        <v>31</v>
      </c>
      <c r="C1117" s="2">
        <v>3204</v>
      </c>
      <c r="D1117" s="2">
        <v>648</v>
      </c>
      <c r="E1117" s="2" t="str">
        <f>"1000017289"</f>
        <v>1000017289</v>
      </c>
      <c r="F1117" s="2" t="str">
        <f>"TONER:HP Item # C4191A-BC, Brand Compatible Black toner cartridge for Color LaserJet 4500 (Yld 9k)"</f>
        <v>TONER:HP Item # C4191A-BC, Brand Compatible Black toner cartridge for Color LaserJet 4500 (Yld 9k)</v>
      </c>
      <c r="G1117" s="3" t="str">
        <f t="shared" si="81"/>
        <v>EA</v>
      </c>
      <c r="H1117" s="7">
        <v>63</v>
      </c>
      <c r="I1117" s="2" t="str">
        <f t="shared" si="83"/>
        <v>44103105</v>
      </c>
      <c r="J1117" s="10" t="s">
        <v>98</v>
      </c>
    </row>
    <row r="1118" spans="1:10" ht="26.25">
      <c r="A1118" s="24" t="s">
        <v>27</v>
      </c>
      <c r="B1118" s="21" t="s">
        <v>31</v>
      </c>
      <c r="C1118" s="21">
        <v>3204</v>
      </c>
      <c r="D1118" s="21">
        <v>649</v>
      </c>
      <c r="E1118" s="21" t="str">
        <f>"1000017290"</f>
        <v>1000017290</v>
      </c>
      <c r="F1118" s="21" t="str">
        <f>"TONER:HP Item # C4191A-HEW, Black toner for HP Color LaserJet 4500 (Yld 9k)"</f>
        <v>TONER:HP Item # C4191A-HEW, Black toner for HP Color LaserJet 4500 (Yld 9k)</v>
      </c>
      <c r="G1118" s="22" t="str">
        <f t="shared" si="81"/>
        <v>EA</v>
      </c>
      <c r="H1118" s="23">
        <v>139</v>
      </c>
      <c r="I1118" s="21" t="str">
        <f t="shared" si="83"/>
        <v>44103105</v>
      </c>
      <c r="J1118" s="25" t="s">
        <v>98</v>
      </c>
    </row>
    <row r="1119" spans="1:10" ht="39">
      <c r="A1119" s="9" t="s">
        <v>27</v>
      </c>
      <c r="B1119" s="2" t="s">
        <v>31</v>
      </c>
      <c r="C1119" s="2">
        <v>3204</v>
      </c>
      <c r="D1119" s="2">
        <v>650</v>
      </c>
      <c r="E1119" s="2" t="str">
        <f>"1000017291"</f>
        <v>1000017291</v>
      </c>
      <c r="F1119" s="2" t="str">
        <f>"TONER:HP Item # C4192A-BC, Brand Compatible Cyan Toner for HP LaserJet 4500 (Yld 6k)"</f>
        <v>TONER:HP Item # C4192A-BC, Brand Compatible Cyan Toner for HP LaserJet 4500 (Yld 6k)</v>
      </c>
      <c r="G1119" s="3" t="str">
        <f t="shared" ref="G1119:G1150" si="84">"EA"</f>
        <v>EA</v>
      </c>
      <c r="H1119" s="7">
        <v>96</v>
      </c>
      <c r="I1119" s="2" t="str">
        <f t="shared" si="83"/>
        <v>44103105</v>
      </c>
      <c r="J1119" s="10" t="s">
        <v>98</v>
      </c>
    </row>
    <row r="1120" spans="1:10" ht="39">
      <c r="A1120" s="9" t="s">
        <v>27</v>
      </c>
      <c r="B1120" s="2" t="s">
        <v>31</v>
      </c>
      <c r="C1120" s="2">
        <v>3204</v>
      </c>
      <c r="D1120" s="2">
        <v>652</v>
      </c>
      <c r="E1120" s="2" t="str">
        <f>"1000000083"</f>
        <v>1000000083</v>
      </c>
      <c r="F1120" s="2" t="str">
        <f>"TONER:HP Item # C4193A-BC, Brand compatible Magenta Toner for Hewlett Packard Printers Color Laser Jet 4500. (Yld 6k)"</f>
        <v>TONER:HP Item # C4193A-BC, Brand compatible Magenta Toner for Hewlett Packard Printers Color Laser Jet 4500. (Yld 6k)</v>
      </c>
      <c r="G1120" s="3" t="str">
        <f t="shared" si="84"/>
        <v>EA</v>
      </c>
      <c r="H1120" s="7">
        <v>76</v>
      </c>
      <c r="I1120" s="2" t="str">
        <f>"44103103"</f>
        <v>44103103</v>
      </c>
      <c r="J1120" s="10" t="s">
        <v>99</v>
      </c>
    </row>
    <row r="1121" spans="1:10" ht="39">
      <c r="A1121" s="24" t="s">
        <v>27</v>
      </c>
      <c r="B1121" s="21" t="s">
        <v>31</v>
      </c>
      <c r="C1121" s="21">
        <v>3204</v>
      </c>
      <c r="D1121" s="21">
        <v>654</v>
      </c>
      <c r="E1121" s="21" t="str">
        <f>"1000017292"</f>
        <v>1000017292</v>
      </c>
      <c r="F1121" s="21" t="str">
        <f>"TONER:HP Item # C4194A-BC, Brand Compatible Yellow Toner for HP Color LaserJet 4500 (Yld 6k)"</f>
        <v>TONER:HP Item # C4194A-BC, Brand Compatible Yellow Toner for HP Color LaserJet 4500 (Yld 6k)</v>
      </c>
      <c r="G1121" s="22" t="str">
        <f t="shared" si="84"/>
        <v>EA</v>
      </c>
      <c r="H1121" s="23">
        <v>76</v>
      </c>
      <c r="I1121" s="21" t="str">
        <f>"44103105"</f>
        <v>44103105</v>
      </c>
      <c r="J1121" s="25" t="s">
        <v>98</v>
      </c>
    </row>
    <row r="1122" spans="1:10" ht="39">
      <c r="A1122" s="24" t="s">
        <v>27</v>
      </c>
      <c r="B1122" s="21" t="s">
        <v>31</v>
      </c>
      <c r="C1122" s="21">
        <v>3204</v>
      </c>
      <c r="D1122" s="21">
        <v>656</v>
      </c>
      <c r="E1122" s="21" t="str">
        <f>"1000001889"</f>
        <v>1000001889</v>
      </c>
      <c r="F1122" s="21" t="str">
        <f>"TONER:HP Item # C4873A-HEW, DesignJet 1000/1050/1055 No. 80 Ink Ctg, Yellow, Series (Yld 2.2k)"</f>
        <v>TONER:HP Item # C4873A-HEW, DesignJet 1000/1050/1055 No. 80 Ink Ctg, Yellow, Series (Yld 2.2k)</v>
      </c>
      <c r="G1122" s="22" t="str">
        <f t="shared" si="84"/>
        <v>EA</v>
      </c>
      <c r="H1122" s="23">
        <v>90</v>
      </c>
      <c r="I1122" s="21" t="str">
        <f>"44103103"</f>
        <v>44103103</v>
      </c>
      <c r="J1122" s="25" t="s">
        <v>99</v>
      </c>
    </row>
    <row r="1123" spans="1:10" ht="39">
      <c r="A1123" s="9" t="s">
        <v>27</v>
      </c>
      <c r="B1123" s="2" t="s">
        <v>31</v>
      </c>
      <c r="C1123" s="2">
        <v>3204</v>
      </c>
      <c r="D1123" s="2">
        <v>657</v>
      </c>
      <c r="E1123" s="2" t="str">
        <f>"1000000070"</f>
        <v>1000000070</v>
      </c>
      <c r="F1123" s="2" t="str">
        <f>"TONER:HP Item #  C7115A-BC, Brand compatible, Toner for Hewlett Packard Printers 1200/1220 Series (yield 2.4k)"</f>
        <v>TONER:HP Item #  C7115A-BC, Brand compatible, Toner for Hewlett Packard Printers 1200/1220 Series (yield 2.4k)</v>
      </c>
      <c r="G1123" s="3" t="str">
        <f t="shared" si="84"/>
        <v>EA</v>
      </c>
      <c r="H1123" s="7">
        <v>56</v>
      </c>
      <c r="I1123" s="2" t="str">
        <f>"44103103"</f>
        <v>44103103</v>
      </c>
      <c r="J1123" s="10" t="s">
        <v>99</v>
      </c>
    </row>
    <row r="1124" spans="1:10" ht="39">
      <c r="A1124" s="9" t="s">
        <v>27</v>
      </c>
      <c r="B1124" s="2" t="s">
        <v>31</v>
      </c>
      <c r="C1124" s="2">
        <v>3204</v>
      </c>
      <c r="D1124" s="2">
        <v>658</v>
      </c>
      <c r="E1124" s="2" t="str">
        <f>"1000017385"</f>
        <v>1000017385</v>
      </c>
      <c r="F1124" s="2" t="str">
        <f>"TONER:HP Item # C7115A-BCM, Brand Compatible 1200/1220 Series MICR Toner (Yld 3.5k)"</f>
        <v>TONER:HP Item # C7115A-BCM, Brand Compatible 1200/1220 Series MICR Toner (Yld 3.5k)</v>
      </c>
      <c r="G1124" s="3" t="str">
        <f t="shared" si="84"/>
        <v>EA</v>
      </c>
      <c r="H1124" s="7">
        <v>128</v>
      </c>
      <c r="I1124" s="2" t="str">
        <f>"44103105"</f>
        <v>44103105</v>
      </c>
      <c r="J1124" s="10" t="s">
        <v>98</v>
      </c>
    </row>
    <row r="1125" spans="1:10" ht="39">
      <c r="A1125" s="24" t="s">
        <v>27</v>
      </c>
      <c r="B1125" s="21" t="s">
        <v>31</v>
      </c>
      <c r="C1125" s="21">
        <v>3204</v>
      </c>
      <c r="D1125" s="21">
        <v>659</v>
      </c>
      <c r="E1125" s="21" t="str">
        <f>"1000000441"</f>
        <v>1000000441</v>
      </c>
      <c r="F1125" s="21" t="str">
        <f>"TONER:HP Item # C7115A-HEW, Toner for Hewlett Packard Printers 1200/1220 Series (yield 2.4k)"</f>
        <v>TONER:HP Item # C7115A-HEW, Toner for Hewlett Packard Printers 1200/1220 Series (yield 2.4k)</v>
      </c>
      <c r="G1125" s="22" t="str">
        <f t="shared" si="84"/>
        <v>EA</v>
      </c>
      <c r="H1125" s="23">
        <v>83.99</v>
      </c>
      <c r="I1125" s="21" t="str">
        <f>"44103103"</f>
        <v>44103103</v>
      </c>
      <c r="J1125" s="25" t="s">
        <v>99</v>
      </c>
    </row>
    <row r="1126" spans="1:10" ht="39">
      <c r="A1126" s="9" t="s">
        <v>27</v>
      </c>
      <c r="B1126" s="2" t="s">
        <v>31</v>
      </c>
      <c r="C1126" s="2">
        <v>3204</v>
      </c>
      <c r="D1126" s="2">
        <v>660</v>
      </c>
      <c r="E1126" s="2" t="str">
        <f>"1000001242"</f>
        <v>1000001242</v>
      </c>
      <c r="F1126" s="2" t="str">
        <f>"TONER:HP Item # C7115X-BC, Brand compatible Toner for Hewlett Packard Printers 1200/1220 Series (Yld 3.5k)"</f>
        <v>TONER:HP Item # C7115X-BC, Brand compatible Toner for Hewlett Packard Printers 1200/1220 Series (Yld 3.5k)</v>
      </c>
      <c r="G1126" s="3" t="str">
        <f t="shared" si="84"/>
        <v>EA</v>
      </c>
      <c r="H1126" s="7">
        <v>66</v>
      </c>
      <c r="I1126" s="2" t="str">
        <f>"44103103"</f>
        <v>44103103</v>
      </c>
      <c r="J1126" s="10" t="s">
        <v>99</v>
      </c>
    </row>
    <row r="1127" spans="1:10" ht="39">
      <c r="A1127" s="24" t="s">
        <v>27</v>
      </c>
      <c r="B1127" s="21" t="s">
        <v>31</v>
      </c>
      <c r="C1127" s="21">
        <v>3204</v>
      </c>
      <c r="D1127" s="21">
        <v>661</v>
      </c>
      <c r="E1127" s="21" t="str">
        <f>"1000000273"</f>
        <v>1000000273</v>
      </c>
      <c r="F1127" s="21" t="str">
        <f>"TONER:HP Item # C7115X-HEW, Black Toner for Hewlett Packard Printers HP 1200/1220 Series Toner (Yld 3.5k)"</f>
        <v>TONER:HP Item # C7115X-HEW, Black Toner for Hewlett Packard Printers HP 1200/1220 Series Toner (Yld 3.5k)</v>
      </c>
      <c r="G1127" s="22" t="str">
        <f t="shared" si="84"/>
        <v>EA</v>
      </c>
      <c r="H1127" s="23">
        <v>92.99</v>
      </c>
      <c r="I1127" s="21" t="str">
        <f>"44103103"</f>
        <v>44103103</v>
      </c>
      <c r="J1127" s="25" t="s">
        <v>99</v>
      </c>
    </row>
    <row r="1128" spans="1:10" ht="39">
      <c r="A1128" s="24" t="s">
        <v>27</v>
      </c>
      <c r="B1128" s="21" t="s">
        <v>31</v>
      </c>
      <c r="C1128" s="21">
        <v>3204</v>
      </c>
      <c r="D1128" s="21">
        <v>662</v>
      </c>
      <c r="E1128" s="21" t="str">
        <f>"1000017386"</f>
        <v>1000017386</v>
      </c>
      <c r="F1128" s="21" t="str">
        <f>"TONER:HP Item # C7115XR-REM, Remanufactured toner for HP 1200/1220 Series"</f>
        <v>TONER:HP Item # C7115XR-REM, Remanufactured toner for HP 1200/1220 Series</v>
      </c>
      <c r="G1128" s="22" t="str">
        <f t="shared" si="84"/>
        <v>EA</v>
      </c>
      <c r="H1128" s="23">
        <v>62</v>
      </c>
      <c r="I1128" s="21" t="str">
        <f>"44103105"</f>
        <v>44103105</v>
      </c>
      <c r="J1128" s="25" t="s">
        <v>98</v>
      </c>
    </row>
    <row r="1129" spans="1:10" ht="26.25">
      <c r="A1129" s="9" t="s">
        <v>27</v>
      </c>
      <c r="B1129" s="2" t="s">
        <v>31</v>
      </c>
      <c r="C1129" s="2">
        <v>3204</v>
      </c>
      <c r="D1129" s="2">
        <v>663</v>
      </c>
      <c r="E1129" s="2" t="str">
        <f>"1000000283"</f>
        <v>1000000283</v>
      </c>
      <c r="F1129" s="2" t="str">
        <f>"TONER:HP Item # C8061A-HEW, Black Toner for Hewlett Packard Printers 4100 Series (Yld 6k)"</f>
        <v>TONER:HP Item # C8061A-HEW, Black Toner for Hewlett Packard Printers 4100 Series (Yld 6k)</v>
      </c>
      <c r="G1129" s="3" t="str">
        <f t="shared" si="84"/>
        <v>EA</v>
      </c>
      <c r="H1129" s="7">
        <v>109</v>
      </c>
      <c r="I1129" s="2" t="str">
        <f>"44103103"</f>
        <v>44103103</v>
      </c>
      <c r="J1129" s="10" t="s">
        <v>99</v>
      </c>
    </row>
    <row r="1130" spans="1:10" ht="39">
      <c r="A1130" s="24" t="s">
        <v>27</v>
      </c>
      <c r="B1130" s="21" t="s">
        <v>31</v>
      </c>
      <c r="C1130" s="21">
        <v>3204</v>
      </c>
      <c r="D1130" s="21">
        <v>664</v>
      </c>
      <c r="E1130" s="21" t="str">
        <f>"1000000471"</f>
        <v>1000000471</v>
      </c>
      <c r="F1130" s="21" t="str">
        <f>"TONER:HP Item # C8061X-BC, Brand compatible Toner for Hewlett Packard Printers 4100 Series Toner (Yld 10k)"</f>
        <v>TONER:HP Item # C8061X-BC, Brand compatible Toner for Hewlett Packard Printers 4100 Series Toner (Yld 10k)</v>
      </c>
      <c r="G1130" s="22" t="str">
        <f t="shared" si="84"/>
        <v>EA</v>
      </c>
      <c r="H1130" s="23">
        <v>104</v>
      </c>
      <c r="I1130" s="21" t="str">
        <f>"44103103"</f>
        <v>44103103</v>
      </c>
      <c r="J1130" s="25" t="s">
        <v>99</v>
      </c>
    </row>
    <row r="1131" spans="1:10" ht="39">
      <c r="A1131" s="9" t="s">
        <v>27</v>
      </c>
      <c r="B1131" s="2" t="s">
        <v>31</v>
      </c>
      <c r="C1131" s="2">
        <v>3204</v>
      </c>
      <c r="D1131" s="2">
        <v>665</v>
      </c>
      <c r="E1131" s="2" t="str">
        <f>"1000001306"</f>
        <v>1000001306</v>
      </c>
      <c r="F1131" s="2" t="str">
        <f>"TONER:HP Item # C8061X-HEW, Toner for Hewlett Packard Printers HP 4100 Series Toner (Yld 10k)"</f>
        <v>TONER:HP Item # C8061X-HEW, Toner for Hewlett Packard Printers HP 4100 Series Toner (Yld 10k)</v>
      </c>
      <c r="G1131" s="3" t="str">
        <f t="shared" si="84"/>
        <v>EA</v>
      </c>
      <c r="H1131" s="7">
        <v>167.99</v>
      </c>
      <c r="I1131" s="2" t="str">
        <f>"44103103"</f>
        <v>44103103</v>
      </c>
      <c r="J1131" s="10" t="s">
        <v>99</v>
      </c>
    </row>
    <row r="1132" spans="1:10" ht="39">
      <c r="A1132" s="9" t="s">
        <v>27</v>
      </c>
      <c r="B1132" s="2" t="s">
        <v>31</v>
      </c>
      <c r="C1132" s="2">
        <v>3204</v>
      </c>
      <c r="D1132" s="2">
        <v>666</v>
      </c>
      <c r="E1132" s="2" t="str">
        <f>"1000017336"</f>
        <v>1000017336</v>
      </c>
      <c r="F1132" s="2" t="str">
        <f>"TONER:HP Item # C8061X-MICR, HP 61X High-Yield Black Printer cartridge for LaserJet 4100 Series (Yld 10k)"</f>
        <v>TONER:HP Item # C8061X-MICR, HP 61X High-Yield Black Printer cartridge for LaserJet 4100 Series (Yld 10k)</v>
      </c>
      <c r="G1132" s="3" t="str">
        <f t="shared" si="84"/>
        <v>EA</v>
      </c>
      <c r="H1132" s="7">
        <v>345</v>
      </c>
      <c r="I1132" s="2" t="str">
        <f>"44103105"</f>
        <v>44103105</v>
      </c>
      <c r="J1132" s="10" t="s">
        <v>98</v>
      </c>
    </row>
    <row r="1133" spans="1:10" ht="39">
      <c r="A1133" s="24" t="s">
        <v>27</v>
      </c>
      <c r="B1133" s="21" t="s">
        <v>31</v>
      </c>
      <c r="C1133" s="21">
        <v>3204</v>
      </c>
      <c r="D1133" s="21">
        <v>667</v>
      </c>
      <c r="E1133" s="21" t="str">
        <f>"1000017337"</f>
        <v>1000017337</v>
      </c>
      <c r="F1133" s="21" t="str">
        <f>"TONER:HP Item # C8061XR-REM, HP Remanufactured toner cartridge for HP 4100 Series (Yld 10k)"</f>
        <v>TONER:HP Item # C8061XR-REM, HP Remanufactured toner cartridge for HP 4100 Series (Yld 10k)</v>
      </c>
      <c r="G1133" s="22" t="str">
        <f t="shared" si="84"/>
        <v>EA</v>
      </c>
      <c r="H1133" s="23">
        <v>81</v>
      </c>
      <c r="I1133" s="21" t="str">
        <f>"44103105"</f>
        <v>44103105</v>
      </c>
      <c r="J1133" s="25" t="s">
        <v>98</v>
      </c>
    </row>
    <row r="1134" spans="1:10" ht="64.5">
      <c r="A1134" s="9" t="s">
        <v>27</v>
      </c>
      <c r="B1134" s="2" t="s">
        <v>31</v>
      </c>
      <c r="C1134" s="2">
        <v>3204</v>
      </c>
      <c r="D1134" s="2">
        <v>668</v>
      </c>
      <c r="E1134" s="2" t="str">
        <f>"1000017338"</f>
        <v>1000017338</v>
      </c>
      <c r="F1134" s="2" t="str">
        <f>"TONER:HP Item # C8543X-BC, Brand Compatible for Hewlett Packard, Black High Capacity Laser Toner Cartridge designed for the HP LaserJet 9000 Laser Toner Printers (30,000 yield)."</f>
        <v>TONER:HP Item # C8543X-BC, Brand Compatible for Hewlett Packard, Black High Capacity Laser Toner Cartridge designed for the HP LaserJet 9000 Laser Toner Printers (30,000 yield).</v>
      </c>
      <c r="G1134" s="3" t="str">
        <f t="shared" si="84"/>
        <v>EA</v>
      </c>
      <c r="H1134" s="7">
        <v>226</v>
      </c>
      <c r="I1134" s="2" t="str">
        <f>"44103105"</f>
        <v>44103105</v>
      </c>
      <c r="J1134" s="10" t="s">
        <v>98</v>
      </c>
    </row>
    <row r="1135" spans="1:10" ht="77.25">
      <c r="A1135" s="24" t="s">
        <v>27</v>
      </c>
      <c r="B1135" s="21" t="s">
        <v>31</v>
      </c>
      <c r="C1135" s="21">
        <v>3204</v>
      </c>
      <c r="D1135" s="21">
        <v>669</v>
      </c>
      <c r="E1135" s="21" t="str">
        <f>"1000000665"</f>
        <v>1000000665</v>
      </c>
      <c r="F1135" s="21" t="str">
        <f>"TONER:HP Item # C8543X-HEW, Black Toner for Hewlett Packard Printers for HP All-in-One Printers LaserJet 9040mfp, 9050mfp, M9040mfp, M9050mfp and HP Laser Printers LaserJet 9000 Series, 9040mfp, 9050 Series, 9050mfp, M9040mfp, M9050mfp (yield 30k)"</f>
        <v>TONER:HP Item # C8543X-HEW, Black Toner for Hewlett Packard Printers for HP All-in-One Printers LaserJet 9040mfp, 9050mfp, M9040mfp, M9050mfp and HP Laser Printers LaserJet 9000 Series, 9040mfp, 9050 Series, 9050mfp, M9040mfp, M9050mfp (yield 30k)</v>
      </c>
      <c r="G1135" s="22" t="str">
        <f t="shared" si="84"/>
        <v>EA</v>
      </c>
      <c r="H1135" s="23">
        <v>305.99</v>
      </c>
      <c r="I1135" s="21" t="str">
        <f>"44103103"</f>
        <v>44103103</v>
      </c>
      <c r="J1135" s="25" t="s">
        <v>99</v>
      </c>
    </row>
    <row r="1136" spans="1:10" ht="39">
      <c r="A1136" s="24" t="s">
        <v>27</v>
      </c>
      <c r="B1136" s="21" t="s">
        <v>31</v>
      </c>
      <c r="C1136" s="21">
        <v>3204</v>
      </c>
      <c r="D1136" s="21">
        <v>670</v>
      </c>
      <c r="E1136" s="21" t="str">
        <f>"1000017339"</f>
        <v>1000017339</v>
      </c>
      <c r="F1136" s="21" t="str">
        <f>"TONER:HP Item # C8550A-HEW, HP Black toner for LJ 9500 Smart Print and 9500 All-in-one. Yield: 25k"</f>
        <v>TONER:HP Item # C8550A-HEW, HP Black toner for LJ 9500 Smart Print and 9500 All-in-one. Yield: 25k</v>
      </c>
      <c r="G1136" s="22" t="str">
        <f t="shared" si="84"/>
        <v>EA</v>
      </c>
      <c r="H1136" s="23">
        <v>169</v>
      </c>
      <c r="I1136" s="21" t="str">
        <f>"44103105"</f>
        <v>44103105</v>
      </c>
      <c r="J1136" s="25" t="s">
        <v>98</v>
      </c>
    </row>
    <row r="1137" spans="1:10" ht="26.25">
      <c r="A1137" s="9" t="s">
        <v>27</v>
      </c>
      <c r="B1137" s="2" t="s">
        <v>31</v>
      </c>
      <c r="C1137" s="2">
        <v>3204</v>
      </c>
      <c r="D1137" s="2">
        <v>671</v>
      </c>
      <c r="E1137" s="2" t="str">
        <f>"1000017340"</f>
        <v>1000017340</v>
      </c>
      <c r="F1137" s="2" t="str">
        <f>"TONER:HP Item # C8551A-HEW, HP Cyan toner for HP LJ 9500 Smart Print. Yields: 25k"</f>
        <v>TONER:HP Item # C8551A-HEW, HP Cyan toner for HP LJ 9500 Smart Print. Yields: 25k</v>
      </c>
      <c r="G1137" s="3" t="str">
        <f t="shared" si="84"/>
        <v>EA</v>
      </c>
      <c r="H1137" s="7">
        <v>344</v>
      </c>
      <c r="I1137" s="2" t="str">
        <f>"44103105"</f>
        <v>44103105</v>
      </c>
      <c r="J1137" s="10" t="s">
        <v>98</v>
      </c>
    </row>
    <row r="1138" spans="1:10" ht="26.25">
      <c r="A1138" s="24" t="s">
        <v>27</v>
      </c>
      <c r="B1138" s="21" t="s">
        <v>31</v>
      </c>
      <c r="C1138" s="21">
        <v>3204</v>
      </c>
      <c r="D1138" s="21">
        <v>672</v>
      </c>
      <c r="E1138" s="21" t="str">
        <f>"1000017341"</f>
        <v>1000017341</v>
      </c>
      <c r="F1138" s="21" t="str">
        <f>"TONER:HP Item # C8552A-HEW, HP Yellow Toner Cartridge for HP LaserJet 9500, (Yld 25k)"</f>
        <v>TONER:HP Item # C8552A-HEW, HP Yellow Toner Cartridge for HP LaserJet 9500, (Yld 25k)</v>
      </c>
      <c r="G1138" s="22" t="str">
        <f t="shared" si="84"/>
        <v>EA</v>
      </c>
      <c r="H1138" s="23">
        <v>344</v>
      </c>
      <c r="I1138" s="21" t="str">
        <f>"44103105"</f>
        <v>44103105</v>
      </c>
      <c r="J1138" s="25" t="s">
        <v>98</v>
      </c>
    </row>
    <row r="1139" spans="1:10" ht="26.25">
      <c r="A1139" s="9" t="s">
        <v>27</v>
      </c>
      <c r="B1139" s="2" t="s">
        <v>31</v>
      </c>
      <c r="C1139" s="2">
        <v>3204</v>
      </c>
      <c r="D1139" s="2">
        <v>673</v>
      </c>
      <c r="E1139" s="2" t="str">
        <f>"1000017342"</f>
        <v>1000017342</v>
      </c>
      <c r="F1139" s="2" t="str">
        <f>"TONER:HP Item # C8553A-HEW, HP Magenta Toner Cartridge for HP LaserJet 9500, (Yld 25k)"</f>
        <v>TONER:HP Item # C8553A-HEW, HP Magenta Toner Cartridge for HP LaserJet 9500, (Yld 25k)</v>
      </c>
      <c r="G1139" s="3" t="str">
        <f t="shared" si="84"/>
        <v>EA</v>
      </c>
      <c r="H1139" s="7">
        <v>344</v>
      </c>
      <c r="I1139" s="2" t="str">
        <f>"44103105"</f>
        <v>44103105</v>
      </c>
      <c r="J1139" s="10" t="s">
        <v>98</v>
      </c>
    </row>
    <row r="1140" spans="1:10" ht="39">
      <c r="A1140" s="9" t="s">
        <v>27</v>
      </c>
      <c r="B1140" s="2" t="s">
        <v>31</v>
      </c>
      <c r="C1140" s="2">
        <v>3204</v>
      </c>
      <c r="D1140" s="2">
        <v>674</v>
      </c>
      <c r="E1140" s="2" t="str">
        <f>"1000000928"</f>
        <v>1000000928</v>
      </c>
      <c r="F1140" s="2" t="str">
        <f>"TONER:HP Item # C9700A-HEW, Black Toner for Hewlett Packard Printers HP LaserJet 2500 Smart Print (Yld 5k)"</f>
        <v>TONER:HP Item # C9700A-HEW, Black Toner for Hewlett Packard Printers HP LaserJet 2500 Smart Print (Yld 5k)</v>
      </c>
      <c r="G1140" s="3" t="str">
        <f t="shared" si="84"/>
        <v>EA</v>
      </c>
      <c r="H1140" s="7">
        <v>92.66</v>
      </c>
      <c r="I1140" s="2" t="str">
        <f t="shared" ref="I1140:I1145" si="85">"44103103"</f>
        <v>44103103</v>
      </c>
      <c r="J1140" s="10" t="s">
        <v>99</v>
      </c>
    </row>
    <row r="1141" spans="1:10" ht="39">
      <c r="A1141" s="24" t="s">
        <v>27</v>
      </c>
      <c r="B1141" s="21" t="s">
        <v>31</v>
      </c>
      <c r="C1141" s="21">
        <v>3204</v>
      </c>
      <c r="D1141" s="21">
        <v>675</v>
      </c>
      <c r="E1141" s="21" t="str">
        <f>"1000000645"</f>
        <v>1000000645</v>
      </c>
      <c r="F1141" s="21" t="str">
        <f>"TONER:HP Item # C9701A-HEW, Cyan Toner for Hewlett Packard Printers HP LaserJet 2500 Smart Print (Yld 5k)"</f>
        <v>TONER:HP Item # C9701A-HEW, Cyan Toner for Hewlett Packard Printers HP LaserJet 2500 Smart Print (Yld 5k)</v>
      </c>
      <c r="G1141" s="22" t="str">
        <f t="shared" si="84"/>
        <v>EA</v>
      </c>
      <c r="H1141" s="23">
        <v>112.99</v>
      </c>
      <c r="I1141" s="21" t="str">
        <f t="shared" si="85"/>
        <v>44103103</v>
      </c>
      <c r="J1141" s="25" t="s">
        <v>99</v>
      </c>
    </row>
    <row r="1142" spans="1:10" ht="39">
      <c r="A1142" s="9" t="s">
        <v>27</v>
      </c>
      <c r="B1142" s="2" t="s">
        <v>31</v>
      </c>
      <c r="C1142" s="2">
        <v>3204</v>
      </c>
      <c r="D1142" s="2">
        <v>676</v>
      </c>
      <c r="E1142" s="2" t="str">
        <f>"1000000646"</f>
        <v>1000000646</v>
      </c>
      <c r="F1142" s="2" t="str">
        <f>"TONER:HP Item # C9702A-HEW, Yellow Toner for Hewlett Packard Printers HP LaserJet 2500 Smart Print (Yld 5k)"</f>
        <v>TONER:HP Item # C9702A-HEW, Yellow Toner for Hewlett Packard Printers HP LaserJet 2500 Smart Print (Yld 5k)</v>
      </c>
      <c r="G1142" s="3" t="str">
        <f t="shared" si="84"/>
        <v>EA</v>
      </c>
      <c r="H1142" s="7">
        <v>112.99</v>
      </c>
      <c r="I1142" s="2" t="str">
        <f t="shared" si="85"/>
        <v>44103103</v>
      </c>
      <c r="J1142" s="10" t="s">
        <v>99</v>
      </c>
    </row>
    <row r="1143" spans="1:10" ht="39">
      <c r="A1143" s="24" t="s">
        <v>27</v>
      </c>
      <c r="B1143" s="21" t="s">
        <v>31</v>
      </c>
      <c r="C1143" s="21">
        <v>3204</v>
      </c>
      <c r="D1143" s="21">
        <v>677</v>
      </c>
      <c r="E1143" s="21" t="str">
        <f>"1000000572"</f>
        <v>1000000572</v>
      </c>
      <c r="F1143" s="21" t="str">
        <f>"TONER:HP Item # C9703A-HEW, Magenta Toner for Hewlett Packard Printers HP LaserJet 2500 Smart Print (Yld 5k)"</f>
        <v>TONER:HP Item # C9703A-HEW, Magenta Toner for Hewlett Packard Printers HP LaserJet 2500 Smart Print (Yld 5k)</v>
      </c>
      <c r="G1143" s="22" t="str">
        <f t="shared" si="84"/>
        <v>EA</v>
      </c>
      <c r="H1143" s="23">
        <v>112.99</v>
      </c>
      <c r="I1143" s="21" t="str">
        <f t="shared" si="85"/>
        <v>44103103</v>
      </c>
      <c r="J1143" s="25" t="s">
        <v>99</v>
      </c>
    </row>
    <row r="1144" spans="1:10" ht="39">
      <c r="A1144" s="9" t="s">
        <v>27</v>
      </c>
      <c r="B1144" s="2" t="s">
        <v>31</v>
      </c>
      <c r="C1144" s="2">
        <v>3204</v>
      </c>
      <c r="D1144" s="2">
        <v>678</v>
      </c>
      <c r="E1144" s="2" t="str">
        <f>"1000000357"</f>
        <v>1000000357</v>
      </c>
      <c r="F1144" s="2" t="str">
        <f>"TONER:HP Item # C9720A-BC, Brand compatible Black Toner for Hewlett Packard Printers Color LaserJet 4600 (Yld 9k)"</f>
        <v>TONER:HP Item # C9720A-BC, Brand compatible Black Toner for Hewlett Packard Printers Color LaserJet 4600 (Yld 9k)</v>
      </c>
      <c r="G1144" s="3" t="str">
        <f t="shared" si="84"/>
        <v>EA</v>
      </c>
      <c r="H1144" s="7">
        <v>129</v>
      </c>
      <c r="I1144" s="2" t="str">
        <f t="shared" si="85"/>
        <v>44103103</v>
      </c>
      <c r="J1144" s="10" t="s">
        <v>99</v>
      </c>
    </row>
    <row r="1145" spans="1:10" ht="39">
      <c r="A1145" s="24" t="s">
        <v>27</v>
      </c>
      <c r="B1145" s="21" t="s">
        <v>31</v>
      </c>
      <c r="C1145" s="21">
        <v>3204</v>
      </c>
      <c r="D1145" s="21">
        <v>679</v>
      </c>
      <c r="E1145" s="21" t="str">
        <f>"1000000062"</f>
        <v>1000000062</v>
      </c>
      <c r="F1145" s="21" t="str">
        <f>"TONER:HP Item # C9720A-HEW, Black Toner for Hewlett Packard Printers Color LaserJet 4600 (Yld 9k)"</f>
        <v>TONER:HP Item # C9720A-HEW, Black Toner for Hewlett Packard Printers Color LaserJet 4600 (Yld 9k)</v>
      </c>
      <c r="G1145" s="22" t="str">
        <f t="shared" si="84"/>
        <v>EA</v>
      </c>
      <c r="H1145" s="23">
        <v>202.99</v>
      </c>
      <c r="I1145" s="21" t="str">
        <f t="shared" si="85"/>
        <v>44103103</v>
      </c>
      <c r="J1145" s="25" t="s">
        <v>99</v>
      </c>
    </row>
    <row r="1146" spans="1:10" ht="26.25">
      <c r="A1146" s="24" t="s">
        <v>27</v>
      </c>
      <c r="B1146" s="21" t="s">
        <v>31</v>
      </c>
      <c r="C1146" s="21">
        <v>3204</v>
      </c>
      <c r="D1146" s="21">
        <v>680</v>
      </c>
      <c r="E1146" s="21" t="str">
        <f>"1000017395"</f>
        <v>1000017395</v>
      </c>
      <c r="F1146" s="21" t="str">
        <f>"TONER:HP Item # C9721A-BC, Brand Compatible Cyan toner for Color LaserJet 4600"</f>
        <v>TONER:HP Item # C9721A-BC, Brand Compatible Cyan toner for Color LaserJet 4600</v>
      </c>
      <c r="G1146" s="22" t="str">
        <f t="shared" si="84"/>
        <v>EA</v>
      </c>
      <c r="H1146" s="23">
        <v>178</v>
      </c>
      <c r="I1146" s="21" t="str">
        <f>"44103105"</f>
        <v>44103105</v>
      </c>
      <c r="J1146" s="25" t="s">
        <v>98</v>
      </c>
    </row>
    <row r="1147" spans="1:10" ht="39">
      <c r="A1147" s="9" t="s">
        <v>27</v>
      </c>
      <c r="B1147" s="2" t="s">
        <v>31</v>
      </c>
      <c r="C1147" s="2">
        <v>3204</v>
      </c>
      <c r="D1147" s="2">
        <v>681</v>
      </c>
      <c r="E1147" s="2" t="str">
        <f>"1000001854"</f>
        <v>1000001854</v>
      </c>
      <c r="F1147" s="2" t="str">
        <f>"TONER:HP Item # C9721A-HEW, Cyan Toner for Hewlett Packard Printers Color LaserJet 4600 (Yld 8k)"</f>
        <v>TONER:HP Item # C9721A-HEW, Cyan Toner for Hewlett Packard Printers Color LaserJet 4600 (Yld 8k)</v>
      </c>
      <c r="G1147" s="3" t="str">
        <f t="shared" si="84"/>
        <v>EA</v>
      </c>
      <c r="H1147" s="7">
        <v>274.99</v>
      </c>
      <c r="I1147" s="2" t="str">
        <f>"44103103"</f>
        <v>44103103</v>
      </c>
      <c r="J1147" s="10" t="s">
        <v>99</v>
      </c>
    </row>
    <row r="1148" spans="1:10" ht="39">
      <c r="A1148" s="9" t="s">
        <v>27</v>
      </c>
      <c r="B1148" s="2" t="s">
        <v>31</v>
      </c>
      <c r="C1148" s="2">
        <v>3204</v>
      </c>
      <c r="D1148" s="2">
        <v>682</v>
      </c>
      <c r="E1148" s="2" t="str">
        <f>"1000017421"</f>
        <v>1000017421</v>
      </c>
      <c r="F1148" s="2" t="str">
        <f>"TONER:HP Item # C9722A-BC, Brand Compatible Yellow Toner Cartridge for Color LaserJet 4600"</f>
        <v>TONER:HP Item # C9722A-BC, Brand Compatible Yellow Toner Cartridge for Color LaserJet 4600</v>
      </c>
      <c r="G1148" s="3" t="str">
        <f t="shared" si="84"/>
        <v>EA</v>
      </c>
      <c r="H1148" s="7">
        <v>156</v>
      </c>
      <c r="I1148" s="2" t="str">
        <f>"44103105"</f>
        <v>44103105</v>
      </c>
      <c r="J1148" s="10" t="s">
        <v>98</v>
      </c>
    </row>
    <row r="1149" spans="1:10" ht="39">
      <c r="A1149" s="24" t="s">
        <v>27</v>
      </c>
      <c r="B1149" s="21" t="s">
        <v>31</v>
      </c>
      <c r="C1149" s="21">
        <v>3204</v>
      </c>
      <c r="D1149" s="21">
        <v>683</v>
      </c>
      <c r="E1149" s="21" t="str">
        <f>"1000000448"</f>
        <v>1000000448</v>
      </c>
      <c r="F1149" s="21" t="str">
        <f>"TONER:HP Item # C9722A-HEW, Yellow Toner for Hewlett Packard Printers Color LaserJet 4600 (Yld 8k)"</f>
        <v>TONER:HP Item # C9722A-HEW, Yellow Toner for Hewlett Packard Printers Color LaserJet 4600 (Yld 8k)</v>
      </c>
      <c r="G1149" s="22" t="str">
        <f t="shared" si="84"/>
        <v>EA</v>
      </c>
      <c r="H1149" s="23">
        <v>274.99</v>
      </c>
      <c r="I1149" s="21" t="str">
        <f>"44103103"</f>
        <v>44103103</v>
      </c>
      <c r="J1149" s="25" t="s">
        <v>99</v>
      </c>
    </row>
    <row r="1150" spans="1:10" ht="39">
      <c r="A1150" s="24" t="s">
        <v>27</v>
      </c>
      <c r="B1150" s="21" t="s">
        <v>31</v>
      </c>
      <c r="C1150" s="21">
        <v>3204</v>
      </c>
      <c r="D1150" s="21">
        <v>684</v>
      </c>
      <c r="E1150" s="21" t="str">
        <f>"1000017422"</f>
        <v>1000017422</v>
      </c>
      <c r="F1150" s="21" t="str">
        <f>"TONER:HP Item # C9723A-BC, Brand Compatible Magenta toner for Color LaserJet 4600 (Yld 8k)"</f>
        <v>TONER:HP Item # C9723A-BC, Brand Compatible Magenta toner for Color LaserJet 4600 (Yld 8k)</v>
      </c>
      <c r="G1150" s="22" t="str">
        <f t="shared" si="84"/>
        <v>EA</v>
      </c>
      <c r="H1150" s="23">
        <v>172</v>
      </c>
      <c r="I1150" s="21" t="str">
        <f>"44103105"</f>
        <v>44103105</v>
      </c>
      <c r="J1150" s="25" t="s">
        <v>98</v>
      </c>
    </row>
    <row r="1151" spans="1:10" ht="39">
      <c r="A1151" s="9" t="s">
        <v>27</v>
      </c>
      <c r="B1151" s="2" t="s">
        <v>31</v>
      </c>
      <c r="C1151" s="2">
        <v>3204</v>
      </c>
      <c r="D1151" s="2">
        <v>685</v>
      </c>
      <c r="E1151" s="2" t="str">
        <f>"1000001495"</f>
        <v>1000001495</v>
      </c>
      <c r="F1151" s="2" t="str">
        <f>"TONER:HP Item # C9723A-HEW, Magenta Toner for Hewlett Packard Printers Color LaserJet 4600 (Yld 8k)"</f>
        <v>TONER:HP Item # C9723A-HEW, Magenta Toner for Hewlett Packard Printers Color LaserJet 4600 (Yld 8k)</v>
      </c>
      <c r="G1151" s="3" t="str">
        <f t="shared" ref="G1151:G1166" si="86">"EA"</f>
        <v>EA</v>
      </c>
      <c r="H1151" s="7">
        <v>274.99</v>
      </c>
      <c r="I1151" s="2" t="str">
        <f>"44103103"</f>
        <v>44103103</v>
      </c>
      <c r="J1151" s="10" t="s">
        <v>99</v>
      </c>
    </row>
    <row r="1152" spans="1:10" ht="39">
      <c r="A1152" s="24" t="s">
        <v>27</v>
      </c>
      <c r="B1152" s="21" t="s">
        <v>31</v>
      </c>
      <c r="C1152" s="21">
        <v>3204</v>
      </c>
      <c r="D1152" s="21">
        <v>686</v>
      </c>
      <c r="E1152" s="21" t="str">
        <f>"1000000106"</f>
        <v>1000000106</v>
      </c>
      <c r="F1152" s="21" t="str">
        <f>"TONER:HP Item # C9730A-HEW, Black toner for HP Laser Printers Color LaserJet 5500 Series, Color LaserJet 5550 Series (Yld 13k)"</f>
        <v>TONER:HP Item # C9730A-HEW, Black toner for HP Laser Printers Color LaserJet 5500 Series, Color LaserJet 5550 Series (Yld 13k)</v>
      </c>
      <c r="G1152" s="22" t="str">
        <f t="shared" si="86"/>
        <v>EA</v>
      </c>
      <c r="H1152" s="23">
        <v>281.99</v>
      </c>
      <c r="I1152" s="21" t="str">
        <f>"44103103"</f>
        <v>44103103</v>
      </c>
      <c r="J1152" s="25" t="s">
        <v>99</v>
      </c>
    </row>
    <row r="1153" spans="1:10" ht="39">
      <c r="A1153" s="9" t="s">
        <v>27</v>
      </c>
      <c r="B1153" s="2" t="s">
        <v>31</v>
      </c>
      <c r="C1153" s="2">
        <v>3204</v>
      </c>
      <c r="D1153" s="2">
        <v>687</v>
      </c>
      <c r="E1153" s="2" t="str">
        <f>"1000000107"</f>
        <v>1000000107</v>
      </c>
      <c r="F1153" s="2" t="str">
        <f>"TONER:HP Item # C9731A-HEW, Cyan toner for HP Laser Printers Color LaserJet 5500 Smart Print,Series (Yld 12k)"</f>
        <v>TONER:HP Item # C9731A-HEW, Cyan toner for HP Laser Printers Color LaserJet 5500 Smart Print,Series (Yld 12k)</v>
      </c>
      <c r="G1153" s="3" t="str">
        <f t="shared" si="86"/>
        <v>EA</v>
      </c>
      <c r="H1153" s="7">
        <v>393.99</v>
      </c>
      <c r="I1153" s="2" t="str">
        <f>"44103103"</f>
        <v>44103103</v>
      </c>
      <c r="J1153" s="10" t="s">
        <v>99</v>
      </c>
    </row>
    <row r="1154" spans="1:10" ht="39">
      <c r="A1154" s="24" t="s">
        <v>27</v>
      </c>
      <c r="B1154" s="21" t="s">
        <v>31</v>
      </c>
      <c r="C1154" s="21">
        <v>3204</v>
      </c>
      <c r="D1154" s="21">
        <v>688</v>
      </c>
      <c r="E1154" s="21" t="str">
        <f>"1000000050"</f>
        <v>1000000050</v>
      </c>
      <c r="F1154" s="21" t="str">
        <f>"TONER:HP:HP Item # C9732A-HEW, Yellow toner for HP Laser Printers Color LaserJet 5500 Smart Print,Series (Yld 12k)"</f>
        <v>TONER:HP:HP Item # C9732A-HEW, Yellow toner for HP Laser Printers Color LaserJet 5500 Smart Print,Series (Yld 12k)</v>
      </c>
      <c r="G1154" s="22" t="str">
        <f t="shared" si="86"/>
        <v>EA</v>
      </c>
      <c r="H1154" s="23">
        <v>393.99</v>
      </c>
      <c r="I1154" s="21" t="str">
        <f>"44103103"</f>
        <v>44103103</v>
      </c>
      <c r="J1154" s="25" t="s">
        <v>99</v>
      </c>
    </row>
    <row r="1155" spans="1:10" ht="39">
      <c r="A1155" s="9" t="s">
        <v>27</v>
      </c>
      <c r="B1155" s="2" t="s">
        <v>31</v>
      </c>
      <c r="C1155" s="2">
        <v>3204</v>
      </c>
      <c r="D1155" s="2">
        <v>689</v>
      </c>
      <c r="E1155" s="2" t="str">
        <f>"1000000049"</f>
        <v>1000000049</v>
      </c>
      <c r="F1155" s="2" t="str">
        <f>"TONER:HP:HP Item # C9733A-HEW, Magenta toner for HP Laser Printers Color LaserJet 5500 Smart Print,Series (Yld 12k)"</f>
        <v>TONER:HP:HP Item # C9733A-HEW, Magenta toner for HP Laser Printers Color LaserJet 5500 Smart Print,Series (Yld 12k)</v>
      </c>
      <c r="G1155" s="3" t="str">
        <f t="shared" si="86"/>
        <v>EA</v>
      </c>
      <c r="H1155" s="7">
        <v>393.99</v>
      </c>
      <c r="I1155" s="2" t="str">
        <f>"44103103"</f>
        <v>44103103</v>
      </c>
      <c r="J1155" s="10" t="s">
        <v>99</v>
      </c>
    </row>
    <row r="1156" spans="1:10" ht="51.75">
      <c r="A1156" s="9" t="s">
        <v>27</v>
      </c>
      <c r="B1156" s="2" t="s">
        <v>31</v>
      </c>
      <c r="C1156" s="2">
        <v>3204</v>
      </c>
      <c r="D1156" s="2">
        <v>690</v>
      </c>
      <c r="E1156" s="2" t="str">
        <f>"1000017417"</f>
        <v>1000017417</v>
      </c>
      <c r="F1156" s="2" t="str">
        <f>"TONER:HP Item # CB400A-HEW, HP Laserjet Colorsphere Black print cartridge for HP Color LaserJet CP4005/ CP4005dn/ CP4005n Printers. Page Yield: 7,500 pages"</f>
        <v>TONER:HP Item # CB400A-HEW, HP Laserjet Colorsphere Black print cartridge for HP Color LaserJet CP4005/ CP4005dn/ CP4005n Printers. Page Yield: 7,500 pages</v>
      </c>
      <c r="G1156" s="3" t="str">
        <f t="shared" si="86"/>
        <v>EA</v>
      </c>
      <c r="H1156" s="7">
        <v>182.99</v>
      </c>
      <c r="I1156" s="2" t="str">
        <f t="shared" ref="I1156:I1161" si="87">"44103105"</f>
        <v>44103105</v>
      </c>
      <c r="J1156" s="10" t="s">
        <v>98</v>
      </c>
    </row>
    <row r="1157" spans="1:10" ht="51.75">
      <c r="A1157" s="24" t="s">
        <v>27</v>
      </c>
      <c r="B1157" s="21" t="s">
        <v>31</v>
      </c>
      <c r="C1157" s="21">
        <v>3204</v>
      </c>
      <c r="D1157" s="21">
        <v>691</v>
      </c>
      <c r="E1157" s="21" t="str">
        <f>"1000017418"</f>
        <v>1000017418</v>
      </c>
      <c r="F1157" s="21" t="str">
        <f>"TONER:HP Item # CB401A-HEW, HP Laserjet Colorsphere Cyan print cartridge for HP Color LaserJet CP4005/ CP4005dn/ CP4005n Printers. Page Yield: 7,500 pages"</f>
        <v>TONER:HP Item # CB401A-HEW, HP Laserjet Colorsphere Cyan print cartridge for HP Color LaserJet CP4005/ CP4005dn/ CP4005n Printers. Page Yield: 7,500 pages</v>
      </c>
      <c r="G1157" s="22" t="str">
        <f t="shared" si="86"/>
        <v>EA</v>
      </c>
      <c r="H1157" s="23">
        <v>271.99</v>
      </c>
      <c r="I1157" s="21" t="str">
        <f t="shared" si="87"/>
        <v>44103105</v>
      </c>
      <c r="J1157" s="25" t="s">
        <v>98</v>
      </c>
    </row>
    <row r="1158" spans="1:10" ht="51.75">
      <c r="A1158" s="9" t="s">
        <v>27</v>
      </c>
      <c r="B1158" s="2" t="s">
        <v>31</v>
      </c>
      <c r="C1158" s="2">
        <v>3204</v>
      </c>
      <c r="D1158" s="2">
        <v>692</v>
      </c>
      <c r="E1158" s="2" t="str">
        <f>"1000017419"</f>
        <v>1000017419</v>
      </c>
      <c r="F1158" s="2" t="str">
        <f>"TONER:HP Item # CB402A-HEW, HP Laserjet Yellow color laser jet print cartridge for HP Color LaserJet CP4005, CP4005n, CP4005dn (Yld 7.5k)"</f>
        <v>TONER:HP Item # CB402A-HEW, HP Laserjet Yellow color laser jet print cartridge for HP Color LaserJet CP4005, CP4005n, CP4005dn (Yld 7.5k)</v>
      </c>
      <c r="G1158" s="3" t="str">
        <f t="shared" si="86"/>
        <v>EA</v>
      </c>
      <c r="H1158" s="7">
        <v>271.99</v>
      </c>
      <c r="I1158" s="2" t="str">
        <f t="shared" si="87"/>
        <v>44103105</v>
      </c>
      <c r="J1158" s="10" t="s">
        <v>98</v>
      </c>
    </row>
    <row r="1159" spans="1:10" ht="51.75">
      <c r="A1159" s="24" t="s">
        <v>27</v>
      </c>
      <c r="B1159" s="21" t="s">
        <v>31</v>
      </c>
      <c r="C1159" s="21">
        <v>3204</v>
      </c>
      <c r="D1159" s="21">
        <v>693</v>
      </c>
      <c r="E1159" s="21" t="str">
        <f>"1000017420"</f>
        <v>1000017420</v>
      </c>
      <c r="F1159" s="21" t="str">
        <f>"TONER:HP Item # CB403A-HEW, HP Laserjet CB400 Colorsphere Magenta print cartridge for HP Color LaserJet CP4005/ CP4005dn/ CP4005n Printers. Page Yield: 7,500 pages"</f>
        <v>TONER:HP Item # CB403A-HEW, HP Laserjet CB400 Colorsphere Magenta print cartridge for HP Color LaserJet CP4005/ CP4005dn/ CP4005n Printers. Page Yield: 7,500 pages</v>
      </c>
      <c r="G1159" s="22" t="str">
        <f t="shared" si="86"/>
        <v>EA</v>
      </c>
      <c r="H1159" s="23">
        <v>271.99</v>
      </c>
      <c r="I1159" s="21" t="str">
        <f t="shared" si="87"/>
        <v>44103105</v>
      </c>
      <c r="J1159" s="25" t="s">
        <v>98</v>
      </c>
    </row>
    <row r="1160" spans="1:10" ht="39">
      <c r="A1160" s="9" t="s">
        <v>27</v>
      </c>
      <c r="B1160" s="2" t="s">
        <v>31</v>
      </c>
      <c r="C1160" s="2">
        <v>3204</v>
      </c>
      <c r="D1160" s="2">
        <v>694</v>
      </c>
      <c r="E1160" s="2" t="str">
        <f>"1000017446"</f>
        <v>1000017446</v>
      </c>
      <c r="F1160" s="2" t="str">
        <f>"TONER:HP Item # CB435A-HEW, HP 35A Black Laser cartridge works with HP LaserJet P1005/P1006 printers. (Yld 1.5k)"</f>
        <v>TONER:HP Item # CB435A-HEW, HP 35A Black Laser cartridge works with HP LaserJet P1005/P1006 printers. (Yld 1.5k)</v>
      </c>
      <c r="G1160" s="3" t="str">
        <f t="shared" si="86"/>
        <v>EA</v>
      </c>
      <c r="H1160" s="7">
        <v>68.989999999999995</v>
      </c>
      <c r="I1160" s="2" t="str">
        <f t="shared" si="87"/>
        <v>44103105</v>
      </c>
      <c r="J1160" s="10" t="s">
        <v>98</v>
      </c>
    </row>
    <row r="1161" spans="1:10" ht="39">
      <c r="A1161" s="24" t="s">
        <v>27</v>
      </c>
      <c r="B1161" s="21" t="s">
        <v>31</v>
      </c>
      <c r="C1161" s="21">
        <v>3204</v>
      </c>
      <c r="D1161" s="21">
        <v>695</v>
      </c>
      <c r="E1161" s="21" t="str">
        <f>"1000017447"</f>
        <v>1000017447</v>
      </c>
      <c r="F1161" s="21" t="str">
        <f>"TONER:HP Item # CB436A-HEW, HP36A Black Print Cartridge for Laserjet P1505/P1505n, M1522 (Yld 2k)"</f>
        <v>TONER:HP Item # CB436A-HEW, HP36A Black Print Cartridge for Laserjet P1505/P1505n, M1522 (Yld 2k)</v>
      </c>
      <c r="G1161" s="22" t="str">
        <f t="shared" si="86"/>
        <v>EA</v>
      </c>
      <c r="H1161" s="23">
        <v>79.989999999999995</v>
      </c>
      <c r="I1161" s="21" t="str">
        <f t="shared" si="87"/>
        <v>44103105</v>
      </c>
      <c r="J1161" s="25" t="s">
        <v>98</v>
      </c>
    </row>
    <row r="1162" spans="1:10" ht="39">
      <c r="A1162" s="9" t="s">
        <v>27</v>
      </c>
      <c r="B1162" s="2" t="s">
        <v>31</v>
      </c>
      <c r="C1162" s="2">
        <v>3204</v>
      </c>
      <c r="D1162" s="2">
        <v>696</v>
      </c>
      <c r="E1162" s="2" t="str">
        <f>"1000001913"</f>
        <v>1000001913</v>
      </c>
      <c r="F1162" s="2" t="str">
        <f>"TONER:HP Item # CB540A Black Toner for Color LaserJet CP1515N, CP1518NI, CP1215, CM1312 MFP printers (Yld 2.2k)"</f>
        <v>TONER:HP Item # CB540A Black Toner for Color LaserJet CP1515N, CP1518NI, CP1215, CM1312 MFP printers (Yld 2.2k)</v>
      </c>
      <c r="G1162" s="3" t="str">
        <f t="shared" si="86"/>
        <v>EA</v>
      </c>
      <c r="H1162" s="7">
        <v>79.989999999999995</v>
      </c>
      <c r="I1162" s="2" t="str">
        <f>"44103103"</f>
        <v>44103103</v>
      </c>
      <c r="J1162" s="10" t="s">
        <v>98</v>
      </c>
    </row>
    <row r="1163" spans="1:10" ht="39">
      <c r="A1163" s="24" t="s">
        <v>27</v>
      </c>
      <c r="B1163" s="21" t="s">
        <v>31</v>
      </c>
      <c r="C1163" s="21">
        <v>3204</v>
      </c>
      <c r="D1163" s="21">
        <v>697</v>
      </c>
      <c r="E1163" s="21" t="str">
        <f>"1000017448"</f>
        <v>1000017448</v>
      </c>
      <c r="F1163" s="21" t="str">
        <f>"TONER:HP Item # CB541A-HEW, HP Cyan toner for Color LaserJet CP1515N, CP1518NI, CP1215, CM1312 MFP printers, (Yld 1.4k)"</f>
        <v>TONER:HP Item # CB541A-HEW, HP Cyan toner for Color LaserJet CP1515N, CP1518NI, CP1215, CM1312 MFP printers, (Yld 1.4k)</v>
      </c>
      <c r="G1163" s="22" t="str">
        <f t="shared" si="86"/>
        <v>EA</v>
      </c>
      <c r="H1163" s="23">
        <v>72.989999999999995</v>
      </c>
      <c r="I1163" s="21" t="str">
        <f>"44103105"</f>
        <v>44103105</v>
      </c>
      <c r="J1163" s="25" t="s">
        <v>98</v>
      </c>
    </row>
    <row r="1164" spans="1:10" ht="39">
      <c r="A1164" s="24" t="s">
        <v>27</v>
      </c>
      <c r="B1164" s="21" t="s">
        <v>31</v>
      </c>
      <c r="C1164" s="21">
        <v>3204</v>
      </c>
      <c r="D1164" s="21">
        <v>698</v>
      </c>
      <c r="E1164" s="21" t="str">
        <f>"1000001914"</f>
        <v>1000001914</v>
      </c>
      <c r="F1164" s="21" t="str">
        <f>"TONER:HP Item # CB542A-HEW, Yellow Toner for Color LaserJet CP1515N, CP1518NI, CP1215, CM1312 MFP printers (Yld 1.4k)"</f>
        <v>TONER:HP Item # CB542A-HEW, Yellow Toner for Color LaserJet CP1515N, CP1518NI, CP1215, CM1312 MFP printers (Yld 1.4k)</v>
      </c>
      <c r="G1164" s="22" t="str">
        <f t="shared" si="86"/>
        <v>EA</v>
      </c>
      <c r="H1164" s="23">
        <v>72.989999999999995</v>
      </c>
      <c r="I1164" s="21" t="str">
        <f>"44103103"</f>
        <v>44103103</v>
      </c>
      <c r="J1164" s="25" t="s">
        <v>99</v>
      </c>
    </row>
    <row r="1165" spans="1:10" ht="39">
      <c r="A1165" s="9" t="s">
        <v>27</v>
      </c>
      <c r="B1165" s="2" t="s">
        <v>31</v>
      </c>
      <c r="C1165" s="2">
        <v>3204</v>
      </c>
      <c r="D1165" s="2">
        <v>699</v>
      </c>
      <c r="E1165" s="2" t="str">
        <f>"1000017449"</f>
        <v>1000017449</v>
      </c>
      <c r="F1165" s="2" t="str">
        <f>"TONER:HP Item # CB543A-HEW, HP Magenta toner for Color LaserJet CP1515N, CP1518NI, CP1215, CM1312 MFP printers, (Yld 1.4k)"</f>
        <v>TONER:HP Item # CB543A-HEW, HP Magenta toner for Color LaserJet CP1515N, CP1518NI, CP1215, CM1312 MFP printers, (Yld 1.4k)</v>
      </c>
      <c r="G1165" s="3" t="str">
        <f t="shared" si="86"/>
        <v>EA</v>
      </c>
      <c r="H1165" s="7">
        <v>72.989999999999995</v>
      </c>
      <c r="I1165" s="2" t="str">
        <f>"44103105"</f>
        <v>44103105</v>
      </c>
      <c r="J1165" s="10" t="s">
        <v>98</v>
      </c>
    </row>
    <row r="1166" spans="1:10" ht="39">
      <c r="A1166" s="24" t="s">
        <v>27</v>
      </c>
      <c r="B1166" s="21" t="s">
        <v>31</v>
      </c>
      <c r="C1166" s="21">
        <v>3204</v>
      </c>
      <c r="D1166" s="21">
        <v>700</v>
      </c>
      <c r="E1166" s="21" t="str">
        <f>"1000017450"</f>
        <v>1000017450</v>
      </c>
      <c r="F1166" s="21" t="str">
        <f>"TONER:HP Item # CC364A-HEW, HP Black toner cartridge for Laserjet P4014, P4015 and P4515 series printers, (Yld 10k)"</f>
        <v>TONER:HP Item # CC364A-HEW, HP Black toner cartridge for Laserjet P4014, P4015 and P4515 series printers, (Yld 10k)</v>
      </c>
      <c r="G1166" s="22" t="str">
        <f t="shared" si="86"/>
        <v>EA</v>
      </c>
      <c r="H1166" s="23">
        <v>175.99</v>
      </c>
      <c r="I1166" s="21" t="str">
        <f>"44103105"</f>
        <v>44103105</v>
      </c>
      <c r="J1166" s="25" t="s">
        <v>98</v>
      </c>
    </row>
    <row r="1167" spans="1:10" ht="39">
      <c r="A1167" s="9" t="s">
        <v>27</v>
      </c>
      <c r="B1167" s="2" t="s">
        <v>31</v>
      </c>
      <c r="C1167" s="2">
        <v>3204</v>
      </c>
      <c r="D1167" s="2">
        <v>701</v>
      </c>
      <c r="E1167" s="2" t="str">
        <f>"1000017451"</f>
        <v>1000017451</v>
      </c>
      <c r="F1167" s="2" t="str">
        <f>"TONER:HP Item # CC530AD-HEW, HP Black colorsphere toner cartridge, 2 per package, (Yld 7k) for CP2025 and CM2320 MFP printers"</f>
        <v>TONER:HP Item # CC530AD-HEW, HP Black colorsphere toner cartridge, 2 per package, (Yld 7k) for CP2025 and CM2320 MFP printers</v>
      </c>
      <c r="G1167" s="3" t="str">
        <f>"PK"</f>
        <v>PK</v>
      </c>
      <c r="H1167" s="7">
        <v>177.99</v>
      </c>
      <c r="I1167" s="2" t="str">
        <f>"44103103"</f>
        <v>44103103</v>
      </c>
      <c r="J1167" s="10" t="s">
        <v>99</v>
      </c>
    </row>
    <row r="1168" spans="1:10" ht="39">
      <c r="A1168" s="9" t="s">
        <v>27</v>
      </c>
      <c r="B1168" s="2" t="s">
        <v>31</v>
      </c>
      <c r="C1168" s="2">
        <v>3204</v>
      </c>
      <c r="D1168" s="2">
        <v>702</v>
      </c>
      <c r="E1168" s="2" t="str">
        <f>"1000017426"</f>
        <v>1000017426</v>
      </c>
      <c r="F1168" s="2" t="str">
        <f>"TONER:HP Item # CC530A-HEW, HP Black Toner Cartridge Color LaserJet CP2025/CM2320 MFP (Yld 3.5)"</f>
        <v>TONER:HP Item # CC530A-HEW, HP Black Toner Cartridge Color LaserJet CP2025/CM2320 MFP (Yld 3.5)</v>
      </c>
      <c r="G1168" s="3" t="str">
        <f t="shared" ref="G1168:G1199" si="88">"EA"</f>
        <v>EA</v>
      </c>
      <c r="H1168" s="7">
        <v>124.99</v>
      </c>
      <c r="I1168" s="2" t="str">
        <f t="shared" ref="I1168:I1178" si="89">"44103105"</f>
        <v>44103105</v>
      </c>
      <c r="J1168" s="10" t="s">
        <v>98</v>
      </c>
    </row>
    <row r="1169" spans="1:10" ht="39">
      <c r="A1169" s="24" t="s">
        <v>27</v>
      </c>
      <c r="B1169" s="21" t="s">
        <v>31</v>
      </c>
      <c r="C1169" s="21">
        <v>3204</v>
      </c>
      <c r="D1169" s="21">
        <v>703</v>
      </c>
      <c r="E1169" s="21" t="str">
        <f>"1000017427"</f>
        <v>1000017427</v>
      </c>
      <c r="F1169" s="21" t="str">
        <f>"TONER:HP Item # CC531A-HEW, HP Cyan Print Cartridge for Color LaserJet CP2025/CM2320 MFP (Yld 2.8k)"</f>
        <v>TONER:HP Item # CC531A-HEW, HP Cyan Print Cartridge for Color LaserJet CP2025/CM2320 MFP (Yld 2.8k)</v>
      </c>
      <c r="G1169" s="22" t="str">
        <f t="shared" si="88"/>
        <v>EA</v>
      </c>
      <c r="H1169" s="23">
        <v>122.99</v>
      </c>
      <c r="I1169" s="21" t="str">
        <f t="shared" si="89"/>
        <v>44103105</v>
      </c>
      <c r="J1169" s="25" t="s">
        <v>98</v>
      </c>
    </row>
    <row r="1170" spans="1:10" ht="39">
      <c r="A1170" s="9" t="s">
        <v>27</v>
      </c>
      <c r="B1170" s="2" t="s">
        <v>31</v>
      </c>
      <c r="C1170" s="2">
        <v>3204</v>
      </c>
      <c r="D1170" s="2">
        <v>704</v>
      </c>
      <c r="E1170" s="2" t="str">
        <f>"1000017428"</f>
        <v>1000017428</v>
      </c>
      <c r="F1170" s="2" t="str">
        <f>"TONER:HP Item # CC532A-HEW, HP Yellow Print Cartridge for Color LaserJet CP2025/ CM2320 MFP (Yld 2.8k)"</f>
        <v>TONER:HP Item # CC532A-HEW, HP Yellow Print Cartridge for Color LaserJet CP2025/ CM2320 MFP (Yld 2.8k)</v>
      </c>
      <c r="G1170" s="3" t="str">
        <f t="shared" si="88"/>
        <v>EA</v>
      </c>
      <c r="H1170" s="7">
        <v>122.99</v>
      </c>
      <c r="I1170" s="2" t="str">
        <f t="shared" si="89"/>
        <v>44103105</v>
      </c>
      <c r="J1170" s="10" t="s">
        <v>98</v>
      </c>
    </row>
    <row r="1171" spans="1:10" ht="39">
      <c r="A1171" s="24" t="s">
        <v>27</v>
      </c>
      <c r="B1171" s="21" t="s">
        <v>31</v>
      </c>
      <c r="C1171" s="21">
        <v>3204</v>
      </c>
      <c r="D1171" s="21">
        <v>705</v>
      </c>
      <c r="E1171" s="21" t="str">
        <f>"1000017429"</f>
        <v>1000017429</v>
      </c>
      <c r="F1171" s="21" t="str">
        <f>"TONER:HP Item # CC533A-HEW, HP Magenta Print Cartridge for Color LaserJet CP2025/CM2320 MFP (Yld 2.8k)"</f>
        <v>TONER:HP Item # CC533A-HEW, HP Magenta Print Cartridge for Color LaserJet CP2025/CM2320 MFP (Yld 2.8k)</v>
      </c>
      <c r="G1171" s="22" t="str">
        <f t="shared" si="88"/>
        <v>EA</v>
      </c>
      <c r="H1171" s="23">
        <v>122.99</v>
      </c>
      <c r="I1171" s="21" t="str">
        <f t="shared" si="89"/>
        <v>44103105</v>
      </c>
      <c r="J1171" s="25" t="s">
        <v>98</v>
      </c>
    </row>
    <row r="1172" spans="1:10" ht="39">
      <c r="A1172" s="9" t="s">
        <v>27</v>
      </c>
      <c r="B1172" s="2" t="s">
        <v>31</v>
      </c>
      <c r="C1172" s="2">
        <v>3204</v>
      </c>
      <c r="D1172" s="2">
        <v>706</v>
      </c>
      <c r="E1172" s="2" t="str">
        <f>"1000017441"</f>
        <v>1000017441</v>
      </c>
      <c r="F1172" s="2" t="str">
        <f>"TONER:HP Item # CE250X-HEW, HP Black laser toner cartridge, High capacity (Yld 10,500), for CM3530 and CP3525 MPF printers"</f>
        <v>TONER:HP Item # CE250X-HEW, HP Black laser toner cartridge, High capacity (Yld 10,500), for CM3530 and CP3525 MPF printers</v>
      </c>
      <c r="G1172" s="3" t="str">
        <f t="shared" si="88"/>
        <v>EA</v>
      </c>
      <c r="H1172" s="7">
        <v>215</v>
      </c>
      <c r="I1172" s="2" t="str">
        <f t="shared" si="89"/>
        <v>44103105</v>
      </c>
      <c r="J1172" s="10" t="s">
        <v>98</v>
      </c>
    </row>
    <row r="1173" spans="1:10" ht="39">
      <c r="A1173" s="24" t="s">
        <v>27</v>
      </c>
      <c r="B1173" s="21" t="s">
        <v>31</v>
      </c>
      <c r="C1173" s="21">
        <v>3204</v>
      </c>
      <c r="D1173" s="21">
        <v>707</v>
      </c>
      <c r="E1173" s="21" t="str">
        <f>"1000017442"</f>
        <v>1000017442</v>
      </c>
      <c r="F1173" s="21" t="str">
        <f>"TONER:HP Item # CE251A-HEW, HP Cyan laser toner cartridge,(Yld 7k) for CM3530 and CP3525 printers"</f>
        <v>TONER:HP Item # CE251A-HEW, HP Cyan laser toner cartridge,(Yld 7k) for CM3530 and CP3525 printers</v>
      </c>
      <c r="G1173" s="22" t="str">
        <f t="shared" si="88"/>
        <v>EA</v>
      </c>
      <c r="H1173" s="23">
        <v>269.99</v>
      </c>
      <c r="I1173" s="21" t="str">
        <f t="shared" si="89"/>
        <v>44103105</v>
      </c>
      <c r="J1173" s="25" t="s">
        <v>98</v>
      </c>
    </row>
    <row r="1174" spans="1:10" ht="39">
      <c r="A1174" s="9" t="s">
        <v>27</v>
      </c>
      <c r="B1174" s="2" t="s">
        <v>31</v>
      </c>
      <c r="C1174" s="2">
        <v>3204</v>
      </c>
      <c r="D1174" s="2">
        <v>708</v>
      </c>
      <c r="E1174" s="2" t="str">
        <f>"1000017443"</f>
        <v>1000017443</v>
      </c>
      <c r="F1174" s="2" t="str">
        <f>"TONER:HP Item # CE252A-HEW, HP Yellow laser toner cartridge, (Yld 7k) for CM3530 and CP3525 printers"</f>
        <v>TONER:HP Item # CE252A-HEW, HP Yellow laser toner cartridge, (Yld 7k) for CM3530 and CP3525 printers</v>
      </c>
      <c r="G1174" s="3" t="str">
        <f t="shared" si="88"/>
        <v>EA</v>
      </c>
      <c r="H1174" s="7">
        <v>269.99</v>
      </c>
      <c r="I1174" s="2" t="str">
        <f t="shared" si="89"/>
        <v>44103105</v>
      </c>
      <c r="J1174" s="10" t="s">
        <v>98</v>
      </c>
    </row>
    <row r="1175" spans="1:10" ht="39">
      <c r="A1175" s="24" t="s">
        <v>27</v>
      </c>
      <c r="B1175" s="21" t="s">
        <v>31</v>
      </c>
      <c r="C1175" s="21">
        <v>3204</v>
      </c>
      <c r="D1175" s="21">
        <v>709</v>
      </c>
      <c r="E1175" s="21" t="str">
        <f>"1000017444"</f>
        <v>1000017444</v>
      </c>
      <c r="F1175" s="21" t="str">
        <f>"TONER:HP Item # CE253A-HEW, HP Magenta laser toner cartridge, (Yld 7k) for CM3530 and CP3525 printers"</f>
        <v>TONER:HP Item # CE253A-HEW, HP Magenta laser toner cartridge, (Yld 7k) for CM3530 and CP3525 printers</v>
      </c>
      <c r="G1175" s="22" t="str">
        <f t="shared" si="88"/>
        <v>EA</v>
      </c>
      <c r="H1175" s="23">
        <v>269.99</v>
      </c>
      <c r="I1175" s="21" t="str">
        <f t="shared" si="89"/>
        <v>44103105</v>
      </c>
      <c r="J1175" s="25" t="s">
        <v>98</v>
      </c>
    </row>
    <row r="1176" spans="1:10" ht="51.75">
      <c r="A1176" s="9" t="s">
        <v>27</v>
      </c>
      <c r="B1176" s="2" t="s">
        <v>31</v>
      </c>
      <c r="C1176" s="2">
        <v>3204</v>
      </c>
      <c r="D1176" s="2">
        <v>710</v>
      </c>
      <c r="E1176" s="2" t="str">
        <f>"1000017445"</f>
        <v>1000017445</v>
      </c>
      <c r="F1176" s="2" t="str">
        <f>"TONER:HP Item # CE505A-HEW, HP laser toner, 2,300 page yield for Laserjet P2055x, P2055dn, P2055d, P2035n, and P2035 laser printers"</f>
        <v>TONER:HP Item # CE505A-HEW, HP laser toner, 2,300 page yield for Laserjet P2055x, P2055dn, P2055d, P2035n, and P2035 laser printers</v>
      </c>
      <c r="G1176" s="3" t="str">
        <f t="shared" si="88"/>
        <v>EA</v>
      </c>
      <c r="H1176" s="7">
        <v>90.99</v>
      </c>
      <c r="I1176" s="2" t="str">
        <f t="shared" si="89"/>
        <v>44103105</v>
      </c>
      <c r="J1176" s="10" t="s">
        <v>98</v>
      </c>
    </row>
    <row r="1177" spans="1:10" ht="26.25">
      <c r="A1177" s="24" t="s">
        <v>27</v>
      </c>
      <c r="B1177" s="21" t="s">
        <v>31</v>
      </c>
      <c r="C1177" s="21">
        <v>3204</v>
      </c>
      <c r="D1177" s="21">
        <v>711</v>
      </c>
      <c r="E1177" s="21" t="str">
        <f>"1000017471"</f>
        <v>1000017471</v>
      </c>
      <c r="F1177" s="21" t="str">
        <f>"TONER:HP Item # CE505X-HEW, HP Black Toner for P2055, high yield (Yld 6.5k)"</f>
        <v>TONER:HP Item # CE505X-HEW, HP Black Toner for P2055, high yield (Yld 6.5k)</v>
      </c>
      <c r="G1177" s="22" t="str">
        <f t="shared" si="88"/>
        <v>EA</v>
      </c>
      <c r="H1177" s="23">
        <v>165.99</v>
      </c>
      <c r="I1177" s="21" t="str">
        <f t="shared" si="89"/>
        <v>44103105</v>
      </c>
      <c r="J1177" s="25" t="s">
        <v>98</v>
      </c>
    </row>
    <row r="1178" spans="1:10" ht="39">
      <c r="A1178" s="9" t="s">
        <v>27</v>
      </c>
      <c r="B1178" s="2" t="s">
        <v>31</v>
      </c>
      <c r="C1178" s="2">
        <v>3204</v>
      </c>
      <c r="D1178" s="2">
        <v>712</v>
      </c>
      <c r="E1178" s="2" t="str">
        <f>"1000017472"</f>
        <v>1000017472</v>
      </c>
      <c r="F1178" s="2" t="str">
        <f>"TONER:HP Item # CE505X-MICR, Troy High Yield MICR (0281501001) for Hewlett Packard P2055 black (Yld 6.5k)"</f>
        <v>TONER:HP Item # CE505X-MICR, Troy High Yield MICR (0281501001) for Hewlett Packard P2055 black (Yld 6.5k)</v>
      </c>
      <c r="G1178" s="3" t="str">
        <f t="shared" si="88"/>
        <v>EA</v>
      </c>
      <c r="H1178" s="7">
        <v>301</v>
      </c>
      <c r="I1178" s="2" t="str">
        <f t="shared" si="89"/>
        <v>44103105</v>
      </c>
      <c r="J1178" s="10" t="s">
        <v>98</v>
      </c>
    </row>
    <row r="1179" spans="1:10" ht="39">
      <c r="A1179" s="24" t="s">
        <v>27</v>
      </c>
      <c r="B1179" s="21" t="s">
        <v>31</v>
      </c>
      <c r="C1179" s="21">
        <v>3204</v>
      </c>
      <c r="D1179" s="21">
        <v>713</v>
      </c>
      <c r="E1179" s="21" t="str">
        <f>"1000000284"</f>
        <v>1000000284</v>
      </c>
      <c r="F1179" s="21" t="str">
        <f>"TONER:HP Item # Q1338A-BC, Black, Brand Compatible Toner for Hewlett Packard Printers HP LaserJet 4200 Laser Toner Printers (Yld 12k)"</f>
        <v>TONER:HP Item # Q1338A-BC, Black, Brand Compatible Toner for Hewlett Packard Printers HP LaserJet 4200 Laser Toner Printers (Yld 12k)</v>
      </c>
      <c r="G1179" s="22" t="str">
        <f t="shared" si="88"/>
        <v>EA</v>
      </c>
      <c r="H1179" s="23">
        <v>152</v>
      </c>
      <c r="I1179" s="21" t="str">
        <f>"44103103"</f>
        <v>44103103</v>
      </c>
      <c r="J1179" s="25" t="s">
        <v>99</v>
      </c>
    </row>
    <row r="1180" spans="1:10" ht="39">
      <c r="A1180" s="24" t="s">
        <v>27</v>
      </c>
      <c r="B1180" s="21" t="s">
        <v>31</v>
      </c>
      <c r="C1180" s="21">
        <v>3204</v>
      </c>
      <c r="D1180" s="21">
        <v>714</v>
      </c>
      <c r="E1180" s="21" t="str">
        <f>"1000017473"</f>
        <v>1000017473</v>
      </c>
      <c r="F1180" s="21" t="str">
        <f>"TONER:HP Item # Q1338A-BCM, Brand Compatible MICR Blk Print Cartridge (02213815) for HP LJ 4200"</f>
        <v>TONER:HP Item # Q1338A-BCM, Brand Compatible MICR Blk Print Cartridge (02213815) for HP LJ 4200</v>
      </c>
      <c r="G1180" s="22" t="str">
        <f t="shared" si="88"/>
        <v>EA</v>
      </c>
      <c r="H1180" s="23">
        <v>273</v>
      </c>
      <c r="I1180" s="21" t="str">
        <f>"44103105"</f>
        <v>44103105</v>
      </c>
      <c r="J1180" s="25" t="s">
        <v>98</v>
      </c>
    </row>
    <row r="1181" spans="1:10" ht="26.25">
      <c r="A1181" s="9" t="s">
        <v>27</v>
      </c>
      <c r="B1181" s="2" t="s">
        <v>31</v>
      </c>
      <c r="C1181" s="2">
        <v>3204</v>
      </c>
      <c r="D1181" s="2">
        <v>715</v>
      </c>
      <c r="E1181" s="2" t="str">
        <f>"1000000285"</f>
        <v>1000000285</v>
      </c>
      <c r="F1181" s="2" t="str">
        <f>"TONER:HP Item # Q1338A-HEW, Black Toner for LaserJet 4200 Series (Yld 12k)"</f>
        <v>TONER:HP Item # Q1338A-HEW, Black Toner for LaserJet 4200 Series (Yld 12k)</v>
      </c>
      <c r="G1181" s="3" t="str">
        <f t="shared" si="88"/>
        <v>EA</v>
      </c>
      <c r="H1181" s="7">
        <v>175.99</v>
      </c>
      <c r="I1181" s="2" t="str">
        <f>"44103103"</f>
        <v>44103103</v>
      </c>
      <c r="J1181" s="10" t="s">
        <v>99</v>
      </c>
    </row>
    <row r="1182" spans="1:10" ht="39">
      <c r="A1182" s="9" t="s">
        <v>27</v>
      </c>
      <c r="B1182" s="2" t="s">
        <v>31</v>
      </c>
      <c r="C1182" s="2">
        <v>3204</v>
      </c>
      <c r="D1182" s="2">
        <v>716</v>
      </c>
      <c r="E1182" s="2" t="str">
        <f>"1000017474"</f>
        <v>1000017474</v>
      </c>
      <c r="F1182" s="2" t="str">
        <f>"TONER:HP Item # Q1339A-BC, Brand Compatible for Hewlett Packard LaserJet 4300, laser toner, black"</f>
        <v>TONER:HP Item # Q1339A-BC, Brand Compatible for Hewlett Packard LaserJet 4300, laser toner, black</v>
      </c>
      <c r="G1182" s="3" t="str">
        <f t="shared" si="88"/>
        <v>EA</v>
      </c>
      <c r="H1182" s="7">
        <v>166</v>
      </c>
      <c r="I1182" s="2" t="str">
        <f>"44103105"</f>
        <v>44103105</v>
      </c>
      <c r="J1182" s="10" t="s">
        <v>98</v>
      </c>
    </row>
    <row r="1183" spans="1:10" ht="26.25">
      <c r="A1183" s="24" t="s">
        <v>27</v>
      </c>
      <c r="B1183" s="21" t="s">
        <v>31</v>
      </c>
      <c r="C1183" s="21">
        <v>3204</v>
      </c>
      <c r="D1183" s="21">
        <v>717</v>
      </c>
      <c r="E1183" s="21" t="str">
        <f>"1000017475"</f>
        <v>1000017475</v>
      </c>
      <c r="F1183" s="21" t="str">
        <f>"TONER:HP Item # Q1339A-BCM, Brand Compatible LJ 4300 MICR Toner Blk (Yld:18K)"</f>
        <v>TONER:HP Item # Q1339A-BCM, Brand Compatible LJ 4300 MICR Toner Blk (Yld:18K)</v>
      </c>
      <c r="G1183" s="22" t="str">
        <f t="shared" si="88"/>
        <v>EA</v>
      </c>
      <c r="H1183" s="23">
        <v>320</v>
      </c>
      <c r="I1183" s="21" t="str">
        <f>"44103105"</f>
        <v>44103105</v>
      </c>
      <c r="J1183" s="25" t="s">
        <v>98</v>
      </c>
    </row>
    <row r="1184" spans="1:10" ht="26.25">
      <c r="A1184" s="9" t="s">
        <v>27</v>
      </c>
      <c r="B1184" s="2" t="s">
        <v>31</v>
      </c>
      <c r="C1184" s="2">
        <v>3204</v>
      </c>
      <c r="D1184" s="2">
        <v>718</v>
      </c>
      <c r="E1184" s="2" t="str">
        <f>"1000017476"</f>
        <v>1000017476</v>
      </c>
      <c r="F1184" s="2" t="str">
        <f>"TONER:HP Item # Q1339A-HEW, HP LJ 4300 Smart Print Toner (Yld 18k)"</f>
        <v>TONER:HP Item # Q1339A-HEW, HP LJ 4300 Smart Print Toner (Yld 18k)</v>
      </c>
      <c r="G1184" s="3" t="str">
        <f t="shared" si="88"/>
        <v>EA</v>
      </c>
      <c r="H1184" s="7">
        <v>232.99</v>
      </c>
      <c r="I1184" s="2" t="str">
        <f>"44103105"</f>
        <v>44103105</v>
      </c>
      <c r="J1184" s="10" t="s">
        <v>98</v>
      </c>
    </row>
    <row r="1185" spans="1:10" ht="39">
      <c r="A1185" s="24" t="s">
        <v>27</v>
      </c>
      <c r="B1185" s="21" t="s">
        <v>31</v>
      </c>
      <c r="C1185" s="21">
        <v>3204</v>
      </c>
      <c r="D1185" s="21">
        <v>719</v>
      </c>
      <c r="E1185" s="21" t="str">
        <f>"1000017477"</f>
        <v>1000017477</v>
      </c>
      <c r="F1185" s="21" t="str">
        <f>"TONER:HP Item # Q2610A-BC, Brand Compatible for LJ2300 Lsr Tnr, Black Cartridge (Yld 6k)"</f>
        <v>TONER:HP Item # Q2610A-BC, Brand Compatible for LJ2300 Lsr Tnr, Black Cartridge (Yld 6k)</v>
      </c>
      <c r="G1185" s="22" t="str">
        <f t="shared" si="88"/>
        <v>EA</v>
      </c>
      <c r="H1185" s="23">
        <v>97</v>
      </c>
      <c r="I1185" s="21" t="str">
        <f>"44103105"</f>
        <v>44103105</v>
      </c>
      <c r="J1185" s="25" t="s">
        <v>98</v>
      </c>
    </row>
    <row r="1186" spans="1:10" ht="39">
      <c r="A1186" s="9" t="s">
        <v>27</v>
      </c>
      <c r="B1186" s="2" t="s">
        <v>31</v>
      </c>
      <c r="C1186" s="2">
        <v>3204</v>
      </c>
      <c r="D1186" s="2">
        <v>720</v>
      </c>
      <c r="E1186" s="2" t="str">
        <f>"1000017452"</f>
        <v>1000017452</v>
      </c>
      <c r="F1186" s="2" t="str">
        <f>"TONER:HP Item # Q2610A-BCM, Brand Compatible MICR (Yld 6k) for HP 2300 Smart Print Toner"</f>
        <v>TONER:HP Item # Q2610A-BCM, Brand Compatible MICR (Yld 6k) for HP 2300 Smart Print Toner</v>
      </c>
      <c r="G1186" s="3" t="str">
        <f t="shared" si="88"/>
        <v>EA</v>
      </c>
      <c r="H1186" s="7">
        <v>179</v>
      </c>
      <c r="I1186" s="2" t="str">
        <f>"44103105"</f>
        <v>44103105</v>
      </c>
      <c r="J1186" s="10" t="s">
        <v>98</v>
      </c>
    </row>
    <row r="1187" spans="1:10" ht="26.25">
      <c r="A1187" s="24" t="s">
        <v>27</v>
      </c>
      <c r="B1187" s="21" t="s">
        <v>31</v>
      </c>
      <c r="C1187" s="21">
        <v>3204</v>
      </c>
      <c r="D1187" s="21">
        <v>721</v>
      </c>
      <c r="E1187" s="21" t="str">
        <f>"1000000927"</f>
        <v>1000000927</v>
      </c>
      <c r="F1187" s="21" t="str">
        <f>"TONER:HP Item # Q2610A-HEW, LaserJet 2300 Smart Print Toner (Yld 6k)"</f>
        <v>TONER:HP Item # Q2610A-HEW, LaserJet 2300 Smart Print Toner (Yld 6k)</v>
      </c>
      <c r="G1187" s="22" t="str">
        <f t="shared" si="88"/>
        <v>EA</v>
      </c>
      <c r="H1187" s="23">
        <v>156.99</v>
      </c>
      <c r="I1187" s="21" t="str">
        <f>"44103103"</f>
        <v>44103103</v>
      </c>
      <c r="J1187" s="25" t="s">
        <v>99</v>
      </c>
    </row>
    <row r="1188" spans="1:10" ht="90">
      <c r="A1188" s="9" t="s">
        <v>27</v>
      </c>
      <c r="B1188" s="2" t="s">
        <v>31</v>
      </c>
      <c r="C1188" s="2">
        <v>3204</v>
      </c>
      <c r="D1188" s="2">
        <v>722</v>
      </c>
      <c r="E1188" s="2" t="str">
        <f>"1000001207"</f>
        <v>1000001207</v>
      </c>
      <c r="F1188" s="2" t="str">
        <f>"TONER:HP Item # Q2612A-BC, Brand Compatible Black Toner (Yld 2000) for HP All-in-One Printers 3015, 3020, 3030, 3050, 3052, 3055, LaserJet M1319f mfp and HP Laser Printers LaserJet 1010, 1012, 1018, 1020, 1022 Series, 3015, 3020, 3030, 3050, 3052, 3055"</f>
        <v>TONER:HP Item # Q2612A-BC, Brand Compatible Black Toner (Yld 2000) for HP All-in-One Printers 3015, 3020, 3030, 3050, 3052, 3055, LaserJet M1319f mfp and HP Laser Printers LaserJet 1010, 1012, 1018, 1020, 1022 Series, 3015, 3020, 3030, 3050, 3052, 3055</v>
      </c>
      <c r="G1188" s="3" t="str">
        <f t="shared" si="88"/>
        <v>EA</v>
      </c>
      <c r="H1188" s="7">
        <v>62</v>
      </c>
      <c r="I1188" s="2" t="str">
        <f>"44103103"</f>
        <v>44103103</v>
      </c>
      <c r="J1188" s="10" t="s">
        <v>99</v>
      </c>
    </row>
    <row r="1189" spans="1:10" ht="77.25">
      <c r="A1189" s="24" t="s">
        <v>27</v>
      </c>
      <c r="B1189" s="21" t="s">
        <v>31</v>
      </c>
      <c r="C1189" s="21">
        <v>3204</v>
      </c>
      <c r="D1189" s="21">
        <v>723</v>
      </c>
      <c r="E1189" s="21" t="str">
        <f>"1000000439"</f>
        <v>1000000439</v>
      </c>
      <c r="F1189" s="21" t="str">
        <f>"TONER:HP Item # Q2612A-HEW, Black Toner (Yld 2000) for HP All-in-One Printers 3015, 3020, 3030, 3050, 3052, 3055, LaserJet M1319f mfp and HP Laser Printers LaserJet 1010, 1012, 1018, 1020, 1022 Series, 3015, 3020, 3030, 3050, 3052, 3055"</f>
        <v>TONER:HP Item # Q2612A-HEW, Black Toner (Yld 2000) for HP All-in-One Printers 3015, 3020, 3030, 3050, 3052, 3055, LaserJet M1319f mfp and HP Laser Printers LaserJet 1010, 1012, 1018, 1020, 1022 Series, 3015, 3020, 3030, 3050, 3052, 3055</v>
      </c>
      <c r="G1189" s="22" t="str">
        <f t="shared" si="88"/>
        <v>EA</v>
      </c>
      <c r="H1189" s="23">
        <v>79.989999999999995</v>
      </c>
      <c r="I1189" s="21" t="str">
        <f>"44103103"</f>
        <v>44103103</v>
      </c>
      <c r="J1189" s="25" t="s">
        <v>99</v>
      </c>
    </row>
    <row r="1190" spans="1:10" ht="39">
      <c r="A1190" s="9" t="s">
        <v>27</v>
      </c>
      <c r="B1190" s="2" t="s">
        <v>31</v>
      </c>
      <c r="C1190" s="2">
        <v>3204</v>
      </c>
      <c r="D1190" s="2">
        <v>724</v>
      </c>
      <c r="E1190" s="2" t="str">
        <f>"1000000060"</f>
        <v>1000000060</v>
      </c>
      <c r="F1190" s="2" t="str">
        <f>"TONER:HP Item # Q2613A-BC, Brand Compatible for HP 13A toner cartridge for LaserJet 1300/1300n Printers.(Yld 2,200)"</f>
        <v>TONER:HP Item # Q2613A-BC, Brand Compatible for HP 13A toner cartridge for LaserJet 1300/1300n Printers.(Yld 2,200)</v>
      </c>
      <c r="G1190" s="3" t="str">
        <f t="shared" si="88"/>
        <v>EA</v>
      </c>
      <c r="H1190" s="7">
        <v>61</v>
      </c>
      <c r="I1190" s="2" t="str">
        <f>"44103103"</f>
        <v>44103103</v>
      </c>
      <c r="J1190" s="10" t="s">
        <v>99</v>
      </c>
    </row>
    <row r="1191" spans="1:10" ht="39">
      <c r="A1191" s="24" t="s">
        <v>27</v>
      </c>
      <c r="B1191" s="21" t="s">
        <v>31</v>
      </c>
      <c r="C1191" s="21">
        <v>3204</v>
      </c>
      <c r="D1191" s="21">
        <v>725</v>
      </c>
      <c r="E1191" s="21" t="str">
        <f>"1000017453"</f>
        <v>1000017453</v>
      </c>
      <c r="F1191" s="21" t="str">
        <f>"TONER:HP Item # Q2613A-BCM, Brand Compatible MICR for HP 1300 LaserJet (Yld 2.5k)"</f>
        <v>TONER:HP Item # Q2613A-BCM, Brand Compatible MICR for HP 1300 LaserJet (Yld 2.5k)</v>
      </c>
      <c r="G1191" s="22" t="str">
        <f t="shared" si="88"/>
        <v>EA</v>
      </c>
      <c r="H1191" s="23">
        <v>148</v>
      </c>
      <c r="I1191" s="21" t="str">
        <f>"44103105"</f>
        <v>44103105</v>
      </c>
      <c r="J1191" s="25" t="s">
        <v>98</v>
      </c>
    </row>
    <row r="1192" spans="1:10" ht="26.25">
      <c r="A1192" s="24" t="s">
        <v>27</v>
      </c>
      <c r="B1192" s="21" t="s">
        <v>31</v>
      </c>
      <c r="C1192" s="21">
        <v>3204</v>
      </c>
      <c r="D1192" s="21">
        <v>726</v>
      </c>
      <c r="E1192" s="21" t="str">
        <f>"1000000553"</f>
        <v>1000000553</v>
      </c>
      <c r="F1192" s="21" t="str">
        <f>"TONER:HP Item # Q2613A-HEW, LaserJet 1300 Smart Print Toner (Yld 2.5k)"</f>
        <v>TONER:HP Item # Q2613A-HEW, LaserJet 1300 Smart Print Toner (Yld 2.5k)</v>
      </c>
      <c r="G1192" s="22" t="str">
        <f t="shared" si="88"/>
        <v>EA</v>
      </c>
      <c r="H1192" s="23">
        <v>93.99</v>
      </c>
      <c r="I1192" s="21" t="str">
        <f>"44103103"</f>
        <v>44103103</v>
      </c>
      <c r="J1192" s="25" t="s">
        <v>99</v>
      </c>
    </row>
    <row r="1193" spans="1:10" ht="39">
      <c r="A1193" s="9" t="s">
        <v>27</v>
      </c>
      <c r="B1193" s="2" t="s">
        <v>31</v>
      </c>
      <c r="C1193" s="2">
        <v>3204</v>
      </c>
      <c r="D1193" s="2">
        <v>727</v>
      </c>
      <c r="E1193" s="2" t="str">
        <f>"1000001822"</f>
        <v>1000001822</v>
      </c>
      <c r="F1193" s="2" t="str">
        <f>"TONER:HP Item # Q2613X-BC, Brand compatible for Hewlett Packard LaserJet 1300, Black Toner, (Yld 4k)"</f>
        <v>TONER:HP Item # Q2613X-BC, Brand compatible for Hewlett Packard LaserJet 1300, Black Toner, (Yld 4k)</v>
      </c>
      <c r="G1193" s="3" t="str">
        <f t="shared" si="88"/>
        <v>EA</v>
      </c>
      <c r="H1193" s="7">
        <v>69</v>
      </c>
      <c r="I1193" s="2" t="str">
        <f>"44103103"</f>
        <v>44103103</v>
      </c>
      <c r="J1193" s="10" t="s">
        <v>99</v>
      </c>
    </row>
    <row r="1194" spans="1:10" ht="26.25">
      <c r="A1194" s="24" t="s">
        <v>27</v>
      </c>
      <c r="B1194" s="21" t="s">
        <v>31</v>
      </c>
      <c r="C1194" s="21">
        <v>3204</v>
      </c>
      <c r="D1194" s="21">
        <v>728</v>
      </c>
      <c r="E1194" s="21" t="str">
        <f>"1000000543"</f>
        <v>1000000543</v>
      </c>
      <c r="F1194" s="21" t="str">
        <f>"TONER:HP Item # Q2613X-HEW, LaserJet 1300 Smart Print, Black Toner, (Yld 4k)"</f>
        <v>TONER:HP Item # Q2613X-HEW, LaserJet 1300 Smart Print, Black Toner, (Yld 4k)</v>
      </c>
      <c r="G1194" s="22" t="str">
        <f t="shared" si="88"/>
        <v>EA</v>
      </c>
      <c r="H1194" s="23">
        <v>118.99</v>
      </c>
      <c r="I1194" s="21" t="str">
        <f>"44103103"</f>
        <v>44103103</v>
      </c>
      <c r="J1194" s="25" t="s">
        <v>99</v>
      </c>
    </row>
    <row r="1195" spans="1:10" ht="39">
      <c r="A1195" s="24" t="s">
        <v>27</v>
      </c>
      <c r="B1195" s="21" t="s">
        <v>31</v>
      </c>
      <c r="C1195" s="21">
        <v>3204</v>
      </c>
      <c r="D1195" s="21">
        <v>729</v>
      </c>
      <c r="E1195" s="21" t="str">
        <f>"1000017454"</f>
        <v>1000017454</v>
      </c>
      <c r="F1195" s="21" t="str">
        <f>"TONER:HP Item # Q2624A-BC, Brand Compatible for Hewlett Packard LaserJet 1150 Toner cartridge, (Yld 2.5k)"</f>
        <v>TONER:HP Item # Q2624A-BC, Brand Compatible for Hewlett Packard LaserJet 1150 Toner cartridge, (Yld 2.5k)</v>
      </c>
      <c r="G1195" s="22" t="str">
        <f t="shared" si="88"/>
        <v>EA</v>
      </c>
      <c r="H1195" s="23">
        <v>65</v>
      </c>
      <c r="I1195" s="21" t="str">
        <f>"44103105"</f>
        <v>44103105</v>
      </c>
      <c r="J1195" s="25" t="s">
        <v>98</v>
      </c>
    </row>
    <row r="1196" spans="1:10" ht="26.25">
      <c r="A1196" s="9" t="s">
        <v>27</v>
      </c>
      <c r="B1196" s="2" t="s">
        <v>31</v>
      </c>
      <c r="C1196" s="2">
        <v>3204</v>
      </c>
      <c r="D1196" s="2">
        <v>730</v>
      </c>
      <c r="E1196" s="2" t="str">
        <f>"1000017455"</f>
        <v>1000017455</v>
      </c>
      <c r="F1196" s="2" t="str">
        <f>"TONER:HP Item # Q2624A-HEW, HP LJ 1150 Toner Cartridge (Yld 2.5k)"</f>
        <v>TONER:HP Item # Q2624A-HEW, HP LJ 1150 Toner Cartridge (Yld 2.5k)</v>
      </c>
      <c r="G1196" s="3" t="str">
        <f t="shared" si="88"/>
        <v>EA</v>
      </c>
      <c r="H1196" s="7">
        <v>79</v>
      </c>
      <c r="I1196" s="2" t="str">
        <f>"44103105"</f>
        <v>44103105</v>
      </c>
      <c r="J1196" s="10" t="s">
        <v>98</v>
      </c>
    </row>
    <row r="1197" spans="1:10" ht="39">
      <c r="A1197" s="24" t="s">
        <v>27</v>
      </c>
      <c r="B1197" s="21" t="s">
        <v>31</v>
      </c>
      <c r="C1197" s="21">
        <v>3204</v>
      </c>
      <c r="D1197" s="21">
        <v>732</v>
      </c>
      <c r="E1197" s="21" t="str">
        <f>"1000001063"</f>
        <v>1000001063</v>
      </c>
      <c r="F1197" s="21" t="str">
        <f>"TONER:HP Item # Q2670A-HEW, HP 70A Black Toner Cartridge for Color LaserJet 3500/3700 Series printers. (Yld 6k)"</f>
        <v>TONER:HP Item # Q2670A-HEW, HP 70A Black Toner Cartridge for Color LaserJet 3500/3700 Series printers. (Yld 6k)</v>
      </c>
      <c r="G1197" s="22" t="str">
        <f t="shared" si="88"/>
        <v>EA</v>
      </c>
      <c r="H1197" s="23">
        <v>149.99</v>
      </c>
      <c r="I1197" s="21" t="str">
        <f>"44103103"</f>
        <v>44103103</v>
      </c>
      <c r="J1197" s="25" t="s">
        <v>99</v>
      </c>
    </row>
    <row r="1198" spans="1:10" ht="26.25">
      <c r="A1198" s="9" t="s">
        <v>27</v>
      </c>
      <c r="B1198" s="2" t="s">
        <v>31</v>
      </c>
      <c r="C1198" s="2">
        <v>3204</v>
      </c>
      <c r="D1198" s="2">
        <v>733</v>
      </c>
      <c r="E1198" s="2" t="str">
        <f>"1000000707"</f>
        <v>1000000707</v>
      </c>
      <c r="F1198" s="2" t="str">
        <f>"TONER:HP Item # Q2671A-HEW, Cyan Toner for HP Color LaserJet 3500 (Yld 4k)"</f>
        <v>TONER:HP Item # Q2671A-HEW, Cyan Toner for HP Color LaserJet 3500 (Yld 4k)</v>
      </c>
      <c r="G1198" s="3" t="str">
        <f t="shared" si="88"/>
        <v>EA</v>
      </c>
      <c r="H1198" s="7">
        <v>147.99</v>
      </c>
      <c r="I1198" s="2" t="str">
        <f>"44103103"</f>
        <v>44103103</v>
      </c>
      <c r="J1198" s="10" t="s">
        <v>99</v>
      </c>
    </row>
    <row r="1199" spans="1:10" ht="26.25">
      <c r="A1199" s="24" t="s">
        <v>27</v>
      </c>
      <c r="B1199" s="21" t="s">
        <v>31</v>
      </c>
      <c r="C1199" s="21">
        <v>3204</v>
      </c>
      <c r="D1199" s="21">
        <v>734</v>
      </c>
      <c r="E1199" s="21" t="str">
        <f>"1000000709"</f>
        <v>1000000709</v>
      </c>
      <c r="F1199" s="21" t="str">
        <f>"TONER:HP Item# Q2672A-HEW Yellow Toner for HP Color LaserJet 3500(Yld 4k)"</f>
        <v>TONER:HP Item# Q2672A-HEW Yellow Toner for HP Color LaserJet 3500(Yld 4k)</v>
      </c>
      <c r="G1199" s="22" t="str">
        <f t="shared" si="88"/>
        <v>EA</v>
      </c>
      <c r="H1199" s="23">
        <v>147.99</v>
      </c>
      <c r="I1199" s="21" t="str">
        <f>"44103103"</f>
        <v>44103103</v>
      </c>
      <c r="J1199" s="25" t="s">
        <v>99</v>
      </c>
    </row>
    <row r="1200" spans="1:10" ht="26.25">
      <c r="A1200" s="9" t="s">
        <v>27</v>
      </c>
      <c r="B1200" s="2" t="s">
        <v>31</v>
      </c>
      <c r="C1200" s="2">
        <v>3204</v>
      </c>
      <c r="D1200" s="2">
        <v>735</v>
      </c>
      <c r="E1200" s="2" t="str">
        <f>"1000000708"</f>
        <v>1000000708</v>
      </c>
      <c r="F1200" s="2" t="str">
        <f>"TONER:HP Item # Q2673A-HEW, Magenta Toner for HP Color LaserJet 3500 (Yld 4k)"</f>
        <v>TONER:HP Item # Q2673A-HEW, Magenta Toner for HP Color LaserJet 3500 (Yld 4k)</v>
      </c>
      <c r="G1200" s="3" t="str">
        <f t="shared" ref="G1200:G1231" si="90">"EA"</f>
        <v>EA</v>
      </c>
      <c r="H1200" s="7">
        <v>147.99</v>
      </c>
      <c r="I1200" s="2" t="str">
        <f>"44103103"</f>
        <v>44103103</v>
      </c>
      <c r="J1200" s="10" t="s">
        <v>99</v>
      </c>
    </row>
    <row r="1201" spans="1:10" ht="39">
      <c r="A1201" s="24" t="s">
        <v>27</v>
      </c>
      <c r="B1201" s="21" t="s">
        <v>31</v>
      </c>
      <c r="C1201" s="21">
        <v>3204</v>
      </c>
      <c r="D1201" s="21">
        <v>736</v>
      </c>
      <c r="E1201" s="21" t="str">
        <f>"1000001150"</f>
        <v>1000001150</v>
      </c>
      <c r="F1201" s="21" t="str">
        <f>"TONER:HP Item # Q2681A-HEW, Cyan Toner for Hewlett Packard Printers LaserJet 3700 (Yld 6k)"</f>
        <v>TONER:HP Item # Q2681A-HEW, Cyan Toner for Hewlett Packard Printers LaserJet 3700 (Yld 6k)</v>
      </c>
      <c r="G1201" s="22" t="str">
        <f t="shared" si="90"/>
        <v>EA</v>
      </c>
      <c r="H1201" s="23">
        <v>192.99</v>
      </c>
      <c r="I1201" s="21" t="str">
        <f>"44103103"</f>
        <v>44103103</v>
      </c>
      <c r="J1201" s="25" t="s">
        <v>99</v>
      </c>
    </row>
    <row r="1202" spans="1:10" ht="26.25">
      <c r="A1202" s="24" t="s">
        <v>27</v>
      </c>
      <c r="B1202" s="21" t="s">
        <v>31</v>
      </c>
      <c r="C1202" s="21">
        <v>3204</v>
      </c>
      <c r="D1202" s="21">
        <v>737</v>
      </c>
      <c r="E1202" s="21" t="str">
        <f>"1000017456"</f>
        <v>1000017456</v>
      </c>
      <c r="F1202" s="21" t="str">
        <f>"TONER:HP Item # Q2682A-HEW, HP Yellow toner (Yld 6k) for LJ3700"</f>
        <v>TONER:HP Item # Q2682A-HEW, HP Yellow toner (Yld 6k) for LJ3700</v>
      </c>
      <c r="G1202" s="22" t="str">
        <f t="shared" si="90"/>
        <v>EA</v>
      </c>
      <c r="H1202" s="23">
        <v>192.99</v>
      </c>
      <c r="I1202" s="21" t="str">
        <f>"44103105"</f>
        <v>44103105</v>
      </c>
      <c r="J1202" s="25" t="s">
        <v>98</v>
      </c>
    </row>
    <row r="1203" spans="1:10" ht="39">
      <c r="A1203" s="9" t="s">
        <v>27</v>
      </c>
      <c r="B1203" s="2" t="s">
        <v>31</v>
      </c>
      <c r="C1203" s="2">
        <v>3204</v>
      </c>
      <c r="D1203" s="2">
        <v>738</v>
      </c>
      <c r="E1203" s="2" t="str">
        <f>"1000017457"</f>
        <v>1000017457</v>
      </c>
      <c r="F1203" s="2" t="str">
        <f>"TONER:HP Item # Q2683A-HEW, HP Magenta Laser Toner Cartridge for HP Color LaserJet 3700 Series Laser Toner Printers (Yld 6k)"</f>
        <v>TONER:HP Item # Q2683A-HEW, HP Magenta Laser Toner Cartridge for HP Color LaserJet 3700 Series Laser Toner Printers (Yld 6k)</v>
      </c>
      <c r="G1203" s="3" t="str">
        <f t="shared" si="90"/>
        <v>EA</v>
      </c>
      <c r="H1203" s="7">
        <v>192.99</v>
      </c>
      <c r="I1203" s="2" t="str">
        <f>"44103105"</f>
        <v>44103105</v>
      </c>
      <c r="J1203" s="10" t="s">
        <v>98</v>
      </c>
    </row>
    <row r="1204" spans="1:10" ht="39">
      <c r="A1204" s="9" t="s">
        <v>27</v>
      </c>
      <c r="B1204" s="2" t="s">
        <v>31</v>
      </c>
      <c r="C1204" s="2">
        <v>3204</v>
      </c>
      <c r="D1204" s="2">
        <v>739</v>
      </c>
      <c r="E1204" s="2" t="str">
        <f>"1000001915"</f>
        <v>1000001915</v>
      </c>
      <c r="F1204" s="2" t="str">
        <f>"TONER:HP Item # Q3960A-HEW, Black Laser Toner for Hewlett Packard Printers LaserJet 2550 (Yld 5k)"</f>
        <v>TONER:HP Item # Q3960A-HEW, Black Laser Toner for Hewlett Packard Printers LaserJet 2550 (Yld 5k)</v>
      </c>
      <c r="G1204" s="3" t="str">
        <f t="shared" si="90"/>
        <v>EA</v>
      </c>
      <c r="H1204" s="7">
        <v>94</v>
      </c>
      <c r="I1204" s="2" t="str">
        <f>"44103103"</f>
        <v>44103103</v>
      </c>
      <c r="J1204" s="10" t="s">
        <v>99</v>
      </c>
    </row>
    <row r="1205" spans="1:10" ht="26.25">
      <c r="A1205" s="24" t="s">
        <v>27</v>
      </c>
      <c r="B1205" s="21" t="s">
        <v>31</v>
      </c>
      <c r="C1205" s="21">
        <v>3204</v>
      </c>
      <c r="D1205" s="21">
        <v>740</v>
      </c>
      <c r="E1205" s="21" t="str">
        <f>"1000001209"</f>
        <v>1000001209</v>
      </c>
      <c r="F1205" s="21" t="str">
        <f>"TONER:HP Item # Q3961A-HEW, Cyan Toner for Hewlett Packard Printers HP 2550 (Yld 4k)"</f>
        <v>TONER:HP Item # Q3961A-HEW, Cyan Toner for Hewlett Packard Printers HP 2550 (Yld 4k)</v>
      </c>
      <c r="G1205" s="22" t="str">
        <f t="shared" si="90"/>
        <v>EA</v>
      </c>
      <c r="H1205" s="23">
        <v>112.99</v>
      </c>
      <c r="I1205" s="21" t="str">
        <f>"44103103"</f>
        <v>44103103</v>
      </c>
      <c r="J1205" s="25" t="s">
        <v>99</v>
      </c>
    </row>
    <row r="1206" spans="1:10" ht="26.25">
      <c r="A1206" s="9" t="s">
        <v>27</v>
      </c>
      <c r="B1206" s="2" t="s">
        <v>31</v>
      </c>
      <c r="C1206" s="2">
        <v>3204</v>
      </c>
      <c r="D1206" s="2">
        <v>741</v>
      </c>
      <c r="E1206" s="2" t="str">
        <f>"1000001211"</f>
        <v>1000001211</v>
      </c>
      <c r="F1206" s="2" t="str">
        <f>"TONER:HP Item # Q3962A-HEW, Yellow Toner for Hewlett Packard Printers SP 2550 (Yld 4k)"</f>
        <v>TONER:HP Item # Q3962A-HEW, Yellow Toner for Hewlett Packard Printers SP 2550 (Yld 4k)</v>
      </c>
      <c r="G1206" s="3" t="str">
        <f t="shared" si="90"/>
        <v>EA</v>
      </c>
      <c r="H1206" s="7">
        <v>112.99</v>
      </c>
      <c r="I1206" s="2" t="str">
        <f>"44103103"</f>
        <v>44103103</v>
      </c>
      <c r="J1206" s="10" t="s">
        <v>99</v>
      </c>
    </row>
    <row r="1207" spans="1:10" ht="26.25">
      <c r="A1207" s="24" t="s">
        <v>27</v>
      </c>
      <c r="B1207" s="21" t="s">
        <v>31</v>
      </c>
      <c r="C1207" s="21">
        <v>3204</v>
      </c>
      <c r="D1207" s="21">
        <v>742</v>
      </c>
      <c r="E1207" s="21" t="str">
        <f>"1000001210"</f>
        <v>1000001210</v>
      </c>
      <c r="F1207" s="21" t="str">
        <f>"TONER:HP Item # Q3963A-HEW, Magenta Toner for Hewlett Packard Printers SP 2550 (Yld 4k)"</f>
        <v>TONER:HP Item # Q3963A-HEW, Magenta Toner for Hewlett Packard Printers SP 2550 (Yld 4k)</v>
      </c>
      <c r="G1207" s="22" t="str">
        <f t="shared" si="90"/>
        <v>EA</v>
      </c>
      <c r="H1207" s="23">
        <v>112.99</v>
      </c>
      <c r="I1207" s="21" t="str">
        <f>"44103103"</f>
        <v>44103103</v>
      </c>
      <c r="J1207" s="25" t="s">
        <v>99</v>
      </c>
    </row>
    <row r="1208" spans="1:10" ht="26.25">
      <c r="A1208" s="24" t="s">
        <v>27</v>
      </c>
      <c r="B1208" s="21" t="s">
        <v>31</v>
      </c>
      <c r="C1208" s="21">
        <v>3204</v>
      </c>
      <c r="D1208" s="21">
        <v>743</v>
      </c>
      <c r="E1208" s="21" t="str">
        <f>"1000017485"</f>
        <v>1000017485</v>
      </c>
      <c r="F1208" s="21" t="str">
        <f>"TONER:HP Item # Q3971A-HEW, HP SP 2550 Cyan Toner Ctg (Yld 2k)"</f>
        <v>TONER:HP Item # Q3971A-HEW, HP SP 2550 Cyan Toner Ctg (Yld 2k)</v>
      </c>
      <c r="G1208" s="22" t="str">
        <f t="shared" si="90"/>
        <v>EA</v>
      </c>
      <c r="H1208" s="23">
        <v>83.99</v>
      </c>
      <c r="I1208" s="21" t="str">
        <f>"44103105"</f>
        <v>44103105</v>
      </c>
      <c r="J1208" s="25" t="s">
        <v>98</v>
      </c>
    </row>
    <row r="1209" spans="1:10" ht="26.25">
      <c r="A1209" s="9" t="s">
        <v>27</v>
      </c>
      <c r="B1209" s="2" t="s">
        <v>31</v>
      </c>
      <c r="C1209" s="2">
        <v>3204</v>
      </c>
      <c r="D1209" s="2">
        <v>744</v>
      </c>
      <c r="E1209" s="2" t="str">
        <f>"1000017486"</f>
        <v>1000017486</v>
      </c>
      <c r="F1209" s="2" t="str">
        <f>"TONER:HP Item # Q3972A-HEW, HP SP 2550 Yellow Toner Ctg (Yld 2k)"</f>
        <v>TONER:HP Item # Q3972A-HEW, HP SP 2550 Yellow Toner Ctg (Yld 2k)</v>
      </c>
      <c r="G1209" s="3" t="str">
        <f t="shared" si="90"/>
        <v>EA</v>
      </c>
      <c r="H1209" s="7">
        <v>83.99</v>
      </c>
      <c r="I1209" s="2" t="str">
        <f>"44103105"</f>
        <v>44103105</v>
      </c>
      <c r="J1209" s="10" t="s">
        <v>98</v>
      </c>
    </row>
    <row r="1210" spans="1:10" ht="26.25">
      <c r="A1210" s="24" t="s">
        <v>27</v>
      </c>
      <c r="B1210" s="21" t="s">
        <v>31</v>
      </c>
      <c r="C1210" s="21">
        <v>3204</v>
      </c>
      <c r="D1210" s="21">
        <v>745</v>
      </c>
      <c r="E1210" s="21" t="str">
        <f>"1000017487"</f>
        <v>1000017487</v>
      </c>
      <c r="F1210" s="21" t="str">
        <f>"TONER:HP Item # Q3973A-HEW, HP SP 2550 Magenta Toner Ctg (Yld 2k)"</f>
        <v>TONER:HP Item # Q3973A-HEW, HP SP 2550 Magenta Toner Ctg (Yld 2k)</v>
      </c>
      <c r="G1210" s="22" t="str">
        <f t="shared" si="90"/>
        <v>EA</v>
      </c>
      <c r="H1210" s="23">
        <v>83.99</v>
      </c>
      <c r="I1210" s="21" t="str">
        <f>"44103105"</f>
        <v>44103105</v>
      </c>
      <c r="J1210" s="25" t="s">
        <v>98</v>
      </c>
    </row>
    <row r="1211" spans="1:10" ht="39">
      <c r="A1211" s="9" t="s">
        <v>27</v>
      </c>
      <c r="B1211" s="2" t="s">
        <v>31</v>
      </c>
      <c r="C1211" s="2">
        <v>3204</v>
      </c>
      <c r="D1211" s="2">
        <v>746</v>
      </c>
      <c r="E1211" s="2" t="str">
        <f>"1000001656"</f>
        <v>1000001656</v>
      </c>
      <c r="F1211" s="2" t="str">
        <f>"TONER:HP Item # Q5942A-HEW, HP Laser Printers LaserJet 4240N, LaserJet 4250 Series, LaserJet 4350 Series, Yields:10,000 pages"</f>
        <v>TONER:HP Item # Q5942A-HEW, HP Laser Printers LaserJet 4240N, LaserJet 4250 Series, LaserJet 4350 Series, Yields:10,000 pages</v>
      </c>
      <c r="G1211" s="3" t="str">
        <f t="shared" si="90"/>
        <v>EA</v>
      </c>
      <c r="H1211" s="7">
        <v>169.99</v>
      </c>
      <c r="I1211" s="2" t="str">
        <f>"44103103"</f>
        <v>44103103</v>
      </c>
      <c r="J1211" s="10" t="s">
        <v>99</v>
      </c>
    </row>
    <row r="1212" spans="1:10" ht="51.75">
      <c r="A1212" s="9" t="s">
        <v>27</v>
      </c>
      <c r="B1212" s="2" t="s">
        <v>31</v>
      </c>
      <c r="C1212" s="2">
        <v>3204</v>
      </c>
      <c r="D1212" s="2">
        <v>747</v>
      </c>
      <c r="E1212" s="2" t="str">
        <f>"1000017488"</f>
        <v>1000017488</v>
      </c>
      <c r="F1212" s="2" t="str">
        <f>"TONER:HP Item # Q5942A-MICR, HP Troy 02-81135-001 MICR cartridge, TROY MICR 4250/4350, HP LaserJet 4250/4350 Printers only. -"</f>
        <v>TONER:HP Item # Q5942A-MICR, HP Troy 02-81135-001 MICR cartridge, TROY MICR 4250/4350, HP LaserJet 4250/4350 Printers only. -</v>
      </c>
      <c r="G1212" s="3" t="str">
        <f t="shared" si="90"/>
        <v>EA</v>
      </c>
      <c r="H1212" s="7">
        <v>423</v>
      </c>
      <c r="I1212" s="2" t="str">
        <f>"44103105"</f>
        <v>44103105</v>
      </c>
      <c r="J1212" s="10" t="s">
        <v>98</v>
      </c>
    </row>
    <row r="1213" spans="1:10" ht="39">
      <c r="A1213" s="24" t="s">
        <v>27</v>
      </c>
      <c r="B1213" s="21" t="s">
        <v>31</v>
      </c>
      <c r="C1213" s="21">
        <v>3204</v>
      </c>
      <c r="D1213" s="21">
        <v>748</v>
      </c>
      <c r="E1213" s="21" t="str">
        <f>"1000017489"</f>
        <v>1000017489</v>
      </c>
      <c r="F1213" s="21" t="str">
        <f>"TONER:HP Item # Q5942X-BC, Brand Compatible Black toner for Color LaserJet 4250/4350 laser toner printers (Yld 20k)"</f>
        <v>TONER:HP Item # Q5942X-BC, Brand Compatible Black toner for Color LaserJet 4250/4350 laser toner printers (Yld 20k)</v>
      </c>
      <c r="G1213" s="22" t="str">
        <f t="shared" si="90"/>
        <v>EA</v>
      </c>
      <c r="H1213" s="23">
        <v>166</v>
      </c>
      <c r="I1213" s="21" t="str">
        <f>"44103105"</f>
        <v>44103105</v>
      </c>
      <c r="J1213" s="25" t="s">
        <v>98</v>
      </c>
    </row>
    <row r="1214" spans="1:10" ht="39">
      <c r="A1214" s="24" t="s">
        <v>27</v>
      </c>
      <c r="B1214" s="21" t="s">
        <v>31</v>
      </c>
      <c r="C1214" s="21">
        <v>3204</v>
      </c>
      <c r="D1214" s="21">
        <v>749</v>
      </c>
      <c r="E1214" s="21" t="str">
        <f>"1000000312"</f>
        <v>1000000312</v>
      </c>
      <c r="F1214" s="21" t="str">
        <f>"TONER:HP Item # Q5942X-HEW, Toner for Hewlett Packard Printers HP LC 4250/4350 High Yield (Yld 20k)"</f>
        <v>TONER:HP Item # Q5942X-HEW, Toner for Hewlett Packard Printers HP LC 4250/4350 High Yield (Yld 20k)</v>
      </c>
      <c r="G1214" s="22" t="str">
        <f t="shared" si="90"/>
        <v>EA</v>
      </c>
      <c r="H1214" s="23">
        <v>253.99</v>
      </c>
      <c r="I1214" s="21" t="str">
        <f>"44103103"</f>
        <v>44103103</v>
      </c>
      <c r="J1214" s="25" t="s">
        <v>99</v>
      </c>
    </row>
    <row r="1215" spans="1:10" ht="51.75">
      <c r="A1215" s="9" t="s">
        <v>27</v>
      </c>
      <c r="B1215" s="2" t="s">
        <v>31</v>
      </c>
      <c r="C1215" s="2">
        <v>3204</v>
      </c>
      <c r="D1215" s="2">
        <v>750</v>
      </c>
      <c r="E1215" s="2" t="str">
        <f>"1000000038"</f>
        <v>1000000038</v>
      </c>
      <c r="F1215" s="2" t="str">
        <f>"TONER:HP Item # Q5949A-HEW, HP LaserJet Cartridge for HP All-in-One Printers LaserJet 3390, 1160 Series, LaserJet 1320 Series, LaserJet 3390, yields 2,500."</f>
        <v>TONER:HP Item # Q5949A-HEW, HP LaserJet Cartridge for HP All-in-One Printers LaserJet 3390, 1160 Series, LaserJet 1320 Series, LaserJet 3390, yields 2,500.</v>
      </c>
      <c r="G1215" s="3" t="str">
        <f t="shared" si="90"/>
        <v>EA</v>
      </c>
      <c r="H1215" s="7">
        <v>93.99</v>
      </c>
      <c r="I1215" s="2" t="str">
        <f>"44103103"</f>
        <v>44103103</v>
      </c>
      <c r="J1215" s="10" t="s">
        <v>99</v>
      </c>
    </row>
    <row r="1216" spans="1:10" ht="39">
      <c r="A1216" s="24" t="s">
        <v>27</v>
      </c>
      <c r="B1216" s="21" t="s">
        <v>31</v>
      </c>
      <c r="C1216" s="21">
        <v>3204</v>
      </c>
      <c r="D1216" s="21">
        <v>751</v>
      </c>
      <c r="E1216" s="21" t="str">
        <f>"1000001262"</f>
        <v>1000001262</v>
      </c>
      <c r="F1216" s="21" t="str">
        <f>"TONER:HP Item # Q5949X-HEW, Toner for Hewlett Packard Printers HP LaserJet 1320 Smart Print (Yld 6k)"</f>
        <v>TONER:HP Item # Q5949X-HEW, Toner for Hewlett Packard Printers HP LaserJet 1320 Smart Print (Yld 6k)</v>
      </c>
      <c r="G1216" s="22" t="str">
        <f t="shared" si="90"/>
        <v>EA</v>
      </c>
      <c r="H1216" s="23">
        <v>170.99</v>
      </c>
      <c r="I1216" s="21" t="str">
        <f>"44103103"</f>
        <v>44103103</v>
      </c>
      <c r="J1216" s="25" t="s">
        <v>99</v>
      </c>
    </row>
    <row r="1217" spans="1:10" ht="26.25">
      <c r="A1217" s="9" t="s">
        <v>27</v>
      </c>
      <c r="B1217" s="2" t="s">
        <v>31</v>
      </c>
      <c r="C1217" s="2">
        <v>3204</v>
      </c>
      <c r="D1217" s="2">
        <v>752</v>
      </c>
      <c r="E1217" s="2" t="str">
        <f>"1000001152"</f>
        <v>1000001152</v>
      </c>
      <c r="F1217" s="2" t="str">
        <f>"TONER:HP Item # Q5950A-HEW, LaserJet ColorSphere Black (Yld 11k)"</f>
        <v>TONER:HP Item # Q5950A-HEW, LaserJet ColorSphere Black (Yld 11k)</v>
      </c>
      <c r="G1217" s="3" t="str">
        <f t="shared" si="90"/>
        <v>EA</v>
      </c>
      <c r="H1217" s="7">
        <v>202.99</v>
      </c>
      <c r="I1217" s="2" t="str">
        <f>"44103103"</f>
        <v>44103103</v>
      </c>
      <c r="J1217" s="10" t="s">
        <v>99</v>
      </c>
    </row>
    <row r="1218" spans="1:10" ht="39">
      <c r="A1218" s="24" t="s">
        <v>27</v>
      </c>
      <c r="B1218" s="21" t="s">
        <v>31</v>
      </c>
      <c r="C1218" s="21">
        <v>3204</v>
      </c>
      <c r="D1218" s="21">
        <v>753</v>
      </c>
      <c r="E1218" s="21" t="str">
        <f>"1000001933"</f>
        <v>1000001933</v>
      </c>
      <c r="F1218" s="21" t="str">
        <f>"TONER:HP Item # Q5951A-HEW, Cyan Toner for Hewlett Packard Printers LaserJet ColorSphere (Yld 10k)"</f>
        <v>TONER:HP Item # Q5951A-HEW, Cyan Toner for Hewlett Packard Printers LaserJet ColorSphere (Yld 10k)</v>
      </c>
      <c r="G1218" s="22" t="str">
        <f t="shared" si="90"/>
        <v>EA</v>
      </c>
      <c r="H1218" s="23">
        <v>287.99</v>
      </c>
      <c r="I1218" s="21" t="str">
        <f>"44103103"</f>
        <v>44103103</v>
      </c>
      <c r="J1218" s="25" t="s">
        <v>99</v>
      </c>
    </row>
    <row r="1219" spans="1:10" ht="26.25">
      <c r="A1219" s="9" t="s">
        <v>27</v>
      </c>
      <c r="B1219" s="2" t="s">
        <v>31</v>
      </c>
      <c r="C1219" s="2">
        <v>3204</v>
      </c>
      <c r="D1219" s="2">
        <v>754</v>
      </c>
      <c r="E1219" s="2" t="str">
        <f>"1000017490"</f>
        <v>1000017490</v>
      </c>
      <c r="F1219" s="2" t="str">
        <f>"TONER:HP item # Q5952A-HEW, HP LaserJet ColorSphere Yellow"</f>
        <v>TONER:HP item # Q5952A-HEW, HP LaserJet ColorSphere Yellow</v>
      </c>
      <c r="G1219" s="3" t="str">
        <f t="shared" si="90"/>
        <v>EA</v>
      </c>
      <c r="H1219" s="7">
        <v>318</v>
      </c>
      <c r="I1219" s="2" t="str">
        <f>"44103105"</f>
        <v>44103105</v>
      </c>
      <c r="J1219" s="10" t="s">
        <v>98</v>
      </c>
    </row>
    <row r="1220" spans="1:10" ht="39">
      <c r="A1220" s="9" t="s">
        <v>27</v>
      </c>
      <c r="B1220" s="2" t="s">
        <v>31</v>
      </c>
      <c r="C1220" s="2">
        <v>3204</v>
      </c>
      <c r="D1220" s="2">
        <v>755</v>
      </c>
      <c r="E1220" s="2" t="str">
        <f>"1000001153"</f>
        <v>1000001153</v>
      </c>
      <c r="F1220" s="2" t="str">
        <f>"TONER:HP Item # Q5953A-HEW, Magenta Laser toner cartridge for Color LaserJet 4700 (Yld 10k)"</f>
        <v>TONER:HP Item # Q5953A-HEW, Magenta Laser toner cartridge for Color LaserJet 4700 (Yld 10k)</v>
      </c>
      <c r="G1220" s="3" t="str">
        <f t="shared" si="90"/>
        <v>EA</v>
      </c>
      <c r="H1220" s="7">
        <v>318</v>
      </c>
      <c r="I1220" s="2" t="str">
        <f>"44103103"</f>
        <v>44103103</v>
      </c>
      <c r="J1220" s="10" t="s">
        <v>99</v>
      </c>
    </row>
    <row r="1221" spans="1:10" ht="77.25">
      <c r="A1221" s="24" t="s">
        <v>27</v>
      </c>
      <c r="B1221" s="21" t="s">
        <v>31</v>
      </c>
      <c r="C1221" s="21">
        <v>3204</v>
      </c>
      <c r="D1221" s="21">
        <v>756</v>
      </c>
      <c r="E1221" s="21" t="str">
        <f>"1000000774"</f>
        <v>1000000774</v>
      </c>
      <c r="F1221" s="21" t="str">
        <f>"TONER:HP Item # Q6000A-HEW, Black Toner for Hewlett Packard Printers (Yld 2500) for HP All-in-One Printers Color LaserJet CM1015mfp, CM1017mfp, HP Laser Printers Color LaserJet 1600, 2600N, 2605 Series, CM1015mfp, CM1017mfp."</f>
        <v>TONER:HP Item # Q6000A-HEW, Black Toner for Hewlett Packard Printers (Yld 2500) for HP All-in-One Printers Color LaserJet CM1015mfp, CM1017mfp, HP Laser Printers Color LaserJet 1600, 2600N, 2605 Series, CM1015mfp, CM1017mfp.</v>
      </c>
      <c r="G1221" s="22" t="str">
        <f t="shared" si="90"/>
        <v>EA</v>
      </c>
      <c r="H1221" s="23">
        <v>84.99</v>
      </c>
      <c r="I1221" s="21" t="str">
        <f>"44103103"</f>
        <v>44103103</v>
      </c>
      <c r="J1221" s="25" t="s">
        <v>99</v>
      </c>
    </row>
    <row r="1222" spans="1:10" ht="90">
      <c r="A1222" s="9" t="s">
        <v>27</v>
      </c>
      <c r="B1222" s="2" t="s">
        <v>31</v>
      </c>
      <c r="C1222" s="2">
        <v>3204</v>
      </c>
      <c r="D1222" s="2">
        <v>757</v>
      </c>
      <c r="E1222" s="2" t="str">
        <f>"1000000775"</f>
        <v>1000000775</v>
      </c>
      <c r="F1222" s="2" t="str">
        <f>"TONER:HP Item # Q6001A-HEW, Cyan Toner (Yld 2k) for HP All-in-One Printers Color LaserJet CM1015mfp, Color LaserJet CM1017mfp, HP Laser Printers Color LaserJet 1600, Color LaserJet 2600N, Color LaserJet 2605 Series, Color LaserJet CM1015mfp / CM1017mfp"</f>
        <v>TONER:HP Item # Q6001A-HEW, Cyan Toner (Yld 2k) for HP All-in-One Printers Color LaserJet CM1015mfp, Color LaserJet CM1017mfp, HP Laser Printers Color LaserJet 1600, Color LaserJet 2600N, Color LaserJet 2605 Series, Color LaserJet CM1015mfp / CM1017mfp</v>
      </c>
      <c r="G1222" s="3" t="str">
        <f t="shared" si="90"/>
        <v>EA</v>
      </c>
      <c r="H1222" s="7">
        <v>93.99</v>
      </c>
      <c r="I1222" s="2" t="str">
        <f>"44103103"</f>
        <v>44103103</v>
      </c>
      <c r="J1222" s="10" t="s">
        <v>99</v>
      </c>
    </row>
    <row r="1223" spans="1:10" ht="90">
      <c r="A1223" s="24" t="s">
        <v>27</v>
      </c>
      <c r="B1223" s="21" t="s">
        <v>31</v>
      </c>
      <c r="C1223" s="21">
        <v>3204</v>
      </c>
      <c r="D1223" s="21">
        <v>758</v>
      </c>
      <c r="E1223" s="21" t="str">
        <f>"1000000242"</f>
        <v>1000000242</v>
      </c>
      <c r="F1223" s="21" t="str">
        <f>"TONER:HP Item # Q6002A-HEW, Yellow Toner (Yld 2k) for HP All-in-One Printers Color LaserJet CM1015mfp, Color LaserJet CM1017mfp, HP Laser Printers Color LaserJet 1600, Color LaserJet 2600N, Color LaserJet 2605 Series, Color LaserJet CM1015mfp / CM1017mfp"</f>
        <v>TONER:HP Item # Q6002A-HEW, Yellow Toner (Yld 2k) for HP All-in-One Printers Color LaserJet CM1015mfp, Color LaserJet CM1017mfp, HP Laser Printers Color LaserJet 1600, Color LaserJet 2600N, Color LaserJet 2605 Series, Color LaserJet CM1015mfp / CM1017mfp</v>
      </c>
      <c r="G1223" s="22" t="str">
        <f t="shared" si="90"/>
        <v>EA</v>
      </c>
      <c r="H1223" s="23">
        <v>93.99</v>
      </c>
      <c r="I1223" s="21" t="str">
        <f>"44103103"</f>
        <v>44103103</v>
      </c>
      <c r="J1223" s="25" t="s">
        <v>99</v>
      </c>
    </row>
    <row r="1224" spans="1:10" ht="90">
      <c r="A1224" s="9" t="s">
        <v>27</v>
      </c>
      <c r="B1224" s="2" t="s">
        <v>31</v>
      </c>
      <c r="C1224" s="2">
        <v>3204</v>
      </c>
      <c r="D1224" s="2">
        <v>759</v>
      </c>
      <c r="E1224" s="2" t="str">
        <f>"1000001780"</f>
        <v>1000001780</v>
      </c>
      <c r="F1224" s="2" t="str">
        <f>"TONER:HP Item # Q6003A-HEW, Magenta Toner (Yld 2k) for HP All-in-One Printers Color LaserJet CM1015mfp, Color LaserJet CM1017mfp, HP Laser Printers Color LaserJet 1600, Color LaserJet 2600N, Color LaserJet 2605 Series, Color LaserJet CM1015mfp / CM1017mf"</f>
        <v>TONER:HP Item # Q6003A-HEW, Magenta Toner (Yld 2k) for HP All-in-One Printers Color LaserJet CM1015mfp, Color LaserJet CM1017mfp, HP Laser Printers Color LaserJet 1600, Color LaserJet 2600N, Color LaserJet 2605 Series, Color LaserJet CM1015mfp / CM1017mf</v>
      </c>
      <c r="G1224" s="3" t="str">
        <f t="shared" si="90"/>
        <v>EA</v>
      </c>
      <c r="H1224" s="7">
        <v>93.99</v>
      </c>
      <c r="I1224" s="2" t="str">
        <f>"44103103"</f>
        <v>44103103</v>
      </c>
      <c r="J1224" s="10" t="s">
        <v>99</v>
      </c>
    </row>
    <row r="1225" spans="1:10" ht="39">
      <c r="A1225" s="24" t="s">
        <v>27</v>
      </c>
      <c r="B1225" s="21" t="s">
        <v>31</v>
      </c>
      <c r="C1225" s="21">
        <v>3204</v>
      </c>
      <c r="D1225" s="21">
        <v>760</v>
      </c>
      <c r="E1225" s="21" t="str">
        <f>"1000017465"</f>
        <v>1000017465</v>
      </c>
      <c r="F1225" s="21" t="str">
        <f>"TONER:HP Item # Q6460A-HEW, HP Black laser toner cartridge for HP Color LaserJet 4730 mfp laser toner printers (12K Yld)"</f>
        <v>TONER:HP Item # Q6460A-HEW, HP Black laser toner cartridge for HP Color LaserJet 4730 mfp laser toner printers (12K Yld)</v>
      </c>
      <c r="G1225" s="22" t="str">
        <f t="shared" si="90"/>
        <v>EA</v>
      </c>
      <c r="H1225" s="23">
        <v>154.99</v>
      </c>
      <c r="I1225" s="21" t="str">
        <f>"44103105"</f>
        <v>44103105</v>
      </c>
      <c r="J1225" s="25" t="s">
        <v>98</v>
      </c>
    </row>
    <row r="1226" spans="1:10" ht="39">
      <c r="A1226" s="9" t="s">
        <v>27</v>
      </c>
      <c r="B1226" s="2" t="s">
        <v>31</v>
      </c>
      <c r="C1226" s="2">
        <v>3204</v>
      </c>
      <c r="D1226" s="2">
        <v>761</v>
      </c>
      <c r="E1226" s="2" t="str">
        <f>"1000017466"</f>
        <v>1000017466</v>
      </c>
      <c r="F1226" s="2" t="str">
        <f>"TONER:HP Item # Q6461-HEW, HP Cyan Toner Cartridge for HP Color Laserjet 4730mfp &amp; CM4730 Series Printers (12K Yld)"</f>
        <v>TONER:HP Item # Q6461-HEW, HP Cyan Toner Cartridge for HP Color Laserjet 4730mfp &amp; CM4730 Series Printers (12K Yld)</v>
      </c>
      <c r="G1226" s="3" t="str">
        <f t="shared" si="90"/>
        <v>EA</v>
      </c>
      <c r="H1226" s="7">
        <v>334.99</v>
      </c>
      <c r="I1226" s="2" t="str">
        <f>"44103105"</f>
        <v>44103105</v>
      </c>
      <c r="J1226" s="10" t="s">
        <v>98</v>
      </c>
    </row>
    <row r="1227" spans="1:10" ht="26.25">
      <c r="A1227" s="24" t="s">
        <v>27</v>
      </c>
      <c r="B1227" s="21" t="s">
        <v>31</v>
      </c>
      <c r="C1227" s="21">
        <v>3204</v>
      </c>
      <c r="D1227" s="21">
        <v>762</v>
      </c>
      <c r="E1227" s="21" t="str">
        <f>"1000017467"</f>
        <v>1000017467</v>
      </c>
      <c r="F1227" s="21" t="str">
        <f>"TONER:HP Item # Q6462A-HEW, HP Yellow laser toner cartridge LJ 4730 Toner (12K Yld)"</f>
        <v>TONER:HP Item # Q6462A-HEW, HP Yellow laser toner cartridge LJ 4730 Toner (12K Yld)</v>
      </c>
      <c r="G1227" s="22" t="str">
        <f t="shared" si="90"/>
        <v>EA</v>
      </c>
      <c r="H1227" s="23">
        <v>334.99</v>
      </c>
      <c r="I1227" s="21" t="str">
        <f>"44103105"</f>
        <v>44103105</v>
      </c>
      <c r="J1227" s="25" t="s">
        <v>98</v>
      </c>
    </row>
    <row r="1228" spans="1:10" ht="26.25">
      <c r="A1228" s="9" t="s">
        <v>27</v>
      </c>
      <c r="B1228" s="2" t="s">
        <v>31</v>
      </c>
      <c r="C1228" s="2">
        <v>3204</v>
      </c>
      <c r="D1228" s="2">
        <v>763</v>
      </c>
      <c r="E1228" s="2" t="str">
        <f>"1000017468"</f>
        <v>1000017468</v>
      </c>
      <c r="F1228" s="2" t="str">
        <f>"TONER:HP Item # Q6463A-HEW, HP Magenta laser toner cartridge LJ 4730 Toner (12K Yld)"</f>
        <v>TONER:HP Item # Q6463A-HEW, HP Magenta laser toner cartridge LJ 4730 Toner (12K Yld)</v>
      </c>
      <c r="G1228" s="3" t="str">
        <f t="shared" si="90"/>
        <v>EA</v>
      </c>
      <c r="H1228" s="7">
        <v>334.99</v>
      </c>
      <c r="I1228" s="2" t="str">
        <f>"44103105"</f>
        <v>44103105</v>
      </c>
      <c r="J1228" s="10" t="s">
        <v>98</v>
      </c>
    </row>
    <row r="1229" spans="1:10" ht="39">
      <c r="A1229" s="24" t="s">
        <v>27</v>
      </c>
      <c r="B1229" s="21" t="s">
        <v>31</v>
      </c>
      <c r="C1229" s="21">
        <v>3204</v>
      </c>
      <c r="D1229" s="21">
        <v>764</v>
      </c>
      <c r="E1229" s="21" t="str">
        <f>"1000001285"</f>
        <v>1000001285</v>
      </c>
      <c r="F1229" s="21" t="str">
        <f>"TONER:HP Item # Q6470A-HEW, Black Toner for Hewlett Packard Printers HP LaserJet 3600/3800, (Yld 6k)"</f>
        <v>TONER:HP Item # Q6470A-HEW, Black Toner for Hewlett Packard Printers HP LaserJet 3600/3800, (Yld 6k)</v>
      </c>
      <c r="G1229" s="22" t="str">
        <f t="shared" si="90"/>
        <v>EA</v>
      </c>
      <c r="H1229" s="23">
        <v>150</v>
      </c>
      <c r="I1229" s="21" t="str">
        <f>"44103103"</f>
        <v>44103103</v>
      </c>
      <c r="J1229" s="25" t="s">
        <v>99</v>
      </c>
    </row>
    <row r="1230" spans="1:10" ht="39">
      <c r="A1230" s="9" t="s">
        <v>27</v>
      </c>
      <c r="B1230" s="2" t="s">
        <v>31</v>
      </c>
      <c r="C1230" s="2">
        <v>3204</v>
      </c>
      <c r="D1230" s="2">
        <v>765</v>
      </c>
      <c r="E1230" s="2" t="str">
        <f>"1000000358"</f>
        <v>1000000358</v>
      </c>
      <c r="F1230" s="2" t="str">
        <f>"TONER:HP Item # Q6471A-HEW Cyan Toner for Hewlett Packard Printers LaserJet 3600, 3600dn, 3600n Printers. (Yld 4k)"</f>
        <v>TONER:HP Item # Q6471A-HEW Cyan Toner for Hewlett Packard Printers LaserJet 3600, 3600dn, 3600n Printers. (Yld 4k)</v>
      </c>
      <c r="G1230" s="3" t="str">
        <f t="shared" si="90"/>
        <v>EA</v>
      </c>
      <c r="H1230" s="7">
        <v>147.99</v>
      </c>
      <c r="I1230" s="2" t="str">
        <f>"44103103"</f>
        <v>44103103</v>
      </c>
      <c r="J1230" s="10" t="s">
        <v>99</v>
      </c>
    </row>
    <row r="1231" spans="1:10" ht="39">
      <c r="A1231" s="24" t="s">
        <v>27</v>
      </c>
      <c r="B1231" s="21" t="s">
        <v>31</v>
      </c>
      <c r="C1231" s="21">
        <v>3204</v>
      </c>
      <c r="D1231" s="21">
        <v>766</v>
      </c>
      <c r="E1231" s="21" t="str">
        <f>"1000000055"</f>
        <v>1000000055</v>
      </c>
      <c r="F1231" s="21" t="str">
        <f>"TONER:HP Item # Q6472A-HEW, Yellow Toner for Hewlett Packard Printers Color LaserJet 3600 , 3600dn, 3600n Printers (Yld 4k)"</f>
        <v>TONER:HP Item # Q6472A-HEW, Yellow Toner for Hewlett Packard Printers Color LaserJet 3600 , 3600dn, 3600n Printers (Yld 4k)</v>
      </c>
      <c r="G1231" s="22" t="str">
        <f t="shared" si="90"/>
        <v>EA</v>
      </c>
      <c r="H1231" s="23">
        <v>147.99</v>
      </c>
      <c r="I1231" s="21" t="str">
        <f>"44103103"</f>
        <v>44103103</v>
      </c>
      <c r="J1231" s="25" t="s">
        <v>99</v>
      </c>
    </row>
    <row r="1232" spans="1:10" ht="51.75">
      <c r="A1232" s="9" t="s">
        <v>27</v>
      </c>
      <c r="B1232" s="2" t="s">
        <v>31</v>
      </c>
      <c r="C1232" s="2">
        <v>3204</v>
      </c>
      <c r="D1232" s="2">
        <v>767</v>
      </c>
      <c r="E1232" s="2" t="str">
        <f>"1000001154"</f>
        <v>1000001154</v>
      </c>
      <c r="F1232" s="2" t="str">
        <f>"TONER:HP Item # Q6473A-HEW, Magenta Toner for Hewlett Packard Printers for HP Color LaserJet 3600, HP Color LaserJet 3600dn, HP Color LaserJet 3600n Printers (Yld 4k)"</f>
        <v>TONER:HP Item # Q6473A-HEW, Magenta Toner for Hewlett Packard Printers for HP Color LaserJet 3600, HP Color LaserJet 3600dn, HP Color LaserJet 3600n Printers (Yld 4k)</v>
      </c>
      <c r="G1232" s="3" t="str">
        <f t="shared" ref="G1232:G1239" si="91">"EA"</f>
        <v>EA</v>
      </c>
      <c r="H1232" s="7">
        <v>147.99</v>
      </c>
      <c r="I1232" s="2" t="str">
        <f>"44103103"</f>
        <v>44103103</v>
      </c>
      <c r="J1232" s="10" t="s">
        <v>99</v>
      </c>
    </row>
    <row r="1233" spans="1:10" ht="26.25">
      <c r="A1233" s="24" t="s">
        <v>27</v>
      </c>
      <c r="B1233" s="21" t="s">
        <v>31</v>
      </c>
      <c r="C1233" s="21">
        <v>3204</v>
      </c>
      <c r="D1233" s="21">
        <v>768</v>
      </c>
      <c r="E1233" s="21" t="str">
        <f>"1000000748"</f>
        <v>1000000748</v>
      </c>
      <c r="F1233" s="21" t="str">
        <f>"TONER:HP Item # Q6511A-HEW, No. 11 Toner for LaserJet 2400,2420,2430 (Yld 6k)"</f>
        <v>TONER:HP Item # Q6511A-HEW, No. 11 Toner for LaserJet 2400,2420,2430 (Yld 6k)</v>
      </c>
      <c r="G1233" s="22" t="str">
        <f t="shared" si="91"/>
        <v>EA</v>
      </c>
      <c r="H1233" s="23">
        <v>140.99</v>
      </c>
      <c r="I1233" s="21" t="str">
        <f>"44103103"</f>
        <v>44103103</v>
      </c>
      <c r="J1233" s="25" t="s">
        <v>99</v>
      </c>
    </row>
    <row r="1234" spans="1:10" ht="39">
      <c r="A1234" s="24" t="s">
        <v>27</v>
      </c>
      <c r="B1234" s="21" t="s">
        <v>31</v>
      </c>
      <c r="C1234" s="21">
        <v>3204</v>
      </c>
      <c r="D1234" s="21">
        <v>769</v>
      </c>
      <c r="E1234" s="21" t="str">
        <f>"1000017469"</f>
        <v>1000017469</v>
      </c>
      <c r="F1234" s="21" t="str">
        <f>"TONER:HP Item # Q6511X-HEW, HP No. 11 toner for LaserJet 2400, 2420, 2430 high yield (Yld 12k)"</f>
        <v>TONER:HP Item # Q6511X-HEW, HP No. 11 toner for LaserJet 2400, 2420, 2430 high yield (Yld 12k)</v>
      </c>
      <c r="G1234" s="22" t="str">
        <f t="shared" si="91"/>
        <v>EA</v>
      </c>
      <c r="H1234" s="23">
        <v>232.99</v>
      </c>
      <c r="I1234" s="21" t="str">
        <f>"44103105"</f>
        <v>44103105</v>
      </c>
      <c r="J1234" s="25" t="s">
        <v>98</v>
      </c>
    </row>
    <row r="1235" spans="1:10" ht="26.25">
      <c r="A1235" s="9" t="s">
        <v>27</v>
      </c>
      <c r="B1235" s="2" t="s">
        <v>31</v>
      </c>
      <c r="C1235" s="2">
        <v>3204</v>
      </c>
      <c r="D1235" s="2">
        <v>770</v>
      </c>
      <c r="E1235" s="2" t="str">
        <f>"1000017470"</f>
        <v>1000017470</v>
      </c>
      <c r="F1235" s="2" t="str">
        <f>"TONER:HP Item # Q7516A-HEW, HP Black toner cartridge for the 5200 series (Yld 12K)"</f>
        <v>TONER:HP Item # Q7516A-HEW, HP Black toner cartridge for the 5200 series (Yld 12K)</v>
      </c>
      <c r="G1235" s="3" t="str">
        <f t="shared" si="91"/>
        <v>EA</v>
      </c>
      <c r="H1235" s="7">
        <v>203</v>
      </c>
      <c r="I1235" s="2" t="str">
        <f>"44103105"</f>
        <v>44103105</v>
      </c>
      <c r="J1235" s="10" t="s">
        <v>98</v>
      </c>
    </row>
    <row r="1236" spans="1:10" ht="26.25">
      <c r="A1236" s="9" t="s">
        <v>27</v>
      </c>
      <c r="B1236" s="2" t="s">
        <v>31</v>
      </c>
      <c r="C1236" s="2">
        <v>3204</v>
      </c>
      <c r="D1236" s="2">
        <v>771</v>
      </c>
      <c r="E1236" s="2" t="str">
        <f>"1000001522"</f>
        <v>1000001522</v>
      </c>
      <c r="F1236" s="2" t="str">
        <f>"TONER:HP Item # Q7551A-HEW, Black Toner Cartridge for LaserJet P3005 (Yld 6.5k)"</f>
        <v>TONER:HP Item # Q7551A-HEW, Black Toner Cartridge for LaserJet P3005 (Yld 6.5k)</v>
      </c>
      <c r="G1236" s="3" t="str">
        <f t="shared" si="91"/>
        <v>EA</v>
      </c>
      <c r="H1236" s="7">
        <v>146.99</v>
      </c>
      <c r="I1236" s="2" t="str">
        <f>"44103103"</f>
        <v>44103103</v>
      </c>
      <c r="J1236" s="10" t="s">
        <v>99</v>
      </c>
    </row>
    <row r="1237" spans="1:10" ht="39">
      <c r="A1237" s="24" t="s">
        <v>27</v>
      </c>
      <c r="B1237" s="21" t="s">
        <v>31</v>
      </c>
      <c r="C1237" s="21">
        <v>3204</v>
      </c>
      <c r="D1237" s="21">
        <v>772</v>
      </c>
      <c r="E1237" s="21" t="str">
        <f>"1000001942"</f>
        <v>1000001942</v>
      </c>
      <c r="F1237" s="21" t="str">
        <f>"TONER:HP Item # Q7551X, Black print cartridge, high capacity, (Yld 13k) for LaserJet P3005"</f>
        <v>TONER:HP Item # Q7551X, Black print cartridge, high capacity, (Yld 13k) for LaserJet P3005</v>
      </c>
      <c r="G1237" s="22" t="str">
        <f t="shared" si="91"/>
        <v>EA</v>
      </c>
      <c r="H1237" s="23">
        <v>243.99</v>
      </c>
      <c r="I1237" s="21" t="str">
        <f>"44103103"</f>
        <v>44103103</v>
      </c>
      <c r="J1237" s="25" t="s">
        <v>99</v>
      </c>
    </row>
    <row r="1238" spans="1:10" ht="51.75">
      <c r="A1238" s="24" t="s">
        <v>27</v>
      </c>
      <c r="B1238" s="21" t="s">
        <v>31</v>
      </c>
      <c r="C1238" s="21">
        <v>3204</v>
      </c>
      <c r="D1238" s="21">
        <v>773</v>
      </c>
      <c r="E1238" s="21" t="str">
        <f>"1000017497"</f>
        <v>1000017497</v>
      </c>
      <c r="F1238" s="21" t="str">
        <f>"TONER:HP Item # Q7551X-MICR, HP MICR high yield toner (0281200001). (Yld 13k) for HP P3005 series, 3005d, 3005dt, Secure and Secure Ex printers"</f>
        <v>TONER:HP Item # Q7551X-MICR, HP MICR high yield toner (0281200001). (Yld 13k) for HP P3005 series, 3005d, 3005dt, Secure and Secure Ex printers</v>
      </c>
      <c r="G1238" s="22" t="str">
        <f t="shared" si="91"/>
        <v>EA</v>
      </c>
      <c r="H1238" s="23">
        <v>432</v>
      </c>
      <c r="I1238" s="21" t="str">
        <f>"44103105"</f>
        <v>44103105</v>
      </c>
      <c r="J1238" s="25" t="s">
        <v>98</v>
      </c>
    </row>
    <row r="1239" spans="1:10" ht="39">
      <c r="A1239" s="9" t="s">
        <v>27</v>
      </c>
      <c r="B1239" s="2" t="s">
        <v>31</v>
      </c>
      <c r="C1239" s="2">
        <v>3204</v>
      </c>
      <c r="D1239" s="2">
        <v>774</v>
      </c>
      <c r="E1239" s="2" t="str">
        <f>"1000000101"</f>
        <v>1000000101</v>
      </c>
      <c r="F1239" s="2" t="str">
        <f>"TONER:HP Item # Q7553A-HEW, HP Laser toner for P2015,P2015DN, P2015N and P2015X (Yld 3k)"</f>
        <v>TONER:HP Item # Q7553A-HEW, HP Laser toner for P2015,P2015DN, P2015N and P2015X (Yld 3k)</v>
      </c>
      <c r="G1239" s="3" t="str">
        <f t="shared" si="91"/>
        <v>EA</v>
      </c>
      <c r="H1239" s="7">
        <v>91.99</v>
      </c>
      <c r="I1239" s="2" t="str">
        <f>"44103103"</f>
        <v>44103103</v>
      </c>
      <c r="J1239" s="10" t="s">
        <v>99</v>
      </c>
    </row>
    <row r="1240" spans="1:10" ht="51.75">
      <c r="A1240" s="9" t="s">
        <v>27</v>
      </c>
      <c r="B1240" s="2" t="s">
        <v>31</v>
      </c>
      <c r="C1240" s="2">
        <v>3204</v>
      </c>
      <c r="D1240" s="2">
        <v>775</v>
      </c>
      <c r="E1240" s="2" t="str">
        <f>"1000017498"</f>
        <v>1000017498</v>
      </c>
      <c r="F1240" s="2" t="str">
        <f>"TONER:HP Item # Q7553XD-HEW, Black toner print cartridges, 53X, high capacity 14,000 page yield, for Laserjet P2015, M2727NF MFP, 2/package"</f>
        <v>TONER:HP Item # Q7553XD-HEW, Black toner print cartridges, 53X, high capacity 14,000 page yield, for Laserjet P2015, M2727NF MFP, 2/package</v>
      </c>
      <c r="G1240" s="3" t="str">
        <f>"PK"</f>
        <v>PK</v>
      </c>
      <c r="H1240" s="7">
        <v>301.99</v>
      </c>
      <c r="I1240" s="2" t="str">
        <f>"44103105"</f>
        <v>44103105</v>
      </c>
      <c r="J1240" s="10" t="s">
        <v>98</v>
      </c>
    </row>
    <row r="1241" spans="1:10" ht="39">
      <c r="A1241" s="24" t="s">
        <v>27</v>
      </c>
      <c r="B1241" s="21" t="s">
        <v>31</v>
      </c>
      <c r="C1241" s="21">
        <v>3204</v>
      </c>
      <c r="D1241" s="21">
        <v>776</v>
      </c>
      <c r="E1241" s="21" t="str">
        <f>"1000000688"</f>
        <v>1000000688</v>
      </c>
      <c r="F1241" s="21" t="str">
        <f>"TONER: HP Item # Q7553X-HEW, Black Laser Toner cartridge for P2015,P2015DN, P2015N and P2015X, (7K Yld)"</f>
        <v>TONER: HP Item # Q7553X-HEW, Black Laser Toner cartridge for P2015,P2015DN, P2015N and P2015X, (7K Yld)</v>
      </c>
      <c r="G1241" s="22" t="str">
        <f t="shared" ref="G1241:G1272" si="92">"EA"</f>
        <v>EA</v>
      </c>
      <c r="H1241" s="23">
        <v>167.99</v>
      </c>
      <c r="I1241" s="21" t="str">
        <f>"44103103"</f>
        <v>44103103</v>
      </c>
      <c r="J1241" s="25" t="s">
        <v>99</v>
      </c>
    </row>
    <row r="1242" spans="1:10" ht="26.25">
      <c r="A1242" s="24" t="s">
        <v>27</v>
      </c>
      <c r="B1242" s="21" t="s">
        <v>31</v>
      </c>
      <c r="C1242" s="21">
        <v>3204</v>
      </c>
      <c r="D1242" s="21">
        <v>777</v>
      </c>
      <c r="E1242" s="21" t="str">
        <f>"1000017499"</f>
        <v>1000017499</v>
      </c>
      <c r="F1242" s="21" t="str">
        <f>"TONER:HP Item # Q7560A-HEW, HP Black Toner Cartridge for Laserjet 3000 series (Yld 6.5k)"</f>
        <v>TONER:HP Item # Q7560A-HEW, HP Black Toner Cartridge for Laserjet 3000 series (Yld 6.5k)</v>
      </c>
      <c r="G1242" s="22" t="str">
        <f t="shared" si="92"/>
        <v>EA</v>
      </c>
      <c r="H1242" s="23">
        <v>152.99</v>
      </c>
      <c r="I1242" s="21" t="str">
        <f>"44103105"</f>
        <v>44103105</v>
      </c>
      <c r="J1242" s="25" t="s">
        <v>98</v>
      </c>
    </row>
    <row r="1243" spans="1:10" ht="26.25">
      <c r="A1243" s="9" t="s">
        <v>27</v>
      </c>
      <c r="B1243" s="2" t="s">
        <v>31</v>
      </c>
      <c r="C1243" s="2">
        <v>3204</v>
      </c>
      <c r="D1243" s="2">
        <v>778</v>
      </c>
      <c r="E1243" s="2" t="str">
        <f>"1000017500"</f>
        <v>1000017500</v>
      </c>
      <c r="F1243" s="2" t="str">
        <f>"TONER:HP Item # Q7561A-HEW, HP Cyan Toner Cartridge for Laserjet 3000, (3.5k yld)"</f>
        <v>TONER:HP Item # Q7561A-HEW, HP Cyan Toner Cartridge for Laserjet 3000, (3.5k yld)</v>
      </c>
      <c r="G1243" s="3" t="str">
        <f t="shared" si="92"/>
        <v>EA</v>
      </c>
      <c r="H1243" s="7">
        <v>144.99</v>
      </c>
      <c r="I1243" s="2" t="str">
        <f>"44103105"</f>
        <v>44103105</v>
      </c>
      <c r="J1243" s="10" t="s">
        <v>98</v>
      </c>
    </row>
    <row r="1244" spans="1:10" ht="39">
      <c r="A1244" s="24" t="s">
        <v>27</v>
      </c>
      <c r="B1244" s="21" t="s">
        <v>31</v>
      </c>
      <c r="C1244" s="21">
        <v>3204</v>
      </c>
      <c r="D1244" s="21">
        <v>779</v>
      </c>
      <c r="E1244" s="21" t="str">
        <f>"1000017501"</f>
        <v>1000017501</v>
      </c>
      <c r="F1244" s="21" t="str">
        <f>"TONER:HP Item # Q7562A-HEW, HP yellow laser toner cartridge for Laserjet 3000 laser toner printers (Yld 3.5k)"</f>
        <v>TONER:HP Item # Q7562A-HEW, HP yellow laser toner cartridge for Laserjet 3000 laser toner printers (Yld 3.5k)</v>
      </c>
      <c r="G1244" s="22" t="str">
        <f t="shared" si="92"/>
        <v>EA</v>
      </c>
      <c r="H1244" s="23">
        <v>144.99</v>
      </c>
      <c r="I1244" s="21" t="str">
        <f>"44103105"</f>
        <v>44103105</v>
      </c>
      <c r="J1244" s="25" t="s">
        <v>98</v>
      </c>
    </row>
    <row r="1245" spans="1:10" ht="39">
      <c r="A1245" s="9" t="s">
        <v>27</v>
      </c>
      <c r="B1245" s="2" t="s">
        <v>31</v>
      </c>
      <c r="C1245" s="2">
        <v>3204</v>
      </c>
      <c r="D1245" s="2">
        <v>780</v>
      </c>
      <c r="E1245" s="2" t="str">
        <f>"1000017502"</f>
        <v>1000017502</v>
      </c>
      <c r="F1245" s="2" t="str">
        <f>"TONER:HP Item # Q7563-HEW, HP Magenta Toner Cartridge for Color LaserJet 3000 Series, (Yld 3.5k)"</f>
        <v>TONER:HP Item # Q7563-HEW, HP Magenta Toner Cartridge for Color LaserJet 3000 Series, (Yld 3.5k)</v>
      </c>
      <c r="G1245" s="3" t="str">
        <f t="shared" si="92"/>
        <v>EA</v>
      </c>
      <c r="H1245" s="7">
        <v>144.99</v>
      </c>
      <c r="I1245" s="2" t="str">
        <f>"44103105"</f>
        <v>44103105</v>
      </c>
      <c r="J1245" s="10" t="s">
        <v>98</v>
      </c>
    </row>
    <row r="1246" spans="1:10" ht="51.75">
      <c r="A1246" s="9" t="s">
        <v>27</v>
      </c>
      <c r="B1246" s="2" t="s">
        <v>31</v>
      </c>
      <c r="C1246" s="2">
        <v>3204</v>
      </c>
      <c r="D1246" s="2">
        <v>781</v>
      </c>
      <c r="E1246" s="2" t="str">
        <f>"1000000463"</f>
        <v>1000000463</v>
      </c>
      <c r="F1246" s="2" t="str">
        <f>"TONER:HP Item # Q7581A-HEW,HP ColorSphere Cyan laser toner cartridge designed for the HP Color LaserJet 3800 laser toner printers (Yld 6k)"</f>
        <v>TONER:HP Item # Q7581A-HEW,HP ColorSphere Cyan laser toner cartridge designed for the HP Color LaserJet 3800 laser toner printers (Yld 6k)</v>
      </c>
      <c r="G1246" s="3" t="str">
        <f t="shared" si="92"/>
        <v>EA</v>
      </c>
      <c r="H1246" s="7">
        <v>192.99</v>
      </c>
      <c r="I1246" s="2" t="str">
        <f>"44103103"</f>
        <v>44103103</v>
      </c>
      <c r="J1246" s="10" t="s">
        <v>99</v>
      </c>
    </row>
    <row r="1247" spans="1:10" ht="51.75">
      <c r="A1247" s="24" t="s">
        <v>27</v>
      </c>
      <c r="B1247" s="21" t="s">
        <v>31</v>
      </c>
      <c r="C1247" s="21">
        <v>3204</v>
      </c>
      <c r="D1247" s="21">
        <v>782</v>
      </c>
      <c r="E1247" s="21" t="str">
        <f>"1000001899"</f>
        <v>1000001899</v>
      </c>
      <c r="F1247" s="21" t="str">
        <f>"TONER:HP Item # Q7582A-HEW, HP ColorSphere Yellow laser toner cartridge for HP Color LaserJet 3800 laser toner printers (Yld 6k)"</f>
        <v>TONER:HP Item # Q7582A-HEW, HP ColorSphere Yellow laser toner cartridge for HP Color LaserJet 3800 laser toner printers (Yld 6k)</v>
      </c>
      <c r="G1247" s="22" t="str">
        <f t="shared" si="92"/>
        <v>EA</v>
      </c>
      <c r="H1247" s="23">
        <v>192.99</v>
      </c>
      <c r="I1247" s="21" t="str">
        <f>"44103103"</f>
        <v>44103103</v>
      </c>
      <c r="J1247" s="25" t="s">
        <v>99</v>
      </c>
    </row>
    <row r="1248" spans="1:10" ht="51.75">
      <c r="A1248" s="9" t="s">
        <v>27</v>
      </c>
      <c r="B1248" s="2" t="s">
        <v>31</v>
      </c>
      <c r="C1248" s="2">
        <v>3204</v>
      </c>
      <c r="D1248" s="2">
        <v>783</v>
      </c>
      <c r="E1248" s="2" t="str">
        <f>"1000001898"</f>
        <v>1000001898</v>
      </c>
      <c r="F1248" s="2" t="str">
        <f>"TONER:HP Item # Q7583A-HEW, HP ColorSphere Magenta laser toner cartridge for HP Color LaserJet 3800 laser toner printers (Yld 6k)"</f>
        <v>TONER:HP Item # Q7583A-HEW, HP ColorSphere Magenta laser toner cartridge for HP Color LaserJet 3800 laser toner printers (Yld 6k)</v>
      </c>
      <c r="G1248" s="3" t="str">
        <f t="shared" si="92"/>
        <v>EA</v>
      </c>
      <c r="H1248" s="7">
        <v>192.99</v>
      </c>
      <c r="I1248" s="2" t="str">
        <f>"44103103"</f>
        <v>44103103</v>
      </c>
      <c r="J1248" s="10" t="s">
        <v>99</v>
      </c>
    </row>
    <row r="1249" spans="1:10" ht="39">
      <c r="A1249" s="9" t="s">
        <v>27</v>
      </c>
      <c r="B1249" s="2" t="s">
        <v>31</v>
      </c>
      <c r="C1249" s="2">
        <v>3204</v>
      </c>
      <c r="D1249" s="2">
        <v>785</v>
      </c>
      <c r="E1249" s="2" t="str">
        <f>"1000017479"</f>
        <v>1000017479</v>
      </c>
      <c r="F1249" s="2" t="str">
        <f>"TONER:IBM Item # 28P2492-IBM, Toner cartridge for IBM Infoprint 1120/1125 (Yld 20k)"</f>
        <v>TONER:IBM Item # 28P2492-IBM, Toner cartridge for IBM Infoprint 1120/1125 (Yld 20k)</v>
      </c>
      <c r="G1249" s="3" t="str">
        <f t="shared" si="92"/>
        <v>EA</v>
      </c>
      <c r="H1249" s="7">
        <v>349</v>
      </c>
      <c r="I1249" s="2" t="str">
        <f t="shared" ref="I1249:I1280" si="93">"44103105"</f>
        <v>44103105</v>
      </c>
      <c r="J1249" s="10" t="s">
        <v>98</v>
      </c>
    </row>
    <row r="1250" spans="1:10" ht="26.25">
      <c r="A1250" s="24" t="s">
        <v>27</v>
      </c>
      <c r="B1250" s="21" t="s">
        <v>31</v>
      </c>
      <c r="C1250" s="21">
        <v>3204</v>
      </c>
      <c r="D1250" s="21">
        <v>786</v>
      </c>
      <c r="E1250" s="21" t="str">
        <f>"1000017480"</f>
        <v>1000017480</v>
      </c>
      <c r="F1250" s="21" t="str">
        <f>"TONER:IBM Item # 63H2401-IBM,Black toner cartridge for IBM Network Printer 16 (Yld 10k)"</f>
        <v>TONER:IBM Item # 63H2401-IBM,Black toner cartridge for IBM Network Printer 16 (Yld 10k)</v>
      </c>
      <c r="G1250" s="22" t="str">
        <f t="shared" si="92"/>
        <v>EA</v>
      </c>
      <c r="H1250" s="23">
        <v>204</v>
      </c>
      <c r="I1250" s="21" t="str">
        <f t="shared" si="93"/>
        <v>44103105</v>
      </c>
      <c r="J1250" s="25" t="s">
        <v>98</v>
      </c>
    </row>
    <row r="1251" spans="1:10" ht="39">
      <c r="A1251" s="9" t="s">
        <v>27</v>
      </c>
      <c r="B1251" s="2" t="s">
        <v>31</v>
      </c>
      <c r="C1251" s="2">
        <v>3204</v>
      </c>
      <c r="D1251" s="2">
        <v>787</v>
      </c>
      <c r="E1251" s="2" t="str">
        <f>"1000017481"</f>
        <v>1000017481</v>
      </c>
      <c r="F1251" s="2" t="str">
        <f>"TONER:IBM Item # 90H0748-BC, Brand Compatible Black toner cartridge for IBM InfoPrint 20/4320 (Yld 14k)"</f>
        <v>TONER:IBM Item # 90H0748-BC, Brand Compatible Black toner cartridge for IBM InfoPrint 20/4320 (Yld 14k)</v>
      </c>
      <c r="G1251" s="3" t="str">
        <f t="shared" si="92"/>
        <v>EA</v>
      </c>
      <c r="H1251" s="7">
        <v>169</v>
      </c>
      <c r="I1251" s="2" t="str">
        <f t="shared" si="93"/>
        <v>44103105</v>
      </c>
      <c r="J1251" s="10" t="s">
        <v>98</v>
      </c>
    </row>
    <row r="1252" spans="1:10" ht="39">
      <c r="A1252" s="24" t="s">
        <v>27</v>
      </c>
      <c r="B1252" s="21" t="s">
        <v>31</v>
      </c>
      <c r="C1252" s="21">
        <v>3204</v>
      </c>
      <c r="D1252" s="21">
        <v>788</v>
      </c>
      <c r="E1252" s="21" t="str">
        <f>"1000017482"</f>
        <v>1000017482</v>
      </c>
      <c r="F1252" s="21" t="str">
        <f>"TONER:IBM Item # 90H3566-BC, Brand Compatible Black toner cartridge for IBM InfoPrint 32/40/4332 (Yld 23k)"</f>
        <v>TONER:IBM Item # 90H3566-BC, Brand Compatible Black toner cartridge for IBM InfoPrint 32/40/4332 (Yld 23k)</v>
      </c>
      <c r="G1252" s="22" t="str">
        <f t="shared" si="92"/>
        <v>EA</v>
      </c>
      <c r="H1252" s="23">
        <v>146</v>
      </c>
      <c r="I1252" s="21" t="str">
        <f t="shared" si="93"/>
        <v>44103105</v>
      </c>
      <c r="J1252" s="25" t="s">
        <v>98</v>
      </c>
    </row>
    <row r="1253" spans="1:10" ht="39">
      <c r="A1253" s="9" t="s">
        <v>27</v>
      </c>
      <c r="B1253" s="2" t="s">
        <v>31</v>
      </c>
      <c r="C1253" s="2">
        <v>3204</v>
      </c>
      <c r="D1253" s="2">
        <v>789</v>
      </c>
      <c r="E1253" s="2" t="str">
        <f>"1000017483"</f>
        <v>1000017483</v>
      </c>
      <c r="F1253" s="2" t="str">
        <f>"TONER:IBM Item # 90H3566-IBM, Black toner cartridge for IBM InfoPrint 32/40/4332 (Yld 23k)"</f>
        <v>TONER:IBM Item # 90H3566-IBM, Black toner cartridge for IBM InfoPrint 32/40/4332 (Yld 23k)</v>
      </c>
      <c r="G1253" s="3" t="str">
        <f t="shared" si="92"/>
        <v>EA</v>
      </c>
      <c r="H1253" s="7">
        <v>297</v>
      </c>
      <c r="I1253" s="2" t="str">
        <f t="shared" si="93"/>
        <v>44103105</v>
      </c>
      <c r="J1253" s="10" t="s">
        <v>98</v>
      </c>
    </row>
    <row r="1254" spans="1:10" ht="51.75">
      <c r="A1254" s="24" t="s">
        <v>27</v>
      </c>
      <c r="B1254" s="21" t="s">
        <v>31</v>
      </c>
      <c r="C1254" s="21">
        <v>3204</v>
      </c>
      <c r="D1254" s="21">
        <v>790</v>
      </c>
      <c r="E1254" s="21" t="str">
        <f>"1000017510"</f>
        <v>1000017510</v>
      </c>
      <c r="F1254" s="21" t="str">
        <f>"TONER:KON Item # 4161106-MNL, Konica Minolta Black Laser Toner Cartridge for the Konica Minolta SP 2000 / 3000 Laser Toner Printers"</f>
        <v>TONER:KON Item # 4161106-MNL, Konica Minolta Black Laser Toner Cartridge for the Konica Minolta SP 2000 / 3000 Laser Toner Printers</v>
      </c>
      <c r="G1254" s="22" t="str">
        <f t="shared" si="92"/>
        <v>EA</v>
      </c>
      <c r="H1254" s="23">
        <v>191</v>
      </c>
      <c r="I1254" s="21" t="str">
        <f t="shared" si="93"/>
        <v>44103105</v>
      </c>
      <c r="J1254" s="25" t="s">
        <v>98</v>
      </c>
    </row>
    <row r="1255" spans="1:10" ht="39">
      <c r="A1255" s="9" t="s">
        <v>27</v>
      </c>
      <c r="B1255" s="2" t="s">
        <v>31</v>
      </c>
      <c r="C1255" s="2">
        <v>3204</v>
      </c>
      <c r="D1255" s="2">
        <v>791</v>
      </c>
      <c r="E1255" s="2" t="str">
        <f>"1000017511"</f>
        <v>1000017511</v>
      </c>
      <c r="F1255" s="2" t="str">
        <f>"TONER:KON Item # 950246-KNI, Konica Black Toner Cartridge for Konica 7022, 7130, 7222, 7228 copiers. (Yld 30k)"</f>
        <v>TONER:KON Item # 950246-KNI, Konica Black Toner Cartridge for Konica 7022, 7130, 7222, 7228 copiers. (Yld 30k)</v>
      </c>
      <c r="G1255" s="3" t="str">
        <f t="shared" si="92"/>
        <v>EA</v>
      </c>
      <c r="H1255" s="7">
        <v>114</v>
      </c>
      <c r="I1255" s="2" t="str">
        <f t="shared" si="93"/>
        <v>44103105</v>
      </c>
      <c r="J1255" s="10" t="s">
        <v>98</v>
      </c>
    </row>
    <row r="1256" spans="1:10" ht="51.75">
      <c r="A1256" s="24" t="s">
        <v>27</v>
      </c>
      <c r="B1256" s="21" t="s">
        <v>31</v>
      </c>
      <c r="C1256" s="21">
        <v>3204</v>
      </c>
      <c r="D1256" s="21">
        <v>792</v>
      </c>
      <c r="E1256" s="21" t="str">
        <f>"1000017512"</f>
        <v>1000017512</v>
      </c>
      <c r="F1256" s="21" t="str">
        <f>"TONER:KYO Item # TK332-MTA, Kyocera black laser toner cartridge for Kyocera Mita FS-4000DN laser toner printers (20,000 page yield)"</f>
        <v>TONER:KYO Item # TK332-MTA, Kyocera black laser toner cartridge for Kyocera Mita FS-4000DN laser toner printers (20,000 page yield)</v>
      </c>
      <c r="G1256" s="22" t="str">
        <f t="shared" si="92"/>
        <v>EA</v>
      </c>
      <c r="H1256" s="23">
        <v>86.65</v>
      </c>
      <c r="I1256" s="21" t="str">
        <f t="shared" si="93"/>
        <v>44103105</v>
      </c>
      <c r="J1256" s="25" t="s">
        <v>98</v>
      </c>
    </row>
    <row r="1257" spans="1:10" ht="26.25">
      <c r="A1257" s="9" t="s">
        <v>27</v>
      </c>
      <c r="B1257" s="2" t="s">
        <v>31</v>
      </c>
      <c r="C1257" s="2">
        <v>3204</v>
      </c>
      <c r="D1257" s="2">
        <v>793</v>
      </c>
      <c r="E1257" s="2" t="str">
        <f>"1000017513"</f>
        <v>1000017513</v>
      </c>
      <c r="F1257" s="2" t="str">
        <f>"TONER:KYO Item # TK-67-MTA, Black Toner Cartridge for FS3820N &amp; FS3830N Printers"</f>
        <v>TONER:KYO Item # TK-67-MTA, Black Toner Cartridge for FS3820N &amp; FS3830N Printers</v>
      </c>
      <c r="G1257" s="3" t="str">
        <f t="shared" si="92"/>
        <v>EA</v>
      </c>
      <c r="H1257" s="7">
        <v>111</v>
      </c>
      <c r="I1257" s="2" t="str">
        <f t="shared" si="93"/>
        <v>44103105</v>
      </c>
      <c r="J1257" s="10" t="s">
        <v>98</v>
      </c>
    </row>
    <row r="1258" spans="1:10" ht="39">
      <c r="A1258" s="24" t="s">
        <v>27</v>
      </c>
      <c r="B1258" s="21" t="s">
        <v>31</v>
      </c>
      <c r="C1258" s="21">
        <v>3204</v>
      </c>
      <c r="D1258" s="21">
        <v>794</v>
      </c>
      <c r="E1258" s="21" t="str">
        <f>"1000017514"</f>
        <v>1000017514</v>
      </c>
      <c r="F1258" s="21" t="str">
        <f>"TONER:LAN Item # 4910282-LAN, Lanier toner cartridge for Lanier 210/1240/1260/1290 MFD Toner/Developer (Yld 7.5k)"</f>
        <v>TONER:LAN Item # 4910282-LAN, Lanier toner cartridge for Lanier 210/1240/1260/1290 MFD Toner/Developer (Yld 7.5k)</v>
      </c>
      <c r="G1258" s="22" t="str">
        <f t="shared" si="92"/>
        <v>EA</v>
      </c>
      <c r="H1258" s="23">
        <v>116</v>
      </c>
      <c r="I1258" s="21" t="str">
        <f t="shared" si="93"/>
        <v>44103105</v>
      </c>
      <c r="J1258" s="25" t="s">
        <v>98</v>
      </c>
    </row>
    <row r="1259" spans="1:10" ht="39">
      <c r="A1259" s="9" t="s">
        <v>27</v>
      </c>
      <c r="B1259" s="2" t="s">
        <v>31</v>
      </c>
      <c r="C1259" s="2">
        <v>3204</v>
      </c>
      <c r="D1259" s="2">
        <v>795</v>
      </c>
      <c r="E1259" s="2" t="str">
        <f>"1000017516"</f>
        <v>1000017516</v>
      </c>
      <c r="F1259" s="2" t="str">
        <f>"TONER:LEX Item # 08A0476-LEX, Lexmark Toner Cartridge for E320/E322 Laser Printers, (Yld 3k)"</f>
        <v>TONER:LEX Item # 08A0476-LEX, Lexmark Toner Cartridge for E320/E322 Laser Printers, (Yld 3k)</v>
      </c>
      <c r="G1259" s="3" t="str">
        <f t="shared" si="92"/>
        <v>EA</v>
      </c>
      <c r="H1259" s="7">
        <v>102</v>
      </c>
      <c r="I1259" s="2" t="str">
        <f t="shared" si="93"/>
        <v>44103105</v>
      </c>
      <c r="J1259" s="10" t="s">
        <v>98</v>
      </c>
    </row>
    <row r="1260" spans="1:10" ht="39">
      <c r="A1260" s="24" t="s">
        <v>27</v>
      </c>
      <c r="B1260" s="21" t="s">
        <v>31</v>
      </c>
      <c r="C1260" s="21">
        <v>3204</v>
      </c>
      <c r="D1260" s="21">
        <v>796</v>
      </c>
      <c r="E1260" s="21" t="str">
        <f>"1000017491"</f>
        <v>1000017491</v>
      </c>
      <c r="F1260" s="21" t="str">
        <f>"TONER:LEX Item # 08A0477-BC, Brand Compatible High Yield Toner for Lexmark E320/E322 (Yld 6k)"</f>
        <v>TONER:LEX Item # 08A0477-BC, Brand Compatible High Yield Toner for Lexmark E320/E322 (Yld 6k)</v>
      </c>
      <c r="G1260" s="22" t="str">
        <f t="shared" si="92"/>
        <v>EA</v>
      </c>
      <c r="H1260" s="23">
        <v>100</v>
      </c>
      <c r="I1260" s="21" t="str">
        <f t="shared" si="93"/>
        <v>44103105</v>
      </c>
      <c r="J1260" s="25" t="s">
        <v>98</v>
      </c>
    </row>
    <row r="1261" spans="1:10" ht="26.25">
      <c r="A1261" s="9" t="s">
        <v>27</v>
      </c>
      <c r="B1261" s="2" t="s">
        <v>31</v>
      </c>
      <c r="C1261" s="2">
        <v>3204</v>
      </c>
      <c r="D1261" s="2">
        <v>797</v>
      </c>
      <c r="E1261" s="2" t="str">
        <f>"1000017492"</f>
        <v>1000017492</v>
      </c>
      <c r="F1261" s="2" t="str">
        <f>"TONER:LEX Item # 08A0477-LEX, Lexmark Toner Cartridge, High-yield for E320/E322, (Yld 6k)"</f>
        <v>TONER:LEX Item # 08A0477-LEX, Lexmark Toner Cartridge, High-yield for E320/E322, (Yld 6k)</v>
      </c>
      <c r="G1261" s="3" t="str">
        <f t="shared" si="92"/>
        <v>EA</v>
      </c>
      <c r="H1261" s="7">
        <v>190</v>
      </c>
      <c r="I1261" s="2" t="str">
        <f t="shared" si="93"/>
        <v>44103105</v>
      </c>
      <c r="J1261" s="10" t="s">
        <v>98</v>
      </c>
    </row>
    <row r="1262" spans="1:10" ht="39">
      <c r="A1262" s="24" t="s">
        <v>27</v>
      </c>
      <c r="B1262" s="21" t="s">
        <v>31</v>
      </c>
      <c r="C1262" s="21">
        <v>3204</v>
      </c>
      <c r="D1262" s="21">
        <v>798</v>
      </c>
      <c r="E1262" s="21" t="str">
        <f>"1000017589"</f>
        <v>1000017589</v>
      </c>
      <c r="F1262" s="21" t="str">
        <f>"TONER:LEX Item #08A0478-LEX, Lexmark Toner Cartridge for Optra E320/E322 Laser Printers, Black. (Yld 6k)"</f>
        <v>TONER:LEX Item #08A0478-LEX, Lexmark Toner Cartridge for Optra E320/E322 Laser Printers, Black. (Yld 6k)</v>
      </c>
      <c r="G1262" s="22" t="str">
        <f t="shared" si="92"/>
        <v>EA</v>
      </c>
      <c r="H1262" s="23">
        <v>158.99</v>
      </c>
      <c r="I1262" s="21" t="str">
        <f t="shared" si="93"/>
        <v>44103105</v>
      </c>
      <c r="J1262" s="25" t="s">
        <v>98</v>
      </c>
    </row>
    <row r="1263" spans="1:10" ht="39">
      <c r="A1263" s="9" t="s">
        <v>27</v>
      </c>
      <c r="B1263" s="2" t="s">
        <v>31</v>
      </c>
      <c r="C1263" s="2">
        <v>3204</v>
      </c>
      <c r="D1263" s="2">
        <v>799</v>
      </c>
      <c r="E1263" s="2" t="str">
        <f>"1000017493"</f>
        <v>1000017493</v>
      </c>
      <c r="F1263" s="2" t="str">
        <f>"TONER:LEX Item # 10B042C-LEX, Lexmark Cyan Toner for Lexmark C750 Series &amp; X750e Printers (Yld 15k)"</f>
        <v>TONER:LEX Item # 10B042C-LEX, Lexmark Cyan Toner for Lexmark C750 Series &amp; X750e Printers (Yld 15k)</v>
      </c>
      <c r="G1263" s="3" t="str">
        <f t="shared" si="92"/>
        <v>EA</v>
      </c>
      <c r="H1263" s="7">
        <v>443</v>
      </c>
      <c r="I1263" s="2" t="str">
        <f t="shared" si="93"/>
        <v>44103105</v>
      </c>
      <c r="J1263" s="10" t="s">
        <v>98</v>
      </c>
    </row>
    <row r="1264" spans="1:10" ht="39">
      <c r="A1264" s="24" t="s">
        <v>27</v>
      </c>
      <c r="B1264" s="21" t="s">
        <v>31</v>
      </c>
      <c r="C1264" s="21">
        <v>3204</v>
      </c>
      <c r="D1264" s="21">
        <v>800</v>
      </c>
      <c r="E1264" s="21" t="str">
        <f>"1000017494"</f>
        <v>1000017494</v>
      </c>
      <c r="F1264" s="21" t="str">
        <f>"TONER:LEX Item # 10B042K-LEX, Lexmark Black Toner for Lexmark C750 Series &amp; X750e Printers (Yld 15k)"</f>
        <v>TONER:LEX Item # 10B042K-LEX, Lexmark Black Toner for Lexmark C750 Series &amp; X750e Printers (Yld 15k)</v>
      </c>
      <c r="G1264" s="22" t="str">
        <f t="shared" si="92"/>
        <v>EA</v>
      </c>
      <c r="H1264" s="23">
        <v>217</v>
      </c>
      <c r="I1264" s="21" t="str">
        <f t="shared" si="93"/>
        <v>44103105</v>
      </c>
      <c r="J1264" s="25" t="s">
        <v>98</v>
      </c>
    </row>
    <row r="1265" spans="1:10" ht="39">
      <c r="A1265" s="9" t="s">
        <v>27</v>
      </c>
      <c r="B1265" s="2" t="s">
        <v>31</v>
      </c>
      <c r="C1265" s="2">
        <v>3204</v>
      </c>
      <c r="D1265" s="2">
        <v>801</v>
      </c>
      <c r="E1265" s="2" t="str">
        <f>"1000017495"</f>
        <v>1000017495</v>
      </c>
      <c r="F1265" s="2" t="str">
        <f>"TONER:LEX Item # 10B042M-LEX, Lexmark Magenta Toner for Lexmark C750 Series &amp; X750e Printers (Yld 15k)"</f>
        <v>TONER:LEX Item # 10B042M-LEX, Lexmark Magenta Toner for Lexmark C750 Series &amp; X750e Printers (Yld 15k)</v>
      </c>
      <c r="G1265" s="3" t="str">
        <f t="shared" si="92"/>
        <v>EA</v>
      </c>
      <c r="H1265" s="7">
        <v>443</v>
      </c>
      <c r="I1265" s="2" t="str">
        <f t="shared" si="93"/>
        <v>44103105</v>
      </c>
      <c r="J1265" s="10" t="s">
        <v>98</v>
      </c>
    </row>
    <row r="1266" spans="1:10" ht="39">
      <c r="A1266" s="24" t="s">
        <v>27</v>
      </c>
      <c r="B1266" s="21" t="s">
        <v>31</v>
      </c>
      <c r="C1266" s="21">
        <v>3204</v>
      </c>
      <c r="D1266" s="21">
        <v>802</v>
      </c>
      <c r="E1266" s="21" t="str">
        <f>"1000017496"</f>
        <v>1000017496</v>
      </c>
      <c r="F1266" s="21" t="str">
        <f>"TONER:LEX Item # 10B042Y-LEX, Lexmark Yellow Toner for Lexmark C750 Series &amp; X750e Printers (Yld 15k)"</f>
        <v>TONER:LEX Item # 10B042Y-LEX, Lexmark Yellow Toner for Lexmark C750 Series &amp; X750e Printers (Yld 15k)</v>
      </c>
      <c r="G1266" s="22" t="str">
        <f t="shared" si="92"/>
        <v>EA</v>
      </c>
      <c r="H1266" s="23">
        <v>443</v>
      </c>
      <c r="I1266" s="21" t="str">
        <f t="shared" si="93"/>
        <v>44103105</v>
      </c>
      <c r="J1266" s="25" t="s">
        <v>98</v>
      </c>
    </row>
    <row r="1267" spans="1:10" ht="51.75">
      <c r="A1267" s="9" t="s">
        <v>27</v>
      </c>
      <c r="B1267" s="2" t="s">
        <v>31</v>
      </c>
      <c r="C1267" s="2">
        <v>3204</v>
      </c>
      <c r="D1267" s="2">
        <v>803</v>
      </c>
      <c r="E1267" s="2" t="str">
        <f>"1000017522"</f>
        <v>1000017522</v>
      </c>
      <c r="F1267" s="2" t="str">
        <f>"TONER:LEX Item # 10N0016-LEX, Lexmark 16 Standard-Yield Black Inkjet Cartridge for Z13/23/33/Compaq IJ650 Ink Cartridge, Black, (Yld 410)"</f>
        <v>TONER:LEX Item # 10N0016-LEX, Lexmark 16 Standard-Yield Black Inkjet Cartridge for Z13/23/33/Compaq IJ650 Ink Cartridge, Black, (Yld 410)</v>
      </c>
      <c r="G1267" s="3" t="str">
        <f t="shared" si="92"/>
        <v>EA</v>
      </c>
      <c r="H1267" s="7">
        <v>39.32</v>
      </c>
      <c r="I1267" s="2" t="str">
        <f t="shared" si="93"/>
        <v>44103105</v>
      </c>
      <c r="J1267" s="10" t="s">
        <v>98</v>
      </c>
    </row>
    <row r="1268" spans="1:10" ht="51.75">
      <c r="A1268" s="24" t="s">
        <v>27</v>
      </c>
      <c r="B1268" s="21" t="s">
        <v>31</v>
      </c>
      <c r="C1268" s="21">
        <v>3204</v>
      </c>
      <c r="D1268" s="21">
        <v>804</v>
      </c>
      <c r="E1268" s="21" t="str">
        <f>"1000017523"</f>
        <v>1000017523</v>
      </c>
      <c r="F1268" s="21" t="str">
        <f>"TONER:LEX Item # 10N0026-LEX, Lexmark 26 Standard-Yield Color Inkjet Cartridge for Z13/ 23/ 33/ Compaq IJ650 Ink Cartridge, Color, High Resolution (Yld 275)"</f>
        <v>TONER:LEX Item # 10N0026-LEX, Lexmark 26 Standard-Yield Color Inkjet Cartridge for Z13/ 23/ 33/ Compaq IJ650 Ink Cartridge, Color, High Resolution (Yld 275)</v>
      </c>
      <c r="G1268" s="22" t="str">
        <f t="shared" si="92"/>
        <v>EA</v>
      </c>
      <c r="H1268" s="23">
        <v>36</v>
      </c>
      <c r="I1268" s="21" t="str">
        <f t="shared" si="93"/>
        <v>44103105</v>
      </c>
      <c r="J1268" s="25" t="s">
        <v>98</v>
      </c>
    </row>
    <row r="1269" spans="1:10" ht="77.25">
      <c r="A1269" s="9" t="s">
        <v>27</v>
      </c>
      <c r="B1269" s="2" t="s">
        <v>31</v>
      </c>
      <c r="C1269" s="2">
        <v>3204</v>
      </c>
      <c r="D1269" s="2">
        <v>805</v>
      </c>
      <c r="E1269" s="2" t="str">
        <f>"1000017524"</f>
        <v>1000017524</v>
      </c>
      <c r="F1269" s="2" t="str">
        <f>"TONER:LEX Item # 10N0217-LEX, Lexmark No. 17 Black ink cartridge, compatible with Lexmark Z13, Z23, Z25, Z33, Z35, Z515, Z605, Z615 and inkjet printers, Lexmark X75, X1150, X1185 and X2250 multifunction printers and Compaq IJ650 inkjet printer"</f>
        <v>TONER:LEX Item # 10N0217-LEX, Lexmark No. 17 Black ink cartridge, compatible with Lexmark Z13, Z23, Z25, Z33, Z35, Z515, Z605, Z615 and inkjet printers, Lexmark X75, X1150, X1185 and X2250 multifunction printers and Compaq IJ650 inkjet printer</v>
      </c>
      <c r="G1269" s="3" t="str">
        <f t="shared" si="92"/>
        <v>EA</v>
      </c>
      <c r="H1269" s="7">
        <v>22</v>
      </c>
      <c r="I1269" s="2" t="str">
        <f t="shared" si="93"/>
        <v>44103105</v>
      </c>
      <c r="J1269" s="10" t="s">
        <v>98</v>
      </c>
    </row>
    <row r="1270" spans="1:10" ht="51.75">
      <c r="A1270" s="24" t="s">
        <v>27</v>
      </c>
      <c r="B1270" s="21" t="s">
        <v>31</v>
      </c>
      <c r="C1270" s="21">
        <v>3204</v>
      </c>
      <c r="D1270" s="21">
        <v>806</v>
      </c>
      <c r="E1270" s="21" t="str">
        <f>"1000017525"</f>
        <v>1000017525</v>
      </c>
      <c r="F1270" s="21" t="str">
        <f>"TONER:LEX Item # 10N0227-LEX, Lexmark No. 27 Ink Moderate Yield Color Cartridge for InkJet Printers, (140 Yield) for Z13/23/25/33/35/515/605/616"</f>
        <v>TONER:LEX Item # 10N0227-LEX, Lexmark No. 27 Ink Moderate Yield Color Cartridge for InkJet Printers, (140 Yield) for Z13/23/25/33/35/515/605/616</v>
      </c>
      <c r="G1270" s="22" t="str">
        <f t="shared" si="92"/>
        <v>EA</v>
      </c>
      <c r="H1270" s="23">
        <v>28.39</v>
      </c>
      <c r="I1270" s="21" t="str">
        <f t="shared" si="93"/>
        <v>44103105</v>
      </c>
      <c r="J1270" s="25" t="s">
        <v>98</v>
      </c>
    </row>
    <row r="1271" spans="1:10" ht="51.75">
      <c r="A1271" s="9" t="s">
        <v>27</v>
      </c>
      <c r="B1271" s="2" t="s">
        <v>31</v>
      </c>
      <c r="C1271" s="2">
        <v>3204</v>
      </c>
      <c r="D1271" s="2">
        <v>807</v>
      </c>
      <c r="E1271" s="2" t="str">
        <f>"1000017527"</f>
        <v>1000017527</v>
      </c>
      <c r="F1271" s="2" t="str">
        <f>"TONER:LEX Item # 12A1970-LEX, Lexmark Black toner cartridge for Lexmark 3200/5000/5700/5770/7000/7200, Optra 40&amp;45, 11/31/42/ 43/ 51/52/53/82 (Yld 600)"</f>
        <v>TONER:LEX Item # 12A1970-LEX, Lexmark Black toner cartridge for Lexmark 3200/5000/5700/5770/7000/7200, Optra 40&amp;45, 11/31/42/ 43/ 51/52/53/82 (Yld 600)</v>
      </c>
      <c r="G1271" s="3" t="str">
        <f t="shared" si="92"/>
        <v>EA</v>
      </c>
      <c r="H1271" s="7">
        <v>44.82</v>
      </c>
      <c r="I1271" s="2" t="str">
        <f t="shared" si="93"/>
        <v>44103105</v>
      </c>
      <c r="J1271" s="10" t="s">
        <v>98</v>
      </c>
    </row>
    <row r="1272" spans="1:10" ht="39">
      <c r="A1272" s="24" t="s">
        <v>27</v>
      </c>
      <c r="B1272" s="21" t="s">
        <v>31</v>
      </c>
      <c r="C1272" s="21">
        <v>3204</v>
      </c>
      <c r="D1272" s="21">
        <v>808</v>
      </c>
      <c r="E1272" s="21" t="str">
        <f>"1000017504"</f>
        <v>1000017504</v>
      </c>
      <c r="F1272" s="21" t="str">
        <f>"TONER:LEX Item # 12A5745-BC, Brand compatible toner for Lexmark Optra T 610/612/614/616 (Yld 25k)"</f>
        <v>TONER:LEX Item # 12A5745-BC, Brand compatible toner for Lexmark Optra T 610/612/614/616 (Yld 25k)</v>
      </c>
      <c r="G1272" s="22" t="str">
        <f t="shared" si="92"/>
        <v>EA</v>
      </c>
      <c r="H1272" s="23">
        <v>136</v>
      </c>
      <c r="I1272" s="21" t="str">
        <f t="shared" si="93"/>
        <v>44103105</v>
      </c>
      <c r="J1272" s="25" t="s">
        <v>98</v>
      </c>
    </row>
    <row r="1273" spans="1:10" ht="39">
      <c r="A1273" s="9" t="s">
        <v>27</v>
      </c>
      <c r="B1273" s="2" t="s">
        <v>31</v>
      </c>
      <c r="C1273" s="2">
        <v>3204</v>
      </c>
      <c r="D1273" s="2">
        <v>809</v>
      </c>
      <c r="E1273" s="2" t="str">
        <f>"1000017505"</f>
        <v>1000017505</v>
      </c>
      <c r="F1273" s="2" t="str">
        <f>"TONER:LEX Item # 12A5840-LEX, Lexmark toner cartridge for Lexmark Optra T 610/612/614/616 (Yld 10k)"</f>
        <v>TONER:LEX Item # 12A5840-LEX, Lexmark toner cartridge for Lexmark Optra T 610/612/614/616 (Yld 10k)</v>
      </c>
      <c r="G1273" s="3" t="str">
        <f t="shared" ref="G1273:G1304" si="94">"EA"</f>
        <v>EA</v>
      </c>
      <c r="H1273" s="7">
        <v>201</v>
      </c>
      <c r="I1273" s="2" t="str">
        <f t="shared" si="93"/>
        <v>44103105</v>
      </c>
      <c r="J1273" s="10" t="s">
        <v>98</v>
      </c>
    </row>
    <row r="1274" spans="1:10" ht="39">
      <c r="A1274" s="24" t="s">
        <v>27</v>
      </c>
      <c r="B1274" s="21" t="s">
        <v>31</v>
      </c>
      <c r="C1274" s="21">
        <v>3204</v>
      </c>
      <c r="D1274" s="21">
        <v>810</v>
      </c>
      <c r="E1274" s="21" t="str">
        <f>"1000017506"</f>
        <v>1000017506</v>
      </c>
      <c r="F1274" s="21" t="str">
        <f>"TONER:LEX Item # 12A5845-LEX, Lexmark Black toner cartridge for Lexmark Optra T 610/612/614/616 (Yld 25k)"</f>
        <v>TONER:LEX Item # 12A5845-LEX, Lexmark Black toner cartridge for Lexmark Optra T 610/612/614/616 (Yld 25k)</v>
      </c>
      <c r="G1274" s="22" t="str">
        <f t="shared" si="94"/>
        <v>EA</v>
      </c>
      <c r="H1274" s="23">
        <v>365.32</v>
      </c>
      <c r="I1274" s="21" t="str">
        <f t="shared" si="93"/>
        <v>44103105</v>
      </c>
      <c r="J1274" s="25" t="s">
        <v>98</v>
      </c>
    </row>
    <row r="1275" spans="1:10" ht="39">
      <c r="A1275" s="9" t="s">
        <v>27</v>
      </c>
      <c r="B1275" s="2" t="s">
        <v>31</v>
      </c>
      <c r="C1275" s="2">
        <v>3204</v>
      </c>
      <c r="D1275" s="2">
        <v>811</v>
      </c>
      <c r="E1275" s="2" t="str">
        <f>"1000017507"</f>
        <v>1000017507</v>
      </c>
      <c r="F1275" s="2" t="str">
        <f>"TONER:LEX Item # 12A6735-BC, Brand Compatible High Yield Toner for Lexmark T520, T522, X520, X522 printers, (Yld 20k)"</f>
        <v>TONER:LEX Item # 12A6735-BC, Brand Compatible High Yield Toner for Lexmark T520, T522, X520, X522 printers, (Yld 20k)</v>
      </c>
      <c r="G1275" s="3" t="str">
        <f t="shared" si="94"/>
        <v>EA</v>
      </c>
      <c r="H1275" s="7">
        <v>159</v>
      </c>
      <c r="I1275" s="2" t="str">
        <f t="shared" si="93"/>
        <v>44103105</v>
      </c>
      <c r="J1275" s="10" t="s">
        <v>98</v>
      </c>
    </row>
    <row r="1276" spans="1:10" ht="26.25">
      <c r="A1276" s="24" t="s">
        <v>27</v>
      </c>
      <c r="B1276" s="21" t="s">
        <v>31</v>
      </c>
      <c r="C1276" s="21">
        <v>3204</v>
      </c>
      <c r="D1276" s="21">
        <v>812</v>
      </c>
      <c r="E1276" s="21" t="str">
        <f>"1000017508"</f>
        <v>1000017508</v>
      </c>
      <c r="F1276" s="21" t="str">
        <f>"TONER:LEX Item # 12A6830-LEX, Lexmark toner cartridge for Optra T 520/522 (Yld 7.5k)"</f>
        <v>TONER:LEX Item # 12A6830-LEX, Lexmark toner cartridge for Optra T 520/522 (Yld 7.5k)</v>
      </c>
      <c r="G1276" s="22" t="str">
        <f t="shared" si="94"/>
        <v>EA</v>
      </c>
      <c r="H1276" s="23">
        <v>189</v>
      </c>
      <c r="I1276" s="21" t="str">
        <f t="shared" si="93"/>
        <v>44103105</v>
      </c>
      <c r="J1276" s="25" t="s">
        <v>98</v>
      </c>
    </row>
    <row r="1277" spans="1:10" ht="26.25">
      <c r="A1277" s="9" t="s">
        <v>27</v>
      </c>
      <c r="B1277" s="2" t="s">
        <v>31</v>
      </c>
      <c r="C1277" s="2">
        <v>3204</v>
      </c>
      <c r="D1277" s="2">
        <v>813</v>
      </c>
      <c r="E1277" s="2" t="str">
        <f>"1000017509"</f>
        <v>1000017509</v>
      </c>
      <c r="F1277" s="2" t="str">
        <f>"TONER:LEX Item # 12A6835-LEX, Lexmark toner cartridge for Optra T 520/522 (Yld 20k)"</f>
        <v>TONER:LEX Item # 12A6835-LEX, Lexmark toner cartridge for Optra T 520/522 (Yld 20k)</v>
      </c>
      <c r="G1277" s="3" t="str">
        <f t="shared" si="94"/>
        <v>EA</v>
      </c>
      <c r="H1277" s="7">
        <v>364.66</v>
      </c>
      <c r="I1277" s="2" t="str">
        <f t="shared" si="93"/>
        <v>44103105</v>
      </c>
      <c r="J1277" s="10" t="s">
        <v>98</v>
      </c>
    </row>
    <row r="1278" spans="1:10" ht="26.25">
      <c r="A1278" s="24" t="s">
        <v>27</v>
      </c>
      <c r="B1278" s="21" t="s">
        <v>31</v>
      </c>
      <c r="C1278" s="21">
        <v>3204</v>
      </c>
      <c r="D1278" s="21">
        <v>814</v>
      </c>
      <c r="E1278" s="21" t="str">
        <f>"1000017533"</f>
        <v>1000017533</v>
      </c>
      <c r="F1278" s="21" t="str">
        <f>"TONER:LEX Item # 12A6860-LEX, Lexmark toner cartridge for Optra T 620/622 (Yld 10k)"</f>
        <v>TONER:LEX Item # 12A6860-LEX, Lexmark toner cartridge for Optra T 620/622 (Yld 10k)</v>
      </c>
      <c r="G1278" s="22" t="str">
        <f t="shared" si="94"/>
        <v>EA</v>
      </c>
      <c r="H1278" s="23">
        <v>157</v>
      </c>
      <c r="I1278" s="21" t="str">
        <f t="shared" si="93"/>
        <v>44103105</v>
      </c>
      <c r="J1278" s="25" t="s">
        <v>98</v>
      </c>
    </row>
    <row r="1279" spans="1:10" ht="26.25">
      <c r="A1279" s="9" t="s">
        <v>27</v>
      </c>
      <c r="B1279" s="2" t="s">
        <v>31</v>
      </c>
      <c r="C1279" s="2">
        <v>3204</v>
      </c>
      <c r="D1279" s="2">
        <v>815</v>
      </c>
      <c r="E1279" s="2" t="str">
        <f>"1000017534"</f>
        <v>1000017534</v>
      </c>
      <c r="F1279" s="2" t="str">
        <f>"TONER:LEX Item # 12A7305-LEX, Lexmark toner cartridge for E321/E323 (Yld 6k)"</f>
        <v>TONER:LEX Item # 12A7305-LEX, Lexmark toner cartridge for E321/E323 (Yld 6k)</v>
      </c>
      <c r="G1279" s="3" t="str">
        <f t="shared" si="94"/>
        <v>EA</v>
      </c>
      <c r="H1279" s="7">
        <v>183</v>
      </c>
      <c r="I1279" s="2" t="str">
        <f t="shared" si="93"/>
        <v>44103105</v>
      </c>
      <c r="J1279" s="10" t="s">
        <v>98</v>
      </c>
    </row>
    <row r="1280" spans="1:10" ht="39">
      <c r="A1280" s="24" t="s">
        <v>27</v>
      </c>
      <c r="B1280" s="21" t="s">
        <v>31</v>
      </c>
      <c r="C1280" s="21">
        <v>3204</v>
      </c>
      <c r="D1280" s="21">
        <v>816</v>
      </c>
      <c r="E1280" s="21" t="str">
        <f>"1000017535"</f>
        <v>1000017535</v>
      </c>
      <c r="F1280" s="21" t="str">
        <f>"TONER:LEX Item # 12A7315-BC, Brand Compatible Black laser toner for Lexmark T420 (Yld 10k)"</f>
        <v>TONER:LEX Item # 12A7315-BC, Brand Compatible Black laser toner for Lexmark T420 (Yld 10k)</v>
      </c>
      <c r="G1280" s="22" t="str">
        <f t="shared" si="94"/>
        <v>EA</v>
      </c>
      <c r="H1280" s="23">
        <v>120</v>
      </c>
      <c r="I1280" s="21" t="str">
        <f t="shared" si="93"/>
        <v>44103105</v>
      </c>
      <c r="J1280" s="25" t="s">
        <v>98</v>
      </c>
    </row>
    <row r="1281" spans="1:10" ht="39">
      <c r="A1281" s="9" t="s">
        <v>27</v>
      </c>
      <c r="B1281" s="2" t="s">
        <v>31</v>
      </c>
      <c r="C1281" s="2">
        <v>3204</v>
      </c>
      <c r="D1281" s="2">
        <v>817</v>
      </c>
      <c r="E1281" s="2" t="str">
        <f>"1000017536"</f>
        <v>1000017536</v>
      </c>
      <c r="F1281" s="2" t="str">
        <f>"TONER:LEX Item # 12A7362-BC, Brand Compatible toner for Lexmark T630/632/634 (Yld 21k)"</f>
        <v>TONER:LEX Item # 12A7362-BC, Brand Compatible toner for Lexmark T630/632/634 (Yld 21k)</v>
      </c>
      <c r="G1281" s="3" t="str">
        <f t="shared" si="94"/>
        <v>EA</v>
      </c>
      <c r="H1281" s="7">
        <v>206</v>
      </c>
      <c r="I1281" s="2" t="str">
        <f t="shared" ref="I1281:I1312" si="95">"44103105"</f>
        <v>44103105</v>
      </c>
      <c r="J1281" s="10" t="s">
        <v>98</v>
      </c>
    </row>
    <row r="1282" spans="1:10" ht="26.25">
      <c r="A1282" s="24" t="s">
        <v>27</v>
      </c>
      <c r="B1282" s="21" t="s">
        <v>31</v>
      </c>
      <c r="C1282" s="21">
        <v>3204</v>
      </c>
      <c r="D1282" s="21">
        <v>818</v>
      </c>
      <c r="E1282" s="21" t="str">
        <f>"1000017537"</f>
        <v>1000017537</v>
      </c>
      <c r="F1282" s="21" t="str">
        <f>"TONER:LEX Item # 12A7362-LEX, Lexmark Black toner cartridge for T630/632/634 (Yld 21k)"</f>
        <v>TONER:LEX Item # 12A7362-LEX, Lexmark Black toner cartridge for T630/632/634 (Yld 21k)</v>
      </c>
      <c r="G1282" s="22" t="str">
        <f t="shared" si="94"/>
        <v>EA</v>
      </c>
      <c r="H1282" s="23">
        <v>468</v>
      </c>
      <c r="I1282" s="21" t="str">
        <f t="shared" si="95"/>
        <v>44103105</v>
      </c>
      <c r="J1282" s="25" t="s">
        <v>98</v>
      </c>
    </row>
    <row r="1283" spans="1:10" ht="26.25">
      <c r="A1283" s="9" t="s">
        <v>27</v>
      </c>
      <c r="B1283" s="2" t="s">
        <v>31</v>
      </c>
      <c r="C1283" s="2">
        <v>3204</v>
      </c>
      <c r="D1283" s="2">
        <v>819</v>
      </c>
      <c r="E1283" s="2" t="str">
        <f>"1000017539"</f>
        <v>1000017539</v>
      </c>
      <c r="F1283" s="2" t="str">
        <f>"TONER:LEX Item # 12A7400-LEX, Lexmark Black toner for E321/E323 (Yld 3k)"</f>
        <v>TONER:LEX Item # 12A7400-LEX, Lexmark Black toner for E321/E323 (Yld 3k)</v>
      </c>
      <c r="G1283" s="3" t="str">
        <f t="shared" si="94"/>
        <v>EA</v>
      </c>
      <c r="H1283" s="7">
        <v>111.99</v>
      </c>
      <c r="I1283" s="2" t="str">
        <f t="shared" si="95"/>
        <v>44103105</v>
      </c>
      <c r="J1283" s="10" t="s">
        <v>98</v>
      </c>
    </row>
    <row r="1284" spans="1:10" ht="51.75">
      <c r="A1284" s="24" t="s">
        <v>27</v>
      </c>
      <c r="B1284" s="21" t="s">
        <v>31</v>
      </c>
      <c r="C1284" s="21">
        <v>3204</v>
      </c>
      <c r="D1284" s="21">
        <v>820</v>
      </c>
      <c r="E1284" s="21" t="str">
        <f>"1000017540"</f>
        <v>1000017540</v>
      </c>
      <c r="F1284" s="21" t="str">
        <f>"TONER:LEX Item # 12A7405-LEX, Lexmark Black toner cartridge for E321/E323 (Yld 6k) includes a prepaid return label to recycle the printer cartridge."</f>
        <v>TONER:LEX Item # 12A7405-LEX, Lexmark Black toner cartridge for E321/E323 (Yld 6k) includes a prepaid return label to recycle the printer cartridge.</v>
      </c>
      <c r="G1284" s="22" t="str">
        <f t="shared" si="94"/>
        <v>EA</v>
      </c>
      <c r="H1284" s="23">
        <v>156</v>
      </c>
      <c r="I1284" s="21" t="str">
        <f t="shared" si="95"/>
        <v>44103105</v>
      </c>
      <c r="J1284" s="25" t="s">
        <v>98</v>
      </c>
    </row>
    <row r="1285" spans="1:10" ht="26.25">
      <c r="A1285" s="9" t="s">
        <v>27</v>
      </c>
      <c r="B1285" s="2" t="s">
        <v>31</v>
      </c>
      <c r="C1285" s="2">
        <v>3204</v>
      </c>
      <c r="D1285" s="2">
        <v>821</v>
      </c>
      <c r="E1285" s="2" t="str">
        <f>"1000017541"</f>
        <v>1000017541</v>
      </c>
      <c r="F1285" s="2" t="str">
        <f>"TONER:LEX Item # 12A7460-LEX, Lexmark toner cartridge for T630/632/632E/634 (Yld 5k)"</f>
        <v>TONER:LEX Item # 12A7460-LEX, Lexmark toner cartridge for T630/632/632E/634 (Yld 5k)</v>
      </c>
      <c r="G1285" s="3" t="str">
        <f t="shared" si="94"/>
        <v>EA</v>
      </c>
      <c r="H1285" s="7">
        <v>136</v>
      </c>
      <c r="I1285" s="2" t="str">
        <f t="shared" si="95"/>
        <v>44103105</v>
      </c>
      <c r="J1285" s="10" t="s">
        <v>98</v>
      </c>
    </row>
    <row r="1286" spans="1:10" ht="26.25">
      <c r="A1286" s="24" t="s">
        <v>27</v>
      </c>
      <c r="B1286" s="21" t="s">
        <v>31</v>
      </c>
      <c r="C1286" s="21">
        <v>3204</v>
      </c>
      <c r="D1286" s="21">
        <v>822</v>
      </c>
      <c r="E1286" s="21" t="str">
        <f>"1000017517"</f>
        <v>1000017517</v>
      </c>
      <c r="F1286" s="21" t="str">
        <f>"TONER:LEX Item # 12A7462-LEX, Lexmark toner cartridge for T630/632/634 (Yld 21k)"</f>
        <v>TONER:LEX Item # 12A7462-LEX, Lexmark toner cartridge for T630/632/634 (Yld 21k)</v>
      </c>
      <c r="G1286" s="22" t="str">
        <f t="shared" si="94"/>
        <v>EA</v>
      </c>
      <c r="H1286" s="23">
        <v>378.32</v>
      </c>
      <c r="I1286" s="21" t="str">
        <f t="shared" si="95"/>
        <v>44103105</v>
      </c>
      <c r="J1286" s="25" t="s">
        <v>98</v>
      </c>
    </row>
    <row r="1287" spans="1:10" ht="39">
      <c r="A1287" s="9" t="s">
        <v>27</v>
      </c>
      <c r="B1287" s="2" t="s">
        <v>31</v>
      </c>
      <c r="C1287" s="2">
        <v>3204</v>
      </c>
      <c r="D1287" s="2">
        <v>823</v>
      </c>
      <c r="E1287" s="2" t="str">
        <f>"1000017518"</f>
        <v>1000017518</v>
      </c>
      <c r="F1287" s="2" t="str">
        <f>"TONER:LEX Item # 12B0090-BC, Brand Compatible toner cartridge, Black for Optra W 820 (Yld 30k)"</f>
        <v>TONER:LEX Item # 12B0090-BC, Brand Compatible toner cartridge, Black for Optra W 820 (Yld 30k)</v>
      </c>
      <c r="G1287" s="3" t="str">
        <f t="shared" si="94"/>
        <v>EA</v>
      </c>
      <c r="H1287" s="7">
        <v>148</v>
      </c>
      <c r="I1287" s="2" t="str">
        <f t="shared" si="95"/>
        <v>44103105</v>
      </c>
      <c r="J1287" s="10" t="s">
        <v>98</v>
      </c>
    </row>
    <row r="1288" spans="1:10" ht="26.25">
      <c r="A1288" s="24" t="s">
        <v>27</v>
      </c>
      <c r="B1288" s="21" t="s">
        <v>31</v>
      </c>
      <c r="C1288" s="21">
        <v>3204</v>
      </c>
      <c r="D1288" s="21">
        <v>824</v>
      </c>
      <c r="E1288" s="21" t="str">
        <f>"1000017519"</f>
        <v>1000017519</v>
      </c>
      <c r="F1288" s="21" t="str">
        <f>"TONER:LEX Item # 12B0090-LEX, Lexmark toner cartridge for Optra W 820 (Yld 30k)"</f>
        <v>TONER:LEX Item # 12B0090-LEX, Lexmark toner cartridge for Optra W 820 (Yld 30k)</v>
      </c>
      <c r="G1288" s="22" t="str">
        <f t="shared" si="94"/>
        <v>EA</v>
      </c>
      <c r="H1288" s="23">
        <v>316</v>
      </c>
      <c r="I1288" s="21" t="str">
        <f t="shared" si="95"/>
        <v>44103105</v>
      </c>
      <c r="J1288" s="25" t="s">
        <v>98</v>
      </c>
    </row>
    <row r="1289" spans="1:10" ht="64.5">
      <c r="A1289" s="9" t="s">
        <v>27</v>
      </c>
      <c r="B1289" s="2" t="s">
        <v>31</v>
      </c>
      <c r="C1289" s="2">
        <v>3204</v>
      </c>
      <c r="D1289" s="2">
        <v>825</v>
      </c>
      <c r="E1289" s="2" t="str">
        <f>"1000017521"</f>
        <v>1000017521</v>
      </c>
      <c r="F1289" s="2" t="str">
        <f>"TONER:LEX Item # 13400HC-LEX, Black toner cartridge for Lexmark 1000/1020/1100/2030/2050/2055/3000, ExecJet IIC, IBM 4076, MEDLEY 4sx, WINWRITER 100 / 150C"</f>
        <v>TONER:LEX Item # 13400HC-LEX, Black toner cartridge for Lexmark 1000/1020/1100/2030/2050/2055/3000, ExecJet IIC, IBM 4076, MEDLEY 4sx, WINWRITER 100 / 150C</v>
      </c>
      <c r="G1289" s="3" t="str">
        <f t="shared" si="94"/>
        <v>EA</v>
      </c>
      <c r="H1289" s="7">
        <v>37</v>
      </c>
      <c r="I1289" s="2" t="str">
        <f t="shared" si="95"/>
        <v>44103105</v>
      </c>
      <c r="J1289" s="10" t="s">
        <v>98</v>
      </c>
    </row>
    <row r="1290" spans="1:10" ht="39">
      <c r="A1290" s="24" t="s">
        <v>27</v>
      </c>
      <c r="B1290" s="21" t="s">
        <v>31</v>
      </c>
      <c r="C1290" s="21">
        <v>3204</v>
      </c>
      <c r="D1290" s="21">
        <v>826</v>
      </c>
      <c r="E1290" s="21" t="str">
        <f>"1000017544"</f>
        <v>1000017544</v>
      </c>
      <c r="F1290" s="21" t="str">
        <f>"TONER:LEX Item # 1380520-BC, Brand Compatible toner cartridge for Lexmark 4019/4028/4029/Winwriter 600"</f>
        <v>TONER:LEX Item # 1380520-BC, Brand Compatible toner cartridge for Lexmark 4019/4028/4029/Winwriter 600</v>
      </c>
      <c r="G1290" s="22" t="str">
        <f t="shared" si="94"/>
        <v>EA</v>
      </c>
      <c r="H1290" s="23">
        <v>84</v>
      </c>
      <c r="I1290" s="21" t="str">
        <f t="shared" si="95"/>
        <v>44103105</v>
      </c>
      <c r="J1290" s="25" t="s">
        <v>98</v>
      </c>
    </row>
    <row r="1291" spans="1:10" ht="39">
      <c r="A1291" s="9" t="s">
        <v>27</v>
      </c>
      <c r="B1291" s="2" t="s">
        <v>31</v>
      </c>
      <c r="C1291" s="2">
        <v>3204</v>
      </c>
      <c r="D1291" s="2">
        <v>827</v>
      </c>
      <c r="E1291" s="2" t="str">
        <f>"1000017545"</f>
        <v>1000017545</v>
      </c>
      <c r="F1291" s="2" t="str">
        <f>"TONER:LEX Item # 1380950-BC, Brand compatible toner cartridge for Lexmark 4039/3912/3916 (Yld 12.8k)"</f>
        <v>TONER:LEX Item # 1380950-BC, Brand compatible toner cartridge for Lexmark 4039/3912/3916 (Yld 12.8k)</v>
      </c>
      <c r="G1291" s="3" t="str">
        <f t="shared" si="94"/>
        <v>EA</v>
      </c>
      <c r="H1291" s="7">
        <v>223</v>
      </c>
      <c r="I1291" s="2" t="str">
        <f t="shared" si="95"/>
        <v>44103105</v>
      </c>
      <c r="J1291" s="10" t="s">
        <v>98</v>
      </c>
    </row>
    <row r="1292" spans="1:10" ht="39">
      <c r="A1292" s="24" t="s">
        <v>27</v>
      </c>
      <c r="B1292" s="21" t="s">
        <v>31</v>
      </c>
      <c r="C1292" s="21">
        <v>3204</v>
      </c>
      <c r="D1292" s="21">
        <v>828</v>
      </c>
      <c r="E1292" s="21" t="str">
        <f>"1000017546"</f>
        <v>1000017546</v>
      </c>
      <c r="F1292" s="21" t="str">
        <f>"TONER:LEX Item # 1382100-BC, Brand Compatible toner cartridge for Lexmark Optra 4049/3112/3116/LX+/RT+ (Yld 7k)"</f>
        <v>TONER:LEX Item # 1382100-BC, Brand Compatible toner cartridge for Lexmark Optra 4049/3112/3116/LX+/RT+ (Yld 7k)</v>
      </c>
      <c r="G1292" s="22" t="str">
        <f t="shared" si="94"/>
        <v>EA</v>
      </c>
      <c r="H1292" s="23">
        <v>93</v>
      </c>
      <c r="I1292" s="21" t="str">
        <f t="shared" si="95"/>
        <v>44103105</v>
      </c>
      <c r="J1292" s="25" t="s">
        <v>98</v>
      </c>
    </row>
    <row r="1293" spans="1:10" ht="39">
      <c r="A1293" s="9" t="s">
        <v>27</v>
      </c>
      <c r="B1293" s="2" t="s">
        <v>31</v>
      </c>
      <c r="C1293" s="2">
        <v>3204</v>
      </c>
      <c r="D1293" s="2">
        <v>829</v>
      </c>
      <c r="E1293" s="2" t="str">
        <f>"1000017547"</f>
        <v>1000017547</v>
      </c>
      <c r="F1293" s="2" t="str">
        <f>"TONER:LEX Item # 1382100-LEX, Lexmark Toner Cartridge, Black Diamond Fine for Optra 4049/3112/3116/LX+/RT Printers, (Yld 7k)"</f>
        <v>TONER:LEX Item # 1382100-LEX, Lexmark Toner Cartridge, Black Diamond Fine for Optra 4049/3112/3116/LX+/RT Printers, (Yld 7k)</v>
      </c>
      <c r="G1293" s="3" t="str">
        <f t="shared" si="94"/>
        <v>EA</v>
      </c>
      <c r="H1293" s="7">
        <v>265</v>
      </c>
      <c r="I1293" s="2" t="str">
        <f t="shared" si="95"/>
        <v>44103105</v>
      </c>
      <c r="J1293" s="10" t="s">
        <v>98</v>
      </c>
    </row>
    <row r="1294" spans="1:10" ht="39">
      <c r="A1294" s="24" t="s">
        <v>27</v>
      </c>
      <c r="B1294" s="21" t="s">
        <v>31</v>
      </c>
      <c r="C1294" s="21">
        <v>3204</v>
      </c>
      <c r="D1294" s="21">
        <v>830</v>
      </c>
      <c r="E1294" s="21" t="str">
        <f>"1000017548"</f>
        <v>1000017548</v>
      </c>
      <c r="F1294" s="21" t="str">
        <f>"TONER:LEX Item # 1382150-BC, Brand Compatible toner cartridge for Lexmark Optra 4049/3112/3116/LX+/RT+ (Yld 14k)"</f>
        <v>TONER:LEX Item # 1382150-BC, Brand Compatible toner cartridge for Lexmark Optra 4049/3112/3116/LX+/RT+ (Yld 14k)</v>
      </c>
      <c r="G1294" s="22" t="str">
        <f t="shared" si="94"/>
        <v>EA</v>
      </c>
      <c r="H1294" s="23">
        <v>97</v>
      </c>
      <c r="I1294" s="21" t="str">
        <f t="shared" si="95"/>
        <v>44103105</v>
      </c>
      <c r="J1294" s="25" t="s">
        <v>98</v>
      </c>
    </row>
    <row r="1295" spans="1:10" ht="39">
      <c r="A1295" s="9" t="s">
        <v>27</v>
      </c>
      <c r="B1295" s="2" t="s">
        <v>31</v>
      </c>
      <c r="C1295" s="2">
        <v>3204</v>
      </c>
      <c r="D1295" s="2">
        <v>831</v>
      </c>
      <c r="E1295" s="2" t="str">
        <f>"1000017526"</f>
        <v>1000017526</v>
      </c>
      <c r="F1295" s="2" t="str">
        <f>"TONER:LEX Item # 1382150-LEX, Lexmark Toner Cartridge, Diamond Fine, high yield, (Yld 14k) for Optra 4049/3112/3116/LX+/RT+"</f>
        <v>TONER:LEX Item # 1382150-LEX, Lexmark Toner Cartridge, Diamond Fine, high yield, (Yld 14k) for Optra 4049/3112/3116/LX+/RT+</v>
      </c>
      <c r="G1295" s="3" t="str">
        <f t="shared" si="94"/>
        <v>EA</v>
      </c>
      <c r="H1295" s="7">
        <v>342</v>
      </c>
      <c r="I1295" s="2" t="str">
        <f t="shared" si="95"/>
        <v>44103105</v>
      </c>
      <c r="J1295" s="10" t="s">
        <v>98</v>
      </c>
    </row>
    <row r="1296" spans="1:10" ht="64.5">
      <c r="A1296" s="24" t="s">
        <v>27</v>
      </c>
      <c r="B1296" s="21" t="s">
        <v>31</v>
      </c>
      <c r="C1296" s="21">
        <v>3204</v>
      </c>
      <c r="D1296" s="21">
        <v>832</v>
      </c>
      <c r="E1296" s="21" t="str">
        <f>"1000017551"</f>
        <v>1000017551</v>
      </c>
      <c r="F1296" s="21" t="str">
        <f>"TONER:LEX Item # 1382620-BC, Brand Compatible toner cartridge for Lexmark Optra S 1250 / 1255 / 1620 / 1625 / 1650 / 1855 / 2420 / 2450 / 2455 / 4059 Laser Toner Printers (7,500 Yield)"</f>
        <v>TONER:LEX Item # 1382620-BC, Brand Compatible toner cartridge for Lexmark Optra S 1250 / 1255 / 1620 / 1625 / 1650 / 1855 / 2420 / 2450 / 2455 / 4059 Laser Toner Printers (7,500 Yield)</v>
      </c>
      <c r="G1296" s="22" t="str">
        <f t="shared" si="94"/>
        <v>EA</v>
      </c>
      <c r="H1296" s="23">
        <v>89</v>
      </c>
      <c r="I1296" s="21" t="str">
        <f t="shared" si="95"/>
        <v>44103105</v>
      </c>
      <c r="J1296" s="25" t="s">
        <v>98</v>
      </c>
    </row>
    <row r="1297" spans="1:10" ht="51.75">
      <c r="A1297" s="9" t="s">
        <v>27</v>
      </c>
      <c r="B1297" s="2" t="s">
        <v>31</v>
      </c>
      <c r="C1297" s="2">
        <v>3204</v>
      </c>
      <c r="D1297" s="2">
        <v>833</v>
      </c>
      <c r="E1297" s="2" t="str">
        <f>"1000017552"</f>
        <v>1000017552</v>
      </c>
      <c r="F1297" s="2" t="str">
        <f>"TONER:LEX Item # 1382625-BC, Brand Compatible toner cartridge for Lexmark Optra S / S1250n / S1255 / S1255n / S1620 / S1620n / S1625 / S1650 / S1650n / S1855 / S2455"</f>
        <v>TONER:LEX Item # 1382625-BC, Brand Compatible toner cartridge for Lexmark Optra S / S1250n / S1255 / S1255n / S1620 / S1620n / S1625 / S1650 / S1650n / S1855 / S2455</v>
      </c>
      <c r="G1297" s="3" t="str">
        <f t="shared" si="94"/>
        <v>EA</v>
      </c>
      <c r="H1297" s="7">
        <v>122</v>
      </c>
      <c r="I1297" s="2" t="str">
        <f t="shared" si="95"/>
        <v>44103105</v>
      </c>
      <c r="J1297" s="10" t="s">
        <v>98</v>
      </c>
    </row>
    <row r="1298" spans="1:10" ht="51.75">
      <c r="A1298" s="24" t="s">
        <v>27</v>
      </c>
      <c r="B1298" s="21" t="s">
        <v>31</v>
      </c>
      <c r="C1298" s="21">
        <v>3204</v>
      </c>
      <c r="D1298" s="21">
        <v>834</v>
      </c>
      <c r="E1298" s="21" t="str">
        <f>"1000017553"</f>
        <v>1000017553</v>
      </c>
      <c r="F1298" s="21" t="str">
        <f>"TONER:LEX Item # 1382625-LEX, Lexmark Toner Cartridge for Optra S 1250/1250N/1650/1650N/450/ 2450N/ 4059 (Yld 17.6k)"</f>
        <v>TONER:LEX Item # 1382625-LEX, Lexmark Toner Cartridge for Optra S 1250/1250N/1650/1650N/450/ 2450N/ 4059 (Yld 17.6k)</v>
      </c>
      <c r="G1298" s="22" t="str">
        <f t="shared" si="94"/>
        <v>EA</v>
      </c>
      <c r="H1298" s="23">
        <v>277</v>
      </c>
      <c r="I1298" s="21" t="str">
        <f t="shared" si="95"/>
        <v>44103105</v>
      </c>
      <c r="J1298" s="25" t="s">
        <v>98</v>
      </c>
    </row>
    <row r="1299" spans="1:10" ht="26.25">
      <c r="A1299" s="9" t="s">
        <v>27</v>
      </c>
      <c r="B1299" s="2" t="s">
        <v>31</v>
      </c>
      <c r="C1299" s="2">
        <v>3204</v>
      </c>
      <c r="D1299" s="2">
        <v>835</v>
      </c>
      <c r="E1299" s="2" t="str">
        <f>"1000017529"</f>
        <v>1000017529</v>
      </c>
      <c r="F1299" s="2" t="str">
        <f>"TONER:LEX Item # 1382925-LEX, Lexmark Toner Cartridge for Optra S 1200/1650/2450/4059"</f>
        <v>TONER:LEX Item # 1382925-LEX, Lexmark Toner Cartridge for Optra S 1200/1650/2450/4059</v>
      </c>
      <c r="G1299" s="3" t="str">
        <f t="shared" si="94"/>
        <v>EA</v>
      </c>
      <c r="H1299" s="7">
        <v>244</v>
      </c>
      <c r="I1299" s="2" t="str">
        <f t="shared" si="95"/>
        <v>44103105</v>
      </c>
      <c r="J1299" s="10" t="s">
        <v>98</v>
      </c>
    </row>
    <row r="1300" spans="1:10" ht="39">
      <c r="A1300" s="24" t="s">
        <v>27</v>
      </c>
      <c r="B1300" s="21" t="s">
        <v>31</v>
      </c>
      <c r="C1300" s="21">
        <v>3204</v>
      </c>
      <c r="D1300" s="21">
        <v>836</v>
      </c>
      <c r="E1300" s="21" t="str">
        <f>"1000017530"</f>
        <v>1000017530</v>
      </c>
      <c r="F1300" s="21" t="str">
        <f>"TONER:LEX Item # 1382929-BC, Brand Compatible toner cartridge for Lexmark Optra S 4059 with fuser cleaner (Yld 17.6k)"</f>
        <v>TONER:LEX Item # 1382929-BC, Brand Compatible toner cartridge for Lexmark Optra S 4059 with fuser cleaner (Yld 17.6k)</v>
      </c>
      <c r="G1300" s="22" t="str">
        <f t="shared" si="94"/>
        <v>EA</v>
      </c>
      <c r="H1300" s="23">
        <v>89</v>
      </c>
      <c r="I1300" s="21" t="str">
        <f t="shared" si="95"/>
        <v>44103105</v>
      </c>
      <c r="J1300" s="25" t="s">
        <v>98</v>
      </c>
    </row>
    <row r="1301" spans="1:10" ht="39">
      <c r="A1301" s="9" t="s">
        <v>27</v>
      </c>
      <c r="B1301" s="2" t="s">
        <v>31</v>
      </c>
      <c r="C1301" s="2">
        <v>3204</v>
      </c>
      <c r="D1301" s="2">
        <v>837</v>
      </c>
      <c r="E1301" s="2" t="str">
        <f>"1000017531"</f>
        <v>1000017531</v>
      </c>
      <c r="F1301" s="2" t="str">
        <f>"TONER:LEX Item # 13T0101-BC, Brand Compatible toner cartridge for Lexmark Optra E310/E312/312L Printers"</f>
        <v>TONER:LEX Item # 13T0101-BC, Brand Compatible toner cartridge for Lexmark Optra E310/E312/312L Printers</v>
      </c>
      <c r="G1301" s="3" t="str">
        <f t="shared" si="94"/>
        <v>EA</v>
      </c>
      <c r="H1301" s="7">
        <v>138</v>
      </c>
      <c r="I1301" s="2" t="str">
        <f t="shared" si="95"/>
        <v>44103105</v>
      </c>
      <c r="J1301" s="10" t="s">
        <v>98</v>
      </c>
    </row>
    <row r="1302" spans="1:10" ht="39">
      <c r="A1302" s="24" t="s">
        <v>27</v>
      </c>
      <c r="B1302" s="21" t="s">
        <v>31</v>
      </c>
      <c r="C1302" s="21">
        <v>3204</v>
      </c>
      <c r="D1302" s="21">
        <v>838</v>
      </c>
      <c r="E1302" s="21" t="str">
        <f>"1000017532"</f>
        <v>1000017532</v>
      </c>
      <c r="F1302" s="21" t="str">
        <f>"TONER:LEX Item # 13T0101-LEX, Lexmark Toner Cartridge for Lexmark Optra E310, E312, E312L Printers (Yld 6k)"</f>
        <v>TONER:LEX Item # 13T0101-LEX, Lexmark Toner Cartridge for Lexmark Optra E310, E312, E312L Printers (Yld 6k)</v>
      </c>
      <c r="G1302" s="22" t="str">
        <f t="shared" si="94"/>
        <v>EA</v>
      </c>
      <c r="H1302" s="23">
        <v>166</v>
      </c>
      <c r="I1302" s="21" t="str">
        <f t="shared" si="95"/>
        <v>44103105</v>
      </c>
      <c r="J1302" s="25" t="s">
        <v>98</v>
      </c>
    </row>
    <row r="1303" spans="1:10" ht="51.75">
      <c r="A1303" s="24" t="s">
        <v>27</v>
      </c>
      <c r="B1303" s="21" t="s">
        <v>31</v>
      </c>
      <c r="C1303" s="21">
        <v>3204</v>
      </c>
      <c r="D1303" s="21">
        <v>840</v>
      </c>
      <c r="E1303" s="21" t="str">
        <f>"1000017556"</f>
        <v>1000017556</v>
      </c>
      <c r="F1303" s="21" t="str">
        <f>"TONER:LEX Item # 140198A-LEX, Lexmark Black Laser Toner Cartridge for Hewlett Packard HP 4 / 4M / 4 Plus / 4M Plus / 5 / 5M / 5N Laser Toner Printers. (Yld 6.8k)"</f>
        <v>TONER:LEX Item # 140198A-LEX, Lexmark Black Laser Toner Cartridge for Hewlett Packard HP 4 / 4M / 4 Plus / 4M Plus / 5 / 5M / 5N Laser Toner Printers. (Yld 6.8k)</v>
      </c>
      <c r="G1303" s="22" t="str">
        <f t="shared" si="94"/>
        <v>EA</v>
      </c>
      <c r="H1303" s="23">
        <v>86</v>
      </c>
      <c r="I1303" s="21" t="str">
        <f t="shared" si="95"/>
        <v>44103105</v>
      </c>
      <c r="J1303" s="25" t="s">
        <v>98</v>
      </c>
    </row>
    <row r="1304" spans="1:10" ht="64.5">
      <c r="A1304" s="9" t="s">
        <v>27</v>
      </c>
      <c r="B1304" s="2" t="s">
        <v>31</v>
      </c>
      <c r="C1304" s="2">
        <v>3204</v>
      </c>
      <c r="D1304" s="2">
        <v>841</v>
      </c>
      <c r="E1304" s="2" t="str">
        <f>"1000017557"</f>
        <v>1000017557</v>
      </c>
      <c r="F1304" s="2" t="str">
        <f>"TONER:LEX Item # 15G041C-LEX, Lexmark Cyan Toner Cartridge for Lexmark All-in-One Machines X752e, X762e, Lexmark Laser Printers C752 Series, C760 Series, C762 Series (Yld 6k)"</f>
        <v>TONER:LEX Item # 15G041C-LEX, Lexmark Cyan Toner Cartridge for Lexmark All-in-One Machines X752e, X762e, Lexmark Laser Printers C752 Series, C760 Series, C762 Series (Yld 6k)</v>
      </c>
      <c r="G1304" s="3" t="str">
        <f t="shared" si="94"/>
        <v>EA</v>
      </c>
      <c r="H1304" s="7">
        <v>298</v>
      </c>
      <c r="I1304" s="2" t="str">
        <f t="shared" si="95"/>
        <v>44103105</v>
      </c>
      <c r="J1304" s="10" t="s">
        <v>98</v>
      </c>
    </row>
    <row r="1305" spans="1:10" ht="64.5">
      <c r="A1305" s="24" t="s">
        <v>27</v>
      </c>
      <c r="B1305" s="21" t="s">
        <v>31</v>
      </c>
      <c r="C1305" s="21">
        <v>3204</v>
      </c>
      <c r="D1305" s="21">
        <v>842</v>
      </c>
      <c r="E1305" s="21" t="str">
        <f>"1000017558"</f>
        <v>1000017558</v>
      </c>
      <c r="F1305" s="21" t="str">
        <f>"TONER:LEX Item # 15G041K-LEX, Lexmark Black Toner Cartridge for Lexmark All-in-One Machines X752e, X762e, Lexmark Laser Printers C752 Series, C760 Series, C762 Series (Yld 6k)"</f>
        <v>TONER:LEX Item # 15G041K-LEX, Lexmark Black Toner Cartridge for Lexmark All-in-One Machines X752e, X762e, Lexmark Laser Printers C752 Series, C760 Series, C762 Series (Yld 6k)</v>
      </c>
      <c r="G1305" s="22" t="str">
        <f t="shared" ref="G1305:G1327" si="96">"EA"</f>
        <v>EA</v>
      </c>
      <c r="H1305" s="23">
        <v>145</v>
      </c>
      <c r="I1305" s="21" t="str">
        <f t="shared" si="95"/>
        <v>44103105</v>
      </c>
      <c r="J1305" s="25" t="s">
        <v>98</v>
      </c>
    </row>
    <row r="1306" spans="1:10" ht="64.5">
      <c r="A1306" s="9" t="s">
        <v>27</v>
      </c>
      <c r="B1306" s="2" t="s">
        <v>31</v>
      </c>
      <c r="C1306" s="2">
        <v>3204</v>
      </c>
      <c r="D1306" s="2">
        <v>843</v>
      </c>
      <c r="E1306" s="2" t="str">
        <f>"1000017559"</f>
        <v>1000017559</v>
      </c>
      <c r="F1306" s="2" t="str">
        <f>"TONER:LEX Item # 15G041M-LEX, Lexmark Magenta Toner Cartridge for Lexmark All-in-One Machines X752e, X762e, Lexmark Laser Printers C752 Series, C760 Series, C762 Series (Yld 6k)"</f>
        <v>TONER:LEX Item # 15G041M-LEX, Lexmark Magenta Toner Cartridge for Lexmark All-in-One Machines X752e, X762e, Lexmark Laser Printers C752 Series, C760 Series, C762 Series (Yld 6k)</v>
      </c>
      <c r="G1306" s="3" t="str">
        <f t="shared" si="96"/>
        <v>EA</v>
      </c>
      <c r="H1306" s="7">
        <v>291</v>
      </c>
      <c r="I1306" s="2" t="str">
        <f t="shared" si="95"/>
        <v>44103105</v>
      </c>
      <c r="J1306" s="10" t="s">
        <v>98</v>
      </c>
    </row>
    <row r="1307" spans="1:10" ht="64.5">
      <c r="A1307" s="24" t="s">
        <v>27</v>
      </c>
      <c r="B1307" s="21" t="s">
        <v>31</v>
      </c>
      <c r="C1307" s="21">
        <v>3204</v>
      </c>
      <c r="D1307" s="21">
        <v>844</v>
      </c>
      <c r="E1307" s="21" t="str">
        <f>"1000017538"</f>
        <v>1000017538</v>
      </c>
      <c r="F1307" s="21" t="str">
        <f>"TONER:LEX Item # 15G041Y-LEX, Lexmark Yellow Toner Cartidge for Lexmark All-in-One Machines X752e, X762e, Lexmark Laser Printers C752 Series, C760 Series, C762 Series (Yld 6k)"</f>
        <v>TONER:LEX Item # 15G041Y-LEX, Lexmark Yellow Toner Cartidge for Lexmark All-in-One Machines X752e, X762e, Lexmark Laser Printers C752 Series, C760 Series, C762 Series (Yld 6k)</v>
      </c>
      <c r="G1307" s="22" t="str">
        <f t="shared" si="96"/>
        <v>EA</v>
      </c>
      <c r="H1307" s="23">
        <v>291</v>
      </c>
      <c r="I1307" s="21" t="str">
        <f t="shared" si="95"/>
        <v>44103105</v>
      </c>
      <c r="J1307" s="25" t="s">
        <v>98</v>
      </c>
    </row>
    <row r="1308" spans="1:10" ht="39">
      <c r="A1308" s="9" t="s">
        <v>27</v>
      </c>
      <c r="B1308" s="2" t="s">
        <v>31</v>
      </c>
      <c r="C1308" s="2">
        <v>3204</v>
      </c>
      <c r="D1308" s="2">
        <v>845</v>
      </c>
      <c r="E1308" s="2" t="str">
        <f>"1000017567"</f>
        <v>1000017567</v>
      </c>
      <c r="F1308" s="2" t="str">
        <f>"TONER:LEX Item # 17G0152-LEX, Lexmark Black Toner Cartridge for Lexmark Optra M410 &amp; M412 Printers, (Yld 5k)"</f>
        <v>TONER:LEX Item # 17G0152-LEX, Lexmark Black Toner Cartridge for Lexmark Optra M410 &amp; M412 Printers, (Yld 5k)</v>
      </c>
      <c r="G1308" s="3" t="str">
        <f t="shared" si="96"/>
        <v>EA</v>
      </c>
      <c r="H1308" s="7">
        <v>130</v>
      </c>
      <c r="I1308" s="2" t="str">
        <f t="shared" si="95"/>
        <v>44103105</v>
      </c>
      <c r="J1308" s="10" t="s">
        <v>98</v>
      </c>
    </row>
    <row r="1309" spans="1:10" ht="39">
      <c r="A1309" s="24" t="s">
        <v>27</v>
      </c>
      <c r="B1309" s="21" t="s">
        <v>31</v>
      </c>
      <c r="C1309" s="21">
        <v>3204</v>
      </c>
      <c r="D1309" s="21">
        <v>846</v>
      </c>
      <c r="E1309" s="21" t="str">
        <f>"1000017568"</f>
        <v>1000017568</v>
      </c>
      <c r="F1309" s="21" t="str">
        <f>"TONER:LEX Item # 17G0154-BC, Brand Compatible toner cartridge for Lexmark Optra M410/M412 (Yld 15k)"</f>
        <v>TONER:LEX Item # 17G0154-BC, Brand Compatible toner cartridge for Lexmark Optra M410/M412 (Yld 15k)</v>
      </c>
      <c r="G1309" s="22" t="str">
        <f t="shared" si="96"/>
        <v>EA</v>
      </c>
      <c r="H1309" s="23">
        <v>107</v>
      </c>
      <c r="I1309" s="21" t="str">
        <f t="shared" si="95"/>
        <v>44103105</v>
      </c>
      <c r="J1309" s="25" t="s">
        <v>98</v>
      </c>
    </row>
    <row r="1310" spans="1:10" ht="39">
      <c r="A1310" s="9" t="s">
        <v>27</v>
      </c>
      <c r="B1310" s="2" t="s">
        <v>31</v>
      </c>
      <c r="C1310" s="2">
        <v>3204</v>
      </c>
      <c r="D1310" s="2">
        <v>847</v>
      </c>
      <c r="E1310" s="2" t="str">
        <f>"1000017570"</f>
        <v>1000017570</v>
      </c>
      <c r="F1310" s="2" t="str">
        <f>"TONER:LEX Item # 18C0032-LEX, Lexmark No. 32 Black Toner Cartridge for Lexmark Jetprinter and All-in-one printers"</f>
        <v>TONER:LEX Item # 18C0032-LEX, Lexmark No. 32 Black Toner Cartridge for Lexmark Jetprinter and All-in-one printers</v>
      </c>
      <c r="G1310" s="3" t="str">
        <f t="shared" si="96"/>
        <v>EA</v>
      </c>
      <c r="H1310" s="7">
        <v>31.32</v>
      </c>
      <c r="I1310" s="2" t="str">
        <f t="shared" si="95"/>
        <v>44103105</v>
      </c>
      <c r="J1310" s="10" t="s">
        <v>98</v>
      </c>
    </row>
    <row r="1311" spans="1:10" ht="39">
      <c r="A1311" s="24" t="s">
        <v>27</v>
      </c>
      <c r="B1311" s="21" t="s">
        <v>31</v>
      </c>
      <c r="C1311" s="21">
        <v>3204</v>
      </c>
      <c r="D1311" s="21">
        <v>848</v>
      </c>
      <c r="E1311" s="21" t="str">
        <f>"1000017554"</f>
        <v>1000017554</v>
      </c>
      <c r="F1311" s="21" t="str">
        <f>"TONER:LEX Item # 24015SA-LEX, Lexmark Toner Cartridge for Lexmark E232T, E240, E330, E332N, E340, E342n Printers, (Yld 2.5k)"</f>
        <v>TONER:LEX Item # 24015SA-LEX, Lexmark Toner Cartridge for Lexmark E232T, E240, E330, E332N, E340, E342n Printers, (Yld 2.5k)</v>
      </c>
      <c r="G1311" s="22" t="str">
        <f t="shared" si="96"/>
        <v>EA</v>
      </c>
      <c r="H1311" s="23">
        <v>94</v>
      </c>
      <c r="I1311" s="21" t="str">
        <f t="shared" si="95"/>
        <v>44103105</v>
      </c>
      <c r="J1311" s="25" t="s">
        <v>98</v>
      </c>
    </row>
    <row r="1312" spans="1:10" ht="39">
      <c r="A1312" s="9" t="s">
        <v>27</v>
      </c>
      <c r="B1312" s="2" t="s">
        <v>31</v>
      </c>
      <c r="C1312" s="2">
        <v>3204</v>
      </c>
      <c r="D1312" s="2">
        <v>849</v>
      </c>
      <c r="E1312" s="2" t="str">
        <f>"1000017579"</f>
        <v>1000017579</v>
      </c>
      <c r="F1312" s="2" t="str">
        <f>"TONER:LEX Item # 34015HA-LEX, Laser Toner Cartridge for Lexmark E330, E332N, E340, E342n Printers, Single use only, (Yld 6k)"</f>
        <v>TONER:LEX Item # 34015HA-LEX, Laser Toner Cartridge for Lexmark E330, E332N, E340, E342n Printers, Single use only, (Yld 6k)</v>
      </c>
      <c r="G1312" s="3" t="str">
        <f t="shared" si="96"/>
        <v>EA</v>
      </c>
      <c r="H1312" s="7">
        <v>138</v>
      </c>
      <c r="I1312" s="2" t="str">
        <f t="shared" si="95"/>
        <v>44103105</v>
      </c>
      <c r="J1312" s="10" t="s">
        <v>98</v>
      </c>
    </row>
    <row r="1313" spans="1:10" ht="39">
      <c r="A1313" s="24" t="s">
        <v>27</v>
      </c>
      <c r="B1313" s="21" t="s">
        <v>31</v>
      </c>
      <c r="C1313" s="21">
        <v>3204</v>
      </c>
      <c r="D1313" s="21">
        <v>850</v>
      </c>
      <c r="E1313" s="21" t="str">
        <f>"1000017580"</f>
        <v>1000017580</v>
      </c>
      <c r="F1313" s="21" t="str">
        <f>"TONER:LEX Item # 64015HA-LEX, Lexmark Toner Cartridge for Lexmark T640, T642, T644 series Laser Printers, High-Capacity"</f>
        <v>TONER:LEX Item # 64015HA-LEX, Lexmark Toner Cartridge for Lexmark T640, T642, T644 series Laser Printers, High-Capacity</v>
      </c>
      <c r="G1313" s="22" t="str">
        <f t="shared" si="96"/>
        <v>EA</v>
      </c>
      <c r="H1313" s="23">
        <v>380.99</v>
      </c>
      <c r="I1313" s="21" t="str">
        <f t="shared" ref="I1313:I1320" si="97">"44103105"</f>
        <v>44103105</v>
      </c>
      <c r="J1313" s="25" t="s">
        <v>98</v>
      </c>
    </row>
    <row r="1314" spans="1:10" ht="39">
      <c r="A1314" s="9" t="s">
        <v>27</v>
      </c>
      <c r="B1314" s="2" t="s">
        <v>31</v>
      </c>
      <c r="C1314" s="2">
        <v>3204</v>
      </c>
      <c r="D1314" s="2">
        <v>851</v>
      </c>
      <c r="E1314" s="2" t="str">
        <f>"1000017581"</f>
        <v>1000017581</v>
      </c>
      <c r="F1314" s="2" t="str">
        <f>"TONER:LEX Item # 64015SA-LEX, Lexmark Black Toner Cartridge for Lexmark T640, T642, T644 series Laser Printers."</f>
        <v>TONER:LEX Item # 64015SA-LEX, Lexmark Black Toner Cartridge for Lexmark T640, T642, T644 series Laser Printers.</v>
      </c>
      <c r="G1314" s="3" t="str">
        <f t="shared" si="96"/>
        <v>EA</v>
      </c>
      <c r="H1314" s="7">
        <v>156</v>
      </c>
      <c r="I1314" s="2" t="str">
        <f t="shared" si="97"/>
        <v>44103105</v>
      </c>
      <c r="J1314" s="10" t="s">
        <v>98</v>
      </c>
    </row>
    <row r="1315" spans="1:10" ht="39">
      <c r="A1315" s="24" t="s">
        <v>27</v>
      </c>
      <c r="B1315" s="21" t="s">
        <v>31</v>
      </c>
      <c r="C1315" s="21">
        <v>3204</v>
      </c>
      <c r="D1315" s="21">
        <v>852</v>
      </c>
      <c r="E1315" s="21" t="str">
        <f>"1000017582"</f>
        <v>1000017582</v>
      </c>
      <c r="F1315" s="21" t="str">
        <f>"TONER:LEX Item # 64415XA-LEX, Lexmark Toner Cartridge for Lexmark T644 Laser Printers, high capacity"</f>
        <v>TONER:LEX Item # 64415XA-LEX, Lexmark Toner Cartridge for Lexmark T644 Laser Printers, high capacity</v>
      </c>
      <c r="G1315" s="22" t="str">
        <f t="shared" si="96"/>
        <v>EA</v>
      </c>
      <c r="H1315" s="23">
        <v>429</v>
      </c>
      <c r="I1315" s="21" t="str">
        <f t="shared" si="97"/>
        <v>44103105</v>
      </c>
      <c r="J1315" s="25" t="s">
        <v>98</v>
      </c>
    </row>
    <row r="1316" spans="1:10" ht="39">
      <c r="A1316" s="9" t="s">
        <v>27</v>
      </c>
      <c r="B1316" s="2" t="s">
        <v>31</v>
      </c>
      <c r="C1316" s="2">
        <v>3204</v>
      </c>
      <c r="D1316" s="2">
        <v>853</v>
      </c>
      <c r="E1316" s="2" t="str">
        <f>"1000017583"</f>
        <v>1000017583</v>
      </c>
      <c r="F1316" s="2" t="str">
        <f>"TONER:LEX Item # 69G8256-BC, Brand Compatible Laser Toner Cartridge for Lexmark Optra E / Et / Ep / Es Printers (Yld 3k)"</f>
        <v>TONER:LEX Item # 69G8256-BC, Brand Compatible Laser Toner Cartridge for Lexmark Optra E / Et / Ep / Es Printers (Yld 3k)</v>
      </c>
      <c r="G1316" s="3" t="str">
        <f t="shared" si="96"/>
        <v>EA</v>
      </c>
      <c r="H1316" s="7">
        <v>39</v>
      </c>
      <c r="I1316" s="2" t="str">
        <f t="shared" si="97"/>
        <v>44103105</v>
      </c>
      <c r="J1316" s="10" t="s">
        <v>98</v>
      </c>
    </row>
    <row r="1317" spans="1:10" ht="39">
      <c r="A1317" s="24" t="s">
        <v>27</v>
      </c>
      <c r="B1317" s="21" t="s">
        <v>31</v>
      </c>
      <c r="C1317" s="21">
        <v>3204</v>
      </c>
      <c r="D1317" s="21">
        <v>854</v>
      </c>
      <c r="E1317" s="21" t="str">
        <f>"1000017584"</f>
        <v>1000017584</v>
      </c>
      <c r="F1317" s="21" t="str">
        <f>"TONER:LEX Item # 69G8256-LEX, Lexmark Toner Cartridge for Lexmark Optra E, Et, Ep, Es Printers (Yld 3k)"</f>
        <v>TONER:LEX Item # 69G8256-LEX, Lexmark Toner Cartridge for Lexmark Optra E, Et, Ep, Es Printers (Yld 3k)</v>
      </c>
      <c r="G1317" s="22" t="str">
        <f t="shared" si="96"/>
        <v>EA</v>
      </c>
      <c r="H1317" s="23">
        <v>85</v>
      </c>
      <c r="I1317" s="21" t="str">
        <f t="shared" si="97"/>
        <v>44103105</v>
      </c>
      <c r="J1317" s="25" t="s">
        <v>98</v>
      </c>
    </row>
    <row r="1318" spans="1:10" ht="51.75">
      <c r="A1318" s="9" t="s">
        <v>27</v>
      </c>
      <c r="B1318" s="2" t="s">
        <v>31</v>
      </c>
      <c r="C1318" s="2">
        <v>3204</v>
      </c>
      <c r="D1318" s="2">
        <v>855</v>
      </c>
      <c r="E1318" s="2" t="str">
        <f>"1000017560"</f>
        <v>1000017560</v>
      </c>
      <c r="F1318" s="2" t="str">
        <f>"TONER:LEX Item # C544X1KG-LEX, Lexmark Black extra high yield for C544, X544 can deliver prints up to 6,000 pages @ 5% Coverage"</f>
        <v>TONER:LEX Item # C544X1KG-LEX, Lexmark Black extra high yield for C544, X544 can deliver prints up to 6,000 pages @ 5% Coverage</v>
      </c>
      <c r="G1318" s="3" t="str">
        <f t="shared" si="96"/>
        <v>EA</v>
      </c>
      <c r="H1318" s="7">
        <v>149</v>
      </c>
      <c r="I1318" s="2" t="str">
        <f t="shared" si="97"/>
        <v>44103105</v>
      </c>
      <c r="J1318" s="10" t="s">
        <v>98</v>
      </c>
    </row>
    <row r="1319" spans="1:10" ht="39">
      <c r="A1319" s="24" t="s">
        <v>27</v>
      </c>
      <c r="B1319" s="21" t="s">
        <v>31</v>
      </c>
      <c r="C1319" s="21">
        <v>3204</v>
      </c>
      <c r="D1319" s="21">
        <v>856</v>
      </c>
      <c r="E1319" s="21" t="str">
        <f>"1000017561"</f>
        <v>1000017561</v>
      </c>
      <c r="F1319" s="21" t="str">
        <f>"TONER:LEX Item # E250A11A-LEX, Lexmark Black Toner Cartridge for Lexmark E250d / E250dn / E350d / E352dn (Yld 3.5k)"</f>
        <v>TONER:LEX Item # E250A11A-LEX, Lexmark Black Toner Cartridge for Lexmark E250d / E250dn / E350d / E352dn (Yld 3.5k)</v>
      </c>
      <c r="G1319" s="22" t="str">
        <f t="shared" si="96"/>
        <v>EA</v>
      </c>
      <c r="H1319" s="23">
        <v>105.99</v>
      </c>
      <c r="I1319" s="21" t="str">
        <f t="shared" si="97"/>
        <v>44103105</v>
      </c>
      <c r="J1319" s="25" t="s">
        <v>98</v>
      </c>
    </row>
    <row r="1320" spans="1:10" ht="39">
      <c r="A1320" s="9" t="s">
        <v>27</v>
      </c>
      <c r="B1320" s="2" t="s">
        <v>31</v>
      </c>
      <c r="C1320" s="2">
        <v>3204</v>
      </c>
      <c r="D1320" s="2">
        <v>857</v>
      </c>
      <c r="E1320" s="2" t="str">
        <f>"1000017588"</f>
        <v>1000017588</v>
      </c>
      <c r="F1320" s="2" t="str">
        <f>"TONER:LEX Item # W84020H-LEX, Lexmark High Yield Toner Cartridge for Lexmark W840 printer"</f>
        <v>TONER:LEX Item # W84020H-LEX, Lexmark High Yield Toner Cartridge for Lexmark W840 printer</v>
      </c>
      <c r="G1320" s="3" t="str">
        <f t="shared" si="96"/>
        <v>EA</v>
      </c>
      <c r="H1320" s="7">
        <v>232.49</v>
      </c>
      <c r="I1320" s="2" t="str">
        <f t="shared" si="97"/>
        <v>44103105</v>
      </c>
      <c r="J1320" s="10" t="s">
        <v>98</v>
      </c>
    </row>
    <row r="1321" spans="1:10" ht="39">
      <c r="A1321" s="24" t="s">
        <v>27</v>
      </c>
      <c r="B1321" s="21" t="s">
        <v>31</v>
      </c>
      <c r="C1321" s="21">
        <v>3204</v>
      </c>
      <c r="D1321" s="21">
        <v>858</v>
      </c>
      <c r="E1321" s="21" t="str">
        <f>"1000000895"</f>
        <v>1000000895</v>
      </c>
      <c r="F1321" s="21" t="str">
        <f>"TONER:MIC Item # 92298A-BCM, Brand Compatible MICR Black Toner Cartridge for HP Troy 4/4M/4 Plus/4M Plus/5/5M/5N printers"</f>
        <v>TONER:MIC Item # 92298A-BCM, Brand Compatible MICR Black Toner Cartridge for HP Troy 4/4M/4 Plus/4M Plus/5/5M/5N printers</v>
      </c>
      <c r="G1321" s="22" t="str">
        <f t="shared" si="96"/>
        <v>EA</v>
      </c>
      <c r="H1321" s="23">
        <v>118</v>
      </c>
      <c r="I1321" s="21" t="str">
        <f t="shared" ref="I1321:I1326" si="98">"44103103"</f>
        <v>44103103</v>
      </c>
      <c r="J1321" s="25" t="s">
        <v>99</v>
      </c>
    </row>
    <row r="1322" spans="1:10" ht="39">
      <c r="A1322" s="9" t="s">
        <v>27</v>
      </c>
      <c r="B1322" s="2" t="s">
        <v>31</v>
      </c>
      <c r="C1322" s="2">
        <v>3204</v>
      </c>
      <c r="D1322" s="2">
        <v>859</v>
      </c>
      <c r="E1322" s="2" t="str">
        <f>"1000000664"</f>
        <v>1000000664</v>
      </c>
      <c r="F1322" s="2" t="str">
        <f>"TONER:MIC Item # C4182X-BCM, Brand Compatible for HP LaserJet 8100 MICR Toner (Yld 20k)"</f>
        <v>TONER:MIC Item # C4182X-BCM, Brand Compatible for HP LaserJet 8100 MICR Toner (Yld 20k)</v>
      </c>
      <c r="G1322" s="3" t="str">
        <f t="shared" si="96"/>
        <v>EA</v>
      </c>
      <c r="H1322" s="7">
        <v>413.12</v>
      </c>
      <c r="I1322" s="2" t="str">
        <f t="shared" si="98"/>
        <v>44103103</v>
      </c>
      <c r="J1322" s="10" t="s">
        <v>99</v>
      </c>
    </row>
    <row r="1323" spans="1:10" ht="39">
      <c r="A1323" s="24" t="s">
        <v>27</v>
      </c>
      <c r="B1323" s="21" t="s">
        <v>31</v>
      </c>
      <c r="C1323" s="21">
        <v>3204</v>
      </c>
      <c r="D1323" s="21">
        <v>860</v>
      </c>
      <c r="E1323" s="21" t="str">
        <f>"1000001305"</f>
        <v>1000001305</v>
      </c>
      <c r="F1323" s="21" t="str">
        <f>"TONER:MIC Item # C8061X-BCM, Brand Compatible MICR Toner Cartridge (02216117) for HP Troy 4100 Series (Yld 10k)"</f>
        <v>TONER:MIC Item # C8061X-BCM, Brand Compatible MICR Toner Cartridge (02216117) for HP Troy 4100 Series (Yld 10k)</v>
      </c>
      <c r="G1323" s="22" t="str">
        <f t="shared" si="96"/>
        <v>EA</v>
      </c>
      <c r="H1323" s="23">
        <v>202</v>
      </c>
      <c r="I1323" s="21" t="str">
        <f t="shared" si="98"/>
        <v>44103103</v>
      </c>
      <c r="J1323" s="25" t="s">
        <v>99</v>
      </c>
    </row>
    <row r="1324" spans="1:10" ht="39">
      <c r="A1324" s="9" t="s">
        <v>27</v>
      </c>
      <c r="B1324" s="2" t="s">
        <v>31</v>
      </c>
      <c r="C1324" s="2">
        <v>3204</v>
      </c>
      <c r="D1324" s="2">
        <v>861</v>
      </c>
      <c r="E1324" s="2" t="str">
        <f>"1000000849"</f>
        <v>1000000849</v>
      </c>
      <c r="F1324" s="2" t="str">
        <f>"TONER:MIC Item # C8543X-MICR, Toner for Hewlett Packard Printers Troy LaserJet 9000, high yield (Yld 35k)"</f>
        <v>TONER:MIC Item # C8543X-MICR, Toner for Hewlett Packard Printers Troy LaserJet 9000, high yield (Yld 35k)</v>
      </c>
      <c r="G1324" s="3" t="str">
        <f t="shared" si="96"/>
        <v>EA</v>
      </c>
      <c r="H1324" s="7">
        <v>524</v>
      </c>
      <c r="I1324" s="2" t="str">
        <f t="shared" si="98"/>
        <v>44103103</v>
      </c>
      <c r="J1324" s="10" t="s">
        <v>99</v>
      </c>
    </row>
    <row r="1325" spans="1:10" ht="39">
      <c r="A1325" s="24" t="s">
        <v>27</v>
      </c>
      <c r="B1325" s="21" t="s">
        <v>31</v>
      </c>
      <c r="C1325" s="21">
        <v>3204</v>
      </c>
      <c r="D1325" s="21">
        <v>862</v>
      </c>
      <c r="E1325" s="21" t="str">
        <f>"1000001094"</f>
        <v>1000001094</v>
      </c>
      <c r="F1325" s="21" t="str">
        <f>"TONER:MIC Item #: Q7551A-MICR, HP Troy MICR Cartridge (0281201001) for P3005 (Yld 6.5k)"</f>
        <v>TONER:MIC Item #: Q7551A-MICR, HP Troy MICR Cartridge (0281201001) for P3005 (Yld 6.5k)</v>
      </c>
      <c r="G1325" s="22" t="str">
        <f t="shared" si="96"/>
        <v>EA</v>
      </c>
      <c r="H1325" s="23">
        <v>265</v>
      </c>
      <c r="I1325" s="21" t="str">
        <f t="shared" si="98"/>
        <v>44103103</v>
      </c>
      <c r="J1325" s="25" t="s">
        <v>99</v>
      </c>
    </row>
    <row r="1326" spans="1:10" ht="39">
      <c r="A1326" s="9" t="s">
        <v>27</v>
      </c>
      <c r="B1326" s="2" t="s">
        <v>31</v>
      </c>
      <c r="C1326" s="2">
        <v>3204</v>
      </c>
      <c r="D1326" s="2">
        <v>863</v>
      </c>
      <c r="E1326" s="2" t="str">
        <f>"1000001093"</f>
        <v>1000001093</v>
      </c>
      <c r="F1326" s="2" t="str">
        <f>"TONER:MIC Item # Q7553A-MICR, LaserJet P2015 HP Troy MICR cartridge (0281212001) (Yld 3k)"</f>
        <v>TONER:MIC Item # Q7553A-MICR, LaserJet P2015 HP Troy MICR cartridge (0281212001) (Yld 3k)</v>
      </c>
      <c r="G1326" s="3" t="str">
        <f t="shared" si="96"/>
        <v>EA</v>
      </c>
      <c r="H1326" s="7">
        <v>186</v>
      </c>
      <c r="I1326" s="2" t="str">
        <f t="shared" si="98"/>
        <v>44103103</v>
      </c>
      <c r="J1326" s="10" t="s">
        <v>99</v>
      </c>
    </row>
    <row r="1327" spans="1:10" ht="39">
      <c r="A1327" s="24" t="s">
        <v>27</v>
      </c>
      <c r="B1327" s="21" t="s">
        <v>31</v>
      </c>
      <c r="C1327" s="21">
        <v>3204</v>
      </c>
      <c r="D1327" s="21">
        <v>864</v>
      </c>
      <c r="E1327" s="21" t="str">
        <f>"1000017590"</f>
        <v>1000017590</v>
      </c>
      <c r="F1327" s="21" t="str">
        <f>"TONER:MIN Item # 1710434001-BC, Brand Compatible Toner Cartridge for Minolta Pageworks 20 &amp; 20N printers"</f>
        <v>TONER:MIN Item # 1710434001-BC, Brand Compatible Toner Cartridge for Minolta Pageworks 20 &amp; 20N printers</v>
      </c>
      <c r="G1327" s="22" t="str">
        <f t="shared" si="96"/>
        <v>EA</v>
      </c>
      <c r="H1327" s="23">
        <v>130</v>
      </c>
      <c r="I1327" s="21" t="str">
        <f>"44103105"</f>
        <v>44103105</v>
      </c>
      <c r="J1327" s="25" t="s">
        <v>98</v>
      </c>
    </row>
    <row r="1328" spans="1:10" ht="39">
      <c r="A1328" s="9" t="s">
        <v>27</v>
      </c>
      <c r="B1328" s="2" t="s">
        <v>31</v>
      </c>
      <c r="C1328" s="2">
        <v>3204</v>
      </c>
      <c r="D1328" s="2">
        <v>865</v>
      </c>
      <c r="E1328" s="2" t="str">
        <f>"1000017591"</f>
        <v>1000017591</v>
      </c>
      <c r="F1328" s="2" t="str">
        <f>"TONER:MIT Item # 37045011-MTA, Black Toner Cartridge for Mita 3648, 250gm bottle, 2 bottles per box"</f>
        <v>TONER:MIT Item # 37045011-MTA, Black Toner Cartridge for Mita 3648, 250gm bottle, 2 bottles per box</v>
      </c>
      <c r="G1328" s="3" t="str">
        <f>"BX"</f>
        <v>BX</v>
      </c>
      <c r="H1328" s="7">
        <v>52</v>
      </c>
      <c r="I1328" s="2" t="str">
        <f>"44103105"</f>
        <v>44103105</v>
      </c>
      <c r="J1328" s="10" t="s">
        <v>98</v>
      </c>
    </row>
    <row r="1329" spans="1:10" ht="51.75">
      <c r="A1329" s="24" t="s">
        <v>27</v>
      </c>
      <c r="B1329" s="21" t="s">
        <v>31</v>
      </c>
      <c r="C1329" s="21">
        <v>3204</v>
      </c>
      <c r="D1329" s="21">
        <v>866</v>
      </c>
      <c r="E1329" s="21" t="str">
        <f>"1000017566"</f>
        <v>1000017566</v>
      </c>
      <c r="F1329" s="21" t="str">
        <f>"TONER:MIT Item # 37046011-MTA, Toner Cartridge for Mita DC1605, DC1656, DC1657, DC1685, DC1855, DC2155 Copiers, 2/Box (Yld 10k)"</f>
        <v>TONER:MIT Item # 37046011-MTA, Toner Cartridge for Mita DC1605, DC1656, DC1657, DC1685, DC1855, DC2155 Copiers, 2/Box (Yld 10k)</v>
      </c>
      <c r="G1329" s="22" t="str">
        <f t="shared" ref="G1329:G1360" si="99">"EA"</f>
        <v>EA</v>
      </c>
      <c r="H1329" s="23">
        <v>40</v>
      </c>
      <c r="I1329" s="21" t="str">
        <f>"44103105"</f>
        <v>44103105</v>
      </c>
      <c r="J1329" s="25" t="s">
        <v>98</v>
      </c>
    </row>
    <row r="1330" spans="1:10" ht="39">
      <c r="A1330" s="24" t="s">
        <v>27</v>
      </c>
      <c r="B1330" s="21" t="s">
        <v>31</v>
      </c>
      <c r="C1330" s="21">
        <v>3204</v>
      </c>
      <c r="D1330" s="21">
        <v>867</v>
      </c>
      <c r="E1330" s="21" t="str">
        <f>"1000022123"</f>
        <v>1000022123</v>
      </c>
      <c r="F1330" s="21" t="str">
        <f>"TONER:MTA, Item # 0937401-MIN, Toner Cartridge for Minolta 1700, 1800, 1900 Fax Machines"</f>
        <v>TONER:MTA, Item # 0937401-MIN, Toner Cartridge for Minolta 1700, 1800, 1900 Fax Machines</v>
      </c>
      <c r="G1330" s="22" t="str">
        <f t="shared" si="99"/>
        <v>EA</v>
      </c>
      <c r="H1330" s="23">
        <v>148</v>
      </c>
      <c r="I1330" s="21" t="str">
        <f>"44103103"</f>
        <v>44103103</v>
      </c>
      <c r="J1330" s="25" t="s">
        <v>99</v>
      </c>
    </row>
    <row r="1331" spans="1:10" ht="39">
      <c r="A1331" s="9" t="s">
        <v>27</v>
      </c>
      <c r="B1331" s="2" t="s">
        <v>31</v>
      </c>
      <c r="C1331" s="2">
        <v>3204</v>
      </c>
      <c r="D1331" s="2">
        <v>868</v>
      </c>
      <c r="E1331" s="2" t="str">
        <f>"1000022124"</f>
        <v>1000022124</v>
      </c>
      <c r="F1331" s="2" t="str">
        <f>"TONER: MTA, Item #37098011-MTA, Toner Cartridge for Mita DC1460 &amp; DC1470 Copiers. (Yld 7k)"</f>
        <v>TONER: MTA, Item #37098011-MTA, Toner Cartridge for Mita DC1460 &amp; DC1470 Copiers. (Yld 7k)</v>
      </c>
      <c r="G1331" s="3" t="str">
        <f t="shared" si="99"/>
        <v>EA</v>
      </c>
      <c r="H1331" s="7">
        <v>41</v>
      </c>
      <c r="I1331" s="2" t="str">
        <f>"44103103"</f>
        <v>44103103</v>
      </c>
      <c r="J1331" s="10" t="s">
        <v>99</v>
      </c>
    </row>
    <row r="1332" spans="1:10" ht="26.25">
      <c r="A1332" s="9" t="s">
        <v>27</v>
      </c>
      <c r="B1332" s="2" t="s">
        <v>31</v>
      </c>
      <c r="C1332" s="2">
        <v>3204</v>
      </c>
      <c r="D1332" s="2">
        <v>869</v>
      </c>
      <c r="E1332" s="2" t="str">
        <f>"1000017617"</f>
        <v>1000017617</v>
      </c>
      <c r="F1332" s="2" t="str">
        <f>"TONER:NEC Item # 20-122-NEC, NEC Toner for NEC Superscrpt 870, high yield toner."</f>
        <v>TONER:NEC Item # 20-122-NEC, NEC Toner for NEC Superscrpt 870, high yield toner.</v>
      </c>
      <c r="G1332" s="3" t="str">
        <f t="shared" si="99"/>
        <v>EA</v>
      </c>
      <c r="H1332" s="7">
        <v>123</v>
      </c>
      <c r="I1332" s="2" t="str">
        <f t="shared" ref="I1332:I1358" si="100">"44103105"</f>
        <v>44103105</v>
      </c>
      <c r="J1332" s="10" t="s">
        <v>98</v>
      </c>
    </row>
    <row r="1333" spans="1:10" ht="39">
      <c r="A1333" s="24" t="s">
        <v>27</v>
      </c>
      <c r="B1333" s="21" t="s">
        <v>31</v>
      </c>
      <c r="C1333" s="21">
        <v>3204</v>
      </c>
      <c r="D1333" s="21">
        <v>870</v>
      </c>
      <c r="E1333" s="21" t="str">
        <f>"1000017592"</f>
        <v>1000017592</v>
      </c>
      <c r="F1333" s="21" t="str">
        <f>"TONER:OKI Item # 40815606-OKI, Black Toner Cartridge for Okidata OkiFax 5700, 5750, 5950 &amp; 5900 Fax Machines, (Yld 3k)"</f>
        <v>TONER:OKI Item # 40815606-OKI, Black Toner Cartridge for Okidata OkiFax 5700, 5750, 5950 &amp; 5900 Fax Machines, (Yld 3k)</v>
      </c>
      <c r="G1333" s="22" t="str">
        <f t="shared" si="99"/>
        <v>EA</v>
      </c>
      <c r="H1333" s="23">
        <v>37.89</v>
      </c>
      <c r="I1333" s="21" t="str">
        <f t="shared" si="100"/>
        <v>44103105</v>
      </c>
      <c r="J1333" s="25" t="s">
        <v>98</v>
      </c>
    </row>
    <row r="1334" spans="1:10" ht="51.75">
      <c r="A1334" s="9" t="s">
        <v>27</v>
      </c>
      <c r="B1334" s="2" t="s">
        <v>31</v>
      </c>
      <c r="C1334" s="2">
        <v>3204</v>
      </c>
      <c r="D1334" s="2">
        <v>871</v>
      </c>
      <c r="E1334" s="2" t="str">
        <f>"1000017593"</f>
        <v>1000017593</v>
      </c>
      <c r="F1334" s="2" t="str">
        <f>"TONER:OKI Item # 41963001-OKI, Okidata Type C4 Yellow Toner Cartridge for C7100, C7300, C7350, C7550, C7500 Series Digital Printers, (Yld 10k)"</f>
        <v>TONER:OKI Item # 41963001-OKI, Okidata Type C4 Yellow Toner Cartridge for C7100, C7300, C7350, C7550, C7500 Series Digital Printers, (Yld 10k)</v>
      </c>
      <c r="G1334" s="3" t="str">
        <f t="shared" si="99"/>
        <v>EA</v>
      </c>
      <c r="H1334" s="7">
        <v>183</v>
      </c>
      <c r="I1334" s="2" t="str">
        <f t="shared" si="100"/>
        <v>44103105</v>
      </c>
      <c r="J1334" s="10" t="s">
        <v>98</v>
      </c>
    </row>
    <row r="1335" spans="1:10" ht="51.75">
      <c r="A1335" s="24" t="s">
        <v>27</v>
      </c>
      <c r="B1335" s="21" t="s">
        <v>31</v>
      </c>
      <c r="C1335" s="21">
        <v>3204</v>
      </c>
      <c r="D1335" s="21">
        <v>872</v>
      </c>
      <c r="E1335" s="21" t="str">
        <f>"1000017594"</f>
        <v>1000017594</v>
      </c>
      <c r="F1335" s="21" t="str">
        <f>"TONER:OKI Item # 41963002-OKI, Okidata Type C4 Magenta Toner Cartridge for C7100, C7300, C7350, C7550, C7500 Series Digital Printers, (Yld 10k)"</f>
        <v>TONER:OKI Item # 41963002-OKI, Okidata Type C4 Magenta Toner Cartridge for C7100, C7300, C7350, C7550, C7500 Series Digital Printers, (Yld 10k)</v>
      </c>
      <c r="G1335" s="22" t="str">
        <f t="shared" si="99"/>
        <v>EA</v>
      </c>
      <c r="H1335" s="23">
        <v>188</v>
      </c>
      <c r="I1335" s="21" t="str">
        <f t="shared" si="100"/>
        <v>44103105</v>
      </c>
      <c r="J1335" s="25" t="s">
        <v>98</v>
      </c>
    </row>
    <row r="1336" spans="1:10" ht="51.75">
      <c r="A1336" s="9" t="s">
        <v>27</v>
      </c>
      <c r="B1336" s="2" t="s">
        <v>31</v>
      </c>
      <c r="C1336" s="2">
        <v>3204</v>
      </c>
      <c r="D1336" s="2">
        <v>873</v>
      </c>
      <c r="E1336" s="2" t="str">
        <f>"1000017595"</f>
        <v>1000017595</v>
      </c>
      <c r="F1336" s="2" t="str">
        <f>"TONER:OKI Item # 41963003-OKI, Okidata Type C4 Cyan Toner Cartridge for C7100, C7300, C7350, C7550, C7500 Series Digital Printers, (Yld 10k)"</f>
        <v>TONER:OKI Item # 41963003-OKI, Okidata Type C4 Cyan Toner Cartridge for C7100, C7300, C7350, C7550, C7500 Series Digital Printers, (Yld 10k)</v>
      </c>
      <c r="G1336" s="3" t="str">
        <f t="shared" si="99"/>
        <v>EA</v>
      </c>
      <c r="H1336" s="7">
        <v>188</v>
      </c>
      <c r="I1336" s="2" t="str">
        <f t="shared" si="100"/>
        <v>44103105</v>
      </c>
      <c r="J1336" s="10" t="s">
        <v>98</v>
      </c>
    </row>
    <row r="1337" spans="1:10" ht="51.75">
      <c r="A1337" s="24" t="s">
        <v>27</v>
      </c>
      <c r="B1337" s="21" t="s">
        <v>31</v>
      </c>
      <c r="C1337" s="21">
        <v>3204</v>
      </c>
      <c r="D1337" s="21">
        <v>874</v>
      </c>
      <c r="E1337" s="21" t="str">
        <f>"1000017596"</f>
        <v>1000017596</v>
      </c>
      <c r="F1337" s="21" t="str">
        <f>"TONER:OKI Item # 41963004-OKI, Okidata Type C4 Black Toner Cartridge for C7100, C7300, C7350, C7550, C7500 Series Digital Printers, (Yld 10k)"</f>
        <v>TONER:OKI Item # 41963004-OKI, Okidata Type C4 Black Toner Cartridge for C7100, C7300, C7350, C7550, C7500 Series Digital Printers, (Yld 10k)</v>
      </c>
      <c r="G1337" s="22" t="str">
        <f t="shared" si="99"/>
        <v>EA</v>
      </c>
      <c r="H1337" s="23">
        <v>101</v>
      </c>
      <c r="I1337" s="21" t="str">
        <f t="shared" si="100"/>
        <v>44103105</v>
      </c>
      <c r="J1337" s="25" t="s">
        <v>98</v>
      </c>
    </row>
    <row r="1338" spans="1:10" ht="64.5">
      <c r="A1338" s="9" t="s">
        <v>27</v>
      </c>
      <c r="B1338" s="2" t="s">
        <v>31</v>
      </c>
      <c r="C1338" s="2">
        <v>3204</v>
      </c>
      <c r="D1338" s="2">
        <v>875</v>
      </c>
      <c r="E1338" s="2" t="str">
        <f>"1000017573"</f>
        <v>1000017573</v>
      </c>
      <c r="F1338" s="2" t="str">
        <f>"TONER:OKI Item # 42127401-OKI, Yellow Toner Cartridge for Okidata C5100, C5150n, C5200n, C5400, C5400dn, C5400dtn, C5400n, C5400tn, C5510n &amp; C5300N Digital LED Color Printers. (Yld 5k)"</f>
        <v>TONER:OKI Item # 42127401-OKI, Yellow Toner Cartridge for Okidata C5100, C5150n, C5200n, C5400, C5400dn, C5400dtn, C5400n, C5400tn, C5510n &amp; C5300N Digital LED Color Printers. (Yld 5k)</v>
      </c>
      <c r="G1338" s="3" t="str">
        <f t="shared" si="99"/>
        <v>EA</v>
      </c>
      <c r="H1338" s="7">
        <v>143</v>
      </c>
      <c r="I1338" s="2" t="str">
        <f t="shared" si="100"/>
        <v>44103105</v>
      </c>
      <c r="J1338" s="10" t="s">
        <v>98</v>
      </c>
    </row>
    <row r="1339" spans="1:10" ht="64.5">
      <c r="A1339" s="24" t="s">
        <v>27</v>
      </c>
      <c r="B1339" s="21" t="s">
        <v>31</v>
      </c>
      <c r="C1339" s="21">
        <v>3204</v>
      </c>
      <c r="D1339" s="21">
        <v>876</v>
      </c>
      <c r="E1339" s="21" t="str">
        <f>"1000017574"</f>
        <v>1000017574</v>
      </c>
      <c r="F1339" s="21" t="str">
        <f>"TONER:OKI Item # 42127402-OKI, Magenta Toner Cartridge for Okidata C5100, C5200n, C5400, C5400dn, C5400dtn, C5400n, C5400tn, C5510n &amp; C5300N Digital LED Color Printers. (Yld 5k)"</f>
        <v>TONER:OKI Item # 42127402-OKI, Magenta Toner Cartridge for Okidata C5100, C5200n, C5400, C5400dn, C5400dtn, C5400n, C5400tn, C5510n &amp; C5300N Digital LED Color Printers. (Yld 5k)</v>
      </c>
      <c r="G1339" s="22" t="str">
        <f t="shared" si="99"/>
        <v>EA</v>
      </c>
      <c r="H1339" s="23">
        <v>143</v>
      </c>
      <c r="I1339" s="21" t="str">
        <f t="shared" si="100"/>
        <v>44103105</v>
      </c>
      <c r="J1339" s="25" t="s">
        <v>98</v>
      </c>
    </row>
    <row r="1340" spans="1:10" ht="64.5">
      <c r="A1340" s="9" t="s">
        <v>27</v>
      </c>
      <c r="B1340" s="2" t="s">
        <v>31</v>
      </c>
      <c r="C1340" s="2">
        <v>3204</v>
      </c>
      <c r="D1340" s="2">
        <v>877</v>
      </c>
      <c r="E1340" s="2" t="str">
        <f>"1000017601"</f>
        <v>1000017601</v>
      </c>
      <c r="F1340" s="2" t="str">
        <f>"TONER:OKI Item # 42127403-OKI, Cyan Toner Cartridge for Okidata C5100, C5150n, C5200n, C5400, C5400dn, C5400dtn, C5400n, C5400tn, C5510n &amp; C5300N Digital LED Color Printers. (Yld 5k)"</f>
        <v>TONER:OKI Item # 42127403-OKI, Cyan Toner Cartridge for Okidata C5100, C5150n, C5200n, C5400, C5400dn, C5400dtn, C5400n, C5400tn, C5510n &amp; C5300N Digital LED Color Printers. (Yld 5k)</v>
      </c>
      <c r="G1340" s="3" t="str">
        <f t="shared" si="99"/>
        <v>EA</v>
      </c>
      <c r="H1340" s="7">
        <v>142</v>
      </c>
      <c r="I1340" s="2" t="str">
        <f t="shared" si="100"/>
        <v>44103105</v>
      </c>
      <c r="J1340" s="10" t="s">
        <v>98</v>
      </c>
    </row>
    <row r="1341" spans="1:10" ht="39">
      <c r="A1341" s="24" t="s">
        <v>27</v>
      </c>
      <c r="B1341" s="21" t="s">
        <v>31</v>
      </c>
      <c r="C1341" s="21">
        <v>3204</v>
      </c>
      <c r="D1341" s="21">
        <v>878</v>
      </c>
      <c r="E1341" s="21" t="str">
        <f>"1000017602"</f>
        <v>1000017602</v>
      </c>
      <c r="F1341" s="21" t="str">
        <f>"TONER:OKI Item # 42127404-OKI, Black Toner Cartridge for Okidata C5100 &amp; C5300N Digital LED Color Printers. (Yld 5k)"</f>
        <v>TONER:OKI Item # 42127404-OKI, Black Toner Cartridge for Okidata C5100 &amp; C5300N Digital LED Color Printers. (Yld 5k)</v>
      </c>
      <c r="G1341" s="22" t="str">
        <f t="shared" si="99"/>
        <v>EA</v>
      </c>
      <c r="H1341" s="23">
        <v>63</v>
      </c>
      <c r="I1341" s="21" t="str">
        <f t="shared" si="100"/>
        <v>44103105</v>
      </c>
      <c r="J1341" s="25" t="s">
        <v>98</v>
      </c>
    </row>
    <row r="1342" spans="1:10" ht="39">
      <c r="A1342" s="9" t="s">
        <v>27</v>
      </c>
      <c r="B1342" s="2" t="s">
        <v>31</v>
      </c>
      <c r="C1342" s="2">
        <v>3204</v>
      </c>
      <c r="D1342" s="2">
        <v>879</v>
      </c>
      <c r="E1342" s="2" t="str">
        <f>"1000017603"</f>
        <v>1000017603</v>
      </c>
      <c r="F1342" s="2" t="str">
        <f>"TONER:OKI Item # 42804501-OKI, Okidata Yellow toner cartridge 3,000 page yield for Okidata C5100, C5150, C5300 and C5400"</f>
        <v>TONER:OKI Item # 42804501-OKI, Okidata Yellow toner cartridge 3,000 page yield for Okidata C5100, C5150, C5300 and C5400</v>
      </c>
      <c r="G1342" s="3" t="str">
        <f t="shared" si="99"/>
        <v>EA</v>
      </c>
      <c r="H1342" s="7">
        <v>115</v>
      </c>
      <c r="I1342" s="2" t="str">
        <f t="shared" si="100"/>
        <v>44103105</v>
      </c>
      <c r="J1342" s="10" t="s">
        <v>98</v>
      </c>
    </row>
    <row r="1343" spans="1:10" ht="39">
      <c r="A1343" s="24" t="s">
        <v>27</v>
      </c>
      <c r="B1343" s="21" t="s">
        <v>31</v>
      </c>
      <c r="C1343" s="21">
        <v>3204</v>
      </c>
      <c r="D1343" s="21">
        <v>880</v>
      </c>
      <c r="E1343" s="21" t="str">
        <f>"1000017604"</f>
        <v>1000017604</v>
      </c>
      <c r="F1343" s="21" t="str">
        <f>"TONER:OKI Item # 42804502-OKI, Okidata Magenta toner cartridge 3,000 page yield for Okidata C5100, C5150, C5300 and C5400"</f>
        <v>TONER:OKI Item # 42804502-OKI, Okidata Magenta toner cartridge 3,000 page yield for Okidata C5100, C5150, C5300 and C5400</v>
      </c>
      <c r="G1343" s="22" t="str">
        <f t="shared" si="99"/>
        <v>EA</v>
      </c>
      <c r="H1343" s="23">
        <v>115</v>
      </c>
      <c r="I1343" s="21" t="str">
        <f t="shared" si="100"/>
        <v>44103105</v>
      </c>
      <c r="J1343" s="25" t="s">
        <v>98</v>
      </c>
    </row>
    <row r="1344" spans="1:10" ht="39">
      <c r="A1344" s="9" t="s">
        <v>27</v>
      </c>
      <c r="B1344" s="2" t="s">
        <v>31</v>
      </c>
      <c r="C1344" s="2">
        <v>3204</v>
      </c>
      <c r="D1344" s="2">
        <v>881</v>
      </c>
      <c r="E1344" s="2" t="str">
        <f>"1000017629"</f>
        <v>1000017629</v>
      </c>
      <c r="F1344" s="2" t="str">
        <f>"TONER:OKI Item # 42804503-OKI, Okidata Cyan toner cartridge 3,000 page yield for Okidata C5100, C5150, C5300 and C5400"</f>
        <v>TONER:OKI Item # 42804503-OKI, Okidata Cyan toner cartridge 3,000 page yield for Okidata C5100, C5150, C5300 and C5400</v>
      </c>
      <c r="G1344" s="3" t="str">
        <f t="shared" si="99"/>
        <v>EA</v>
      </c>
      <c r="H1344" s="7">
        <v>115</v>
      </c>
      <c r="I1344" s="2" t="str">
        <f t="shared" si="100"/>
        <v>44103105</v>
      </c>
      <c r="J1344" s="10" t="s">
        <v>98</v>
      </c>
    </row>
    <row r="1345" spans="1:10" ht="39">
      <c r="A1345" s="24" t="s">
        <v>27</v>
      </c>
      <c r="B1345" s="21" t="s">
        <v>31</v>
      </c>
      <c r="C1345" s="21">
        <v>3204</v>
      </c>
      <c r="D1345" s="21">
        <v>882</v>
      </c>
      <c r="E1345" s="21" t="str">
        <f>"1000017630"</f>
        <v>1000017630</v>
      </c>
      <c r="F1345" s="21" t="str">
        <f>"TONER:OKI Item # 42804504-OKI, Okidata Black toner cartridge 3,000 page yield for Okidata C5100, C5150, C5300 and C5400"</f>
        <v>TONER:OKI Item # 42804504-OKI, Okidata Black toner cartridge 3,000 page yield for Okidata C5100, C5150, C5300 and C5400</v>
      </c>
      <c r="G1345" s="22" t="str">
        <f t="shared" si="99"/>
        <v>EA</v>
      </c>
      <c r="H1345" s="23">
        <v>43</v>
      </c>
      <c r="I1345" s="21" t="str">
        <f t="shared" si="100"/>
        <v>44103105</v>
      </c>
      <c r="J1345" s="25" t="s">
        <v>98</v>
      </c>
    </row>
    <row r="1346" spans="1:10" ht="39">
      <c r="A1346" s="9" t="s">
        <v>27</v>
      </c>
      <c r="B1346" s="2" t="s">
        <v>31</v>
      </c>
      <c r="C1346" s="2">
        <v>3204</v>
      </c>
      <c r="D1346" s="2">
        <v>883</v>
      </c>
      <c r="E1346" s="2" t="str">
        <f>"1000017605"</f>
        <v>1000017605</v>
      </c>
      <c r="F1346" s="2" t="str">
        <f>"TONER:OKI Item # 43034801-OKI, Okidata Type 6 Yellow Toner Cartridge for Okidata C3200 Series, Standard-Yield (Yld 1.5k)"</f>
        <v>TONER:OKI Item # 43034801-OKI, Okidata Type 6 Yellow Toner Cartridge for Okidata C3200 Series, Standard-Yield (Yld 1.5k)</v>
      </c>
      <c r="G1346" s="3" t="str">
        <f t="shared" si="99"/>
        <v>EA</v>
      </c>
      <c r="H1346" s="7">
        <v>68</v>
      </c>
      <c r="I1346" s="2" t="str">
        <f t="shared" si="100"/>
        <v>44103105</v>
      </c>
      <c r="J1346" s="10" t="s">
        <v>98</v>
      </c>
    </row>
    <row r="1347" spans="1:10" ht="39">
      <c r="A1347" s="24" t="s">
        <v>27</v>
      </c>
      <c r="B1347" s="21" t="s">
        <v>31</v>
      </c>
      <c r="C1347" s="21">
        <v>3204</v>
      </c>
      <c r="D1347" s="21">
        <v>884</v>
      </c>
      <c r="E1347" s="21" t="str">
        <f>"1000017606"</f>
        <v>1000017606</v>
      </c>
      <c r="F1347" s="21" t="str">
        <f>"TONER:OKI Item # 43034802-OKI, Okidata Type 6 Magenta Toner Cartridge for Okidata C3200 Series, Standard-Yield (Yld 1.5)"</f>
        <v>TONER:OKI Item # 43034802-OKI, Okidata Type 6 Magenta Toner Cartridge for Okidata C3200 Series, Standard-Yield (Yld 1.5)</v>
      </c>
      <c r="G1347" s="22" t="str">
        <f t="shared" si="99"/>
        <v>EA</v>
      </c>
      <c r="H1347" s="23">
        <v>68</v>
      </c>
      <c r="I1347" s="21" t="str">
        <f t="shared" si="100"/>
        <v>44103105</v>
      </c>
      <c r="J1347" s="25" t="s">
        <v>98</v>
      </c>
    </row>
    <row r="1348" spans="1:10" ht="39">
      <c r="A1348" s="9" t="s">
        <v>27</v>
      </c>
      <c r="B1348" s="2" t="s">
        <v>31</v>
      </c>
      <c r="C1348" s="2">
        <v>3204</v>
      </c>
      <c r="D1348" s="2">
        <v>885</v>
      </c>
      <c r="E1348" s="2" t="str">
        <f>"1000017607"</f>
        <v>1000017607</v>
      </c>
      <c r="F1348" s="2" t="str">
        <f>"TONER:OKI Item # 43034803-OKI, Okidata Type 6 Cyan Toner Cartridge for Okidata C3200 Series, Standard-Yield, (Yld 1.5k)"</f>
        <v>TONER:OKI Item # 43034803-OKI, Okidata Type 6 Cyan Toner Cartridge for Okidata C3200 Series, Standard-Yield, (Yld 1.5k)</v>
      </c>
      <c r="G1348" s="3" t="str">
        <f t="shared" si="99"/>
        <v>EA</v>
      </c>
      <c r="H1348" s="7">
        <v>68</v>
      </c>
      <c r="I1348" s="2" t="str">
        <f t="shared" si="100"/>
        <v>44103105</v>
      </c>
      <c r="J1348" s="10" t="s">
        <v>98</v>
      </c>
    </row>
    <row r="1349" spans="1:10" ht="39">
      <c r="A1349" s="24" t="s">
        <v>27</v>
      </c>
      <c r="B1349" s="21" t="s">
        <v>31</v>
      </c>
      <c r="C1349" s="21">
        <v>3204</v>
      </c>
      <c r="D1349" s="21">
        <v>886</v>
      </c>
      <c r="E1349" s="21" t="str">
        <f>"1000017608"</f>
        <v>1000017608</v>
      </c>
      <c r="F1349" s="21" t="str">
        <f>"TONER:OKI Item # 43034804-OKI, Okidata Type 6 Black Toner Cartridge for Okidata C3200 Series, Standard-Yield (Yld 1.5k)"</f>
        <v>TONER:OKI Item # 43034804-OKI, Okidata Type 6 Black Toner Cartridge for Okidata C3200 Series, Standard-Yield (Yld 1.5k)</v>
      </c>
      <c r="G1349" s="22" t="str">
        <f t="shared" si="99"/>
        <v>EA</v>
      </c>
      <c r="H1349" s="23">
        <v>35</v>
      </c>
      <c r="I1349" s="21" t="str">
        <f t="shared" si="100"/>
        <v>44103105</v>
      </c>
      <c r="J1349" s="25" t="s">
        <v>98</v>
      </c>
    </row>
    <row r="1350" spans="1:10" ht="51.75">
      <c r="A1350" s="9" t="s">
        <v>27</v>
      </c>
      <c r="B1350" s="2" t="s">
        <v>31</v>
      </c>
      <c r="C1350" s="2">
        <v>3204</v>
      </c>
      <c r="D1350" s="2">
        <v>887</v>
      </c>
      <c r="E1350" s="2" t="str">
        <f>"1000017609"</f>
        <v>1000017609</v>
      </c>
      <c r="F1350" s="2" t="str">
        <f>"TONER:OKI Item # 43324401-OKI, Okidata Yellow laser toner cartridge, high capacity, 5,000 page yield, for C5500N and C5800 LDN printers"</f>
        <v>TONER:OKI Item # 43324401-OKI, Okidata Yellow laser toner cartridge, high capacity, 5,000 page yield, for C5500N and C5800 LDN printers</v>
      </c>
      <c r="G1350" s="3" t="str">
        <f t="shared" si="99"/>
        <v>EA</v>
      </c>
      <c r="H1350" s="7">
        <v>175.22</v>
      </c>
      <c r="I1350" s="2" t="str">
        <f t="shared" si="100"/>
        <v>44103105</v>
      </c>
      <c r="J1350" s="10" t="s">
        <v>98</v>
      </c>
    </row>
    <row r="1351" spans="1:10" ht="51.75">
      <c r="A1351" s="24" t="s">
        <v>27</v>
      </c>
      <c r="B1351" s="21" t="s">
        <v>31</v>
      </c>
      <c r="C1351" s="21">
        <v>3204</v>
      </c>
      <c r="D1351" s="21">
        <v>888</v>
      </c>
      <c r="E1351" s="21" t="str">
        <f>"1000017585"</f>
        <v>1000017585</v>
      </c>
      <c r="F1351" s="21" t="str">
        <f>"TONER:OKI Item # 43324403-OKI, Okidata Cyan laser toner cartridge, high capacity, 5,000 page yield, for C5500N and C5800 LDN printers"</f>
        <v>TONER:OKI Item # 43324403-OKI, Okidata Cyan laser toner cartridge, high capacity, 5,000 page yield, for C5500N and C5800 LDN printers</v>
      </c>
      <c r="G1351" s="22" t="str">
        <f t="shared" si="99"/>
        <v>EA</v>
      </c>
      <c r="H1351" s="23">
        <v>175.22</v>
      </c>
      <c r="I1351" s="21" t="str">
        <f t="shared" si="100"/>
        <v>44103105</v>
      </c>
      <c r="J1351" s="25" t="s">
        <v>98</v>
      </c>
    </row>
    <row r="1352" spans="1:10" ht="51.75">
      <c r="A1352" s="9" t="s">
        <v>27</v>
      </c>
      <c r="B1352" s="2" t="s">
        <v>31</v>
      </c>
      <c r="C1352" s="2">
        <v>3204</v>
      </c>
      <c r="D1352" s="2">
        <v>889</v>
      </c>
      <c r="E1352" s="2" t="str">
        <f>"1000017586"</f>
        <v>1000017586</v>
      </c>
      <c r="F1352" s="2" t="str">
        <f>"TONER:OKI Item # 43324404-OKI, Okidata Black laser toner cartridge, high capacity, 5,000 page yield, for C5500N and C5800 LDN printers"</f>
        <v>TONER:OKI Item # 43324404-OKI, Okidata Black laser toner cartridge, high capacity, 5,000 page yield, for C5500N and C5800 LDN printers</v>
      </c>
      <c r="G1352" s="3" t="str">
        <f t="shared" si="99"/>
        <v>EA</v>
      </c>
      <c r="H1352" s="7">
        <v>100</v>
      </c>
      <c r="I1352" s="2" t="str">
        <f t="shared" si="100"/>
        <v>44103105</v>
      </c>
      <c r="J1352" s="10" t="s">
        <v>98</v>
      </c>
    </row>
    <row r="1353" spans="1:10" ht="39">
      <c r="A1353" s="24" t="s">
        <v>27</v>
      </c>
      <c r="B1353" s="21" t="s">
        <v>31</v>
      </c>
      <c r="C1353" s="21">
        <v>3204</v>
      </c>
      <c r="D1353" s="21">
        <v>890</v>
      </c>
      <c r="E1353" s="21" t="str">
        <f>"1000017587"</f>
        <v>1000017587</v>
      </c>
      <c r="F1353" s="21" t="str">
        <f>"TONER:OKI Item # 43381902-OKI, Magenta Toner Cartridge for Okidata C5500, 5800, C5650dn &amp; C5650n Printers. (Yld 2k)"</f>
        <v>TONER:OKI Item # 43381902-OKI, Magenta Toner Cartridge for Okidata C5500, 5800, C5650dn &amp; C5650n Printers. (Yld 2k)</v>
      </c>
      <c r="G1353" s="22" t="str">
        <f t="shared" si="99"/>
        <v>EA</v>
      </c>
      <c r="H1353" s="23">
        <v>90.16</v>
      </c>
      <c r="I1353" s="21" t="str">
        <f t="shared" si="100"/>
        <v>44103105</v>
      </c>
      <c r="J1353" s="25" t="s">
        <v>98</v>
      </c>
    </row>
    <row r="1354" spans="1:10" ht="39">
      <c r="A1354" s="9" t="s">
        <v>27</v>
      </c>
      <c r="B1354" s="2" t="s">
        <v>31</v>
      </c>
      <c r="C1354" s="2">
        <v>3204</v>
      </c>
      <c r="D1354" s="2">
        <v>891</v>
      </c>
      <c r="E1354" s="2" t="str">
        <f>"1000017614"</f>
        <v>1000017614</v>
      </c>
      <c r="F1354" s="2" t="str">
        <f>"TONER:OKI Item # 43459301-OKI, Yellow Toner Cartridge for Okidata C3400N/C3530N Series Printers, High Capacity, (Yld 2k)"</f>
        <v>TONER:OKI Item # 43459301-OKI, Yellow Toner Cartridge for Okidata C3400N/C3530N Series Printers, High Capacity, (Yld 2k)</v>
      </c>
      <c r="G1354" s="3" t="str">
        <f t="shared" si="99"/>
        <v>EA</v>
      </c>
      <c r="H1354" s="7">
        <v>99</v>
      </c>
      <c r="I1354" s="2" t="str">
        <f t="shared" si="100"/>
        <v>44103105</v>
      </c>
      <c r="J1354" s="10" t="s">
        <v>98</v>
      </c>
    </row>
    <row r="1355" spans="1:10" ht="39">
      <c r="A1355" s="24" t="s">
        <v>27</v>
      </c>
      <c r="B1355" s="21" t="s">
        <v>31</v>
      </c>
      <c r="C1355" s="21">
        <v>3204</v>
      </c>
      <c r="D1355" s="21">
        <v>892</v>
      </c>
      <c r="E1355" s="21" t="str">
        <f>"1000017615"</f>
        <v>1000017615</v>
      </c>
      <c r="F1355" s="21" t="str">
        <f>"TONER:OKI Item # 43459302-OKI, Magenta Toner Cartridge for Okidata C3400N/C3530N Series Printers. High Capacity (Yld 2k)"</f>
        <v>TONER:OKI Item # 43459302-OKI, Magenta Toner Cartridge for Okidata C3400N/C3530N Series Printers. High Capacity (Yld 2k)</v>
      </c>
      <c r="G1355" s="22" t="str">
        <f t="shared" si="99"/>
        <v>EA</v>
      </c>
      <c r="H1355" s="23">
        <v>99</v>
      </c>
      <c r="I1355" s="21" t="str">
        <f t="shared" si="100"/>
        <v>44103105</v>
      </c>
      <c r="J1355" s="25" t="s">
        <v>98</v>
      </c>
    </row>
    <row r="1356" spans="1:10" ht="39">
      <c r="A1356" s="9" t="s">
        <v>27</v>
      </c>
      <c r="B1356" s="2" t="s">
        <v>31</v>
      </c>
      <c r="C1356" s="2">
        <v>3204</v>
      </c>
      <c r="D1356" s="2">
        <v>893</v>
      </c>
      <c r="E1356" s="2" t="str">
        <f>"1000017616"</f>
        <v>1000017616</v>
      </c>
      <c r="F1356" s="2" t="str">
        <f>"TONER:OKI Item # 43459303-OKI, Cyan Toner Cartridge for Okidata C3400N/C3530N Series Printers. High Capacity (Yld 2k)"</f>
        <v>TONER:OKI Item # 43459303-OKI, Cyan Toner Cartridge for Okidata C3400N/C3530N Series Printers. High Capacity (Yld 2k)</v>
      </c>
      <c r="G1356" s="3" t="str">
        <f t="shared" si="99"/>
        <v>EA</v>
      </c>
      <c r="H1356" s="7">
        <v>99</v>
      </c>
      <c r="I1356" s="2" t="str">
        <f t="shared" si="100"/>
        <v>44103105</v>
      </c>
      <c r="J1356" s="10" t="s">
        <v>98</v>
      </c>
    </row>
    <row r="1357" spans="1:10" ht="39">
      <c r="A1357" s="24" t="s">
        <v>27</v>
      </c>
      <c r="B1357" s="21" t="s">
        <v>31</v>
      </c>
      <c r="C1357" s="21">
        <v>3204</v>
      </c>
      <c r="D1357" s="21">
        <v>894</v>
      </c>
      <c r="E1357" s="21" t="str">
        <f>"1000017642"</f>
        <v>1000017642</v>
      </c>
      <c r="F1357" s="21" t="str">
        <f>"TONER:OKI Item # 43459304-OKI, Black Toner Cartridge for Okidata C3400N/C3530N Series Printers. High Capacity (Yld 2k)"</f>
        <v>TONER:OKI Item # 43459304-OKI, Black Toner Cartridge for Okidata C3400N/C3530N Series Printers. High Capacity (Yld 2k)</v>
      </c>
      <c r="G1357" s="22" t="str">
        <f t="shared" si="99"/>
        <v>EA</v>
      </c>
      <c r="H1357" s="23">
        <v>66</v>
      </c>
      <c r="I1357" s="21" t="str">
        <f t="shared" si="100"/>
        <v>44103105</v>
      </c>
      <c r="J1357" s="25" t="s">
        <v>98</v>
      </c>
    </row>
    <row r="1358" spans="1:10" ht="39">
      <c r="A1358" s="9" t="s">
        <v>27</v>
      </c>
      <c r="B1358" s="2" t="s">
        <v>31</v>
      </c>
      <c r="C1358" s="2">
        <v>3204</v>
      </c>
      <c r="D1358" s="2">
        <v>895</v>
      </c>
      <c r="E1358" s="2" t="str">
        <f>"1000017643"</f>
        <v>1000017643</v>
      </c>
      <c r="F1358" s="2" t="str">
        <f>"TONER:OKI Item # 52106201-OKI, Toner Cartridge for Okidata Okipage 4W and OkiOffice 44."</f>
        <v>TONER:OKI Item # 52106201-OKI, Toner Cartridge for Okidata Okipage 4W and OkiOffice 44.</v>
      </c>
      <c r="G1358" s="3" t="str">
        <f t="shared" si="99"/>
        <v>EA</v>
      </c>
      <c r="H1358" s="7">
        <v>31</v>
      </c>
      <c r="I1358" s="2" t="str">
        <f t="shared" si="100"/>
        <v>44103105</v>
      </c>
      <c r="J1358" s="10" t="s">
        <v>98</v>
      </c>
    </row>
    <row r="1359" spans="1:10" ht="39">
      <c r="A1359" s="24" t="s">
        <v>27</v>
      </c>
      <c r="B1359" s="21" t="s">
        <v>31</v>
      </c>
      <c r="C1359" s="21">
        <v>3204</v>
      </c>
      <c r="D1359" s="21">
        <v>896</v>
      </c>
      <c r="E1359" s="21" t="str">
        <f>"1000000119"</f>
        <v>1000000119</v>
      </c>
      <c r="F1359" s="21" t="str">
        <f>"TONER:OKI Item # 52106701-OKI, Toner for Okidata Printers Okidata 1000/1050/2200/2350/2400"</f>
        <v>TONER:OKI Item # 52106701-OKI, Toner for Okidata Printers Okidata 1000/1050/2200/2350/2400</v>
      </c>
      <c r="G1359" s="22" t="str">
        <f t="shared" si="99"/>
        <v>EA</v>
      </c>
      <c r="H1359" s="23">
        <v>36.06</v>
      </c>
      <c r="I1359" s="21" t="str">
        <f>"44103103"</f>
        <v>44103103</v>
      </c>
      <c r="J1359" s="25" t="s">
        <v>99</v>
      </c>
    </row>
    <row r="1360" spans="1:10" ht="39">
      <c r="A1360" s="24" t="s">
        <v>27</v>
      </c>
      <c r="B1360" s="21" t="s">
        <v>31</v>
      </c>
      <c r="C1360" s="21">
        <v>3204</v>
      </c>
      <c r="D1360" s="21">
        <v>897</v>
      </c>
      <c r="E1360" s="21" t="str">
        <f>"1000017618"</f>
        <v>1000017618</v>
      </c>
      <c r="F1360" s="21" t="str">
        <f>"TONER:OKI Item # 52107201-OKI, Black Toner Cartridge for Okidata OL400e, OL600e, OL800e series, OP6e, OP6ex"</f>
        <v>TONER:OKI Item # 52107201-OKI, Black Toner Cartridge for Okidata OL400e, OL600e, OL800e series, OP6e, OP6ex</v>
      </c>
      <c r="G1360" s="22" t="str">
        <f t="shared" si="99"/>
        <v>EA</v>
      </c>
      <c r="H1360" s="23">
        <v>32</v>
      </c>
      <c r="I1360" s="21" t="str">
        <f>"44103105"</f>
        <v>44103105</v>
      </c>
      <c r="J1360" s="25" t="s">
        <v>98</v>
      </c>
    </row>
    <row r="1361" spans="1:10" ht="39">
      <c r="A1361" s="9" t="s">
        <v>27</v>
      </c>
      <c r="B1361" s="2" t="s">
        <v>31</v>
      </c>
      <c r="C1361" s="2">
        <v>3204</v>
      </c>
      <c r="D1361" s="2">
        <v>898</v>
      </c>
      <c r="E1361" s="2" t="str">
        <f>"1000017619"</f>
        <v>1000017619</v>
      </c>
      <c r="F1361" s="2" t="str">
        <f>"TONER:OKI Item # 52112901-OKI, Black Toner Cartridge for OkiFax 5780/5980, high capacity (Yld 5k)"</f>
        <v>TONER:OKI Item # 52112901-OKI, Black Toner Cartridge for OkiFax 5780/5980, high capacity (Yld 5k)</v>
      </c>
      <c r="G1361" s="3" t="str">
        <f t="shared" ref="G1361:G1392" si="101">"EA"</f>
        <v>EA</v>
      </c>
      <c r="H1361" s="7">
        <v>53.78</v>
      </c>
      <c r="I1361" s="2" t="str">
        <f>"44103105"</f>
        <v>44103105</v>
      </c>
      <c r="J1361" s="10" t="s">
        <v>98</v>
      </c>
    </row>
    <row r="1362" spans="1:10" ht="39">
      <c r="A1362" s="9" t="s">
        <v>27</v>
      </c>
      <c r="B1362" s="2" t="s">
        <v>31</v>
      </c>
      <c r="C1362" s="2">
        <v>3204</v>
      </c>
      <c r="D1362" s="2">
        <v>899</v>
      </c>
      <c r="E1362" s="2" t="str">
        <f>"1000001668"</f>
        <v>1000001668</v>
      </c>
      <c r="F1362" s="2" t="str">
        <f>"TONER:PAN Item # KXFA76-PAN, Fax Toner for Panasonic Printers, Panasonic KX-FL501/521 (Yld 2k)"</f>
        <v>TONER:PAN Item # KXFA76-PAN, Fax Toner for Panasonic Printers, Panasonic KX-FL501/521 (Yld 2k)</v>
      </c>
      <c r="G1362" s="3" t="str">
        <f t="shared" si="101"/>
        <v>EA</v>
      </c>
      <c r="H1362" s="7">
        <v>36</v>
      </c>
      <c r="I1362" s="2" t="str">
        <f>"44103103"</f>
        <v>44103103</v>
      </c>
      <c r="J1362" s="10" t="s">
        <v>99</v>
      </c>
    </row>
    <row r="1363" spans="1:10" ht="39">
      <c r="A1363" s="24" t="s">
        <v>27</v>
      </c>
      <c r="B1363" s="21" t="s">
        <v>31</v>
      </c>
      <c r="C1363" s="21">
        <v>3204</v>
      </c>
      <c r="D1363" s="21">
        <v>900</v>
      </c>
      <c r="E1363" s="21" t="str">
        <f>"1000017620"</f>
        <v>1000017620</v>
      </c>
      <c r="F1363" s="21" t="str">
        <f>"TONER:PAN Item # KXFA83-PAN, Toner Cartridge for Panasonic KX-FL511, KX-FL541, KX-FL611, KX-FLM651 Fax Machines"</f>
        <v>TONER:PAN Item # KXFA83-PAN, Toner Cartridge for Panasonic KX-FL511, KX-FL541, KX-FL611, KX-FLM651 Fax Machines</v>
      </c>
      <c r="G1363" s="22" t="str">
        <f t="shared" si="101"/>
        <v>EA</v>
      </c>
      <c r="H1363" s="23">
        <v>40.520000000000003</v>
      </c>
      <c r="I1363" s="21" t="str">
        <f>"44103105"</f>
        <v>44103105</v>
      </c>
      <c r="J1363" s="25" t="s">
        <v>98</v>
      </c>
    </row>
    <row r="1364" spans="1:10" ht="26.25">
      <c r="A1364" s="24" t="s">
        <v>27</v>
      </c>
      <c r="B1364" s="21" t="s">
        <v>31</v>
      </c>
      <c r="C1364" s="21">
        <v>3204</v>
      </c>
      <c r="D1364" s="21">
        <v>901</v>
      </c>
      <c r="E1364" s="21" t="str">
        <f>"1000022109"</f>
        <v>1000022109</v>
      </c>
      <c r="F1364" s="21" t="str">
        <f>"TONER: PB, Item # 8104-PB, Toner Cartridge for Pitney Bowes Fax 9800, 9820, 9830 (Yld 11k)"</f>
        <v>TONER: PB, Item # 8104-PB, Toner Cartridge for Pitney Bowes Fax 9800, 9820, 9830 (Yld 11k)</v>
      </c>
      <c r="G1364" s="22" t="str">
        <f t="shared" si="101"/>
        <v>EA</v>
      </c>
      <c r="H1364" s="23">
        <v>232</v>
      </c>
      <c r="I1364" s="21" t="str">
        <f>"44103103"</f>
        <v>44103103</v>
      </c>
      <c r="J1364" s="25" t="s">
        <v>99</v>
      </c>
    </row>
    <row r="1365" spans="1:10" ht="39">
      <c r="A1365" s="9" t="s">
        <v>27</v>
      </c>
      <c r="B1365" s="2" t="s">
        <v>31</v>
      </c>
      <c r="C1365" s="2">
        <v>3204</v>
      </c>
      <c r="D1365" s="2">
        <v>902</v>
      </c>
      <c r="E1365" s="2" t="str">
        <f>"1000022113"</f>
        <v>1000022113</v>
      </c>
      <c r="F1365" s="2" t="str">
        <f>"TONER: QMS, Item # 1710322003-QMS, Yellow toner for Konica Minolta Magicolor 330 (Yld 6k)"</f>
        <v>TONER: QMS, Item # 1710322003-QMS, Yellow toner for Konica Minolta Magicolor 330 (Yld 6k)</v>
      </c>
      <c r="G1365" s="3" t="str">
        <f t="shared" si="101"/>
        <v>EA</v>
      </c>
      <c r="H1365" s="7">
        <v>188</v>
      </c>
      <c r="I1365" s="2" t="str">
        <f>"44103103"</f>
        <v>44103103</v>
      </c>
      <c r="J1365" s="10" t="s">
        <v>99</v>
      </c>
    </row>
    <row r="1366" spans="1:10" ht="39">
      <c r="A1366" s="24" t="s">
        <v>27</v>
      </c>
      <c r="B1366" s="21" t="s">
        <v>31</v>
      </c>
      <c r="C1366" s="21">
        <v>3204</v>
      </c>
      <c r="D1366" s="21">
        <v>903</v>
      </c>
      <c r="E1366" s="21" t="str">
        <f>"1000022112"</f>
        <v>1000022112</v>
      </c>
      <c r="F1366" s="21" t="str">
        <f>"TONER: QMS, Item # 1710405002-QMS, Black toner for Konica Minolta Pro 1100/1100L/Pageworks 8E/8L (Yld 6k)"</f>
        <v>TONER: QMS, Item # 1710405002-QMS, Black toner for Konica Minolta Pro 1100/1100L/Pageworks 8E/8L (Yld 6k)</v>
      </c>
      <c r="G1366" s="22" t="str">
        <f t="shared" si="101"/>
        <v>EA</v>
      </c>
      <c r="H1366" s="23">
        <v>136</v>
      </c>
      <c r="I1366" s="21" t="str">
        <f>"44103103"</f>
        <v>44103103</v>
      </c>
      <c r="J1366" s="25" t="s">
        <v>99</v>
      </c>
    </row>
    <row r="1367" spans="1:10" ht="39">
      <c r="A1367" s="9" t="s">
        <v>27</v>
      </c>
      <c r="B1367" s="2" t="s">
        <v>31</v>
      </c>
      <c r="C1367" s="2">
        <v>3204</v>
      </c>
      <c r="D1367" s="2">
        <v>904</v>
      </c>
      <c r="E1367" s="2" t="str">
        <f>"1000022138"</f>
        <v>1000022138</v>
      </c>
      <c r="F1367" s="2" t="str">
        <f>"TONER: QMS, Item # 1710434001-QMS, Black toner for Konica Minolta Pageworks 20/20N/ 2060/ 2060BX/ 2060WX/ 2060FX (Yld 20k)"</f>
        <v>TONER: QMS, Item # 1710434001-QMS, Black toner for Konica Minolta Pageworks 20/20N/ 2060/ 2060BX/ 2060WX/ 2060FX (Yld 20k)</v>
      </c>
      <c r="G1367" s="3" t="str">
        <f t="shared" si="101"/>
        <v>EA</v>
      </c>
      <c r="H1367" s="7">
        <v>247</v>
      </c>
      <c r="I1367" s="2" t="str">
        <f>"44103103"</f>
        <v>44103103</v>
      </c>
      <c r="J1367" s="10" t="s">
        <v>99</v>
      </c>
    </row>
    <row r="1368" spans="1:10" ht="39">
      <c r="A1368" s="9" t="s">
        <v>27</v>
      </c>
      <c r="B1368" s="2" t="s">
        <v>31</v>
      </c>
      <c r="C1368" s="2">
        <v>3204</v>
      </c>
      <c r="D1368" s="2">
        <v>905</v>
      </c>
      <c r="E1368" s="2" t="str">
        <f>"1000017599"</f>
        <v>1000017599</v>
      </c>
      <c r="F1368" s="2" t="str">
        <f>"TONER:QMS Item # 1710517002-QMS, Magicolor 2300DL/2350EN Standard Yield Toner, Yellow (Yld 1.5k)"</f>
        <v>TONER:QMS Item # 1710517002-QMS, Magicolor 2300DL/2350EN Standard Yield Toner, Yellow (Yld 1.5k)</v>
      </c>
      <c r="G1368" s="3" t="str">
        <f t="shared" si="101"/>
        <v>EA</v>
      </c>
      <c r="H1368" s="7">
        <v>70</v>
      </c>
      <c r="I1368" s="2" t="str">
        <f>"44103105"</f>
        <v>44103105</v>
      </c>
      <c r="J1368" s="10" t="s">
        <v>98</v>
      </c>
    </row>
    <row r="1369" spans="1:10" ht="39">
      <c r="A1369" s="24" t="s">
        <v>27</v>
      </c>
      <c r="B1369" s="21" t="s">
        <v>31</v>
      </c>
      <c r="C1369" s="21">
        <v>3204</v>
      </c>
      <c r="D1369" s="21">
        <v>906</v>
      </c>
      <c r="E1369" s="21" t="str">
        <f>"1000017600"</f>
        <v>1000017600</v>
      </c>
      <c r="F1369" s="21" t="str">
        <f>"TONER:QMS Item # 1710517003-QMS, Magicolor 2300DL/2350EN Standard Yield Toner, Magenta (Yld 1.5k)"</f>
        <v>TONER:QMS Item # 1710517003-QMS, Magicolor 2300DL/2350EN Standard Yield Toner, Magenta (Yld 1.5k)</v>
      </c>
      <c r="G1369" s="22" t="str">
        <f t="shared" si="101"/>
        <v>EA</v>
      </c>
      <c r="H1369" s="23">
        <v>69</v>
      </c>
      <c r="I1369" s="21" t="str">
        <f>"44103105"</f>
        <v>44103105</v>
      </c>
      <c r="J1369" s="25" t="s">
        <v>98</v>
      </c>
    </row>
    <row r="1370" spans="1:10" ht="39">
      <c r="A1370" s="9" t="s">
        <v>27</v>
      </c>
      <c r="B1370" s="2" t="s">
        <v>31</v>
      </c>
      <c r="C1370" s="2">
        <v>3204</v>
      </c>
      <c r="D1370" s="2">
        <v>907</v>
      </c>
      <c r="E1370" s="2" t="str">
        <f>"1000017627"</f>
        <v>1000017627</v>
      </c>
      <c r="F1370" s="2" t="str">
        <f>"TONER:QMS Item # 1710517005-QMS, Magicolor 2300DL/2350EN High Capacity Toner, Black (Yld 4.5k)"</f>
        <v>TONER:QMS Item # 1710517005-QMS, Magicolor 2300DL/2350EN High Capacity Toner, Black (Yld 4.5k)</v>
      </c>
      <c r="G1370" s="3" t="str">
        <f t="shared" si="101"/>
        <v>EA</v>
      </c>
      <c r="H1370" s="7">
        <v>84</v>
      </c>
      <c r="I1370" s="2" t="str">
        <f>"44103105"</f>
        <v>44103105</v>
      </c>
      <c r="J1370" s="10" t="s">
        <v>98</v>
      </c>
    </row>
    <row r="1371" spans="1:10" ht="39">
      <c r="A1371" s="24" t="s">
        <v>27</v>
      </c>
      <c r="B1371" s="21" t="s">
        <v>31</v>
      </c>
      <c r="C1371" s="21">
        <v>3204</v>
      </c>
      <c r="D1371" s="21">
        <v>908</v>
      </c>
      <c r="E1371" s="21" t="str">
        <f>"1000022111"</f>
        <v>1000022111</v>
      </c>
      <c r="F1371" s="21" t="str">
        <f>"TONER: QMS, Item# 1710517008-QMS, Cyan toner for Konica Minolta Magicolor 2300/ 2300DL/ 2300W/ 2350EN, (Yld 4.5k)"</f>
        <v>TONER: QMS, Item# 1710517008-QMS, Cyan toner for Konica Minolta Magicolor 2300/ 2300DL/ 2300W/ 2350EN, (Yld 4.5k)</v>
      </c>
      <c r="G1371" s="22" t="str">
        <f t="shared" si="101"/>
        <v>EA</v>
      </c>
      <c r="H1371" s="23">
        <v>123</v>
      </c>
      <c r="I1371" s="21" t="str">
        <f>"44103103"</f>
        <v>44103103</v>
      </c>
      <c r="J1371" s="25" t="s">
        <v>99</v>
      </c>
    </row>
    <row r="1372" spans="1:10" ht="39">
      <c r="A1372" s="9" t="s">
        <v>27</v>
      </c>
      <c r="B1372" s="2" t="s">
        <v>31</v>
      </c>
      <c r="C1372" s="2">
        <v>3204</v>
      </c>
      <c r="D1372" s="2">
        <v>909</v>
      </c>
      <c r="E1372" s="2" t="str">
        <f>"1000022137"</f>
        <v>1000022137</v>
      </c>
      <c r="F1372" s="2" t="str">
        <f>"TONER: QMS, Item# 1710517007-QMS, Magenta toner for Konica Minolta Magicolor 2300/ 2300DL/ 2300W/ 2350EN, (Yld 4.5k)"</f>
        <v>TONER: QMS, Item# 1710517007-QMS, Magenta toner for Konica Minolta Magicolor 2300/ 2300DL/ 2300W/ 2350EN, (Yld 4.5k)</v>
      </c>
      <c r="G1372" s="3" t="str">
        <f t="shared" si="101"/>
        <v>EA</v>
      </c>
      <c r="H1372" s="7">
        <v>125</v>
      </c>
      <c r="I1372" s="2" t="str">
        <f>"44103103"</f>
        <v>44103103</v>
      </c>
      <c r="J1372" s="10" t="s">
        <v>99</v>
      </c>
    </row>
    <row r="1373" spans="1:10" ht="39">
      <c r="A1373" s="24" t="s">
        <v>27</v>
      </c>
      <c r="B1373" s="21" t="s">
        <v>31</v>
      </c>
      <c r="C1373" s="21">
        <v>3204</v>
      </c>
      <c r="D1373" s="21">
        <v>910</v>
      </c>
      <c r="E1373" s="21" t="str">
        <f>"1000022136"</f>
        <v>1000022136</v>
      </c>
      <c r="F1373" s="21" t="str">
        <f>"TONER: QMS, Item# 1710517006-QMS, Yellow toner for Konica Minolta Magicolor 2300/ 2300DL/ 2300W/ 2350EN, (Yld 4.5k)"</f>
        <v>TONER: QMS, Item# 1710517006-QMS, Yellow toner for Konica Minolta Magicolor 2300/ 2300DL/ 2300W/ 2350EN, (Yld 4.5k)</v>
      </c>
      <c r="G1373" s="22" t="str">
        <f t="shared" si="101"/>
        <v>EA</v>
      </c>
      <c r="H1373" s="23">
        <v>123</v>
      </c>
      <c r="I1373" s="21" t="str">
        <f>"44103103"</f>
        <v>44103103</v>
      </c>
      <c r="J1373" s="25" t="s">
        <v>99</v>
      </c>
    </row>
    <row r="1374" spans="1:10" ht="39">
      <c r="A1374" s="24" t="s">
        <v>27</v>
      </c>
      <c r="B1374" s="21" t="s">
        <v>31</v>
      </c>
      <c r="C1374" s="21">
        <v>3204</v>
      </c>
      <c r="D1374" s="21">
        <v>911</v>
      </c>
      <c r="E1374" s="21" t="str">
        <f>"1000017628"</f>
        <v>1000017628</v>
      </c>
      <c r="F1374" s="21" t="str">
        <f>"TONER:QMS Item # 1710580001-QMS, Magicolor 5430DL, 5440DL, 5450 Black Toner Cartridge (Yld 6k)."</f>
        <v>TONER:QMS Item # 1710580001-QMS, Magicolor 5430DL, 5440DL, 5450 Black Toner Cartridge (Yld 6k).</v>
      </c>
      <c r="G1374" s="22" t="str">
        <f t="shared" si="101"/>
        <v>EA</v>
      </c>
      <c r="H1374" s="23">
        <v>128</v>
      </c>
      <c r="I1374" s="21" t="str">
        <f>"44103105"</f>
        <v>44103105</v>
      </c>
      <c r="J1374" s="25" t="s">
        <v>98</v>
      </c>
    </row>
    <row r="1375" spans="1:10" ht="39">
      <c r="A1375" s="9" t="s">
        <v>27</v>
      </c>
      <c r="B1375" s="2" t="s">
        <v>31</v>
      </c>
      <c r="C1375" s="2">
        <v>3204</v>
      </c>
      <c r="D1375" s="2">
        <v>912</v>
      </c>
      <c r="E1375" s="2" t="str">
        <f>"1000022127"</f>
        <v>1000022127</v>
      </c>
      <c r="F1375" s="2" t="str">
        <f>"TONER: QMS, Item# 1710580004-QMS, Cyan toner for Konica Magicolor 5400/ 5430DL/ 5440DL/ 5450 (Yld 6k)"</f>
        <v>TONER: QMS, Item# 1710580004-QMS, Cyan toner for Konica Magicolor 5400/ 5430DL/ 5440DL/ 5450 (Yld 6k)</v>
      </c>
      <c r="G1375" s="3" t="str">
        <f t="shared" si="101"/>
        <v>EA</v>
      </c>
      <c r="H1375" s="7">
        <v>212</v>
      </c>
      <c r="I1375" s="2" t="str">
        <f>"44103103"</f>
        <v>44103103</v>
      </c>
      <c r="J1375" s="10" t="s">
        <v>99</v>
      </c>
    </row>
    <row r="1376" spans="1:10" ht="39">
      <c r="A1376" s="24" t="s">
        <v>27</v>
      </c>
      <c r="B1376" s="21" t="s">
        <v>31</v>
      </c>
      <c r="C1376" s="21">
        <v>3204</v>
      </c>
      <c r="D1376" s="21">
        <v>913</v>
      </c>
      <c r="E1376" s="21" t="str">
        <f>"1000022126"</f>
        <v>1000022126</v>
      </c>
      <c r="F1376" s="21" t="str">
        <f>"TONER: QMS, Item# 1710580003-QMS, Magenta toner for Konica Magicolor 5400/ 5430DL/ 5440DL/ 5450 (Yld 6k)"</f>
        <v>TONER: QMS, Item# 1710580003-QMS, Magenta toner for Konica Magicolor 5400/ 5430DL/ 5440DL/ 5450 (Yld 6k)</v>
      </c>
      <c r="G1376" s="22" t="str">
        <f t="shared" si="101"/>
        <v>EA</v>
      </c>
      <c r="H1376" s="23">
        <v>212</v>
      </c>
      <c r="I1376" s="21" t="str">
        <f>"44103103"</f>
        <v>44103103</v>
      </c>
      <c r="J1376" s="25" t="s">
        <v>99</v>
      </c>
    </row>
    <row r="1377" spans="1:10" ht="39">
      <c r="A1377" s="9" t="s">
        <v>27</v>
      </c>
      <c r="B1377" s="2" t="s">
        <v>31</v>
      </c>
      <c r="C1377" s="2">
        <v>3204</v>
      </c>
      <c r="D1377" s="2">
        <v>914</v>
      </c>
      <c r="E1377" s="2" t="str">
        <f>"1000022125"</f>
        <v>1000022125</v>
      </c>
      <c r="F1377" s="2" t="str">
        <f>"TONER: QMS, Item# 1710580002-QMS, Yellow toner for Konica Magicolor 5400/ 5430DL/ 5440DL/ 5450 (Yld 6k)"</f>
        <v>TONER: QMS, Item# 1710580002-QMS, Yellow toner for Konica Magicolor 5400/ 5430DL/ 5440DL/ 5450 (Yld 6k)</v>
      </c>
      <c r="G1377" s="3" t="str">
        <f t="shared" si="101"/>
        <v>EA</v>
      </c>
      <c r="H1377" s="7">
        <v>212</v>
      </c>
      <c r="I1377" s="2" t="str">
        <f>"44103103"</f>
        <v>44103103</v>
      </c>
      <c r="J1377" s="10" t="s">
        <v>99</v>
      </c>
    </row>
    <row r="1378" spans="1:10" ht="39">
      <c r="A1378" s="9" t="s">
        <v>27</v>
      </c>
      <c r="B1378" s="2" t="s">
        <v>31</v>
      </c>
      <c r="C1378" s="2">
        <v>3204</v>
      </c>
      <c r="D1378" s="2">
        <v>915</v>
      </c>
      <c r="E1378" s="2" t="str">
        <f>"1000017655"</f>
        <v>1000017655</v>
      </c>
      <c r="F1378" s="2" t="str">
        <f>"TONER:RIC Item # 406046-RIC, Black Toner cartridge for SPC222SF printer. Replaces Ricoh 406093"</f>
        <v>TONER:RIC Item # 406046-RIC, Black Toner cartridge for SPC222SF printer. Replaces Ricoh 406093</v>
      </c>
      <c r="G1378" s="3" t="str">
        <f t="shared" si="101"/>
        <v>EA</v>
      </c>
      <c r="H1378" s="7">
        <v>58</v>
      </c>
      <c r="I1378" s="2" t="str">
        <f>"44103105"</f>
        <v>44103105</v>
      </c>
      <c r="J1378" s="10" t="s">
        <v>98</v>
      </c>
    </row>
    <row r="1379" spans="1:10" ht="39">
      <c r="A1379" s="24" t="s">
        <v>27</v>
      </c>
      <c r="B1379" s="21" t="s">
        <v>31</v>
      </c>
      <c r="C1379" s="21">
        <v>3204</v>
      </c>
      <c r="D1379" s="21">
        <v>916</v>
      </c>
      <c r="E1379" s="21" t="str">
        <f>"1000017656"</f>
        <v>1000017656</v>
      </c>
      <c r="F1379" s="21" t="str">
        <f>"TONER:RIC Item # 430222-RIC, Ricoh Black Toner Cartridge for 2000L &amp; 2900L Fax Machines."</f>
        <v>TONER:RIC Item # 430222-RIC, Ricoh Black Toner Cartridge for 2000L &amp; 2900L Fax Machines.</v>
      </c>
      <c r="G1379" s="22" t="str">
        <f t="shared" si="101"/>
        <v>EA</v>
      </c>
      <c r="H1379" s="23">
        <v>111</v>
      </c>
      <c r="I1379" s="21" t="str">
        <f>"44103105"</f>
        <v>44103105</v>
      </c>
      <c r="J1379" s="25" t="s">
        <v>98</v>
      </c>
    </row>
    <row r="1380" spans="1:10" ht="39">
      <c r="A1380" s="9" t="s">
        <v>27</v>
      </c>
      <c r="B1380" s="2" t="s">
        <v>31</v>
      </c>
      <c r="C1380" s="2">
        <v>3204</v>
      </c>
      <c r="D1380" s="2">
        <v>917</v>
      </c>
      <c r="E1380" s="2" t="str">
        <f>"1000017631"</f>
        <v>1000017631</v>
      </c>
      <c r="F1380" s="2" t="str">
        <f>"TONER:RIC Item # 430347-RIC, Toner Cartridge for Ricoh 1160L, 3310L Plain Paper Fax Machines (Yld 5k)"</f>
        <v>TONER:RIC Item # 430347-RIC, Toner Cartridge for Ricoh 1160L, 3310L Plain Paper Fax Machines (Yld 5k)</v>
      </c>
      <c r="G1380" s="3" t="str">
        <f t="shared" si="101"/>
        <v>EA</v>
      </c>
      <c r="H1380" s="7">
        <v>108</v>
      </c>
      <c r="I1380" s="2" t="str">
        <f>"44103105"</f>
        <v>44103105</v>
      </c>
      <c r="J1380" s="10" t="s">
        <v>98</v>
      </c>
    </row>
    <row r="1381" spans="1:10" ht="64.5">
      <c r="A1381" s="24" t="s">
        <v>27</v>
      </c>
      <c r="B1381" s="21" t="s">
        <v>31</v>
      </c>
      <c r="C1381" s="21">
        <v>3204</v>
      </c>
      <c r="D1381" s="21">
        <v>918</v>
      </c>
      <c r="E1381" s="21" t="str">
        <f>"1000017632"</f>
        <v>1000017632</v>
      </c>
      <c r="F1381" s="21" t="str">
        <f>"TONER:RIC Item # 430477-RIC, Ricoh Black Toner cartridge for use in Ricoh All-in-One Machines AC104, Ricoh Fax Machines 1170L, 2210L, Ricoh Laser Printers AC104 and Lanier All-In-One Machines 125M, 215M."</f>
        <v>TONER:RIC Item # 430477-RIC, Ricoh Black Toner cartridge for use in Ricoh All-in-One Machines AC104, Ricoh Fax Machines 1170L, 2210L, Ricoh Laser Printers AC104 and Lanier All-In-One Machines 125M, 215M.</v>
      </c>
      <c r="G1381" s="22" t="str">
        <f t="shared" si="101"/>
        <v>EA</v>
      </c>
      <c r="H1381" s="23">
        <v>99</v>
      </c>
      <c r="I1381" s="21" t="str">
        <f>"44103105"</f>
        <v>44103105</v>
      </c>
      <c r="J1381" s="25" t="s">
        <v>98</v>
      </c>
    </row>
    <row r="1382" spans="1:10" ht="26.25">
      <c r="A1382" s="9" t="s">
        <v>27</v>
      </c>
      <c r="B1382" s="2" t="s">
        <v>31</v>
      </c>
      <c r="C1382" s="2">
        <v>3204</v>
      </c>
      <c r="D1382" s="2">
        <v>919</v>
      </c>
      <c r="E1382" s="2" t="str">
        <f>"1000017633"</f>
        <v>1000017633</v>
      </c>
      <c r="F1382" s="2" t="str">
        <f>"TONER:RIC Item # 885247-RIC, Aficio 1035/1045 Toner (Type 3105D) (Yld 23k)"</f>
        <v>TONER:RIC Item # 885247-RIC, Aficio 1035/1045 Toner (Type 3105D) (Yld 23k)</v>
      </c>
      <c r="G1382" s="3" t="str">
        <f t="shared" si="101"/>
        <v>EA</v>
      </c>
      <c r="H1382" s="7">
        <v>108</v>
      </c>
      <c r="I1382" s="2" t="str">
        <f>"44103105"</f>
        <v>44103105</v>
      </c>
      <c r="J1382" s="10" t="s">
        <v>98</v>
      </c>
    </row>
    <row r="1383" spans="1:10" ht="39">
      <c r="A1383" s="24" t="s">
        <v>27</v>
      </c>
      <c r="B1383" s="21" t="s">
        <v>31</v>
      </c>
      <c r="C1383" s="21">
        <v>3204</v>
      </c>
      <c r="D1383" s="21">
        <v>920</v>
      </c>
      <c r="E1383" s="21" t="str">
        <f>"1000022110"</f>
        <v>1000022110</v>
      </c>
      <c r="F1383" s="21" t="str">
        <f>"TONER: RIC, Item # 885400-RIC, Black Laser Toner Cartridge designed for Ricoh Aficio 1060 / 1075 Laser Toner Copiers. (Yld 43k)"</f>
        <v>TONER: RIC, Item # 885400-RIC, Black Laser Toner Cartridge designed for Ricoh Aficio 1060 / 1075 Laser Toner Copiers. (Yld 43k)</v>
      </c>
      <c r="G1383" s="22" t="str">
        <f t="shared" si="101"/>
        <v>EA</v>
      </c>
      <c r="H1383" s="23">
        <v>92</v>
      </c>
      <c r="I1383" s="21" t="str">
        <f>"44103103"</f>
        <v>44103103</v>
      </c>
      <c r="J1383" s="25" t="s">
        <v>99</v>
      </c>
    </row>
    <row r="1384" spans="1:10" ht="39">
      <c r="A1384" s="24" t="s">
        <v>27</v>
      </c>
      <c r="B1384" s="21" t="s">
        <v>31</v>
      </c>
      <c r="C1384" s="21">
        <v>3204</v>
      </c>
      <c r="D1384" s="21">
        <v>921</v>
      </c>
      <c r="E1384" s="21" t="str">
        <f>"1000017634"</f>
        <v>1000017634</v>
      </c>
      <c r="F1384" s="21" t="str">
        <f>"TONER:RIC Item # 887680-RIC, Ricoh Type 300 Black laser toner cartridge, for MV310 &amp; MV310E Plain Paper Fax Machines (Yld 5k)"</f>
        <v>TONER:RIC Item # 887680-RIC, Ricoh Type 300 Black laser toner cartridge, for MV310 &amp; MV310E Plain Paper Fax Machines (Yld 5k)</v>
      </c>
      <c r="G1384" s="22" t="str">
        <f t="shared" si="101"/>
        <v>EA</v>
      </c>
      <c r="H1384" s="23">
        <v>167</v>
      </c>
      <c r="I1384" s="21" t="str">
        <f t="shared" ref="I1384:I1391" si="102">"44103105"</f>
        <v>44103105</v>
      </c>
      <c r="J1384" s="25" t="s">
        <v>98</v>
      </c>
    </row>
    <row r="1385" spans="1:10" ht="26.25">
      <c r="A1385" s="9" t="s">
        <v>27</v>
      </c>
      <c r="B1385" s="2" t="s">
        <v>31</v>
      </c>
      <c r="C1385" s="2">
        <v>3204</v>
      </c>
      <c r="D1385" s="2">
        <v>922</v>
      </c>
      <c r="E1385" s="2" t="str">
        <f>"1000017635"</f>
        <v>1000017635</v>
      </c>
      <c r="F1385" s="2" t="str">
        <f>"TONER:RIC Item # 888029-RIC, Ricoh Toner Cartridge 240W/470W"</f>
        <v>TONER:RIC Item # 888029-RIC, Ricoh Toner Cartridge 240W/470W</v>
      </c>
      <c r="G1385" s="3" t="str">
        <f t="shared" si="101"/>
        <v>EA</v>
      </c>
      <c r="H1385" s="7">
        <v>161</v>
      </c>
      <c r="I1385" s="2" t="str">
        <f t="shared" si="102"/>
        <v>44103105</v>
      </c>
      <c r="J1385" s="10" t="s">
        <v>98</v>
      </c>
    </row>
    <row r="1386" spans="1:10" ht="39">
      <c r="A1386" s="24" t="s">
        <v>27</v>
      </c>
      <c r="B1386" s="21" t="s">
        <v>31</v>
      </c>
      <c r="C1386" s="21">
        <v>3204</v>
      </c>
      <c r="D1386" s="21">
        <v>923</v>
      </c>
      <c r="E1386" s="21" t="str">
        <f>"1000017610"</f>
        <v>1000017610</v>
      </c>
      <c r="F1386" s="21" t="str">
        <f>"TONER:RIC Item # 888215-RIC, Ricoh Laser Toner cartridge (Yld 9k) for Savin 4018D copy machine"</f>
        <v>TONER:RIC Item # 888215-RIC, Ricoh Laser Toner cartridge (Yld 9k) for Savin 4018D copy machine</v>
      </c>
      <c r="G1386" s="22" t="str">
        <f t="shared" si="101"/>
        <v>EA</v>
      </c>
      <c r="H1386" s="23">
        <v>32</v>
      </c>
      <c r="I1386" s="21" t="str">
        <f t="shared" si="102"/>
        <v>44103105</v>
      </c>
      <c r="J1386" s="25" t="s">
        <v>98</v>
      </c>
    </row>
    <row r="1387" spans="1:10" ht="26.25">
      <c r="A1387" s="9" t="s">
        <v>27</v>
      </c>
      <c r="B1387" s="2" t="s">
        <v>31</v>
      </c>
      <c r="C1387" s="2">
        <v>3204</v>
      </c>
      <c r="D1387" s="2">
        <v>924</v>
      </c>
      <c r="E1387" s="2" t="str">
        <f>"1000017611"</f>
        <v>1000017611</v>
      </c>
      <c r="F1387" s="2" t="str">
        <f>"TONER:RIC Item # 888260-RIC, Black Toner for Ricoh Aficio 1515MF"</f>
        <v>TONER:RIC Item # 888260-RIC, Black Toner for Ricoh Aficio 1515MF</v>
      </c>
      <c r="G1387" s="3" t="str">
        <f t="shared" si="101"/>
        <v>EA</v>
      </c>
      <c r="H1387" s="7">
        <v>27</v>
      </c>
      <c r="I1387" s="2" t="str">
        <f t="shared" si="102"/>
        <v>44103105</v>
      </c>
      <c r="J1387" s="10" t="s">
        <v>98</v>
      </c>
    </row>
    <row r="1388" spans="1:10" ht="39">
      <c r="A1388" s="24" t="s">
        <v>27</v>
      </c>
      <c r="B1388" s="21" t="s">
        <v>31</v>
      </c>
      <c r="C1388" s="21">
        <v>3204</v>
      </c>
      <c r="D1388" s="21">
        <v>925</v>
      </c>
      <c r="E1388" s="21" t="str">
        <f>"1000017612"</f>
        <v>1000017612</v>
      </c>
      <c r="F1388" s="21" t="str">
        <f>"TONER:RIC Item # 888279-RIC, Ricoh Type 145 Cyan Toner Cartridge for Aficio CL4000DN Printer, (Yld 5k)"</f>
        <v>TONER:RIC Item # 888279-RIC, Ricoh Type 145 Cyan Toner Cartridge for Aficio CL4000DN Printer, (Yld 5k)</v>
      </c>
      <c r="G1388" s="22" t="str">
        <f t="shared" si="101"/>
        <v>EA</v>
      </c>
      <c r="H1388" s="23">
        <v>93</v>
      </c>
      <c r="I1388" s="21" t="str">
        <f t="shared" si="102"/>
        <v>44103105</v>
      </c>
      <c r="J1388" s="25" t="s">
        <v>98</v>
      </c>
    </row>
    <row r="1389" spans="1:10" ht="51.75">
      <c r="A1389" s="9" t="s">
        <v>27</v>
      </c>
      <c r="B1389" s="2" t="s">
        <v>31</v>
      </c>
      <c r="C1389" s="2">
        <v>3204</v>
      </c>
      <c r="D1389" s="2">
        <v>926</v>
      </c>
      <c r="E1389" s="2" t="str">
        <f>"1000017613"</f>
        <v>1000017613</v>
      </c>
      <c r="F1389" s="2" t="str">
        <f>"TONER:RIC Item # 888308-RIC, Compatible with Savin CLP26DN, Aficio/Ricoh CL4000DN/ C410DN/ C411DN series color laser jet printer - Black Toner - high yield (15k yield) (type 145)"</f>
        <v>TONER:RIC Item # 888308-RIC, Compatible with Savin CLP26DN, Aficio/Ricoh CL4000DN/ C410DN/ C411DN series color laser jet printer - Black Toner - high yield (15k yield) (type 145)</v>
      </c>
      <c r="G1389" s="3" t="str">
        <f t="shared" si="101"/>
        <v>EA</v>
      </c>
      <c r="H1389" s="7">
        <v>89</v>
      </c>
      <c r="I1389" s="2" t="str">
        <f t="shared" si="102"/>
        <v>44103105</v>
      </c>
      <c r="J1389" s="10" t="s">
        <v>98</v>
      </c>
    </row>
    <row r="1390" spans="1:10" ht="39">
      <c r="A1390" s="24" t="s">
        <v>27</v>
      </c>
      <c r="B1390" s="21" t="s">
        <v>31</v>
      </c>
      <c r="C1390" s="21">
        <v>3204</v>
      </c>
      <c r="D1390" s="21">
        <v>927</v>
      </c>
      <c r="E1390" s="21" t="str">
        <f>"1000017640"</f>
        <v>1000017640</v>
      </c>
      <c r="F1390" s="21" t="str">
        <f>"TONER:RIC Item # 888309-RIC, Ricoh Type 145 Yellow Toner Cartridge for CL4000DN, High Yield."</f>
        <v>TONER:RIC Item # 888309-RIC, Ricoh Type 145 Yellow Toner Cartridge for CL4000DN, High Yield.</v>
      </c>
      <c r="G1390" s="22" t="str">
        <f t="shared" si="101"/>
        <v>EA</v>
      </c>
      <c r="H1390" s="23">
        <v>214</v>
      </c>
      <c r="I1390" s="21" t="str">
        <f t="shared" si="102"/>
        <v>44103105</v>
      </c>
      <c r="J1390" s="25" t="s">
        <v>98</v>
      </c>
    </row>
    <row r="1391" spans="1:10" ht="39">
      <c r="A1391" s="9" t="s">
        <v>27</v>
      </c>
      <c r="B1391" s="2" t="s">
        <v>31</v>
      </c>
      <c r="C1391" s="2">
        <v>3204</v>
      </c>
      <c r="D1391" s="2">
        <v>928</v>
      </c>
      <c r="E1391" s="2" t="str">
        <f>"1000017641"</f>
        <v>1000017641</v>
      </c>
      <c r="F1391" s="2" t="str">
        <f>"TONER:RIC Item # 888310-RIC, Compatible with Savin CLP26DN, Ricoh Type 145 Magenta Toner Cartridge for CL4000DN, High Yield."</f>
        <v>TONER:RIC Item # 888310-RIC, Compatible with Savin CLP26DN, Ricoh Type 145 Magenta Toner Cartridge for CL4000DN, High Yield.</v>
      </c>
      <c r="G1391" s="3" t="str">
        <f t="shared" si="101"/>
        <v>EA</v>
      </c>
      <c r="H1391" s="7">
        <v>214</v>
      </c>
      <c r="I1391" s="2" t="str">
        <f t="shared" si="102"/>
        <v>44103105</v>
      </c>
      <c r="J1391" s="10" t="s">
        <v>98</v>
      </c>
    </row>
    <row r="1392" spans="1:10" ht="64.5">
      <c r="A1392" s="9" t="s">
        <v>27</v>
      </c>
      <c r="B1392" s="2" t="s">
        <v>31</v>
      </c>
      <c r="C1392" s="2">
        <v>3204</v>
      </c>
      <c r="D1392" s="2">
        <v>929</v>
      </c>
      <c r="E1392" s="2" t="str">
        <f>"1000022128"</f>
        <v>1000022128</v>
      </c>
      <c r="F1392" s="2" t="str">
        <f>"TONER: RIC, Item #888340-RIC, Black toner (Yld 24k) for the Ricoh Aficio 3228c / 3235c / 3245c, Gestetner DSc428/ DSc435/ DSc445, Ricoh Aficio 3228C, Savin C2824/ C3525/ C3528/ C4535"</f>
        <v>TONER: RIC, Item #888340-RIC, Black toner (Yld 24k) for the Ricoh Aficio 3228c / 3235c / 3245c, Gestetner DSc428/ DSc435/ DSc445, Ricoh Aficio 3228C, Savin C2824/ C3525/ C3528/ C4535</v>
      </c>
      <c r="G1392" s="3" t="str">
        <f t="shared" si="101"/>
        <v>EA</v>
      </c>
      <c r="H1392" s="7">
        <v>52</v>
      </c>
      <c r="I1392" s="2" t="str">
        <f>"44103103"</f>
        <v>44103103</v>
      </c>
      <c r="J1392" s="10" t="s">
        <v>99</v>
      </c>
    </row>
    <row r="1393" spans="1:10" ht="64.5">
      <c r="A1393" s="24" t="s">
        <v>27</v>
      </c>
      <c r="B1393" s="21" t="s">
        <v>31</v>
      </c>
      <c r="C1393" s="21">
        <v>3204</v>
      </c>
      <c r="D1393" s="21">
        <v>930</v>
      </c>
      <c r="E1393" s="21" t="str">
        <f>"1000022130"</f>
        <v>1000022130</v>
      </c>
      <c r="F1393" s="21" t="str">
        <f>"TONER: RIC, Item #888341-RIC, Yellow toner (Yld 24k) for the Ricoh Aficio 3228c / 3235c / 3245c, Gestetner DSc428/ DSc435/ DSc445, Ricoh Aficio 3228C, Savin C2824/ C3525/ C3528/ C4535"</f>
        <v>TONER: RIC, Item #888341-RIC, Yellow toner (Yld 24k) for the Ricoh Aficio 3228c / 3235c / 3245c, Gestetner DSc428/ DSc435/ DSc445, Ricoh Aficio 3228C, Savin C2824/ C3525/ C3528/ C4535</v>
      </c>
      <c r="G1393" s="22" t="str">
        <f t="shared" ref="G1393:G1408" si="103">"EA"</f>
        <v>EA</v>
      </c>
      <c r="H1393" s="23">
        <v>151</v>
      </c>
      <c r="I1393" s="21" t="str">
        <f>"44103103"</f>
        <v>44103103</v>
      </c>
      <c r="J1393" s="25" t="s">
        <v>99</v>
      </c>
    </row>
    <row r="1394" spans="1:10" ht="64.5">
      <c r="A1394" s="9" t="s">
        <v>27</v>
      </c>
      <c r="B1394" s="2" t="s">
        <v>31</v>
      </c>
      <c r="C1394" s="2">
        <v>3204</v>
      </c>
      <c r="D1394" s="2">
        <v>931</v>
      </c>
      <c r="E1394" s="2" t="str">
        <f>"1000022129"</f>
        <v>1000022129</v>
      </c>
      <c r="F1394" s="2" t="str">
        <f>"TONER: RIC, Item #888342-RIC, Cyan toner (Yld 24k) for the Ricoh Aficio 3228c / 3235c / 3245c, Gestetner DSc428/ DSc435/ DSc445, Ricoh Aficio 3228C, Savin C2824/ C3525/ C3528/ C4535"</f>
        <v>TONER: RIC, Item #888342-RIC, Cyan toner (Yld 24k) for the Ricoh Aficio 3228c / 3235c / 3245c, Gestetner DSc428/ DSc435/ DSc445, Ricoh Aficio 3228C, Savin C2824/ C3525/ C3528/ C4535</v>
      </c>
      <c r="G1394" s="3" t="str">
        <f t="shared" si="103"/>
        <v>EA</v>
      </c>
      <c r="H1394" s="7">
        <v>151</v>
      </c>
      <c r="I1394" s="2" t="str">
        <f>"44103103"</f>
        <v>44103103</v>
      </c>
      <c r="J1394" s="10" t="s">
        <v>99</v>
      </c>
    </row>
    <row r="1395" spans="1:10" ht="64.5">
      <c r="A1395" s="24" t="s">
        <v>27</v>
      </c>
      <c r="B1395" s="21" t="s">
        <v>31</v>
      </c>
      <c r="C1395" s="21">
        <v>3204</v>
      </c>
      <c r="D1395" s="21">
        <v>932</v>
      </c>
      <c r="E1395" s="21" t="str">
        <f>"1000022131"</f>
        <v>1000022131</v>
      </c>
      <c r="F1395" s="21" t="str">
        <f>"TONER: RIC, Item #888343-RIC, Magenta toner (Yld 24k) for the Ricoh Aficio 3228c / 3235c / 3245c, Gestetner DSc428/ DSc435/ DSc445, Ricoh Aficio 3228C, Savin C2824/ C3525/ C3528/ C4535"</f>
        <v>TONER: RIC, Item #888343-RIC, Magenta toner (Yld 24k) for the Ricoh Aficio 3228c / 3235c / 3245c, Gestetner DSc428/ DSc435/ DSc445, Ricoh Aficio 3228C, Savin C2824/ C3525/ C3528/ C4535</v>
      </c>
      <c r="G1395" s="22" t="str">
        <f t="shared" si="103"/>
        <v>EA</v>
      </c>
      <c r="H1395" s="23">
        <v>151</v>
      </c>
      <c r="I1395" s="21" t="str">
        <f>"44103103"</f>
        <v>44103103</v>
      </c>
      <c r="J1395" s="25" t="s">
        <v>99</v>
      </c>
    </row>
    <row r="1396" spans="1:10" ht="39">
      <c r="A1396" s="24" t="s">
        <v>27</v>
      </c>
      <c r="B1396" s="21" t="s">
        <v>31</v>
      </c>
      <c r="C1396" s="21">
        <v>3204</v>
      </c>
      <c r="D1396" s="21">
        <v>933</v>
      </c>
      <c r="E1396" s="21" t="str">
        <f>"1000017668"</f>
        <v>1000017668</v>
      </c>
      <c r="F1396" s="21" t="str">
        <f>"TONER:RIC Item # TYPE30-RIC, Ricoh Black Fax Toner for Ricoh 2500L/ 2600L/ 3000L/ 3100L/ 3200L/ 3500L"</f>
        <v>TONER:RIC Item # TYPE30-RIC, Ricoh Black Fax Toner for Ricoh 2500L/ 2600L/ 3000L/ 3100L/ 3200L/ 3500L</v>
      </c>
      <c r="G1396" s="22" t="str">
        <f t="shared" si="103"/>
        <v>EA</v>
      </c>
      <c r="H1396" s="23">
        <v>113</v>
      </c>
      <c r="I1396" s="21" t="str">
        <f>"44103105"</f>
        <v>44103105</v>
      </c>
      <c r="J1396" s="25" t="s">
        <v>98</v>
      </c>
    </row>
    <row r="1397" spans="1:10" ht="26.25">
      <c r="A1397" s="9" t="s">
        <v>27</v>
      </c>
      <c r="B1397" s="2" t="s">
        <v>31</v>
      </c>
      <c r="C1397" s="2">
        <v>3204</v>
      </c>
      <c r="D1397" s="2">
        <v>934</v>
      </c>
      <c r="E1397" s="2" t="str">
        <f>"1000000393"</f>
        <v>1000000393</v>
      </c>
      <c r="F1397" s="2" t="str">
        <f>"TONER:SAM Item #CLP-510D5C-SAM, Cyan toner for Samsung CLP-510 Series, (Yld 5k)"</f>
        <v>TONER:SAM Item #CLP-510D5C-SAM, Cyan toner for Samsung CLP-510 Series, (Yld 5k)</v>
      </c>
      <c r="G1397" s="3" t="str">
        <f t="shared" si="103"/>
        <v>EA</v>
      </c>
      <c r="H1397" s="7">
        <v>139.65</v>
      </c>
      <c r="I1397" s="2" t="str">
        <f>"44103103"</f>
        <v>44103103</v>
      </c>
      <c r="J1397" s="10" t="s">
        <v>99</v>
      </c>
    </row>
    <row r="1398" spans="1:10" ht="26.25">
      <c r="A1398" s="9" t="s">
        <v>27</v>
      </c>
      <c r="B1398" s="2" t="s">
        <v>31</v>
      </c>
      <c r="C1398" s="2">
        <v>3204</v>
      </c>
      <c r="D1398" s="2">
        <v>935</v>
      </c>
      <c r="E1398" s="2" t="str">
        <f>"1000017669"</f>
        <v>1000017669</v>
      </c>
      <c r="F1398" s="2" t="str">
        <f>"TONER:SAM Item # CLP-510-D5M, Samsung Magenta Toner for Samsung CLP 510 (Yld 5k)"</f>
        <v>TONER:SAM Item # CLP-510-D5M, Samsung Magenta Toner for Samsung CLP 510 (Yld 5k)</v>
      </c>
      <c r="G1398" s="3" t="str">
        <f t="shared" si="103"/>
        <v>EA</v>
      </c>
      <c r="H1398" s="7">
        <v>139.65</v>
      </c>
      <c r="I1398" s="2" t="str">
        <f>"44103105"</f>
        <v>44103105</v>
      </c>
      <c r="J1398" s="10" t="s">
        <v>98</v>
      </c>
    </row>
    <row r="1399" spans="1:10" ht="39">
      <c r="A1399" s="24" t="s">
        <v>27</v>
      </c>
      <c r="B1399" s="21" t="s">
        <v>31</v>
      </c>
      <c r="C1399" s="21">
        <v>3204</v>
      </c>
      <c r="D1399" s="21">
        <v>936</v>
      </c>
      <c r="E1399" s="21" t="str">
        <f>"1000000092"</f>
        <v>1000000092</v>
      </c>
      <c r="F1399" s="21" t="str">
        <f>"TONER:SAM Item # CLP-510-D5Y-SAM, Yellow toner cartridge for Samsung CLP-510 Series, (Yld 5k)"</f>
        <v>TONER:SAM Item # CLP-510-D5Y-SAM, Yellow toner cartridge for Samsung CLP-510 Series, (Yld 5k)</v>
      </c>
      <c r="G1399" s="22" t="str">
        <f t="shared" si="103"/>
        <v>EA</v>
      </c>
      <c r="H1399" s="23">
        <v>137.11000000000001</v>
      </c>
      <c r="I1399" s="21" t="str">
        <f>"44103103"</f>
        <v>44103103</v>
      </c>
      <c r="J1399" s="25" t="s">
        <v>99</v>
      </c>
    </row>
    <row r="1400" spans="1:10" ht="26.25">
      <c r="A1400" s="9" t="s">
        <v>27</v>
      </c>
      <c r="B1400" s="2" t="s">
        <v>31</v>
      </c>
      <c r="C1400" s="2">
        <v>3204</v>
      </c>
      <c r="D1400" s="2">
        <v>937</v>
      </c>
      <c r="E1400" s="2" t="str">
        <f>"1000000347"</f>
        <v>1000000347</v>
      </c>
      <c r="F1400" s="2" t="str">
        <f>"TONER:SAM Item # CLP-510D7K-SAM, Black Toner for Samsung CLP 510 Series, (Yld 7k)"</f>
        <v>TONER:SAM Item # CLP-510D7K-SAM, Black Toner for Samsung CLP 510 Series, (Yld 7k)</v>
      </c>
      <c r="G1400" s="3" t="str">
        <f t="shared" si="103"/>
        <v>EA</v>
      </c>
      <c r="H1400" s="7">
        <v>102</v>
      </c>
      <c r="I1400" s="2" t="str">
        <f>"44103103"</f>
        <v>44103103</v>
      </c>
      <c r="J1400" s="10" t="s">
        <v>99</v>
      </c>
    </row>
    <row r="1401" spans="1:10" ht="39">
      <c r="A1401" s="24" t="s">
        <v>27</v>
      </c>
      <c r="B1401" s="21" t="s">
        <v>31</v>
      </c>
      <c r="C1401" s="21">
        <v>3204</v>
      </c>
      <c r="D1401" s="21">
        <v>938</v>
      </c>
      <c r="E1401" s="21" t="str">
        <f>"1000017644"</f>
        <v>1000017644</v>
      </c>
      <c r="F1401" s="21" t="str">
        <f>"TONER:SAM Item # ML2010D3-SAM, Samsung toner for Samsung Laser Printers ML-2010, ML-2510, ML-2570, ML-2571N. (Yld 3k)"</f>
        <v>TONER:SAM Item # ML2010D3-SAM, Samsung toner for Samsung Laser Printers ML-2010, ML-2510, ML-2570, ML-2571N. (Yld 3k)</v>
      </c>
      <c r="G1401" s="22" t="str">
        <f t="shared" si="103"/>
        <v>EA</v>
      </c>
      <c r="H1401" s="23">
        <v>86</v>
      </c>
      <c r="I1401" s="21" t="str">
        <f t="shared" ref="I1401:I1408" si="104">"44103105"</f>
        <v>44103105</v>
      </c>
      <c r="J1401" s="25" t="s">
        <v>98</v>
      </c>
    </row>
    <row r="1402" spans="1:10" ht="26.25">
      <c r="A1402" s="9" t="s">
        <v>27</v>
      </c>
      <c r="B1402" s="2" t="s">
        <v>31</v>
      </c>
      <c r="C1402" s="2">
        <v>3204</v>
      </c>
      <c r="D1402" s="2">
        <v>939</v>
      </c>
      <c r="E1402" s="2" t="str">
        <f>"1000017645"</f>
        <v>1000017645</v>
      </c>
      <c r="F1402" s="2" t="str">
        <f>"TONER:SAM Item # ML2250D5XAA-SMG, Samsung toner for Samsung ML2250/2251"</f>
        <v>TONER:SAM Item # ML2250D5XAA-SMG, Samsung toner for Samsung ML2250/2251</v>
      </c>
      <c r="G1402" s="3" t="str">
        <f t="shared" si="103"/>
        <v>EA</v>
      </c>
      <c r="H1402" s="7">
        <v>101</v>
      </c>
      <c r="I1402" s="2" t="str">
        <f t="shared" si="104"/>
        <v>44103105</v>
      </c>
      <c r="J1402" s="10" t="s">
        <v>98</v>
      </c>
    </row>
    <row r="1403" spans="1:10" ht="26.25">
      <c r="A1403" s="24" t="s">
        <v>27</v>
      </c>
      <c r="B1403" s="21" t="s">
        <v>31</v>
      </c>
      <c r="C1403" s="21">
        <v>3204</v>
      </c>
      <c r="D1403" s="21">
        <v>940</v>
      </c>
      <c r="E1403" s="21" t="str">
        <f>"1000017646"</f>
        <v>1000017646</v>
      </c>
      <c r="F1403" s="21" t="str">
        <f>"TONER:SAM Item # ML3560DB-SAM, Samsung Black Toner, High Yield for ML-3560 (Yld 12k)"</f>
        <v>TONER:SAM Item # ML3560DB-SAM, Samsung Black Toner, High Yield for ML-3560 (Yld 12k)</v>
      </c>
      <c r="G1403" s="22" t="str">
        <f t="shared" si="103"/>
        <v>EA</v>
      </c>
      <c r="H1403" s="23">
        <v>195</v>
      </c>
      <c r="I1403" s="21" t="str">
        <f t="shared" si="104"/>
        <v>44103105</v>
      </c>
      <c r="J1403" s="25" t="s">
        <v>98</v>
      </c>
    </row>
    <row r="1404" spans="1:10" ht="39">
      <c r="A1404" s="9" t="s">
        <v>27</v>
      </c>
      <c r="B1404" s="2" t="s">
        <v>31</v>
      </c>
      <c r="C1404" s="2">
        <v>3204</v>
      </c>
      <c r="D1404" s="2">
        <v>941</v>
      </c>
      <c r="E1404" s="2" t="str">
        <f>"1000017647"</f>
        <v>1000017647</v>
      </c>
      <c r="F1404" s="2" t="str">
        <f>"TONER:SAV Item # 430223-SVN, Savin Black Toner for Savin LaserFax 3651, 3687, 3705, 3720, 3740, 3740NF"</f>
        <v>TONER:SAV Item # 430223-SVN, Savin Black Toner for Savin LaserFax 3651, 3687, 3705, 3720, 3740, 3740NF</v>
      </c>
      <c r="G1404" s="3" t="str">
        <f t="shared" si="103"/>
        <v>EA</v>
      </c>
      <c r="H1404" s="7">
        <v>99</v>
      </c>
      <c r="I1404" s="2" t="str">
        <f t="shared" si="104"/>
        <v>44103105</v>
      </c>
      <c r="J1404" s="10" t="s">
        <v>98</v>
      </c>
    </row>
    <row r="1405" spans="1:10" ht="26.25">
      <c r="A1405" s="24" t="s">
        <v>27</v>
      </c>
      <c r="B1405" s="21" t="s">
        <v>31</v>
      </c>
      <c r="C1405" s="21">
        <v>3204</v>
      </c>
      <c r="D1405" s="21">
        <v>942</v>
      </c>
      <c r="E1405" s="21" t="str">
        <f>"1000017648"</f>
        <v>1000017648</v>
      </c>
      <c r="F1405" s="21" t="str">
        <f>"TONER:SAV Item # 9839-SVN, Savin Black Toner for Savin LaserFax 3810, 3820"</f>
        <v>TONER:SAV Item # 9839-SVN, Savin Black Toner for Savin LaserFax 3810, 3820</v>
      </c>
      <c r="G1405" s="22" t="str">
        <f t="shared" si="103"/>
        <v>EA</v>
      </c>
      <c r="H1405" s="23">
        <v>99</v>
      </c>
      <c r="I1405" s="21" t="str">
        <f t="shared" si="104"/>
        <v>44103105</v>
      </c>
      <c r="J1405" s="25" t="s">
        <v>98</v>
      </c>
    </row>
    <row r="1406" spans="1:10" ht="39">
      <c r="A1406" s="9" t="s">
        <v>27</v>
      </c>
      <c r="B1406" s="2" t="s">
        <v>31</v>
      </c>
      <c r="C1406" s="2">
        <v>3204</v>
      </c>
      <c r="D1406" s="2">
        <v>943</v>
      </c>
      <c r="E1406" s="2" t="str">
        <f>"1000017623"</f>
        <v>1000017623</v>
      </c>
      <c r="F1406" s="2" t="str">
        <f>"TONER:SAV Item # 9875-SAV, Savin Black Toner for Savin SAVIN 3750, 3750NF, SF3725, SF3750, SF3750NF, SF3760\"</f>
        <v>TONER:SAV Item # 9875-SAV, Savin Black Toner for Savin SAVIN 3750, 3750NF, SF3725, SF3750, SF3750NF, SF3760\</v>
      </c>
      <c r="G1406" s="3" t="str">
        <f t="shared" si="103"/>
        <v>EA</v>
      </c>
      <c r="H1406" s="7">
        <v>78</v>
      </c>
      <c r="I1406" s="2" t="str">
        <f t="shared" si="104"/>
        <v>44103105</v>
      </c>
      <c r="J1406" s="10" t="s">
        <v>98</v>
      </c>
    </row>
    <row r="1407" spans="1:10" ht="39">
      <c r="A1407" s="24" t="s">
        <v>27</v>
      </c>
      <c r="B1407" s="21" t="s">
        <v>31</v>
      </c>
      <c r="C1407" s="21">
        <v>3204</v>
      </c>
      <c r="D1407" s="21">
        <v>944</v>
      </c>
      <c r="E1407" s="21" t="str">
        <f>"1000017624"</f>
        <v>1000017624</v>
      </c>
      <c r="F1407" s="21" t="str">
        <f>"TONER:SAV Item # 9883-SVN, Savin Black Laser Copier Bottles designed for the Savin 2560 / 2575 Laser Copiers. (Yld 172k)"</f>
        <v>TONER:SAV Item # 9883-SVN, Savin Black Laser Copier Bottles designed for the Savin 2560 / 2575 Laser Copiers. (Yld 172k)</v>
      </c>
      <c r="G1407" s="22" t="str">
        <f t="shared" si="103"/>
        <v>EA</v>
      </c>
      <c r="H1407" s="23">
        <v>76</v>
      </c>
      <c r="I1407" s="21" t="str">
        <f t="shared" si="104"/>
        <v>44103105</v>
      </c>
      <c r="J1407" s="25" t="s">
        <v>98</v>
      </c>
    </row>
    <row r="1408" spans="1:10" ht="26.25">
      <c r="A1408" s="9" t="s">
        <v>27</v>
      </c>
      <c r="B1408" s="2" t="s">
        <v>31</v>
      </c>
      <c r="C1408" s="2">
        <v>3204</v>
      </c>
      <c r="D1408" s="2">
        <v>945</v>
      </c>
      <c r="E1408" s="2" t="str">
        <f>"1000017625"</f>
        <v>1000017625</v>
      </c>
      <c r="F1408" s="2" t="str">
        <f>"TONER:SAV Item # 9887-SAV, Savin Laser Copier Cartridges for the Savin 8035SP copier"</f>
        <v>TONER:SAV Item # 9887-SAV, Savin Laser Copier Cartridges for the Savin 8035SP copier</v>
      </c>
      <c r="G1408" s="3" t="str">
        <f t="shared" si="103"/>
        <v>EA</v>
      </c>
      <c r="H1408" s="7">
        <v>71</v>
      </c>
      <c r="I1408" s="2" t="str">
        <f t="shared" si="104"/>
        <v>44103105</v>
      </c>
      <c r="J1408" s="10" t="s">
        <v>98</v>
      </c>
    </row>
    <row r="1409" spans="1:10" ht="51.75">
      <c r="A1409" s="24" t="s">
        <v>27</v>
      </c>
      <c r="B1409" s="21" t="s">
        <v>31</v>
      </c>
      <c r="C1409" s="21">
        <v>3204</v>
      </c>
      <c r="D1409" s="21">
        <v>946</v>
      </c>
      <c r="E1409" s="21" t="str">
        <f>"1000022132"</f>
        <v>1000022132</v>
      </c>
      <c r="F1409" s="21" t="str">
        <f>"TONER: SAV, Item # 9887-SAV, Toner (4 per pack) designed for the Savin 9110DP Digital System laser copiers (type 1010D) (23,200 page yield)"</f>
        <v>TONER: SAV, Item # 9887-SAV, Toner (4 per pack) designed for the Savin 9110DP Digital System laser copiers (type 1010D) (23,200 page yield)</v>
      </c>
      <c r="G1409" s="22" t="str">
        <f>"PK"</f>
        <v>PK</v>
      </c>
      <c r="H1409" s="23">
        <v>371</v>
      </c>
      <c r="I1409" s="21" t="str">
        <f>"44103103"</f>
        <v>44103103</v>
      </c>
      <c r="J1409" s="25" t="s">
        <v>99</v>
      </c>
    </row>
    <row r="1410" spans="1:10" ht="39">
      <c r="A1410" s="24" t="s">
        <v>27</v>
      </c>
      <c r="B1410" s="21" t="s">
        <v>31</v>
      </c>
      <c r="C1410" s="21">
        <v>3204</v>
      </c>
      <c r="D1410" s="21">
        <v>947</v>
      </c>
      <c r="E1410" s="21" t="str">
        <f>"1000017626"</f>
        <v>1000017626</v>
      </c>
      <c r="F1410" s="21" t="str">
        <f>"TONER:SHA Item # AL100TD-SHR, Sharp Black Toner Cartridge for Sharp AL1000/ 1010/ 1041/ 1200 (Yld 6k)"</f>
        <v>TONER:SHA Item # AL100TD-SHR, Sharp Black Toner Cartridge for Sharp AL1000/ 1010/ 1041/ 1200 (Yld 6k)</v>
      </c>
      <c r="G1410" s="22" t="str">
        <f t="shared" ref="G1410:G1422" si="105">"EA"</f>
        <v>EA</v>
      </c>
      <c r="H1410" s="23">
        <v>191</v>
      </c>
      <c r="I1410" s="21" t="str">
        <f t="shared" ref="I1410:I1416" si="106">"44103105"</f>
        <v>44103105</v>
      </c>
      <c r="J1410" s="25" t="s">
        <v>98</v>
      </c>
    </row>
    <row r="1411" spans="1:10" ht="77.25">
      <c r="A1411" s="9" t="s">
        <v>27</v>
      </c>
      <c r="B1411" s="2" t="s">
        <v>31</v>
      </c>
      <c r="C1411" s="2">
        <v>3204</v>
      </c>
      <c r="D1411" s="2">
        <v>948</v>
      </c>
      <c r="E1411" s="2" t="str">
        <f>"1000017653"</f>
        <v>1000017653</v>
      </c>
      <c r="F1411" s="2" t="str">
        <f>"TONER:SHA Item # AL110TD-SHR, Sharp Toner for Sharp AL1000, 1010, 1020, 1041, 1200, 1215, 1220, 1250, 1340, 1351, 1451, 1530CS, 1540CS, 1551, 1551CS, 1631, 1641CS, 1642CS, 1651CS, 1655CS, 1661CS, 2030, 2040CS, 2050 (Yld 4k)"</f>
        <v>TONER:SHA Item # AL110TD-SHR, Sharp Toner for Sharp AL1000, 1010, 1020, 1041, 1200, 1215, 1220, 1250, 1340, 1351, 1451, 1530CS, 1540CS, 1551, 1551CS, 1631, 1641CS, 1642CS, 1651CS, 1655CS, 1661CS, 2030, 2040CS, 2050 (Yld 4k)</v>
      </c>
      <c r="G1411" s="3" t="str">
        <f t="shared" si="105"/>
        <v>EA</v>
      </c>
      <c r="H1411" s="7">
        <v>133</v>
      </c>
      <c r="I1411" s="2" t="str">
        <f t="shared" si="106"/>
        <v>44103105</v>
      </c>
      <c r="J1411" s="10" t="s">
        <v>98</v>
      </c>
    </row>
    <row r="1412" spans="1:10" ht="39">
      <c r="A1412" s="24" t="s">
        <v>27</v>
      </c>
      <c r="B1412" s="21" t="s">
        <v>31</v>
      </c>
      <c r="C1412" s="21">
        <v>3204</v>
      </c>
      <c r="D1412" s="21">
        <v>949</v>
      </c>
      <c r="E1412" s="21" t="str">
        <f>"1000017654"</f>
        <v>1000017654</v>
      </c>
      <c r="F1412" s="21" t="str">
        <f>"TONER:SHA Item # AR202MT-SHR, Black toner cartridge for Sharp AR-162S/ 164/ 201/ 207 (replaces AR202NT) (Yld 16k)"</f>
        <v>TONER:SHA Item # AR202MT-SHR, Black toner cartridge for Sharp AR-162S/ 164/ 201/ 207 (replaces AR202NT) (Yld 16k)</v>
      </c>
      <c r="G1412" s="22" t="str">
        <f t="shared" si="105"/>
        <v>EA</v>
      </c>
      <c r="H1412" s="23">
        <v>98</v>
      </c>
      <c r="I1412" s="21" t="str">
        <f t="shared" si="106"/>
        <v>44103105</v>
      </c>
      <c r="J1412" s="25" t="s">
        <v>98</v>
      </c>
    </row>
    <row r="1413" spans="1:10" ht="26.25">
      <c r="A1413" s="9" t="s">
        <v>27</v>
      </c>
      <c r="B1413" s="2" t="s">
        <v>31</v>
      </c>
      <c r="C1413" s="2">
        <v>3204</v>
      </c>
      <c r="D1413" s="2">
        <v>950</v>
      </c>
      <c r="E1413" s="2" t="str">
        <f>"1000017676"</f>
        <v>1000017676</v>
      </c>
      <c r="F1413" s="2" t="str">
        <f>"TONER:SHA Item # AR500MT-SHR, Sharp Toner Cartridge for Sharp AR-505/-507 (Yld 25k)"</f>
        <v>TONER:SHA Item # AR500MT-SHR, Sharp Toner Cartridge for Sharp AR-505/-507 (Yld 25k)</v>
      </c>
      <c r="G1413" s="3" t="str">
        <f t="shared" si="105"/>
        <v>EA</v>
      </c>
      <c r="H1413" s="7">
        <v>60</v>
      </c>
      <c r="I1413" s="2" t="str">
        <f t="shared" si="106"/>
        <v>44103105</v>
      </c>
      <c r="J1413" s="10" t="s">
        <v>98</v>
      </c>
    </row>
    <row r="1414" spans="1:10" ht="39">
      <c r="A1414" s="24" t="s">
        <v>27</v>
      </c>
      <c r="B1414" s="21" t="s">
        <v>31</v>
      </c>
      <c r="C1414" s="21">
        <v>3204</v>
      </c>
      <c r="D1414" s="21">
        <v>951</v>
      </c>
      <c r="E1414" s="21" t="str">
        <f>"1000017677"</f>
        <v>1000017677</v>
      </c>
      <c r="F1414" s="21" t="str">
        <f>"TONER:SHA Item # FO29ND-SHR, Sharp Toner Cartridge for Fax Models 2950M &amp; 3800M, (Yld 3k)"</f>
        <v>TONER:SHA Item # FO29ND-SHR, Sharp Toner Cartridge for Fax Models 2950M &amp; 3800M, (Yld 3k)</v>
      </c>
      <c r="G1414" s="22" t="str">
        <f t="shared" si="105"/>
        <v>EA</v>
      </c>
      <c r="H1414" s="23">
        <v>105</v>
      </c>
      <c r="I1414" s="21" t="str">
        <f t="shared" si="106"/>
        <v>44103105</v>
      </c>
      <c r="J1414" s="25" t="s">
        <v>98</v>
      </c>
    </row>
    <row r="1415" spans="1:10" ht="39">
      <c r="A1415" s="9" t="s">
        <v>27</v>
      </c>
      <c r="B1415" s="2" t="s">
        <v>31</v>
      </c>
      <c r="C1415" s="2">
        <v>3204</v>
      </c>
      <c r="D1415" s="2">
        <v>952</v>
      </c>
      <c r="E1415" s="2" t="str">
        <f>"1000017657"</f>
        <v>1000017657</v>
      </c>
      <c r="F1415" s="2" t="str">
        <f>"TONER:SHA Item # FO45ND-SHR, Sharp Toner Cartridge for Fax Models FO 4500, 5500, 5600, 6500, 6550, 7500 (Yld 5k)"</f>
        <v>TONER:SHA Item # FO45ND-SHR, Sharp Toner Cartridge for Fax Models FO 4500, 5500, 5600, 6500, 6550, 7500 (Yld 5k)</v>
      </c>
      <c r="G1415" s="3" t="str">
        <f t="shared" si="105"/>
        <v>EA</v>
      </c>
      <c r="H1415" s="7">
        <v>106</v>
      </c>
      <c r="I1415" s="2" t="str">
        <f t="shared" si="106"/>
        <v>44103105</v>
      </c>
      <c r="J1415" s="10" t="s">
        <v>98</v>
      </c>
    </row>
    <row r="1416" spans="1:10" ht="26.25">
      <c r="A1416" s="24" t="s">
        <v>27</v>
      </c>
      <c r="B1416" s="21" t="s">
        <v>31</v>
      </c>
      <c r="C1416" s="21">
        <v>3204</v>
      </c>
      <c r="D1416" s="21">
        <v>953</v>
      </c>
      <c r="E1416" s="21" t="str">
        <f>"1000017658"</f>
        <v>1000017658</v>
      </c>
      <c r="F1416" s="21" t="str">
        <f>"TONER:SHA Item # UX50ND-SHR, Sharp Toner / Developer Cartridge for UX5000, (Yld 5.6k)"</f>
        <v>TONER:SHA Item # UX50ND-SHR, Sharp Toner / Developer Cartridge for UX5000, (Yld 5.6k)</v>
      </c>
      <c r="G1416" s="22" t="str">
        <f t="shared" si="105"/>
        <v>EA</v>
      </c>
      <c r="H1416" s="23">
        <v>135</v>
      </c>
      <c r="I1416" s="21" t="str">
        <f t="shared" si="106"/>
        <v>44103105</v>
      </c>
      <c r="J1416" s="25" t="s">
        <v>98</v>
      </c>
    </row>
    <row r="1417" spans="1:10" ht="39">
      <c r="A1417" s="9" t="s">
        <v>27</v>
      </c>
      <c r="B1417" s="2" t="s">
        <v>31</v>
      </c>
      <c r="C1417" s="2">
        <v>3204</v>
      </c>
      <c r="D1417" s="2">
        <v>954</v>
      </c>
      <c r="E1417" s="2" t="str">
        <f>"1000001883"</f>
        <v>1000001883</v>
      </c>
      <c r="F1417" s="2" t="str">
        <f>"TONER: SHR Item # FO47ND-SHR, Sharp toner for FO4400, FO4450, FO4700, FO4970, FO5550, FO5800, FO6700 Fax Models, (Yld 6k)"</f>
        <v>TONER: SHR Item # FO47ND-SHR, Sharp toner for FO4400, FO4450, FO4700, FO4970, FO5550, FO5800, FO6700 Fax Models, (Yld 6k)</v>
      </c>
      <c r="G1417" s="3" t="str">
        <f t="shared" si="105"/>
        <v>EA</v>
      </c>
      <c r="H1417" s="7">
        <v>128</v>
      </c>
      <c r="I1417" s="2" t="str">
        <f>"44103103"</f>
        <v>44103103</v>
      </c>
      <c r="J1417" s="10" t="s">
        <v>98</v>
      </c>
    </row>
    <row r="1418" spans="1:10" ht="39">
      <c r="A1418" s="24" t="s">
        <v>27</v>
      </c>
      <c r="B1418" s="21" t="s">
        <v>31</v>
      </c>
      <c r="C1418" s="21">
        <v>3204</v>
      </c>
      <c r="D1418" s="21">
        <v>955</v>
      </c>
      <c r="E1418" s="21" t="str">
        <f>"1000001881"</f>
        <v>1000001881</v>
      </c>
      <c r="F1418" s="21" t="str">
        <f>"TONER:SHR Item # FO50ND-SHR, Sharp Toner Cartridge for Sharp 4400, FO4450, DC500 Fax Models"</f>
        <v>TONER:SHR Item # FO50ND-SHR, Sharp Toner Cartridge for Sharp 4400, FO4450, DC500 Fax Models</v>
      </c>
      <c r="G1418" s="22" t="str">
        <f t="shared" si="105"/>
        <v>EA</v>
      </c>
      <c r="H1418" s="23">
        <v>147.36000000000001</v>
      </c>
      <c r="I1418" s="21" t="str">
        <f>"44103103"</f>
        <v>44103103</v>
      </c>
      <c r="J1418" s="25" t="s">
        <v>98</v>
      </c>
    </row>
    <row r="1419" spans="1:10" ht="39">
      <c r="A1419" s="9" t="s">
        <v>27</v>
      </c>
      <c r="B1419" s="2" t="s">
        <v>31</v>
      </c>
      <c r="C1419" s="2">
        <v>3204</v>
      </c>
      <c r="D1419" s="2">
        <v>956</v>
      </c>
      <c r="E1419" s="2" t="str">
        <f>"1000017661"</f>
        <v>1000017661</v>
      </c>
      <c r="F1419" s="2" t="str">
        <f>"TONER:STI Item # 204063H-STI, Source Tech MICR Toner cartridge for ST9530, ST9550 (Yld 15k)"</f>
        <v>TONER:STI Item # 204063H-STI, Source Tech MICR Toner cartridge for ST9530, ST9550 (Yld 15k)</v>
      </c>
      <c r="G1419" s="3" t="str">
        <f t="shared" si="105"/>
        <v>EA</v>
      </c>
      <c r="H1419" s="7">
        <v>350</v>
      </c>
      <c r="I1419" s="2" t="str">
        <f>"44103105"</f>
        <v>44103105</v>
      </c>
      <c r="J1419" s="10" t="s">
        <v>98</v>
      </c>
    </row>
    <row r="1420" spans="1:10" ht="39">
      <c r="A1420" s="24" t="s">
        <v>27</v>
      </c>
      <c r="B1420" s="21" t="s">
        <v>31</v>
      </c>
      <c r="C1420" s="21">
        <v>3204</v>
      </c>
      <c r="D1420" s="21">
        <v>957</v>
      </c>
      <c r="E1420" s="21" t="str">
        <f>"1000017636"</f>
        <v>1000017636</v>
      </c>
      <c r="F1420" s="21" t="str">
        <f>"TONER:STI Item # 204064H-STI, Source Technologies, MICR Toner Cartridge, for use in ST9630/ST9650, (Yld 15K)"</f>
        <v>TONER:STI Item # 204064H-STI, Source Technologies, MICR Toner Cartridge, for use in ST9630/ST9650, (Yld 15K)</v>
      </c>
      <c r="G1420" s="22" t="str">
        <f t="shared" si="105"/>
        <v>EA</v>
      </c>
      <c r="H1420" s="23">
        <v>315</v>
      </c>
      <c r="I1420" s="21" t="str">
        <f>"44103105"</f>
        <v>44103105</v>
      </c>
      <c r="J1420" s="25" t="s">
        <v>98</v>
      </c>
    </row>
    <row r="1421" spans="1:10" ht="51.75">
      <c r="A1421" s="9" t="s">
        <v>27</v>
      </c>
      <c r="B1421" s="2" t="s">
        <v>31</v>
      </c>
      <c r="C1421" s="2">
        <v>3204</v>
      </c>
      <c r="D1421" s="2">
        <v>958</v>
      </c>
      <c r="E1421" s="2" t="str">
        <f>"1000017637"</f>
        <v>1000017637</v>
      </c>
      <c r="F1421" s="2" t="str">
        <f>"TONER:XER Item # 013R00601-XER, Xerox Standard Capacity Toner Cartridge for Xerox WorkCentre PE120 &amp; PE120i Multifunction Machines."</f>
        <v>TONER:XER Item # 013R00601-XER, Xerox Standard Capacity Toner Cartridge for Xerox WorkCentre PE120 &amp; PE120i Multifunction Machines.</v>
      </c>
      <c r="G1421" s="3" t="str">
        <f t="shared" si="105"/>
        <v>EA</v>
      </c>
      <c r="H1421" s="7">
        <v>105.66</v>
      </c>
      <c r="I1421" s="2" t="str">
        <f>"44103105"</f>
        <v>44103105</v>
      </c>
      <c r="J1421" s="10" t="s">
        <v>98</v>
      </c>
    </row>
    <row r="1422" spans="1:10" ht="39">
      <c r="A1422" s="24" t="s">
        <v>27</v>
      </c>
      <c r="B1422" s="21" t="s">
        <v>31</v>
      </c>
      <c r="C1422" s="21">
        <v>3204</v>
      </c>
      <c r="D1422" s="21">
        <v>959</v>
      </c>
      <c r="E1422" s="21" t="str">
        <f>"1000017638"</f>
        <v>1000017638</v>
      </c>
      <c r="F1422" s="21" t="str">
        <f>"TONER:XER Item # 016180300-TKT, Xerox Tektronix Black Toner for Xerox Phaser 750, high capacity (Yld 12k)"</f>
        <v>TONER:XER Item # 016180300-TKT, Xerox Tektronix Black Toner for Xerox Phaser 750, high capacity (Yld 12k)</v>
      </c>
      <c r="G1422" s="22" t="str">
        <f t="shared" si="105"/>
        <v>EA</v>
      </c>
      <c r="H1422" s="23">
        <v>371</v>
      </c>
      <c r="I1422" s="21" t="str">
        <f>"44103105"</f>
        <v>44103105</v>
      </c>
      <c r="J1422" s="25" t="s">
        <v>98</v>
      </c>
    </row>
    <row r="1423" spans="1:10" ht="39">
      <c r="A1423" s="9" t="s">
        <v>27</v>
      </c>
      <c r="B1423" s="2" t="s">
        <v>31</v>
      </c>
      <c r="C1423" s="2">
        <v>3204</v>
      </c>
      <c r="D1423" s="2">
        <v>960</v>
      </c>
      <c r="E1423" s="2" t="str">
        <f>"1000001074"</f>
        <v>1000001074</v>
      </c>
      <c r="F1423" s="2" t="str">
        <f>"TONER:XER Item # 016188300-TKT, Xerox Phaser 7700 Print Cartridge Kit, 4 per kit (cyan, magenta, yellow, black)"</f>
        <v>TONER:XER Item # 016188300-TKT, Xerox Phaser 7700 Print Cartridge Kit, 4 per kit (cyan, magenta, yellow, black)</v>
      </c>
      <c r="G1423" s="3" t="str">
        <f>"KT"</f>
        <v>KT</v>
      </c>
      <c r="H1423" s="7">
        <v>421</v>
      </c>
      <c r="I1423" s="2" t="str">
        <f>"44103103"</f>
        <v>44103103</v>
      </c>
      <c r="J1423" s="10" t="s">
        <v>98</v>
      </c>
    </row>
    <row r="1424" spans="1:10" ht="39">
      <c r="A1424" s="24" t="s">
        <v>27</v>
      </c>
      <c r="B1424" s="21" t="s">
        <v>31</v>
      </c>
      <c r="C1424" s="21">
        <v>3204</v>
      </c>
      <c r="D1424" s="21">
        <v>961</v>
      </c>
      <c r="E1424" s="21" t="str">
        <f>"1000017639"</f>
        <v>1000017639</v>
      </c>
      <c r="F1424" s="21" t="str">
        <f>"TONER:XER Item # 016188600-TKT, Xerox Tektronix Black Toner Cartridge for Xerox Phaser 7700 (Yld 24k)"</f>
        <v>TONER:XER Item # 016188600-TKT, Xerox Tektronix Black Toner Cartridge for Xerox Phaser 7700 (Yld 24k)</v>
      </c>
      <c r="G1424" s="22" t="str">
        <f t="shared" ref="G1424:G1438" si="107">"EA"</f>
        <v>EA</v>
      </c>
      <c r="H1424" s="23">
        <v>321</v>
      </c>
      <c r="I1424" s="21" t="str">
        <f>"44103105"</f>
        <v>44103105</v>
      </c>
      <c r="J1424" s="25" t="s">
        <v>98</v>
      </c>
    </row>
    <row r="1425" spans="1:10" ht="26.25">
      <c r="A1425" s="9" t="s">
        <v>27</v>
      </c>
      <c r="B1425" s="2" t="s">
        <v>31</v>
      </c>
      <c r="C1425" s="2">
        <v>3204</v>
      </c>
      <c r="D1425" s="2">
        <v>962</v>
      </c>
      <c r="E1425" s="2" t="str">
        <f>"1000001075"</f>
        <v>1000001075</v>
      </c>
      <c r="F1425" s="2" t="str">
        <f>"TONER:XER Item # 016194400-TKT, Phaser 7700 Toner, Cyan, High capacity (Yld 10k)"</f>
        <v>TONER:XER Item # 016194400-TKT, Phaser 7700 Toner, Cyan, High capacity (Yld 10k)</v>
      </c>
      <c r="G1425" s="3" t="str">
        <f t="shared" si="107"/>
        <v>EA</v>
      </c>
      <c r="H1425" s="7">
        <v>258</v>
      </c>
      <c r="I1425" s="2" t="str">
        <f>"44103103"</f>
        <v>44103103</v>
      </c>
      <c r="J1425" s="10" t="s">
        <v>98</v>
      </c>
    </row>
    <row r="1426" spans="1:10" ht="26.25">
      <c r="A1426" s="24" t="s">
        <v>27</v>
      </c>
      <c r="B1426" s="21" t="s">
        <v>31</v>
      </c>
      <c r="C1426" s="21">
        <v>3204</v>
      </c>
      <c r="D1426" s="21">
        <v>963</v>
      </c>
      <c r="E1426" s="21" t="str">
        <f>"1000001184"</f>
        <v>1000001184</v>
      </c>
      <c r="F1426" s="21" t="str">
        <f>"TONER:XER Item # 016194500-TKT, Phaser 7700 Toner, Magenta, High capacity (Yld 10k)"</f>
        <v>TONER:XER Item # 016194500-TKT, Phaser 7700 Toner, Magenta, High capacity (Yld 10k)</v>
      </c>
      <c r="G1426" s="22" t="str">
        <f t="shared" si="107"/>
        <v>EA</v>
      </c>
      <c r="H1426" s="23">
        <v>257</v>
      </c>
      <c r="I1426" s="21" t="str">
        <f>"44103103"</f>
        <v>44103103</v>
      </c>
      <c r="J1426" s="25" t="s">
        <v>98</v>
      </c>
    </row>
    <row r="1427" spans="1:10" ht="39">
      <c r="A1427" s="9" t="s">
        <v>27</v>
      </c>
      <c r="B1427" s="2" t="s">
        <v>31</v>
      </c>
      <c r="C1427" s="2">
        <v>3204</v>
      </c>
      <c r="D1427" s="2">
        <v>964</v>
      </c>
      <c r="E1427" s="2" t="str">
        <f>"1000017666"</f>
        <v>1000017666</v>
      </c>
      <c r="F1427" s="2" t="str">
        <f>"TONER:XER Item # 016194600-TKT, Xerox Tektronix Yellow Toner for Phaser 7700, High Capacity (Yld 10k)"</f>
        <v>TONER:XER Item # 016194600-TKT, Xerox Tektronix Yellow Toner for Phaser 7700, High Capacity (Yld 10k)</v>
      </c>
      <c r="G1427" s="3" t="str">
        <f t="shared" si="107"/>
        <v>EA</v>
      </c>
      <c r="H1427" s="7">
        <v>257</v>
      </c>
      <c r="I1427" s="2" t="str">
        <f t="shared" ref="I1427:I1438" si="108">"44103105"</f>
        <v>44103105</v>
      </c>
      <c r="J1427" s="10" t="s">
        <v>98</v>
      </c>
    </row>
    <row r="1428" spans="1:10" ht="39">
      <c r="A1428" s="24" t="s">
        <v>27</v>
      </c>
      <c r="B1428" s="21" t="s">
        <v>31</v>
      </c>
      <c r="C1428" s="21">
        <v>3204</v>
      </c>
      <c r="D1428" s="21">
        <v>965</v>
      </c>
      <c r="E1428" s="21" t="str">
        <f>"1000017667"</f>
        <v>1000017667</v>
      </c>
      <c r="F1428" s="21" t="str">
        <f>"TONER:XER Item # 016194700-TKT, Xerox Tektronix Black Toner for Phaser 7700, High Capacity (Yld 12k)"</f>
        <v>TONER:XER Item # 016194700-TKT, Xerox Tektronix Black Toner for Phaser 7700, High Capacity (Yld 12k)</v>
      </c>
      <c r="G1428" s="22" t="str">
        <f t="shared" si="107"/>
        <v>EA</v>
      </c>
      <c r="H1428" s="23">
        <v>257</v>
      </c>
      <c r="I1428" s="21" t="str">
        <f t="shared" si="108"/>
        <v>44103105</v>
      </c>
      <c r="J1428" s="25" t="s">
        <v>98</v>
      </c>
    </row>
    <row r="1429" spans="1:10" ht="26.25">
      <c r="A1429" s="9" t="s">
        <v>27</v>
      </c>
      <c r="B1429" s="2" t="s">
        <v>31</v>
      </c>
      <c r="C1429" s="2">
        <v>3204</v>
      </c>
      <c r="D1429" s="2">
        <v>966</v>
      </c>
      <c r="E1429" s="2" t="str">
        <f>"1000016934"</f>
        <v>1000016934</v>
      </c>
      <c r="F1429" s="2" t="str">
        <f>"TONER:XER Item # 106R00653-XER, Xerox Cyan toner cartridge for the Phaser 7750 (Yld 22K)"</f>
        <v>TONER:XER Item # 106R00653-XER, Xerox Cyan toner cartridge for the Phaser 7750 (Yld 22K)</v>
      </c>
      <c r="G1429" s="3" t="str">
        <f t="shared" si="107"/>
        <v>EA</v>
      </c>
      <c r="H1429" s="7">
        <v>371</v>
      </c>
      <c r="I1429" s="2" t="str">
        <f t="shared" si="108"/>
        <v>44103105</v>
      </c>
      <c r="J1429" s="10" t="s">
        <v>98</v>
      </c>
    </row>
    <row r="1430" spans="1:10" ht="39">
      <c r="A1430" s="24" t="s">
        <v>27</v>
      </c>
      <c r="B1430" s="21" t="s">
        <v>31</v>
      </c>
      <c r="C1430" s="21">
        <v>3204</v>
      </c>
      <c r="D1430" s="21">
        <v>967</v>
      </c>
      <c r="E1430" s="21" t="str">
        <f>"1000016935"</f>
        <v>1000016935</v>
      </c>
      <c r="F1430" s="21" t="str">
        <f>"TONER:XER Item # 106R00654-XER, Magenta Toner Cartridge for Xerox Phaser 7750 (Yld 22k)"</f>
        <v>TONER:XER Item # 106R00654-XER, Magenta Toner Cartridge for Xerox Phaser 7750 (Yld 22k)</v>
      </c>
      <c r="G1430" s="22" t="str">
        <f t="shared" si="107"/>
        <v>EA</v>
      </c>
      <c r="H1430" s="23">
        <v>371</v>
      </c>
      <c r="I1430" s="21" t="str">
        <f t="shared" si="108"/>
        <v>44103105</v>
      </c>
      <c r="J1430" s="25" t="s">
        <v>98</v>
      </c>
    </row>
    <row r="1431" spans="1:10" ht="39">
      <c r="A1431" s="9" t="s">
        <v>27</v>
      </c>
      <c r="B1431" s="2" t="s">
        <v>31</v>
      </c>
      <c r="C1431" s="2">
        <v>3204</v>
      </c>
      <c r="D1431" s="2">
        <v>968</v>
      </c>
      <c r="E1431" s="2" t="str">
        <f>"1000016936"</f>
        <v>1000016936</v>
      </c>
      <c r="F1431" s="2" t="str">
        <f>"TONER:XER Item # 106R00655-XER, Xerox Yellow toner cartridge for the Phaser 7750 (Yld 22K)"</f>
        <v>TONER:XER Item # 106R00655-XER, Xerox Yellow toner cartridge for the Phaser 7750 (Yld 22K)</v>
      </c>
      <c r="G1431" s="3" t="str">
        <f t="shared" si="107"/>
        <v>EA</v>
      </c>
      <c r="H1431" s="7">
        <v>371</v>
      </c>
      <c r="I1431" s="2" t="str">
        <f t="shared" si="108"/>
        <v>44103105</v>
      </c>
      <c r="J1431" s="10" t="s">
        <v>98</v>
      </c>
    </row>
    <row r="1432" spans="1:10" ht="26.25">
      <c r="A1432" s="24" t="s">
        <v>27</v>
      </c>
      <c r="B1432" s="21" t="s">
        <v>31</v>
      </c>
      <c r="C1432" s="21">
        <v>3204</v>
      </c>
      <c r="D1432" s="21">
        <v>969</v>
      </c>
      <c r="E1432" s="21" t="str">
        <f>"1000016937"</f>
        <v>1000016937</v>
      </c>
      <c r="F1432" s="21" t="str">
        <f>"TONER:XER Item # 106R00672-XER, Cyan Toner Cartridge for Xerox Phaser 6250"</f>
        <v>TONER:XER Item # 106R00672-XER, Cyan Toner Cartridge for Xerox Phaser 6250</v>
      </c>
      <c r="G1432" s="22" t="str">
        <f t="shared" si="107"/>
        <v>EA</v>
      </c>
      <c r="H1432" s="23">
        <v>239</v>
      </c>
      <c r="I1432" s="21" t="str">
        <f t="shared" si="108"/>
        <v>44103105</v>
      </c>
      <c r="J1432" s="25" t="s">
        <v>98</v>
      </c>
    </row>
    <row r="1433" spans="1:10" ht="26.25">
      <c r="A1433" s="9" t="s">
        <v>27</v>
      </c>
      <c r="B1433" s="2" t="s">
        <v>31</v>
      </c>
      <c r="C1433" s="2">
        <v>3204</v>
      </c>
      <c r="D1433" s="2">
        <v>970</v>
      </c>
      <c r="E1433" s="2" t="str">
        <f>"1000016938"</f>
        <v>1000016938</v>
      </c>
      <c r="F1433" s="2" t="str">
        <f>"TONER:XER Item # 106R00673-XER, Magenta Toner Cartridge for Xerox Phaser 6250"</f>
        <v>TONER:XER Item # 106R00673-XER, Magenta Toner Cartridge for Xerox Phaser 6250</v>
      </c>
      <c r="G1433" s="3" t="str">
        <f t="shared" si="107"/>
        <v>EA</v>
      </c>
      <c r="H1433" s="7">
        <v>239</v>
      </c>
      <c r="I1433" s="2" t="str">
        <f t="shared" si="108"/>
        <v>44103105</v>
      </c>
      <c r="J1433" s="10" t="s">
        <v>98</v>
      </c>
    </row>
    <row r="1434" spans="1:10" ht="26.25">
      <c r="A1434" s="24" t="s">
        <v>27</v>
      </c>
      <c r="B1434" s="21" t="s">
        <v>31</v>
      </c>
      <c r="C1434" s="21">
        <v>3204</v>
      </c>
      <c r="D1434" s="21">
        <v>971</v>
      </c>
      <c r="E1434" s="21" t="str">
        <f>"1000017672"</f>
        <v>1000017672</v>
      </c>
      <c r="F1434" s="21" t="str">
        <f>"TONER:XER Item # 106R00674-XER, Yellow Toner Cartridge for Xerox Phaser 6250"</f>
        <v>TONER:XER Item # 106R00674-XER, Yellow Toner Cartridge for Xerox Phaser 6250</v>
      </c>
      <c r="G1434" s="22" t="str">
        <f t="shared" si="107"/>
        <v>EA</v>
      </c>
      <c r="H1434" s="23">
        <v>239</v>
      </c>
      <c r="I1434" s="21" t="str">
        <f t="shared" si="108"/>
        <v>44103105</v>
      </c>
      <c r="J1434" s="25" t="s">
        <v>98</v>
      </c>
    </row>
    <row r="1435" spans="1:10" ht="39">
      <c r="A1435" s="9" t="s">
        <v>27</v>
      </c>
      <c r="B1435" s="2" t="s">
        <v>31</v>
      </c>
      <c r="C1435" s="2">
        <v>3204</v>
      </c>
      <c r="D1435" s="2">
        <v>972</v>
      </c>
      <c r="E1435" s="2" t="str">
        <f>"1000017673"</f>
        <v>1000017673</v>
      </c>
      <c r="F1435" s="2" t="str">
        <f>"TONER:XER Item # 106R00675-XER, Black Laser Toner Cartridge for Xerox Phaser 6250, High-Capacity"</f>
        <v>TONER:XER Item # 106R00675-XER, Black Laser Toner Cartridge for Xerox Phaser 6250, High-Capacity</v>
      </c>
      <c r="G1435" s="3" t="str">
        <f t="shared" si="107"/>
        <v>EA</v>
      </c>
      <c r="H1435" s="7">
        <v>73</v>
      </c>
      <c r="I1435" s="2" t="str">
        <f t="shared" si="108"/>
        <v>44103105</v>
      </c>
      <c r="J1435" s="10" t="s">
        <v>98</v>
      </c>
    </row>
    <row r="1436" spans="1:10" ht="39">
      <c r="A1436" s="24" t="s">
        <v>27</v>
      </c>
      <c r="B1436" s="21" t="s">
        <v>31</v>
      </c>
      <c r="C1436" s="21">
        <v>3204</v>
      </c>
      <c r="D1436" s="21">
        <v>973</v>
      </c>
      <c r="E1436" s="21" t="str">
        <f>"1000017649"</f>
        <v>1000017649</v>
      </c>
      <c r="F1436" s="21" t="str">
        <f>"TONER:XER Item # 106R01047-XER, Black Toner for Xerox C20, M20, M20I and WorkCentre M201Copiers (Yld 8k)"</f>
        <v>TONER:XER Item # 106R01047-XER, Black Toner for Xerox C20, M20, M20I and WorkCentre M201Copiers (Yld 8k)</v>
      </c>
      <c r="G1436" s="22" t="str">
        <f t="shared" si="107"/>
        <v>EA</v>
      </c>
      <c r="H1436" s="23">
        <v>98.32</v>
      </c>
      <c r="I1436" s="21" t="str">
        <f t="shared" si="108"/>
        <v>44103105</v>
      </c>
      <c r="J1436" s="25" t="s">
        <v>98</v>
      </c>
    </row>
    <row r="1437" spans="1:10" ht="39">
      <c r="A1437" s="9" t="s">
        <v>27</v>
      </c>
      <c r="B1437" s="2" t="s">
        <v>31</v>
      </c>
      <c r="C1437" s="2">
        <v>3204</v>
      </c>
      <c r="D1437" s="2">
        <v>974</v>
      </c>
      <c r="E1437" s="2" t="str">
        <f>"1000017650"</f>
        <v>1000017650</v>
      </c>
      <c r="F1437" s="2" t="str">
        <f>"TONER:XER item # 106R402-XER, Xerox Fax Toner cartridge for Work Centre Pro 575,555 Fax machines"</f>
        <v>TONER:XER item # 106R402-XER, Xerox Fax Toner cartridge for Work Centre Pro 575,555 Fax machines</v>
      </c>
      <c r="G1437" s="3" t="str">
        <f t="shared" si="107"/>
        <v>EA</v>
      </c>
      <c r="H1437" s="7">
        <v>145</v>
      </c>
      <c r="I1437" s="2" t="str">
        <f t="shared" si="108"/>
        <v>44103105</v>
      </c>
      <c r="J1437" s="10" t="s">
        <v>98</v>
      </c>
    </row>
    <row r="1438" spans="1:10" ht="39">
      <c r="A1438" s="24" t="s">
        <v>27</v>
      </c>
      <c r="B1438" s="21" t="s">
        <v>31</v>
      </c>
      <c r="C1438" s="21">
        <v>3204</v>
      </c>
      <c r="D1438" s="21">
        <v>975</v>
      </c>
      <c r="E1438" s="21" t="str">
        <f>"1000017651"</f>
        <v>1000017651</v>
      </c>
      <c r="F1438" s="21" t="str">
        <f>"TONER:XER Item # 106R584-XER, Black Toner Cartridge for Xerox WorkCentre Pro 412, (Yld 6k)"</f>
        <v>TONER:XER Item # 106R584-XER, Black Toner Cartridge for Xerox WorkCentre Pro 412, (Yld 6k)</v>
      </c>
      <c r="G1438" s="22" t="str">
        <f t="shared" si="107"/>
        <v>EA</v>
      </c>
      <c r="H1438" s="23">
        <v>105</v>
      </c>
      <c r="I1438" s="21" t="str">
        <f t="shared" si="108"/>
        <v>44103105</v>
      </c>
      <c r="J1438" s="25" t="s">
        <v>98</v>
      </c>
    </row>
    <row r="1439" spans="1:10" ht="26.25">
      <c r="A1439" s="9" t="s">
        <v>27</v>
      </c>
      <c r="B1439" s="2" t="s">
        <v>31</v>
      </c>
      <c r="C1439" s="2">
        <v>3204</v>
      </c>
      <c r="D1439" s="2">
        <v>976</v>
      </c>
      <c r="E1439" s="2" t="str">
        <f>"1000001683"</f>
        <v>1000001683</v>
      </c>
      <c r="F1439" s="2" t="str">
        <f>"TONER:XER Item # 108R00605-XER, Xerox Phaser 8400 Cyan Ink, 3 pack (Yld 3400)"</f>
        <v>TONER:XER Item # 108R00605-XER, Xerox Phaser 8400 Cyan Ink, 3 pack (Yld 3400)</v>
      </c>
      <c r="G1439" s="3" t="str">
        <f>"KT"</f>
        <v>KT</v>
      </c>
      <c r="H1439" s="7">
        <v>134</v>
      </c>
      <c r="I1439" s="2" t="str">
        <f>"44103103"</f>
        <v>44103103</v>
      </c>
      <c r="J1439" s="10" t="s">
        <v>98</v>
      </c>
    </row>
    <row r="1440" spans="1:10" ht="39">
      <c r="A1440" s="24" t="s">
        <v>27</v>
      </c>
      <c r="B1440" s="21" t="s">
        <v>31</v>
      </c>
      <c r="C1440" s="21">
        <v>3204</v>
      </c>
      <c r="D1440" s="21">
        <v>977</v>
      </c>
      <c r="E1440" s="21" t="str">
        <f>"1000017652"</f>
        <v>1000017652</v>
      </c>
      <c r="F1440" s="21" t="str">
        <f>"TONER:XER Item # 113R00195-XER, Toner Cartridge for Xerox DocuPrint N4525 series Monochrome Laser Printers (Yld 30k)"</f>
        <v>TONER:XER Item # 113R00195-XER, Toner Cartridge for Xerox DocuPrint N4525 series Monochrome Laser Printers (Yld 30k)</v>
      </c>
      <c r="G1440" s="22" t="str">
        <f t="shared" ref="G1440:G1445" si="109">"EA"</f>
        <v>EA</v>
      </c>
      <c r="H1440" s="23">
        <v>334</v>
      </c>
      <c r="I1440" s="21" t="str">
        <f t="shared" ref="I1440:I1450" si="110">"44103105"</f>
        <v>44103105</v>
      </c>
      <c r="J1440" s="25" t="s">
        <v>98</v>
      </c>
    </row>
    <row r="1441" spans="1:10" ht="39">
      <c r="A1441" s="9" t="s">
        <v>27</v>
      </c>
      <c r="B1441" s="2" t="s">
        <v>31</v>
      </c>
      <c r="C1441" s="2">
        <v>3204</v>
      </c>
      <c r="D1441" s="2">
        <v>978</v>
      </c>
      <c r="E1441" s="2" t="str">
        <f>"1000017674"</f>
        <v>1000017674</v>
      </c>
      <c r="F1441" s="2" t="str">
        <f>"TONER:XER Item # 113R00668-XER, Black Toner Cartridge for Xerox Phaser 5500 series Laser Printers (Yld 30k)"</f>
        <v>TONER:XER Item # 113R00668-XER, Black Toner Cartridge for Xerox Phaser 5500 series Laser Printers (Yld 30k)</v>
      </c>
      <c r="G1441" s="3" t="str">
        <f t="shared" si="109"/>
        <v>EA</v>
      </c>
      <c r="H1441" s="7">
        <v>149.66</v>
      </c>
      <c r="I1441" s="2" t="str">
        <f t="shared" si="110"/>
        <v>44103105</v>
      </c>
      <c r="J1441" s="10" t="s">
        <v>98</v>
      </c>
    </row>
    <row r="1442" spans="1:10" ht="39">
      <c r="A1442" s="24" t="s">
        <v>27</v>
      </c>
      <c r="B1442" s="21" t="s">
        <v>31</v>
      </c>
      <c r="C1442" s="21">
        <v>3204</v>
      </c>
      <c r="D1442" s="21">
        <v>979</v>
      </c>
      <c r="E1442" s="21" t="str">
        <f>"1000017675"</f>
        <v>1000017675</v>
      </c>
      <c r="F1442" s="21" t="str">
        <f>"TONER:XER Item # 113R5-XER, Xerox DOCUPRINT 4510 toner and Apple toner select 360/ 310/ 300 replaces Apple M1960G"</f>
        <v>TONER:XER Item # 113R5-XER, Xerox DOCUPRINT 4510 toner and Apple toner select 360/ 310/ 300 replaces Apple M1960G</v>
      </c>
      <c r="G1442" s="22" t="str">
        <f t="shared" si="109"/>
        <v>EA</v>
      </c>
      <c r="H1442" s="23">
        <v>179</v>
      </c>
      <c r="I1442" s="21" t="str">
        <f t="shared" si="110"/>
        <v>44103105</v>
      </c>
      <c r="J1442" s="25" t="s">
        <v>98</v>
      </c>
    </row>
    <row r="1443" spans="1:10" ht="39">
      <c r="A1443" s="9" t="s">
        <v>27</v>
      </c>
      <c r="B1443" s="2" t="s">
        <v>31</v>
      </c>
      <c r="C1443" s="2">
        <v>3204</v>
      </c>
      <c r="D1443" s="2">
        <v>980</v>
      </c>
      <c r="E1443" s="2" t="str">
        <f>"1000016941"</f>
        <v>1000016941</v>
      </c>
      <c r="F1443" s="2" t="str">
        <f>"TONER:XER Item # 113R95-XER, Toner Cartridge for Xerox DocuPrint N17 &amp; 4517 Monochrome Laser Printer"</f>
        <v>TONER:XER Item # 113R95-XER, Toner Cartridge for Xerox DocuPrint N17 &amp; 4517 Monochrome Laser Printer</v>
      </c>
      <c r="G1443" s="3" t="str">
        <f t="shared" si="109"/>
        <v>EA</v>
      </c>
      <c r="H1443" s="7">
        <v>152</v>
      </c>
      <c r="I1443" s="2" t="str">
        <f t="shared" si="110"/>
        <v>44103105</v>
      </c>
      <c r="J1443" s="10" t="s">
        <v>98</v>
      </c>
    </row>
    <row r="1444" spans="1:10" ht="39">
      <c r="A1444" s="24" t="s">
        <v>27</v>
      </c>
      <c r="B1444" s="21" t="s">
        <v>31</v>
      </c>
      <c r="C1444" s="21">
        <v>3204</v>
      </c>
      <c r="D1444" s="21">
        <v>981</v>
      </c>
      <c r="E1444" s="21" t="str">
        <f>"1000016942"</f>
        <v>1000016942</v>
      </c>
      <c r="F1444" s="21" t="str">
        <f>"TONER:XER Item # 6R1267-XER, Xerox Yellow toner cartridge, 21,000 page yield for a Xerox 7132 workcenter copier"</f>
        <v>TONER:XER Item # 6R1267-XER, Xerox Yellow toner cartridge, 21,000 page yield for a Xerox 7132 workcenter copier</v>
      </c>
      <c r="G1444" s="22" t="str">
        <f t="shared" si="109"/>
        <v>EA</v>
      </c>
      <c r="H1444" s="23">
        <v>166</v>
      </c>
      <c r="I1444" s="21" t="str">
        <f t="shared" si="110"/>
        <v>44103105</v>
      </c>
      <c r="J1444" s="25" t="s">
        <v>98</v>
      </c>
    </row>
    <row r="1445" spans="1:10" ht="51.75">
      <c r="A1445" s="9" t="s">
        <v>27</v>
      </c>
      <c r="B1445" s="2" t="s">
        <v>31</v>
      </c>
      <c r="C1445" s="2">
        <v>3204</v>
      </c>
      <c r="D1445" s="2">
        <v>982</v>
      </c>
      <c r="E1445" s="2" t="str">
        <f>"1000016943"</f>
        <v>1000016943</v>
      </c>
      <c r="F1445" s="2" t="str">
        <f>"TONER:XER Item # 6R1268-XER, Xerox Magenta laser toner cartridge designed for the Xerox WorkCentre 7132 laser toner printers (8,000 page yield)"</f>
        <v>TONER:XER Item # 6R1268-XER, Xerox Magenta laser toner cartridge designed for the Xerox WorkCentre 7132 laser toner printers (8,000 page yield)</v>
      </c>
      <c r="G1445" s="3" t="str">
        <f t="shared" si="109"/>
        <v>EA</v>
      </c>
      <c r="H1445" s="7">
        <v>170</v>
      </c>
      <c r="I1445" s="2" t="str">
        <f t="shared" si="110"/>
        <v>44103105</v>
      </c>
      <c r="J1445" s="10" t="s">
        <v>98</v>
      </c>
    </row>
    <row r="1446" spans="1:10" ht="64.5">
      <c r="A1446" s="24" t="s">
        <v>27</v>
      </c>
      <c r="B1446" s="21" t="s">
        <v>31</v>
      </c>
      <c r="C1446" s="21">
        <v>3204</v>
      </c>
      <c r="D1446" s="21">
        <v>983</v>
      </c>
      <c r="E1446" s="21" t="str">
        <f>"1000016944"</f>
        <v>1000016944</v>
      </c>
      <c r="F1446" s="21" t="str">
        <f>"TONER:XER Item # 6R244-XER, Black Dry Ink Toner Cartridge for Xerox 5018, 5021, 5028, 5034, 5328, 5334, 5624, 5626, 5818, 5820, 5828, 5830, BookMark 21. 2 cartridges per carton, (Yld 10k)"</f>
        <v>TONER:XER Item # 6R244-XER, Black Dry Ink Toner Cartridge for Xerox 5018, 5021, 5028, 5034, 5328, 5334, 5624, 5626, 5818, 5820, 5828, 5830, BookMark 21. 2 cartridges per carton, (Yld 10k)</v>
      </c>
      <c r="G1446" s="22" t="str">
        <f>"CT"</f>
        <v>CT</v>
      </c>
      <c r="H1446" s="23">
        <v>134</v>
      </c>
      <c r="I1446" s="21" t="str">
        <f t="shared" si="110"/>
        <v>44103105</v>
      </c>
      <c r="J1446" s="25" t="s">
        <v>98</v>
      </c>
    </row>
    <row r="1447" spans="1:10" ht="39">
      <c r="A1447" s="9" t="s">
        <v>27</v>
      </c>
      <c r="B1447" s="2" t="s">
        <v>31</v>
      </c>
      <c r="C1447" s="2">
        <v>3204</v>
      </c>
      <c r="D1447" s="2">
        <v>984</v>
      </c>
      <c r="E1447" s="2" t="str">
        <f>"1000016945"</f>
        <v>1000016945</v>
      </c>
      <c r="F1447" s="2" t="str">
        <f>"TONER:XER Item # 6R90293-XER, Standard-Capacity Black Toner Cartridge for Xerox Phaser 1235 LED Color Printers, (Yld 5K)"</f>
        <v>TONER:XER Item # 6R90293-XER, Standard-Capacity Black Toner Cartridge for Xerox Phaser 1235 LED Color Printers, (Yld 5K)</v>
      </c>
      <c r="G1447" s="3" t="str">
        <f t="shared" ref="G1447:G1454" si="111">"EA"</f>
        <v>EA</v>
      </c>
      <c r="H1447" s="7">
        <v>72</v>
      </c>
      <c r="I1447" s="2" t="str">
        <f t="shared" si="110"/>
        <v>44103105</v>
      </c>
      <c r="J1447" s="10" t="s">
        <v>98</v>
      </c>
    </row>
    <row r="1448" spans="1:10" ht="51.75">
      <c r="A1448" s="24" t="s">
        <v>27</v>
      </c>
      <c r="B1448" s="21" t="s">
        <v>31</v>
      </c>
      <c r="C1448" s="21">
        <v>3204</v>
      </c>
      <c r="D1448" s="21">
        <v>985</v>
      </c>
      <c r="E1448" s="21" t="str">
        <f>"1000017662"</f>
        <v>1000017662</v>
      </c>
      <c r="F1448" s="21" t="str">
        <f>"TONER:XER Item # 6R903-XER, Xerox Black Toner Cartridge for HP 4, 4M, 4 Plus, 4M Plus, 5, 5M, 5N Printers. Same as HP 92298A (Yld 7.5k)"</f>
        <v>TONER:XER Item # 6R903-XER, Xerox Black Toner Cartridge for HP 4, 4M, 4 Plus, 4M Plus, 5, 5M, 5N Printers. Same as HP 92298A (Yld 7.5k)</v>
      </c>
      <c r="G1448" s="22" t="str">
        <f t="shared" si="111"/>
        <v>EA</v>
      </c>
      <c r="H1448" s="23">
        <v>137</v>
      </c>
      <c r="I1448" s="21" t="str">
        <f t="shared" si="110"/>
        <v>44103105</v>
      </c>
      <c r="J1448" s="25" t="s">
        <v>98</v>
      </c>
    </row>
    <row r="1449" spans="1:10" ht="51.75">
      <c r="A1449" s="9" t="s">
        <v>27</v>
      </c>
      <c r="B1449" s="2" t="s">
        <v>31</v>
      </c>
      <c r="C1449" s="2">
        <v>3204</v>
      </c>
      <c r="D1449" s="2">
        <v>986</v>
      </c>
      <c r="E1449" s="2" t="str">
        <f>"1000017663"</f>
        <v>1000017663</v>
      </c>
      <c r="F1449" s="2" t="str">
        <f>"TONER:XER Item # 6R914-XER, Black Toner Cartridge for Xerox XD100, XD102, XD103, XD105, XD120, XD125, XD130, XD155DF Copiers."</f>
        <v>TONER:XER Item # 6R914-XER, Black Toner Cartridge for Xerox XD100, XD102, XD103, XD105, XD120, XD125, XD130, XD155DF Copiers.</v>
      </c>
      <c r="G1449" s="3" t="str">
        <f t="shared" si="111"/>
        <v>EA</v>
      </c>
      <c r="H1449" s="7">
        <v>156</v>
      </c>
      <c r="I1449" s="2" t="str">
        <f t="shared" si="110"/>
        <v>44103105</v>
      </c>
      <c r="J1449" s="10" t="s">
        <v>98</v>
      </c>
    </row>
    <row r="1450" spans="1:10" ht="39">
      <c r="A1450" s="24" t="s">
        <v>27</v>
      </c>
      <c r="B1450" s="21" t="s">
        <v>31</v>
      </c>
      <c r="C1450" s="21">
        <v>3204</v>
      </c>
      <c r="D1450" s="21">
        <v>987</v>
      </c>
      <c r="E1450" s="21" t="str">
        <f>"1000017664"</f>
        <v>1000017664</v>
      </c>
      <c r="F1450" s="21" t="str">
        <f>"TONER:XER Item # 6R916-XER, Toner Cartridge for Xerox XE60, XE62, XE80, XE82, XE88, XE90 Copiers, WorkCentre XE90fx Printers (Yld 3k)"</f>
        <v>TONER:XER Item # 6R916-XER, Toner Cartridge for Xerox XE60, XE62, XE80, XE82, XE88, XE90 Copiers, WorkCentre XE90fx Printers (Yld 3k)</v>
      </c>
      <c r="G1450" s="22" t="str">
        <f t="shared" si="111"/>
        <v>EA</v>
      </c>
      <c r="H1450" s="23">
        <v>123</v>
      </c>
      <c r="I1450" s="21" t="str">
        <f t="shared" si="110"/>
        <v>44103105</v>
      </c>
      <c r="J1450" s="25" t="s">
        <v>98</v>
      </c>
    </row>
    <row r="1451" spans="1:10" ht="39">
      <c r="A1451" s="9" t="s">
        <v>27</v>
      </c>
      <c r="B1451" s="2" t="s">
        <v>31</v>
      </c>
      <c r="C1451" s="2">
        <v>3204</v>
      </c>
      <c r="D1451" s="2">
        <v>988</v>
      </c>
      <c r="E1451" s="2" t="str">
        <f>"1000022134"</f>
        <v>1000022134</v>
      </c>
      <c r="F1451" s="2" t="str">
        <f>"TONER: XER, Item # 6R917-XER, Black Toner for Xerox Work Centre XE 60 / 62 / 80 / 82 Laser Toner Printers (Yld 3k)"</f>
        <v>TONER: XER, Item # 6R917-XER, Black Toner for Xerox Work Centre XE 60 / 62 / 80 / 82 Laser Toner Printers (Yld 3k)</v>
      </c>
      <c r="G1451" s="3" t="str">
        <f t="shared" si="111"/>
        <v>EA</v>
      </c>
      <c r="H1451" s="7">
        <v>152</v>
      </c>
      <c r="I1451" s="2" t="str">
        <f>"44103103"</f>
        <v>44103103</v>
      </c>
      <c r="J1451" s="10" t="s">
        <v>98</v>
      </c>
    </row>
    <row r="1452" spans="1:10" ht="39">
      <c r="A1452" s="24" t="s">
        <v>27</v>
      </c>
      <c r="B1452" s="21" t="s">
        <v>31</v>
      </c>
      <c r="C1452" s="21">
        <v>3204</v>
      </c>
      <c r="D1452" s="21">
        <v>989</v>
      </c>
      <c r="E1452" s="21" t="str">
        <f>"1000017665"</f>
        <v>1000017665</v>
      </c>
      <c r="F1452" s="21" t="str">
        <f>"TONER:XER Item # 6R988-XER, Black Toner Cartridge for Xerox WorkCentre Pro 215 Printer, (Yld 7.5)"</f>
        <v>TONER:XER Item # 6R988-XER, Black Toner Cartridge for Xerox WorkCentre Pro 215 Printer, (Yld 7.5)</v>
      </c>
      <c r="G1452" s="22" t="str">
        <f t="shared" si="111"/>
        <v>EA</v>
      </c>
      <c r="H1452" s="23">
        <v>89</v>
      </c>
      <c r="I1452" s="21" t="str">
        <f>"44103105"</f>
        <v>44103105</v>
      </c>
      <c r="J1452" s="25" t="s">
        <v>98</v>
      </c>
    </row>
    <row r="1453" spans="1:10" ht="39">
      <c r="A1453" s="24" t="s">
        <v>27</v>
      </c>
      <c r="B1453" s="21" t="s">
        <v>31</v>
      </c>
      <c r="C1453" s="21">
        <v>3204</v>
      </c>
      <c r="D1453" s="21">
        <v>990</v>
      </c>
      <c r="E1453" s="21" t="str">
        <f>"1000017254"</f>
        <v>1000017254</v>
      </c>
      <c r="F1453" s="21" t="str">
        <f>"TRANSFER KIT:HP Item # C4154A-HEW, HP Color LaserJet 8500 Transfer Kit (Yld 150k black, 75k color)"</f>
        <v>TRANSFER KIT:HP Item # C4154A-HEW, HP Color LaserJet 8500 Transfer Kit (Yld 150k black, 75k color)</v>
      </c>
      <c r="G1453" s="22" t="str">
        <f t="shared" si="111"/>
        <v>EA</v>
      </c>
      <c r="H1453" s="23">
        <v>448</v>
      </c>
      <c r="I1453" s="21" t="str">
        <f>"44103116"</f>
        <v>44103116</v>
      </c>
      <c r="J1453" s="25" t="s">
        <v>109</v>
      </c>
    </row>
    <row r="1454" spans="1:10" ht="51.75">
      <c r="A1454" s="9" t="s">
        <v>27</v>
      </c>
      <c r="B1454" s="2" t="s">
        <v>31</v>
      </c>
      <c r="C1454" s="2">
        <v>3204</v>
      </c>
      <c r="D1454" s="2">
        <v>991</v>
      </c>
      <c r="E1454" s="2" t="str">
        <f>"1000017318"</f>
        <v>1000017318</v>
      </c>
      <c r="F1454" s="2" t="str">
        <f>"TRANSFER KIT:HP Item # C4196A-HEW, HP Transfer Kit for HP Color LaserJet 4500/4550 series, 100,000 pages (black), 25,000 pages (color)"</f>
        <v>TRANSFER KIT:HP Item # C4196A-HEW, HP Transfer Kit for HP Color LaserJet 4500/4550 series, 100,000 pages (black), 25,000 pages (color)</v>
      </c>
      <c r="G1454" s="3" t="str">
        <f t="shared" si="111"/>
        <v>EA</v>
      </c>
      <c r="H1454" s="7">
        <v>241</v>
      </c>
      <c r="I1454" s="2" t="str">
        <f>"44103116"</f>
        <v>44103116</v>
      </c>
      <c r="J1454" s="10" t="s">
        <v>109</v>
      </c>
    </row>
    <row r="1455" spans="1:10" ht="51.75">
      <c r="A1455" s="24" t="s">
        <v>27</v>
      </c>
      <c r="B1455" s="21" t="s">
        <v>31</v>
      </c>
      <c r="C1455" s="21">
        <v>3204</v>
      </c>
      <c r="D1455" s="21">
        <v>992</v>
      </c>
      <c r="E1455" s="21" t="str">
        <f>"1000000706"</f>
        <v>1000000706</v>
      </c>
      <c r="F1455" s="21" t="str">
        <f>"TRANSFER KT:HP Item # C9734B-HEW, Laser Toner Image Transfer Kit for HP Color LaserJet 5500 Laser Toner Printers. (120,000 Page Yield)"</f>
        <v>TRANSFER KT:HP Item # C9734B-HEW, Laser Toner Image Transfer Kit for HP Color LaserJet 5500 Laser Toner Printers. (120,000 Page Yield)</v>
      </c>
      <c r="G1455" s="22" t="str">
        <f>"KT"</f>
        <v>KT</v>
      </c>
      <c r="H1455" s="23">
        <v>326.64999999999998</v>
      </c>
      <c r="I1455" s="21" t="str">
        <f>"44103116"</f>
        <v>44103116</v>
      </c>
      <c r="J1455" s="25" t="s">
        <v>109</v>
      </c>
    </row>
    <row r="1456" spans="1:10" ht="26.25">
      <c r="A1456" s="9" t="s">
        <v>27</v>
      </c>
      <c r="B1456" s="2" t="s">
        <v>31</v>
      </c>
      <c r="C1456" s="2">
        <v>3204</v>
      </c>
      <c r="D1456" s="2">
        <v>993</v>
      </c>
      <c r="E1456" s="2" t="str">
        <f>"1000017458"</f>
        <v>1000017458</v>
      </c>
      <c r="F1456" s="2" t="str">
        <f>"TRANSFER KIT:HP Item # Q3658A-HEW, HP Transfer kit for LaserJet 3500/3700 (Yld 60k)"</f>
        <v>TRANSFER KIT:HP Item # Q3658A-HEW, HP Transfer kit for LaserJet 3500/3700 (Yld 60k)</v>
      </c>
      <c r="G1456" s="3" t="str">
        <f>"EA"</f>
        <v>EA</v>
      </c>
      <c r="H1456" s="7">
        <v>128.32</v>
      </c>
      <c r="I1456" s="2" t="str">
        <f>"44103116"</f>
        <v>44103116</v>
      </c>
      <c r="J1456" s="10" t="s">
        <v>109</v>
      </c>
    </row>
    <row r="1457" spans="1:10" ht="26.25">
      <c r="A1457" s="24" t="s">
        <v>27</v>
      </c>
      <c r="B1457" s="21" t="s">
        <v>31</v>
      </c>
      <c r="C1457" s="21">
        <v>3204</v>
      </c>
      <c r="D1457" s="21">
        <v>994</v>
      </c>
      <c r="E1457" s="21" t="str">
        <f>"1000017484"</f>
        <v>1000017484</v>
      </c>
      <c r="F1457" s="21" t="str">
        <f>"TRANSFER KIT:HP Item # Q3675A-HEW, HP Color LaserJet 4600 Transfer Kit (Yld 120k)"</f>
        <v>TRANSFER KIT:HP Item # Q3675A-HEW, HP Color LaserJet 4600 Transfer Kit (Yld 120k)</v>
      </c>
      <c r="G1457" s="22" t="str">
        <f>"EA"</f>
        <v>EA</v>
      </c>
      <c r="H1457" s="23">
        <v>312.99</v>
      </c>
      <c r="I1457" s="21" t="str">
        <f>"44103116"</f>
        <v>44103116</v>
      </c>
      <c r="J1457" s="25" t="s">
        <v>109</v>
      </c>
    </row>
    <row r="1458" spans="1:10" ht="26.25">
      <c r="A1458" s="9" t="s">
        <v>27</v>
      </c>
      <c r="B1458" s="2" t="s">
        <v>31</v>
      </c>
      <c r="C1458" s="2">
        <v>3204</v>
      </c>
      <c r="D1458" s="2">
        <v>995</v>
      </c>
      <c r="E1458" s="2" t="str">
        <f>"1000017670"</f>
        <v>1000017670</v>
      </c>
      <c r="F1458" s="2" t="str">
        <f>"TRANSFER KT:HEW # Q7504A-HEW, HP transfer kit for Laserjet 4700DN and 4700 DTN printers"</f>
        <v>TRANSFER KT:HEW # Q7504A-HEW, HP transfer kit for Laserjet 4700DN and 4700 DTN printers</v>
      </c>
      <c r="G1458" s="3" t="str">
        <f>"KT"</f>
        <v>KT</v>
      </c>
      <c r="H1458" s="7">
        <v>271.32</v>
      </c>
      <c r="I1458" s="2" t="str">
        <f>"44103104"</f>
        <v>44103104</v>
      </c>
      <c r="J1458" s="10" t="s">
        <v>110</v>
      </c>
    </row>
    <row r="1459" spans="1:10" ht="39">
      <c r="A1459" s="24" t="s">
        <v>27</v>
      </c>
      <c r="B1459" s="21" t="s">
        <v>31</v>
      </c>
      <c r="C1459" s="21">
        <v>3204</v>
      </c>
      <c r="D1459" s="21">
        <v>996</v>
      </c>
      <c r="E1459" s="21" t="str">
        <f>"1000017671"</f>
        <v>1000017671</v>
      </c>
      <c r="F1459" s="21" t="str">
        <f>"TRANSFER RL: XER Item # 016189000-TKT, Xerox Tektronix Transfer Roller for Xerox Phaser 7700"</f>
        <v>TRANSFER RL: XER Item # 016189000-TKT, Xerox Tektronix Transfer Roller for Xerox Phaser 7700</v>
      </c>
      <c r="G1459" s="22" t="str">
        <f>"EA"</f>
        <v>EA</v>
      </c>
      <c r="H1459" s="23">
        <v>217</v>
      </c>
      <c r="I1459" s="21" t="str">
        <f>"44103104"</f>
        <v>44103104</v>
      </c>
      <c r="J1459" s="25" t="s">
        <v>110</v>
      </c>
    </row>
    <row r="1460" spans="1:10" ht="26.25">
      <c r="A1460" s="9" t="s">
        <v>27</v>
      </c>
      <c r="B1460" s="2" t="s">
        <v>31</v>
      </c>
      <c r="C1460" s="2">
        <v>3204</v>
      </c>
      <c r="D1460" s="2">
        <v>997</v>
      </c>
      <c r="E1460" s="2" t="str">
        <f>"1000016971"</f>
        <v>1000016971</v>
      </c>
      <c r="F1460" s="2" t="str">
        <f>"TRANSFER RL: XER Item # 108R00592-XER, Transfer Roller for Xerox Phaser 6250 Printer"</f>
        <v>TRANSFER RL: XER Item # 108R00592-XER, Transfer Roller for Xerox Phaser 6250 Printer</v>
      </c>
      <c r="G1460" s="3" t="str">
        <f>"EA"</f>
        <v>EA</v>
      </c>
      <c r="H1460" s="7">
        <v>156</v>
      </c>
      <c r="I1460" s="2" t="str">
        <f>"44103104"</f>
        <v>44103104</v>
      </c>
      <c r="J1460" s="10" t="s">
        <v>110</v>
      </c>
    </row>
    <row r="1461" spans="1:10" ht="64.5">
      <c r="A1461" s="9" t="s">
        <v>27</v>
      </c>
      <c r="B1461" s="2" t="s">
        <v>31</v>
      </c>
      <c r="C1461" s="2">
        <v>3204</v>
      </c>
      <c r="D1461" s="2">
        <v>998</v>
      </c>
      <c r="E1461" s="2" t="str">
        <f>"1000016933"</f>
        <v>1000016933</v>
      </c>
      <c r="F1461" s="2" t="str">
        <f>"USAGE KIT:IBM Item # 90H3567-IBM, Toner Usage Kit for IBM Infoprint 32 &amp; 40 Printers, Low Volt, 300,000 pages yield. It contains Fuser, Manual Feed Pick-up Roller, Bians Transfer Roll."</f>
        <v>USAGE KIT:IBM Item # 90H3567-IBM, Toner Usage Kit for IBM Infoprint 32 &amp; 40 Printers, Low Volt, 300,000 pages yield. It contains Fuser, Manual Feed Pick-up Roller, Bians Transfer Roll.</v>
      </c>
      <c r="G1461" s="3" t="str">
        <f>"KT"</f>
        <v>KT</v>
      </c>
      <c r="H1461" s="7">
        <v>661</v>
      </c>
      <c r="I1461" s="2" t="str">
        <f>"44103116"</f>
        <v>44103116</v>
      </c>
      <c r="J1461" s="10" t="s">
        <v>109</v>
      </c>
    </row>
    <row r="1462" spans="1:10" ht="39">
      <c r="A1462" s="9" t="s">
        <v>27</v>
      </c>
      <c r="B1462" s="2" t="s">
        <v>31</v>
      </c>
      <c r="C1462" s="2">
        <v>3204</v>
      </c>
      <c r="D1462" s="2">
        <v>999</v>
      </c>
      <c r="E1462" s="2" t="str">
        <f>"1000017110"</f>
        <v>1000017110</v>
      </c>
      <c r="F1462" s="2" t="str">
        <f>"WASTE BTL:BRO Item # WT4CL-BRT, Brother Waste Toner Cartridge for MFC-9420CN and HL-2700CN (Yld 12k)"</f>
        <v>WASTE BTL:BRO Item # WT4CL-BRT, Brother Waste Toner Cartridge for MFC-9420CN and HL-2700CN (Yld 12k)</v>
      </c>
      <c r="G1462" s="3" t="str">
        <f t="shared" ref="G1462:G1493" si="112">"EA"</f>
        <v>EA</v>
      </c>
      <c r="H1462" s="7">
        <v>15</v>
      </c>
      <c r="I1462" s="2" t="str">
        <f>"44103120"</f>
        <v>44103120</v>
      </c>
      <c r="J1462" s="10" t="s">
        <v>111</v>
      </c>
    </row>
    <row r="1463" spans="1:10" ht="39">
      <c r="A1463" s="24" t="s">
        <v>27</v>
      </c>
      <c r="B1463" s="21" t="s">
        <v>31</v>
      </c>
      <c r="C1463" s="21">
        <v>3204</v>
      </c>
      <c r="D1463" s="21">
        <v>1000</v>
      </c>
      <c r="E1463" s="21" t="str">
        <f>"1000022122"</f>
        <v>1000022122</v>
      </c>
      <c r="F1463" s="21" t="str">
        <f>"WASTE BTL: Item # 10B3100-LEX, WasteToner Container for C750/ C752/ C760 / C762 / X750e (black-180k, color-50k yield)"</f>
        <v>WASTE BTL: Item # 10B3100-LEX, WasteToner Container for C750/ C752/ C760 / C762 / X750e (black-180k, color-50k yield)</v>
      </c>
      <c r="G1463" s="22" t="str">
        <f t="shared" si="112"/>
        <v>EA</v>
      </c>
      <c r="H1463" s="23">
        <v>18</v>
      </c>
      <c r="I1463" s="21" t="str">
        <f>"44103120"</f>
        <v>44103120</v>
      </c>
      <c r="J1463" s="25" t="s">
        <v>111</v>
      </c>
    </row>
    <row r="1464" spans="1:10" ht="51.75">
      <c r="A1464" s="9" t="s">
        <v>27</v>
      </c>
      <c r="B1464" s="2" t="s">
        <v>31</v>
      </c>
      <c r="C1464" s="2">
        <v>3204</v>
      </c>
      <c r="D1464" s="2">
        <v>1001</v>
      </c>
      <c r="E1464" s="2" t="str">
        <f>"1000016939"</f>
        <v>1000016939</v>
      </c>
      <c r="F1464" s="2" t="str">
        <f>"WASTE BTL:QMS Item # 1710584001-QMS, Waste Toner Bottle for QMS Magicolor 5430 / 5430DL / 5440 series / 5440DL and QMS Minolta 5430"</f>
        <v>WASTE BTL:QMS Item # 1710584001-QMS, Waste Toner Bottle for QMS Magicolor 5430 / 5430DL / 5440 series / 5440DL and QMS Minolta 5430</v>
      </c>
      <c r="G1464" s="3" t="str">
        <f t="shared" si="112"/>
        <v>EA</v>
      </c>
      <c r="H1464" s="7">
        <v>30</v>
      </c>
      <c r="I1464" s="2" t="str">
        <f>"44103120"</f>
        <v>44103120</v>
      </c>
      <c r="J1464" s="10" t="s">
        <v>111</v>
      </c>
    </row>
    <row r="1465" spans="1:10" ht="26.25">
      <c r="A1465" s="24" t="s">
        <v>27</v>
      </c>
      <c r="B1465" s="21" t="s">
        <v>31</v>
      </c>
      <c r="C1465" s="21">
        <v>3204</v>
      </c>
      <c r="D1465" s="21">
        <v>1002</v>
      </c>
      <c r="E1465" s="21" t="str">
        <f>"1000016940"</f>
        <v>1000016940</v>
      </c>
      <c r="F1465" s="21" t="str">
        <f>"WASTE BTL:XER Item # 016189100-TKT, Xerox Tektronix Waste Bottle for Xerox Phaser 7700"</f>
        <v>WASTE BTL:XER Item # 016189100-TKT, Xerox Tektronix Waste Bottle for Xerox Phaser 7700</v>
      </c>
      <c r="G1465" s="22" t="str">
        <f t="shared" si="112"/>
        <v>EA</v>
      </c>
      <c r="H1465" s="23">
        <v>31</v>
      </c>
      <c r="I1465" s="21" t="str">
        <f>"44103120"</f>
        <v>44103120</v>
      </c>
      <c r="J1465" s="25" t="s">
        <v>111</v>
      </c>
    </row>
    <row r="1466" spans="1:10" ht="39">
      <c r="A1466" s="9" t="s">
        <v>27</v>
      </c>
      <c r="B1466" s="2" t="s">
        <v>31</v>
      </c>
      <c r="C1466" s="2">
        <v>3204</v>
      </c>
      <c r="D1466" s="2">
        <v>1003</v>
      </c>
      <c r="E1466" s="2" t="str">
        <f>"1000024525"</f>
        <v>1000024525</v>
      </c>
      <c r="F1466" s="2" t="str">
        <f>"TONER:HP Item #CE250A-HEW, Black laser toner (Yld 5k) for CM350 and CP3525 MFP printers"</f>
        <v>TONER:HP Item #CE250A-HEW, Black laser toner (Yld 5k) for CM350 and CP3525 MFP printers</v>
      </c>
      <c r="G1466" s="3" t="str">
        <f t="shared" si="112"/>
        <v>EA</v>
      </c>
      <c r="H1466" s="7">
        <v>136.99</v>
      </c>
      <c r="I1466" s="2" t="str">
        <f t="shared" ref="I1466:I1485" si="113">"44103103"</f>
        <v>44103103</v>
      </c>
      <c r="J1466" s="10" t="s">
        <v>99</v>
      </c>
    </row>
    <row r="1467" spans="1:10" ht="39">
      <c r="A1467" s="24" t="s">
        <v>27</v>
      </c>
      <c r="B1467" s="21" t="s">
        <v>31</v>
      </c>
      <c r="C1467" s="21">
        <v>3204</v>
      </c>
      <c r="D1467" s="21">
        <v>1004</v>
      </c>
      <c r="E1467" s="21" t="str">
        <f>"1000024526"</f>
        <v>1000024526</v>
      </c>
      <c r="F1467" s="21" t="str">
        <f>"TONER:HP Item #CE255A-HEW, Black laser toner (Yld 6k) for Laserjet P3015, P3015D, P3015DN and P3015X."</f>
        <v>TONER:HP Item #CE255A-HEW, Black laser toner (Yld 6k) for Laserjet P3015, P3015D, P3015DN and P3015X.</v>
      </c>
      <c r="G1467" s="22" t="str">
        <f t="shared" si="112"/>
        <v>EA</v>
      </c>
      <c r="H1467" s="23">
        <v>147.99</v>
      </c>
      <c r="I1467" s="21" t="str">
        <f t="shared" si="113"/>
        <v>44103103</v>
      </c>
      <c r="J1467" s="25" t="s">
        <v>99</v>
      </c>
    </row>
    <row r="1468" spans="1:10" ht="51.75">
      <c r="A1468" s="9" t="s">
        <v>27</v>
      </c>
      <c r="B1468" s="2" t="s">
        <v>31</v>
      </c>
      <c r="C1468" s="2">
        <v>3204</v>
      </c>
      <c r="D1468" s="2">
        <v>1005</v>
      </c>
      <c r="E1468" s="2" t="str">
        <f>"1000024527"</f>
        <v>1000024527</v>
      </c>
      <c r="F1468" s="2" t="str">
        <f>"TONER:HP Item # CE255X-HEW, Black laser toner, (Yld 12.5k) high capacity for Laserjet P3015, P3015d, P3015dn, and P3015x printers."</f>
        <v>TONER:HP Item # CE255X-HEW, Black laser toner, (Yld 12.5k) high capacity for Laserjet P3015, P3015d, P3015dn, and P3015x printers.</v>
      </c>
      <c r="G1468" s="3" t="str">
        <f t="shared" si="112"/>
        <v>EA</v>
      </c>
      <c r="H1468" s="7">
        <v>227.99</v>
      </c>
      <c r="I1468" s="2" t="str">
        <f t="shared" si="113"/>
        <v>44103103</v>
      </c>
      <c r="J1468" s="10" t="s">
        <v>99</v>
      </c>
    </row>
    <row r="1469" spans="1:10" ht="51.75">
      <c r="A1469" s="24" t="s">
        <v>27</v>
      </c>
      <c r="B1469" s="21" t="s">
        <v>31</v>
      </c>
      <c r="C1469" s="21">
        <v>3204</v>
      </c>
      <c r="D1469" s="21">
        <v>1006</v>
      </c>
      <c r="E1469" s="21" t="str">
        <f>"1000024528"</f>
        <v>1000024528</v>
      </c>
      <c r="F1469" s="21" t="str">
        <f>"TONER:HP Item# CE260A-HEW, Black laser toner (Yld 8.5k) for Laserjet CP4025dn, CP4025n, CP4520, CP4525dn, CP4525n, and CP4525xh."</f>
        <v>TONER:HP Item# CE260A-HEW, Black laser toner (Yld 8.5k) for Laserjet CP4025dn, CP4025n, CP4520, CP4525dn, CP4525n, and CP4525xh.</v>
      </c>
      <c r="G1469" s="22" t="str">
        <f t="shared" si="112"/>
        <v>EA</v>
      </c>
      <c r="H1469" s="23">
        <v>159.99</v>
      </c>
      <c r="I1469" s="21" t="str">
        <f t="shared" si="113"/>
        <v>44103103</v>
      </c>
      <c r="J1469" s="25" t="s">
        <v>99</v>
      </c>
    </row>
    <row r="1470" spans="1:10" ht="51.75">
      <c r="A1470" s="9" t="s">
        <v>27</v>
      </c>
      <c r="B1470" s="2" t="s">
        <v>31</v>
      </c>
      <c r="C1470" s="2">
        <v>3204</v>
      </c>
      <c r="D1470" s="2">
        <v>1007</v>
      </c>
      <c r="E1470" s="2" t="str">
        <f>"1000024529"</f>
        <v>1000024529</v>
      </c>
      <c r="F1470" s="2" t="str">
        <f>"TONER:HP Item# CE261A-HEW, Cyan laser toner (Yld 11K), for Laserjet CP4025dn, CP4025n, CP4525dn, CP4525n, CP4525xh printers."</f>
        <v>TONER:HP Item# CE261A-HEW, Cyan laser toner (Yld 11K), for Laserjet CP4025dn, CP4025n, CP4525dn, CP4525n, CP4525xh printers.</v>
      </c>
      <c r="G1470" s="3" t="str">
        <f t="shared" si="112"/>
        <v>EA</v>
      </c>
      <c r="H1470" s="7">
        <v>290.99</v>
      </c>
      <c r="I1470" s="2" t="str">
        <f t="shared" si="113"/>
        <v>44103103</v>
      </c>
      <c r="J1470" s="10" t="s">
        <v>99</v>
      </c>
    </row>
    <row r="1471" spans="1:10" ht="51.75">
      <c r="A1471" s="24" t="s">
        <v>27</v>
      </c>
      <c r="B1471" s="21" t="s">
        <v>31</v>
      </c>
      <c r="C1471" s="21">
        <v>3204</v>
      </c>
      <c r="D1471" s="21">
        <v>1008</v>
      </c>
      <c r="E1471" s="21" t="str">
        <f>"1000024530"</f>
        <v>1000024530</v>
      </c>
      <c r="F1471" s="21" t="str">
        <f>"TONER:HP Item # CE262A-HEW, Yellow laser toner (Yld 11k) for Laserjet CP4025dn, CP4025n, CP4525dn, CP4525n, and CP4525xh printers."</f>
        <v>TONER:HP Item # CE262A-HEW, Yellow laser toner (Yld 11k) for Laserjet CP4025dn, CP4025n, CP4525dn, CP4525n, and CP4525xh printers.</v>
      </c>
      <c r="G1471" s="22" t="str">
        <f t="shared" si="112"/>
        <v>EA</v>
      </c>
      <c r="H1471" s="23">
        <v>290.99</v>
      </c>
      <c r="I1471" s="21" t="str">
        <f t="shared" si="113"/>
        <v>44103103</v>
      </c>
      <c r="J1471" s="25" t="s">
        <v>99</v>
      </c>
    </row>
    <row r="1472" spans="1:10" ht="51.75">
      <c r="A1472" s="9" t="s">
        <v>27</v>
      </c>
      <c r="B1472" s="2" t="s">
        <v>31</v>
      </c>
      <c r="C1472" s="2">
        <v>3204</v>
      </c>
      <c r="D1472" s="2">
        <v>1009</v>
      </c>
      <c r="E1472" s="2" t="str">
        <f>"1000024531"</f>
        <v>1000024531</v>
      </c>
      <c r="F1472" s="2" t="str">
        <f>"TONER:HP Item # CE263A-HEW, Magenta laser toner (Yld 11K) for Laserjet CP4025dn, CP4025n, CP4520, CP4525dn, CP4525n, and CP4525xh printers."</f>
        <v>TONER:HP Item # CE263A-HEW, Magenta laser toner (Yld 11K) for Laserjet CP4025dn, CP4025n, CP4520, CP4525dn, CP4525n, and CP4525xh printers.</v>
      </c>
      <c r="G1472" s="3" t="str">
        <f t="shared" si="112"/>
        <v>EA</v>
      </c>
      <c r="H1472" s="7">
        <v>290.99</v>
      </c>
      <c r="I1472" s="2" t="str">
        <f t="shared" si="113"/>
        <v>44103103</v>
      </c>
      <c r="J1472" s="10" t="s">
        <v>99</v>
      </c>
    </row>
    <row r="1473" spans="1:10" ht="39">
      <c r="A1473" s="24" t="s">
        <v>27</v>
      </c>
      <c r="B1473" s="21" t="s">
        <v>31</v>
      </c>
      <c r="C1473" s="21">
        <v>3204</v>
      </c>
      <c r="D1473" s="21">
        <v>1010</v>
      </c>
      <c r="E1473" s="21" t="str">
        <f>"1000024532"</f>
        <v>1000024532</v>
      </c>
      <c r="F1473" s="21" t="str">
        <f>"TONER:HP Item #CE278A-HEW, Black Toner (Yld 2.1k) for HP laserJet M1536dnf and Pro P1606dn printers."</f>
        <v>TONER:HP Item #CE278A-HEW, Black Toner (Yld 2.1k) for HP laserJet M1536dnf and Pro P1606dn printers.</v>
      </c>
      <c r="G1473" s="22" t="str">
        <f t="shared" si="112"/>
        <v>EA</v>
      </c>
      <c r="H1473" s="23">
        <v>79.989999999999995</v>
      </c>
      <c r="I1473" s="21" t="str">
        <f t="shared" si="113"/>
        <v>44103103</v>
      </c>
      <c r="J1473" s="25" t="s">
        <v>99</v>
      </c>
    </row>
    <row r="1474" spans="1:10" ht="39">
      <c r="A1474" s="9" t="s">
        <v>27</v>
      </c>
      <c r="B1474" s="2" t="s">
        <v>31</v>
      </c>
      <c r="C1474" s="2">
        <v>3204</v>
      </c>
      <c r="D1474" s="2">
        <v>1011</v>
      </c>
      <c r="E1474" s="2" t="str">
        <f>"1000024533"</f>
        <v>1000024533</v>
      </c>
      <c r="F1474" s="2" t="str">
        <f>"TONER:HP Item # CE285A-HEW, Black Laser Cartridge (Ylds 1.6k) for HP LaserJet Pro M1212nf, P1102 and Pro1102w printers"</f>
        <v>TONER:HP Item # CE285A-HEW, Black Laser Cartridge (Ylds 1.6k) for HP LaserJet Pro M1212nf, P1102 and Pro1102w printers</v>
      </c>
      <c r="G1474" s="3" t="str">
        <f t="shared" si="112"/>
        <v>EA</v>
      </c>
      <c r="H1474" s="7">
        <v>68.989999999999995</v>
      </c>
      <c r="I1474" s="2" t="str">
        <f t="shared" si="113"/>
        <v>44103103</v>
      </c>
      <c r="J1474" s="10" t="s">
        <v>99</v>
      </c>
    </row>
    <row r="1475" spans="1:10" ht="39">
      <c r="A1475" s="24" t="s">
        <v>27</v>
      </c>
      <c r="B1475" s="21" t="s">
        <v>31</v>
      </c>
      <c r="C1475" s="21">
        <v>3204</v>
      </c>
      <c r="D1475" s="21">
        <v>1012</v>
      </c>
      <c r="E1475" s="21" t="str">
        <f>"1000024539"</f>
        <v>1000024539</v>
      </c>
      <c r="F1475" s="21" t="str">
        <f>"TONER:HP Item# CE310A-HEW, HP 126A (Yld 1.2K) Black Laser Toner for CP 1020 Series, CP1025 and CP1025NW"</f>
        <v>TONER:HP Item# CE310A-HEW, HP 126A (Yld 1.2K) Black Laser Toner for CP 1020 Series, CP1025 and CP1025NW</v>
      </c>
      <c r="G1475" s="22" t="str">
        <f t="shared" si="112"/>
        <v>EA</v>
      </c>
      <c r="H1475" s="23">
        <v>50</v>
      </c>
      <c r="I1475" s="21" t="str">
        <f t="shared" si="113"/>
        <v>44103103</v>
      </c>
      <c r="J1475" s="25" t="s">
        <v>99</v>
      </c>
    </row>
    <row r="1476" spans="1:10" ht="39">
      <c r="A1476" s="9" t="s">
        <v>27</v>
      </c>
      <c r="B1476" s="2" t="s">
        <v>31</v>
      </c>
      <c r="C1476" s="2">
        <v>3204</v>
      </c>
      <c r="D1476" s="2">
        <v>1013</v>
      </c>
      <c r="E1476" s="2" t="str">
        <f>"1000024540"</f>
        <v>1000024540</v>
      </c>
      <c r="F1476" s="2" t="str">
        <f>"TONER:HP Item# CE311A-HEW, HP 126A (Yld 1k) Cyan Laser Toner for CP 1020 Series, CP1025 and CP1025NW printers."</f>
        <v>TONER:HP Item# CE311A-HEW, HP 126A (Yld 1k) Cyan Laser Toner for CP 1020 Series, CP1025 and CP1025NW printers.</v>
      </c>
      <c r="G1476" s="3" t="str">
        <f t="shared" si="112"/>
        <v>EA</v>
      </c>
      <c r="H1476" s="7">
        <v>56.99</v>
      </c>
      <c r="I1476" s="2" t="str">
        <f t="shared" si="113"/>
        <v>44103103</v>
      </c>
      <c r="J1476" s="10" t="s">
        <v>99</v>
      </c>
    </row>
    <row r="1477" spans="1:10" ht="39">
      <c r="A1477" s="24" t="s">
        <v>27</v>
      </c>
      <c r="B1477" s="21" t="s">
        <v>31</v>
      </c>
      <c r="C1477" s="21">
        <v>3204</v>
      </c>
      <c r="D1477" s="21">
        <v>1014</v>
      </c>
      <c r="E1477" s="21" t="str">
        <f>"1000024541"</f>
        <v>1000024541</v>
      </c>
      <c r="F1477" s="21" t="str">
        <f>"TONER:HP Item# CE312A-HEW, HP 126A (Yld 1k) Yellow Laser Toner for CP 1020 Series, CP1025 and CP1025NW printers."</f>
        <v>TONER:HP Item# CE312A-HEW, HP 126A (Yld 1k) Yellow Laser Toner for CP 1020 Series, CP1025 and CP1025NW printers.</v>
      </c>
      <c r="G1477" s="22" t="str">
        <f t="shared" si="112"/>
        <v>EA</v>
      </c>
      <c r="H1477" s="23">
        <v>56.99</v>
      </c>
      <c r="I1477" s="21" t="str">
        <f t="shared" si="113"/>
        <v>44103103</v>
      </c>
      <c r="J1477" s="25" t="s">
        <v>99</v>
      </c>
    </row>
    <row r="1478" spans="1:10" ht="39">
      <c r="A1478" s="9" t="s">
        <v>27</v>
      </c>
      <c r="B1478" s="2" t="s">
        <v>31</v>
      </c>
      <c r="C1478" s="2">
        <v>3204</v>
      </c>
      <c r="D1478" s="2">
        <v>1015</v>
      </c>
      <c r="E1478" s="2" t="str">
        <f>"1000024516"</f>
        <v>1000024516</v>
      </c>
      <c r="F1478" s="2" t="str">
        <f>"TONER:HP Item# CE313A-HEW, HP 126A (Yld 1k) Magenta Laser Toner for CP 1020 Series, CP1025 and CP1025NW printers."</f>
        <v>TONER:HP Item# CE313A-HEW, HP 126A (Yld 1k) Magenta Laser Toner for CP 1020 Series, CP1025 and CP1025NW printers.</v>
      </c>
      <c r="G1478" s="3" t="str">
        <f t="shared" si="112"/>
        <v>EA</v>
      </c>
      <c r="H1478" s="7">
        <v>56.99</v>
      </c>
      <c r="I1478" s="2" t="str">
        <f t="shared" si="113"/>
        <v>44103103</v>
      </c>
      <c r="J1478" s="10" t="s">
        <v>99</v>
      </c>
    </row>
    <row r="1479" spans="1:10" ht="39">
      <c r="A1479" s="24" t="s">
        <v>27</v>
      </c>
      <c r="B1479" s="21" t="s">
        <v>31</v>
      </c>
      <c r="C1479" s="21">
        <v>3204</v>
      </c>
      <c r="D1479" s="21">
        <v>1016</v>
      </c>
      <c r="E1479" s="21" t="str">
        <f>"1000024517"</f>
        <v>1000024517</v>
      </c>
      <c r="F1479" s="21" t="str">
        <f>"TONER:BRO Item # TN315M-BRT, Magenta toner (Yld 3.5k) for Brother Laser HL-4150 and HL-4570 series printers."</f>
        <v>TONER:BRO Item # TN315M-BRT, Magenta toner (Yld 3.5k) for Brother Laser HL-4150 and HL-4570 series printers.</v>
      </c>
      <c r="G1479" s="22" t="str">
        <f t="shared" si="112"/>
        <v>EA</v>
      </c>
      <c r="H1479" s="23">
        <v>124.99</v>
      </c>
      <c r="I1479" s="21" t="str">
        <f t="shared" si="113"/>
        <v>44103103</v>
      </c>
      <c r="J1479" s="25" t="s">
        <v>99</v>
      </c>
    </row>
    <row r="1480" spans="1:10" ht="39">
      <c r="A1480" s="9" t="s">
        <v>27</v>
      </c>
      <c r="B1480" s="2" t="s">
        <v>31</v>
      </c>
      <c r="C1480" s="2">
        <v>3204</v>
      </c>
      <c r="D1480" s="2">
        <v>1017</v>
      </c>
      <c r="E1480" s="2" t="str">
        <f>"1000024518"</f>
        <v>1000024518</v>
      </c>
      <c r="F1480" s="2" t="str">
        <f>"TONER:BRO Item # TN315Y-BRT, Yellow toner,(Yld 3.5k) for Brother Laser HL-4150 and HL-4570 series printers."</f>
        <v>TONER:BRO Item # TN315Y-BRT, Yellow toner,(Yld 3.5k) for Brother Laser HL-4150 and HL-4570 series printers.</v>
      </c>
      <c r="G1480" s="3" t="str">
        <f t="shared" si="112"/>
        <v>EA</v>
      </c>
      <c r="H1480" s="7">
        <v>124.99</v>
      </c>
      <c r="I1480" s="2" t="str">
        <f t="shared" si="113"/>
        <v>44103103</v>
      </c>
      <c r="J1480" s="10" t="s">
        <v>99</v>
      </c>
    </row>
    <row r="1481" spans="1:10" ht="39">
      <c r="A1481" s="24" t="s">
        <v>27</v>
      </c>
      <c r="B1481" s="21" t="s">
        <v>31</v>
      </c>
      <c r="C1481" s="21">
        <v>3204</v>
      </c>
      <c r="D1481" s="21">
        <v>1018</v>
      </c>
      <c r="E1481" s="21" t="str">
        <f>"1000024519"</f>
        <v>1000024519</v>
      </c>
      <c r="F1481" s="21" t="str">
        <f>"TONER:BRO Item # TN450-BRT, Black Toner (Yld 2.6k) for Brother HL 2240 series and HL 2270 series printers."</f>
        <v>TONER:BRO Item # TN450-BRT, Black Toner (Yld 2.6k) for Brother HL 2240 series and HL 2270 series printers.</v>
      </c>
      <c r="G1481" s="22" t="str">
        <f t="shared" si="112"/>
        <v>EA</v>
      </c>
      <c r="H1481" s="23">
        <v>67.319999999999993</v>
      </c>
      <c r="I1481" s="21" t="str">
        <f t="shared" si="113"/>
        <v>44103103</v>
      </c>
      <c r="J1481" s="25" t="s">
        <v>99</v>
      </c>
    </row>
    <row r="1482" spans="1:10" ht="39">
      <c r="A1482" s="9" t="s">
        <v>27</v>
      </c>
      <c r="B1482" s="2" t="s">
        <v>31</v>
      </c>
      <c r="C1482" s="2">
        <v>3204</v>
      </c>
      <c r="D1482" s="2">
        <v>1019</v>
      </c>
      <c r="E1482" s="2" t="str">
        <f>"1000024520"</f>
        <v>1000024520</v>
      </c>
      <c r="F1482" s="2" t="str">
        <f>"TONER:BRO Item # TN110BK-BRT, Black laser toner (Yld 2.5k) for Brother MFC9400CN, HL4070CDW and HL4040CN printers."</f>
        <v>TONER:BRO Item # TN110BK-BRT, Black laser toner (Yld 2.5k) for Brother MFC9400CN, HL4070CDW and HL4040CN printers.</v>
      </c>
      <c r="G1482" s="3" t="str">
        <f t="shared" si="112"/>
        <v>EA</v>
      </c>
      <c r="H1482" s="7">
        <v>56</v>
      </c>
      <c r="I1482" s="2" t="str">
        <f t="shared" si="113"/>
        <v>44103103</v>
      </c>
      <c r="J1482" s="10" t="s">
        <v>99</v>
      </c>
    </row>
    <row r="1483" spans="1:10" ht="39">
      <c r="A1483" s="24" t="s">
        <v>27</v>
      </c>
      <c r="B1483" s="21" t="s">
        <v>31</v>
      </c>
      <c r="C1483" s="21">
        <v>3204</v>
      </c>
      <c r="D1483" s="21">
        <v>1020</v>
      </c>
      <c r="E1483" s="21" t="str">
        <f>"1000024534"</f>
        <v>1000024534</v>
      </c>
      <c r="F1483" s="21" t="str">
        <f>"TONER:BRO Item # TN110C-BRT, Cyan laser toner (Yld 1.5k) for Brother MFC9400CN, HL4070CDW and HL4040CN printers. ."</f>
        <v>TONER:BRO Item # TN110C-BRT, Cyan laser toner (Yld 1.5k) for Brother MFC9400CN, HL4070CDW and HL4040CN printers. .</v>
      </c>
      <c r="G1483" s="22" t="str">
        <f t="shared" si="112"/>
        <v>EA</v>
      </c>
      <c r="H1483" s="23">
        <v>73.66</v>
      </c>
      <c r="I1483" s="21" t="str">
        <f t="shared" si="113"/>
        <v>44103103</v>
      </c>
      <c r="J1483" s="25" t="s">
        <v>99</v>
      </c>
    </row>
    <row r="1484" spans="1:10" ht="39">
      <c r="A1484" s="9" t="s">
        <v>27</v>
      </c>
      <c r="B1484" s="2" t="s">
        <v>31</v>
      </c>
      <c r="C1484" s="2">
        <v>3204</v>
      </c>
      <c r="D1484" s="2">
        <v>1021</v>
      </c>
      <c r="E1484" s="2" t="str">
        <f>"1000024535"</f>
        <v>1000024535</v>
      </c>
      <c r="F1484" s="2" t="str">
        <f>"TONER:BRO Item # TN110M-BRT, Magenta laser toner (Yld 1.5k) for Brother MFC9400CN, HL4070CDW and HL4040CN printers."</f>
        <v>TONER:BRO Item # TN110M-BRT, Magenta laser toner (Yld 1.5k) for Brother MFC9400CN, HL4070CDW and HL4040CN printers.</v>
      </c>
      <c r="G1484" s="3" t="str">
        <f t="shared" si="112"/>
        <v>EA</v>
      </c>
      <c r="H1484" s="7">
        <v>73.66</v>
      </c>
      <c r="I1484" s="2" t="str">
        <f t="shared" si="113"/>
        <v>44103103</v>
      </c>
      <c r="J1484" s="10" t="s">
        <v>99</v>
      </c>
    </row>
    <row r="1485" spans="1:10" ht="39">
      <c r="A1485" s="24" t="s">
        <v>27</v>
      </c>
      <c r="B1485" s="21" t="s">
        <v>31</v>
      </c>
      <c r="C1485" s="21">
        <v>3204</v>
      </c>
      <c r="D1485" s="21">
        <v>1022</v>
      </c>
      <c r="E1485" s="21" t="str">
        <f>"1000024536"</f>
        <v>1000024536</v>
      </c>
      <c r="F1485" s="21" t="str">
        <f>"TONER:BRO Item # TN110Y-BRT, Yellow toner (Yld 1.5k) for MFC9400CN, HL4070CDW and HL4040CN printers."</f>
        <v>TONER:BRO Item # TN110Y-BRT, Yellow toner (Yld 1.5k) for MFC9400CN, HL4070CDW and HL4040CN printers.</v>
      </c>
      <c r="G1485" s="22" t="str">
        <f t="shared" si="112"/>
        <v>EA</v>
      </c>
      <c r="H1485" s="23">
        <v>73.66</v>
      </c>
      <c r="I1485" s="21" t="str">
        <f t="shared" si="113"/>
        <v>44103103</v>
      </c>
      <c r="J1485" s="25" t="s">
        <v>99</v>
      </c>
    </row>
    <row r="1486" spans="1:10" ht="39">
      <c r="A1486" s="9" t="s">
        <v>27</v>
      </c>
      <c r="B1486" s="2" t="s">
        <v>31</v>
      </c>
      <c r="C1486" s="2">
        <v>3204</v>
      </c>
      <c r="D1486" s="2">
        <v>1023</v>
      </c>
      <c r="E1486" s="2" t="str">
        <f>"1000024537"</f>
        <v>1000024537</v>
      </c>
      <c r="F1486" s="2" t="str">
        <f>"DRUM:BRO Item # DR110CL-BRT, Drum unit (Yld 17k) for MFC9400CN, HL4070CDW, and HL4040CN printers."</f>
        <v>DRUM:BRO Item # DR110CL-BRT, Drum unit (Yld 17k) for MFC9400CN, HL4070CDW, and HL4040CN printers.</v>
      </c>
      <c r="G1486" s="3" t="str">
        <f t="shared" si="112"/>
        <v>EA</v>
      </c>
      <c r="H1486" s="7">
        <v>161</v>
      </c>
      <c r="I1486" s="2" t="str">
        <f>"44103109"</f>
        <v>44103109</v>
      </c>
      <c r="J1486" s="10" t="s">
        <v>99</v>
      </c>
    </row>
    <row r="1487" spans="1:10" ht="39">
      <c r="A1487" s="24" t="s">
        <v>27</v>
      </c>
      <c r="B1487" s="21" t="s">
        <v>31</v>
      </c>
      <c r="C1487" s="21">
        <v>3204</v>
      </c>
      <c r="D1487" s="21">
        <v>1024</v>
      </c>
      <c r="E1487" s="21" t="str">
        <f>"1000024538"</f>
        <v>1000024538</v>
      </c>
      <c r="F1487" s="21" t="str">
        <f>"TONER:CAN Item # FX11-CAN, Black cartridge (Yld 4.5k) for Laserclass 810 and 830 Canon fax machines."</f>
        <v>TONER:CAN Item # FX11-CAN, Black cartridge (Yld 4.5k) for Laserclass 810 and 830 Canon fax machines.</v>
      </c>
      <c r="G1487" s="22" t="str">
        <f t="shared" si="112"/>
        <v>EA</v>
      </c>
      <c r="H1487" s="23">
        <v>116.66</v>
      </c>
      <c r="I1487" s="21" t="str">
        <f>"44103103"</f>
        <v>44103103</v>
      </c>
      <c r="J1487" s="25" t="s">
        <v>99</v>
      </c>
    </row>
    <row r="1488" spans="1:10" ht="64.5">
      <c r="A1488" s="9" t="s">
        <v>27</v>
      </c>
      <c r="B1488" s="2" t="s">
        <v>31</v>
      </c>
      <c r="C1488" s="2">
        <v>3204</v>
      </c>
      <c r="D1488" s="2">
        <v>1025</v>
      </c>
      <c r="E1488" s="2" t="str">
        <f>"1000024521"</f>
        <v>1000024521</v>
      </c>
      <c r="F1488" s="2" t="str">
        <f>"TONER:HP Item # Q7553A-BC, Brand Compatible cartridge (Yld 3k) for HP LaserJet M2727 MFP, M2727nf, M2727nf MFP, P2010, P2014, P2015, P2015d, P2015dn, P2015n, P2015x printers."</f>
        <v>TONER:HP Item # Q7553A-BC, Brand Compatible cartridge (Yld 3k) for HP LaserJet M2727 MFP, M2727nf, M2727nf MFP, P2010, P2014, P2015, P2015d, P2015dn, P2015n, P2015x printers.</v>
      </c>
      <c r="G1488" s="3" t="str">
        <f t="shared" si="112"/>
        <v>EA</v>
      </c>
      <c r="H1488" s="7">
        <v>51</v>
      </c>
      <c r="I1488" s="2" t="str">
        <f>"44103103"</f>
        <v>44103103</v>
      </c>
      <c r="J1488" s="10" t="s">
        <v>99</v>
      </c>
    </row>
    <row r="1489" spans="1:10" ht="51.75">
      <c r="A1489" s="24" t="s">
        <v>27</v>
      </c>
      <c r="B1489" s="21" t="s">
        <v>31</v>
      </c>
      <c r="C1489" s="21">
        <v>3204</v>
      </c>
      <c r="D1489" s="21">
        <v>1026</v>
      </c>
      <c r="E1489" s="21" t="str">
        <f>"1000024522"</f>
        <v>1000024522</v>
      </c>
      <c r="F1489" s="21" t="str">
        <f>"TONER:HP Item # Q7551A-BC, Brand Compatible Cartridge (Yld 6.5k) for HP M3035mfp series and P3005 series laserjet printers."</f>
        <v>TONER:HP Item # Q7551A-BC, Brand Compatible Cartridge (Yld 6.5k) for HP M3035mfp series and P3005 series laserjet printers.</v>
      </c>
      <c r="G1489" s="22" t="str">
        <f t="shared" si="112"/>
        <v>EA</v>
      </c>
      <c r="H1489" s="23">
        <v>65</v>
      </c>
      <c r="I1489" s="21" t="str">
        <f>"44103103"</f>
        <v>44103103</v>
      </c>
      <c r="J1489" s="25" t="s">
        <v>99</v>
      </c>
    </row>
    <row r="1490" spans="1:10" ht="64.5">
      <c r="A1490" s="9" t="s">
        <v>27</v>
      </c>
      <c r="B1490" s="2" t="s">
        <v>31</v>
      </c>
      <c r="C1490" s="2">
        <v>3204</v>
      </c>
      <c r="D1490" s="2">
        <v>1027</v>
      </c>
      <c r="E1490" s="2" t="str">
        <f>"1000017245"</f>
        <v>1000017245</v>
      </c>
      <c r="F1490" s="2" t="str">
        <f>"INK CART:EPS Item # T078320-EPS, Epson 78 Magenta Ink Cartridge for Epson All-in-One Machine: Stylus Photo RX580/ RX595/ RX680. Epson Photo Printers: Stylus Photo R260/ R280/ R380/ RX580"</f>
        <v>INK CART:EPS Item # T078320-EPS, Epson 78 Magenta Ink Cartridge for Epson All-in-One Machine: Stylus Photo RX580/ RX595/ RX680. Epson Photo Printers: Stylus Photo R260/ R280/ R380/ RX580</v>
      </c>
      <c r="G1490" s="3" t="str">
        <f t="shared" si="112"/>
        <v>EA</v>
      </c>
      <c r="H1490" s="7">
        <v>14.19</v>
      </c>
      <c r="I1490" s="2" t="str">
        <f>"44103105"</f>
        <v>44103105</v>
      </c>
      <c r="J1490" s="10" t="s">
        <v>99</v>
      </c>
    </row>
    <row r="1491" spans="1:10" ht="39">
      <c r="A1491" s="24" t="s">
        <v>27</v>
      </c>
      <c r="B1491" s="21" t="s">
        <v>31</v>
      </c>
      <c r="C1491" s="21">
        <v>3204</v>
      </c>
      <c r="D1491" s="21">
        <v>1028</v>
      </c>
      <c r="E1491" s="21" t="str">
        <f>"1000029327"</f>
        <v>1000029327</v>
      </c>
      <c r="F1491" s="21" t="str">
        <f>"WASTE BTL: LEX Item# C540X75G-LEX, Waste toner bottle (Yld 18K color pages or 36K black pages) for use in C540 series and X544 series."</f>
        <v>WASTE BTL: LEX Item# C540X75G-LEX, Waste toner bottle (Yld 18K color pages or 36K black pages) for use in C540 series and X544 series.</v>
      </c>
      <c r="G1491" s="22" t="str">
        <f t="shared" si="112"/>
        <v>EA</v>
      </c>
      <c r="H1491" s="23">
        <v>13</v>
      </c>
      <c r="I1491" s="21" t="str">
        <f>"44103120"</f>
        <v>44103120</v>
      </c>
      <c r="J1491" s="25" t="s">
        <v>99</v>
      </c>
    </row>
    <row r="1492" spans="1:10" ht="39">
      <c r="A1492" s="9" t="s">
        <v>27</v>
      </c>
      <c r="B1492" s="2" t="s">
        <v>31</v>
      </c>
      <c r="C1492" s="2">
        <v>3204</v>
      </c>
      <c r="D1492" s="2">
        <v>1029</v>
      </c>
      <c r="E1492" s="2" t="str">
        <f>"1000029339"</f>
        <v>1000029339</v>
      </c>
      <c r="F1492" s="2" t="str">
        <f>"TONER: LEX Item #C540H1CG-LEX, Cyan toner (Yld 2k) for C540 Series, C543 Series, C544 Series, X543 Series, X544 Series."</f>
        <v>TONER: LEX Item #C540H1CG-LEX, Cyan toner (Yld 2k) for C540 Series, C543 Series, C544 Series, X543 Series, X544 Series.</v>
      </c>
      <c r="G1492" s="3" t="str">
        <f t="shared" si="112"/>
        <v>EA</v>
      </c>
      <c r="H1492" s="7">
        <v>85</v>
      </c>
      <c r="I1492" s="2" t="str">
        <f t="shared" ref="I1492:I1507" si="114">"44103103"</f>
        <v>44103103</v>
      </c>
      <c r="J1492" s="10" t="s">
        <v>99</v>
      </c>
    </row>
    <row r="1493" spans="1:10" ht="51.75">
      <c r="A1493" s="24" t="s">
        <v>27</v>
      </c>
      <c r="B1493" s="21" t="s">
        <v>31</v>
      </c>
      <c r="C1493" s="21">
        <v>3204</v>
      </c>
      <c r="D1493" s="21">
        <v>1030</v>
      </c>
      <c r="E1493" s="21" t="str">
        <f>"1000029338"</f>
        <v>1000029338</v>
      </c>
      <c r="F1493" s="21" t="str">
        <f>"TONER: Item #CE413A-HEW, Magenta toner (Yld 2.6k) for HP 400, M375DW, M475DW, M475DN, M451DN, M451DW, M451DW MFP printers."</f>
        <v>TONER: Item #CE413A-HEW, Magenta toner (Yld 2.6k) for HP 400, M375DW, M475DW, M475DN, M451DN, M451DW, M451DW MFP printers.</v>
      </c>
      <c r="G1493" s="22" t="str">
        <f t="shared" si="112"/>
        <v>EA</v>
      </c>
      <c r="H1493" s="23">
        <v>119.99</v>
      </c>
      <c r="I1493" s="21" t="str">
        <f t="shared" si="114"/>
        <v>44103103</v>
      </c>
      <c r="J1493" s="25" t="s">
        <v>99</v>
      </c>
    </row>
    <row r="1494" spans="1:10" ht="51.75">
      <c r="A1494" s="9" t="s">
        <v>27</v>
      </c>
      <c r="B1494" s="2" t="s">
        <v>31</v>
      </c>
      <c r="C1494" s="2">
        <v>3204</v>
      </c>
      <c r="D1494" s="2">
        <v>1031</v>
      </c>
      <c r="E1494" s="2" t="str">
        <f>"1000029337"</f>
        <v>1000029337</v>
      </c>
      <c r="F1494" s="2" t="str">
        <f>"TONER: Item #CE412A-HEW, Yellow toner (Yld 2.6k) for HP 400, M375DW, M475DW, M475DN, M451DN, M451DW, M451DW MFP printers."</f>
        <v>TONER: Item #CE412A-HEW, Yellow toner (Yld 2.6k) for HP 400, M375DW, M475DW, M475DN, M451DN, M451DW, M451DW MFP printers.</v>
      </c>
      <c r="G1494" s="3" t="str">
        <f t="shared" ref="G1494:G1525" si="115">"EA"</f>
        <v>EA</v>
      </c>
      <c r="H1494" s="7">
        <v>119.99</v>
      </c>
      <c r="I1494" s="2" t="str">
        <f t="shared" si="114"/>
        <v>44103103</v>
      </c>
      <c r="J1494" s="10" t="s">
        <v>99</v>
      </c>
    </row>
    <row r="1495" spans="1:10" ht="51.75">
      <c r="A1495" s="24" t="s">
        <v>27</v>
      </c>
      <c r="B1495" s="21" t="s">
        <v>31</v>
      </c>
      <c r="C1495" s="21">
        <v>3204</v>
      </c>
      <c r="D1495" s="21">
        <v>1032</v>
      </c>
      <c r="E1495" s="21" t="str">
        <f>"1000029336"</f>
        <v>1000029336</v>
      </c>
      <c r="F1495" s="21" t="str">
        <f>"TONER: Item #CE411A-HEW, Cyan toner (Yld 2.6k) for HP 400, M375DW, M475DW, M475DN, M451DN, M451DW, M451DW MFP printers."</f>
        <v>TONER: Item #CE411A-HEW, Cyan toner (Yld 2.6k) for HP 400, M375DW, M475DW, M475DN, M451DN, M451DW, M451DW MFP printers.</v>
      </c>
      <c r="G1495" s="22" t="str">
        <f t="shared" si="115"/>
        <v>EA</v>
      </c>
      <c r="H1495" s="23">
        <v>119.99</v>
      </c>
      <c r="I1495" s="21" t="str">
        <f t="shared" si="114"/>
        <v>44103103</v>
      </c>
      <c r="J1495" s="25" t="s">
        <v>99</v>
      </c>
    </row>
    <row r="1496" spans="1:10" ht="39">
      <c r="A1496" s="9" t="s">
        <v>27</v>
      </c>
      <c r="B1496" s="2" t="s">
        <v>31</v>
      </c>
      <c r="C1496" s="2">
        <v>3204</v>
      </c>
      <c r="D1496" s="2">
        <v>1033</v>
      </c>
      <c r="E1496" s="2" t="str">
        <f>"1000029331"</f>
        <v>1000029331</v>
      </c>
      <c r="F1496" s="2" t="str">
        <f>"TONER: DELL Item # 1720-BC, Brand Compatible Dell Black Toner (Yld 6k) for Dell 1720 and 1720dn printers. (Dell #3108709)"</f>
        <v>TONER: DELL Item # 1720-BC, Brand Compatible Dell Black Toner (Yld 6k) for Dell 1720 and 1720dn printers. (Dell #3108709)</v>
      </c>
      <c r="G1496" s="3" t="str">
        <f t="shared" si="115"/>
        <v>EA</v>
      </c>
      <c r="H1496" s="7">
        <v>62</v>
      </c>
      <c r="I1496" s="2" t="str">
        <f t="shared" si="114"/>
        <v>44103103</v>
      </c>
      <c r="J1496" s="10" t="s">
        <v>99</v>
      </c>
    </row>
    <row r="1497" spans="1:10" ht="39">
      <c r="A1497" s="24" t="s">
        <v>27</v>
      </c>
      <c r="B1497" s="21" t="s">
        <v>31</v>
      </c>
      <c r="C1497" s="21">
        <v>3204</v>
      </c>
      <c r="D1497" s="21">
        <v>1034</v>
      </c>
      <c r="E1497" s="21" t="str">
        <f>"1000029330"</f>
        <v>1000029330</v>
      </c>
      <c r="F1497" s="21" t="str">
        <f>"TONER: DELL Item # 2335-BC, Brand Compatible Dell Black Toner (Yld 3k) for Dell 2335 and 2335dn printers. (Dell#3302208)"</f>
        <v>TONER: DELL Item # 2335-BC, Brand Compatible Dell Black Toner (Yld 3k) for Dell 2335 and 2335dn printers. (Dell#3302208)</v>
      </c>
      <c r="G1497" s="22" t="str">
        <f t="shared" si="115"/>
        <v>EA</v>
      </c>
      <c r="H1497" s="23">
        <v>55</v>
      </c>
      <c r="I1497" s="21" t="str">
        <f t="shared" si="114"/>
        <v>44103103</v>
      </c>
      <c r="J1497" s="25" t="s">
        <v>99</v>
      </c>
    </row>
    <row r="1498" spans="1:10" ht="39">
      <c r="A1498" s="9" t="s">
        <v>27</v>
      </c>
      <c r="B1498" s="2" t="s">
        <v>31</v>
      </c>
      <c r="C1498" s="2">
        <v>3204</v>
      </c>
      <c r="D1498" s="2">
        <v>1035</v>
      </c>
      <c r="E1498" s="2" t="str">
        <f>"1000029329"</f>
        <v>1000029329</v>
      </c>
      <c r="F1498" s="2" t="str">
        <f>"TONER: DELL Item #1100-BC, Brand Compatible Black Toner Cartridge (Yld 2k) for Dell 1100/ 1110. (Dell #3107660)"</f>
        <v>TONER: DELL Item #1100-BC, Brand Compatible Black Toner Cartridge (Yld 2k) for Dell 1100/ 1110. (Dell #3107660)</v>
      </c>
      <c r="G1498" s="3" t="str">
        <f t="shared" si="115"/>
        <v>EA</v>
      </c>
      <c r="H1498" s="7">
        <v>56</v>
      </c>
      <c r="I1498" s="2" t="str">
        <f t="shared" si="114"/>
        <v>44103103</v>
      </c>
      <c r="J1498" s="10" t="s">
        <v>99</v>
      </c>
    </row>
    <row r="1499" spans="1:10" ht="26.25">
      <c r="A1499" s="24" t="s">
        <v>27</v>
      </c>
      <c r="B1499" s="21" t="s">
        <v>31</v>
      </c>
      <c r="C1499" s="21">
        <v>3204</v>
      </c>
      <c r="D1499" s="21">
        <v>1036</v>
      </c>
      <c r="E1499" s="21" t="str">
        <f>"1000029328"</f>
        <v>1000029328</v>
      </c>
      <c r="F1499" s="21" t="str">
        <f>"TONER: LEX Item #E260A21A-LEX, black toner for F/E260, E360, E460 (Yld 3500)"</f>
        <v>TONER: LEX Item #E260A21A-LEX, black toner for F/E260, E360, E460 (Yld 3500)</v>
      </c>
      <c r="G1499" s="22" t="str">
        <f t="shared" si="115"/>
        <v>EA</v>
      </c>
      <c r="H1499" s="23">
        <v>147.65</v>
      </c>
      <c r="I1499" s="21" t="str">
        <f t="shared" si="114"/>
        <v>44103103</v>
      </c>
      <c r="J1499" s="25" t="s">
        <v>99</v>
      </c>
    </row>
    <row r="1500" spans="1:10" ht="39">
      <c r="A1500" s="9" t="s">
        <v>27</v>
      </c>
      <c r="B1500" s="2" t="s">
        <v>31</v>
      </c>
      <c r="C1500" s="2">
        <v>3204</v>
      </c>
      <c r="D1500" s="2">
        <v>1037</v>
      </c>
      <c r="E1500" s="2" t="str">
        <f>"1000029325"</f>
        <v>1000029325</v>
      </c>
      <c r="F1500" s="2" t="str">
        <f>"TONER: LEX Item #C540H1YG-LEX, Yellow toner (Yld 2k) for C540 Series, C543 Series, C544 Series, X543 Series, X544 Series."</f>
        <v>TONER: LEX Item #C540H1YG-LEX, Yellow toner (Yld 2k) for C540 Series, C543 Series, C544 Series, X543 Series, X544 Series.</v>
      </c>
      <c r="G1500" s="3" t="str">
        <f t="shared" si="115"/>
        <v>EA</v>
      </c>
      <c r="H1500" s="7">
        <v>85</v>
      </c>
      <c r="I1500" s="2" t="str">
        <f t="shared" si="114"/>
        <v>44103103</v>
      </c>
      <c r="J1500" s="10" t="s">
        <v>99</v>
      </c>
    </row>
    <row r="1501" spans="1:10" ht="39">
      <c r="A1501" s="24" t="s">
        <v>27</v>
      </c>
      <c r="B1501" s="21" t="s">
        <v>31</v>
      </c>
      <c r="C1501" s="21">
        <v>3204</v>
      </c>
      <c r="D1501" s="21">
        <v>1038</v>
      </c>
      <c r="E1501" s="21" t="str">
        <f>"1000029324"</f>
        <v>1000029324</v>
      </c>
      <c r="F1501" s="21" t="str">
        <f>"TONER: LEX Item #C540H1MG-LEX, Magenta toner (Yld 2k) for C540 Series, C543 Series, C544 Series, X543 Series, X544 Series."</f>
        <v>TONER: LEX Item #C540H1MG-LEX, Magenta toner (Yld 2k) for C540 Series, C543 Series, C544 Series, X543 Series, X544 Series.</v>
      </c>
      <c r="G1501" s="22" t="str">
        <f t="shared" si="115"/>
        <v>EA</v>
      </c>
      <c r="H1501" s="23">
        <v>85</v>
      </c>
      <c r="I1501" s="21" t="str">
        <f t="shared" si="114"/>
        <v>44103103</v>
      </c>
      <c r="J1501" s="25" t="s">
        <v>99</v>
      </c>
    </row>
    <row r="1502" spans="1:10" ht="39">
      <c r="A1502" s="9" t="s">
        <v>27</v>
      </c>
      <c r="B1502" s="2" t="s">
        <v>31</v>
      </c>
      <c r="C1502" s="2">
        <v>3204</v>
      </c>
      <c r="D1502" s="2">
        <v>1039</v>
      </c>
      <c r="E1502" s="2" t="str">
        <f>"1000029323"</f>
        <v>1000029323</v>
      </c>
      <c r="F1502" s="2" t="str">
        <f>"TONER: LEX Item #C540H1KG-LEX, Black high yield toner (Yld 2.5k) for C540 Series, C543 Series, C544 Series, X543 Series, X544 Series."</f>
        <v>TONER: LEX Item #C540H1KG-LEX, Black high yield toner (Yld 2.5k) for C540 Series, C543 Series, C544 Series, X543 Series, X544 Series.</v>
      </c>
      <c r="G1502" s="3" t="str">
        <f t="shared" si="115"/>
        <v>EA</v>
      </c>
      <c r="H1502" s="7">
        <v>73</v>
      </c>
      <c r="I1502" s="2" t="str">
        <f t="shared" si="114"/>
        <v>44103103</v>
      </c>
      <c r="J1502" s="10" t="s">
        <v>99</v>
      </c>
    </row>
    <row r="1503" spans="1:10" ht="39">
      <c r="A1503" s="24" t="s">
        <v>27</v>
      </c>
      <c r="B1503" s="21" t="s">
        <v>31</v>
      </c>
      <c r="C1503" s="21">
        <v>3204</v>
      </c>
      <c r="D1503" s="21">
        <v>1040</v>
      </c>
      <c r="E1503" s="21" t="str">
        <f>"1000029320"</f>
        <v>1000029320</v>
      </c>
      <c r="F1503" s="21" t="str">
        <f>"TONER:HP Item # CE323A-HEW, HP 128A Magenta (Yields: 1.3K) for Laser Printers LaserJet CP1525NW, CM1415 &amp; CM1415FNW."</f>
        <v>TONER:HP Item # CE323A-HEW, HP 128A Magenta (Yields: 1.3K) for Laser Printers LaserJet CP1525NW, CM1415 &amp; CM1415FNW.</v>
      </c>
      <c r="G1503" s="22" t="str">
        <f t="shared" si="115"/>
        <v>EA</v>
      </c>
      <c r="H1503" s="23">
        <v>67.989999999999995</v>
      </c>
      <c r="I1503" s="21" t="str">
        <f t="shared" si="114"/>
        <v>44103103</v>
      </c>
      <c r="J1503" s="25" t="s">
        <v>99</v>
      </c>
    </row>
    <row r="1504" spans="1:10" ht="39">
      <c r="A1504" s="9" t="s">
        <v>27</v>
      </c>
      <c r="B1504" s="2" t="s">
        <v>31</v>
      </c>
      <c r="C1504" s="2">
        <v>3204</v>
      </c>
      <c r="D1504" s="2">
        <v>1041</v>
      </c>
      <c r="E1504" s="2" t="str">
        <f>"1000029319"</f>
        <v>1000029319</v>
      </c>
      <c r="F1504" s="2" t="str">
        <f>"TONER:HP Item # CE322A-HEW, HP 128A Yellow (Yields: 1.3K) for Laser Printers LaserJet CP1525NW, CM1415 &amp; CM1415FNW."</f>
        <v>TONER:HP Item # CE322A-HEW, HP 128A Yellow (Yields: 1.3K) for Laser Printers LaserJet CP1525NW, CM1415 &amp; CM1415FNW.</v>
      </c>
      <c r="G1504" s="3" t="str">
        <f t="shared" si="115"/>
        <v>EA</v>
      </c>
      <c r="H1504" s="7">
        <v>67.989999999999995</v>
      </c>
      <c r="I1504" s="2" t="str">
        <f t="shared" si="114"/>
        <v>44103103</v>
      </c>
      <c r="J1504" s="10" t="s">
        <v>99</v>
      </c>
    </row>
    <row r="1505" spans="1:10" ht="39">
      <c r="A1505" s="24" t="s">
        <v>27</v>
      </c>
      <c r="B1505" s="21" t="s">
        <v>31</v>
      </c>
      <c r="C1505" s="21">
        <v>3204</v>
      </c>
      <c r="D1505" s="21">
        <v>1042</v>
      </c>
      <c r="E1505" s="21" t="str">
        <f>"1000029318"</f>
        <v>1000029318</v>
      </c>
      <c r="F1505" s="21" t="str">
        <f>"TONER:HP Item # CE321A-HEW, HP 128A Cyan (Yields: 1.3K) for Laser Printers LaserJet CP1525NW, CM1415 &amp; CM1415FNW."</f>
        <v>TONER:HP Item # CE321A-HEW, HP 128A Cyan (Yields: 1.3K) for Laser Printers LaserJet CP1525NW, CM1415 &amp; CM1415FNW.</v>
      </c>
      <c r="G1505" s="22" t="str">
        <f t="shared" si="115"/>
        <v>EA</v>
      </c>
      <c r="H1505" s="23">
        <v>67.989999999999995</v>
      </c>
      <c r="I1505" s="21" t="str">
        <f t="shared" si="114"/>
        <v>44103103</v>
      </c>
      <c r="J1505" s="25" t="s">
        <v>99</v>
      </c>
    </row>
    <row r="1506" spans="1:10" ht="39">
      <c r="A1506" s="9" t="s">
        <v>27</v>
      </c>
      <c r="B1506" s="2" t="s">
        <v>31</v>
      </c>
      <c r="C1506" s="2">
        <v>3204</v>
      </c>
      <c r="D1506" s="2">
        <v>1043</v>
      </c>
      <c r="E1506" s="2" t="str">
        <f>"1000029316"</f>
        <v>1000029316</v>
      </c>
      <c r="F1506" s="2" t="str">
        <f>"TONER: HP Item# CC364x-HEW, Black print cartridge, high capacity (Yld 24k) for Laserjet P4015 and P4515 series printers"</f>
        <v>TONER: HP Item# CC364x-HEW, Black print cartridge, high capacity (Yld 24k) for Laserjet P4015 and P4515 series printers</v>
      </c>
      <c r="G1506" s="3" t="str">
        <f t="shared" si="115"/>
        <v>EA</v>
      </c>
      <c r="H1506" s="7">
        <v>309.99</v>
      </c>
      <c r="I1506" s="2" t="str">
        <f t="shared" si="114"/>
        <v>44103103</v>
      </c>
      <c r="J1506" s="10" t="s">
        <v>99</v>
      </c>
    </row>
    <row r="1507" spans="1:10" ht="39">
      <c r="A1507" s="24" t="s">
        <v>27</v>
      </c>
      <c r="B1507" s="21" t="s">
        <v>31</v>
      </c>
      <c r="C1507" s="21">
        <v>3204</v>
      </c>
      <c r="D1507" s="21">
        <v>1044</v>
      </c>
      <c r="E1507" s="21" t="str">
        <f>"1000029309"</f>
        <v>1000029309</v>
      </c>
      <c r="F1507" s="21" t="str">
        <f>"TONER: Item #CE410X-HEW, Black toner (Yld 4k) for HP 400, M375DW, M475DW, M475DN, M451DN, M451DW, M451DW MFP printers."</f>
        <v>TONER: Item #CE410X-HEW, Black toner (Yld 4k) for HP 400, M375DW, M475DW, M475DN, M451DN, M451DW, M451DW MFP printers.</v>
      </c>
      <c r="G1507" s="22" t="str">
        <f t="shared" si="115"/>
        <v>EA</v>
      </c>
      <c r="H1507" s="23">
        <v>103.99</v>
      </c>
      <c r="I1507" s="21" t="str">
        <f t="shared" si="114"/>
        <v>44103103</v>
      </c>
      <c r="J1507" s="25" t="s">
        <v>99</v>
      </c>
    </row>
    <row r="1508" spans="1:10" ht="64.5">
      <c r="A1508" s="9" t="s">
        <v>27</v>
      </c>
      <c r="B1508" s="2" t="s">
        <v>31</v>
      </c>
      <c r="C1508" s="2">
        <v>3204</v>
      </c>
      <c r="D1508" s="2">
        <v>1045</v>
      </c>
      <c r="E1508" s="2" t="str">
        <f>"1000029335"</f>
        <v>1000029335</v>
      </c>
      <c r="F1508" s="2" t="str">
        <f>"INK: HP Item# CB319WN-HEW, HP #564 Magenta Ink Cartridge (Yld 300 pages) For use with: Photosmart C6350, C6380, Photosmart Premium; Photosmart D5445, D5460, D7560, Photosmart Pro B8550."</f>
        <v>INK: HP Item# CB319WN-HEW, HP #564 Magenta Ink Cartridge (Yld 300 pages) For use with: Photosmart C6350, C6380, Photosmart Premium; Photosmart D5445, D5460, D7560, Photosmart Pro B8550.</v>
      </c>
      <c r="G1508" s="3" t="str">
        <f t="shared" si="115"/>
        <v>EA</v>
      </c>
      <c r="H1508" s="7">
        <v>10.99</v>
      </c>
      <c r="I1508" s="2" t="str">
        <f t="shared" ref="I1508:I1527" si="116">"44103105"</f>
        <v>44103105</v>
      </c>
      <c r="J1508" s="10" t="s">
        <v>98</v>
      </c>
    </row>
    <row r="1509" spans="1:10" ht="64.5">
      <c r="A1509" s="24" t="s">
        <v>27</v>
      </c>
      <c r="B1509" s="21" t="s">
        <v>31</v>
      </c>
      <c r="C1509" s="21">
        <v>3204</v>
      </c>
      <c r="D1509" s="21">
        <v>1046</v>
      </c>
      <c r="E1509" s="21" t="str">
        <f>"1000029334"</f>
        <v>1000029334</v>
      </c>
      <c r="F1509" s="21" t="str">
        <f>"INK: HP Item# CB318WN-HEW, HP #564 Cyan Ink Cartridge (Yld 300 pages) For use with: Photosmart C6350, C6380, Photosmart Premium; Photosmart D5445, D5460, D7560, Photosmart Pro B8550."</f>
        <v>INK: HP Item# CB318WN-HEW, HP #564 Cyan Ink Cartridge (Yld 300 pages) For use with: Photosmart C6350, C6380, Photosmart Premium; Photosmart D5445, D5460, D7560, Photosmart Pro B8550.</v>
      </c>
      <c r="G1509" s="22" t="str">
        <f t="shared" si="115"/>
        <v>EA</v>
      </c>
      <c r="H1509" s="23">
        <v>10.99</v>
      </c>
      <c r="I1509" s="21" t="str">
        <f t="shared" si="116"/>
        <v>44103105</v>
      </c>
      <c r="J1509" s="25" t="s">
        <v>98</v>
      </c>
    </row>
    <row r="1510" spans="1:10" ht="64.5">
      <c r="A1510" s="9" t="s">
        <v>27</v>
      </c>
      <c r="B1510" s="2" t="s">
        <v>31</v>
      </c>
      <c r="C1510" s="2">
        <v>3204</v>
      </c>
      <c r="D1510" s="2">
        <v>1047</v>
      </c>
      <c r="E1510" s="2" t="str">
        <f>"1000029333"</f>
        <v>1000029333</v>
      </c>
      <c r="F1510" s="2" t="str">
        <f>"INK CART: HP Item# CB317WN-HEW, HP #564 Black Photo Ink (Ylds up to 130- 4X6 photos) For use with: Photosmart C6350, C6380, Photosmart Premium; Photosmart D5445, D5460, D7560, Photosmart Pro B8550."</f>
        <v>INK CART: HP Item# CB317WN-HEW, HP #564 Black Photo Ink (Ylds up to 130- 4X6 photos) For use with: Photosmart C6350, C6380, Photosmart Premium; Photosmart D5445, D5460, D7560, Photosmart Pro B8550.</v>
      </c>
      <c r="G1510" s="3" t="str">
        <f t="shared" si="115"/>
        <v>EA</v>
      </c>
      <c r="H1510" s="7">
        <v>10.99</v>
      </c>
      <c r="I1510" s="2" t="str">
        <f t="shared" si="116"/>
        <v>44103105</v>
      </c>
      <c r="J1510" s="10" t="s">
        <v>98</v>
      </c>
    </row>
    <row r="1511" spans="1:10" ht="51.75">
      <c r="A1511" s="24" t="s">
        <v>27</v>
      </c>
      <c r="B1511" s="21" t="s">
        <v>31</v>
      </c>
      <c r="C1511" s="21">
        <v>3204</v>
      </c>
      <c r="D1511" s="21">
        <v>1048</v>
      </c>
      <c r="E1511" s="21" t="str">
        <f>"1000029332"</f>
        <v>1000029332</v>
      </c>
      <c r="F1511" s="21" t="str">
        <f>"INK CART: HP Item #CB316WN-HEW, HP #564, Black Ink (Yld 250 pgs) for HP All-in-One Printers Photosmart C6350, C6380, C6300, D5445, D5460, D7560, B8550 &amp; B8850"</f>
        <v>INK CART: HP Item #CB316WN-HEW, HP #564, Black Ink (Yld 250 pgs) for HP All-in-One Printers Photosmart C6350, C6380, C6300, D5445, D5460, D7560, B8550 &amp; B8850</v>
      </c>
      <c r="G1511" s="22" t="str">
        <f t="shared" si="115"/>
        <v>EA</v>
      </c>
      <c r="H1511" s="23">
        <v>12.59</v>
      </c>
      <c r="I1511" s="21" t="str">
        <f t="shared" si="116"/>
        <v>44103105</v>
      </c>
      <c r="J1511" s="25" t="s">
        <v>98</v>
      </c>
    </row>
    <row r="1512" spans="1:10" ht="51.75">
      <c r="A1512" s="9" t="s">
        <v>27</v>
      </c>
      <c r="B1512" s="2" t="s">
        <v>31</v>
      </c>
      <c r="C1512" s="2">
        <v>3204</v>
      </c>
      <c r="D1512" s="2">
        <v>1051</v>
      </c>
      <c r="E1512" s="2" t="str">
        <f>"1000029317"</f>
        <v>1000029317</v>
      </c>
      <c r="F1512" s="2" t="str">
        <f>"INK CART: HP Item# CD971AN-HEW ,HP #920 black ink cartridge (Yld 420) for the HP Officejet 6500 wireless All-in-One and Officejet 6500 All-in-One printers"</f>
        <v>INK CART: HP Item# CD971AN-HEW ,HP #920 black ink cartridge (Yld 420) for the HP Officejet 6500 wireless All-in-One and Officejet 6500 All-in-One printers</v>
      </c>
      <c r="G1512" s="3" t="str">
        <f t="shared" si="115"/>
        <v>EA</v>
      </c>
      <c r="H1512" s="7">
        <v>21</v>
      </c>
      <c r="I1512" s="2" t="str">
        <f t="shared" si="116"/>
        <v>44103105</v>
      </c>
      <c r="J1512" s="10" t="s">
        <v>98</v>
      </c>
    </row>
    <row r="1513" spans="1:10" ht="77.25">
      <c r="A1513" s="24" t="s">
        <v>27</v>
      </c>
      <c r="B1513" s="21" t="s">
        <v>31</v>
      </c>
      <c r="C1513" s="21">
        <v>3204</v>
      </c>
      <c r="D1513" s="21">
        <v>1052</v>
      </c>
      <c r="E1513" s="21" t="str">
        <f>"1000029315"</f>
        <v>1000029315</v>
      </c>
      <c r="F1513" s="21" t="str">
        <f>"INK CART: HP Item# CB327FN-HEW, #98/#95 Black/Tricolor Combo Pack (#98 Ylds 400 Pgs) (#95 Ylds 330 Pgs).for Officejet 6310, Photosmart 2575 Series/ C4180/ 8050/ D5069/ D5160, Deskjet 5940 Series, Officejet 100/ H470, Mobile Printer-L411a."</f>
        <v>INK CART: HP Item# CB327FN-HEW, #98/#95 Black/Tricolor Combo Pack (#98 Ylds 400 Pgs) (#95 Ylds 330 Pgs).for Officejet 6310, Photosmart 2575 Series/ C4180/ 8050/ D5069/ D5160, Deskjet 5940 Series, Officejet 100/ H470, Mobile Printer-L411a.</v>
      </c>
      <c r="G1513" s="22" t="str">
        <f t="shared" si="115"/>
        <v>EA</v>
      </c>
      <c r="H1513" s="23">
        <v>52.99</v>
      </c>
      <c r="I1513" s="21" t="str">
        <f t="shared" si="116"/>
        <v>44103105</v>
      </c>
      <c r="J1513" s="25" t="s">
        <v>98</v>
      </c>
    </row>
    <row r="1514" spans="1:10" ht="51.75">
      <c r="A1514" s="9" t="s">
        <v>27</v>
      </c>
      <c r="B1514" s="2" t="s">
        <v>31</v>
      </c>
      <c r="C1514" s="2">
        <v>3204</v>
      </c>
      <c r="D1514" s="2">
        <v>1053</v>
      </c>
      <c r="E1514" s="2" t="str">
        <f>"1000029314"</f>
        <v>1000029314</v>
      </c>
      <c r="F1514" s="2" t="str">
        <f>"INK CART: HP Item# CB325WN-HEW, HP #564XL Yellow Ink High Capacity (Yld 750 pages) For use with: HP PhotoSmart C6300, D5460, D7560, B8550 &amp; B8850 Printers."</f>
        <v>INK CART: HP Item# CB325WN-HEW, HP #564XL Yellow Ink High Capacity (Yld 750 pages) For use with: HP PhotoSmart C6300, D5460, D7560, B8550 &amp; B8850 Printers.</v>
      </c>
      <c r="G1514" s="3" t="str">
        <f t="shared" si="115"/>
        <v>EA</v>
      </c>
      <c r="H1514" s="7">
        <v>19.989999999999998</v>
      </c>
      <c r="I1514" s="2" t="str">
        <f t="shared" si="116"/>
        <v>44103105</v>
      </c>
      <c r="J1514" s="10" t="s">
        <v>98</v>
      </c>
    </row>
    <row r="1515" spans="1:10" ht="51.75">
      <c r="A1515" s="24" t="s">
        <v>27</v>
      </c>
      <c r="B1515" s="21" t="s">
        <v>31</v>
      </c>
      <c r="C1515" s="21">
        <v>3204</v>
      </c>
      <c r="D1515" s="21">
        <v>1054</v>
      </c>
      <c r="E1515" s="21" t="str">
        <f>"1000029313"</f>
        <v>1000029313</v>
      </c>
      <c r="F1515" s="21" t="str">
        <f>"INK CART: HP Item# CB324WN-HEW, HP #564XL Magenta Ink High Capacity (Yld 750 pages) For use with: HP PhotoSmart C6300, D5460, D7560, B8550 &amp; B8850 Printers."</f>
        <v>INK CART: HP Item# CB324WN-HEW, HP #564XL Magenta Ink High Capacity (Yld 750 pages) For use with: HP PhotoSmart C6300, D5460, D7560, B8550 &amp; B8850 Printers.</v>
      </c>
      <c r="G1515" s="22" t="str">
        <f t="shared" si="115"/>
        <v>EA</v>
      </c>
      <c r="H1515" s="23">
        <v>19.989999999999998</v>
      </c>
      <c r="I1515" s="21" t="str">
        <f t="shared" si="116"/>
        <v>44103105</v>
      </c>
      <c r="J1515" s="25" t="s">
        <v>98</v>
      </c>
    </row>
    <row r="1516" spans="1:10" ht="51.75">
      <c r="A1516" s="9" t="s">
        <v>27</v>
      </c>
      <c r="B1516" s="2" t="s">
        <v>31</v>
      </c>
      <c r="C1516" s="2">
        <v>3204</v>
      </c>
      <c r="D1516" s="2">
        <v>1055</v>
      </c>
      <c r="E1516" s="2" t="str">
        <f>"1000029312"</f>
        <v>1000029312</v>
      </c>
      <c r="F1516" s="2" t="str">
        <f>"INK CART: HP Item# CB323WN-HEW, HP #564XL Cyan Ink High Capacity (Yld 750 pages) For use with: HP PhotoSmart C6300, D5460, D7560, B8550 &amp; B8850 Printers."</f>
        <v>INK CART: HP Item# CB323WN-HEW, HP #564XL Cyan Ink High Capacity (Yld 750 pages) For use with: HP PhotoSmart C6300, D5460, D7560, B8550 &amp; B8850 Printers.</v>
      </c>
      <c r="G1516" s="3" t="str">
        <f t="shared" si="115"/>
        <v>EA</v>
      </c>
      <c r="H1516" s="7">
        <v>19.989999999999998</v>
      </c>
      <c r="I1516" s="2" t="str">
        <f t="shared" si="116"/>
        <v>44103105</v>
      </c>
      <c r="J1516" s="10" t="s">
        <v>98</v>
      </c>
    </row>
    <row r="1517" spans="1:10" ht="51.75">
      <c r="A1517" s="24" t="s">
        <v>27</v>
      </c>
      <c r="B1517" s="21" t="s">
        <v>31</v>
      </c>
      <c r="C1517" s="21">
        <v>3204</v>
      </c>
      <c r="D1517" s="21">
        <v>1056</v>
      </c>
      <c r="E1517" s="21" t="str">
        <f>"1000029311"</f>
        <v>1000029311</v>
      </c>
      <c r="F1517" s="21" t="str">
        <f>"INK CART: HP Item# CB322WN-HEW, HP #564XL Photo Black High Capacity (Yld 290 pages) For use with: HP PhotoSmart C5380 / C6380 / D5460 / D7560 inkjet printers"</f>
        <v>INK CART: HP Item# CB322WN-HEW, HP #564XL Photo Black High Capacity (Yld 290 pages) For use with: HP PhotoSmart C5380 / C6380 / D5460 / D7560 inkjet printers</v>
      </c>
      <c r="G1517" s="22" t="str">
        <f t="shared" si="115"/>
        <v>EA</v>
      </c>
      <c r="H1517" s="23">
        <v>19.989999999999998</v>
      </c>
      <c r="I1517" s="21" t="str">
        <f t="shared" si="116"/>
        <v>44103105</v>
      </c>
      <c r="J1517" s="25" t="s">
        <v>98</v>
      </c>
    </row>
    <row r="1518" spans="1:10" ht="64.5">
      <c r="A1518" s="9" t="s">
        <v>27</v>
      </c>
      <c r="B1518" s="2" t="s">
        <v>31</v>
      </c>
      <c r="C1518" s="2">
        <v>3204</v>
      </c>
      <c r="D1518" s="2">
        <v>1057</v>
      </c>
      <c r="E1518" s="2" t="str">
        <f>"1000029310"</f>
        <v>1000029310</v>
      </c>
      <c r="F1518" s="2" t="str">
        <f>"INK: HP Item# CB320WN-HEW, HP #564 Yellow Ink Cartridge (Yld 300 pages) For use with: Photosmart C6350, C6380, Photosmart Premium; Photosmart D5445, D5460, D7560, Photosmart Pro B8550."</f>
        <v>INK: HP Item# CB320WN-HEW, HP #564 Yellow Ink Cartridge (Yld 300 pages) For use with: Photosmart C6350, C6380, Photosmart Premium; Photosmart D5445, D5460, D7560, Photosmart Pro B8550.</v>
      </c>
      <c r="G1518" s="3" t="str">
        <f t="shared" si="115"/>
        <v>EA</v>
      </c>
      <c r="H1518" s="7">
        <v>10.99</v>
      </c>
      <c r="I1518" s="2" t="str">
        <f t="shared" si="116"/>
        <v>44103105</v>
      </c>
      <c r="J1518" s="10" t="s">
        <v>98</v>
      </c>
    </row>
    <row r="1519" spans="1:10" ht="64.5">
      <c r="A1519" s="24" t="s">
        <v>27</v>
      </c>
      <c r="B1519" s="21" t="s">
        <v>31</v>
      </c>
      <c r="C1519" s="21">
        <v>3204</v>
      </c>
      <c r="D1519" s="21">
        <v>1058</v>
      </c>
      <c r="E1519" s="21" t="str">
        <f>"1000029308"</f>
        <v>1000029308</v>
      </c>
      <c r="F1519" s="21" t="str">
        <f>"INK CART:HP Item# CN056AN-HEW, High Yield yellow #933XL ink cartridge for the OfficeJet 6100 ePrinter, OfficeJet 6600 Premium &amp; OfficeJet 6700 Premium e-All-in-one (Ylds 825 pgs)"</f>
        <v>INK CART:HP Item# CN056AN-HEW, High Yield yellow #933XL ink cartridge for the OfficeJet 6100 ePrinter, OfficeJet 6600 Premium &amp; OfficeJet 6700 Premium e-All-in-one (Ylds 825 pgs)</v>
      </c>
      <c r="G1519" s="22" t="str">
        <f t="shared" si="115"/>
        <v>EA</v>
      </c>
      <c r="H1519" s="23">
        <v>18</v>
      </c>
      <c r="I1519" s="21" t="str">
        <f t="shared" si="116"/>
        <v>44103105</v>
      </c>
      <c r="J1519" s="25" t="s">
        <v>98</v>
      </c>
    </row>
    <row r="1520" spans="1:10" ht="64.5">
      <c r="A1520" s="9" t="s">
        <v>27</v>
      </c>
      <c r="B1520" s="2" t="s">
        <v>31</v>
      </c>
      <c r="C1520" s="2">
        <v>3204</v>
      </c>
      <c r="D1520" s="2">
        <v>1059</v>
      </c>
      <c r="E1520" s="2" t="str">
        <f>"1000029307"</f>
        <v>1000029307</v>
      </c>
      <c r="F1520" s="2" t="str">
        <f>"INK CART:HP Item# CN055AN-HEW, High Yield magenta #933XL ink cartridge for the OfficeJet 6100 ePrinter, OfficeJet 6600 Premium &amp; OfficeJet 6700 Premium e-All-in-one (Ylds 825 pgs)"</f>
        <v>INK CART:HP Item# CN055AN-HEW, High Yield magenta #933XL ink cartridge for the OfficeJet 6100 ePrinter, OfficeJet 6600 Premium &amp; OfficeJet 6700 Premium e-All-in-one (Ylds 825 pgs)</v>
      </c>
      <c r="G1520" s="3" t="str">
        <f t="shared" si="115"/>
        <v>EA</v>
      </c>
      <c r="H1520" s="7">
        <v>18</v>
      </c>
      <c r="I1520" s="2" t="str">
        <f t="shared" si="116"/>
        <v>44103105</v>
      </c>
      <c r="J1520" s="10" t="s">
        <v>98</v>
      </c>
    </row>
    <row r="1521" spans="1:10" ht="64.5">
      <c r="A1521" s="24" t="s">
        <v>27</v>
      </c>
      <c r="B1521" s="21" t="s">
        <v>31</v>
      </c>
      <c r="C1521" s="21">
        <v>3204</v>
      </c>
      <c r="D1521" s="21">
        <v>1060</v>
      </c>
      <c r="E1521" s="21" t="str">
        <f>"1000029306"</f>
        <v>1000029306</v>
      </c>
      <c r="F1521" s="21" t="str">
        <f>"INK CART:HP Item# CN054AN-HEW, High Yield Cyan #933XL ink cartridge for the OfficeJet 6100 ePrinter, OfficeJet 6600 Premium &amp; OfficeJet 6700 Premium e-All-in-one (Ylds 825 pgs)"</f>
        <v>INK CART:HP Item# CN054AN-HEW, High Yield Cyan #933XL ink cartridge for the OfficeJet 6100 ePrinter, OfficeJet 6600 Premium &amp; OfficeJet 6700 Premium e-All-in-one (Ylds 825 pgs)</v>
      </c>
      <c r="G1521" s="22" t="str">
        <f t="shared" si="115"/>
        <v>EA</v>
      </c>
      <c r="H1521" s="23">
        <v>18</v>
      </c>
      <c r="I1521" s="21" t="str">
        <f t="shared" si="116"/>
        <v>44103105</v>
      </c>
      <c r="J1521" s="25" t="s">
        <v>98</v>
      </c>
    </row>
    <row r="1522" spans="1:10" ht="64.5">
      <c r="A1522" s="9" t="s">
        <v>27</v>
      </c>
      <c r="B1522" s="2" t="s">
        <v>31</v>
      </c>
      <c r="C1522" s="2">
        <v>3204</v>
      </c>
      <c r="D1522" s="2">
        <v>1061</v>
      </c>
      <c r="E1522" s="2" t="str">
        <f>"1000029305"</f>
        <v>1000029305</v>
      </c>
      <c r="F1522" s="2" t="str">
        <f>"INK CART:HP Item# CN053AN-HEW, High Yield Black #932XL ink cartridge for the OfficeJet 6100 ePrinter, OfficeJet 6600 Premium &amp; OfficeJet 6700 Premium e-All-in-one (Ylds 1,000 pgs)"</f>
        <v>INK CART:HP Item# CN053AN-HEW, High Yield Black #932XL ink cartridge for the OfficeJet 6100 ePrinter, OfficeJet 6600 Premium &amp; OfficeJet 6700 Premium e-All-in-one (Ylds 1,000 pgs)</v>
      </c>
      <c r="G1522" s="3" t="str">
        <f t="shared" si="115"/>
        <v>EA</v>
      </c>
      <c r="H1522" s="7">
        <v>31</v>
      </c>
      <c r="I1522" s="2" t="str">
        <f t="shared" si="116"/>
        <v>44103105</v>
      </c>
      <c r="J1522" s="10" t="s">
        <v>98</v>
      </c>
    </row>
    <row r="1523" spans="1:10" ht="51.75">
      <c r="A1523" s="24" t="s">
        <v>27</v>
      </c>
      <c r="B1523" s="21" t="s">
        <v>31</v>
      </c>
      <c r="C1523" s="21">
        <v>3204</v>
      </c>
      <c r="D1523" s="21">
        <v>1062</v>
      </c>
      <c r="E1523" s="21" t="str">
        <f>"1000029302"</f>
        <v>1000029302</v>
      </c>
      <c r="F1523" s="21" t="str">
        <f>"INK CART:HEW Item # CH636AN-HEW, HP #920 Yellow ink (Yld 300) for the HP Officejet 6500 Wireless All-in-One and Officejet 6500 All-in-One Printers"</f>
        <v>INK CART:HEW Item # CH636AN-HEW, HP #920 Yellow ink (Yld 300) for the HP Officejet 6500 Wireless All-in-One and Officejet 6500 All-in-One Printers</v>
      </c>
      <c r="G1523" s="22" t="str">
        <f t="shared" si="115"/>
        <v>EA</v>
      </c>
      <c r="H1523" s="23">
        <v>11</v>
      </c>
      <c r="I1523" s="21" t="str">
        <f t="shared" si="116"/>
        <v>44103105</v>
      </c>
      <c r="J1523" s="25" t="s">
        <v>98</v>
      </c>
    </row>
    <row r="1524" spans="1:10" ht="51.75">
      <c r="A1524" s="9" t="s">
        <v>27</v>
      </c>
      <c r="B1524" s="2" t="s">
        <v>31</v>
      </c>
      <c r="C1524" s="2">
        <v>3204</v>
      </c>
      <c r="D1524" s="2">
        <v>1063</v>
      </c>
      <c r="E1524" s="2" t="str">
        <f>"1000029301"</f>
        <v>1000029301</v>
      </c>
      <c r="F1524" s="2" t="str">
        <f>"INK CART:HEW Item # CH635AN-HEW, HP #920 Magenta ink (Yld 300) for the HP Officejet 6500 Wireless All-in-One and Officejet 6500 All-in-One Printers"</f>
        <v>INK CART:HEW Item # CH635AN-HEW, HP #920 Magenta ink (Yld 300) for the HP Officejet 6500 Wireless All-in-One and Officejet 6500 All-in-One Printers</v>
      </c>
      <c r="G1524" s="3" t="str">
        <f t="shared" si="115"/>
        <v>EA</v>
      </c>
      <c r="H1524" s="7">
        <v>11</v>
      </c>
      <c r="I1524" s="2" t="str">
        <f t="shared" si="116"/>
        <v>44103105</v>
      </c>
      <c r="J1524" s="10" t="s">
        <v>98</v>
      </c>
    </row>
    <row r="1525" spans="1:10" ht="51.75">
      <c r="A1525" s="24" t="s">
        <v>27</v>
      </c>
      <c r="B1525" s="21" t="s">
        <v>31</v>
      </c>
      <c r="C1525" s="21">
        <v>3204</v>
      </c>
      <c r="D1525" s="21">
        <v>1064</v>
      </c>
      <c r="E1525" s="21" t="str">
        <f>"1000029300"</f>
        <v>1000029300</v>
      </c>
      <c r="F1525" s="21" t="str">
        <f>"INK CART:HEW Item # CH634AN-HEW, HP #920 Cyan ink (Yld 300) for the HP Officejet 6500 Wireless All-in-One and Officejet 6500 All-in-One Printers"</f>
        <v>INK CART:HEW Item # CH634AN-HEW, HP #920 Cyan ink (Yld 300) for the HP Officejet 6500 Wireless All-in-One and Officejet 6500 All-in-One Printers</v>
      </c>
      <c r="G1525" s="22" t="str">
        <f t="shared" si="115"/>
        <v>EA</v>
      </c>
      <c r="H1525" s="23">
        <v>11</v>
      </c>
      <c r="I1525" s="21" t="str">
        <f t="shared" si="116"/>
        <v>44103105</v>
      </c>
      <c r="J1525" s="25" t="s">
        <v>98</v>
      </c>
    </row>
    <row r="1526" spans="1:10" ht="39">
      <c r="A1526" s="9" t="s">
        <v>27</v>
      </c>
      <c r="B1526" s="2" t="s">
        <v>31</v>
      </c>
      <c r="C1526" s="2">
        <v>3204</v>
      </c>
      <c r="D1526" s="2">
        <v>1065</v>
      </c>
      <c r="E1526" s="2" t="str">
        <f>"1000029299"</f>
        <v>1000029299</v>
      </c>
      <c r="F1526" s="2" t="str">
        <f>"INK CART:HEW Item # CH564WN-HEW, HP #61XL Tricolor ink (Yld 330) for Deskjet 1050, 2050, 3050, 1000 series, 3000 series."</f>
        <v>INK CART:HEW Item # CH564WN-HEW, HP #61XL Tricolor ink (Yld 330) for Deskjet 1050, 2050, 3050, 1000 series, 3000 series.</v>
      </c>
      <c r="G1526" s="3" t="str">
        <f t="shared" ref="G1526:G1547" si="117">"EA"</f>
        <v>EA</v>
      </c>
      <c r="H1526" s="7">
        <v>31.99</v>
      </c>
      <c r="I1526" s="2" t="str">
        <f t="shared" si="116"/>
        <v>44103105</v>
      </c>
      <c r="J1526" s="10" t="s">
        <v>98</v>
      </c>
    </row>
    <row r="1527" spans="1:10" ht="39">
      <c r="A1527" s="24" t="s">
        <v>27</v>
      </c>
      <c r="B1527" s="21" t="s">
        <v>31</v>
      </c>
      <c r="C1527" s="21">
        <v>3204</v>
      </c>
      <c r="D1527" s="21">
        <v>1066</v>
      </c>
      <c r="E1527" s="21" t="str">
        <f>"1000029298"</f>
        <v>1000029298</v>
      </c>
      <c r="F1527" s="21" t="str">
        <f>"INK: HP ITEM#CH563WN-HEW, Black #61XL ink cartridge (Yld 330) for HP 1000, 1050, 2050, 3000, and 3050 deskjet printers."</f>
        <v>INK: HP ITEM#CH563WN-HEW, Black #61XL ink cartridge (Yld 330) for HP 1000, 1050, 2050, 3000, and 3050 deskjet printers.</v>
      </c>
      <c r="G1527" s="22" t="str">
        <f t="shared" si="117"/>
        <v>EA</v>
      </c>
      <c r="H1527" s="23">
        <v>29.99</v>
      </c>
      <c r="I1527" s="21" t="str">
        <f t="shared" si="116"/>
        <v>44103105</v>
      </c>
      <c r="J1527" s="25" t="s">
        <v>98</v>
      </c>
    </row>
    <row r="1528" spans="1:10" ht="39">
      <c r="A1528" s="24" t="s">
        <v>27</v>
      </c>
      <c r="B1528" s="21" t="s">
        <v>31</v>
      </c>
      <c r="C1528" s="21">
        <v>3204</v>
      </c>
      <c r="D1528" s="21">
        <v>1067</v>
      </c>
      <c r="E1528" s="21" t="str">
        <f>"1000029326"</f>
        <v>1000029326</v>
      </c>
      <c r="F1528" s="21" t="str">
        <f>"DRUM: LEX Item #C540X74G-LEX, Black/color imaging drum kit (Yld 30k) for C540, C543, C544, X543, X544 series color printers."</f>
        <v>DRUM: LEX Item #C540X74G-LEX, Black/color imaging drum kit (Yld 30k) for C540, C543, C544, X543, X544 series color printers.</v>
      </c>
      <c r="G1528" s="22" t="str">
        <f t="shared" si="117"/>
        <v>EA</v>
      </c>
      <c r="H1528" s="23">
        <v>283.99</v>
      </c>
      <c r="I1528" s="21" t="str">
        <f>"44103109"</f>
        <v>44103109</v>
      </c>
      <c r="J1528" s="25" t="s">
        <v>94</v>
      </c>
    </row>
    <row r="1529" spans="1:10" ht="39">
      <c r="A1529" s="24" t="s">
        <v>27</v>
      </c>
      <c r="B1529" s="21" t="s">
        <v>31</v>
      </c>
      <c r="C1529" s="21">
        <v>3204</v>
      </c>
      <c r="D1529" s="21">
        <v>1068</v>
      </c>
      <c r="E1529" s="21" t="str">
        <f>"1000029304"</f>
        <v>1000029304</v>
      </c>
      <c r="F1529" s="21" t="str">
        <f>"PRINTHEAD: HEW Item # C4901A-HEW, HP #940 cyan/magenta printhead for Officejet 940 inkjet printers."</f>
        <v>PRINTHEAD: HEW Item # C4901A-HEW, HP #940 cyan/magenta printhead for Officejet 940 inkjet printers.</v>
      </c>
      <c r="G1529" s="22" t="str">
        <f t="shared" si="117"/>
        <v>EA</v>
      </c>
      <c r="H1529" s="23">
        <v>64.989999999999995</v>
      </c>
      <c r="I1529" s="21" t="str">
        <f>"44103110"</f>
        <v>44103110</v>
      </c>
      <c r="J1529" s="25" t="s">
        <v>102</v>
      </c>
    </row>
    <row r="1530" spans="1:10" ht="39">
      <c r="A1530" s="9" t="s">
        <v>27</v>
      </c>
      <c r="B1530" s="2" t="s">
        <v>31</v>
      </c>
      <c r="C1530" s="2">
        <v>3204</v>
      </c>
      <c r="D1530" s="2">
        <v>1069</v>
      </c>
      <c r="E1530" s="2" t="str">
        <f>"1000029322"</f>
        <v>1000029322</v>
      </c>
      <c r="F1530" s="2" t="str">
        <f>"INK:HP Item# CH562WN-HEW, Tri-color #61 inkjet cartridge (Yld 165) for Deskjet 1050, 2050 &amp; 3050 printers."</f>
        <v>INK:HP Item# CH562WN-HEW, Tri-color #61 inkjet cartridge (Yld 165) for Deskjet 1050, 2050 &amp; 3050 printers.</v>
      </c>
      <c r="G1530" s="3" t="str">
        <f t="shared" si="117"/>
        <v>EA</v>
      </c>
      <c r="H1530" s="7">
        <v>20.99</v>
      </c>
      <c r="I1530" s="2" t="str">
        <f>"44103105"</f>
        <v>44103105</v>
      </c>
      <c r="J1530" s="10" t="s">
        <v>98</v>
      </c>
    </row>
    <row r="1531" spans="1:10" ht="39">
      <c r="A1531" s="24" t="s">
        <v>27</v>
      </c>
      <c r="B1531" s="21" t="s">
        <v>31</v>
      </c>
      <c r="C1531" s="21">
        <v>3204</v>
      </c>
      <c r="D1531" s="21">
        <v>1072</v>
      </c>
      <c r="E1531" s="21" t="str">
        <f>"1000029321"</f>
        <v>1000029321</v>
      </c>
      <c r="F1531" s="21" t="str">
        <f>"INK: HP Item# CH561WN-HEW, Black #61 ink cartridge (Yld 190) for HP 1000, 1050, 2050, 3000, and 3050 deskjet printers."</f>
        <v>INK: HP Item# CH561WN-HEW, Black #61 ink cartridge (Yld 190) for HP 1000, 1050, 2050, 3000, and 3050 deskjet printers.</v>
      </c>
      <c r="G1531" s="22" t="str">
        <f t="shared" si="117"/>
        <v>EA</v>
      </c>
      <c r="H1531" s="23">
        <v>14.99</v>
      </c>
      <c r="I1531" s="21" t="str">
        <f>"44103105"</f>
        <v>44103105</v>
      </c>
      <c r="J1531" s="25" t="s">
        <v>98</v>
      </c>
    </row>
    <row r="1532" spans="1:10" ht="39">
      <c r="A1532" s="9" t="s">
        <v>27</v>
      </c>
      <c r="B1532" s="2" t="s">
        <v>31</v>
      </c>
      <c r="C1532" s="2">
        <v>3204</v>
      </c>
      <c r="D1532" s="2">
        <v>1073</v>
      </c>
      <c r="E1532" s="2" t="str">
        <f>"1000029303"</f>
        <v>1000029303</v>
      </c>
      <c r="F1532" s="2" t="str">
        <f>"PRINTHEAD: HEW Item # C4900A-HEW, HP #940 black/yellow printhead for Officejet 940 inkjet printers."</f>
        <v>PRINTHEAD: HEW Item # C4900A-HEW, HP #940 black/yellow printhead for Officejet 940 inkjet printers.</v>
      </c>
      <c r="G1532" s="3" t="str">
        <f t="shared" si="117"/>
        <v>EA</v>
      </c>
      <c r="H1532" s="7">
        <v>64.989999999999995</v>
      </c>
      <c r="I1532" s="2" t="str">
        <f>"44103110"</f>
        <v>44103110</v>
      </c>
      <c r="J1532" s="10" t="s">
        <v>102</v>
      </c>
    </row>
    <row r="1533" spans="1:10" ht="77.25">
      <c r="A1533" s="9" t="s">
        <v>27</v>
      </c>
      <c r="B1533" s="2" t="s">
        <v>29</v>
      </c>
      <c r="C1533" s="2">
        <v>3205</v>
      </c>
      <c r="D1533" s="2">
        <v>1</v>
      </c>
      <c r="E1533" s="2" t="str">
        <f>"1000002918"</f>
        <v>1000002918</v>
      </c>
      <c r="F1533" s="2" t="str">
        <f>"CHAIR:Ergo Model 8600-H1-up back supp/combo 2-way~Ergonomic Model 8600 - H1, Upper back support is combined with a 2-way adjustabe headrest w/Tempu-Pedic memory foam. Inflatable lumbar &amp; variety of seat styles. Medium Seat, Moderate Contour."</f>
        <v>CHAIR:Ergo Model 8600-H1-up back supp/combo 2-way~Ergonomic Model 8600 - H1, Upper back support is combined with a 2-way adjustabe headrest w/Tempu-Pedic memory foam. Inflatable lumbar &amp; variety of seat styles. Medium Seat, Moderate Contour.</v>
      </c>
      <c r="G1533" s="3" t="str">
        <f t="shared" si="117"/>
        <v>EA</v>
      </c>
      <c r="H1533" s="7">
        <v>851.55</v>
      </c>
      <c r="I1533" s="2" t="str">
        <f t="shared" ref="I1533:I1539" si="118">"56101504"</f>
        <v>56101504</v>
      </c>
      <c r="J1533" s="10" t="s">
        <v>89</v>
      </c>
    </row>
    <row r="1534" spans="1:10" ht="64.5">
      <c r="A1534" s="24" t="s">
        <v>27</v>
      </c>
      <c r="B1534" s="21" t="s">
        <v>29</v>
      </c>
      <c r="C1534" s="21">
        <v>3205</v>
      </c>
      <c r="D1534" s="21">
        <v>2</v>
      </c>
      <c r="E1534" s="21" t="str">
        <f>"1000003739"</f>
        <v>1000003739</v>
      </c>
      <c r="F1534" s="21" t="str">
        <f>"CHAIR:Ergo Model 8500 - H1, max comf-maxsupp relieve stressMed seat~Ergonomic Model 8500 - H1, Promotes maximum comfort, maximum support to relieve stress. Medium Seat, Minimal Contour."</f>
        <v>CHAIR:Ergo Model 8500 - H1, max comf-maxsupp relieve stressMed seat~Ergonomic Model 8500 - H1, Promotes maximum comfort, maximum support to relieve stress. Medium Seat, Minimal Contour.</v>
      </c>
      <c r="G1534" s="22" t="str">
        <f t="shared" si="117"/>
        <v>EA</v>
      </c>
      <c r="H1534" s="23">
        <v>822.54</v>
      </c>
      <c r="I1534" s="21" t="str">
        <f t="shared" si="118"/>
        <v>56101504</v>
      </c>
      <c r="J1534" s="25" t="s">
        <v>89</v>
      </c>
    </row>
    <row r="1535" spans="1:10" ht="77.25">
      <c r="A1535" s="9" t="s">
        <v>27</v>
      </c>
      <c r="B1535" s="2" t="s">
        <v>29</v>
      </c>
      <c r="C1535" s="2">
        <v>3205</v>
      </c>
      <c r="D1535" s="2">
        <v>3</v>
      </c>
      <c r="E1535" s="2" t="str">
        <f>"1000004504"</f>
        <v>1000004504</v>
      </c>
      <c r="F1535" s="2" t="str">
        <f>"CHAIR:Neutral Post Ergonomic 8600 series-17-19, seat width 23,~Neutral Posture Ergonomic 8600 series-Contoured high back w/ adjustable back height &amp; angle, adjsutable seat height, medium seat, minimal contour, seat dept 17-19, seat width 23, adjustable a"</f>
        <v>CHAIR:Neutral Post Ergonomic 8600 series-17-19, seat width 23,~Neutral Posture Ergonomic 8600 series-Contoured high back w/ adjustable back height &amp; angle, adjsutable seat height, medium seat, minimal contour, seat dept 17-19, seat width 23, adjustable a</v>
      </c>
      <c r="G1535" s="3" t="str">
        <f t="shared" si="117"/>
        <v>EA</v>
      </c>
      <c r="H1535" s="7">
        <v>726.6</v>
      </c>
      <c r="I1535" s="2" t="str">
        <f t="shared" si="118"/>
        <v>56101504</v>
      </c>
      <c r="J1535" s="10" t="s">
        <v>89</v>
      </c>
    </row>
    <row r="1536" spans="1:10" ht="77.25">
      <c r="A1536" s="24" t="s">
        <v>27</v>
      </c>
      <c r="B1536" s="21" t="s">
        <v>29</v>
      </c>
      <c r="C1536" s="21">
        <v>3205</v>
      </c>
      <c r="D1536" s="21">
        <v>4</v>
      </c>
      <c r="E1536" s="21" t="str">
        <f>"1000002547"</f>
        <v>1000002547</v>
      </c>
      <c r="F1536" s="21" t="str">
        <f>"CHAIR:Ergo 8500 Series- Contour hi back/adj bk ht/angle~Neutral Posture Ergonomic 8500 Series- Contoured high back, adjustable back height &amp; angle, adjustable seat height, medium seat, moderate contour, seat depth 16-18, seat width 21, adjustable arm hei"</f>
        <v>CHAIR:Ergo 8500 Series- Contour hi back/adj bk ht/angle~Neutral Posture Ergonomic 8500 Series- Contoured high back, adjustable back height &amp; angle, adjustable seat height, medium seat, moderate contour, seat depth 16-18, seat width 21, adjustable arm hei</v>
      </c>
      <c r="G1536" s="22" t="str">
        <f t="shared" si="117"/>
        <v>EA</v>
      </c>
      <c r="H1536" s="23">
        <v>697.59</v>
      </c>
      <c r="I1536" s="21" t="str">
        <f t="shared" si="118"/>
        <v>56101504</v>
      </c>
      <c r="J1536" s="25" t="s">
        <v>89</v>
      </c>
    </row>
    <row r="1537" spans="1:10" ht="77.25">
      <c r="A1537" s="9" t="s">
        <v>27</v>
      </c>
      <c r="B1537" s="2" t="s">
        <v>29</v>
      </c>
      <c r="C1537" s="2">
        <v>3205</v>
      </c>
      <c r="D1537" s="2">
        <v>5</v>
      </c>
      <c r="E1537" s="2" t="str">
        <f>"1000002523"</f>
        <v>1000002523</v>
      </c>
      <c r="F1537" s="2" t="str">
        <f>"CHAIR:Ergo 5600 Series- Mid back-adj bac/ht/angle~Neutral Posture Ergonomic 5600 Series- Mid back, adjustable back height &amp; angle, adjustable seat height, medium seat, moderate contour, seat depth 17-19, seat width 23, adjustable arm height w/ 360 degree"</f>
        <v>CHAIR:Ergo 5600 Series- Mid back-adj bac/ht/angle~Neutral Posture Ergonomic 5600 Series- Mid back, adjustable back height &amp; angle, adjustable seat height, medium seat, moderate contour, seat depth 17-19, seat width 23, adjustable arm height w/ 360 degree</v>
      </c>
      <c r="G1537" s="3" t="str">
        <f t="shared" si="117"/>
        <v>EA</v>
      </c>
      <c r="H1537" s="7">
        <v>668.59</v>
      </c>
      <c r="I1537" s="2" t="str">
        <f t="shared" si="118"/>
        <v>56101504</v>
      </c>
      <c r="J1537" s="10" t="s">
        <v>89</v>
      </c>
    </row>
    <row r="1538" spans="1:10" ht="77.25">
      <c r="A1538" s="24" t="s">
        <v>27</v>
      </c>
      <c r="B1538" s="21" t="s">
        <v>29</v>
      </c>
      <c r="C1538" s="21">
        <v>3205</v>
      </c>
      <c r="D1538" s="21">
        <v>6</v>
      </c>
      <c r="E1538" s="21" t="str">
        <f>"1000003713"</f>
        <v>1000003713</v>
      </c>
      <c r="F1538" s="21" t="str">
        <f>"CHAIR:Ergo 5500 Series- Mid back-adj bac/ht/angle~Neutral Posture Ergonomic 5500 Series- Mid back, adjustable back height &amp; angle, adjustable seat height, medium seat, minimal contour, seat depth 16-18, seat width 21, adjustable arm height w/ 360 degree"</f>
        <v>CHAIR:Ergo 5500 Series- Mid back-adj bac/ht/angle~Neutral Posture Ergonomic 5500 Series- Mid back, adjustable back height &amp; angle, adjustable seat height, medium seat, minimal contour, seat depth 16-18, seat width 21, adjustable arm height w/ 360 degree</v>
      </c>
      <c r="G1538" s="22" t="str">
        <f t="shared" si="117"/>
        <v>EA</v>
      </c>
      <c r="H1538" s="23">
        <v>639.57000000000005</v>
      </c>
      <c r="I1538" s="21" t="str">
        <f t="shared" si="118"/>
        <v>56101504</v>
      </c>
      <c r="J1538" s="25" t="s">
        <v>89</v>
      </c>
    </row>
    <row r="1539" spans="1:10" ht="77.25">
      <c r="A1539" s="9" t="s">
        <v>27</v>
      </c>
      <c r="B1539" s="2" t="s">
        <v>29</v>
      </c>
      <c r="C1539" s="2">
        <v>3205</v>
      </c>
      <c r="D1539" s="2">
        <v>7</v>
      </c>
      <c r="E1539" s="2" t="str">
        <f>"1000002838"</f>
        <v>1000002838</v>
      </c>
      <c r="F1539" s="2" t="str">
        <f>"CHAIR:Neutral Posture Ergonomic 5400 Series- Mid back, adjustable back height &amp; angle, adjustable seat height, small seat, minimal contour, seat depth 15-17, seat width 20, adjustable arm height w/ 360 degree arm pad rotation, inflatable lumbar."</f>
        <v>CHAIR:Neutral Posture Ergonomic 5400 Series- Mid back, adjustable back height &amp; angle, adjustable seat height, small seat, minimal contour, seat depth 15-17, seat width 20, adjustable arm height w/ 360 degree arm pad rotation, inflatable lumbar.</v>
      </c>
      <c r="G1539" s="3" t="str">
        <f t="shared" si="117"/>
        <v>EA</v>
      </c>
      <c r="H1539" s="7">
        <v>708.6</v>
      </c>
      <c r="I1539" s="2" t="str">
        <f t="shared" si="118"/>
        <v>56101504</v>
      </c>
      <c r="J1539" s="10" t="s">
        <v>89</v>
      </c>
    </row>
    <row r="1540" spans="1:10" ht="39">
      <c r="A1540" s="9" t="s">
        <v>27</v>
      </c>
      <c r="B1540" s="2" t="s">
        <v>29</v>
      </c>
      <c r="C1540" s="2">
        <v>3205</v>
      </c>
      <c r="D1540" s="2">
        <v>8</v>
      </c>
      <c r="E1540" s="2" t="str">
        <f>"1000022930"</f>
        <v>1000022930</v>
      </c>
      <c r="F1540" s="2" t="str">
        <f>"WALL CLOCK(Batt):12in face Blk-Quartz movement, battery operated 12 inch face 12 1/2 x 2 1/2, Black"</f>
        <v>WALL CLOCK(Batt):12in face Blk-Quartz movement, battery operated 12 inch face 12 1/2 x 2 1/2, Black</v>
      </c>
      <c r="G1540" s="3" t="str">
        <f t="shared" si="117"/>
        <v>EA</v>
      </c>
      <c r="H1540" s="7">
        <v>26.96</v>
      </c>
      <c r="I1540" s="2" t="str">
        <f t="shared" ref="I1540:I1545" si="119">"54111601"</f>
        <v>54111601</v>
      </c>
      <c r="J1540" s="10" t="s">
        <v>90</v>
      </c>
    </row>
    <row r="1541" spans="1:10" ht="39">
      <c r="A1541" s="24" t="s">
        <v>27</v>
      </c>
      <c r="B1541" s="21" t="s">
        <v>29</v>
      </c>
      <c r="C1541" s="21">
        <v>3205</v>
      </c>
      <c r="D1541" s="21">
        <v>9</v>
      </c>
      <c r="E1541" s="21" t="str">
        <f>"1000022931"</f>
        <v>1000022931</v>
      </c>
      <c r="F1541" s="21" t="str">
        <f>"WALL CLOCK(Batt):12in face Brn-Quartz movement, battery operated 12 inch face 12 1/2 x 2 1/2, Brown"</f>
        <v>WALL CLOCK(Batt):12in face Brn-Quartz movement, battery operated 12 inch face 12 1/2 x 2 1/2, Brown</v>
      </c>
      <c r="G1541" s="22" t="str">
        <f t="shared" si="117"/>
        <v>EA</v>
      </c>
      <c r="H1541" s="23">
        <v>31</v>
      </c>
      <c r="I1541" s="21" t="str">
        <f t="shared" si="119"/>
        <v>54111601</v>
      </c>
      <c r="J1541" s="25" t="s">
        <v>90</v>
      </c>
    </row>
    <row r="1542" spans="1:10" ht="51.75">
      <c r="A1542" s="9" t="s">
        <v>27</v>
      </c>
      <c r="B1542" s="2" t="s">
        <v>29</v>
      </c>
      <c r="C1542" s="2">
        <v>3205</v>
      </c>
      <c r="D1542" s="2">
        <v>10</v>
      </c>
      <c r="E1542" s="2" t="str">
        <f>"1000022932"</f>
        <v>1000022932</v>
      </c>
      <c r="F1542" s="2" t="str">
        <f>"WALL CLOCK:OK Emblem, Wht.-Quartz movement, custom State of Oklahoma emblem in color, 12 inch face, battery operated. 13 1/2 in. x 2 1/2 in., White"</f>
        <v>WALL CLOCK:OK Emblem, Wht.-Quartz movement, custom State of Oklahoma emblem in color, 12 inch face, battery operated. 13 1/2 in. x 2 1/2 in., White</v>
      </c>
      <c r="G1542" s="3" t="str">
        <f t="shared" si="117"/>
        <v>EA</v>
      </c>
      <c r="H1542" s="7">
        <v>30.08</v>
      </c>
      <c r="I1542" s="2" t="str">
        <f t="shared" si="119"/>
        <v>54111601</v>
      </c>
      <c r="J1542" s="10" t="s">
        <v>90</v>
      </c>
    </row>
    <row r="1543" spans="1:10" ht="51.75">
      <c r="A1543" s="24" t="s">
        <v>27</v>
      </c>
      <c r="B1543" s="21" t="s">
        <v>29</v>
      </c>
      <c r="C1543" s="21">
        <v>3205</v>
      </c>
      <c r="D1543" s="21">
        <v>11</v>
      </c>
      <c r="E1543" s="21" t="str">
        <f>"1000022933"</f>
        <v>1000022933</v>
      </c>
      <c r="F1543" s="21" t="str">
        <f>"WALL CLOCK:OK Emblem, Blk-Quartz movement, custom State of Oklahoma emblem in color 12 inch face, battery operated. 13 1/2 in. x 2 1/2 in., Black"</f>
        <v>WALL CLOCK:OK Emblem, Blk-Quartz movement, custom State of Oklahoma emblem in color 12 inch face, battery operated. 13 1/2 in. x 2 1/2 in., Black</v>
      </c>
      <c r="G1543" s="22" t="str">
        <f t="shared" si="117"/>
        <v>EA</v>
      </c>
      <c r="H1543" s="23">
        <v>30.08</v>
      </c>
      <c r="I1543" s="21" t="str">
        <f t="shared" si="119"/>
        <v>54111601</v>
      </c>
      <c r="J1543" s="25" t="s">
        <v>90</v>
      </c>
    </row>
    <row r="1544" spans="1:10" ht="51.75">
      <c r="A1544" s="9" t="s">
        <v>27</v>
      </c>
      <c r="B1544" s="2" t="s">
        <v>29</v>
      </c>
      <c r="C1544" s="2">
        <v>3205</v>
      </c>
      <c r="D1544" s="2">
        <v>12</v>
      </c>
      <c r="E1544" s="2" t="str">
        <f>"1000022934"</f>
        <v>1000022934</v>
      </c>
      <c r="F1544" s="2" t="str">
        <f>"WALL CLOCK:OK Emblem, Brn.-Quartz movement, custom State of Oklahoma emblem in color, 12 inch face, battery operated. 13 1/2 in. x 2 1/2 in., Brown"</f>
        <v>WALL CLOCK:OK Emblem, Brn.-Quartz movement, custom State of Oklahoma emblem in color, 12 inch face, battery operated. 13 1/2 in. x 2 1/2 in., Brown</v>
      </c>
      <c r="G1544" s="3" t="str">
        <f t="shared" si="117"/>
        <v>EA</v>
      </c>
      <c r="H1544" s="7">
        <v>30.08</v>
      </c>
      <c r="I1544" s="2" t="str">
        <f t="shared" si="119"/>
        <v>54111601</v>
      </c>
      <c r="J1544" s="10" t="s">
        <v>90</v>
      </c>
    </row>
    <row r="1545" spans="1:10" ht="39">
      <c r="A1545" s="24" t="s">
        <v>27</v>
      </c>
      <c r="B1545" s="21" t="s">
        <v>29</v>
      </c>
      <c r="C1545" s="21">
        <v>3205</v>
      </c>
      <c r="D1545" s="21">
        <v>13</v>
      </c>
      <c r="E1545" s="21" t="str">
        <f>"1000000804"</f>
        <v>1000000804</v>
      </c>
      <c r="F1545" s="21" t="str">
        <f>"WALL CLOCK(Batt):12in face Wht-~Wall clock, quartz movement, battery operated 12 inch face 12 1/2 x 2 1/2, White."</f>
        <v>WALL CLOCK(Batt):12in face Wht-~Wall clock, quartz movement, battery operated 12 inch face 12 1/2 x 2 1/2, White.</v>
      </c>
      <c r="G1545" s="22" t="str">
        <f t="shared" si="117"/>
        <v>EA</v>
      </c>
      <c r="H1545" s="23">
        <v>31</v>
      </c>
      <c r="I1545" s="21" t="str">
        <f t="shared" si="119"/>
        <v>54111601</v>
      </c>
      <c r="J1545" s="25" t="s">
        <v>90</v>
      </c>
    </row>
    <row r="1546" spans="1:10" ht="64.5">
      <c r="A1546" s="24" t="s">
        <v>27</v>
      </c>
      <c r="B1546" s="21" t="s">
        <v>29</v>
      </c>
      <c r="C1546" s="21">
        <v>3205</v>
      </c>
      <c r="D1546" s="21">
        <v>14</v>
      </c>
      <c r="E1546" s="21" t="str">
        <f>"1000028653"</f>
        <v>1000028653</v>
      </c>
      <c r="F1546" s="21" t="str">
        <f>"CHAIR:Ergo 6930 Series Large Chair - Neutral Posture 6930 Series Large Chair, wide, high back, large seat with deep contour, over-sized 360 degree swivel arms in urethane, grade 1 fabric."</f>
        <v>CHAIR:Ergo 6930 Series Large Chair - Neutral Posture 6930 Series Large Chair, wide, high back, large seat with deep contour, over-sized 360 degree swivel arms in urethane, grade 1 fabric.</v>
      </c>
      <c r="G1546" s="22" t="str">
        <f t="shared" si="117"/>
        <v>EA</v>
      </c>
      <c r="H1546" s="23">
        <v>802.46</v>
      </c>
      <c r="I1546" s="21" t="str">
        <f>"56101504"</f>
        <v>56101504</v>
      </c>
      <c r="J1546" s="25" t="s">
        <v>89</v>
      </c>
    </row>
    <row r="1547" spans="1:10" ht="26.25">
      <c r="A1547" s="24" t="s">
        <v>27</v>
      </c>
      <c r="B1547" s="21" t="s">
        <v>17</v>
      </c>
      <c r="C1547" s="21">
        <v>3206</v>
      </c>
      <c r="D1547" s="21">
        <v>1</v>
      </c>
      <c r="E1547" s="21" t="str">
        <f>"1000002844"</f>
        <v>1000002844</v>
      </c>
      <c r="F1547" s="21" t="str">
        <f>"PEN:Correction White, Multipurpose,felt tip, ballpoint and rollerball ink."</f>
        <v>PEN:Correction White, Multipurpose,felt tip, ballpoint and rollerball ink.</v>
      </c>
      <c r="G1547" s="22" t="str">
        <f t="shared" si="117"/>
        <v>EA</v>
      </c>
      <c r="H1547" s="23">
        <v>2.77</v>
      </c>
      <c r="I1547" s="21" t="str">
        <f>"44121802"</f>
        <v>44121802</v>
      </c>
      <c r="J1547" s="25" t="s">
        <v>144</v>
      </c>
    </row>
    <row r="1548" spans="1:10" ht="64.5">
      <c r="A1548" s="9" t="s">
        <v>27</v>
      </c>
      <c r="B1548" s="2" t="s">
        <v>17</v>
      </c>
      <c r="C1548" s="2">
        <v>3206</v>
      </c>
      <c r="D1548" s="2">
        <v>2</v>
      </c>
      <c r="E1548" s="2" t="str">
        <f>"1000005302"</f>
        <v>1000005302</v>
      </c>
      <c r="F1548" s="2" t="s">
        <v>50</v>
      </c>
      <c r="G1548" s="3" t="str">
        <f>"BO"</f>
        <v>BO</v>
      </c>
      <c r="H1548" s="7">
        <v>1.26</v>
      </c>
      <c r="I1548" s="2" t="str">
        <f>"44121802"</f>
        <v>44121802</v>
      </c>
      <c r="J1548" s="10" t="s">
        <v>144</v>
      </c>
    </row>
    <row r="1549" spans="1:10" ht="26.25">
      <c r="A1549" s="9" t="s">
        <v>27</v>
      </c>
      <c r="B1549" s="2" t="s">
        <v>17</v>
      </c>
      <c r="C1549" s="2">
        <v>3206</v>
      </c>
      <c r="D1549" s="2">
        <v>3</v>
      </c>
      <c r="E1549" s="2" t="str">
        <f>"1000002405"</f>
        <v>1000002405</v>
      </c>
      <c r="F1549" s="2" t="str">
        <f>"PENCIL ERASER:Jet/Taper 1GR/BX - Jet erasers, taper tip, for pencils, 1 gross per box"</f>
        <v>PENCIL ERASER:Jet/Taper 1GR/BX - Jet erasers, taper tip, for pencils, 1 gross per box</v>
      </c>
      <c r="G1549" s="3" t="str">
        <f>"BX"</f>
        <v>BX</v>
      </c>
      <c r="H1549" s="7">
        <v>8.6999999999999993</v>
      </c>
      <c r="I1549" s="2" t="str">
        <f>"44121804"</f>
        <v>44121804</v>
      </c>
      <c r="J1549" s="10" t="s">
        <v>145</v>
      </c>
    </row>
    <row r="1550" spans="1:10" ht="26.25">
      <c r="A1550" s="9" t="s">
        <v>27</v>
      </c>
      <c r="B1550" s="2" t="s">
        <v>17</v>
      </c>
      <c r="C1550" s="2">
        <v>3206</v>
      </c>
      <c r="D1550" s="2">
        <v>4</v>
      </c>
      <c r="E1550" s="2" t="str">
        <f>"1000005085"</f>
        <v>1000005085</v>
      </c>
      <c r="F1550" s="2" t="str">
        <f>"MECHAN PENCIL:.5MM-Push action economy mode"</f>
        <v>MECHAN PENCIL:.5MM-Push action economy mode</v>
      </c>
      <c r="G1550" s="3" t="str">
        <f>"DZ"</f>
        <v>DZ</v>
      </c>
      <c r="H1550" s="7">
        <v>10</v>
      </c>
      <c r="I1550" s="2" t="str">
        <f t="shared" ref="I1550:I1558" si="120">"44121705"</f>
        <v>44121705</v>
      </c>
      <c r="J1550" s="10" t="s">
        <v>146</v>
      </c>
    </row>
    <row r="1551" spans="1:10" ht="51.75">
      <c r="A1551" s="24" t="s">
        <v>27</v>
      </c>
      <c r="B1551" s="21" t="s">
        <v>17</v>
      </c>
      <c r="C1551" s="21">
        <v>3206</v>
      </c>
      <c r="D1551" s="21">
        <v>5</v>
      </c>
      <c r="E1551" s="21" t="str">
        <f>"1000004532"</f>
        <v>1000004532</v>
      </c>
      <c r="F1551" s="21" t="str">
        <f>"MECHAN PENCIL REFILL:Push action replace lead(12 vials)/economy model~Pencils, mechanical push action Replacement lead (12 vials) for economy model"</f>
        <v>MECHAN PENCIL REFILL:Push action replace lead(12 vials)/economy model~Pencils, mechanical push action Replacement lead (12 vials) for economy model</v>
      </c>
      <c r="G1551" s="22" t="str">
        <f>"PK"</f>
        <v>PK</v>
      </c>
      <c r="H1551" s="23">
        <v>11.8</v>
      </c>
      <c r="I1551" s="21" t="str">
        <f t="shared" si="120"/>
        <v>44121705</v>
      </c>
      <c r="J1551" s="25" t="s">
        <v>146</v>
      </c>
    </row>
    <row r="1552" spans="1:10" ht="51.75">
      <c r="A1552" s="24" t="s">
        <v>27</v>
      </c>
      <c r="B1552" s="21" t="s">
        <v>17</v>
      </c>
      <c r="C1552" s="21">
        <v>3206</v>
      </c>
      <c r="D1552" s="21">
        <v>7</v>
      </c>
      <c r="E1552" s="21" t="str">
        <f>"1000002882"</f>
        <v>1000002882</v>
      </c>
      <c r="F1552" s="21" t="str">
        <f>"PENCIL:0.5mm/Exc Mech - Mechanical pencil, push action Executive model, 0.5 mm lead, clutch mechanism automatic spare lead, feed with metal eraser cap."</f>
        <v>PENCIL:0.5mm/Exc Mech - Mechanical pencil, push action Executive model, 0.5 mm lead, clutch mechanism automatic spare lead, feed with metal eraser cap.</v>
      </c>
      <c r="G1552" s="22" t="str">
        <f t="shared" ref="G1552:G1556" si="121">"DZ"</f>
        <v>DZ</v>
      </c>
      <c r="H1552" s="23">
        <v>26.4</v>
      </c>
      <c r="I1552" s="21" t="str">
        <f t="shared" si="120"/>
        <v>44121705</v>
      </c>
      <c r="J1552" s="25" t="s">
        <v>146</v>
      </c>
    </row>
    <row r="1553" spans="1:10" ht="39">
      <c r="A1553" s="24" t="s">
        <v>27</v>
      </c>
      <c r="B1553" s="21" t="s">
        <v>17</v>
      </c>
      <c r="C1553" s="21">
        <v>3206</v>
      </c>
      <c r="D1553" s="21">
        <v>9</v>
      </c>
      <c r="E1553" s="21" t="str">
        <f>"1000003406"</f>
        <v>1000003406</v>
      </c>
      <c r="F1553" s="21" t="str">
        <f>"PENCIL:0.7mm Econ Mech - Mechanical pencil, push action Economy Model Pencil, 0.7 mm lead"</f>
        <v>PENCIL:0.7mm Econ Mech - Mechanical pencil, push action Economy Model Pencil, 0.7 mm lead</v>
      </c>
      <c r="G1553" s="22" t="str">
        <f t="shared" si="121"/>
        <v>DZ</v>
      </c>
      <c r="H1553" s="23">
        <v>13.62</v>
      </c>
      <c r="I1553" s="21" t="str">
        <f t="shared" si="120"/>
        <v>44121705</v>
      </c>
      <c r="J1553" s="25" t="s">
        <v>146</v>
      </c>
    </row>
    <row r="1554" spans="1:10" ht="39">
      <c r="A1554" s="9" t="s">
        <v>27</v>
      </c>
      <c r="B1554" s="2" t="s">
        <v>17</v>
      </c>
      <c r="C1554" s="2">
        <v>3206</v>
      </c>
      <c r="D1554" s="2">
        <v>10</v>
      </c>
      <c r="E1554" s="2" t="str">
        <f>"1000002093"</f>
        <v>1000002093</v>
      </c>
      <c r="F1554" s="2" t="str">
        <f>"PENCIL:0.7mm Exec Mech~Mechanical Pencils, push action Executive Model Pencil 0.7 mm lead"</f>
        <v>PENCIL:0.7mm Exec Mech~Mechanical Pencils, push action Executive Model Pencil 0.7 mm lead</v>
      </c>
      <c r="G1554" s="3" t="str">
        <f t="shared" si="121"/>
        <v>DZ</v>
      </c>
      <c r="H1554" s="7">
        <v>27.92</v>
      </c>
      <c r="I1554" s="2" t="str">
        <f t="shared" si="120"/>
        <v>44121705</v>
      </c>
      <c r="J1554" s="10" t="s">
        <v>146</v>
      </c>
    </row>
    <row r="1555" spans="1:10" ht="64.5">
      <c r="A1555" s="24" t="s">
        <v>27</v>
      </c>
      <c r="B1555" s="21" t="s">
        <v>17</v>
      </c>
      <c r="C1555" s="21">
        <v>3206</v>
      </c>
      <c r="D1555" s="21">
        <v>11</v>
      </c>
      <c r="E1555" s="21" t="str">
        <f>"1000002466"</f>
        <v>1000002466</v>
      </c>
      <c r="F1555" s="21" t="str">
        <f>"LEAD:.7mm/Rep/12-vl/Ec/Ex~Pencils, mechanical push action Replacement Lead .7mm (12 vials) for Economy/Executive model~REPLACEMENT LEAD .7mm (12 VIALS) FOR ECONOMY/EXECUTIVE MODEL"</f>
        <v>LEAD:.7mm/Rep/12-vl/Ec/Ex~Pencils, mechanical push action Replacement Lead .7mm (12 vials) for Economy/Executive model~REPLACEMENT LEAD .7mm (12 VIALS) FOR ECONOMY/EXECUTIVE MODEL</v>
      </c>
      <c r="G1555" s="22" t="str">
        <f t="shared" si="121"/>
        <v>DZ</v>
      </c>
      <c r="H1555" s="23">
        <v>11.88</v>
      </c>
      <c r="I1555" s="21" t="str">
        <f t="shared" si="120"/>
        <v>44121705</v>
      </c>
      <c r="J1555" s="25" t="s">
        <v>146</v>
      </c>
    </row>
    <row r="1556" spans="1:10" ht="39">
      <c r="A1556" s="24" t="s">
        <v>27</v>
      </c>
      <c r="B1556" s="21" t="s">
        <v>17</v>
      </c>
      <c r="C1556" s="21">
        <v>3206</v>
      </c>
      <c r="D1556" s="21">
        <v>13</v>
      </c>
      <c r="E1556" s="21" t="str">
        <f>"1000002465"</f>
        <v>1000002465</v>
      </c>
      <c r="F1556" s="21" t="str">
        <f>"LEAD:.9mm/Rep/12pc/Ex~Pencils, mechanical push action Replacement Lead .9mm (12 vials) for Executive Model"</f>
        <v>LEAD:.9mm/Rep/12pc/Ex~Pencils, mechanical push action Replacement Lead .9mm (12 vials) for Executive Model</v>
      </c>
      <c r="G1556" s="22" t="str">
        <f t="shared" si="121"/>
        <v>DZ</v>
      </c>
      <c r="H1556" s="23">
        <v>12</v>
      </c>
      <c r="I1556" s="21" t="str">
        <f t="shared" si="120"/>
        <v>44121705</v>
      </c>
      <c r="J1556" s="25" t="s">
        <v>146</v>
      </c>
    </row>
    <row r="1557" spans="1:10" ht="26.25">
      <c r="A1557" s="9" t="s">
        <v>27</v>
      </c>
      <c r="B1557" s="2" t="s">
        <v>17</v>
      </c>
      <c r="C1557" s="2">
        <v>3206</v>
      </c>
      <c r="D1557" s="2">
        <v>14</v>
      </c>
      <c r="E1557" s="2" t="str">
        <f>"1000002521"</f>
        <v>1000002521</v>
      </c>
      <c r="F1557" s="2" t="str">
        <f>"PENCIL:State of Oklahoma no. 2"</f>
        <v>PENCIL:State of Oklahoma no. 2</v>
      </c>
      <c r="G1557" s="3" t="str">
        <f>"GS"</f>
        <v>GS</v>
      </c>
      <c r="H1557" s="7">
        <v>25.9</v>
      </c>
      <c r="I1557" s="2" t="str">
        <f t="shared" si="120"/>
        <v>44121705</v>
      </c>
      <c r="J1557" s="10" t="s">
        <v>146</v>
      </c>
    </row>
    <row r="1558" spans="1:10" ht="39">
      <c r="A1558" s="24" t="s">
        <v>27</v>
      </c>
      <c r="B1558" s="21" t="s">
        <v>17</v>
      </c>
      <c r="C1558" s="21">
        <v>3206</v>
      </c>
      <c r="D1558" s="21">
        <v>15</v>
      </c>
      <c r="E1558" s="21" t="str">
        <f>"1000002193"</f>
        <v>1000002193</v>
      </c>
      <c r="F1558" s="21" t="str">
        <f>"PENCIL:Wood/State/Ok/pre-shrp~Pencils, State of Oklahoma. State of oklahoma - pre-sharpened.~PRE-SHARPENED - ADD"</f>
        <v>PENCIL:Wood/State/Ok/pre-shrp~Pencils, State of Oklahoma. State of oklahoma - pre-sharpened.~PRE-SHARPENED - ADD</v>
      </c>
      <c r="G1558" s="22" t="str">
        <f>"GS"</f>
        <v>GS</v>
      </c>
      <c r="H1558" s="23">
        <v>26.9</v>
      </c>
      <c r="I1558" s="21" t="str">
        <f t="shared" si="120"/>
        <v>44121705</v>
      </c>
      <c r="J1558" s="25" t="s">
        <v>146</v>
      </c>
    </row>
    <row r="1559" spans="1:10" ht="26.25">
      <c r="A1559" s="9" t="s">
        <v>27</v>
      </c>
      <c r="B1559" s="2" t="s">
        <v>17</v>
      </c>
      <c r="C1559" s="2">
        <v>3206</v>
      </c>
      <c r="D1559" s="2">
        <v>16</v>
      </c>
      <c r="E1559" s="2" t="str">
        <f>"1000002166"</f>
        <v>1000002166</v>
      </c>
      <c r="F1559" s="2" t="str">
        <f>"PENCIL:Golf/pro/med~Pencils, golf pro. Golf pro pencils (plain, no imprint), medium lead"</f>
        <v>PENCIL:Golf/pro/med~Pencils, golf pro. Golf pro pencils (plain, no imprint), medium lead</v>
      </c>
      <c r="G1559" s="3" t="str">
        <f>"GS"</f>
        <v>GS</v>
      </c>
      <c r="H1559" s="7">
        <v>6.5</v>
      </c>
      <c r="I1559" s="2" t="str">
        <f>"44121706"</f>
        <v>44121706</v>
      </c>
      <c r="J1559" s="10" t="s">
        <v>147</v>
      </c>
    </row>
    <row r="1560" spans="1:10" ht="26.25">
      <c r="A1560" s="24" t="s">
        <v>27</v>
      </c>
      <c r="B1560" s="21" t="s">
        <v>17</v>
      </c>
      <c r="C1560" s="21">
        <v>3206</v>
      </c>
      <c r="D1560" s="21">
        <v>17</v>
      </c>
      <c r="E1560" s="21" t="str">
        <f>"1000012035"</f>
        <v>1000012035</v>
      </c>
      <c r="F1560" s="21" t="str">
        <f>"CORRECTION PEN:Multipurpose, metal rollerball tip"</f>
        <v>CORRECTION PEN:Multipurpose, metal rollerball tip</v>
      </c>
      <c r="G1560" s="22" t="str">
        <f>"DZ"</f>
        <v>DZ</v>
      </c>
      <c r="H1560" s="23">
        <v>30.75</v>
      </c>
      <c r="I1560" s="21" t="str">
        <f>"44121802"</f>
        <v>44121802</v>
      </c>
      <c r="J1560" s="25" t="s">
        <v>144</v>
      </c>
    </row>
    <row r="1561" spans="1:10" ht="39">
      <c r="A1561" s="9" t="s">
        <v>27</v>
      </c>
      <c r="B1561" s="2" t="s">
        <v>17</v>
      </c>
      <c r="C1561" s="2">
        <v>3206</v>
      </c>
      <c r="D1561" s="2">
        <v>18</v>
      </c>
      <c r="E1561" s="2" t="str">
        <f>"1000012036"</f>
        <v>1000012036</v>
      </c>
      <c r="F1561" s="2" t="str">
        <f>"CORRECT FLUID:Wht, DZ, multipurpose, for everything safety, universal applications, no thinner required, 22 ml btl, price per dozen"</f>
        <v>CORRECT FLUID:Wht, DZ, multipurpose, for everything safety, universal applications, no thinner required, 22 ml btl, price per dozen</v>
      </c>
      <c r="G1561" s="3" t="str">
        <f>"DZ"</f>
        <v>DZ</v>
      </c>
      <c r="H1561" s="7">
        <v>14.11</v>
      </c>
      <c r="I1561" s="2" t="str">
        <f>"44121802"</f>
        <v>44121802</v>
      </c>
      <c r="J1561" s="10" t="s">
        <v>144</v>
      </c>
    </row>
    <row r="1562" spans="1:10" ht="39">
      <c r="A1562" s="24" t="s">
        <v>27</v>
      </c>
      <c r="B1562" s="21" t="s">
        <v>17</v>
      </c>
      <c r="C1562" s="21">
        <v>3206</v>
      </c>
      <c r="D1562" s="21">
        <v>19</v>
      </c>
      <c r="E1562" s="21" t="str">
        <f>"1000012045"</f>
        <v>1000012045</v>
      </c>
      <c r="F1562" s="21" t="str">
        <f>"CORRECT FLUID:Wht, waterbase, vaporsafe, non-toxic, non-flammable, 18 seconds to dry, does cover ink, covers everything"</f>
        <v>CORRECT FLUID:Wht, waterbase, vaporsafe, non-toxic, non-flammable, 18 seconds to dry, does cover ink, covers everything</v>
      </c>
      <c r="G1562" s="22" t="str">
        <f>"DZ"</f>
        <v>DZ</v>
      </c>
      <c r="H1562" s="23">
        <v>18.239999999999998</v>
      </c>
      <c r="I1562" s="21" t="str">
        <f>"44121802"</f>
        <v>44121802</v>
      </c>
      <c r="J1562" s="25" t="s">
        <v>144</v>
      </c>
    </row>
    <row r="1563" spans="1:10" ht="26.25">
      <c r="A1563" s="9" t="s">
        <v>27</v>
      </c>
      <c r="B1563" s="2" t="s">
        <v>17</v>
      </c>
      <c r="C1563" s="2">
        <v>3206</v>
      </c>
      <c r="D1563" s="2">
        <v>20</v>
      </c>
      <c r="E1563" s="2" t="str">
        <f>"1000012085"</f>
        <v>1000012085</v>
      </c>
      <c r="F1563" s="2" t="str">
        <f>"MECHAN PENCIL:Glossy Barrel w/ Chrome Accent, eraser, rubber grip, 5mm lead"</f>
        <v>MECHAN PENCIL:Glossy Barrel w/ Chrome Accent, eraser, rubber grip, 5mm lead</v>
      </c>
      <c r="G1563" s="3" t="str">
        <f>"EA"</f>
        <v>EA</v>
      </c>
      <c r="H1563" s="7">
        <v>4</v>
      </c>
      <c r="I1563" s="2" t="str">
        <f>"44121705"</f>
        <v>44121705</v>
      </c>
      <c r="J1563" s="10" t="s">
        <v>146</v>
      </c>
    </row>
    <row r="1564" spans="1:10" ht="51.75">
      <c r="A1564" s="24" t="s">
        <v>27</v>
      </c>
      <c r="B1564" s="21" t="s">
        <v>17</v>
      </c>
      <c r="C1564" s="21">
        <v>3206</v>
      </c>
      <c r="D1564" s="21">
        <v>21</v>
      </c>
      <c r="E1564" s="21" t="str">
        <f>"1000003744"</f>
        <v>1000003744</v>
      </c>
      <c r="F1564" s="21" t="str">
        <f>"MECHAN PENCIL:.5mm-Twist Eraser III, /jumbo retract eraser, twist barrel to advance~Pentel Twist Eraser III, push down lead advancement, .5mm lead"</f>
        <v>MECHAN PENCIL:.5mm-Twist Eraser III, /jumbo retract eraser, twist barrel to advance~Pentel Twist Eraser III, push down lead advancement, .5mm lead</v>
      </c>
      <c r="G1564" s="22" t="str">
        <f>"EA"</f>
        <v>EA</v>
      </c>
      <c r="H1564" s="23">
        <v>3.75</v>
      </c>
      <c r="I1564" s="21" t="str">
        <f>"44121706"</f>
        <v>44121706</v>
      </c>
      <c r="J1564" s="25" t="s">
        <v>147</v>
      </c>
    </row>
    <row r="1565" spans="1:10" ht="51.75">
      <c r="A1565" s="24" t="s">
        <v>27</v>
      </c>
      <c r="B1565" s="21" t="s">
        <v>17</v>
      </c>
      <c r="C1565" s="21">
        <v>3206</v>
      </c>
      <c r="D1565" s="21">
        <v>22</v>
      </c>
      <c r="E1565" s="21" t="str">
        <f>"1000012046"</f>
        <v>1000012046</v>
      </c>
      <c r="F1565" s="21" t="str">
        <f>"MECHAN PENCIL:.7mm-Twist Eraser III, /jumbo retract eraser, twist barrel to advance~Pentel Twist Eraser III, push down lead advancement, .7mm lead"</f>
        <v>MECHAN PENCIL:.7mm-Twist Eraser III, /jumbo retract eraser, twist barrel to advance~Pentel Twist Eraser III, push down lead advancement, .7mm lead</v>
      </c>
      <c r="G1565" s="22" t="str">
        <f>"EA"</f>
        <v>EA</v>
      </c>
      <c r="H1565" s="23">
        <v>3.75</v>
      </c>
      <c r="I1565" s="21" t="str">
        <f t="shared" ref="I1565:I1569" si="122">"44121705"</f>
        <v>44121705</v>
      </c>
      <c r="J1565" s="25" t="s">
        <v>146</v>
      </c>
    </row>
    <row r="1566" spans="1:10" ht="39">
      <c r="A1566" s="9" t="s">
        <v>27</v>
      </c>
      <c r="B1566" s="2" t="s">
        <v>17</v>
      </c>
      <c r="C1566" s="2">
        <v>3206</v>
      </c>
      <c r="D1566" s="2">
        <v>23</v>
      </c>
      <c r="E1566" s="2" t="str">
        <f>"1000012087"</f>
        <v>1000012087</v>
      </c>
      <c r="F1566" s="2" t="str">
        <f>"MECHAN PENCIL:.5mm, dial-up eraser advancement, ergonomic barrel, side button advance, no silp, latex free rubber grip"</f>
        <v>MECHAN PENCIL:.5mm, dial-up eraser advancement, ergonomic barrel, side button advance, no silp, latex free rubber grip</v>
      </c>
      <c r="G1566" s="3" t="str">
        <f>"DZ"</f>
        <v>DZ</v>
      </c>
      <c r="H1566" s="7">
        <v>26</v>
      </c>
      <c r="I1566" s="2" t="str">
        <f t="shared" si="122"/>
        <v>44121705</v>
      </c>
      <c r="J1566" s="10" t="s">
        <v>146</v>
      </c>
    </row>
    <row r="1567" spans="1:10" ht="39">
      <c r="A1567" s="24" t="s">
        <v>27</v>
      </c>
      <c r="B1567" s="21" t="s">
        <v>17</v>
      </c>
      <c r="C1567" s="21">
        <v>3206</v>
      </c>
      <c r="D1567" s="21">
        <v>24</v>
      </c>
      <c r="E1567" s="21" t="str">
        <f>"1000012088"</f>
        <v>1000012088</v>
      </c>
      <c r="F1567" s="21" t="str">
        <f>"MECHAN PENCIL:.7mm, dial-up eraser advancement, ergonomic barrel, side button advance, no silp, latex free rubber grip"</f>
        <v>MECHAN PENCIL:.7mm, dial-up eraser advancement, ergonomic barrel, side button advance, no silp, latex free rubber grip</v>
      </c>
      <c r="G1567" s="22" t="str">
        <f>"DZ"</f>
        <v>DZ</v>
      </c>
      <c r="H1567" s="23">
        <v>25</v>
      </c>
      <c r="I1567" s="21" t="str">
        <f t="shared" si="122"/>
        <v>44121705</v>
      </c>
      <c r="J1567" s="25" t="s">
        <v>146</v>
      </c>
    </row>
    <row r="1568" spans="1:10" ht="39">
      <c r="A1568" s="24" t="s">
        <v>27</v>
      </c>
      <c r="B1568" s="21" t="s">
        <v>17</v>
      </c>
      <c r="C1568" s="21">
        <v>3206</v>
      </c>
      <c r="D1568" s="21">
        <v>34</v>
      </c>
      <c r="E1568" s="21" t="str">
        <f>"1000012098"</f>
        <v>1000012098</v>
      </c>
      <c r="F1568" s="21" t="str">
        <f>"MECHAN PENCIL:.7mm, Professional, automatic, glossy metallic barrel w/ silver accents, pkt clip w/ eraser"</f>
        <v>MECHAN PENCIL:.7mm, Professional, automatic, glossy metallic barrel w/ silver accents, pkt clip w/ eraser</v>
      </c>
      <c r="G1568" s="22" t="str">
        <f t="shared" ref="G1568:G1569" si="123">"EA"</f>
        <v>EA</v>
      </c>
      <c r="H1568" s="23">
        <v>19</v>
      </c>
      <c r="I1568" s="21" t="str">
        <f t="shared" si="122"/>
        <v>44121705</v>
      </c>
      <c r="J1568" s="25" t="s">
        <v>146</v>
      </c>
    </row>
    <row r="1569" spans="1:10" ht="39">
      <c r="A1569" s="9" t="s">
        <v>27</v>
      </c>
      <c r="B1569" s="2" t="s">
        <v>17</v>
      </c>
      <c r="C1569" s="2">
        <v>3206</v>
      </c>
      <c r="D1569" s="2">
        <v>35</v>
      </c>
      <c r="E1569" s="2" t="str">
        <f>"1000012073"</f>
        <v>1000012073</v>
      </c>
      <c r="F1569" s="2" t="str">
        <f>"MECHAN PENCIL:.5mm, Professional, automatic, glossy metallic barrel w/ silver accents, pkt clip w/ eraser"</f>
        <v>MECHAN PENCIL:.5mm, Professional, automatic, glossy metallic barrel w/ silver accents, pkt clip w/ eraser</v>
      </c>
      <c r="G1569" s="3" t="str">
        <f t="shared" si="123"/>
        <v>EA</v>
      </c>
      <c r="H1569" s="7">
        <v>17.25</v>
      </c>
      <c r="I1569" s="2" t="str">
        <f t="shared" si="122"/>
        <v>44121705</v>
      </c>
      <c r="J1569" s="10" t="s">
        <v>146</v>
      </c>
    </row>
    <row r="1570" spans="1:10" ht="51.75">
      <c r="A1570" s="24" t="s">
        <v>27</v>
      </c>
      <c r="B1570" s="21" t="s">
        <v>17</v>
      </c>
      <c r="C1570" s="21">
        <v>3206</v>
      </c>
      <c r="D1570" s="21">
        <v>36</v>
      </c>
      <c r="E1570" s="21" t="str">
        <f>"1000004344"</f>
        <v>1000004344</v>
      </c>
      <c r="F1570" s="21" t="str">
        <f>"ERASER:Pentel Click,Retract~Eraser, Retractable, Pentel Click Eraser, refillable, extra-long white eraser, pen shaped barrell with rubber grip"</f>
        <v>ERASER:Pentel Click,Retract~Eraser, Retractable, Pentel Click Eraser, refillable, extra-long white eraser, pen shaped barrell with rubber grip</v>
      </c>
      <c r="G1570" s="22" t="str">
        <f>"DZ"</f>
        <v>DZ</v>
      </c>
      <c r="H1570" s="23">
        <v>17.7</v>
      </c>
      <c r="I1570" s="21" t="str">
        <f>"44121804"</f>
        <v>44121804</v>
      </c>
      <c r="J1570" s="25" t="s">
        <v>145</v>
      </c>
    </row>
    <row r="1571" spans="1:10" ht="26.25">
      <c r="A1571" s="9" t="s">
        <v>27</v>
      </c>
      <c r="B1571" s="2" t="s">
        <v>17</v>
      </c>
      <c r="C1571" s="2">
        <v>3206</v>
      </c>
      <c r="D1571" s="2">
        <v>42</v>
      </c>
      <c r="E1571" s="2" t="str">
        <f>"1000012077"</f>
        <v>1000012077</v>
      </c>
      <c r="F1571" s="2" t="str">
        <f>"PENCIL:36 Count Colored Pencils, thick 3.3mm leads, presharpened, non-toxic, peggable"</f>
        <v>PENCIL:36 Count Colored Pencils, thick 3.3mm leads, presharpened, non-toxic, peggable</v>
      </c>
      <c r="G1571" s="3" t="str">
        <f>"PK"</f>
        <v>PK</v>
      </c>
      <c r="H1571" s="7">
        <v>7</v>
      </c>
      <c r="I1571" s="2" t="str">
        <f t="shared" ref="I1571:I1604" si="124">"44121706"</f>
        <v>44121706</v>
      </c>
      <c r="J1571" s="10" t="s">
        <v>147</v>
      </c>
    </row>
    <row r="1572" spans="1:10" ht="39">
      <c r="A1572" s="24" t="s">
        <v>27</v>
      </c>
      <c r="B1572" s="21" t="s">
        <v>17</v>
      </c>
      <c r="C1572" s="21">
        <v>3206</v>
      </c>
      <c r="D1572" s="21">
        <v>43</v>
      </c>
      <c r="E1572" s="21" t="str">
        <f>"1000012078"</f>
        <v>1000012078</v>
      </c>
      <c r="F1572" s="21" t="str">
        <f>"PENCIL:NY Yellow, custom imprinted, wood, #2 pencils, max imprint 3/4x4, customer supplied art, 10 gross minimum order"</f>
        <v>PENCIL:NY Yellow, custom imprinted, wood, #2 pencils, max imprint 3/4x4, customer supplied art, 10 gross minimum order</v>
      </c>
      <c r="G1572" s="22" t="str">
        <f t="shared" ref="G1572:G1604" si="125">"GS"</f>
        <v>GS</v>
      </c>
      <c r="H1572" s="23">
        <v>29.99</v>
      </c>
      <c r="I1572" s="21" t="str">
        <f t="shared" si="124"/>
        <v>44121706</v>
      </c>
      <c r="J1572" s="25" t="s">
        <v>147</v>
      </c>
    </row>
    <row r="1573" spans="1:10" ht="39">
      <c r="A1573" s="9" t="s">
        <v>27</v>
      </c>
      <c r="B1573" s="2" t="s">
        <v>17</v>
      </c>
      <c r="C1573" s="2">
        <v>3206</v>
      </c>
      <c r="D1573" s="2">
        <v>44</v>
      </c>
      <c r="E1573" s="2" t="str">
        <f>"1000012079"</f>
        <v>1000012079</v>
      </c>
      <c r="F1573" s="2" t="str">
        <f>"PENCIL:Bright Yellow, custom imprinted, wood, #2 pencils, max imprint 3/4x4, customer supplied art, 10 gross minimum order"</f>
        <v>PENCIL:Bright Yellow, custom imprinted, wood, #2 pencils, max imprint 3/4x4, customer supplied art, 10 gross minimum order</v>
      </c>
      <c r="G1573" s="3" t="str">
        <f t="shared" si="125"/>
        <v>GS</v>
      </c>
      <c r="H1573" s="7">
        <v>29.99</v>
      </c>
      <c r="I1573" s="2" t="str">
        <f t="shared" si="124"/>
        <v>44121706</v>
      </c>
      <c r="J1573" s="10" t="s">
        <v>147</v>
      </c>
    </row>
    <row r="1574" spans="1:10" ht="39">
      <c r="A1574" s="24" t="s">
        <v>27</v>
      </c>
      <c r="B1574" s="21" t="s">
        <v>17</v>
      </c>
      <c r="C1574" s="21">
        <v>3206</v>
      </c>
      <c r="D1574" s="21">
        <v>45</v>
      </c>
      <c r="E1574" s="21" t="str">
        <f>"1000012080"</f>
        <v>1000012080</v>
      </c>
      <c r="F1574" s="21" t="str">
        <f>"PENCIL:Dark Blue, custom imprinted, wood, #2 pencils, max imprint 3/4x4, customer supplied art, 10 gross minimum order"</f>
        <v>PENCIL:Dark Blue, custom imprinted, wood, #2 pencils, max imprint 3/4x4, customer supplied art, 10 gross minimum order</v>
      </c>
      <c r="G1574" s="22" t="str">
        <f t="shared" si="125"/>
        <v>GS</v>
      </c>
      <c r="H1574" s="23">
        <v>29.99</v>
      </c>
      <c r="I1574" s="21" t="str">
        <f t="shared" si="124"/>
        <v>44121706</v>
      </c>
      <c r="J1574" s="25" t="s">
        <v>147</v>
      </c>
    </row>
    <row r="1575" spans="1:10" ht="39">
      <c r="A1575" s="9" t="s">
        <v>27</v>
      </c>
      <c r="B1575" s="2" t="s">
        <v>17</v>
      </c>
      <c r="C1575" s="2">
        <v>3206</v>
      </c>
      <c r="D1575" s="2">
        <v>46</v>
      </c>
      <c r="E1575" s="2" t="str">
        <f>"1000012081"</f>
        <v>1000012081</v>
      </c>
      <c r="F1575" s="2" t="str">
        <f>"PENCIL:Royal Blue, custom imprinted, wood, #2 pencils, max imprint 3/4x4, customer supplied art, 10 gross minimum order"</f>
        <v>PENCIL:Royal Blue, custom imprinted, wood, #2 pencils, max imprint 3/4x4, customer supplied art, 10 gross minimum order</v>
      </c>
      <c r="G1575" s="3" t="str">
        <f t="shared" si="125"/>
        <v>GS</v>
      </c>
      <c r="H1575" s="7">
        <v>29.99</v>
      </c>
      <c r="I1575" s="2" t="str">
        <f t="shared" si="124"/>
        <v>44121706</v>
      </c>
      <c r="J1575" s="10" t="s">
        <v>147</v>
      </c>
    </row>
    <row r="1576" spans="1:10" ht="39">
      <c r="A1576" s="24" t="s">
        <v>27</v>
      </c>
      <c r="B1576" s="21" t="s">
        <v>17</v>
      </c>
      <c r="C1576" s="21">
        <v>3206</v>
      </c>
      <c r="D1576" s="21">
        <v>47</v>
      </c>
      <c r="E1576" s="21" t="str">
        <f>"1000012082"</f>
        <v>1000012082</v>
      </c>
      <c r="F1576" s="21" t="str">
        <f>"PENCIL:Red, custom imprinted, wood, #2 pencils, max imprint 3/4x4, customer supplied art, 10 gross minimum order"</f>
        <v>PENCIL:Red, custom imprinted, wood, #2 pencils, max imprint 3/4x4, customer supplied art, 10 gross minimum order</v>
      </c>
      <c r="G1576" s="22" t="str">
        <f t="shared" si="125"/>
        <v>GS</v>
      </c>
      <c r="H1576" s="23">
        <v>29.99</v>
      </c>
      <c r="I1576" s="21" t="str">
        <f t="shared" si="124"/>
        <v>44121706</v>
      </c>
      <c r="J1576" s="25" t="s">
        <v>147</v>
      </c>
    </row>
    <row r="1577" spans="1:10" ht="39">
      <c r="A1577" s="9" t="s">
        <v>27</v>
      </c>
      <c r="B1577" s="2" t="s">
        <v>17</v>
      </c>
      <c r="C1577" s="2">
        <v>3206</v>
      </c>
      <c r="D1577" s="2">
        <v>48</v>
      </c>
      <c r="E1577" s="2" t="str">
        <f>"1000012083"</f>
        <v>1000012083</v>
      </c>
      <c r="F1577" s="2" t="str">
        <f>"PENCIL:Orange, custom imprinted, wood, #2 pencils, max imprint 3/4x4, customer supplied art, 10 gross minimum order"</f>
        <v>PENCIL:Orange, custom imprinted, wood, #2 pencils, max imprint 3/4x4, customer supplied art, 10 gross minimum order</v>
      </c>
      <c r="G1577" s="3" t="str">
        <f t="shared" si="125"/>
        <v>GS</v>
      </c>
      <c r="H1577" s="7">
        <v>29.99</v>
      </c>
      <c r="I1577" s="2" t="str">
        <f t="shared" si="124"/>
        <v>44121706</v>
      </c>
      <c r="J1577" s="10" t="s">
        <v>147</v>
      </c>
    </row>
    <row r="1578" spans="1:10" ht="39">
      <c r="A1578" s="24" t="s">
        <v>27</v>
      </c>
      <c r="B1578" s="21" t="s">
        <v>17</v>
      </c>
      <c r="C1578" s="21">
        <v>3206</v>
      </c>
      <c r="D1578" s="21">
        <v>49</v>
      </c>
      <c r="E1578" s="21" t="str">
        <f>"1000012084"</f>
        <v>1000012084</v>
      </c>
      <c r="F1578" s="21" t="str">
        <f>"PENCIL:Dark Green, custom imprinted, wood, #2 pencils, max imprint 3/4x4, customer supplied art, 10 gross minimum order"</f>
        <v>PENCIL:Dark Green, custom imprinted, wood, #2 pencils, max imprint 3/4x4, customer supplied art, 10 gross minimum order</v>
      </c>
      <c r="G1578" s="22" t="str">
        <f t="shared" si="125"/>
        <v>GS</v>
      </c>
      <c r="H1578" s="23">
        <v>29.99</v>
      </c>
      <c r="I1578" s="21" t="str">
        <f t="shared" si="124"/>
        <v>44121706</v>
      </c>
      <c r="J1578" s="25" t="s">
        <v>147</v>
      </c>
    </row>
    <row r="1579" spans="1:10" ht="39">
      <c r="A1579" s="9" t="s">
        <v>27</v>
      </c>
      <c r="B1579" s="2" t="s">
        <v>17</v>
      </c>
      <c r="C1579" s="2">
        <v>3206</v>
      </c>
      <c r="D1579" s="2">
        <v>50</v>
      </c>
      <c r="E1579" s="2" t="str">
        <f>"1000012060"</f>
        <v>1000012060</v>
      </c>
      <c r="F1579" s="2" t="str">
        <f>"PENCIL:Maroon, custom imprinted, wood, #2 pencils, max imprint 3/4x4, customer supplied art, 10 gross minimum order"</f>
        <v>PENCIL:Maroon, custom imprinted, wood, #2 pencils, max imprint 3/4x4, customer supplied art, 10 gross minimum order</v>
      </c>
      <c r="G1579" s="3" t="str">
        <f t="shared" si="125"/>
        <v>GS</v>
      </c>
      <c r="H1579" s="7">
        <v>29.99</v>
      </c>
      <c r="I1579" s="2" t="str">
        <f t="shared" si="124"/>
        <v>44121706</v>
      </c>
      <c r="J1579" s="10" t="s">
        <v>147</v>
      </c>
    </row>
    <row r="1580" spans="1:10" ht="39">
      <c r="A1580" s="24" t="s">
        <v>27</v>
      </c>
      <c r="B1580" s="21" t="s">
        <v>17</v>
      </c>
      <c r="C1580" s="21">
        <v>3206</v>
      </c>
      <c r="D1580" s="21">
        <v>51</v>
      </c>
      <c r="E1580" s="21" t="str">
        <f>"1000012061"</f>
        <v>1000012061</v>
      </c>
      <c r="F1580" s="21" t="str">
        <f>"PENCIL:Gold, custom imprinted, wood, #2 pencils, max imprint 3/4x4, customer supplied art, 10 gross minimum order"</f>
        <v>PENCIL:Gold, custom imprinted, wood, #2 pencils, max imprint 3/4x4, customer supplied art, 10 gross minimum order</v>
      </c>
      <c r="G1580" s="22" t="str">
        <f t="shared" si="125"/>
        <v>GS</v>
      </c>
      <c r="H1580" s="23">
        <v>29.99</v>
      </c>
      <c r="I1580" s="21" t="str">
        <f t="shared" si="124"/>
        <v>44121706</v>
      </c>
      <c r="J1580" s="25" t="s">
        <v>147</v>
      </c>
    </row>
    <row r="1581" spans="1:10" ht="39">
      <c r="A1581" s="9" t="s">
        <v>27</v>
      </c>
      <c r="B1581" s="2" t="s">
        <v>17</v>
      </c>
      <c r="C1581" s="2">
        <v>3206</v>
      </c>
      <c r="D1581" s="2">
        <v>52</v>
      </c>
      <c r="E1581" s="2" t="str">
        <f>"1000012062"</f>
        <v>1000012062</v>
      </c>
      <c r="F1581" s="2" t="str">
        <f>"PENCIL:Silver, custom imprinted, wood, #2 pencils, max imprint 3/4x4, customer supplied art, 10 gross minimum order"</f>
        <v>PENCIL:Silver, custom imprinted, wood, #2 pencils, max imprint 3/4x4, customer supplied art, 10 gross minimum order</v>
      </c>
      <c r="G1581" s="3" t="str">
        <f t="shared" si="125"/>
        <v>GS</v>
      </c>
      <c r="H1581" s="7">
        <v>29.99</v>
      </c>
      <c r="I1581" s="2" t="str">
        <f t="shared" si="124"/>
        <v>44121706</v>
      </c>
      <c r="J1581" s="10" t="s">
        <v>147</v>
      </c>
    </row>
    <row r="1582" spans="1:10" ht="39">
      <c r="A1582" s="24" t="s">
        <v>27</v>
      </c>
      <c r="B1582" s="21" t="s">
        <v>17</v>
      </c>
      <c r="C1582" s="21">
        <v>3206</v>
      </c>
      <c r="D1582" s="21">
        <v>53</v>
      </c>
      <c r="E1582" s="21" t="str">
        <f>"1000012063"</f>
        <v>1000012063</v>
      </c>
      <c r="F1582" s="21" t="str">
        <f>"PENCIL:White, custom imprinted, wood, #2 pencils, max imprint 3/4x4, customer supplied art, 10 gross minimum order"</f>
        <v>PENCIL:White, custom imprinted, wood, #2 pencils, max imprint 3/4x4, customer supplied art, 10 gross minimum order</v>
      </c>
      <c r="G1582" s="22" t="str">
        <f t="shared" si="125"/>
        <v>GS</v>
      </c>
      <c r="H1582" s="23">
        <v>29.99</v>
      </c>
      <c r="I1582" s="21" t="str">
        <f t="shared" si="124"/>
        <v>44121706</v>
      </c>
      <c r="J1582" s="25" t="s">
        <v>147</v>
      </c>
    </row>
    <row r="1583" spans="1:10" ht="39">
      <c r="A1583" s="9" t="s">
        <v>27</v>
      </c>
      <c r="B1583" s="2" t="s">
        <v>17</v>
      </c>
      <c r="C1583" s="2">
        <v>3206</v>
      </c>
      <c r="D1583" s="2">
        <v>54</v>
      </c>
      <c r="E1583" s="2" t="str">
        <f>"1000012064"</f>
        <v>1000012064</v>
      </c>
      <c r="F1583" s="2" t="str">
        <f>"PENCIL:Black, custom imprinted, wood, #2 pencils, max imprint 3/4x4, customer supplied art, 10 gross minimum order"</f>
        <v>PENCIL:Black, custom imprinted, wood, #2 pencils, max imprint 3/4x4, customer supplied art, 10 gross minimum order</v>
      </c>
      <c r="G1583" s="3" t="str">
        <f t="shared" si="125"/>
        <v>GS</v>
      </c>
      <c r="H1583" s="7">
        <v>29.99</v>
      </c>
      <c r="I1583" s="2" t="str">
        <f t="shared" si="124"/>
        <v>44121706</v>
      </c>
      <c r="J1583" s="10" t="s">
        <v>147</v>
      </c>
    </row>
    <row r="1584" spans="1:10" ht="39">
      <c r="A1584" s="24" t="s">
        <v>27</v>
      </c>
      <c r="B1584" s="21" t="s">
        <v>17</v>
      </c>
      <c r="C1584" s="21">
        <v>3206</v>
      </c>
      <c r="D1584" s="21">
        <v>55</v>
      </c>
      <c r="E1584" s="21" t="str">
        <f>"1000012065"</f>
        <v>1000012065</v>
      </c>
      <c r="F1584" s="21" t="str">
        <f>"PENCIL:Natural, custom imprinted, wood, #2 pencils, max imprint 3/4x4, customer supplied art, 10 gross minimum order"</f>
        <v>PENCIL:Natural, custom imprinted, wood, #2 pencils, max imprint 3/4x4, customer supplied art, 10 gross minimum order</v>
      </c>
      <c r="G1584" s="22" t="str">
        <f t="shared" si="125"/>
        <v>GS</v>
      </c>
      <c r="H1584" s="23">
        <v>29.99</v>
      </c>
      <c r="I1584" s="21" t="str">
        <f t="shared" si="124"/>
        <v>44121706</v>
      </c>
      <c r="J1584" s="25" t="s">
        <v>147</v>
      </c>
    </row>
    <row r="1585" spans="1:10" ht="39">
      <c r="A1585" s="9" t="s">
        <v>27</v>
      </c>
      <c r="B1585" s="2" t="s">
        <v>17</v>
      </c>
      <c r="C1585" s="2">
        <v>3206</v>
      </c>
      <c r="D1585" s="2">
        <v>56</v>
      </c>
      <c r="E1585" s="2" t="str">
        <f>"1000012066"</f>
        <v>1000012066</v>
      </c>
      <c r="F1585" s="2" t="str">
        <f>"PENCIL:Process Blue, custom imprinted, wood, #2 pencils, max imprint 3/4x4, customer supplied art, 10 gross minimum order"</f>
        <v>PENCIL:Process Blue, custom imprinted, wood, #2 pencils, max imprint 3/4x4, customer supplied art, 10 gross minimum order</v>
      </c>
      <c r="G1585" s="3" t="str">
        <f t="shared" si="125"/>
        <v>GS</v>
      </c>
      <c r="H1585" s="7">
        <v>29.99</v>
      </c>
      <c r="I1585" s="2" t="str">
        <f t="shared" si="124"/>
        <v>44121706</v>
      </c>
      <c r="J1585" s="10" t="s">
        <v>147</v>
      </c>
    </row>
    <row r="1586" spans="1:10" ht="39">
      <c r="A1586" s="24" t="s">
        <v>27</v>
      </c>
      <c r="B1586" s="21" t="s">
        <v>17</v>
      </c>
      <c r="C1586" s="21">
        <v>3206</v>
      </c>
      <c r="D1586" s="21">
        <v>57</v>
      </c>
      <c r="E1586" s="21" t="str">
        <f>"1000012067"</f>
        <v>1000012067</v>
      </c>
      <c r="F1586" s="21" t="str">
        <f>"PENCIL:Light Green, custom imprinted, wood, #2 pencils, max imprint 3/4x4, customer supplied art, 10 gross minimum order"</f>
        <v>PENCIL:Light Green, custom imprinted, wood, #2 pencils, max imprint 3/4x4, customer supplied art, 10 gross minimum order</v>
      </c>
      <c r="G1586" s="22" t="str">
        <f t="shared" si="125"/>
        <v>GS</v>
      </c>
      <c r="H1586" s="23">
        <v>29.99</v>
      </c>
      <c r="I1586" s="21" t="str">
        <f t="shared" si="124"/>
        <v>44121706</v>
      </c>
      <c r="J1586" s="25" t="s">
        <v>147</v>
      </c>
    </row>
    <row r="1587" spans="1:10" ht="39">
      <c r="A1587" s="9" t="s">
        <v>27</v>
      </c>
      <c r="B1587" s="2" t="s">
        <v>17</v>
      </c>
      <c r="C1587" s="2">
        <v>3206</v>
      </c>
      <c r="D1587" s="2">
        <v>58</v>
      </c>
      <c r="E1587" s="2" t="str">
        <f>"1000012068"</f>
        <v>1000012068</v>
      </c>
      <c r="F1587" s="2" t="str">
        <f>"PENCIL:Brown, custom imprinted, wood, #2 pencils, max imprint 3/4x4, customer supplied art, 10 gross minimum order"</f>
        <v>PENCIL:Brown, custom imprinted, wood, #2 pencils, max imprint 3/4x4, customer supplied art, 10 gross minimum order</v>
      </c>
      <c r="G1587" s="3" t="str">
        <f t="shared" si="125"/>
        <v>GS</v>
      </c>
      <c r="H1587" s="7">
        <v>29.99</v>
      </c>
      <c r="I1587" s="2" t="str">
        <f t="shared" si="124"/>
        <v>44121706</v>
      </c>
      <c r="J1587" s="10" t="s">
        <v>147</v>
      </c>
    </row>
    <row r="1588" spans="1:10" ht="39">
      <c r="A1588" s="24" t="s">
        <v>27</v>
      </c>
      <c r="B1588" s="21" t="s">
        <v>17</v>
      </c>
      <c r="C1588" s="21">
        <v>3206</v>
      </c>
      <c r="D1588" s="21">
        <v>59</v>
      </c>
      <c r="E1588" s="21" t="str">
        <f>"1000012069"</f>
        <v>1000012069</v>
      </c>
      <c r="F1588" s="21" t="str">
        <f>"PENCIL:Dark Gray, custom imprinted, wood, #2 pencils, max imprint 3/4x4, customer supplied art, 10 gross minimum order"</f>
        <v>PENCIL:Dark Gray, custom imprinted, wood, #2 pencils, max imprint 3/4x4, customer supplied art, 10 gross minimum order</v>
      </c>
      <c r="G1588" s="22" t="str">
        <f t="shared" si="125"/>
        <v>GS</v>
      </c>
      <c r="H1588" s="23">
        <v>29.99</v>
      </c>
      <c r="I1588" s="21" t="str">
        <f t="shared" si="124"/>
        <v>44121706</v>
      </c>
      <c r="J1588" s="25" t="s">
        <v>147</v>
      </c>
    </row>
    <row r="1589" spans="1:10" ht="39">
      <c r="A1589" s="9" t="s">
        <v>27</v>
      </c>
      <c r="B1589" s="2" t="s">
        <v>17</v>
      </c>
      <c r="C1589" s="2">
        <v>3206</v>
      </c>
      <c r="D1589" s="2">
        <v>60</v>
      </c>
      <c r="E1589" s="2" t="str">
        <f>"1000012070"</f>
        <v>1000012070</v>
      </c>
      <c r="F1589" s="2" t="str">
        <f>"PENCIL:Light Gray, custom imprinted, wood, #2 pencils, max imprint 3/4x4, customer supplied art, 10 gross minimum order"</f>
        <v>PENCIL:Light Gray, custom imprinted, wood, #2 pencils, max imprint 3/4x4, customer supplied art, 10 gross minimum order</v>
      </c>
      <c r="G1589" s="3" t="str">
        <f t="shared" si="125"/>
        <v>GS</v>
      </c>
      <c r="H1589" s="7">
        <v>29.99</v>
      </c>
      <c r="I1589" s="2" t="str">
        <f t="shared" si="124"/>
        <v>44121706</v>
      </c>
      <c r="J1589" s="10" t="s">
        <v>147</v>
      </c>
    </row>
    <row r="1590" spans="1:10" ht="39">
      <c r="A1590" s="24" t="s">
        <v>27</v>
      </c>
      <c r="B1590" s="21" t="s">
        <v>17</v>
      </c>
      <c r="C1590" s="21">
        <v>3206</v>
      </c>
      <c r="D1590" s="21">
        <v>61</v>
      </c>
      <c r="E1590" s="21" t="str">
        <f>"1000012071"</f>
        <v>1000012071</v>
      </c>
      <c r="F1590" s="21" t="str">
        <f>"PENCIL:Ivory, custom imprinted, wood, #2 pencils, max imprint 3/4x4, customer supplied art, 10 gross minimum order"</f>
        <v>PENCIL:Ivory, custom imprinted, wood, #2 pencils, max imprint 3/4x4, customer supplied art, 10 gross minimum order</v>
      </c>
      <c r="G1590" s="22" t="str">
        <f t="shared" si="125"/>
        <v>GS</v>
      </c>
      <c r="H1590" s="23">
        <v>29.99</v>
      </c>
      <c r="I1590" s="21" t="str">
        <f t="shared" si="124"/>
        <v>44121706</v>
      </c>
      <c r="J1590" s="25" t="s">
        <v>147</v>
      </c>
    </row>
    <row r="1591" spans="1:10" ht="39">
      <c r="A1591" s="9" t="s">
        <v>27</v>
      </c>
      <c r="B1591" s="2" t="s">
        <v>17</v>
      </c>
      <c r="C1591" s="2">
        <v>3206</v>
      </c>
      <c r="D1591" s="2">
        <v>62</v>
      </c>
      <c r="E1591" s="2" t="str">
        <f>"1000012072"</f>
        <v>1000012072</v>
      </c>
      <c r="F1591" s="2" t="str">
        <f>"PENCIL:Pastel Blue, custom imprinted, wood, #2 pencils, max imprint 3/4x4, customer supplied art, 10 gross minimum order"</f>
        <v>PENCIL:Pastel Blue, custom imprinted, wood, #2 pencils, max imprint 3/4x4, customer supplied art, 10 gross minimum order</v>
      </c>
      <c r="G1591" s="3" t="str">
        <f t="shared" si="125"/>
        <v>GS</v>
      </c>
      <c r="H1591" s="7">
        <v>29.99</v>
      </c>
      <c r="I1591" s="2" t="str">
        <f t="shared" si="124"/>
        <v>44121706</v>
      </c>
      <c r="J1591" s="10" t="s">
        <v>147</v>
      </c>
    </row>
    <row r="1592" spans="1:10" ht="39">
      <c r="A1592" s="24" t="s">
        <v>27</v>
      </c>
      <c r="B1592" s="21" t="s">
        <v>17</v>
      </c>
      <c r="C1592" s="21">
        <v>3206</v>
      </c>
      <c r="D1592" s="21">
        <v>63</v>
      </c>
      <c r="E1592" s="21" t="str">
        <f>"1000012047"</f>
        <v>1000012047</v>
      </c>
      <c r="F1592" s="21" t="str">
        <f>"PENCIL:Pastel Green, custom imprinted, wood, #2 pencils, max imprint 3/4x4, customer supplied art, 10 gross minimum order"</f>
        <v>PENCIL:Pastel Green, custom imprinted, wood, #2 pencils, max imprint 3/4x4, customer supplied art, 10 gross minimum order</v>
      </c>
      <c r="G1592" s="22" t="str">
        <f t="shared" si="125"/>
        <v>GS</v>
      </c>
      <c r="H1592" s="23">
        <v>29.99</v>
      </c>
      <c r="I1592" s="21" t="str">
        <f t="shared" si="124"/>
        <v>44121706</v>
      </c>
      <c r="J1592" s="25" t="s">
        <v>147</v>
      </c>
    </row>
    <row r="1593" spans="1:10" ht="39">
      <c r="A1593" s="9" t="s">
        <v>27</v>
      </c>
      <c r="B1593" s="2" t="s">
        <v>17</v>
      </c>
      <c r="C1593" s="2">
        <v>3206</v>
      </c>
      <c r="D1593" s="2">
        <v>64</v>
      </c>
      <c r="E1593" s="2" t="str">
        <f>"1000012048"</f>
        <v>1000012048</v>
      </c>
      <c r="F1593" s="2" t="str">
        <f>"PENCIL:Pastel Pink, custom imprinted, wood, #2 pencils, max imprint 3/4x4, customer supplied art, 10 gross minimum order"</f>
        <v>PENCIL:Pastel Pink, custom imprinted, wood, #2 pencils, max imprint 3/4x4, customer supplied art, 10 gross minimum order</v>
      </c>
      <c r="G1593" s="3" t="str">
        <f t="shared" si="125"/>
        <v>GS</v>
      </c>
      <c r="H1593" s="7">
        <v>29.99</v>
      </c>
      <c r="I1593" s="2" t="str">
        <f t="shared" si="124"/>
        <v>44121706</v>
      </c>
      <c r="J1593" s="10" t="s">
        <v>147</v>
      </c>
    </row>
    <row r="1594" spans="1:10" ht="39">
      <c r="A1594" s="24" t="s">
        <v>27</v>
      </c>
      <c r="B1594" s="21" t="s">
        <v>17</v>
      </c>
      <c r="C1594" s="21">
        <v>3206</v>
      </c>
      <c r="D1594" s="21">
        <v>65</v>
      </c>
      <c r="E1594" s="21" t="str">
        <f>"1000012049"</f>
        <v>1000012049</v>
      </c>
      <c r="F1594" s="21" t="str">
        <f>"PENCIL:Pastel Yellow, custom imprinted, wood, #2 pencils, max imprint 3/4x4, customer supplied art, 10 gross minimum order"</f>
        <v>PENCIL:Pastel Yellow, custom imprinted, wood, #2 pencils, max imprint 3/4x4, customer supplied art, 10 gross minimum order</v>
      </c>
      <c r="G1594" s="22" t="str">
        <f t="shared" si="125"/>
        <v>GS</v>
      </c>
      <c r="H1594" s="23">
        <v>29.99</v>
      </c>
      <c r="I1594" s="21" t="str">
        <f t="shared" si="124"/>
        <v>44121706</v>
      </c>
      <c r="J1594" s="25" t="s">
        <v>147</v>
      </c>
    </row>
    <row r="1595" spans="1:10" ht="39">
      <c r="A1595" s="9" t="s">
        <v>27</v>
      </c>
      <c r="B1595" s="2" t="s">
        <v>17</v>
      </c>
      <c r="C1595" s="2">
        <v>3206</v>
      </c>
      <c r="D1595" s="2">
        <v>66</v>
      </c>
      <c r="E1595" s="2" t="str">
        <f>"1000012050"</f>
        <v>1000012050</v>
      </c>
      <c r="F1595" s="2" t="str">
        <f>"PENCIL:Purple, custom imprinted, wood, #2 pencils, max imprint 3/4x4, customer supplied art, 10 gross minimum order"</f>
        <v>PENCIL:Purple, custom imprinted, wood, #2 pencils, max imprint 3/4x4, customer supplied art, 10 gross minimum order</v>
      </c>
      <c r="G1595" s="3" t="str">
        <f t="shared" si="125"/>
        <v>GS</v>
      </c>
      <c r="H1595" s="7">
        <v>29.99</v>
      </c>
      <c r="I1595" s="2" t="str">
        <f t="shared" si="124"/>
        <v>44121706</v>
      </c>
      <c r="J1595" s="10" t="s">
        <v>147</v>
      </c>
    </row>
    <row r="1596" spans="1:10" ht="39">
      <c r="A1596" s="24" t="s">
        <v>27</v>
      </c>
      <c r="B1596" s="21" t="s">
        <v>17</v>
      </c>
      <c r="C1596" s="21">
        <v>3206</v>
      </c>
      <c r="D1596" s="21">
        <v>67</v>
      </c>
      <c r="E1596" s="21" t="str">
        <f>"1000012051"</f>
        <v>1000012051</v>
      </c>
      <c r="F1596" s="21" t="str">
        <f>"PENCIL:Teal, custom imprinted, wood, #2 pencils, max imprint 3/4x4, customer supplied art, 10 gross minimum order"</f>
        <v>PENCIL:Teal, custom imprinted, wood, #2 pencils, max imprint 3/4x4, customer supplied art, 10 gross minimum order</v>
      </c>
      <c r="G1596" s="22" t="str">
        <f t="shared" si="125"/>
        <v>GS</v>
      </c>
      <c r="H1596" s="23">
        <v>29.99</v>
      </c>
      <c r="I1596" s="21" t="str">
        <f t="shared" si="124"/>
        <v>44121706</v>
      </c>
      <c r="J1596" s="25" t="s">
        <v>147</v>
      </c>
    </row>
    <row r="1597" spans="1:10" ht="39">
      <c r="A1597" s="9" t="s">
        <v>27</v>
      </c>
      <c r="B1597" s="2" t="s">
        <v>17</v>
      </c>
      <c r="C1597" s="2">
        <v>3206</v>
      </c>
      <c r="D1597" s="2">
        <v>68</v>
      </c>
      <c r="E1597" s="2" t="str">
        <f>"1000012052"</f>
        <v>1000012052</v>
      </c>
      <c r="F1597" s="2" t="str">
        <f>"PENCIL:Copper, custom imprinted, wood, #2 pencils, max imprint 3/4x4, customer supplied art, 10 gross minimum order"</f>
        <v>PENCIL:Copper, custom imprinted, wood, #2 pencils, max imprint 3/4x4, customer supplied art, 10 gross minimum order</v>
      </c>
      <c r="G1597" s="3" t="str">
        <f t="shared" si="125"/>
        <v>GS</v>
      </c>
      <c r="H1597" s="7">
        <v>29.99</v>
      </c>
      <c r="I1597" s="2" t="str">
        <f t="shared" si="124"/>
        <v>44121706</v>
      </c>
      <c r="J1597" s="10" t="s">
        <v>147</v>
      </c>
    </row>
    <row r="1598" spans="1:10" ht="39">
      <c r="A1598" s="24" t="s">
        <v>27</v>
      </c>
      <c r="B1598" s="21" t="s">
        <v>17</v>
      </c>
      <c r="C1598" s="21">
        <v>3206</v>
      </c>
      <c r="D1598" s="21">
        <v>69</v>
      </c>
      <c r="E1598" s="21" t="str">
        <f>"1000012053"</f>
        <v>1000012053</v>
      </c>
      <c r="F1598" s="21" t="str">
        <f>"PENCIL:Pink, custom imprinted, wood, #2 pencils, max imprint 3/4x4, customer supplied art, 10 gross minimum order"</f>
        <v>PENCIL:Pink, custom imprinted, wood, #2 pencils, max imprint 3/4x4, customer supplied art, 10 gross minimum order</v>
      </c>
      <c r="G1598" s="22" t="str">
        <f t="shared" si="125"/>
        <v>GS</v>
      </c>
      <c r="H1598" s="23">
        <v>29.99</v>
      </c>
      <c r="I1598" s="21" t="str">
        <f t="shared" si="124"/>
        <v>44121706</v>
      </c>
      <c r="J1598" s="25" t="s">
        <v>147</v>
      </c>
    </row>
    <row r="1599" spans="1:10" ht="39">
      <c r="A1599" s="9" t="s">
        <v>27</v>
      </c>
      <c r="B1599" s="2" t="s">
        <v>17</v>
      </c>
      <c r="C1599" s="2">
        <v>3206</v>
      </c>
      <c r="D1599" s="2">
        <v>70</v>
      </c>
      <c r="E1599" s="2" t="str">
        <f>"1000012054"</f>
        <v>1000012054</v>
      </c>
      <c r="F1599" s="2" t="str">
        <f>"PENCIL:Light Purple, custom imprinted, wood, #2 pencils, max imprint 3/4x4, customer supplied art, 10 gross minimum order"</f>
        <v>PENCIL:Light Purple, custom imprinted, wood, #2 pencils, max imprint 3/4x4, customer supplied art, 10 gross minimum order</v>
      </c>
      <c r="G1599" s="3" t="str">
        <f t="shared" si="125"/>
        <v>GS</v>
      </c>
      <c r="H1599" s="7">
        <v>29.99</v>
      </c>
      <c r="I1599" s="2" t="str">
        <f t="shared" si="124"/>
        <v>44121706</v>
      </c>
      <c r="J1599" s="10" t="s">
        <v>147</v>
      </c>
    </row>
    <row r="1600" spans="1:10" ht="39">
      <c r="A1600" s="24" t="s">
        <v>27</v>
      </c>
      <c r="B1600" s="21" t="s">
        <v>17</v>
      </c>
      <c r="C1600" s="21">
        <v>3206</v>
      </c>
      <c r="D1600" s="21">
        <v>71</v>
      </c>
      <c r="E1600" s="21" t="str">
        <f>"1000012055"</f>
        <v>1000012055</v>
      </c>
      <c r="F1600" s="21" t="str">
        <f>"PENCIL:Neon Green, custom imprinted, wood, #2 pencils, max imprint 3/4x4, customer supplied art, 10 gross minimum order"</f>
        <v>PENCIL:Neon Green, custom imprinted, wood, #2 pencils, max imprint 3/4x4, customer supplied art, 10 gross minimum order</v>
      </c>
      <c r="G1600" s="22" t="str">
        <f t="shared" si="125"/>
        <v>GS</v>
      </c>
      <c r="H1600" s="23">
        <v>31.99</v>
      </c>
      <c r="I1600" s="21" t="str">
        <f t="shared" si="124"/>
        <v>44121706</v>
      </c>
      <c r="J1600" s="25" t="s">
        <v>147</v>
      </c>
    </row>
    <row r="1601" spans="1:10" ht="39">
      <c r="A1601" s="9" t="s">
        <v>27</v>
      </c>
      <c r="B1601" s="2" t="s">
        <v>17</v>
      </c>
      <c r="C1601" s="2">
        <v>3206</v>
      </c>
      <c r="D1601" s="2">
        <v>72</v>
      </c>
      <c r="E1601" s="2" t="str">
        <f>"1000012056"</f>
        <v>1000012056</v>
      </c>
      <c r="F1601" s="2" t="str">
        <f>"PENCIL:Neon Yellow, custom imprinted, wood, #2 pencils, max imprint 3/4x4, customer supplied art, 10 gross minimum order"</f>
        <v>PENCIL:Neon Yellow, custom imprinted, wood, #2 pencils, max imprint 3/4x4, customer supplied art, 10 gross minimum order</v>
      </c>
      <c r="G1601" s="3" t="str">
        <f t="shared" si="125"/>
        <v>GS</v>
      </c>
      <c r="H1601" s="7">
        <v>31.99</v>
      </c>
      <c r="I1601" s="2" t="str">
        <f t="shared" si="124"/>
        <v>44121706</v>
      </c>
      <c r="J1601" s="10" t="s">
        <v>147</v>
      </c>
    </row>
    <row r="1602" spans="1:10" ht="39">
      <c r="A1602" s="24" t="s">
        <v>27</v>
      </c>
      <c r="B1602" s="21" t="s">
        <v>17</v>
      </c>
      <c r="C1602" s="21">
        <v>3206</v>
      </c>
      <c r="D1602" s="21">
        <v>73</v>
      </c>
      <c r="E1602" s="21" t="str">
        <f>"1000012057"</f>
        <v>1000012057</v>
      </c>
      <c r="F1602" s="21" t="str">
        <f>"PENCIL:Neon Pink, custom imprinted, wood, #2 pencils, max imprint 3/4x4, customer supplied art, 10 gross minimum order"</f>
        <v>PENCIL:Neon Pink, custom imprinted, wood, #2 pencils, max imprint 3/4x4, customer supplied art, 10 gross minimum order</v>
      </c>
      <c r="G1602" s="22" t="str">
        <f t="shared" si="125"/>
        <v>GS</v>
      </c>
      <c r="H1602" s="23">
        <v>31.99</v>
      </c>
      <c r="I1602" s="21" t="str">
        <f t="shared" si="124"/>
        <v>44121706</v>
      </c>
      <c r="J1602" s="25" t="s">
        <v>147</v>
      </c>
    </row>
    <row r="1603" spans="1:10" ht="39">
      <c r="A1603" s="9" t="s">
        <v>27</v>
      </c>
      <c r="B1603" s="2" t="s">
        <v>17</v>
      </c>
      <c r="C1603" s="2">
        <v>3206</v>
      </c>
      <c r="D1603" s="2">
        <v>74</v>
      </c>
      <c r="E1603" s="2" t="str">
        <f>"1000012058"</f>
        <v>1000012058</v>
      </c>
      <c r="F1603" s="2" t="str">
        <f>"PENCIL:Neon Orange, custom imprinted, wood, #2 pencils, max imprint 3/4x4, customer supplied art, 10 gross minimum order"</f>
        <v>PENCIL:Neon Orange, custom imprinted, wood, #2 pencils, max imprint 3/4x4, customer supplied art, 10 gross minimum order</v>
      </c>
      <c r="G1603" s="3" t="str">
        <f t="shared" si="125"/>
        <v>GS</v>
      </c>
      <c r="H1603" s="7">
        <v>31.99</v>
      </c>
      <c r="I1603" s="2" t="str">
        <f t="shared" si="124"/>
        <v>44121706</v>
      </c>
      <c r="J1603" s="10" t="s">
        <v>147</v>
      </c>
    </row>
    <row r="1604" spans="1:10" ht="26.25">
      <c r="A1604" s="24" t="s">
        <v>27</v>
      </c>
      <c r="B1604" s="21" t="s">
        <v>17</v>
      </c>
      <c r="C1604" s="21">
        <v>3206</v>
      </c>
      <c r="D1604" s="21">
        <v>75</v>
      </c>
      <c r="E1604" s="21" t="str">
        <f>"1000012059"</f>
        <v>1000012059</v>
      </c>
      <c r="F1604" s="21" t="str">
        <f>"PENCIL:Golf Pro, round w/ eraser, no imprint, medium lead, 144 per box"</f>
        <v>PENCIL:Golf Pro, round w/ eraser, no imprint, medium lead, 144 per box</v>
      </c>
      <c r="G1604" s="22" t="str">
        <f t="shared" si="125"/>
        <v>GS</v>
      </c>
      <c r="H1604" s="23">
        <v>14</v>
      </c>
      <c r="I1604" s="21" t="str">
        <f t="shared" si="124"/>
        <v>44121706</v>
      </c>
      <c r="J1604" s="25" t="s">
        <v>147</v>
      </c>
    </row>
    <row r="1605" spans="1:10" ht="64.5">
      <c r="A1605" s="9" t="s">
        <v>27</v>
      </c>
      <c r="B1605" s="2" t="s">
        <v>17</v>
      </c>
      <c r="C1605" s="2">
        <v>3206</v>
      </c>
      <c r="D1605" s="2">
        <v>76</v>
      </c>
      <c r="E1605" s="2" t="str">
        <f>"1000004564"</f>
        <v>1000004564</v>
      </c>
      <c r="F1605" s="2" t="str">
        <f>"CORRECTION TAPE: 1/6""x394""Wht 1-line. Press and roll correction tape, plastic, easy to use dispenser, 180 degree swivel head for left and right handed users. No drying time required. No copy or fax shadows. Use on all paper."</f>
        <v>CORRECTION TAPE: 1/6"x394"Wht 1-line. Press and roll correction tape, plastic, easy to use dispenser, 180 degree swivel head for left and right handed users. No drying time required. No copy or fax shadows. Use on all paper.</v>
      </c>
      <c r="G1605" s="3" t="str">
        <f>"EA"</f>
        <v>EA</v>
      </c>
      <c r="H1605" s="7">
        <v>1.87</v>
      </c>
      <c r="I1605" s="2" t="str">
        <f>"44121801"</f>
        <v>44121801</v>
      </c>
      <c r="J1605" s="10" t="s">
        <v>148</v>
      </c>
    </row>
    <row r="1606" spans="1:10" ht="63.75">
      <c r="A1606" s="9" t="s">
        <v>27</v>
      </c>
      <c r="B1606" s="2" t="s">
        <v>17</v>
      </c>
      <c r="C1606" s="2">
        <v>3206</v>
      </c>
      <c r="D1606" s="2">
        <v>79</v>
      </c>
      <c r="E1606" s="2">
        <v>1000030005</v>
      </c>
      <c r="F1606" s="4" t="s">
        <v>928</v>
      </c>
      <c r="G1606" s="74" t="s">
        <v>853</v>
      </c>
      <c r="H1606" s="7">
        <v>6.5</v>
      </c>
      <c r="I1606" s="2">
        <v>44121705</v>
      </c>
      <c r="J1606" s="11" t="s">
        <v>146</v>
      </c>
    </row>
    <row r="1607" spans="1:10" ht="63.75">
      <c r="A1607" s="9" t="s">
        <v>27</v>
      </c>
      <c r="B1607" s="2" t="s">
        <v>17</v>
      </c>
      <c r="C1607" s="2">
        <v>3206</v>
      </c>
      <c r="D1607" s="2">
        <v>80</v>
      </c>
      <c r="E1607" s="2">
        <v>1000030006</v>
      </c>
      <c r="F1607" s="4" t="s">
        <v>927</v>
      </c>
      <c r="G1607" s="74" t="s">
        <v>853</v>
      </c>
      <c r="H1607" s="7">
        <v>6.5</v>
      </c>
      <c r="I1607" s="2">
        <v>44121705</v>
      </c>
      <c r="J1607" s="11" t="s">
        <v>146</v>
      </c>
    </row>
    <row r="1608" spans="1:10" ht="51">
      <c r="A1608" s="9" t="s">
        <v>27</v>
      </c>
      <c r="B1608" s="2" t="s">
        <v>17</v>
      </c>
      <c r="C1608" s="2">
        <v>3206</v>
      </c>
      <c r="D1608" s="2">
        <v>81</v>
      </c>
      <c r="E1608" s="2">
        <v>1000030007</v>
      </c>
      <c r="F1608" s="4" t="s">
        <v>929</v>
      </c>
      <c r="G1608" s="74" t="s">
        <v>853</v>
      </c>
      <c r="H1608" s="7">
        <v>31.28</v>
      </c>
      <c r="I1608" s="2">
        <v>44121705</v>
      </c>
      <c r="J1608" s="11" t="s">
        <v>146</v>
      </c>
    </row>
    <row r="1609" spans="1:10" ht="51">
      <c r="A1609" s="9" t="s">
        <v>27</v>
      </c>
      <c r="B1609" s="2" t="s">
        <v>17</v>
      </c>
      <c r="C1609" s="2">
        <v>3206</v>
      </c>
      <c r="D1609" s="2">
        <v>82</v>
      </c>
      <c r="E1609" s="2">
        <v>1000030008</v>
      </c>
      <c r="F1609" s="4" t="s">
        <v>930</v>
      </c>
      <c r="G1609" s="74" t="s">
        <v>853</v>
      </c>
      <c r="H1609" s="7">
        <v>31.5</v>
      </c>
      <c r="I1609" s="2">
        <v>44121705</v>
      </c>
      <c r="J1609" s="11" t="s">
        <v>146</v>
      </c>
    </row>
    <row r="1610" spans="1:10" ht="51">
      <c r="A1610" s="9" t="s">
        <v>27</v>
      </c>
      <c r="B1610" s="2" t="s">
        <v>17</v>
      </c>
      <c r="C1610" s="2">
        <v>3206</v>
      </c>
      <c r="D1610" s="2">
        <v>83</v>
      </c>
      <c r="E1610" s="2">
        <v>1000030009</v>
      </c>
      <c r="F1610" s="4" t="s">
        <v>931</v>
      </c>
      <c r="G1610" s="74" t="s">
        <v>853</v>
      </c>
      <c r="H1610" s="7">
        <v>15.75</v>
      </c>
      <c r="I1610" s="2">
        <v>44121705</v>
      </c>
      <c r="J1610" s="11" t="s">
        <v>146</v>
      </c>
    </row>
    <row r="1611" spans="1:10" ht="51">
      <c r="A1611" s="9" t="s">
        <v>27</v>
      </c>
      <c r="B1611" s="2" t="s">
        <v>17</v>
      </c>
      <c r="C1611" s="2">
        <v>3206</v>
      </c>
      <c r="D1611" s="2">
        <v>84</v>
      </c>
      <c r="E1611" s="2">
        <v>1000030010</v>
      </c>
      <c r="F1611" s="93" t="s">
        <v>932</v>
      </c>
      <c r="G1611" s="74" t="s">
        <v>853</v>
      </c>
      <c r="H1611" s="7">
        <v>10.5</v>
      </c>
      <c r="I1611" s="95">
        <v>44121705</v>
      </c>
      <c r="J1611" s="11" t="s">
        <v>146</v>
      </c>
    </row>
    <row r="1612" spans="1:10" ht="51">
      <c r="A1612" s="9" t="s">
        <v>27</v>
      </c>
      <c r="B1612" s="2" t="s">
        <v>17</v>
      </c>
      <c r="C1612" s="2">
        <v>3206</v>
      </c>
      <c r="D1612" s="2"/>
      <c r="E1612" s="2">
        <v>1000030011</v>
      </c>
      <c r="F1612" s="93" t="s">
        <v>933</v>
      </c>
      <c r="G1612" s="74" t="s">
        <v>853</v>
      </c>
      <c r="H1612" s="7">
        <v>19.5</v>
      </c>
      <c r="I1612" s="95">
        <v>44121705</v>
      </c>
      <c r="J1612" s="11" t="s">
        <v>146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sheetPr codeName="Sheet10"/>
  <dimension ref="A1:J78"/>
  <sheetViews>
    <sheetView workbookViewId="0">
      <selection activeCell="B2" sqref="B2"/>
    </sheetView>
  </sheetViews>
  <sheetFormatPr defaultRowHeight="15"/>
  <cols>
    <col min="1" max="1" width="6.5703125" bestFit="1" customWidth="1"/>
    <col min="2" max="2" width="6.28515625" customWidth="1"/>
    <col min="3" max="3" width="5.85546875" customWidth="1"/>
    <col min="4" max="4" width="5" customWidth="1"/>
    <col min="5" max="5" width="11" bestFit="1" customWidth="1"/>
    <col min="6" max="6" width="37.28515625" customWidth="1"/>
    <col min="7" max="7" width="7.140625" customWidth="1"/>
    <col min="8" max="8" width="6.42578125" bestFit="1" customWidth="1"/>
    <col min="9" max="9" width="9" bestFit="1" customWidth="1"/>
    <col min="10" max="10" width="21.140625" bestFit="1" customWidth="1"/>
  </cols>
  <sheetData>
    <row r="1" spans="1:10" s="6" customFormat="1" ht="12.75">
      <c r="A1" s="32" t="s">
        <v>71</v>
      </c>
      <c r="B1" s="33" t="s">
        <v>208</v>
      </c>
      <c r="C1" s="33" t="s">
        <v>65</v>
      </c>
      <c r="D1" s="33" t="s">
        <v>207</v>
      </c>
      <c r="E1" s="33" t="s">
        <v>20</v>
      </c>
      <c r="F1" s="33" t="s">
        <v>21</v>
      </c>
      <c r="G1" s="33" t="s">
        <v>22</v>
      </c>
      <c r="H1" s="34" t="s">
        <v>66</v>
      </c>
      <c r="I1" s="33" t="s">
        <v>206</v>
      </c>
      <c r="J1" s="35" t="s">
        <v>205</v>
      </c>
    </row>
    <row r="2" spans="1:10" ht="51.75">
      <c r="A2" s="31" t="s">
        <v>59</v>
      </c>
      <c r="B2" s="31" t="s">
        <v>57</v>
      </c>
      <c r="C2" s="31">
        <v>3153</v>
      </c>
      <c r="D2" s="31">
        <v>1</v>
      </c>
      <c r="E2" s="31" t="str">
        <f>"1000028474"</f>
        <v>1000028474</v>
      </c>
      <c r="F2" s="31" t="str">
        <f>"FACE TISSUE: Prem 100/BX 30BX/CA - Premium, 2 Ply facial tissue, Flat box, Size 8x8.33, 100 sheets/box, 30 boxes/case. Approx Case weight 12 lbs"</f>
        <v>FACE TISSUE: Prem 100/BX 30BX/CA - Premium, 2 Ply facial tissue, Flat box, Size 8x8.33, 100 sheets/box, 30 boxes/case. Approx Case weight 12 lbs</v>
      </c>
      <c r="G2" s="37" t="str">
        <f t="shared" ref="G2:G33" si="0">"CA"</f>
        <v>CA</v>
      </c>
      <c r="H2" s="38">
        <v>32.159999999999997</v>
      </c>
      <c r="I2" s="31" t="str">
        <f t="shared" ref="I2:I8" si="1">"14111701"</f>
        <v>14111701</v>
      </c>
      <c r="J2" s="31" t="s">
        <v>157</v>
      </c>
    </row>
    <row r="3" spans="1:10" ht="51.75">
      <c r="A3" s="31" t="s">
        <v>59</v>
      </c>
      <c r="B3" s="31" t="s">
        <v>57</v>
      </c>
      <c r="C3" s="31">
        <v>3153</v>
      </c>
      <c r="D3" s="31">
        <v>2</v>
      </c>
      <c r="E3" s="31" t="str">
        <f>"1000028475"</f>
        <v>1000028475</v>
      </c>
      <c r="F3" s="31" t="str">
        <f>"FACE TISSUE: Std 100/BX 30BX/CA - Standard, 2 Ply facial tissue, Flat box, Size 7.75x8, 100 sheets/box, 30 boxes/case. Approx Case weight 12 lbs."</f>
        <v>FACE TISSUE: Std 100/BX 30BX/CA - Standard, 2 Ply facial tissue, Flat box, Size 7.75x8, 100 sheets/box, 30 boxes/case. Approx Case weight 12 lbs.</v>
      </c>
      <c r="G3" s="37" t="str">
        <f t="shared" si="0"/>
        <v>CA</v>
      </c>
      <c r="H3" s="38">
        <v>27.38</v>
      </c>
      <c r="I3" s="31" t="str">
        <f t="shared" si="1"/>
        <v>14111701</v>
      </c>
      <c r="J3" s="31" t="s">
        <v>157</v>
      </c>
    </row>
    <row r="4" spans="1:10" ht="64.5">
      <c r="A4" s="31" t="s">
        <v>59</v>
      </c>
      <c r="B4" s="31" t="s">
        <v>57</v>
      </c>
      <c r="C4" s="31">
        <v>3153</v>
      </c>
      <c r="D4" s="31">
        <v>3</v>
      </c>
      <c r="E4" s="31" t="str">
        <f>"1000028476"</f>
        <v>1000028476</v>
      </c>
      <c r="F4" s="31" t="str">
        <f>"FACE TISSUE: Econ 100/BX 30BX/CA - Economy, 2 Ply facial tissue, Flat box, Size 7.68x8.25, 100 sheets/box, 30 boxes/case. Variance in sheet size and quantity is less than 1%. Approx Case weight 6.62 lbs."</f>
        <v>FACE TISSUE: Econ 100/BX 30BX/CA - Economy, 2 Ply facial tissue, Flat box, Size 7.68x8.25, 100 sheets/box, 30 boxes/case. Variance in sheet size and quantity is less than 1%. Approx Case weight 6.62 lbs.</v>
      </c>
      <c r="G4" s="37" t="str">
        <f t="shared" si="0"/>
        <v>CA</v>
      </c>
      <c r="H4" s="38">
        <v>20.78</v>
      </c>
      <c r="I4" s="31" t="str">
        <f t="shared" si="1"/>
        <v>14111701</v>
      </c>
      <c r="J4" s="31" t="s">
        <v>157</v>
      </c>
    </row>
    <row r="5" spans="1:10" ht="64.5">
      <c r="A5" s="31" t="s">
        <v>59</v>
      </c>
      <c r="B5" s="31" t="s">
        <v>57</v>
      </c>
      <c r="C5" s="31">
        <v>3153</v>
      </c>
      <c r="D5" s="31">
        <v>4</v>
      </c>
      <c r="E5" s="31" t="str">
        <f>"1000028477"</f>
        <v>1000028477</v>
      </c>
      <c r="F5" s="31" t="str">
        <f>"FACE TISSUE: Grn 100/BX 30BX/CA - Green, 2 Ply facial tissue, Flat box, Size 7.9x8.2, 100 sheets/box, 30 boxes/case. EcoLogo Certified, 100% recycled, 30% post consumer recycled content. Approx Case weight 11.6 lbs"</f>
        <v>FACE TISSUE: Grn 100/BX 30BX/CA - Green, 2 Ply facial tissue, Flat box, Size 7.9x8.2, 100 sheets/box, 30 boxes/case. EcoLogo Certified, 100% recycled, 30% post consumer recycled content. Approx Case weight 11.6 lbs</v>
      </c>
      <c r="G5" s="37" t="str">
        <f t="shared" si="0"/>
        <v>CA</v>
      </c>
      <c r="H5" s="38">
        <v>28.81</v>
      </c>
      <c r="I5" s="31" t="str">
        <f t="shared" si="1"/>
        <v>14111701</v>
      </c>
      <c r="J5" s="31" t="s">
        <v>157</v>
      </c>
    </row>
    <row r="6" spans="1:10" ht="51.75">
      <c r="A6" s="31" t="s">
        <v>59</v>
      </c>
      <c r="B6" s="31" t="s">
        <v>57</v>
      </c>
      <c r="C6" s="31">
        <v>3153</v>
      </c>
      <c r="D6" s="31">
        <v>5</v>
      </c>
      <c r="E6" s="31" t="str">
        <f>"1000028532"</f>
        <v>1000028532</v>
      </c>
      <c r="F6" s="31" t="str">
        <f>"FACE TISSUE: Prem 90/BX 48BX/CA - Premium, 2 Ply Facial tissue, Cube box, Size 8x8, 90 sheets/box, 48 boxes/case. Approx. case weight 17 lbs"</f>
        <v>FACE TISSUE: Prem 90/BX 48BX/CA - Premium, 2 Ply Facial tissue, Cube box, Size 8x8, 90 sheets/box, 48 boxes/case. Approx. case weight 17 lbs</v>
      </c>
      <c r="G6" s="37" t="str">
        <f t="shared" si="0"/>
        <v>CA</v>
      </c>
      <c r="H6" s="38">
        <v>58.9</v>
      </c>
      <c r="I6" s="31" t="str">
        <f t="shared" si="1"/>
        <v>14111701</v>
      </c>
      <c r="J6" s="31" t="s">
        <v>157</v>
      </c>
    </row>
    <row r="7" spans="1:10" ht="51.75">
      <c r="A7" s="31" t="s">
        <v>59</v>
      </c>
      <c r="B7" s="31" t="s">
        <v>57</v>
      </c>
      <c r="C7" s="31">
        <v>3153</v>
      </c>
      <c r="D7" s="31">
        <v>6</v>
      </c>
      <c r="E7" s="31" t="str">
        <f>"1000028533"</f>
        <v>1000028533</v>
      </c>
      <c r="F7" s="31" t="str">
        <f>"FACE TISSUE: Std 94/BX 36BX/CA - Standard, 2 Ply Facial tissue, Cube box, Size 8.2x7.9, 94 sheets/box, 36 boxes/case. Approx Case weight 14.1 lbs"</f>
        <v>FACE TISSUE: Std 94/BX 36BX/CA - Standard, 2 Ply Facial tissue, Cube box, Size 8.2x7.9, 94 sheets/box, 36 boxes/case. Approx Case weight 14.1 lbs</v>
      </c>
      <c r="G7" s="37" t="str">
        <f t="shared" si="0"/>
        <v>CA</v>
      </c>
      <c r="H7" s="38">
        <v>57.9</v>
      </c>
      <c r="I7" s="31" t="str">
        <f t="shared" si="1"/>
        <v>14111701</v>
      </c>
      <c r="J7" s="31" t="s">
        <v>157</v>
      </c>
    </row>
    <row r="8" spans="1:10" ht="51.75">
      <c r="A8" s="31" t="s">
        <v>59</v>
      </c>
      <c r="B8" s="31" t="s">
        <v>57</v>
      </c>
      <c r="C8" s="31">
        <v>3153</v>
      </c>
      <c r="D8" s="31">
        <v>7</v>
      </c>
      <c r="E8" s="31" t="str">
        <f>"1000028511"</f>
        <v>1000028511</v>
      </c>
      <c r="F8" s="31" t="str">
        <f>"FACE TISSUE: Econ 85/BX 36BX/CA - Economy, 2 Ply Facial tissue, Cube box, Size 8.25x7.68, 85 sheets/box, 36 boxes/case. Approx Case weight 8.4 lbs"</f>
        <v>FACE TISSUE: Econ 85/BX 36BX/CA - Economy, 2 Ply Facial tissue, Cube box, Size 8.25x7.68, 85 sheets/box, 36 boxes/case. Approx Case weight 8.4 lbs</v>
      </c>
      <c r="G8" s="37" t="str">
        <f t="shared" si="0"/>
        <v>CA</v>
      </c>
      <c r="H8" s="38">
        <v>23.3</v>
      </c>
      <c r="I8" s="31" t="str">
        <f t="shared" si="1"/>
        <v>14111701</v>
      </c>
      <c r="J8" s="31" t="s">
        <v>157</v>
      </c>
    </row>
    <row r="9" spans="1:10" ht="90">
      <c r="A9" s="31" t="s">
        <v>59</v>
      </c>
      <c r="B9" s="31" t="s">
        <v>57</v>
      </c>
      <c r="C9" s="31">
        <v>3153</v>
      </c>
      <c r="D9" s="31">
        <v>9</v>
      </c>
      <c r="E9" s="31" t="str">
        <f>"1000028536"</f>
        <v>1000028536</v>
      </c>
      <c r="F9" s="31" t="str">
        <f>"BATH TISSUE: Econ 1 Ply 96RL/CA - Economy, 1 ply natural toilet paper, perforated 4.25x3.5 sheets, 1000 sheets/roll, 96 rolls/case. Individually wrapped. Variance in sheet size and sheet quantity is less than 1%. Approx Case Weight 33.96 lbs (RECYCLED)"</f>
        <v>BATH TISSUE: Econ 1 Ply 96RL/CA - Economy, 1 ply natural toilet paper, perforated 4.25x3.5 sheets, 1000 sheets/roll, 96 rolls/case. Individually wrapped. Variance in sheet size and sheet quantity is less than 1%. Approx Case Weight 33.96 lbs (RECYCLED)</v>
      </c>
      <c r="G9" s="37" t="str">
        <f t="shared" si="0"/>
        <v>CA</v>
      </c>
      <c r="H9" s="38">
        <v>50.09</v>
      </c>
      <c r="I9" s="31" t="str">
        <f t="shared" ref="I9:I21" si="2">"14111704"</f>
        <v>14111704</v>
      </c>
      <c r="J9" s="31" t="s">
        <v>158</v>
      </c>
    </row>
    <row r="10" spans="1:10" ht="77.25">
      <c r="A10" s="31" t="s">
        <v>59</v>
      </c>
      <c r="B10" s="31" t="s">
        <v>57</v>
      </c>
      <c r="C10" s="31">
        <v>3153</v>
      </c>
      <c r="D10" s="31">
        <v>10</v>
      </c>
      <c r="E10" s="31" t="str">
        <f>"1000028537"</f>
        <v>1000028537</v>
      </c>
      <c r="F10" s="31" t="str">
        <f>"BATH TISSUE: Grn 1 Ply 80RL/CA - Green, 1 ply natural toilet paper, perforated 4.1x3.75 sheets, 1210 sheets/roll, 80 rolls/case. Individually wrapped. EcoLogo Certified, 20% post consumer recycled content. Approx Case Weight 42.5 lbs."</f>
        <v>BATH TISSUE: Grn 1 Ply 80RL/CA - Green, 1 ply natural toilet paper, perforated 4.1x3.75 sheets, 1210 sheets/roll, 80 rolls/case. Individually wrapped. EcoLogo Certified, 20% post consumer recycled content. Approx Case Weight 42.5 lbs.</v>
      </c>
      <c r="G10" s="37" t="str">
        <f t="shared" si="0"/>
        <v>CA</v>
      </c>
      <c r="H10" s="38">
        <v>69.069999999999993</v>
      </c>
      <c r="I10" s="31" t="str">
        <f t="shared" si="2"/>
        <v>14111704</v>
      </c>
      <c r="J10" s="31" t="s">
        <v>158</v>
      </c>
    </row>
    <row r="11" spans="1:10" ht="64.5">
      <c r="A11" s="31" t="s">
        <v>59</v>
      </c>
      <c r="B11" s="31" t="s">
        <v>57</v>
      </c>
      <c r="C11" s="31">
        <v>3153</v>
      </c>
      <c r="D11" s="31">
        <v>11</v>
      </c>
      <c r="E11" s="31" t="str">
        <f>"1000028538"</f>
        <v>1000028538</v>
      </c>
      <c r="F11" s="31" t="str">
        <f>"BATH TISSUE: Prem 2 Ply 96RL/CA - Premium, 2 Ply white toilet paper, perforated 4.5x3.5 sheets, 500 sheets/roll, 96 rolls/case. Individually wrapped. Approx Case weight 34 lbs"</f>
        <v>BATH TISSUE: Prem 2 Ply 96RL/CA - Premium, 2 Ply white toilet paper, perforated 4.5x3.5 sheets, 500 sheets/roll, 96 rolls/case. Individually wrapped. Approx Case weight 34 lbs</v>
      </c>
      <c r="G11" s="37" t="str">
        <f t="shared" si="0"/>
        <v>CA</v>
      </c>
      <c r="H11" s="38">
        <v>61.48</v>
      </c>
      <c r="I11" s="31" t="str">
        <f t="shared" si="2"/>
        <v>14111704</v>
      </c>
      <c r="J11" s="31" t="s">
        <v>158</v>
      </c>
    </row>
    <row r="12" spans="1:10" ht="64.5">
      <c r="A12" s="31" t="s">
        <v>59</v>
      </c>
      <c r="B12" s="31" t="s">
        <v>57</v>
      </c>
      <c r="C12" s="31">
        <v>3153</v>
      </c>
      <c r="D12" s="31">
        <v>12</v>
      </c>
      <c r="E12" s="31" t="str">
        <f>"1000028539"</f>
        <v>1000028539</v>
      </c>
      <c r="F12" s="31" t="str">
        <f>"BATH TISSUE: Std 2 Ply 96RL/CA - Standard, 2 Ply white toilet paper, perforated 4.5x3.5 sheets, 500 sheets/roll, 96 rolls/case. Individually wrapped. Approx Case weight 33 lbs."</f>
        <v>BATH TISSUE: Std 2 Ply 96RL/CA - Standard, 2 Ply white toilet paper, perforated 4.5x3.5 sheets, 500 sheets/roll, 96 rolls/case. Individually wrapped. Approx Case weight 33 lbs.</v>
      </c>
      <c r="G12" s="37" t="str">
        <f t="shared" si="0"/>
        <v>CA</v>
      </c>
      <c r="H12" s="38">
        <v>52.48</v>
      </c>
      <c r="I12" s="31" t="str">
        <f t="shared" si="2"/>
        <v>14111704</v>
      </c>
      <c r="J12" s="31" t="s">
        <v>158</v>
      </c>
    </row>
    <row r="13" spans="1:10" ht="77.25">
      <c r="A13" s="31" t="s">
        <v>59</v>
      </c>
      <c r="B13" s="31" t="s">
        <v>57</v>
      </c>
      <c r="C13" s="31">
        <v>3153</v>
      </c>
      <c r="D13" s="31">
        <v>13</v>
      </c>
      <c r="E13" s="31" t="str">
        <f>"1000028502"</f>
        <v>1000028502</v>
      </c>
      <c r="F13" s="31" t="str">
        <f>"BATH TISSUE: Econ 2 Ply 96RL/CA - Economy, 2 Ply white toilet paper, perforated 4.25x3.5 sheets, 500 sheets/roll, 96 rolls/case. Individually wrapped. Variance in sheet size and sheet quantity is less than 1%. Approx Case weight 34.03 lbs RECYCLED."</f>
        <v>BATH TISSUE: Econ 2 Ply 96RL/CA - Economy, 2 Ply white toilet paper, perforated 4.25x3.5 sheets, 500 sheets/roll, 96 rolls/case. Individually wrapped. Variance in sheet size and sheet quantity is less than 1%. Approx Case weight 34.03 lbs RECYCLED.</v>
      </c>
      <c r="G13" s="37" t="str">
        <f t="shared" si="0"/>
        <v>CA</v>
      </c>
      <c r="H13" s="38">
        <v>45.85</v>
      </c>
      <c r="I13" s="31" t="str">
        <f t="shared" si="2"/>
        <v>14111704</v>
      </c>
      <c r="J13" s="31" t="s">
        <v>158</v>
      </c>
    </row>
    <row r="14" spans="1:10" ht="77.25">
      <c r="A14" s="31" t="s">
        <v>59</v>
      </c>
      <c r="B14" s="31" t="s">
        <v>57</v>
      </c>
      <c r="C14" s="31">
        <v>3153</v>
      </c>
      <c r="D14" s="31">
        <v>14</v>
      </c>
      <c r="E14" s="31" t="str">
        <f>"1000028503"</f>
        <v>1000028503</v>
      </c>
      <c r="F14" s="31" t="str">
        <f>"BATH TISSUE: Grn 2 Ply 96RL/CA - Green, 2 Ply white toilet paper, perforated 4x3.75 sheets, 500 sheets/roll, 96 rolls/case. Individually wrapped. EcoLogo Certified, 100% recycled, 30% post consumer recycled content. Approx Case weight 32.9 lbs"</f>
        <v>BATH TISSUE: Grn 2 Ply 96RL/CA - Green, 2 Ply white toilet paper, perforated 4x3.75 sheets, 500 sheets/roll, 96 rolls/case. Individually wrapped. EcoLogo Certified, 100% recycled, 30% post consumer recycled content. Approx Case weight 32.9 lbs</v>
      </c>
      <c r="G14" s="37" t="str">
        <f t="shared" si="0"/>
        <v>CA</v>
      </c>
      <c r="H14" s="38">
        <v>55.56</v>
      </c>
      <c r="I14" s="31" t="str">
        <f t="shared" si="2"/>
        <v>14111704</v>
      </c>
      <c r="J14" s="31" t="s">
        <v>158</v>
      </c>
    </row>
    <row r="15" spans="1:10" ht="51.75">
      <c r="A15" s="31" t="s">
        <v>59</v>
      </c>
      <c r="B15" s="31" t="s">
        <v>57</v>
      </c>
      <c r="C15" s="31">
        <v>3153</v>
      </c>
      <c r="D15" s="31">
        <v>15</v>
      </c>
      <c r="E15" s="31" t="str">
        <f>"1000028516"</f>
        <v>1000028516</v>
      </c>
      <c r="F15" s="31" t="str">
        <f>"BATH TISSUE: Std Sr.Jumbo 6RL/CA - Standard, Sr. Jumbo 2 ply white toilet paper, 12 diameter, Roll size 3.55x2,000, 6 rolls/case. Not perforated. Approx Case weight 24.5 lbs"</f>
        <v>BATH TISSUE: Std Sr.Jumbo 6RL/CA - Standard, Sr. Jumbo 2 ply white toilet paper, 12 diameter, Roll size 3.55x2,000, 6 rolls/case. Not perforated. Approx Case weight 24.5 lbs</v>
      </c>
      <c r="G15" s="37" t="str">
        <f t="shared" si="0"/>
        <v>CA</v>
      </c>
      <c r="H15" s="38">
        <v>39.07</v>
      </c>
      <c r="I15" s="31" t="str">
        <f t="shared" si="2"/>
        <v>14111704</v>
      </c>
      <c r="J15" s="31" t="s">
        <v>158</v>
      </c>
    </row>
    <row r="16" spans="1:10" ht="64.5">
      <c r="A16" s="31" t="s">
        <v>59</v>
      </c>
      <c r="B16" s="31" t="s">
        <v>57</v>
      </c>
      <c r="C16" s="31">
        <v>3153</v>
      </c>
      <c r="D16" s="31">
        <v>16</v>
      </c>
      <c r="E16" s="31" t="str">
        <f>"1000028517"</f>
        <v>1000028517</v>
      </c>
      <c r="F16" s="31" t="str">
        <f>"BATH TISSUE: Econ Sr.Jumbo 6RL/CA - Economy, Sr. Jumbo 2 ply economy white toilet paper, 12 diameter, Roll size 3.92x2,000, 6 rolls/case. Not perforated. Approx Case weight 27 lbs"</f>
        <v>BATH TISSUE: Econ Sr.Jumbo 6RL/CA - Economy, Sr. Jumbo 2 ply economy white toilet paper, 12 diameter, Roll size 3.92x2,000, 6 rolls/case. Not perforated. Approx Case weight 27 lbs</v>
      </c>
      <c r="G16" s="37" t="str">
        <f t="shared" si="0"/>
        <v>CA</v>
      </c>
      <c r="H16" s="38">
        <v>36.72</v>
      </c>
      <c r="I16" s="31" t="str">
        <f t="shared" si="2"/>
        <v>14111704</v>
      </c>
      <c r="J16" s="31" t="s">
        <v>158</v>
      </c>
    </row>
    <row r="17" spans="1:10" ht="77.25">
      <c r="A17" s="31" t="s">
        <v>59</v>
      </c>
      <c r="B17" s="31" t="s">
        <v>57</v>
      </c>
      <c r="C17" s="31">
        <v>3153</v>
      </c>
      <c r="D17" s="31">
        <v>17</v>
      </c>
      <c r="E17" s="31" t="str">
        <f>"1000028506"</f>
        <v>1000028506</v>
      </c>
      <c r="F17" s="31" t="str">
        <f>"BATH TISSUE: Grn Sr.Jumbo 6RL/CA - Green, Sr. Jumbo 2 ply white toilet paper, 12 diameter, Roll size 3.55x2,000, 6 rolls/case. Not perforated. EcoLogo Certified, 20% post consumer recycled content. Approx Case weight 23.15 lbs"</f>
        <v>BATH TISSUE: Grn Sr.Jumbo 6RL/CA - Green, Sr. Jumbo 2 ply white toilet paper, 12 diameter, Roll size 3.55x2,000, 6 rolls/case. Not perforated. EcoLogo Certified, 20% post consumer recycled content. Approx Case weight 23.15 lbs</v>
      </c>
      <c r="G17" s="37" t="str">
        <f t="shared" si="0"/>
        <v>CA</v>
      </c>
      <c r="H17" s="38">
        <v>41.29</v>
      </c>
      <c r="I17" s="31" t="str">
        <f t="shared" si="2"/>
        <v>14111704</v>
      </c>
      <c r="J17" s="31" t="s">
        <v>158</v>
      </c>
    </row>
    <row r="18" spans="1:10" ht="51.75">
      <c r="A18" s="31" t="s">
        <v>59</v>
      </c>
      <c r="B18" s="31" t="s">
        <v>57</v>
      </c>
      <c r="C18" s="31">
        <v>3153</v>
      </c>
      <c r="D18" s="31">
        <v>18</v>
      </c>
      <c r="E18" s="31" t="str">
        <f>"1000028507"</f>
        <v>1000028507</v>
      </c>
      <c r="F18" s="31" t="str">
        <f>"BATH TISSUE: Std Jr.Jumbo 12RL/CA - Standard, Jr. Jumbo 2 ply white toilet paper,9 diameter, Size 3.5x1,000, 12 rolls/case. Not perforated. Approx Case weight 24 lbs."</f>
        <v>BATH TISSUE: Std Jr.Jumbo 12RL/CA - Standard, Jr. Jumbo 2 ply white toilet paper,9 diameter, Size 3.5x1,000, 12 rolls/case. Not perforated. Approx Case weight 24 lbs.</v>
      </c>
      <c r="G18" s="37" t="str">
        <f t="shared" si="0"/>
        <v>CA</v>
      </c>
      <c r="H18" s="38">
        <v>39.44</v>
      </c>
      <c r="I18" s="31" t="str">
        <f t="shared" si="2"/>
        <v>14111704</v>
      </c>
      <c r="J18" s="31" t="s">
        <v>158</v>
      </c>
    </row>
    <row r="19" spans="1:10" ht="51.75">
      <c r="A19" s="31" t="s">
        <v>59</v>
      </c>
      <c r="B19" s="31" t="s">
        <v>57</v>
      </c>
      <c r="C19" s="31">
        <v>3153</v>
      </c>
      <c r="D19" s="31">
        <v>19</v>
      </c>
      <c r="E19" s="31" t="str">
        <f>"1000028508"</f>
        <v>1000028508</v>
      </c>
      <c r="F19" s="31" t="str">
        <f>"BATH TISSUE: Econ Jr.Jumbo 12RL/CA - Economy, Jr. Jumbo 2 ply white toilet paper,9 diameter, Size 3.55x1,000, 12 rolls/case. Not perforated. Approx Case weight 19 lbs."</f>
        <v>BATH TISSUE: Econ Jr.Jumbo 12RL/CA - Economy, Jr. Jumbo 2 ply white toilet paper,9 diameter, Size 3.55x1,000, 12 rolls/case. Not perforated. Approx Case weight 19 lbs.</v>
      </c>
      <c r="G19" s="37" t="str">
        <f t="shared" si="0"/>
        <v>CA</v>
      </c>
      <c r="H19" s="38">
        <v>29.48</v>
      </c>
      <c r="I19" s="31" t="str">
        <f t="shared" si="2"/>
        <v>14111704</v>
      </c>
      <c r="J19" s="31" t="s">
        <v>158</v>
      </c>
    </row>
    <row r="20" spans="1:10" ht="77.25">
      <c r="A20" s="31" t="s">
        <v>59</v>
      </c>
      <c r="B20" s="31" t="s">
        <v>57</v>
      </c>
      <c r="C20" s="31">
        <v>3153</v>
      </c>
      <c r="D20" s="31">
        <v>20</v>
      </c>
      <c r="E20" s="31" t="str">
        <f>"1000028487"</f>
        <v>1000028487</v>
      </c>
      <c r="F20" s="31" t="str">
        <f>"BATH TISSUE: Grn Jr.Jumbo 12RL/CA - Green, Jr. Jumbo 2 ply white toilet paper,9 diameter, Size 3.55x1,000, 12 rolls/case. Not perforated. EcoLogo Certified, 100% post consumer recycled content. Approx Case weight 23.27 lbs"</f>
        <v>BATH TISSUE: Grn Jr.Jumbo 12RL/CA - Green, Jr. Jumbo 2 ply white toilet paper,9 diameter, Size 3.55x1,000, 12 rolls/case. Not perforated. EcoLogo Certified, 100% post consumer recycled content. Approx Case weight 23.27 lbs</v>
      </c>
      <c r="G20" s="37" t="str">
        <f t="shared" si="0"/>
        <v>CA</v>
      </c>
      <c r="H20" s="38">
        <v>40.22</v>
      </c>
      <c r="I20" s="31" t="str">
        <f t="shared" si="2"/>
        <v>14111704</v>
      </c>
      <c r="J20" s="31" t="s">
        <v>158</v>
      </c>
    </row>
    <row r="21" spans="1:10" ht="51.75">
      <c r="A21" s="31" t="s">
        <v>59</v>
      </c>
      <c r="B21" s="31" t="s">
        <v>57</v>
      </c>
      <c r="C21" s="31">
        <v>3153</v>
      </c>
      <c r="D21" s="31">
        <v>21</v>
      </c>
      <c r="E21" s="31" t="str">
        <f>"1000027533"</f>
        <v>1000027533</v>
      </c>
      <c r="F21" s="31" t="str">
        <f>"BATH TISSUE:Coreless2ply 60RL/CA - 60 Roll Case, 2 Ply white coreless toilet paper, Size 4x3.5, 500 shts per roll, 10 rolls per pack, 6 packs per case, approx weight 16 lbs"</f>
        <v>BATH TISSUE:Coreless2ply 60RL/CA - 60 Roll Case, 2 Ply white coreless toilet paper, Size 4x3.5, 500 shts per roll, 10 rolls per pack, 6 packs per case, approx weight 16 lbs</v>
      </c>
      <c r="G21" s="37" t="str">
        <f t="shared" si="0"/>
        <v>CA</v>
      </c>
      <c r="H21" s="38">
        <v>34.770000000000003</v>
      </c>
      <c r="I21" s="31" t="str">
        <f t="shared" si="2"/>
        <v>14111704</v>
      </c>
      <c r="J21" s="31" t="s">
        <v>158</v>
      </c>
    </row>
    <row r="22" spans="1:10" ht="64.5">
      <c r="A22" s="31" t="s">
        <v>59</v>
      </c>
      <c r="B22" s="31" t="s">
        <v>57</v>
      </c>
      <c r="C22" s="31">
        <v>3153</v>
      </c>
      <c r="D22" s="31">
        <v>22</v>
      </c>
      <c r="E22" s="31" t="str">
        <f>"1000028488"</f>
        <v>1000028488</v>
      </c>
      <c r="F22" s="31" t="str">
        <f>"PAPER TOWEL: Prem C Fold 16PK/CA - Premium, C Fold 1 Ply paper towels, white, size 10x12, 150 towels/pk, 16 pk/case, (2400 count total). Approx case weight 17.5 lbs. Use in dispenser B and J."</f>
        <v>PAPER TOWEL: Prem C Fold 16PK/CA - Premium, C Fold 1 Ply paper towels, white, size 10x12, 150 towels/pk, 16 pk/case, (2400 count total). Approx case weight 17.5 lbs. Use in dispenser B and J.</v>
      </c>
      <c r="G22" s="37" t="str">
        <f t="shared" si="0"/>
        <v>CA</v>
      </c>
      <c r="H22" s="38">
        <v>32.35</v>
      </c>
      <c r="I22" s="31" t="str">
        <f t="shared" ref="I22:I59" si="3">"14111703"</f>
        <v>14111703</v>
      </c>
      <c r="J22" s="31" t="s">
        <v>159</v>
      </c>
    </row>
    <row r="23" spans="1:10" ht="64.5">
      <c r="A23" s="31" t="s">
        <v>59</v>
      </c>
      <c r="B23" s="31" t="s">
        <v>57</v>
      </c>
      <c r="C23" s="31">
        <v>3153</v>
      </c>
      <c r="D23" s="31">
        <v>23</v>
      </c>
      <c r="E23" s="31" t="str">
        <f>"1000028478"</f>
        <v>1000028478</v>
      </c>
      <c r="F23" s="31" t="str">
        <f>"PAPER TOWEL: Std C Fold 16PK/CA - Standard, C fold 1 ply paper towels, White, Size 10.125x13, 150 towels/pkg, 16 pkgs/case, (2400 count total). Approx Case weight 17.6 lbs. Use in dispenser B and J."</f>
        <v>PAPER TOWEL: Std C Fold 16PK/CA - Standard, C fold 1 ply paper towels, White, Size 10.125x13, 150 towels/pkg, 16 pkgs/case, (2400 count total). Approx Case weight 17.6 lbs. Use in dispenser B and J.</v>
      </c>
      <c r="G23" s="37" t="str">
        <f t="shared" si="0"/>
        <v>CA</v>
      </c>
      <c r="H23" s="38">
        <v>31.15</v>
      </c>
      <c r="I23" s="31" t="str">
        <f t="shared" si="3"/>
        <v>14111703</v>
      </c>
      <c r="J23" s="31" t="s">
        <v>159</v>
      </c>
    </row>
    <row r="24" spans="1:10" ht="77.25">
      <c r="A24" s="31" t="s">
        <v>59</v>
      </c>
      <c r="B24" s="31" t="s">
        <v>57</v>
      </c>
      <c r="C24" s="31">
        <v>3153</v>
      </c>
      <c r="D24" s="31">
        <v>24</v>
      </c>
      <c r="E24" s="31" t="str">
        <f>"1000028479"</f>
        <v>1000028479</v>
      </c>
      <c r="F24" s="31" t="str">
        <f>"PAPER TOWEL: Econ C Fold 16PK/CA - Economy, C fold 1 ply paper towels, White, Size 10x13, 150 towels/pk, 16 pk/case (2400 count total). Recycled. Approx Case weight 17.9 lbs Variance in sheet size &amp; sheet quantity less than 1%. Use dispenser B &amp; J."</f>
        <v>PAPER TOWEL: Econ C Fold 16PK/CA - Economy, C fold 1 ply paper towels, White, Size 10x13, 150 towels/pk, 16 pk/case (2400 count total). Recycled. Approx Case weight 17.9 lbs Variance in sheet size &amp; sheet quantity less than 1%. Use dispenser B &amp; J.</v>
      </c>
      <c r="G24" s="37" t="str">
        <f t="shared" si="0"/>
        <v>CA</v>
      </c>
      <c r="H24" s="38">
        <v>24.09</v>
      </c>
      <c r="I24" s="31" t="str">
        <f t="shared" si="3"/>
        <v>14111703</v>
      </c>
      <c r="J24" s="31" t="s">
        <v>159</v>
      </c>
    </row>
    <row r="25" spans="1:10" ht="77.25">
      <c r="A25" s="31" t="s">
        <v>59</v>
      </c>
      <c r="B25" s="31" t="s">
        <v>57</v>
      </c>
      <c r="C25" s="31">
        <v>3153</v>
      </c>
      <c r="D25" s="31">
        <v>25</v>
      </c>
      <c r="E25" s="31" t="str">
        <f>"1000028491"</f>
        <v>1000028491</v>
      </c>
      <c r="F25" s="31" t="str">
        <f>"PAPER TOWEL: Grn C Fold 16PK/CA - Green, C fold 1 ply paper towels, white, size 10.12x13.15, 150 towels/pk, 16 pk/case (2400 count total). EcoLogo Certifed, 40% post consumer recycled content. Approx case weight 14.6 lbs. Use in dispenser B and J."</f>
        <v>PAPER TOWEL: Grn C Fold 16PK/CA - Green, C fold 1 ply paper towels, white, size 10.12x13.15, 150 towels/pk, 16 pk/case (2400 count total). EcoLogo Certifed, 40% post consumer recycled content. Approx case weight 14.6 lbs. Use in dispenser B and J.</v>
      </c>
      <c r="G25" s="37" t="str">
        <f t="shared" si="0"/>
        <v>CA</v>
      </c>
      <c r="H25" s="38">
        <v>31.88</v>
      </c>
      <c r="I25" s="31" t="str">
        <f t="shared" si="3"/>
        <v>14111703</v>
      </c>
      <c r="J25" s="31" t="s">
        <v>159</v>
      </c>
    </row>
    <row r="26" spans="1:10" ht="64.5">
      <c r="A26" s="31" t="s">
        <v>59</v>
      </c>
      <c r="B26" s="31" t="s">
        <v>57</v>
      </c>
      <c r="C26" s="31">
        <v>3153</v>
      </c>
      <c r="D26" s="31">
        <v>26</v>
      </c>
      <c r="E26" s="31" t="str">
        <f>"1000028492"</f>
        <v>1000028492</v>
      </c>
      <c r="F26" s="31" t="str">
        <f>"PAPER TOWEL: Prem Mltfld Nat 16PK/CA - Premium, Natural Multi fold paper towel, Size 9.25x9.5, 250 towels/pk, 16 pk/case (4000 count total). Approx Case weight 22.14 lbs. Use in dispenser B and J."</f>
        <v>PAPER TOWEL: Prem Mltfld Nat 16PK/CA - Premium, Natural Multi fold paper towel, Size 9.25x9.5, 250 towels/pk, 16 pk/case (4000 count total). Approx Case weight 22.14 lbs. Use in dispenser B and J.</v>
      </c>
      <c r="G26" s="37" t="str">
        <f t="shared" si="0"/>
        <v>CA</v>
      </c>
      <c r="H26" s="38">
        <v>27.45</v>
      </c>
      <c r="I26" s="31" t="str">
        <f t="shared" si="3"/>
        <v>14111703</v>
      </c>
      <c r="J26" s="31" t="s">
        <v>159</v>
      </c>
    </row>
    <row r="27" spans="1:10" ht="64.5">
      <c r="A27" s="31" t="s">
        <v>59</v>
      </c>
      <c r="B27" s="31" t="s">
        <v>57</v>
      </c>
      <c r="C27" s="31">
        <v>3153</v>
      </c>
      <c r="D27" s="31">
        <v>27</v>
      </c>
      <c r="E27" s="31" t="str">
        <f>"1000028471"</f>
        <v>1000028471</v>
      </c>
      <c r="F27" s="31" t="str">
        <f>"PAPER TOWEL: Std Mltfld Nat 16PK/CA - Standard, Natural Multi fold paper towel, Size 9.125x9.5, 250 towels/pk, 16 pk/case (4000 count total). Approx Case weight 20.1 lbs. Use in dispenser B and J."</f>
        <v>PAPER TOWEL: Std Mltfld Nat 16PK/CA - Standard, Natural Multi fold paper towel, Size 9.125x9.5, 250 towels/pk, 16 pk/case (4000 count total). Approx Case weight 20.1 lbs. Use in dispenser B and J.</v>
      </c>
      <c r="G27" s="37" t="str">
        <f t="shared" si="0"/>
        <v>CA</v>
      </c>
      <c r="H27" s="38">
        <v>26.22</v>
      </c>
      <c r="I27" s="31" t="str">
        <f t="shared" si="3"/>
        <v>14111703</v>
      </c>
      <c r="J27" s="31" t="s">
        <v>159</v>
      </c>
    </row>
    <row r="28" spans="1:10" ht="77.25">
      <c r="A28" s="31" t="s">
        <v>59</v>
      </c>
      <c r="B28" s="31" t="s">
        <v>57</v>
      </c>
      <c r="C28" s="31">
        <v>3153</v>
      </c>
      <c r="D28" s="31">
        <v>28</v>
      </c>
      <c r="E28" s="31" t="str">
        <f>"1000028472"</f>
        <v>1000028472</v>
      </c>
      <c r="F28" s="31" t="str">
        <f>"PAPER TOWEL: Econ Mltfld Nat 16PK/CA - Economy, Natural Multi fold paper towel, Size 9.125x9.5, 250 towels/pk, 16 pk/case (4000 count total). Approx Case weight 21.56 lbs. Variance in sheet size &amp; sheet quantity less than 1%. Use in dispenser B and J."</f>
        <v>PAPER TOWEL: Econ Mltfld Nat 16PK/CA - Economy, Natural Multi fold paper towel, Size 9.125x9.5, 250 towels/pk, 16 pk/case (4000 count total). Approx Case weight 21.56 lbs. Variance in sheet size &amp; sheet quantity less than 1%. Use in dispenser B and J.</v>
      </c>
      <c r="G28" s="37" t="str">
        <f t="shared" si="0"/>
        <v>CA</v>
      </c>
      <c r="H28" s="38">
        <v>24.58</v>
      </c>
      <c r="I28" s="31" t="str">
        <f t="shared" si="3"/>
        <v>14111703</v>
      </c>
      <c r="J28" s="31" t="s">
        <v>159</v>
      </c>
    </row>
    <row r="29" spans="1:10" ht="77.25">
      <c r="A29" s="31" t="s">
        <v>59</v>
      </c>
      <c r="B29" s="31" t="s">
        <v>57</v>
      </c>
      <c r="C29" s="31">
        <v>3153</v>
      </c>
      <c r="D29" s="31">
        <v>29</v>
      </c>
      <c r="E29" s="31" t="str">
        <f>"1000028518"</f>
        <v>1000028518</v>
      </c>
      <c r="F29" s="31" t="str">
        <f>"PAPER TOWEL: Grn Mltfld Nat 16PK/CA - Green, Natural Multi fold paper towel, Size 9.125x9.5, , 250 towels/pk, 16 pk/case (4000 count total). 95% Recycled, 40% post consumer recycled content. Approx Case weight 21 lbs. Use in dispenser B and J."</f>
        <v>PAPER TOWEL: Grn Mltfld Nat 16PK/CA - Green, Natural Multi fold paper towel, Size 9.125x9.5, , 250 towels/pk, 16 pk/case (4000 count total). 95% Recycled, 40% post consumer recycled content. Approx Case weight 21 lbs. Use in dispenser B and J.</v>
      </c>
      <c r="G29" s="37" t="str">
        <f t="shared" si="0"/>
        <v>CA</v>
      </c>
      <c r="H29" s="38">
        <v>28.95</v>
      </c>
      <c r="I29" s="31" t="str">
        <f t="shared" si="3"/>
        <v>14111703</v>
      </c>
      <c r="J29" s="31" t="s">
        <v>159</v>
      </c>
    </row>
    <row r="30" spans="1:10" ht="64.5">
      <c r="A30" s="31" t="s">
        <v>59</v>
      </c>
      <c r="B30" s="31" t="s">
        <v>57</v>
      </c>
      <c r="C30" s="31">
        <v>3153</v>
      </c>
      <c r="D30" s="31">
        <v>30</v>
      </c>
      <c r="E30" s="31" t="str">
        <f>"1000028519"</f>
        <v>1000028519</v>
      </c>
      <c r="F30" s="31" t="str">
        <f>"PAPER TOWEL: Prem Mltfld Wh 16PK/CA - Premium, White Multi fold paper towel, Size 9.25x9.5, 250 towels/pk, 16 pk/case (4000 count total). Approx Case weight 22.14 lbs. Use with dispenser B and J."</f>
        <v>PAPER TOWEL: Prem Mltfld Wh 16PK/CA - Premium, White Multi fold paper towel, Size 9.25x9.5, 250 towels/pk, 16 pk/case (4000 count total). Approx Case weight 22.14 lbs. Use with dispenser B and J.</v>
      </c>
      <c r="G30" s="37" t="str">
        <f t="shared" si="0"/>
        <v>CA</v>
      </c>
      <c r="H30" s="38">
        <v>29.56</v>
      </c>
      <c r="I30" s="31" t="str">
        <f t="shared" si="3"/>
        <v>14111703</v>
      </c>
      <c r="J30" s="31" t="s">
        <v>159</v>
      </c>
    </row>
    <row r="31" spans="1:10" ht="64.5">
      <c r="A31" s="31" t="s">
        <v>59</v>
      </c>
      <c r="B31" s="31" t="s">
        <v>57</v>
      </c>
      <c r="C31" s="31">
        <v>3153</v>
      </c>
      <c r="D31" s="31">
        <v>31</v>
      </c>
      <c r="E31" s="31" t="str">
        <f>"1000028520"</f>
        <v>1000028520</v>
      </c>
      <c r="F31" s="31" t="str">
        <f>"PAPER TOWEL: Std Mltfld Wh 16PK/CA - Standard, White Multi fold paper towel, Size 9.125x9.5, 250 towels/pk, 16 pk/case (4000 count total). Approx Case weight 19.1 lbs. Use in dispenser B and J."</f>
        <v>PAPER TOWEL: Std Mltfld Wh 16PK/CA - Standard, White Multi fold paper towel, Size 9.125x9.5, 250 towels/pk, 16 pk/case (4000 count total). Approx Case weight 19.1 lbs. Use in dispenser B and J.</v>
      </c>
      <c r="G31" s="37" t="str">
        <f t="shared" si="0"/>
        <v>CA</v>
      </c>
      <c r="H31" s="38">
        <v>27.61</v>
      </c>
      <c r="I31" s="31" t="str">
        <f t="shared" si="3"/>
        <v>14111703</v>
      </c>
      <c r="J31" s="31" t="s">
        <v>159</v>
      </c>
    </row>
    <row r="32" spans="1:10" ht="77.25">
      <c r="A32" s="31" t="s">
        <v>59</v>
      </c>
      <c r="B32" s="31" t="s">
        <v>57</v>
      </c>
      <c r="C32" s="31">
        <v>3153</v>
      </c>
      <c r="D32" s="31">
        <v>32</v>
      </c>
      <c r="E32" s="31" t="str">
        <f>"1000028521"</f>
        <v>1000028521</v>
      </c>
      <c r="F32" s="31" t="str">
        <f>"PAPER TOWEL: Econ Mltfld Wh 16PK/CA - Economy, White Multi fold paper towel, Size 9.125x9.5, 250 towels/pk, 16 pk/case (4000 count total). Variance in sheet size and sheet quantity is less than 1%. Approx Case weight 21.56 lbs. Use in dispenser B &amp; J."</f>
        <v>PAPER TOWEL: Econ Mltfld Wh 16PK/CA - Economy, White Multi fold paper towel, Size 9.125x9.5, 250 towels/pk, 16 pk/case (4000 count total). Variance in sheet size and sheet quantity is less than 1%. Approx Case weight 21.56 lbs. Use in dispenser B &amp; J.</v>
      </c>
      <c r="G32" s="37" t="str">
        <f t="shared" si="0"/>
        <v>CA</v>
      </c>
      <c r="H32" s="38">
        <v>27.03</v>
      </c>
      <c r="I32" s="31" t="str">
        <f t="shared" si="3"/>
        <v>14111703</v>
      </c>
      <c r="J32" s="31" t="s">
        <v>159</v>
      </c>
    </row>
    <row r="33" spans="1:10" ht="77.25">
      <c r="A33" s="31" t="s">
        <v>59</v>
      </c>
      <c r="B33" s="31" t="s">
        <v>57</v>
      </c>
      <c r="C33" s="31">
        <v>3153</v>
      </c>
      <c r="D33" s="31">
        <v>33</v>
      </c>
      <c r="E33" s="31" t="str">
        <f>"1000028522"</f>
        <v>1000028522</v>
      </c>
      <c r="F33" s="31" t="str">
        <f>"PAPER TOWEL: Grn Mltfld Wh 16PK/CA - Green, White Multi fold paper towel, Size 9.125x9.5, 250 towels/pk, 16 pk/case. (4000 count total). EcoLogo Certified, 40% post consumer recycled content. Approx Case weight 18.5 lbs. Use in dispenser B and J."</f>
        <v>PAPER TOWEL: Grn Mltfld Wh 16PK/CA - Green, White Multi fold paper towel, Size 9.125x9.5, 250 towels/pk, 16 pk/case. (4000 count total). EcoLogo Certified, 40% post consumer recycled content. Approx Case weight 18.5 lbs. Use in dispenser B and J.</v>
      </c>
      <c r="G33" s="37" t="str">
        <f t="shared" si="0"/>
        <v>CA</v>
      </c>
      <c r="H33" s="38">
        <v>29.15</v>
      </c>
      <c r="I33" s="31" t="str">
        <f t="shared" si="3"/>
        <v>14111703</v>
      </c>
      <c r="J33" s="31" t="s">
        <v>159</v>
      </c>
    </row>
    <row r="34" spans="1:10" ht="64.5">
      <c r="A34" s="31" t="s">
        <v>59</v>
      </c>
      <c r="B34" s="31" t="s">
        <v>57</v>
      </c>
      <c r="C34" s="31">
        <v>3153</v>
      </c>
      <c r="D34" s="31">
        <v>34</v>
      </c>
      <c r="E34" s="31" t="str">
        <f>"1000028500"</f>
        <v>1000028500</v>
      </c>
      <c r="F34" s="31" t="str">
        <f>"PAPER TOWEL: Prem 1fld Nat 16PK/CA - Premium, Natural, Single fold paper towel, Size 10.58x9.5, 250 towels/pk, 16 pk/case (4000 count total). Approx Case weight 21 lbs. Use in dispenser D and J."</f>
        <v>PAPER TOWEL: Prem 1fld Nat 16PK/CA - Premium, Natural, Single fold paper towel, Size 10.58x9.5, 250 towels/pk, 16 pk/case (4000 count total). Approx Case weight 21 lbs. Use in dispenser D and J.</v>
      </c>
      <c r="G34" s="37" t="str">
        <f t="shared" ref="G34:G59" si="4">"CA"</f>
        <v>CA</v>
      </c>
      <c r="H34" s="38">
        <v>32.200000000000003</v>
      </c>
      <c r="I34" s="31" t="str">
        <f t="shared" si="3"/>
        <v>14111703</v>
      </c>
      <c r="J34" s="31" t="s">
        <v>159</v>
      </c>
    </row>
    <row r="35" spans="1:10" ht="64.5">
      <c r="A35" s="31" t="s">
        <v>59</v>
      </c>
      <c r="B35" s="31" t="s">
        <v>57</v>
      </c>
      <c r="C35" s="31">
        <v>3153</v>
      </c>
      <c r="D35" s="31">
        <v>35</v>
      </c>
      <c r="E35" s="31" t="str">
        <f>"1000028501"</f>
        <v>1000028501</v>
      </c>
      <c r="F35" s="31" t="str">
        <f>"PAPER TOWEL: Std 1fld Nat 16PK/CA - Standard, Natural, Single fold paper towel, Size 10.25x9, 250 towels/pk, 16 pk/case (4000 count total). Approx Case weight 20.1 lbs. Use in dispenser D and J."</f>
        <v>PAPER TOWEL: Std 1fld Nat 16PK/CA - Standard, Natural, Single fold paper towel, Size 10.25x9, 250 towels/pk, 16 pk/case (4000 count total). Approx Case weight 20.1 lbs. Use in dispenser D and J.</v>
      </c>
      <c r="G35" s="37" t="str">
        <f t="shared" si="4"/>
        <v>CA</v>
      </c>
      <c r="H35" s="38">
        <v>25.85</v>
      </c>
      <c r="I35" s="31" t="str">
        <f t="shared" si="3"/>
        <v>14111703</v>
      </c>
      <c r="J35" s="31" t="s">
        <v>159</v>
      </c>
    </row>
    <row r="36" spans="1:10" ht="77.25">
      <c r="A36" s="31" t="s">
        <v>59</v>
      </c>
      <c r="B36" s="31" t="s">
        <v>57</v>
      </c>
      <c r="C36" s="31">
        <v>3153</v>
      </c>
      <c r="D36" s="31">
        <v>36</v>
      </c>
      <c r="E36" s="31" t="str">
        <f>"1000028480"</f>
        <v>1000028480</v>
      </c>
      <c r="F36" s="31" t="str">
        <f>"PAPER TOWEL: Econ 1fld Nat 12PK/CA - Economy, Natural, Single fold paper towel, Size 10.24x9.25, 334 towels/pk, 12 pk/case (4008 count total). Variance in sheet size &amp; sheet quantity less than 1%. Approx Case weight 20.76 lbs. Use in dispenser D &amp; J."</f>
        <v>PAPER TOWEL: Econ 1fld Nat 12PK/CA - Economy, Natural, Single fold paper towel, Size 10.24x9.25, 334 towels/pk, 12 pk/case (4008 count total). Variance in sheet size &amp; sheet quantity less than 1%. Approx Case weight 20.76 lbs. Use in dispenser D &amp; J.</v>
      </c>
      <c r="G36" s="37" t="str">
        <f t="shared" si="4"/>
        <v>CA</v>
      </c>
      <c r="H36" s="38">
        <v>24.83</v>
      </c>
      <c r="I36" s="31" t="str">
        <f t="shared" si="3"/>
        <v>14111703</v>
      </c>
      <c r="J36" s="31" t="s">
        <v>159</v>
      </c>
    </row>
    <row r="37" spans="1:10" ht="77.25">
      <c r="A37" s="31" t="s">
        <v>59</v>
      </c>
      <c r="B37" s="31" t="s">
        <v>57</v>
      </c>
      <c r="C37" s="31">
        <v>3153</v>
      </c>
      <c r="D37" s="31">
        <v>37</v>
      </c>
      <c r="E37" s="31" t="str">
        <f>"1000028481"</f>
        <v>1000028481</v>
      </c>
      <c r="F37" s="31" t="str">
        <f>"PAPER TOWEL: Grn 1fld Nat 16PK/CA - Green, Natural, Single fold paper towel, Size 10.25x9.25, 250 towels/pk, 16 pk/case (4000 count total). 95% recycled, 40% post consumer recycled content. Approx Case weight 25.7. Use in dispenser D and J."</f>
        <v>PAPER TOWEL: Grn 1fld Nat 16PK/CA - Green, Natural, Single fold paper towel, Size 10.25x9.25, 250 towels/pk, 16 pk/case (4000 count total). 95% recycled, 40% post consumer recycled content. Approx Case weight 25.7. Use in dispenser D and J.</v>
      </c>
      <c r="G37" s="37" t="str">
        <f t="shared" si="4"/>
        <v>CA</v>
      </c>
      <c r="H37" s="38">
        <v>32.79</v>
      </c>
      <c r="I37" s="31" t="str">
        <f t="shared" si="3"/>
        <v>14111703</v>
      </c>
      <c r="J37" s="31" t="s">
        <v>159</v>
      </c>
    </row>
    <row r="38" spans="1:10" ht="64.5">
      <c r="A38" s="31" t="s">
        <v>59</v>
      </c>
      <c r="B38" s="31" t="s">
        <v>57</v>
      </c>
      <c r="C38" s="31">
        <v>3153</v>
      </c>
      <c r="D38" s="31">
        <v>38</v>
      </c>
      <c r="E38" s="31" t="str">
        <f>"1000028527"</f>
        <v>1000028527</v>
      </c>
      <c r="F38" s="31" t="str">
        <f>"PAPER TOWEL: Prem 1fld Wh 16PK/CA - Premium, White, Single fold paper towel, Size 9.5x10.625, 250 towels/pk, 16 pk/case (4000 count total). Approx Case weight 21 lbs. Use in dispenser D and J."</f>
        <v>PAPER TOWEL: Prem 1fld Wh 16PK/CA - Premium, White, Single fold paper towel, Size 9.5x10.625, 250 towels/pk, 16 pk/case (4000 count total). Approx Case weight 21 lbs. Use in dispenser D and J.</v>
      </c>
      <c r="G38" s="37" t="str">
        <f t="shared" si="4"/>
        <v>CA</v>
      </c>
      <c r="H38" s="38">
        <v>40.99</v>
      </c>
      <c r="I38" s="31" t="str">
        <f t="shared" si="3"/>
        <v>14111703</v>
      </c>
      <c r="J38" s="31" t="s">
        <v>159</v>
      </c>
    </row>
    <row r="39" spans="1:10" ht="64.5">
      <c r="A39" s="31" t="s">
        <v>59</v>
      </c>
      <c r="B39" s="31" t="s">
        <v>57</v>
      </c>
      <c r="C39" s="31">
        <v>3153</v>
      </c>
      <c r="D39" s="31">
        <v>39</v>
      </c>
      <c r="E39" s="31" t="str">
        <f>"1000028528"</f>
        <v>1000028528</v>
      </c>
      <c r="F39" s="31" t="str">
        <f>"PAPER TOWEL: Std 1 fld Wh 16PK/CA - Standard, White, Single fold paper towel, Size 9.125x10.25, 250 towels/pk, 16 pk/case (4000 count total). Approx Case weight 22.3 lbs. Use in dispenser D and J."</f>
        <v>PAPER TOWEL: Std 1 fld Wh 16PK/CA - Standard, White, Single fold paper towel, Size 9.125x10.25, 250 towels/pk, 16 pk/case (4000 count total). Approx Case weight 22.3 lbs. Use in dispenser D and J.</v>
      </c>
      <c r="G39" s="37" t="str">
        <f t="shared" si="4"/>
        <v>CA</v>
      </c>
      <c r="H39" s="38">
        <v>31.23</v>
      </c>
      <c r="I39" s="31" t="str">
        <f t="shared" si="3"/>
        <v>14111703</v>
      </c>
      <c r="J39" s="31" t="s">
        <v>159</v>
      </c>
    </row>
    <row r="40" spans="1:10" ht="77.25">
      <c r="A40" s="31" t="s">
        <v>59</v>
      </c>
      <c r="B40" s="31" t="s">
        <v>57</v>
      </c>
      <c r="C40" s="31">
        <v>3153</v>
      </c>
      <c r="D40" s="31">
        <v>40</v>
      </c>
      <c r="E40" s="31" t="str">
        <f>"1000028484"</f>
        <v>1000028484</v>
      </c>
      <c r="F40" s="31" t="str">
        <f>"PAPER TOWEL: Econ 1fld Wh 12PK/CA - Economy, White, Single fold paper towel, Size 9.25x10.25, 334 towels/pk, 12 pk/case (4008 count total). Variance in sheet size &amp; sheet quantity less than 1%. Approx Case weight 20.76 lbs. Use in dispenser D and J."</f>
        <v>PAPER TOWEL: Econ 1fld Wh 12PK/CA - Economy, White, Single fold paper towel, Size 9.25x10.25, 334 towels/pk, 12 pk/case (4008 count total). Variance in sheet size &amp; sheet quantity less than 1%. Approx Case weight 20.76 lbs. Use in dispenser D and J.</v>
      </c>
      <c r="G40" s="37" t="str">
        <f t="shared" si="4"/>
        <v>CA</v>
      </c>
      <c r="H40" s="38">
        <v>27.97</v>
      </c>
      <c r="I40" s="31" t="str">
        <f t="shared" si="3"/>
        <v>14111703</v>
      </c>
      <c r="J40" s="31" t="s">
        <v>159</v>
      </c>
    </row>
    <row r="41" spans="1:10" ht="77.25">
      <c r="A41" s="31" t="s">
        <v>59</v>
      </c>
      <c r="B41" s="31" t="s">
        <v>57</v>
      </c>
      <c r="C41" s="31">
        <v>3153</v>
      </c>
      <c r="D41" s="31">
        <v>41</v>
      </c>
      <c r="E41" s="31" t="str">
        <f>"1000028485"</f>
        <v>1000028485</v>
      </c>
      <c r="F41" s="31" t="str">
        <f>"PAPER TOWEL: Grn 1fld Wh 16PK/CA - Green, White, Single fold paper towel, Size 9.3x10.5, 250 towels/pk, 16 pk/case (4000 count total). EcoLogo Certified, 40% post consumer recycled content. Approx Case weight 17.60 lbs. Use in dispenser D and J."</f>
        <v>PAPER TOWEL: Grn 1fld Wh 16PK/CA - Green, White, Single fold paper towel, Size 9.3x10.5, 250 towels/pk, 16 pk/case (4000 count total). EcoLogo Certified, 40% post consumer recycled content. Approx Case weight 17.60 lbs. Use in dispenser D and J.</v>
      </c>
      <c r="G41" s="37" t="str">
        <f t="shared" si="4"/>
        <v>CA</v>
      </c>
      <c r="H41" s="38">
        <v>43.39</v>
      </c>
      <c r="I41" s="31" t="str">
        <f t="shared" si="3"/>
        <v>14111703</v>
      </c>
      <c r="J41" s="31" t="s">
        <v>159</v>
      </c>
    </row>
    <row r="42" spans="1:10" ht="64.5">
      <c r="A42" s="31" t="s">
        <v>59</v>
      </c>
      <c r="B42" s="31" t="s">
        <v>57</v>
      </c>
      <c r="C42" s="31">
        <v>3153</v>
      </c>
      <c r="D42" s="31">
        <v>42</v>
      </c>
      <c r="E42" s="31" t="str">
        <f>"1000028486"</f>
        <v>1000028486</v>
      </c>
      <c r="F42" s="31" t="str">
        <f>"PAPER TOWEL: Prem 2ply Hshld 30RL/CA - Premium, White 2 ply household kitchen towel, perforated roll, Size 11x8.8, 85 towels/roll, 30 rolls/case. Approx Case weight 17.51 lbs"</f>
        <v>PAPER TOWEL: Prem 2ply Hshld 30RL/CA - Premium, White 2 ply household kitchen towel, perforated roll, Size 11x8.8, 85 towels/roll, 30 rolls/case. Approx Case weight 17.51 lbs</v>
      </c>
      <c r="G42" s="37" t="str">
        <f t="shared" si="4"/>
        <v>CA</v>
      </c>
      <c r="H42" s="38">
        <v>33.090000000000003</v>
      </c>
      <c r="I42" s="31" t="str">
        <f t="shared" si="3"/>
        <v>14111703</v>
      </c>
      <c r="J42" s="31" t="s">
        <v>159</v>
      </c>
    </row>
    <row r="43" spans="1:10" ht="64.5">
      <c r="A43" s="31" t="s">
        <v>59</v>
      </c>
      <c r="B43" s="31" t="s">
        <v>57</v>
      </c>
      <c r="C43" s="31">
        <v>3153</v>
      </c>
      <c r="D43" s="31">
        <v>43</v>
      </c>
      <c r="E43" s="31" t="str">
        <f>"1000028498"</f>
        <v>1000028498</v>
      </c>
      <c r="F43" s="31" t="str">
        <f>"PAPER TOWEL: Std 2ply Hshld 30RL/CA - Standard, White 2 ply household kitchen towel, perforated roll, Size 11x8.75, 85 towels/roll, 30 rolls/case. Recycled. Approx Case weight 15.16 lbs"</f>
        <v>PAPER TOWEL: Std 2ply Hshld 30RL/CA - Standard, White 2 ply household kitchen towel, perforated roll, Size 11x8.75, 85 towels/roll, 30 rolls/case. Recycled. Approx Case weight 15.16 lbs</v>
      </c>
      <c r="G43" s="37" t="str">
        <f t="shared" si="4"/>
        <v>CA</v>
      </c>
      <c r="H43" s="38">
        <v>30.86</v>
      </c>
      <c r="I43" s="31" t="str">
        <f t="shared" si="3"/>
        <v>14111703</v>
      </c>
      <c r="J43" s="31" t="s">
        <v>159</v>
      </c>
    </row>
    <row r="44" spans="1:10" ht="77.25">
      <c r="A44" s="31" t="s">
        <v>59</v>
      </c>
      <c r="B44" s="31" t="s">
        <v>57</v>
      </c>
      <c r="C44" s="31">
        <v>3153</v>
      </c>
      <c r="D44" s="31">
        <v>44</v>
      </c>
      <c r="E44" s="31" t="str">
        <f>"1000028499"</f>
        <v>1000028499</v>
      </c>
      <c r="F44" s="31" t="str">
        <f>"PAPER TOWEL: Econ 2ply Hshld 30RL/CA - Economy, White 2 ply household kitchen towel, perforated roll, Size 11x8.8, 85 towels/roll, 30 rolls/case. Variance in sheet size &amp; sheet quantity less than 1%. Approx Case weight 14 lbs."</f>
        <v>PAPER TOWEL: Econ 2ply Hshld 30RL/CA - Economy, White 2 ply household kitchen towel, perforated roll, Size 11x8.8, 85 towels/roll, 30 rolls/case. Variance in sheet size &amp; sheet quantity less than 1%. Approx Case weight 14 lbs.</v>
      </c>
      <c r="G44" s="37" t="str">
        <f t="shared" si="4"/>
        <v>CA</v>
      </c>
      <c r="H44" s="38">
        <v>27.43</v>
      </c>
      <c r="I44" s="31" t="str">
        <f t="shared" si="3"/>
        <v>14111703</v>
      </c>
      <c r="J44" s="31" t="s">
        <v>159</v>
      </c>
    </row>
    <row r="45" spans="1:10" ht="77.25">
      <c r="A45" s="31" t="s">
        <v>59</v>
      </c>
      <c r="B45" s="31" t="s">
        <v>57</v>
      </c>
      <c r="C45" s="31">
        <v>3153</v>
      </c>
      <c r="D45" s="31">
        <v>45</v>
      </c>
      <c r="E45" s="31" t="str">
        <f>"1000028534"</f>
        <v>1000028534</v>
      </c>
      <c r="F45" s="31" t="str">
        <f>"PAPER TOWEL: Grn 2ply Hshld 30RL/CA - Green, White 2 ply household kitchen towel, perforated roll, sheet size 9x11, 84 sheets/roll, 30 rolls/case. EcoLogo cert. 100% Recycled, 30% PCRC. Approx Case weight 18 lbs ."</f>
        <v>PAPER TOWEL: Grn 2ply Hshld 30RL/CA - Green, White 2 ply household kitchen towel, perforated roll, sheet size 9x11, 84 sheets/roll, 30 rolls/case. EcoLogo cert. 100% Recycled, 30% PCRC. Approx Case weight 18 lbs .</v>
      </c>
      <c r="G45" s="37" t="str">
        <f t="shared" si="4"/>
        <v>CA</v>
      </c>
      <c r="H45" s="38">
        <v>33.53</v>
      </c>
      <c r="I45" s="31" t="str">
        <f t="shared" si="3"/>
        <v>14111703</v>
      </c>
      <c r="J45" s="31" t="s">
        <v>159</v>
      </c>
    </row>
    <row r="46" spans="1:10" ht="51.75">
      <c r="A46" s="31" t="s">
        <v>59</v>
      </c>
      <c r="B46" s="31" t="s">
        <v>57</v>
      </c>
      <c r="C46" s="31">
        <v>3153</v>
      </c>
      <c r="D46" s="31">
        <v>46</v>
      </c>
      <c r="E46" s="31" t="str">
        <f>"1000028535"</f>
        <v>1000028535</v>
      </c>
      <c r="F46" s="31" t="str">
        <f>"PAPER TOWEL: Prem 1ply Univ Nat 12RL/CA - Premium, Natural 1 ply universal roll towel, Size 8x350 roll, 12 rolls/case. Approx Case weight 22.2 lbs. Use in dispenser A and E."</f>
        <v>PAPER TOWEL: Prem 1ply Univ Nat 12RL/CA - Premium, Natural 1 ply universal roll towel, Size 8x350 roll, 12 rolls/case. Approx Case weight 22.2 lbs. Use in dispenser A and E.</v>
      </c>
      <c r="G46" s="37" t="str">
        <f t="shared" si="4"/>
        <v>CA</v>
      </c>
      <c r="H46" s="38">
        <v>27.52</v>
      </c>
      <c r="I46" s="31" t="str">
        <f t="shared" si="3"/>
        <v>14111703</v>
      </c>
      <c r="J46" s="31" t="s">
        <v>159</v>
      </c>
    </row>
    <row r="47" spans="1:10" ht="77.25">
      <c r="A47" s="31" t="s">
        <v>59</v>
      </c>
      <c r="B47" s="31" t="s">
        <v>57</v>
      </c>
      <c r="C47" s="31">
        <v>3153</v>
      </c>
      <c r="D47" s="31">
        <v>47</v>
      </c>
      <c r="E47" s="31" t="str">
        <f>"1000028525"</f>
        <v>1000028525</v>
      </c>
      <c r="F47" s="31" t="str">
        <f>"PAPER TOWEL: Std 1ply Univ Nat 12RL/CA - Standard, Natural 1 ply universal roll towel, Size 7.85x350 roll, 12 rolls/case. Variance in sheet size &amp; sheet quantity less than 1%. Approx Case weight 24.2 lbs. use in dispenser A and E."</f>
        <v>PAPER TOWEL: Std 1ply Univ Nat 12RL/CA - Standard, Natural 1 ply universal roll towel, Size 7.85x350 roll, 12 rolls/case. Variance in sheet size &amp; sheet quantity less than 1%. Approx Case weight 24.2 lbs. use in dispenser A and E.</v>
      </c>
      <c r="G47" s="37" t="str">
        <f t="shared" si="4"/>
        <v>CA</v>
      </c>
      <c r="H47" s="38">
        <v>25.09</v>
      </c>
      <c r="I47" s="31" t="str">
        <f t="shared" si="3"/>
        <v>14111703</v>
      </c>
      <c r="J47" s="31" t="s">
        <v>159</v>
      </c>
    </row>
    <row r="48" spans="1:10" ht="77.25">
      <c r="A48" s="31" t="s">
        <v>59</v>
      </c>
      <c r="B48" s="31" t="s">
        <v>57</v>
      </c>
      <c r="C48" s="31">
        <v>3153</v>
      </c>
      <c r="D48" s="31">
        <v>48</v>
      </c>
      <c r="E48" s="31" t="str">
        <f>"1000028526"</f>
        <v>1000028526</v>
      </c>
      <c r="F48" s="31" t="str">
        <f>"PAPER TOWEL: Econ 1ply Univ Nat 12RL/CA - Economy, Natural 1 ply universal roll towel, Size 7.875x350 roll, 12 rolls/case. Variance in sheet size &amp; sheet quantity less than 1%. Approx Case weight 22.28 lbs RECYCLED. Use in dispenser A and E."</f>
        <v>PAPER TOWEL: Econ 1ply Univ Nat 12RL/CA - Economy, Natural 1 ply universal roll towel, Size 7.875x350 roll, 12 rolls/case. Variance in sheet size &amp; sheet quantity less than 1%. Approx Case weight 22.28 lbs RECYCLED. Use in dispenser A and E.</v>
      </c>
      <c r="G48" s="37" t="str">
        <f t="shared" si="4"/>
        <v>CA</v>
      </c>
      <c r="H48" s="38">
        <v>24.3</v>
      </c>
      <c r="I48" s="31" t="str">
        <f t="shared" si="3"/>
        <v>14111703</v>
      </c>
      <c r="J48" s="31" t="s">
        <v>159</v>
      </c>
    </row>
    <row r="49" spans="1:10" ht="77.25">
      <c r="A49" s="31" t="s">
        <v>59</v>
      </c>
      <c r="B49" s="31" t="s">
        <v>57</v>
      </c>
      <c r="C49" s="31">
        <v>3153</v>
      </c>
      <c r="D49" s="31">
        <v>49</v>
      </c>
      <c r="E49" s="31" t="str">
        <f>"1000028482"</f>
        <v>1000028482</v>
      </c>
      <c r="F49" s="31" t="str">
        <f>"PAPER TOWEL: Grn 1ply Univ Nat 12RL/CA - Green, Natural 1 ply universal roll towel, Size 7.875x350 roll, 12 rolls/case. EcoLogo Certified, 100% recycled, 30% post consumer recycled content. Approx Case weight 21.2 lbs. Use in dispenser A and E."</f>
        <v>PAPER TOWEL: Grn 1ply Univ Nat 12RL/CA - Green, Natural 1 ply universal roll towel, Size 7.875x350 roll, 12 rolls/case. EcoLogo Certified, 100% recycled, 30% post consumer recycled content. Approx Case weight 21.2 lbs. Use in dispenser A and E.</v>
      </c>
      <c r="G49" s="37" t="str">
        <f t="shared" si="4"/>
        <v>CA</v>
      </c>
      <c r="H49" s="38">
        <v>26.61</v>
      </c>
      <c r="I49" s="31" t="str">
        <f t="shared" si="3"/>
        <v>14111703</v>
      </c>
      <c r="J49" s="31" t="s">
        <v>159</v>
      </c>
    </row>
    <row r="50" spans="1:10" ht="51.75">
      <c r="A50" s="31" t="s">
        <v>59</v>
      </c>
      <c r="B50" s="31" t="s">
        <v>57</v>
      </c>
      <c r="C50" s="31">
        <v>3153</v>
      </c>
      <c r="D50" s="31">
        <v>50</v>
      </c>
      <c r="E50" s="31" t="str">
        <f>"1000028483"</f>
        <v>1000028483</v>
      </c>
      <c r="F50" s="31" t="str">
        <f>"PAPER TOWEL: Std Wh 12RL/CA - Standard, White paper towel roll, Size 7.85x350 roll, 12 rolls/case. Approx Case weight 20 lbs. Use in dispenser A and E."</f>
        <v>PAPER TOWEL: Std Wh 12RL/CA - Standard, White paper towel roll, Size 7.85x350 roll, 12 rolls/case. Approx Case weight 20 lbs. Use in dispenser A and E.</v>
      </c>
      <c r="G50" s="37" t="str">
        <f t="shared" si="4"/>
        <v>CA</v>
      </c>
      <c r="H50" s="38">
        <v>33.200000000000003</v>
      </c>
      <c r="I50" s="31" t="str">
        <f t="shared" si="3"/>
        <v>14111703</v>
      </c>
      <c r="J50" s="31" t="s">
        <v>159</v>
      </c>
    </row>
    <row r="51" spans="1:10" ht="64.5">
      <c r="A51" s="31" t="s">
        <v>59</v>
      </c>
      <c r="B51" s="31" t="s">
        <v>57</v>
      </c>
      <c r="C51" s="31">
        <v>3153</v>
      </c>
      <c r="D51" s="31">
        <v>51</v>
      </c>
      <c r="E51" s="31" t="str">
        <f>"1000028495"</f>
        <v>1000028495</v>
      </c>
      <c r="F51" s="31" t="str">
        <f>"PAPER TOWEL: Econ Wh 12RL/CA - White paper towel roll, Size 7.75x350 roll, 12 rolls/case. Variance in sheet size &amp; sheet quantity less than 1%. Approx Case weight 22.38 lbs. Use in dispenser A and E."</f>
        <v>PAPER TOWEL: Econ Wh 12RL/CA - White paper towel roll, Size 7.75x350 roll, 12 rolls/case. Variance in sheet size &amp; sheet quantity less than 1%. Approx Case weight 22.38 lbs. Use in dispenser A and E.</v>
      </c>
      <c r="G51" s="37" t="str">
        <f t="shared" si="4"/>
        <v>CA</v>
      </c>
      <c r="H51" s="38">
        <v>27.7</v>
      </c>
      <c r="I51" s="31" t="str">
        <f t="shared" si="3"/>
        <v>14111703</v>
      </c>
      <c r="J51" s="31" t="s">
        <v>159</v>
      </c>
    </row>
    <row r="52" spans="1:10" ht="77.25">
      <c r="A52" s="31" t="s">
        <v>59</v>
      </c>
      <c r="B52" s="31" t="s">
        <v>57</v>
      </c>
      <c r="C52" s="31">
        <v>3153</v>
      </c>
      <c r="D52" s="31">
        <v>52</v>
      </c>
      <c r="E52" s="31" t="str">
        <f>"1000028496"</f>
        <v>1000028496</v>
      </c>
      <c r="F52" s="31" t="str">
        <f>"PAPER TOWEL: Grn 7.75x350 12RL/CA - Green, White paper towel roll, Size 7.75x350 roll, 12 rolls/case. EcoLogo Certified, 100% recycled, 30% post consumer recycled content. Approx Case weight 21.5 lbs. Use in dispenser A and E."</f>
        <v>PAPER TOWEL: Grn 7.75x350 12RL/CA - Green, White paper towel roll, Size 7.75x350 roll, 12 rolls/case. EcoLogo Certified, 100% recycled, 30% post consumer recycled content. Approx Case weight 21.5 lbs. Use in dispenser A and E.</v>
      </c>
      <c r="G52" s="37" t="str">
        <f t="shared" si="4"/>
        <v>CA</v>
      </c>
      <c r="H52" s="38">
        <v>33.200000000000003</v>
      </c>
      <c r="I52" s="31" t="str">
        <f t="shared" si="3"/>
        <v>14111703</v>
      </c>
      <c r="J52" s="31" t="s">
        <v>159</v>
      </c>
    </row>
    <row r="53" spans="1:10" ht="64.5">
      <c r="A53" s="31" t="s">
        <v>59</v>
      </c>
      <c r="B53" s="31" t="s">
        <v>57</v>
      </c>
      <c r="C53" s="31">
        <v>3153</v>
      </c>
      <c r="D53" s="31">
        <v>53</v>
      </c>
      <c r="E53" s="31" t="str">
        <f>"1000028497"</f>
        <v>1000028497</v>
      </c>
      <c r="F53" s="31" t="str">
        <f>"PAPER TOWEL: Prem Big Fld 25PK/CA - Premium, White, Big Fold Folded Paper Towels, Size 9.4x12.4, 120/pk, 25 pk/case (3000 count total). Approx Case weight 22.85. Use in dispenser B."</f>
        <v>PAPER TOWEL: Prem Big Fld 25PK/CA - Premium, White, Big Fold Folded Paper Towels, Size 9.4x12.4, 120/pk, 25 pk/case (3000 count total). Approx Case weight 22.85. Use in dispenser B.</v>
      </c>
      <c r="G53" s="37" t="str">
        <f t="shared" si="4"/>
        <v>CA</v>
      </c>
      <c r="H53" s="38">
        <v>37.729999999999997</v>
      </c>
      <c r="I53" s="31" t="str">
        <f t="shared" si="3"/>
        <v>14111703</v>
      </c>
      <c r="J53" s="31" t="s">
        <v>159</v>
      </c>
    </row>
    <row r="54" spans="1:10" ht="64.5">
      <c r="A54" s="31" t="s">
        <v>59</v>
      </c>
      <c r="B54" s="31" t="s">
        <v>57</v>
      </c>
      <c r="C54" s="31">
        <v>3153</v>
      </c>
      <c r="D54" s="31">
        <v>54</v>
      </c>
      <c r="E54" s="31" t="str">
        <f>"1000028513"</f>
        <v>1000028513</v>
      </c>
      <c r="F54" s="31" t="str">
        <f>"PAPER TOWEL: Std Big Fld 10PK/CA - Standard, White, Big Fold Folded Paper Towels, Size 10.25x11, 220/pk, 10 pk/case,(2200 count total). Approx Case weight 19.7 lbs. Use in dispenser B."</f>
        <v>PAPER TOWEL: Std Big Fld 10PK/CA - Standard, White, Big Fold Folded Paper Towels, Size 10.25x11, 220/pk, 10 pk/case,(2200 count total). Approx Case weight 19.7 lbs. Use in dispenser B.</v>
      </c>
      <c r="G54" s="37" t="str">
        <f t="shared" si="4"/>
        <v>CA</v>
      </c>
      <c r="H54" s="38">
        <v>37.72</v>
      </c>
      <c r="I54" s="31" t="str">
        <f t="shared" si="3"/>
        <v>14111703</v>
      </c>
      <c r="J54" s="31" t="s">
        <v>159</v>
      </c>
    </row>
    <row r="55" spans="1:10" ht="64.5">
      <c r="A55" s="31" t="s">
        <v>59</v>
      </c>
      <c r="B55" s="31" t="s">
        <v>57</v>
      </c>
      <c r="C55" s="31">
        <v>3153</v>
      </c>
      <c r="D55" s="31">
        <v>55</v>
      </c>
      <c r="E55" s="31" t="str">
        <f>"1000028514"</f>
        <v>1000028514</v>
      </c>
      <c r="F55" s="31" t="str">
        <f>"PAPER TOWEL: Prem Ctr Pull 6RL/CA - Premium, White , 2 Ply Universal Center Pull Paper Towel, Size 11.8x7.6, 500 sheets/roll, 6 rolls/case. Approx Case weight 16.9 lbs. Use in dispenser C."</f>
        <v>PAPER TOWEL: Prem Ctr Pull 6RL/CA - Premium, White , 2 Ply Universal Center Pull Paper Towel, Size 11.8x7.6, 500 sheets/roll, 6 rolls/case. Approx Case weight 16.9 lbs. Use in dispenser C.</v>
      </c>
      <c r="G55" s="37" t="str">
        <f t="shared" si="4"/>
        <v>CA</v>
      </c>
      <c r="H55" s="38">
        <v>41.48</v>
      </c>
      <c r="I55" s="31" t="str">
        <f t="shared" si="3"/>
        <v>14111703</v>
      </c>
      <c r="J55" s="31" t="s">
        <v>159</v>
      </c>
    </row>
    <row r="56" spans="1:10" ht="77.25">
      <c r="A56" s="31" t="s">
        <v>59</v>
      </c>
      <c r="B56" s="31" t="s">
        <v>57</v>
      </c>
      <c r="C56" s="31">
        <v>3153</v>
      </c>
      <c r="D56" s="31">
        <v>56</v>
      </c>
      <c r="E56" s="31" t="str">
        <f>"1000028489"</f>
        <v>1000028489</v>
      </c>
      <c r="F56" s="31" t="str">
        <f>"PAPER TOWEL: Econ Ctr Pull 6RL/CA - Economy, White, 2 Ply Universal Center Pull Paper Towel, Size 10x7.75, 600/roll, 6 rolls/case.Variance in sheet size &amp; sheet quantity less than 1%. Approx Case weight 15.56 lbs. Use in dispenser C."</f>
        <v>PAPER TOWEL: Econ Ctr Pull 6RL/CA - Economy, White, 2 Ply Universal Center Pull Paper Towel, Size 10x7.75, 600/roll, 6 rolls/case.Variance in sheet size &amp; sheet quantity less than 1%. Approx Case weight 15.56 lbs. Use in dispenser C.</v>
      </c>
      <c r="G56" s="37" t="str">
        <f t="shared" si="4"/>
        <v>CA</v>
      </c>
      <c r="H56" s="38">
        <v>29.99</v>
      </c>
      <c r="I56" s="31" t="str">
        <f t="shared" si="3"/>
        <v>14111703</v>
      </c>
      <c r="J56" s="31" t="s">
        <v>159</v>
      </c>
    </row>
    <row r="57" spans="1:10" ht="51.75">
      <c r="A57" s="31" t="s">
        <v>59</v>
      </c>
      <c r="B57" s="31" t="s">
        <v>57</v>
      </c>
      <c r="C57" s="31">
        <v>3153</v>
      </c>
      <c r="D57" s="31">
        <v>57</v>
      </c>
      <c r="E57" s="31" t="str">
        <f>"1000028490"</f>
        <v>1000028490</v>
      </c>
      <c r="F57" s="31" t="str">
        <f>"PAPER TOWEL: Auto 8.25x700 6RL/CA - White, High Capacity Roll Towel, 8.25 x 700' 6 rolls/case, Approx Case weight 30 lbs. Use in dispenser G and I."</f>
        <v>PAPER TOWEL: Auto 8.25x700 6RL/CA - White, High Capacity Roll Towel, 8.25 x 700' 6 rolls/case, Approx Case weight 30 lbs. Use in dispenser G and I.</v>
      </c>
      <c r="G57" s="37" t="str">
        <f t="shared" si="4"/>
        <v>CA</v>
      </c>
      <c r="H57" s="38">
        <v>64.489999999999995</v>
      </c>
      <c r="I57" s="31" t="str">
        <f t="shared" si="3"/>
        <v>14111703</v>
      </c>
      <c r="J57" s="31" t="s">
        <v>159</v>
      </c>
    </row>
    <row r="58" spans="1:10" ht="51.75">
      <c r="A58" s="31" t="s">
        <v>59</v>
      </c>
      <c r="B58" s="31" t="s">
        <v>57</v>
      </c>
      <c r="C58" s="31">
        <v>3153</v>
      </c>
      <c r="D58" s="31">
        <v>58</v>
      </c>
      <c r="E58" s="31" t="str">
        <f>"1000028515"</f>
        <v>1000028515</v>
      </c>
      <c r="F58" s="31" t="str">
        <f>"PAPER TOWEL: Auto 8x950 6RL/CA - White, High Capacity Roll Towel, 8 x 950, 6 rolls/case, Approx Case weight 26 lbs. Use in dispenser H and F."</f>
        <v>PAPER TOWEL: Auto 8x950 6RL/CA - White, High Capacity Roll Towel, 8 x 950, 6 rolls/case, Approx Case weight 26 lbs. Use in dispenser H and F.</v>
      </c>
      <c r="G58" s="37" t="str">
        <f t="shared" si="4"/>
        <v>CA</v>
      </c>
      <c r="H58" s="38">
        <v>69.83</v>
      </c>
      <c r="I58" s="31" t="str">
        <f t="shared" si="3"/>
        <v>14111703</v>
      </c>
      <c r="J58" s="31" t="s">
        <v>159</v>
      </c>
    </row>
    <row r="59" spans="1:10" ht="51.75">
      <c r="A59" s="31" t="s">
        <v>59</v>
      </c>
      <c r="B59" s="31" t="s">
        <v>57</v>
      </c>
      <c r="C59" s="31">
        <v>3153</v>
      </c>
      <c r="D59" s="31">
        <v>59</v>
      </c>
      <c r="E59" s="31" t="str">
        <f>"1000028493"</f>
        <v>1000028493</v>
      </c>
      <c r="F59" s="31" t="str">
        <f>"PAPER TOWEL: 8.25x700 6RL/CA - Natural, High Capacity Roll Towel, 8.25x700, 6 rolls/case, Approx Case weight 30 lbs. Use in dispenser G and I."</f>
        <v>PAPER TOWEL: 8.25x700 6RL/CA - Natural, High Capacity Roll Towel, 8.25x700, 6 rolls/case, Approx Case weight 30 lbs. Use in dispenser G and I.</v>
      </c>
      <c r="G59" s="37" t="str">
        <f t="shared" si="4"/>
        <v>CA</v>
      </c>
      <c r="H59" s="38">
        <v>59.32</v>
      </c>
      <c r="I59" s="31" t="str">
        <f t="shared" si="3"/>
        <v>14111703</v>
      </c>
      <c r="J59" s="31" t="s">
        <v>159</v>
      </c>
    </row>
    <row r="60" spans="1:10" ht="39">
      <c r="A60" s="31" t="s">
        <v>59</v>
      </c>
      <c r="B60" s="31" t="s">
        <v>57</v>
      </c>
      <c r="C60" s="31">
        <v>3153</v>
      </c>
      <c r="D60" s="31">
        <v>60</v>
      </c>
      <c r="E60" s="31" t="str">
        <f>"1000028494"</f>
        <v>1000028494</v>
      </c>
      <c r="F60" s="31" t="str">
        <f>"PAPER TOWEL DISP: A Univ Lever - Universal Smoke Black Paper Towel Dispenser w/lever. Sold individually. Paper towel dispenser A"</f>
        <v>PAPER TOWEL DISP: A Univ Lever - Universal Smoke Black Paper Towel Dispenser w/lever. Sold individually. Paper towel dispenser A</v>
      </c>
      <c r="G60" s="37" t="str">
        <f t="shared" ref="G60:G72" si="5">"EA"</f>
        <v>EA</v>
      </c>
      <c r="H60" s="38">
        <v>48.42</v>
      </c>
      <c r="I60" s="31" t="str">
        <f t="shared" ref="I60:I69" si="6">"47131701"</f>
        <v>47131701</v>
      </c>
      <c r="J60" s="31" t="s">
        <v>160</v>
      </c>
    </row>
    <row r="61" spans="1:10" ht="51.75">
      <c r="A61" s="31" t="s">
        <v>59</v>
      </c>
      <c r="B61" s="31" t="s">
        <v>57</v>
      </c>
      <c r="C61" s="31">
        <v>3153</v>
      </c>
      <c r="D61" s="31">
        <v>61</v>
      </c>
      <c r="E61" s="31" t="str">
        <f>"1000028504"</f>
        <v>1000028504</v>
      </c>
      <c r="F61" s="31" t="str">
        <f>"PAPER TOWEL DISP: B Univ Manual - Universal Smoke Black Manual Paper towel dispenser, center fold/ multifold towels. Sold individually. Paper towel dispenser B."</f>
        <v>PAPER TOWEL DISP: B Univ Manual - Universal Smoke Black Manual Paper towel dispenser, center fold/ multifold towels. Sold individually. Paper towel dispenser B.</v>
      </c>
      <c r="G61" s="37" t="str">
        <f t="shared" si="5"/>
        <v>EA</v>
      </c>
      <c r="H61" s="38">
        <v>26.08</v>
      </c>
      <c r="I61" s="31" t="str">
        <f t="shared" si="6"/>
        <v>47131701</v>
      </c>
      <c r="J61" s="31" t="s">
        <v>160</v>
      </c>
    </row>
    <row r="62" spans="1:10" ht="39">
      <c r="A62" s="31" t="s">
        <v>59</v>
      </c>
      <c r="B62" s="31" t="s">
        <v>57</v>
      </c>
      <c r="C62" s="31">
        <v>3153</v>
      </c>
      <c r="D62" s="31">
        <v>62</v>
      </c>
      <c r="E62" s="31" t="str">
        <f>"1000028505"</f>
        <v>1000028505</v>
      </c>
      <c r="F62" s="31" t="str">
        <f>"PAPER TOWEL DISP: C Ctr Pull - Center pull paper towel dispenser. Sold individually. Paper towel dispenser C."</f>
        <v>PAPER TOWEL DISP: C Ctr Pull - Center pull paper towel dispenser. Sold individually. Paper towel dispenser C.</v>
      </c>
      <c r="G62" s="37" t="str">
        <f t="shared" si="5"/>
        <v>EA</v>
      </c>
      <c r="H62" s="38">
        <v>20.53</v>
      </c>
      <c r="I62" s="31" t="str">
        <f t="shared" si="6"/>
        <v>47131701</v>
      </c>
      <c r="J62" s="31" t="s">
        <v>160</v>
      </c>
    </row>
    <row r="63" spans="1:10" ht="39">
      <c r="A63" s="31" t="s">
        <v>59</v>
      </c>
      <c r="B63" s="31" t="s">
        <v>57</v>
      </c>
      <c r="C63" s="31">
        <v>3153</v>
      </c>
      <c r="D63" s="31">
        <v>63</v>
      </c>
      <c r="E63" s="31" t="str">
        <f>"1000028541"</f>
        <v>1000028541</v>
      </c>
      <c r="F63" s="31" t="str">
        <f>"PAPER TOWEL DISP: D Sngl Fld, Wh - White, metal, single fold paper towel dispenser. Sold individually. Paper towel dispenser D."</f>
        <v>PAPER TOWEL DISP: D Sngl Fld, Wh - White, metal, single fold paper towel dispenser. Sold individually. Paper towel dispenser D.</v>
      </c>
      <c r="G63" s="37" t="str">
        <f t="shared" si="5"/>
        <v>EA</v>
      </c>
      <c r="H63" s="38">
        <v>24.59</v>
      </c>
      <c r="I63" s="31" t="str">
        <f t="shared" si="6"/>
        <v>47131701</v>
      </c>
      <c r="J63" s="31" t="s">
        <v>160</v>
      </c>
    </row>
    <row r="64" spans="1:10" ht="39">
      <c r="A64" s="31" t="s">
        <v>59</v>
      </c>
      <c r="B64" s="31" t="s">
        <v>57</v>
      </c>
      <c r="C64" s="31">
        <v>3153</v>
      </c>
      <c r="D64" s="31">
        <v>64</v>
      </c>
      <c r="E64" s="31" t="str">
        <f>"1000028542"</f>
        <v>1000028542</v>
      </c>
      <c r="F64" s="31" t="str">
        <f>"PAPER TOWEL DISP: E Auto Univ - Automatic Roll Towel Dispenser. Universal. Sold individually. Paper towel dispenser E."</f>
        <v>PAPER TOWEL DISP: E Auto Univ - Automatic Roll Towel Dispenser. Universal. Sold individually. Paper towel dispenser E.</v>
      </c>
      <c r="G64" s="37" t="str">
        <f t="shared" si="5"/>
        <v>EA</v>
      </c>
      <c r="H64" s="38">
        <v>71.69</v>
      </c>
      <c r="I64" s="31" t="str">
        <f t="shared" si="6"/>
        <v>47131701</v>
      </c>
      <c r="J64" s="31" t="s">
        <v>160</v>
      </c>
    </row>
    <row r="65" spans="1:10" ht="64.5">
      <c r="A65" s="31" t="s">
        <v>59</v>
      </c>
      <c r="B65" s="31" t="s">
        <v>57</v>
      </c>
      <c r="C65" s="31">
        <v>3153</v>
      </c>
      <c r="D65" s="31">
        <v>65</v>
      </c>
      <c r="E65" s="31" t="str">
        <f>"1000028543"</f>
        <v>1000028543</v>
      </c>
      <c r="F65" s="31" t="str">
        <f>"PAPER TOWEL DISP: F Motion Wh - White, automated paper towel dispenser, touchless, hard roll. Adjustable towel length. Sold individually. Requires 4 D cell batteries. Paper towel dispenser F."</f>
        <v>PAPER TOWEL DISP: F Motion Wh - White, automated paper towel dispenser, touchless, hard roll. Adjustable towel length. Sold individually. Requires 4 D cell batteries. Paper towel dispenser F.</v>
      </c>
      <c r="G65" s="37" t="str">
        <f t="shared" si="5"/>
        <v>EA</v>
      </c>
      <c r="H65" s="38">
        <v>14.5</v>
      </c>
      <c r="I65" s="31" t="str">
        <f t="shared" si="6"/>
        <v>47131701</v>
      </c>
      <c r="J65" s="31" t="s">
        <v>160</v>
      </c>
    </row>
    <row r="66" spans="1:10" ht="64.5">
      <c r="A66" s="31" t="s">
        <v>59</v>
      </c>
      <c r="B66" s="31" t="s">
        <v>57</v>
      </c>
      <c r="C66" s="31">
        <v>3153</v>
      </c>
      <c r="D66" s="31">
        <v>66</v>
      </c>
      <c r="E66" s="31" t="str">
        <f>"1000028509"</f>
        <v>1000028509</v>
      </c>
      <c r="F66" s="31" t="str">
        <f>"PAPER TOWEL DISP: G Motion Wh - White, automated paper towel dispenser, touchless. Adjustable towel length. Sold individually. Requires 4 D cell batteries. Paper towel dispenser G."</f>
        <v>PAPER TOWEL DISP: G Motion Wh - White, automated paper towel dispenser, touchless. Adjustable towel length. Sold individually. Requires 4 D cell batteries. Paper towel dispenser G.</v>
      </c>
      <c r="G66" s="37" t="str">
        <f t="shared" si="5"/>
        <v>EA</v>
      </c>
      <c r="H66" s="38">
        <v>50.72</v>
      </c>
      <c r="I66" s="31" t="str">
        <f t="shared" si="6"/>
        <v>47131701</v>
      </c>
      <c r="J66" s="31" t="s">
        <v>160</v>
      </c>
    </row>
    <row r="67" spans="1:10" ht="64.5">
      <c r="A67" s="31" t="s">
        <v>59</v>
      </c>
      <c r="B67" s="31" t="s">
        <v>57</v>
      </c>
      <c r="C67" s="31">
        <v>3153</v>
      </c>
      <c r="D67" s="31">
        <v>67</v>
      </c>
      <c r="E67" s="31" t="str">
        <f>"1000028510"</f>
        <v>1000028510</v>
      </c>
      <c r="F67" s="31" t="str">
        <f>"PAPER TOWEL DISP: H Auto Blk - Black Automated Paper Towel Dispenser. Adjustable towel length. Sold Individually. Required 4 D cell batteries. Paper towel dispenser H."</f>
        <v>PAPER TOWEL DISP: H Auto Blk - Black Automated Paper Towel Dispenser. Adjustable towel length. Sold Individually. Required 4 D cell batteries. Paper towel dispenser H.</v>
      </c>
      <c r="G67" s="37" t="str">
        <f t="shared" si="5"/>
        <v>EA</v>
      </c>
      <c r="H67" s="38">
        <v>14.5</v>
      </c>
      <c r="I67" s="31" t="str">
        <f t="shared" si="6"/>
        <v>47131701</v>
      </c>
      <c r="J67" s="31" t="s">
        <v>160</v>
      </c>
    </row>
    <row r="68" spans="1:10" ht="64.5">
      <c r="A68" s="31" t="s">
        <v>59</v>
      </c>
      <c r="B68" s="31" t="s">
        <v>57</v>
      </c>
      <c r="C68" s="31">
        <v>3153</v>
      </c>
      <c r="D68" s="31">
        <v>68</v>
      </c>
      <c r="E68" s="31" t="str">
        <f>"1000028523"</f>
        <v>1000028523</v>
      </c>
      <c r="F68" s="31" t="str">
        <f>"PAPER TOWEL DISP: I Motion Blk - Black, automated paper towel dispenser. Adjustable towel length. Sold Individually. Requires 4 D cell batteries. Paper towel dispenser I."</f>
        <v>PAPER TOWEL DISP: I Motion Blk - Black, automated paper towel dispenser. Adjustable towel length. Sold Individually. Requires 4 D cell batteries. Paper towel dispenser I.</v>
      </c>
      <c r="G68" s="37" t="str">
        <f t="shared" si="5"/>
        <v>EA</v>
      </c>
      <c r="H68" s="38">
        <v>50.72</v>
      </c>
      <c r="I68" s="31" t="str">
        <f t="shared" si="6"/>
        <v>47131701</v>
      </c>
      <c r="J68" s="31" t="s">
        <v>160</v>
      </c>
    </row>
    <row r="69" spans="1:10" ht="51.75">
      <c r="A69" s="31" t="s">
        <v>59</v>
      </c>
      <c r="B69" s="31" t="s">
        <v>57</v>
      </c>
      <c r="C69" s="31">
        <v>3153</v>
      </c>
      <c r="D69" s="31">
        <v>69</v>
      </c>
      <c r="E69" s="31" t="str">
        <f>"1000028524"</f>
        <v>1000028524</v>
      </c>
      <c r="F69" s="31" t="str">
        <f>"PAPER TOWEL DISP: J Manual Wh - White Metal Manual Paper towel dispenser, center fold/ multifold/singlefold towels. Sold individually. Paper towel dispenser J."</f>
        <v>PAPER TOWEL DISP: J Manual Wh - White Metal Manual Paper towel dispenser, center fold/ multifold/singlefold towels. Sold individually. Paper towel dispenser J.</v>
      </c>
      <c r="G69" s="37" t="str">
        <f t="shared" si="5"/>
        <v>EA</v>
      </c>
      <c r="H69" s="38">
        <v>27.53</v>
      </c>
      <c r="I69" s="31" t="str">
        <f t="shared" si="6"/>
        <v>47131701</v>
      </c>
      <c r="J69" s="31" t="s">
        <v>160</v>
      </c>
    </row>
    <row r="70" spans="1:10" ht="39">
      <c r="A70" s="31" t="s">
        <v>59</v>
      </c>
      <c r="B70" s="31" t="s">
        <v>57</v>
      </c>
      <c r="C70" s="31">
        <v>3153</v>
      </c>
      <c r="D70" s="31">
        <v>70</v>
      </c>
      <c r="E70" s="31" t="str">
        <f>"1000028529"</f>
        <v>1000028529</v>
      </c>
      <c r="F70" s="31" t="str">
        <f>"BATH TISSUE DISP: Jr. Jumbo - Smoke Black, Single Roll, 9 diameter, Jr. Jumbo Toilet Paper dispenser. Sold individually."</f>
        <v>BATH TISSUE DISP: Jr. Jumbo - Smoke Black, Single Roll, 9 diameter, Jr. Jumbo Toilet Paper dispenser. Sold individually.</v>
      </c>
      <c r="G70" s="37" t="str">
        <f t="shared" si="5"/>
        <v>EA</v>
      </c>
      <c r="H70" s="38">
        <v>17.97</v>
      </c>
      <c r="I70" s="31" t="str">
        <f>"47131710"</f>
        <v>47131710</v>
      </c>
      <c r="J70" s="31" t="s">
        <v>161</v>
      </c>
    </row>
    <row r="71" spans="1:10" ht="39">
      <c r="A71" s="31" t="s">
        <v>59</v>
      </c>
      <c r="B71" s="31" t="s">
        <v>57</v>
      </c>
      <c r="C71" s="31">
        <v>3153</v>
      </c>
      <c r="D71" s="31">
        <v>71</v>
      </c>
      <c r="E71" s="31" t="str">
        <f>"1000028530"</f>
        <v>1000028530</v>
      </c>
      <c r="F71" s="31" t="str">
        <f>"BATH TISSUE DISP: Sr. Jumbo - Smoke Black, Single Roll, 12 diameter, Sr. Jumbo Toilet Paper dispenser. Sold individually."</f>
        <v>BATH TISSUE DISP: Sr. Jumbo - Smoke Black, Single Roll, 12 diameter, Sr. Jumbo Toilet Paper dispenser. Sold individually.</v>
      </c>
      <c r="G71" s="37" t="str">
        <f t="shared" si="5"/>
        <v>EA</v>
      </c>
      <c r="H71" s="38">
        <v>27.53</v>
      </c>
      <c r="I71" s="31" t="str">
        <f>"47131710"</f>
        <v>47131710</v>
      </c>
      <c r="J71" s="31" t="s">
        <v>161</v>
      </c>
    </row>
    <row r="72" spans="1:10" ht="26.25">
      <c r="A72" s="31" t="s">
        <v>59</v>
      </c>
      <c r="B72" s="31" t="s">
        <v>57</v>
      </c>
      <c r="C72" s="31">
        <v>3153</v>
      </c>
      <c r="D72" s="31">
        <v>72</v>
      </c>
      <c r="E72" s="31" t="str">
        <f>"1000028531"</f>
        <v>1000028531</v>
      </c>
      <c r="F72" s="31" t="str">
        <f>"BATH TISSUE DISP: Std 2 Roll - 2 Roll Standard Toilet Paper Dispenser. Sold individually."</f>
        <v>BATH TISSUE DISP: Std 2 Roll - 2 Roll Standard Toilet Paper Dispenser. Sold individually.</v>
      </c>
      <c r="G72" s="37" t="str">
        <f t="shared" si="5"/>
        <v>EA</v>
      </c>
      <c r="H72" s="38">
        <v>21.49</v>
      </c>
      <c r="I72" s="31" t="str">
        <f>"47131710"</f>
        <v>47131710</v>
      </c>
      <c r="J72" s="31" t="s">
        <v>161</v>
      </c>
    </row>
    <row r="73" spans="1:10" ht="51.75">
      <c r="A73" s="31" t="s">
        <v>59</v>
      </c>
      <c r="B73" s="31" t="s">
        <v>57</v>
      </c>
      <c r="C73" s="31">
        <v>3153</v>
      </c>
      <c r="D73" s="31">
        <v>73</v>
      </c>
      <c r="E73" s="31" t="str">
        <f>"1000028540"</f>
        <v>1000028540</v>
      </c>
      <c r="F73" s="31" t="str">
        <f>"WIPERS: Wh 2ply 125/BX 15BX/CA - White Universal 2 ply light duty disposable pop up boxed wiper. Size 9x10.25, 125 wipers/box, 15 boxes/case. Approx case weight 16.8 lbs"</f>
        <v>WIPERS: Wh 2ply 125/BX 15BX/CA - White Universal 2 ply light duty disposable pop up boxed wiper. Size 9x10.25, 125 wipers/box, 15 boxes/case. Approx case weight 16.8 lbs</v>
      </c>
      <c r="G73" s="37" t="str">
        <f>"CA"</f>
        <v>CA</v>
      </c>
      <c r="H73" s="38">
        <v>40.31</v>
      </c>
      <c r="I73" s="31" t="str">
        <f>"47131502"</f>
        <v>47131502</v>
      </c>
      <c r="J73" s="31" t="s">
        <v>162</v>
      </c>
    </row>
    <row r="74" spans="1:10" ht="51.75">
      <c r="A74" s="31" t="s">
        <v>59</v>
      </c>
      <c r="B74" s="31" t="s">
        <v>57</v>
      </c>
      <c r="C74" s="31">
        <v>3153</v>
      </c>
      <c r="D74" s="31">
        <v>74</v>
      </c>
      <c r="E74" s="31" t="str">
        <f>"1000028473"</f>
        <v>1000028473</v>
      </c>
      <c r="F74" s="31" t="str">
        <f>"WIPERS: Wh 1ply 100/BX 8BX/CA - White 1 ply DRC medium duty disposable pop up boxed wiper, Size 9.8x16.4, 100 wipers/box, 8 boxes/case. Approx case weight 14.6 lbs"</f>
        <v>WIPERS: Wh 1ply 100/BX 8BX/CA - White 1 ply DRC medium duty disposable pop up boxed wiper, Size 9.8x16.4, 100 wipers/box, 8 boxes/case. Approx case weight 14.6 lbs</v>
      </c>
      <c r="G74" s="37" t="str">
        <f>"CA"</f>
        <v>CA</v>
      </c>
      <c r="H74" s="38">
        <v>43.36</v>
      </c>
      <c r="I74" s="31" t="str">
        <f>"47131502"</f>
        <v>47131502</v>
      </c>
      <c r="J74" s="31" t="s">
        <v>162</v>
      </c>
    </row>
    <row r="75" spans="1:10" ht="26.25">
      <c r="A75" s="31" t="s">
        <v>59</v>
      </c>
      <c r="B75" s="31" t="s">
        <v>57</v>
      </c>
      <c r="C75" s="31">
        <v>3153</v>
      </c>
      <c r="D75" s="31">
        <v>75</v>
      </c>
      <c r="E75" s="31" t="str">
        <f>"1000028039"</f>
        <v>1000028039</v>
      </c>
      <c r="F75" s="31" t="str">
        <f>"RAGS:Turkish towel, 10 LB Carton, varied colors, long nap, approximately 16x16 size"</f>
        <v>RAGS:Turkish towel, 10 LB Carton, varied colors, long nap, approximately 16x16 size</v>
      </c>
      <c r="G75" s="37" t="str">
        <f>"CT"</f>
        <v>CT</v>
      </c>
      <c r="H75" s="38">
        <v>13.25</v>
      </c>
      <c r="I75" s="31" t="str">
        <f>"47131501"</f>
        <v>47131501</v>
      </c>
      <c r="J75" s="31" t="s">
        <v>163</v>
      </c>
    </row>
    <row r="76" spans="1:10" ht="26.25">
      <c r="A76" s="31" t="s">
        <v>59</v>
      </c>
      <c r="B76" s="31" t="s">
        <v>57</v>
      </c>
      <c r="C76" s="31">
        <v>3153</v>
      </c>
      <c r="D76" s="31">
        <v>76</v>
      </c>
      <c r="E76" s="31" t="str">
        <f>"1000028040"</f>
        <v>1000028040</v>
      </c>
      <c r="F76" s="31" t="str">
        <f>"RAGS:White T-shirt, 10 LB Carton, white color, washed, approximately 15x15 size"</f>
        <v>RAGS:White T-shirt, 10 LB Carton, white color, washed, approximately 15x15 size</v>
      </c>
      <c r="G76" s="37" t="str">
        <f>"CT"</f>
        <v>CT</v>
      </c>
      <c r="H76" s="38">
        <v>14</v>
      </c>
      <c r="I76" s="31" t="str">
        <f>"47131501"</f>
        <v>47131501</v>
      </c>
      <c r="J76" s="31" t="s">
        <v>163</v>
      </c>
    </row>
    <row r="77" spans="1:10" ht="64.5">
      <c r="A77" s="31" t="s">
        <v>59</v>
      </c>
      <c r="B77" s="31" t="s">
        <v>57</v>
      </c>
      <c r="C77" s="31">
        <v>3153</v>
      </c>
      <c r="D77" s="31">
        <v>77</v>
      </c>
      <c r="E77" s="31" t="str">
        <f>"1000027534"</f>
        <v>1000027534</v>
      </c>
      <c r="F77" s="31" t="str">
        <f>"BATH TISSUE: Coreless 2ply PL- 2 Ply white coreless toilet paper, Size 4""x3.5"", 500 shts per roll, 10 rolls per sleeve, 6 sleeves per pack, 32 packs per pallet, total 1920 rolls, approx weight 525 lbs."</f>
        <v>BATH TISSUE: Coreless 2ply PL- 2 Ply white coreless toilet paper, Size 4"x3.5", 500 shts per roll, 10 rolls per sleeve, 6 sleeves per pack, 32 packs per pallet, total 1920 rolls, approx weight 525 lbs.</v>
      </c>
      <c r="G77" s="37" t="str">
        <f>"PL"</f>
        <v>PL</v>
      </c>
      <c r="H77" s="38">
        <v>921.6</v>
      </c>
      <c r="I77" s="31" t="str">
        <f>"14111704"</f>
        <v>14111704</v>
      </c>
      <c r="J77" s="31" t="s">
        <v>158</v>
      </c>
    </row>
    <row r="78" spans="1:10" ht="51.75">
      <c r="A78" s="41" t="s">
        <v>59</v>
      </c>
      <c r="B78" s="41" t="s">
        <v>57</v>
      </c>
      <c r="C78" s="41">
        <v>3153</v>
      </c>
      <c r="D78" s="41">
        <v>78</v>
      </c>
      <c r="E78" s="41" t="str">
        <f>"1000029092"</f>
        <v>1000029092</v>
      </c>
      <c r="F78" s="41" t="str">
        <f>"BATH TISSUE:Prem 1ply 96RL/CA - Premium 1 ply white toilet paper. Size 4.1x3.5sheet. 1,000 sheets/roll, 96 rolls/case. Individually wrapped. Approx. Case weight 38 LBS"</f>
        <v>BATH TISSUE:Prem 1ply 96RL/CA - Premium 1 ply white toilet paper. Size 4.1x3.5sheet. 1,000 sheets/roll, 96 rolls/case. Individually wrapped. Approx. Case weight 38 LBS</v>
      </c>
      <c r="G78" s="42" t="str">
        <f>"CA"</f>
        <v>CA</v>
      </c>
      <c r="H78" s="43">
        <v>65.73</v>
      </c>
      <c r="I78" s="41" t="str">
        <f>"14111704"</f>
        <v>14111704</v>
      </c>
      <c r="J78" s="41" t="s">
        <v>158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sheetPr codeName="Sheet11"/>
  <dimension ref="A1:J78"/>
  <sheetViews>
    <sheetView workbookViewId="0">
      <selection activeCell="J7" sqref="A7:J78"/>
    </sheetView>
  </sheetViews>
  <sheetFormatPr defaultRowHeight="15"/>
  <cols>
    <col min="1" max="1" width="8.140625" bestFit="1" customWidth="1"/>
    <col min="2" max="2" width="11.85546875" customWidth="1"/>
    <col min="3" max="3" width="8.28515625" bestFit="1" customWidth="1"/>
    <col min="4" max="4" width="7.42578125" bestFit="1" customWidth="1"/>
    <col min="5" max="5" width="11" bestFit="1" customWidth="1"/>
    <col min="6" max="6" width="32.5703125" customWidth="1"/>
    <col min="7" max="7" width="9.5703125" bestFit="1" customWidth="1"/>
    <col min="8" max="8" width="6.5703125" bestFit="1" customWidth="1"/>
    <col min="10" max="10" width="15.85546875" bestFit="1" customWidth="1"/>
  </cols>
  <sheetData>
    <row r="1" spans="1:10" s="6" customFormat="1" ht="12.75">
      <c r="A1" s="32" t="s">
        <v>71</v>
      </c>
      <c r="B1" s="33" t="s">
        <v>208</v>
      </c>
      <c r="C1" s="33" t="s">
        <v>65</v>
      </c>
      <c r="D1" s="33" t="s">
        <v>207</v>
      </c>
      <c r="E1" s="33" t="s">
        <v>20</v>
      </c>
      <c r="F1" s="33" t="s">
        <v>21</v>
      </c>
      <c r="G1" s="33" t="s">
        <v>22</v>
      </c>
      <c r="H1" s="34" t="s">
        <v>66</v>
      </c>
      <c r="I1" s="33" t="s">
        <v>206</v>
      </c>
      <c r="J1" s="35" t="s">
        <v>205</v>
      </c>
    </row>
    <row r="2" spans="1:10" s="6" customFormat="1" ht="51">
      <c r="A2" s="141" t="s">
        <v>60</v>
      </c>
      <c r="B2" s="142" t="s">
        <v>903</v>
      </c>
      <c r="C2" s="142">
        <v>3124</v>
      </c>
      <c r="D2" s="142">
        <v>1</v>
      </c>
      <c r="E2" s="142">
        <v>1000025195</v>
      </c>
      <c r="F2" s="142" t="s">
        <v>904</v>
      </c>
      <c r="G2" s="143" t="s">
        <v>905</v>
      </c>
      <c r="H2" s="144">
        <v>30</v>
      </c>
      <c r="I2" s="142">
        <v>53131615</v>
      </c>
      <c r="J2" s="145" t="s">
        <v>906</v>
      </c>
    </row>
    <row r="3" spans="1:10" s="6" customFormat="1" ht="51">
      <c r="A3" s="141" t="s">
        <v>60</v>
      </c>
      <c r="B3" s="142" t="s">
        <v>903</v>
      </c>
      <c r="C3" s="142">
        <v>3124</v>
      </c>
      <c r="D3" s="142">
        <v>2</v>
      </c>
      <c r="E3" s="142">
        <v>1000025188</v>
      </c>
      <c r="F3" s="142" t="s">
        <v>907</v>
      </c>
      <c r="G3" s="143" t="s">
        <v>905</v>
      </c>
      <c r="H3" s="144">
        <v>20</v>
      </c>
      <c r="I3" s="142">
        <v>53131615</v>
      </c>
      <c r="J3" s="145" t="s">
        <v>906</v>
      </c>
    </row>
    <row r="4" spans="1:10" s="6" customFormat="1" ht="51">
      <c r="A4" s="141" t="s">
        <v>60</v>
      </c>
      <c r="B4" s="142" t="s">
        <v>903</v>
      </c>
      <c r="C4" s="142">
        <v>3124</v>
      </c>
      <c r="D4" s="142">
        <v>3</v>
      </c>
      <c r="E4" s="142">
        <v>1000025189</v>
      </c>
      <c r="F4" s="142" t="s">
        <v>908</v>
      </c>
      <c r="G4" s="143" t="s">
        <v>905</v>
      </c>
      <c r="H4" s="144">
        <v>60</v>
      </c>
      <c r="I4" s="142">
        <v>53131615</v>
      </c>
      <c r="J4" s="145" t="s">
        <v>695</v>
      </c>
    </row>
    <row r="5" spans="1:10" s="6" customFormat="1" ht="38.25">
      <c r="A5" s="141" t="s">
        <v>60</v>
      </c>
      <c r="B5" s="142" t="s">
        <v>903</v>
      </c>
      <c r="C5" s="142">
        <v>3124</v>
      </c>
      <c r="D5" s="142">
        <v>4</v>
      </c>
      <c r="E5" s="142">
        <v>1000025190</v>
      </c>
      <c r="F5" s="142" t="s">
        <v>909</v>
      </c>
      <c r="G5" s="143" t="s">
        <v>905</v>
      </c>
      <c r="H5" s="144">
        <v>63</v>
      </c>
      <c r="I5" s="142">
        <v>53131615</v>
      </c>
      <c r="J5" s="145" t="s">
        <v>695</v>
      </c>
    </row>
    <row r="6" spans="1:10" s="6" customFormat="1" ht="63.75">
      <c r="A6" s="141" t="s">
        <v>60</v>
      </c>
      <c r="B6" s="142" t="s">
        <v>903</v>
      </c>
      <c r="C6" s="142">
        <v>3124</v>
      </c>
      <c r="D6" s="142">
        <v>5</v>
      </c>
      <c r="E6" s="142">
        <v>1000025191</v>
      </c>
      <c r="F6" s="142" t="s">
        <v>910</v>
      </c>
      <c r="G6" s="143" t="s">
        <v>911</v>
      </c>
      <c r="H6" s="144">
        <v>31</v>
      </c>
      <c r="I6" s="142">
        <v>53131624</v>
      </c>
      <c r="J6" s="145" t="s">
        <v>912</v>
      </c>
    </row>
    <row r="7" spans="1:10" ht="39">
      <c r="A7" s="36" t="s">
        <v>60</v>
      </c>
      <c r="B7" s="31" t="s">
        <v>597</v>
      </c>
      <c r="C7" s="31">
        <v>3699</v>
      </c>
      <c r="D7" s="31">
        <v>1</v>
      </c>
      <c r="E7" s="31" t="str">
        <f>"1000010394"</f>
        <v>1000010394</v>
      </c>
      <c r="F7" s="31" t="str">
        <f>"LIQUID HAND SOAP: 7.5 oz, Antibacterial liquid soap, with pump, melon. Sold by the dozen."</f>
        <v>LIQUID HAND SOAP: 7.5 oz, Antibacterial liquid soap, with pump, melon. Sold by the dozen.</v>
      </c>
      <c r="G7" s="37" t="str">
        <f>"DZ"</f>
        <v>DZ</v>
      </c>
      <c r="H7" s="38">
        <v>23.7</v>
      </c>
      <c r="I7" s="31" t="str">
        <f t="shared" ref="I7:I13" si="0">"53131608"</f>
        <v>53131608</v>
      </c>
      <c r="J7" s="39" t="s">
        <v>164</v>
      </c>
    </row>
    <row r="8" spans="1:10" ht="77.25">
      <c r="A8" s="36" t="s">
        <v>60</v>
      </c>
      <c r="B8" s="31" t="s">
        <v>597</v>
      </c>
      <c r="C8" s="31">
        <v>3699</v>
      </c>
      <c r="D8" s="31">
        <v>2</v>
      </c>
      <c r="E8" s="31" t="str">
        <f>"1000029433"</f>
        <v>1000029433</v>
      </c>
      <c r="F8" s="31" t="str">
        <f>"BAR SOAP:40g Green Leaf 100/CA - Refreshing Body Cleanser, Green made by Natura, 40 gram (1.41 oz) individually wrapped in biodegrable wrapping. Leaf shape. 100 bars per case."</f>
        <v>BAR SOAP:40g Green Leaf 100/CA - Refreshing Body Cleanser, Green made by Natura, 40 gram (1.41 oz) individually wrapped in biodegrable wrapping. Leaf shape. 100 bars per case.</v>
      </c>
      <c r="G8" s="37" t="str">
        <f>"CA"</f>
        <v>CA</v>
      </c>
      <c r="H8" s="38">
        <v>34.71</v>
      </c>
      <c r="I8" s="31" t="str">
        <f t="shared" si="0"/>
        <v>53131608</v>
      </c>
      <c r="J8" s="39" t="s">
        <v>164</v>
      </c>
    </row>
    <row r="9" spans="1:10" ht="26.25">
      <c r="A9" s="36" t="s">
        <v>60</v>
      </c>
      <c r="B9" s="31" t="s">
        <v>597</v>
      </c>
      <c r="C9" s="31">
        <v>3699</v>
      </c>
      <c r="D9" s="31">
        <v>3</v>
      </c>
      <c r="E9" s="31" t="str">
        <f>"1000010398"</f>
        <v>1000010398</v>
      </c>
      <c r="F9" s="31" t="str">
        <f>"BAR SOAP: 1.5 oz, 100/case. Individiually wrapped bars."</f>
        <v>BAR SOAP: 1.5 oz, 100/case. Individiually wrapped bars.</v>
      </c>
      <c r="G9" s="37" t="str">
        <f>"CA"</f>
        <v>CA</v>
      </c>
      <c r="H9" s="38">
        <v>13.75</v>
      </c>
      <c r="I9" s="31" t="str">
        <f t="shared" si="0"/>
        <v>53131608</v>
      </c>
      <c r="J9" s="39" t="s">
        <v>164</v>
      </c>
    </row>
    <row r="10" spans="1:10" ht="39">
      <c r="A10" s="36" t="s">
        <v>60</v>
      </c>
      <c r="B10" s="31" t="s">
        <v>597</v>
      </c>
      <c r="C10" s="31">
        <v>3699</v>
      </c>
      <c r="D10" s="31">
        <v>4</v>
      </c>
      <c r="E10" s="31" t="str">
        <f>"1000029434"</f>
        <v>1000029434</v>
      </c>
      <c r="F10" s="31" t="str">
        <f>"BAR SOAP: 2.75-3 oz Antibacterial, 100/case. Individually wrapped bars. 100 bars per case"</f>
        <v>BAR SOAP: 2.75-3 oz Antibacterial, 100/case. Individually wrapped bars. 100 bars per case</v>
      </c>
      <c r="G10" s="37" t="str">
        <f>"CA"</f>
        <v>CA</v>
      </c>
      <c r="H10" s="38">
        <v>30</v>
      </c>
      <c r="I10" s="31" t="str">
        <f t="shared" si="0"/>
        <v>53131608</v>
      </c>
      <c r="J10" s="39" t="s">
        <v>164</v>
      </c>
    </row>
    <row r="11" spans="1:10" ht="26.25">
      <c r="A11" s="36" t="s">
        <v>60</v>
      </c>
      <c r="B11" s="31" t="s">
        <v>597</v>
      </c>
      <c r="C11" s="31">
        <v>3699</v>
      </c>
      <c r="D11" s="31">
        <v>5</v>
      </c>
      <c r="E11" s="31" t="str">
        <f>"1000029447"</f>
        <v>1000029447</v>
      </c>
      <c r="F11" s="31" t="str">
        <f>"BAR SOAP: 4.25-4.5 oz, DZ. Individually wrapped bar soap, sold by the dozen."</f>
        <v>BAR SOAP: 4.25-4.5 oz, DZ. Individually wrapped bar soap, sold by the dozen.</v>
      </c>
      <c r="G11" s="37" t="str">
        <f>"DZ"</f>
        <v>DZ</v>
      </c>
      <c r="H11" s="38">
        <v>6.89</v>
      </c>
      <c r="I11" s="31" t="str">
        <f t="shared" si="0"/>
        <v>53131608</v>
      </c>
      <c r="J11" s="39" t="s">
        <v>164</v>
      </c>
    </row>
    <row r="12" spans="1:10" ht="26.25">
      <c r="A12" s="36" t="s">
        <v>60</v>
      </c>
      <c r="B12" s="31" t="s">
        <v>597</v>
      </c>
      <c r="C12" s="31">
        <v>3699</v>
      </c>
      <c r="D12" s="31">
        <v>6</v>
      </c>
      <c r="E12" s="31" t="str">
        <f>"1000006587"</f>
        <v>1000006587</v>
      </c>
      <c r="F12" s="31" t="str">
        <f>"BODY WASH: Antibacterial body wash. 1 Gal 4/CA"</f>
        <v>BODY WASH: Antibacterial body wash. 1 Gal 4/CA</v>
      </c>
      <c r="G12" s="37" t="str">
        <f>"CA"</f>
        <v>CA</v>
      </c>
      <c r="H12" s="38">
        <v>34.24</v>
      </c>
      <c r="I12" s="31" t="str">
        <f t="shared" si="0"/>
        <v>53131608</v>
      </c>
      <c r="J12" s="39" t="s">
        <v>164</v>
      </c>
    </row>
    <row r="13" spans="1:10" ht="39">
      <c r="A13" s="36" t="s">
        <v>60</v>
      </c>
      <c r="B13" s="31" t="s">
        <v>597</v>
      </c>
      <c r="C13" s="31">
        <v>3699</v>
      </c>
      <c r="D13" s="31">
        <v>7</v>
      </c>
      <c r="E13" s="31" t="str">
        <f>"1000029448"</f>
        <v>1000029448</v>
      </c>
      <c r="F13" s="31" t="str">
        <f>"BODY WASH: Men's 12-14 oz, DZ - Men's Body Wash, 12-14 oz bottle, sold by the dozen."</f>
        <v>BODY WASH: Men's 12-14 oz, DZ - Men's Body Wash, 12-14 oz bottle, sold by the dozen.</v>
      </c>
      <c r="G13" s="37" t="str">
        <f t="shared" ref="G13:G36" si="1">"DZ"</f>
        <v>DZ</v>
      </c>
      <c r="H13" s="38">
        <v>13.05</v>
      </c>
      <c r="I13" s="31" t="str">
        <f t="shared" si="0"/>
        <v>53131608</v>
      </c>
      <c r="J13" s="39" t="s">
        <v>164</v>
      </c>
    </row>
    <row r="14" spans="1:10" ht="26.25">
      <c r="A14" s="36" t="s">
        <v>60</v>
      </c>
      <c r="B14" s="31" t="s">
        <v>597</v>
      </c>
      <c r="C14" s="31">
        <v>3699</v>
      </c>
      <c r="D14" s="31">
        <v>8</v>
      </c>
      <c r="E14" s="31" t="str">
        <f>"1000019838"</f>
        <v>1000019838</v>
      </c>
      <c r="F14" s="31" t="str">
        <f>"LOTION: Cocoa Butter, 4-5 oz.  Sold by the dozen"</f>
        <v>LOTION: Cocoa Butter, 4-5 oz.  Sold by the dozen</v>
      </c>
      <c r="G14" s="37" t="str">
        <f t="shared" si="1"/>
        <v>DZ</v>
      </c>
      <c r="H14" s="38">
        <v>5.55</v>
      </c>
      <c r="I14" s="31" t="str">
        <f t="shared" ref="I14:I20" si="2">"53131607"</f>
        <v>53131607</v>
      </c>
      <c r="J14" s="39" t="s">
        <v>165</v>
      </c>
    </row>
    <row r="15" spans="1:10" ht="39">
      <c r="A15" s="36" t="s">
        <v>60</v>
      </c>
      <c r="B15" s="31" t="s">
        <v>597</v>
      </c>
      <c r="C15" s="31">
        <v>3699</v>
      </c>
      <c r="D15" s="31">
        <v>9</v>
      </c>
      <c r="E15" s="31" t="str">
        <f>"1000029449"</f>
        <v>1000029449</v>
      </c>
      <c r="F15" s="31" t="str">
        <f>"LOTION: Cocoa Butter, 8-10 oz. Leading name brand cocoa butter in 8-10 oz bottle. Sold by the dozen."</f>
        <v>LOTION: Cocoa Butter, 8-10 oz. Leading name brand cocoa butter in 8-10 oz bottle. Sold by the dozen.</v>
      </c>
      <c r="G15" s="37" t="str">
        <f t="shared" si="1"/>
        <v>DZ</v>
      </c>
      <c r="H15" s="38">
        <v>36.6</v>
      </c>
      <c r="I15" s="31" t="str">
        <f t="shared" si="2"/>
        <v>53131607</v>
      </c>
      <c r="J15" s="39" t="s">
        <v>165</v>
      </c>
    </row>
    <row r="16" spans="1:10" ht="39">
      <c r="A16" s="36" t="s">
        <v>60</v>
      </c>
      <c r="B16" s="31" t="s">
        <v>597</v>
      </c>
      <c r="C16" s="31">
        <v>3699</v>
      </c>
      <c r="D16" s="31">
        <v>10</v>
      </c>
      <c r="E16" s="31" t="str">
        <f>"1000029991"</f>
        <v>1000029991</v>
      </c>
      <c r="F16" s="31" t="str">
        <f>"LOTION: 20 oz. Advanced Lubrication Lotion-Sensitive Skin. Leading name brand. Sold by the dozen."</f>
        <v>LOTION: 20 oz. Advanced Lubrication Lotion-Sensitive Skin. Leading name brand. Sold by the dozen.</v>
      </c>
      <c r="G16" s="37" t="str">
        <f t="shared" si="1"/>
        <v>DZ</v>
      </c>
      <c r="H16" s="38">
        <v>14.79</v>
      </c>
      <c r="I16" s="31">
        <v>53131607</v>
      </c>
      <c r="J16" s="39" t="s">
        <v>165</v>
      </c>
    </row>
    <row r="17" spans="1:10" ht="39">
      <c r="A17" s="36" t="s">
        <v>60</v>
      </c>
      <c r="B17" s="31" t="s">
        <v>597</v>
      </c>
      <c r="C17" s="31">
        <v>3699</v>
      </c>
      <c r="D17" s="31">
        <v>11</v>
      </c>
      <c r="E17" s="31" t="str">
        <f>"1000029451"</f>
        <v>1000029451</v>
      </c>
      <c r="F17" s="31" t="str">
        <f>"LOTION: Aloe &amp; Vit E 8 oz DZ - Aloe Vera and Vitamin E, hand and body lotion, 8 oz, clear container. Sold by the dozen."</f>
        <v>LOTION: Aloe &amp; Vit E 8 oz DZ - Aloe Vera and Vitamin E, hand and body lotion, 8 oz, clear container. Sold by the dozen.</v>
      </c>
      <c r="G17" s="37" t="str">
        <f t="shared" si="1"/>
        <v>DZ</v>
      </c>
      <c r="H17" s="38">
        <v>9.15</v>
      </c>
      <c r="I17" s="31" t="str">
        <f t="shared" si="2"/>
        <v>53131607</v>
      </c>
      <c r="J17" s="39" t="s">
        <v>165</v>
      </c>
    </row>
    <row r="18" spans="1:10" ht="26.25">
      <c r="A18" s="36" t="s">
        <v>60</v>
      </c>
      <c r="B18" s="31" t="s">
        <v>597</v>
      </c>
      <c r="C18" s="31">
        <v>3699</v>
      </c>
      <c r="D18" s="31">
        <v>12</v>
      </c>
      <c r="E18" s="31" t="str">
        <f>"1000029994"</f>
        <v>1000029994</v>
      </c>
      <c r="F18" s="31" t="s">
        <v>888</v>
      </c>
      <c r="G18" s="37" t="str">
        <f t="shared" si="1"/>
        <v>DZ</v>
      </c>
      <c r="H18" s="38">
        <v>13.35</v>
      </c>
      <c r="I18" s="31">
        <v>53131607</v>
      </c>
      <c r="J18" s="39" t="s">
        <v>165</v>
      </c>
    </row>
    <row r="19" spans="1:10" ht="39">
      <c r="A19" s="36" t="s">
        <v>60</v>
      </c>
      <c r="B19" s="31" t="s">
        <v>597</v>
      </c>
      <c r="C19" s="31">
        <v>3699</v>
      </c>
      <c r="D19" s="31">
        <v>13</v>
      </c>
      <c r="E19" s="31">
        <v>1000029453</v>
      </c>
      <c r="F19" s="31" t="s">
        <v>889</v>
      </c>
      <c r="G19" s="37" t="str">
        <f t="shared" si="1"/>
        <v>DZ</v>
      </c>
      <c r="H19" s="38">
        <v>7.41</v>
      </c>
      <c r="I19" s="31" t="str">
        <f t="shared" si="2"/>
        <v>53131607</v>
      </c>
      <c r="J19" s="39" t="s">
        <v>165</v>
      </c>
    </row>
    <row r="20" spans="1:10" ht="26.25">
      <c r="A20" s="36" t="s">
        <v>60</v>
      </c>
      <c r="B20" s="31" t="s">
        <v>597</v>
      </c>
      <c r="C20" s="31">
        <v>3699</v>
      </c>
      <c r="D20" s="31">
        <v>14</v>
      </c>
      <c r="E20" s="31">
        <v>1000010414</v>
      </c>
      <c r="F20" s="31" t="s">
        <v>890</v>
      </c>
      <c r="G20" s="37" t="str">
        <f t="shared" si="1"/>
        <v>DZ</v>
      </c>
      <c r="H20" s="38">
        <v>13.35</v>
      </c>
      <c r="I20" s="31" t="str">
        <f t="shared" si="2"/>
        <v>53131607</v>
      </c>
      <c r="J20" s="39" t="s">
        <v>165</v>
      </c>
    </row>
    <row r="21" spans="1:10" ht="26.25">
      <c r="A21" s="36" t="s">
        <v>60</v>
      </c>
      <c r="B21" s="31" t="s">
        <v>597</v>
      </c>
      <c r="C21" s="31">
        <v>3699</v>
      </c>
      <c r="D21" s="31">
        <v>15</v>
      </c>
      <c r="E21" s="31" t="str">
        <f>"1000008393"</f>
        <v>1000008393</v>
      </c>
      <c r="F21" s="31" t="str">
        <f>"POWDER:Baby Powder with Corn Starch 3.5 oz - 4.0 oz. Sold by the dozen."</f>
        <v>POWDER:Baby Powder with Corn Starch 3.5 oz - 4.0 oz. Sold by the dozen.</v>
      </c>
      <c r="G21" s="37" t="str">
        <f t="shared" si="1"/>
        <v>DZ</v>
      </c>
      <c r="H21" s="38">
        <v>7.2</v>
      </c>
      <c r="I21" s="31" t="str">
        <f>"53131613"</f>
        <v>53131613</v>
      </c>
      <c r="J21" s="39" t="s">
        <v>166</v>
      </c>
    </row>
    <row r="22" spans="1:10" ht="39">
      <c r="A22" s="36" t="s">
        <v>60</v>
      </c>
      <c r="B22" s="31" t="s">
        <v>597</v>
      </c>
      <c r="C22" s="31">
        <v>3699</v>
      </c>
      <c r="D22" s="31">
        <v>16</v>
      </c>
      <c r="E22" s="31" t="str">
        <f>"1000010402"</f>
        <v>1000010402</v>
      </c>
      <c r="F22" s="31" t="str">
        <f>"DEODORANT: Roll on, 1.5 oz see through container, antiperspirant. Sold by the dozen."</f>
        <v>DEODORANT: Roll on, 1.5 oz see through container, antiperspirant. Sold by the dozen.</v>
      </c>
      <c r="G22" s="37" t="str">
        <f t="shared" si="1"/>
        <v>DZ</v>
      </c>
      <c r="H22" s="38">
        <v>4.2</v>
      </c>
      <c r="I22" s="31" t="str">
        <f>"53131606"</f>
        <v>53131606</v>
      </c>
      <c r="J22" s="39" t="s">
        <v>167</v>
      </c>
    </row>
    <row r="23" spans="1:10" ht="51.75">
      <c r="A23" s="36" t="s">
        <v>60</v>
      </c>
      <c r="B23" s="31" t="s">
        <v>597</v>
      </c>
      <c r="C23" s="31">
        <v>3699</v>
      </c>
      <c r="D23" s="31">
        <v>17</v>
      </c>
      <c r="E23" s="31" t="str">
        <f>"1000029454"</f>
        <v>1000029454</v>
      </c>
      <c r="F23" s="31" t="str">
        <f>"DEODORANT: Pump spray 4 oz, DZ - Pump spray, antiperspirant and deodorant, 4 oz, clear container. Sold by the dozen"</f>
        <v>DEODORANT: Pump spray 4 oz, DZ - Pump spray, antiperspirant and deodorant, 4 oz, clear container. Sold by the dozen</v>
      </c>
      <c r="G23" s="37" t="str">
        <f t="shared" si="1"/>
        <v>DZ</v>
      </c>
      <c r="H23" s="38">
        <v>16.2</v>
      </c>
      <c r="I23" s="31" t="str">
        <f>"53131606"</f>
        <v>53131606</v>
      </c>
      <c r="J23" s="39" t="s">
        <v>167</v>
      </c>
    </row>
    <row r="24" spans="1:10" ht="39">
      <c r="A24" s="36" t="s">
        <v>60</v>
      </c>
      <c r="B24" s="31" t="s">
        <v>597</v>
      </c>
      <c r="C24" s="31">
        <v>3699</v>
      </c>
      <c r="D24" s="31">
        <v>18</v>
      </c>
      <c r="E24" s="31" t="str">
        <f>"1000010417"</f>
        <v>1000010417</v>
      </c>
      <c r="F24" s="31" t="str">
        <f>"DEODORANT: Stick/Fresh Scent, 1.6 oz, push up, see through container. Sold by the dozen."</f>
        <v>DEODORANT: Stick/Fresh Scent, 1.6 oz, push up, see through container. Sold by the dozen.</v>
      </c>
      <c r="G24" s="37" t="str">
        <f t="shared" si="1"/>
        <v>DZ</v>
      </c>
      <c r="H24" s="38">
        <v>7.2</v>
      </c>
      <c r="I24" s="31" t="str">
        <f>"53131606"</f>
        <v>53131606</v>
      </c>
      <c r="J24" s="39" t="s">
        <v>167</v>
      </c>
    </row>
    <row r="25" spans="1:10" ht="39">
      <c r="A25" s="36" t="s">
        <v>60</v>
      </c>
      <c r="B25" s="31" t="s">
        <v>597</v>
      </c>
      <c r="C25" s="31">
        <v>3699</v>
      </c>
      <c r="D25" s="31">
        <v>19</v>
      </c>
      <c r="E25" s="31" t="str">
        <f>"1000029455"</f>
        <v>1000029455</v>
      </c>
      <c r="F25" s="31" t="str">
        <f>"DEODORANT:Stick/ Unscented, 0.5 oz, alcohol free, see through container. Sold by the dozen."</f>
        <v>DEODORANT:Stick/ Unscented, 0.5 oz, alcohol free, see through container. Sold by the dozen.</v>
      </c>
      <c r="G25" s="37" t="str">
        <f t="shared" si="1"/>
        <v>DZ</v>
      </c>
      <c r="H25" s="38">
        <v>3.75</v>
      </c>
      <c r="I25" s="31" t="str">
        <f>"53131606"</f>
        <v>53131606</v>
      </c>
      <c r="J25" s="39" t="s">
        <v>167</v>
      </c>
    </row>
    <row r="26" spans="1:10" ht="39">
      <c r="A26" s="36" t="s">
        <v>60</v>
      </c>
      <c r="B26" s="31" t="s">
        <v>597</v>
      </c>
      <c r="C26" s="31">
        <v>3699</v>
      </c>
      <c r="D26" s="31">
        <v>20</v>
      </c>
      <c r="E26" s="31">
        <v>1000029992</v>
      </c>
      <c r="F26" s="31" t="s">
        <v>891</v>
      </c>
      <c r="G26" s="37" t="str">
        <f t="shared" si="1"/>
        <v>DZ</v>
      </c>
      <c r="H26" s="38">
        <v>25.2</v>
      </c>
      <c r="I26" s="31">
        <v>53131606</v>
      </c>
      <c r="J26" s="39" t="s">
        <v>167</v>
      </c>
    </row>
    <row r="27" spans="1:10" ht="39">
      <c r="A27" s="36" t="s">
        <v>60</v>
      </c>
      <c r="B27" s="31" t="s">
        <v>597</v>
      </c>
      <c r="C27" s="31">
        <v>3699</v>
      </c>
      <c r="D27" s="31">
        <v>21</v>
      </c>
      <c r="E27" s="31">
        <v>1000029993</v>
      </c>
      <c r="F27" s="31" t="s">
        <v>892</v>
      </c>
      <c r="G27" s="37" t="str">
        <f t="shared" si="1"/>
        <v>DZ</v>
      </c>
      <c r="H27" s="38">
        <v>22.95</v>
      </c>
      <c r="I27" s="31">
        <v>53131606</v>
      </c>
      <c r="J27" s="39" t="s">
        <v>167</v>
      </c>
    </row>
    <row r="28" spans="1:10" ht="51.75">
      <c r="A28" s="36" t="s">
        <v>60</v>
      </c>
      <c r="B28" s="31" t="s">
        <v>597</v>
      </c>
      <c r="C28" s="31">
        <v>3699</v>
      </c>
      <c r="D28" s="31">
        <v>22</v>
      </c>
      <c r="E28" s="31">
        <v>1000029456</v>
      </c>
      <c r="F28" s="31" t="s">
        <v>893</v>
      </c>
      <c r="G28" s="37" t="str">
        <f t="shared" si="1"/>
        <v>DZ</v>
      </c>
      <c r="H28" s="38">
        <v>5.74</v>
      </c>
      <c r="I28" s="31">
        <v>53131604</v>
      </c>
      <c r="J28" s="39" t="s">
        <v>168</v>
      </c>
    </row>
    <row r="29" spans="1:10" ht="39">
      <c r="A29" s="36" t="s">
        <v>60</v>
      </c>
      <c r="B29" s="31" t="s">
        <v>597</v>
      </c>
      <c r="C29" s="31">
        <v>3699</v>
      </c>
      <c r="D29" s="31">
        <v>23</v>
      </c>
      <c r="E29" s="31">
        <v>1000029457</v>
      </c>
      <c r="F29" s="31" t="s">
        <v>894</v>
      </c>
      <c r="G29" s="37" t="str">
        <f t="shared" si="1"/>
        <v>DZ</v>
      </c>
      <c r="H29" s="38">
        <v>7.52</v>
      </c>
      <c r="I29" s="31" t="str">
        <f t="shared" ref="I29:I30" si="3">"53131604"</f>
        <v>53131604</v>
      </c>
      <c r="J29" s="39" t="s">
        <v>168</v>
      </c>
    </row>
    <row r="30" spans="1:10" ht="26.25">
      <c r="A30" s="36" t="s">
        <v>60</v>
      </c>
      <c r="B30" s="31" t="s">
        <v>597</v>
      </c>
      <c r="C30" s="31">
        <v>3699</v>
      </c>
      <c r="D30" s="31">
        <v>24</v>
      </c>
      <c r="E30" s="31">
        <v>1000010425</v>
      </c>
      <c r="F30" s="31" t="s">
        <v>895</v>
      </c>
      <c r="G30" s="37" t="str">
        <f t="shared" si="1"/>
        <v>DZ</v>
      </c>
      <c r="H30" s="38">
        <v>0.33</v>
      </c>
      <c r="I30" s="31" t="str">
        <f t="shared" si="3"/>
        <v>53131604</v>
      </c>
      <c r="J30" s="39" t="s">
        <v>168</v>
      </c>
    </row>
    <row r="31" spans="1:10" ht="26.25">
      <c r="A31" s="36" t="s">
        <v>60</v>
      </c>
      <c r="B31" s="31" t="s">
        <v>597</v>
      </c>
      <c r="C31" s="31">
        <v>3699</v>
      </c>
      <c r="D31" s="31">
        <v>25</v>
      </c>
      <c r="E31" s="31">
        <v>1000010405</v>
      </c>
      <c r="F31" s="31" t="s">
        <v>896</v>
      </c>
      <c r="G31" s="37" t="str">
        <f t="shared" si="1"/>
        <v>DZ</v>
      </c>
      <c r="H31" s="38">
        <v>1.1000000000000001</v>
      </c>
      <c r="I31" s="31">
        <v>53131604</v>
      </c>
      <c r="J31" s="39" t="s">
        <v>168</v>
      </c>
    </row>
    <row r="32" spans="1:10" ht="26.25">
      <c r="A32" s="36" t="s">
        <v>60</v>
      </c>
      <c r="B32" s="31" t="s">
        <v>597</v>
      </c>
      <c r="C32" s="31">
        <v>3699</v>
      </c>
      <c r="D32" s="31">
        <v>26</v>
      </c>
      <c r="E32" s="31">
        <v>1000010406</v>
      </c>
      <c r="F32" s="31" t="s">
        <v>897</v>
      </c>
      <c r="G32" s="37" t="str">
        <f t="shared" si="1"/>
        <v>DZ</v>
      </c>
      <c r="H32" s="38">
        <v>1.8</v>
      </c>
      <c r="I32" s="31">
        <v>53131604</v>
      </c>
      <c r="J32" s="39" t="s">
        <v>168</v>
      </c>
    </row>
    <row r="33" spans="1:10" ht="26.25">
      <c r="A33" s="36" t="s">
        <v>60</v>
      </c>
      <c r="B33" s="31" t="s">
        <v>597</v>
      </c>
      <c r="C33" s="31">
        <v>3699</v>
      </c>
      <c r="D33" s="31">
        <v>27</v>
      </c>
      <c r="E33" s="31">
        <v>1000029458</v>
      </c>
      <c r="F33" s="31" t="s">
        <v>898</v>
      </c>
      <c r="G33" s="37" t="str">
        <f t="shared" si="1"/>
        <v>DZ</v>
      </c>
      <c r="H33" s="38">
        <v>1.2</v>
      </c>
      <c r="I33" s="31">
        <v>53131604</v>
      </c>
      <c r="J33" s="39" t="s">
        <v>168</v>
      </c>
    </row>
    <row r="34" spans="1:10" ht="51.75">
      <c r="A34" s="36" t="s">
        <v>60</v>
      </c>
      <c r="B34" s="31" t="s">
        <v>597</v>
      </c>
      <c r="C34" s="31">
        <v>3699</v>
      </c>
      <c r="D34" s="31">
        <v>28</v>
      </c>
      <c r="E34" s="31">
        <v>1000029435</v>
      </c>
      <c r="F34" s="31" t="s">
        <v>899</v>
      </c>
      <c r="G34" s="37" t="str">
        <f t="shared" si="1"/>
        <v>DZ</v>
      </c>
      <c r="H34" s="38">
        <v>12</v>
      </c>
      <c r="I34" s="31">
        <v>91101700</v>
      </c>
      <c r="J34" s="39" t="s">
        <v>169</v>
      </c>
    </row>
    <row r="35" spans="1:10" ht="39">
      <c r="A35" s="36" t="s">
        <v>60</v>
      </c>
      <c r="B35" s="31" t="s">
        <v>597</v>
      </c>
      <c r="C35" s="31">
        <v>3699</v>
      </c>
      <c r="D35" s="31">
        <v>29</v>
      </c>
      <c r="E35" s="31">
        <v>1000029437</v>
      </c>
      <c r="F35" s="31" t="s">
        <v>900</v>
      </c>
      <c r="G35" s="37" t="str">
        <f t="shared" si="1"/>
        <v>DZ</v>
      </c>
      <c r="H35" s="38">
        <v>22.8</v>
      </c>
      <c r="I35" s="31">
        <v>91101700</v>
      </c>
      <c r="J35" s="39" t="s">
        <v>169</v>
      </c>
    </row>
    <row r="36" spans="1:10" ht="26.25">
      <c r="A36" s="36" t="s">
        <v>60</v>
      </c>
      <c r="B36" s="31" t="s">
        <v>597</v>
      </c>
      <c r="C36" s="31">
        <v>3699</v>
      </c>
      <c r="D36" s="31">
        <v>30</v>
      </c>
      <c r="E36" s="31">
        <v>1000006272</v>
      </c>
      <c r="F36" s="31" t="str">
        <f>"SHAMPOO: 15 oz. See through bottle. Sold by the dozen."</f>
        <v>SHAMPOO: 15 oz. See through bottle. Sold by the dozen.</v>
      </c>
      <c r="G36" s="37" t="str">
        <f t="shared" si="1"/>
        <v>DZ</v>
      </c>
      <c r="H36" s="38">
        <v>19.350000000000001</v>
      </c>
      <c r="I36" s="31">
        <v>53131628</v>
      </c>
      <c r="J36" s="39" t="s">
        <v>170</v>
      </c>
    </row>
    <row r="37" spans="1:10" ht="26.25">
      <c r="A37" s="36" t="s">
        <v>60</v>
      </c>
      <c r="B37" s="31" t="s">
        <v>597</v>
      </c>
      <c r="C37" s="31">
        <v>3699</v>
      </c>
      <c r="D37" s="31">
        <v>31</v>
      </c>
      <c r="E37" s="31">
        <v>1000029439</v>
      </c>
      <c r="F37" s="31" t="str">
        <f>"SHAMPOO:Shampoo 32ml,100 CA - Natura Green Brand. Sold by the case."</f>
        <v>SHAMPOO:Shampoo 32ml,100 CA - Natura Green Brand. Sold by the case.</v>
      </c>
      <c r="G37" s="37" t="str">
        <f>"CA"</f>
        <v>CA</v>
      </c>
      <c r="H37" s="38">
        <v>28.75</v>
      </c>
      <c r="I37" s="31" t="str">
        <f>"91101700"</f>
        <v>91101700</v>
      </c>
      <c r="J37" s="39" t="s">
        <v>169</v>
      </c>
    </row>
    <row r="38" spans="1:10" ht="39">
      <c r="A38" s="36" t="s">
        <v>60</v>
      </c>
      <c r="B38" s="31" t="s">
        <v>597</v>
      </c>
      <c r="C38" s="31">
        <v>3699</v>
      </c>
      <c r="D38" s="31">
        <v>32</v>
      </c>
      <c r="E38" s="31" t="str">
        <f>"1000007279"</f>
        <v>1000007279</v>
      </c>
      <c r="F38" s="31" t="str">
        <f>"SHAMPOO - BODY WASH:2oz clr in see-thru cont~Shampoo, 2 oz clear in a see-through container"</f>
        <v>SHAMPOO - BODY WASH:2oz clr in see-thru cont~Shampoo, 2 oz clear in a see-through container</v>
      </c>
      <c r="G38" s="37" t="str">
        <f>"DZ"</f>
        <v>DZ</v>
      </c>
      <c r="H38" s="38">
        <v>2.85</v>
      </c>
      <c r="I38" s="31" t="str">
        <f>"53131628"</f>
        <v>53131628</v>
      </c>
      <c r="J38" s="39" t="s">
        <v>170</v>
      </c>
    </row>
    <row r="39" spans="1:10" ht="39">
      <c r="A39" s="36" t="s">
        <v>60</v>
      </c>
      <c r="B39" s="31" t="s">
        <v>597</v>
      </c>
      <c r="C39" s="31">
        <v>3699</v>
      </c>
      <c r="D39" s="31">
        <v>33</v>
      </c>
      <c r="E39" s="31" t="str">
        <f>"1000007280"</f>
        <v>1000007280</v>
      </c>
      <c r="F39" s="31" t="str">
        <f>"SHAMPOO - BODY WASH:7.5-8 oz/alc free~Shampoo &amp; Body Wash, 7.5 oz - 8 oz, alcohol free"</f>
        <v>SHAMPOO - BODY WASH:7.5-8 oz/alc free~Shampoo &amp; Body Wash, 7.5 oz - 8 oz, alcohol free</v>
      </c>
      <c r="G39" s="37" t="str">
        <f>"DZ"</f>
        <v>DZ</v>
      </c>
      <c r="H39" s="38">
        <v>9.15</v>
      </c>
      <c r="I39" s="31" t="str">
        <f>"53131628"</f>
        <v>53131628</v>
      </c>
      <c r="J39" s="39" t="s">
        <v>170</v>
      </c>
    </row>
    <row r="40" spans="1:10" ht="39">
      <c r="A40" s="36" t="s">
        <v>60</v>
      </c>
      <c r="B40" s="31" t="s">
        <v>597</v>
      </c>
      <c r="C40" s="31">
        <v>3699</v>
      </c>
      <c r="D40" s="31">
        <v>34</v>
      </c>
      <c r="E40" s="31" t="str">
        <f>"1000029440"</f>
        <v>1000029440</v>
      </c>
      <c r="F40" s="31" t="str">
        <f>"SHAMPOO/BODYWASH:Baby 15-17oz DZ- Baby Hair &amp; Body Wash, gentle, tearless, 15-17 oz, sold by the dozen."</f>
        <v>SHAMPOO/BODYWASH:Baby 15-17oz DZ- Baby Hair &amp; Body Wash, gentle, tearless, 15-17 oz, sold by the dozen.</v>
      </c>
      <c r="G40" s="37" t="str">
        <f>"DZ"</f>
        <v>DZ</v>
      </c>
      <c r="H40" s="38">
        <v>19.95</v>
      </c>
      <c r="I40" s="31" t="str">
        <f>"91101700"</f>
        <v>91101700</v>
      </c>
      <c r="J40" s="39" t="s">
        <v>169</v>
      </c>
    </row>
    <row r="41" spans="1:10" ht="26.25">
      <c r="A41" s="36" t="s">
        <v>60</v>
      </c>
      <c r="B41" s="31" t="s">
        <v>597</v>
      </c>
      <c r="C41" s="31">
        <v>3699</v>
      </c>
      <c r="D41" s="31">
        <v>35</v>
      </c>
      <c r="E41" s="31" t="str">
        <f>"1000029441"</f>
        <v>1000029441</v>
      </c>
      <c r="F41" s="31" t="str">
        <f>"SHAMPOO/BODY WASH:Gallon, sold by the each"</f>
        <v>SHAMPOO/BODY WASH:Gallon, sold by the each</v>
      </c>
      <c r="G41" s="37" t="str">
        <f>"EA"</f>
        <v>EA</v>
      </c>
      <c r="H41" s="38">
        <v>7.91</v>
      </c>
      <c r="I41" s="31" t="str">
        <f>"91101700"</f>
        <v>91101700</v>
      </c>
      <c r="J41" s="39" t="s">
        <v>169</v>
      </c>
    </row>
    <row r="42" spans="1:10" ht="39">
      <c r="A42" s="36" t="s">
        <v>60</v>
      </c>
      <c r="B42" s="31" t="s">
        <v>597</v>
      </c>
      <c r="C42" s="31">
        <v>3699</v>
      </c>
      <c r="D42" s="31">
        <v>36</v>
      </c>
      <c r="E42" s="31" t="str">
        <f>"1000029442"</f>
        <v>1000029442</v>
      </c>
      <c r="F42" s="31" t="s">
        <v>901</v>
      </c>
      <c r="G42" s="37" t="str">
        <f>"DZ"</f>
        <v>DZ</v>
      </c>
      <c r="H42" s="38">
        <v>15</v>
      </c>
      <c r="I42" s="31">
        <v>53131628</v>
      </c>
      <c r="J42" s="39" t="s">
        <v>169</v>
      </c>
    </row>
    <row r="43" spans="1:10" ht="26.25">
      <c r="A43" s="36" t="s">
        <v>60</v>
      </c>
      <c r="B43" s="31" t="s">
        <v>597</v>
      </c>
      <c r="C43" s="31">
        <v>3699</v>
      </c>
      <c r="D43" s="31">
        <v>37</v>
      </c>
      <c r="E43" s="31">
        <v>1000029995</v>
      </c>
      <c r="F43" s="31" t="s">
        <v>902</v>
      </c>
      <c r="G43" s="37" t="str">
        <f>"DZ"</f>
        <v>DZ</v>
      </c>
      <c r="H43" s="38">
        <v>19.350000000000001</v>
      </c>
      <c r="I43" s="31">
        <v>53131602</v>
      </c>
      <c r="J43" s="39" t="s">
        <v>169</v>
      </c>
    </row>
    <row r="44" spans="1:10" ht="39">
      <c r="A44" s="36" t="s">
        <v>60</v>
      </c>
      <c r="B44" s="31" t="s">
        <v>597</v>
      </c>
      <c r="C44" s="31">
        <v>3699</v>
      </c>
      <c r="D44" s="31">
        <v>38</v>
      </c>
      <c r="E44" s="31">
        <v>1000007920</v>
      </c>
      <c r="F44" s="31" t="str">
        <f>"RAZOR:Twin Blade, Safety Disposable, fixed head, clear removable safety cap. 100 per case"</f>
        <v>RAZOR:Twin Blade, Safety Disposable, fixed head, clear removable safety cap. 100 per case</v>
      </c>
      <c r="G44" s="37" t="str">
        <f>"CA"</f>
        <v>CA</v>
      </c>
      <c r="H44" s="38">
        <v>10</v>
      </c>
      <c r="I44" s="31" t="str">
        <f>"53131603"</f>
        <v>53131603</v>
      </c>
      <c r="J44" s="39" t="s">
        <v>171</v>
      </c>
    </row>
    <row r="45" spans="1:10" ht="39">
      <c r="A45" s="36" t="s">
        <v>60</v>
      </c>
      <c r="B45" s="31" t="s">
        <v>597</v>
      </c>
      <c r="C45" s="31">
        <v>3699</v>
      </c>
      <c r="D45" s="31">
        <v>39</v>
      </c>
      <c r="E45" s="31" t="str">
        <f>"1000029444"</f>
        <v>1000029444</v>
      </c>
      <c r="F45" s="31" t="str">
        <f>"RAZOR:Anti-shank, 100 CA. Anti-shank, thumbprint handle, safety shield. Sold by the case."</f>
        <v>RAZOR:Anti-shank, 100 CA. Anti-shank, thumbprint handle, safety shield. Sold by the case.</v>
      </c>
      <c r="G45" s="37" t="str">
        <f>"CA"</f>
        <v>CA</v>
      </c>
      <c r="H45" s="38">
        <v>26.25</v>
      </c>
      <c r="I45" s="31" t="str">
        <f>"53131603"</f>
        <v>53131603</v>
      </c>
      <c r="J45" s="39" t="s">
        <v>171</v>
      </c>
    </row>
    <row r="46" spans="1:10" ht="26.25">
      <c r="A46" s="36" t="s">
        <v>60</v>
      </c>
      <c r="B46" s="31" t="s">
        <v>597</v>
      </c>
      <c r="C46" s="31">
        <v>3699</v>
      </c>
      <c r="D46" s="31">
        <v>40</v>
      </c>
      <c r="E46" s="31" t="str">
        <f>"1000019861"</f>
        <v>1000019861</v>
      </c>
      <c r="F46" s="31" t="str">
        <f>"SHAVE CREAM:Aerosol, 11 oz can"</f>
        <v>SHAVE CREAM:Aerosol, 11 oz can</v>
      </c>
      <c r="G46" s="37" t="str">
        <f>"DZ"</f>
        <v>DZ</v>
      </c>
      <c r="H46" s="38">
        <v>17.350000000000001</v>
      </c>
      <c r="I46" s="31" t="str">
        <f>"53131611"</f>
        <v>53131611</v>
      </c>
      <c r="J46" s="39" t="s">
        <v>172</v>
      </c>
    </row>
    <row r="47" spans="1:10" ht="51.75">
      <c r="A47" s="36" t="s">
        <v>60</v>
      </c>
      <c r="B47" s="31" t="s">
        <v>597</v>
      </c>
      <c r="C47" s="31">
        <v>3699</v>
      </c>
      <c r="D47" s="31">
        <v>41</v>
      </c>
      <c r="E47" s="31" t="str">
        <f>"1000029445"</f>
        <v>1000029445</v>
      </c>
      <c r="F47" s="31" t="str">
        <f>"SHAVE GEL: 4oz, DZ Concentrated Clear Plastic bottle ~Shave Gel concentrated , 4 oz, clear plastic bottle, sold by the dozen."</f>
        <v>SHAVE GEL: 4oz, DZ Concentrated Clear Plastic bottle ~Shave Gel concentrated , 4 oz, clear plastic bottle, sold by the dozen.</v>
      </c>
      <c r="G47" s="37" t="str">
        <f>"DZ"</f>
        <v>DZ</v>
      </c>
      <c r="H47" s="38">
        <v>6.51</v>
      </c>
      <c r="I47" s="31" t="str">
        <f>"53131613"</f>
        <v>53131613</v>
      </c>
      <c r="J47" s="39" t="s">
        <v>172</v>
      </c>
    </row>
    <row r="48" spans="1:10" ht="39">
      <c r="A48" s="36" t="s">
        <v>60</v>
      </c>
      <c r="B48" s="31" t="s">
        <v>597</v>
      </c>
      <c r="C48" s="31">
        <v>3699</v>
      </c>
      <c r="D48" s="31">
        <v>42</v>
      </c>
      <c r="E48" s="31" t="str">
        <f>"1000029446"</f>
        <v>1000029446</v>
      </c>
      <c r="F48" s="31" t="str">
        <f>"AFTER SHAVE: 2oz, 100/CA, Alcohol Free After Shave, 2 oz bottle in clear plastic bottles, 100 per case."</f>
        <v>AFTER SHAVE: 2oz, 100/CA, Alcohol Free After Shave, 2 oz bottle in clear plastic bottles, 100 per case.</v>
      </c>
      <c r="G48" s="37" t="str">
        <f>"CA"</f>
        <v>CA</v>
      </c>
      <c r="H48" s="38">
        <v>50</v>
      </c>
      <c r="I48" s="31" t="str">
        <f>"53131613"</f>
        <v>53131613</v>
      </c>
      <c r="J48" s="39" t="s">
        <v>166</v>
      </c>
    </row>
    <row r="49" spans="1:10" ht="39">
      <c r="A49" s="36" t="s">
        <v>60</v>
      </c>
      <c r="B49" s="31" t="s">
        <v>597</v>
      </c>
      <c r="C49" s="31">
        <v>3699</v>
      </c>
      <c r="D49" s="31">
        <v>43</v>
      </c>
      <c r="E49" s="31" t="str">
        <f>"1000029431"</f>
        <v>1000029431</v>
      </c>
      <c r="F49" s="31" t="str">
        <f>"SHOE INSOLES:Odor stop,cut fit - Cut to fit, odor stopper. Cushion insole with baking soda. Sold by the dozen."</f>
        <v>SHOE INSOLES:Odor stop,cut fit - Cut to fit, odor stopper. Cushion insole with baking soda. Sold by the dozen.</v>
      </c>
      <c r="G49" s="37" t="str">
        <f t="shared" ref="G49:G68" si="4">"DZ"</f>
        <v>DZ</v>
      </c>
      <c r="H49" s="38">
        <v>83.97</v>
      </c>
      <c r="I49" s="31" t="str">
        <f>"53111600"</f>
        <v>53111600</v>
      </c>
      <c r="J49" s="39" t="s">
        <v>757</v>
      </c>
    </row>
    <row r="50" spans="1:10" ht="51.75">
      <c r="A50" s="36" t="s">
        <v>60</v>
      </c>
      <c r="B50" s="31" t="s">
        <v>597</v>
      </c>
      <c r="C50" s="31">
        <v>3699</v>
      </c>
      <c r="D50" s="31">
        <v>44</v>
      </c>
      <c r="E50" s="31">
        <v>1000029996</v>
      </c>
      <c r="F50" s="31" t="s">
        <v>914</v>
      </c>
      <c r="G50" s="37" t="s">
        <v>853</v>
      </c>
      <c r="H50" s="38">
        <v>34.950000000000003</v>
      </c>
      <c r="I50" s="31" t="str">
        <f t="shared" ref="I50:I55" si="5">"53111800"</f>
        <v>53111800</v>
      </c>
      <c r="J50" s="39" t="s">
        <v>173</v>
      </c>
    </row>
    <row r="51" spans="1:10" ht="51.75">
      <c r="A51" s="36" t="s">
        <v>60</v>
      </c>
      <c r="B51" s="31" t="s">
        <v>597</v>
      </c>
      <c r="C51" s="31">
        <v>3699</v>
      </c>
      <c r="D51" s="31">
        <v>45</v>
      </c>
      <c r="E51" s="31">
        <v>1000029997</v>
      </c>
      <c r="F51" s="31" t="s">
        <v>915</v>
      </c>
      <c r="G51" s="37" t="s">
        <v>853</v>
      </c>
      <c r="H51" s="38">
        <v>34.950000000000003</v>
      </c>
      <c r="I51" s="31">
        <v>53111800</v>
      </c>
      <c r="J51" s="39" t="s">
        <v>173</v>
      </c>
    </row>
    <row r="52" spans="1:10" ht="51.75">
      <c r="A52" s="36" t="s">
        <v>60</v>
      </c>
      <c r="B52" s="31" t="s">
        <v>597</v>
      </c>
      <c r="C52" s="31">
        <v>3699</v>
      </c>
      <c r="D52" s="31">
        <v>46</v>
      </c>
      <c r="E52" s="31">
        <v>1000029998</v>
      </c>
      <c r="F52" s="31" t="s">
        <v>916</v>
      </c>
      <c r="G52" s="37" t="s">
        <v>853</v>
      </c>
      <c r="H52" s="38">
        <v>34.950000000000003</v>
      </c>
      <c r="I52" s="31" t="str">
        <f t="shared" si="5"/>
        <v>53111800</v>
      </c>
      <c r="J52" s="39" t="s">
        <v>173</v>
      </c>
    </row>
    <row r="53" spans="1:10" ht="51.75">
      <c r="A53" s="36" t="s">
        <v>60</v>
      </c>
      <c r="B53" s="31" t="s">
        <v>597</v>
      </c>
      <c r="C53" s="31">
        <v>3699</v>
      </c>
      <c r="D53" s="31">
        <v>47</v>
      </c>
      <c r="E53" s="31">
        <v>1000029999</v>
      </c>
      <c r="F53" s="31" t="s">
        <v>917</v>
      </c>
      <c r="G53" s="37" t="s">
        <v>853</v>
      </c>
      <c r="H53" s="38">
        <v>34.950000000000003</v>
      </c>
      <c r="I53" s="31" t="str">
        <f t="shared" si="5"/>
        <v>53111800</v>
      </c>
      <c r="J53" s="39" t="s">
        <v>173</v>
      </c>
    </row>
    <row r="54" spans="1:10" ht="51.75">
      <c r="A54" s="36" t="s">
        <v>60</v>
      </c>
      <c r="B54" s="31" t="s">
        <v>597</v>
      </c>
      <c r="C54" s="31">
        <v>3699</v>
      </c>
      <c r="D54" s="31">
        <v>48</v>
      </c>
      <c r="E54" s="31">
        <v>1000030000</v>
      </c>
      <c r="F54" s="31" t="s">
        <v>918</v>
      </c>
      <c r="G54" s="37" t="s">
        <v>853</v>
      </c>
      <c r="H54" s="38">
        <v>34.950000000000003</v>
      </c>
      <c r="I54" s="31" t="str">
        <f t="shared" si="5"/>
        <v>53111800</v>
      </c>
      <c r="J54" s="39" t="s">
        <v>173</v>
      </c>
    </row>
    <row r="55" spans="1:10" ht="51.75">
      <c r="A55" s="36" t="s">
        <v>60</v>
      </c>
      <c r="B55" s="31" t="s">
        <v>597</v>
      </c>
      <c r="C55" s="31">
        <v>3699</v>
      </c>
      <c r="D55" s="31">
        <v>49</v>
      </c>
      <c r="E55" s="31">
        <v>1000030001</v>
      </c>
      <c r="F55" s="31" t="s">
        <v>919</v>
      </c>
      <c r="G55" s="37" t="s">
        <v>853</v>
      </c>
      <c r="H55" s="38">
        <v>34.950000000000003</v>
      </c>
      <c r="I55" s="31" t="str">
        <f t="shared" si="5"/>
        <v>53111800</v>
      </c>
      <c r="J55" s="39" t="s">
        <v>173</v>
      </c>
    </row>
    <row r="56" spans="1:10" ht="64.5">
      <c r="A56" s="141" t="s">
        <v>60</v>
      </c>
      <c r="B56" s="142" t="s">
        <v>597</v>
      </c>
      <c r="C56" s="142">
        <v>3699</v>
      </c>
      <c r="D56" s="142">
        <v>50</v>
      </c>
      <c r="E56" s="142">
        <v>1000030002</v>
      </c>
      <c r="F56" s="142" t="s">
        <v>920</v>
      </c>
      <c r="G56" s="37" t="s">
        <v>853</v>
      </c>
      <c r="H56" s="144">
        <v>13.53</v>
      </c>
      <c r="I56" s="142">
        <v>53111800</v>
      </c>
      <c r="J56" s="145" t="s">
        <v>173</v>
      </c>
    </row>
    <row r="57" spans="1:10" ht="64.5">
      <c r="A57" s="141" t="s">
        <v>60</v>
      </c>
      <c r="B57" s="142" t="s">
        <v>597</v>
      </c>
      <c r="C57" s="142">
        <v>3699</v>
      </c>
      <c r="D57" s="142">
        <v>51</v>
      </c>
      <c r="E57" s="142">
        <v>1000030003</v>
      </c>
      <c r="F57" s="142" t="s">
        <v>921</v>
      </c>
      <c r="G57" s="37" t="s">
        <v>853</v>
      </c>
      <c r="H57" s="144">
        <v>13.53</v>
      </c>
      <c r="I57" s="142">
        <v>53111800</v>
      </c>
      <c r="J57" s="145" t="s">
        <v>173</v>
      </c>
    </row>
    <row r="58" spans="1:10" ht="64.5">
      <c r="A58" s="141" t="s">
        <v>60</v>
      </c>
      <c r="B58" s="142" t="s">
        <v>597</v>
      </c>
      <c r="C58" s="142">
        <v>3699</v>
      </c>
      <c r="D58" s="142">
        <v>52</v>
      </c>
      <c r="E58" s="142">
        <v>1000030004</v>
      </c>
      <c r="F58" s="142" t="s">
        <v>922</v>
      </c>
      <c r="G58" s="37" t="s">
        <v>853</v>
      </c>
      <c r="H58" s="144">
        <v>13.53</v>
      </c>
      <c r="I58" s="142">
        <v>53111800</v>
      </c>
      <c r="J58" s="145" t="s">
        <v>173</v>
      </c>
    </row>
    <row r="59" spans="1:10" ht="64.5">
      <c r="A59" s="141" t="s">
        <v>60</v>
      </c>
      <c r="B59" s="142" t="s">
        <v>597</v>
      </c>
      <c r="C59" s="142">
        <v>3699</v>
      </c>
      <c r="D59" s="142">
        <v>53</v>
      </c>
      <c r="E59" s="142">
        <v>1000029988</v>
      </c>
      <c r="F59" s="142" t="s">
        <v>923</v>
      </c>
      <c r="G59" s="37" t="s">
        <v>853</v>
      </c>
      <c r="H59" s="144">
        <v>13.53</v>
      </c>
      <c r="I59" s="142">
        <v>53111800</v>
      </c>
      <c r="J59" s="145" t="s">
        <v>173</v>
      </c>
    </row>
    <row r="60" spans="1:10" ht="64.5">
      <c r="A60" s="141" t="s">
        <v>60</v>
      </c>
      <c r="B60" s="142" t="s">
        <v>597</v>
      </c>
      <c r="C60" s="142">
        <v>3699</v>
      </c>
      <c r="D60" s="142">
        <v>54</v>
      </c>
      <c r="E60" s="142">
        <v>1000029989</v>
      </c>
      <c r="F60" s="142" t="s">
        <v>924</v>
      </c>
      <c r="G60" s="37" t="s">
        <v>853</v>
      </c>
      <c r="H60" s="144">
        <v>13.53</v>
      </c>
      <c r="I60" s="142">
        <v>53111800</v>
      </c>
      <c r="J60" s="145" t="s">
        <v>173</v>
      </c>
    </row>
    <row r="61" spans="1:10" ht="64.5">
      <c r="A61" s="141" t="s">
        <v>60</v>
      </c>
      <c r="B61" s="142" t="s">
        <v>597</v>
      </c>
      <c r="C61" s="142">
        <v>3699</v>
      </c>
      <c r="D61" s="142">
        <v>55</v>
      </c>
      <c r="E61" s="142">
        <v>1000029990</v>
      </c>
      <c r="F61" s="142" t="s">
        <v>925</v>
      </c>
      <c r="G61" s="37" t="s">
        <v>853</v>
      </c>
      <c r="H61" s="144">
        <v>13.53</v>
      </c>
      <c r="I61" s="142">
        <v>53111800</v>
      </c>
      <c r="J61" s="145" t="s">
        <v>173</v>
      </c>
    </row>
    <row r="62" spans="1:10" ht="39">
      <c r="A62" s="36" t="s">
        <v>60</v>
      </c>
      <c r="B62" s="31" t="s">
        <v>597</v>
      </c>
      <c r="C62" s="31">
        <v>3699</v>
      </c>
      <c r="D62" s="31">
        <v>56</v>
      </c>
      <c r="E62" s="31" t="str">
        <f>"1000029432"</f>
        <v>1000029432</v>
      </c>
      <c r="F62" s="31" t="str">
        <f>"TOOTHBRUSH: Adult,4row,sft nylon, 50 tuft, nylon bristles, soft. Sold by the dozen."</f>
        <v>TOOTHBRUSH: Adult,4row,sft nylon, 50 tuft, nylon bristles, soft. Sold by the dozen.</v>
      </c>
      <c r="G62" s="37" t="str">
        <f t="shared" si="4"/>
        <v>DZ</v>
      </c>
      <c r="H62" s="38">
        <v>0.87</v>
      </c>
      <c r="I62" s="31" t="str">
        <f>"53131503"</f>
        <v>53131503</v>
      </c>
      <c r="J62" s="39" t="s">
        <v>174</v>
      </c>
    </row>
    <row r="63" spans="1:10" ht="26.25">
      <c r="A63" s="36" t="s">
        <v>60</v>
      </c>
      <c r="B63" s="31" t="s">
        <v>597</v>
      </c>
      <c r="C63" s="31">
        <v>3699</v>
      </c>
      <c r="D63" s="31">
        <v>57</v>
      </c>
      <c r="E63" s="31" t="str">
        <f>"1000029459"</f>
        <v>1000029459</v>
      </c>
      <c r="F63" s="31" t="str">
        <f>"TOOTHBRUSH: Children's, DZ POH brand toothbrush. Sold by the dozen."</f>
        <v>TOOTHBRUSH: Children's, DZ POH brand toothbrush. Sold by the dozen.</v>
      </c>
      <c r="G63" s="37" t="str">
        <f t="shared" si="4"/>
        <v>DZ</v>
      </c>
      <c r="H63" s="38">
        <v>6.98</v>
      </c>
      <c r="I63" s="31" t="str">
        <f>"53131503"</f>
        <v>53131503</v>
      </c>
      <c r="J63" s="39" t="s">
        <v>174</v>
      </c>
    </row>
    <row r="64" spans="1:10" ht="26.25">
      <c r="A64" s="36" t="s">
        <v>60</v>
      </c>
      <c r="B64" s="31" t="s">
        <v>597</v>
      </c>
      <c r="C64" s="31">
        <v>3699</v>
      </c>
      <c r="D64" s="31">
        <v>58</v>
      </c>
      <c r="E64" s="31" t="str">
        <f>"1000029460"</f>
        <v>1000029460</v>
      </c>
      <c r="F64" s="31" t="str">
        <f>"TOOTHBRUSH: Adult,DZ,POH Brand toothbrush. Sold by the dozen."</f>
        <v>TOOTHBRUSH: Adult,DZ,POH Brand toothbrush. Sold by the dozen.</v>
      </c>
      <c r="G64" s="37" t="str">
        <f t="shared" si="4"/>
        <v>DZ</v>
      </c>
      <c r="H64" s="38">
        <v>6.98</v>
      </c>
      <c r="I64" s="31" t="str">
        <f>"53131503"</f>
        <v>53131503</v>
      </c>
      <c r="J64" s="39" t="s">
        <v>174</v>
      </c>
    </row>
    <row r="65" spans="1:10" ht="39">
      <c r="A65" s="36" t="s">
        <v>60</v>
      </c>
      <c r="B65" s="31" t="s">
        <v>597</v>
      </c>
      <c r="C65" s="31">
        <v>3699</v>
      </c>
      <c r="D65" s="31">
        <v>59</v>
      </c>
      <c r="E65" s="31" t="str">
        <f>"1000010410"</f>
        <v>1000010410</v>
      </c>
      <c r="F65" s="31" t="str">
        <f>"TOOTHBRUSH: Thumbprint handle, white with nylon bristles. Sold by the dozen."</f>
        <v>TOOTHBRUSH: Thumbprint handle, white with nylon bristles. Sold by the dozen.</v>
      </c>
      <c r="G65" s="37" t="str">
        <f t="shared" si="4"/>
        <v>DZ</v>
      </c>
      <c r="H65" s="38">
        <v>0.75</v>
      </c>
      <c r="I65" s="31" t="str">
        <f>"53131503"</f>
        <v>53131503</v>
      </c>
      <c r="J65" s="39" t="s">
        <v>174</v>
      </c>
    </row>
    <row r="66" spans="1:10" ht="51.75">
      <c r="A66" s="36" t="s">
        <v>60</v>
      </c>
      <c r="B66" s="31" t="s">
        <v>597</v>
      </c>
      <c r="C66" s="31">
        <v>3699</v>
      </c>
      <c r="D66" s="31">
        <v>60</v>
      </c>
      <c r="E66" s="31" t="str">
        <f>"1000029461"</f>
        <v>1000029461</v>
      </c>
      <c r="F66" s="31" t="str">
        <f>"TOOTHBRUSH:Safety toothbrsh,DZ - Safety toothbrush, 30 tuft, nylon. Short handle, not a thumbprint or fingerbrush. Sold by the dozen."</f>
        <v>TOOTHBRUSH:Safety toothbrsh,DZ - Safety toothbrush, 30 tuft, nylon. Short handle, not a thumbprint or fingerbrush. Sold by the dozen.</v>
      </c>
      <c r="G66" s="37" t="str">
        <f t="shared" si="4"/>
        <v>DZ</v>
      </c>
      <c r="H66" s="38">
        <v>0.6</v>
      </c>
      <c r="I66" s="31" t="str">
        <f>"53131503"</f>
        <v>53131503</v>
      </c>
      <c r="J66" s="39" t="s">
        <v>174</v>
      </c>
    </row>
    <row r="67" spans="1:10" ht="39">
      <c r="A67" s="36" t="s">
        <v>60</v>
      </c>
      <c r="B67" s="31" t="s">
        <v>597</v>
      </c>
      <c r="C67" s="31">
        <v>3699</v>
      </c>
      <c r="D67" s="31">
        <v>61</v>
      </c>
      <c r="E67" s="31" t="str">
        <f>"1000010424"</f>
        <v>1000010424</v>
      </c>
      <c r="F67" s="31" t="str">
        <f>"TOOTHBRUSH HOLDER: Clear, 7 in., two piece plastic tube, vented for drying. Sold by the dozen."</f>
        <v>TOOTHBRUSH HOLDER: Clear, 7 in., two piece plastic tube, vented for drying. Sold by the dozen.</v>
      </c>
      <c r="G67" s="37" t="str">
        <f t="shared" si="4"/>
        <v>DZ</v>
      </c>
      <c r="H67" s="38">
        <v>2.25</v>
      </c>
      <c r="I67" s="31" t="str">
        <f>"30181611"</f>
        <v>30181611</v>
      </c>
      <c r="J67" s="39" t="s">
        <v>175</v>
      </c>
    </row>
    <row r="68" spans="1:10" ht="51.75">
      <c r="A68" s="36" t="s">
        <v>60</v>
      </c>
      <c r="B68" s="31" t="s">
        <v>597</v>
      </c>
      <c r="C68" s="31">
        <v>3699</v>
      </c>
      <c r="D68" s="31">
        <v>62</v>
      </c>
      <c r="E68" s="31" t="str">
        <f>"1000029462"</f>
        <v>1000029462</v>
      </c>
      <c r="F68" s="31" t="str">
        <f>"TOOTHPASTE:Child,0.35oz,DZ FDA ADA approved flavored toothpaste or gel, must be ADA and FDA approved, sold by the dozen."</f>
        <v>TOOTHPASTE:Child,0.35oz,DZ FDA ADA approved flavored toothpaste or gel, must be ADA and FDA approved, sold by the dozen.</v>
      </c>
      <c r="G68" s="37" t="str">
        <f t="shared" si="4"/>
        <v>DZ</v>
      </c>
      <c r="H68" s="38">
        <v>5.25</v>
      </c>
      <c r="I68" s="31" t="str">
        <f>"53131502"</f>
        <v>53131502</v>
      </c>
      <c r="J68" s="39" t="s">
        <v>176</v>
      </c>
    </row>
    <row r="69" spans="1:10" ht="39">
      <c r="A69" s="36" t="s">
        <v>60</v>
      </c>
      <c r="B69" s="31" t="s">
        <v>597</v>
      </c>
      <c r="C69" s="31">
        <v>3699</v>
      </c>
      <c r="D69" s="31">
        <v>63</v>
      </c>
      <c r="E69" s="31" t="str">
        <f>"1000029422"</f>
        <v>1000029422</v>
      </c>
      <c r="F69" s="31" t="str">
        <f>"TOOTHPASTE:Child,0.35oz,100CA fluoride-free, flavored toothpaste or gel, 100 per case."</f>
        <v>TOOTHPASTE:Child,0.35oz,100CA fluoride-free, flavored toothpaste or gel, 100 per case.</v>
      </c>
      <c r="G69" s="37" t="str">
        <f>"CA"</f>
        <v>CA</v>
      </c>
      <c r="H69" s="38">
        <v>37.5</v>
      </c>
      <c r="I69" s="31" t="str">
        <f>"53131502"</f>
        <v>53131502</v>
      </c>
      <c r="J69" s="39" t="s">
        <v>176</v>
      </c>
    </row>
    <row r="70" spans="1:10" ht="39">
      <c r="A70" s="36" t="s">
        <v>60</v>
      </c>
      <c r="B70" s="31" t="s">
        <v>597</v>
      </c>
      <c r="C70" s="31">
        <v>3699</v>
      </c>
      <c r="D70" s="31">
        <v>64</v>
      </c>
      <c r="E70" s="31" t="str">
        <f>"1000029423"</f>
        <v>1000029423</v>
      </c>
      <c r="F70" s="31" t="str">
        <f>"TOOTHPASTE:Fluor gel 4.6oz see-thru tube~Clear tooth gel, fluoride, 4.6 oz in a see-through tube, sold by the dozen."</f>
        <v>TOOTHPASTE:Fluor gel 4.6oz see-thru tube~Clear tooth gel, fluoride, 4.6 oz in a see-through tube, sold by the dozen.</v>
      </c>
      <c r="G70" s="37" t="str">
        <f>"DZ"</f>
        <v>DZ</v>
      </c>
      <c r="H70" s="38">
        <v>7.65</v>
      </c>
      <c r="I70" s="31" t="str">
        <f>"53131502"</f>
        <v>53131502</v>
      </c>
      <c r="J70" s="39" t="s">
        <v>176</v>
      </c>
    </row>
    <row r="71" spans="1:10" ht="51.75">
      <c r="A71" s="36" t="s">
        <v>60</v>
      </c>
      <c r="B71" s="31" t="s">
        <v>597</v>
      </c>
      <c r="C71" s="31">
        <v>3699</v>
      </c>
      <c r="D71" s="31">
        <v>65</v>
      </c>
      <c r="E71" s="31" t="str">
        <f>"1000029424"</f>
        <v>1000029424</v>
      </c>
      <c r="F71" s="31" t="str">
        <f>"TOOTHPASTE:Security Fluor gel 2.75oz see-thru tube~Clear tooth gel, fluoride, 2.75 oz in a see-through tube, sold by the dozen."</f>
        <v>TOOTHPASTE:Security Fluor gel 2.75oz see-thru tube~Clear tooth gel, fluoride, 2.75 oz in a see-through tube, sold by the dozen.</v>
      </c>
      <c r="G71" s="37" t="str">
        <f>"DZ"</f>
        <v>DZ</v>
      </c>
      <c r="H71" s="38">
        <v>4.95</v>
      </c>
      <c r="I71" s="31" t="str">
        <f>"53131502"</f>
        <v>53131502</v>
      </c>
      <c r="J71" s="39" t="s">
        <v>176</v>
      </c>
    </row>
    <row r="72" spans="1:10" ht="39">
      <c r="A72" s="36" t="s">
        <v>60</v>
      </c>
      <c r="B72" s="31" t="s">
        <v>597</v>
      </c>
      <c r="C72" s="31">
        <v>3699</v>
      </c>
      <c r="D72" s="31">
        <v>66</v>
      </c>
      <c r="E72" s="31" t="str">
        <f>"1000029425"</f>
        <v>1000029425</v>
      </c>
      <c r="F72" s="31" t="str">
        <f>"TOOTHPASTE:Security Fluor gel 1.5-2oz - Clear tooth gel, fluoride, 1.5-2 oz in a see-through tube. 100 per case."</f>
        <v>TOOTHPASTE:Security Fluor gel 1.5-2oz - Clear tooth gel, fluoride, 1.5-2 oz in a see-through tube. 100 per case.</v>
      </c>
      <c r="G72" s="37" t="str">
        <f>"CA"</f>
        <v>CA</v>
      </c>
      <c r="H72" s="38">
        <v>25</v>
      </c>
      <c r="I72" s="31" t="str">
        <f>"53131502"</f>
        <v>53131502</v>
      </c>
      <c r="J72" s="39" t="s">
        <v>176</v>
      </c>
    </row>
    <row r="73" spans="1:10" ht="26.25">
      <c r="A73" s="36" t="s">
        <v>60</v>
      </c>
      <c r="B73" s="31" t="s">
        <v>597</v>
      </c>
      <c r="C73" s="31">
        <v>3699</v>
      </c>
      <c r="D73" s="31">
        <v>67</v>
      </c>
      <c r="E73" s="31" t="str">
        <f>"1000012419"</f>
        <v>1000012419</v>
      </c>
      <c r="F73" s="31" t="str">
        <f>"MOUTHWASH:4 oz, alcohol free mouthwash. Sold by the dozen"</f>
        <v>MOUTHWASH:4 oz, alcohol free mouthwash. Sold by the dozen</v>
      </c>
      <c r="G73" s="37" t="str">
        <f>"DZ"</f>
        <v>DZ</v>
      </c>
      <c r="H73" s="38">
        <v>4.8</v>
      </c>
      <c r="I73" s="31" t="str">
        <f>"53131501"</f>
        <v>53131501</v>
      </c>
      <c r="J73" s="39" t="s">
        <v>177</v>
      </c>
    </row>
    <row r="74" spans="1:10" ht="39">
      <c r="A74" s="36" t="s">
        <v>60</v>
      </c>
      <c r="B74" s="31" t="s">
        <v>597</v>
      </c>
      <c r="C74" s="31">
        <v>3699</v>
      </c>
      <c r="D74" s="31">
        <v>68</v>
      </c>
      <c r="E74" s="31" t="str">
        <f>"1000029426"</f>
        <v>1000029426</v>
      </c>
      <c r="F74" s="31" t="str">
        <f>"DENTURE CREAM: 2.4 oz DZ - Extra strength denture adhesive, 2.4 oz denture cream, tube. Sold by the dozen."</f>
        <v>DENTURE CREAM: 2.4 oz DZ - Extra strength denture adhesive, 2.4 oz denture cream, tube. Sold by the dozen.</v>
      </c>
      <c r="G74" s="37" t="str">
        <f>"DZ"</f>
        <v>DZ</v>
      </c>
      <c r="H74" s="38">
        <v>31.95</v>
      </c>
      <c r="I74" s="31" t="str">
        <f>"53131510"</f>
        <v>53131510</v>
      </c>
      <c r="J74" s="39" t="s">
        <v>178</v>
      </c>
    </row>
    <row r="75" spans="1:10" ht="51.75">
      <c r="A75" s="36" t="s">
        <v>60</v>
      </c>
      <c r="B75" s="31" t="s">
        <v>597</v>
      </c>
      <c r="C75" s="31">
        <v>3699</v>
      </c>
      <c r="D75" s="31">
        <v>69</v>
      </c>
      <c r="E75" s="31" t="str">
        <f>"1000029427"</f>
        <v>1000029427</v>
      </c>
      <c r="F75" s="31" t="str">
        <f>"DENTURE CLEANER: Tab. 40/BX DZ - 40 tablets per box, 12 boxes. Anti-bacterial denture cleaner tablets. Sold by the dozen"</f>
        <v>DENTURE CLEANER: Tab. 40/BX DZ - 40 tablets per box, 12 boxes. Anti-bacterial denture cleaner tablets. Sold by the dozen</v>
      </c>
      <c r="G75" s="37" t="str">
        <f>"DZ"</f>
        <v>DZ</v>
      </c>
      <c r="H75" s="38">
        <v>19.2</v>
      </c>
      <c r="I75" s="31" t="str">
        <f>"53131508"</f>
        <v>53131508</v>
      </c>
      <c r="J75" s="39" t="s">
        <v>179</v>
      </c>
    </row>
    <row r="76" spans="1:10" ht="26.25">
      <c r="A76" s="36" t="s">
        <v>60</v>
      </c>
      <c r="B76" s="31" t="s">
        <v>597</v>
      </c>
      <c r="C76" s="31">
        <v>3699</v>
      </c>
      <c r="D76" s="31">
        <v>70</v>
      </c>
      <c r="E76" s="31" t="str">
        <f>"1000029428"</f>
        <v>1000029428</v>
      </c>
      <c r="F76" s="31" t="str">
        <f>"QTIPS: 300/BX, DZ - Q-Tips, 300 Count, sold by the dozen."</f>
        <v>QTIPS: 300/BX, DZ - Q-Tips, 300 Count, sold by the dozen.</v>
      </c>
      <c r="G76" s="37" t="str">
        <f>"DZ"</f>
        <v>DZ</v>
      </c>
      <c r="H76" s="38">
        <v>19.95</v>
      </c>
      <c r="I76" s="31" t="str">
        <f>"42141500"</f>
        <v>42141500</v>
      </c>
      <c r="J76" s="39" t="s">
        <v>180</v>
      </c>
    </row>
    <row r="77" spans="1:10" ht="90">
      <c r="A77" s="36" t="s">
        <v>60</v>
      </c>
      <c r="B77" s="31" t="s">
        <v>597</v>
      </c>
      <c r="C77" s="31">
        <v>3699</v>
      </c>
      <c r="D77" s="31">
        <v>71</v>
      </c>
      <c r="E77" s="31" t="str">
        <f>"1000029429"</f>
        <v>1000029429</v>
      </c>
      <c r="F77" s="31" t="str">
        <f>"SECURITY KIT: Std # 2. Contains: 5 in. comb, adult toothbrush, 2.75 oz clear tooth gel in see thru tube, 1.6 oz clear stick deodorant, 4 oz shaving gel in clear tube or shampoo/conditioner in see thru bottle, 8 sheets of writing paper, 8 envelopes in a"</f>
        <v>SECURITY KIT: Std # 2. Contains: 5 in. comb, adult toothbrush, 2.75 oz clear tooth gel in see thru tube, 1.6 oz clear stick deodorant, 4 oz shaving gel in clear tube or shampoo/conditioner in see thru bottle, 8 sheets of writing paper, 8 envelopes in a</v>
      </c>
      <c r="G77" s="37" t="s">
        <v>600</v>
      </c>
      <c r="H77" s="38">
        <v>2</v>
      </c>
      <c r="I77" s="31" t="str">
        <f>"42141601"</f>
        <v>42141601</v>
      </c>
      <c r="J77" s="39" t="s">
        <v>181</v>
      </c>
    </row>
    <row r="78" spans="1:10" ht="90">
      <c r="A78" s="40" t="s">
        <v>60</v>
      </c>
      <c r="B78" s="41" t="s">
        <v>597</v>
      </c>
      <c r="C78" s="41">
        <v>3699</v>
      </c>
      <c r="D78" s="41">
        <v>72</v>
      </c>
      <c r="E78" s="41" t="str">
        <f>"1000029430"</f>
        <v>1000029430</v>
      </c>
      <c r="F78" s="41" t="str">
        <f>"SECURITY KIT: Std # 3 Correctional Facilities. Contains: toothbrush with thumbprint handle, 1.6 oz clear stick deodorant, 2.75 oz tooth gel in a clear tube, 3 oz All-in-One in a clear tube, single blade rzor with thumbprint handle in a zip lock bag."</f>
        <v>SECURITY KIT: Std # 3 Correctional Facilities. Contains: toothbrush with thumbprint handle, 1.6 oz clear stick deodorant, 2.75 oz tooth gel in a clear tube, 3 oz All-in-One in a clear tube, single blade rzor with thumbprint handle in a zip lock bag.</v>
      </c>
      <c r="G78" s="42" t="s">
        <v>600</v>
      </c>
      <c r="H78" s="43">
        <v>1.78</v>
      </c>
      <c r="I78" s="41" t="str">
        <f>"42141601"</f>
        <v>42141601</v>
      </c>
      <c r="J78" s="44" t="s">
        <v>181</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sheetPr codeName="Sheet12"/>
  <dimension ref="A1:J20"/>
  <sheetViews>
    <sheetView workbookViewId="0">
      <selection activeCell="B1" sqref="B1:B1048576"/>
    </sheetView>
  </sheetViews>
  <sheetFormatPr defaultRowHeight="15"/>
  <cols>
    <col min="1" max="1" width="8.140625" bestFit="1" customWidth="1"/>
    <col min="2" max="2" width="8.7109375" bestFit="1" customWidth="1"/>
    <col min="3" max="3" width="8.28515625" bestFit="1" customWidth="1"/>
    <col min="4" max="4" width="7.42578125" bestFit="1" customWidth="1"/>
    <col min="5" max="5" width="11" bestFit="1" customWidth="1"/>
    <col min="6" max="6" width="33.85546875" customWidth="1"/>
    <col min="7" max="7" width="9.5703125" bestFit="1" customWidth="1"/>
    <col min="10" max="10" width="14.85546875" bestFit="1" customWidth="1"/>
  </cols>
  <sheetData>
    <row r="1" spans="1:10" s="6" customFormat="1" ht="12.75">
      <c r="A1" s="12" t="s">
        <v>71</v>
      </c>
      <c r="B1" s="13" t="s">
        <v>208</v>
      </c>
      <c r="C1" s="13" t="s">
        <v>65</v>
      </c>
      <c r="D1" s="13" t="s">
        <v>207</v>
      </c>
      <c r="E1" s="13" t="s">
        <v>20</v>
      </c>
      <c r="F1" s="13" t="s">
        <v>21</v>
      </c>
      <c r="G1" s="13" t="s">
        <v>22</v>
      </c>
      <c r="H1" s="14" t="s">
        <v>66</v>
      </c>
      <c r="I1" s="13" t="s">
        <v>206</v>
      </c>
      <c r="J1" s="15" t="s">
        <v>205</v>
      </c>
    </row>
    <row r="2" spans="1:10" s="6" customFormat="1" ht="89.25">
      <c r="A2" s="9" t="s">
        <v>37</v>
      </c>
      <c r="B2" s="2" t="s">
        <v>34</v>
      </c>
      <c r="C2" s="2">
        <v>3156</v>
      </c>
      <c r="D2" s="2">
        <v>1</v>
      </c>
      <c r="E2" s="2" t="str">
        <f>"1000000054"</f>
        <v>1000000054</v>
      </c>
      <c r="F2" s="2" t="s">
        <v>209</v>
      </c>
      <c r="G2" s="3" t="str">
        <f>"BX"</f>
        <v>BX</v>
      </c>
      <c r="H2" s="7">
        <v>18.25</v>
      </c>
      <c r="I2" s="2" t="str">
        <f>"50192902"</f>
        <v>50192902</v>
      </c>
      <c r="J2" s="10" t="s">
        <v>124</v>
      </c>
    </row>
    <row r="3" spans="1:10" s="6" customFormat="1" ht="38.25">
      <c r="A3" s="9" t="s">
        <v>37</v>
      </c>
      <c r="B3" s="2" t="s">
        <v>34</v>
      </c>
      <c r="C3" s="2">
        <v>3156</v>
      </c>
      <c r="D3" s="2">
        <v>2</v>
      </c>
      <c r="E3" s="2" t="str">
        <f>"1000000096"</f>
        <v>1000000096</v>
      </c>
      <c r="F3" s="2" t="str">
        <f>"PASTA:Spaghetti Long, 100% pure semolina flour salt &amp; water only, 2-10# boxes/case"</f>
        <v>PASTA:Spaghetti Long, 100% pure semolina flour salt &amp; water only, 2-10# boxes/case</v>
      </c>
      <c r="G3" s="3" t="str">
        <f>"BX"</f>
        <v>BX</v>
      </c>
      <c r="H3" s="7">
        <v>17.600000000000001</v>
      </c>
      <c r="I3" s="2" t="str">
        <f>"50192902"</f>
        <v>50192902</v>
      </c>
      <c r="J3" s="10" t="s">
        <v>124</v>
      </c>
    </row>
    <row r="4" spans="1:10" s="6" customFormat="1" ht="25.5">
      <c r="A4" s="9" t="s">
        <v>37</v>
      </c>
      <c r="B4" s="2" t="s">
        <v>34</v>
      </c>
      <c r="C4" s="2">
        <v>3156</v>
      </c>
      <c r="D4" s="2">
        <v>3</v>
      </c>
      <c r="E4" s="2" t="str">
        <f>"1000001115"</f>
        <v>1000001115</v>
      </c>
      <c r="F4" s="2" t="str">
        <f>"MACARONI:Elbow-regular - must be purchased in 10lb/bx"</f>
        <v>MACARONI:Elbow-regular - must be purchased in 10lb/bx</v>
      </c>
      <c r="G4" s="3" t="str">
        <f>"BX"</f>
        <v>BX</v>
      </c>
      <c r="H4" s="7">
        <v>9.5</v>
      </c>
      <c r="I4" s="2" t="str">
        <f>"50192902"</f>
        <v>50192902</v>
      </c>
      <c r="J4" s="10" t="s">
        <v>124</v>
      </c>
    </row>
    <row r="5" spans="1:10" s="6" customFormat="1" ht="25.5">
      <c r="A5" s="9" t="s">
        <v>37</v>
      </c>
      <c r="B5" s="2" t="s">
        <v>34</v>
      </c>
      <c r="C5" s="2">
        <v>3156</v>
      </c>
      <c r="D5" s="2">
        <v>4</v>
      </c>
      <c r="E5" s="2" t="str">
        <f>"1000001496"</f>
        <v>1000001496</v>
      </c>
      <c r="F5" s="2" t="str">
        <f>"NOODLES: Egg, 10 LB Bag, medium width"</f>
        <v>NOODLES: Egg, 10 LB Bag, medium width</v>
      </c>
      <c r="G5" s="3" t="str">
        <f>"BG"</f>
        <v>BG</v>
      </c>
      <c r="H5" s="7">
        <v>13</v>
      </c>
      <c r="I5" s="2" t="str">
        <f>"50192902"</f>
        <v>50192902</v>
      </c>
      <c r="J5" s="10" t="s">
        <v>124</v>
      </c>
    </row>
    <row r="6" spans="1:10" s="6" customFormat="1" ht="25.5">
      <c r="A6" s="9" t="s">
        <v>37</v>
      </c>
      <c r="B6" s="2" t="s">
        <v>34</v>
      </c>
      <c r="C6" s="2">
        <v>3156</v>
      </c>
      <c r="D6" s="2">
        <v>5</v>
      </c>
      <c r="E6" s="2" t="str">
        <f>"1000001497"</f>
        <v>1000001497</v>
      </c>
      <c r="F6" s="2" t="str">
        <f>"NOODLES: Lasagna 12 LB BX"</f>
        <v>NOODLES: Lasagna 12 LB BX</v>
      </c>
      <c r="G6" s="3" t="str">
        <f>"BG"</f>
        <v>BG</v>
      </c>
      <c r="H6" s="7">
        <v>12.3</v>
      </c>
      <c r="I6" s="2" t="str">
        <f>"50192902"</f>
        <v>50192902</v>
      </c>
      <c r="J6" s="10" t="s">
        <v>124</v>
      </c>
    </row>
    <row r="7" spans="1:10" s="6" customFormat="1" ht="12.75">
      <c r="A7" s="16" t="s">
        <v>37</v>
      </c>
      <c r="B7" s="17" t="s">
        <v>34</v>
      </c>
      <c r="C7" s="17">
        <v>3156</v>
      </c>
      <c r="D7" s="17">
        <v>6</v>
      </c>
      <c r="E7" s="17" t="str">
        <f>"1000008974"</f>
        <v>1000008974</v>
      </c>
      <c r="F7" s="17" t="str">
        <f>"SHIPPING: General Charges"</f>
        <v>SHIPPING: General Charges</v>
      </c>
      <c r="G7" s="18" t="str">
        <f>"EA"</f>
        <v>EA</v>
      </c>
      <c r="H7" s="19">
        <v>0.01</v>
      </c>
      <c r="I7" s="17" t="str">
        <f>"78121603"</f>
        <v>78121603</v>
      </c>
      <c r="J7" s="20" t="s">
        <v>75</v>
      </c>
    </row>
    <row r="8" spans="1:10" ht="26.25">
      <c r="A8" s="9" t="s">
        <v>37</v>
      </c>
      <c r="B8" s="2" t="s">
        <v>34</v>
      </c>
      <c r="C8" s="2">
        <v>3156</v>
      </c>
      <c r="D8" s="2">
        <v>7</v>
      </c>
      <c r="E8" s="2">
        <v>1000029779</v>
      </c>
      <c r="F8" s="2" t="s">
        <v>578</v>
      </c>
      <c r="G8" s="3" t="str">
        <f t="shared" ref="G8:G20" si="0">"BG"</f>
        <v>BG</v>
      </c>
      <c r="H8" s="7">
        <v>7.7</v>
      </c>
      <c r="I8" s="2" t="str">
        <f t="shared" ref="I8:I20" si="1">"50192902"</f>
        <v>50192902</v>
      </c>
      <c r="J8" s="10" t="s">
        <v>124</v>
      </c>
    </row>
    <row r="9" spans="1:10" ht="26.25">
      <c r="A9" s="9" t="s">
        <v>37</v>
      </c>
      <c r="B9" s="2" t="s">
        <v>34</v>
      </c>
      <c r="C9" s="2">
        <v>3156</v>
      </c>
      <c r="D9" s="2">
        <v>8</v>
      </c>
      <c r="E9" s="2">
        <v>1000029780</v>
      </c>
      <c r="F9" s="2" t="s">
        <v>579</v>
      </c>
      <c r="G9" s="3" t="str">
        <f t="shared" si="0"/>
        <v>BG</v>
      </c>
      <c r="H9" s="7">
        <v>12.1</v>
      </c>
      <c r="I9" s="2" t="str">
        <f t="shared" si="1"/>
        <v>50192902</v>
      </c>
      <c r="J9" s="10" t="s">
        <v>124</v>
      </c>
    </row>
    <row r="10" spans="1:10" ht="26.25">
      <c r="A10" s="9" t="s">
        <v>37</v>
      </c>
      <c r="B10" s="2" t="s">
        <v>34</v>
      </c>
      <c r="C10" s="2">
        <v>3156</v>
      </c>
      <c r="D10" s="2">
        <v>9</v>
      </c>
      <c r="E10" s="2">
        <v>1000029781</v>
      </c>
      <c r="F10" s="2" t="s">
        <v>580</v>
      </c>
      <c r="G10" s="3" t="str">
        <f t="shared" si="0"/>
        <v>BG</v>
      </c>
      <c r="H10" s="7">
        <v>8.3000000000000007</v>
      </c>
      <c r="I10" s="2" t="str">
        <f t="shared" si="1"/>
        <v>50192902</v>
      </c>
      <c r="J10" s="10" t="s">
        <v>124</v>
      </c>
    </row>
    <row r="11" spans="1:10" ht="26.25">
      <c r="A11" s="9" t="s">
        <v>37</v>
      </c>
      <c r="B11" s="2" t="s">
        <v>34</v>
      </c>
      <c r="C11" s="2">
        <v>3156</v>
      </c>
      <c r="D11" s="2">
        <v>10</v>
      </c>
      <c r="E11" s="2">
        <v>1000029782</v>
      </c>
      <c r="F11" s="2" t="s">
        <v>581</v>
      </c>
      <c r="G11" s="3" t="str">
        <f t="shared" si="0"/>
        <v>BG</v>
      </c>
      <c r="H11" s="7">
        <v>12.1</v>
      </c>
      <c r="I11" s="2" t="str">
        <f t="shared" si="1"/>
        <v>50192902</v>
      </c>
      <c r="J11" s="10" t="s">
        <v>124</v>
      </c>
    </row>
    <row r="12" spans="1:10" ht="26.25">
      <c r="A12" s="9" t="s">
        <v>37</v>
      </c>
      <c r="B12" s="2" t="s">
        <v>34</v>
      </c>
      <c r="C12" s="2">
        <v>3156</v>
      </c>
      <c r="D12" s="2">
        <v>11</v>
      </c>
      <c r="E12" s="2">
        <v>1000029770</v>
      </c>
      <c r="F12" s="2" t="s">
        <v>582</v>
      </c>
      <c r="G12" s="3" t="str">
        <f t="shared" si="0"/>
        <v>BG</v>
      </c>
      <c r="H12" s="7">
        <v>8.6999999999999993</v>
      </c>
      <c r="I12" s="2" t="str">
        <f t="shared" si="1"/>
        <v>50192902</v>
      </c>
      <c r="J12" s="10" t="s">
        <v>124</v>
      </c>
    </row>
    <row r="13" spans="1:10" ht="26.25">
      <c r="A13" s="9" t="s">
        <v>37</v>
      </c>
      <c r="B13" s="2" t="s">
        <v>34</v>
      </c>
      <c r="C13" s="2">
        <v>3156</v>
      </c>
      <c r="D13" s="2">
        <v>12</v>
      </c>
      <c r="E13" s="2">
        <v>1000029771</v>
      </c>
      <c r="F13" s="2" t="s">
        <v>583</v>
      </c>
      <c r="G13" s="3" t="str">
        <f t="shared" si="0"/>
        <v>BG</v>
      </c>
      <c r="H13" s="7">
        <v>17.399999999999999</v>
      </c>
      <c r="I13" s="2" t="str">
        <f t="shared" si="1"/>
        <v>50192902</v>
      </c>
      <c r="J13" s="10" t="s">
        <v>124</v>
      </c>
    </row>
    <row r="14" spans="1:10" ht="26.25">
      <c r="A14" s="9" t="s">
        <v>37</v>
      </c>
      <c r="B14" s="2" t="s">
        <v>34</v>
      </c>
      <c r="C14" s="2">
        <v>3156</v>
      </c>
      <c r="D14" s="2">
        <v>13</v>
      </c>
      <c r="E14" s="2">
        <v>1000029772</v>
      </c>
      <c r="F14" s="2" t="s">
        <v>584</v>
      </c>
      <c r="G14" s="3" t="str">
        <f t="shared" si="0"/>
        <v>BG</v>
      </c>
      <c r="H14" s="7">
        <v>12.1</v>
      </c>
      <c r="I14" s="2" t="str">
        <f t="shared" si="1"/>
        <v>50192902</v>
      </c>
      <c r="J14" s="10" t="s">
        <v>124</v>
      </c>
    </row>
    <row r="15" spans="1:10" ht="26.25">
      <c r="A15" s="9" t="s">
        <v>37</v>
      </c>
      <c r="B15" s="2" t="s">
        <v>34</v>
      </c>
      <c r="C15" s="2">
        <v>3156</v>
      </c>
      <c r="D15" s="2">
        <v>14</v>
      </c>
      <c r="E15" s="2">
        <v>1000029773</v>
      </c>
      <c r="F15" s="2" t="s">
        <v>585</v>
      </c>
      <c r="G15" s="3" t="str">
        <f t="shared" si="0"/>
        <v>BG</v>
      </c>
      <c r="H15" s="7">
        <v>8.6999999999999993</v>
      </c>
      <c r="I15" s="2" t="str">
        <f t="shared" si="1"/>
        <v>50192902</v>
      </c>
      <c r="J15" s="10" t="s">
        <v>124</v>
      </c>
    </row>
    <row r="16" spans="1:10" ht="26.25">
      <c r="A16" s="9" t="s">
        <v>37</v>
      </c>
      <c r="B16" s="2" t="s">
        <v>34</v>
      </c>
      <c r="C16" s="2">
        <v>3156</v>
      </c>
      <c r="D16" s="2">
        <v>15</v>
      </c>
      <c r="E16" s="2">
        <v>1000029774</v>
      </c>
      <c r="F16" s="2" t="s">
        <v>586</v>
      </c>
      <c r="G16" s="3" t="str">
        <f t="shared" si="0"/>
        <v>BG</v>
      </c>
      <c r="H16" s="7">
        <v>17.399999999999999</v>
      </c>
      <c r="I16" s="2" t="str">
        <f t="shared" si="1"/>
        <v>50192902</v>
      </c>
      <c r="J16" s="10" t="s">
        <v>124</v>
      </c>
    </row>
    <row r="17" spans="1:10" ht="26.25">
      <c r="A17" s="9" t="s">
        <v>37</v>
      </c>
      <c r="B17" s="2" t="s">
        <v>34</v>
      </c>
      <c r="C17" s="2">
        <v>3156</v>
      </c>
      <c r="D17" s="2">
        <v>16</v>
      </c>
      <c r="E17" s="2">
        <v>1000029775</v>
      </c>
      <c r="F17" s="2" t="s">
        <v>587</v>
      </c>
      <c r="G17" s="3" t="str">
        <f t="shared" si="0"/>
        <v>BG</v>
      </c>
      <c r="H17" s="7">
        <v>12.1</v>
      </c>
      <c r="I17" s="2" t="str">
        <f t="shared" si="1"/>
        <v>50192902</v>
      </c>
      <c r="J17" s="10" t="s">
        <v>124</v>
      </c>
    </row>
    <row r="18" spans="1:10" ht="26.25">
      <c r="A18" s="9" t="s">
        <v>37</v>
      </c>
      <c r="B18" s="2" t="s">
        <v>34</v>
      </c>
      <c r="C18" s="2">
        <v>3156</v>
      </c>
      <c r="D18" s="2">
        <v>17</v>
      </c>
      <c r="E18" s="2">
        <v>1000029776</v>
      </c>
      <c r="F18" s="2" t="s">
        <v>588</v>
      </c>
      <c r="G18" s="3" t="str">
        <f t="shared" si="0"/>
        <v>BG</v>
      </c>
      <c r="H18" s="7">
        <v>8.6999999999999993</v>
      </c>
      <c r="I18" s="2" t="str">
        <f t="shared" si="1"/>
        <v>50192902</v>
      </c>
      <c r="J18" s="10" t="s">
        <v>124</v>
      </c>
    </row>
    <row r="19" spans="1:10" ht="26.25">
      <c r="A19" s="9" t="s">
        <v>37</v>
      </c>
      <c r="B19" s="2" t="s">
        <v>34</v>
      </c>
      <c r="C19" s="2">
        <v>3156</v>
      </c>
      <c r="D19" s="2">
        <v>18</v>
      </c>
      <c r="E19" s="2">
        <v>1000029777</v>
      </c>
      <c r="F19" s="2" t="s">
        <v>589</v>
      </c>
      <c r="G19" s="3" t="str">
        <f t="shared" si="0"/>
        <v>BG</v>
      </c>
      <c r="H19" s="7">
        <v>17.399999999999999</v>
      </c>
      <c r="I19" s="2" t="str">
        <f t="shared" si="1"/>
        <v>50192902</v>
      </c>
      <c r="J19" s="10" t="s">
        <v>124</v>
      </c>
    </row>
    <row r="20" spans="1:10" ht="26.25">
      <c r="A20" s="16" t="s">
        <v>37</v>
      </c>
      <c r="B20" s="17" t="s">
        <v>34</v>
      </c>
      <c r="C20" s="17">
        <v>3156</v>
      </c>
      <c r="D20" s="17">
        <v>19</v>
      </c>
      <c r="E20" s="17">
        <v>1000029778</v>
      </c>
      <c r="F20" s="17" t="s">
        <v>590</v>
      </c>
      <c r="G20" s="18" t="str">
        <f t="shared" si="0"/>
        <v>BG</v>
      </c>
      <c r="H20" s="19">
        <v>12.1</v>
      </c>
      <c r="I20" s="17" t="str">
        <f t="shared" si="1"/>
        <v>50192902</v>
      </c>
      <c r="J20" s="20" t="s">
        <v>124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sheetPr codeName="Sheet13"/>
  <dimension ref="A1:J76"/>
  <sheetViews>
    <sheetView workbookViewId="0">
      <selection activeCell="B1" sqref="B1:B1048576"/>
    </sheetView>
  </sheetViews>
  <sheetFormatPr defaultRowHeight="15"/>
  <cols>
    <col min="1" max="1" width="6.42578125" customWidth="1"/>
    <col min="2" max="2" width="6" customWidth="1"/>
    <col min="3" max="3" width="7" customWidth="1"/>
    <col min="4" max="4" width="5.5703125" customWidth="1"/>
    <col min="5" max="5" width="11" bestFit="1" customWidth="1"/>
    <col min="6" max="6" width="32.42578125" customWidth="1"/>
    <col min="7" max="7" width="7.140625" customWidth="1"/>
    <col min="8" max="8" width="6.42578125" bestFit="1" customWidth="1"/>
    <col min="9" max="9" width="9" bestFit="1" customWidth="1"/>
    <col min="10" max="10" width="22" customWidth="1"/>
  </cols>
  <sheetData>
    <row r="1" spans="1:10" s="6" customFormat="1" ht="12.75">
      <c r="A1" s="12" t="s">
        <v>71</v>
      </c>
      <c r="B1" s="13" t="s">
        <v>208</v>
      </c>
      <c r="C1" s="13" t="s">
        <v>65</v>
      </c>
      <c r="D1" s="13" t="s">
        <v>207</v>
      </c>
      <c r="E1" s="13" t="s">
        <v>20</v>
      </c>
      <c r="F1" s="13" t="s">
        <v>21</v>
      </c>
      <c r="G1" s="13" t="s">
        <v>22</v>
      </c>
      <c r="H1" s="14" t="s">
        <v>66</v>
      </c>
      <c r="I1" s="13" t="s">
        <v>206</v>
      </c>
      <c r="J1" s="15" t="s">
        <v>205</v>
      </c>
    </row>
    <row r="2" spans="1:10" s="6" customFormat="1" ht="51">
      <c r="A2" s="9" t="s">
        <v>58</v>
      </c>
      <c r="B2" s="2" t="s">
        <v>57</v>
      </c>
      <c r="C2" s="2">
        <v>3076</v>
      </c>
      <c r="D2" s="2">
        <v>1</v>
      </c>
      <c r="E2" s="2" t="str">
        <f>"1000025174"</f>
        <v>1000025174</v>
      </c>
      <c r="F2" s="2" t="str">
        <f>"EXAM GLOVES: Ni Sm PF 2500/CA - Small, Blue Nitrile, 3.5 mil, non-sterile, powder free, 9 in cuff, 250/box, 10 boxes/case (2500 gloves)"</f>
        <v>EXAM GLOVES: Ni Sm PF 2500/CA - Small, Blue Nitrile, 3.5 mil, non-sterile, powder free, 9 in cuff, 250/box, 10 boxes/case (2500 gloves)</v>
      </c>
      <c r="G2" s="3" t="str">
        <f t="shared" ref="G2:G33" si="0">"CA"</f>
        <v>CA</v>
      </c>
      <c r="H2" s="7">
        <v>125</v>
      </c>
      <c r="I2" s="2" t="str">
        <f t="shared" ref="I2:I37" si="1">"42132203"</f>
        <v>42132203</v>
      </c>
      <c r="J2" s="10" t="s">
        <v>153</v>
      </c>
    </row>
    <row r="3" spans="1:10" s="6" customFormat="1" ht="51">
      <c r="A3" s="9" t="s">
        <v>58</v>
      </c>
      <c r="B3" s="2" t="s">
        <v>57</v>
      </c>
      <c r="C3" s="2">
        <v>3076</v>
      </c>
      <c r="D3" s="2">
        <v>2</v>
      </c>
      <c r="E3" s="2" t="str">
        <f>"1000025175"</f>
        <v>1000025175</v>
      </c>
      <c r="F3" s="2" t="str">
        <f>"EXAM GLOVES: Ni Med PF 2500/CA - Medium, Blue Nitrile, 3.5 mil, non-sterile, powder free, 9 in cuff, 250/box, 10 boxes/case (2500 gloves)"</f>
        <v>EXAM GLOVES: Ni Med PF 2500/CA - Medium, Blue Nitrile, 3.5 mil, non-sterile, powder free, 9 in cuff, 250/box, 10 boxes/case (2500 gloves)</v>
      </c>
      <c r="G3" s="3" t="str">
        <f t="shared" si="0"/>
        <v>CA</v>
      </c>
      <c r="H3" s="7">
        <v>125</v>
      </c>
      <c r="I3" s="2" t="str">
        <f t="shared" si="1"/>
        <v>42132203</v>
      </c>
      <c r="J3" s="10" t="s">
        <v>153</v>
      </c>
    </row>
    <row r="4" spans="1:10" s="6" customFormat="1" ht="51">
      <c r="A4" s="9" t="s">
        <v>58</v>
      </c>
      <c r="B4" s="2" t="s">
        <v>57</v>
      </c>
      <c r="C4" s="2">
        <v>3076</v>
      </c>
      <c r="D4" s="2">
        <v>3</v>
      </c>
      <c r="E4" s="2" t="str">
        <f>"1000025176"</f>
        <v>1000025176</v>
      </c>
      <c r="F4" s="2" t="str">
        <f>"EXAM GLOVES: Ni Lg PF 2500/CA - Large, Blue Nitrile, 3.5 mil, non-sterile, powder free, 9 in cuff, 250/box, 10 boxes/case (2500 gloves)"</f>
        <v>EXAM GLOVES: Ni Lg PF 2500/CA - Large, Blue Nitrile, 3.5 mil, non-sterile, powder free, 9 in cuff, 250/box, 10 boxes/case (2500 gloves)</v>
      </c>
      <c r="G4" s="3" t="str">
        <f t="shared" si="0"/>
        <v>CA</v>
      </c>
      <c r="H4" s="7">
        <v>125</v>
      </c>
      <c r="I4" s="2" t="str">
        <f t="shared" si="1"/>
        <v>42132203</v>
      </c>
      <c r="J4" s="10" t="s">
        <v>153</v>
      </c>
    </row>
    <row r="5" spans="1:10" s="6" customFormat="1" ht="51">
      <c r="A5" s="9" t="s">
        <v>58</v>
      </c>
      <c r="B5" s="2" t="s">
        <v>57</v>
      </c>
      <c r="C5" s="2">
        <v>3076</v>
      </c>
      <c r="D5" s="2">
        <v>4</v>
      </c>
      <c r="E5" s="2" t="str">
        <f>"1000025177"</f>
        <v>1000025177</v>
      </c>
      <c r="F5" s="2" t="str">
        <f>"EXAM GLOVES: Ni XL PF 2500/CA - X-Large, Blue Nitrile, 3.5 mil, non-sterile, powder free, 9 in cuff, 250/box, 10 boxes/case (2500 gloves)"</f>
        <v>EXAM GLOVES: Ni XL PF 2500/CA - X-Large, Blue Nitrile, 3.5 mil, non-sterile, powder free, 9 in cuff, 250/box, 10 boxes/case (2500 gloves)</v>
      </c>
      <c r="G5" s="3" t="str">
        <f t="shared" si="0"/>
        <v>CA</v>
      </c>
      <c r="H5" s="7">
        <v>125</v>
      </c>
      <c r="I5" s="2" t="str">
        <f t="shared" si="1"/>
        <v>42132203</v>
      </c>
      <c r="J5" s="10" t="s">
        <v>153</v>
      </c>
    </row>
    <row r="6" spans="1:10" s="6" customFormat="1" ht="51">
      <c r="A6" s="9" t="s">
        <v>58</v>
      </c>
      <c r="B6" s="2" t="s">
        <v>57</v>
      </c>
      <c r="C6" s="2">
        <v>3076</v>
      </c>
      <c r="D6" s="2">
        <v>5</v>
      </c>
      <c r="E6" s="2" t="str">
        <f>"1000025178"</f>
        <v>1000025178</v>
      </c>
      <c r="F6" s="2" t="str">
        <f>"EXAM GLOVE: Ni Sm PF 4mil 1000/CA - Small, Blue Nitrile, powder free, 4 mil thick, 9 inch cuff, non-sterile, 100/box, 10 boxes/case (1000 gloves per case)"</f>
        <v>EXAM GLOVE: Ni Sm PF 4mil 1000/CA - Small, Blue Nitrile, powder free, 4 mil thick, 9 inch cuff, non-sterile, 100/box, 10 boxes/case (1000 gloves per case)</v>
      </c>
      <c r="G6" s="3" t="str">
        <f t="shared" si="0"/>
        <v>CA</v>
      </c>
      <c r="H6" s="7">
        <v>65</v>
      </c>
      <c r="I6" s="2" t="str">
        <f t="shared" si="1"/>
        <v>42132203</v>
      </c>
      <c r="J6" s="10" t="s">
        <v>153</v>
      </c>
    </row>
    <row r="7" spans="1:10" s="6" customFormat="1" ht="63.75">
      <c r="A7" s="9" t="s">
        <v>58</v>
      </c>
      <c r="B7" s="2" t="s">
        <v>57</v>
      </c>
      <c r="C7" s="2">
        <v>3076</v>
      </c>
      <c r="D7" s="2">
        <v>6</v>
      </c>
      <c r="E7" s="2" t="str">
        <f>"1000025179"</f>
        <v>1000025179</v>
      </c>
      <c r="F7" s="2" t="str">
        <f>"EXAM GLOVE:Ni Med PF 4mil 1000/CA - Medium, Blue Nitrile, powder free, 4 mil thick, 9 inch cuff, non-sterile, 100/box, 10 boxes/case (1000 gloves per case)"</f>
        <v>EXAM GLOVE:Ni Med PF 4mil 1000/CA - Medium, Blue Nitrile, powder free, 4 mil thick, 9 inch cuff, non-sterile, 100/box, 10 boxes/case (1000 gloves per case)</v>
      </c>
      <c r="G7" s="3" t="str">
        <f t="shared" si="0"/>
        <v>CA</v>
      </c>
      <c r="H7" s="7">
        <v>65</v>
      </c>
      <c r="I7" s="2" t="str">
        <f t="shared" si="1"/>
        <v>42132203</v>
      </c>
      <c r="J7" s="10" t="s">
        <v>153</v>
      </c>
    </row>
    <row r="8" spans="1:10" s="6" customFormat="1" ht="51">
      <c r="A8" s="9" t="s">
        <v>58</v>
      </c>
      <c r="B8" s="2" t="s">
        <v>57</v>
      </c>
      <c r="C8" s="2">
        <v>3076</v>
      </c>
      <c r="D8" s="2">
        <v>7</v>
      </c>
      <c r="E8" s="2" t="str">
        <f>"1000025180"</f>
        <v>1000025180</v>
      </c>
      <c r="F8" s="2" t="str">
        <f>"EXAM GLOVE: Ni Lg PF 4mil 1000/CA - Large, Blue Nitrile, powder free, 4 mil thick, 9 inch cuff, non-sterile, 100/box, 10 boxes/case (1000 gloves per case)"</f>
        <v>EXAM GLOVE: Ni Lg PF 4mil 1000/CA - Large, Blue Nitrile, powder free, 4 mil thick, 9 inch cuff, non-sterile, 100/box, 10 boxes/case (1000 gloves per case)</v>
      </c>
      <c r="G8" s="3" t="str">
        <f t="shared" si="0"/>
        <v>CA</v>
      </c>
      <c r="H8" s="7">
        <v>65</v>
      </c>
      <c r="I8" s="2" t="str">
        <f t="shared" si="1"/>
        <v>42132203</v>
      </c>
      <c r="J8" s="10" t="s">
        <v>153</v>
      </c>
    </row>
    <row r="9" spans="1:10" s="6" customFormat="1" ht="51">
      <c r="A9" s="9" t="s">
        <v>58</v>
      </c>
      <c r="B9" s="2" t="s">
        <v>57</v>
      </c>
      <c r="C9" s="2">
        <v>3076</v>
      </c>
      <c r="D9" s="2">
        <v>8</v>
      </c>
      <c r="E9" s="2" t="str">
        <f>"1000025181"</f>
        <v>1000025181</v>
      </c>
      <c r="F9" s="2" t="str">
        <f>"EXAM GLOVE: Ni XL PF 4mil 1000/CA - X-Large, Blue Nitrile, powder free, 4 mil thick, 9 inch cuff, non-sterile, 100/box, 10 boxes/case (1000 gloves per case)"</f>
        <v>EXAM GLOVE: Ni XL PF 4mil 1000/CA - X-Large, Blue Nitrile, powder free, 4 mil thick, 9 inch cuff, non-sterile, 100/box, 10 boxes/case (1000 gloves per case)</v>
      </c>
      <c r="G9" s="3" t="str">
        <f t="shared" si="0"/>
        <v>CA</v>
      </c>
      <c r="H9" s="7">
        <v>65</v>
      </c>
      <c r="I9" s="2" t="str">
        <f t="shared" si="1"/>
        <v>42132203</v>
      </c>
      <c r="J9" s="10" t="s">
        <v>153</v>
      </c>
    </row>
    <row r="10" spans="1:10" s="6" customFormat="1" ht="63.75">
      <c r="A10" s="9" t="s">
        <v>58</v>
      </c>
      <c r="B10" s="2" t="s">
        <v>57</v>
      </c>
      <c r="C10" s="2">
        <v>3076</v>
      </c>
      <c r="D10" s="2">
        <v>9</v>
      </c>
      <c r="E10" s="2" t="str">
        <f>"1000025155"</f>
        <v>1000025155</v>
      </c>
      <c r="F10" s="2" t="str">
        <f>"EXAM GLOVE: Ni Sm Hi Risk PF - Small, High Risk Nitrile, 12 inch Cuff, powder free, non-sterile, disposable, 6.5 mil thick, orange color. 100 Gloves/Box, 10 Boxes/Case (1000 gloves)"</f>
        <v>EXAM GLOVE: Ni Sm Hi Risk PF - Small, High Risk Nitrile, 12 inch Cuff, powder free, non-sterile, disposable, 6.5 mil thick, orange color. 100 Gloves/Box, 10 Boxes/Case (1000 gloves)</v>
      </c>
      <c r="G10" s="3" t="str">
        <f t="shared" si="0"/>
        <v>CA</v>
      </c>
      <c r="H10" s="7">
        <v>155</v>
      </c>
      <c r="I10" s="2" t="str">
        <f t="shared" si="1"/>
        <v>42132203</v>
      </c>
      <c r="J10" s="10" t="s">
        <v>153</v>
      </c>
    </row>
    <row r="11" spans="1:10" s="6" customFormat="1" ht="76.5">
      <c r="A11" s="9" t="s">
        <v>58</v>
      </c>
      <c r="B11" s="2" t="s">
        <v>57</v>
      </c>
      <c r="C11" s="2">
        <v>3076</v>
      </c>
      <c r="D11" s="2">
        <v>10</v>
      </c>
      <c r="E11" s="2" t="str">
        <f>"1000025156"</f>
        <v>1000025156</v>
      </c>
      <c r="F11" s="2" t="str">
        <f>"EXAM GLOVE: Ni Med Hi Risk PF - Medium, High Risk Nitrile, 12 inch Cuff, powder free, non-sterile, disposable, 6.5 mil thick, orange color. 100 Gloves/Box, 10 Boxes/Case (1000 gloves)"</f>
        <v>EXAM GLOVE: Ni Med Hi Risk PF - Medium, High Risk Nitrile, 12 inch Cuff, powder free, non-sterile, disposable, 6.5 mil thick, orange color. 100 Gloves/Box, 10 Boxes/Case (1000 gloves)</v>
      </c>
      <c r="G11" s="3" t="str">
        <f t="shared" si="0"/>
        <v>CA</v>
      </c>
      <c r="H11" s="7">
        <v>155</v>
      </c>
      <c r="I11" s="2" t="str">
        <f t="shared" si="1"/>
        <v>42132203</v>
      </c>
      <c r="J11" s="10" t="s">
        <v>153</v>
      </c>
    </row>
    <row r="12" spans="1:10" s="6" customFormat="1" ht="63.75">
      <c r="A12" s="9" t="s">
        <v>58</v>
      </c>
      <c r="B12" s="2" t="s">
        <v>57</v>
      </c>
      <c r="C12" s="2">
        <v>3076</v>
      </c>
      <c r="D12" s="2">
        <v>11</v>
      </c>
      <c r="E12" s="2" t="str">
        <f>"1000025157"</f>
        <v>1000025157</v>
      </c>
      <c r="F12" s="2" t="str">
        <f>"EXAM GLOVE: Ni Lg Hi Risk PF - Large, High Risk Nitrile, 12 inch Cuff, powder free, non-sterile, disposable, 6.5 mil thick, orange color. 100 Gloves/Box, 10 Boxes/Case (1000 gloves)"</f>
        <v>EXAM GLOVE: Ni Lg Hi Risk PF - Large, High Risk Nitrile, 12 inch Cuff, powder free, non-sterile, disposable, 6.5 mil thick, orange color. 100 Gloves/Box, 10 Boxes/Case (1000 gloves)</v>
      </c>
      <c r="G12" s="3" t="str">
        <f t="shared" si="0"/>
        <v>CA</v>
      </c>
      <c r="H12" s="7">
        <v>155</v>
      </c>
      <c r="I12" s="2" t="str">
        <f t="shared" si="1"/>
        <v>42132203</v>
      </c>
      <c r="J12" s="10" t="s">
        <v>153</v>
      </c>
    </row>
    <row r="13" spans="1:10" s="6" customFormat="1" ht="63.75">
      <c r="A13" s="9" t="s">
        <v>58</v>
      </c>
      <c r="B13" s="2" t="s">
        <v>57</v>
      </c>
      <c r="C13" s="2">
        <v>3076</v>
      </c>
      <c r="D13" s="2">
        <v>12</v>
      </c>
      <c r="E13" s="2" t="str">
        <f>"1000025158"</f>
        <v>1000025158</v>
      </c>
      <c r="F13" s="2" t="str">
        <f>"EXAM GLOVE: Ni XL Hi Risk PF - X-Large, High Risk Nitrile, 12 inch Cuff, powder free, non-sterile, disposable, 6.5 mil thick, orange color. 100 Gloves/Box, 10 Boxes/Case (1000 gloves)"</f>
        <v>EXAM GLOVE: Ni XL Hi Risk PF - X-Large, High Risk Nitrile, 12 inch Cuff, powder free, non-sterile, disposable, 6.5 mil thick, orange color. 100 Gloves/Box, 10 Boxes/Case (1000 gloves)</v>
      </c>
      <c r="G13" s="3" t="str">
        <f t="shared" si="0"/>
        <v>CA</v>
      </c>
      <c r="H13" s="7">
        <v>155</v>
      </c>
      <c r="I13" s="2" t="str">
        <f t="shared" si="1"/>
        <v>42132203</v>
      </c>
      <c r="J13" s="10" t="s">
        <v>153</v>
      </c>
    </row>
    <row r="14" spans="1:10" s="6" customFormat="1" ht="38.25">
      <c r="A14" s="9" t="s">
        <v>58</v>
      </c>
      <c r="B14" s="2" t="s">
        <v>57</v>
      </c>
      <c r="C14" s="2">
        <v>3076</v>
      </c>
      <c r="D14" s="2">
        <v>13</v>
      </c>
      <c r="E14" s="2" t="str">
        <f>"1000025159"</f>
        <v>1000025159</v>
      </c>
      <c r="F14" s="2" t="str">
        <f>"EXAM GLOVE: Ni Sm PF Sterile - Small, Nitrile, sterile, powder free, singles, 100/box, 4 boxes/case (400 gloves)"</f>
        <v>EXAM GLOVE: Ni Sm PF Sterile - Small, Nitrile, sterile, powder free, singles, 100/box, 4 boxes/case (400 gloves)</v>
      </c>
      <c r="G14" s="3" t="str">
        <f t="shared" si="0"/>
        <v>CA</v>
      </c>
      <c r="H14" s="7">
        <v>120</v>
      </c>
      <c r="I14" s="2" t="str">
        <f t="shared" si="1"/>
        <v>42132203</v>
      </c>
      <c r="J14" s="10" t="s">
        <v>153</v>
      </c>
    </row>
    <row r="15" spans="1:10" s="6" customFormat="1" ht="51">
      <c r="A15" s="9" t="s">
        <v>58</v>
      </c>
      <c r="B15" s="2" t="s">
        <v>57</v>
      </c>
      <c r="C15" s="2">
        <v>3076</v>
      </c>
      <c r="D15" s="2">
        <v>14</v>
      </c>
      <c r="E15" s="2" t="str">
        <f>"1000025160"</f>
        <v>1000025160</v>
      </c>
      <c r="F15" s="2" t="str">
        <f>"EXAM GLOVE: Ni Med PF Sterile - Medium Nitrile, sterile, powder free, singles, 100/box, 4 boxes/case (400 gloves)"</f>
        <v>EXAM GLOVE: Ni Med PF Sterile - Medium Nitrile, sterile, powder free, singles, 100/box, 4 boxes/case (400 gloves)</v>
      </c>
      <c r="G15" s="3" t="str">
        <f t="shared" si="0"/>
        <v>CA</v>
      </c>
      <c r="H15" s="7">
        <v>120</v>
      </c>
      <c r="I15" s="2" t="str">
        <f t="shared" si="1"/>
        <v>42132203</v>
      </c>
      <c r="J15" s="10" t="s">
        <v>153</v>
      </c>
    </row>
    <row r="16" spans="1:10" s="6" customFormat="1" ht="38.25">
      <c r="A16" s="9" t="s">
        <v>58</v>
      </c>
      <c r="B16" s="2" t="s">
        <v>57</v>
      </c>
      <c r="C16" s="2">
        <v>3076</v>
      </c>
      <c r="D16" s="2">
        <v>15</v>
      </c>
      <c r="E16" s="2" t="str">
        <f>"1000025161"</f>
        <v>1000025161</v>
      </c>
      <c r="F16" s="2" t="str">
        <f>"EXAM GLOVE: Ni Lg PF Sterile - Large, Nitrile, sterile, powder free, singles, 100/box, 4 boxes/case (400 gloves)"</f>
        <v>EXAM GLOVE: Ni Lg PF Sterile - Large, Nitrile, sterile, powder free, singles, 100/box, 4 boxes/case (400 gloves)</v>
      </c>
      <c r="G16" s="3" t="str">
        <f t="shared" si="0"/>
        <v>CA</v>
      </c>
      <c r="H16" s="7">
        <v>120</v>
      </c>
      <c r="I16" s="2" t="str">
        <f t="shared" si="1"/>
        <v>42132203</v>
      </c>
      <c r="J16" s="10" t="s">
        <v>153</v>
      </c>
    </row>
    <row r="17" spans="1:10" s="6" customFormat="1" ht="38.25">
      <c r="A17" s="9" t="s">
        <v>58</v>
      </c>
      <c r="B17" s="2" t="s">
        <v>57</v>
      </c>
      <c r="C17" s="2">
        <v>3076</v>
      </c>
      <c r="D17" s="2">
        <v>16</v>
      </c>
      <c r="E17" s="2" t="str">
        <f>"1000025162"</f>
        <v>1000025162</v>
      </c>
      <c r="F17" s="2" t="str">
        <f>"EXAM GLOVE: Ni XL PF Sterile - X-Large, Nitrile, sterile, powder free, singles, 100/box, 4 boxes/case (400 gloves)"</f>
        <v>EXAM GLOVE: Ni XL PF Sterile - X-Large, Nitrile, sterile, powder free, singles, 100/box, 4 boxes/case (400 gloves)</v>
      </c>
      <c r="G17" s="3" t="str">
        <f t="shared" si="0"/>
        <v>CA</v>
      </c>
      <c r="H17" s="7">
        <v>120</v>
      </c>
      <c r="I17" s="2" t="str">
        <f t="shared" si="1"/>
        <v>42132203</v>
      </c>
      <c r="J17" s="10" t="s">
        <v>153</v>
      </c>
    </row>
    <row r="18" spans="1:10" s="6" customFormat="1" ht="38.25">
      <c r="A18" s="9" t="s">
        <v>58</v>
      </c>
      <c r="B18" s="2" t="s">
        <v>57</v>
      </c>
      <c r="C18" s="2">
        <v>3076</v>
      </c>
      <c r="D18" s="2">
        <v>17</v>
      </c>
      <c r="E18" s="2" t="str">
        <f>"1000025163"</f>
        <v>1000025163</v>
      </c>
      <c r="F18" s="2" t="str">
        <f>"EXAM GLOVE:Ni Sm PF Strl Prs- Small, Nitrile, sterile, powder free, pairs, 50 pairs/box, 4 boxes/case (200 pair)"</f>
        <v>EXAM GLOVE:Ni Sm PF Strl Prs- Small, Nitrile, sterile, powder free, pairs, 50 pairs/box, 4 boxes/case (200 pair)</v>
      </c>
      <c r="G18" s="3" t="str">
        <f t="shared" si="0"/>
        <v>CA</v>
      </c>
      <c r="H18" s="7">
        <v>95</v>
      </c>
      <c r="I18" s="2" t="str">
        <f t="shared" si="1"/>
        <v>42132203</v>
      </c>
      <c r="J18" s="10" t="s">
        <v>153</v>
      </c>
    </row>
    <row r="19" spans="1:10" s="6" customFormat="1" ht="51">
      <c r="A19" s="9" t="s">
        <v>58</v>
      </c>
      <c r="B19" s="2" t="s">
        <v>57</v>
      </c>
      <c r="C19" s="2">
        <v>3076</v>
      </c>
      <c r="D19" s="2">
        <v>18</v>
      </c>
      <c r="E19" s="2" t="str">
        <f>"1000025164"</f>
        <v>1000025164</v>
      </c>
      <c r="F19" s="2" t="str">
        <f>"EXAM GLOVE:Ni Med PF Strl Prs - Medium, Nitrile, sterile, powder free, pairs, 50 pairs/box, 4 boxes/case (200 pair)"</f>
        <v>EXAM GLOVE:Ni Med PF Strl Prs - Medium, Nitrile, sterile, powder free, pairs, 50 pairs/box, 4 boxes/case (200 pair)</v>
      </c>
      <c r="G19" s="3" t="str">
        <f t="shared" si="0"/>
        <v>CA</v>
      </c>
      <c r="H19" s="7">
        <v>95</v>
      </c>
      <c r="I19" s="2" t="str">
        <f t="shared" si="1"/>
        <v>42132203</v>
      </c>
      <c r="J19" s="10" t="s">
        <v>153</v>
      </c>
    </row>
    <row r="20" spans="1:10" s="6" customFormat="1" ht="38.25">
      <c r="A20" s="9" t="s">
        <v>58</v>
      </c>
      <c r="B20" s="2" t="s">
        <v>57</v>
      </c>
      <c r="C20" s="2">
        <v>3076</v>
      </c>
      <c r="D20" s="2">
        <v>19</v>
      </c>
      <c r="E20" s="2" t="str">
        <f>"1000025165"</f>
        <v>1000025165</v>
      </c>
      <c r="F20" s="2" t="str">
        <f>"EXAM GLOVE:Ni Lg PF Strl Prs - Large Nitrile, sterile, powder free, pairs, 50 pairs/box, 4 boxes/case (200 pair)"</f>
        <v>EXAM GLOVE:Ni Lg PF Strl Prs - Large Nitrile, sterile, powder free, pairs, 50 pairs/box, 4 boxes/case (200 pair)</v>
      </c>
      <c r="G20" s="3" t="str">
        <f t="shared" si="0"/>
        <v>CA</v>
      </c>
      <c r="H20" s="7">
        <v>95</v>
      </c>
      <c r="I20" s="2" t="str">
        <f t="shared" si="1"/>
        <v>42132203</v>
      </c>
      <c r="J20" s="10" t="s">
        <v>153</v>
      </c>
    </row>
    <row r="21" spans="1:10" s="6" customFormat="1" ht="38.25">
      <c r="A21" s="9" t="s">
        <v>58</v>
      </c>
      <c r="B21" s="2" t="s">
        <v>57</v>
      </c>
      <c r="C21" s="2">
        <v>3076</v>
      </c>
      <c r="D21" s="2">
        <v>20</v>
      </c>
      <c r="E21" s="2" t="str">
        <f>"1000025166"</f>
        <v>1000025166</v>
      </c>
      <c r="F21" s="2" t="str">
        <f>"EXAM GLOVE: Ni XL PF Strl Prs - X-Large, Nitrile, sterile, powder free, pairs, 50 pairs/box, 4 boxes/case (200 pair)"</f>
        <v>EXAM GLOVE: Ni XL PF Strl Prs - X-Large, Nitrile, sterile, powder free, pairs, 50 pairs/box, 4 boxes/case (200 pair)</v>
      </c>
      <c r="G21" s="3" t="str">
        <f t="shared" si="0"/>
        <v>CA</v>
      </c>
      <c r="H21" s="7">
        <v>95</v>
      </c>
      <c r="I21" s="2" t="str">
        <f t="shared" si="1"/>
        <v>42132203</v>
      </c>
      <c r="J21" s="10" t="s">
        <v>153</v>
      </c>
    </row>
    <row r="22" spans="1:10" s="6" customFormat="1" ht="51">
      <c r="A22" s="9" t="s">
        <v>58</v>
      </c>
      <c r="B22" s="2" t="s">
        <v>57</v>
      </c>
      <c r="C22" s="2">
        <v>3076</v>
      </c>
      <c r="D22" s="2">
        <v>21</v>
      </c>
      <c r="E22" s="2" t="str">
        <f>"1000024561"</f>
        <v>1000024561</v>
      </c>
      <c r="F22" s="2" t="str">
        <f>"EXAM GLOVE: Ltx Sm Pdr 1000/CA - Small, powdered, latex, non-sterile, smooth, ambidextrous, singles, 100/box, 10 boxes/case (1000 gloves)"</f>
        <v>EXAM GLOVE: Ltx Sm Pdr 1000/CA - Small, powdered, latex, non-sterile, smooth, ambidextrous, singles, 100/box, 10 boxes/case (1000 gloves)</v>
      </c>
      <c r="G22" s="3" t="str">
        <f t="shared" si="0"/>
        <v>CA</v>
      </c>
      <c r="H22" s="7">
        <v>53.5</v>
      </c>
      <c r="I22" s="2" t="str">
        <f t="shared" si="1"/>
        <v>42132203</v>
      </c>
      <c r="J22" s="10" t="s">
        <v>153</v>
      </c>
    </row>
    <row r="23" spans="1:10" s="6" customFormat="1" ht="51">
      <c r="A23" s="9" t="s">
        <v>58</v>
      </c>
      <c r="B23" s="2" t="s">
        <v>57</v>
      </c>
      <c r="C23" s="2">
        <v>3076</v>
      </c>
      <c r="D23" s="2">
        <v>22</v>
      </c>
      <c r="E23" s="2" t="str">
        <f>"1000024562"</f>
        <v>1000024562</v>
      </c>
      <c r="F23" s="2" t="str">
        <f>"EXAM GLOVE: Ltx Med Pdr 1000/CA - Medium, powdered, latex, non-sterile, smooth, ambidextrous, singles, 100/box, 10 boxes/case (1000 gloves)"</f>
        <v>EXAM GLOVE: Ltx Med Pdr 1000/CA - Medium, powdered, latex, non-sterile, smooth, ambidextrous, singles, 100/box, 10 boxes/case (1000 gloves)</v>
      </c>
      <c r="G23" s="3" t="str">
        <f t="shared" si="0"/>
        <v>CA</v>
      </c>
      <c r="H23" s="7">
        <v>53.5</v>
      </c>
      <c r="I23" s="2" t="str">
        <f t="shared" si="1"/>
        <v>42132203</v>
      </c>
      <c r="J23" s="10" t="s">
        <v>153</v>
      </c>
    </row>
    <row r="24" spans="1:10" s="6" customFormat="1" ht="51">
      <c r="A24" s="9" t="s">
        <v>58</v>
      </c>
      <c r="B24" s="2" t="s">
        <v>57</v>
      </c>
      <c r="C24" s="2">
        <v>3076</v>
      </c>
      <c r="D24" s="2">
        <v>23</v>
      </c>
      <c r="E24" s="2" t="str">
        <f>"1000024563"</f>
        <v>1000024563</v>
      </c>
      <c r="F24" s="2" t="str">
        <f>"EXAM GLOVE: Ltx Lg Pdr 1000/CA - Large, powdered, latex, non-sterile, smooth, ambidextrous, singles, 100/box, 10 boxes/case (1000 gloves)"</f>
        <v>EXAM GLOVE: Ltx Lg Pdr 1000/CA - Large, powdered, latex, non-sterile, smooth, ambidextrous, singles, 100/box, 10 boxes/case (1000 gloves)</v>
      </c>
      <c r="G24" s="3" t="str">
        <f t="shared" si="0"/>
        <v>CA</v>
      </c>
      <c r="H24" s="7">
        <v>53.5</v>
      </c>
      <c r="I24" s="2" t="str">
        <f t="shared" si="1"/>
        <v>42132203</v>
      </c>
      <c r="J24" s="10" t="s">
        <v>153</v>
      </c>
    </row>
    <row r="25" spans="1:10" s="6" customFormat="1" ht="51">
      <c r="A25" s="9" t="s">
        <v>58</v>
      </c>
      <c r="B25" s="2" t="s">
        <v>57</v>
      </c>
      <c r="C25" s="2">
        <v>3076</v>
      </c>
      <c r="D25" s="2">
        <v>24</v>
      </c>
      <c r="E25" s="2" t="str">
        <f>"1000024564"</f>
        <v>1000024564</v>
      </c>
      <c r="F25" s="2" t="str">
        <f>"EXAM GLOVE: Ltx XL Pdr 1000/CA - X-Large, powdered, latex, non-sterile, smooth, ambidextrous, singles, 100/box, 10 boxes/case (1000 gloves)"</f>
        <v>EXAM GLOVE: Ltx XL Pdr 1000/CA - X-Large, powdered, latex, non-sterile, smooth, ambidextrous, singles, 100/box, 10 boxes/case (1000 gloves)</v>
      </c>
      <c r="G25" s="3" t="str">
        <f t="shared" si="0"/>
        <v>CA</v>
      </c>
      <c r="H25" s="7">
        <v>53.5</v>
      </c>
      <c r="I25" s="2" t="str">
        <f t="shared" si="1"/>
        <v>42132203</v>
      </c>
      <c r="J25" s="10" t="s">
        <v>153</v>
      </c>
    </row>
    <row r="26" spans="1:10" s="6" customFormat="1" ht="51">
      <c r="A26" s="9" t="s">
        <v>58</v>
      </c>
      <c r="B26" s="2" t="s">
        <v>57</v>
      </c>
      <c r="C26" s="2">
        <v>3076</v>
      </c>
      <c r="D26" s="2">
        <v>25</v>
      </c>
      <c r="E26" s="2" t="str">
        <f>"1000024565"</f>
        <v>1000024565</v>
      </c>
      <c r="F26" s="2" t="str">
        <f>"EXAM GLOVE: Ltx Sm PF 1000/CA - Small, Examination, latex, powder free, non-sterile, disposable, singles, 100/box, 10 boxes/case (1000 gloves)"</f>
        <v>EXAM GLOVE: Ltx Sm PF 1000/CA - Small, Examination, latex, powder free, non-sterile, disposable, singles, 100/box, 10 boxes/case (1000 gloves)</v>
      </c>
      <c r="G26" s="3" t="str">
        <f t="shared" si="0"/>
        <v>CA</v>
      </c>
      <c r="H26" s="7">
        <v>63.5</v>
      </c>
      <c r="I26" s="2" t="str">
        <f t="shared" si="1"/>
        <v>42132203</v>
      </c>
      <c r="J26" s="10" t="s">
        <v>153</v>
      </c>
    </row>
    <row r="27" spans="1:10" s="6" customFormat="1" ht="51">
      <c r="A27" s="9" t="s">
        <v>58</v>
      </c>
      <c r="B27" s="2" t="s">
        <v>57</v>
      </c>
      <c r="C27" s="2">
        <v>3076</v>
      </c>
      <c r="D27" s="2">
        <v>26</v>
      </c>
      <c r="E27" s="2" t="str">
        <f>"1000024566"</f>
        <v>1000024566</v>
      </c>
      <c r="F27" s="2" t="str">
        <f>"EXAM GLOVE: Ltx Med PF 1000/CA - Medium, Examination, latex, powder free, non-sterile, disposable, singles, 100/box, 10 boxes/case (1000 gloves)"</f>
        <v>EXAM GLOVE: Ltx Med PF 1000/CA - Medium, Examination, latex, powder free, non-sterile, disposable, singles, 100/box, 10 boxes/case (1000 gloves)</v>
      </c>
      <c r="G27" s="3" t="str">
        <f t="shared" si="0"/>
        <v>CA</v>
      </c>
      <c r="H27" s="7">
        <v>63.5</v>
      </c>
      <c r="I27" s="2" t="str">
        <f t="shared" si="1"/>
        <v>42132203</v>
      </c>
      <c r="J27" s="10" t="s">
        <v>153</v>
      </c>
    </row>
    <row r="28" spans="1:10" s="6" customFormat="1" ht="51">
      <c r="A28" s="9" t="s">
        <v>58</v>
      </c>
      <c r="B28" s="2" t="s">
        <v>57</v>
      </c>
      <c r="C28" s="2">
        <v>3076</v>
      </c>
      <c r="D28" s="2">
        <v>27</v>
      </c>
      <c r="E28" s="2" t="str">
        <f>"1000024567"</f>
        <v>1000024567</v>
      </c>
      <c r="F28" s="2" t="str">
        <f>"EXAM GLOVES: Ltx Lg PF 1000/CA - Large, Examination, latex, powder free, non-sterile, disposable, singles, 100/box, 10 boxes/case (1000 gloves)"</f>
        <v>EXAM GLOVES: Ltx Lg PF 1000/CA - Large, Examination, latex, powder free, non-sterile, disposable, singles, 100/box, 10 boxes/case (1000 gloves)</v>
      </c>
      <c r="G28" s="3" t="str">
        <f t="shared" si="0"/>
        <v>CA</v>
      </c>
      <c r="H28" s="7">
        <v>63.5</v>
      </c>
      <c r="I28" s="2" t="str">
        <f t="shared" si="1"/>
        <v>42132203</v>
      </c>
      <c r="J28" s="10" t="s">
        <v>153</v>
      </c>
    </row>
    <row r="29" spans="1:10" s="6" customFormat="1" ht="51">
      <c r="A29" s="9" t="s">
        <v>58</v>
      </c>
      <c r="B29" s="2" t="s">
        <v>57</v>
      </c>
      <c r="C29" s="2">
        <v>3076</v>
      </c>
      <c r="D29" s="2">
        <v>28</v>
      </c>
      <c r="E29" s="2" t="str">
        <f>"1000024568"</f>
        <v>1000024568</v>
      </c>
      <c r="F29" s="2" t="str">
        <f>"EXAM GLOVE: Ltx XL PF 1000/CA - X-Large, Examination, latex, powder free, non-sterile, disposable, singles, 100/box, 10 boxes/case (1000 gloves)"</f>
        <v>EXAM GLOVE: Ltx XL PF 1000/CA - X-Large, Examination, latex, powder free, non-sterile, disposable, singles, 100/box, 10 boxes/case (1000 gloves)</v>
      </c>
      <c r="G29" s="3" t="str">
        <f t="shared" si="0"/>
        <v>CA</v>
      </c>
      <c r="H29" s="7">
        <v>63.5</v>
      </c>
      <c r="I29" s="2" t="str">
        <f t="shared" si="1"/>
        <v>42132203</v>
      </c>
      <c r="J29" s="10" t="s">
        <v>153</v>
      </c>
    </row>
    <row r="30" spans="1:10" s="6" customFormat="1" ht="51">
      <c r="A30" s="9" t="s">
        <v>58</v>
      </c>
      <c r="B30" s="2" t="s">
        <v>57</v>
      </c>
      <c r="C30" s="2">
        <v>3076</v>
      </c>
      <c r="D30" s="2">
        <v>29</v>
      </c>
      <c r="E30" s="2" t="str">
        <f>"1000025167"</f>
        <v>1000025167</v>
      </c>
      <c r="F30" s="2" t="str">
        <f>"EXAM GLOVE: Ltx Sm Hi Risk PF - Small, High Risk, latex, non-sterile, powder free, textured, 12 in. cuff, 50 pairs/box, 10 boxes/case (500 pair)"</f>
        <v>EXAM GLOVE: Ltx Sm Hi Risk PF - Small, High Risk, latex, non-sterile, powder free, textured, 12 in. cuff, 50 pairs/box, 10 boxes/case (500 pair)</v>
      </c>
      <c r="G30" s="3" t="str">
        <f t="shared" si="0"/>
        <v>CA</v>
      </c>
      <c r="H30" s="7">
        <v>114</v>
      </c>
      <c r="I30" s="2" t="str">
        <f t="shared" si="1"/>
        <v>42132203</v>
      </c>
      <c r="J30" s="10" t="s">
        <v>153</v>
      </c>
    </row>
    <row r="31" spans="1:10" s="6" customFormat="1" ht="51">
      <c r="A31" s="9" t="s">
        <v>58</v>
      </c>
      <c r="B31" s="2" t="s">
        <v>57</v>
      </c>
      <c r="C31" s="2">
        <v>3076</v>
      </c>
      <c r="D31" s="2">
        <v>30</v>
      </c>
      <c r="E31" s="2" t="str">
        <f>"1000025142"</f>
        <v>1000025142</v>
      </c>
      <c r="F31" s="2" t="str">
        <f>"EXAM GLOVE:Ltx Med Hi Risk PF - Medium, High Risk, latex, non-sterile, powder free, textured, 12 in. cuff, 50 pairs/box, 10 boxes/case (500 pair)"</f>
        <v>EXAM GLOVE:Ltx Med Hi Risk PF - Medium, High Risk, latex, non-sterile, powder free, textured, 12 in. cuff, 50 pairs/box, 10 boxes/case (500 pair)</v>
      </c>
      <c r="G31" s="3" t="str">
        <f t="shared" si="0"/>
        <v>CA</v>
      </c>
      <c r="H31" s="7">
        <v>114</v>
      </c>
      <c r="I31" s="2" t="str">
        <f t="shared" si="1"/>
        <v>42132203</v>
      </c>
      <c r="J31" s="10" t="s">
        <v>153</v>
      </c>
    </row>
    <row r="32" spans="1:10" s="6" customFormat="1" ht="51">
      <c r="A32" s="9" t="s">
        <v>58</v>
      </c>
      <c r="B32" s="2" t="s">
        <v>57</v>
      </c>
      <c r="C32" s="2">
        <v>3076</v>
      </c>
      <c r="D32" s="2">
        <v>31</v>
      </c>
      <c r="E32" s="2" t="str">
        <f>"1000025143"</f>
        <v>1000025143</v>
      </c>
      <c r="F32" s="2" t="str">
        <f>"EXAM GLOVE: Ltx Lg Hi Risk PF - Large, High Risk, latex, non-sterile, powder free, textured, 12 in. cuff, 50 pairs/box, 10 boxes/case (500 pair)"</f>
        <v>EXAM GLOVE: Ltx Lg Hi Risk PF - Large, High Risk, latex, non-sterile, powder free, textured, 12 in. cuff, 50 pairs/box, 10 boxes/case (500 pair)</v>
      </c>
      <c r="G32" s="3" t="str">
        <f t="shared" si="0"/>
        <v>CA</v>
      </c>
      <c r="H32" s="7">
        <v>114</v>
      </c>
      <c r="I32" s="2" t="str">
        <f t="shared" si="1"/>
        <v>42132203</v>
      </c>
      <c r="J32" s="10" t="s">
        <v>153</v>
      </c>
    </row>
    <row r="33" spans="1:10" s="6" customFormat="1" ht="51">
      <c r="A33" s="9" t="s">
        <v>58</v>
      </c>
      <c r="B33" s="2" t="s">
        <v>57</v>
      </c>
      <c r="C33" s="2">
        <v>3076</v>
      </c>
      <c r="D33" s="2">
        <v>32</v>
      </c>
      <c r="E33" s="2" t="str">
        <f>"1000025144"</f>
        <v>1000025144</v>
      </c>
      <c r="F33" s="2" t="str">
        <f>"EXAM GLOVE: Ltx XL Hi Risk PF - X-Large, High Risk, latex, non-sterile, powder free, textured, 12 in. cuff, 50 pairs/box, 10 boxes/case (500 pair)"</f>
        <v>EXAM GLOVE: Ltx XL Hi Risk PF - X-Large, High Risk, latex, non-sterile, powder free, textured, 12 in. cuff, 50 pairs/box, 10 boxes/case (500 pair)</v>
      </c>
      <c r="G33" s="3" t="str">
        <f t="shared" si="0"/>
        <v>CA</v>
      </c>
      <c r="H33" s="7">
        <v>114</v>
      </c>
      <c r="I33" s="2" t="str">
        <f t="shared" si="1"/>
        <v>42132203</v>
      </c>
      <c r="J33" s="10" t="s">
        <v>153</v>
      </c>
    </row>
    <row r="34" spans="1:10" s="6" customFormat="1" ht="51">
      <c r="A34" s="9" t="s">
        <v>58</v>
      </c>
      <c r="B34" s="2" t="s">
        <v>57</v>
      </c>
      <c r="C34" s="2">
        <v>3076</v>
      </c>
      <c r="D34" s="2">
        <v>33</v>
      </c>
      <c r="E34" s="2" t="str">
        <f>"1000025145"</f>
        <v>1000025145</v>
      </c>
      <c r="F34" s="2" t="str">
        <f>"EXAM GLOVE: Ltx Sm PF Sterile - Small, sterile pairs, powder free, latex, disposable, 50 pair/box, 4 boxes/case (200 pair)"</f>
        <v>EXAM GLOVE: Ltx Sm PF Sterile - Small, sterile pairs, powder free, latex, disposable, 50 pair/box, 4 boxes/case (200 pair)</v>
      </c>
      <c r="G34" s="3" t="str">
        <f t="shared" ref="G34:G70" si="2">"CA"</f>
        <v>CA</v>
      </c>
      <c r="H34" s="7">
        <v>75.760000000000005</v>
      </c>
      <c r="I34" s="2" t="str">
        <f t="shared" si="1"/>
        <v>42132203</v>
      </c>
      <c r="J34" s="10" t="s">
        <v>153</v>
      </c>
    </row>
    <row r="35" spans="1:10" s="6" customFormat="1" ht="51">
      <c r="A35" s="9" t="s">
        <v>58</v>
      </c>
      <c r="B35" s="2" t="s">
        <v>57</v>
      </c>
      <c r="C35" s="2">
        <v>3076</v>
      </c>
      <c r="D35" s="2">
        <v>34</v>
      </c>
      <c r="E35" s="2" t="str">
        <f>"1000025146"</f>
        <v>1000025146</v>
      </c>
      <c r="F35" s="2" t="str">
        <f>"EXAM GLOVE: Ltx Med PF Sterile - Medium, sterile pairs, powder free, latex, disposable, 50 pair/box, 4 boxes/case (200 pair)"</f>
        <v>EXAM GLOVE: Ltx Med PF Sterile - Medium, sterile pairs, powder free, latex, disposable, 50 pair/box, 4 boxes/case (200 pair)</v>
      </c>
      <c r="G35" s="3" t="str">
        <f t="shared" si="2"/>
        <v>CA</v>
      </c>
      <c r="H35" s="7">
        <v>75.760000000000005</v>
      </c>
      <c r="I35" s="2" t="str">
        <f t="shared" si="1"/>
        <v>42132203</v>
      </c>
      <c r="J35" s="10" t="s">
        <v>153</v>
      </c>
    </row>
    <row r="36" spans="1:10" s="6" customFormat="1" ht="51">
      <c r="A36" s="9" t="s">
        <v>58</v>
      </c>
      <c r="B36" s="2" t="s">
        <v>57</v>
      </c>
      <c r="C36" s="2">
        <v>3076</v>
      </c>
      <c r="D36" s="2">
        <v>35</v>
      </c>
      <c r="E36" s="2" t="str">
        <f>"1000025147"</f>
        <v>1000025147</v>
      </c>
      <c r="F36" s="2" t="str">
        <f>"EXAM GLOVE: Ltx Lg PF Sterile - Large, sterile pairs, powder free, latex, disposable, 50 pair/box, 4 boxes/case (200 pair)"</f>
        <v>EXAM GLOVE: Ltx Lg PF Sterile - Large, sterile pairs, powder free, latex, disposable, 50 pair/box, 4 boxes/case (200 pair)</v>
      </c>
      <c r="G36" s="3" t="str">
        <f t="shared" si="2"/>
        <v>CA</v>
      </c>
      <c r="H36" s="7">
        <v>75.760000000000005</v>
      </c>
      <c r="I36" s="2" t="str">
        <f t="shared" si="1"/>
        <v>42132203</v>
      </c>
      <c r="J36" s="10" t="s">
        <v>153</v>
      </c>
    </row>
    <row r="37" spans="1:10" s="6" customFormat="1" ht="51">
      <c r="A37" s="9" t="s">
        <v>58</v>
      </c>
      <c r="B37" s="2" t="s">
        <v>57</v>
      </c>
      <c r="C37" s="2">
        <v>3076</v>
      </c>
      <c r="D37" s="2">
        <v>36</v>
      </c>
      <c r="E37" s="2" t="str">
        <f>"1000025148"</f>
        <v>1000025148</v>
      </c>
      <c r="F37" s="2" t="str">
        <f>"EXAM GLOVE: Ltx XL PF Sterile - X-Large, sterile pairs, powder free, latex, disposable, 50 pair/box, 4 boxes/case (200 pair)"</f>
        <v>EXAM GLOVE: Ltx XL PF Sterile - X-Large, sterile pairs, powder free, latex, disposable, 50 pair/box, 4 boxes/case (200 pair)</v>
      </c>
      <c r="G37" s="3" t="str">
        <f t="shared" si="2"/>
        <v>CA</v>
      </c>
      <c r="H37" s="7">
        <v>75.760000000000005</v>
      </c>
      <c r="I37" s="2" t="str">
        <f t="shared" si="1"/>
        <v>42132203</v>
      </c>
      <c r="J37" s="10" t="s">
        <v>153</v>
      </c>
    </row>
    <row r="38" spans="1:10" s="6" customFormat="1" ht="63.75">
      <c r="A38" s="9" t="s">
        <v>58</v>
      </c>
      <c r="B38" s="2" t="s">
        <v>57</v>
      </c>
      <c r="C38" s="2">
        <v>3076</v>
      </c>
      <c r="D38" s="2">
        <v>37</v>
      </c>
      <c r="E38" s="2" t="str">
        <f>"1000025149"</f>
        <v>1000025149</v>
      </c>
      <c r="F38" s="2" t="str">
        <f>"SURGICAL GLOVE: Ltx Sz 6 Pdr - Size 6 surgical gloves, sterile, powdered, latex, single use, 1 pair per peel-open pkg, hand specific, 50 pair/box, 4 boxes/case (200 pair)"</f>
        <v>SURGICAL GLOVE: Ltx Sz 6 Pdr - Size 6 surgical gloves, sterile, powdered, latex, single use, 1 pair per peel-open pkg, hand specific, 50 pair/box, 4 boxes/case (200 pair)</v>
      </c>
      <c r="G38" s="3" t="str">
        <f t="shared" si="2"/>
        <v>CA</v>
      </c>
      <c r="H38" s="7">
        <v>93.6</v>
      </c>
      <c r="I38" s="2" t="str">
        <f t="shared" ref="I38:I54" si="3">"42132205"</f>
        <v>42132205</v>
      </c>
      <c r="J38" s="10" t="s">
        <v>154</v>
      </c>
    </row>
    <row r="39" spans="1:10" s="6" customFormat="1" ht="63.75">
      <c r="A39" s="9" t="s">
        <v>58</v>
      </c>
      <c r="B39" s="2" t="s">
        <v>57</v>
      </c>
      <c r="C39" s="2">
        <v>3076</v>
      </c>
      <c r="D39" s="2">
        <v>38</v>
      </c>
      <c r="E39" s="2" t="str">
        <f>"1000025150"</f>
        <v>1000025150</v>
      </c>
      <c r="F39" s="2" t="str">
        <f>"SURGICAL GLOVE: Ltx Sz 6.5 Pdr - Size 6.5 surgical gloves, sterile, powdered, latex, single use, 1 pair per peel-open pkg, hand specific, 50 pair/box, 4 boxes/case (200 pair)"</f>
        <v>SURGICAL GLOVE: Ltx Sz 6.5 Pdr - Size 6.5 surgical gloves, sterile, powdered, latex, single use, 1 pair per peel-open pkg, hand specific, 50 pair/box, 4 boxes/case (200 pair)</v>
      </c>
      <c r="G39" s="3" t="str">
        <f t="shared" si="2"/>
        <v>CA</v>
      </c>
      <c r="H39" s="7">
        <v>93.6</v>
      </c>
      <c r="I39" s="2" t="str">
        <f t="shared" si="3"/>
        <v>42132205</v>
      </c>
      <c r="J39" s="10" t="s">
        <v>154</v>
      </c>
    </row>
    <row r="40" spans="1:10" s="6" customFormat="1" ht="63.75">
      <c r="A40" s="9" t="s">
        <v>58</v>
      </c>
      <c r="B40" s="2" t="s">
        <v>57</v>
      </c>
      <c r="C40" s="2">
        <v>3076</v>
      </c>
      <c r="D40" s="2">
        <v>39</v>
      </c>
      <c r="E40" s="2" t="str">
        <f>"1000025151"</f>
        <v>1000025151</v>
      </c>
      <c r="F40" s="2" t="str">
        <f>"SURGICAL GLOVE: Ltx Sz 7 Pdr - Size 7 surgical gloves, sterile, powdered, latex, single use, 1 pair per peel-open pkg, hand specific, 50 pair/box, 4 boxes/case (200 pair)"</f>
        <v>SURGICAL GLOVE: Ltx Sz 7 Pdr - Size 7 surgical gloves, sterile, powdered, latex, single use, 1 pair per peel-open pkg, hand specific, 50 pair/box, 4 boxes/case (200 pair)</v>
      </c>
      <c r="G40" s="3" t="str">
        <f t="shared" si="2"/>
        <v>CA</v>
      </c>
      <c r="H40" s="7">
        <v>93.6</v>
      </c>
      <c r="I40" s="2" t="str">
        <f t="shared" si="3"/>
        <v>42132205</v>
      </c>
      <c r="J40" s="10" t="s">
        <v>154</v>
      </c>
    </row>
    <row r="41" spans="1:10" s="6" customFormat="1" ht="63.75">
      <c r="A41" s="9" t="s">
        <v>58</v>
      </c>
      <c r="B41" s="2" t="s">
        <v>57</v>
      </c>
      <c r="C41" s="2">
        <v>3076</v>
      </c>
      <c r="D41" s="2">
        <v>40</v>
      </c>
      <c r="E41" s="2" t="str">
        <f>"1000025152"</f>
        <v>1000025152</v>
      </c>
      <c r="F41" s="2" t="str">
        <f>"SURGICAL GLOVE: Ltx Sz 7.5 Pdr- Size 7.5 surgical gloves, sterile, powdered, latex, single use, 1 pair per peel-open pkg, hand specific, 50 pair/box, 4 boxes/case (200 pair)"</f>
        <v>SURGICAL GLOVE: Ltx Sz 7.5 Pdr- Size 7.5 surgical gloves, sterile, powdered, latex, single use, 1 pair per peel-open pkg, hand specific, 50 pair/box, 4 boxes/case (200 pair)</v>
      </c>
      <c r="G41" s="3" t="str">
        <f t="shared" si="2"/>
        <v>CA</v>
      </c>
      <c r="H41" s="7">
        <v>93.6</v>
      </c>
      <c r="I41" s="2" t="str">
        <f t="shared" si="3"/>
        <v>42132205</v>
      </c>
      <c r="J41" s="10" t="s">
        <v>154</v>
      </c>
    </row>
    <row r="42" spans="1:10" s="6" customFormat="1" ht="63.75">
      <c r="A42" s="9" t="s">
        <v>58</v>
      </c>
      <c r="B42" s="2" t="s">
        <v>57</v>
      </c>
      <c r="C42" s="2">
        <v>3076</v>
      </c>
      <c r="D42" s="2">
        <v>41</v>
      </c>
      <c r="E42" s="2" t="str">
        <f>"1000025153"</f>
        <v>1000025153</v>
      </c>
      <c r="F42" s="2" t="str">
        <f>"SURGICAL GLOVE: Ltx Sz 8 Pdr - Size 8 surgical gloves, sterile, powdered, latex, single use, 1 pair per peel-open pkg, hand specific, 50 pair/box, 4 boxes/case (200 pair)"</f>
        <v>SURGICAL GLOVE: Ltx Sz 8 Pdr - Size 8 surgical gloves, sterile, powdered, latex, single use, 1 pair per peel-open pkg, hand specific, 50 pair/box, 4 boxes/case (200 pair)</v>
      </c>
      <c r="G42" s="3" t="str">
        <f t="shared" si="2"/>
        <v>CA</v>
      </c>
      <c r="H42" s="7">
        <v>93.6</v>
      </c>
      <c r="I42" s="2" t="str">
        <f t="shared" si="3"/>
        <v>42132205</v>
      </c>
      <c r="J42" s="10" t="s">
        <v>154</v>
      </c>
    </row>
    <row r="43" spans="1:10" s="6" customFormat="1" ht="63.75">
      <c r="A43" s="9" t="s">
        <v>58</v>
      </c>
      <c r="B43" s="2" t="s">
        <v>57</v>
      </c>
      <c r="C43" s="2">
        <v>3076</v>
      </c>
      <c r="D43" s="2">
        <v>42</v>
      </c>
      <c r="E43" s="2" t="str">
        <f>"1000025154"</f>
        <v>1000025154</v>
      </c>
      <c r="F43" s="2" t="str">
        <f>"SURGICAL GLOVE: Ltx Sz 8.5 Pdr - Size 8.5 surgical gloves, sterile, powdered, latex, single use, 1 pair per peel-open pkg, hand specific, 50 pair/box, 4 boxes/case (200 pair)"</f>
        <v>SURGICAL GLOVE: Ltx Sz 8.5 Pdr - Size 8.5 surgical gloves, sterile, powdered, latex, single use, 1 pair per peel-open pkg, hand specific, 50 pair/box, 4 boxes/case (200 pair)</v>
      </c>
      <c r="G43" s="3" t="str">
        <f t="shared" si="2"/>
        <v>CA</v>
      </c>
      <c r="H43" s="7">
        <v>93.6</v>
      </c>
      <c r="I43" s="2" t="str">
        <f t="shared" si="3"/>
        <v>42132205</v>
      </c>
      <c r="J43" s="10" t="s">
        <v>154</v>
      </c>
    </row>
    <row r="44" spans="1:10" s="6" customFormat="1" ht="51">
      <c r="A44" s="9" t="s">
        <v>58</v>
      </c>
      <c r="B44" s="2" t="s">
        <v>57</v>
      </c>
      <c r="C44" s="2">
        <v>3076</v>
      </c>
      <c r="D44" s="2">
        <v>43</v>
      </c>
      <c r="E44" s="2" t="str">
        <f>"1000025129"</f>
        <v>1000025129</v>
      </c>
      <c r="F44" s="2" t="str">
        <f>"SURGICAL GLOVE: Ltx Sz 6 PF - Size 6 surgical gloves, sterile, powder-free latex, one pair per peel-open pkg, 50 pair/box, 4 boxes/case (200 pair)"</f>
        <v>SURGICAL GLOVE: Ltx Sz 6 PF - Size 6 surgical gloves, sterile, powder-free latex, one pair per peel-open pkg, 50 pair/box, 4 boxes/case (200 pair)</v>
      </c>
      <c r="G44" s="3" t="str">
        <f t="shared" si="2"/>
        <v>CA</v>
      </c>
      <c r="H44" s="7">
        <v>112</v>
      </c>
      <c r="I44" s="2" t="str">
        <f t="shared" si="3"/>
        <v>42132205</v>
      </c>
      <c r="J44" s="10" t="s">
        <v>154</v>
      </c>
    </row>
    <row r="45" spans="1:10" s="6" customFormat="1" ht="51">
      <c r="A45" s="9" t="s">
        <v>58</v>
      </c>
      <c r="B45" s="2" t="s">
        <v>57</v>
      </c>
      <c r="C45" s="2">
        <v>3076</v>
      </c>
      <c r="D45" s="2">
        <v>44</v>
      </c>
      <c r="E45" s="2" t="str">
        <f>"1000025130"</f>
        <v>1000025130</v>
      </c>
      <c r="F45" s="2" t="str">
        <f>"SURGICAL GLOVE: Ltx Sz 6.5 PF - Size 6.5 surgical gloves, sterile, powder-free latex, one pair per peel-open pkg, 50 pair/box, 4 boxes/case (200 pair)"</f>
        <v>SURGICAL GLOVE: Ltx Sz 6.5 PF - Size 6.5 surgical gloves, sterile, powder-free latex, one pair per peel-open pkg, 50 pair/box, 4 boxes/case (200 pair)</v>
      </c>
      <c r="G45" s="3" t="str">
        <f t="shared" si="2"/>
        <v>CA</v>
      </c>
      <c r="H45" s="7">
        <v>112</v>
      </c>
      <c r="I45" s="2" t="str">
        <f t="shared" si="3"/>
        <v>42132205</v>
      </c>
      <c r="J45" s="10" t="s">
        <v>154</v>
      </c>
    </row>
    <row r="46" spans="1:10" s="6" customFormat="1" ht="51">
      <c r="A46" s="9" t="s">
        <v>58</v>
      </c>
      <c r="B46" s="2" t="s">
        <v>57</v>
      </c>
      <c r="C46" s="2">
        <v>3076</v>
      </c>
      <c r="D46" s="2">
        <v>45</v>
      </c>
      <c r="E46" s="2" t="str">
        <f>"1000025131"</f>
        <v>1000025131</v>
      </c>
      <c r="F46" s="2" t="str">
        <f>"SURGICAL GLOVE: Ltx Sz 7 PF - Size 7 surgical gloves, sterile, powder-free latex, one pair per peel-open pkg, 50 pair/box, 4 boxes/case (200 pair)"</f>
        <v>SURGICAL GLOVE: Ltx Sz 7 PF - Size 7 surgical gloves, sterile, powder-free latex, one pair per peel-open pkg, 50 pair/box, 4 boxes/case (200 pair)</v>
      </c>
      <c r="G46" s="3" t="str">
        <f t="shared" si="2"/>
        <v>CA</v>
      </c>
      <c r="H46" s="7">
        <v>112</v>
      </c>
      <c r="I46" s="2" t="str">
        <f t="shared" si="3"/>
        <v>42132205</v>
      </c>
      <c r="J46" s="10" t="s">
        <v>154</v>
      </c>
    </row>
    <row r="47" spans="1:10" s="6" customFormat="1" ht="51">
      <c r="A47" s="9" t="s">
        <v>58</v>
      </c>
      <c r="B47" s="2" t="s">
        <v>57</v>
      </c>
      <c r="C47" s="2">
        <v>3076</v>
      </c>
      <c r="D47" s="2">
        <v>46</v>
      </c>
      <c r="E47" s="2" t="str">
        <f>"1000025132"</f>
        <v>1000025132</v>
      </c>
      <c r="F47" s="2" t="str">
        <f>"SURGICAL GLOVE: Ltx Sz 7.5 PF - Size 7.5 surgical gloves, sterile, powder-free latex, one pair per peel-open pkg, 50 pair/box, 4 boxes/case (200 pair)"</f>
        <v>SURGICAL GLOVE: Ltx Sz 7.5 PF - Size 7.5 surgical gloves, sterile, powder-free latex, one pair per peel-open pkg, 50 pair/box, 4 boxes/case (200 pair)</v>
      </c>
      <c r="G47" s="3" t="str">
        <f t="shared" si="2"/>
        <v>CA</v>
      </c>
      <c r="H47" s="7">
        <v>112</v>
      </c>
      <c r="I47" s="2" t="str">
        <f t="shared" si="3"/>
        <v>42132205</v>
      </c>
      <c r="J47" s="10" t="s">
        <v>154</v>
      </c>
    </row>
    <row r="48" spans="1:10" s="6" customFormat="1" ht="51">
      <c r="A48" s="9" t="s">
        <v>58</v>
      </c>
      <c r="B48" s="2" t="s">
        <v>57</v>
      </c>
      <c r="C48" s="2">
        <v>3076</v>
      </c>
      <c r="D48" s="2">
        <v>47</v>
      </c>
      <c r="E48" s="2" t="str">
        <f>"1000025133"</f>
        <v>1000025133</v>
      </c>
      <c r="F48" s="2" t="str">
        <f>"SURGICAL GLOVE: Ltx Sz 8 PF - Size 8 surgical gloves, sterile, powder-free latex, one pair per peel-open pkg, 50 pair/box, 4 boxes/case (200 pair)"</f>
        <v>SURGICAL GLOVE: Ltx Sz 8 PF - Size 8 surgical gloves, sterile, powder-free latex, one pair per peel-open pkg, 50 pair/box, 4 boxes/case (200 pair)</v>
      </c>
      <c r="G48" s="3" t="str">
        <f t="shared" si="2"/>
        <v>CA</v>
      </c>
      <c r="H48" s="7">
        <v>112</v>
      </c>
      <c r="I48" s="2" t="str">
        <f t="shared" si="3"/>
        <v>42132205</v>
      </c>
      <c r="J48" s="10" t="s">
        <v>154</v>
      </c>
    </row>
    <row r="49" spans="1:10" s="6" customFormat="1" ht="51">
      <c r="A49" s="9" t="s">
        <v>58</v>
      </c>
      <c r="B49" s="2" t="s">
        <v>57</v>
      </c>
      <c r="C49" s="2">
        <v>3076</v>
      </c>
      <c r="D49" s="2">
        <v>48</v>
      </c>
      <c r="E49" s="2" t="str">
        <f>"1000025134"</f>
        <v>1000025134</v>
      </c>
      <c r="F49" s="2" t="str">
        <f>"SURGICAL GLOVE: Ltx Sz 8.5 PF - Size 8.5 surgical gloves, sterile, powder-free latex, one pair per peel-open pkg, 50 pair/box, 4 boxes/case (200 pair)"</f>
        <v>SURGICAL GLOVE: Ltx Sz 8.5 PF - Size 8.5 surgical gloves, sterile, powder-free latex, one pair per peel-open pkg, 50 pair/box, 4 boxes/case (200 pair)</v>
      </c>
      <c r="G49" s="3" t="str">
        <f t="shared" si="2"/>
        <v>CA</v>
      </c>
      <c r="H49" s="7">
        <v>112</v>
      </c>
      <c r="I49" s="2" t="str">
        <f t="shared" si="3"/>
        <v>42132205</v>
      </c>
      <c r="J49" s="10" t="s">
        <v>154</v>
      </c>
    </row>
    <row r="50" spans="1:10" s="6" customFormat="1" ht="51">
      <c r="A50" s="9" t="s">
        <v>58</v>
      </c>
      <c r="B50" s="2" t="s">
        <v>57</v>
      </c>
      <c r="C50" s="2">
        <v>3076</v>
      </c>
      <c r="D50" s="2">
        <v>49</v>
      </c>
      <c r="E50" s="2" t="str">
        <f>"1000025135"</f>
        <v>1000025135</v>
      </c>
      <c r="F50" s="2" t="str">
        <f>"SURGICAL GLOVE: Ltx Sz 9 PF - Size 9 surgical gloves, sterile, powder-free latex, one pair per peel-open pkg, 50 pair/box, 4 boxes/case (200 pair)"</f>
        <v>SURGICAL GLOVE: Ltx Sz 9 PF - Size 9 surgical gloves, sterile, powder-free latex, one pair per peel-open pkg, 50 pair/box, 4 boxes/case (200 pair)</v>
      </c>
      <c r="G50" s="3" t="str">
        <f t="shared" si="2"/>
        <v>CA</v>
      </c>
      <c r="H50" s="7">
        <v>112</v>
      </c>
      <c r="I50" s="2" t="str">
        <f t="shared" si="3"/>
        <v>42132205</v>
      </c>
      <c r="J50" s="10" t="s">
        <v>154</v>
      </c>
    </row>
    <row r="51" spans="1:10" s="6" customFormat="1" ht="51">
      <c r="A51" s="9" t="s">
        <v>58</v>
      </c>
      <c r="B51" s="2" t="s">
        <v>57</v>
      </c>
      <c r="C51" s="2">
        <v>3076</v>
      </c>
      <c r="D51" s="2">
        <v>50</v>
      </c>
      <c r="E51" s="2" t="str">
        <f>"1000025136"</f>
        <v>1000025136</v>
      </c>
      <c r="F51" s="2" t="str">
        <f>"SURGICAL GLOVE: Ltx Sz 6 PF Sterile - Size 6, Specialty latex, sterile, powder free, brown color 25 pair/box, 4 boxes/case (100 pair)"</f>
        <v>SURGICAL GLOVE: Ltx Sz 6 PF Sterile - Size 6, Specialty latex, sterile, powder free, brown color 25 pair/box, 4 boxes/case (100 pair)</v>
      </c>
      <c r="G51" s="3" t="str">
        <f t="shared" si="2"/>
        <v>CA</v>
      </c>
      <c r="H51" s="7">
        <v>140</v>
      </c>
      <c r="I51" s="2" t="str">
        <f t="shared" si="3"/>
        <v>42132205</v>
      </c>
      <c r="J51" s="10" t="s">
        <v>154</v>
      </c>
    </row>
    <row r="52" spans="1:10" s="6" customFormat="1" ht="51">
      <c r="A52" s="9" t="s">
        <v>58</v>
      </c>
      <c r="B52" s="2" t="s">
        <v>57</v>
      </c>
      <c r="C52" s="2">
        <v>3076</v>
      </c>
      <c r="D52" s="2">
        <v>51</v>
      </c>
      <c r="E52" s="2" t="str">
        <f>"1000025137"</f>
        <v>1000025137</v>
      </c>
      <c r="F52" s="2" t="str">
        <f>"SURGICAL GLOVE: Ltx Sz 7 PF Sterile - Size 7, Specialty latex, sterile, powder free, brown color 25 pair/box, 4 boxes/case (100 pair)"</f>
        <v>SURGICAL GLOVE: Ltx Sz 7 PF Sterile - Size 7, Specialty latex, sterile, powder free, brown color 25 pair/box, 4 boxes/case (100 pair)</v>
      </c>
      <c r="G52" s="3" t="str">
        <f t="shared" si="2"/>
        <v>CA</v>
      </c>
      <c r="H52" s="7">
        <v>140</v>
      </c>
      <c r="I52" s="2" t="str">
        <f t="shared" si="3"/>
        <v>42132205</v>
      </c>
      <c r="J52" s="10" t="s">
        <v>154</v>
      </c>
    </row>
    <row r="53" spans="1:10" s="6" customFormat="1" ht="51">
      <c r="A53" s="9" t="s">
        <v>58</v>
      </c>
      <c r="B53" s="2" t="s">
        <v>57</v>
      </c>
      <c r="C53" s="2">
        <v>3076</v>
      </c>
      <c r="D53" s="2">
        <v>52</v>
      </c>
      <c r="E53" s="2" t="str">
        <f>"1000025138"</f>
        <v>1000025138</v>
      </c>
      <c r="F53" s="2" t="str">
        <f>"SURGICAL GLOVE: Ltx Sz 8 PF Sterile - Size 8, Specialty latex, sterile, powder free, brown color 25 pair/box, 4 boxes/case (100 pair)"</f>
        <v>SURGICAL GLOVE: Ltx Sz 8 PF Sterile - Size 8, Specialty latex, sterile, powder free, brown color 25 pair/box, 4 boxes/case (100 pair)</v>
      </c>
      <c r="G53" s="3" t="str">
        <f t="shared" si="2"/>
        <v>CA</v>
      </c>
      <c r="H53" s="7">
        <v>140</v>
      </c>
      <c r="I53" s="2" t="str">
        <f t="shared" si="3"/>
        <v>42132205</v>
      </c>
      <c r="J53" s="10" t="s">
        <v>154</v>
      </c>
    </row>
    <row r="54" spans="1:10" s="6" customFormat="1" ht="51">
      <c r="A54" s="9" t="s">
        <v>58</v>
      </c>
      <c r="B54" s="2" t="s">
        <v>57</v>
      </c>
      <c r="C54" s="2">
        <v>3076</v>
      </c>
      <c r="D54" s="2">
        <v>53</v>
      </c>
      <c r="E54" s="2" t="str">
        <f>"1000025139"</f>
        <v>1000025139</v>
      </c>
      <c r="F54" s="2" t="str">
        <f>"SURGICAL GLOVE: Ltx Sz 9 PF Sterile - Size 9, Specialty latex, sterile, powder free, brown color 25 pair/box, 4 boxes/case (100 pair)"</f>
        <v>SURGICAL GLOVE: Ltx Sz 9 PF Sterile - Size 9, Specialty latex, sterile, powder free, brown color 25 pair/box, 4 boxes/case (100 pair)</v>
      </c>
      <c r="G54" s="3" t="str">
        <f t="shared" si="2"/>
        <v>CA</v>
      </c>
      <c r="H54" s="7">
        <v>140</v>
      </c>
      <c r="I54" s="2" t="str">
        <f t="shared" si="3"/>
        <v>42132205</v>
      </c>
      <c r="J54" s="10" t="s">
        <v>154</v>
      </c>
    </row>
    <row r="55" spans="1:10" s="6" customFormat="1" ht="38.25">
      <c r="A55" s="9" t="s">
        <v>58</v>
      </c>
      <c r="B55" s="2" t="s">
        <v>57</v>
      </c>
      <c r="C55" s="2">
        <v>3076</v>
      </c>
      <c r="D55" s="2">
        <v>54</v>
      </c>
      <c r="E55" s="2" t="str">
        <f>"1000025140"</f>
        <v>1000025140</v>
      </c>
      <c r="F55" s="2" t="str">
        <f>"EXAM GLOVE: Vinyl Sm Pdr 1000/CA - Vinyl Small, powdered, non-sterile, 100/box, 10 boxes/Case (1000 gloves)"</f>
        <v>EXAM GLOVE: Vinyl Sm Pdr 1000/CA - Vinyl Small, powdered, non-sterile, 100/box, 10 boxes/Case (1000 gloves)</v>
      </c>
      <c r="G55" s="3" t="str">
        <f t="shared" si="2"/>
        <v>CA</v>
      </c>
      <c r="H55" s="7">
        <v>36</v>
      </c>
      <c r="I55" s="2" t="str">
        <f t="shared" ref="I55:I62" si="4">"42132203"</f>
        <v>42132203</v>
      </c>
      <c r="J55" s="10" t="s">
        <v>153</v>
      </c>
    </row>
    <row r="56" spans="1:10" s="6" customFormat="1" ht="38.25">
      <c r="A56" s="9" t="s">
        <v>58</v>
      </c>
      <c r="B56" s="2" t="s">
        <v>57</v>
      </c>
      <c r="C56" s="2">
        <v>3076</v>
      </c>
      <c r="D56" s="2">
        <v>55</v>
      </c>
      <c r="E56" s="2" t="str">
        <f>"1000025141"</f>
        <v>1000025141</v>
      </c>
      <c r="F56" s="2" t="str">
        <f>"EXAM GLOVE: Vinyl Med Pdr 1000/CA - Vinyl Medium, powdered, non-sterile, 100/box, 10 boxes/Case (1000 gloves)"</f>
        <v>EXAM GLOVE: Vinyl Med Pdr 1000/CA - Vinyl Medium, powdered, non-sterile, 100/box, 10 boxes/Case (1000 gloves)</v>
      </c>
      <c r="G56" s="3" t="str">
        <f t="shared" si="2"/>
        <v>CA</v>
      </c>
      <c r="H56" s="7">
        <v>36</v>
      </c>
      <c r="I56" s="2" t="str">
        <f t="shared" si="4"/>
        <v>42132203</v>
      </c>
      <c r="J56" s="10" t="s">
        <v>153</v>
      </c>
    </row>
    <row r="57" spans="1:10" s="6" customFormat="1" ht="38.25">
      <c r="A57" s="9" t="s">
        <v>58</v>
      </c>
      <c r="B57" s="2" t="s">
        <v>57</v>
      </c>
      <c r="C57" s="2">
        <v>3076</v>
      </c>
      <c r="D57" s="2">
        <v>56</v>
      </c>
      <c r="E57" s="2" t="str">
        <f>"1000025116"</f>
        <v>1000025116</v>
      </c>
      <c r="F57" s="2" t="str">
        <f>"EXAM GLOVE: Vinyl Lg Pdr 1000/CA - Vinyl Large, powdered, non-sterile, 100/box, 10 boxes/Case (1000 gloves)"</f>
        <v>EXAM GLOVE: Vinyl Lg Pdr 1000/CA - Vinyl Large, powdered, non-sterile, 100/box, 10 boxes/Case (1000 gloves)</v>
      </c>
      <c r="G57" s="3" t="str">
        <f t="shared" si="2"/>
        <v>CA</v>
      </c>
      <c r="H57" s="7">
        <v>36</v>
      </c>
      <c r="I57" s="2" t="str">
        <f t="shared" si="4"/>
        <v>42132203</v>
      </c>
      <c r="J57" s="10" t="s">
        <v>153</v>
      </c>
    </row>
    <row r="58" spans="1:10" s="6" customFormat="1" ht="38.25">
      <c r="A58" s="9" t="s">
        <v>58</v>
      </c>
      <c r="B58" s="2" t="s">
        <v>57</v>
      </c>
      <c r="C58" s="2">
        <v>3076</v>
      </c>
      <c r="D58" s="2">
        <v>57</v>
      </c>
      <c r="E58" s="2" t="str">
        <f>"1000025117"</f>
        <v>1000025117</v>
      </c>
      <c r="F58" s="2" t="str">
        <f>"EXAM GLOVE: Vinyl XL Pdr 1000/CA - Vinyl X-Large, powdered, non-sterile, 100/box, 10 boxes/Case (1000 gloves)"</f>
        <v>EXAM GLOVE: Vinyl XL Pdr 1000/CA - Vinyl X-Large, powdered, non-sterile, 100/box, 10 boxes/Case (1000 gloves)</v>
      </c>
      <c r="G58" s="3" t="str">
        <f t="shared" si="2"/>
        <v>CA</v>
      </c>
      <c r="H58" s="7">
        <v>36</v>
      </c>
      <c r="I58" s="2" t="str">
        <f t="shared" si="4"/>
        <v>42132203</v>
      </c>
      <c r="J58" s="10" t="s">
        <v>153</v>
      </c>
    </row>
    <row r="59" spans="1:10" s="6" customFormat="1" ht="38.25">
      <c r="A59" s="9" t="s">
        <v>58</v>
      </c>
      <c r="B59" s="2" t="s">
        <v>57</v>
      </c>
      <c r="C59" s="2">
        <v>3076</v>
      </c>
      <c r="D59" s="2">
        <v>58</v>
      </c>
      <c r="E59" s="2" t="str">
        <f>"1000025118"</f>
        <v>1000025118</v>
      </c>
      <c r="F59" s="2" t="str">
        <f>"EXAM GLOVE: Vinyl Sm PF 1000/CA - Vinyl Small, powder free, non-sterile, 100/box, 10 boxes/Case (1000 gloves)"</f>
        <v>EXAM GLOVE: Vinyl Sm PF 1000/CA - Vinyl Small, powder free, non-sterile, 100/box, 10 boxes/Case (1000 gloves)</v>
      </c>
      <c r="G59" s="3" t="str">
        <f t="shared" si="2"/>
        <v>CA</v>
      </c>
      <c r="H59" s="7">
        <v>39</v>
      </c>
      <c r="I59" s="2" t="str">
        <f t="shared" si="4"/>
        <v>42132203</v>
      </c>
      <c r="J59" s="10" t="s">
        <v>153</v>
      </c>
    </row>
    <row r="60" spans="1:10" s="6" customFormat="1" ht="51">
      <c r="A60" s="9" t="s">
        <v>58</v>
      </c>
      <c r="B60" s="2" t="s">
        <v>57</v>
      </c>
      <c r="C60" s="2">
        <v>3076</v>
      </c>
      <c r="D60" s="2">
        <v>59</v>
      </c>
      <c r="E60" s="2" t="str">
        <f>"1000025119"</f>
        <v>1000025119</v>
      </c>
      <c r="F60" s="2" t="str">
        <f>"EXAM GLOVE: Vinyl Med PF 1000/CA - Vinyl Medium, powder free, non-sterile, 100/box, 10 boxes/Case (1000 gloves)"</f>
        <v>EXAM GLOVE: Vinyl Med PF 1000/CA - Vinyl Medium, powder free, non-sterile, 100/box, 10 boxes/Case (1000 gloves)</v>
      </c>
      <c r="G60" s="3" t="str">
        <f t="shared" si="2"/>
        <v>CA</v>
      </c>
      <c r="H60" s="7">
        <v>39</v>
      </c>
      <c r="I60" s="2" t="str">
        <f t="shared" si="4"/>
        <v>42132203</v>
      </c>
      <c r="J60" s="10" t="s">
        <v>153</v>
      </c>
    </row>
    <row r="61" spans="1:10" s="6" customFormat="1" ht="38.25">
      <c r="A61" s="9" t="s">
        <v>58</v>
      </c>
      <c r="B61" s="2" t="s">
        <v>57</v>
      </c>
      <c r="C61" s="2">
        <v>3076</v>
      </c>
      <c r="D61" s="2">
        <v>60</v>
      </c>
      <c r="E61" s="2" t="str">
        <f>"1000025120"</f>
        <v>1000025120</v>
      </c>
      <c r="F61" s="2" t="str">
        <f>"EXAM GLOVE: Vinyl Lg PF 1000/CA - Vinyl Large, powder free, non-sterile, 100/box, 10 boxes/Case (1000 gloves)"</f>
        <v>EXAM GLOVE: Vinyl Lg PF 1000/CA - Vinyl Large, powder free, non-sterile, 100/box, 10 boxes/Case (1000 gloves)</v>
      </c>
      <c r="G61" s="3" t="str">
        <f t="shared" si="2"/>
        <v>CA</v>
      </c>
      <c r="H61" s="7">
        <v>39</v>
      </c>
      <c r="I61" s="2" t="str">
        <f t="shared" si="4"/>
        <v>42132203</v>
      </c>
      <c r="J61" s="10" t="s">
        <v>153</v>
      </c>
    </row>
    <row r="62" spans="1:10" s="6" customFormat="1" ht="38.25">
      <c r="A62" s="9" t="s">
        <v>58</v>
      </c>
      <c r="B62" s="2" t="s">
        <v>57</v>
      </c>
      <c r="C62" s="2">
        <v>3076</v>
      </c>
      <c r="D62" s="2">
        <v>61</v>
      </c>
      <c r="E62" s="2" t="str">
        <f>"1000025121"</f>
        <v>1000025121</v>
      </c>
      <c r="F62" s="2" t="str">
        <f>"EXAM GLOVE: Vinyl XL PF 1000/CA - Vinyl X-Large, powder free, non-sterile, 100/box, 10 boxes/Case (1000 gloves)"</f>
        <v>EXAM GLOVE: Vinyl XL PF 1000/CA - Vinyl X-Large, powder free, non-sterile, 100/box, 10 boxes/Case (1000 gloves)</v>
      </c>
      <c r="G62" s="3" t="str">
        <f t="shared" si="2"/>
        <v>CA</v>
      </c>
      <c r="H62" s="7">
        <v>39</v>
      </c>
      <c r="I62" s="2" t="str">
        <f t="shared" si="4"/>
        <v>42132203</v>
      </c>
      <c r="J62" s="10" t="s">
        <v>153</v>
      </c>
    </row>
    <row r="63" spans="1:10" s="6" customFormat="1" ht="51">
      <c r="A63" s="9" t="s">
        <v>58</v>
      </c>
      <c r="B63" s="2" t="s">
        <v>57</v>
      </c>
      <c r="C63" s="2">
        <v>3076</v>
      </c>
      <c r="D63" s="2">
        <v>62</v>
      </c>
      <c r="E63" s="2" t="str">
        <f>"1000025122"</f>
        <v>1000025122</v>
      </c>
      <c r="F63" s="2" t="str">
        <f>"SURGICAL GLOVE: CR Sz 6 PF Sterile - Size 6, Polychloroprene, sterile, powder free, pairs, non-latex, 25 pairs/box, 4 boxes/case (100 pair)"</f>
        <v>SURGICAL GLOVE: CR Sz 6 PF Sterile - Size 6, Polychloroprene, sterile, powder free, pairs, non-latex, 25 pairs/box, 4 boxes/case (100 pair)</v>
      </c>
      <c r="G63" s="3" t="str">
        <f t="shared" si="2"/>
        <v>CA</v>
      </c>
      <c r="H63" s="7">
        <v>136</v>
      </c>
      <c r="I63" s="2" t="str">
        <f>"42132205"</f>
        <v>42132205</v>
      </c>
      <c r="J63" s="10" t="s">
        <v>154</v>
      </c>
    </row>
    <row r="64" spans="1:10" s="6" customFormat="1" ht="51">
      <c r="A64" s="9" t="s">
        <v>58</v>
      </c>
      <c r="B64" s="2" t="s">
        <v>57</v>
      </c>
      <c r="C64" s="2">
        <v>3076</v>
      </c>
      <c r="D64" s="2">
        <v>63</v>
      </c>
      <c r="E64" s="2" t="str">
        <f>"1000025123"</f>
        <v>1000025123</v>
      </c>
      <c r="F64" s="2" t="str">
        <f>"SURGICAL GLOVE: CR Sz 7 PF Sterile - Size 7, Polychloroprene, sterile, powder free, pairs, non-latex, 25 pairs/box, 4 boxes/case (100 pair)"</f>
        <v>SURGICAL GLOVE: CR Sz 7 PF Sterile - Size 7, Polychloroprene, sterile, powder free, pairs, non-latex, 25 pairs/box, 4 boxes/case (100 pair)</v>
      </c>
      <c r="G64" s="3" t="str">
        <f t="shared" si="2"/>
        <v>CA</v>
      </c>
      <c r="H64" s="7">
        <v>136</v>
      </c>
      <c r="I64" s="2" t="str">
        <f>"42132205"</f>
        <v>42132205</v>
      </c>
      <c r="J64" s="10" t="s">
        <v>154</v>
      </c>
    </row>
    <row r="65" spans="1:10" s="6" customFormat="1" ht="51">
      <c r="A65" s="9" t="s">
        <v>58</v>
      </c>
      <c r="B65" s="2" t="s">
        <v>57</v>
      </c>
      <c r="C65" s="2">
        <v>3076</v>
      </c>
      <c r="D65" s="2">
        <v>64</v>
      </c>
      <c r="E65" s="2" t="str">
        <f>"1000025124"</f>
        <v>1000025124</v>
      </c>
      <c r="F65" s="2" t="str">
        <f>"SURGICAL GLOVE: CR Sz 8 PF Sterile - Size 8, Polychloroprene, sterile, powder free, pairs, non-latex, 25 pairs/box, 4 boxes/case (100 pair)"</f>
        <v>SURGICAL GLOVE: CR Sz 8 PF Sterile - Size 8, Polychloroprene, sterile, powder free, pairs, non-latex, 25 pairs/box, 4 boxes/case (100 pair)</v>
      </c>
      <c r="G65" s="3" t="str">
        <f t="shared" si="2"/>
        <v>CA</v>
      </c>
      <c r="H65" s="7">
        <v>136</v>
      </c>
      <c r="I65" s="2" t="str">
        <f>"42132205"</f>
        <v>42132205</v>
      </c>
      <c r="J65" s="10" t="s">
        <v>154</v>
      </c>
    </row>
    <row r="66" spans="1:10" s="6" customFormat="1" ht="51">
      <c r="A66" s="9" t="s">
        <v>58</v>
      </c>
      <c r="B66" s="2" t="s">
        <v>57</v>
      </c>
      <c r="C66" s="2">
        <v>3076</v>
      </c>
      <c r="D66" s="2">
        <v>65</v>
      </c>
      <c r="E66" s="2" t="str">
        <f>"1000025125"</f>
        <v>1000025125</v>
      </c>
      <c r="F66" s="2" t="str">
        <f>"SURGICAL GLOVE: CR Sz 9 PF Sterile - Size 9, Polychloroprene, sterile, powder free, pairs, non-latex, 25 pairs/box, 4 boxes/case (100 pair)"</f>
        <v>SURGICAL GLOVE: CR Sz 9 PF Sterile - Size 9, Polychloroprene, sterile, powder free, pairs, non-latex, 25 pairs/box, 4 boxes/case (100 pair)</v>
      </c>
      <c r="G66" s="3" t="str">
        <f t="shared" si="2"/>
        <v>CA</v>
      </c>
      <c r="H66" s="7">
        <v>136</v>
      </c>
      <c r="I66" s="2" t="str">
        <f>"42132205"</f>
        <v>42132205</v>
      </c>
      <c r="J66" s="10" t="s">
        <v>154</v>
      </c>
    </row>
    <row r="67" spans="1:10" s="6" customFormat="1" ht="51">
      <c r="A67" s="9" t="s">
        <v>58</v>
      </c>
      <c r="B67" s="2" t="s">
        <v>57</v>
      </c>
      <c r="C67" s="2">
        <v>3076</v>
      </c>
      <c r="D67" s="2">
        <v>66</v>
      </c>
      <c r="E67" s="2" t="str">
        <f>"1000025126"</f>
        <v>1000025126</v>
      </c>
      <c r="F67" s="2" t="str">
        <f>"GLOVE BOX HOLDER: Single 10/CA - Glove box wire holder, single, horizontal, white wire, 11 1/2 (w) x 4 (h) x 4 (d), 10/case"</f>
        <v>GLOVE BOX HOLDER: Single 10/CA - Glove box wire holder, single, horizontal, white wire, 11 1/2 (w) x 4 (h) x 4 (d), 10/case</v>
      </c>
      <c r="G67" s="3" t="str">
        <f t="shared" si="2"/>
        <v>CA</v>
      </c>
      <c r="H67" s="7">
        <v>60</v>
      </c>
      <c r="I67" s="2" t="str">
        <f>"42132203"</f>
        <v>42132203</v>
      </c>
      <c r="J67" s="10" t="s">
        <v>153</v>
      </c>
    </row>
    <row r="68" spans="1:10" s="6" customFormat="1" ht="51">
      <c r="A68" s="9" t="s">
        <v>58</v>
      </c>
      <c r="B68" s="2" t="s">
        <v>57</v>
      </c>
      <c r="C68" s="2">
        <v>3076</v>
      </c>
      <c r="D68" s="2">
        <v>67</v>
      </c>
      <c r="E68" s="2" t="str">
        <f>"1000025127"</f>
        <v>1000025127</v>
      </c>
      <c r="F68" s="2" t="str">
        <f>"GLOVE BOX HOLDER: Double 6/CA - Glove box wire holder, double, horizontal, white wire, 10 3/4 (w) x 11 (h) x 3 1/2 (d), 6/case"</f>
        <v>GLOVE BOX HOLDER: Double 6/CA - Glove box wire holder, double, horizontal, white wire, 10 3/4 (w) x 11 (h) x 3 1/2 (d), 6/case</v>
      </c>
      <c r="G68" s="3" t="str">
        <f t="shared" si="2"/>
        <v>CA</v>
      </c>
      <c r="H68" s="7">
        <v>68</v>
      </c>
      <c r="I68" s="2" t="str">
        <f>"42132203"</f>
        <v>42132203</v>
      </c>
      <c r="J68" s="10" t="s">
        <v>153</v>
      </c>
    </row>
    <row r="69" spans="1:10" s="6" customFormat="1" ht="51">
      <c r="A69" s="9" t="s">
        <v>58</v>
      </c>
      <c r="B69" s="2" t="s">
        <v>57</v>
      </c>
      <c r="C69" s="2">
        <v>3076</v>
      </c>
      <c r="D69" s="2">
        <v>68</v>
      </c>
      <c r="E69" s="2" t="str">
        <f>"1000025128"</f>
        <v>1000025128</v>
      </c>
      <c r="F69" s="2" t="str">
        <f>"GLOVE BOX HOLDER: Triple 10/CA - Glove box wire holder, triple, horizontal, white wire, 10 3/4 (w) x 13 1/2 (h) x 3 1/2 (d), 10/case"</f>
        <v>GLOVE BOX HOLDER: Triple 10/CA - Glove box wire holder, triple, horizontal, white wire, 10 3/4 (w) x 13 1/2 (h) x 3 1/2 (d), 10/case</v>
      </c>
      <c r="G69" s="3" t="str">
        <f t="shared" si="2"/>
        <v>CA</v>
      </c>
      <c r="H69" s="7">
        <v>112</v>
      </c>
      <c r="I69" s="2" t="str">
        <f>"42132203"</f>
        <v>42132203</v>
      </c>
      <c r="J69" s="10" t="s">
        <v>153</v>
      </c>
    </row>
    <row r="70" spans="1:10" s="6" customFormat="1" ht="76.5">
      <c r="A70" s="9" t="s">
        <v>58</v>
      </c>
      <c r="B70" s="2" t="s">
        <v>57</v>
      </c>
      <c r="C70" s="2">
        <v>3076</v>
      </c>
      <c r="D70" s="2">
        <v>69</v>
      </c>
      <c r="E70" s="2" t="str">
        <f>"1000025112"</f>
        <v>1000025112</v>
      </c>
      <c r="F70" s="2" t="str">
        <f>"FACE MASK: Pleated Earloop 500/CA - Earloop face mask 50/box, 10 boxes/case. Moisture resistant, latex free, 3-ply construction. Appropriate for all general patient care situations. (500 masks)"</f>
        <v>FACE MASK: Pleated Earloop 500/CA - Earloop face mask 50/box, 10 boxes/case. Moisture resistant, latex free, 3-ply construction. Appropriate for all general patient care situations. (500 masks)</v>
      </c>
      <c r="G70" s="3" t="str">
        <f t="shared" si="2"/>
        <v>CA</v>
      </c>
      <c r="H70" s="7">
        <v>38.78</v>
      </c>
      <c r="I70" s="2" t="str">
        <f>"42131606"</f>
        <v>42131606</v>
      </c>
      <c r="J70" s="10" t="s">
        <v>155</v>
      </c>
    </row>
    <row r="71" spans="1:10" s="6" customFormat="1" ht="25.5">
      <c r="A71" s="9" t="s">
        <v>58</v>
      </c>
      <c r="B71" s="2" t="s">
        <v>57</v>
      </c>
      <c r="C71" s="2">
        <v>3076</v>
      </c>
      <c r="D71" s="2">
        <v>70</v>
      </c>
      <c r="E71" s="2" t="str">
        <f>"1000008974"</f>
        <v>1000008974</v>
      </c>
      <c r="F71" s="2" t="str">
        <f>"SHIPPING: General Charges"</f>
        <v>SHIPPING: General Charges</v>
      </c>
      <c r="G71" s="3" t="str">
        <f t="shared" ref="G71:G76" si="5">"EA"</f>
        <v>EA</v>
      </c>
      <c r="H71" s="7">
        <v>0.01</v>
      </c>
      <c r="I71" s="2" t="str">
        <f>"78121603"</f>
        <v>78121603</v>
      </c>
      <c r="J71" s="10" t="s">
        <v>75</v>
      </c>
    </row>
    <row r="72" spans="1:10" s="6" customFormat="1" ht="25.5">
      <c r="A72" s="9" t="s">
        <v>58</v>
      </c>
      <c r="B72" s="2" t="s">
        <v>57</v>
      </c>
      <c r="C72" s="2">
        <v>3076</v>
      </c>
      <c r="D72" s="2">
        <v>71</v>
      </c>
      <c r="E72" s="2" t="str">
        <f>"1000028592"</f>
        <v>1000028592</v>
      </c>
      <c r="F72" s="2" t="str">
        <f>"DISCOUNT: Rate or percentage bulk discount"</f>
        <v>DISCOUNT: Rate or percentage bulk discount</v>
      </c>
      <c r="G72" s="3" t="str">
        <f t="shared" si="5"/>
        <v>EA</v>
      </c>
      <c r="H72" s="7">
        <v>0.01</v>
      </c>
      <c r="I72" s="2" t="str">
        <f>"84101502"</f>
        <v>84101502</v>
      </c>
      <c r="J72" s="10" t="s">
        <v>156</v>
      </c>
    </row>
    <row r="73" spans="1:10" s="6" customFormat="1" ht="51">
      <c r="A73" s="9" t="s">
        <v>58</v>
      </c>
      <c r="B73" s="2" t="s">
        <v>57</v>
      </c>
      <c r="C73" s="2">
        <v>3076</v>
      </c>
      <c r="D73" s="2">
        <v>72</v>
      </c>
      <c r="E73" s="2" t="str">
        <f>"1000029585"</f>
        <v>1000029585</v>
      </c>
      <c r="F73" s="2" t="str">
        <f>"EXAM GLOVES: Polycholorprene, Small, non-sterile, powder free, textured, green. 100 per box, 10 boxes/case (1000 gloves)"</f>
        <v>EXAM GLOVES: Polycholorprene, Small, non-sterile, powder free, textured, green. 100 per box, 10 boxes/case (1000 gloves)</v>
      </c>
      <c r="G73" s="3" t="str">
        <f t="shared" si="5"/>
        <v>EA</v>
      </c>
      <c r="H73" s="7">
        <v>75.209999999999994</v>
      </c>
      <c r="I73" s="2" t="str">
        <f>"42132203"</f>
        <v>42132203</v>
      </c>
      <c r="J73" s="10" t="s">
        <v>153</v>
      </c>
    </row>
    <row r="74" spans="1:10" s="6" customFormat="1" ht="51">
      <c r="A74" s="9" t="s">
        <v>58</v>
      </c>
      <c r="B74" s="2" t="s">
        <v>57</v>
      </c>
      <c r="C74" s="2">
        <v>3076</v>
      </c>
      <c r="D74" s="2">
        <v>73</v>
      </c>
      <c r="E74" s="2" t="str">
        <f>"1000029586"</f>
        <v>1000029586</v>
      </c>
      <c r="F74" s="2" t="str">
        <f>"EXAM GLOVES: Polycholorprene, Med, non-sterile, powder free, textured, green. 100 per box, 10 boxes/case (1000 gloves)"</f>
        <v>EXAM GLOVES: Polycholorprene, Med, non-sterile, powder free, textured, green. 100 per box, 10 boxes/case (1000 gloves)</v>
      </c>
      <c r="G74" s="3" t="str">
        <f t="shared" si="5"/>
        <v>EA</v>
      </c>
      <c r="H74" s="7">
        <v>75.209999999999994</v>
      </c>
      <c r="I74" s="2" t="str">
        <f>"42132203"</f>
        <v>42132203</v>
      </c>
      <c r="J74" s="10" t="s">
        <v>153</v>
      </c>
    </row>
    <row r="75" spans="1:10" s="6" customFormat="1" ht="51">
      <c r="A75" s="9" t="s">
        <v>58</v>
      </c>
      <c r="B75" s="2" t="s">
        <v>57</v>
      </c>
      <c r="C75" s="2">
        <v>3076</v>
      </c>
      <c r="D75" s="2">
        <v>74</v>
      </c>
      <c r="E75" s="2" t="str">
        <f>"1000029587"</f>
        <v>1000029587</v>
      </c>
      <c r="F75" s="2" t="str">
        <f>"EXAM GLOVES: Polycholorprene, Lg, non-sterile, powder free, textured, green. 100 per box, 10 boxes/case (1000 gloves)"</f>
        <v>EXAM GLOVES: Polycholorprene, Lg, non-sterile, powder free, textured, green. 100 per box, 10 boxes/case (1000 gloves)</v>
      </c>
      <c r="G75" s="3" t="str">
        <f t="shared" si="5"/>
        <v>EA</v>
      </c>
      <c r="H75" s="7">
        <v>75.209999999999994</v>
      </c>
      <c r="I75" s="2" t="str">
        <f>"42132203"</f>
        <v>42132203</v>
      </c>
      <c r="J75" s="10" t="s">
        <v>153</v>
      </c>
    </row>
    <row r="76" spans="1:10" s="6" customFormat="1" ht="51">
      <c r="A76" s="16" t="s">
        <v>58</v>
      </c>
      <c r="B76" s="17" t="s">
        <v>57</v>
      </c>
      <c r="C76" s="17">
        <v>3076</v>
      </c>
      <c r="D76" s="17">
        <v>75</v>
      </c>
      <c r="E76" s="17" t="str">
        <f>"1000029588"</f>
        <v>1000029588</v>
      </c>
      <c r="F76" s="17" t="str">
        <f>"EXAM GLOVES: Polycholorprene, X-Lg, non-sterile, powder free, textured, green. 100 per box, 10 boxes/case (1000 gloves)"</f>
        <v>EXAM GLOVES: Polycholorprene, X-Lg, non-sterile, powder free, textured, green. 100 per box, 10 boxes/case (1000 gloves)</v>
      </c>
      <c r="G76" s="18" t="str">
        <f t="shared" si="5"/>
        <v>EA</v>
      </c>
      <c r="H76" s="19">
        <v>75.209999999999994</v>
      </c>
      <c r="I76" s="17" t="str">
        <f>"42132203"</f>
        <v>42132203</v>
      </c>
      <c r="J76" s="20" t="s">
        <v>153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sheetPr codeName="Sheet14"/>
  <dimension ref="A1:J70"/>
  <sheetViews>
    <sheetView workbookViewId="0">
      <selection activeCell="B1" sqref="B1:B1048576"/>
    </sheetView>
  </sheetViews>
  <sheetFormatPr defaultRowHeight="15"/>
  <cols>
    <col min="1" max="1" width="6.5703125" bestFit="1" customWidth="1"/>
    <col min="3" max="3" width="5.85546875" customWidth="1"/>
    <col min="4" max="4" width="5" customWidth="1"/>
    <col min="5" max="5" width="11" bestFit="1" customWidth="1"/>
    <col min="6" max="6" width="38.140625" customWidth="1"/>
    <col min="7" max="7" width="7.140625" customWidth="1"/>
    <col min="8" max="8" width="6.42578125" bestFit="1" customWidth="1"/>
    <col min="9" max="9" width="9" bestFit="1" customWidth="1"/>
    <col min="10" max="10" width="19.42578125" bestFit="1" customWidth="1"/>
  </cols>
  <sheetData>
    <row r="1" spans="1:10" s="6" customFormat="1" ht="12.75">
      <c r="A1" s="32" t="s">
        <v>71</v>
      </c>
      <c r="B1" s="33" t="s">
        <v>208</v>
      </c>
      <c r="C1" s="33" t="s">
        <v>65</v>
      </c>
      <c r="D1" s="33" t="s">
        <v>207</v>
      </c>
      <c r="E1" s="33" t="s">
        <v>20</v>
      </c>
      <c r="F1" s="33" t="s">
        <v>21</v>
      </c>
      <c r="G1" s="33" t="s">
        <v>22</v>
      </c>
      <c r="H1" s="34" t="s">
        <v>66</v>
      </c>
      <c r="I1" s="33" t="s">
        <v>206</v>
      </c>
      <c r="J1" s="35" t="s">
        <v>205</v>
      </c>
    </row>
    <row r="2" spans="1:10" ht="26.25">
      <c r="A2" s="36" t="s">
        <v>36</v>
      </c>
      <c r="B2" s="31" t="s">
        <v>34</v>
      </c>
      <c r="C2" s="31">
        <v>3125</v>
      </c>
      <c r="D2" s="31">
        <v>1</v>
      </c>
      <c r="E2" s="31" t="str">
        <f>"1000001336"</f>
        <v>1000001336</v>
      </c>
      <c r="F2" s="31" t="str">
        <f>"CONDIMENTS:Ketchup,12 grams, 200 Portion Control, Net Wt. each per case"</f>
        <v>CONDIMENTS:Ketchup,12 grams, 200 Portion Control, Net Wt. each per case</v>
      </c>
      <c r="G2" s="37" t="str">
        <f t="shared" ref="G2:G17" si="0">"CA"</f>
        <v>CA</v>
      </c>
      <c r="H2" s="38">
        <v>5.7</v>
      </c>
      <c r="I2" s="31" t="str">
        <f>"50171830"</f>
        <v>50171830</v>
      </c>
      <c r="J2" s="39" t="s">
        <v>114</v>
      </c>
    </row>
    <row r="3" spans="1:10" ht="39">
      <c r="A3" s="36" t="s">
        <v>36</v>
      </c>
      <c r="B3" s="31" t="s">
        <v>34</v>
      </c>
      <c r="C3" s="31">
        <v>3125</v>
      </c>
      <c r="D3" s="31">
        <v>2</v>
      </c>
      <c r="E3" s="31" t="str">
        <f>"1000009551"</f>
        <v>1000009551</v>
      </c>
      <c r="F3" s="31" t="str">
        <f>"CONDIMENTS: Mustard 5.5 g 200/CA - Prepared mustard 5.5 gram packets, 200 packets per case."</f>
        <v>CONDIMENTS: Mustard 5.5 g 200/CA - Prepared mustard 5.5 gram packets, 200 packets per case.</v>
      </c>
      <c r="G3" s="37" t="str">
        <f t="shared" si="0"/>
        <v>CA</v>
      </c>
      <c r="H3" s="38">
        <v>4.3499999999999996</v>
      </c>
      <c r="I3" s="31" t="str">
        <f>"50171830"</f>
        <v>50171830</v>
      </c>
      <c r="J3" s="39" t="s">
        <v>114</v>
      </c>
    </row>
    <row r="4" spans="1:10" ht="26.25">
      <c r="A4" s="36" t="s">
        <v>36</v>
      </c>
      <c r="B4" s="31" t="s">
        <v>34</v>
      </c>
      <c r="C4" s="31">
        <v>3125</v>
      </c>
      <c r="D4" s="31">
        <v>3</v>
      </c>
      <c r="E4" s="31" t="str">
        <f>"1000001169"</f>
        <v>1000001169</v>
      </c>
      <c r="F4" s="31" t="str">
        <f>"CONDIMENTS:Mayonnaise,12 grams, 200 Portion Control, Net Wt. each per case"</f>
        <v>CONDIMENTS:Mayonnaise,12 grams, 200 Portion Control, Net Wt. each per case</v>
      </c>
      <c r="G4" s="37" t="str">
        <f t="shared" si="0"/>
        <v>CA</v>
      </c>
      <c r="H4" s="38">
        <v>8</v>
      </c>
      <c r="I4" s="31" t="str">
        <f>"50171830"</f>
        <v>50171830</v>
      </c>
      <c r="J4" s="39" t="s">
        <v>114</v>
      </c>
    </row>
    <row r="5" spans="1:10" ht="39">
      <c r="A5" s="36" t="s">
        <v>36</v>
      </c>
      <c r="B5" s="31" t="s">
        <v>34</v>
      </c>
      <c r="C5" s="31">
        <v>3125</v>
      </c>
      <c r="D5" s="31">
        <v>4</v>
      </c>
      <c r="E5" s="31" t="str">
        <f>"1000009552"</f>
        <v>1000009552</v>
      </c>
      <c r="F5" s="31" t="str">
        <f>"CONDIMENTS: Tartar Sauce, 200 portion control servings, 12 grams net wt each, per case"</f>
        <v>CONDIMENTS: Tartar Sauce, 200 portion control servings, 12 grams net wt each, per case</v>
      </c>
      <c r="G5" s="37" t="str">
        <f t="shared" si="0"/>
        <v>CA</v>
      </c>
      <c r="H5" s="38">
        <v>8</v>
      </c>
      <c r="I5" s="31" t="str">
        <f>"50171830"</f>
        <v>50171830</v>
      </c>
      <c r="J5" s="39" t="s">
        <v>114</v>
      </c>
    </row>
    <row r="6" spans="1:10" ht="26.25">
      <c r="A6" s="36" t="s">
        <v>36</v>
      </c>
      <c r="B6" s="31" t="s">
        <v>34</v>
      </c>
      <c r="C6" s="31">
        <v>3125</v>
      </c>
      <c r="D6" s="31">
        <v>5</v>
      </c>
      <c r="E6" s="31" t="str">
        <f>"1000000579"</f>
        <v>1000000579</v>
      </c>
      <c r="F6" s="31" t="str">
        <f>"DRESSING:French, 12 grams, 200 Portion Control, Net Wt. each per case"</f>
        <v>DRESSING:French, 12 grams, 200 Portion Control, Net Wt. each per case</v>
      </c>
      <c r="G6" s="37" t="str">
        <f t="shared" si="0"/>
        <v>CA</v>
      </c>
      <c r="H6" s="38">
        <v>7.6</v>
      </c>
      <c r="I6" s="31" t="str">
        <f t="shared" ref="I6:I11" si="1">"50171832"</f>
        <v>50171832</v>
      </c>
      <c r="J6" s="39" t="s">
        <v>115</v>
      </c>
    </row>
    <row r="7" spans="1:10" ht="26.25">
      <c r="A7" s="36" t="s">
        <v>36</v>
      </c>
      <c r="B7" s="31" t="s">
        <v>34</v>
      </c>
      <c r="C7" s="31">
        <v>3125</v>
      </c>
      <c r="D7" s="31">
        <v>6</v>
      </c>
      <c r="E7" s="31" t="str">
        <f>"1000001163"</f>
        <v>1000001163</v>
      </c>
      <c r="F7" s="31" t="str">
        <f>"SALAD DRESSING:Italian-200 portion control servings, 12 grams, net wt. each, per case"</f>
        <v>SALAD DRESSING:Italian-200 portion control servings, 12 grams, net wt. each, per case</v>
      </c>
      <c r="G7" s="37" t="str">
        <f t="shared" si="0"/>
        <v>CA</v>
      </c>
      <c r="H7" s="38">
        <v>6.9</v>
      </c>
      <c r="I7" s="31" t="str">
        <f t="shared" si="1"/>
        <v>50171832</v>
      </c>
      <c r="J7" s="39" t="s">
        <v>115</v>
      </c>
    </row>
    <row r="8" spans="1:10" ht="64.5">
      <c r="A8" s="36" t="s">
        <v>36</v>
      </c>
      <c r="B8" s="31" t="s">
        <v>34</v>
      </c>
      <c r="C8" s="31">
        <v>3125</v>
      </c>
      <c r="D8" s="31">
        <v>7</v>
      </c>
      <c r="E8" s="31" t="str">
        <f>"1000001335"</f>
        <v>1000001335</v>
      </c>
      <c r="F8" s="31" t="str">
        <f>"SALAD DRESSING:201 portion cnt~Dressing, salad Salad dressing, 200 portion control servings, 12 grams, net wt. each, per case.~SALAD DRESSING, 200 PORTION CONTROL SERVINGS, 12 GRAMS, NET"</f>
        <v>SALAD DRESSING:201 portion cnt~Dressing, salad Salad dressing, 200 portion control servings, 12 grams, net wt. each, per case.~SALAD DRESSING, 200 PORTION CONTROL SERVINGS, 12 GRAMS, NET</v>
      </c>
      <c r="G8" s="37" t="str">
        <f t="shared" si="0"/>
        <v>CA</v>
      </c>
      <c r="H8" s="38">
        <v>8</v>
      </c>
      <c r="I8" s="31" t="str">
        <f t="shared" si="1"/>
        <v>50171832</v>
      </c>
      <c r="J8" s="39" t="s">
        <v>115</v>
      </c>
    </row>
    <row r="9" spans="1:10" ht="26.25">
      <c r="A9" s="36" t="s">
        <v>36</v>
      </c>
      <c r="B9" s="31" t="s">
        <v>34</v>
      </c>
      <c r="C9" s="31">
        <v>3125</v>
      </c>
      <c r="D9" s="31">
        <v>8</v>
      </c>
      <c r="E9" s="31" t="str">
        <f>"1000001343"</f>
        <v>1000001343</v>
      </c>
      <c r="F9" s="31" t="str">
        <f>"SALAD DRESSING:Ranch, 12 grams, 200 Portion Control, Net Wt. each per case"</f>
        <v>SALAD DRESSING:Ranch, 12 grams, 200 Portion Control, Net Wt. each per case</v>
      </c>
      <c r="G9" s="37" t="str">
        <f t="shared" si="0"/>
        <v>CA</v>
      </c>
      <c r="H9" s="38">
        <v>8.6999999999999993</v>
      </c>
      <c r="I9" s="31" t="str">
        <f t="shared" si="1"/>
        <v>50171832</v>
      </c>
      <c r="J9" s="39" t="s">
        <v>115</v>
      </c>
    </row>
    <row r="10" spans="1:10" ht="39">
      <c r="A10" s="36" t="s">
        <v>36</v>
      </c>
      <c r="B10" s="31" t="s">
        <v>34</v>
      </c>
      <c r="C10" s="31">
        <v>3125</v>
      </c>
      <c r="D10" s="31">
        <v>9</v>
      </c>
      <c r="E10" s="31" t="str">
        <f>"1000000010"</f>
        <v>1000000010</v>
      </c>
      <c r="F10" s="31" t="str">
        <f>"SALAD DRESSING: Thousand Island, 200 portion control servings, 12 grams, net wt. each, per case."</f>
        <v>SALAD DRESSING: Thousand Island, 200 portion control servings, 12 grams, net wt. each, per case.</v>
      </c>
      <c r="G10" s="37" t="str">
        <f t="shared" si="0"/>
        <v>CA</v>
      </c>
      <c r="H10" s="38">
        <v>8</v>
      </c>
      <c r="I10" s="31" t="str">
        <f t="shared" si="1"/>
        <v>50171832</v>
      </c>
      <c r="J10" s="39" t="s">
        <v>115</v>
      </c>
    </row>
    <row r="11" spans="1:10" ht="64.5">
      <c r="A11" s="36" t="s">
        <v>36</v>
      </c>
      <c r="B11" s="31" t="s">
        <v>34</v>
      </c>
      <c r="C11" s="31">
        <v>3125</v>
      </c>
      <c r="D11" s="31">
        <v>10</v>
      </c>
      <c r="E11" s="31" t="str">
        <f>"1000000685"</f>
        <v>1000000685</v>
      </c>
      <c r="F11" s="31" t="str">
        <f>"SAUCE:Taco, Mexican-200 port c~Sauce, enchilada and taco. Taco, mexican, 200 portion control servings, 12 grams net wt. each, per case.~TACO, MEXICAN, 200 PORTION CONTROL SERVINGS, 12 GRAMS, NET W"</f>
        <v>SAUCE:Taco, Mexican-200 port c~Sauce, enchilada and taco. Taco, mexican, 200 portion control servings, 12 grams net wt. each, per case.~TACO, MEXICAN, 200 PORTION CONTROL SERVINGS, 12 GRAMS, NET W</v>
      </c>
      <c r="G11" s="37" t="str">
        <f t="shared" si="0"/>
        <v>CA</v>
      </c>
      <c r="H11" s="38">
        <v>7.5</v>
      </c>
      <c r="I11" s="31" t="str">
        <f t="shared" si="1"/>
        <v>50171832</v>
      </c>
      <c r="J11" s="39" t="s">
        <v>115</v>
      </c>
    </row>
    <row r="12" spans="1:10" ht="39">
      <c r="A12" s="36" t="s">
        <v>36</v>
      </c>
      <c r="B12" s="31" t="s">
        <v>34</v>
      </c>
      <c r="C12" s="31">
        <v>3125</v>
      </c>
      <c r="D12" s="31">
        <v>11</v>
      </c>
      <c r="E12" s="31" t="str">
        <f>"1000000785"</f>
        <v>1000000785</v>
      </c>
      <c r="F12" s="31" t="str">
        <f>"JELLY: Apple/Grape asst 200/CA - Pure Reduced calorie, portion cups, 12 grams, 200/CA. Apple/Grape assortment."</f>
        <v>JELLY: Apple/Grape asst 200/CA - Pure Reduced calorie, portion cups, 12 grams, 200/CA. Apple/Grape assortment.</v>
      </c>
      <c r="G12" s="37" t="str">
        <f t="shared" si="0"/>
        <v>CA</v>
      </c>
      <c r="H12" s="38">
        <v>11</v>
      </c>
      <c r="I12" s="31" t="str">
        <f t="shared" ref="I12:I17" si="2">"50192401"</f>
        <v>50192401</v>
      </c>
      <c r="J12" s="39" t="s">
        <v>116</v>
      </c>
    </row>
    <row r="13" spans="1:10" ht="26.25">
      <c r="A13" s="36" t="s">
        <v>36</v>
      </c>
      <c r="B13" s="31" t="s">
        <v>34</v>
      </c>
      <c r="C13" s="31">
        <v>3125</v>
      </c>
      <c r="D13" s="31">
        <v>12</v>
      </c>
      <c r="E13" s="31" t="str">
        <f>"1000001678"</f>
        <v>1000001678</v>
      </c>
      <c r="F13" s="31" t="str">
        <f>"JELLY: Apple, Pure u.s. grade A 1/2 oz. pkg. - 200 pkgs/case"</f>
        <v>JELLY: Apple, Pure u.s. grade A 1/2 oz. pkg. - 200 pkgs/case</v>
      </c>
      <c r="G13" s="37" t="str">
        <f t="shared" si="0"/>
        <v>CA</v>
      </c>
      <c r="H13" s="38">
        <v>7.4</v>
      </c>
      <c r="I13" s="31" t="str">
        <f t="shared" si="2"/>
        <v>50192401</v>
      </c>
      <c r="J13" s="39" t="s">
        <v>116</v>
      </c>
    </row>
    <row r="14" spans="1:10" ht="64.5">
      <c r="A14" s="36" t="s">
        <v>36</v>
      </c>
      <c r="B14" s="31" t="s">
        <v>34</v>
      </c>
      <c r="C14" s="31">
        <v>3125</v>
      </c>
      <c r="D14" s="31">
        <v>13</v>
      </c>
      <c r="E14" s="31" t="str">
        <f>"1000000726"</f>
        <v>1000000726</v>
      </c>
      <c r="F14" s="31" t="str">
        <f>"JELLY:Assort flav-Deluxe-1/2oz~Jelly, pure Assorted flavors, deluxe jelly, 1/2 oz. packets, 200 pkts/case, 100 Grape and 100 Apple~ASSORTED FLAVORS, DELUXE JELLY, 1/2 OZ. INDIVIDUAL PACKETS,"</f>
        <v>JELLY:Assort flav-Deluxe-1/2oz~Jelly, pure Assorted flavors, deluxe jelly, 1/2 oz. packets, 200 pkts/case, 100 Grape and 100 Apple~ASSORTED FLAVORS, DELUXE JELLY, 1/2 OZ. INDIVIDUAL PACKETS,</v>
      </c>
      <c r="G14" s="37" t="str">
        <f t="shared" si="0"/>
        <v>CA</v>
      </c>
      <c r="H14" s="38">
        <v>9.5</v>
      </c>
      <c r="I14" s="31" t="str">
        <f t="shared" si="2"/>
        <v>50192401</v>
      </c>
      <c r="J14" s="39" t="s">
        <v>116</v>
      </c>
    </row>
    <row r="15" spans="1:10" ht="77.25">
      <c r="A15" s="36" t="s">
        <v>36</v>
      </c>
      <c r="B15" s="31" t="s">
        <v>34</v>
      </c>
      <c r="C15" s="31">
        <v>3125</v>
      </c>
      <c r="D15" s="31">
        <v>14</v>
      </c>
      <c r="E15" s="31" t="str">
        <f>"1000000727"</f>
        <v>1000000727</v>
      </c>
      <c r="F15" s="31" t="str">
        <f>"JELLY:Assort GradeA Fancy-1/2o~Jelly, pure Assorted grade a fancy jelly, 1/2 oz. individual packets, 200 pkts/case, 80 Grape, 80 Mixed Fruit and 40 Apple~ASSORTED GRADE A FANCY JELLY, 1/2 OZ. INDIVIDUAL PACKETS, 20"</f>
        <v>JELLY:Assort GradeA Fancy-1/2o~Jelly, pure Assorted grade a fancy jelly, 1/2 oz. individual packets, 200 pkts/case, 80 Grape, 80 Mixed Fruit and 40 Apple~ASSORTED GRADE A FANCY JELLY, 1/2 OZ. INDIVIDUAL PACKETS, 20</v>
      </c>
      <c r="G15" s="37" t="str">
        <f t="shared" si="0"/>
        <v>CA</v>
      </c>
      <c r="H15" s="38">
        <v>10</v>
      </c>
      <c r="I15" s="31" t="str">
        <f t="shared" si="2"/>
        <v>50192401</v>
      </c>
      <c r="J15" s="39" t="s">
        <v>116</v>
      </c>
    </row>
    <row r="16" spans="1:10" ht="51.75">
      <c r="A16" s="36" t="s">
        <v>36</v>
      </c>
      <c r="B16" s="31" t="s">
        <v>34</v>
      </c>
      <c r="C16" s="31">
        <v>3125</v>
      </c>
      <c r="D16" s="31">
        <v>15</v>
      </c>
      <c r="E16" s="31" t="str">
        <f>"1000000728"</f>
        <v>1000000728</v>
      </c>
      <c r="F16" s="31" t="str">
        <f>"JELLY:Grape-US GradeA-1/20zpkt~Jelly, pure Grape, u.s. grade a, 1/2 oz. pkt. - 200 pkts/case~GRAPE, U.S. GRADE A, 1/2 OZ. PKT. - 200 PKTS/CASE"</f>
        <v>JELLY:Grape-US GradeA-1/20zpkt~Jelly, pure Grape, u.s. grade a, 1/2 oz. pkt. - 200 pkts/case~GRAPE, U.S. GRADE A, 1/2 OZ. PKT. - 200 PKTS/CASE</v>
      </c>
      <c r="G16" s="37" t="str">
        <f t="shared" si="0"/>
        <v>CA</v>
      </c>
      <c r="H16" s="38">
        <v>8.5</v>
      </c>
      <c r="I16" s="31" t="str">
        <f t="shared" si="2"/>
        <v>50192401</v>
      </c>
      <c r="J16" s="39" t="s">
        <v>116</v>
      </c>
    </row>
    <row r="17" spans="1:10" ht="51.75">
      <c r="A17" s="36" t="s">
        <v>36</v>
      </c>
      <c r="B17" s="31" t="s">
        <v>34</v>
      </c>
      <c r="C17" s="31">
        <v>3125</v>
      </c>
      <c r="D17" s="31">
        <v>16</v>
      </c>
      <c r="E17" s="31" t="str">
        <f>"1000001436"</f>
        <v>1000001436</v>
      </c>
      <c r="F17" s="31" t="str">
        <f>"JELLY:Strawberry-US GradeA-1/2~Preserves or jams Strawberry, u.s. grade a, 1/2 oz. packet - 200 pkts/case~STRAWBERRY, U.S. GRADE A, 1/2 OZ. PACKET - 200 PKTS/CASE"</f>
        <v>JELLY:Strawberry-US GradeA-1/2~Preserves or jams Strawberry, u.s. grade a, 1/2 oz. packet - 200 pkts/case~STRAWBERRY, U.S. GRADE A, 1/2 OZ. PACKET - 200 PKTS/CASE</v>
      </c>
      <c r="G17" s="37" t="str">
        <f t="shared" si="0"/>
        <v>CA</v>
      </c>
      <c r="H17" s="38">
        <v>13</v>
      </c>
      <c r="I17" s="31" t="str">
        <f t="shared" si="2"/>
        <v>50192401</v>
      </c>
      <c r="J17" s="39" t="s">
        <v>116</v>
      </c>
    </row>
    <row r="18" spans="1:10" ht="26.25">
      <c r="A18" s="36" t="s">
        <v>36</v>
      </c>
      <c r="B18" s="31" t="s">
        <v>34</v>
      </c>
      <c r="C18" s="31">
        <v>3125</v>
      </c>
      <c r="D18" s="31">
        <v>17</v>
      </c>
      <c r="E18" s="31" t="str">
        <f>"1000028044"</f>
        <v>1000028044</v>
      </c>
      <c r="F18" s="31" t="str">
        <f>"SPICE:Allspice 1 LB Can - All spice, pure, ground 1 lb can"</f>
        <v>SPICE:Allspice 1 LB Can - All spice, pure, ground 1 lb can</v>
      </c>
      <c r="G18" s="37" t="str">
        <f t="shared" ref="G18:G41" si="3">"EA"</f>
        <v>EA</v>
      </c>
      <c r="H18" s="38">
        <v>8</v>
      </c>
      <c r="I18" s="31" t="str">
        <f>"50171550"</f>
        <v>50171550</v>
      </c>
      <c r="J18" s="39" t="s">
        <v>117</v>
      </c>
    </row>
    <row r="19" spans="1:10">
      <c r="A19" s="36" t="s">
        <v>36</v>
      </c>
      <c r="B19" s="31" t="s">
        <v>34</v>
      </c>
      <c r="C19" s="31">
        <v>3125</v>
      </c>
      <c r="D19" s="31">
        <v>18</v>
      </c>
      <c r="E19" s="31" t="str">
        <f>"1000000276"</f>
        <v>1000000276</v>
      </c>
      <c r="F19" s="31" t="str">
        <f>"BASIL: Leaves 1.75 LB can"</f>
        <v>BASIL: Leaves 1.75 LB can</v>
      </c>
      <c r="G19" s="37" t="str">
        <f t="shared" si="3"/>
        <v>EA</v>
      </c>
      <c r="H19" s="38">
        <v>17.5</v>
      </c>
      <c r="I19" s="31" t="str">
        <f>"50171550"</f>
        <v>50171550</v>
      </c>
      <c r="J19" s="39" t="s">
        <v>117</v>
      </c>
    </row>
    <row r="20" spans="1:10">
      <c r="A20" s="36" t="s">
        <v>36</v>
      </c>
      <c r="B20" s="31" t="s">
        <v>34</v>
      </c>
      <c r="C20" s="31">
        <v>3125</v>
      </c>
      <c r="D20" s="31">
        <v>19</v>
      </c>
      <c r="E20" s="31" t="str">
        <f>"1000000277"</f>
        <v>1000000277</v>
      </c>
      <c r="F20" s="31" t="str">
        <f>"BASIL: leaves 12 oz - Basil leaves 12 oz."</f>
        <v>BASIL: leaves 12 oz - Basil leaves 12 oz.</v>
      </c>
      <c r="G20" s="37" t="str">
        <f t="shared" si="3"/>
        <v>EA</v>
      </c>
      <c r="H20" s="38">
        <v>6</v>
      </c>
      <c r="I20" s="31" t="str">
        <f>"50171550"</f>
        <v>50171550</v>
      </c>
      <c r="J20" s="39" t="s">
        <v>117</v>
      </c>
    </row>
    <row r="21" spans="1:10">
      <c r="A21" s="36" t="s">
        <v>36</v>
      </c>
      <c r="B21" s="31" t="s">
        <v>34</v>
      </c>
      <c r="C21" s="31">
        <v>3125</v>
      </c>
      <c r="D21" s="31">
        <v>20</v>
      </c>
      <c r="E21" s="31" t="str">
        <f>"1000000218"</f>
        <v>1000000218</v>
      </c>
      <c r="F21" s="31" t="str">
        <f>"BAY LEAF: 8 oz can"</f>
        <v>BAY LEAF: 8 oz can</v>
      </c>
      <c r="G21" s="37" t="str">
        <f t="shared" si="3"/>
        <v>EA</v>
      </c>
      <c r="H21" s="38">
        <v>11</v>
      </c>
      <c r="I21" s="31" t="str">
        <f>"50171550"</f>
        <v>50171550</v>
      </c>
      <c r="J21" s="39" t="s">
        <v>117</v>
      </c>
    </row>
    <row r="22" spans="1:10" ht="26.25">
      <c r="A22" s="36" t="s">
        <v>36</v>
      </c>
      <c r="B22" s="31" t="s">
        <v>34</v>
      </c>
      <c r="C22" s="31">
        <v>3125</v>
      </c>
      <c r="D22" s="31">
        <v>21</v>
      </c>
      <c r="E22" s="31" t="str">
        <f>"1000000367"</f>
        <v>1000000367</v>
      </c>
      <c r="F22" s="31" t="str">
        <f>"CELERY SALT:30 oz.~Celery salt 30 oz.~30 OZ/GLASS JARS"</f>
        <v>CELERY SALT:30 oz.~Celery salt 30 oz.~30 OZ/GLASS JARS</v>
      </c>
      <c r="G22" s="37" t="str">
        <f t="shared" si="3"/>
        <v>EA</v>
      </c>
      <c r="H22" s="38">
        <v>4</v>
      </c>
      <c r="I22" s="31" t="str">
        <f>"50171552"</f>
        <v>50171552</v>
      </c>
      <c r="J22" s="39" t="s">
        <v>118</v>
      </c>
    </row>
    <row r="23" spans="1:10">
      <c r="A23" s="36" t="s">
        <v>36</v>
      </c>
      <c r="B23" s="31" t="s">
        <v>34</v>
      </c>
      <c r="C23" s="31">
        <v>3125</v>
      </c>
      <c r="D23" s="31">
        <v>22</v>
      </c>
      <c r="E23" s="31" t="str">
        <f>"1000000342"</f>
        <v>1000000342</v>
      </c>
      <c r="F23" s="31" t="str">
        <f>"SPICES:Celery Seed, 1lb Can"</f>
        <v>SPICES:Celery Seed, 1lb Can</v>
      </c>
      <c r="G23" s="37" t="str">
        <f t="shared" si="3"/>
        <v>EA</v>
      </c>
      <c r="H23" s="38">
        <v>6</v>
      </c>
      <c r="I23" s="31" t="str">
        <f>"50171550"</f>
        <v>50171550</v>
      </c>
      <c r="J23" s="39" t="s">
        <v>117</v>
      </c>
    </row>
    <row r="24" spans="1:10" ht="26.25">
      <c r="A24" s="36" t="s">
        <v>36</v>
      </c>
      <c r="B24" s="31" t="s">
        <v>34</v>
      </c>
      <c r="C24" s="31">
        <v>3125</v>
      </c>
      <c r="D24" s="31">
        <v>23</v>
      </c>
      <c r="E24" s="31" t="str">
        <f>"1000004189"</f>
        <v>1000004189</v>
      </c>
      <c r="F24" s="31" t="str">
        <f>"SPICES: Chili Powder, 1 LB can - Pure Ground Light Chili Powder in 1 lb can"</f>
        <v>SPICES: Chili Powder, 1 LB can - Pure Ground Light Chili Powder in 1 lb can</v>
      </c>
      <c r="G24" s="37" t="str">
        <f t="shared" si="3"/>
        <v>EA</v>
      </c>
      <c r="H24" s="38">
        <v>5</v>
      </c>
      <c r="I24" s="31" t="str">
        <f>"50171552"</f>
        <v>50171552</v>
      </c>
      <c r="J24" s="39" t="s">
        <v>118</v>
      </c>
    </row>
    <row r="25" spans="1:10">
      <c r="A25" s="36" t="s">
        <v>36</v>
      </c>
      <c r="B25" s="31" t="s">
        <v>34</v>
      </c>
      <c r="C25" s="31">
        <v>3125</v>
      </c>
      <c r="D25" s="31">
        <v>24</v>
      </c>
      <c r="E25" s="31" t="str">
        <f>"1000004190"</f>
        <v>1000004190</v>
      </c>
      <c r="F25" s="31" t="str">
        <f>"CHILI PWDR:5 lb.~Chili powder"</f>
        <v>CHILI PWDR:5 lb.~Chili powder</v>
      </c>
      <c r="G25" s="37" t="str">
        <f t="shared" si="3"/>
        <v>EA</v>
      </c>
      <c r="H25" s="38">
        <v>26</v>
      </c>
      <c r="I25" s="31" t="str">
        <f>"50171552"</f>
        <v>50171552</v>
      </c>
      <c r="J25" s="39" t="s">
        <v>118</v>
      </c>
    </row>
    <row r="26" spans="1:10">
      <c r="A26" s="36" t="s">
        <v>36</v>
      </c>
      <c r="B26" s="31" t="s">
        <v>34</v>
      </c>
      <c r="C26" s="31">
        <v>3125</v>
      </c>
      <c r="D26" s="31">
        <v>25</v>
      </c>
      <c r="E26" s="31" t="str">
        <f>"1000001773"</f>
        <v>1000001773</v>
      </c>
      <c r="F26" s="31" t="str">
        <f>"SPICES:Cinnamon, Ground, Pure 16oz"</f>
        <v>SPICES:Cinnamon, Ground, Pure 16oz</v>
      </c>
      <c r="G26" s="37" t="str">
        <f t="shared" si="3"/>
        <v>EA</v>
      </c>
      <c r="H26" s="38">
        <v>5.5</v>
      </c>
      <c r="I26" s="31" t="str">
        <f t="shared" ref="I26:I32" si="4">"50171550"</f>
        <v>50171550</v>
      </c>
      <c r="J26" s="39" t="s">
        <v>117</v>
      </c>
    </row>
    <row r="27" spans="1:10">
      <c r="A27" s="36" t="s">
        <v>36</v>
      </c>
      <c r="B27" s="31" t="s">
        <v>34</v>
      </c>
      <c r="C27" s="31">
        <v>3125</v>
      </c>
      <c r="D27" s="31">
        <v>26</v>
      </c>
      <c r="E27" s="31" t="str">
        <f>"1000009553"</f>
        <v>1000009553</v>
      </c>
      <c r="F27" s="31" t="str">
        <f>"SPICES: Cinnamon, ground, 5lb, pure"</f>
        <v>SPICES: Cinnamon, ground, 5lb, pure</v>
      </c>
      <c r="G27" s="37" t="str">
        <f t="shared" si="3"/>
        <v>EA</v>
      </c>
      <c r="H27" s="38">
        <v>27</v>
      </c>
      <c r="I27" s="31" t="str">
        <f t="shared" si="4"/>
        <v>50171550</v>
      </c>
      <c r="J27" s="39" t="s">
        <v>117</v>
      </c>
    </row>
    <row r="28" spans="1:10">
      <c r="A28" s="36" t="s">
        <v>36</v>
      </c>
      <c r="B28" s="31" t="s">
        <v>34</v>
      </c>
      <c r="C28" s="31">
        <v>3125</v>
      </c>
      <c r="D28" s="31">
        <v>27</v>
      </c>
      <c r="E28" s="31" t="str">
        <f>"1000001158"</f>
        <v>1000001158</v>
      </c>
      <c r="F28" s="31" t="str">
        <f>"SPICES: Cream of Tarter 28 oz can"</f>
        <v>SPICES: Cream of Tarter 28 oz can</v>
      </c>
      <c r="G28" s="37" t="str">
        <f t="shared" si="3"/>
        <v>EA</v>
      </c>
      <c r="H28" s="38">
        <v>10.5</v>
      </c>
      <c r="I28" s="31" t="str">
        <f t="shared" si="4"/>
        <v>50171550</v>
      </c>
      <c r="J28" s="39" t="s">
        <v>117</v>
      </c>
    </row>
    <row r="29" spans="1:10" ht="26.25">
      <c r="A29" s="36" t="s">
        <v>36</v>
      </c>
      <c r="B29" s="31" t="s">
        <v>34</v>
      </c>
      <c r="C29" s="31">
        <v>3125</v>
      </c>
      <c r="D29" s="31">
        <v>28</v>
      </c>
      <c r="E29" s="31" t="str">
        <f>"1000001575"</f>
        <v>1000001575</v>
      </c>
      <c r="F29" s="31" t="str">
        <f>"SPICES: Cumin 1 lb can, ground - Cumin (Comino), Pure Ground, 1 lb can"</f>
        <v>SPICES: Cumin 1 lb can, ground - Cumin (Comino), Pure Ground, 1 lb can</v>
      </c>
      <c r="G29" s="37" t="str">
        <f t="shared" si="3"/>
        <v>EA</v>
      </c>
      <c r="H29" s="38">
        <v>5.75</v>
      </c>
      <c r="I29" s="31" t="str">
        <f t="shared" si="4"/>
        <v>50171550</v>
      </c>
      <c r="J29" s="39" t="s">
        <v>117</v>
      </c>
    </row>
    <row r="30" spans="1:10" ht="26.25">
      <c r="A30" s="36" t="s">
        <v>36</v>
      </c>
      <c r="B30" s="31" t="s">
        <v>34</v>
      </c>
      <c r="C30" s="31">
        <v>3125</v>
      </c>
      <c r="D30" s="31">
        <v>29</v>
      </c>
      <c r="E30" s="31" t="str">
        <f>"1000001644"</f>
        <v>1000001644</v>
      </c>
      <c r="F30" s="31" t="str">
        <f>"CURRY:powder, pure, ground 1 l~Curry powder, pure, ground 1 lb can~1 LB CAN"</f>
        <v>CURRY:powder, pure, ground 1 l~Curry powder, pure, ground 1 lb can~1 LB CAN</v>
      </c>
      <c r="G30" s="37" t="str">
        <f t="shared" si="3"/>
        <v>EA</v>
      </c>
      <c r="H30" s="38">
        <v>10.98</v>
      </c>
      <c r="I30" s="31" t="str">
        <f t="shared" si="4"/>
        <v>50171550</v>
      </c>
      <c r="J30" s="39" t="s">
        <v>117</v>
      </c>
    </row>
    <row r="31" spans="1:10" ht="26.25">
      <c r="A31" s="36" t="s">
        <v>36</v>
      </c>
      <c r="B31" s="31" t="s">
        <v>34</v>
      </c>
      <c r="C31" s="31">
        <v>3125</v>
      </c>
      <c r="D31" s="31">
        <v>30</v>
      </c>
      <c r="E31" s="31" t="str">
        <f>"1000001826"</f>
        <v>1000001826</v>
      </c>
      <c r="F31" s="31" t="str">
        <f>"SPICES: Garlic Powder 20 oz - Pure garlic powder, 20 oz can"</f>
        <v>SPICES: Garlic Powder 20 oz - Pure garlic powder, 20 oz can</v>
      </c>
      <c r="G31" s="37" t="str">
        <f t="shared" si="3"/>
        <v>EA</v>
      </c>
      <c r="H31" s="38">
        <v>6</v>
      </c>
      <c r="I31" s="31" t="str">
        <f t="shared" si="4"/>
        <v>50171550</v>
      </c>
      <c r="J31" s="39" t="s">
        <v>117</v>
      </c>
    </row>
    <row r="32" spans="1:10" ht="26.25">
      <c r="A32" s="36" t="s">
        <v>36</v>
      </c>
      <c r="B32" s="31" t="s">
        <v>34</v>
      </c>
      <c r="C32" s="31">
        <v>3125</v>
      </c>
      <c r="D32" s="31">
        <v>31</v>
      </c>
      <c r="E32" s="31" t="str">
        <f>"1000001827"</f>
        <v>1000001827</v>
      </c>
      <c r="F32" s="31" t="str">
        <f>"GARLIC PWDR:pure 30 lb.~Garlic powder, pure 30 lb.~30 LB."</f>
        <v>GARLIC PWDR:pure 30 lb.~Garlic powder, pure 30 lb.~30 LB.</v>
      </c>
      <c r="G32" s="37" t="str">
        <f t="shared" si="3"/>
        <v>EA</v>
      </c>
      <c r="H32" s="38">
        <v>168</v>
      </c>
      <c r="I32" s="31" t="str">
        <f t="shared" si="4"/>
        <v>50171550</v>
      </c>
      <c r="J32" s="39" t="s">
        <v>117</v>
      </c>
    </row>
    <row r="33" spans="1:10">
      <c r="A33" s="36" t="s">
        <v>36</v>
      </c>
      <c r="B33" s="31" t="s">
        <v>34</v>
      </c>
      <c r="C33" s="31">
        <v>3125</v>
      </c>
      <c r="D33" s="31">
        <v>32</v>
      </c>
      <c r="E33" s="31" t="str">
        <f>"1000001828"</f>
        <v>1000001828</v>
      </c>
      <c r="F33" s="31" t="str">
        <f>"SPICES: Garlic Salt 40 oz can"</f>
        <v>SPICES: Garlic Salt 40 oz can</v>
      </c>
      <c r="G33" s="37" t="str">
        <f t="shared" si="3"/>
        <v>EA</v>
      </c>
      <c r="H33" s="38">
        <v>5.6</v>
      </c>
      <c r="I33" s="31" t="str">
        <f>"50171551"</f>
        <v>50171551</v>
      </c>
      <c r="J33" s="39" t="s">
        <v>119</v>
      </c>
    </row>
    <row r="34" spans="1:10">
      <c r="A34" s="36" t="s">
        <v>36</v>
      </c>
      <c r="B34" s="31" t="s">
        <v>34</v>
      </c>
      <c r="C34" s="31">
        <v>3125</v>
      </c>
      <c r="D34" s="31">
        <v>33</v>
      </c>
      <c r="E34" s="31" t="str">
        <f>"1000001390"</f>
        <v>1000001390</v>
      </c>
      <c r="F34" s="31" t="str">
        <f>"SPICES:Ginger, Pure Ground,1lb"</f>
        <v>SPICES:Ginger, Pure Ground,1lb</v>
      </c>
      <c r="G34" s="37" t="str">
        <f t="shared" si="3"/>
        <v>EA</v>
      </c>
      <c r="H34" s="38">
        <v>8</v>
      </c>
      <c r="I34" s="31" t="str">
        <f t="shared" ref="I34:I48" si="5">"50171550"</f>
        <v>50171550</v>
      </c>
      <c r="J34" s="39" t="s">
        <v>117</v>
      </c>
    </row>
    <row r="35" spans="1:10" ht="64.5">
      <c r="A35" s="36" t="s">
        <v>36</v>
      </c>
      <c r="B35" s="31" t="s">
        <v>34</v>
      </c>
      <c r="C35" s="31">
        <v>3125</v>
      </c>
      <c r="D35" s="31">
        <v>34</v>
      </c>
      <c r="E35" s="31" t="str">
        <f>"1000001453"</f>
        <v>1000001453</v>
      </c>
      <c r="F35" s="31" t="str">
        <f>"SPICES: Lemon Pepper 28 oz - Lemon &amp; pepper blend - spices include: salt, black pepper, citric acid, onion, sugar, garlic, celery seed, maltodextrin, lemon juice solids, lemon oil - 28 oz container"</f>
        <v>SPICES: Lemon Pepper 28 oz - Lemon &amp; pepper blend - spices include: salt, black pepper, citric acid, onion, sugar, garlic, celery seed, maltodextrin, lemon juice solids, lemon oil - 28 oz container</v>
      </c>
      <c r="G35" s="37" t="str">
        <f t="shared" si="3"/>
        <v>EA</v>
      </c>
      <c r="H35" s="38">
        <v>11</v>
      </c>
      <c r="I35" s="31" t="str">
        <f t="shared" si="5"/>
        <v>50171550</v>
      </c>
      <c r="J35" s="39" t="s">
        <v>117</v>
      </c>
    </row>
    <row r="36" spans="1:10">
      <c r="A36" s="36" t="s">
        <v>36</v>
      </c>
      <c r="B36" s="31" t="s">
        <v>34</v>
      </c>
      <c r="C36" s="31">
        <v>3125</v>
      </c>
      <c r="D36" s="31">
        <v>35</v>
      </c>
      <c r="E36" s="31" t="str">
        <f>"1000001791"</f>
        <v>1000001791</v>
      </c>
      <c r="F36" s="31" t="str">
        <f>"MUSTARD:Dry Ground, pure, 1 lb"</f>
        <v>MUSTARD:Dry Ground, pure, 1 lb</v>
      </c>
      <c r="G36" s="37" t="str">
        <f t="shared" si="3"/>
        <v>EA</v>
      </c>
      <c r="H36" s="38">
        <v>4</v>
      </c>
      <c r="I36" s="31" t="str">
        <f t="shared" si="5"/>
        <v>50171550</v>
      </c>
      <c r="J36" s="39" t="s">
        <v>117</v>
      </c>
    </row>
    <row r="37" spans="1:10">
      <c r="A37" s="36" t="s">
        <v>36</v>
      </c>
      <c r="B37" s="31" t="s">
        <v>34</v>
      </c>
      <c r="C37" s="31">
        <v>3125</v>
      </c>
      <c r="D37" s="31">
        <v>36</v>
      </c>
      <c r="E37" s="31" t="str">
        <f>"1000000647"</f>
        <v>1000000647</v>
      </c>
      <c r="F37" s="31" t="str">
        <f>"SPICES:Nutmeg, Pure, Ground, 1lb"</f>
        <v>SPICES:Nutmeg, Pure, Ground, 1lb</v>
      </c>
      <c r="G37" s="37" t="str">
        <f t="shared" si="3"/>
        <v>EA</v>
      </c>
      <c r="H37" s="38">
        <v>11</v>
      </c>
      <c r="I37" s="31" t="str">
        <f t="shared" si="5"/>
        <v>50171550</v>
      </c>
      <c r="J37" s="39" t="s">
        <v>117</v>
      </c>
    </row>
    <row r="38" spans="1:10" ht="26.25">
      <c r="A38" s="36" t="s">
        <v>36</v>
      </c>
      <c r="B38" s="31" t="s">
        <v>34</v>
      </c>
      <c r="C38" s="31">
        <v>3125</v>
      </c>
      <c r="D38" s="31">
        <v>37</v>
      </c>
      <c r="E38" s="31" t="str">
        <f>"1000000507"</f>
        <v>1000000507</v>
      </c>
      <c r="F38" s="31" t="str">
        <f>"SPICES: Onion Powder 20 oz - Pure ground onion powder, 20 oz"</f>
        <v>SPICES: Onion Powder 20 oz - Pure ground onion powder, 20 oz</v>
      </c>
      <c r="G38" s="37" t="str">
        <f t="shared" si="3"/>
        <v>EA</v>
      </c>
      <c r="H38" s="38">
        <v>5</v>
      </c>
      <c r="I38" s="31" t="str">
        <f t="shared" si="5"/>
        <v>50171550</v>
      </c>
      <c r="J38" s="39" t="s">
        <v>117</v>
      </c>
    </row>
    <row r="39" spans="1:10" ht="26.25">
      <c r="A39" s="36" t="s">
        <v>36</v>
      </c>
      <c r="B39" s="31" t="s">
        <v>34</v>
      </c>
      <c r="C39" s="31">
        <v>3125</v>
      </c>
      <c r="D39" s="31">
        <v>38</v>
      </c>
      <c r="E39" s="31" t="str">
        <f>"1000028045"</f>
        <v>1000028045</v>
      </c>
      <c r="F39" s="31" t="str">
        <f>"ONION SALT:36 oz each - Onion Salt, 36 oz container"</f>
        <v>ONION SALT:36 oz each - Onion Salt, 36 oz container</v>
      </c>
      <c r="G39" s="37" t="str">
        <f t="shared" si="3"/>
        <v>EA</v>
      </c>
      <c r="H39" s="38">
        <v>6.5</v>
      </c>
      <c r="I39" s="31" t="str">
        <f t="shared" si="5"/>
        <v>50171550</v>
      </c>
      <c r="J39" s="39" t="s">
        <v>117</v>
      </c>
    </row>
    <row r="40" spans="1:10">
      <c r="A40" s="36" t="s">
        <v>36</v>
      </c>
      <c r="B40" s="31" t="s">
        <v>34</v>
      </c>
      <c r="C40" s="31">
        <v>3125</v>
      </c>
      <c r="D40" s="31">
        <v>39</v>
      </c>
      <c r="E40" s="31" t="str">
        <f>"1000000604"</f>
        <v>1000000604</v>
      </c>
      <c r="F40" s="31" t="str">
        <f>"SPICES: Oregano, ground 13 oz"</f>
        <v>SPICES: Oregano, ground 13 oz</v>
      </c>
      <c r="G40" s="37" t="str">
        <f t="shared" si="3"/>
        <v>EA</v>
      </c>
      <c r="H40" s="38">
        <v>8</v>
      </c>
      <c r="I40" s="31" t="str">
        <f t="shared" si="5"/>
        <v>50171550</v>
      </c>
      <c r="J40" s="39" t="s">
        <v>117</v>
      </c>
    </row>
    <row r="41" spans="1:10">
      <c r="A41" s="36" t="s">
        <v>36</v>
      </c>
      <c r="B41" s="31" t="s">
        <v>34</v>
      </c>
      <c r="C41" s="31">
        <v>3125</v>
      </c>
      <c r="D41" s="31">
        <v>40</v>
      </c>
      <c r="E41" s="31" t="str">
        <f>"1000000460"</f>
        <v>1000000460</v>
      </c>
      <c r="F41" s="31" t="str">
        <f>"SPICES:Paprika, Spanish, 1lb Can"</f>
        <v>SPICES:Paprika, Spanish, 1lb Can</v>
      </c>
      <c r="G41" s="37" t="str">
        <f t="shared" si="3"/>
        <v>EA</v>
      </c>
      <c r="H41" s="38">
        <v>5.5</v>
      </c>
      <c r="I41" s="31" t="str">
        <f t="shared" si="5"/>
        <v>50171550</v>
      </c>
      <c r="J41" s="39" t="s">
        <v>117</v>
      </c>
    </row>
    <row r="42" spans="1:10" ht="51.75">
      <c r="A42" s="36" t="s">
        <v>36</v>
      </c>
      <c r="B42" s="31" t="s">
        <v>34</v>
      </c>
      <c r="C42" s="31">
        <v>3125</v>
      </c>
      <c r="D42" s="31">
        <v>41</v>
      </c>
      <c r="E42" s="31" t="str">
        <f>"1000000317"</f>
        <v>1000000317</v>
      </c>
      <c r="F42" s="31" t="str">
        <f>"PEPPER:black, ground, type II ~Pepper, black, ground, type II Individual packets, 3000 pkts/case~INDIVIDUAL PACKETS, 3000 PKTS/CASE"</f>
        <v>PEPPER:black, ground, type II ~Pepper, black, ground, type II Individual packets, 3000 pkts/case~INDIVIDUAL PACKETS, 3000 PKTS/CASE</v>
      </c>
      <c r="G42" s="37" t="str">
        <f>"CA"</f>
        <v>CA</v>
      </c>
      <c r="H42" s="38">
        <v>12.5</v>
      </c>
      <c r="I42" s="31" t="str">
        <f t="shared" si="5"/>
        <v>50171550</v>
      </c>
      <c r="J42" s="39" t="s">
        <v>117</v>
      </c>
    </row>
    <row r="43" spans="1:10" ht="26.25">
      <c r="A43" s="36" t="s">
        <v>36</v>
      </c>
      <c r="B43" s="31" t="s">
        <v>34</v>
      </c>
      <c r="C43" s="31">
        <v>3125</v>
      </c>
      <c r="D43" s="31">
        <v>42</v>
      </c>
      <c r="E43" s="31" t="str">
        <f>"1000001735"</f>
        <v>1000001735</v>
      </c>
      <c r="F43" s="31" t="str">
        <f>"PEPPER:black, ground, type II ~Pepper, black, ground, type II 25 lb. carton~25 LB. CARTON"</f>
        <v>PEPPER:black, ground, type II ~Pepper, black, ground, type II 25 lb. carton~25 LB. CARTON</v>
      </c>
      <c r="G43" s="37" t="str">
        <f t="shared" ref="G43:G48" si="6">"EA"</f>
        <v>EA</v>
      </c>
      <c r="H43" s="38">
        <v>190</v>
      </c>
      <c r="I43" s="31" t="str">
        <f t="shared" si="5"/>
        <v>50171550</v>
      </c>
      <c r="J43" s="39" t="s">
        <v>117</v>
      </c>
    </row>
    <row r="44" spans="1:10" ht="26.25">
      <c r="A44" s="36" t="s">
        <v>36</v>
      </c>
      <c r="B44" s="31" t="s">
        <v>34</v>
      </c>
      <c r="C44" s="31">
        <v>3125</v>
      </c>
      <c r="D44" s="31">
        <v>43</v>
      </c>
      <c r="E44" s="31" t="str">
        <f>"1000000939"</f>
        <v>1000000939</v>
      </c>
      <c r="F44" s="31" t="str">
        <f>"PEPPER:Black, Ground, Pure. 1 lb/container. Type II"</f>
        <v>PEPPER:Black, Ground, Pure. 1 lb/container. Type II</v>
      </c>
      <c r="G44" s="37" t="str">
        <f t="shared" si="6"/>
        <v>EA</v>
      </c>
      <c r="H44" s="38">
        <v>9</v>
      </c>
      <c r="I44" s="31" t="str">
        <f t="shared" si="5"/>
        <v>50171550</v>
      </c>
      <c r="J44" s="39" t="s">
        <v>117</v>
      </c>
    </row>
    <row r="45" spans="1:10">
      <c r="A45" s="36" t="s">
        <v>36</v>
      </c>
      <c r="B45" s="31" t="s">
        <v>34</v>
      </c>
      <c r="C45" s="31">
        <v>3125</v>
      </c>
      <c r="D45" s="31">
        <v>44</v>
      </c>
      <c r="E45" s="31" t="str">
        <f>"1000001734"</f>
        <v>1000001734</v>
      </c>
      <c r="F45" s="31" t="str">
        <f>"PEPPER:Black, ground, pure. 5 lb. can"</f>
        <v>PEPPER:Black, ground, pure. 5 lb. can</v>
      </c>
      <c r="G45" s="37" t="str">
        <f t="shared" si="6"/>
        <v>EA</v>
      </c>
      <c r="H45" s="38">
        <v>39.96</v>
      </c>
      <c r="I45" s="31" t="str">
        <f t="shared" si="5"/>
        <v>50171550</v>
      </c>
      <c r="J45" s="39" t="s">
        <v>117</v>
      </c>
    </row>
    <row r="46" spans="1:10" ht="26.25">
      <c r="A46" s="36" t="s">
        <v>36</v>
      </c>
      <c r="B46" s="31" t="s">
        <v>34</v>
      </c>
      <c r="C46" s="31">
        <v>3125</v>
      </c>
      <c r="D46" s="31">
        <v>45</v>
      </c>
      <c r="E46" s="31" t="str">
        <f>"1000028046"</f>
        <v>1000028046</v>
      </c>
      <c r="F46" s="31" t="str">
        <f>"PEPPER:Red, ground 1 LB - Red Pepper, ground, 1 lb container"</f>
        <v>PEPPER:Red, ground 1 LB - Red Pepper, ground, 1 lb container</v>
      </c>
      <c r="G46" s="37" t="str">
        <f t="shared" si="6"/>
        <v>EA</v>
      </c>
      <c r="H46" s="38">
        <v>4.5</v>
      </c>
      <c r="I46" s="31" t="str">
        <f t="shared" si="5"/>
        <v>50171550</v>
      </c>
      <c r="J46" s="39" t="s">
        <v>117</v>
      </c>
    </row>
    <row r="47" spans="1:10" ht="26.25">
      <c r="A47" s="36" t="s">
        <v>36</v>
      </c>
      <c r="B47" s="31" t="s">
        <v>34</v>
      </c>
      <c r="C47" s="31">
        <v>3125</v>
      </c>
      <c r="D47" s="31">
        <v>46</v>
      </c>
      <c r="E47" s="31" t="str">
        <f>"1000000561"</f>
        <v>1000000561</v>
      </c>
      <c r="F47" s="31" t="str">
        <f>"SPICES: Poultry Seasoning 1 LB - ground poultry seasoning, 1 lb can"</f>
        <v>SPICES: Poultry Seasoning 1 LB - ground poultry seasoning, 1 lb can</v>
      </c>
      <c r="G47" s="37" t="str">
        <f t="shared" si="6"/>
        <v>EA</v>
      </c>
      <c r="H47" s="38">
        <v>9</v>
      </c>
      <c r="I47" s="31" t="str">
        <f t="shared" si="5"/>
        <v>50171550</v>
      </c>
      <c r="J47" s="39" t="s">
        <v>117</v>
      </c>
    </row>
    <row r="48" spans="1:10">
      <c r="A48" s="36" t="s">
        <v>36</v>
      </c>
      <c r="B48" s="31" t="s">
        <v>34</v>
      </c>
      <c r="C48" s="31">
        <v>3125</v>
      </c>
      <c r="D48" s="31">
        <v>47</v>
      </c>
      <c r="E48" s="31" t="str">
        <f>"1000000259"</f>
        <v>1000000259</v>
      </c>
      <c r="F48" s="31" t="str">
        <f>"SPICES:Sage, Rubbed, Type III, 6oz"</f>
        <v>SPICES:Sage, Rubbed, Type III, 6oz</v>
      </c>
      <c r="G48" s="37" t="str">
        <f t="shared" si="6"/>
        <v>EA</v>
      </c>
      <c r="H48" s="38">
        <v>8</v>
      </c>
      <c r="I48" s="31" t="str">
        <f t="shared" si="5"/>
        <v>50171550</v>
      </c>
      <c r="J48" s="39" t="s">
        <v>117</v>
      </c>
    </row>
    <row r="49" spans="1:10" ht="51.75">
      <c r="A49" s="36" t="s">
        <v>36</v>
      </c>
      <c r="B49" s="31" t="s">
        <v>34</v>
      </c>
      <c r="C49" s="31">
        <v>3125</v>
      </c>
      <c r="D49" s="31">
        <v>48</v>
      </c>
      <c r="E49" s="31" t="str">
        <f>"1000001676"</f>
        <v>1000001676</v>
      </c>
      <c r="F49" s="31" t="str">
        <f>"SALT:iodized, individual packe~Salt, iodized Salt packets, individual packets, 3,000/case.~SALT PACKETS, INDIVIDUAL, 3/1M/CASE"</f>
        <v>SALT:iodized, individual packe~Salt, iodized Salt packets, individual packets, 3,000/case.~SALT PACKETS, INDIVIDUAL, 3/1M/CASE</v>
      </c>
      <c r="G49" s="37" t="str">
        <f>"CA"</f>
        <v>CA</v>
      </c>
      <c r="H49" s="38">
        <v>5.5</v>
      </c>
      <c r="I49" s="31" t="str">
        <f>"50171551"</f>
        <v>50171551</v>
      </c>
      <c r="J49" s="39" t="s">
        <v>119</v>
      </c>
    </row>
    <row r="50" spans="1:10">
      <c r="A50" s="36" t="s">
        <v>36</v>
      </c>
      <c r="B50" s="31" t="s">
        <v>34</v>
      </c>
      <c r="C50" s="31">
        <v>3125</v>
      </c>
      <c r="D50" s="31">
        <v>49</v>
      </c>
      <c r="E50" s="31" t="str">
        <f>"1000000922"</f>
        <v>1000000922</v>
      </c>
      <c r="F50" s="31" t="str">
        <f>"SEASONING: blended w/salt 36 oz"</f>
        <v>SEASONING: blended w/salt 36 oz</v>
      </c>
      <c r="G50" s="37" t="str">
        <f>"EA"</f>
        <v>EA</v>
      </c>
      <c r="H50" s="38">
        <v>7</v>
      </c>
      <c r="I50" s="31" t="str">
        <f>"50171550"</f>
        <v>50171550</v>
      </c>
      <c r="J50" s="39" t="s">
        <v>117</v>
      </c>
    </row>
    <row r="51" spans="1:10" ht="26.25">
      <c r="A51" s="36" t="s">
        <v>36</v>
      </c>
      <c r="B51" s="31" t="s">
        <v>34</v>
      </c>
      <c r="C51" s="31">
        <v>3125</v>
      </c>
      <c r="D51" s="31">
        <v>50</v>
      </c>
      <c r="E51" s="31" t="str">
        <f>"1000000921"</f>
        <v>1000000921</v>
      </c>
      <c r="F51" s="31" t="str">
        <f>"SEASONING:blended, w/salt 25 l~Seasonings, blended, w/salt 25 lb.~25 LB."</f>
        <v>SEASONING:blended, w/salt 25 l~Seasonings, blended, w/salt 25 lb.~25 LB.</v>
      </c>
      <c r="G51" s="37" t="str">
        <f>"EA"</f>
        <v>EA</v>
      </c>
      <c r="H51" s="38">
        <v>56</v>
      </c>
      <c r="I51" s="31" t="str">
        <f>"50171550"</f>
        <v>50171550</v>
      </c>
      <c r="J51" s="39" t="s">
        <v>117</v>
      </c>
    </row>
    <row r="52" spans="1:10">
      <c r="A52" s="36" t="s">
        <v>36</v>
      </c>
      <c r="B52" s="31" t="s">
        <v>34</v>
      </c>
      <c r="C52" s="31">
        <v>3125</v>
      </c>
      <c r="D52" s="31">
        <v>51</v>
      </c>
      <c r="E52" s="31" t="str">
        <f>"1000001567"</f>
        <v>1000001567</v>
      </c>
      <c r="F52" s="31" t="str">
        <f>"TENDERIZER:25 lb.~Tenderizer 25 lb."</f>
        <v>TENDERIZER:25 lb.~Tenderizer 25 lb.</v>
      </c>
      <c r="G52" s="37" t="str">
        <f>"EA"</f>
        <v>EA</v>
      </c>
      <c r="H52" s="38">
        <v>70</v>
      </c>
      <c r="I52" s="31" t="str">
        <f>"50171550"</f>
        <v>50171550</v>
      </c>
      <c r="J52" s="39" t="s">
        <v>117</v>
      </c>
    </row>
    <row r="53" spans="1:10">
      <c r="A53" s="36" t="s">
        <v>36</v>
      </c>
      <c r="B53" s="31" t="s">
        <v>34</v>
      </c>
      <c r="C53" s="31">
        <v>3125</v>
      </c>
      <c r="D53" s="31">
        <v>52</v>
      </c>
      <c r="E53" s="31" t="str">
        <f>"1000001487"</f>
        <v>1000001487</v>
      </c>
      <c r="F53" s="31" t="str">
        <f>"SPICES:Thyme, Ground, 11oz"</f>
        <v>SPICES:Thyme, Ground, 11oz</v>
      </c>
      <c r="G53" s="37" t="str">
        <f>"EA"</f>
        <v>EA</v>
      </c>
      <c r="H53" s="38">
        <v>9</v>
      </c>
      <c r="I53" s="31" t="str">
        <f>"50171550"</f>
        <v>50171550</v>
      </c>
      <c r="J53" s="39" t="s">
        <v>117</v>
      </c>
    </row>
    <row r="54" spans="1:10" ht="39">
      <c r="A54" s="36" t="s">
        <v>36</v>
      </c>
      <c r="B54" s="31" t="s">
        <v>34</v>
      </c>
      <c r="C54" s="31">
        <v>3125</v>
      </c>
      <c r="D54" s="31">
        <v>53</v>
      </c>
      <c r="E54" s="31" t="str">
        <f>"1000028047"</f>
        <v>1000028047</v>
      </c>
      <c r="F54" s="31" t="str">
        <f>"SEASONING:Salt-free 20 oz -Seasonings, blended, salt free a dash of flavor instead of salt, 20 oz container"</f>
        <v>SEASONING:Salt-free 20 oz -Seasonings, blended, salt free a dash of flavor instead of salt, 20 oz container</v>
      </c>
      <c r="G54" s="37" t="str">
        <f>"EA"</f>
        <v>EA</v>
      </c>
      <c r="H54" s="38">
        <v>15</v>
      </c>
      <c r="I54" s="31" t="str">
        <f>"50171550"</f>
        <v>50171550</v>
      </c>
      <c r="J54" s="39" t="s">
        <v>117</v>
      </c>
    </row>
    <row r="55" spans="1:10" ht="39">
      <c r="A55" s="36" t="s">
        <v>36</v>
      </c>
      <c r="B55" s="31" t="s">
        <v>34</v>
      </c>
      <c r="C55" s="31">
        <v>3125</v>
      </c>
      <c r="D55" s="31">
        <v>54</v>
      </c>
      <c r="E55" s="31" t="str">
        <f>"1000001018"</f>
        <v>1000001018</v>
      </c>
      <c r="F55" s="31" t="str">
        <f>"SUGAR:White Refined Granulated, Type 1 (A), individual packet, 1/8 oz. - 2000 pkts/case. Beet or Cain."</f>
        <v>SUGAR:White Refined Granulated, Type 1 (A), individual packet, 1/8 oz. - 2000 pkts/case. Beet or Cain.</v>
      </c>
      <c r="G55" s="37" t="str">
        <f>"CA"</f>
        <v>CA</v>
      </c>
      <c r="H55" s="38">
        <v>15</v>
      </c>
      <c r="I55" s="31" t="str">
        <f>"50161509"</f>
        <v>50161509</v>
      </c>
      <c r="J55" s="39" t="s">
        <v>120</v>
      </c>
    </row>
    <row r="56" spans="1:10" ht="51.75">
      <c r="A56" s="36" t="s">
        <v>36</v>
      </c>
      <c r="B56" s="31" t="s">
        <v>34</v>
      </c>
      <c r="C56" s="31">
        <v>3125</v>
      </c>
      <c r="D56" s="31">
        <v>55</v>
      </c>
      <c r="E56" s="31" t="str">
        <f>"1000001918"</f>
        <v>1000001918</v>
      </c>
      <c r="F56" s="31" t="str">
        <f>"SUGAR:substitute Individual pa~Sugar substitute Individual packets, with saccharin, 2000/case 1 gram.~INDIVIDUAL PACKETS, WITH SACCHARIN, 2000/CASE"</f>
        <v>SUGAR:substitute Individual pa~Sugar substitute Individual packets, with saccharin, 2000/case 1 gram.~INDIVIDUAL PACKETS, WITH SACCHARIN, 2000/CASE</v>
      </c>
      <c r="G56" s="37" t="str">
        <f>"CA"</f>
        <v>CA</v>
      </c>
      <c r="H56" s="38">
        <v>19.5</v>
      </c>
      <c r="I56" s="31" t="str">
        <f>"50161509"</f>
        <v>50161509</v>
      </c>
      <c r="J56" s="39" t="s">
        <v>120</v>
      </c>
    </row>
    <row r="57" spans="1:10" ht="39">
      <c r="A57" s="36" t="s">
        <v>36</v>
      </c>
      <c r="B57" s="31" t="s">
        <v>34</v>
      </c>
      <c r="C57" s="31">
        <v>3125</v>
      </c>
      <c r="D57" s="31">
        <v>56</v>
      </c>
      <c r="E57" s="31" t="str">
        <f>"1000000978"</f>
        <v>1000000978</v>
      </c>
      <c r="F57" s="31" t="str">
        <f>"SPLENDA:Packets, 2000 epr case~Splenda Packets, 2000 epr case~Splenda Packets, 2000 epr case"</f>
        <v>SPLENDA:Packets, 2000 epr case~Splenda Packets, 2000 epr case~Splenda Packets, 2000 epr case</v>
      </c>
      <c r="G57" s="37" t="str">
        <f>"CA"</f>
        <v>CA</v>
      </c>
      <c r="H57" s="38">
        <v>36</v>
      </c>
      <c r="I57" s="31" t="str">
        <f>"50161509"</f>
        <v>50161509</v>
      </c>
      <c r="J57" s="39" t="s">
        <v>120</v>
      </c>
    </row>
    <row r="58" spans="1:10" ht="26.25">
      <c r="A58" s="36" t="s">
        <v>36</v>
      </c>
      <c r="B58" s="31" t="s">
        <v>34</v>
      </c>
      <c r="C58" s="31">
        <v>3125</v>
      </c>
      <c r="D58" s="31">
        <v>57</v>
      </c>
      <c r="E58" s="31" t="str">
        <f>"1000003981"</f>
        <v>1000003981</v>
      </c>
      <c r="F58" s="31" t="str">
        <f>"SYRUP:Sugarcane 1-1/2oz Packet (and blends) Maple, 100 pkts/case"</f>
        <v>SYRUP:Sugarcane 1-1/2oz Packet (and blends) Maple, 100 pkts/case</v>
      </c>
      <c r="G58" s="37" t="str">
        <f>"CA"</f>
        <v>CA</v>
      </c>
      <c r="H58" s="38">
        <v>7.5</v>
      </c>
      <c r="I58" s="31" t="str">
        <f>"50161512"</f>
        <v>50161512</v>
      </c>
      <c r="J58" s="39" t="s">
        <v>121</v>
      </c>
    </row>
    <row r="59" spans="1:10">
      <c r="A59" s="36" t="s">
        <v>36</v>
      </c>
      <c r="B59" s="31" t="s">
        <v>34</v>
      </c>
      <c r="C59" s="31">
        <v>3125</v>
      </c>
      <c r="D59" s="31">
        <v>58</v>
      </c>
      <c r="E59" s="31" t="str">
        <f>"1000000418"</f>
        <v>1000000418</v>
      </c>
      <c r="F59" s="31" t="str">
        <f>"FLAVORING:Almond, Pure, 16oz"</f>
        <v>FLAVORING:Almond, Pure, 16oz</v>
      </c>
      <c r="G59" s="37" t="str">
        <f>"EA"</f>
        <v>EA</v>
      </c>
      <c r="H59" s="38">
        <v>6</v>
      </c>
      <c r="I59" s="31" t="str">
        <f>"12164502"</f>
        <v>12164502</v>
      </c>
      <c r="J59" s="39" t="s">
        <v>122</v>
      </c>
    </row>
    <row r="60" spans="1:10">
      <c r="A60" s="36" t="s">
        <v>36</v>
      </c>
      <c r="B60" s="31" t="s">
        <v>34</v>
      </c>
      <c r="C60" s="31">
        <v>3125</v>
      </c>
      <c r="D60" s="31">
        <v>59</v>
      </c>
      <c r="E60" s="31" t="str">
        <f>"1000000419"</f>
        <v>1000000419</v>
      </c>
      <c r="F60" s="31" t="str">
        <f>"FLAVORING:Banana Pure, 16oz"</f>
        <v>FLAVORING:Banana Pure, 16oz</v>
      </c>
      <c r="G60" s="37" t="str">
        <f>"EA"</f>
        <v>EA</v>
      </c>
      <c r="H60" s="38">
        <v>7.5</v>
      </c>
      <c r="I60" s="31" t="str">
        <f>"12164502"</f>
        <v>12164502</v>
      </c>
      <c r="J60" s="39" t="s">
        <v>122</v>
      </c>
    </row>
    <row r="61" spans="1:10">
      <c r="A61" s="36" t="s">
        <v>36</v>
      </c>
      <c r="B61" s="31" t="s">
        <v>34</v>
      </c>
      <c r="C61" s="31">
        <v>3125</v>
      </c>
      <c r="D61" s="31">
        <v>60</v>
      </c>
      <c r="E61" s="31" t="str">
        <f>"1000000247"</f>
        <v>1000000247</v>
      </c>
      <c r="F61" s="31" t="str">
        <f>"FLAVORING:Lemon, Pure, 16oz"</f>
        <v>FLAVORING:Lemon, Pure, 16oz</v>
      </c>
      <c r="G61" s="37" t="str">
        <f>"EA"</f>
        <v>EA</v>
      </c>
      <c r="H61" s="38">
        <v>8</v>
      </c>
      <c r="I61" s="31" t="str">
        <f>"12164502"</f>
        <v>12164502</v>
      </c>
      <c r="J61" s="39" t="s">
        <v>122</v>
      </c>
    </row>
    <row r="62" spans="1:10">
      <c r="A62" s="36" t="s">
        <v>36</v>
      </c>
      <c r="B62" s="31" t="s">
        <v>34</v>
      </c>
      <c r="C62" s="31">
        <v>3125</v>
      </c>
      <c r="D62" s="31">
        <v>61</v>
      </c>
      <c r="E62" s="31" t="str">
        <f>"1000000350"</f>
        <v>1000000350</v>
      </c>
      <c r="F62" s="31" t="str">
        <f>"FLAVORING:Imitation Vanilla, 16 oz"</f>
        <v>FLAVORING:Imitation Vanilla, 16 oz</v>
      </c>
      <c r="G62" s="37" t="str">
        <f>"EA"</f>
        <v>EA</v>
      </c>
      <c r="H62" s="38">
        <v>3.5</v>
      </c>
      <c r="I62" s="31" t="str">
        <f>"12164502"</f>
        <v>12164502</v>
      </c>
      <c r="J62" s="39" t="s">
        <v>122</v>
      </c>
    </row>
    <row r="63" spans="1:10" ht="64.5">
      <c r="A63" s="36" t="s">
        <v>36</v>
      </c>
      <c r="B63" s="31" t="s">
        <v>34</v>
      </c>
      <c r="C63" s="31">
        <v>3125</v>
      </c>
      <c r="D63" s="31">
        <v>62</v>
      </c>
      <c r="E63" s="31" t="str">
        <f>"1000024557"</f>
        <v>1000024557</v>
      </c>
      <c r="F63" s="31" t="str">
        <f>"COFFEE KIT:4Cup/Reg/Sgr/Crm150 - 4 Cup Regular Coffee 150/CA. Premeasured coffee in a filter, two (2) sugar, two (2) sugar substitutes, two (2) creamer, two (2) stir straws and one (1) napkin. 150 kits per case"</f>
        <v>COFFEE KIT:4Cup/Reg/Sgr/Crm150 - 4 Cup Regular Coffee 150/CA. Premeasured coffee in a filter, two (2) sugar, two (2) sugar substitutes, two (2) creamer, two (2) stir straws and one (1) napkin. 150 kits per case</v>
      </c>
      <c r="G63" s="37" t="str">
        <f t="shared" ref="G63:G70" si="7">"CA"</f>
        <v>CA</v>
      </c>
      <c r="H63" s="38">
        <v>99</v>
      </c>
      <c r="I63" s="31" t="str">
        <f t="shared" ref="I63:I70" si="8">"50201706"</f>
        <v>50201706</v>
      </c>
      <c r="J63" s="39" t="s">
        <v>123</v>
      </c>
    </row>
    <row r="64" spans="1:10" ht="64.5">
      <c r="A64" s="36" t="s">
        <v>36</v>
      </c>
      <c r="B64" s="31" t="s">
        <v>34</v>
      </c>
      <c r="C64" s="31">
        <v>3125</v>
      </c>
      <c r="D64" s="31">
        <v>63</v>
      </c>
      <c r="E64" s="31" t="str">
        <f>"1000024558"</f>
        <v>1000024558</v>
      </c>
      <c r="F64" s="31" t="str">
        <f>"COFFEE KIT:4Cup/Reg/Sgr/Crm250 - 4 Cup Regular Coffee 250/CA. Premeasured coffee in a filter, two (2) sugar, two (2) sugar substitutes, two (2) creamer, two (2) stir straws and one (1) napkin. 250 kits per case"</f>
        <v>COFFEE KIT:4Cup/Reg/Sgr/Crm250 - 4 Cup Regular Coffee 250/CA. Premeasured coffee in a filter, two (2) sugar, two (2) sugar substitutes, two (2) creamer, two (2) stir straws and one (1) napkin. 250 kits per case</v>
      </c>
      <c r="G64" s="37" t="str">
        <f t="shared" si="7"/>
        <v>CA</v>
      </c>
      <c r="H64" s="38">
        <v>162.5</v>
      </c>
      <c r="I64" s="31" t="str">
        <f t="shared" si="8"/>
        <v>50201706</v>
      </c>
      <c r="J64" s="39" t="s">
        <v>123</v>
      </c>
    </row>
    <row r="65" spans="1:10" ht="64.5">
      <c r="A65" s="36" t="s">
        <v>36</v>
      </c>
      <c r="B65" s="31" t="s">
        <v>34</v>
      </c>
      <c r="C65" s="31">
        <v>3125</v>
      </c>
      <c r="D65" s="31">
        <v>64</v>
      </c>
      <c r="E65" s="31" t="str">
        <f>"1000024547"</f>
        <v>1000024547</v>
      </c>
      <c r="F65" s="31" t="str">
        <f>"COFFEE KIT:4Cup/Decaf/Crm150 - 4 Cup Decaffeinated Coffee 150/CA. Premeasured coffee in a filter, two (2) sugar, two (2) sugar substitutes, two (2) creamer, two (2) stir straws and one (1) napkin. 150 kits per case"</f>
        <v>COFFEE KIT:4Cup/Decaf/Crm150 - 4 Cup Decaffeinated Coffee 150/CA. Premeasured coffee in a filter, two (2) sugar, two (2) sugar substitutes, two (2) creamer, two (2) stir straws and one (1) napkin. 150 kits per case</v>
      </c>
      <c r="G65" s="37" t="str">
        <f t="shared" si="7"/>
        <v>CA</v>
      </c>
      <c r="H65" s="38">
        <v>102</v>
      </c>
      <c r="I65" s="31" t="str">
        <f t="shared" si="8"/>
        <v>50201706</v>
      </c>
      <c r="J65" s="39" t="s">
        <v>123</v>
      </c>
    </row>
    <row r="66" spans="1:10" ht="64.5">
      <c r="A66" s="36" t="s">
        <v>36</v>
      </c>
      <c r="B66" s="31" t="s">
        <v>34</v>
      </c>
      <c r="C66" s="31">
        <v>3125</v>
      </c>
      <c r="D66" s="31">
        <v>65</v>
      </c>
      <c r="E66" s="31" t="str">
        <f>"1000024548"</f>
        <v>1000024548</v>
      </c>
      <c r="F66" s="31" t="str">
        <f>"COFFEE KIT:4Cup/Decaf/Crm250 - 4 Cup Decaffeinated Coffee 250/CA. Premeasured coffee in a filter, two (2) sugar, two (2) sugar substitutes, two (2) creamer, two (2) stir straws and one (1) napkin. 250 kits per case"</f>
        <v>COFFEE KIT:4Cup/Decaf/Crm250 - 4 Cup Decaffeinated Coffee 250/CA. Premeasured coffee in a filter, two (2) sugar, two (2) sugar substitutes, two (2) creamer, two (2) stir straws and one (1) napkin. 250 kits per case</v>
      </c>
      <c r="G66" s="37" t="str">
        <f t="shared" si="7"/>
        <v>CA</v>
      </c>
      <c r="H66" s="38">
        <v>165</v>
      </c>
      <c r="I66" s="31" t="str">
        <f t="shared" si="8"/>
        <v>50201706</v>
      </c>
      <c r="J66" s="39" t="s">
        <v>123</v>
      </c>
    </row>
    <row r="67" spans="1:10" ht="64.5">
      <c r="A67" s="36" t="s">
        <v>36</v>
      </c>
      <c r="B67" s="31" t="s">
        <v>34</v>
      </c>
      <c r="C67" s="31">
        <v>3125</v>
      </c>
      <c r="D67" s="31">
        <v>66</v>
      </c>
      <c r="E67" s="31" t="str">
        <f>"1000024549"</f>
        <v>1000024549</v>
      </c>
      <c r="F67" s="31" t="str">
        <f>"COFFEE KIT:10Cup/Reg/Crm150 - 10 Cup Regular Coffee 150/CA Premeasured coffee in a filter, two (2) sugar, two (2) sugar substitutes, two (2) creamer, two (2) stir straws and one (1) napkin. 150 kits per case"</f>
        <v>COFFEE KIT:10Cup/Reg/Crm150 - 10 Cup Regular Coffee 150/CA Premeasured coffee in a filter, two (2) sugar, two (2) sugar substitutes, two (2) creamer, two (2) stir straws and one (1) napkin. 150 kits per case</v>
      </c>
      <c r="G67" s="37" t="str">
        <f t="shared" si="7"/>
        <v>CA</v>
      </c>
      <c r="H67" s="38">
        <v>106.5</v>
      </c>
      <c r="I67" s="31" t="str">
        <f t="shared" si="8"/>
        <v>50201706</v>
      </c>
      <c r="J67" s="39" t="s">
        <v>123</v>
      </c>
    </row>
    <row r="68" spans="1:10" ht="64.5">
      <c r="A68" s="36" t="s">
        <v>36</v>
      </c>
      <c r="B68" s="31" t="s">
        <v>34</v>
      </c>
      <c r="C68" s="31">
        <v>3125</v>
      </c>
      <c r="D68" s="31">
        <v>67</v>
      </c>
      <c r="E68" s="31" t="str">
        <f>"1000024550"</f>
        <v>1000024550</v>
      </c>
      <c r="F68" s="31" t="str">
        <f>"COFFEE KIT:10Cup/Reg/Crm250 - 10 Cup Regular Coffee 250/CA. Premeasured coffee in a filter, two (2) sugar, two (2) sugar substitutes, two (2) creamer, two (2) stir straws and one (1) napkin. 250 kits per case"</f>
        <v>COFFEE KIT:10Cup/Reg/Crm250 - 10 Cup Regular Coffee 250/CA. Premeasured coffee in a filter, two (2) sugar, two (2) sugar substitutes, two (2) creamer, two (2) stir straws and one (1) napkin. 250 kits per case</v>
      </c>
      <c r="G68" s="37" t="str">
        <f t="shared" si="7"/>
        <v>CA</v>
      </c>
      <c r="H68" s="38">
        <v>175</v>
      </c>
      <c r="I68" s="31" t="str">
        <f t="shared" si="8"/>
        <v>50201706</v>
      </c>
      <c r="J68" s="39" t="s">
        <v>123</v>
      </c>
    </row>
    <row r="69" spans="1:10" ht="64.5">
      <c r="A69" s="36" t="s">
        <v>36</v>
      </c>
      <c r="B69" s="31" t="s">
        <v>34</v>
      </c>
      <c r="C69" s="31">
        <v>3125</v>
      </c>
      <c r="D69" s="31">
        <v>68</v>
      </c>
      <c r="E69" s="31" t="str">
        <f>"1000024551"</f>
        <v>1000024551</v>
      </c>
      <c r="F69" s="31" t="str">
        <f>"COFFEE KIT:10Cup/Decaf/Crm150 - 10 Cup Decaffeinated Coffee 150/CA. Premeasured coffee in a filter, two (2) sugar, two (2) sugar substitutes, two (2) creamer, two (2) stir straws and one (1) napkin. 150 kits per case"</f>
        <v>COFFEE KIT:10Cup/Decaf/Crm150 - 10 Cup Decaffeinated Coffee 150/CA. Premeasured coffee in a filter, two (2) sugar, two (2) sugar substitutes, two (2) creamer, two (2) stir straws and one (1) napkin. 150 kits per case</v>
      </c>
      <c r="G69" s="37" t="str">
        <f t="shared" si="7"/>
        <v>CA</v>
      </c>
      <c r="H69" s="38">
        <v>112.5</v>
      </c>
      <c r="I69" s="31" t="str">
        <f t="shared" si="8"/>
        <v>50201706</v>
      </c>
      <c r="J69" s="39" t="s">
        <v>123</v>
      </c>
    </row>
    <row r="70" spans="1:10" ht="64.5">
      <c r="A70" s="40" t="s">
        <v>36</v>
      </c>
      <c r="B70" s="41" t="s">
        <v>34</v>
      </c>
      <c r="C70" s="41">
        <v>3125</v>
      </c>
      <c r="D70" s="41">
        <v>69</v>
      </c>
      <c r="E70" s="41" t="str">
        <f>"1000024552"</f>
        <v>1000024552</v>
      </c>
      <c r="F70" s="41" t="str">
        <f>"COFFEE KIT:10Cup/Decaf/Crm250 - 10 Cup Decaffeinated Coffee 250/CA. Premeasured coffee in a filter, two (2) sugar, two (2) sugar substitutes, two (2) creamer, two (2) stir straws and one (1) napkin. 250 kits per case"</f>
        <v>COFFEE KIT:10Cup/Decaf/Crm250 - 10 Cup Decaffeinated Coffee 250/CA. Premeasured coffee in a filter, two (2) sugar, two (2) sugar substitutes, two (2) creamer, two (2) stir straws and one (1) napkin. 250 kits per case</v>
      </c>
      <c r="G70" s="42" t="str">
        <f t="shared" si="7"/>
        <v>CA</v>
      </c>
      <c r="H70" s="43">
        <v>180</v>
      </c>
      <c r="I70" s="41" t="str">
        <f t="shared" si="8"/>
        <v>50201706</v>
      </c>
      <c r="J70" s="44" t="s">
        <v>123</v>
      </c>
    </row>
  </sheetData>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sheetPr codeName="Sheet15"/>
  <dimension ref="A1:J10"/>
  <sheetViews>
    <sheetView workbookViewId="0">
      <selection activeCell="H12" sqref="H12"/>
    </sheetView>
  </sheetViews>
  <sheetFormatPr defaultRowHeight="15"/>
  <cols>
    <col min="1" max="1" width="6.5703125" bestFit="1" customWidth="1"/>
    <col min="2" max="2" width="8" bestFit="1" customWidth="1"/>
    <col min="3" max="3" width="5.85546875" customWidth="1"/>
    <col min="4" max="4" width="5" customWidth="1"/>
    <col min="5" max="5" width="11" bestFit="1" customWidth="1"/>
    <col min="6" max="6" width="35.28515625" customWidth="1"/>
    <col min="7" max="7" width="7.140625" customWidth="1"/>
    <col min="8" max="8" width="4.42578125" bestFit="1" customWidth="1"/>
    <col min="9" max="9" width="9" bestFit="1" customWidth="1"/>
    <col min="10" max="10" width="10.42578125" bestFit="1" customWidth="1"/>
  </cols>
  <sheetData>
    <row r="1" spans="1:10" s="6" customFormat="1" ht="12.75">
      <c r="A1" s="12" t="s">
        <v>71</v>
      </c>
      <c r="B1" s="13" t="s">
        <v>208</v>
      </c>
      <c r="C1" s="13" t="s">
        <v>65</v>
      </c>
      <c r="D1" s="13" t="s">
        <v>207</v>
      </c>
      <c r="E1" s="13" t="s">
        <v>20</v>
      </c>
      <c r="F1" s="13" t="s">
        <v>21</v>
      </c>
      <c r="G1" s="13" t="s">
        <v>22</v>
      </c>
      <c r="H1" s="14" t="s">
        <v>66</v>
      </c>
      <c r="I1" s="13" t="s">
        <v>206</v>
      </c>
      <c r="J1" s="15" t="s">
        <v>205</v>
      </c>
    </row>
    <row r="2" spans="1:10" ht="39">
      <c r="A2" s="9" t="s">
        <v>35</v>
      </c>
      <c r="B2" s="2" t="s">
        <v>34</v>
      </c>
      <c r="C2" s="2">
        <v>2201</v>
      </c>
      <c r="D2" s="2">
        <v>1</v>
      </c>
      <c r="E2" s="2" t="str">
        <f>"1000000494"</f>
        <v>1000000494</v>
      </c>
      <c r="F2" s="2" t="str">
        <f>"BEANS:dried Idaho reds, u.s. #~Beans, dried Idaho reds, u.s. #1, 25# bag~IDAHO REDS, U.S. #1, 25# BAGS"</f>
        <v>BEANS:dried Idaho reds, u.s. #~Beans, dried Idaho reds, u.s. #1, 25# bag~IDAHO REDS, U.S. #1, 25# BAGS</v>
      </c>
      <c r="G2" s="3" t="str">
        <f t="shared" ref="G2:G10" si="0">"LB"</f>
        <v>LB</v>
      </c>
      <c r="H2" s="7">
        <v>0.93</v>
      </c>
      <c r="I2" s="2" t="str">
        <f t="shared" ref="I2:I10" si="1">"50101543"</f>
        <v>50101543</v>
      </c>
      <c r="J2" s="10" t="s">
        <v>113</v>
      </c>
    </row>
    <row r="3" spans="1:10" ht="39">
      <c r="A3" s="24" t="s">
        <v>35</v>
      </c>
      <c r="B3" s="21" t="s">
        <v>34</v>
      </c>
      <c r="C3" s="21">
        <v>2201</v>
      </c>
      <c r="D3" s="21">
        <v>2</v>
      </c>
      <c r="E3" s="21" t="str">
        <f>"1000000495"</f>
        <v>1000000495</v>
      </c>
      <c r="F3" s="21" t="str">
        <f>"BEANS:dried Idaho Reds, U.S. #~Beans, dried Idaho Reds, U.S. #1, 50# bag~IDAHO REDS U.S. #1 50# BAGS"</f>
        <v>BEANS:dried Idaho Reds, U.S. #~Beans, dried Idaho Reds, U.S. #1, 50# bag~IDAHO REDS U.S. #1 50# BAGS</v>
      </c>
      <c r="G3" s="22" t="str">
        <f t="shared" si="0"/>
        <v>LB</v>
      </c>
      <c r="H3" s="23">
        <v>0.9</v>
      </c>
      <c r="I3" s="21" t="str">
        <f t="shared" si="1"/>
        <v>50101543</v>
      </c>
      <c r="J3" s="25" t="s">
        <v>113</v>
      </c>
    </row>
    <row r="4" spans="1:10" ht="39">
      <c r="A4" s="9" t="s">
        <v>35</v>
      </c>
      <c r="B4" s="2" t="s">
        <v>34</v>
      </c>
      <c r="C4" s="2">
        <v>2201</v>
      </c>
      <c r="D4" s="2">
        <v>3</v>
      </c>
      <c r="E4" s="2" t="str">
        <f>"1000001189"</f>
        <v>1000001189</v>
      </c>
      <c r="F4" s="2" t="str">
        <f>"BEANS:dried Idaho reds, u.s. #~Beans, dried Idaho reds, u.s. #1, 100# bags~IDAHO REDS, U.S. #1, 100# BAGS"</f>
        <v>BEANS:dried Idaho reds, u.s. #~Beans, dried Idaho reds, u.s. #1, 100# bags~IDAHO REDS, U.S. #1, 100# BAGS</v>
      </c>
      <c r="G4" s="3" t="str">
        <f t="shared" si="0"/>
        <v>LB</v>
      </c>
      <c r="H4" s="7">
        <v>0.9</v>
      </c>
      <c r="I4" s="2" t="str">
        <f t="shared" si="1"/>
        <v>50101543</v>
      </c>
      <c r="J4" s="10" t="s">
        <v>113</v>
      </c>
    </row>
    <row r="5" spans="1:10" ht="26.25">
      <c r="A5" s="24" t="s">
        <v>35</v>
      </c>
      <c r="B5" s="21" t="s">
        <v>34</v>
      </c>
      <c r="C5" s="21">
        <v>2201</v>
      </c>
      <c r="D5" s="21">
        <v>4</v>
      </c>
      <c r="E5" s="21" t="str">
        <f>"1000000677"</f>
        <v>1000000677</v>
      </c>
      <c r="F5" s="21" t="str">
        <f>"BEANS:Pinto, Dried , U.S. Grade #1, 25LB Bag"</f>
        <v>BEANS:Pinto, Dried , U.S. Grade #1, 25LB Bag</v>
      </c>
      <c r="G5" s="22" t="str">
        <f t="shared" si="0"/>
        <v>LB</v>
      </c>
      <c r="H5" s="23">
        <v>0.74</v>
      </c>
      <c r="I5" s="21" t="str">
        <f t="shared" si="1"/>
        <v>50101543</v>
      </c>
      <c r="J5" s="25" t="s">
        <v>113</v>
      </c>
    </row>
    <row r="6" spans="1:10" ht="39">
      <c r="A6" s="9" t="s">
        <v>35</v>
      </c>
      <c r="B6" s="2" t="s">
        <v>34</v>
      </c>
      <c r="C6" s="2">
        <v>2201</v>
      </c>
      <c r="D6" s="2">
        <v>5</v>
      </c>
      <c r="E6" s="2" t="str">
        <f>"1000000678"</f>
        <v>1000000678</v>
      </c>
      <c r="F6" s="2" t="str">
        <f>"BEANS:dried Pinto-US#1-50# bag~Beans, dried Pinto, u.s. #1, 50# bags~PINTO, U.S. #1, 50# BAGS"</f>
        <v>BEANS:dried Pinto-US#1-50# bag~Beans, dried Pinto, u.s. #1, 50# bags~PINTO, U.S. #1, 50# BAGS</v>
      </c>
      <c r="G6" s="3" t="str">
        <f t="shared" si="0"/>
        <v>LB</v>
      </c>
      <c r="H6" s="7">
        <v>0.74</v>
      </c>
      <c r="I6" s="2" t="str">
        <f t="shared" si="1"/>
        <v>50101543</v>
      </c>
      <c r="J6" s="10" t="s">
        <v>113</v>
      </c>
    </row>
    <row r="7" spans="1:10" ht="51.75">
      <c r="A7" s="24" t="s">
        <v>35</v>
      </c>
      <c r="B7" s="21" t="s">
        <v>34</v>
      </c>
      <c r="C7" s="21">
        <v>2201</v>
      </c>
      <c r="D7" s="21">
        <v>6</v>
      </c>
      <c r="E7" s="21" t="str">
        <f>"1000000658"</f>
        <v>1000000658</v>
      </c>
      <c r="F7" s="21" t="str">
        <f>"BEANS:dried Pinto-US#1-100 lb/~Beans, dried Pinto, u.s. grade no. 1 - 100 lb/bag~PINTO, U.S. GRADE NO. 1 - 100 LB/BAG"</f>
        <v>BEANS:dried Pinto-US#1-100 lb/~Beans, dried Pinto, u.s. grade no. 1 - 100 lb/bag~PINTO, U.S. GRADE NO. 1 - 100 LB/BAG</v>
      </c>
      <c r="G7" s="22" t="str">
        <f t="shared" si="0"/>
        <v>LB</v>
      </c>
      <c r="H7" s="23">
        <v>0.74</v>
      </c>
      <c r="I7" s="21" t="str">
        <f t="shared" si="1"/>
        <v>50101543</v>
      </c>
      <c r="J7" s="25" t="s">
        <v>113</v>
      </c>
    </row>
    <row r="8" spans="1:10" ht="26.25">
      <c r="A8" s="9" t="s">
        <v>35</v>
      </c>
      <c r="B8" s="2" t="s">
        <v>34</v>
      </c>
      <c r="C8" s="2">
        <v>2201</v>
      </c>
      <c r="D8" s="2">
        <v>7</v>
      </c>
      <c r="E8" s="2" t="str">
        <f>"1000001555"</f>
        <v>1000001555</v>
      </c>
      <c r="F8" s="2" t="str">
        <f>"BEANS:White, Dried, U.S. #1, 25LB Bag, Great Northern 98%"</f>
        <v>BEANS:White, Dried, U.S. #1, 25LB Bag, Great Northern 98%</v>
      </c>
      <c r="G8" s="3" t="str">
        <f t="shared" si="0"/>
        <v>LB</v>
      </c>
      <c r="H8" s="7">
        <v>0.98</v>
      </c>
      <c r="I8" s="2" t="str">
        <f t="shared" si="1"/>
        <v>50101543</v>
      </c>
      <c r="J8" s="10" t="s">
        <v>113</v>
      </c>
    </row>
    <row r="9" spans="1:10" ht="51.75">
      <c r="A9" s="24" t="s">
        <v>35</v>
      </c>
      <c r="B9" s="21" t="s">
        <v>34</v>
      </c>
      <c r="C9" s="21">
        <v>2201</v>
      </c>
      <c r="D9" s="21">
        <v>8</v>
      </c>
      <c r="E9" s="21" t="str">
        <f>"1000000893"</f>
        <v>1000000893</v>
      </c>
      <c r="F9" s="21" t="str">
        <f>"BEANS:dried White beans-US#1 5~Beans, dried White beans, u.s. #1, 50# bag, great northern, 98%~WHITE BEANS, U.S. #1 50# BAG, GREAT NORTHERN 98%"</f>
        <v>BEANS:dried White beans-US#1 5~Beans, dried White beans, u.s. #1, 50# bag, great northern, 98%~WHITE BEANS, U.S. #1 50# BAG, GREAT NORTHERN 98%</v>
      </c>
      <c r="G9" s="22" t="str">
        <f t="shared" si="0"/>
        <v>LB</v>
      </c>
      <c r="H9" s="23">
        <v>0.98</v>
      </c>
      <c r="I9" s="21" t="str">
        <f t="shared" si="1"/>
        <v>50101543</v>
      </c>
      <c r="J9" s="25" t="s">
        <v>113</v>
      </c>
    </row>
    <row r="10" spans="1:10" ht="51.75">
      <c r="A10" s="16" t="s">
        <v>35</v>
      </c>
      <c r="B10" s="17" t="s">
        <v>34</v>
      </c>
      <c r="C10" s="17">
        <v>2201</v>
      </c>
      <c r="D10" s="17">
        <v>9</v>
      </c>
      <c r="E10" s="17" t="str">
        <f>"1000000679"</f>
        <v>1000000679</v>
      </c>
      <c r="F10" s="17" t="str">
        <f>"BEANS:dried White Beans US#1, ~Beans, dried White Beans US #1, 100# Great Northern~WHITE BEANS US #1, 100# GREAT NORTHERN"</f>
        <v>BEANS:dried White Beans US#1, ~Beans, dried White Beans US #1, 100# Great Northern~WHITE BEANS US #1, 100# GREAT NORTHERN</v>
      </c>
      <c r="G10" s="18" t="str">
        <f t="shared" si="0"/>
        <v>LB</v>
      </c>
      <c r="H10" s="19">
        <v>0.98</v>
      </c>
      <c r="I10" s="17" t="str">
        <f t="shared" si="1"/>
        <v>50101543</v>
      </c>
      <c r="J10" s="20" t="s">
        <v>113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sheetPr codeName="Sheet16"/>
  <dimension ref="A1:J2"/>
  <sheetViews>
    <sheetView workbookViewId="0">
      <selection activeCell="B2" sqref="B2"/>
    </sheetView>
  </sheetViews>
  <sheetFormatPr defaultRowHeight="15"/>
  <cols>
    <col min="1" max="1" width="6.5703125" bestFit="1" customWidth="1"/>
    <col min="2" max="2" width="8.5703125" bestFit="1" customWidth="1"/>
    <col min="3" max="3" width="5.85546875" customWidth="1"/>
    <col min="4" max="4" width="5" customWidth="1"/>
    <col min="5" max="5" width="11" bestFit="1" customWidth="1"/>
    <col min="6" max="6" width="26" bestFit="1" customWidth="1"/>
    <col min="7" max="7" width="7.140625" customWidth="1"/>
    <col min="8" max="8" width="4.42578125" bestFit="1" customWidth="1"/>
    <col min="9" max="9" width="9" bestFit="1" customWidth="1"/>
    <col min="10" max="10" width="18.7109375" bestFit="1" customWidth="1"/>
  </cols>
  <sheetData>
    <row r="1" spans="1:10" s="6" customFormat="1" ht="12.75">
      <c r="A1" s="12" t="s">
        <v>71</v>
      </c>
      <c r="B1" s="13" t="s">
        <v>208</v>
      </c>
      <c r="C1" s="13" t="s">
        <v>65</v>
      </c>
      <c r="D1" s="13" t="s">
        <v>207</v>
      </c>
      <c r="E1" s="13" t="s">
        <v>20</v>
      </c>
      <c r="F1" s="13" t="s">
        <v>21</v>
      </c>
      <c r="G1" s="13" t="s">
        <v>22</v>
      </c>
      <c r="H1" s="14" t="s">
        <v>66</v>
      </c>
      <c r="I1" s="13" t="s">
        <v>206</v>
      </c>
      <c r="J1" s="15" t="s">
        <v>205</v>
      </c>
    </row>
    <row r="2" spans="1:10" ht="26.25">
      <c r="A2" s="26" t="s">
        <v>42</v>
      </c>
      <c r="B2" s="27" t="s">
        <v>43</v>
      </c>
      <c r="C2" s="27">
        <v>3042</v>
      </c>
      <c r="D2" s="27">
        <v>1</v>
      </c>
      <c r="E2" s="27" t="str">
        <f>"1000007507"</f>
        <v>1000007507</v>
      </c>
      <c r="F2" s="27" t="str">
        <f>"SERVICE:Document Destruction - Shredding"</f>
        <v>SERVICE:Document Destruction - Shredding</v>
      </c>
      <c r="G2" s="28" t="str">
        <f>"LB"</f>
        <v>LB</v>
      </c>
      <c r="H2" s="29">
        <v>0.16</v>
      </c>
      <c r="I2" s="27" t="str">
        <f>"80161508"</f>
        <v>80161508</v>
      </c>
      <c r="J2" s="30" t="s">
        <v>132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sheetPr codeName="Sheet17"/>
  <dimension ref="A1:J33"/>
  <sheetViews>
    <sheetView workbookViewId="0">
      <selection activeCell="B1" sqref="B1:B1048576"/>
    </sheetView>
  </sheetViews>
  <sheetFormatPr defaultRowHeight="15"/>
  <cols>
    <col min="1" max="1" width="6.5703125" bestFit="1" customWidth="1"/>
    <col min="2" max="2" width="10.28515625" bestFit="1" customWidth="1"/>
    <col min="4" max="4" width="5" customWidth="1"/>
    <col min="5" max="5" width="11" bestFit="1" customWidth="1"/>
    <col min="6" max="6" width="46.140625" customWidth="1"/>
    <col min="7" max="7" width="7.140625" customWidth="1"/>
    <col min="8" max="8" width="5.42578125" bestFit="1" customWidth="1"/>
    <col min="10" max="10" width="17.5703125" bestFit="1" customWidth="1"/>
  </cols>
  <sheetData>
    <row r="1" spans="1:10" s="6" customFormat="1" ht="12.75">
      <c r="A1" s="12" t="s">
        <v>71</v>
      </c>
      <c r="B1" s="13" t="s">
        <v>208</v>
      </c>
      <c r="C1" s="13" t="s">
        <v>65</v>
      </c>
      <c r="D1" s="13" t="s">
        <v>207</v>
      </c>
      <c r="E1" s="13" t="s">
        <v>20</v>
      </c>
      <c r="F1" s="13" t="s">
        <v>21</v>
      </c>
      <c r="G1" s="13" t="s">
        <v>22</v>
      </c>
      <c r="H1" s="14" t="s">
        <v>66</v>
      </c>
      <c r="I1" s="13" t="s">
        <v>206</v>
      </c>
      <c r="J1" s="15" t="s">
        <v>205</v>
      </c>
    </row>
    <row r="2" spans="1:10" ht="51.75">
      <c r="A2" s="24" t="s">
        <v>49</v>
      </c>
      <c r="B2" s="21" t="s">
        <v>17</v>
      </c>
      <c r="C2" s="21">
        <v>3151</v>
      </c>
      <c r="D2" s="21">
        <v>1</v>
      </c>
      <c r="E2" s="21" t="str">
        <f>"1000028042"</f>
        <v>1000028042</v>
      </c>
      <c r="F2" s="21" t="str">
        <f>"DIAPER:Unisex MED 2T-3T 116/CA - Unisex disposable training pants, pull-up style. Tear away sides for easy removal. Size Medium, under 35 LBS, 2T-3T. 4 bags of 29 per case. 116 count."</f>
        <v>DIAPER:Unisex MED 2T-3T 116/CA - Unisex disposable training pants, pull-up style. Tear away sides for easy removal. Size Medium, under 35 LBS, 2T-3T. 4 bags of 29 per case. 116 count.</v>
      </c>
      <c r="G2" s="22" t="str">
        <f t="shared" ref="G2:G33" si="0">"CA"</f>
        <v>CA</v>
      </c>
      <c r="H2" s="23">
        <v>43.5</v>
      </c>
      <c r="I2" s="21" t="str">
        <f t="shared" ref="I2:I10" si="1">"53102305"</f>
        <v>53102305</v>
      </c>
      <c r="J2" s="25" t="s">
        <v>128</v>
      </c>
    </row>
    <row r="3" spans="1:10" ht="51.75">
      <c r="A3" s="9" t="s">
        <v>49</v>
      </c>
      <c r="B3" s="2" t="s">
        <v>17</v>
      </c>
      <c r="C3" s="2">
        <v>3151</v>
      </c>
      <c r="D3" s="2">
        <v>2</v>
      </c>
      <c r="E3" s="2" t="str">
        <f>"1000028041"</f>
        <v>1000028041</v>
      </c>
      <c r="F3" s="2" t="str">
        <f>"DIAPER:Unisex LG 3T-4T 104/CA - Unisex disposable training pants, pull-up style. Tear away sides for easy removal. Size Large, 32-40 LBS, 3T-4T. 4 bags of 26 per case. 104 count."</f>
        <v>DIAPER:Unisex LG 3T-4T 104/CA - Unisex disposable training pants, pull-up style. Tear away sides for easy removal. Size Large, 32-40 LBS, 3T-4T. 4 bags of 26 per case. 104 count.</v>
      </c>
      <c r="G3" s="3" t="str">
        <f t="shared" si="0"/>
        <v>CA</v>
      </c>
      <c r="H3" s="7">
        <v>43.5</v>
      </c>
      <c r="I3" s="2" t="str">
        <f t="shared" si="1"/>
        <v>53102305</v>
      </c>
      <c r="J3" s="10" t="s">
        <v>128</v>
      </c>
    </row>
    <row r="4" spans="1:10" ht="51.75">
      <c r="A4" s="24" t="s">
        <v>49</v>
      </c>
      <c r="B4" s="21" t="s">
        <v>17</v>
      </c>
      <c r="C4" s="21">
        <v>3151</v>
      </c>
      <c r="D4" s="21">
        <v>3</v>
      </c>
      <c r="E4" s="21" t="str">
        <f>"1000028043"</f>
        <v>1000028043</v>
      </c>
      <c r="F4" s="21" t="str">
        <f>"DIAPER:Unisex XL 4T-5T 84/CA - Disposable training pants, pull-up style. Tear away sides for easy removal. Size X-Large, 35 + LBS, 4T-5T. 4 bags of 21 per case. 84 count."</f>
        <v>DIAPER:Unisex XL 4T-5T 84/CA - Disposable training pants, pull-up style. Tear away sides for easy removal. Size X-Large, 35 + LBS, 4T-5T. 4 bags of 21 per case. 84 count.</v>
      </c>
      <c r="G4" s="22" t="str">
        <f t="shared" si="0"/>
        <v>CA</v>
      </c>
      <c r="H4" s="23">
        <v>43.5</v>
      </c>
      <c r="I4" s="21" t="str">
        <f t="shared" si="1"/>
        <v>53102305</v>
      </c>
      <c r="J4" s="25" t="s">
        <v>128</v>
      </c>
    </row>
    <row r="5" spans="1:10" ht="39">
      <c r="A5" s="9" t="s">
        <v>49</v>
      </c>
      <c r="B5" s="2" t="s">
        <v>17</v>
      </c>
      <c r="C5" s="2">
        <v>3151</v>
      </c>
      <c r="D5" s="2">
        <v>4</v>
      </c>
      <c r="E5" s="2" t="str">
        <f>"1000024216"</f>
        <v>1000024216</v>
      </c>
      <c r="F5" s="2" t="str">
        <f>"DIAPER:Boys under 34 LBS 104/CA - Disposable, training pants, pull on style, tear away sides for easy removal, 104 per case"</f>
        <v>DIAPER:Boys under 34 LBS 104/CA - Disposable, training pants, pull on style, tear away sides for easy removal, 104 per case</v>
      </c>
      <c r="G5" s="3" t="str">
        <f t="shared" si="0"/>
        <v>CA</v>
      </c>
      <c r="H5" s="7">
        <v>42.2</v>
      </c>
      <c r="I5" s="2" t="str">
        <f t="shared" si="1"/>
        <v>53102305</v>
      </c>
      <c r="J5" s="10" t="s">
        <v>128</v>
      </c>
    </row>
    <row r="6" spans="1:10" ht="39">
      <c r="A6" s="24" t="s">
        <v>49</v>
      </c>
      <c r="B6" s="21" t="s">
        <v>17</v>
      </c>
      <c r="C6" s="21">
        <v>3151</v>
      </c>
      <c r="D6" s="21">
        <v>5</v>
      </c>
      <c r="E6" s="21" t="str">
        <f>"1000024217"</f>
        <v>1000024217</v>
      </c>
      <c r="F6" s="21" t="str">
        <f>"DIAPER:Boys 32-40 LBS 92/CA - Disposable, training pants, pull on style, tear away sides for easy removal, 92 per case"</f>
        <v>DIAPER:Boys 32-40 LBS 92/CA - Disposable, training pants, pull on style, tear away sides for easy removal, 92 per case</v>
      </c>
      <c r="G6" s="22" t="str">
        <f t="shared" si="0"/>
        <v>CA</v>
      </c>
      <c r="H6" s="23">
        <v>42.2</v>
      </c>
      <c r="I6" s="21" t="str">
        <f t="shared" si="1"/>
        <v>53102305</v>
      </c>
      <c r="J6" s="25" t="s">
        <v>128</v>
      </c>
    </row>
    <row r="7" spans="1:10" ht="39">
      <c r="A7" s="9" t="s">
        <v>49</v>
      </c>
      <c r="B7" s="2" t="s">
        <v>17</v>
      </c>
      <c r="C7" s="2">
        <v>3151</v>
      </c>
      <c r="D7" s="2">
        <v>6</v>
      </c>
      <c r="E7" s="2" t="str">
        <f>"1000024218"</f>
        <v>1000024218</v>
      </c>
      <c r="F7" s="2" t="str">
        <f>"DIAPER:Boys 38+ LBS 76/CA - Disposable, training pants, pull on style, tear away sides for easy removal, 76 per case"</f>
        <v>DIAPER:Boys 38+ LBS 76/CA - Disposable, training pants, pull on style, tear away sides for easy removal, 76 per case</v>
      </c>
      <c r="G7" s="3" t="str">
        <f t="shared" si="0"/>
        <v>CA</v>
      </c>
      <c r="H7" s="7">
        <v>42.2</v>
      </c>
      <c r="I7" s="2" t="str">
        <f t="shared" si="1"/>
        <v>53102305</v>
      </c>
      <c r="J7" s="10" t="s">
        <v>128</v>
      </c>
    </row>
    <row r="8" spans="1:10" ht="39">
      <c r="A8" s="24" t="s">
        <v>49</v>
      </c>
      <c r="B8" s="21" t="s">
        <v>17</v>
      </c>
      <c r="C8" s="21">
        <v>3151</v>
      </c>
      <c r="D8" s="21">
        <v>7</v>
      </c>
      <c r="E8" s="21" t="str">
        <f>"1000024219"</f>
        <v>1000024219</v>
      </c>
      <c r="F8" s="21" t="str">
        <f>"DIAPER:Girls under 34 LBS 104/CA - Disposable, training pants, pull on style, tear away sides for easy removal, 104 per case"</f>
        <v>DIAPER:Girls under 34 LBS 104/CA - Disposable, training pants, pull on style, tear away sides for easy removal, 104 per case</v>
      </c>
      <c r="G8" s="22" t="str">
        <f t="shared" si="0"/>
        <v>CA</v>
      </c>
      <c r="H8" s="23">
        <v>42.2</v>
      </c>
      <c r="I8" s="21" t="str">
        <f t="shared" si="1"/>
        <v>53102305</v>
      </c>
      <c r="J8" s="25" t="s">
        <v>128</v>
      </c>
    </row>
    <row r="9" spans="1:10" ht="39">
      <c r="A9" s="9" t="s">
        <v>49</v>
      </c>
      <c r="B9" s="2" t="s">
        <v>17</v>
      </c>
      <c r="C9" s="2">
        <v>3151</v>
      </c>
      <c r="D9" s="2">
        <v>8</v>
      </c>
      <c r="E9" s="2" t="str">
        <f>"1000024210"</f>
        <v>1000024210</v>
      </c>
      <c r="F9" s="2" t="str">
        <f>"DIAPER:Girls 32-40 LBS 92/CA - Disposable, training pants, pull on style, tear away sides for easy removal, 92 per case"</f>
        <v>DIAPER:Girls 32-40 LBS 92/CA - Disposable, training pants, pull on style, tear away sides for easy removal, 92 per case</v>
      </c>
      <c r="G9" s="3" t="str">
        <f t="shared" si="0"/>
        <v>CA</v>
      </c>
      <c r="H9" s="7">
        <v>42.2</v>
      </c>
      <c r="I9" s="2" t="str">
        <f t="shared" si="1"/>
        <v>53102305</v>
      </c>
      <c r="J9" s="10" t="s">
        <v>128</v>
      </c>
    </row>
    <row r="10" spans="1:10" ht="39">
      <c r="A10" s="24" t="s">
        <v>49</v>
      </c>
      <c r="B10" s="21" t="s">
        <v>17</v>
      </c>
      <c r="C10" s="21">
        <v>3151</v>
      </c>
      <c r="D10" s="21">
        <v>9</v>
      </c>
      <c r="E10" s="21" t="str">
        <f>"1000024211"</f>
        <v>1000024211</v>
      </c>
      <c r="F10" s="21" t="str">
        <f>"DIAPER:Girls 38+ LBS 76/CA - Disposable, training pants, pull on style, tear away sides for easy removal, 76 per case"</f>
        <v>DIAPER:Girls 38+ LBS 76/CA - Disposable, training pants, pull on style, tear away sides for easy removal, 76 per case</v>
      </c>
      <c r="G10" s="22" t="str">
        <f t="shared" si="0"/>
        <v>CA</v>
      </c>
      <c r="H10" s="23">
        <v>42.2</v>
      </c>
      <c r="I10" s="21" t="str">
        <f t="shared" si="1"/>
        <v>53102305</v>
      </c>
      <c r="J10" s="25" t="s">
        <v>128</v>
      </c>
    </row>
    <row r="11" spans="1:10" ht="39">
      <c r="A11" s="9" t="s">
        <v>49</v>
      </c>
      <c r="B11" s="2" t="s">
        <v>17</v>
      </c>
      <c r="C11" s="2">
        <v>3151</v>
      </c>
      <c r="D11" s="2">
        <v>10</v>
      </c>
      <c r="E11" s="2" t="str">
        <f>"1000024214"</f>
        <v>1000024214</v>
      </c>
      <c r="F11" s="2" t="str">
        <f>"INCONTIN BRIEF:Breath Youth 96/CA - Attends Brief 10 Classic Style, breathable, disposable, Youth 20-28, 96 per case"</f>
        <v>INCONTIN BRIEF:Breath Youth 96/CA - Attends Brief 10 Classic Style, breathable, disposable, Youth 20-28, 96 per case</v>
      </c>
      <c r="G11" s="3" t="str">
        <f t="shared" si="0"/>
        <v>CA</v>
      </c>
      <c r="H11" s="7">
        <v>50.5</v>
      </c>
      <c r="I11" s="2" t="str">
        <f t="shared" ref="I11:I31" si="2">"42143901"</f>
        <v>42143901</v>
      </c>
      <c r="J11" s="10" t="s">
        <v>143</v>
      </c>
    </row>
    <row r="12" spans="1:10" ht="39">
      <c r="A12" s="24" t="s">
        <v>49</v>
      </c>
      <c r="B12" s="21" t="s">
        <v>17</v>
      </c>
      <c r="C12" s="21">
        <v>3151</v>
      </c>
      <c r="D12" s="21">
        <v>11</v>
      </c>
      <c r="E12" s="21" t="str">
        <f>"1000024224"</f>
        <v>1000024224</v>
      </c>
      <c r="F12" s="21" t="str">
        <f>"INCONTIN BRIEF:Confi Med 96/CA - Attends Confidence brief, disposable, value priced, Medium, 32-44, 96/case"</f>
        <v>INCONTIN BRIEF:Confi Med 96/CA - Attends Confidence brief, disposable, value priced, Medium, 32-44, 96/case</v>
      </c>
      <c r="G12" s="22" t="str">
        <f t="shared" si="0"/>
        <v>CA</v>
      </c>
      <c r="H12" s="23">
        <v>42</v>
      </c>
      <c r="I12" s="21" t="str">
        <f t="shared" si="2"/>
        <v>42143901</v>
      </c>
      <c r="J12" s="25" t="s">
        <v>143</v>
      </c>
    </row>
    <row r="13" spans="1:10" ht="39">
      <c r="A13" s="9" t="s">
        <v>49</v>
      </c>
      <c r="B13" s="2" t="s">
        <v>17</v>
      </c>
      <c r="C13" s="2">
        <v>3151</v>
      </c>
      <c r="D13" s="2">
        <v>12</v>
      </c>
      <c r="E13" s="2" t="str">
        <f>"1000024225"</f>
        <v>1000024225</v>
      </c>
      <c r="F13" s="2" t="str">
        <f>"INCONTIN BRIEF:Conf Lg 72/CA - Attends Confidence brief, disposable, value priced, Large, 44-58, 72/case"</f>
        <v>INCONTIN BRIEF:Conf Lg 72/CA - Attends Confidence brief, disposable, value priced, Large, 44-58, 72/case</v>
      </c>
      <c r="G13" s="3" t="str">
        <f t="shared" si="0"/>
        <v>CA</v>
      </c>
      <c r="H13" s="7">
        <v>42</v>
      </c>
      <c r="I13" s="2" t="str">
        <f t="shared" si="2"/>
        <v>42143901</v>
      </c>
      <c r="J13" s="10" t="s">
        <v>143</v>
      </c>
    </row>
    <row r="14" spans="1:10" ht="39">
      <c r="A14" s="24" t="s">
        <v>49</v>
      </c>
      <c r="B14" s="21" t="s">
        <v>17</v>
      </c>
      <c r="C14" s="21">
        <v>3151</v>
      </c>
      <c r="D14" s="21">
        <v>13</v>
      </c>
      <c r="E14" s="21" t="str">
        <f>"1000024226"</f>
        <v>1000024226</v>
      </c>
      <c r="F14" s="21" t="str">
        <f>"INCONTIN BRIEF:Breath Val Med 96/CA- Attends Brief, breathable, disposable, value priced, Medium 32-44, 96 per case"</f>
        <v>INCONTIN BRIEF:Breath Val Med 96/CA- Attends Brief, breathable, disposable, value priced, Medium 32-44, 96 per case</v>
      </c>
      <c r="G14" s="22" t="str">
        <f t="shared" si="0"/>
        <v>CA</v>
      </c>
      <c r="H14" s="23">
        <v>48.5</v>
      </c>
      <c r="I14" s="21" t="str">
        <f t="shared" si="2"/>
        <v>42143901</v>
      </c>
      <c r="J14" s="25" t="s">
        <v>143</v>
      </c>
    </row>
    <row r="15" spans="1:10" ht="39">
      <c r="A15" s="9" t="s">
        <v>49</v>
      </c>
      <c r="B15" s="2" t="s">
        <v>17</v>
      </c>
      <c r="C15" s="2">
        <v>3151</v>
      </c>
      <c r="D15" s="2">
        <v>14</v>
      </c>
      <c r="E15" s="2" t="str">
        <f>"1000024227"</f>
        <v>1000024227</v>
      </c>
      <c r="F15" s="2" t="str">
        <f>"INCONTIN BRIEF:Breath Val Lg 72/CA- Attends Brief, breathable, disposable, value priced, Large 44-58, 72 per case"</f>
        <v>INCONTIN BRIEF:Breath Val Lg 72/CA- Attends Brief, breathable, disposable, value priced, Large 44-58, 72 per case</v>
      </c>
      <c r="G15" s="3" t="str">
        <f t="shared" si="0"/>
        <v>CA</v>
      </c>
      <c r="H15" s="7">
        <v>49</v>
      </c>
      <c r="I15" s="2" t="str">
        <f t="shared" si="2"/>
        <v>42143901</v>
      </c>
      <c r="J15" s="10" t="s">
        <v>143</v>
      </c>
    </row>
    <row r="16" spans="1:10" ht="39">
      <c r="A16" s="24" t="s">
        <v>49</v>
      </c>
      <c r="B16" s="21" t="s">
        <v>17</v>
      </c>
      <c r="C16" s="21">
        <v>3151</v>
      </c>
      <c r="D16" s="21">
        <v>15</v>
      </c>
      <c r="E16" s="21" t="str">
        <f>"1000024228"</f>
        <v>1000024228</v>
      </c>
      <c r="F16" s="21" t="str">
        <f>"INCONTIN BRIEF:Breath Val XL 60/CA- Attends Brief, breathable, disposable, value priced, XLarge 58-63, 60 per case"</f>
        <v>INCONTIN BRIEF:Breath Val XL 60/CA- Attends Brief, breathable, disposable, value priced, XLarge 58-63, 60 per case</v>
      </c>
      <c r="G16" s="22" t="str">
        <f t="shared" si="0"/>
        <v>CA</v>
      </c>
      <c r="H16" s="23">
        <v>49.5</v>
      </c>
      <c r="I16" s="21" t="str">
        <f t="shared" si="2"/>
        <v>42143901</v>
      </c>
      <c r="J16" s="25" t="s">
        <v>143</v>
      </c>
    </row>
    <row r="17" spans="1:10" ht="39">
      <c r="A17" s="9" t="s">
        <v>49</v>
      </c>
      <c r="B17" s="2" t="s">
        <v>17</v>
      </c>
      <c r="C17" s="2">
        <v>3151</v>
      </c>
      <c r="D17" s="2">
        <v>16</v>
      </c>
      <c r="E17" s="2" t="str">
        <f>"1000024229"</f>
        <v>1000024229</v>
      </c>
      <c r="F17" s="2" t="str">
        <f>"INCONTIN BRIEF:Breath Med 96/CA - Attends Breathable Brief, disposable, Medium, 32-44, 96 per case"</f>
        <v>INCONTIN BRIEF:Breath Med 96/CA - Attends Breathable Brief, disposable, Medium, 32-44, 96 per case</v>
      </c>
      <c r="G17" s="3" t="str">
        <f t="shared" si="0"/>
        <v>CA</v>
      </c>
      <c r="H17" s="7">
        <v>49.5</v>
      </c>
      <c r="I17" s="2" t="str">
        <f t="shared" si="2"/>
        <v>42143901</v>
      </c>
      <c r="J17" s="10" t="s">
        <v>143</v>
      </c>
    </row>
    <row r="18" spans="1:10" ht="39">
      <c r="A18" s="24" t="s">
        <v>49</v>
      </c>
      <c r="B18" s="21" t="s">
        <v>17</v>
      </c>
      <c r="C18" s="21">
        <v>3151</v>
      </c>
      <c r="D18" s="21">
        <v>17</v>
      </c>
      <c r="E18" s="21" t="str">
        <f>"1000024231"</f>
        <v>1000024231</v>
      </c>
      <c r="F18" s="21" t="str">
        <f>"INCONTIN BRIEF:Breath Lg 72/CA - Attends Breathable Brief, disposable, Large, 44-58, 72 per case"</f>
        <v>INCONTIN BRIEF:Breath Lg 72/CA - Attends Breathable Brief, disposable, Large, 44-58, 72 per case</v>
      </c>
      <c r="G18" s="22" t="str">
        <f t="shared" si="0"/>
        <v>CA</v>
      </c>
      <c r="H18" s="23">
        <v>51.25</v>
      </c>
      <c r="I18" s="21" t="str">
        <f t="shared" si="2"/>
        <v>42143901</v>
      </c>
      <c r="J18" s="25" t="s">
        <v>143</v>
      </c>
    </row>
    <row r="19" spans="1:10" ht="39">
      <c r="A19" s="9" t="s">
        <v>49</v>
      </c>
      <c r="B19" s="2" t="s">
        <v>17</v>
      </c>
      <c r="C19" s="2">
        <v>3151</v>
      </c>
      <c r="D19" s="2">
        <v>18</v>
      </c>
      <c r="E19" s="2" t="str">
        <f>"1000024232"</f>
        <v>1000024232</v>
      </c>
      <c r="F19" s="2" t="str">
        <f>"INCONTIN BRIEF:Breath XLg 60/CA - Attends Breathable Brief, disposable, XLarge, 58-63, 60 per case"</f>
        <v>INCONTIN BRIEF:Breath XLg 60/CA - Attends Breathable Brief, disposable, XLarge, 58-63, 60 per case</v>
      </c>
      <c r="G19" s="3" t="str">
        <f t="shared" si="0"/>
        <v>CA</v>
      </c>
      <c r="H19" s="7">
        <v>51.25</v>
      </c>
      <c r="I19" s="2" t="str">
        <f t="shared" si="2"/>
        <v>42143901</v>
      </c>
      <c r="J19" s="10" t="s">
        <v>143</v>
      </c>
    </row>
    <row r="20" spans="1:10" ht="39">
      <c r="A20" s="24" t="s">
        <v>49</v>
      </c>
      <c r="B20" s="21" t="s">
        <v>17</v>
      </c>
      <c r="C20" s="21">
        <v>3151</v>
      </c>
      <c r="D20" s="21">
        <v>19</v>
      </c>
      <c r="E20" s="21" t="str">
        <f>"1000024221"</f>
        <v>1000024221</v>
      </c>
      <c r="F20" s="21" t="str">
        <f>"INCONTIN BRIEF:Breath XXL 48/CA - Attends Breathable Brief, disposable, XXLarge, 63-70, 48 per case"</f>
        <v>INCONTIN BRIEF:Breath XXL 48/CA - Attends Breathable Brief, disposable, XXLarge, 63-70, 48 per case</v>
      </c>
      <c r="G20" s="22" t="str">
        <f t="shared" si="0"/>
        <v>CA</v>
      </c>
      <c r="H20" s="23">
        <v>63</v>
      </c>
      <c r="I20" s="21" t="str">
        <f t="shared" si="2"/>
        <v>42143901</v>
      </c>
      <c r="J20" s="25" t="s">
        <v>143</v>
      </c>
    </row>
    <row r="21" spans="1:10" ht="39">
      <c r="A21" s="9" t="s">
        <v>49</v>
      </c>
      <c r="B21" s="2" t="s">
        <v>17</v>
      </c>
      <c r="C21" s="2">
        <v>3151</v>
      </c>
      <c r="D21" s="2">
        <v>20</v>
      </c>
      <c r="E21" s="2" t="str">
        <f>"1000024235"</f>
        <v>1000024235</v>
      </c>
      <c r="F21" s="2" t="str">
        <f>"INCONTIN BRIEF:Bariat. XXXL 32/CA - Attends Bariatric Brief, breathable, disposable, XXXLarge, 70-90, 32 per case"</f>
        <v>INCONTIN BRIEF:Bariat. XXXL 32/CA - Attends Bariatric Brief, breathable, disposable, XXXLarge, 70-90, 32 per case</v>
      </c>
      <c r="G21" s="3" t="str">
        <f t="shared" si="0"/>
        <v>CA</v>
      </c>
      <c r="H21" s="7">
        <v>76.25</v>
      </c>
      <c r="I21" s="2" t="str">
        <f t="shared" si="2"/>
        <v>42143901</v>
      </c>
      <c r="J21" s="10" t="s">
        <v>143</v>
      </c>
    </row>
    <row r="22" spans="1:10" ht="39">
      <c r="A22" s="24" t="s">
        <v>49</v>
      </c>
      <c r="B22" s="21" t="s">
        <v>17</v>
      </c>
      <c r="C22" s="21">
        <v>3151</v>
      </c>
      <c r="D22" s="21">
        <v>21</v>
      </c>
      <c r="E22" s="21" t="str">
        <f>"1000024215"</f>
        <v>1000024215</v>
      </c>
      <c r="F22" s="21" t="str">
        <f>"INCONTIN BRIEF:X-Ab-Breath-Sm 96/CA - Attends Breathable Extra Absorbent Brief, disposable, Small, 20-32, 96 per case"</f>
        <v>INCONTIN BRIEF:X-Ab-Breath-Sm 96/CA - Attends Breathable Extra Absorbent Brief, disposable, Small, 20-32, 96 per case</v>
      </c>
      <c r="G22" s="22" t="str">
        <f t="shared" si="0"/>
        <v>CA</v>
      </c>
      <c r="H22" s="23">
        <v>51.75</v>
      </c>
      <c r="I22" s="21" t="str">
        <f t="shared" si="2"/>
        <v>42143901</v>
      </c>
      <c r="J22" s="25" t="s">
        <v>143</v>
      </c>
    </row>
    <row r="23" spans="1:10" ht="39">
      <c r="A23" s="9" t="s">
        <v>49</v>
      </c>
      <c r="B23" s="2" t="s">
        <v>17</v>
      </c>
      <c r="C23" s="2">
        <v>3151</v>
      </c>
      <c r="D23" s="2">
        <v>22</v>
      </c>
      <c r="E23" s="2" t="str">
        <f>"1000024230"</f>
        <v>1000024230</v>
      </c>
      <c r="F23" s="2" t="str">
        <f>"INCONTIN BRIEF:X-Ab-Breath-Reg - Attends Breathable Extra Absorbent Brief, disposable, Regular size 44-56, 72 per case"</f>
        <v>INCONTIN BRIEF:X-Ab-Breath-Reg - Attends Breathable Extra Absorbent Brief, disposable, Regular size 44-56, 72 per case</v>
      </c>
      <c r="G23" s="3" t="str">
        <f t="shared" si="0"/>
        <v>CA</v>
      </c>
      <c r="H23" s="7">
        <v>50.78</v>
      </c>
      <c r="I23" s="2" t="str">
        <f t="shared" si="2"/>
        <v>42143901</v>
      </c>
      <c r="J23" s="10" t="s">
        <v>143</v>
      </c>
    </row>
    <row r="24" spans="1:10" ht="39">
      <c r="A24" s="24" t="s">
        <v>49</v>
      </c>
      <c r="B24" s="21" t="s">
        <v>17</v>
      </c>
      <c r="C24" s="21">
        <v>3151</v>
      </c>
      <c r="D24" s="21">
        <v>23</v>
      </c>
      <c r="E24" s="21" t="str">
        <f>"1000024239"</f>
        <v>1000024239</v>
      </c>
      <c r="F24" s="21" t="str">
        <f>"INCONTIN BRIEF:Pull On Sm 80/CA - Attends Pull On Underwear, fitted, super plus absorbency, disposable, Small, 22""-36"", 80-125 lbs, 80 per case"</f>
        <v>INCONTIN BRIEF:Pull On Sm 80/CA - Attends Pull On Underwear, fitted, super plus absorbency, disposable, Small, 22"-36", 80-125 lbs, 80 per case</v>
      </c>
      <c r="G24" s="22" t="str">
        <f t="shared" si="0"/>
        <v>CA</v>
      </c>
      <c r="H24" s="23">
        <v>65.75</v>
      </c>
      <c r="I24" s="21" t="str">
        <f t="shared" si="2"/>
        <v>42143901</v>
      </c>
      <c r="J24" s="25" t="s">
        <v>143</v>
      </c>
    </row>
    <row r="25" spans="1:10" ht="39">
      <c r="A25" s="9" t="s">
        <v>49</v>
      </c>
      <c r="B25" s="2" t="s">
        <v>17</v>
      </c>
      <c r="C25" s="2">
        <v>3151</v>
      </c>
      <c r="D25" s="2">
        <v>24</v>
      </c>
      <c r="E25" s="2" t="str">
        <f>"1000024240"</f>
        <v>1000024240</v>
      </c>
      <c r="F25" s="2" t="str">
        <f>"INCONTIN BRIEF:Pull On Med 80/CA - Attends Pull On Underwear, fitted, super plus absorbency, disposable, Medium, 36-44, 120-175 lbs, 80 per case"</f>
        <v>INCONTIN BRIEF:Pull On Med 80/CA - Attends Pull On Underwear, fitted, super plus absorbency, disposable, Medium, 36-44, 120-175 lbs, 80 per case</v>
      </c>
      <c r="G25" s="3" t="str">
        <f t="shared" si="0"/>
        <v>CA</v>
      </c>
      <c r="H25" s="7">
        <v>65.75</v>
      </c>
      <c r="I25" s="2" t="str">
        <f t="shared" si="2"/>
        <v>42143901</v>
      </c>
      <c r="J25" s="10" t="s">
        <v>143</v>
      </c>
    </row>
    <row r="26" spans="1:10" ht="39">
      <c r="A26" s="24" t="s">
        <v>49</v>
      </c>
      <c r="B26" s="21" t="s">
        <v>17</v>
      </c>
      <c r="C26" s="21">
        <v>3151</v>
      </c>
      <c r="D26" s="21">
        <v>25</v>
      </c>
      <c r="E26" s="21" t="str">
        <f>"1000024236"</f>
        <v>1000024236</v>
      </c>
      <c r="F26" s="21" t="str">
        <f>"INCONTIN BRIEF:Pull On Lg 72/CA - Attends Pull On Underwear, fitted, super plus absorbency, disposable, Large, 44-58, 170-210 lbs, 72 per case"</f>
        <v>INCONTIN BRIEF:Pull On Lg 72/CA - Attends Pull On Underwear, fitted, super plus absorbency, disposable, Large, 44-58, 170-210 lbs, 72 per case</v>
      </c>
      <c r="G26" s="22" t="str">
        <f t="shared" si="0"/>
        <v>CA</v>
      </c>
      <c r="H26" s="23">
        <v>65.75</v>
      </c>
      <c r="I26" s="21" t="str">
        <f t="shared" si="2"/>
        <v>42143901</v>
      </c>
      <c r="J26" s="25" t="s">
        <v>143</v>
      </c>
    </row>
    <row r="27" spans="1:10" ht="39">
      <c r="A27" s="9" t="s">
        <v>49</v>
      </c>
      <c r="B27" s="2" t="s">
        <v>17</v>
      </c>
      <c r="C27" s="2">
        <v>3151</v>
      </c>
      <c r="D27" s="2">
        <v>26</v>
      </c>
      <c r="E27" s="2" t="str">
        <f>"1000024237"</f>
        <v>1000024237</v>
      </c>
      <c r="F27" s="2" t="str">
        <f>"INCONTIN BRIEF:Pull On XLg 56/CA - Attends Pull On Underwear, fitted, super plus absorbency, disposable, XLarge, 58""-68"", 210-250 lbs, 56 per case"</f>
        <v>INCONTIN BRIEF:Pull On XLg 56/CA - Attends Pull On Underwear, fitted, super plus absorbency, disposable, XLarge, 58"-68", 210-250 lbs, 56 per case</v>
      </c>
      <c r="G27" s="3" t="str">
        <f t="shared" si="0"/>
        <v>CA</v>
      </c>
      <c r="H27" s="7">
        <v>65.75</v>
      </c>
      <c r="I27" s="2" t="str">
        <f t="shared" si="2"/>
        <v>42143901</v>
      </c>
      <c r="J27" s="10" t="s">
        <v>143</v>
      </c>
    </row>
    <row r="28" spans="1:10" ht="51.75">
      <c r="A28" s="24" t="s">
        <v>49</v>
      </c>
      <c r="B28" s="21" t="s">
        <v>17</v>
      </c>
      <c r="C28" s="21">
        <v>3151</v>
      </c>
      <c r="D28" s="21">
        <v>27</v>
      </c>
      <c r="E28" s="21" t="str">
        <f>"1000024220"</f>
        <v>1000024220</v>
      </c>
      <c r="F28" s="21" t="str">
        <f>"INCONTIN BRIEF:Wingfold 23x36 100/CA - Attends Confidence Wingfold brief, disposable, side tape tabs for use as an underpad or non-fitted brief, 23x36, 100 per case"</f>
        <v>INCONTIN BRIEF:Wingfold 23x36 100/CA - Attends Confidence Wingfold brief, disposable, side tape tabs for use as an underpad or non-fitted brief, 23x36, 100 per case</v>
      </c>
      <c r="G28" s="22" t="str">
        <f t="shared" si="0"/>
        <v>CA</v>
      </c>
      <c r="H28" s="23">
        <v>52.25</v>
      </c>
      <c r="I28" s="21" t="str">
        <f t="shared" si="2"/>
        <v>42143901</v>
      </c>
      <c r="J28" s="25" t="s">
        <v>143</v>
      </c>
    </row>
    <row r="29" spans="1:10" ht="39">
      <c r="A29" s="9" t="s">
        <v>49</v>
      </c>
      <c r="B29" s="2" t="s">
        <v>17</v>
      </c>
      <c r="C29" s="2">
        <v>3151</v>
      </c>
      <c r="D29" s="2">
        <v>28</v>
      </c>
      <c r="E29" s="2" t="str">
        <f>"1000024205"</f>
        <v>1000024205</v>
      </c>
      <c r="F29" s="2" t="str">
        <f>"INCONTIN PAD:Lt Xtra 10.5 180/CA - Attends Light Extra 10.5 pads, extra protection, shaped , Hygard polymer, adhesive peel, individually wrapped, 180 per case"</f>
        <v>INCONTIN PAD:Lt Xtra 10.5 180/CA - Attends Light Extra 10.5 pads, extra protection, shaped , Hygard polymer, adhesive peel, individually wrapped, 180 per case</v>
      </c>
      <c r="G29" s="3" t="str">
        <f t="shared" si="0"/>
        <v>CA</v>
      </c>
      <c r="H29" s="7">
        <v>55.25</v>
      </c>
      <c r="I29" s="2" t="str">
        <f t="shared" si="2"/>
        <v>42143901</v>
      </c>
      <c r="J29" s="10" t="s">
        <v>143</v>
      </c>
    </row>
    <row r="30" spans="1:10" ht="51.75">
      <c r="A30" s="24" t="s">
        <v>49</v>
      </c>
      <c r="B30" s="21" t="s">
        <v>17</v>
      </c>
      <c r="C30" s="21">
        <v>3151</v>
      </c>
      <c r="D30" s="21">
        <v>29</v>
      </c>
      <c r="E30" s="21" t="str">
        <f>"1000024206"</f>
        <v>1000024206</v>
      </c>
      <c r="F30" s="21" t="str">
        <f>"INCONTIN PAD:Lt Ult 18 120/CA - Attends Light Ultimate Pads, bladder control pads, ultimate protection, shaped, adhesive peel, hygard polymer, 18, 120 per case"</f>
        <v>INCONTIN PAD:Lt Ult 18 120/CA - Attends Light Ultimate Pads, bladder control pads, ultimate protection, shaped, adhesive peel, hygard polymer, 18, 120 per case</v>
      </c>
      <c r="G30" s="22" t="str">
        <f t="shared" si="0"/>
        <v>CA</v>
      </c>
      <c r="H30" s="23">
        <v>61.5</v>
      </c>
      <c r="I30" s="21" t="str">
        <f t="shared" si="2"/>
        <v>42143901</v>
      </c>
      <c r="J30" s="25" t="s">
        <v>143</v>
      </c>
    </row>
    <row r="31" spans="1:10" ht="39">
      <c r="A31" s="9" t="s">
        <v>49</v>
      </c>
      <c r="B31" s="2" t="s">
        <v>17</v>
      </c>
      <c r="C31" s="2">
        <v>3151</v>
      </c>
      <c r="D31" s="2">
        <v>30</v>
      </c>
      <c r="E31" s="2" t="str">
        <f>"1000024207"</f>
        <v>1000024207</v>
      </c>
      <c r="F31" s="2" t="str">
        <f>"INCONTIN PAD:Super 24.5 72CA - Attends Shaped pads, Super. Super level absorbency, adhesive patch, 24.5 long, 13 wide, rapid lock system, 72 per case"</f>
        <v>INCONTIN PAD:Super 24.5 72CA - Attends Shaped pads, Super. Super level absorbency, adhesive patch, 24.5 long, 13 wide, rapid lock system, 72 per case</v>
      </c>
      <c r="G31" s="3" t="str">
        <f t="shared" si="0"/>
        <v>CA</v>
      </c>
      <c r="H31" s="7">
        <v>57</v>
      </c>
      <c r="I31" s="2" t="str">
        <f t="shared" si="2"/>
        <v>42143901</v>
      </c>
      <c r="J31" s="10" t="s">
        <v>143</v>
      </c>
    </row>
    <row r="32" spans="1:10" ht="64.5">
      <c r="A32" s="9" t="s">
        <v>49</v>
      </c>
      <c r="B32" s="2" t="s">
        <v>17</v>
      </c>
      <c r="C32" s="2">
        <v>3151</v>
      </c>
      <c r="D32" s="2">
        <v>32</v>
      </c>
      <c r="E32" s="2" t="str">
        <f>"1000024208"</f>
        <v>1000024208</v>
      </c>
      <c r="F32" s="2" t="str">
        <f>"WIPE/WASHCLOTH:9x13, 576/CA - Attends Washcloth, pop up pack. Soft pack, spunlace washcloth with aloe, gentle, alcohol free, hypoallergenic, no rinsing necessary. Reclosable lid on a soft pack, 9x13c 48/pk, 12pks/case. 576 wipes per case"</f>
        <v>WIPE/WASHCLOTH:9x13, 576/CA - Attends Washcloth, pop up pack. Soft pack, spunlace washcloth with aloe, gentle, alcohol free, hypoallergenic, no rinsing necessary. Reclosable lid on a soft pack, 9x13c 48/pk, 12pks/case. 576 wipes per case</v>
      </c>
      <c r="G32" s="3" t="str">
        <f t="shared" si="0"/>
        <v>CA</v>
      </c>
      <c r="H32" s="7">
        <v>42</v>
      </c>
      <c r="I32" s="2" t="str">
        <f>"53131624"</f>
        <v>53131624</v>
      </c>
      <c r="J32" s="10" t="s">
        <v>130</v>
      </c>
    </row>
    <row r="33" spans="1:10" ht="51.75">
      <c r="A33" s="26" t="s">
        <v>49</v>
      </c>
      <c r="B33" s="27" t="s">
        <v>17</v>
      </c>
      <c r="C33" s="27">
        <v>3151</v>
      </c>
      <c r="D33" s="27">
        <v>33</v>
      </c>
      <c r="E33" s="27" t="str">
        <f>"1000024212"</f>
        <v>1000024212</v>
      </c>
      <c r="F33" s="27" t="str">
        <f>"WIPES:Sensitive,Flushable 576/CA - Flushable wipes for sensitive skin with aloe and vitamin E. Latex and alcohol free. Safe for sewer and septic system. 48 wipes per tub, 12 tubs per case"</f>
        <v>WIPES:Sensitive,Flushable 576/CA - Flushable wipes for sensitive skin with aloe and vitamin E. Latex and alcohol free. Safe for sewer and septic system. 48 wipes per tub, 12 tubs per case</v>
      </c>
      <c r="G33" s="28" t="str">
        <f t="shared" si="0"/>
        <v>CA</v>
      </c>
      <c r="H33" s="29">
        <v>31</v>
      </c>
      <c r="I33" s="27" t="str">
        <f>"53131624"</f>
        <v>53131624</v>
      </c>
      <c r="J33" s="30" t="s">
        <v>130</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sheetPr codeName="Sheet18"/>
  <dimension ref="A1:J24"/>
  <sheetViews>
    <sheetView workbookViewId="0">
      <selection activeCell="B1" sqref="B1:B1048576"/>
    </sheetView>
  </sheetViews>
  <sheetFormatPr defaultRowHeight="15"/>
  <cols>
    <col min="1" max="1" width="6.5703125" bestFit="1" customWidth="1"/>
    <col min="2" max="2" width="6.28515625" customWidth="1"/>
    <col min="3" max="3" width="5.85546875" customWidth="1"/>
    <col min="4" max="4" width="5" customWidth="1"/>
    <col min="5" max="5" width="11" bestFit="1" customWidth="1"/>
    <col min="6" max="6" width="34.7109375" customWidth="1"/>
    <col min="7" max="7" width="7.140625" customWidth="1"/>
    <col min="8" max="8" width="6.42578125" bestFit="1" customWidth="1"/>
    <col min="9" max="9" width="9" bestFit="1" customWidth="1"/>
    <col min="10" max="10" width="11.42578125" bestFit="1" customWidth="1"/>
  </cols>
  <sheetData>
    <row r="1" spans="1:10" s="6" customFormat="1" ht="12.75">
      <c r="A1" s="32" t="s">
        <v>71</v>
      </c>
      <c r="B1" s="33" t="s">
        <v>208</v>
      </c>
      <c r="C1" s="33" t="s">
        <v>65</v>
      </c>
      <c r="D1" s="33" t="s">
        <v>207</v>
      </c>
      <c r="E1" s="33" t="s">
        <v>20</v>
      </c>
      <c r="F1" s="33" t="s">
        <v>21</v>
      </c>
      <c r="G1" s="33" t="s">
        <v>22</v>
      </c>
      <c r="H1" s="34" t="s">
        <v>66</v>
      </c>
      <c r="I1" s="33" t="s">
        <v>206</v>
      </c>
      <c r="J1" s="35" t="s">
        <v>205</v>
      </c>
    </row>
    <row r="2" spans="1:10" ht="64.5">
      <c r="A2" s="36" t="s">
        <v>307</v>
      </c>
      <c r="B2" s="31" t="s">
        <v>57</v>
      </c>
      <c r="C2" s="31">
        <v>3041</v>
      </c>
      <c r="D2" s="31">
        <v>1</v>
      </c>
      <c r="E2" s="31" t="str">
        <f>"1000024256"</f>
        <v>1000024256</v>
      </c>
      <c r="F2" s="31" t="str">
        <f>"DEODORIZER: Fabric 4oz 12/CA - Fabric Deodorizer, non-aerosol spray, 4oz. spray bottles. Can be used in the air or directly on most fabrics to remove unpleasant odors. 12 spray bottles/case"</f>
        <v>DEODORIZER: Fabric 4oz 12/CA - Fabric Deodorizer, non-aerosol spray, 4oz. spray bottles. Can be used in the air or directly on most fabrics to remove unpleasant odors. 12 spray bottles/case</v>
      </c>
      <c r="G2" s="37" t="str">
        <f t="shared" ref="G2:G10" si="0">"CA"</f>
        <v>CA</v>
      </c>
      <c r="H2" s="38">
        <v>23.96</v>
      </c>
      <c r="I2" s="31" t="str">
        <f t="shared" ref="I2:I10" si="1">"47131816"</f>
        <v>47131816</v>
      </c>
      <c r="J2" s="39" t="s">
        <v>151</v>
      </c>
    </row>
    <row r="3" spans="1:10" ht="51.75">
      <c r="A3" s="36" t="s">
        <v>307</v>
      </c>
      <c r="B3" s="31" t="s">
        <v>57</v>
      </c>
      <c r="C3" s="31">
        <v>3041</v>
      </c>
      <c r="D3" s="31">
        <v>2</v>
      </c>
      <c r="E3" s="31" t="str">
        <f>"1000024265"</f>
        <v>1000024265</v>
      </c>
      <c r="F3" s="31" t="str">
        <f>"DEODORIZER:4oz spray 12/CA Lmn- Spray deodorant, ready-to-use, 4 oz hand powered spray bottle, 12/case. Scent: Lemon"</f>
        <v>DEODORIZER:4oz spray 12/CA Lmn- Spray deodorant, ready-to-use, 4 oz hand powered spray bottle, 12/case. Scent: Lemon</v>
      </c>
      <c r="G3" s="37" t="str">
        <f t="shared" si="0"/>
        <v>CA</v>
      </c>
      <c r="H3" s="38">
        <v>35.4</v>
      </c>
      <c r="I3" s="31" t="str">
        <f t="shared" si="1"/>
        <v>47131816</v>
      </c>
      <c r="J3" s="39" t="s">
        <v>151</v>
      </c>
    </row>
    <row r="4" spans="1:10" ht="64.5">
      <c r="A4" s="36" t="s">
        <v>307</v>
      </c>
      <c r="B4" s="31" t="s">
        <v>57</v>
      </c>
      <c r="C4" s="31">
        <v>3041</v>
      </c>
      <c r="D4" s="31">
        <v>3</v>
      </c>
      <c r="E4" s="31" t="str">
        <f>"1000024269"</f>
        <v>1000024269</v>
      </c>
      <c r="F4" s="31" t="str">
        <f>"DEODORIZER:Concentrate 4/CA Dis. - Deodorant Concentrate. Can be used in conjunction with cleaners, disinfectants, or shampoos. 2-4:64 oz dissolution ratio, 4/case. Scent: Cherry"</f>
        <v>DEODORIZER:Concentrate 4/CA Dis. - Deodorant Concentrate. Can be used in conjunction with cleaners, disinfectants, or shampoos. 2-4:64 oz dissolution ratio, 4/case. Scent: Cherry</v>
      </c>
      <c r="G4" s="37" t="str">
        <f t="shared" si="0"/>
        <v>CA</v>
      </c>
      <c r="H4" s="38">
        <v>35.6</v>
      </c>
      <c r="I4" s="31" t="str">
        <f t="shared" si="1"/>
        <v>47131816</v>
      </c>
      <c r="J4" s="39" t="s">
        <v>151</v>
      </c>
    </row>
    <row r="5" spans="1:10" ht="51.75">
      <c r="A5" s="36" t="s">
        <v>307</v>
      </c>
      <c r="B5" s="31" t="s">
        <v>57</v>
      </c>
      <c r="C5" s="31">
        <v>3041</v>
      </c>
      <c r="D5" s="31">
        <v>4</v>
      </c>
      <c r="E5" s="31" t="str">
        <f>"1000024257"</f>
        <v>1000024257</v>
      </c>
      <c r="F5" s="31" t="str">
        <f>"DEODORIZER:Counteractant Lmn 6/CA - Water Soluble, Odor counteractants, 1-2:64 oz dissolution ratio, 6 per case. Scent: Lemon"</f>
        <v>DEODORIZER:Counteractant Lmn 6/CA - Water Soluble, Odor counteractants, 1-2:64 oz dissolution ratio, 6 per case. Scent: Lemon</v>
      </c>
      <c r="G5" s="37" t="str">
        <f t="shared" si="0"/>
        <v>CA</v>
      </c>
      <c r="H5" s="38">
        <v>50</v>
      </c>
      <c r="I5" s="31" t="str">
        <f t="shared" si="1"/>
        <v>47131816</v>
      </c>
      <c r="J5" s="39" t="s">
        <v>151</v>
      </c>
    </row>
    <row r="6" spans="1:10" ht="51.75">
      <c r="A6" s="36" t="s">
        <v>307</v>
      </c>
      <c r="B6" s="31" t="s">
        <v>57</v>
      </c>
      <c r="C6" s="31">
        <v>3041</v>
      </c>
      <c r="D6" s="31">
        <v>5</v>
      </c>
      <c r="E6" s="31" t="str">
        <f>"1000024253"</f>
        <v>1000024253</v>
      </c>
      <c r="F6" s="31" t="str">
        <f>"DEODORIZER:Indst Wick 1.5oz 72/CA - Industrial Wick Deodorizers,1.5 oz bottle. 12 bottles/carton, 6 cartons/case (72 total). Scent: Natural"</f>
        <v>DEODORIZER:Indst Wick 1.5oz 72/CA - Industrial Wick Deodorizers,1.5 oz bottle. 12 bottles/carton, 6 cartons/case (72 total). Scent: Natural</v>
      </c>
      <c r="G6" s="37" t="str">
        <f t="shared" si="0"/>
        <v>CA</v>
      </c>
      <c r="H6" s="38"/>
      <c r="I6" s="31" t="str">
        <f t="shared" si="1"/>
        <v>47131816</v>
      </c>
      <c r="J6" s="39" t="s">
        <v>151</v>
      </c>
    </row>
    <row r="7" spans="1:10" ht="51.75">
      <c r="A7" s="36" t="s">
        <v>307</v>
      </c>
      <c r="B7" s="31" t="s">
        <v>57</v>
      </c>
      <c r="C7" s="31">
        <v>3041</v>
      </c>
      <c r="D7" s="31">
        <v>6</v>
      </c>
      <c r="E7" s="31" t="str">
        <f>"1000024254"</f>
        <v>1000024254</v>
      </c>
      <c r="F7" s="31" t="str">
        <f>"DEODORIZER:Indst Wick 4oz 36/CA - Industrial Wick Deodorizers, 4 oz bottle. 12 bottles/carton, 3 cartons/case (36 total). Scent: Natural"</f>
        <v>DEODORIZER:Indst Wick 4oz 36/CA - Industrial Wick Deodorizers, 4 oz bottle. 12 bottles/carton, 3 cartons/case (36 total). Scent: Natural</v>
      </c>
      <c r="G7" s="37" t="str">
        <f t="shared" si="0"/>
        <v>CA</v>
      </c>
      <c r="H7" s="38">
        <v>106.31</v>
      </c>
      <c r="I7" s="31" t="str">
        <f t="shared" si="1"/>
        <v>47131816</v>
      </c>
      <c r="J7" s="39" t="s">
        <v>151</v>
      </c>
    </row>
    <row r="8" spans="1:10" ht="51.75">
      <c r="A8" s="36" t="s">
        <v>307</v>
      </c>
      <c r="B8" s="31" t="s">
        <v>57</v>
      </c>
      <c r="C8" s="31">
        <v>3041</v>
      </c>
      <c r="D8" s="31">
        <v>7</v>
      </c>
      <c r="E8" s="31" t="str">
        <f>"1000024259"</f>
        <v>1000024259</v>
      </c>
      <c r="F8" s="31" t="str">
        <f>"DEODORIZER:Metered Arsl 12/CA MntnAir - Concentrated room deodorizers, metered aerosol concentrates. 12/CA. Scent: Mountain Air"</f>
        <v>DEODORIZER:Metered Arsl 12/CA MntnAir - Concentrated room deodorizers, metered aerosol concentrates. 12/CA. Scent: Mountain Air</v>
      </c>
      <c r="G8" s="37" t="str">
        <f t="shared" si="0"/>
        <v>CA</v>
      </c>
      <c r="H8" s="38">
        <v>44.8</v>
      </c>
      <c r="I8" s="31" t="str">
        <f t="shared" si="1"/>
        <v>47131816</v>
      </c>
      <c r="J8" s="39" t="s">
        <v>151</v>
      </c>
    </row>
    <row r="9" spans="1:10" ht="51.75">
      <c r="A9" s="36" t="s">
        <v>307</v>
      </c>
      <c r="B9" s="31" t="s">
        <v>57</v>
      </c>
      <c r="C9" s="31">
        <v>3041</v>
      </c>
      <c r="D9" s="31">
        <v>8</v>
      </c>
      <c r="E9" s="31" t="str">
        <f>"1000024271"</f>
        <v>1000024271</v>
      </c>
      <c r="F9" s="31" t="str">
        <f>"DEODORIZER:Para 16oz hang up 6/CA - Para urine deodorant wall block with hang-up carton, 16 oz block, 6/case. Scent: Cherry"</f>
        <v>DEODORIZER:Para 16oz hang up 6/CA - Para urine deodorant wall block with hang-up carton, 16 oz block, 6/case. Scent: Cherry</v>
      </c>
      <c r="G9" s="37" t="str">
        <f t="shared" si="0"/>
        <v>CA</v>
      </c>
      <c r="H9" s="38">
        <v>23.34</v>
      </c>
      <c r="I9" s="31" t="str">
        <f t="shared" si="1"/>
        <v>47131816</v>
      </c>
      <c r="J9" s="39" t="s">
        <v>151</v>
      </c>
    </row>
    <row r="10" spans="1:10" ht="51.75">
      <c r="A10" s="36" t="s">
        <v>307</v>
      </c>
      <c r="B10" s="31" t="s">
        <v>57</v>
      </c>
      <c r="C10" s="31">
        <v>3041</v>
      </c>
      <c r="D10" s="31">
        <v>9</v>
      </c>
      <c r="E10" s="31" t="str">
        <f>"1000024272"</f>
        <v>1000024272</v>
      </c>
      <c r="F10" s="31" t="str">
        <f>"DEODORIZER:Para 24oz hang up 6/CA - Para urine air deodorant wall block with hang-up carton, 24oz block, 6/case. Scent: Cherry"</f>
        <v>DEODORIZER:Para 24oz hang up 6/CA - Para urine air deodorant wall block with hang-up carton, 24oz block, 6/case. Scent: Cherry</v>
      </c>
      <c r="G10" s="37" t="str">
        <f t="shared" si="0"/>
        <v>CA</v>
      </c>
      <c r="H10" s="38">
        <v>29.17</v>
      </c>
      <c r="I10" s="31" t="str">
        <f t="shared" si="1"/>
        <v>47131816</v>
      </c>
      <c r="J10" s="39" t="s">
        <v>151</v>
      </c>
    </row>
    <row r="11" spans="1:10" ht="77.25">
      <c r="A11" s="36" t="s">
        <v>307</v>
      </c>
      <c r="B11" s="31" t="s">
        <v>57</v>
      </c>
      <c r="C11" s="31">
        <v>3041</v>
      </c>
      <c r="D11" s="31">
        <v>10</v>
      </c>
      <c r="E11" s="31" t="str">
        <f>"1000024274"</f>
        <v>1000024274</v>
      </c>
      <c r="F11" s="31" t="str">
        <f>"DISPENSER:15min Mtrd Arsl Batt - Metered Aerosol Concentrates dispenser, battery operated aerosol, 15 minute incremental spray, covers up to 6,000 sq ft, batteries NOT included Operates with metered concentrated deodorant."</f>
        <v>DISPENSER:15min Mtrd Arsl Batt - Metered Aerosol Concentrates dispenser, battery operated aerosol, 15 minute incremental spray, covers up to 6,000 sq ft, batteries NOT included Operates with metered concentrated deodorant.</v>
      </c>
      <c r="G11" s="37" t="str">
        <f>"EA"</f>
        <v>EA</v>
      </c>
      <c r="H11" s="38">
        <v>33.65</v>
      </c>
      <c r="I11" s="31" t="str">
        <f>"47131706"</f>
        <v>47131706</v>
      </c>
      <c r="J11" s="39" t="s">
        <v>152</v>
      </c>
    </row>
    <row r="12" spans="1:10" ht="64.5">
      <c r="A12" s="36" t="s">
        <v>307</v>
      </c>
      <c r="B12" s="31" t="s">
        <v>57</v>
      </c>
      <c r="C12" s="31">
        <v>3041</v>
      </c>
      <c r="D12" s="31">
        <v>11</v>
      </c>
      <c r="E12" s="31" t="str">
        <f>"1000024258"</f>
        <v>1000024258</v>
      </c>
      <c r="F12" s="31" t="str">
        <f>"DISPENSER:Light Actvtd Mtrd Arsl - Metered Aerosol Concentrates dispenser, Light-Activated Dispenser. Turns itself off when light is off in the room. Operates with metered concentrated deodorant."</f>
        <v>DISPENSER:Light Actvtd Mtrd Arsl - Metered Aerosol Concentrates dispenser, Light-Activated Dispenser. Turns itself off when light is off in the room. Operates with metered concentrated deodorant.</v>
      </c>
      <c r="G12" s="37" t="str">
        <f>"EA"</f>
        <v>EA</v>
      </c>
      <c r="H12" s="38">
        <v>32.25</v>
      </c>
      <c r="I12" s="31" t="str">
        <f>"47131706"</f>
        <v>47131706</v>
      </c>
      <c r="J12" s="39" t="s">
        <v>152</v>
      </c>
    </row>
    <row r="13" spans="1:10" ht="39">
      <c r="A13" s="36" t="s">
        <v>307</v>
      </c>
      <c r="B13" s="31" t="s">
        <v>57</v>
      </c>
      <c r="C13" s="31">
        <v>3041</v>
      </c>
      <c r="D13" s="31">
        <v>12</v>
      </c>
      <c r="E13" s="31" t="str">
        <f>"1000024255"</f>
        <v>1000024255</v>
      </c>
      <c r="F13" s="31" t="str">
        <f>"ODOR CONTROL: Fogger 5oz 12/CA - Odor Control Fogger, 5 oz. Total release fogger for severe odors. 12/case"</f>
        <v>ODOR CONTROL: Fogger 5oz 12/CA - Odor Control Fogger, 5 oz. Total release fogger for severe odors. 12/case</v>
      </c>
      <c r="G13" s="37" t="str">
        <f t="shared" ref="G13:G23" si="2">"CA"</f>
        <v>CA</v>
      </c>
      <c r="H13" s="38">
        <v>32.840000000000003</v>
      </c>
      <c r="I13" s="31" t="str">
        <f>"47131816"</f>
        <v>47131816</v>
      </c>
      <c r="J13" s="39" t="s">
        <v>151</v>
      </c>
    </row>
    <row r="14" spans="1:10" ht="51.75">
      <c r="A14" s="36" t="s">
        <v>307</v>
      </c>
      <c r="B14" s="31" t="s">
        <v>57</v>
      </c>
      <c r="C14" s="31">
        <v>3041</v>
      </c>
      <c r="D14" s="31">
        <v>13</v>
      </c>
      <c r="E14" s="31" t="str">
        <f>"1000024268"</f>
        <v>1000024268</v>
      </c>
      <c r="F14" s="31" t="str">
        <f>"TOILET RIM HANGER:4oz Para 144/CA - Toilet Bowl Rim Hanger with 4 oz Para Block 12/box, 12 boxes/case (144 total). Scent: Cherry"</f>
        <v>TOILET RIM HANGER:4oz Para 144/CA - Toilet Bowl Rim Hanger with 4 oz Para Block 12/box, 12 boxes/case (144 total). Scent: Cherry</v>
      </c>
      <c r="G14" s="37" t="str">
        <f t="shared" si="2"/>
        <v>CA</v>
      </c>
      <c r="H14" s="38">
        <v>125.7</v>
      </c>
      <c r="I14" s="31" t="str">
        <f>"47131816"</f>
        <v>47131816</v>
      </c>
      <c r="J14" s="39" t="s">
        <v>151</v>
      </c>
    </row>
    <row r="15" spans="1:10" ht="51.75">
      <c r="A15" s="36" t="s">
        <v>307</v>
      </c>
      <c r="B15" s="31" t="s">
        <v>57</v>
      </c>
      <c r="C15" s="31">
        <v>3041</v>
      </c>
      <c r="D15" s="31">
        <v>14</v>
      </c>
      <c r="E15" s="31" t="str">
        <f>"1000024275"</f>
        <v>1000024275</v>
      </c>
      <c r="F15" s="31" t="str">
        <f>"TOILET RIM HANGER:NonPara 12/CA - Non-Para toilet bowl rim hanger 12 hangers/case. Scent: Evergreen with enzymes"</f>
        <v>TOILET RIM HANGER:NonPara 12/CA - Non-Para toilet bowl rim hanger 12 hangers/case. Scent: Evergreen with enzymes</v>
      </c>
      <c r="G15" s="37" t="str">
        <f t="shared" si="2"/>
        <v>CA</v>
      </c>
      <c r="H15" s="38">
        <v>14.97</v>
      </c>
      <c r="I15" s="31" t="str">
        <f>"47131705"</f>
        <v>47131705</v>
      </c>
      <c r="J15" s="39" t="s">
        <v>134</v>
      </c>
    </row>
    <row r="16" spans="1:10" ht="51.75">
      <c r="A16" s="36" t="s">
        <v>307</v>
      </c>
      <c r="B16" s="31" t="s">
        <v>57</v>
      </c>
      <c r="C16" s="31">
        <v>3041</v>
      </c>
      <c r="D16" s="31">
        <v>15</v>
      </c>
      <c r="E16" s="31" t="str">
        <f>"1000024267"</f>
        <v>1000024267</v>
      </c>
      <c r="F16" s="31" t="str">
        <f>"URINAL BLOCK:NonPara 144/CA - Non-Para Urinal Toss Block, Evergreen with enzymes, 12/carton, 12 cartons/case (144 total)"</f>
        <v>URINAL BLOCK:NonPara 144/CA - Non-Para Urinal Toss Block, Evergreen with enzymes, 12/carton, 12 cartons/case (144 total)</v>
      </c>
      <c r="G16" s="37" t="str">
        <f t="shared" si="2"/>
        <v>CA</v>
      </c>
      <c r="H16" s="38">
        <v>116.75</v>
      </c>
      <c r="I16" s="31" t="str">
        <f>"47131816"</f>
        <v>47131816</v>
      </c>
      <c r="J16" s="39" t="s">
        <v>151</v>
      </c>
    </row>
    <row r="17" spans="1:10" ht="51.75">
      <c r="A17" s="36" t="s">
        <v>307</v>
      </c>
      <c r="B17" s="31" t="s">
        <v>57</v>
      </c>
      <c r="C17" s="31">
        <v>3041</v>
      </c>
      <c r="D17" s="31">
        <v>16</v>
      </c>
      <c r="E17" s="31" t="str">
        <f>"1000024264"</f>
        <v>1000024264</v>
      </c>
      <c r="F17" s="31" t="str">
        <f>"URINAL BLOCK:W/Para 3oz 144/CA - Para Urinal toss blocks, 3 oz. blocks, 12 blocks/box, 12 boxes/case (144 total) Scent: Cherry"</f>
        <v>URINAL BLOCK:W/Para 3oz 144/CA - Para Urinal toss blocks, 3 oz. blocks, 12 blocks/box, 12 boxes/case (144 total) Scent: Cherry</v>
      </c>
      <c r="G17" s="37" t="str">
        <f t="shared" si="2"/>
        <v>CA</v>
      </c>
      <c r="H17" s="38">
        <v>74.52</v>
      </c>
      <c r="I17" s="31" t="str">
        <f>"47131816"</f>
        <v>47131816</v>
      </c>
      <c r="J17" s="39" t="s">
        <v>151</v>
      </c>
    </row>
    <row r="18" spans="1:10" ht="51.75">
      <c r="A18" s="36" t="s">
        <v>307</v>
      </c>
      <c r="B18" s="31" t="s">
        <v>57</v>
      </c>
      <c r="C18" s="31">
        <v>3041</v>
      </c>
      <c r="D18" s="31">
        <v>17</v>
      </c>
      <c r="E18" s="31" t="str">
        <f>"1000024266"</f>
        <v>1000024266</v>
      </c>
      <c r="F18" s="31" t="str">
        <f>"URINAL BLOCK:W/Para 4oz 144/CA - Para Urinal toss blocks, 4 oz. blocks, 12 blocks/box, 12 boxes/case (144 total). Scent: Cherry"</f>
        <v>URINAL BLOCK:W/Para 4oz 144/CA - Para Urinal toss blocks, 4 oz. blocks, 12 blocks/box, 12 boxes/case (144 total). Scent: Cherry</v>
      </c>
      <c r="G18" s="37" t="str">
        <f t="shared" si="2"/>
        <v>CA</v>
      </c>
      <c r="H18" s="38">
        <v>93.15</v>
      </c>
      <c r="I18" s="31" t="str">
        <f>"47131816"</f>
        <v>47131816</v>
      </c>
      <c r="J18" s="39" t="s">
        <v>151</v>
      </c>
    </row>
    <row r="19" spans="1:10" ht="51.75">
      <c r="A19" s="36" t="s">
        <v>307</v>
      </c>
      <c r="B19" s="31" t="s">
        <v>57</v>
      </c>
      <c r="C19" s="31">
        <v>3041</v>
      </c>
      <c r="D19" s="31">
        <v>18</v>
      </c>
      <c r="E19" s="31" t="str">
        <f>"1000024273"</f>
        <v>1000024273</v>
      </c>
      <c r="F19" s="31" t="str">
        <f>"URINAL SCREEN:Flexible 72/CA - Flexible Fit, deodorizes 30 to 45 days, prevents clogs, 12/carton, 6 cartons/case (72 total) Scent: Cherry"</f>
        <v>URINAL SCREEN:Flexible 72/CA - Flexible Fit, deodorizes 30 to 45 days, prevents clogs, 12/carton, 6 cartons/case (72 total) Scent: Cherry</v>
      </c>
      <c r="G19" s="37" t="str">
        <f t="shared" si="2"/>
        <v>CA</v>
      </c>
      <c r="H19" s="38">
        <v>67.48</v>
      </c>
      <c r="I19" s="31" t="str">
        <f t="shared" ref="I19:I24" si="3">"47131705"</f>
        <v>47131705</v>
      </c>
      <c r="J19" s="39" t="s">
        <v>134</v>
      </c>
    </row>
    <row r="20" spans="1:10" ht="39">
      <c r="A20" s="36" t="s">
        <v>307</v>
      </c>
      <c r="B20" s="31" t="s">
        <v>57</v>
      </c>
      <c r="C20" s="31">
        <v>3041</v>
      </c>
      <c r="D20" s="31">
        <v>19</v>
      </c>
      <c r="E20" s="31" t="str">
        <f>"1000024276"</f>
        <v>1000024276</v>
      </c>
      <c r="F20" s="31" t="str">
        <f>"URINAL SCREEN:NonPara Chry 12/CA - Non-Para Urinal screen with non-para block (1500 flushes). Scent: Cherry. 12/case"</f>
        <v>URINAL SCREEN:NonPara Chry 12/CA - Non-Para Urinal screen with non-para block (1500 flushes). Scent: Cherry. 12/case</v>
      </c>
      <c r="G20" s="37" t="str">
        <f t="shared" si="2"/>
        <v>CA</v>
      </c>
      <c r="H20" s="38">
        <v>16.63</v>
      </c>
      <c r="I20" s="31" t="str">
        <f t="shared" si="3"/>
        <v>47131705</v>
      </c>
      <c r="J20" s="39" t="s">
        <v>134</v>
      </c>
    </row>
    <row r="21" spans="1:10" ht="51.75">
      <c r="A21" s="36" t="s">
        <v>307</v>
      </c>
      <c r="B21" s="31" t="s">
        <v>57</v>
      </c>
      <c r="C21" s="31">
        <v>3041</v>
      </c>
      <c r="D21" s="31">
        <v>20</v>
      </c>
      <c r="E21" s="31" t="str">
        <f>"1000024277"</f>
        <v>1000024277</v>
      </c>
      <c r="F21" s="31" t="str">
        <f>"URINAL SCREEN:NonPara ClBrz 12/CA - Non-Para Block Urinal screen with non-para block (2000 flushes). Scent: Clean Breeze. 12/case"</f>
        <v>URINAL SCREEN:NonPara ClBrz 12/CA - Non-Para Block Urinal screen with non-para block (2000 flushes). Scent: Clean Breeze. 12/case</v>
      </c>
      <c r="G21" s="37" t="str">
        <f t="shared" si="2"/>
        <v>CA</v>
      </c>
      <c r="H21" s="38">
        <v>21.9</v>
      </c>
      <c r="I21" s="31" t="str">
        <f t="shared" si="3"/>
        <v>47131705</v>
      </c>
      <c r="J21" s="39" t="s">
        <v>134</v>
      </c>
    </row>
    <row r="22" spans="1:10" ht="39">
      <c r="A22" s="36" t="s">
        <v>307</v>
      </c>
      <c r="B22" s="31" t="s">
        <v>57</v>
      </c>
      <c r="C22" s="31">
        <v>3041</v>
      </c>
      <c r="D22" s="31">
        <v>21</v>
      </c>
      <c r="E22" s="31" t="str">
        <f>"1000024278"</f>
        <v>1000024278</v>
      </c>
      <c r="F22" s="31" t="str">
        <f>"URINAL SCREEN:NonPara Magnum 6/CA - Non-Para Block Magnum, Evergreen with enzymes, (2500 flushes) 6/case"</f>
        <v>URINAL SCREEN:NonPara Magnum 6/CA - Non-Para Block Magnum, Evergreen with enzymes, (2500 flushes) 6/case</v>
      </c>
      <c r="G22" s="37" t="str">
        <f t="shared" si="2"/>
        <v>CA</v>
      </c>
      <c r="H22" s="38">
        <v>13.7</v>
      </c>
      <c r="I22" s="31" t="str">
        <f t="shared" si="3"/>
        <v>47131705</v>
      </c>
      <c r="J22" s="39" t="s">
        <v>134</v>
      </c>
    </row>
    <row r="23" spans="1:10" ht="39">
      <c r="A23" s="36" t="s">
        <v>307</v>
      </c>
      <c r="B23" s="31" t="s">
        <v>57</v>
      </c>
      <c r="C23" s="31">
        <v>3041</v>
      </c>
      <c r="D23" s="31">
        <v>22</v>
      </c>
      <c r="E23" s="31" t="str">
        <f>"1000024860"</f>
        <v>1000024860</v>
      </c>
      <c r="F23" s="31" t="str">
        <f>"URINAL SCREEN: Para Chry 12/CA - Urinal Screen with 4 oz Para BlockScent: Cherry. 12/case"</f>
        <v>URINAL SCREEN: Para Chry 12/CA - Urinal Screen with 4 oz Para BlockScent: Cherry. 12/case</v>
      </c>
      <c r="G23" s="37" t="str">
        <f t="shared" si="2"/>
        <v>CA</v>
      </c>
      <c r="H23" s="38">
        <v>24.84</v>
      </c>
      <c r="I23" s="31" t="str">
        <f t="shared" si="3"/>
        <v>47131705</v>
      </c>
      <c r="J23" s="39" t="s">
        <v>134</v>
      </c>
    </row>
    <row r="24" spans="1:10" ht="77.25">
      <c r="A24" s="40" t="s">
        <v>307</v>
      </c>
      <c r="B24" s="41" t="s">
        <v>57</v>
      </c>
      <c r="C24" s="41">
        <v>3041</v>
      </c>
      <c r="D24" s="41">
        <v>23</v>
      </c>
      <c r="E24" s="41" t="str">
        <f>"1000024861"</f>
        <v>1000024861</v>
      </c>
      <c r="F24" s="41" t="str">
        <f>"URINAL SCREEN:Translucent 60/CA - Urinal Screen with anti-splash texture, strong deodorizing properties VOC compliant, flexible flit, translucent design, collects debris. 10/carton, 6 cartons/case. (60 total) Scent: Melon Mist"</f>
        <v>URINAL SCREEN:Translucent 60/CA - Urinal Screen with anti-splash texture, strong deodorizing properties VOC compliant, flexible flit, translucent design, collects debris. 10/carton, 6 cartons/case. (60 total) Scent: Melon Mist</v>
      </c>
      <c r="G24" s="42" t="str">
        <f>"EA"</f>
        <v>EA</v>
      </c>
      <c r="H24" s="43">
        <v>91.08</v>
      </c>
      <c r="I24" s="41" t="str">
        <f t="shared" si="3"/>
        <v>47131705</v>
      </c>
      <c r="J24" s="44" t="s">
        <v>134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sheetPr codeName="Sheet19"/>
  <dimension ref="A1:J13"/>
  <sheetViews>
    <sheetView workbookViewId="0">
      <selection activeCell="B2" sqref="B2"/>
    </sheetView>
  </sheetViews>
  <sheetFormatPr defaultRowHeight="15"/>
  <cols>
    <col min="1" max="1" width="6.5703125" bestFit="1" customWidth="1"/>
    <col min="2" max="2" width="11.7109375" bestFit="1" customWidth="1"/>
    <col min="3" max="3" width="5.85546875" customWidth="1"/>
    <col min="4" max="4" width="5" customWidth="1"/>
    <col min="5" max="5" width="11" bestFit="1" customWidth="1"/>
    <col min="6" max="6" width="20.28515625" bestFit="1" customWidth="1"/>
    <col min="7" max="7" width="7.140625" customWidth="1"/>
    <col min="8" max="8" width="6.5703125" bestFit="1" customWidth="1"/>
    <col min="9" max="9" width="9" bestFit="1" customWidth="1"/>
    <col min="10" max="10" width="17.5703125" bestFit="1" customWidth="1"/>
  </cols>
  <sheetData>
    <row r="1" spans="1:10">
      <c r="A1" s="12" t="s">
        <v>71</v>
      </c>
      <c r="B1" s="13" t="s">
        <v>208</v>
      </c>
      <c r="C1" s="13" t="s">
        <v>65</v>
      </c>
      <c r="D1" s="13" t="s">
        <v>207</v>
      </c>
      <c r="E1" s="13" t="s">
        <v>20</v>
      </c>
      <c r="F1" s="13" t="s">
        <v>21</v>
      </c>
      <c r="G1" s="13" t="s">
        <v>22</v>
      </c>
      <c r="H1" s="14" t="s">
        <v>66</v>
      </c>
      <c r="I1" s="13" t="s">
        <v>206</v>
      </c>
      <c r="J1" s="15" t="s">
        <v>205</v>
      </c>
    </row>
    <row r="2" spans="1:10" ht="26.25">
      <c r="A2" s="9" t="s">
        <v>39</v>
      </c>
      <c r="B2" s="2" t="s">
        <v>38</v>
      </c>
      <c r="C2" s="2">
        <v>2205</v>
      </c>
      <c r="D2" s="2">
        <v>1</v>
      </c>
      <c r="E2" s="2" t="str">
        <f t="shared" ref="E2:E13" si="0">"1000009566"</f>
        <v>1000009566</v>
      </c>
      <c r="F2" s="2" t="str">
        <f t="shared" ref="F2:F13" si="1">"SERVICES: Litter Removal"</f>
        <v>SERVICES: Litter Removal</v>
      </c>
      <c r="G2" s="3" t="str">
        <f t="shared" ref="G2:G13" si="2">"AC"</f>
        <v>AC</v>
      </c>
      <c r="H2" s="7">
        <v>9.92</v>
      </c>
      <c r="I2" s="2" t="str">
        <f t="shared" ref="I2:I13" si="3">"72141003"</f>
        <v>72141003</v>
      </c>
      <c r="J2" s="10" t="s">
        <v>127</v>
      </c>
    </row>
    <row r="3" spans="1:10" ht="26.25">
      <c r="A3" s="24" t="s">
        <v>39</v>
      </c>
      <c r="B3" s="21" t="s">
        <v>11</v>
      </c>
      <c r="C3" s="21">
        <v>2503</v>
      </c>
      <c r="D3" s="21">
        <v>1</v>
      </c>
      <c r="E3" s="21" t="str">
        <f t="shared" si="0"/>
        <v>1000009566</v>
      </c>
      <c r="F3" s="21" t="str">
        <f t="shared" si="1"/>
        <v>SERVICES: Litter Removal</v>
      </c>
      <c r="G3" s="22" t="str">
        <f t="shared" si="2"/>
        <v>AC</v>
      </c>
      <c r="H3" s="23">
        <v>9.92</v>
      </c>
      <c r="I3" s="21" t="str">
        <f t="shared" si="3"/>
        <v>72141003</v>
      </c>
      <c r="J3" s="25" t="s">
        <v>127</v>
      </c>
    </row>
    <row r="4" spans="1:10" ht="26.25">
      <c r="A4" s="9" t="s">
        <v>39</v>
      </c>
      <c r="B4" s="2" t="s">
        <v>0</v>
      </c>
      <c r="C4" s="2">
        <v>2211</v>
      </c>
      <c r="D4" s="2">
        <v>1</v>
      </c>
      <c r="E4" s="2" t="str">
        <f t="shared" si="0"/>
        <v>1000009566</v>
      </c>
      <c r="F4" s="2" t="str">
        <f t="shared" si="1"/>
        <v>SERVICES: Litter Removal</v>
      </c>
      <c r="G4" s="3" t="str">
        <f t="shared" si="2"/>
        <v>AC</v>
      </c>
      <c r="H4" s="7">
        <v>9.92</v>
      </c>
      <c r="I4" s="2" t="str">
        <f t="shared" si="3"/>
        <v>72141003</v>
      </c>
      <c r="J4" s="10" t="s">
        <v>127</v>
      </c>
    </row>
    <row r="5" spans="1:10" ht="26.25">
      <c r="A5" s="24" t="s">
        <v>39</v>
      </c>
      <c r="B5" s="21" t="s">
        <v>12</v>
      </c>
      <c r="C5" s="21">
        <v>2206</v>
      </c>
      <c r="D5" s="21">
        <v>1</v>
      </c>
      <c r="E5" s="21" t="str">
        <f t="shared" si="0"/>
        <v>1000009566</v>
      </c>
      <c r="F5" s="21" t="str">
        <f t="shared" si="1"/>
        <v>SERVICES: Litter Removal</v>
      </c>
      <c r="G5" s="22" t="str">
        <f t="shared" si="2"/>
        <v>AC</v>
      </c>
      <c r="H5" s="23">
        <v>9.92</v>
      </c>
      <c r="I5" s="21" t="str">
        <f t="shared" si="3"/>
        <v>72141003</v>
      </c>
      <c r="J5" s="25" t="s">
        <v>127</v>
      </c>
    </row>
    <row r="6" spans="1:10" ht="26.25">
      <c r="A6" s="9" t="s">
        <v>39</v>
      </c>
      <c r="B6" s="2" t="s">
        <v>45</v>
      </c>
      <c r="C6" s="2">
        <v>2215</v>
      </c>
      <c r="D6" s="2">
        <v>1</v>
      </c>
      <c r="E6" s="2" t="str">
        <f t="shared" si="0"/>
        <v>1000009566</v>
      </c>
      <c r="F6" s="2" t="str">
        <f t="shared" si="1"/>
        <v>SERVICES: Litter Removal</v>
      </c>
      <c r="G6" s="3" t="str">
        <f t="shared" si="2"/>
        <v>AC</v>
      </c>
      <c r="H6" s="7">
        <v>9.92</v>
      </c>
      <c r="I6" s="2" t="str">
        <f t="shared" si="3"/>
        <v>72141003</v>
      </c>
      <c r="J6" s="10" t="s">
        <v>127</v>
      </c>
    </row>
    <row r="7" spans="1:10" ht="26.25">
      <c r="A7" s="24" t="s">
        <v>39</v>
      </c>
      <c r="B7" s="21" t="s">
        <v>2</v>
      </c>
      <c r="C7" s="21">
        <v>2209</v>
      </c>
      <c r="D7" s="21">
        <v>1</v>
      </c>
      <c r="E7" s="21" t="str">
        <f t="shared" si="0"/>
        <v>1000009566</v>
      </c>
      <c r="F7" s="21" t="str">
        <f t="shared" si="1"/>
        <v>SERVICES: Litter Removal</v>
      </c>
      <c r="G7" s="22" t="str">
        <f t="shared" si="2"/>
        <v>AC</v>
      </c>
      <c r="H7" s="23">
        <v>9.92</v>
      </c>
      <c r="I7" s="21" t="str">
        <f t="shared" si="3"/>
        <v>72141003</v>
      </c>
      <c r="J7" s="25" t="s">
        <v>127</v>
      </c>
    </row>
    <row r="8" spans="1:10" ht="26.25">
      <c r="A8" s="9" t="s">
        <v>39</v>
      </c>
      <c r="B8" s="2" t="s">
        <v>14</v>
      </c>
      <c r="C8" s="2">
        <v>2208</v>
      </c>
      <c r="D8" s="2">
        <v>1</v>
      </c>
      <c r="E8" s="2" t="str">
        <f t="shared" si="0"/>
        <v>1000009566</v>
      </c>
      <c r="F8" s="2" t="str">
        <f t="shared" si="1"/>
        <v>SERVICES: Litter Removal</v>
      </c>
      <c r="G8" s="3" t="str">
        <f t="shared" si="2"/>
        <v>AC</v>
      </c>
      <c r="H8" s="7">
        <v>7.5</v>
      </c>
      <c r="I8" s="2" t="str">
        <f t="shared" si="3"/>
        <v>72141003</v>
      </c>
      <c r="J8" s="10" t="s">
        <v>127</v>
      </c>
    </row>
    <row r="9" spans="1:10" ht="26.25">
      <c r="A9" s="24" t="s">
        <v>39</v>
      </c>
      <c r="B9" s="21" t="s">
        <v>51</v>
      </c>
      <c r="C9" s="21">
        <v>2203</v>
      </c>
      <c r="D9" s="21">
        <v>1</v>
      </c>
      <c r="E9" s="21" t="str">
        <f t="shared" si="0"/>
        <v>1000009566</v>
      </c>
      <c r="F9" s="21" t="str">
        <f t="shared" si="1"/>
        <v>SERVICES: Litter Removal</v>
      </c>
      <c r="G9" s="22" t="str">
        <f t="shared" si="2"/>
        <v>AC</v>
      </c>
      <c r="H9" s="23">
        <v>9.92</v>
      </c>
      <c r="I9" s="21" t="str">
        <f t="shared" si="3"/>
        <v>72141003</v>
      </c>
      <c r="J9" s="25" t="s">
        <v>127</v>
      </c>
    </row>
    <row r="10" spans="1:10" ht="26.25">
      <c r="A10" s="9" t="s">
        <v>39</v>
      </c>
      <c r="B10" s="2" t="s">
        <v>19</v>
      </c>
      <c r="C10" s="2">
        <v>2214</v>
      </c>
      <c r="D10" s="2">
        <v>1</v>
      </c>
      <c r="E10" s="2" t="str">
        <f t="shared" si="0"/>
        <v>1000009566</v>
      </c>
      <c r="F10" s="2" t="str">
        <f t="shared" si="1"/>
        <v>SERVICES: Litter Removal</v>
      </c>
      <c r="G10" s="3" t="str">
        <f t="shared" si="2"/>
        <v>AC</v>
      </c>
      <c r="H10" s="7">
        <v>9.92</v>
      </c>
      <c r="I10" s="2" t="str">
        <f t="shared" si="3"/>
        <v>72141003</v>
      </c>
      <c r="J10" s="10" t="s">
        <v>127</v>
      </c>
    </row>
    <row r="11" spans="1:10" ht="26.25">
      <c r="A11" s="9" t="s">
        <v>39</v>
      </c>
      <c r="B11" s="2" t="s">
        <v>62</v>
      </c>
      <c r="C11" s="2">
        <v>2213</v>
      </c>
      <c r="D11" s="2">
        <v>1</v>
      </c>
      <c r="E11" s="2" t="str">
        <f t="shared" si="0"/>
        <v>1000009566</v>
      </c>
      <c r="F11" s="2" t="str">
        <f t="shared" si="1"/>
        <v>SERVICES: Litter Removal</v>
      </c>
      <c r="G11" s="3" t="str">
        <f t="shared" si="2"/>
        <v>AC</v>
      </c>
      <c r="H11" s="7">
        <v>9.92</v>
      </c>
      <c r="I11" s="2" t="str">
        <f t="shared" si="3"/>
        <v>72141003</v>
      </c>
      <c r="J11" s="10" t="s">
        <v>127</v>
      </c>
    </row>
    <row r="12" spans="1:10" ht="26.25">
      <c r="A12" s="24" t="s">
        <v>39</v>
      </c>
      <c r="B12" s="21" t="s">
        <v>63</v>
      </c>
      <c r="C12" s="21">
        <v>2204</v>
      </c>
      <c r="D12" s="21">
        <v>1</v>
      </c>
      <c r="E12" s="21" t="str">
        <f t="shared" si="0"/>
        <v>1000009566</v>
      </c>
      <c r="F12" s="21" t="str">
        <f t="shared" si="1"/>
        <v>SERVICES: Litter Removal</v>
      </c>
      <c r="G12" s="22" t="str">
        <f t="shared" si="2"/>
        <v>AC</v>
      </c>
      <c r="H12" s="23">
        <v>9.92</v>
      </c>
      <c r="I12" s="21" t="str">
        <f t="shared" si="3"/>
        <v>72141003</v>
      </c>
      <c r="J12" s="25" t="s">
        <v>127</v>
      </c>
    </row>
    <row r="13" spans="1:10" ht="26.25">
      <c r="A13" s="26" t="s">
        <v>39</v>
      </c>
      <c r="B13" s="27" t="s">
        <v>16</v>
      </c>
      <c r="C13" s="27">
        <v>2502</v>
      </c>
      <c r="D13" s="27">
        <v>2</v>
      </c>
      <c r="E13" s="27" t="str">
        <f t="shared" si="0"/>
        <v>1000009566</v>
      </c>
      <c r="F13" s="27" t="str">
        <f t="shared" si="1"/>
        <v>SERVICES: Litter Removal</v>
      </c>
      <c r="G13" s="28" t="str">
        <f t="shared" si="2"/>
        <v>AC</v>
      </c>
      <c r="H13" s="29">
        <v>8.1999999999999993</v>
      </c>
      <c r="I13" s="27" t="str">
        <f t="shared" si="3"/>
        <v>72141003</v>
      </c>
      <c r="J13" s="30" t="s">
        <v>127</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sheetPr codeName="Sheet20"/>
  <dimension ref="A1:J15"/>
  <sheetViews>
    <sheetView workbookViewId="0">
      <selection activeCell="B1" sqref="B1:B1048576"/>
    </sheetView>
  </sheetViews>
  <sheetFormatPr defaultColWidth="34" defaultRowHeight="15"/>
  <cols>
    <col min="1" max="1" width="6.5703125" bestFit="1" customWidth="1"/>
    <col min="2" max="2" width="6.28515625" customWidth="1"/>
    <col min="3" max="3" width="5.85546875" customWidth="1"/>
    <col min="4" max="4" width="5" customWidth="1"/>
    <col min="5" max="5" width="11" bestFit="1" customWidth="1"/>
    <col min="6" max="6" width="38.7109375" customWidth="1"/>
    <col min="7" max="7" width="7.140625" customWidth="1"/>
    <col min="8" max="8" width="5.42578125" bestFit="1" customWidth="1"/>
    <col min="9" max="9" width="9" bestFit="1" customWidth="1"/>
    <col min="10" max="10" width="24.28515625" bestFit="1" customWidth="1"/>
  </cols>
  <sheetData>
    <row r="1" spans="1:10" s="6" customFormat="1" ht="12.75">
      <c r="A1" s="12" t="s">
        <v>71</v>
      </c>
      <c r="B1" s="13" t="s">
        <v>208</v>
      </c>
      <c r="C1" s="13" t="s">
        <v>65</v>
      </c>
      <c r="D1" s="13" t="s">
        <v>207</v>
      </c>
      <c r="E1" s="13" t="s">
        <v>20</v>
      </c>
      <c r="F1" s="13" t="s">
        <v>21</v>
      </c>
      <c r="G1" s="13" t="s">
        <v>22</v>
      </c>
      <c r="H1" s="14" t="s">
        <v>66</v>
      </c>
      <c r="I1" s="13" t="s">
        <v>206</v>
      </c>
      <c r="J1" s="15" t="s">
        <v>205</v>
      </c>
    </row>
    <row r="2" spans="1:10" ht="51.75">
      <c r="A2" s="9" t="s">
        <v>46</v>
      </c>
      <c r="B2" s="2" t="s">
        <v>45</v>
      </c>
      <c r="C2" s="2">
        <v>2969</v>
      </c>
      <c r="D2" s="2">
        <v>1</v>
      </c>
      <c r="E2" s="2" t="str">
        <f>"1000003300"</f>
        <v>1000003300</v>
      </c>
      <c r="F2" s="2" t="str">
        <f>"CUTLERY BULK:Soup spoon-Wht Polypro plast. Med wt 1000/cs~Knives, Forks, Spoons, bulk-pack. - plastic White, Polypro, medium weight, Soup Spoon, 1000/case"</f>
        <v>CUTLERY BULK:Soup spoon-Wht Polypro plast. Med wt 1000/cs~Knives, Forks, Spoons, bulk-pack. - plastic White, Polypro, medium weight, Soup Spoon, 1000/case</v>
      </c>
      <c r="G2" s="3" t="str">
        <f t="shared" ref="G2:G13" si="0">"CA"</f>
        <v>CA</v>
      </c>
      <c r="H2" s="7">
        <v>11.95</v>
      </c>
      <c r="I2" s="2" t="str">
        <f t="shared" ref="I2:I9" si="1">"52151505"</f>
        <v>52151505</v>
      </c>
      <c r="J2" s="10" t="s">
        <v>140</v>
      </c>
    </row>
    <row r="3" spans="1:10" ht="51.75">
      <c r="A3" s="24" t="s">
        <v>46</v>
      </c>
      <c r="B3" s="21" t="s">
        <v>45</v>
      </c>
      <c r="C3" s="21">
        <v>2969</v>
      </c>
      <c r="D3" s="21">
        <v>2</v>
      </c>
      <c r="E3" s="21" t="str">
        <f>"1000005048"</f>
        <v>1000005048</v>
      </c>
      <c r="F3" s="21" t="str">
        <f>"CUTLERY BULK:Fork-Wht Polypro plast. Med wt 1000/cs~Knives, Forks, Spoons, bulk-pack. - plastic White, Polypro, medium weight, Fork, 1000/case"</f>
        <v>CUTLERY BULK:Fork-Wht Polypro plast. Med wt 1000/cs~Knives, Forks, Spoons, bulk-pack. - plastic White, Polypro, medium weight, Fork, 1000/case</v>
      </c>
      <c r="G3" s="22" t="str">
        <f t="shared" si="0"/>
        <v>CA</v>
      </c>
      <c r="H3" s="23">
        <v>11.95</v>
      </c>
      <c r="I3" s="21" t="str">
        <f t="shared" si="1"/>
        <v>52151505</v>
      </c>
      <c r="J3" s="25" t="s">
        <v>140</v>
      </c>
    </row>
    <row r="4" spans="1:10" ht="51.75">
      <c r="A4" s="9" t="s">
        <v>46</v>
      </c>
      <c r="B4" s="2" t="s">
        <v>45</v>
      </c>
      <c r="C4" s="2">
        <v>2969</v>
      </c>
      <c r="D4" s="2">
        <v>3</v>
      </c>
      <c r="E4" s="2" t="str">
        <f>"1000003023"</f>
        <v>1000003023</v>
      </c>
      <c r="F4" s="2" t="str">
        <f>"CUTLERY BULK:Spoon-Wht Polypro plast. Med wt 1000/cs~Knives, Forks, Spoons, bulk-pack. - plastic White, Polypro, medium weight, Spoon, 1000/case"</f>
        <v>CUTLERY BULK:Spoon-Wht Polypro plast. Med wt 1000/cs~Knives, Forks, Spoons, bulk-pack. - plastic White, Polypro, medium weight, Spoon, 1000/case</v>
      </c>
      <c r="G4" s="3" t="str">
        <f t="shared" si="0"/>
        <v>CA</v>
      </c>
      <c r="H4" s="7">
        <v>11.95</v>
      </c>
      <c r="I4" s="2" t="str">
        <f t="shared" si="1"/>
        <v>52151505</v>
      </c>
      <c r="J4" s="10" t="s">
        <v>140</v>
      </c>
    </row>
    <row r="5" spans="1:10" ht="51.75">
      <c r="A5" s="24" t="s">
        <v>46</v>
      </c>
      <c r="B5" s="21" t="s">
        <v>45</v>
      </c>
      <c r="C5" s="21">
        <v>2969</v>
      </c>
      <c r="D5" s="21">
        <v>4</v>
      </c>
      <c r="E5" s="21" t="str">
        <f>"1000004110"</f>
        <v>1000004110</v>
      </c>
      <c r="F5" s="21" t="str">
        <f>"CUTLERY BULK:Knife-Wht Polypro plast. Med wt 1000/cs~Knives, Forks, Spoons, bulk-pack. - plastic White, Polypro, medium weight, Knife, 1000/case"</f>
        <v>CUTLERY BULK:Knife-Wht Polypro plast. Med wt 1000/cs~Knives, Forks, Spoons, bulk-pack. - plastic White, Polypro, medium weight, Knife, 1000/case</v>
      </c>
      <c r="G5" s="22" t="str">
        <f t="shared" si="0"/>
        <v>CA</v>
      </c>
      <c r="H5" s="23">
        <v>11.95</v>
      </c>
      <c r="I5" s="21" t="str">
        <f t="shared" si="1"/>
        <v>52151505</v>
      </c>
      <c r="J5" s="25" t="s">
        <v>140</v>
      </c>
    </row>
    <row r="6" spans="1:10" ht="51.75">
      <c r="A6" s="9" t="s">
        <v>46</v>
      </c>
      <c r="B6" s="2" t="s">
        <v>45</v>
      </c>
      <c r="C6" s="2">
        <v>2969</v>
      </c>
      <c r="D6" s="2">
        <v>5</v>
      </c>
      <c r="E6" s="2" t="str">
        <f>"1000002997"</f>
        <v>1000002997</v>
      </c>
      <c r="F6" s="2" t="str">
        <f>"CUTLERY BULK:Spork-Wht Polypro plast. Med wt 1000/cs~Knives, Forks, Spoons, bulk-pack. - plastic White, Polypro, medium weight, Spork, 1000/case"</f>
        <v>CUTLERY BULK:Spork-Wht Polypro plast. Med wt 1000/cs~Knives, Forks, Spoons, bulk-pack. - plastic White, Polypro, medium weight, Spork, 1000/case</v>
      </c>
      <c r="G6" s="3" t="str">
        <f t="shared" si="0"/>
        <v>CA</v>
      </c>
      <c r="H6" s="7">
        <v>11.95</v>
      </c>
      <c r="I6" s="2" t="str">
        <f t="shared" si="1"/>
        <v>52151505</v>
      </c>
      <c r="J6" s="10" t="s">
        <v>140</v>
      </c>
    </row>
    <row r="7" spans="1:10" ht="39">
      <c r="A7" s="24" t="s">
        <v>46</v>
      </c>
      <c r="B7" s="21" t="s">
        <v>45</v>
      </c>
      <c r="C7" s="21">
        <v>2969</v>
      </c>
      <c r="D7" s="21">
        <v>9</v>
      </c>
      <c r="E7" s="21" t="str">
        <f>"1000005155"</f>
        <v>1000005155</v>
      </c>
      <c r="F7" s="21" t="str">
        <f>"CUTLERY BULK:Fork-Clr Polypro plast. Hvy wt 1000/cs~Knives, Forks, Spoons, bulk-pack. - plastic Clear, heavy weight, Fork, 1000/case"</f>
        <v>CUTLERY BULK:Fork-Clr Polypro plast. Hvy wt 1000/cs~Knives, Forks, Spoons, bulk-pack. - plastic Clear, heavy weight, Fork, 1000/case</v>
      </c>
      <c r="G7" s="22" t="str">
        <f t="shared" si="0"/>
        <v>CA</v>
      </c>
      <c r="H7" s="23">
        <v>47.01</v>
      </c>
      <c r="I7" s="21" t="str">
        <f t="shared" si="1"/>
        <v>52151505</v>
      </c>
      <c r="J7" s="25" t="s">
        <v>140</v>
      </c>
    </row>
    <row r="8" spans="1:10" ht="39">
      <c r="A8" s="9" t="s">
        <v>46</v>
      </c>
      <c r="B8" s="2" t="s">
        <v>45</v>
      </c>
      <c r="C8" s="2">
        <v>2969</v>
      </c>
      <c r="D8" s="2">
        <v>10</v>
      </c>
      <c r="E8" s="2" t="str">
        <f>"1000003080"</f>
        <v>1000003080</v>
      </c>
      <c r="F8" s="2" t="str">
        <f>"CUTLERY BULK:Spoon-Clr Polypro plast. Hvy wt 1000/cs~Knives, Forks, Spoons, bulk-pack. - plastic Clear, heavy weight, Spoon, 1000/case"</f>
        <v>CUTLERY BULK:Spoon-Clr Polypro plast. Hvy wt 1000/cs~Knives, Forks, Spoons, bulk-pack. - plastic Clear, heavy weight, Spoon, 1000/case</v>
      </c>
      <c r="G8" s="3" t="str">
        <f t="shared" si="0"/>
        <v>CA</v>
      </c>
      <c r="H8" s="7">
        <v>47.62</v>
      </c>
      <c r="I8" s="2" t="str">
        <f t="shared" si="1"/>
        <v>52151505</v>
      </c>
      <c r="J8" s="10" t="s">
        <v>140</v>
      </c>
    </row>
    <row r="9" spans="1:10" ht="39">
      <c r="A9" s="24" t="s">
        <v>46</v>
      </c>
      <c r="B9" s="21" t="s">
        <v>45</v>
      </c>
      <c r="C9" s="21">
        <v>2969</v>
      </c>
      <c r="D9" s="21">
        <v>11</v>
      </c>
      <c r="E9" s="21" t="str">
        <f>"1000002217"</f>
        <v>1000002217</v>
      </c>
      <c r="F9" s="21" t="str">
        <f>"CUTLERY BULK:Knife-Clr Polypro plast. Hvy wt 1000/cs~Knives, Forks, Spoons, bulk-pack. - plastic Clear, heavy weight, Knife, 1000/case"</f>
        <v>CUTLERY BULK:Knife-Clr Polypro plast. Hvy wt 1000/cs~Knives, Forks, Spoons, bulk-pack. - plastic Clear, heavy weight, Knife, 1000/case</v>
      </c>
      <c r="G9" s="22" t="str">
        <f t="shared" si="0"/>
        <v>CA</v>
      </c>
      <c r="H9" s="23">
        <v>49.74</v>
      </c>
      <c r="I9" s="21" t="str">
        <f t="shared" si="1"/>
        <v>52151505</v>
      </c>
      <c r="J9" s="25" t="s">
        <v>140</v>
      </c>
    </row>
    <row r="10" spans="1:10" ht="26.25">
      <c r="A10" s="9" t="s">
        <v>46</v>
      </c>
      <c r="B10" s="2" t="s">
        <v>45</v>
      </c>
      <c r="C10" s="2">
        <v>2969</v>
      </c>
      <c r="D10" s="2">
        <v>12</v>
      </c>
      <c r="E10" s="2" t="str">
        <f>"1000009771"</f>
        <v>1000009771</v>
      </c>
      <c r="F10" s="2" t="str">
        <f>"CUTLERY BULK: Forks; Black, Styrene, Heavyweight, 1000/case"</f>
        <v>CUTLERY BULK: Forks; Black, Styrene, Heavyweight, 1000/case</v>
      </c>
      <c r="G10" s="3" t="str">
        <f t="shared" si="0"/>
        <v>CA</v>
      </c>
      <c r="H10" s="7">
        <v>42.81</v>
      </c>
      <c r="I10" s="2" t="str">
        <f>"52151502"</f>
        <v>52151502</v>
      </c>
      <c r="J10" s="10" t="s">
        <v>141</v>
      </c>
    </row>
    <row r="11" spans="1:10" ht="26.25">
      <c r="A11" s="24" t="s">
        <v>46</v>
      </c>
      <c r="B11" s="21" t="s">
        <v>45</v>
      </c>
      <c r="C11" s="21">
        <v>2969</v>
      </c>
      <c r="D11" s="21">
        <v>13</v>
      </c>
      <c r="E11" s="21" t="str">
        <f>"1000009772"</f>
        <v>1000009772</v>
      </c>
      <c r="F11" s="21" t="str">
        <f>"CUTLERY BULK: Spoons; Black, Styrene, Heavyweight, 1000/case"</f>
        <v>CUTLERY BULK: Spoons; Black, Styrene, Heavyweight, 1000/case</v>
      </c>
      <c r="G11" s="22" t="str">
        <f t="shared" si="0"/>
        <v>CA</v>
      </c>
      <c r="H11" s="23">
        <v>46.58</v>
      </c>
      <c r="I11" s="21" t="str">
        <f>"52151502"</f>
        <v>52151502</v>
      </c>
      <c r="J11" s="25" t="s">
        <v>141</v>
      </c>
    </row>
    <row r="12" spans="1:10" ht="26.25">
      <c r="A12" s="9" t="s">
        <v>46</v>
      </c>
      <c r="B12" s="2" t="s">
        <v>45</v>
      </c>
      <c r="C12" s="2">
        <v>2969</v>
      </c>
      <c r="D12" s="2">
        <v>14</v>
      </c>
      <c r="E12" s="2" t="str">
        <f>"1000009773"</f>
        <v>1000009773</v>
      </c>
      <c r="F12" s="2" t="str">
        <f>"CUTLERY BULK: Knives; Black Styrene, Heavyweight, 1000/case"</f>
        <v>CUTLERY BULK: Knives; Black Styrene, Heavyweight, 1000/case</v>
      </c>
      <c r="G12" s="3" t="str">
        <f t="shared" si="0"/>
        <v>CA</v>
      </c>
      <c r="H12" s="7">
        <v>44.39</v>
      </c>
      <c r="I12" s="2" t="str">
        <f>"52151502"</f>
        <v>52151502</v>
      </c>
      <c r="J12" s="10" t="s">
        <v>141</v>
      </c>
    </row>
    <row r="13" spans="1:10" ht="39">
      <c r="A13" s="24" t="s">
        <v>46</v>
      </c>
      <c r="B13" s="21" t="s">
        <v>45</v>
      </c>
      <c r="C13" s="21">
        <v>2969</v>
      </c>
      <c r="D13" s="21">
        <v>15</v>
      </c>
      <c r="E13" s="21" t="str">
        <f>"1000009938"</f>
        <v>1000009938</v>
      </c>
      <c r="F13" s="21" t="str">
        <f>"CUTLERY KIT: 6 Pc kit includes wrapped medium-weight fork, spoon, knife, salt packet, pepper packet and napkin. 250 kits per case"</f>
        <v>CUTLERY KIT: 6 Pc kit includes wrapped medium-weight fork, spoon, knife, salt packet, pepper packet and napkin. 250 kits per case</v>
      </c>
      <c r="G13" s="22" t="str">
        <f t="shared" si="0"/>
        <v>CA</v>
      </c>
      <c r="H13" s="23">
        <v>43.34</v>
      </c>
      <c r="I13" s="21" t="str">
        <f>"52151502"</f>
        <v>52151502</v>
      </c>
      <c r="J13" s="25" t="s">
        <v>141</v>
      </c>
    </row>
    <row r="14" spans="1:10" ht="39">
      <c r="A14" s="9" t="s">
        <v>46</v>
      </c>
      <c r="B14" s="2" t="s">
        <v>45</v>
      </c>
      <c r="C14" s="2">
        <v>2969</v>
      </c>
      <c r="D14" s="2">
        <v>16</v>
      </c>
      <c r="E14" s="2" t="str">
        <f>"1000008974"</f>
        <v>1000008974</v>
      </c>
      <c r="F14" s="2" t="str">
        <f>"SHIPPING: General Charges - Shipping will only be charged on orders that do not meet the $100 order minimum requirement."</f>
        <v>SHIPPING: General Charges - Shipping will only be charged on orders that do not meet the $100 order minimum requirement.</v>
      </c>
      <c r="G14" s="3" t="str">
        <f>"EA"</f>
        <v>EA</v>
      </c>
      <c r="H14" s="7">
        <v>25</v>
      </c>
      <c r="I14" s="2" t="str">
        <f>"78121603"</f>
        <v>78121603</v>
      </c>
      <c r="J14" s="10" t="s">
        <v>75</v>
      </c>
    </row>
    <row r="15" spans="1:10" ht="51.75">
      <c r="A15" s="26" t="s">
        <v>46</v>
      </c>
      <c r="B15" s="27" t="s">
        <v>45</v>
      </c>
      <c r="C15" s="27">
        <v>2969</v>
      </c>
      <c r="D15" s="27">
        <v>17</v>
      </c>
      <c r="E15" s="27" t="str">
        <f>"1000024524"</f>
        <v>1000024524</v>
      </c>
      <c r="F15" s="27" t="str">
        <f>"CONDIMENT KIT:250/CA Sgr/Crm - 2 sugar, 2 creamer, 2 sugar substitute, 2 plastic stirrers, 1 (1-ply) napkin in a sealed plastic package. 250 packages per case"</f>
        <v>CONDIMENT KIT:250/CA Sgr/Crm - 2 sugar, 2 creamer, 2 sugar substitute, 2 plastic stirrers, 1 (1-ply) napkin in a sealed plastic package. 250 packages per case</v>
      </c>
      <c r="G15" s="28" t="str">
        <f>"CA"</f>
        <v>CA</v>
      </c>
      <c r="H15" s="29">
        <v>42.34</v>
      </c>
      <c r="I15" s="27" t="str">
        <f>"12164504"</f>
        <v>12164504</v>
      </c>
      <c r="J15" s="30" t="s">
        <v>142</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sheetPr codeName="Sheet21"/>
  <dimension ref="A1:J9"/>
  <sheetViews>
    <sheetView workbookViewId="0">
      <selection activeCell="B2" sqref="B2"/>
    </sheetView>
  </sheetViews>
  <sheetFormatPr defaultRowHeight="15"/>
  <cols>
    <col min="1" max="1" width="6.5703125" bestFit="1" customWidth="1"/>
    <col min="2" max="2" width="6.28515625" customWidth="1"/>
    <col min="3" max="3" width="5.85546875" customWidth="1"/>
    <col min="4" max="4" width="5" customWidth="1"/>
    <col min="5" max="5" width="11" bestFit="1" customWidth="1"/>
    <col min="6" max="6" width="20.85546875" bestFit="1" customWidth="1"/>
    <col min="7" max="7" width="7.140625" customWidth="1"/>
    <col min="8" max="8" width="5.42578125" bestFit="1" customWidth="1"/>
    <col min="9" max="9" width="9" bestFit="1" customWidth="1"/>
    <col min="10" max="10" width="16.7109375" bestFit="1" customWidth="1"/>
  </cols>
  <sheetData>
    <row r="1" spans="1:10" s="6" customFormat="1" ht="12.75">
      <c r="A1" s="32" t="s">
        <v>71</v>
      </c>
      <c r="B1" s="33" t="s">
        <v>208</v>
      </c>
      <c r="C1" s="33" t="s">
        <v>65</v>
      </c>
      <c r="D1" s="33" t="s">
        <v>207</v>
      </c>
      <c r="E1" s="33" t="s">
        <v>20</v>
      </c>
      <c r="F1" s="33" t="s">
        <v>21</v>
      </c>
      <c r="G1" s="33" t="s">
        <v>22</v>
      </c>
      <c r="H1" s="34" t="s">
        <v>66</v>
      </c>
      <c r="I1" s="33" t="s">
        <v>206</v>
      </c>
      <c r="J1" s="35" t="s">
        <v>205</v>
      </c>
    </row>
    <row r="2" spans="1:10" ht="39">
      <c r="A2" s="36" t="s">
        <v>30</v>
      </c>
      <c r="B2" s="31" t="s">
        <v>29</v>
      </c>
      <c r="C2" s="31">
        <v>2836</v>
      </c>
      <c r="D2" s="31">
        <v>1</v>
      </c>
      <c r="E2" s="31" t="str">
        <f>"1000008684"</f>
        <v>1000008684</v>
      </c>
      <c r="F2" s="31" t="str">
        <f>"PERSONNEL:Secretarial &amp; clerical~Secretarial and clerical personnel"</f>
        <v>PERSONNEL:Secretarial &amp; clerical~Secretarial and clerical personnel</v>
      </c>
      <c r="G2" s="37" t="str">
        <f>"A8"</f>
        <v>A8</v>
      </c>
      <c r="H2" s="38">
        <v>0.01</v>
      </c>
      <c r="I2" s="31" t="str">
        <f>"80111706"</f>
        <v>80111706</v>
      </c>
      <c r="J2" s="39" t="s">
        <v>81</v>
      </c>
    </row>
    <row r="3" spans="1:10" ht="39">
      <c r="A3" s="36" t="s">
        <v>30</v>
      </c>
      <c r="B3" s="31" t="s">
        <v>29</v>
      </c>
      <c r="C3" s="31">
        <v>2836</v>
      </c>
      <c r="D3" s="31">
        <v>2</v>
      </c>
      <c r="E3" s="31" t="str">
        <f>"1000007332"</f>
        <v>1000007332</v>
      </c>
      <c r="F3" s="31" t="str">
        <f>"WAREHOUSE WORKERS:Warehouse Workers"</f>
        <v>WAREHOUSE WORKERS:Warehouse Workers</v>
      </c>
      <c r="G3" s="37" t="str">
        <f>"A8"</f>
        <v>A8</v>
      </c>
      <c r="H3" s="38">
        <v>0.01</v>
      </c>
      <c r="I3" s="31" t="str">
        <f>"80111611"</f>
        <v>80111611</v>
      </c>
      <c r="J3" s="39" t="s">
        <v>82</v>
      </c>
    </row>
    <row r="4" spans="1:10" ht="64.5">
      <c r="A4" s="36" t="s">
        <v>30</v>
      </c>
      <c r="B4" s="31" t="s">
        <v>29</v>
      </c>
      <c r="C4" s="31">
        <v>2836</v>
      </c>
      <c r="D4" s="31">
        <v>3</v>
      </c>
      <c r="E4" s="31" t="str">
        <f>"1000007598"</f>
        <v>1000007598</v>
      </c>
      <c r="F4" s="31" t="str">
        <f>"TRAINING:Computer Programming Pers~Computer and Data Processing Programming Personnel"</f>
        <v>TRAINING:Computer Programming Pers~Computer and Data Processing Programming Personnel</v>
      </c>
      <c r="G4" s="37" t="str">
        <f>"A8"</f>
        <v>A8</v>
      </c>
      <c r="H4" s="38">
        <v>0.01</v>
      </c>
      <c r="I4" s="31" t="str">
        <f>"80111608"</f>
        <v>80111608</v>
      </c>
      <c r="J4" s="39" t="s">
        <v>83</v>
      </c>
    </row>
    <row r="5" spans="1:10" ht="64.5">
      <c r="A5" s="36" t="s">
        <v>30</v>
      </c>
      <c r="B5" s="31" t="s">
        <v>29</v>
      </c>
      <c r="C5" s="31">
        <v>2836</v>
      </c>
      <c r="D5" s="31">
        <v>4</v>
      </c>
      <c r="E5" s="31" t="str">
        <f>"1000006753"</f>
        <v>1000006753</v>
      </c>
      <c r="F5" s="31" t="str">
        <f>"SERVICE: clinical lab test ~ medical services, including clinical laboratory testing services"</f>
        <v>SERVICE: clinical lab test ~ medical services, including clinical laboratory testing services</v>
      </c>
      <c r="G5" s="37" t="str">
        <f>"A8"</f>
        <v>A8</v>
      </c>
      <c r="H5" s="38">
        <v>0.01</v>
      </c>
      <c r="I5" s="31" t="str">
        <f>"85122201"</f>
        <v>85122201</v>
      </c>
      <c r="J5" s="39" t="s">
        <v>84</v>
      </c>
    </row>
    <row r="6" spans="1:10" ht="26.25">
      <c r="A6" s="36" t="s">
        <v>30</v>
      </c>
      <c r="B6" s="31" t="s">
        <v>29</v>
      </c>
      <c r="C6" s="31">
        <v>2836</v>
      </c>
      <c r="D6" s="31">
        <v>5</v>
      </c>
      <c r="E6" s="31" t="str">
        <f>"1000006338"</f>
        <v>1000006338</v>
      </c>
      <c r="F6" s="31" t="str">
        <f>"SERVICE:Background Check Services"</f>
        <v>SERVICE:Background Check Services</v>
      </c>
      <c r="G6" s="37" t="str">
        <f>"EA"</f>
        <v>EA</v>
      </c>
      <c r="H6" s="38">
        <v>16</v>
      </c>
      <c r="I6" s="31" t="str">
        <f>"93141805"</f>
        <v>93141805</v>
      </c>
      <c r="J6" s="39" t="s">
        <v>85</v>
      </c>
    </row>
    <row r="7" spans="1:10" ht="26.25">
      <c r="A7" s="36" t="s">
        <v>30</v>
      </c>
      <c r="B7" s="31" t="s">
        <v>29</v>
      </c>
      <c r="C7" s="31">
        <v>2836</v>
      </c>
      <c r="D7" s="31">
        <v>6</v>
      </c>
      <c r="E7" s="31" t="str">
        <f>"1000008943"</f>
        <v>1000008943</v>
      </c>
      <c r="F7" s="31" t="str">
        <f>"PERSONNEL: Domestic Workers"</f>
        <v>PERSONNEL: Domestic Workers</v>
      </c>
      <c r="G7" s="37" t="str">
        <f>"A8"</f>
        <v>A8</v>
      </c>
      <c r="H7" s="38">
        <v>0.01</v>
      </c>
      <c r="I7" s="31" t="str">
        <f>"80111600"</f>
        <v>80111600</v>
      </c>
      <c r="J7" s="39" t="s">
        <v>86</v>
      </c>
    </row>
    <row r="8" spans="1:10" ht="39">
      <c r="A8" s="36" t="s">
        <v>30</v>
      </c>
      <c r="B8" s="31" t="s">
        <v>29</v>
      </c>
      <c r="C8" s="31">
        <v>2836</v>
      </c>
      <c r="D8" s="31">
        <v>7</v>
      </c>
      <c r="E8" s="31" t="str">
        <f>"1000008556"</f>
        <v>1000008556</v>
      </c>
      <c r="F8" s="31" t="str">
        <f>"TRAINING:Computer training services"</f>
        <v>TRAINING:Computer training services</v>
      </c>
      <c r="G8" s="37" t="str">
        <f>"A8"</f>
        <v>A8</v>
      </c>
      <c r="H8" s="38">
        <v>0.01</v>
      </c>
      <c r="I8" s="31" t="str">
        <f>"86101601"</f>
        <v>86101601</v>
      </c>
      <c r="J8" s="39" t="s">
        <v>87</v>
      </c>
    </row>
    <row r="9" spans="1:10" ht="39">
      <c r="A9" s="40" t="s">
        <v>30</v>
      </c>
      <c r="B9" s="41" t="s">
        <v>29</v>
      </c>
      <c r="C9" s="41">
        <v>2836</v>
      </c>
      <c r="D9" s="41">
        <v>8</v>
      </c>
      <c r="E9" s="41" t="str">
        <f>"1000005726"</f>
        <v>1000005726</v>
      </c>
      <c r="F9" s="41" t="str">
        <f>"GOVT ITEMS:Motor Vehicle Report (M.V.R.)"</f>
        <v>GOVT ITEMS:Motor Vehicle Report (M.V.R.)</v>
      </c>
      <c r="G9" s="42" t="str">
        <f>"EA"</f>
        <v>EA</v>
      </c>
      <c r="H9" s="43">
        <v>26</v>
      </c>
      <c r="I9" s="41" t="str">
        <f>"93151508"</f>
        <v>93151508</v>
      </c>
      <c r="J9" s="44" t="s">
        <v>88</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sheetPr codeName="Sheet22"/>
  <dimension ref="A1:J2"/>
  <sheetViews>
    <sheetView workbookViewId="0">
      <selection activeCell="B2" sqref="B2"/>
    </sheetView>
  </sheetViews>
  <sheetFormatPr defaultRowHeight="15"/>
  <cols>
    <col min="1" max="1" width="6.5703125" bestFit="1" customWidth="1"/>
    <col min="2" max="2" width="8" bestFit="1" customWidth="1"/>
    <col min="3" max="3" width="5.85546875" customWidth="1"/>
    <col min="4" max="4" width="5" customWidth="1"/>
    <col min="5" max="5" width="11" bestFit="1" customWidth="1"/>
    <col min="6" max="6" width="34.5703125" customWidth="1"/>
    <col min="7" max="7" width="7.140625" customWidth="1"/>
    <col min="8" max="8" width="5.42578125" bestFit="1" customWidth="1"/>
    <col min="9" max="9" width="9" bestFit="1" customWidth="1"/>
    <col min="10" max="10" width="9.7109375" customWidth="1"/>
  </cols>
  <sheetData>
    <row r="1" spans="1:10" s="6" customFormat="1" ht="12.75">
      <c r="A1" s="12" t="s">
        <v>71</v>
      </c>
      <c r="B1" s="13" t="s">
        <v>208</v>
      </c>
      <c r="C1" s="13" t="s">
        <v>65</v>
      </c>
      <c r="D1" s="13" t="s">
        <v>207</v>
      </c>
      <c r="E1" s="13" t="s">
        <v>20</v>
      </c>
      <c r="F1" s="13" t="s">
        <v>21</v>
      </c>
      <c r="G1" s="13" t="s">
        <v>22</v>
      </c>
      <c r="H1" s="14" t="s">
        <v>66</v>
      </c>
      <c r="I1" s="13" t="s">
        <v>206</v>
      </c>
      <c r="J1" s="15" t="s">
        <v>205</v>
      </c>
    </row>
    <row r="2" spans="1:10" ht="77.25">
      <c r="A2" s="16" t="s">
        <v>33</v>
      </c>
      <c r="B2" s="17" t="s">
        <v>34</v>
      </c>
      <c r="C2" s="17">
        <v>2193</v>
      </c>
      <c r="D2" s="17">
        <v>1</v>
      </c>
      <c r="E2" s="17" t="str">
        <f>"1000003823"</f>
        <v>1000003823</v>
      </c>
      <c r="F2" s="17" t="str">
        <f>"CONDOMS:144/cs Pre-lube indv pkg in opaque mat~Condoms prelubricated, individualy packaged in opaque material, 144 per case.~CONDOMS, PRELUBRICATED, INDIVIDUALLY PACKAGED IN OPAQUE MATE"</f>
        <v>CONDOMS:144/cs Pre-lube indv pkg in opaque mat~Condoms prelubricated, individualy packaged in opaque material, 144 per case.~CONDOMS, PRELUBRICATED, INDIVIDUALLY PACKAGED IN OPAQUE MATE</v>
      </c>
      <c r="G2" s="18" t="str">
        <f>"CA"</f>
        <v>CA</v>
      </c>
      <c r="H2" s="19">
        <v>13.9</v>
      </c>
      <c r="I2" s="17" t="str">
        <f>"53131622"</f>
        <v>53131622</v>
      </c>
      <c r="J2" s="20" t="s">
        <v>112</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sheetPr codeName="Sheet23"/>
  <dimension ref="A1:J14"/>
  <sheetViews>
    <sheetView workbookViewId="0">
      <selection activeCell="B1" sqref="B1:B1048576"/>
    </sheetView>
  </sheetViews>
  <sheetFormatPr defaultRowHeight="15"/>
  <cols>
    <col min="1" max="1" width="6.5703125" bestFit="1" customWidth="1"/>
    <col min="2" max="2" width="6.28515625" customWidth="1"/>
    <col min="3" max="3" width="5.85546875" customWidth="1"/>
    <col min="4" max="4" width="5" customWidth="1"/>
    <col min="5" max="5" width="11" bestFit="1" customWidth="1"/>
    <col min="6" max="6" width="34.42578125" bestFit="1" customWidth="1"/>
    <col min="7" max="7" width="7.140625" customWidth="1"/>
    <col min="8" max="8" width="5.42578125" bestFit="1" customWidth="1"/>
    <col min="9" max="9" width="9" bestFit="1" customWidth="1"/>
    <col min="10" max="10" width="9.7109375" customWidth="1"/>
  </cols>
  <sheetData>
    <row r="1" spans="1:10" s="6" customFormat="1" ht="12.75">
      <c r="A1" s="32" t="s">
        <v>71</v>
      </c>
      <c r="B1" s="33" t="s">
        <v>208</v>
      </c>
      <c r="C1" s="33" t="s">
        <v>65</v>
      </c>
      <c r="D1" s="33" t="s">
        <v>207</v>
      </c>
      <c r="E1" s="33" t="s">
        <v>20</v>
      </c>
      <c r="F1" s="33" t="s">
        <v>21</v>
      </c>
      <c r="G1" s="33" t="s">
        <v>22</v>
      </c>
      <c r="H1" s="34" t="s">
        <v>66</v>
      </c>
      <c r="I1" s="33" t="s">
        <v>206</v>
      </c>
      <c r="J1" s="35" t="s">
        <v>205</v>
      </c>
    </row>
    <row r="2" spans="1:10" ht="51.75">
      <c r="A2" s="36" t="s">
        <v>61</v>
      </c>
      <c r="B2" s="31" t="s">
        <v>57</v>
      </c>
      <c r="C2" s="31">
        <v>3489</v>
      </c>
      <c r="D2" s="31">
        <v>1</v>
      </c>
      <c r="E2" s="31" t="str">
        <f>"1000001572"</f>
        <v>1000001572</v>
      </c>
      <c r="F2" s="31" t="str">
        <f>"SOCKS:Crew-White-Sz9-11(Ladies~Crew Socks, White. Sock size: 9-11 (Ladies/Children)~Crew Socks, White. Sock size: 9-11 (Ladies/Children)"</f>
        <v>SOCKS:Crew-White-Sz9-11(Ladies~Crew Socks, White. Sock size: 9-11 (Ladies/Children)~Crew Socks, White. Sock size: 9-11 (Ladies/Children)</v>
      </c>
      <c r="G2" s="37" t="str">
        <f t="shared" ref="G2:G14" si="0">"DZ"</f>
        <v>DZ</v>
      </c>
      <c r="H2" s="38">
        <v>21.05</v>
      </c>
      <c r="I2" s="31" t="str">
        <f t="shared" ref="I2:I14" si="1">"53102402"</f>
        <v>53102402</v>
      </c>
      <c r="J2" s="39" t="s">
        <v>182</v>
      </c>
    </row>
    <row r="3" spans="1:10" ht="64.5">
      <c r="A3" s="36" t="s">
        <v>61</v>
      </c>
      <c r="B3" s="31" t="s">
        <v>57</v>
      </c>
      <c r="C3" s="31">
        <v>3489</v>
      </c>
      <c r="D3" s="31">
        <v>2</v>
      </c>
      <c r="E3" s="31" t="str">
        <f>"1000000435"</f>
        <v>1000000435</v>
      </c>
      <c r="F3" s="31" t="str">
        <f>"SOCKS:Crew-White-Econ Grd- Sz9~Crew Socks, Ladies &amp; Children Crew Socks, White, Economy Grade. Sock Size 9-11~Crew Socks, White, Economy Grade. Sock Size 9-11"</f>
        <v>SOCKS:Crew-White-Econ Grd- Sz9~Crew Socks, Ladies &amp; Children Crew Socks, White, Economy Grade. Sock Size 9-11~Crew Socks, White, Economy Grade. Sock Size 9-11</v>
      </c>
      <c r="G3" s="37" t="str">
        <f t="shared" si="0"/>
        <v>DZ</v>
      </c>
      <c r="H3" s="38">
        <v>10.65</v>
      </c>
      <c r="I3" s="31" t="str">
        <f t="shared" si="1"/>
        <v>53102402</v>
      </c>
      <c r="J3" s="39" t="s">
        <v>182</v>
      </c>
    </row>
    <row r="4" spans="1:10" ht="51.75">
      <c r="A4" s="36" t="s">
        <v>61</v>
      </c>
      <c r="B4" s="31" t="s">
        <v>57</v>
      </c>
      <c r="C4" s="31">
        <v>3489</v>
      </c>
      <c r="D4" s="31">
        <v>3</v>
      </c>
      <c r="E4" s="31" t="str">
        <f>"1000001598"</f>
        <v>1000001598</v>
      </c>
      <c r="F4" s="31" t="str">
        <f>"SOCKS:Crew-White-Sz10-13(Men)~Crew Socks, White. Sock size: 10-13 (Men's)~Crew Socks, White. Sock size: 10-13 (Men's)"</f>
        <v>SOCKS:Crew-White-Sz10-13(Men)~Crew Socks, White. Sock size: 10-13 (Men's)~Crew Socks, White. Sock size: 10-13 (Men's)</v>
      </c>
      <c r="G4" s="37" t="str">
        <f t="shared" si="0"/>
        <v>DZ</v>
      </c>
      <c r="H4" s="38">
        <v>21.65</v>
      </c>
      <c r="I4" s="31" t="str">
        <f t="shared" si="1"/>
        <v>53102402</v>
      </c>
      <c r="J4" s="39" t="s">
        <v>182</v>
      </c>
    </row>
    <row r="5" spans="1:10" ht="51.75">
      <c r="A5" s="36" t="s">
        <v>61</v>
      </c>
      <c r="B5" s="31" t="s">
        <v>57</v>
      </c>
      <c r="C5" s="31">
        <v>3489</v>
      </c>
      <c r="D5" s="31">
        <v>4</v>
      </c>
      <c r="E5" s="31" t="str">
        <f>"1000000596"</f>
        <v>1000000596</v>
      </c>
      <c r="F5" s="31" t="str">
        <f>"SOCKS:Crew-Gray-Reinf. Toe/Hee~Crew Socks,Gray, Reinforced Toe and Heel. Size 10-13 (MEN'S)~Crew Socks,Gray, Reinforced Toe and Heel"</f>
        <v>SOCKS:Crew-Gray-Reinf. Toe/Hee~Crew Socks,Gray, Reinforced Toe and Heel. Size 10-13 (MEN'S)~Crew Socks,Gray, Reinforced Toe and Heel</v>
      </c>
      <c r="G5" s="37" t="str">
        <f t="shared" si="0"/>
        <v>DZ</v>
      </c>
      <c r="H5" s="38">
        <v>11.4</v>
      </c>
      <c r="I5" s="31" t="str">
        <f t="shared" si="1"/>
        <v>53102402</v>
      </c>
      <c r="J5" s="39" t="s">
        <v>182</v>
      </c>
    </row>
    <row r="6" spans="1:10" ht="51.75">
      <c r="A6" s="36" t="s">
        <v>61</v>
      </c>
      <c r="B6" s="31" t="s">
        <v>57</v>
      </c>
      <c r="C6" s="31">
        <v>3489</v>
      </c>
      <c r="D6" s="31">
        <v>5</v>
      </c>
      <c r="E6" s="31" t="str">
        <f>"1000000436"</f>
        <v>1000000436</v>
      </c>
      <c r="F6" s="31" t="str">
        <f>"SOCKS:Crew-White-Econ Grd-Sz10~Crew Socks, Men's Crew Socks, White, Economy Grade, Sock Size 10-13~Crew Socks, White, Economy Grade, Sock Size 10-13"</f>
        <v>SOCKS:Crew-White-Econ Grd-Sz10~Crew Socks, Men's Crew Socks, White, Economy Grade, Sock Size 10-13~Crew Socks, White, Economy Grade, Sock Size 10-13</v>
      </c>
      <c r="G6" s="37" t="str">
        <f t="shared" si="0"/>
        <v>DZ</v>
      </c>
      <c r="H6" s="38">
        <v>11.4</v>
      </c>
      <c r="I6" s="31" t="str">
        <f t="shared" si="1"/>
        <v>53102402</v>
      </c>
      <c r="J6" s="39" t="s">
        <v>182</v>
      </c>
    </row>
    <row r="7" spans="1:10" ht="39">
      <c r="A7" s="36" t="s">
        <v>61</v>
      </c>
      <c r="B7" s="31" t="s">
        <v>57</v>
      </c>
      <c r="C7" s="31">
        <v>3489</v>
      </c>
      <c r="D7" s="31">
        <v>6</v>
      </c>
      <c r="E7" s="31" t="str">
        <f>"1000000554"</f>
        <v>1000000554</v>
      </c>
      <c r="F7" s="31" t="str">
        <f>"SOCKS:Ankle Sock, Ladies/Child~Socks, Ankle Ankle Sock, Ladies/Children, White, Sock Size 9 - 11"</f>
        <v>SOCKS:Ankle Sock, Ladies/Child~Socks, Ankle Ankle Sock, Ladies/Children, White, Sock Size 9 - 11</v>
      </c>
      <c r="G7" s="37" t="str">
        <f t="shared" si="0"/>
        <v>DZ</v>
      </c>
      <c r="H7" s="38">
        <v>18</v>
      </c>
      <c r="I7" s="31" t="str">
        <f t="shared" si="1"/>
        <v>53102402</v>
      </c>
      <c r="J7" s="39" t="s">
        <v>182</v>
      </c>
    </row>
    <row r="8" spans="1:10" ht="39">
      <c r="A8" s="36" t="s">
        <v>61</v>
      </c>
      <c r="B8" s="31" t="s">
        <v>57</v>
      </c>
      <c r="C8" s="31">
        <v>3489</v>
      </c>
      <c r="D8" s="31">
        <v>7</v>
      </c>
      <c r="E8" s="31" t="str">
        <f>"1000029628"</f>
        <v>1000029628</v>
      </c>
      <c r="F8" s="31" t="str">
        <f>"SOCKS: Ankle,Ladies/Children,Economy Quality. Size 9-11. Color White. Per Dozen."</f>
        <v>SOCKS: Ankle,Ladies/Children,Economy Quality. Size 9-11. Color White. Per Dozen.</v>
      </c>
      <c r="G8" s="37" t="str">
        <f t="shared" si="0"/>
        <v>DZ</v>
      </c>
      <c r="H8" s="38">
        <v>8.5</v>
      </c>
      <c r="I8" s="31" t="str">
        <f t="shared" si="1"/>
        <v>53102402</v>
      </c>
      <c r="J8" s="39" t="s">
        <v>182</v>
      </c>
    </row>
    <row r="9" spans="1:10" ht="39">
      <c r="A9" s="36" t="s">
        <v>61</v>
      </c>
      <c r="B9" s="31" t="s">
        <v>57</v>
      </c>
      <c r="C9" s="31">
        <v>3489</v>
      </c>
      <c r="D9" s="31">
        <v>8</v>
      </c>
      <c r="E9" s="31" t="str">
        <f>"1000000555"</f>
        <v>1000000555</v>
      </c>
      <c r="F9" s="31" t="str">
        <f>"SOCKS:Ankle Sock, Mens, White,~Socks, Ankle Ankle Sock, Mens, White, Sock Size 10 - 13"</f>
        <v>SOCKS:Ankle Sock, Mens, White,~Socks, Ankle Ankle Sock, Mens, White, Sock Size 10 - 13</v>
      </c>
      <c r="G9" s="37" t="str">
        <f t="shared" si="0"/>
        <v>DZ</v>
      </c>
      <c r="H9" s="38">
        <v>18</v>
      </c>
      <c r="I9" s="31" t="str">
        <f t="shared" si="1"/>
        <v>53102402</v>
      </c>
      <c r="J9" s="39" t="s">
        <v>182</v>
      </c>
    </row>
    <row r="10" spans="1:10" ht="26.25">
      <c r="A10" s="36" t="s">
        <v>61</v>
      </c>
      <c r="B10" s="31" t="s">
        <v>57</v>
      </c>
      <c r="C10" s="31">
        <v>3489</v>
      </c>
      <c r="D10" s="31">
        <v>9</v>
      </c>
      <c r="E10" s="31" t="str">
        <f>"1000029629"</f>
        <v>1000029629</v>
      </c>
      <c r="F10" s="31" t="str">
        <f>"SOCKS: Ankle,Mens,Economy Quality. Size 10-13. Color White. Per Dozen."</f>
        <v>SOCKS: Ankle,Mens,Economy Quality. Size 10-13. Color White. Per Dozen.</v>
      </c>
      <c r="G10" s="37" t="str">
        <f t="shared" si="0"/>
        <v>DZ</v>
      </c>
      <c r="H10" s="38">
        <v>8.5</v>
      </c>
      <c r="I10" s="31" t="str">
        <f t="shared" si="1"/>
        <v>53102402</v>
      </c>
      <c r="J10" s="39" t="s">
        <v>182</v>
      </c>
    </row>
    <row r="11" spans="1:10" ht="51.75">
      <c r="A11" s="36" t="s">
        <v>61</v>
      </c>
      <c r="B11" s="31" t="s">
        <v>57</v>
      </c>
      <c r="C11" s="31">
        <v>3489</v>
      </c>
      <c r="D11" s="31">
        <v>10</v>
      </c>
      <c r="E11" s="31" t="str">
        <f>"1000000773"</f>
        <v>1000000773</v>
      </c>
      <c r="F11" s="31" t="str">
        <f>"SOCKS:Tube-White-Sz7-11(Ladies~Tube Socks, White. Sock Size: 7-11 (Ladies/Children)~Tube Socks, White. Sock Size: 7-11 (Ladies/Children)"</f>
        <v>SOCKS:Tube-White-Sz7-11(Ladies~Tube Socks, White. Sock Size: 7-11 (Ladies/Children)~Tube Socks, White. Sock Size: 7-11 (Ladies/Children)</v>
      </c>
      <c r="G11" s="37" t="str">
        <f t="shared" si="0"/>
        <v>DZ</v>
      </c>
      <c r="H11" s="38">
        <v>21.65</v>
      </c>
      <c r="I11" s="31" t="str">
        <f t="shared" si="1"/>
        <v>53102402</v>
      </c>
      <c r="J11" s="39" t="s">
        <v>182</v>
      </c>
    </row>
    <row r="12" spans="1:10" ht="39">
      <c r="A12" s="36" t="s">
        <v>61</v>
      </c>
      <c r="B12" s="31" t="s">
        <v>57</v>
      </c>
      <c r="C12" s="31">
        <v>3489</v>
      </c>
      <c r="D12" s="31">
        <v>11</v>
      </c>
      <c r="E12" s="31" t="str">
        <f>"1000029630"</f>
        <v>1000029630</v>
      </c>
      <c r="F12" s="31" t="str">
        <f>"SOCKS: Tube,Ladies/Children,Economy Quality. Size 7-11. Color White. Per Dozen."</f>
        <v>SOCKS: Tube,Ladies/Children,Economy Quality. Size 7-11. Color White. Per Dozen.</v>
      </c>
      <c r="G12" s="37" t="str">
        <f t="shared" si="0"/>
        <v>DZ</v>
      </c>
      <c r="H12" s="38">
        <v>8.5</v>
      </c>
      <c r="I12" s="31" t="str">
        <f t="shared" si="1"/>
        <v>53102402</v>
      </c>
      <c r="J12" s="39" t="s">
        <v>182</v>
      </c>
    </row>
    <row r="13" spans="1:10">
      <c r="A13" s="40" t="s">
        <v>61</v>
      </c>
      <c r="B13" s="41" t="s">
        <v>57</v>
      </c>
      <c r="C13" s="41">
        <v>3489</v>
      </c>
      <c r="D13" s="41">
        <v>12</v>
      </c>
      <c r="E13" s="41" t="str">
        <f>"1000000772"</f>
        <v>1000000772</v>
      </c>
      <c r="F13" s="41" t="str">
        <f>"SOCKS:Tube-White-Sz10-15, Mens"</f>
        <v>SOCKS:Tube-White-Sz10-15, Mens</v>
      </c>
      <c r="G13" s="42" t="str">
        <f t="shared" si="0"/>
        <v>DZ</v>
      </c>
      <c r="H13" s="43">
        <v>22.85</v>
      </c>
      <c r="I13" s="41" t="str">
        <f t="shared" si="1"/>
        <v>53102402</v>
      </c>
      <c r="J13" s="44" t="s">
        <v>182</v>
      </c>
    </row>
    <row r="14" spans="1:10" ht="64.5">
      <c r="A14" s="40" t="s">
        <v>61</v>
      </c>
      <c r="B14" s="41" t="s">
        <v>57</v>
      </c>
      <c r="C14" s="41">
        <v>3489</v>
      </c>
      <c r="D14" s="41">
        <v>13</v>
      </c>
      <c r="E14" s="41" t="str">
        <f>"1000000583"</f>
        <v>1000000583</v>
      </c>
      <c r="F14" s="41" t="str">
        <f>"SOCKS:Tube-White-Econ Grd-Sz 1~Crew Socks, Men's Tube Socks,White,Economy Grade. Sock Size 10-15~Tube Socks,White,Economy Grade. Sock Size 10-15"</f>
        <v>SOCKS:Tube-White-Econ Grd-Sz 1~Crew Socks, Men's Tube Socks,White,Economy Grade. Sock Size 10-15~Tube Socks,White,Economy Grade. Sock Size 10-15</v>
      </c>
      <c r="G14" s="42" t="str">
        <f t="shared" si="0"/>
        <v>DZ</v>
      </c>
      <c r="H14" s="43">
        <v>8.5</v>
      </c>
      <c r="I14" s="41" t="str">
        <f t="shared" si="1"/>
        <v>53102402</v>
      </c>
      <c r="J14" s="44" t="s">
        <v>182</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dimension ref="A1:J16"/>
  <sheetViews>
    <sheetView workbookViewId="0">
      <selection activeCell="B1" sqref="B1:B1048576"/>
    </sheetView>
  </sheetViews>
  <sheetFormatPr defaultRowHeight="15"/>
  <cols>
    <col min="1" max="1" width="8.140625" bestFit="1" customWidth="1"/>
    <col min="2" max="2" width="10.140625" bestFit="1" customWidth="1"/>
    <col min="3" max="3" width="8.28515625" bestFit="1" customWidth="1"/>
    <col min="4" max="4" width="7.42578125" bestFit="1" customWidth="1"/>
    <col min="5" max="5" width="11" bestFit="1" customWidth="1"/>
    <col min="6" max="6" width="36.28515625" style="108" customWidth="1"/>
    <col min="7" max="7" width="7.140625" customWidth="1"/>
    <col min="8" max="8" width="6.5703125" bestFit="1" customWidth="1"/>
    <col min="9" max="9" width="9" bestFit="1" customWidth="1"/>
    <col min="10" max="10" width="9.7109375" customWidth="1"/>
  </cols>
  <sheetData>
    <row r="1" spans="1:10" s="6" customFormat="1" ht="12.75">
      <c r="A1" s="32" t="s">
        <v>71</v>
      </c>
      <c r="B1" s="33" t="s">
        <v>208</v>
      </c>
      <c r="C1" s="33" t="s">
        <v>65</v>
      </c>
      <c r="D1" s="33" t="s">
        <v>207</v>
      </c>
      <c r="E1" s="33" t="s">
        <v>20</v>
      </c>
      <c r="F1" s="109" t="s">
        <v>21</v>
      </c>
      <c r="G1" s="33" t="s">
        <v>22</v>
      </c>
      <c r="H1" s="34" t="s">
        <v>66</v>
      </c>
      <c r="I1" s="33" t="s">
        <v>206</v>
      </c>
      <c r="J1" s="35" t="s">
        <v>205</v>
      </c>
    </row>
    <row r="2" spans="1:10" s="6" customFormat="1" ht="63.75">
      <c r="A2" s="9" t="s">
        <v>592</v>
      </c>
      <c r="B2" s="2" t="s">
        <v>325</v>
      </c>
      <c r="C2" s="2">
        <v>2524</v>
      </c>
      <c r="D2" s="2">
        <v>1</v>
      </c>
      <c r="E2" s="2" t="str">
        <f>"1000000044"</f>
        <v>1000000044</v>
      </c>
      <c r="F2" s="4" t="str">
        <f>"PLEATED FILTERS:Std Capacity~Standard Capacity extended surface panel. 12 pleats per ft. Synthetic cotton blend reinforced media. Heavy die-cut cardboard frame. Anti- microbial."</f>
        <v>PLEATED FILTERS:Std Capacity~Standard Capacity extended surface panel. 12 pleats per ft. Synthetic cotton blend reinforced media. Heavy die-cut cardboard frame. Anti- microbial.</v>
      </c>
      <c r="G2" s="74" t="str">
        <f t="shared" ref="G2:G16" si="0">"EA"</f>
        <v>EA</v>
      </c>
      <c r="H2" s="7">
        <v>0.01</v>
      </c>
      <c r="I2" s="2" t="str">
        <f t="shared" ref="I2:I16" si="1">"40161505"</f>
        <v>40161505</v>
      </c>
      <c r="J2" s="10" t="s">
        <v>74</v>
      </c>
    </row>
    <row r="3" spans="1:10" s="6" customFormat="1" ht="63.75">
      <c r="A3" s="9" t="s">
        <v>592</v>
      </c>
      <c r="B3" s="2" t="s">
        <v>325</v>
      </c>
      <c r="C3" s="2">
        <v>2524</v>
      </c>
      <c r="D3" s="2">
        <v>2</v>
      </c>
      <c r="E3" s="2" t="str">
        <f>"1000012359"</f>
        <v>1000012359</v>
      </c>
      <c r="F3" s="4" t="str">
        <f>"PLEATED FILTERS:High Capacity~High Capacity extended surface panel. 16 pleats per ft. Synthetic cotton blend reinforced media. Heavy die-cut cardboard frame. Anti- microbial."</f>
        <v>PLEATED FILTERS:High Capacity~High Capacity extended surface panel. 16 pleats per ft. Synthetic cotton blend reinforced media. Heavy die-cut cardboard frame. Anti- microbial.</v>
      </c>
      <c r="G3" s="74" t="str">
        <f t="shared" si="0"/>
        <v>EA</v>
      </c>
      <c r="H3" s="7">
        <v>0.01</v>
      </c>
      <c r="I3" s="2" t="str">
        <f t="shared" si="1"/>
        <v>40161505</v>
      </c>
      <c r="J3" s="10" t="s">
        <v>74</v>
      </c>
    </row>
    <row r="4" spans="1:10" s="6" customFormat="1" ht="25.5">
      <c r="A4" s="9" t="s">
        <v>592</v>
      </c>
      <c r="B4" s="2" t="s">
        <v>325</v>
      </c>
      <c r="C4" s="2">
        <v>2524</v>
      </c>
      <c r="D4" s="2">
        <v>3</v>
      </c>
      <c r="E4" s="2" t="str">
        <f>"1000012360"</f>
        <v>1000012360</v>
      </c>
      <c r="F4" s="4" t="str">
        <f>"PRE-FILTER PAD: 1/4 IN. Polyester pad, no frame."</f>
        <v>PRE-FILTER PAD: 1/4 IN. Polyester pad, no frame.</v>
      </c>
      <c r="G4" s="74" t="str">
        <f t="shared" si="0"/>
        <v>EA</v>
      </c>
      <c r="H4" s="7">
        <v>0.01</v>
      </c>
      <c r="I4" s="2" t="str">
        <f t="shared" si="1"/>
        <v>40161505</v>
      </c>
      <c r="J4" s="10" t="s">
        <v>74</v>
      </c>
    </row>
    <row r="5" spans="1:10" s="6" customFormat="1" ht="38.25">
      <c r="A5" s="9" t="s">
        <v>592</v>
      </c>
      <c r="B5" s="2" t="s">
        <v>325</v>
      </c>
      <c r="C5" s="2">
        <v>2524</v>
      </c>
      <c r="D5" s="2">
        <v>4</v>
      </c>
      <c r="E5" s="2" t="str">
        <f>"1000012361"</f>
        <v>1000012361</v>
      </c>
      <c r="F5" s="4" t="str">
        <f>"FILTER: Single Pocket Bag Filter.  Polyester media with tackifier.  One large pocket attached to a single wire."</f>
        <v>FILTER: Single Pocket Bag Filter.  Polyester media with tackifier.  One large pocket attached to a single wire.</v>
      </c>
      <c r="G5" s="74" t="str">
        <f t="shared" si="0"/>
        <v>EA</v>
      </c>
      <c r="H5" s="7">
        <v>0.01</v>
      </c>
      <c r="I5" s="2" t="str">
        <f t="shared" si="1"/>
        <v>40161505</v>
      </c>
      <c r="J5" s="10" t="s">
        <v>74</v>
      </c>
    </row>
    <row r="6" spans="1:10" s="6" customFormat="1" ht="63.75">
      <c r="A6" s="9" t="s">
        <v>592</v>
      </c>
      <c r="B6" s="2" t="s">
        <v>325</v>
      </c>
      <c r="C6" s="2">
        <v>2524</v>
      </c>
      <c r="D6" s="2">
        <v>5</v>
      </c>
      <c r="E6" s="2" t="str">
        <f>"1000001010"</f>
        <v>1000001010</v>
      </c>
      <c r="F6" s="4" t="str">
        <f>"FILTER: 1in.Open Panel w/Scrim. Thick self-sealing disposable polyester heat and air filters. Dust holding capacity 201.3 gr. ASHRAE 52-76. Wire self-retaining type frame."</f>
        <v>FILTER: 1in.Open Panel w/Scrim. Thick self-sealing disposable polyester heat and air filters. Dust holding capacity 201.3 gr. ASHRAE 52-76. Wire self-retaining type frame.</v>
      </c>
      <c r="G6" s="74" t="str">
        <f t="shared" si="0"/>
        <v>EA</v>
      </c>
      <c r="H6" s="7">
        <v>0.01</v>
      </c>
      <c r="I6" s="2" t="str">
        <f t="shared" si="1"/>
        <v>40161505</v>
      </c>
      <c r="J6" s="10" t="s">
        <v>74</v>
      </c>
    </row>
    <row r="7" spans="1:10" s="6" customFormat="1" ht="25.5">
      <c r="A7" s="9" t="s">
        <v>592</v>
      </c>
      <c r="B7" s="2" t="s">
        <v>325</v>
      </c>
      <c r="C7" s="2">
        <v>2524</v>
      </c>
      <c r="D7" s="2">
        <v>6</v>
      </c>
      <c r="E7" s="2" t="str">
        <f>"1000000904"</f>
        <v>1000000904</v>
      </c>
      <c r="F7" s="4" t="str">
        <f>"FILTER:Utility roll w/ scrim, Air condition &amp; heat filters - Utility Rolls Polyester w/scrim"</f>
        <v>FILTER:Utility roll w/ scrim, Air condition &amp; heat filters - Utility Rolls Polyester w/scrim</v>
      </c>
      <c r="G7" s="74" t="str">
        <f t="shared" si="0"/>
        <v>EA</v>
      </c>
      <c r="H7" s="7">
        <v>0.01</v>
      </c>
      <c r="I7" s="2" t="str">
        <f t="shared" si="1"/>
        <v>40161505</v>
      </c>
      <c r="J7" s="10" t="s">
        <v>74</v>
      </c>
    </row>
    <row r="8" spans="1:10" s="6" customFormat="1" ht="51">
      <c r="A8" s="9" t="s">
        <v>592</v>
      </c>
      <c r="B8" s="2" t="s">
        <v>325</v>
      </c>
      <c r="C8" s="2">
        <v>2524</v>
      </c>
      <c r="D8" s="2">
        <v>7</v>
      </c>
      <c r="E8" s="2" t="str">
        <f>"1000012362"</f>
        <v>1000012362</v>
      </c>
      <c r="F8" s="4" t="str">
        <f>"FILTER: Duals w/ tackifier. Dual polyester filter with tackifier on downstream side. Self-sealing and disposable. Wire self-retaining frame, encased."</f>
        <v>FILTER: Duals w/ tackifier. Dual polyester filter with tackifier on downstream side. Self-sealing and disposable. Wire self-retaining frame, encased.</v>
      </c>
      <c r="G8" s="74" t="str">
        <f t="shared" si="0"/>
        <v>EA</v>
      </c>
      <c r="H8" s="7">
        <v>0.01</v>
      </c>
      <c r="I8" s="2" t="str">
        <f t="shared" si="1"/>
        <v>40161505</v>
      </c>
      <c r="J8" s="10" t="s">
        <v>74</v>
      </c>
    </row>
    <row r="9" spans="1:10" s="6" customFormat="1" ht="51">
      <c r="A9" s="9" t="s">
        <v>592</v>
      </c>
      <c r="B9" s="2" t="s">
        <v>325</v>
      </c>
      <c r="C9" s="2">
        <v>2524</v>
      </c>
      <c r="D9" s="2">
        <v>8</v>
      </c>
      <c r="E9" s="2" t="str">
        <f>"1000000198"</f>
        <v>1000000198</v>
      </c>
      <c r="F9" s="4" t="str">
        <f>"FILTER: 2in.Open Panel w/Scrim, thick self-sealing disposable polyester heat and air filters. Wire self-retaining frame. Dust holding capacity 291.8 gr. ASHRAE 52-76"</f>
        <v>FILTER: 2in.Open Panel w/Scrim, thick self-sealing disposable polyester heat and air filters. Wire self-retaining frame. Dust holding capacity 291.8 gr. ASHRAE 52-76</v>
      </c>
      <c r="G9" s="74" t="str">
        <f t="shared" si="0"/>
        <v>EA</v>
      </c>
      <c r="H9" s="7">
        <v>0.01</v>
      </c>
      <c r="I9" s="2" t="str">
        <f t="shared" si="1"/>
        <v>40161505</v>
      </c>
      <c r="J9" s="10" t="s">
        <v>74</v>
      </c>
    </row>
    <row r="10" spans="1:10" s="6" customFormat="1" ht="76.5">
      <c r="A10" s="9" t="s">
        <v>592</v>
      </c>
      <c r="B10" s="2" t="s">
        <v>325</v>
      </c>
      <c r="C10" s="2">
        <v>2524</v>
      </c>
      <c r="D10" s="2">
        <v>9</v>
      </c>
      <c r="E10" s="2" t="str">
        <f>"1000000197"</f>
        <v>1000000197</v>
      </c>
      <c r="F10" s="4" t="str">
        <f>"FILTER: Open Panel w/ AEGIS (TM) anti-microbial treated polyester media. Controls microorganisms including mold, mildew, fungi, yeasts, and bacteria, especially useful where allergies are a concern. Wire self-retaining frame."</f>
        <v>FILTER: Open Panel w/ AEGIS (TM) anti-microbial treated polyester media. Controls microorganisms including mold, mildew, fungi, yeasts, and bacteria, especially useful where allergies are a concern. Wire self-retaining frame.</v>
      </c>
      <c r="G10" s="74" t="str">
        <f t="shared" si="0"/>
        <v>EA</v>
      </c>
      <c r="H10" s="7">
        <v>0.01</v>
      </c>
      <c r="I10" s="2" t="str">
        <f t="shared" si="1"/>
        <v>40161505</v>
      </c>
      <c r="J10" s="10" t="s">
        <v>74</v>
      </c>
    </row>
    <row r="11" spans="1:10" s="6" customFormat="1" ht="51">
      <c r="A11" s="9" t="s">
        <v>592</v>
      </c>
      <c r="B11" s="2" t="s">
        <v>325</v>
      </c>
      <c r="C11" s="2">
        <v>2524</v>
      </c>
      <c r="D11" s="2">
        <v>10</v>
      </c>
      <c r="E11" s="2" t="str">
        <f>"1000012363"</f>
        <v>1000012363</v>
      </c>
      <c r="F11" s="4" t="str">
        <f>"FILTER:Open Panel w/ tackifier.  Medial filter with tackifier on air leaving side ASHRAE 52-76 Dust holding capacity 269 gr. No scrim. Wire self-retaining frame."</f>
        <v>FILTER:Open Panel w/ tackifier.  Medial filter with tackifier on air leaving side ASHRAE 52-76 Dust holding capacity 269 gr. No scrim. Wire self-retaining frame.</v>
      </c>
      <c r="G11" s="74" t="str">
        <f t="shared" si="0"/>
        <v>EA</v>
      </c>
      <c r="H11" s="7">
        <v>0.01</v>
      </c>
      <c r="I11" s="2" t="str">
        <f t="shared" si="1"/>
        <v>40161505</v>
      </c>
      <c r="J11" s="10" t="s">
        <v>74</v>
      </c>
    </row>
    <row r="12" spans="1:10" s="6" customFormat="1" ht="51">
      <c r="A12" s="9" t="s">
        <v>592</v>
      </c>
      <c r="B12" s="2" t="s">
        <v>325</v>
      </c>
      <c r="C12" s="2">
        <v>2524</v>
      </c>
      <c r="D12" s="2">
        <v>11</v>
      </c>
      <c r="E12" s="2" t="str">
        <f>"1000012364"</f>
        <v>1000012364</v>
      </c>
      <c r="F12" s="4" t="str">
        <f>"FILTER: Poly Dual.  Dual density, self-sealing polyester filter with tackifier on down stream side. Wire, self-retaining frame, encased."</f>
        <v>FILTER: Poly Dual.  Dual density, self-sealing polyester filter with tackifier on down stream side. Wire, self-retaining frame, encased.</v>
      </c>
      <c r="G12" s="74" t="str">
        <f t="shared" si="0"/>
        <v>EA</v>
      </c>
      <c r="H12" s="7">
        <v>0.01</v>
      </c>
      <c r="I12" s="2" t="str">
        <f t="shared" si="1"/>
        <v>40161505</v>
      </c>
      <c r="J12" s="10" t="s">
        <v>74</v>
      </c>
    </row>
    <row r="13" spans="1:10" s="6" customFormat="1" ht="51">
      <c r="A13" s="9" t="s">
        <v>592</v>
      </c>
      <c r="B13" s="2" t="s">
        <v>325</v>
      </c>
      <c r="C13" s="2">
        <v>2524</v>
      </c>
      <c r="D13" s="2">
        <v>12</v>
      </c>
      <c r="E13" s="2" t="str">
        <f>"1000006799"</f>
        <v>1000006799</v>
      </c>
      <c r="F13" s="4" t="str">
        <f>"FILTER: Framed Polyester. Dual density self-sealing polyester filter with tack on down stream side. Heavy die cut cardboard frame."</f>
        <v>FILTER: Framed Polyester. Dual density self-sealing polyester filter with tack on down stream side. Heavy die cut cardboard frame.</v>
      </c>
      <c r="G13" s="74" t="str">
        <f t="shared" si="0"/>
        <v>EA</v>
      </c>
      <c r="H13" s="7">
        <v>0.01</v>
      </c>
      <c r="I13" s="2" t="str">
        <f t="shared" si="1"/>
        <v>40161505</v>
      </c>
      <c r="J13" s="10" t="s">
        <v>74</v>
      </c>
    </row>
    <row r="14" spans="1:10" s="6" customFormat="1" ht="38.25">
      <c r="A14" s="9" t="s">
        <v>592</v>
      </c>
      <c r="B14" s="2" t="s">
        <v>325</v>
      </c>
      <c r="C14" s="2">
        <v>2524</v>
      </c>
      <c r="D14" s="2">
        <v>13</v>
      </c>
      <c r="E14" s="2" t="str">
        <f>"1000008678"</f>
        <v>1000008678</v>
      </c>
      <c r="F14" s="4" t="str">
        <f>"FILTER: Framed Polyester Aegis Element Filter. Anti-microbial treated for pollen and mold. Die cut."</f>
        <v>FILTER: Framed Polyester Aegis Element Filter. Anti-microbial treated for pollen and mold. Die cut.</v>
      </c>
      <c r="G14" s="74" t="str">
        <f t="shared" si="0"/>
        <v>EA</v>
      </c>
      <c r="H14" s="7">
        <v>0.01</v>
      </c>
      <c r="I14" s="2" t="str">
        <f t="shared" si="1"/>
        <v>40161505</v>
      </c>
      <c r="J14" s="10" t="s">
        <v>74</v>
      </c>
    </row>
    <row r="15" spans="1:10" s="6" customFormat="1" ht="25.5">
      <c r="A15" s="9" t="s">
        <v>592</v>
      </c>
      <c r="B15" s="2" t="s">
        <v>325</v>
      </c>
      <c r="C15" s="2">
        <v>2524</v>
      </c>
      <c r="D15" s="2">
        <v>14</v>
      </c>
      <c r="E15" s="2" t="str">
        <f>"1000000129"</f>
        <v>1000000129</v>
      </c>
      <c r="F15" s="4" t="str">
        <f>"FILTER: Fiberglass filter, die cut."</f>
        <v>FILTER: Fiberglass filter, die cut.</v>
      </c>
      <c r="G15" s="74" t="str">
        <f t="shared" si="0"/>
        <v>EA</v>
      </c>
      <c r="H15" s="7">
        <v>0.01</v>
      </c>
      <c r="I15" s="2" t="str">
        <f t="shared" si="1"/>
        <v>40161505</v>
      </c>
      <c r="J15" s="10" t="s">
        <v>74</v>
      </c>
    </row>
    <row r="16" spans="1:10" s="6" customFormat="1" ht="25.5">
      <c r="A16" s="16" t="s">
        <v>592</v>
      </c>
      <c r="B16" s="17" t="s">
        <v>325</v>
      </c>
      <c r="C16" s="17">
        <v>2524</v>
      </c>
      <c r="D16" s="17">
        <v>15</v>
      </c>
      <c r="E16" s="17" t="str">
        <f>"1000000432"</f>
        <v>1000000432</v>
      </c>
      <c r="F16" s="106" t="str">
        <f>"FILTER:Custom cut. Price quoted upon request."</f>
        <v>FILTER:Custom cut. Price quoted upon request.</v>
      </c>
      <c r="G16" s="107" t="str">
        <f t="shared" si="0"/>
        <v>EA</v>
      </c>
      <c r="H16" s="19">
        <v>0.01</v>
      </c>
      <c r="I16" s="17" t="str">
        <f t="shared" si="1"/>
        <v>40161505</v>
      </c>
      <c r="J16" s="20" t="s">
        <v>74</v>
      </c>
    </row>
  </sheetData>
  <pageMargins left="0.7" right="0.7" top="0.75" bottom="0.75" header="0.3" footer="0.3"/>
  <legacyDrawing r:id="rId1"/>
  <tableParts count="1">
    <tablePart r:id="rId2"/>
  </tableParts>
</worksheet>
</file>

<file path=xl/worksheets/sheet24.xml><?xml version="1.0" encoding="utf-8"?>
<worksheet xmlns="http://schemas.openxmlformats.org/spreadsheetml/2006/main" xmlns:r="http://schemas.openxmlformats.org/officeDocument/2006/relationships">
  <sheetPr codeName="Sheet24"/>
  <dimension ref="A1:J20"/>
  <sheetViews>
    <sheetView workbookViewId="0">
      <selection activeCell="B1" sqref="B1:B1048576"/>
    </sheetView>
  </sheetViews>
  <sheetFormatPr defaultColWidth="41.7109375" defaultRowHeight="15"/>
  <cols>
    <col min="1" max="1" width="6.5703125" bestFit="1" customWidth="1"/>
    <col min="2" max="2" width="6.28515625" customWidth="1"/>
    <col min="3" max="3" width="5.85546875" customWidth="1"/>
    <col min="4" max="4" width="5" customWidth="1"/>
    <col min="5" max="5" width="11" bestFit="1" customWidth="1"/>
    <col min="6" max="6" width="45.28515625" customWidth="1"/>
    <col min="7" max="7" width="7.140625" customWidth="1"/>
    <col min="8" max="8" width="6.42578125" bestFit="1" customWidth="1"/>
    <col min="9" max="9" width="9" bestFit="1" customWidth="1"/>
    <col min="10" max="10" width="10.140625" bestFit="1" customWidth="1"/>
  </cols>
  <sheetData>
    <row r="1" spans="1:10" s="6" customFormat="1" ht="12.75">
      <c r="A1" s="12" t="s">
        <v>71</v>
      </c>
      <c r="B1" s="13" t="s">
        <v>208</v>
      </c>
      <c r="C1" s="13" t="s">
        <v>65</v>
      </c>
      <c r="D1" s="13" t="s">
        <v>207</v>
      </c>
      <c r="E1" s="13" t="s">
        <v>20</v>
      </c>
      <c r="F1" s="13" t="s">
        <v>21</v>
      </c>
      <c r="G1" s="13" t="s">
        <v>22</v>
      </c>
      <c r="H1" s="14" t="s">
        <v>66</v>
      </c>
      <c r="I1" s="13" t="s">
        <v>206</v>
      </c>
      <c r="J1" s="15" t="s">
        <v>205</v>
      </c>
    </row>
    <row r="2" spans="1:10">
      <c r="A2" s="24" t="s">
        <v>56</v>
      </c>
      <c r="B2" s="21" t="s">
        <v>57</v>
      </c>
      <c r="C2" s="21">
        <v>3021</v>
      </c>
      <c r="D2" s="21">
        <v>1</v>
      </c>
      <c r="E2" s="21" t="str">
        <f>"1000024604"</f>
        <v>1000024604</v>
      </c>
      <c r="F2" s="21" t="str">
        <f>"BRIEFS-Women:Basic-Size 5-6"</f>
        <v>BRIEFS-Women:Basic-Size 5-6</v>
      </c>
      <c r="G2" s="22" t="str">
        <f t="shared" ref="G2:G20" si="0">"DZ"</f>
        <v>DZ</v>
      </c>
      <c r="H2" s="23">
        <v>13.11</v>
      </c>
      <c r="I2" s="21" t="str">
        <f>"53102303"</f>
        <v>53102303</v>
      </c>
      <c r="J2" s="25" t="s">
        <v>149</v>
      </c>
    </row>
    <row r="3" spans="1:10">
      <c r="A3" s="9" t="s">
        <v>56</v>
      </c>
      <c r="B3" s="2" t="s">
        <v>57</v>
      </c>
      <c r="C3" s="2">
        <v>3021</v>
      </c>
      <c r="D3" s="2">
        <v>2</v>
      </c>
      <c r="E3" s="2" t="str">
        <f>"1000024605"</f>
        <v>1000024605</v>
      </c>
      <c r="F3" s="2" t="str">
        <f>"BRIEFS-Women:Basic-Size 7-8"</f>
        <v>BRIEFS-Women:Basic-Size 7-8</v>
      </c>
      <c r="G3" s="3" t="str">
        <f t="shared" si="0"/>
        <v>DZ</v>
      </c>
      <c r="H3" s="7">
        <v>13.11</v>
      </c>
      <c r="I3" s="2" t="str">
        <f>"53102303"</f>
        <v>53102303</v>
      </c>
      <c r="J3" s="10" t="s">
        <v>149</v>
      </c>
    </row>
    <row r="4" spans="1:10">
      <c r="A4" s="24" t="s">
        <v>56</v>
      </c>
      <c r="B4" s="21" t="s">
        <v>57</v>
      </c>
      <c r="C4" s="21">
        <v>3021</v>
      </c>
      <c r="D4" s="21">
        <v>3</v>
      </c>
      <c r="E4" s="21" t="str">
        <f>"1000024606"</f>
        <v>1000024606</v>
      </c>
      <c r="F4" s="21" t="str">
        <f>"BRIEFS-Women:Basic-Size 11-13"</f>
        <v>BRIEFS-Women:Basic-Size 11-13</v>
      </c>
      <c r="G4" s="22" t="str">
        <f t="shared" si="0"/>
        <v>DZ</v>
      </c>
      <c r="H4" s="23">
        <v>18.29</v>
      </c>
      <c r="I4" s="21" t="str">
        <f>"53102303"</f>
        <v>53102303</v>
      </c>
      <c r="J4" s="25" t="s">
        <v>149</v>
      </c>
    </row>
    <row r="5" spans="1:10" ht="64.5">
      <c r="A5" s="9" t="s">
        <v>56</v>
      </c>
      <c r="B5" s="2" t="s">
        <v>57</v>
      </c>
      <c r="C5" s="2">
        <v>3021</v>
      </c>
      <c r="D5" s="2">
        <v>4</v>
      </c>
      <c r="E5" s="2" t="str">
        <f>"1000024608"</f>
        <v>1000024608</v>
      </c>
      <c r="F5" s="2" t="str">
        <f>"BRA:Sports - Size: S - XL~Sports Bra: 95 % cotton jersey 5% spandex, fabric weight 160 grams, neckline armholes 3/8 fold over elastic double stitched, hem 3/4 fold over elastic double needle stitch. Size S-XL~Sports Bra: Size: S - XL"</f>
        <v>BRA:Sports - Size: S - XL~Sports Bra: 95 % cotton jersey 5% spandex, fabric weight 160 grams, neckline armholes 3/8 fold over elastic double stitched, hem 3/4 fold over elastic double needle stitch. Size S-XL~Sports Bra: Size: S - XL</v>
      </c>
      <c r="G5" s="3" t="str">
        <f t="shared" si="0"/>
        <v>DZ</v>
      </c>
      <c r="H5" s="7">
        <v>32.78</v>
      </c>
      <c r="I5" s="2" t="str">
        <f t="shared" ref="I5:I13" si="1">"53102304"</f>
        <v>53102304</v>
      </c>
      <c r="J5" s="10" t="s">
        <v>150</v>
      </c>
    </row>
    <row r="6" spans="1:10" ht="64.5">
      <c r="A6" s="24" t="s">
        <v>56</v>
      </c>
      <c r="B6" s="21" t="s">
        <v>57</v>
      </c>
      <c r="C6" s="21">
        <v>3021</v>
      </c>
      <c r="D6" s="21">
        <v>5</v>
      </c>
      <c r="E6" s="21" t="str">
        <f>"1000024609"</f>
        <v>1000024609</v>
      </c>
      <c r="F6" s="21" t="str">
        <f>"BRA:Sports - Size: 2X - 4X~Sports Bra: 95 % cotton jersey 5% spandex, fabric weight 160 grams, neckline armholes 3/8 fold over elastic double stitched, hem 3/4 fold over elastic double needle stitch. Size: 2X - 4X~Sports Bra: Size: 2X - 4X"</f>
        <v>BRA:Sports - Size: 2X - 4X~Sports Bra: 95 % cotton jersey 5% spandex, fabric weight 160 grams, neckline armholes 3/8 fold over elastic double stitched, hem 3/4 fold over elastic double needle stitch. Size: 2X - 4X~Sports Bra: Size: 2X - 4X</v>
      </c>
      <c r="G6" s="22" t="str">
        <f t="shared" si="0"/>
        <v>DZ</v>
      </c>
      <c r="H6" s="23">
        <v>41.5</v>
      </c>
      <c r="I6" s="21" t="str">
        <f t="shared" si="1"/>
        <v>53102304</v>
      </c>
      <c r="J6" s="25" t="s">
        <v>150</v>
      </c>
    </row>
    <row r="7" spans="1:10" ht="64.5">
      <c r="A7" s="9" t="s">
        <v>56</v>
      </c>
      <c r="B7" s="2" t="s">
        <v>57</v>
      </c>
      <c r="C7" s="2">
        <v>3021</v>
      </c>
      <c r="D7" s="2">
        <v>6</v>
      </c>
      <c r="E7" s="2" t="str">
        <f>"1000024590"</f>
        <v>1000024590</v>
      </c>
      <c r="F7" s="2" t="str">
        <f>"BRA:Sports - Size: 5X - 6X~Sports Bra: 95 % cotton jersey 5% spandex, fabric weight 160 grams, neckline armholes 3/8 fold over elastic double stitched, hem 3/4 fold over elastic double needle stitch. Size: 5X - 6X~Sports Bra: Size: 5X - 6X"</f>
        <v>BRA:Sports - Size: 5X - 6X~Sports Bra: 95 % cotton jersey 5% spandex, fabric weight 160 grams, neckline armholes 3/8 fold over elastic double stitched, hem 3/4 fold over elastic double needle stitch. Size: 5X - 6X~Sports Bra: Size: 5X - 6X</v>
      </c>
      <c r="G7" s="3" t="str">
        <f t="shared" si="0"/>
        <v>DZ</v>
      </c>
      <c r="H7" s="7">
        <v>41.5</v>
      </c>
      <c r="I7" s="2" t="str">
        <f t="shared" si="1"/>
        <v>53102304</v>
      </c>
      <c r="J7" s="10" t="s">
        <v>150</v>
      </c>
    </row>
    <row r="8" spans="1:10" ht="51.75">
      <c r="A8" s="24" t="s">
        <v>56</v>
      </c>
      <c r="B8" s="21" t="s">
        <v>57</v>
      </c>
      <c r="C8" s="21">
        <v>3021</v>
      </c>
      <c r="D8" s="21">
        <v>7</v>
      </c>
      <c r="E8" s="21" t="str">
        <f>"1000024591"</f>
        <v>1000024591</v>
      </c>
      <c r="F8" s="21" t="str">
        <f>"BRA:Full Fig Support-Size:36B-50B ~Full Figure Support Bra: Cushioned inner bust band for uplift, separation, support and comfort, extra-wide cushioned straps, lace cups and wide bottom band. Size: 36B - 50B"</f>
        <v>BRA:Full Fig Support-Size:36B-50B ~Full Figure Support Bra: Cushioned inner bust band for uplift, separation, support and comfort, extra-wide cushioned straps, lace cups and wide bottom band. Size: 36B - 50B</v>
      </c>
      <c r="G8" s="22" t="str">
        <f t="shared" si="0"/>
        <v>DZ</v>
      </c>
      <c r="H8" s="23">
        <v>250</v>
      </c>
      <c r="I8" s="21" t="str">
        <f t="shared" si="1"/>
        <v>53102304</v>
      </c>
      <c r="J8" s="25" t="s">
        <v>150</v>
      </c>
    </row>
    <row r="9" spans="1:10" ht="51.75">
      <c r="A9" s="9" t="s">
        <v>56</v>
      </c>
      <c r="B9" s="2" t="s">
        <v>57</v>
      </c>
      <c r="C9" s="2">
        <v>3021</v>
      </c>
      <c r="D9" s="2">
        <v>8</v>
      </c>
      <c r="E9" s="2" t="str">
        <f>"1000024592"</f>
        <v>1000024592</v>
      </c>
      <c r="F9" s="2" t="str">
        <f>"BRA:Full Fig Support-Size:36C-56F~Full Figure Support Bra: Cushioned inner bust band for uplift, separation, support and comfort, extra-wide cushioned straps, lace cups and wide bottom band. Size: 36C -56F"</f>
        <v>BRA:Full Fig Support-Size:36C-56F~Full Figure Support Bra: Cushioned inner bust band for uplift, separation, support and comfort, extra-wide cushioned straps, lace cups and wide bottom band. Size: 36C -56F</v>
      </c>
      <c r="G9" s="3" t="str">
        <f t="shared" si="0"/>
        <v>DZ</v>
      </c>
      <c r="H9" s="7">
        <v>250</v>
      </c>
      <c r="I9" s="2" t="str">
        <f t="shared" si="1"/>
        <v>53102304</v>
      </c>
      <c r="J9" s="10" t="s">
        <v>150</v>
      </c>
    </row>
    <row r="10" spans="1:10" ht="51.75">
      <c r="A10" s="24" t="s">
        <v>56</v>
      </c>
      <c r="B10" s="21" t="s">
        <v>57</v>
      </c>
      <c r="C10" s="21">
        <v>3021</v>
      </c>
      <c r="D10" s="21">
        <v>9</v>
      </c>
      <c r="E10" s="21" t="str">
        <f>"1000024593"</f>
        <v>1000024593</v>
      </c>
      <c r="F10" s="21" t="str">
        <f>"BRA:Full Fig Support Size:38G-56I~Full Figure Support Bra: Cushioned inner bust band for uplift, separation, support and comfort, extra-wide cushioned straps, lace cups and wide bottom band. Size: 38G - 56I"</f>
        <v>BRA:Full Fig Support Size:38G-56I~Full Figure Support Bra: Cushioned inner bust band for uplift, separation, support and comfort, extra-wide cushioned straps, lace cups and wide bottom band. Size: 38G - 56I</v>
      </c>
      <c r="G10" s="22" t="str">
        <f t="shared" si="0"/>
        <v>DZ</v>
      </c>
      <c r="H10" s="23">
        <v>250</v>
      </c>
      <c r="I10" s="21" t="str">
        <f t="shared" si="1"/>
        <v>53102304</v>
      </c>
      <c r="J10" s="25" t="s">
        <v>150</v>
      </c>
    </row>
    <row r="11" spans="1:10" ht="64.5">
      <c r="A11" s="9" t="s">
        <v>56</v>
      </c>
      <c r="B11" s="2" t="s">
        <v>57</v>
      </c>
      <c r="C11" s="2">
        <v>3021</v>
      </c>
      <c r="D11" s="2">
        <v>10</v>
      </c>
      <c r="E11" s="2" t="str">
        <f>"1000024594"</f>
        <v>1000024594</v>
      </c>
      <c r="F11" s="2" t="str">
        <f>"BRA:Active Support Size:38B-50I~Active Support Bra: Cool cotton, cushioned inner bust band for uplift, separation and support, soft cotton polyester cups to wick away moisture, super wide cushioned straps and lycra sides and back. Size: 38B - 50I"</f>
        <v>BRA:Active Support Size:38B-50I~Active Support Bra: Cool cotton, cushioned inner bust band for uplift, separation and support, soft cotton polyester cups to wick away moisture, super wide cushioned straps and lycra sides and back. Size: 38B - 50I</v>
      </c>
      <c r="G11" s="3" t="str">
        <f t="shared" si="0"/>
        <v>DZ</v>
      </c>
      <c r="H11" s="7">
        <v>258.5</v>
      </c>
      <c r="I11" s="2" t="str">
        <f t="shared" si="1"/>
        <v>53102304</v>
      </c>
      <c r="J11" s="10" t="s">
        <v>150</v>
      </c>
    </row>
    <row r="12" spans="1:10" ht="64.5">
      <c r="A12" s="24" t="s">
        <v>56</v>
      </c>
      <c r="B12" s="21" t="s">
        <v>57</v>
      </c>
      <c r="C12" s="21">
        <v>3021</v>
      </c>
      <c r="D12" s="21">
        <v>11</v>
      </c>
      <c r="E12" s="21" t="str">
        <f>"1000024595"</f>
        <v>1000024595</v>
      </c>
      <c r="F12" s="21" t="str">
        <f>"BRA:Shlder Comf-Sz:36B-58J-~Shoulder Comfort Firm Support Bra: Criss-crossed cotton/lycra support bands support shoulders while adding posture, cross over and under design for better uplift, separation and support, adjustable front hooks, extra-wide stra"</f>
        <v>BRA:Shlder Comf-Sz:36B-58J-~Shoulder Comfort Firm Support Bra: Criss-crossed cotton/lycra support bands support shoulders while adding posture, cross over and under design for better uplift, separation and support, adjustable front hooks, extra-wide stra</v>
      </c>
      <c r="G12" s="22" t="str">
        <f t="shared" si="0"/>
        <v>DZ</v>
      </c>
      <c r="H12" s="23">
        <v>250</v>
      </c>
      <c r="I12" s="21" t="str">
        <f t="shared" si="1"/>
        <v>53102304</v>
      </c>
      <c r="J12" s="25" t="s">
        <v>150</v>
      </c>
    </row>
    <row r="13" spans="1:10" ht="64.5">
      <c r="A13" s="9" t="s">
        <v>56</v>
      </c>
      <c r="B13" s="2" t="s">
        <v>57</v>
      </c>
      <c r="C13" s="2">
        <v>3021</v>
      </c>
      <c r="D13" s="2">
        <v>12</v>
      </c>
      <c r="E13" s="2" t="str">
        <f>"1000024596"</f>
        <v>1000024596</v>
      </c>
      <c r="F13" s="2" t="str">
        <f>"BRA:Frnt Cls-Casual-Sz:34B-48H~Front-Close Casual Bra: Stretch cups adjust, extra wide comfort straps and easy-on front hook closing. Size: 34 - 48 B/C/D(one cup size), 34-48 DD/F(one cup size) and 36-48 G/H (one cup size). Specify size on order."</f>
        <v>BRA:Frnt Cls-Casual-Sz:34B-48H~Front-Close Casual Bra: Stretch cups adjust, extra wide comfort straps and easy-on front hook closing. Size: 34 - 48 B/C/D(one cup size), 34-48 DD/F(one cup size) and 36-48 G/H (one cup size). Specify size on order.</v>
      </c>
      <c r="G13" s="3" t="str">
        <f t="shared" si="0"/>
        <v>DZ</v>
      </c>
      <c r="H13" s="7">
        <v>228.47</v>
      </c>
      <c r="I13" s="2" t="str">
        <f t="shared" si="1"/>
        <v>53102304</v>
      </c>
      <c r="J13" s="10" t="s">
        <v>150</v>
      </c>
    </row>
    <row r="14" spans="1:10">
      <c r="A14" s="9" t="s">
        <v>56</v>
      </c>
      <c r="B14" s="2" t="s">
        <v>57</v>
      </c>
      <c r="C14" s="2">
        <v>3021</v>
      </c>
      <c r="D14" s="2">
        <v>13</v>
      </c>
      <c r="E14" s="2" t="str">
        <f>"1000024597"</f>
        <v>1000024597</v>
      </c>
      <c r="F14" s="2" t="str">
        <f>"BRIEFS-Men: White briefs, Size Small"</f>
        <v>BRIEFS-Men: White briefs, Size Small</v>
      </c>
      <c r="G14" s="3" t="str">
        <f t="shared" si="0"/>
        <v>DZ</v>
      </c>
      <c r="H14" s="7">
        <v>13.5</v>
      </c>
      <c r="I14" s="2" t="str">
        <f t="shared" ref="I14:I20" si="2">"53102303"</f>
        <v>53102303</v>
      </c>
      <c r="J14" s="10" t="s">
        <v>149</v>
      </c>
    </row>
    <row r="15" spans="1:10">
      <c r="A15" s="24" t="s">
        <v>56</v>
      </c>
      <c r="B15" s="21" t="s">
        <v>57</v>
      </c>
      <c r="C15" s="21">
        <v>3021</v>
      </c>
      <c r="D15" s="21">
        <v>14</v>
      </c>
      <c r="E15" s="21" t="str">
        <f>"1000024598"</f>
        <v>1000024598</v>
      </c>
      <c r="F15" s="21" t="str">
        <f>"BRIEFS-Men: White briefs, Size Medium"</f>
        <v>BRIEFS-Men: White briefs, Size Medium</v>
      </c>
      <c r="G15" s="22" t="str">
        <f t="shared" si="0"/>
        <v>DZ</v>
      </c>
      <c r="H15" s="23">
        <v>13.5</v>
      </c>
      <c r="I15" s="21" t="str">
        <f t="shared" si="2"/>
        <v>53102303</v>
      </c>
      <c r="J15" s="25" t="s">
        <v>149</v>
      </c>
    </row>
    <row r="16" spans="1:10">
      <c r="A16" s="9" t="s">
        <v>56</v>
      </c>
      <c r="B16" s="2" t="s">
        <v>57</v>
      </c>
      <c r="C16" s="2">
        <v>3021</v>
      </c>
      <c r="D16" s="2">
        <v>15</v>
      </c>
      <c r="E16" s="2" t="str">
        <f>"1000024599"</f>
        <v>1000024599</v>
      </c>
      <c r="F16" s="2" t="str">
        <f>"BRIEFS-Men: White briefs, Size Large"</f>
        <v>BRIEFS-Men: White briefs, Size Large</v>
      </c>
      <c r="G16" s="3" t="str">
        <f t="shared" si="0"/>
        <v>DZ</v>
      </c>
      <c r="H16" s="7">
        <v>13.5</v>
      </c>
      <c r="I16" s="2" t="str">
        <f t="shared" si="2"/>
        <v>53102303</v>
      </c>
      <c r="J16" s="10" t="s">
        <v>149</v>
      </c>
    </row>
    <row r="17" spans="1:10">
      <c r="A17" s="24" t="s">
        <v>56</v>
      </c>
      <c r="B17" s="21" t="s">
        <v>57</v>
      </c>
      <c r="C17" s="21">
        <v>3021</v>
      </c>
      <c r="D17" s="21">
        <v>16</v>
      </c>
      <c r="E17" s="21" t="str">
        <f>"1000024607"</f>
        <v>1000024607</v>
      </c>
      <c r="F17" s="21" t="str">
        <f>"BRIEFS-Men: White briefs, Size X-Large"</f>
        <v>BRIEFS-Men: White briefs, Size X-Large</v>
      </c>
      <c r="G17" s="22" t="str">
        <f t="shared" si="0"/>
        <v>DZ</v>
      </c>
      <c r="H17" s="23">
        <v>13.5</v>
      </c>
      <c r="I17" s="21" t="str">
        <f t="shared" si="2"/>
        <v>53102303</v>
      </c>
      <c r="J17" s="25" t="s">
        <v>149</v>
      </c>
    </row>
    <row r="18" spans="1:10">
      <c r="A18" s="9" t="s">
        <v>56</v>
      </c>
      <c r="B18" s="2" t="s">
        <v>57</v>
      </c>
      <c r="C18" s="2">
        <v>3021</v>
      </c>
      <c r="D18" s="2">
        <v>17</v>
      </c>
      <c r="E18" s="2" t="str">
        <f>"1000024600"</f>
        <v>1000024600</v>
      </c>
      <c r="F18" s="2" t="str">
        <f>"BRIEFS-Men: White briefs, Size 2X"</f>
        <v>BRIEFS-Men: White briefs, Size 2X</v>
      </c>
      <c r="G18" s="3" t="str">
        <f t="shared" si="0"/>
        <v>DZ</v>
      </c>
      <c r="H18" s="7">
        <v>15</v>
      </c>
      <c r="I18" s="2" t="str">
        <f t="shared" si="2"/>
        <v>53102303</v>
      </c>
      <c r="J18" s="10" t="s">
        <v>149</v>
      </c>
    </row>
    <row r="19" spans="1:10">
      <c r="A19" s="24" t="s">
        <v>56</v>
      </c>
      <c r="B19" s="21" t="s">
        <v>57</v>
      </c>
      <c r="C19" s="21">
        <v>3021</v>
      </c>
      <c r="D19" s="21">
        <v>18</v>
      </c>
      <c r="E19" s="21" t="str">
        <f>"1000024601"</f>
        <v>1000024601</v>
      </c>
      <c r="F19" s="21" t="str">
        <f>"BRIEFS-Men: White briefs, Size 3X"</f>
        <v>BRIEFS-Men: White briefs, Size 3X</v>
      </c>
      <c r="G19" s="22" t="str">
        <f t="shared" si="0"/>
        <v>DZ</v>
      </c>
      <c r="H19" s="23">
        <v>16.5</v>
      </c>
      <c r="I19" s="21" t="str">
        <f t="shared" si="2"/>
        <v>53102303</v>
      </c>
      <c r="J19" s="25" t="s">
        <v>149</v>
      </c>
    </row>
    <row r="20" spans="1:10">
      <c r="A20" s="16" t="s">
        <v>56</v>
      </c>
      <c r="B20" s="17" t="s">
        <v>57</v>
      </c>
      <c r="C20" s="17">
        <v>3021</v>
      </c>
      <c r="D20" s="17">
        <v>19</v>
      </c>
      <c r="E20" s="17" t="str">
        <f>"1000028651"</f>
        <v>1000028651</v>
      </c>
      <c r="F20" s="17" t="str">
        <f>"BRIEFS-Women:Basic-Size 9 - 10"</f>
        <v>BRIEFS-Women:Basic-Size 9 - 10</v>
      </c>
      <c r="G20" s="18" t="str">
        <f t="shared" si="0"/>
        <v>DZ</v>
      </c>
      <c r="H20" s="19">
        <v>14.35</v>
      </c>
      <c r="I20" s="17" t="str">
        <f t="shared" si="2"/>
        <v>53102303</v>
      </c>
      <c r="J20" s="20" t="s">
        <v>149</v>
      </c>
    </row>
  </sheetData>
  <pageMargins left="0.7" right="0.7" top="0.75" bottom="0.75" header="0.3" footer="0.3"/>
  <pageSetup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sheetPr codeName="Sheet25"/>
  <dimension ref="A1:J6"/>
  <sheetViews>
    <sheetView workbookViewId="0">
      <selection activeCell="C2" sqref="C2"/>
    </sheetView>
  </sheetViews>
  <sheetFormatPr defaultColWidth="11.42578125" defaultRowHeight="15"/>
  <cols>
    <col min="1" max="1" width="8.140625" bestFit="1" customWidth="1"/>
    <col min="2" max="2" width="8.7109375" bestFit="1" customWidth="1"/>
    <col min="3" max="3" width="8.28515625" bestFit="1" customWidth="1"/>
    <col min="4" max="4" width="7.42578125" bestFit="1" customWidth="1"/>
    <col min="5" max="5" width="11" bestFit="1" customWidth="1"/>
    <col min="6" max="6" width="41.5703125" bestFit="1" customWidth="1"/>
    <col min="7" max="7" width="9.5703125" bestFit="1" customWidth="1"/>
    <col min="8" max="8" width="7.28515625" customWidth="1"/>
    <col min="9" max="9" width="9" bestFit="1" customWidth="1"/>
    <col min="10" max="10" width="10.28515625" bestFit="1" customWidth="1"/>
  </cols>
  <sheetData>
    <row r="1" spans="1:10" s="6" customFormat="1" ht="12.75">
      <c r="A1" s="32" t="s">
        <v>71</v>
      </c>
      <c r="B1" s="33" t="s">
        <v>208</v>
      </c>
      <c r="C1" s="33" t="s">
        <v>65</v>
      </c>
      <c r="D1" s="33" t="s">
        <v>207</v>
      </c>
      <c r="E1" s="33" t="s">
        <v>20</v>
      </c>
      <c r="F1" s="33" t="s">
        <v>21</v>
      </c>
      <c r="G1" s="33" t="s">
        <v>22</v>
      </c>
      <c r="H1" s="34" t="s">
        <v>66</v>
      </c>
      <c r="I1" s="33" t="s">
        <v>206</v>
      </c>
      <c r="J1" s="35" t="s">
        <v>205</v>
      </c>
    </row>
    <row r="2" spans="1:10" ht="64.5">
      <c r="A2" s="36" t="s">
        <v>28</v>
      </c>
      <c r="B2" s="31" t="s">
        <v>23</v>
      </c>
      <c r="C2" s="31">
        <v>3621</v>
      </c>
      <c r="D2" s="31">
        <v>1</v>
      </c>
      <c r="E2" s="31">
        <v>1000029790</v>
      </c>
      <c r="F2" s="31" t="s">
        <v>598</v>
      </c>
      <c r="G2" s="37" t="s">
        <v>600</v>
      </c>
      <c r="H2" s="78" t="s">
        <v>601</v>
      </c>
      <c r="I2" s="31">
        <v>46181507</v>
      </c>
      <c r="J2" s="39" t="s">
        <v>73</v>
      </c>
    </row>
    <row r="3" spans="1:10" ht="51.75">
      <c r="A3" s="36" t="s">
        <v>28</v>
      </c>
      <c r="B3" s="31" t="s">
        <v>23</v>
      </c>
      <c r="C3" s="31">
        <v>3621</v>
      </c>
      <c r="D3" s="31">
        <v>2</v>
      </c>
      <c r="E3" s="31">
        <v>1000029791</v>
      </c>
      <c r="F3" s="31" t="s">
        <v>602</v>
      </c>
      <c r="G3" s="37" t="s">
        <v>600</v>
      </c>
      <c r="H3" s="78" t="s">
        <v>601</v>
      </c>
      <c r="I3" s="31">
        <v>46181526</v>
      </c>
      <c r="J3" s="39" t="s">
        <v>605</v>
      </c>
    </row>
    <row r="4" spans="1:10" ht="51.75">
      <c r="A4" s="36" t="s">
        <v>28</v>
      </c>
      <c r="B4" s="31" t="s">
        <v>23</v>
      </c>
      <c r="C4" s="31">
        <v>3621</v>
      </c>
      <c r="D4" s="31">
        <v>3</v>
      </c>
      <c r="E4" s="31">
        <v>1000029792</v>
      </c>
      <c r="F4" s="31" t="s">
        <v>603</v>
      </c>
      <c r="G4" s="37" t="s">
        <v>600</v>
      </c>
      <c r="H4" s="78" t="s">
        <v>601</v>
      </c>
      <c r="I4" s="31">
        <v>46181527</v>
      </c>
      <c r="J4" s="39" t="s">
        <v>606</v>
      </c>
    </row>
    <row r="5" spans="1:10" ht="51.75">
      <c r="A5" s="36" t="s">
        <v>28</v>
      </c>
      <c r="B5" s="31" t="s">
        <v>23</v>
      </c>
      <c r="C5" s="31">
        <v>3621</v>
      </c>
      <c r="D5" s="31">
        <v>4</v>
      </c>
      <c r="E5" s="31">
        <v>1000010597</v>
      </c>
      <c r="F5" s="31" t="s">
        <v>604</v>
      </c>
      <c r="G5" s="37" t="s">
        <v>600</v>
      </c>
      <c r="H5" s="78" t="s">
        <v>601</v>
      </c>
      <c r="I5" s="31">
        <v>46181507</v>
      </c>
      <c r="J5" s="39" t="s">
        <v>607</v>
      </c>
    </row>
    <row r="6" spans="1:10" ht="26.25">
      <c r="A6" s="36" t="s">
        <v>28</v>
      </c>
      <c r="B6" s="31" t="s">
        <v>23</v>
      </c>
      <c r="C6" s="31">
        <v>3621</v>
      </c>
      <c r="D6" s="31">
        <v>5</v>
      </c>
      <c r="E6" s="31">
        <v>1000000800</v>
      </c>
      <c r="F6" s="31" t="s">
        <v>599</v>
      </c>
      <c r="G6" s="37" t="s">
        <v>600</v>
      </c>
      <c r="H6" s="38">
        <v>3.5</v>
      </c>
      <c r="I6" s="31">
        <v>42143401</v>
      </c>
      <c r="J6" s="39"/>
    </row>
  </sheetData>
  <hyperlinks>
    <hyperlink ref="H2" r:id="rId1"/>
    <hyperlink ref="H3" r:id="rId2"/>
    <hyperlink ref="H4" r:id="rId3"/>
    <hyperlink ref="H5" r:id="rId4"/>
  </hyperlinks>
  <pageMargins left="0.7" right="0.7" top="0.75" bottom="0.75" header="0.3" footer="0.3"/>
  <pageSetup orientation="portrait" horizontalDpi="1200" verticalDpi="1200" r:id="rId5"/>
  <drawing r:id="rId6"/>
  <tableParts count="1">
    <tablePart r:id="rId7"/>
  </tableParts>
</worksheet>
</file>

<file path=xl/worksheets/sheet26.xml><?xml version="1.0" encoding="utf-8"?>
<worksheet xmlns="http://schemas.openxmlformats.org/spreadsheetml/2006/main" xmlns:r="http://schemas.openxmlformats.org/officeDocument/2006/relationships">
  <sheetPr codeName="Sheet26"/>
  <dimension ref="A1:J16"/>
  <sheetViews>
    <sheetView workbookViewId="0">
      <selection activeCell="B1" sqref="B1:B1048576"/>
    </sheetView>
  </sheetViews>
  <sheetFormatPr defaultColWidth="13" defaultRowHeight="15"/>
  <cols>
    <col min="1" max="1" width="6.5703125" bestFit="1" customWidth="1"/>
    <col min="2" max="2" width="11.28515625" bestFit="1" customWidth="1"/>
    <col min="3" max="3" width="5.85546875" customWidth="1"/>
    <col min="4" max="4" width="5" customWidth="1"/>
    <col min="5" max="5" width="11" bestFit="1" customWidth="1"/>
    <col min="6" max="6" width="41.7109375" bestFit="1" customWidth="1"/>
    <col min="7" max="7" width="7.140625" customWidth="1"/>
    <col min="8" max="8" width="6.42578125" bestFit="1" customWidth="1"/>
    <col min="9" max="9" width="9" bestFit="1" customWidth="1"/>
    <col min="10" max="10" width="12.7109375" bestFit="1" customWidth="1"/>
  </cols>
  <sheetData>
    <row r="1" spans="1:10" s="6" customFormat="1" ht="12.75">
      <c r="A1" s="32" t="s">
        <v>71</v>
      </c>
      <c r="B1" s="33" t="s">
        <v>208</v>
      </c>
      <c r="C1" s="33" t="s">
        <v>65</v>
      </c>
      <c r="D1" s="33" t="s">
        <v>207</v>
      </c>
      <c r="E1" s="33" t="s">
        <v>20</v>
      </c>
      <c r="F1" s="33" t="s">
        <v>21</v>
      </c>
      <c r="G1" s="33" t="s">
        <v>22</v>
      </c>
      <c r="H1" s="34" t="s">
        <v>66</v>
      </c>
      <c r="I1" s="33" t="s">
        <v>206</v>
      </c>
      <c r="J1" s="35" t="s">
        <v>205</v>
      </c>
    </row>
    <row r="2" spans="1:10" ht="51.75">
      <c r="A2" s="36" t="s">
        <v>26</v>
      </c>
      <c r="B2" s="31" t="s">
        <v>24</v>
      </c>
      <c r="C2" s="31">
        <v>2963</v>
      </c>
      <c r="D2" s="31">
        <v>1</v>
      </c>
      <c r="E2" s="31" t="str">
        <f>"1000001520"</f>
        <v>1000001520</v>
      </c>
      <c r="F2" s="31" t="str">
        <f>"PICTURE FRAME:Prem Grade-17.75~Premium Grade Frame Premium matting, single matted 17.75 X 22.5, #305-416, 1-7/8 wood~Premium matting, single matted 17.75 X 22.5, #305-416, 1-7/8"</f>
        <v>PICTURE FRAME:Prem Grade-17.75~Premium Grade Frame Premium matting, single matted 17.75 X 22.5, #305-416, 1-7/8 wood~Premium matting, single matted 17.75 X 22.5, #305-416, 1-7/8</v>
      </c>
      <c r="G2" s="37" t="str">
        <f t="shared" ref="G2:G16" si="0">"EA"</f>
        <v>EA</v>
      </c>
      <c r="H2" s="38">
        <v>203.5</v>
      </c>
      <c r="I2" s="31" t="str">
        <f>"60121405"</f>
        <v>60121405</v>
      </c>
      <c r="J2" s="39" t="s">
        <v>77</v>
      </c>
    </row>
    <row r="3" spans="1:10" ht="39">
      <c r="A3" s="36" t="s">
        <v>26</v>
      </c>
      <c r="B3" s="31" t="s">
        <v>24</v>
      </c>
      <c r="C3" s="31">
        <v>2963</v>
      </c>
      <c r="D3" s="31">
        <v>2</v>
      </c>
      <c r="E3" s="31" t="str">
        <f>"1000012016"</f>
        <v>1000012016</v>
      </c>
      <c r="F3" s="31" t="str">
        <f>"PICTURE FRAMES: Premium Double Matted, premium grade frame &amp; matting, 17.75x22.5, #305-416, 1 7/8 wood"</f>
        <v>PICTURE FRAMES: Premium Double Matted, premium grade frame &amp; matting, 17.75x22.5, #305-416, 1 7/8 wood</v>
      </c>
      <c r="G3" s="37" t="str">
        <f t="shared" si="0"/>
        <v>EA</v>
      </c>
      <c r="H3" s="38">
        <v>220</v>
      </c>
      <c r="I3" s="31" t="str">
        <f>"60121401"</f>
        <v>60121401</v>
      </c>
      <c r="J3" s="39" t="s">
        <v>78</v>
      </c>
    </row>
    <row r="4" spans="1:10" ht="51.75">
      <c r="A4" s="36" t="s">
        <v>26</v>
      </c>
      <c r="B4" s="31" t="s">
        <v>24</v>
      </c>
      <c r="C4" s="31">
        <v>2963</v>
      </c>
      <c r="D4" s="31">
        <v>3</v>
      </c>
      <c r="E4" s="31" t="str">
        <f>"1000000196"</f>
        <v>1000000196</v>
      </c>
      <c r="F4" s="31" t="str">
        <f>"PICTURE FRAME:Prem Grade 11x14~Premium Grade Frame Premium matting, single matted 11 X 14, #305-416, 1-7/8, wood~Premium matting, single matted 11 X 14, #305-416, 1-7/8, wo"</f>
        <v>PICTURE FRAME:Prem Grade 11x14~Premium Grade Frame Premium matting, single matted 11 X 14, #305-416, 1-7/8, wood~Premium matting, single matted 11 X 14, #305-416, 1-7/8, wo</v>
      </c>
      <c r="G4" s="37" t="str">
        <f t="shared" si="0"/>
        <v>EA</v>
      </c>
      <c r="H4" s="38">
        <v>126</v>
      </c>
      <c r="I4" s="31" t="str">
        <f>"60121405"</f>
        <v>60121405</v>
      </c>
      <c r="J4" s="39" t="s">
        <v>77</v>
      </c>
    </row>
    <row r="5" spans="1:10" ht="39">
      <c r="A5" s="36" t="s">
        <v>26</v>
      </c>
      <c r="B5" s="31" t="s">
        <v>24</v>
      </c>
      <c r="C5" s="31">
        <v>2963</v>
      </c>
      <c r="D5" s="31">
        <v>4</v>
      </c>
      <c r="E5" s="31" t="str">
        <f>"1000012019"</f>
        <v>1000012019</v>
      </c>
      <c r="F5" s="31" t="str">
        <f>"PICTURE FRAMES: Single matted 17.75X22.5, Mid Grade Frame, Premium Matting, #054BH, 1-7/8 Polystyrene"</f>
        <v>PICTURE FRAMES: Single matted 17.75X22.5, Mid Grade Frame, Premium Matting, #054BH, 1-7/8 Polystyrene</v>
      </c>
      <c r="G5" s="37" t="str">
        <f t="shared" si="0"/>
        <v>EA</v>
      </c>
      <c r="H5" s="38">
        <v>148.5</v>
      </c>
      <c r="I5" s="31" t="str">
        <f>"60121406"</f>
        <v>60121406</v>
      </c>
      <c r="J5" s="39" t="s">
        <v>79</v>
      </c>
    </row>
    <row r="6" spans="1:10" ht="39">
      <c r="A6" s="36" t="s">
        <v>26</v>
      </c>
      <c r="B6" s="31" t="s">
        <v>24</v>
      </c>
      <c r="C6" s="31">
        <v>2963</v>
      </c>
      <c r="D6" s="31">
        <v>5</v>
      </c>
      <c r="E6" s="31" t="str">
        <f>"1000012015"</f>
        <v>1000012015</v>
      </c>
      <c r="F6" s="31" t="str">
        <f>"PICTURE FRAMES: Double matted 17.75X22.5, Mid Grade Frame, Premium Matting, #054BH, 1-7/8 Polystyrene"</f>
        <v>PICTURE FRAMES: Double matted 17.75X22.5, Mid Grade Frame, Premium Matting, #054BH, 1-7/8 Polystyrene</v>
      </c>
      <c r="G6" s="37" t="str">
        <f t="shared" si="0"/>
        <v>EA</v>
      </c>
      <c r="H6" s="38">
        <v>176</v>
      </c>
      <c r="I6" s="31" t="str">
        <f>"60121406"</f>
        <v>60121406</v>
      </c>
      <c r="J6" s="39" t="s">
        <v>79</v>
      </c>
    </row>
    <row r="7" spans="1:10" ht="51.75">
      <c r="A7" s="36" t="s">
        <v>26</v>
      </c>
      <c r="B7" s="31" t="s">
        <v>24</v>
      </c>
      <c r="C7" s="31">
        <v>2963</v>
      </c>
      <c r="D7" s="31">
        <v>6</v>
      </c>
      <c r="E7" s="31" t="str">
        <f>"1000000195"</f>
        <v>1000000195</v>
      </c>
      <c r="F7" s="31" t="str">
        <f>"PICTURE FRAME:Mid Grade 11 X 1~Mid Grade Frame Premium matting, single matted 11 X 14, #054BH, 1-7/8 polystyrene~Premium matting, single matted 11 X 14, #054BH, 1-7/8 polys"</f>
        <v>PICTURE FRAME:Mid Grade 11 X 1~Mid Grade Frame Premium matting, single matted 11 X 14, #054BH, 1-7/8 polystyrene~Premium matting, single matted 11 X 14, #054BH, 1-7/8 polys</v>
      </c>
      <c r="G7" s="37" t="str">
        <f t="shared" si="0"/>
        <v>EA</v>
      </c>
      <c r="H7" s="38">
        <v>97.9</v>
      </c>
      <c r="I7" s="31" t="str">
        <f>"60121405"</f>
        <v>60121405</v>
      </c>
      <c r="J7" s="39" t="s">
        <v>77</v>
      </c>
    </row>
    <row r="8" spans="1:10" ht="51.75">
      <c r="A8" s="36" t="s">
        <v>26</v>
      </c>
      <c r="B8" s="31" t="s">
        <v>24</v>
      </c>
      <c r="C8" s="31">
        <v>2963</v>
      </c>
      <c r="D8" s="31">
        <v>7</v>
      </c>
      <c r="E8" s="31" t="str">
        <f>"1000000190"</f>
        <v>1000000190</v>
      </c>
      <c r="F8" s="31" t="str">
        <f>"PICTURE FRAME:Econ #414223-3/4~Economy Grade Frame #414223, 3/4 Oak, 8.5 X 11 (certificate no mat)~#414223, 3/4 Oak, 8.5 X 11 (certificate no mat)"</f>
        <v>PICTURE FRAME:Econ #414223-3/4~Economy Grade Frame #414223, 3/4 Oak, 8.5 X 11 (certificate no mat)~#414223, 3/4 Oak, 8.5 X 11 (certificate no mat)</v>
      </c>
      <c r="G8" s="37" t="str">
        <f t="shared" si="0"/>
        <v>EA</v>
      </c>
      <c r="H8" s="38">
        <v>25</v>
      </c>
      <c r="I8" s="31" t="str">
        <f>"60121405"</f>
        <v>60121405</v>
      </c>
      <c r="J8" s="39" t="s">
        <v>77</v>
      </c>
    </row>
    <row r="9" spans="1:10" ht="51.75">
      <c r="A9" s="36" t="s">
        <v>26</v>
      </c>
      <c r="B9" s="31" t="s">
        <v>24</v>
      </c>
      <c r="C9" s="31">
        <v>2963</v>
      </c>
      <c r="D9" s="31">
        <v>8</v>
      </c>
      <c r="E9" s="31" t="str">
        <f>"1000000353"</f>
        <v>1000000353</v>
      </c>
      <c r="F9" s="31" t="str">
        <f>"PICTURE FRAME:Econ#110-864-Pol~Economy Grade Frame #110-864, Polystyrene (black), 8.5 X 11 (certificate, no mat~#110-864, Polystyrene (black), 8.5 X 11 (certificate, no mat"</f>
        <v>PICTURE FRAME:Econ#110-864-Pol~Economy Grade Frame #110-864, Polystyrene (black), 8.5 X 11 (certificate, no mat~#110-864, Polystyrene (black), 8.5 X 11 (certificate, no mat</v>
      </c>
      <c r="G9" s="37" t="str">
        <f t="shared" si="0"/>
        <v>EA</v>
      </c>
      <c r="H9" s="38">
        <v>25</v>
      </c>
      <c r="I9" s="31" t="str">
        <f>"60121405"</f>
        <v>60121405</v>
      </c>
      <c r="J9" s="39" t="s">
        <v>77</v>
      </c>
    </row>
    <row r="10" spans="1:10" ht="39">
      <c r="A10" s="36" t="s">
        <v>26</v>
      </c>
      <c r="B10" s="31" t="s">
        <v>24</v>
      </c>
      <c r="C10" s="31">
        <v>2963</v>
      </c>
      <c r="D10" s="31">
        <v>9</v>
      </c>
      <c r="E10" s="31" t="str">
        <f>"1000000421"</f>
        <v>1000000421</v>
      </c>
      <c r="F10" s="31" t="str">
        <f>"FRAME:economy grade~Economy Grade Frame, Oak, 11 x 14, certificate, no mat"</f>
        <v>FRAME:economy grade~Economy Grade Frame, Oak, 11 x 14, certificate, no mat</v>
      </c>
      <c r="G10" s="37" t="str">
        <f t="shared" si="0"/>
        <v>EA</v>
      </c>
      <c r="H10" s="38">
        <v>40</v>
      </c>
      <c r="I10" s="31" t="str">
        <f>"60121401"</f>
        <v>60121401</v>
      </c>
      <c r="J10" s="39" t="s">
        <v>78</v>
      </c>
    </row>
    <row r="11" spans="1:10" ht="26.25">
      <c r="A11" s="36" t="s">
        <v>26</v>
      </c>
      <c r="B11" s="31" t="s">
        <v>24</v>
      </c>
      <c r="C11" s="31">
        <v>2963</v>
      </c>
      <c r="D11" s="31">
        <v>10</v>
      </c>
      <c r="E11" s="31" t="str">
        <f>"1000012017"</f>
        <v>1000012017</v>
      </c>
      <c r="F11" s="31" t="str">
        <f>"PICTURE FRAMES: Polystyrene (black), #110-864, economy grade frame, 11x14, (certificate, no mat)"</f>
        <v>PICTURE FRAMES: Polystyrene (black), #110-864, economy grade frame, 11x14, (certificate, no mat)</v>
      </c>
      <c r="G11" s="37" t="str">
        <f t="shared" si="0"/>
        <v>EA</v>
      </c>
      <c r="H11" s="38">
        <v>40</v>
      </c>
      <c r="I11" s="31" t="str">
        <f>"60121406"</f>
        <v>60121406</v>
      </c>
      <c r="J11" s="39" t="s">
        <v>79</v>
      </c>
    </row>
    <row r="12" spans="1:10" ht="51.75">
      <c r="A12" s="36" t="s">
        <v>26</v>
      </c>
      <c r="B12" s="31" t="s">
        <v>24</v>
      </c>
      <c r="C12" s="31">
        <v>2963</v>
      </c>
      <c r="D12" s="31">
        <v>11</v>
      </c>
      <c r="E12" s="31" t="str">
        <f>"1000000194"</f>
        <v>1000000194</v>
      </c>
      <c r="F12" s="31" t="str">
        <f>"PICTURE FRAME:Econ#414223 3/4 ~Economy Grade Frame #414223, 3/4 Oak, 8.5 x 11 (no certificate or mat) 25 or more~#414223, 3/4 Oak, 8.5 x 11 (no certificate or mat) 25 or mo"</f>
        <v>PICTURE FRAME:Econ#414223 3/4 ~Economy Grade Frame #414223, 3/4 Oak, 8.5 x 11 (no certificate or mat) 25 or more~#414223, 3/4 Oak, 8.5 x 11 (no certificate or mat) 25 or mo</v>
      </c>
      <c r="G12" s="37" t="str">
        <f t="shared" si="0"/>
        <v>EA</v>
      </c>
      <c r="H12" s="38">
        <v>15</v>
      </c>
      <c r="I12" s="31" t="str">
        <f>"60121405"</f>
        <v>60121405</v>
      </c>
      <c r="J12" s="39" t="s">
        <v>77</v>
      </c>
    </row>
    <row r="13" spans="1:10" ht="51.75">
      <c r="A13" s="36" t="s">
        <v>26</v>
      </c>
      <c r="B13" s="31" t="s">
        <v>24</v>
      </c>
      <c r="C13" s="31">
        <v>2963</v>
      </c>
      <c r="D13" s="31">
        <v>12</v>
      </c>
      <c r="E13" s="31" t="str">
        <f>"1000001578"</f>
        <v>1000001578</v>
      </c>
      <c r="F13" s="31" t="str">
        <f>"PICTURE FRAME:Econ#110-864 Pol~Economy Grade Frame #110-864, Polystyrene (black), 8.5 X 11, (no certificate or mat) 25 or more~#110-864, Polystyrene (black), 8.5 X 11, (no certificate or"</f>
        <v>PICTURE FRAME:Econ#110-864 Pol~Economy Grade Frame #110-864, Polystyrene (black), 8.5 X 11, (no certificate or mat) 25 or more~#110-864, Polystyrene (black), 8.5 X 11, (no certificate or</v>
      </c>
      <c r="G13" s="37" t="str">
        <f t="shared" si="0"/>
        <v>EA</v>
      </c>
      <c r="H13" s="38">
        <v>15</v>
      </c>
      <c r="I13" s="31" t="str">
        <f>"60121405"</f>
        <v>60121405</v>
      </c>
      <c r="J13" s="39" t="s">
        <v>77</v>
      </c>
    </row>
    <row r="14" spans="1:10" ht="39">
      <c r="A14" s="36" t="s">
        <v>26</v>
      </c>
      <c r="B14" s="31" t="s">
        <v>24</v>
      </c>
      <c r="C14" s="31">
        <v>2963</v>
      </c>
      <c r="D14" s="31">
        <v>13</v>
      </c>
      <c r="E14" s="31" t="str">
        <f>"1000012018"</f>
        <v>1000012018</v>
      </c>
      <c r="F14" s="31" t="str">
        <f>"PICTURE FRAMES: 25 or more, #414223, 3/4 Oak, economy grade frame, 11x14 (no certificate or mat)"</f>
        <v>PICTURE FRAMES: 25 or more, #414223, 3/4 Oak, economy grade frame, 11x14 (no certificate or mat)</v>
      </c>
      <c r="G14" s="37" t="str">
        <f t="shared" si="0"/>
        <v>EA</v>
      </c>
      <c r="H14" s="38">
        <v>22</v>
      </c>
      <c r="I14" s="31" t="str">
        <f>"60121401"</f>
        <v>60121401</v>
      </c>
      <c r="J14" s="39" t="s">
        <v>78</v>
      </c>
    </row>
    <row r="15" spans="1:10" ht="39">
      <c r="A15" s="36" t="s">
        <v>26</v>
      </c>
      <c r="B15" s="31" t="s">
        <v>24</v>
      </c>
      <c r="C15" s="31">
        <v>2963</v>
      </c>
      <c r="D15" s="31">
        <v>14</v>
      </c>
      <c r="E15" s="31" t="str">
        <f>"1000000352"</f>
        <v>1000000352</v>
      </c>
      <c r="F15" s="31" t="str">
        <f>"PICTURE FRAMES: 25 or more, #110-864, polystyrene (black), economy grade frame, 11x14 (no certificate or mat)"</f>
        <v>PICTURE FRAMES: 25 or more, #110-864, polystyrene (black), economy grade frame, 11x14 (no certificate or mat)</v>
      </c>
      <c r="G15" s="37" t="str">
        <f t="shared" si="0"/>
        <v>EA</v>
      </c>
      <c r="H15" s="38">
        <v>22</v>
      </c>
      <c r="I15" s="31" t="str">
        <f>"60121405"</f>
        <v>60121405</v>
      </c>
      <c r="J15" s="39" t="s">
        <v>77</v>
      </c>
    </row>
    <row r="16" spans="1:10">
      <c r="A16" s="40" t="s">
        <v>26</v>
      </c>
      <c r="B16" s="41" t="s">
        <v>24</v>
      </c>
      <c r="C16" s="41">
        <v>2963</v>
      </c>
      <c r="D16" s="41">
        <v>15</v>
      </c>
      <c r="E16" s="41" t="str">
        <f>"1000000422"</f>
        <v>1000000422</v>
      </c>
      <c r="F16" s="41" t="str">
        <f>"FRAME:Custom Picture Frames"</f>
        <v>FRAME:Custom Picture Frames</v>
      </c>
      <c r="G16" s="42" t="str">
        <f t="shared" si="0"/>
        <v>EA</v>
      </c>
      <c r="H16" s="43">
        <v>0.01</v>
      </c>
      <c r="I16" s="41" t="str">
        <f>"60121415"</f>
        <v>60121415</v>
      </c>
      <c r="J16" s="44" t="s">
        <v>80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Cover Page</vt:lpstr>
      <vt:lpstr>Qualified Org's</vt:lpstr>
      <vt:lpstr>Procure Sched</vt:lpstr>
      <vt:lpstr>Mandatory</vt:lpstr>
      <vt:lpstr>STP (Suitable to Procure)</vt:lpstr>
      <vt:lpstr>SW001</vt:lpstr>
      <vt:lpstr>SW015</vt:lpstr>
      <vt:lpstr>SW022</vt:lpstr>
      <vt:lpstr>SW064</vt:lpstr>
      <vt:lpstr>SW078</vt:lpstr>
      <vt:lpstr>SW097</vt:lpstr>
      <vt:lpstr>SW104</vt:lpstr>
      <vt:lpstr>SW131</vt:lpstr>
      <vt:lpstr>SW172</vt:lpstr>
      <vt:lpstr>SW177</vt:lpstr>
      <vt:lpstr>SW203</vt:lpstr>
      <vt:lpstr>SW320</vt:lpstr>
      <vt:lpstr>SW700</vt:lpstr>
      <vt:lpstr>SW772</vt:lpstr>
      <vt:lpstr>SW800</vt:lpstr>
      <vt:lpstr>SW801</vt:lpstr>
      <vt:lpstr>SW803</vt:lpstr>
      <vt:lpstr>SW910</vt:lpstr>
      <vt:lpstr>SW915</vt:lpstr>
      <vt:lpstr>SW916</vt:lpstr>
      <vt:lpstr>SW917</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116295</dc:creator>
  <cp:lastModifiedBy>Malina Brywczynski</cp:lastModifiedBy>
  <cp:lastPrinted>2013-11-20T22:12:23Z</cp:lastPrinted>
  <dcterms:created xsi:type="dcterms:W3CDTF">2013-07-01T20:13:09Z</dcterms:created>
  <dcterms:modified xsi:type="dcterms:W3CDTF">2014-04-10T16:03:09Z</dcterms:modified>
</cp:coreProperties>
</file>