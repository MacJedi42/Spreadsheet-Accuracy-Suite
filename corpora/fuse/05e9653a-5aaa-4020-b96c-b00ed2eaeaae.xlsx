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Tables 1-5" sheetId="1" r:id="rId1"/>
    <sheet name="Tables 6-10" sheetId="2" r:id="rId2"/>
    <sheet name="Sheet3" sheetId="3" r:id="rId3"/>
  </sheets>
  <definedNames>
    <definedName name="_xlnm.Print_Area" localSheetId="0">'Tables 1-5'!$A$1:$G$55</definedName>
  </definedNames>
  <calcPr calcId="145621"/>
</workbook>
</file>

<file path=xl/calcChain.xml><?xml version="1.0" encoding="utf-8"?>
<calcChain xmlns="http://schemas.openxmlformats.org/spreadsheetml/2006/main">
  <c r="H29" i="2" l="1"/>
  <c r="I29" i="2" s="1"/>
  <c r="H30" i="2"/>
  <c r="I30" i="2" s="1"/>
  <c r="H28" i="2"/>
  <c r="I28" i="2" s="1"/>
  <c r="E20" i="2"/>
  <c r="D13" i="2"/>
  <c r="D14" i="2"/>
  <c r="D15" i="2"/>
  <c r="D16" i="2"/>
  <c r="D17" i="2"/>
  <c r="D18" i="2"/>
  <c r="D19" i="2"/>
  <c r="D12" i="2"/>
  <c r="H31" i="2" l="1"/>
  <c r="I31" i="2"/>
  <c r="D20" i="2"/>
  <c r="E21" i="2" s="1"/>
  <c r="D49" i="1"/>
  <c r="E49" i="1" s="1"/>
  <c r="D48" i="1"/>
  <c r="E48" i="1" s="1"/>
  <c r="I32" i="2" l="1"/>
  <c r="E50" i="1"/>
  <c r="D50" i="1"/>
  <c r="E51" i="1" s="1"/>
  <c r="D26" i="1"/>
  <c r="E26" i="1" s="1"/>
  <c r="F27" i="1" s="1"/>
  <c r="D39" i="1"/>
  <c r="E40" i="1" s="1"/>
  <c r="C19" i="1" l="1"/>
  <c r="C20" i="1" s="1"/>
  <c r="C12" i="1"/>
  <c r="C13" i="1" s="1"/>
  <c r="D29" i="1" l="1"/>
</calcChain>
</file>

<file path=xl/sharedStrings.xml><?xml version="1.0" encoding="utf-8"?>
<sst xmlns="http://schemas.openxmlformats.org/spreadsheetml/2006/main" count="132" uniqueCount="84">
  <si>
    <t>OFFICIAL PRICE SHEET</t>
  </si>
  <si>
    <t>Description</t>
  </si>
  <si>
    <t>Cost/UNIt/Mo.</t>
  </si>
  <si>
    <t>36 Month Cost</t>
  </si>
  <si>
    <t>Installation Cost</t>
  </si>
  <si>
    <t>Special Construction</t>
  </si>
  <si>
    <t>Total 36 Mo. Cost</t>
  </si>
  <si>
    <t>Delivery _________ days after receipt of order.</t>
  </si>
  <si>
    <t xml:space="preserve"> Total 36 Month Cost</t>
  </si>
  <si>
    <t>Table 1: AWIN 4 Node OC12 Ring</t>
  </si>
  <si>
    <t xml:space="preserve">Table 2: AWIN 5 Node OC12 Ring </t>
  </si>
  <si>
    <t>Cost/Month</t>
  </si>
  <si>
    <t>12 Month Cost</t>
  </si>
  <si>
    <t>Total 12 Month Cost</t>
  </si>
  <si>
    <t>Table 4: Little Rock-Texarkana DS3 Transport</t>
  </si>
  <si>
    <t>Cost/Unit/Mo</t>
  </si>
  <si>
    <t>Quantity</t>
  </si>
  <si>
    <t>Extended Cost</t>
  </si>
  <si>
    <t>Total 36 Mo Cost</t>
  </si>
  <si>
    <t>Table 3: AWIN Ring Additional DS3 Drops</t>
  </si>
  <si>
    <t>E-Rate Spin #</t>
  </si>
  <si>
    <t>DIS, One Capitol Mall, Little Rock-Windstream Harrison Central Office,(HRSNARXABB1) Harrison, AR</t>
  </si>
  <si>
    <t>total 12 Mo Cost</t>
  </si>
  <si>
    <t>Total</t>
  </si>
  <si>
    <t>Access Speed</t>
  </si>
  <si>
    <t>Cost/Unit/Month</t>
  </si>
  <si>
    <t xml:space="preserve">Installation Cost </t>
  </si>
  <si>
    <t>Local Distribution channel</t>
  </si>
  <si>
    <t>1.5 Mbps</t>
  </si>
  <si>
    <t>Fixed &amp; Variable Mileage  0-30 miles</t>
  </si>
  <si>
    <t>Fixed &amp; Variable Mileage  31-75 miles</t>
  </si>
  <si>
    <t>Fixed &amp; Variable Mileage 76-110 miles</t>
  </si>
  <si>
    <t>Fixed &amp; Variable Mileage  Over 110 miles</t>
  </si>
  <si>
    <t>T</t>
  </si>
  <si>
    <t>From Location</t>
  </si>
  <si>
    <t>To Location</t>
  </si>
  <si>
    <t>6 St. Bldg. 6200 AHN 12, Camp Robinson, North Little Rock, AR 72219 (501-758)</t>
  </si>
  <si>
    <t>AT&amp;T Central Office, 120 W. Eighth ST., Little Rock, AR 72201 (501-372)</t>
  </si>
  <si>
    <t>AT&amp;T Central Office, 720 South Beech ST., Pine Bluff AR 71611 (870-534)</t>
  </si>
  <si>
    <t>AT&amp;T Central Office, 138 East Ave, Fayetteville , AR 72701 (479-442)</t>
  </si>
  <si>
    <t>Service Description</t>
  </si>
  <si>
    <t>Provider</t>
  </si>
  <si>
    <t>Monthly Rate</t>
  </si>
  <si>
    <t>Nonrecurring Charge</t>
  </si>
  <si>
    <t>Priority Installation (Per Circuit, Line or Trunk)</t>
  </si>
  <si>
    <t>Prime Service Vendor*</t>
  </si>
  <si>
    <t>Subcontractor**</t>
  </si>
  <si>
    <t>Priority Restoration Level Implementation (Per Circuit, Line or Trunk)</t>
  </si>
  <si>
    <t>Priority Restoration Level Change on Existing TSP System Access Service (Per Circuit, Line or Trunk)</t>
  </si>
  <si>
    <t>Administration and Maintenance of Priority Restoration (Per Circuit, Line or Trunk)</t>
  </si>
  <si>
    <t>* Prime Service Vendor denotes status of the Telephone Company when it contracts directly with a TSP System end user, or the end-user's authorized agent, to provide all, or a portion, of a TSP system</t>
  </si>
  <si>
    <t>**Subcontractor denotes status of the Telephone Company when it contracts with a Prime Service Vendor to provide a portion of a TSP system to a TSP System end-user.</t>
  </si>
  <si>
    <t>Table 5: Little Rock to Glenwood &amp; Harrison OC3s</t>
  </si>
  <si>
    <t>Table 6:  Intra-LATA Point-to-Point Private Line T1</t>
  </si>
  <si>
    <t>Table 7: Inter-LATA Point-to-Point Private Line T1</t>
  </si>
  <si>
    <t>Fort Chaffee, 1321 Ft. Smith Blvd, Fort Smith, AR 72916 (479-484)</t>
  </si>
  <si>
    <t>LATA Number</t>
  </si>
  <si>
    <t>NPA</t>
  </si>
  <si>
    <t>NXX</t>
  </si>
  <si>
    <t>Mandatory Option for all services all tables</t>
  </si>
  <si>
    <t>SP-13-0125 AWIN OC12 SELF-HEALING RING, LTRK-TXRK DS3, OC3s P-P T1's</t>
  </si>
  <si>
    <t xml:space="preserve"> 4 Node OC-12 Ring With 12 DS3 drops Sec. 2.2 Bid Table Table 1</t>
  </si>
  <si>
    <t>5 Node OC-12 Ring With 16 DS3 drops Sec. 2.2 Bid Table 2</t>
  </si>
  <si>
    <t>Additional DS3 Drops Sec. 2.2.7</t>
  </si>
  <si>
    <t>Total of Tables 1, 2 &amp; 3</t>
  </si>
  <si>
    <t>LTRKARFR-TXRKTXXADS0 DS3 Sec. 2.3</t>
  </si>
  <si>
    <t>DIS, One Capitol Mall, Little Rock-Windstream Glenwood Central Office,(GLWDARXABB1) Glenwood, AR  Sec. 2.4</t>
  </si>
  <si>
    <t>Description   Sec. 2.5</t>
  </si>
  <si>
    <t>Table 9 required for NPA/NNX Information</t>
  </si>
  <si>
    <t>Sec. 2.6</t>
  </si>
  <si>
    <t>Table 8 Telecommunication Service Priority (TSP) System</t>
  </si>
  <si>
    <t>Sec. 2.2 Bid Table 1</t>
  </si>
  <si>
    <t>Sec. 2.2 Bid Table 2</t>
  </si>
  <si>
    <t>Sec. 2.2.7</t>
  </si>
  <si>
    <t>Sec. 2.3</t>
  </si>
  <si>
    <t>Sec. 2.4</t>
  </si>
  <si>
    <t>Sec. 2.5</t>
  </si>
  <si>
    <t>Table 9: LATA # &amp; NPA-NXX of P-P T1 serving area Sec. 2.5.2</t>
  </si>
  <si>
    <t>Table 10:  Miscellaneous Requirements and Options  (Section 2.8)</t>
  </si>
  <si>
    <t xml:space="preserve">The vendor may propose optional services/features related to the services being requested. If awarded, these optional items may or may not be purchased from this contract.   </t>
  </si>
  <si>
    <t>Unit of Measure</t>
  </si>
  <si>
    <t>Total Cost</t>
  </si>
  <si>
    <t>SP-13-0125</t>
  </si>
  <si>
    <t>Sec. 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</si>
</sst>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/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0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wrapText="1"/>
    </xf>
    <xf numFmtId="4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0" fillId="3" borderId="1" xfId="0" applyFont="1" applyFill="1" applyBorder="1"/>
    <xf numFmtId="0" fontId="0" fillId="0" borderId="0" xfId="0"/>
    <xf numFmtId="164" fontId="0" fillId="0" borderId="0" xfId="0" applyNumberFormat="1"/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164" fontId="0" fillId="0" borderId="1" xfId="0" applyNumberForma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164" fontId="0" fillId="3" borderId="1" xfId="0" applyNumberFormat="1" applyFill="1" applyBorder="1"/>
    <xf numFmtId="0" fontId="0" fillId="0" borderId="0" xfId="0"/>
    <xf numFmtId="0" fontId="2" fillId="0" borderId="0" xfId="0" applyFont="1"/>
    <xf numFmtId="0" fontId="0" fillId="0" borderId="14" xfId="0" applyBorder="1" applyAlignment="1"/>
    <xf numFmtId="0" fontId="2" fillId="0" borderId="15" xfId="0" applyFont="1" applyBorder="1"/>
    <xf numFmtId="164" fontId="0" fillId="0" borderId="9" xfId="0" applyNumberFormat="1" applyBorder="1" applyAlignment="1"/>
    <xf numFmtId="164" fontId="0" fillId="0" borderId="16" xfId="0" applyNumberFormat="1" applyBorder="1" applyAlignment="1"/>
    <xf numFmtId="164" fontId="0" fillId="0" borderId="14" xfId="0" applyNumberFormat="1" applyBorder="1" applyAlignment="1"/>
    <xf numFmtId="164" fontId="0" fillId="0" borderId="8" xfId="0" applyNumberFormat="1" applyBorder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6" xfId="0" applyBorder="1" applyAlignment="1">
      <alignment wrapText="1"/>
    </xf>
    <xf numFmtId="0" fontId="1" fillId="0" borderId="6" xfId="0" applyFont="1" applyBorder="1" applyAlignment="1">
      <alignment wrapText="1"/>
    </xf>
    <xf numFmtId="44" fontId="0" fillId="0" borderId="8" xfId="0" applyNumberFormat="1" applyBorder="1"/>
    <xf numFmtId="44" fontId="1" fillId="0" borderId="28" xfId="0" applyNumberFormat="1" applyFont="1" applyBorder="1" applyAlignment="1">
      <alignment wrapText="1"/>
    </xf>
    <xf numFmtId="164" fontId="0" fillId="0" borderId="8" xfId="0" applyNumberFormat="1" applyBorder="1"/>
    <xf numFmtId="164" fontId="1" fillId="0" borderId="28" xfId="0" applyNumberFormat="1" applyFont="1" applyBorder="1"/>
    <xf numFmtId="164" fontId="1" fillId="0" borderId="6" xfId="0" applyNumberFormat="1" applyFont="1" applyBorder="1" applyAlignment="1">
      <alignment wrapText="1"/>
    </xf>
    <xf numFmtId="164" fontId="1" fillId="0" borderId="28" xfId="0" applyNumberFormat="1" applyFont="1" applyBorder="1" applyAlignment="1">
      <alignment wrapText="1"/>
    </xf>
    <xf numFmtId="0" fontId="0" fillId="4" borderId="0" xfId="0" applyFill="1"/>
    <xf numFmtId="0" fontId="3" fillId="0" borderId="0" xfId="0" applyFont="1" applyFill="1"/>
    <xf numFmtId="0" fontId="0" fillId="0" borderId="0" xfId="0" applyFill="1"/>
    <xf numFmtId="0" fontId="4" fillId="0" borderId="0" xfId="0" applyFont="1"/>
    <xf numFmtId="0" fontId="5" fillId="4" borderId="0" xfId="0" applyFont="1" applyFill="1"/>
    <xf numFmtId="0" fontId="1" fillId="0" borderId="0" xfId="0" applyFont="1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wrapText="1"/>
    </xf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1" xfId="0" applyFont="1" applyBorder="1"/>
    <xf numFmtId="0" fontId="0" fillId="3" borderId="1" xfId="0" applyFont="1" applyFill="1" applyBorder="1" applyAlignment="1"/>
    <xf numFmtId="0" fontId="0" fillId="2" borderId="0" xfId="0" applyFill="1" applyAlignme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0" fillId="2" borderId="0" xfId="0" applyFill="1" applyAlignment="1">
      <alignment horizontal="center" wrapText="1"/>
    </xf>
    <xf numFmtId="164" fontId="0" fillId="0" borderId="16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19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0" fillId="0" borderId="14" xfId="0" applyFill="1" applyBorder="1" applyAlignment="1">
      <alignment horizontal="center" wrapText="1"/>
    </xf>
    <xf numFmtId="164" fontId="0" fillId="0" borderId="9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21" xfId="0" applyFill="1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22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5"/>
  <sheetViews>
    <sheetView tabSelected="1" zoomScaleNormal="100" workbookViewId="0">
      <selection activeCell="A2" sqref="A2"/>
    </sheetView>
  </sheetViews>
  <sheetFormatPr defaultRowHeight="15" x14ac:dyDescent="0.25"/>
  <cols>
    <col min="1" max="1" width="31.85546875" customWidth="1"/>
    <col min="2" max="2" width="13.7109375" customWidth="1"/>
    <col min="3" max="3" width="15.140625" customWidth="1"/>
    <col min="4" max="4" width="12.5703125" customWidth="1"/>
    <col min="5" max="5" width="15" customWidth="1"/>
    <col min="6" max="6" width="14.85546875" customWidth="1"/>
  </cols>
  <sheetData>
    <row r="3" spans="1:6" x14ac:dyDescent="0.25">
      <c r="A3" s="79" t="s">
        <v>60</v>
      </c>
      <c r="B3" s="79"/>
      <c r="C3" s="79"/>
      <c r="D3" s="79"/>
      <c r="E3" s="79"/>
    </row>
    <row r="4" spans="1:6" x14ac:dyDescent="0.25">
      <c r="A4" s="79" t="s">
        <v>0</v>
      </c>
      <c r="B4" s="79"/>
      <c r="C4" s="79"/>
      <c r="D4" s="79"/>
      <c r="E4" s="79"/>
    </row>
    <row r="5" spans="1:6" s="1" customFormat="1" ht="15.75" thickBot="1" x14ac:dyDescent="0.3">
      <c r="A5" s="11"/>
      <c r="B5" s="11"/>
      <c r="C5" s="11"/>
      <c r="D5" s="11"/>
      <c r="E5" s="11"/>
    </row>
    <row r="6" spans="1:6" s="1" customFormat="1" ht="15.75" thickBot="1" x14ac:dyDescent="0.3">
      <c r="A6" s="90" t="s">
        <v>20</v>
      </c>
      <c r="B6" s="91"/>
      <c r="C6" s="92"/>
      <c r="D6" s="11"/>
      <c r="E6" s="11"/>
    </row>
    <row r="7" spans="1:6" s="1" customFormat="1" x14ac:dyDescent="0.25">
      <c r="A7" s="11"/>
      <c r="B7" s="11"/>
      <c r="C7" s="11"/>
      <c r="D7" s="11"/>
      <c r="E7" s="11"/>
    </row>
    <row r="8" spans="1:6" x14ac:dyDescent="0.25">
      <c r="A8" s="78"/>
      <c r="B8" s="78"/>
      <c r="C8" s="78"/>
      <c r="D8" s="78"/>
      <c r="E8" s="78"/>
      <c r="F8" s="78"/>
    </row>
    <row r="10" spans="1:6" x14ac:dyDescent="0.25">
      <c r="A10" s="4" t="s">
        <v>9</v>
      </c>
      <c r="B10" s="1"/>
      <c r="C10" s="32" t="s">
        <v>71</v>
      </c>
      <c r="D10" s="1"/>
      <c r="E10" s="1"/>
    </row>
    <row r="11" spans="1:6" ht="30" x14ac:dyDescent="0.25">
      <c r="A11" s="5" t="s">
        <v>1</v>
      </c>
      <c r="B11" s="5" t="s">
        <v>2</v>
      </c>
      <c r="C11" s="5" t="s">
        <v>3</v>
      </c>
      <c r="D11" s="5" t="s">
        <v>4</v>
      </c>
      <c r="E11" s="5" t="s">
        <v>5</v>
      </c>
    </row>
    <row r="12" spans="1:6" ht="30" x14ac:dyDescent="0.25">
      <c r="A12" s="2" t="s">
        <v>61</v>
      </c>
      <c r="B12" s="6">
        <v>0</v>
      </c>
      <c r="C12" s="6">
        <f>B12*36</f>
        <v>0</v>
      </c>
      <c r="D12" s="6">
        <v>0</v>
      </c>
      <c r="E12" s="3">
        <v>0</v>
      </c>
    </row>
    <row r="13" spans="1:6" ht="30" x14ac:dyDescent="0.25">
      <c r="A13" s="8"/>
      <c r="B13" s="5" t="s">
        <v>6</v>
      </c>
      <c r="C13" s="6">
        <f>SUM(C12:E12)</f>
        <v>0</v>
      </c>
      <c r="D13" s="8"/>
      <c r="E13" s="9"/>
    </row>
    <row r="14" spans="1:6" x14ac:dyDescent="0.25">
      <c r="A14" s="80" t="s">
        <v>7</v>
      </c>
      <c r="B14" s="80"/>
      <c r="C14" s="80"/>
      <c r="D14" s="7"/>
      <c r="E14" s="1"/>
    </row>
    <row r="15" spans="1:6" x14ac:dyDescent="0.25">
      <c r="A15" s="7"/>
      <c r="B15" s="7"/>
      <c r="C15" s="7"/>
      <c r="D15" s="7"/>
      <c r="E15" s="1"/>
    </row>
    <row r="16" spans="1:6" x14ac:dyDescent="0.25">
      <c r="A16" s="1"/>
      <c r="B16" s="1"/>
      <c r="C16" s="1"/>
      <c r="D16" s="7"/>
      <c r="E16" s="1"/>
    </row>
    <row r="17" spans="1:10" x14ac:dyDescent="0.25">
      <c r="A17" s="4" t="s">
        <v>10</v>
      </c>
      <c r="B17" s="1"/>
      <c r="C17" s="32" t="s">
        <v>72</v>
      </c>
      <c r="D17" s="1"/>
      <c r="E17" s="1"/>
    </row>
    <row r="18" spans="1:10" ht="30" x14ac:dyDescent="0.25">
      <c r="A18" s="5" t="s">
        <v>1</v>
      </c>
      <c r="B18" s="5" t="s">
        <v>2</v>
      </c>
      <c r="C18" s="5" t="s">
        <v>3</v>
      </c>
      <c r="D18" s="5" t="s">
        <v>4</v>
      </c>
      <c r="E18" s="5" t="s">
        <v>5</v>
      </c>
      <c r="J18" t="s">
        <v>33</v>
      </c>
    </row>
    <row r="19" spans="1:10" ht="30" x14ac:dyDescent="0.25">
      <c r="A19" s="2" t="s">
        <v>62</v>
      </c>
      <c r="B19" s="6">
        <v>0</v>
      </c>
      <c r="C19" s="6">
        <f>B19*36</f>
        <v>0</v>
      </c>
      <c r="D19" s="6">
        <v>0</v>
      </c>
      <c r="E19" s="3">
        <v>0</v>
      </c>
    </row>
    <row r="20" spans="1:10" ht="30" x14ac:dyDescent="0.25">
      <c r="A20" s="8"/>
      <c r="B20" s="5" t="s">
        <v>6</v>
      </c>
      <c r="C20" s="6">
        <f>SUM(C19:E19)</f>
        <v>0</v>
      </c>
      <c r="D20" s="8"/>
      <c r="E20" s="9"/>
    </row>
    <row r="21" spans="1:10" x14ac:dyDescent="0.25">
      <c r="A21" s="79" t="s">
        <v>7</v>
      </c>
      <c r="B21" s="79"/>
      <c r="C21" s="79"/>
      <c r="D21" s="7"/>
      <c r="E21" s="1"/>
    </row>
    <row r="23" spans="1:10" s="1" customFormat="1" x14ac:dyDescent="0.25">
      <c r="A23" s="11"/>
      <c r="B23" s="11"/>
      <c r="C23" s="11"/>
      <c r="D23" s="10"/>
      <c r="E23" s="10"/>
    </row>
    <row r="24" spans="1:10" s="1" customFormat="1" x14ac:dyDescent="0.25">
      <c r="A24" s="89" t="s">
        <v>19</v>
      </c>
      <c r="B24" s="89"/>
      <c r="C24" s="89"/>
      <c r="D24" s="64" t="s">
        <v>73</v>
      </c>
      <c r="E24" s="10"/>
    </row>
    <row r="25" spans="1:10" s="1" customFormat="1" ht="30" x14ac:dyDescent="0.25">
      <c r="A25" s="14" t="s">
        <v>1</v>
      </c>
      <c r="B25" s="15" t="s">
        <v>15</v>
      </c>
      <c r="C25" s="14" t="s">
        <v>16</v>
      </c>
      <c r="D25" s="16" t="s">
        <v>17</v>
      </c>
      <c r="E25" s="16" t="s">
        <v>3</v>
      </c>
      <c r="F25" s="5" t="s">
        <v>4</v>
      </c>
      <c r="I25" s="20"/>
    </row>
    <row r="26" spans="1:10" s="1" customFormat="1" x14ac:dyDescent="0.25">
      <c r="A26" s="74" t="s">
        <v>63</v>
      </c>
      <c r="B26" s="14"/>
      <c r="C26" s="14">
        <v>8</v>
      </c>
      <c r="D26" s="19">
        <f>B26*2</f>
        <v>0</v>
      </c>
      <c r="E26" s="19">
        <f>D26*36</f>
        <v>0</v>
      </c>
      <c r="F26" s="13"/>
    </row>
    <row r="27" spans="1:10" s="1" customFormat="1" ht="30" x14ac:dyDescent="0.25">
      <c r="A27" s="75"/>
      <c r="B27" s="17"/>
      <c r="C27" s="17"/>
      <c r="D27" s="18"/>
      <c r="E27" s="16" t="s">
        <v>18</v>
      </c>
      <c r="F27" s="13">
        <f>E26+F26</f>
        <v>0</v>
      </c>
    </row>
    <row r="28" spans="1:10" s="1" customFormat="1" ht="15.75" thickBot="1" x14ac:dyDescent="0.3">
      <c r="A28" s="11"/>
      <c r="B28" s="11"/>
      <c r="C28" s="11"/>
      <c r="D28" s="10"/>
      <c r="E28" s="10"/>
    </row>
    <row r="29" spans="1:10" s="1" customFormat="1" x14ac:dyDescent="0.25">
      <c r="A29" s="81" t="s">
        <v>64</v>
      </c>
      <c r="B29" s="83" t="s">
        <v>8</v>
      </c>
      <c r="C29" s="84"/>
      <c r="D29" s="85">
        <f>C13+C20+F27</f>
        <v>0</v>
      </c>
      <c r="E29" s="86"/>
    </row>
    <row r="30" spans="1:10" s="1" customFormat="1" ht="15.75" thickBot="1" x14ac:dyDescent="0.3">
      <c r="A30" s="82"/>
      <c r="B30" s="83"/>
      <c r="C30" s="84"/>
      <c r="D30" s="87"/>
      <c r="E30" s="88"/>
    </row>
    <row r="31" spans="1:10" x14ac:dyDescent="0.25">
      <c r="A31" s="79" t="s">
        <v>7</v>
      </c>
      <c r="B31" s="79"/>
      <c r="C31" s="79"/>
      <c r="D31" s="10"/>
      <c r="E31" s="10"/>
    </row>
    <row r="32" spans="1:10" s="36" customFormat="1" x14ac:dyDescent="0.25">
      <c r="A32" s="44"/>
      <c r="B32" s="44"/>
      <c r="C32" s="44"/>
      <c r="D32" s="10"/>
      <c r="E32" s="10"/>
    </row>
    <row r="33" spans="1:7" s="36" customFormat="1" x14ac:dyDescent="0.25">
      <c r="A33" s="44"/>
      <c r="B33" s="44"/>
      <c r="C33" s="44"/>
      <c r="D33" s="10"/>
      <c r="E33" s="10"/>
    </row>
    <row r="34" spans="1:7" s="36" customFormat="1" x14ac:dyDescent="0.25">
      <c r="A34" s="46"/>
      <c r="B34" s="46"/>
      <c r="C34" s="46"/>
      <c r="D34" s="47"/>
      <c r="E34" s="47"/>
      <c r="F34" s="48"/>
      <c r="G34" s="48"/>
    </row>
    <row r="37" spans="1:7" x14ac:dyDescent="0.25">
      <c r="A37" s="4" t="s">
        <v>14</v>
      </c>
      <c r="B37" s="4"/>
      <c r="C37" s="4"/>
      <c r="D37" s="32" t="s">
        <v>74</v>
      </c>
    </row>
    <row r="38" spans="1:7" ht="30" x14ac:dyDescent="0.25">
      <c r="A38" s="67" t="s">
        <v>1</v>
      </c>
      <c r="B38" s="68"/>
      <c r="C38" s="5" t="s">
        <v>11</v>
      </c>
      <c r="D38" s="5" t="s">
        <v>12</v>
      </c>
      <c r="E38" s="5" t="s">
        <v>4</v>
      </c>
    </row>
    <row r="39" spans="1:7" ht="15.75" thickBot="1" x14ac:dyDescent="0.3">
      <c r="A39" s="69" t="s">
        <v>65</v>
      </c>
      <c r="B39" s="70"/>
      <c r="C39" s="13">
        <v>0</v>
      </c>
      <c r="D39" s="13">
        <f>C39*12</f>
        <v>0</v>
      </c>
      <c r="E39" s="53">
        <v>0</v>
      </c>
    </row>
    <row r="40" spans="1:7" ht="30.75" thickBot="1" x14ac:dyDescent="0.3">
      <c r="A40" s="71"/>
      <c r="B40" s="72"/>
      <c r="C40" s="12"/>
      <c r="D40" s="52" t="s">
        <v>13</v>
      </c>
      <c r="E40" s="54">
        <f>D39+E39</f>
        <v>0</v>
      </c>
    </row>
    <row r="41" spans="1:7" x14ac:dyDescent="0.25">
      <c r="A41" s="79" t="s">
        <v>7</v>
      </c>
      <c r="B41" s="79"/>
      <c r="C41" s="79"/>
    </row>
    <row r="43" spans="1:7" x14ac:dyDescent="0.25">
      <c r="A43" s="78"/>
      <c r="B43" s="78"/>
      <c r="C43" s="78"/>
      <c r="D43" s="78"/>
      <c r="E43" s="78"/>
      <c r="F43" s="78"/>
      <c r="G43" s="78"/>
    </row>
    <row r="45" spans="1:7" x14ac:dyDescent="0.25">
      <c r="F45" s="32" t="s">
        <v>82</v>
      </c>
    </row>
    <row r="46" spans="1:7" x14ac:dyDescent="0.25">
      <c r="A46" s="4" t="s">
        <v>52</v>
      </c>
      <c r="D46" s="32" t="s">
        <v>75</v>
      </c>
    </row>
    <row r="47" spans="1:7" ht="30" x14ac:dyDescent="0.25">
      <c r="A47" s="76" t="s">
        <v>1</v>
      </c>
      <c r="B47" s="76"/>
      <c r="C47" s="22" t="s">
        <v>11</v>
      </c>
      <c r="D47" s="5" t="s">
        <v>12</v>
      </c>
      <c r="E47" s="22" t="s">
        <v>4</v>
      </c>
    </row>
    <row r="48" spans="1:7" ht="50.25" customHeight="1" x14ac:dyDescent="0.25">
      <c r="A48" s="66" t="s">
        <v>21</v>
      </c>
      <c r="B48" s="66"/>
      <c r="C48" s="65">
        <v>0</v>
      </c>
      <c r="D48" s="3">
        <f xml:space="preserve"> C48*12</f>
        <v>0</v>
      </c>
      <c r="E48" s="3">
        <f t="shared" ref="E48:E49" si="0">SUM(D48)</f>
        <v>0</v>
      </c>
    </row>
    <row r="49" spans="1:5" s="1" customFormat="1" ht="58.5" customHeight="1" x14ac:dyDescent="0.25">
      <c r="A49" s="66" t="s">
        <v>66</v>
      </c>
      <c r="B49" s="66"/>
      <c r="C49" s="65">
        <v>0</v>
      </c>
      <c r="D49" s="3">
        <f xml:space="preserve"> C49*12</f>
        <v>0</v>
      </c>
      <c r="E49" s="3">
        <f t="shared" si="0"/>
        <v>0</v>
      </c>
    </row>
    <row r="50" spans="1:5" s="1" customFormat="1" ht="31.5" customHeight="1" thickBot="1" x14ac:dyDescent="0.3">
      <c r="A50" s="12"/>
      <c r="B50" s="12"/>
      <c r="C50" s="21" t="s">
        <v>23</v>
      </c>
      <c r="D50" s="3">
        <f>SUM(D48:D49)</f>
        <v>0</v>
      </c>
      <c r="E50" s="55">
        <f>SUM(E48:E49)</f>
        <v>0</v>
      </c>
    </row>
    <row r="51" spans="1:5" ht="30.75" thickBot="1" x14ac:dyDescent="0.3">
      <c r="A51" s="77"/>
      <c r="B51" s="77"/>
      <c r="C51" s="23"/>
      <c r="D51" s="52" t="s">
        <v>22</v>
      </c>
      <c r="E51" s="56">
        <f>SUM(D50:E50)</f>
        <v>0</v>
      </c>
    </row>
    <row r="52" spans="1:5" x14ac:dyDescent="0.25">
      <c r="A52" s="79" t="s">
        <v>7</v>
      </c>
      <c r="B52" s="79"/>
      <c r="C52" s="79"/>
    </row>
    <row r="55" spans="1:5" x14ac:dyDescent="0.25">
      <c r="A55" s="73"/>
      <c r="B55" s="73"/>
      <c r="C55" s="73"/>
      <c r="D55" s="24"/>
      <c r="E55" s="24"/>
    </row>
  </sheetData>
  <mergeCells count="22">
    <mergeCell ref="A3:E3"/>
    <mergeCell ref="A4:E4"/>
    <mergeCell ref="A14:C14"/>
    <mergeCell ref="A31:C31"/>
    <mergeCell ref="A29:A30"/>
    <mergeCell ref="B29:C30"/>
    <mergeCell ref="D29:E30"/>
    <mergeCell ref="A24:C24"/>
    <mergeCell ref="A6:C6"/>
    <mergeCell ref="A8:F8"/>
    <mergeCell ref="A21:C21"/>
    <mergeCell ref="A49:B49"/>
    <mergeCell ref="A38:B38"/>
    <mergeCell ref="A39:B40"/>
    <mergeCell ref="A55:C55"/>
    <mergeCell ref="A26:A27"/>
    <mergeCell ref="A47:B47"/>
    <mergeCell ref="A48:B48"/>
    <mergeCell ref="A51:B51"/>
    <mergeCell ref="A43:G43"/>
    <mergeCell ref="A41:C41"/>
    <mergeCell ref="A52:C52"/>
  </mergeCells>
  <pageMargins left="0.7" right="0.7" top="0.75" bottom="0.75" header="0.3" footer="0.3"/>
  <pageSetup scale="80" orientation="portrait" r:id="rId1"/>
  <rowBreaks count="1" manualBreakCount="1">
    <brk id="44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96"/>
  <sheetViews>
    <sheetView zoomScaleNormal="100" workbookViewId="0">
      <selection activeCell="I32" sqref="I32"/>
    </sheetView>
  </sheetViews>
  <sheetFormatPr defaultRowHeight="15" x14ac:dyDescent="0.25"/>
  <cols>
    <col min="1" max="1" width="35.85546875" customWidth="1"/>
    <col min="2" max="2" width="13.28515625" customWidth="1"/>
    <col min="3" max="3" width="11.5703125" customWidth="1"/>
    <col min="4" max="4" width="12.5703125" customWidth="1"/>
    <col min="5" max="5" width="12.7109375" customWidth="1"/>
    <col min="6" max="6" width="15.28515625" customWidth="1"/>
    <col min="7" max="8" width="14" customWidth="1"/>
    <col min="9" max="9" width="13.28515625" customWidth="1"/>
    <col min="10" max="10" width="10.85546875" customWidth="1"/>
  </cols>
  <sheetData>
    <row r="3" spans="1:9" x14ac:dyDescent="0.25">
      <c r="A3" s="79" t="s">
        <v>60</v>
      </c>
      <c r="B3" s="79"/>
      <c r="C3" s="79"/>
      <c r="D3" s="79"/>
      <c r="E3" s="79"/>
    </row>
    <row r="4" spans="1:9" x14ac:dyDescent="0.25">
      <c r="A4" s="79" t="s">
        <v>0</v>
      </c>
      <c r="B4" s="79"/>
      <c r="C4" s="79"/>
      <c r="D4" s="79"/>
      <c r="E4" s="79"/>
    </row>
    <row r="5" spans="1:9" s="36" customFormat="1" ht="15.75" thickBot="1" x14ac:dyDescent="0.3">
      <c r="A5" s="44"/>
      <c r="B5" s="44"/>
      <c r="C5" s="44"/>
      <c r="D5" s="44"/>
      <c r="E5" s="44"/>
    </row>
    <row r="6" spans="1:9" s="36" customFormat="1" ht="15.75" thickBot="1" x14ac:dyDescent="0.3">
      <c r="A6" s="90" t="s">
        <v>20</v>
      </c>
      <c r="B6" s="91"/>
      <c r="C6" s="92"/>
      <c r="D6" s="44"/>
      <c r="E6" s="44"/>
    </row>
    <row r="7" spans="1:9" s="36" customFormat="1" x14ac:dyDescent="0.25">
      <c r="A7" s="44"/>
      <c r="B7" s="44"/>
      <c r="C7" s="44"/>
      <c r="D7" s="44"/>
      <c r="E7" s="44"/>
    </row>
    <row r="8" spans="1:9" x14ac:dyDescent="0.25">
      <c r="A8" s="78"/>
      <c r="B8" s="78"/>
      <c r="C8" s="78"/>
      <c r="D8" s="78"/>
      <c r="E8" s="78"/>
      <c r="F8" s="78"/>
    </row>
    <row r="10" spans="1:9" x14ac:dyDescent="0.25">
      <c r="A10" s="32" t="s">
        <v>53</v>
      </c>
      <c r="B10" s="26"/>
      <c r="C10" s="63" t="s">
        <v>68</v>
      </c>
      <c r="D10" s="59"/>
      <c r="E10" s="59"/>
      <c r="F10" s="49" t="s">
        <v>76</v>
      </c>
    </row>
    <row r="11" spans="1:9" ht="30" x14ac:dyDescent="0.25">
      <c r="A11" s="33" t="s">
        <v>67</v>
      </c>
      <c r="B11" s="33" t="s">
        <v>24</v>
      </c>
      <c r="C11" s="33" t="s">
        <v>25</v>
      </c>
      <c r="D11" s="33" t="s">
        <v>3</v>
      </c>
      <c r="E11" s="33" t="s">
        <v>26</v>
      </c>
    </row>
    <row r="12" spans="1:9" x14ac:dyDescent="0.25">
      <c r="A12" s="27" t="s">
        <v>27</v>
      </c>
      <c r="B12" s="129" t="s">
        <v>28</v>
      </c>
      <c r="C12" s="31">
        <v>0</v>
      </c>
      <c r="D12" s="31">
        <f>C12*36</f>
        <v>0</v>
      </c>
      <c r="E12" s="31">
        <v>0</v>
      </c>
    </row>
    <row r="13" spans="1:9" x14ac:dyDescent="0.25">
      <c r="A13" s="27" t="s">
        <v>29</v>
      </c>
      <c r="B13" s="129"/>
      <c r="C13" s="31">
        <v>0</v>
      </c>
      <c r="D13" s="31">
        <f t="shared" ref="D13:D19" si="0">C13*36</f>
        <v>0</v>
      </c>
      <c r="E13" s="31">
        <v>0</v>
      </c>
      <c r="F13" s="60"/>
      <c r="G13" s="61"/>
      <c r="H13" s="61"/>
      <c r="I13" s="61"/>
    </row>
    <row r="14" spans="1:9" x14ac:dyDescent="0.25">
      <c r="A14" s="27" t="s">
        <v>27</v>
      </c>
      <c r="B14" s="129" t="s">
        <v>28</v>
      </c>
      <c r="C14" s="31">
        <v>0</v>
      </c>
      <c r="D14" s="31">
        <f t="shared" si="0"/>
        <v>0</v>
      </c>
      <c r="E14" s="31">
        <v>0</v>
      </c>
      <c r="F14" s="61"/>
      <c r="G14" s="61"/>
      <c r="H14" s="61"/>
      <c r="I14" s="61"/>
    </row>
    <row r="15" spans="1:9" x14ac:dyDescent="0.25">
      <c r="A15" s="27" t="s">
        <v>30</v>
      </c>
      <c r="B15" s="129"/>
      <c r="C15" s="31">
        <v>0</v>
      </c>
      <c r="D15" s="31">
        <f t="shared" si="0"/>
        <v>0</v>
      </c>
      <c r="E15" s="31">
        <v>0</v>
      </c>
    </row>
    <row r="16" spans="1:9" x14ac:dyDescent="0.25">
      <c r="A16" s="27" t="s">
        <v>27</v>
      </c>
      <c r="B16" s="129" t="s">
        <v>28</v>
      </c>
      <c r="C16" s="31">
        <v>0</v>
      </c>
      <c r="D16" s="31">
        <f t="shared" si="0"/>
        <v>0</v>
      </c>
      <c r="E16" s="31">
        <v>0</v>
      </c>
    </row>
    <row r="17" spans="1:9" x14ac:dyDescent="0.25">
      <c r="A17" s="27" t="s">
        <v>31</v>
      </c>
      <c r="B17" s="129"/>
      <c r="C17" s="31">
        <v>0</v>
      </c>
      <c r="D17" s="31">
        <f t="shared" si="0"/>
        <v>0</v>
      </c>
      <c r="E17" s="31">
        <v>0</v>
      </c>
    </row>
    <row r="18" spans="1:9" x14ac:dyDescent="0.25">
      <c r="A18" s="27" t="s">
        <v>27</v>
      </c>
      <c r="B18" s="129" t="s">
        <v>28</v>
      </c>
      <c r="C18" s="31">
        <v>0</v>
      </c>
      <c r="D18" s="31">
        <f t="shared" si="0"/>
        <v>0</v>
      </c>
      <c r="E18" s="31">
        <v>0</v>
      </c>
    </row>
    <row r="19" spans="1:9" ht="30" x14ac:dyDescent="0.25">
      <c r="A19" s="27" t="s">
        <v>32</v>
      </c>
      <c r="B19" s="129"/>
      <c r="C19" s="31">
        <v>0</v>
      </c>
      <c r="D19" s="31">
        <f t="shared" si="0"/>
        <v>0</v>
      </c>
      <c r="E19" s="31">
        <v>0</v>
      </c>
    </row>
    <row r="20" spans="1:9" ht="15.75" thickBot="1" x14ac:dyDescent="0.3">
      <c r="A20" s="29"/>
      <c r="B20" s="30"/>
      <c r="C20" s="31" t="s">
        <v>23</v>
      </c>
      <c r="D20" s="31">
        <f>SUM(D12:D19)</f>
        <v>0</v>
      </c>
      <c r="E20" s="55">
        <f>SUM(E12:E19)</f>
        <v>0</v>
      </c>
    </row>
    <row r="21" spans="1:9" ht="30.75" thickBot="1" x14ac:dyDescent="0.3">
      <c r="A21" s="29"/>
      <c r="B21" s="30"/>
      <c r="C21" s="35"/>
      <c r="D21" s="57" t="s">
        <v>6</v>
      </c>
      <c r="E21" s="58">
        <f>D20+E20</f>
        <v>0</v>
      </c>
    </row>
    <row r="22" spans="1:9" x14ac:dyDescent="0.25">
      <c r="A22" s="73" t="s">
        <v>7</v>
      </c>
      <c r="B22" s="73"/>
      <c r="C22" s="73"/>
      <c r="D22" s="25"/>
      <c r="E22" s="26"/>
    </row>
    <row r="24" spans="1:9" x14ac:dyDescent="0.25">
      <c r="A24" s="128"/>
      <c r="B24" s="128"/>
      <c r="C24" s="128"/>
      <c r="D24" s="128"/>
      <c r="E24" s="128"/>
      <c r="F24" s="128"/>
      <c r="G24" s="128"/>
      <c r="H24" s="128"/>
      <c r="I24" s="128"/>
    </row>
    <row r="26" spans="1:9" x14ac:dyDescent="0.25">
      <c r="A26" s="32" t="s">
        <v>54</v>
      </c>
      <c r="C26" s="32" t="s">
        <v>69</v>
      </c>
    </row>
    <row r="27" spans="1:9" ht="30" x14ac:dyDescent="0.25">
      <c r="A27" s="76" t="s">
        <v>34</v>
      </c>
      <c r="B27" s="76"/>
      <c r="C27" s="76" t="s">
        <v>35</v>
      </c>
      <c r="D27" s="76"/>
      <c r="E27" s="76"/>
      <c r="F27" s="76"/>
      <c r="G27" s="34" t="s">
        <v>11</v>
      </c>
      <c r="H27" s="34" t="s">
        <v>3</v>
      </c>
      <c r="I27" s="33" t="s">
        <v>4</v>
      </c>
    </row>
    <row r="28" spans="1:9" ht="30" customHeight="1" x14ac:dyDescent="0.25">
      <c r="A28" s="113" t="s">
        <v>36</v>
      </c>
      <c r="B28" s="114"/>
      <c r="C28" s="66" t="s">
        <v>55</v>
      </c>
      <c r="D28" s="66"/>
      <c r="E28" s="66"/>
      <c r="F28" s="66"/>
      <c r="G28" s="65">
        <v>0</v>
      </c>
      <c r="H28" s="31">
        <f>G28*36</f>
        <v>0</v>
      </c>
      <c r="I28" s="31">
        <f t="shared" ref="I28:I30" si="1">SUM(H28)</f>
        <v>0</v>
      </c>
    </row>
    <row r="29" spans="1:9" ht="32.25" customHeight="1" x14ac:dyDescent="0.25">
      <c r="A29" s="113" t="s">
        <v>37</v>
      </c>
      <c r="B29" s="114"/>
      <c r="C29" s="66" t="s">
        <v>38</v>
      </c>
      <c r="D29" s="66"/>
      <c r="E29" s="66"/>
      <c r="F29" s="66"/>
      <c r="G29" s="65">
        <v>0</v>
      </c>
      <c r="H29" s="31">
        <f t="shared" ref="H29:H30" si="2">G29*36</f>
        <v>0</v>
      </c>
      <c r="I29" s="31">
        <f t="shared" si="1"/>
        <v>0</v>
      </c>
    </row>
    <row r="30" spans="1:9" ht="31.5" customHeight="1" x14ac:dyDescent="0.25">
      <c r="A30" s="113" t="s">
        <v>37</v>
      </c>
      <c r="B30" s="114"/>
      <c r="C30" s="66" t="s">
        <v>39</v>
      </c>
      <c r="D30" s="66"/>
      <c r="E30" s="66"/>
      <c r="F30" s="66"/>
      <c r="G30" s="65">
        <v>0</v>
      </c>
      <c r="H30" s="31">
        <f t="shared" si="2"/>
        <v>0</v>
      </c>
      <c r="I30" s="31">
        <f t="shared" si="1"/>
        <v>0</v>
      </c>
    </row>
    <row r="31" spans="1:9" ht="15.75" thickBot="1" x14ac:dyDescent="0.3">
      <c r="A31" s="30"/>
      <c r="B31" s="30"/>
      <c r="C31" s="30"/>
      <c r="D31" s="30"/>
      <c r="E31" s="30"/>
      <c r="F31" s="30"/>
      <c r="G31" s="28" t="s">
        <v>23</v>
      </c>
      <c r="H31" s="31">
        <f>SUM(H28:H30)</f>
        <v>0</v>
      </c>
      <c r="I31" s="55">
        <f>SUM(I28:I30)</f>
        <v>0</v>
      </c>
    </row>
    <row r="32" spans="1:9" ht="30.75" thickBot="1" x14ac:dyDescent="0.3">
      <c r="A32" s="30"/>
      <c r="B32" s="30"/>
      <c r="C32" s="30"/>
      <c r="D32" s="30"/>
      <c r="E32" s="30"/>
      <c r="F32" s="30"/>
      <c r="G32" s="30"/>
      <c r="H32" s="51" t="s">
        <v>6</v>
      </c>
      <c r="I32" s="56">
        <f xml:space="preserve"> SUM(H31:I31)</f>
        <v>0</v>
      </c>
    </row>
    <row r="33" spans="1:9" x14ac:dyDescent="0.25">
      <c r="A33" s="73" t="s">
        <v>7</v>
      </c>
      <c r="B33" s="73"/>
      <c r="C33" s="73"/>
    </row>
    <row r="35" spans="1:9" x14ac:dyDescent="0.25">
      <c r="A35" s="128"/>
      <c r="B35" s="128"/>
      <c r="C35" s="128"/>
      <c r="D35" s="128"/>
      <c r="E35" s="128"/>
      <c r="F35" s="128"/>
      <c r="G35" s="128"/>
      <c r="H35" s="128"/>
      <c r="I35" s="128"/>
    </row>
    <row r="36" spans="1:9" x14ac:dyDescent="0.25">
      <c r="H36" s="32" t="s">
        <v>82</v>
      </c>
    </row>
    <row r="38" spans="1:9" x14ac:dyDescent="0.25">
      <c r="A38" s="37" t="s">
        <v>59</v>
      </c>
      <c r="B38" s="36"/>
      <c r="C38" s="36"/>
      <c r="D38" s="36"/>
      <c r="E38" s="36"/>
      <c r="F38" s="36"/>
      <c r="G38" s="36"/>
      <c r="H38" s="36"/>
    </row>
    <row r="39" spans="1:9" ht="15.75" thickBot="1" x14ac:dyDescent="0.3">
      <c r="A39" s="37" t="s">
        <v>70</v>
      </c>
      <c r="B39" s="36"/>
      <c r="C39" s="36"/>
      <c r="D39" s="32" t="s">
        <v>83</v>
      </c>
      <c r="E39" s="36"/>
      <c r="F39" s="36"/>
      <c r="G39" s="36"/>
      <c r="H39" s="36"/>
    </row>
    <row r="40" spans="1:9" ht="15.75" thickBot="1" x14ac:dyDescent="0.3">
      <c r="A40" s="123" t="s">
        <v>40</v>
      </c>
      <c r="B40" s="124"/>
      <c r="C40" s="124"/>
      <c r="D40" s="124" t="s">
        <v>41</v>
      </c>
      <c r="E40" s="124"/>
      <c r="F40" s="39" t="s">
        <v>42</v>
      </c>
      <c r="G40" s="115" t="s">
        <v>43</v>
      </c>
      <c r="H40" s="116"/>
    </row>
    <row r="41" spans="1:9" x14ac:dyDescent="0.25">
      <c r="A41" s="117" t="s">
        <v>44</v>
      </c>
      <c r="B41" s="118"/>
      <c r="C41" s="118"/>
      <c r="D41" s="105" t="s">
        <v>45</v>
      </c>
      <c r="E41" s="105"/>
      <c r="F41" s="41"/>
      <c r="G41" s="94"/>
      <c r="H41" s="95"/>
    </row>
    <row r="42" spans="1:9" ht="15.75" thickBot="1" x14ac:dyDescent="0.3">
      <c r="A42" s="119"/>
      <c r="B42" s="120"/>
      <c r="C42" s="120"/>
      <c r="D42" s="104" t="s">
        <v>46</v>
      </c>
      <c r="E42" s="104"/>
      <c r="F42" s="42"/>
      <c r="G42" s="102"/>
      <c r="H42" s="103"/>
    </row>
    <row r="43" spans="1:9" x14ac:dyDescent="0.25">
      <c r="A43" s="109" t="s">
        <v>47</v>
      </c>
      <c r="B43" s="110"/>
      <c r="C43" s="110"/>
      <c r="D43" s="75" t="s">
        <v>45</v>
      </c>
      <c r="E43" s="75"/>
      <c r="F43" s="40"/>
      <c r="G43" s="100"/>
      <c r="H43" s="101"/>
    </row>
    <row r="44" spans="1:9" ht="15.75" thickBot="1" x14ac:dyDescent="0.3">
      <c r="A44" s="121"/>
      <c r="B44" s="122"/>
      <c r="C44" s="122"/>
      <c r="D44" s="127" t="s">
        <v>46</v>
      </c>
      <c r="E44" s="127"/>
      <c r="F44" s="43"/>
      <c r="G44" s="125"/>
      <c r="H44" s="126"/>
    </row>
    <row r="45" spans="1:9" x14ac:dyDescent="0.25">
      <c r="A45" s="96" t="s">
        <v>48</v>
      </c>
      <c r="B45" s="97"/>
      <c r="C45" s="97"/>
      <c r="D45" s="105" t="s">
        <v>45</v>
      </c>
      <c r="E45" s="105"/>
      <c r="F45" s="41"/>
      <c r="G45" s="94"/>
      <c r="H45" s="95"/>
    </row>
    <row r="46" spans="1:9" ht="15.75" thickBot="1" x14ac:dyDescent="0.3">
      <c r="A46" s="98"/>
      <c r="B46" s="99"/>
      <c r="C46" s="99"/>
      <c r="D46" s="104" t="s">
        <v>46</v>
      </c>
      <c r="E46" s="104"/>
      <c r="F46" s="42"/>
      <c r="G46" s="102"/>
      <c r="H46" s="103"/>
    </row>
    <row r="47" spans="1:9" x14ac:dyDescent="0.25">
      <c r="A47" s="109" t="s">
        <v>49</v>
      </c>
      <c r="B47" s="110"/>
      <c r="C47" s="110"/>
      <c r="D47" s="75" t="s">
        <v>45</v>
      </c>
      <c r="E47" s="75"/>
      <c r="F47" s="40"/>
      <c r="G47" s="100"/>
      <c r="H47" s="101"/>
    </row>
    <row r="48" spans="1:9" ht="15.75" thickBot="1" x14ac:dyDescent="0.3">
      <c r="A48" s="98"/>
      <c r="B48" s="99"/>
      <c r="C48" s="99"/>
      <c r="D48" s="104" t="s">
        <v>46</v>
      </c>
      <c r="E48" s="104"/>
      <c r="F48" s="38"/>
      <c r="G48" s="111"/>
      <c r="H48" s="112"/>
    </row>
    <row r="49" spans="1:9" x14ac:dyDescent="0.25">
      <c r="A49" s="106" t="s">
        <v>50</v>
      </c>
      <c r="B49" s="106"/>
      <c r="C49" s="106"/>
      <c r="D49" s="106"/>
      <c r="E49" s="106"/>
      <c r="F49" s="106"/>
      <c r="G49" s="106"/>
      <c r="H49" s="106"/>
    </row>
    <row r="50" spans="1:9" x14ac:dyDescent="0.25">
      <c r="A50" s="107"/>
      <c r="B50" s="107"/>
      <c r="C50" s="107"/>
      <c r="D50" s="107"/>
      <c r="E50" s="107"/>
      <c r="F50" s="107"/>
      <c r="G50" s="107"/>
      <c r="H50" s="107"/>
    </row>
    <row r="51" spans="1:9" x14ac:dyDescent="0.25">
      <c r="A51" s="26"/>
      <c r="B51" s="26"/>
      <c r="C51" s="26"/>
      <c r="D51" s="26"/>
      <c r="E51" s="26"/>
      <c r="F51" s="26"/>
      <c r="G51" s="26"/>
      <c r="H51" s="26"/>
    </row>
    <row r="52" spans="1:9" x14ac:dyDescent="0.25">
      <c r="A52" s="108" t="s">
        <v>51</v>
      </c>
      <c r="B52" s="108"/>
      <c r="C52" s="108"/>
      <c r="D52" s="108"/>
      <c r="E52" s="108"/>
      <c r="F52" s="108"/>
      <c r="G52" s="108"/>
      <c r="H52" s="108"/>
    </row>
    <row r="53" spans="1:9" x14ac:dyDescent="0.25">
      <c r="A53" s="108"/>
      <c r="B53" s="108"/>
      <c r="C53" s="108"/>
      <c r="D53" s="108"/>
      <c r="E53" s="108"/>
      <c r="F53" s="108"/>
      <c r="G53" s="108"/>
      <c r="H53" s="108"/>
    </row>
    <row r="54" spans="1:9" s="36" customFormat="1" x14ac:dyDescent="0.25">
      <c r="A54" s="45"/>
      <c r="B54" s="45"/>
      <c r="C54" s="45"/>
      <c r="D54" s="45"/>
      <c r="E54" s="45"/>
      <c r="F54" s="45"/>
      <c r="G54" s="45"/>
      <c r="H54" s="45"/>
    </row>
    <row r="55" spans="1:9" s="36" customFormat="1" x14ac:dyDescent="0.25">
      <c r="A55" s="93"/>
      <c r="B55" s="93"/>
      <c r="C55" s="93"/>
      <c r="D55" s="93"/>
      <c r="E55" s="93"/>
      <c r="F55" s="93"/>
      <c r="G55" s="93"/>
      <c r="H55" s="93"/>
      <c r="I55" s="93"/>
    </row>
    <row r="58" spans="1:9" x14ac:dyDescent="0.25">
      <c r="A58" s="32" t="s">
        <v>77</v>
      </c>
      <c r="B58" s="32"/>
      <c r="C58" s="32"/>
    </row>
    <row r="59" spans="1:9" x14ac:dyDescent="0.25">
      <c r="A59" s="34" t="s">
        <v>56</v>
      </c>
      <c r="B59" s="34" t="s">
        <v>57</v>
      </c>
      <c r="C59" s="34" t="s">
        <v>58</v>
      </c>
    </row>
    <row r="60" spans="1:9" x14ac:dyDescent="0.25">
      <c r="A60" s="28"/>
      <c r="B60" s="28"/>
      <c r="C60" s="28"/>
    </row>
    <row r="61" spans="1:9" x14ac:dyDescent="0.25">
      <c r="A61" s="28"/>
      <c r="B61" s="28"/>
      <c r="C61" s="28"/>
    </row>
    <row r="62" spans="1:9" x14ac:dyDescent="0.25">
      <c r="A62" s="28"/>
      <c r="B62" s="28"/>
      <c r="C62" s="28"/>
    </row>
    <row r="63" spans="1:9" x14ac:dyDescent="0.25">
      <c r="A63" s="28"/>
      <c r="B63" s="28"/>
      <c r="C63" s="28"/>
    </row>
    <row r="64" spans="1:9" x14ac:dyDescent="0.25">
      <c r="A64" s="28"/>
      <c r="B64" s="28"/>
      <c r="C64" s="28"/>
    </row>
    <row r="65" spans="1:9" x14ac:dyDescent="0.25">
      <c r="A65" s="28"/>
      <c r="B65" s="28"/>
      <c r="C65" s="28"/>
    </row>
    <row r="66" spans="1:9" x14ac:dyDescent="0.25">
      <c r="A66" s="28"/>
      <c r="B66" s="28"/>
      <c r="C66" s="28"/>
    </row>
    <row r="67" spans="1:9" x14ac:dyDescent="0.25">
      <c r="A67" s="28"/>
      <c r="B67" s="28"/>
      <c r="C67" s="28"/>
    </row>
    <row r="68" spans="1:9" x14ac:dyDescent="0.25">
      <c r="A68" s="28"/>
      <c r="B68" s="28"/>
      <c r="C68" s="28"/>
    </row>
    <row r="69" spans="1:9" x14ac:dyDescent="0.25">
      <c r="A69" s="28"/>
      <c r="B69" s="28"/>
      <c r="C69" s="28"/>
    </row>
    <row r="70" spans="1:9" x14ac:dyDescent="0.25">
      <c r="A70" s="28"/>
      <c r="B70" s="28"/>
      <c r="C70" s="28"/>
    </row>
    <row r="71" spans="1:9" x14ac:dyDescent="0.25">
      <c r="A71" s="28"/>
      <c r="B71" s="28"/>
      <c r="C71" s="28"/>
    </row>
    <row r="72" spans="1:9" x14ac:dyDescent="0.25">
      <c r="A72" s="28"/>
      <c r="B72" s="28"/>
      <c r="C72" s="28"/>
    </row>
    <row r="73" spans="1:9" x14ac:dyDescent="0.25">
      <c r="A73" s="28"/>
      <c r="B73" s="28"/>
      <c r="C73" s="28"/>
    </row>
    <row r="74" spans="1:9" x14ac:dyDescent="0.25">
      <c r="A74" s="28"/>
      <c r="B74" s="28"/>
      <c r="C74" s="28"/>
    </row>
    <row r="75" spans="1:9" x14ac:dyDescent="0.25">
      <c r="A75" s="28"/>
      <c r="B75" s="28"/>
      <c r="C75" s="28"/>
    </row>
    <row r="76" spans="1:9" x14ac:dyDescent="0.25">
      <c r="A76" s="28"/>
      <c r="B76" s="28"/>
      <c r="C76" s="28"/>
    </row>
    <row r="79" spans="1:9" s="36" customFormat="1" x14ac:dyDescent="0.25">
      <c r="A79" s="93"/>
      <c r="B79" s="93"/>
      <c r="C79" s="93"/>
      <c r="D79" s="93"/>
      <c r="E79" s="93"/>
      <c r="F79" s="93"/>
      <c r="G79" s="93"/>
      <c r="H79" s="93"/>
      <c r="I79" s="93"/>
    </row>
    <row r="80" spans="1:9" x14ac:dyDescent="0.25">
      <c r="H80" s="32" t="s">
        <v>82</v>
      </c>
    </row>
    <row r="81" spans="1:3" x14ac:dyDescent="0.25">
      <c r="A81" s="32" t="s">
        <v>78</v>
      </c>
    </row>
    <row r="82" spans="1:3" x14ac:dyDescent="0.25">
      <c r="A82" s="62" t="s">
        <v>79</v>
      </c>
    </row>
    <row r="84" spans="1:3" ht="30" x14ac:dyDescent="0.25">
      <c r="A84" s="50" t="s">
        <v>1</v>
      </c>
      <c r="B84" s="15" t="s">
        <v>80</v>
      </c>
      <c r="C84" s="50" t="s">
        <v>81</v>
      </c>
    </row>
    <row r="85" spans="1:3" x14ac:dyDescent="0.25">
      <c r="A85" s="28"/>
      <c r="B85" s="28"/>
      <c r="C85" s="28"/>
    </row>
    <row r="86" spans="1:3" x14ac:dyDescent="0.25">
      <c r="A86" s="28"/>
      <c r="B86" s="28"/>
      <c r="C86" s="28"/>
    </row>
    <row r="87" spans="1:3" x14ac:dyDescent="0.25">
      <c r="A87" s="28"/>
      <c r="B87" s="28"/>
      <c r="C87" s="28"/>
    </row>
    <row r="88" spans="1:3" x14ac:dyDescent="0.25">
      <c r="A88" s="28"/>
      <c r="B88" s="28"/>
      <c r="C88" s="28"/>
    </row>
    <row r="89" spans="1:3" x14ac:dyDescent="0.25">
      <c r="A89" s="28"/>
      <c r="B89" s="28"/>
      <c r="C89" s="28"/>
    </row>
    <row r="90" spans="1:3" x14ac:dyDescent="0.25">
      <c r="A90" s="28"/>
      <c r="B90" s="28"/>
      <c r="C90" s="28"/>
    </row>
    <row r="91" spans="1:3" x14ac:dyDescent="0.25">
      <c r="A91" s="28"/>
      <c r="B91" s="28"/>
      <c r="C91" s="28"/>
    </row>
    <row r="92" spans="1:3" x14ac:dyDescent="0.25">
      <c r="A92" s="28"/>
      <c r="B92" s="28"/>
      <c r="C92" s="28"/>
    </row>
    <row r="93" spans="1:3" x14ac:dyDescent="0.25">
      <c r="A93" s="28"/>
      <c r="B93" s="28"/>
      <c r="C93" s="28"/>
    </row>
    <row r="94" spans="1:3" x14ac:dyDescent="0.25">
      <c r="A94" s="28"/>
      <c r="B94" s="28"/>
      <c r="C94" s="28"/>
    </row>
    <row r="95" spans="1:3" x14ac:dyDescent="0.25">
      <c r="A95" s="28"/>
      <c r="B95" s="28"/>
      <c r="C95" s="28"/>
    </row>
    <row r="96" spans="1:3" x14ac:dyDescent="0.25">
      <c r="A96" s="28"/>
      <c r="B96" s="28"/>
      <c r="C96" s="28"/>
    </row>
  </sheetData>
  <mergeCells count="47">
    <mergeCell ref="A3:E3"/>
    <mergeCell ref="A4:E4"/>
    <mergeCell ref="A27:B27"/>
    <mergeCell ref="A28:B28"/>
    <mergeCell ref="A29:B29"/>
    <mergeCell ref="B18:B19"/>
    <mergeCell ref="A22:C22"/>
    <mergeCell ref="B12:B13"/>
    <mergeCell ref="B14:B15"/>
    <mergeCell ref="B16:B17"/>
    <mergeCell ref="C27:F27"/>
    <mergeCell ref="C28:F28"/>
    <mergeCell ref="C29:F29"/>
    <mergeCell ref="A6:C6"/>
    <mergeCell ref="A8:F8"/>
    <mergeCell ref="A24:I24"/>
    <mergeCell ref="C30:F30"/>
    <mergeCell ref="A30:B30"/>
    <mergeCell ref="G40:H40"/>
    <mergeCell ref="A41:C42"/>
    <mergeCell ref="A43:C44"/>
    <mergeCell ref="G42:H42"/>
    <mergeCell ref="A40:C40"/>
    <mergeCell ref="G44:H44"/>
    <mergeCell ref="D40:E40"/>
    <mergeCell ref="G41:H41"/>
    <mergeCell ref="D43:E43"/>
    <mergeCell ref="D44:E44"/>
    <mergeCell ref="D41:E41"/>
    <mergeCell ref="D42:E42"/>
    <mergeCell ref="A35:I35"/>
    <mergeCell ref="A33:C33"/>
    <mergeCell ref="A79:I79"/>
    <mergeCell ref="A55:I55"/>
    <mergeCell ref="G45:H45"/>
    <mergeCell ref="A45:C46"/>
    <mergeCell ref="G43:H43"/>
    <mergeCell ref="G46:H46"/>
    <mergeCell ref="D46:E46"/>
    <mergeCell ref="D45:E45"/>
    <mergeCell ref="A49:H50"/>
    <mergeCell ref="A52:H53"/>
    <mergeCell ref="D48:E48"/>
    <mergeCell ref="A47:C48"/>
    <mergeCell ref="G47:H47"/>
    <mergeCell ref="G48:H48"/>
    <mergeCell ref="D47:E47"/>
  </mergeCells>
  <pageMargins left="0.7" right="0.7" top="0.75" bottom="0.75" header="0.3" footer="0.3"/>
  <pageSetup scale="63" orientation="landscape" r:id="rId1"/>
  <rowBreaks count="2" manualBreakCount="2">
    <brk id="35" max="16383" man="1"/>
    <brk id="7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Tables 1-5</vt:lpstr>
      <vt:lpstr>Tables 6-10</vt:lpstr>
      <vt:lpstr>Sheet3</vt:lpstr>
      <vt:lpstr>'Tables 1-5'!Print_Area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Tipton</dc:creator>
  <cp:lastModifiedBy>Anna Owens</cp:lastModifiedBy>
  <cp:lastPrinted>2012-11-20T15:32:03Z</cp:lastPrinted>
  <dcterms:created xsi:type="dcterms:W3CDTF">2012-10-12T20:07:28Z</dcterms:created>
  <dcterms:modified xsi:type="dcterms:W3CDTF">2012-11-20T21:34:40Z</dcterms:modified>
</cp:coreProperties>
</file>