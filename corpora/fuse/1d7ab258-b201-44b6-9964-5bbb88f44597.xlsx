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5180" windowHeight="65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R20" i="1"/>
  <c r="P29"/>
  <c r="Q29"/>
  <c r="P30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Q9"/>
  <c r="P8"/>
  <c r="R27"/>
  <c r="P7"/>
  <c r="P6"/>
  <c r="P5"/>
  <c r="Q5"/>
  <c r="P4"/>
  <c r="P3"/>
  <c r="R18"/>
  <c r="Q7"/>
  <c r="R25"/>
  <c r="R29"/>
  <c r="Q11"/>
  <c r="Q13"/>
  <c r="Q15"/>
  <c r="Q17"/>
  <c r="Q19"/>
  <c r="Q21"/>
  <c r="Q23"/>
  <c r="Q25"/>
  <c r="Q27"/>
  <c r="Q3"/>
  <c r="R22"/>
</calcChain>
</file>

<file path=xl/comments1.xml><?xml version="1.0" encoding="utf-8"?>
<comments xmlns="http://schemas.openxmlformats.org/spreadsheetml/2006/main">
  <authors>
    <author>PCCDUser</author>
  </authors>
  <commentList>
    <comment ref="Q11" authorId="0">
      <text>
        <r>
          <rPr>
            <b/>
            <sz val="8"/>
            <color indexed="81"/>
            <rFont val="Tahoma"/>
            <family val="2"/>
          </rPr>
          <t>PCCDUser: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<sst xmlns="http://schemas.openxmlformats.org/spreadsheetml/2006/main" count="64" uniqueCount="35">
  <si>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</si>
  <si>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</si>
  <si>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</si>
  <si>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</si>
  <si>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</si>
  <si>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</si>
  <si>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</si>
  <si>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</si>
  <si>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</si>
  <si>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</si>
  <si>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</si>
  <si>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</si>
  <si>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Victims</t>
  </si>
  <si>
    <t>CRIME TYPE</t>
  </si>
  <si>
    <t>Totals</t>
  </si>
  <si>
    <t>1. ARSON</t>
  </si>
  <si>
    <t xml:space="preserve">CLIENTS SERVED </t>
  </si>
  <si>
    <t>Significant Others</t>
  </si>
  <si>
    <t>Grand Total</t>
  </si>
  <si>
    <t>Combined</t>
  </si>
  <si>
    <t>2. ASSAULT</t>
  </si>
  <si>
    <t>3. ASSAULT DV</t>
  </si>
  <si>
    <t>4. BURGLARY</t>
  </si>
  <si>
    <t>5. CHILD ABUSE</t>
  </si>
  <si>
    <t>6. CHILD ABUSE DV</t>
  </si>
  <si>
    <t>7. DUI CRASH</t>
  </si>
  <si>
    <t>8. HOMICIDE</t>
  </si>
  <si>
    <t>9. HOMICIDE DV</t>
  </si>
  <si>
    <t>10. ROBBERY</t>
  </si>
  <si>
    <t>11. SEXUAL ASSAULT</t>
  </si>
  <si>
    <t>12. SEXUAL ASSAULT DV</t>
  </si>
  <si>
    <t>13. OTHER VEHICULAR</t>
  </si>
  <si>
    <t>14. OTHER CRIMES</t>
  </si>
  <si>
    <t>DV Vitcims</t>
  </si>
  <si>
    <t>DV Significant Others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</si>
</sst>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4"/>
      <color theme="7" tint="-0.249977111117893"/>
      <name val="Calibri"/>
      <family val="2"/>
      <scheme val="minor"/>
    </font>
    <font>
      <b/>
      <i/>
      <sz val="14"/>
      <color rgb="FFC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i/>
      <sz val="14"/>
      <color rgb="FF7030A0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b/>
      <u/>
      <sz val="22"/>
      <color theme="7" tint="-0.249977111117893"/>
      <name val="Calibri"/>
      <family val="2"/>
      <scheme val="minor"/>
    </font>
    <font>
      <b/>
      <i/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medium">
        <color theme="7" tint="-0.24994659260841701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-0.24994659260841701"/>
      </top>
      <bottom style="thin">
        <color theme="7" tint="0.39994506668294322"/>
      </bottom>
      <diagonal/>
    </border>
    <border>
      <left style="medium">
        <color theme="0"/>
      </left>
      <right style="medium">
        <color theme="0"/>
      </right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0"/>
      </left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-0.24994659260841701"/>
      </top>
      <bottom/>
      <diagonal/>
    </border>
    <border>
      <left style="thin">
        <color theme="7" tint="0.39994506668294322"/>
      </left>
      <right style="thin">
        <color theme="7" tint="0.39994506668294322"/>
      </right>
      <top/>
      <bottom style="medium">
        <color theme="7" tint="-0.24994659260841701"/>
      </bottom>
      <diagonal/>
    </border>
    <border>
      <left style="thin">
        <color theme="7" tint="0.39994506668294322"/>
      </left>
      <right style="medium">
        <color theme="7" tint="-0.24994659260841701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-0.24994659260841701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-0.24994659260841701"/>
      </right>
      <top style="medium">
        <color theme="7" tint="-0.24994659260841701"/>
      </top>
      <bottom/>
      <diagonal/>
    </border>
    <border>
      <left style="thin">
        <color theme="7" tint="0.39994506668294322"/>
      </left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theme="7" tint="0.39994506668294322"/>
      </left>
      <right style="medium">
        <color theme="7" tint="-0.24994659260841701"/>
      </right>
      <top style="medium">
        <color theme="7" tint="-0.24994659260841701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-0.24994659260841701"/>
      </right>
      <top style="thin">
        <color theme="7" tint="0.39994506668294322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-0.24994659260841701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-0.24994659260841701"/>
      </left>
      <right style="thin">
        <color theme="7" tint="0.39994506668294322"/>
      </right>
      <top style="medium">
        <color theme="7" tint="-0.24994659260841701"/>
      </top>
      <bottom style="thin">
        <color theme="7" tint="0.39994506668294322"/>
      </bottom>
      <diagonal/>
    </border>
    <border>
      <left style="medium">
        <color theme="7" tint="-0.24994659260841701"/>
      </left>
      <right style="thin">
        <color theme="7" tint="0.39994506668294322"/>
      </right>
      <top style="thin">
        <color theme="7" tint="0.39994506668294322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medium">
        <color theme="0"/>
      </right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thin">
        <color theme="7" tint="0.39994506668294322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 style="thin">
        <color theme="7" tint="0.39994506668294322"/>
      </right>
      <top/>
      <bottom style="medium">
        <color theme="7" tint="-0.2499465926084170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3" xfId="0" applyFill="1" applyBorder="1"/>
    <xf numFmtId="0" fontId="4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0" fillId="2" borderId="4" xfId="0" applyFill="1" applyBorder="1"/>
    <xf numFmtId="0" fontId="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2" xfId="0" applyFill="1" applyBorder="1"/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/>
    <xf numFmtId="0" fontId="5" fillId="2" borderId="8" xfId="0" applyFont="1" applyFill="1" applyBorder="1" applyAlignment="1">
      <alignment horizontal="center"/>
    </xf>
    <xf numFmtId="0" fontId="0" fillId="2" borderId="8" xfId="0" applyFill="1" applyBorder="1"/>
    <xf numFmtId="0" fontId="4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0" fillId="2" borderId="9" xfId="0" applyFill="1" applyBorder="1"/>
    <xf numFmtId="0" fontId="4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zoomScaleNormal="100" workbookViewId="0">
      <selection activeCell="C3" sqref="C3"/>
    </sheetView>
  </sheetViews>
  <sheetFormatPr defaultRowHeight="15"/>
  <cols>
    <col min="1" max="1" width="23.5703125" style="5" bestFit="1" customWidth="1"/>
    <col min="2" max="2" width="10.5703125" style="2" bestFit="1" customWidth="1"/>
    <col min="3" max="3" width="16.85546875" bestFit="1" customWidth="1"/>
    <col min="4" max="15" width="10.140625" style="1" customWidth="1"/>
    <col min="16" max="16" width="10.140625" style="8" customWidth="1"/>
    <col min="17" max="17" width="10.28515625" bestFit="1" customWidth="1"/>
    <col min="18" max="18" width="22.5703125" style="26" customWidth="1"/>
    <col min="19" max="19" width="9.85546875" hidden="1" customWidth="1"/>
    <col min="20" max="20" width="16.28515625" style="26" customWidth="1"/>
  </cols>
  <sheetData>
    <row r="1" spans="1:20" ht="30" customHeight="1" thickBot="1">
      <c r="A1" s="64" t="s">
        <v>16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20" s="31" customFormat="1" ht="20.100000000000001" customHeight="1" thickBot="1">
      <c r="A2" s="69" t="s">
        <v>13</v>
      </c>
      <c r="B2" s="70"/>
      <c r="C2" s="70"/>
      <c r="D2" s="28" t="s">
        <v>0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8</v>
      </c>
      <c r="M2" s="28" t="s">
        <v>9</v>
      </c>
      <c r="N2" s="28" t="s">
        <v>10</v>
      </c>
      <c r="O2" s="28" t="s">
        <v>11</v>
      </c>
      <c r="P2" s="29" t="s">
        <v>14</v>
      </c>
      <c r="Q2" s="30" t="s">
        <v>19</v>
      </c>
      <c r="R2" s="32"/>
      <c r="T2" s="32"/>
    </row>
    <row r="3" spans="1:20" ht="18.75" customHeight="1">
      <c r="A3" s="65" t="s">
        <v>15</v>
      </c>
      <c r="B3" s="10">
        <v>1.1000000000000001</v>
      </c>
      <c r="C3" s="11" t="s">
        <v>12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>
        <f t="shared" ref="P3:P30" si="0">SUM(D3:O3)</f>
        <v>0</v>
      </c>
      <c r="Q3" s="55">
        <f>SUM(P3:P4)</f>
        <v>0</v>
      </c>
    </row>
    <row r="4" spans="1:20" ht="18.75" customHeight="1" thickBot="1">
      <c r="A4" s="66"/>
      <c r="B4" s="18">
        <v>1.2</v>
      </c>
      <c r="C4" s="19" t="s">
        <v>17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>
        <f t="shared" si="0"/>
        <v>0</v>
      </c>
      <c r="Q4" s="56"/>
    </row>
    <row r="5" spans="1:20" ht="18.75" customHeight="1">
      <c r="A5" s="67" t="s">
        <v>20</v>
      </c>
      <c r="B5" s="33">
        <v>2.1</v>
      </c>
      <c r="C5" s="34" t="s">
        <v>12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>
        <f t="shared" si="0"/>
        <v>0</v>
      </c>
      <c r="Q5" s="62">
        <f>SUM(P5:P6)</f>
        <v>0</v>
      </c>
    </row>
    <row r="6" spans="1:20" ht="18.75" customHeight="1" thickBot="1">
      <c r="A6" s="68"/>
      <c r="B6" s="37">
        <v>2.2000000000000002</v>
      </c>
      <c r="C6" s="38" t="s">
        <v>17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>
        <f t="shared" si="0"/>
        <v>0</v>
      </c>
      <c r="Q6" s="63"/>
    </row>
    <row r="7" spans="1:20" ht="18.75" customHeight="1">
      <c r="A7" s="71" t="s">
        <v>21</v>
      </c>
      <c r="B7" s="22">
        <v>3.1</v>
      </c>
      <c r="C7" s="23" t="s">
        <v>12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5">
        <f t="shared" si="0"/>
        <v>0</v>
      </c>
      <c r="Q7" s="60">
        <f>SUM(P7:P8)</f>
        <v>0</v>
      </c>
    </row>
    <row r="8" spans="1:20" ht="18.75" customHeight="1" thickBot="1">
      <c r="A8" s="72"/>
      <c r="B8" s="14">
        <v>3.2</v>
      </c>
      <c r="C8" s="15" t="s">
        <v>17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>
        <f t="shared" si="0"/>
        <v>0</v>
      </c>
      <c r="Q8" s="61"/>
    </row>
    <row r="9" spans="1:20" ht="18.75" customHeight="1">
      <c r="A9" s="67" t="s">
        <v>22</v>
      </c>
      <c r="B9" s="10">
        <v>4.0999999999999996</v>
      </c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>
        <f t="shared" si="0"/>
        <v>0</v>
      </c>
      <c r="Q9" s="55">
        <f>SUM(P9:P10)</f>
        <v>0</v>
      </c>
    </row>
    <row r="10" spans="1:20" s="3" customFormat="1" ht="18.75" customHeight="1" thickBot="1">
      <c r="A10" s="66"/>
      <c r="B10" s="18">
        <v>4.2</v>
      </c>
      <c r="C10" s="19" t="s">
        <v>17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>
        <f t="shared" si="0"/>
        <v>0</v>
      </c>
      <c r="Q10" s="56"/>
      <c r="R10" s="41"/>
      <c r="T10" s="41"/>
    </row>
    <row r="11" spans="1:20" s="3" customFormat="1" ht="18.75" customHeight="1">
      <c r="A11" s="67" t="s">
        <v>23</v>
      </c>
      <c r="B11" s="33">
        <v>5.0999999999999996</v>
      </c>
      <c r="C11" s="34" t="s">
        <v>12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>
        <f t="shared" si="0"/>
        <v>0</v>
      </c>
      <c r="Q11" s="62">
        <f>SUM(P11:P12)</f>
        <v>0</v>
      </c>
      <c r="R11" s="41"/>
      <c r="T11" s="41"/>
    </row>
    <row r="12" spans="1:20" ht="18.75" customHeight="1" thickBot="1">
      <c r="A12" s="68"/>
      <c r="B12" s="37">
        <v>5.2</v>
      </c>
      <c r="C12" s="38" t="s">
        <v>17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>
        <f t="shared" si="0"/>
        <v>0</v>
      </c>
      <c r="Q12" s="63"/>
    </row>
    <row r="13" spans="1:20" ht="18.75" customHeight="1">
      <c r="A13" s="71" t="s">
        <v>24</v>
      </c>
      <c r="B13" s="22">
        <v>6.1</v>
      </c>
      <c r="C13" s="23" t="s">
        <v>12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>
        <f t="shared" si="0"/>
        <v>0</v>
      </c>
      <c r="Q13" s="60">
        <f>SUM(P13:P14)</f>
        <v>0</v>
      </c>
    </row>
    <row r="14" spans="1:20" ht="18.75" customHeight="1" thickBot="1">
      <c r="A14" s="72"/>
      <c r="B14" s="14">
        <v>6.2</v>
      </c>
      <c r="C14" s="15" t="s">
        <v>17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>
        <f t="shared" si="0"/>
        <v>0</v>
      </c>
      <c r="Q14" s="61"/>
    </row>
    <row r="15" spans="1:20" ht="18.75" customHeight="1">
      <c r="A15" s="65" t="s">
        <v>25</v>
      </c>
      <c r="B15" s="10">
        <v>7.1</v>
      </c>
      <c r="C15" s="11" t="s">
        <v>12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>
        <f t="shared" si="0"/>
        <v>0</v>
      </c>
      <c r="Q15" s="55">
        <f>SUM(P15:P16)</f>
        <v>0</v>
      </c>
    </row>
    <row r="16" spans="1:20" ht="18.75" customHeight="1" thickBot="1">
      <c r="A16" s="66"/>
      <c r="B16" s="18">
        <v>7.2</v>
      </c>
      <c r="C16" s="19" t="s">
        <v>17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>
        <f t="shared" si="0"/>
        <v>0</v>
      </c>
      <c r="Q16" s="56"/>
    </row>
    <row r="17" spans="1:20" s="3" customFormat="1" ht="18.75" customHeight="1">
      <c r="A17" s="67" t="s">
        <v>26</v>
      </c>
      <c r="B17" s="33">
        <v>8.1</v>
      </c>
      <c r="C17" s="34" t="s">
        <v>12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>
        <f t="shared" si="0"/>
        <v>0</v>
      </c>
      <c r="Q17" s="62">
        <f>SUM(P17:P18)</f>
        <v>0</v>
      </c>
      <c r="R17" s="42" t="s">
        <v>12</v>
      </c>
      <c r="S17" s="43"/>
      <c r="T17" s="41"/>
    </row>
    <row r="18" spans="1:20" ht="18.75" customHeight="1" thickBot="1">
      <c r="A18" s="68"/>
      <c r="B18" s="37">
        <v>8.1999999999999993</v>
      </c>
      <c r="C18" s="38" t="s">
        <v>17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>
        <f t="shared" si="0"/>
        <v>0</v>
      </c>
      <c r="Q18" s="63"/>
      <c r="R18" s="59">
        <f>SUM(P3,P5,P9,P11,P15,P17,P21,P23,P27,P29)</f>
        <v>0</v>
      </c>
      <c r="S18" s="59"/>
    </row>
    <row r="19" spans="1:20" ht="18.75" customHeight="1">
      <c r="A19" s="71" t="s">
        <v>27</v>
      </c>
      <c r="B19" s="22">
        <v>9.1</v>
      </c>
      <c r="C19" s="23" t="s">
        <v>12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>
        <f t="shared" si="0"/>
        <v>0</v>
      </c>
      <c r="Q19" s="60">
        <f>SUM(P19:P20)</f>
        <v>0</v>
      </c>
      <c r="R19" s="54" t="s">
        <v>17</v>
      </c>
      <c r="S19" s="54"/>
    </row>
    <row r="20" spans="1:20" ht="18.75" customHeight="1" thickBot="1">
      <c r="A20" s="72"/>
      <c r="B20" s="14">
        <v>9.1999999999999993</v>
      </c>
      <c r="C20" s="15" t="s">
        <v>17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>
        <f t="shared" si="0"/>
        <v>0</v>
      </c>
      <c r="Q20" s="61"/>
      <c r="R20" s="59">
        <f>SUM(P4,P6,P10,P12,P16,P18,P22,P24,P28,P30)</f>
        <v>0</v>
      </c>
      <c r="S20" s="59"/>
    </row>
    <row r="21" spans="1:20" s="3" customFormat="1" ht="18.75" customHeight="1">
      <c r="A21" s="65" t="s">
        <v>28</v>
      </c>
      <c r="B21" s="10">
        <v>10.1</v>
      </c>
      <c r="C21" s="11" t="s">
        <v>12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>
        <f t="shared" si="0"/>
        <v>0</v>
      </c>
      <c r="Q21" s="55">
        <f>SUM(P21:P22)</f>
        <v>0</v>
      </c>
      <c r="R21" s="54" t="s">
        <v>18</v>
      </c>
      <c r="S21" s="54"/>
      <c r="T21" s="41"/>
    </row>
    <row r="22" spans="1:20" s="3" customFormat="1" ht="18.75" customHeight="1" thickBot="1">
      <c r="A22" s="66"/>
      <c r="B22" s="18">
        <v>10.199999999999999</v>
      </c>
      <c r="C22" s="19" t="s">
        <v>17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>
        <f t="shared" si="0"/>
        <v>0</v>
      </c>
      <c r="Q22" s="56"/>
      <c r="R22" s="59">
        <f>SUM(R18,R20)</f>
        <v>0</v>
      </c>
      <c r="S22" s="59"/>
      <c r="T22" s="41"/>
    </row>
    <row r="23" spans="1:20" s="3" customFormat="1" ht="18.75" customHeight="1">
      <c r="A23" s="67" t="s">
        <v>29</v>
      </c>
      <c r="B23" s="33">
        <v>11.1</v>
      </c>
      <c r="C23" s="34" t="s">
        <v>12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>
        <f t="shared" si="0"/>
        <v>0</v>
      </c>
      <c r="Q23" s="62">
        <f>SUM(P23:P24)</f>
        <v>0</v>
      </c>
      <c r="T23" s="41"/>
    </row>
    <row r="24" spans="1:20" ht="18.75" customHeight="1" thickBot="1">
      <c r="A24" s="68"/>
      <c r="B24" s="37">
        <v>11.2</v>
      </c>
      <c r="C24" s="38" t="s">
        <v>17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40">
        <f t="shared" si="0"/>
        <v>0</v>
      </c>
      <c r="Q24" s="63"/>
      <c r="R24" s="53" t="s">
        <v>33</v>
      </c>
    </row>
    <row r="25" spans="1:20" ht="18.75" customHeight="1">
      <c r="A25" s="71" t="s">
        <v>30</v>
      </c>
      <c r="B25" s="22">
        <v>12.1</v>
      </c>
      <c r="C25" s="23" t="s">
        <v>12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>
        <f t="shared" si="0"/>
        <v>0</v>
      </c>
      <c r="Q25" s="60">
        <f>SUM(P25:P26)</f>
        <v>0</v>
      </c>
      <c r="R25" s="27">
        <f>SUM(P7,P13,P19,P25)</f>
        <v>0</v>
      </c>
    </row>
    <row r="26" spans="1:20" ht="18.75" customHeight="1" thickBot="1">
      <c r="A26" s="72"/>
      <c r="B26" s="14">
        <v>12.2</v>
      </c>
      <c r="C26" s="15" t="s">
        <v>17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>
        <f t="shared" si="0"/>
        <v>0</v>
      </c>
      <c r="Q26" s="61"/>
      <c r="R26" s="53" t="s">
        <v>34</v>
      </c>
    </row>
    <row r="27" spans="1:20" ht="18.75" customHeight="1">
      <c r="A27" s="65" t="s">
        <v>31</v>
      </c>
      <c r="B27" s="10">
        <v>13.1</v>
      </c>
      <c r="C27" s="11" t="s">
        <v>12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>
        <f t="shared" si="0"/>
        <v>0</v>
      </c>
      <c r="Q27" s="55">
        <f>SUM(P27:P28)</f>
        <v>0</v>
      </c>
      <c r="R27" s="27">
        <f>SUM(P8,P14, P20, P26)</f>
        <v>0</v>
      </c>
    </row>
    <row r="28" spans="1:20" ht="18.75" customHeight="1" thickBot="1">
      <c r="A28" s="66"/>
      <c r="B28" s="18">
        <v>13.2</v>
      </c>
      <c r="C28" s="19" t="s">
        <v>17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>
        <f t="shared" si="0"/>
        <v>0</v>
      </c>
      <c r="Q28" s="56"/>
      <c r="R28" s="53" t="s">
        <v>18</v>
      </c>
    </row>
    <row r="29" spans="1:20" s="3" customFormat="1" ht="18.75" customHeight="1">
      <c r="A29" s="73" t="s">
        <v>32</v>
      </c>
      <c r="B29" s="44">
        <v>14.1</v>
      </c>
      <c r="C29" s="45" t="s">
        <v>12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7">
        <f t="shared" si="0"/>
        <v>0</v>
      </c>
      <c r="Q29" s="57">
        <f>SUM(P29:P30)</f>
        <v>0</v>
      </c>
      <c r="R29" s="52">
        <f>SUM(R25,R27)</f>
        <v>0</v>
      </c>
      <c r="T29" s="41"/>
    </row>
    <row r="30" spans="1:20" s="3" customFormat="1" ht="18.75" customHeight="1" thickBot="1">
      <c r="A30" s="74"/>
      <c r="B30" s="48">
        <v>14.2</v>
      </c>
      <c r="C30" s="49" t="s">
        <v>17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>
        <f t="shared" si="0"/>
        <v>0</v>
      </c>
      <c r="Q30" s="58"/>
      <c r="R30" s="52"/>
      <c r="T30" s="41"/>
    </row>
    <row r="31" spans="1:20">
      <c r="A31" s="6"/>
      <c r="B31" s="9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"/>
    </row>
    <row r="32" spans="1:20">
      <c r="A32" s="6"/>
      <c r="B32" s="9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7"/>
    </row>
  </sheetData>
  <mergeCells count="35">
    <mergeCell ref="Q9:Q10"/>
    <mergeCell ref="Q11:Q12"/>
    <mergeCell ref="A19:A20"/>
    <mergeCell ref="R18:S18"/>
    <mergeCell ref="A29:A30"/>
    <mergeCell ref="A27:A28"/>
    <mergeCell ref="A25:A26"/>
    <mergeCell ref="A23:A24"/>
    <mergeCell ref="A21:A22"/>
    <mergeCell ref="A1:P1"/>
    <mergeCell ref="Q17:Q18"/>
    <mergeCell ref="A3:A4"/>
    <mergeCell ref="A5:A6"/>
    <mergeCell ref="A2:C2"/>
    <mergeCell ref="Q3:Q4"/>
    <mergeCell ref="A17:A18"/>
    <mergeCell ref="A7:A8"/>
    <mergeCell ref="A9:A10"/>
    <mergeCell ref="A11:A12"/>
    <mergeCell ref="A13:A14"/>
    <mergeCell ref="Q13:Q14"/>
    <mergeCell ref="Q15:Q16"/>
    <mergeCell ref="A15:A16"/>
    <mergeCell ref="Q5:Q6"/>
    <mergeCell ref="Q7:Q8"/>
    <mergeCell ref="R19:S19"/>
    <mergeCell ref="R21:S21"/>
    <mergeCell ref="Q27:Q28"/>
    <mergeCell ref="Q29:Q30"/>
    <mergeCell ref="R22:S22"/>
    <mergeCell ref="Q19:Q20"/>
    <mergeCell ref="Q21:Q22"/>
    <mergeCell ref="Q23:Q24"/>
    <mergeCell ref="Q25:Q26"/>
    <mergeCell ref="R20:S20"/>
  </mergeCells>
  <pageMargins left="0.7" right="0.7" top="0.1" bottom="0.1" header="0" footer="0"/>
  <pageSetup paperSize="5" scale="7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CROWN BOLT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Clients Served Spreadsheet</dc:title>
  <dc:creator>admin</dc:creator>
  <cp:lastModifiedBy>PCCDUser</cp:lastModifiedBy>
  <cp:lastPrinted>2010-11-22T17:48:28Z</cp:lastPrinted>
  <dcterms:created xsi:type="dcterms:W3CDTF">2010-11-20T23:07:37Z</dcterms:created>
  <dcterms:modified xsi:type="dcterms:W3CDTF">2011-01-13T19:59:35Z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-1094992107</vt:i4>
  </property>
  <property fmtid="{D5CDD505-2E9C-101B-9397-08002B2CF9AE}" pid="3" name="_NewReviewCycle">
    <vt:lpwstr/>
  </property>
  <property fmtid="{D5CDD505-2E9C-101B-9397-08002B2CF9AE}" pid="4" name="_EmailSubject">
    <vt:lpwstr>Please List on Webpage</vt:lpwstr>
  </property>
  <property fmtid="{D5CDD505-2E9C-101B-9397-08002B2CF9AE}" pid="5" name="_AuthorEmail">
    <vt:lpwstr>dpagan@state.pa.us</vt:lpwstr>
  </property>
  <property fmtid="{D5CDD505-2E9C-101B-9397-08002B2CF9AE}" pid="6" name="_AuthorEmailDisplayName">
    <vt:lpwstr>Pagan, Daisy</vt:lpwstr>
  </property>
  <property fmtid="{D5CDD505-2E9C-101B-9397-08002B2CF9AE}" pid="7" name="_ReviewingToolsShownOnce">
    <vt:lpwstr/>
  </property>
</Properties>
</file>