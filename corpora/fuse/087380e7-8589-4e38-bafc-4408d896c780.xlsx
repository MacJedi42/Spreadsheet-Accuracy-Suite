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198"/>
  </bookViews>
  <sheets>
    <sheet name="Totals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Q44" i="1" l="1"/>
  <c r="R14" i="1"/>
  <c r="S14" i="1"/>
  <c r="T14" i="1"/>
  <c r="U14" i="1"/>
  <c r="Q14" i="1"/>
  <c r="P6" i="1" l="1"/>
  <c r="P7" i="1"/>
  <c r="P8" i="1"/>
  <c r="P9" i="1"/>
  <c r="P10" i="1"/>
  <c r="P11" i="1"/>
  <c r="P12" i="1"/>
  <c r="P13" i="1"/>
  <c r="P14" i="1"/>
  <c r="P5" i="1"/>
  <c r="P21" i="1" l="1"/>
  <c r="P29" i="1"/>
  <c r="P27" i="1"/>
  <c r="P25" i="1"/>
  <c r="P23" i="1"/>
  <c r="P28" i="1"/>
  <c r="P26" i="1"/>
  <c r="P24" i="1"/>
  <c r="P22" i="1"/>
  <c r="B18" i="1"/>
  <c r="B32" i="1" s="1"/>
  <c r="E5" i="1"/>
  <c r="F5" i="1"/>
  <c r="G5" i="1"/>
  <c r="H5" i="1"/>
  <c r="I5" i="1"/>
  <c r="J5" i="1"/>
  <c r="K5" i="1"/>
  <c r="L5" i="1"/>
  <c r="M5" i="1"/>
  <c r="N5" i="1"/>
  <c r="O5" i="1"/>
  <c r="E6" i="1"/>
  <c r="F6" i="1"/>
  <c r="G6" i="1"/>
  <c r="H6" i="1"/>
  <c r="I6" i="1"/>
  <c r="J6" i="1"/>
  <c r="K6" i="1"/>
  <c r="L6" i="1"/>
  <c r="M6" i="1"/>
  <c r="N6" i="1"/>
  <c r="O6" i="1"/>
  <c r="E7" i="1"/>
  <c r="F7" i="1"/>
  <c r="G7" i="1"/>
  <c r="H7" i="1"/>
  <c r="I7" i="1"/>
  <c r="J7" i="1"/>
  <c r="K7" i="1"/>
  <c r="L7" i="1"/>
  <c r="M7" i="1"/>
  <c r="N7" i="1"/>
  <c r="O7" i="1"/>
  <c r="E8" i="1"/>
  <c r="F8" i="1"/>
  <c r="G8" i="1"/>
  <c r="H8" i="1"/>
  <c r="I8" i="1"/>
  <c r="J8" i="1"/>
  <c r="K8" i="1"/>
  <c r="L8" i="1"/>
  <c r="M8" i="1"/>
  <c r="N8" i="1"/>
  <c r="O8" i="1"/>
  <c r="E9" i="1"/>
  <c r="F9" i="1"/>
  <c r="G9" i="1"/>
  <c r="H9" i="1"/>
  <c r="I9" i="1"/>
  <c r="J9" i="1"/>
  <c r="K9" i="1"/>
  <c r="L9" i="1"/>
  <c r="M9" i="1"/>
  <c r="N9" i="1"/>
  <c r="O9" i="1"/>
  <c r="E10" i="1"/>
  <c r="F10" i="1"/>
  <c r="G10" i="1"/>
  <c r="H10" i="1"/>
  <c r="I10" i="1"/>
  <c r="J10" i="1"/>
  <c r="K10" i="1"/>
  <c r="L10" i="1"/>
  <c r="M10" i="1"/>
  <c r="N10" i="1"/>
  <c r="O10" i="1"/>
  <c r="E11" i="1"/>
  <c r="F11" i="1"/>
  <c r="G11" i="1"/>
  <c r="H11" i="1"/>
  <c r="I11" i="1"/>
  <c r="J11" i="1"/>
  <c r="K11" i="1"/>
  <c r="L11" i="1"/>
  <c r="M11" i="1"/>
  <c r="N11" i="1"/>
  <c r="O11" i="1"/>
  <c r="E12" i="1"/>
  <c r="F12" i="1"/>
  <c r="G12" i="1"/>
  <c r="H12" i="1"/>
  <c r="I12" i="1"/>
  <c r="J12" i="1"/>
  <c r="K12" i="1"/>
  <c r="L12" i="1"/>
  <c r="M12" i="1"/>
  <c r="N12" i="1"/>
  <c r="O12" i="1"/>
  <c r="E13" i="1"/>
  <c r="F13" i="1"/>
  <c r="G13" i="1"/>
  <c r="H13" i="1"/>
  <c r="I13" i="1"/>
  <c r="J13" i="1"/>
  <c r="K13" i="1"/>
  <c r="L13" i="1"/>
  <c r="M13" i="1"/>
  <c r="N13" i="1"/>
  <c r="O13" i="1"/>
  <c r="E14" i="1"/>
  <c r="F14" i="1"/>
  <c r="G14" i="1"/>
  <c r="H14" i="1"/>
  <c r="I14" i="1"/>
  <c r="J14" i="1"/>
  <c r="K14" i="1"/>
  <c r="L14" i="1"/>
  <c r="M14" i="1"/>
  <c r="N14" i="1"/>
  <c r="O14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C5" i="1"/>
  <c r="C21" i="1" s="1"/>
  <c r="D5" i="1"/>
  <c r="D21" i="1" s="1"/>
  <c r="B5" i="1"/>
  <c r="B21" i="1" l="1"/>
  <c r="D29" i="1"/>
  <c r="B29" i="1"/>
  <c r="C28" i="1"/>
  <c r="D27" i="1"/>
  <c r="B27" i="1"/>
  <c r="C26" i="1"/>
  <c r="D25" i="1"/>
  <c r="B25" i="1"/>
  <c r="C24" i="1"/>
  <c r="D23" i="1"/>
  <c r="B23" i="1"/>
  <c r="C22" i="1"/>
  <c r="N29" i="1"/>
  <c r="L29" i="1"/>
  <c r="J29" i="1"/>
  <c r="H29" i="1"/>
  <c r="F29" i="1"/>
  <c r="O28" i="1"/>
  <c r="M28" i="1"/>
  <c r="K28" i="1"/>
  <c r="I28" i="1"/>
  <c r="G28" i="1"/>
  <c r="E28" i="1"/>
  <c r="N27" i="1"/>
  <c r="L27" i="1"/>
  <c r="J27" i="1"/>
  <c r="H27" i="1"/>
  <c r="F27" i="1"/>
  <c r="O26" i="1"/>
  <c r="M26" i="1"/>
  <c r="K26" i="1"/>
  <c r="I26" i="1"/>
  <c r="G26" i="1"/>
  <c r="E26" i="1"/>
  <c r="N25" i="1"/>
  <c r="L25" i="1"/>
  <c r="J25" i="1"/>
  <c r="H25" i="1"/>
  <c r="F25" i="1"/>
  <c r="O24" i="1"/>
  <c r="M24" i="1"/>
  <c r="K24" i="1"/>
  <c r="I24" i="1"/>
  <c r="G24" i="1"/>
  <c r="E24" i="1"/>
  <c r="N23" i="1"/>
  <c r="L23" i="1"/>
  <c r="J23" i="1"/>
  <c r="H23" i="1"/>
  <c r="F23" i="1"/>
  <c r="O22" i="1"/>
  <c r="M22" i="1"/>
  <c r="K22" i="1"/>
  <c r="I22" i="1"/>
  <c r="G22" i="1"/>
  <c r="E22" i="1"/>
  <c r="N21" i="1"/>
  <c r="L21" i="1"/>
  <c r="J21" i="1"/>
  <c r="H21" i="1"/>
  <c r="F21" i="1"/>
  <c r="C29" i="1"/>
  <c r="D28" i="1"/>
  <c r="B28" i="1"/>
  <c r="C27" i="1"/>
  <c r="D26" i="1"/>
  <c r="B26" i="1"/>
  <c r="C25" i="1"/>
  <c r="D24" i="1"/>
  <c r="B24" i="1"/>
  <c r="C23" i="1"/>
  <c r="D22" i="1"/>
  <c r="B22" i="1"/>
  <c r="O29" i="1"/>
  <c r="M29" i="1"/>
  <c r="K29" i="1"/>
  <c r="I29" i="1"/>
  <c r="G29" i="1"/>
  <c r="E29" i="1"/>
  <c r="N28" i="1"/>
  <c r="L28" i="1"/>
  <c r="J28" i="1"/>
  <c r="H28" i="1"/>
  <c r="F28" i="1"/>
  <c r="O27" i="1"/>
  <c r="M27" i="1"/>
  <c r="K27" i="1"/>
  <c r="I27" i="1"/>
  <c r="G27" i="1"/>
  <c r="E27" i="1"/>
  <c r="N26" i="1"/>
  <c r="L26" i="1"/>
  <c r="J26" i="1"/>
  <c r="H26" i="1"/>
  <c r="F26" i="1"/>
  <c r="O25" i="1"/>
  <c r="M25" i="1"/>
  <c r="K25" i="1"/>
  <c r="I25" i="1"/>
  <c r="G25" i="1"/>
  <c r="E25" i="1"/>
  <c r="N24" i="1"/>
  <c r="L24" i="1"/>
  <c r="J24" i="1"/>
  <c r="H24" i="1"/>
  <c r="F24" i="1"/>
  <c r="O23" i="1"/>
  <c r="M23" i="1"/>
  <c r="K23" i="1"/>
  <c r="I23" i="1"/>
  <c r="G23" i="1"/>
  <c r="E23" i="1"/>
  <c r="N22" i="1"/>
  <c r="L22" i="1"/>
  <c r="J22" i="1"/>
  <c r="H22" i="1"/>
  <c r="F22" i="1"/>
  <c r="O21" i="1"/>
  <c r="M21" i="1"/>
  <c r="K21" i="1"/>
  <c r="I21" i="1"/>
  <c r="G21" i="1"/>
  <c r="E21" i="1"/>
</calcChain>
</file>

<file path=xl/sharedStrings.xml><?xml version="1.0" encoding="utf-8"?>
<sst xmlns="http://schemas.openxmlformats.org/spreadsheetml/2006/main" count="125" uniqueCount="49">
  <si>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</si>
  <si>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</si>
  <si>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</si>
  <si>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</si>
  <si>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</si>
  <si>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</si>
  <si>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</si>
  <si>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</si>
  <si>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</si>
  <si>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</si>
  <si>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</si>
  <si>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</si>
  <si>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</si>
  <si>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</si>
  <si>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</si>
  <si>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</si>
  <si>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</si>
  <si>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</si>
  <si>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</si>
  <si>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</si>
  <si>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</si>
  <si>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</si>
  <si>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</si>
  <si>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</si>
  <si>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</si>
  <si>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</si>
  <si>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</si>
  <si>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</si>
  <si>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</si>
  <si>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</si>
  <si>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</si>
  <si>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</si>
  <si>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</si>
  <si>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</si>
  <si>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</si>
  <si>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</si>
  <si>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</si>
  <si>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</si>
  <si>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</si>
  <si>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</si>
  <si>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I-15 Corridor / TEM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</si>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</sst>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/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8" fillId="0" borderId="0" xfId="0" applyFont="1" applyAlignment="1">
      <alignment vertical="center"/>
    </xf>
    <xf numFmtId="0" fontId="31" fillId="0" borderId="0" xfId="58" applyFont="1"/>
    <xf numFmtId="0" fontId="17" fillId="0" borderId="20" xfId="45" applyFont="1" applyBorder="1" applyAlignment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5" fontId="24" fillId="0" borderId="43" xfId="1" applyNumberFormat="1" applyFont="1" applyBorder="1" applyAlignment="1" applyProtection="1">
      <alignment horizontal="center" vertical="center"/>
    </xf>
    <xf numFmtId="165" fontId="24" fillId="0" borderId="42" xfId="1" applyNumberFormat="1" applyFont="1" applyBorder="1" applyAlignment="1" applyProtection="1">
      <alignment horizontal="center" vertical="center"/>
    </xf>
    <xf numFmtId="165" fontId="24" fillId="0" borderId="18" xfId="1" applyNumberFormat="1" applyFont="1" applyBorder="1" applyAlignment="1" applyProtection="1">
      <alignment horizontal="center" vertical="center"/>
    </xf>
    <xf numFmtId="0" fontId="17" fillId="0" borderId="45" xfId="45" applyFont="1" applyBorder="1" applyAlignment="1">
      <alignment horizontal="center" vertical="center"/>
    </xf>
    <xf numFmtId="0" fontId="26" fillId="0" borderId="21" xfId="47" applyFont="1" applyBorder="1" applyAlignment="1" applyProtection="1"/>
    <xf numFmtId="0" fontId="26" fillId="0" borderId="22" xfId="47" applyFont="1" applyBorder="1" applyAlignment="1" applyProtection="1"/>
    <xf numFmtId="0" fontId="26" fillId="0" borderId="25" xfId="47" applyFont="1" applyBorder="1" applyAlignment="1" applyProtection="1"/>
    <xf numFmtId="0" fontId="26" fillId="0" borderId="12" xfId="47" applyFont="1" applyFill="1" applyBorder="1" applyAlignment="1" applyProtection="1"/>
    <xf numFmtId="9" fontId="24" fillId="0" borderId="17" xfId="1" applyNumberFormat="1" applyFont="1" applyBorder="1" applyAlignment="1" applyProtection="1">
      <alignment horizontal="center" vertical="center"/>
    </xf>
    <xf numFmtId="0" fontId="26" fillId="0" borderId="29" xfId="47" applyFont="1" applyBorder="1" applyAlignment="1" applyProtection="1"/>
    <xf numFmtId="0" fontId="26" fillId="0" borderId="20" xfId="47" applyFont="1" applyBorder="1" applyAlignment="1" applyProtection="1"/>
    <xf numFmtId="0" fontId="30" fillId="0" borderId="20" xfId="47" applyFont="1" applyBorder="1" applyAlignment="1" applyProtection="1">
      <alignment horizontal="center" vertical="center"/>
    </xf>
    <xf numFmtId="164" fontId="24" fillId="0" borderId="28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5" fontId="24" fillId="0" borderId="41" xfId="1" applyNumberFormat="1" applyFont="1" applyBorder="1" applyAlignment="1" applyProtection="1">
      <alignment horizontal="center" vertical="center"/>
    </xf>
    <xf numFmtId="165" fontId="24" fillId="0" borderId="28" xfId="1" applyNumberFormat="1" applyFont="1" applyBorder="1" applyAlignment="1" applyProtection="1">
      <alignment horizontal="center" vertical="center"/>
    </xf>
    <xf numFmtId="165" fontId="24" fillId="0" borderId="16" xfId="1" applyNumberFormat="1" applyFont="1" applyBorder="1" applyAlignment="1" applyProtection="1">
      <alignment horizontal="center" vertical="center"/>
    </xf>
    <xf numFmtId="165" fontId="24" fillId="0" borderId="15" xfId="1" applyNumberFormat="1" applyFont="1" applyBorder="1" applyAlignment="1" applyProtection="1">
      <alignment horizontal="center" vertical="center"/>
    </xf>
    <xf numFmtId="165" fontId="24" fillId="0" borderId="30" xfId="1" applyNumberFormat="1" applyFont="1" applyBorder="1" applyAlignment="1" applyProtection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24" fillId="0" borderId="44" xfId="1" applyNumberFormat="1" applyFont="1" applyBorder="1" applyAlignment="1" applyProtection="1">
      <alignment horizontal="center" vertical="center"/>
    </xf>
    <xf numFmtId="165" fontId="24" fillId="0" borderId="46" xfId="1" applyNumberFormat="1" applyFont="1" applyBorder="1" applyAlignment="1" applyProtection="1">
      <alignment horizontal="center" vertical="center"/>
    </xf>
    <xf numFmtId="165" fontId="24" fillId="0" borderId="47" xfId="1" applyNumberFormat="1" applyFont="1" applyBorder="1" applyAlignment="1" applyProtection="1">
      <alignment horizontal="center" vertical="center"/>
    </xf>
    <xf numFmtId="165" fontId="24" fillId="0" borderId="40" xfId="1" applyNumberFormat="1" applyFont="1" applyBorder="1" applyAlignment="1" applyProtection="1">
      <alignment horizontal="center" vertical="center"/>
    </xf>
    <xf numFmtId="165" fontId="24" fillId="0" borderId="48" xfId="1" applyNumberFormat="1" applyFont="1" applyBorder="1" applyAlignment="1" applyProtection="1">
      <alignment horizontal="center" vertical="center"/>
    </xf>
    <xf numFmtId="165" fontId="24" fillId="0" borderId="49" xfId="1" applyNumberFormat="1" applyFont="1" applyBorder="1" applyAlignment="1" applyProtection="1">
      <alignment horizontal="center" vertical="center"/>
    </xf>
    <xf numFmtId="9" fontId="26" fillId="0" borderId="31" xfId="1" applyNumberFormat="1" applyFont="1" applyBorder="1" applyAlignment="1" applyProtection="1">
      <alignment horizontal="center" vertical="center"/>
    </xf>
    <xf numFmtId="9" fontId="24" fillId="0" borderId="36" xfId="1" applyNumberFormat="1" applyFont="1" applyBorder="1" applyAlignment="1" applyProtection="1">
      <alignment horizontal="center" vertical="center"/>
    </xf>
    <xf numFmtId="164" fontId="24" fillId="0" borderId="15" xfId="1" applyNumberFormat="1" applyFont="1" applyBorder="1" applyAlignment="1" applyProtection="1">
      <alignment horizontal="center" vertical="center"/>
    </xf>
    <xf numFmtId="164" fontId="24" fillId="0" borderId="30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0" fontId="23" fillId="33" borderId="10" xfId="10" applyFont="1" applyFill="1" applyBorder="1" applyAlignment="1">
      <alignment horizontal="center" vertical="center" wrapText="1"/>
    </xf>
    <xf numFmtId="0" fontId="23" fillId="33" borderId="11" xfId="10" applyFont="1" applyFill="1" applyBorder="1" applyAlignment="1">
      <alignment horizontal="center" vertical="center" wrapText="1"/>
    </xf>
    <xf numFmtId="0" fontId="23" fillId="33" borderId="12" xfId="10" applyFont="1" applyFill="1" applyBorder="1" applyAlignment="1">
      <alignment horizontal="center" vertical="center" wrapText="1"/>
    </xf>
    <xf numFmtId="0" fontId="23" fillId="35" borderId="27" xfId="45" applyFont="1" applyFill="1" applyBorder="1" applyAlignment="1">
      <alignment horizontal="center" vertical="center"/>
    </xf>
    <xf numFmtId="0" fontId="23" fillId="35" borderId="34" xfId="45" applyFont="1" applyFill="1" applyBorder="1" applyAlignment="1">
      <alignment horizontal="center" vertical="center"/>
    </xf>
    <xf numFmtId="0" fontId="23" fillId="35" borderId="26" xfId="45" applyFont="1" applyFill="1" applyBorder="1" applyAlignment="1">
      <alignment horizontal="center" vertical="center"/>
    </xf>
    <xf numFmtId="0" fontId="23" fillId="0" borderId="27" xfId="45" applyFont="1" applyFill="1" applyBorder="1" applyAlignment="1">
      <alignment horizontal="center" vertical="center"/>
    </xf>
    <xf numFmtId="0" fontId="23" fillId="0" borderId="34" xfId="45" applyFont="1" applyFill="1" applyBorder="1" applyAlignment="1">
      <alignment horizontal="center" vertical="center"/>
    </xf>
    <xf numFmtId="0" fontId="23" fillId="0" borderId="26" xfId="45" applyFont="1" applyFill="1" applyBorder="1" applyAlignment="1">
      <alignment horizontal="center" vertical="center"/>
    </xf>
    <xf numFmtId="0" fontId="23" fillId="35" borderId="35" xfId="45" applyFont="1" applyFill="1" applyBorder="1" applyAlignment="1">
      <alignment horizontal="center" vertical="center"/>
    </xf>
    <xf numFmtId="164" fontId="24" fillId="0" borderId="43" xfId="1" applyNumberFormat="1" applyFont="1" applyBorder="1" applyAlignment="1" applyProtection="1">
      <alignment horizontal="center" vertical="center"/>
    </xf>
    <xf numFmtId="164" fontId="24" fillId="0" borderId="41" xfId="1" applyNumberFormat="1" applyFont="1" applyBorder="1" applyAlignment="1" applyProtection="1">
      <alignment horizontal="center" vertical="center"/>
    </xf>
    <xf numFmtId="164" fontId="24" fillId="0" borderId="44" xfId="1" applyNumberFormat="1" applyFont="1" applyBorder="1" applyAlignment="1" applyProtection="1">
      <alignment horizontal="center" vertical="center"/>
    </xf>
    <xf numFmtId="164" fontId="24" fillId="0" borderId="42" xfId="1" applyNumberFormat="1" applyFont="1" applyBorder="1" applyAlignment="1" applyProtection="1">
      <alignment horizontal="center" vertical="center"/>
    </xf>
    <xf numFmtId="164" fontId="24" fillId="0" borderId="40" xfId="1" applyNumberFormat="1" applyFont="1" applyBorder="1" applyAlignment="1" applyProtection="1">
      <alignment horizontal="center" vertical="center"/>
    </xf>
    <xf numFmtId="164" fontId="24" fillId="0" borderId="51" xfId="1" applyNumberFormat="1" applyFont="1" applyBorder="1" applyAlignment="1" applyProtection="1">
      <alignment horizontal="center" vertical="center"/>
    </xf>
    <xf numFmtId="164" fontId="24" fillId="0" borderId="39" xfId="1" applyNumberFormat="1" applyFont="1" applyBorder="1" applyAlignment="1" applyProtection="1">
      <alignment horizontal="center" vertical="center"/>
    </xf>
    <xf numFmtId="164" fontId="24" fillId="0" borderId="46" xfId="1" applyNumberFormat="1" applyFont="1" applyBorder="1" applyAlignment="1" applyProtection="1">
      <alignment horizontal="center" vertical="center"/>
    </xf>
    <xf numFmtId="164" fontId="24" fillId="0" borderId="48" xfId="1" applyNumberFormat="1" applyFont="1" applyBorder="1" applyAlignment="1" applyProtection="1">
      <alignment horizontal="center" vertical="center"/>
    </xf>
    <xf numFmtId="164" fontId="24" fillId="0" borderId="52" xfId="1" applyNumberFormat="1" applyFont="1" applyBorder="1" applyAlignment="1" applyProtection="1">
      <alignment horizontal="center" vertical="center"/>
    </xf>
    <xf numFmtId="164" fontId="24" fillId="0" borderId="53" xfId="1" applyNumberFormat="1" applyFont="1" applyBorder="1" applyAlignment="1" applyProtection="1">
      <alignment horizontal="center" vertical="center"/>
    </xf>
    <xf numFmtId="164" fontId="24" fillId="0" borderId="54" xfId="1" applyNumberFormat="1" applyFont="1" applyBorder="1" applyAlignment="1" applyProtection="1">
      <alignment horizontal="center" vertical="center"/>
    </xf>
    <xf numFmtId="164" fontId="24" fillId="0" borderId="55" xfId="1" applyNumberFormat="1" applyFont="1" applyBorder="1" applyAlignment="1" applyProtection="1">
      <alignment horizontal="center" vertical="center"/>
    </xf>
    <xf numFmtId="164" fontId="24" fillId="0" borderId="56" xfId="1" applyNumberFormat="1" applyFont="1" applyBorder="1" applyAlignment="1" applyProtection="1">
      <alignment horizontal="center" vertical="center"/>
    </xf>
    <xf numFmtId="164" fontId="26" fillId="0" borderId="57" xfId="1" applyNumberFormat="1" applyFont="1" applyBorder="1" applyAlignment="1" applyProtection="1">
      <alignment horizontal="center" vertical="center"/>
    </xf>
    <xf numFmtId="164" fontId="26" fillId="0" borderId="58" xfId="1" applyNumberFormat="1" applyFont="1" applyBorder="1" applyAlignment="1" applyProtection="1">
      <alignment horizontal="center" vertical="center"/>
    </xf>
    <xf numFmtId="164" fontId="26" fillId="0" borderId="59" xfId="1" applyNumberFormat="1" applyFont="1" applyBorder="1" applyAlignment="1" applyProtection="1">
      <alignment horizontal="center" vertical="center"/>
    </xf>
    <xf numFmtId="164" fontId="26" fillId="0" borderId="60" xfId="1" applyNumberFormat="1" applyFont="1" applyBorder="1" applyAlignment="1" applyProtection="1">
      <alignment horizontal="center" vertical="center"/>
    </xf>
    <xf numFmtId="164" fontId="26" fillId="0" borderId="61" xfId="1" applyNumberFormat="1" applyFont="1" applyBorder="1" applyAlignment="1" applyProtection="1">
      <alignment horizontal="center" vertical="center"/>
    </xf>
    <xf numFmtId="165" fontId="24" fillId="0" borderId="51" xfId="1" applyNumberFormat="1" applyFont="1" applyBorder="1" applyAlignment="1" applyProtection="1">
      <alignment horizontal="center" vertical="center"/>
    </xf>
    <xf numFmtId="165" fontId="24" fillId="0" borderId="39" xfId="1" applyNumberFormat="1" applyFont="1" applyBorder="1" applyAlignment="1" applyProtection="1">
      <alignment horizontal="center" vertical="center"/>
    </xf>
    <xf numFmtId="9" fontId="24" fillId="0" borderId="29" xfId="1" applyNumberFormat="1" applyFont="1" applyBorder="1" applyAlignment="1" applyProtection="1">
      <alignment horizontal="center" vertical="center"/>
    </xf>
    <xf numFmtId="9" fontId="24" fillId="0" borderId="63" xfId="1" applyNumberFormat="1" applyFont="1" applyBorder="1" applyAlignment="1" applyProtection="1">
      <alignment horizontal="center" vertical="center"/>
    </xf>
    <xf numFmtId="9" fontId="24" fillId="0" borderId="23" xfId="1" applyNumberFormat="1" applyFont="1" applyBorder="1" applyAlignment="1" applyProtection="1">
      <alignment horizontal="center" vertical="center"/>
    </xf>
    <xf numFmtId="9" fontId="24" fillId="0" borderId="22" xfId="1" applyNumberFormat="1" applyFont="1" applyBorder="1" applyAlignment="1" applyProtection="1">
      <alignment horizontal="center" vertical="center"/>
    </xf>
    <xf numFmtId="9" fontId="24" fillId="0" borderId="64" xfId="1" applyNumberFormat="1" applyFont="1" applyBorder="1" applyAlignment="1" applyProtection="1">
      <alignment horizontal="center" vertical="center"/>
    </xf>
    <xf numFmtId="9" fontId="24" fillId="0" borderId="65" xfId="1" applyNumberFormat="1" applyFont="1" applyBorder="1" applyAlignment="1" applyProtection="1">
      <alignment horizontal="center" vertical="center"/>
    </xf>
    <xf numFmtId="9" fontId="24" fillId="0" borderId="66" xfId="1" applyNumberFormat="1" applyFont="1" applyBorder="1" applyAlignment="1" applyProtection="1">
      <alignment horizontal="center" vertical="center"/>
    </xf>
    <xf numFmtId="9" fontId="24" fillId="0" borderId="67" xfId="1" applyNumberFormat="1" applyFont="1" applyBorder="1" applyAlignment="1" applyProtection="1">
      <alignment horizontal="center" vertical="center"/>
    </xf>
    <xf numFmtId="9" fontId="24" fillId="0" borderId="68" xfId="1" applyNumberFormat="1" applyFont="1" applyBorder="1" applyAlignment="1" applyProtection="1">
      <alignment horizontal="center" vertical="center"/>
    </xf>
    <xf numFmtId="164" fontId="26" fillId="0" borderId="62" xfId="1" applyNumberFormat="1" applyFont="1" applyBorder="1" applyAlignment="1" applyProtection="1">
      <alignment horizontal="center" vertical="center"/>
    </xf>
    <xf numFmtId="0" fontId="23" fillId="0" borderId="37" xfId="45" applyFont="1" applyFill="1" applyBorder="1" applyAlignment="1">
      <alignment horizontal="center" vertical="center"/>
    </xf>
    <xf numFmtId="0" fontId="23" fillId="0" borderId="38" xfId="45" applyFont="1" applyFill="1" applyBorder="1" applyAlignment="1">
      <alignment horizontal="center" vertical="center"/>
    </xf>
    <xf numFmtId="0" fontId="23" fillId="0" borderId="39" xfId="45" applyFont="1" applyFill="1" applyBorder="1" applyAlignment="1">
      <alignment horizontal="center" vertical="center"/>
    </xf>
    <xf numFmtId="0" fontId="23" fillId="35" borderId="37" xfId="45" applyFont="1" applyFill="1" applyBorder="1" applyAlignment="1">
      <alignment horizontal="center" vertical="center"/>
    </xf>
    <xf numFmtId="0" fontId="23" fillId="35" borderId="38" xfId="45" applyFont="1" applyFill="1" applyBorder="1" applyAlignment="1">
      <alignment horizontal="center" vertical="center"/>
    </xf>
    <xf numFmtId="0" fontId="23" fillId="35" borderId="51" xfId="45" applyFont="1" applyFill="1" applyBorder="1" applyAlignment="1">
      <alignment horizontal="center" vertical="center"/>
    </xf>
    <xf numFmtId="0" fontId="20" fillId="34" borderId="19" xfId="45" applyFont="1" applyFill="1" applyBorder="1" applyAlignment="1">
      <alignment horizontal="center"/>
    </xf>
    <xf numFmtId="0" fontId="20" fillId="34" borderId="0" xfId="45" applyFont="1" applyFill="1" applyBorder="1" applyAlignment="1">
      <alignment horizontal="center"/>
    </xf>
    <xf numFmtId="0" fontId="20" fillId="34" borderId="12" xfId="45" applyFont="1" applyFill="1" applyBorder="1" applyAlignment="1">
      <alignment horizontal="center"/>
    </xf>
    <xf numFmtId="0" fontId="20" fillId="34" borderId="13" xfId="45" applyFont="1" applyFill="1" applyBorder="1" applyAlignment="1">
      <alignment horizontal="center"/>
    </xf>
    <xf numFmtId="3" fontId="30" fillId="0" borderId="31" xfId="1" applyNumberFormat="1" applyFont="1" applyFill="1" applyBorder="1" applyAlignment="1" applyProtection="1">
      <alignment horizontal="center" vertical="center"/>
    </xf>
    <xf numFmtId="3" fontId="30" fillId="0" borderId="32" xfId="1" applyNumberFormat="1" applyFont="1" applyFill="1" applyBorder="1" applyAlignment="1" applyProtection="1">
      <alignment horizontal="center" vertical="center"/>
    </xf>
    <xf numFmtId="3" fontId="30" fillId="0" borderId="24" xfId="1" applyNumberFormat="1" applyFont="1" applyFill="1" applyBorder="1" applyAlignment="1" applyProtection="1">
      <alignment horizontal="center" vertical="center"/>
    </xf>
    <xf numFmtId="3" fontId="30" fillId="0" borderId="33" xfId="1" applyNumberFormat="1" applyFont="1" applyFill="1" applyBorder="1" applyAlignment="1" applyProtection="1">
      <alignment horizontal="center" vertical="center"/>
    </xf>
    <xf numFmtId="3" fontId="30" fillId="0" borderId="50" xfId="1" applyNumberFormat="1" applyFont="1" applyFill="1" applyBorder="1" applyAlignment="1" applyProtection="1">
      <alignment horizontal="center" vertical="center"/>
    </xf>
    <xf numFmtId="0" fontId="27" fillId="33" borderId="10" xfId="10" applyFont="1" applyFill="1" applyBorder="1" applyAlignment="1">
      <alignment horizontal="center" vertical="center" wrapText="1"/>
    </xf>
    <xf numFmtId="0" fontId="27" fillId="33" borderId="11" xfId="10" applyFont="1" applyFill="1" applyBorder="1" applyAlignment="1">
      <alignment horizontal="center" vertical="center" wrapText="1"/>
    </xf>
    <xf numFmtId="0" fontId="27" fillId="33" borderId="12" xfId="10" applyFont="1" applyFill="1" applyBorder="1" applyAlignment="1">
      <alignment horizontal="center" vertical="center" wrapText="1"/>
    </xf>
    <xf numFmtId="9" fontId="33" fillId="0" borderId="14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I-15%20Corridor%20-%20TEM%20Service%20Area\Demographics\All%20Students\Unduplicated%20Headcount\edit\sort.ethnic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MVC%20Service%20Area\Demographics\All%20Students\Unduplicated%20Headcount\edit\sort.ethnic.headcount.demograph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7</v>
          </cell>
          <cell r="C4">
            <v>691</v>
          </cell>
          <cell r="D4">
            <v>717</v>
          </cell>
          <cell r="E4">
            <v>200</v>
          </cell>
          <cell r="F4">
            <v>943</v>
          </cell>
          <cell r="G4">
            <v>1225</v>
          </cell>
          <cell r="H4">
            <v>316</v>
          </cell>
          <cell r="I4">
            <v>1190</v>
          </cell>
          <cell r="J4">
            <v>1126</v>
          </cell>
          <cell r="K4">
            <v>150</v>
          </cell>
          <cell r="L4">
            <v>1045</v>
          </cell>
          <cell r="M4">
            <v>963</v>
          </cell>
          <cell r="N4">
            <v>0</v>
          </cell>
          <cell r="O4">
            <v>898</v>
          </cell>
          <cell r="P4">
            <v>871</v>
          </cell>
        </row>
        <row r="5">
          <cell r="A5" t="str">
            <v>Hispanic</v>
          </cell>
          <cell r="B5">
            <v>6</v>
          </cell>
          <cell r="C5">
            <v>328</v>
          </cell>
          <cell r="D5">
            <v>364</v>
          </cell>
          <cell r="E5">
            <v>127</v>
          </cell>
          <cell r="F5">
            <v>510</v>
          </cell>
          <cell r="G5">
            <v>669</v>
          </cell>
          <cell r="H5">
            <v>178</v>
          </cell>
          <cell r="I5">
            <v>658</v>
          </cell>
          <cell r="J5">
            <v>633</v>
          </cell>
          <cell r="K5">
            <v>116</v>
          </cell>
          <cell r="L5">
            <v>636</v>
          </cell>
          <cell r="M5">
            <v>685</v>
          </cell>
          <cell r="N5">
            <v>0</v>
          </cell>
          <cell r="O5">
            <v>687</v>
          </cell>
          <cell r="P5">
            <v>679</v>
          </cell>
        </row>
        <row r="6">
          <cell r="A6" t="str">
            <v>African American</v>
          </cell>
          <cell r="B6">
            <v>2</v>
          </cell>
          <cell r="C6">
            <v>97</v>
          </cell>
          <cell r="D6">
            <v>97</v>
          </cell>
          <cell r="E6">
            <v>34</v>
          </cell>
          <cell r="F6">
            <v>150</v>
          </cell>
          <cell r="G6">
            <v>173</v>
          </cell>
          <cell r="H6">
            <v>45</v>
          </cell>
          <cell r="I6">
            <v>156</v>
          </cell>
          <cell r="J6">
            <v>158</v>
          </cell>
          <cell r="K6">
            <v>20</v>
          </cell>
          <cell r="L6">
            <v>135</v>
          </cell>
          <cell r="M6">
            <v>115</v>
          </cell>
          <cell r="N6">
            <v>0</v>
          </cell>
          <cell r="O6">
            <v>100</v>
          </cell>
          <cell r="P6">
            <v>105</v>
          </cell>
        </row>
        <row r="7">
          <cell r="A7" t="str">
            <v>Asian</v>
          </cell>
          <cell r="B7">
            <v>0</v>
          </cell>
          <cell r="C7">
            <v>37</v>
          </cell>
          <cell r="D7">
            <v>52</v>
          </cell>
          <cell r="E7">
            <v>28</v>
          </cell>
          <cell r="F7">
            <v>54</v>
          </cell>
          <cell r="G7">
            <v>70</v>
          </cell>
          <cell r="H7">
            <v>24</v>
          </cell>
          <cell r="I7">
            <v>65</v>
          </cell>
          <cell r="J7">
            <v>67</v>
          </cell>
          <cell r="K7">
            <v>24</v>
          </cell>
          <cell r="L7">
            <v>71</v>
          </cell>
          <cell r="M7">
            <v>63</v>
          </cell>
          <cell r="N7">
            <v>0</v>
          </cell>
          <cell r="O7">
            <v>67</v>
          </cell>
          <cell r="P7">
            <v>52</v>
          </cell>
        </row>
        <row r="8">
          <cell r="A8" t="str">
            <v>Native American</v>
          </cell>
          <cell r="B8">
            <v>0</v>
          </cell>
          <cell r="C8">
            <v>20</v>
          </cell>
          <cell r="D8">
            <v>15</v>
          </cell>
          <cell r="E8">
            <v>10</v>
          </cell>
          <cell r="F8">
            <v>18</v>
          </cell>
          <cell r="G8">
            <v>35</v>
          </cell>
          <cell r="H8">
            <v>9</v>
          </cell>
          <cell r="I8">
            <v>20</v>
          </cell>
          <cell r="J8">
            <v>20</v>
          </cell>
          <cell r="K8">
            <v>4</v>
          </cell>
          <cell r="L8">
            <v>10</v>
          </cell>
          <cell r="M8">
            <v>11</v>
          </cell>
          <cell r="N8">
            <v>0</v>
          </cell>
          <cell r="O8">
            <v>3</v>
          </cell>
          <cell r="P8">
            <v>7</v>
          </cell>
        </row>
        <row r="9">
          <cell r="A9" t="str">
            <v>Filipino</v>
          </cell>
          <cell r="B9">
            <v>0</v>
          </cell>
          <cell r="C9">
            <v>86</v>
          </cell>
          <cell r="D9">
            <v>82</v>
          </cell>
          <cell r="E9">
            <v>30</v>
          </cell>
          <cell r="F9">
            <v>99</v>
          </cell>
          <cell r="G9">
            <v>127</v>
          </cell>
          <cell r="H9">
            <v>45</v>
          </cell>
          <cell r="I9">
            <v>137</v>
          </cell>
          <cell r="J9">
            <v>137</v>
          </cell>
          <cell r="K9">
            <v>25</v>
          </cell>
          <cell r="L9">
            <v>103</v>
          </cell>
          <cell r="M9">
            <v>98</v>
          </cell>
          <cell r="N9">
            <v>0</v>
          </cell>
          <cell r="O9">
            <v>90</v>
          </cell>
          <cell r="P9">
            <v>94</v>
          </cell>
        </row>
        <row r="10">
          <cell r="A10" t="str">
            <v>Pacific Islander</v>
          </cell>
          <cell r="B10">
            <v>0</v>
          </cell>
          <cell r="C10">
            <v>13</v>
          </cell>
          <cell r="D10">
            <v>7</v>
          </cell>
          <cell r="E10">
            <v>6</v>
          </cell>
          <cell r="F10">
            <v>17</v>
          </cell>
          <cell r="G10">
            <v>20</v>
          </cell>
          <cell r="H10">
            <v>4</v>
          </cell>
          <cell r="I10">
            <v>14</v>
          </cell>
          <cell r="J10">
            <v>14</v>
          </cell>
          <cell r="K10">
            <v>3</v>
          </cell>
          <cell r="L10">
            <v>11</v>
          </cell>
          <cell r="M10">
            <v>16</v>
          </cell>
          <cell r="N10">
            <v>0</v>
          </cell>
          <cell r="O10">
            <v>11</v>
          </cell>
          <cell r="P10">
            <v>9</v>
          </cell>
        </row>
        <row r="11">
          <cell r="A11" t="str">
            <v>Multi-Race</v>
          </cell>
          <cell r="B11">
            <v>1</v>
          </cell>
          <cell r="C11">
            <v>19</v>
          </cell>
          <cell r="D11">
            <v>16</v>
          </cell>
          <cell r="E11">
            <v>8</v>
          </cell>
          <cell r="F11">
            <v>31</v>
          </cell>
          <cell r="G11">
            <v>33</v>
          </cell>
          <cell r="H11">
            <v>17</v>
          </cell>
          <cell r="I11">
            <v>68</v>
          </cell>
          <cell r="J11">
            <v>98</v>
          </cell>
          <cell r="K11">
            <v>15</v>
          </cell>
          <cell r="L11">
            <v>94</v>
          </cell>
          <cell r="M11">
            <v>99</v>
          </cell>
          <cell r="N11">
            <v>0</v>
          </cell>
          <cell r="O11">
            <v>113</v>
          </cell>
          <cell r="P11">
            <v>110</v>
          </cell>
        </row>
        <row r="12">
          <cell r="A12" t="str">
            <v>Unknown</v>
          </cell>
          <cell r="B12">
            <v>3</v>
          </cell>
          <cell r="C12">
            <v>128</v>
          </cell>
          <cell r="D12">
            <v>118</v>
          </cell>
          <cell r="E12">
            <v>47</v>
          </cell>
          <cell r="F12">
            <v>164</v>
          </cell>
          <cell r="G12">
            <v>229</v>
          </cell>
          <cell r="H12">
            <v>65</v>
          </cell>
          <cell r="I12">
            <v>231</v>
          </cell>
          <cell r="J12">
            <v>192</v>
          </cell>
          <cell r="K12">
            <v>29</v>
          </cell>
          <cell r="L12">
            <v>118</v>
          </cell>
          <cell r="M12">
            <v>123</v>
          </cell>
          <cell r="N12">
            <v>0</v>
          </cell>
          <cell r="O12">
            <v>74</v>
          </cell>
          <cell r="P12">
            <v>79</v>
          </cell>
        </row>
        <row r="13">
          <cell r="A13" t="str">
            <v>Term Total</v>
          </cell>
          <cell r="B13">
            <v>19</v>
          </cell>
          <cell r="C13">
            <v>1419</v>
          </cell>
          <cell r="D13">
            <v>1468</v>
          </cell>
          <cell r="E13">
            <v>490</v>
          </cell>
          <cell r="F13">
            <v>1986</v>
          </cell>
          <cell r="G13">
            <v>2581</v>
          </cell>
          <cell r="H13">
            <v>703</v>
          </cell>
          <cell r="I13">
            <v>2539</v>
          </cell>
          <cell r="J13">
            <v>2445</v>
          </cell>
          <cell r="K13">
            <v>386</v>
          </cell>
          <cell r="L13">
            <v>2223</v>
          </cell>
          <cell r="M13">
            <v>2173</v>
          </cell>
          <cell r="N13">
            <v>0</v>
          </cell>
          <cell r="O13">
            <v>2043</v>
          </cell>
          <cell r="P13">
            <v>2006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zoomScaleNormal="100" workbookViewId="0"/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22" ht="15.75" x14ac:dyDescent="0.25">
      <c r="A1" s="40"/>
      <c r="B1" s="87" t="s">
        <v>35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spans="1:22" ht="16.5" thickBot="1" x14ac:dyDescent="0.3">
      <c r="A2" s="41"/>
      <c r="B2" s="89" t="s">
        <v>40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</row>
    <row r="3" spans="1:22" ht="15.75" thickBot="1" x14ac:dyDescent="0.3">
      <c r="A3" s="42"/>
      <c r="B3" s="84" t="s">
        <v>0</v>
      </c>
      <c r="C3" s="85"/>
      <c r="D3" s="86"/>
      <c r="E3" s="81" t="s">
        <v>1</v>
      </c>
      <c r="F3" s="82"/>
      <c r="G3" s="83"/>
      <c r="H3" s="84" t="s">
        <v>2</v>
      </c>
      <c r="I3" s="85"/>
      <c r="J3" s="86"/>
      <c r="K3" s="81" t="s">
        <v>3</v>
      </c>
      <c r="L3" s="82"/>
      <c r="M3" s="83"/>
      <c r="N3" s="84" t="s">
        <v>4</v>
      </c>
      <c r="O3" s="85"/>
      <c r="P3" s="86"/>
      <c r="Q3" s="81" t="s">
        <v>41</v>
      </c>
      <c r="R3" s="82"/>
      <c r="S3" s="83"/>
      <c r="T3" s="84" t="s">
        <v>42</v>
      </c>
      <c r="U3" s="85"/>
      <c r="V3" s="86"/>
    </row>
    <row r="4" spans="1:22" ht="15.75" thickBot="1" x14ac:dyDescent="0.3">
      <c r="A4" s="12" t="s">
        <v>37</v>
      </c>
      <c r="B4" s="43" t="s">
        <v>6</v>
      </c>
      <c r="C4" s="44" t="s">
        <v>7</v>
      </c>
      <c r="D4" s="45" t="s">
        <v>8</v>
      </c>
      <c r="E4" s="46" t="s">
        <v>9</v>
      </c>
      <c r="F4" s="47" t="s">
        <v>10</v>
      </c>
      <c r="G4" s="48" t="s">
        <v>11</v>
      </c>
      <c r="H4" s="43" t="s">
        <v>12</v>
      </c>
      <c r="I4" s="44" t="s">
        <v>13</v>
      </c>
      <c r="J4" s="45" t="s">
        <v>14</v>
      </c>
      <c r="K4" s="46" t="s">
        <v>15</v>
      </c>
      <c r="L4" s="47" t="s">
        <v>16</v>
      </c>
      <c r="M4" s="48" t="s">
        <v>17</v>
      </c>
      <c r="N4" s="43" t="s">
        <v>18</v>
      </c>
      <c r="O4" s="44" t="s">
        <v>19</v>
      </c>
      <c r="P4" s="49" t="s">
        <v>20</v>
      </c>
      <c r="Q4" s="46" t="s">
        <v>43</v>
      </c>
      <c r="R4" s="47" t="s">
        <v>44</v>
      </c>
      <c r="S4" s="48" t="s">
        <v>45</v>
      </c>
      <c r="T4" s="43" t="s">
        <v>46</v>
      </c>
      <c r="U4" s="44" t="s">
        <v>47</v>
      </c>
      <c r="V4" s="49" t="s">
        <v>48</v>
      </c>
    </row>
    <row r="5" spans="1:22" x14ac:dyDescent="0.25">
      <c r="A5" s="18" t="s">
        <v>21</v>
      </c>
      <c r="B5" s="50">
        <f>VLOOKUP($A5,'[1]credit ethnic graded seats'!$A:$P,HLOOKUP(B$4,'[2]credit ethnic graded seats'!$1:$2,2,FALSE),FALSE)</f>
        <v>7</v>
      </c>
      <c r="C5" s="51">
        <f>VLOOKUP($A5,'[1]credit ethnic graded seats'!$A:$P,HLOOKUP(C$4,'[2]credit ethnic graded seats'!$1:$2,2,FALSE),FALSE)</f>
        <v>691</v>
      </c>
      <c r="D5" s="52">
        <f>VLOOKUP($A5,'[1]credit ethnic graded seats'!$A:$P,HLOOKUP(D$4,'[2]credit ethnic graded seats'!$1:$2,2,FALSE),FALSE)</f>
        <v>717</v>
      </c>
      <c r="E5" s="50">
        <f>VLOOKUP($A5,'[1]credit ethnic graded seats'!$A:$P,HLOOKUP(E$4,'[2]credit ethnic graded seats'!$1:$2,2,FALSE),FALSE)</f>
        <v>200</v>
      </c>
      <c r="F5" s="51">
        <f>VLOOKUP($A5,'[1]credit ethnic graded seats'!$A:$P,HLOOKUP(F$4,'[2]credit ethnic graded seats'!$1:$2,2,FALSE),FALSE)</f>
        <v>943</v>
      </c>
      <c r="G5" s="51">
        <f>VLOOKUP($A5,'[1]credit ethnic graded seats'!$A:$P,HLOOKUP(G$4,'[2]credit ethnic graded seats'!$1:$2,2,FALSE),FALSE)</f>
        <v>1225</v>
      </c>
      <c r="H5" s="51">
        <f>VLOOKUP($A5,'[1]credit ethnic graded seats'!$A:$P,HLOOKUP(H$4,'[2]credit ethnic graded seats'!$1:$2,2,FALSE),FALSE)</f>
        <v>316</v>
      </c>
      <c r="I5" s="51">
        <f>VLOOKUP($A5,'[1]credit ethnic graded seats'!$A:$P,HLOOKUP(I$4,'[2]credit ethnic graded seats'!$1:$2,2,FALSE),FALSE)</f>
        <v>1190</v>
      </c>
      <c r="J5" s="53">
        <f>VLOOKUP($A5,'[1]credit ethnic graded seats'!$A:$P,HLOOKUP(J$4,'[2]credit ethnic graded seats'!$1:$2,2,FALSE),FALSE)</f>
        <v>1126</v>
      </c>
      <c r="K5" s="50">
        <f>VLOOKUP($A5,'[1]credit ethnic graded seats'!$A:$P,HLOOKUP(K$4,'[2]credit ethnic graded seats'!$1:$2,2,FALSE),FALSE)</f>
        <v>150</v>
      </c>
      <c r="L5" s="51">
        <f>VLOOKUP($A5,'[1]credit ethnic graded seats'!$A:$P,HLOOKUP(L$4,'[2]credit ethnic graded seats'!$1:$2,2,FALSE),FALSE)</f>
        <v>1045</v>
      </c>
      <c r="M5" s="53">
        <f>VLOOKUP($A5,'[1]credit ethnic graded seats'!$A:$P,HLOOKUP(M$4,'[2]credit ethnic graded seats'!$1:$2,2,FALSE),FALSE)</f>
        <v>963</v>
      </c>
      <c r="N5" s="54">
        <f>VLOOKUP($A5,'[1]credit ethnic graded seats'!$A:$P,HLOOKUP(N$4,'[2]credit ethnic graded seats'!$1:$2,2,FALSE),FALSE)</f>
        <v>0</v>
      </c>
      <c r="O5" s="51">
        <f>VLOOKUP($A5,'[1]credit ethnic graded seats'!$A:$P,HLOOKUP(O$4,'[2]credit ethnic graded seats'!$1:$2,2,FALSE),FALSE)</f>
        <v>898</v>
      </c>
      <c r="P5" s="55">
        <f>VLOOKUP($A5,'[1]credit ethnic graded seats'!$A:$P,HLOOKUP(P$4,'[2]credit ethnic graded seats'!$1:$2,2,FALSE),FALSE)</f>
        <v>871</v>
      </c>
      <c r="Q5" s="50">
        <v>1</v>
      </c>
      <c r="R5" s="51">
        <v>890</v>
      </c>
      <c r="S5" s="56">
        <v>791</v>
      </c>
      <c r="T5" s="50">
        <v>0</v>
      </c>
      <c r="U5" s="51">
        <v>730</v>
      </c>
      <c r="V5" s="56">
        <v>705</v>
      </c>
    </row>
    <row r="6" spans="1:22" x14ac:dyDescent="0.25">
      <c r="A6" s="14" t="s">
        <v>22</v>
      </c>
      <c r="B6" s="22">
        <f>VLOOKUP($A6,'[1]credit ethnic graded seats'!$A:$P,HLOOKUP(B$4,'[2]credit ethnic graded seats'!$1:$2,2,FALSE),FALSE)</f>
        <v>6</v>
      </c>
      <c r="C6" s="21">
        <f>VLOOKUP($A6,'[1]credit ethnic graded seats'!$A:$P,HLOOKUP(C$4,'[2]credit ethnic graded seats'!$1:$2,2,FALSE),FALSE)</f>
        <v>328</v>
      </c>
      <c r="D6" s="57">
        <f>VLOOKUP($A6,'[1]credit ethnic graded seats'!$A:$P,HLOOKUP(D$4,'[2]credit ethnic graded seats'!$1:$2,2,FALSE),FALSE)</f>
        <v>364</v>
      </c>
      <c r="E6" s="22">
        <f>VLOOKUP($A6,'[1]credit ethnic graded seats'!$A:$P,HLOOKUP(E$4,'[2]credit ethnic graded seats'!$1:$2,2,FALSE),FALSE)</f>
        <v>127</v>
      </c>
      <c r="F6" s="21">
        <f>VLOOKUP($A6,'[1]credit ethnic graded seats'!$A:$P,HLOOKUP(F$4,'[2]credit ethnic graded seats'!$1:$2,2,FALSE),FALSE)</f>
        <v>510</v>
      </c>
      <c r="G6" s="21">
        <f>VLOOKUP($A6,'[1]credit ethnic graded seats'!$A:$P,HLOOKUP(G$4,'[2]credit ethnic graded seats'!$1:$2,2,FALSE),FALSE)</f>
        <v>669</v>
      </c>
      <c r="H6" s="21">
        <f>VLOOKUP($A6,'[1]credit ethnic graded seats'!$A:$P,HLOOKUP(H$4,'[2]credit ethnic graded seats'!$1:$2,2,FALSE),FALSE)</f>
        <v>178</v>
      </c>
      <c r="I6" s="21">
        <f>VLOOKUP($A6,'[1]credit ethnic graded seats'!$A:$P,HLOOKUP(I$4,'[2]credit ethnic graded seats'!$1:$2,2,FALSE),FALSE)</f>
        <v>658</v>
      </c>
      <c r="J6" s="8">
        <f>VLOOKUP($A6,'[1]credit ethnic graded seats'!$A:$P,HLOOKUP(J$4,'[2]credit ethnic graded seats'!$1:$2,2,FALSE),FALSE)</f>
        <v>633</v>
      </c>
      <c r="K6" s="22">
        <f>VLOOKUP($A6,'[1]credit ethnic graded seats'!$A:$P,HLOOKUP(K$4,'[2]credit ethnic graded seats'!$1:$2,2,FALSE),FALSE)</f>
        <v>116</v>
      </c>
      <c r="L6" s="21">
        <f>VLOOKUP($A6,'[1]credit ethnic graded seats'!$A:$P,HLOOKUP(L$4,'[2]credit ethnic graded seats'!$1:$2,2,FALSE),FALSE)</f>
        <v>636</v>
      </c>
      <c r="M6" s="8">
        <f>VLOOKUP($A6,'[1]credit ethnic graded seats'!$A:$P,HLOOKUP(M$4,'[2]credit ethnic graded seats'!$1:$2,2,FALSE),FALSE)</f>
        <v>685</v>
      </c>
      <c r="N6" s="58">
        <f>VLOOKUP($A6,'[1]credit ethnic graded seats'!$A:$P,HLOOKUP(N$4,'[2]credit ethnic graded seats'!$1:$2,2,FALSE),FALSE)</f>
        <v>0</v>
      </c>
      <c r="O6" s="21">
        <f>VLOOKUP($A6,'[1]credit ethnic graded seats'!$A:$P,HLOOKUP(O$4,'[2]credit ethnic graded seats'!$1:$2,2,FALSE),FALSE)</f>
        <v>687</v>
      </c>
      <c r="P6" s="57">
        <f>VLOOKUP($A6,'[1]credit ethnic graded seats'!$A:$P,HLOOKUP(P$4,'[2]credit ethnic graded seats'!$1:$2,2,FALSE),FALSE)</f>
        <v>679</v>
      </c>
      <c r="Q6" s="22">
        <v>0</v>
      </c>
      <c r="R6" s="21">
        <v>722</v>
      </c>
      <c r="S6" s="8">
        <v>732</v>
      </c>
      <c r="T6" s="22">
        <v>0</v>
      </c>
      <c r="U6" s="21">
        <v>734</v>
      </c>
      <c r="V6" s="8">
        <v>708</v>
      </c>
    </row>
    <row r="7" spans="1:22" x14ac:dyDescent="0.25">
      <c r="A7" s="14" t="s">
        <v>23</v>
      </c>
      <c r="B7" s="22">
        <f>VLOOKUP($A7,'[1]credit ethnic graded seats'!$A:$P,HLOOKUP(B$4,'[2]credit ethnic graded seats'!$1:$2,2,FALSE),FALSE)</f>
        <v>2</v>
      </c>
      <c r="C7" s="21">
        <f>VLOOKUP($A7,'[1]credit ethnic graded seats'!$A:$P,HLOOKUP(C$4,'[2]credit ethnic graded seats'!$1:$2,2,FALSE),FALSE)</f>
        <v>97</v>
      </c>
      <c r="D7" s="57">
        <f>VLOOKUP($A7,'[1]credit ethnic graded seats'!$A:$P,HLOOKUP(D$4,'[2]credit ethnic graded seats'!$1:$2,2,FALSE),FALSE)</f>
        <v>97</v>
      </c>
      <c r="E7" s="22">
        <f>VLOOKUP($A7,'[1]credit ethnic graded seats'!$A:$P,HLOOKUP(E$4,'[2]credit ethnic graded seats'!$1:$2,2,FALSE),FALSE)</f>
        <v>34</v>
      </c>
      <c r="F7" s="21">
        <f>VLOOKUP($A7,'[1]credit ethnic graded seats'!$A:$P,HLOOKUP(F$4,'[2]credit ethnic graded seats'!$1:$2,2,FALSE),FALSE)</f>
        <v>150</v>
      </c>
      <c r="G7" s="21">
        <f>VLOOKUP($A7,'[1]credit ethnic graded seats'!$A:$P,HLOOKUP(G$4,'[2]credit ethnic graded seats'!$1:$2,2,FALSE),FALSE)</f>
        <v>173</v>
      </c>
      <c r="H7" s="21">
        <f>VLOOKUP($A7,'[1]credit ethnic graded seats'!$A:$P,HLOOKUP(H$4,'[2]credit ethnic graded seats'!$1:$2,2,FALSE),FALSE)</f>
        <v>45</v>
      </c>
      <c r="I7" s="21">
        <f>VLOOKUP($A7,'[1]credit ethnic graded seats'!$A:$P,HLOOKUP(I$4,'[2]credit ethnic graded seats'!$1:$2,2,FALSE),FALSE)</f>
        <v>156</v>
      </c>
      <c r="J7" s="8">
        <f>VLOOKUP($A7,'[1]credit ethnic graded seats'!$A:$P,HLOOKUP(J$4,'[2]credit ethnic graded seats'!$1:$2,2,FALSE),FALSE)</f>
        <v>158</v>
      </c>
      <c r="K7" s="22">
        <f>VLOOKUP($A7,'[1]credit ethnic graded seats'!$A:$P,HLOOKUP(K$4,'[2]credit ethnic graded seats'!$1:$2,2,FALSE),FALSE)</f>
        <v>20</v>
      </c>
      <c r="L7" s="21">
        <f>VLOOKUP($A7,'[1]credit ethnic graded seats'!$A:$P,HLOOKUP(L$4,'[2]credit ethnic graded seats'!$1:$2,2,FALSE),FALSE)</f>
        <v>135</v>
      </c>
      <c r="M7" s="8">
        <f>VLOOKUP($A7,'[1]credit ethnic graded seats'!$A:$P,HLOOKUP(M$4,'[2]credit ethnic graded seats'!$1:$2,2,FALSE),FALSE)</f>
        <v>115</v>
      </c>
      <c r="N7" s="58">
        <f>VLOOKUP($A7,'[1]credit ethnic graded seats'!$A:$P,HLOOKUP(N$4,'[2]credit ethnic graded seats'!$1:$2,2,FALSE),FALSE)</f>
        <v>0</v>
      </c>
      <c r="O7" s="21">
        <f>VLOOKUP($A7,'[1]credit ethnic graded seats'!$A:$P,HLOOKUP(O$4,'[2]credit ethnic graded seats'!$1:$2,2,FALSE),FALSE)</f>
        <v>100</v>
      </c>
      <c r="P7" s="57">
        <f>VLOOKUP($A7,'[1]credit ethnic graded seats'!$A:$P,HLOOKUP(P$4,'[2]credit ethnic graded seats'!$1:$2,2,FALSE),FALSE)</f>
        <v>105</v>
      </c>
      <c r="Q7" s="22">
        <v>0</v>
      </c>
      <c r="R7" s="21">
        <v>109</v>
      </c>
      <c r="S7" s="8">
        <v>92</v>
      </c>
      <c r="T7" s="22">
        <v>0</v>
      </c>
      <c r="U7" s="21">
        <v>98</v>
      </c>
      <c r="V7" s="8">
        <v>115</v>
      </c>
    </row>
    <row r="8" spans="1:22" x14ac:dyDescent="0.25">
      <c r="A8" s="14" t="s">
        <v>24</v>
      </c>
      <c r="B8" s="22">
        <f>VLOOKUP($A8,'[1]credit ethnic graded seats'!$A:$P,HLOOKUP(B$4,'[2]credit ethnic graded seats'!$1:$2,2,FALSE),FALSE)</f>
        <v>0</v>
      </c>
      <c r="C8" s="21">
        <f>VLOOKUP($A8,'[1]credit ethnic graded seats'!$A:$P,HLOOKUP(C$4,'[2]credit ethnic graded seats'!$1:$2,2,FALSE),FALSE)</f>
        <v>37</v>
      </c>
      <c r="D8" s="57">
        <f>VLOOKUP($A8,'[1]credit ethnic graded seats'!$A:$P,HLOOKUP(D$4,'[2]credit ethnic graded seats'!$1:$2,2,FALSE),FALSE)</f>
        <v>52</v>
      </c>
      <c r="E8" s="22">
        <f>VLOOKUP($A8,'[1]credit ethnic graded seats'!$A:$P,HLOOKUP(E$4,'[2]credit ethnic graded seats'!$1:$2,2,FALSE),FALSE)</f>
        <v>28</v>
      </c>
      <c r="F8" s="21">
        <f>VLOOKUP($A8,'[1]credit ethnic graded seats'!$A:$P,HLOOKUP(F$4,'[2]credit ethnic graded seats'!$1:$2,2,FALSE),FALSE)</f>
        <v>54</v>
      </c>
      <c r="G8" s="21">
        <f>VLOOKUP($A8,'[1]credit ethnic graded seats'!$A:$P,HLOOKUP(G$4,'[2]credit ethnic graded seats'!$1:$2,2,FALSE),FALSE)</f>
        <v>70</v>
      </c>
      <c r="H8" s="21">
        <f>VLOOKUP($A8,'[1]credit ethnic graded seats'!$A:$P,HLOOKUP(H$4,'[2]credit ethnic graded seats'!$1:$2,2,FALSE),FALSE)</f>
        <v>24</v>
      </c>
      <c r="I8" s="21">
        <f>VLOOKUP($A8,'[1]credit ethnic graded seats'!$A:$P,HLOOKUP(I$4,'[2]credit ethnic graded seats'!$1:$2,2,FALSE),FALSE)</f>
        <v>65</v>
      </c>
      <c r="J8" s="8">
        <f>VLOOKUP($A8,'[1]credit ethnic graded seats'!$A:$P,HLOOKUP(J$4,'[2]credit ethnic graded seats'!$1:$2,2,FALSE),FALSE)</f>
        <v>67</v>
      </c>
      <c r="K8" s="22">
        <f>VLOOKUP($A8,'[1]credit ethnic graded seats'!$A:$P,HLOOKUP(K$4,'[2]credit ethnic graded seats'!$1:$2,2,FALSE),FALSE)</f>
        <v>24</v>
      </c>
      <c r="L8" s="21">
        <f>VLOOKUP($A8,'[1]credit ethnic graded seats'!$A:$P,HLOOKUP(L$4,'[2]credit ethnic graded seats'!$1:$2,2,FALSE),FALSE)</f>
        <v>71</v>
      </c>
      <c r="M8" s="8">
        <f>VLOOKUP($A8,'[1]credit ethnic graded seats'!$A:$P,HLOOKUP(M$4,'[2]credit ethnic graded seats'!$1:$2,2,FALSE),FALSE)</f>
        <v>63</v>
      </c>
      <c r="N8" s="58">
        <f>VLOOKUP($A8,'[1]credit ethnic graded seats'!$A:$P,HLOOKUP(N$4,'[2]credit ethnic graded seats'!$1:$2,2,FALSE),FALSE)</f>
        <v>0</v>
      </c>
      <c r="O8" s="21">
        <f>VLOOKUP($A8,'[1]credit ethnic graded seats'!$A:$P,HLOOKUP(O$4,'[2]credit ethnic graded seats'!$1:$2,2,FALSE),FALSE)</f>
        <v>67</v>
      </c>
      <c r="P8" s="57">
        <f>VLOOKUP($A8,'[1]credit ethnic graded seats'!$A:$P,HLOOKUP(P$4,'[2]credit ethnic graded seats'!$1:$2,2,FALSE),FALSE)</f>
        <v>52</v>
      </c>
      <c r="Q8" s="22">
        <v>0</v>
      </c>
      <c r="R8" s="21">
        <v>44</v>
      </c>
      <c r="S8" s="8">
        <v>55</v>
      </c>
      <c r="T8" s="22">
        <v>0</v>
      </c>
      <c r="U8" s="21">
        <v>37</v>
      </c>
      <c r="V8" s="8">
        <v>40</v>
      </c>
    </row>
    <row r="9" spans="1:22" x14ac:dyDescent="0.25">
      <c r="A9" s="14" t="s">
        <v>25</v>
      </c>
      <c r="B9" s="22">
        <f>VLOOKUP($A9,'[1]credit ethnic graded seats'!$A:$P,HLOOKUP(B$4,'[2]credit ethnic graded seats'!$1:$2,2,FALSE),FALSE)</f>
        <v>0</v>
      </c>
      <c r="C9" s="21">
        <f>VLOOKUP($A9,'[1]credit ethnic graded seats'!$A:$P,HLOOKUP(C$4,'[2]credit ethnic graded seats'!$1:$2,2,FALSE),FALSE)</f>
        <v>20</v>
      </c>
      <c r="D9" s="57">
        <f>VLOOKUP($A9,'[1]credit ethnic graded seats'!$A:$P,HLOOKUP(D$4,'[2]credit ethnic graded seats'!$1:$2,2,FALSE),FALSE)</f>
        <v>15</v>
      </c>
      <c r="E9" s="22">
        <f>VLOOKUP($A9,'[1]credit ethnic graded seats'!$A:$P,HLOOKUP(E$4,'[2]credit ethnic graded seats'!$1:$2,2,FALSE),FALSE)</f>
        <v>10</v>
      </c>
      <c r="F9" s="21">
        <f>VLOOKUP($A9,'[1]credit ethnic graded seats'!$A:$P,HLOOKUP(F$4,'[2]credit ethnic graded seats'!$1:$2,2,FALSE),FALSE)</f>
        <v>18</v>
      </c>
      <c r="G9" s="21">
        <f>VLOOKUP($A9,'[1]credit ethnic graded seats'!$A:$P,HLOOKUP(G$4,'[2]credit ethnic graded seats'!$1:$2,2,FALSE),FALSE)</f>
        <v>35</v>
      </c>
      <c r="H9" s="21">
        <f>VLOOKUP($A9,'[1]credit ethnic graded seats'!$A:$P,HLOOKUP(H$4,'[2]credit ethnic graded seats'!$1:$2,2,FALSE),FALSE)</f>
        <v>9</v>
      </c>
      <c r="I9" s="21">
        <f>VLOOKUP($A9,'[1]credit ethnic graded seats'!$A:$P,HLOOKUP(I$4,'[2]credit ethnic graded seats'!$1:$2,2,FALSE),FALSE)</f>
        <v>20</v>
      </c>
      <c r="J9" s="8">
        <f>VLOOKUP($A9,'[1]credit ethnic graded seats'!$A:$P,HLOOKUP(J$4,'[2]credit ethnic graded seats'!$1:$2,2,FALSE),FALSE)</f>
        <v>20</v>
      </c>
      <c r="K9" s="22">
        <f>VLOOKUP($A9,'[1]credit ethnic graded seats'!$A:$P,HLOOKUP(K$4,'[2]credit ethnic graded seats'!$1:$2,2,FALSE),FALSE)</f>
        <v>4</v>
      </c>
      <c r="L9" s="21">
        <f>VLOOKUP($A9,'[1]credit ethnic graded seats'!$A:$P,HLOOKUP(L$4,'[2]credit ethnic graded seats'!$1:$2,2,FALSE),FALSE)</f>
        <v>10</v>
      </c>
      <c r="M9" s="8">
        <f>VLOOKUP($A9,'[1]credit ethnic graded seats'!$A:$P,HLOOKUP(M$4,'[2]credit ethnic graded seats'!$1:$2,2,FALSE),FALSE)</f>
        <v>11</v>
      </c>
      <c r="N9" s="58">
        <f>VLOOKUP($A9,'[1]credit ethnic graded seats'!$A:$P,HLOOKUP(N$4,'[2]credit ethnic graded seats'!$1:$2,2,FALSE),FALSE)</f>
        <v>0</v>
      </c>
      <c r="O9" s="21">
        <f>VLOOKUP($A9,'[1]credit ethnic graded seats'!$A:$P,HLOOKUP(O$4,'[2]credit ethnic graded seats'!$1:$2,2,FALSE),FALSE)</f>
        <v>3</v>
      </c>
      <c r="P9" s="57">
        <f>VLOOKUP($A9,'[1]credit ethnic graded seats'!$A:$P,HLOOKUP(P$4,'[2]credit ethnic graded seats'!$1:$2,2,FALSE),FALSE)</f>
        <v>7</v>
      </c>
      <c r="Q9" s="22">
        <v>0</v>
      </c>
      <c r="R9" s="21">
        <v>10</v>
      </c>
      <c r="S9" s="8">
        <v>5</v>
      </c>
      <c r="T9" s="22">
        <v>0</v>
      </c>
      <c r="U9" s="21">
        <v>10</v>
      </c>
      <c r="V9" s="8">
        <v>7</v>
      </c>
    </row>
    <row r="10" spans="1:22" x14ac:dyDescent="0.25">
      <c r="A10" s="14" t="s">
        <v>26</v>
      </c>
      <c r="B10" s="22">
        <f>VLOOKUP($A10,'[1]credit ethnic graded seats'!$A:$P,HLOOKUP(B$4,'[2]credit ethnic graded seats'!$1:$2,2,FALSE),FALSE)</f>
        <v>0</v>
      </c>
      <c r="C10" s="21">
        <f>VLOOKUP($A10,'[1]credit ethnic graded seats'!$A:$P,HLOOKUP(C$4,'[2]credit ethnic graded seats'!$1:$2,2,FALSE),FALSE)</f>
        <v>86</v>
      </c>
      <c r="D10" s="57">
        <f>VLOOKUP($A10,'[1]credit ethnic graded seats'!$A:$P,HLOOKUP(D$4,'[2]credit ethnic graded seats'!$1:$2,2,FALSE),FALSE)</f>
        <v>82</v>
      </c>
      <c r="E10" s="22">
        <f>VLOOKUP($A10,'[1]credit ethnic graded seats'!$A:$P,HLOOKUP(E$4,'[2]credit ethnic graded seats'!$1:$2,2,FALSE),FALSE)</f>
        <v>30</v>
      </c>
      <c r="F10" s="21">
        <f>VLOOKUP($A10,'[1]credit ethnic graded seats'!$A:$P,HLOOKUP(F$4,'[2]credit ethnic graded seats'!$1:$2,2,FALSE),FALSE)</f>
        <v>99</v>
      </c>
      <c r="G10" s="21">
        <f>VLOOKUP($A10,'[1]credit ethnic graded seats'!$A:$P,HLOOKUP(G$4,'[2]credit ethnic graded seats'!$1:$2,2,FALSE),FALSE)</f>
        <v>127</v>
      </c>
      <c r="H10" s="21">
        <f>VLOOKUP($A10,'[1]credit ethnic graded seats'!$A:$P,HLOOKUP(H$4,'[2]credit ethnic graded seats'!$1:$2,2,FALSE),FALSE)</f>
        <v>45</v>
      </c>
      <c r="I10" s="21">
        <f>VLOOKUP($A10,'[1]credit ethnic graded seats'!$A:$P,HLOOKUP(I$4,'[2]credit ethnic graded seats'!$1:$2,2,FALSE),FALSE)</f>
        <v>137</v>
      </c>
      <c r="J10" s="8">
        <f>VLOOKUP($A10,'[1]credit ethnic graded seats'!$A:$P,HLOOKUP(J$4,'[2]credit ethnic graded seats'!$1:$2,2,FALSE),FALSE)</f>
        <v>137</v>
      </c>
      <c r="K10" s="22">
        <f>VLOOKUP($A10,'[1]credit ethnic graded seats'!$A:$P,HLOOKUP(K$4,'[2]credit ethnic graded seats'!$1:$2,2,FALSE),FALSE)</f>
        <v>25</v>
      </c>
      <c r="L10" s="21">
        <f>VLOOKUP($A10,'[1]credit ethnic graded seats'!$A:$P,HLOOKUP(L$4,'[2]credit ethnic graded seats'!$1:$2,2,FALSE),FALSE)</f>
        <v>103</v>
      </c>
      <c r="M10" s="8">
        <f>VLOOKUP($A10,'[1]credit ethnic graded seats'!$A:$P,HLOOKUP(M$4,'[2]credit ethnic graded seats'!$1:$2,2,FALSE),FALSE)</f>
        <v>98</v>
      </c>
      <c r="N10" s="58">
        <f>VLOOKUP($A10,'[1]credit ethnic graded seats'!$A:$P,HLOOKUP(N$4,'[2]credit ethnic graded seats'!$1:$2,2,FALSE),FALSE)</f>
        <v>0</v>
      </c>
      <c r="O10" s="21">
        <f>VLOOKUP($A10,'[1]credit ethnic graded seats'!$A:$P,HLOOKUP(O$4,'[2]credit ethnic graded seats'!$1:$2,2,FALSE),FALSE)</f>
        <v>90</v>
      </c>
      <c r="P10" s="57">
        <f>VLOOKUP($A10,'[1]credit ethnic graded seats'!$A:$P,HLOOKUP(P$4,'[2]credit ethnic graded seats'!$1:$2,2,FALSE),FALSE)</f>
        <v>94</v>
      </c>
      <c r="Q10" s="22">
        <v>0</v>
      </c>
      <c r="R10" s="21">
        <v>92</v>
      </c>
      <c r="S10" s="8">
        <v>83</v>
      </c>
      <c r="T10" s="22">
        <v>0</v>
      </c>
      <c r="U10" s="21">
        <v>83</v>
      </c>
      <c r="V10" s="8">
        <v>79</v>
      </c>
    </row>
    <row r="11" spans="1:22" x14ac:dyDescent="0.25">
      <c r="A11" s="14" t="s">
        <v>27</v>
      </c>
      <c r="B11" s="22">
        <f>VLOOKUP($A11,'[1]credit ethnic graded seats'!$A:$P,HLOOKUP(B$4,'[2]credit ethnic graded seats'!$1:$2,2,FALSE),FALSE)</f>
        <v>0</v>
      </c>
      <c r="C11" s="21">
        <f>VLOOKUP($A11,'[1]credit ethnic graded seats'!$A:$P,HLOOKUP(C$4,'[2]credit ethnic graded seats'!$1:$2,2,FALSE),FALSE)</f>
        <v>13</v>
      </c>
      <c r="D11" s="57">
        <f>VLOOKUP($A11,'[1]credit ethnic graded seats'!$A:$P,HLOOKUP(D$4,'[2]credit ethnic graded seats'!$1:$2,2,FALSE),FALSE)</f>
        <v>7</v>
      </c>
      <c r="E11" s="22">
        <f>VLOOKUP($A11,'[1]credit ethnic graded seats'!$A:$P,HLOOKUP(E$4,'[2]credit ethnic graded seats'!$1:$2,2,FALSE),FALSE)</f>
        <v>6</v>
      </c>
      <c r="F11" s="21">
        <f>VLOOKUP($A11,'[1]credit ethnic graded seats'!$A:$P,HLOOKUP(F$4,'[2]credit ethnic graded seats'!$1:$2,2,FALSE),FALSE)</f>
        <v>17</v>
      </c>
      <c r="G11" s="21">
        <f>VLOOKUP($A11,'[1]credit ethnic graded seats'!$A:$P,HLOOKUP(G$4,'[2]credit ethnic graded seats'!$1:$2,2,FALSE),FALSE)</f>
        <v>20</v>
      </c>
      <c r="H11" s="21">
        <f>VLOOKUP($A11,'[1]credit ethnic graded seats'!$A:$P,HLOOKUP(H$4,'[2]credit ethnic graded seats'!$1:$2,2,FALSE),FALSE)</f>
        <v>4</v>
      </c>
      <c r="I11" s="21">
        <f>VLOOKUP($A11,'[1]credit ethnic graded seats'!$A:$P,HLOOKUP(I$4,'[2]credit ethnic graded seats'!$1:$2,2,FALSE),FALSE)</f>
        <v>14</v>
      </c>
      <c r="J11" s="8">
        <f>VLOOKUP($A11,'[1]credit ethnic graded seats'!$A:$P,HLOOKUP(J$4,'[2]credit ethnic graded seats'!$1:$2,2,FALSE),FALSE)</f>
        <v>14</v>
      </c>
      <c r="K11" s="22">
        <f>VLOOKUP($A11,'[1]credit ethnic graded seats'!$A:$P,HLOOKUP(K$4,'[2]credit ethnic graded seats'!$1:$2,2,FALSE),FALSE)</f>
        <v>3</v>
      </c>
      <c r="L11" s="21">
        <f>VLOOKUP($A11,'[1]credit ethnic graded seats'!$A:$P,HLOOKUP(L$4,'[2]credit ethnic graded seats'!$1:$2,2,FALSE),FALSE)</f>
        <v>11</v>
      </c>
      <c r="M11" s="8">
        <f>VLOOKUP($A11,'[1]credit ethnic graded seats'!$A:$P,HLOOKUP(M$4,'[2]credit ethnic graded seats'!$1:$2,2,FALSE),FALSE)</f>
        <v>16</v>
      </c>
      <c r="N11" s="58">
        <f>VLOOKUP($A11,'[1]credit ethnic graded seats'!$A:$P,HLOOKUP(N$4,'[2]credit ethnic graded seats'!$1:$2,2,FALSE),FALSE)</f>
        <v>0</v>
      </c>
      <c r="O11" s="21">
        <f>VLOOKUP($A11,'[1]credit ethnic graded seats'!$A:$P,HLOOKUP(O$4,'[2]credit ethnic graded seats'!$1:$2,2,FALSE),FALSE)</f>
        <v>11</v>
      </c>
      <c r="P11" s="57">
        <f>VLOOKUP($A11,'[1]credit ethnic graded seats'!$A:$P,HLOOKUP(P$4,'[2]credit ethnic graded seats'!$1:$2,2,FALSE),FALSE)</f>
        <v>9</v>
      </c>
      <c r="Q11" s="22">
        <v>0</v>
      </c>
      <c r="R11" s="21">
        <v>8</v>
      </c>
      <c r="S11" s="8">
        <v>8</v>
      </c>
      <c r="T11" s="22">
        <v>0</v>
      </c>
      <c r="U11" s="21">
        <v>5</v>
      </c>
      <c r="V11" s="8">
        <v>10</v>
      </c>
    </row>
    <row r="12" spans="1:22" x14ac:dyDescent="0.25">
      <c r="A12" s="14" t="s">
        <v>28</v>
      </c>
      <c r="B12" s="22">
        <f>VLOOKUP($A12,'[1]credit ethnic graded seats'!$A:$P,HLOOKUP(B$4,'[2]credit ethnic graded seats'!$1:$2,2,FALSE),FALSE)</f>
        <v>1</v>
      </c>
      <c r="C12" s="21">
        <f>VLOOKUP($A12,'[1]credit ethnic graded seats'!$A:$P,HLOOKUP(C$4,'[2]credit ethnic graded seats'!$1:$2,2,FALSE),FALSE)</f>
        <v>19</v>
      </c>
      <c r="D12" s="57">
        <f>VLOOKUP($A12,'[1]credit ethnic graded seats'!$A:$P,HLOOKUP(D$4,'[2]credit ethnic graded seats'!$1:$2,2,FALSE),FALSE)</f>
        <v>16</v>
      </c>
      <c r="E12" s="22">
        <f>VLOOKUP($A12,'[1]credit ethnic graded seats'!$A:$P,HLOOKUP(E$4,'[2]credit ethnic graded seats'!$1:$2,2,FALSE),FALSE)</f>
        <v>8</v>
      </c>
      <c r="F12" s="21">
        <f>VLOOKUP($A12,'[1]credit ethnic graded seats'!$A:$P,HLOOKUP(F$4,'[2]credit ethnic graded seats'!$1:$2,2,FALSE),FALSE)</f>
        <v>31</v>
      </c>
      <c r="G12" s="21">
        <f>VLOOKUP($A12,'[1]credit ethnic graded seats'!$A:$P,HLOOKUP(G$4,'[2]credit ethnic graded seats'!$1:$2,2,FALSE),FALSE)</f>
        <v>33</v>
      </c>
      <c r="H12" s="21">
        <f>VLOOKUP($A12,'[1]credit ethnic graded seats'!$A:$P,HLOOKUP(H$4,'[2]credit ethnic graded seats'!$1:$2,2,FALSE),FALSE)</f>
        <v>17</v>
      </c>
      <c r="I12" s="21">
        <f>VLOOKUP($A12,'[1]credit ethnic graded seats'!$A:$P,HLOOKUP(I$4,'[2]credit ethnic graded seats'!$1:$2,2,FALSE),FALSE)</f>
        <v>68</v>
      </c>
      <c r="J12" s="8">
        <f>VLOOKUP($A12,'[1]credit ethnic graded seats'!$A:$P,HLOOKUP(J$4,'[2]credit ethnic graded seats'!$1:$2,2,FALSE),FALSE)</f>
        <v>98</v>
      </c>
      <c r="K12" s="22">
        <f>VLOOKUP($A12,'[1]credit ethnic graded seats'!$A:$P,HLOOKUP(K$4,'[2]credit ethnic graded seats'!$1:$2,2,FALSE),FALSE)</f>
        <v>15</v>
      </c>
      <c r="L12" s="21">
        <f>VLOOKUP($A12,'[1]credit ethnic graded seats'!$A:$P,HLOOKUP(L$4,'[2]credit ethnic graded seats'!$1:$2,2,FALSE),FALSE)</f>
        <v>94</v>
      </c>
      <c r="M12" s="8">
        <f>VLOOKUP($A12,'[1]credit ethnic graded seats'!$A:$P,HLOOKUP(M$4,'[2]credit ethnic graded seats'!$1:$2,2,FALSE),FALSE)</f>
        <v>99</v>
      </c>
      <c r="N12" s="58">
        <f>VLOOKUP($A12,'[1]credit ethnic graded seats'!$A:$P,HLOOKUP(N$4,'[2]credit ethnic graded seats'!$1:$2,2,FALSE),FALSE)</f>
        <v>0</v>
      </c>
      <c r="O12" s="21">
        <f>VLOOKUP($A12,'[1]credit ethnic graded seats'!$A:$P,HLOOKUP(O$4,'[2]credit ethnic graded seats'!$1:$2,2,FALSE),FALSE)</f>
        <v>113</v>
      </c>
      <c r="P12" s="57">
        <f>VLOOKUP($A12,'[1]credit ethnic graded seats'!$A:$P,HLOOKUP(P$4,'[2]credit ethnic graded seats'!$1:$2,2,FALSE),FALSE)</f>
        <v>110</v>
      </c>
      <c r="Q12" s="22">
        <v>0</v>
      </c>
      <c r="R12" s="21">
        <v>126</v>
      </c>
      <c r="S12" s="8">
        <v>121</v>
      </c>
      <c r="T12" s="22">
        <v>0</v>
      </c>
      <c r="U12" s="21">
        <v>137</v>
      </c>
      <c r="V12" s="8">
        <v>133</v>
      </c>
    </row>
    <row r="13" spans="1:22" ht="15.75" thickBot="1" x14ac:dyDescent="0.3">
      <c r="A13" s="15" t="s">
        <v>29</v>
      </c>
      <c r="B13" s="59">
        <f>VLOOKUP($A13,'[1]credit ethnic graded seats'!$A:$P,HLOOKUP(B$4,'[2]credit ethnic graded seats'!$1:$2,2,FALSE),FALSE)</f>
        <v>3</v>
      </c>
      <c r="C13" s="60">
        <f>VLOOKUP($A13,'[1]credit ethnic graded seats'!$A:$P,HLOOKUP(C$4,'[2]credit ethnic graded seats'!$1:$2,2,FALSE),FALSE)</f>
        <v>128</v>
      </c>
      <c r="D13" s="61">
        <f>VLOOKUP($A13,'[1]credit ethnic graded seats'!$A:$P,HLOOKUP(D$4,'[2]credit ethnic graded seats'!$1:$2,2,FALSE),FALSE)</f>
        <v>118</v>
      </c>
      <c r="E13" s="59">
        <f>VLOOKUP($A13,'[1]credit ethnic graded seats'!$A:$P,HLOOKUP(E$4,'[2]credit ethnic graded seats'!$1:$2,2,FALSE),FALSE)</f>
        <v>47</v>
      </c>
      <c r="F13" s="60">
        <f>VLOOKUP($A13,'[1]credit ethnic graded seats'!$A:$P,HLOOKUP(F$4,'[2]credit ethnic graded seats'!$1:$2,2,FALSE),FALSE)</f>
        <v>164</v>
      </c>
      <c r="G13" s="60">
        <f>VLOOKUP($A13,'[1]credit ethnic graded seats'!$A:$P,HLOOKUP(G$4,'[2]credit ethnic graded seats'!$1:$2,2,FALSE),FALSE)</f>
        <v>229</v>
      </c>
      <c r="H13" s="60">
        <f>VLOOKUP($A13,'[1]credit ethnic graded seats'!$A:$P,HLOOKUP(H$4,'[2]credit ethnic graded seats'!$1:$2,2,FALSE),FALSE)</f>
        <v>65</v>
      </c>
      <c r="I13" s="60">
        <f>VLOOKUP($A13,'[1]credit ethnic graded seats'!$A:$P,HLOOKUP(I$4,'[2]credit ethnic graded seats'!$1:$2,2,FALSE),FALSE)</f>
        <v>231</v>
      </c>
      <c r="J13" s="62">
        <f>VLOOKUP($A13,'[1]credit ethnic graded seats'!$A:$P,HLOOKUP(J$4,'[2]credit ethnic graded seats'!$1:$2,2,FALSE),FALSE)</f>
        <v>192</v>
      </c>
      <c r="K13" s="59">
        <f>VLOOKUP($A13,'[1]credit ethnic graded seats'!$A:$P,HLOOKUP(K$4,'[2]credit ethnic graded seats'!$1:$2,2,FALSE),FALSE)</f>
        <v>29</v>
      </c>
      <c r="L13" s="60">
        <f>VLOOKUP($A13,'[1]credit ethnic graded seats'!$A:$P,HLOOKUP(L$4,'[2]credit ethnic graded seats'!$1:$2,2,FALSE),FALSE)</f>
        <v>118</v>
      </c>
      <c r="M13" s="62">
        <f>VLOOKUP($A13,'[1]credit ethnic graded seats'!$A:$P,HLOOKUP(M$4,'[2]credit ethnic graded seats'!$1:$2,2,FALSE),FALSE)</f>
        <v>123</v>
      </c>
      <c r="N13" s="63">
        <f>VLOOKUP($A13,'[1]credit ethnic graded seats'!$A:$P,HLOOKUP(N$4,'[2]credit ethnic graded seats'!$1:$2,2,FALSE),FALSE)</f>
        <v>0</v>
      </c>
      <c r="O13" s="60">
        <f>VLOOKUP($A13,'[1]credit ethnic graded seats'!$A:$P,HLOOKUP(O$4,'[2]credit ethnic graded seats'!$1:$2,2,FALSE),FALSE)</f>
        <v>74</v>
      </c>
      <c r="P13" s="57">
        <f>VLOOKUP($A13,'[1]credit ethnic graded seats'!$A:$P,HLOOKUP(P$4,'[2]credit ethnic graded seats'!$1:$2,2,FALSE),FALSE)</f>
        <v>79</v>
      </c>
      <c r="Q13" s="37">
        <v>0</v>
      </c>
      <c r="R13" s="38">
        <v>48</v>
      </c>
      <c r="S13" s="39">
        <v>40</v>
      </c>
      <c r="T13" s="37">
        <v>0</v>
      </c>
      <c r="U13" s="38">
        <v>24</v>
      </c>
      <c r="V13" s="39">
        <v>21</v>
      </c>
    </row>
    <row r="14" spans="1:22" ht="15.75" thickBot="1" x14ac:dyDescent="0.3">
      <c r="A14" s="19" t="s">
        <v>30</v>
      </c>
      <c r="B14" s="64">
        <f>VLOOKUP($A14,'[1]credit ethnic graded seats'!$A:$P,HLOOKUP(B$4,'[2]credit ethnic graded seats'!$1:$2,2,FALSE),FALSE)</f>
        <v>19</v>
      </c>
      <c r="C14" s="65">
        <f>VLOOKUP($A14,'[1]credit ethnic graded seats'!$A:$P,HLOOKUP(C$4,'[2]credit ethnic graded seats'!$1:$2,2,FALSE),FALSE)</f>
        <v>1419</v>
      </c>
      <c r="D14" s="66">
        <f>VLOOKUP($A14,'[1]credit ethnic graded seats'!$A:$P,HLOOKUP(D$4,'[2]credit ethnic graded seats'!$1:$2,2,FALSE),FALSE)</f>
        <v>1468</v>
      </c>
      <c r="E14" s="64">
        <f>VLOOKUP($A14,'[1]credit ethnic graded seats'!$A:$P,HLOOKUP(E$4,'[2]credit ethnic graded seats'!$1:$2,2,FALSE),FALSE)</f>
        <v>490</v>
      </c>
      <c r="F14" s="65">
        <f>VLOOKUP($A14,'[1]credit ethnic graded seats'!$A:$P,HLOOKUP(F$4,'[2]credit ethnic graded seats'!$1:$2,2,FALSE),FALSE)</f>
        <v>1986</v>
      </c>
      <c r="G14" s="65">
        <f>VLOOKUP($A14,'[1]credit ethnic graded seats'!$A:$P,HLOOKUP(G$4,'[2]credit ethnic graded seats'!$1:$2,2,FALSE),FALSE)</f>
        <v>2581</v>
      </c>
      <c r="H14" s="65">
        <f>VLOOKUP($A14,'[1]credit ethnic graded seats'!$A:$P,HLOOKUP(H$4,'[2]credit ethnic graded seats'!$1:$2,2,FALSE),FALSE)</f>
        <v>703</v>
      </c>
      <c r="I14" s="65">
        <f>VLOOKUP($A14,'[1]credit ethnic graded seats'!$A:$P,HLOOKUP(I$4,'[2]credit ethnic graded seats'!$1:$2,2,FALSE),FALSE)</f>
        <v>2539</v>
      </c>
      <c r="J14" s="67">
        <f>VLOOKUP($A14,'[1]credit ethnic graded seats'!$A:$P,HLOOKUP(J$4,'[2]credit ethnic graded seats'!$1:$2,2,FALSE),FALSE)</f>
        <v>2445</v>
      </c>
      <c r="K14" s="64">
        <f>VLOOKUP($A14,'[1]credit ethnic graded seats'!$A:$P,HLOOKUP(K$4,'[2]credit ethnic graded seats'!$1:$2,2,FALSE),FALSE)</f>
        <v>386</v>
      </c>
      <c r="L14" s="65">
        <f>VLOOKUP($A14,'[1]credit ethnic graded seats'!$A:$P,HLOOKUP(L$4,'[2]credit ethnic graded seats'!$1:$2,2,FALSE),FALSE)</f>
        <v>2223</v>
      </c>
      <c r="M14" s="67">
        <f>VLOOKUP($A14,'[1]credit ethnic graded seats'!$A:$P,HLOOKUP(M$4,'[2]credit ethnic graded seats'!$1:$2,2,FALSE),FALSE)</f>
        <v>2173</v>
      </c>
      <c r="N14" s="68">
        <f>VLOOKUP($A14,'[1]credit ethnic graded seats'!$A:$P,HLOOKUP(N$4,'[2]credit ethnic graded seats'!$1:$2,2,FALSE),FALSE)</f>
        <v>0</v>
      </c>
      <c r="O14" s="65">
        <f>VLOOKUP($A14,'[1]credit ethnic graded seats'!$A:$P,HLOOKUP(O$4,'[2]credit ethnic graded seats'!$1:$2,2,FALSE),FALSE)</f>
        <v>2043</v>
      </c>
      <c r="P14" s="66">
        <f>VLOOKUP($A14,'[1]credit ethnic graded seats'!$A:$P,HLOOKUP(P$4,'[2]credit ethnic graded seats'!$1:$2,2,FALSE),FALSE)</f>
        <v>2006</v>
      </c>
      <c r="Q14" s="80">
        <f>SUM(Q5:Q13)</f>
        <v>1</v>
      </c>
      <c r="R14" s="80">
        <f t="shared" ref="R14:U14" si="0">SUM(R5:R13)</f>
        <v>2049</v>
      </c>
      <c r="S14" s="80">
        <f t="shared" si="0"/>
        <v>1927</v>
      </c>
      <c r="T14" s="80">
        <f t="shared" si="0"/>
        <v>0</v>
      </c>
      <c r="U14" s="80">
        <f t="shared" si="0"/>
        <v>1858</v>
      </c>
      <c r="V14" s="80">
        <v>1818</v>
      </c>
    </row>
    <row r="15" spans="1:22" ht="15.75" thickBot="1" x14ac:dyDescent="0.3">
      <c r="A15" s="20" t="s">
        <v>5</v>
      </c>
      <c r="B15" s="91">
        <v>2678</v>
      </c>
      <c r="C15" s="92"/>
      <c r="D15" s="93"/>
      <c r="E15" s="94">
        <v>4486</v>
      </c>
      <c r="F15" s="92"/>
      <c r="G15" s="95"/>
      <c r="H15" s="91">
        <v>4739</v>
      </c>
      <c r="I15" s="92"/>
      <c r="J15" s="93"/>
      <c r="K15" s="94">
        <v>3891</v>
      </c>
      <c r="L15" s="92"/>
      <c r="M15" s="95"/>
      <c r="N15" s="91">
        <v>3265</v>
      </c>
      <c r="O15" s="92"/>
      <c r="P15" s="95"/>
      <c r="Q15" s="91">
        <v>3230</v>
      </c>
      <c r="R15" s="92"/>
      <c r="S15" s="93"/>
      <c r="T15" s="91">
        <v>2958</v>
      </c>
      <c r="U15" s="92"/>
      <c r="V15" s="95"/>
    </row>
    <row r="16" spans="1:22" ht="15.75" thickBot="1" x14ac:dyDescent="0.3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2" ht="15.75" x14ac:dyDescent="0.25">
      <c r="A17" s="96" t="s">
        <v>31</v>
      </c>
      <c r="B17" s="87" t="s">
        <v>32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</row>
    <row r="18" spans="1:22" ht="16.5" thickBot="1" x14ac:dyDescent="0.3">
      <c r="A18" s="97"/>
      <c r="B18" s="89" t="str">
        <f>B2</f>
        <v>MSJC I-15 Corridor / TEM Total by Ethnic Groups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</row>
    <row r="19" spans="1:22" ht="15.75" thickBot="1" x14ac:dyDescent="0.3">
      <c r="A19" s="98"/>
      <c r="B19" s="84" t="s">
        <v>0</v>
      </c>
      <c r="C19" s="85"/>
      <c r="D19" s="86"/>
      <c r="E19" s="81" t="s">
        <v>1</v>
      </c>
      <c r="F19" s="82"/>
      <c r="G19" s="83"/>
      <c r="H19" s="84" t="s">
        <v>2</v>
      </c>
      <c r="I19" s="85"/>
      <c r="J19" s="86"/>
      <c r="K19" s="81" t="s">
        <v>3</v>
      </c>
      <c r="L19" s="82"/>
      <c r="M19" s="83"/>
      <c r="N19" s="84" t="s">
        <v>4</v>
      </c>
      <c r="O19" s="85"/>
      <c r="P19" s="86"/>
      <c r="Q19" s="81" t="s">
        <v>41</v>
      </c>
      <c r="R19" s="82"/>
      <c r="S19" s="83"/>
      <c r="T19" s="84" t="s">
        <v>42</v>
      </c>
      <c r="U19" s="85"/>
      <c r="V19" s="86"/>
    </row>
    <row r="20" spans="1:22" ht="15.75" thickBot="1" x14ac:dyDescent="0.3">
      <c r="A20" s="12" t="s">
        <v>38</v>
      </c>
      <c r="B20" s="43" t="s">
        <v>6</v>
      </c>
      <c r="C20" s="44" t="s">
        <v>7</v>
      </c>
      <c r="D20" s="45" t="s">
        <v>8</v>
      </c>
      <c r="E20" s="46" t="s">
        <v>9</v>
      </c>
      <c r="F20" s="47" t="s">
        <v>10</v>
      </c>
      <c r="G20" s="48" t="s">
        <v>11</v>
      </c>
      <c r="H20" s="43" t="s">
        <v>12</v>
      </c>
      <c r="I20" s="44" t="s">
        <v>13</v>
      </c>
      <c r="J20" s="45" t="s">
        <v>14</v>
      </c>
      <c r="K20" s="46" t="s">
        <v>15</v>
      </c>
      <c r="L20" s="47" t="s">
        <v>16</v>
      </c>
      <c r="M20" s="48" t="s">
        <v>17</v>
      </c>
      <c r="N20" s="43" t="s">
        <v>18</v>
      </c>
      <c r="O20" s="44" t="s">
        <v>19</v>
      </c>
      <c r="P20" s="45" t="s">
        <v>20</v>
      </c>
      <c r="Q20" s="46" t="s">
        <v>43</v>
      </c>
      <c r="R20" s="47" t="s">
        <v>44</v>
      </c>
      <c r="S20" s="48" t="s">
        <v>45</v>
      </c>
      <c r="T20" s="43" t="s">
        <v>46</v>
      </c>
      <c r="U20" s="44" t="s">
        <v>47</v>
      </c>
      <c r="V20" s="49" t="s">
        <v>48</v>
      </c>
    </row>
    <row r="21" spans="1:22" x14ac:dyDescent="0.25">
      <c r="A21" s="13" t="s">
        <v>21</v>
      </c>
      <c r="B21" s="9">
        <f t="shared" ref="B21:D21" si="1">IFERROR((B5/B$14),0)</f>
        <v>0.36842105263157893</v>
      </c>
      <c r="C21" s="23">
        <f t="shared" si="1"/>
        <v>0.48696264975334741</v>
      </c>
      <c r="D21" s="29">
        <f t="shared" si="1"/>
        <v>0.48841961852861038</v>
      </c>
      <c r="E21" s="9">
        <f t="shared" ref="E21:M21" si="2">IFERROR((E5/E$14),0)</f>
        <v>0.40816326530612246</v>
      </c>
      <c r="F21" s="23">
        <f t="shared" si="2"/>
        <v>0.47482376636455187</v>
      </c>
      <c r="G21" s="10">
        <f t="shared" si="2"/>
        <v>0.47462223944207671</v>
      </c>
      <c r="H21" s="32">
        <f t="shared" si="2"/>
        <v>0.44950213371266001</v>
      </c>
      <c r="I21" s="23">
        <f t="shared" si="2"/>
        <v>0.46868846002363135</v>
      </c>
      <c r="J21" s="29">
        <f t="shared" si="2"/>
        <v>0.46053169734151328</v>
      </c>
      <c r="K21" s="9">
        <f t="shared" si="2"/>
        <v>0.38860103626943004</v>
      </c>
      <c r="L21" s="23">
        <f t="shared" si="2"/>
        <v>0.47008547008547008</v>
      </c>
      <c r="M21" s="10">
        <f t="shared" si="2"/>
        <v>0.44316612977450531</v>
      </c>
      <c r="N21" s="32">
        <f t="shared" ref="N21:P21" si="3">IFERROR((N5/N$14),0)</f>
        <v>0</v>
      </c>
      <c r="O21" s="23">
        <f t="shared" si="3"/>
        <v>0.43954968184043075</v>
      </c>
      <c r="P21" s="69">
        <f t="shared" si="3"/>
        <v>0.43419740777666999</v>
      </c>
      <c r="Q21" s="9">
        <v>1</v>
      </c>
      <c r="R21" s="23">
        <v>0.434</v>
      </c>
      <c r="S21" s="70">
        <v>0.41049999999999998</v>
      </c>
      <c r="T21" s="9">
        <v>0</v>
      </c>
      <c r="U21" s="23">
        <v>0.39250000000000002</v>
      </c>
      <c r="V21" s="70">
        <v>0.38779999999999998</v>
      </c>
    </row>
    <row r="22" spans="1:22" x14ac:dyDescent="0.25">
      <c r="A22" s="14" t="s">
        <v>22</v>
      </c>
      <c r="B22" s="28">
        <f t="shared" ref="B22:D22" si="4">IFERROR((B6/B$14),0)</f>
        <v>0.31578947368421051</v>
      </c>
      <c r="C22" s="24">
        <f t="shared" si="4"/>
        <v>0.23114869626497533</v>
      </c>
      <c r="D22" s="30">
        <f t="shared" si="4"/>
        <v>0.24795640326975477</v>
      </c>
      <c r="E22" s="28">
        <f t="shared" ref="E22:M22" si="5">IFERROR((E6/E$14),0)</f>
        <v>0.25918367346938775</v>
      </c>
      <c r="F22" s="24">
        <f t="shared" si="5"/>
        <v>0.25679758308157102</v>
      </c>
      <c r="G22" s="11">
        <f t="shared" si="5"/>
        <v>0.25920185974428517</v>
      </c>
      <c r="H22" s="33">
        <f t="shared" si="5"/>
        <v>0.25320056899004267</v>
      </c>
      <c r="I22" s="24">
        <f t="shared" si="5"/>
        <v>0.25915714848365501</v>
      </c>
      <c r="J22" s="30">
        <f t="shared" si="5"/>
        <v>0.2588957055214724</v>
      </c>
      <c r="K22" s="28">
        <f t="shared" si="5"/>
        <v>0.30051813471502592</v>
      </c>
      <c r="L22" s="24">
        <f t="shared" si="5"/>
        <v>0.28609986504723345</v>
      </c>
      <c r="M22" s="11">
        <f t="shared" si="5"/>
        <v>0.31523239760699495</v>
      </c>
      <c r="N22" s="33">
        <f t="shared" ref="N22:P22" si="6">IFERROR((N6/N$14),0)</f>
        <v>0</v>
      </c>
      <c r="O22" s="24">
        <f t="shared" si="6"/>
        <v>0.33627019089574156</v>
      </c>
      <c r="P22" s="30">
        <f t="shared" si="6"/>
        <v>0.33848454636091724</v>
      </c>
      <c r="Q22" s="28">
        <v>0</v>
      </c>
      <c r="R22" s="24">
        <v>0.34060000000000001</v>
      </c>
      <c r="S22" s="11">
        <v>0.37890000000000001</v>
      </c>
      <c r="T22" s="28">
        <v>0</v>
      </c>
      <c r="U22" s="24">
        <v>0.3952</v>
      </c>
      <c r="V22" s="11">
        <v>0.38940000000000002</v>
      </c>
    </row>
    <row r="23" spans="1:22" x14ac:dyDescent="0.25">
      <c r="A23" s="14" t="s">
        <v>23</v>
      </c>
      <c r="B23" s="28">
        <f t="shared" ref="B23:D23" si="7">IFERROR((B7/B$14),0)</f>
        <v>0.10526315789473684</v>
      </c>
      <c r="C23" s="24">
        <f t="shared" si="7"/>
        <v>6.8357998590556732E-2</v>
      </c>
      <c r="D23" s="30">
        <f t="shared" si="7"/>
        <v>6.607629427792916E-2</v>
      </c>
      <c r="E23" s="28">
        <f t="shared" ref="E23:M23" si="8">IFERROR((E7/E$14),0)</f>
        <v>6.9387755102040816E-2</v>
      </c>
      <c r="F23" s="24">
        <f t="shared" si="8"/>
        <v>7.5528700906344406E-2</v>
      </c>
      <c r="G23" s="11">
        <f t="shared" si="8"/>
        <v>6.7028283611003492E-2</v>
      </c>
      <c r="H23" s="33">
        <f t="shared" si="8"/>
        <v>6.4011379800853488E-2</v>
      </c>
      <c r="I23" s="24">
        <f t="shared" si="8"/>
        <v>6.1441512406459238E-2</v>
      </c>
      <c r="J23" s="30">
        <f t="shared" si="8"/>
        <v>6.4621676891615548E-2</v>
      </c>
      <c r="K23" s="28">
        <f t="shared" si="8"/>
        <v>5.181347150259067E-2</v>
      </c>
      <c r="L23" s="24">
        <f t="shared" si="8"/>
        <v>6.0728744939271252E-2</v>
      </c>
      <c r="M23" s="11">
        <f t="shared" si="8"/>
        <v>5.2922227335480902E-2</v>
      </c>
      <c r="N23" s="33">
        <f t="shared" ref="N23:P23" si="9">IFERROR((N7/N$14),0)</f>
        <v>0</v>
      </c>
      <c r="O23" s="24">
        <f t="shared" si="9"/>
        <v>4.8947626040137054E-2</v>
      </c>
      <c r="P23" s="30">
        <f t="shared" si="9"/>
        <v>5.2342971086739784E-2</v>
      </c>
      <c r="Q23" s="28">
        <v>0</v>
      </c>
      <c r="R23" s="24">
        <v>5.2900000000000003E-2</v>
      </c>
      <c r="S23" s="11">
        <v>4.8099999999999997E-2</v>
      </c>
      <c r="T23" s="28">
        <v>0</v>
      </c>
      <c r="U23" s="24">
        <v>5.3199999999999997E-2</v>
      </c>
      <c r="V23" s="11">
        <v>6.3299999999999995E-2</v>
      </c>
    </row>
    <row r="24" spans="1:22" x14ac:dyDescent="0.25">
      <c r="A24" s="14" t="s">
        <v>24</v>
      </c>
      <c r="B24" s="28">
        <f t="shared" ref="B24:D24" si="10">IFERROR((B8/B$14),0)</f>
        <v>0</v>
      </c>
      <c r="C24" s="24">
        <f t="shared" si="10"/>
        <v>2.6074700493305146E-2</v>
      </c>
      <c r="D24" s="30">
        <f t="shared" si="10"/>
        <v>3.5422343324250684E-2</v>
      </c>
      <c r="E24" s="28">
        <f t="shared" ref="E24:M24" si="11">IFERROR((E8/E$14),0)</f>
        <v>5.7142857142857141E-2</v>
      </c>
      <c r="F24" s="24">
        <f t="shared" si="11"/>
        <v>2.7190332326283987E-2</v>
      </c>
      <c r="G24" s="11">
        <f t="shared" si="11"/>
        <v>2.7121270825261525E-2</v>
      </c>
      <c r="H24" s="33">
        <f t="shared" si="11"/>
        <v>3.4139402560455195E-2</v>
      </c>
      <c r="I24" s="24">
        <f t="shared" si="11"/>
        <v>2.5600630169358016E-2</v>
      </c>
      <c r="J24" s="30">
        <f t="shared" si="11"/>
        <v>2.7402862985685072E-2</v>
      </c>
      <c r="K24" s="28">
        <f t="shared" si="11"/>
        <v>6.2176165803108807E-2</v>
      </c>
      <c r="L24" s="24">
        <f t="shared" si="11"/>
        <v>3.1938821412505626E-2</v>
      </c>
      <c r="M24" s="11">
        <f t="shared" si="11"/>
        <v>2.8992176714219973E-2</v>
      </c>
      <c r="N24" s="33">
        <f t="shared" ref="N24:P24" si="12">IFERROR((N8/N$14),0)</f>
        <v>0</v>
      </c>
      <c r="O24" s="24">
        <f t="shared" si="12"/>
        <v>3.2794909446891826E-2</v>
      </c>
      <c r="P24" s="30">
        <f t="shared" si="12"/>
        <v>2.5922233300099701E-2</v>
      </c>
      <c r="Q24" s="28">
        <v>0</v>
      </c>
      <c r="R24" s="24">
        <v>2.23E-2</v>
      </c>
      <c r="S24" s="11">
        <v>2.9000000000000001E-2</v>
      </c>
      <c r="T24" s="28">
        <v>0</v>
      </c>
      <c r="U24" s="24">
        <v>1.9900000000000001E-2</v>
      </c>
      <c r="V24" s="11">
        <v>2.1999999999999999E-2</v>
      </c>
    </row>
    <row r="25" spans="1:22" x14ac:dyDescent="0.25">
      <c r="A25" s="14" t="s">
        <v>25</v>
      </c>
      <c r="B25" s="28">
        <f t="shared" ref="B25:D25" si="13">IFERROR((B9/B$14),0)</f>
        <v>0</v>
      </c>
      <c r="C25" s="24">
        <f t="shared" si="13"/>
        <v>1.4094432699083862E-2</v>
      </c>
      <c r="D25" s="30">
        <f t="shared" si="13"/>
        <v>1.0217983651226158E-2</v>
      </c>
      <c r="E25" s="28">
        <f t="shared" ref="E25:M25" si="14">IFERROR((E9/E$14),0)</f>
        <v>2.0408163265306121E-2</v>
      </c>
      <c r="F25" s="24">
        <f t="shared" si="14"/>
        <v>9.0634441087613302E-3</v>
      </c>
      <c r="G25" s="11">
        <f t="shared" si="14"/>
        <v>1.3560635412630763E-2</v>
      </c>
      <c r="H25" s="33">
        <f t="shared" si="14"/>
        <v>1.2802275960170697E-2</v>
      </c>
      <c r="I25" s="24">
        <f t="shared" si="14"/>
        <v>7.8771169751870821E-3</v>
      </c>
      <c r="J25" s="30">
        <f t="shared" si="14"/>
        <v>8.1799591002044997E-3</v>
      </c>
      <c r="K25" s="28">
        <f t="shared" si="14"/>
        <v>1.0362694300518135E-2</v>
      </c>
      <c r="L25" s="24">
        <f t="shared" si="14"/>
        <v>4.49842555105713E-3</v>
      </c>
      <c r="M25" s="11">
        <f t="shared" si="14"/>
        <v>5.0621260929590425E-3</v>
      </c>
      <c r="N25" s="33">
        <f t="shared" ref="N25:P25" si="15">IFERROR((N9/N$14),0)</f>
        <v>0</v>
      </c>
      <c r="O25" s="24">
        <f t="shared" si="15"/>
        <v>1.4684287812041115E-3</v>
      </c>
      <c r="P25" s="30">
        <f t="shared" si="15"/>
        <v>3.489531405782652E-3</v>
      </c>
      <c r="Q25" s="28">
        <v>0</v>
      </c>
      <c r="R25" s="24">
        <v>4.7999999999999996E-3</v>
      </c>
      <c r="S25" s="11">
        <v>2.5999999999999999E-3</v>
      </c>
      <c r="T25" s="28">
        <v>0</v>
      </c>
      <c r="U25" s="24">
        <v>5.4000000000000003E-3</v>
      </c>
      <c r="V25" s="11">
        <v>3.8999999999999998E-3</v>
      </c>
    </row>
    <row r="26" spans="1:22" x14ac:dyDescent="0.25">
      <c r="A26" s="14" t="s">
        <v>26</v>
      </c>
      <c r="B26" s="28">
        <f t="shared" ref="B26:D26" si="16">IFERROR((B10/B$14),0)</f>
        <v>0</v>
      </c>
      <c r="C26" s="24">
        <f t="shared" si="16"/>
        <v>6.0606060606060608E-2</v>
      </c>
      <c r="D26" s="30">
        <f t="shared" si="16"/>
        <v>5.5858310626702996E-2</v>
      </c>
      <c r="E26" s="28">
        <f t="shared" ref="E26:M26" si="17">IFERROR((E10/E$14),0)</f>
        <v>6.1224489795918366E-2</v>
      </c>
      <c r="F26" s="24">
        <f t="shared" si="17"/>
        <v>4.9848942598187312E-2</v>
      </c>
      <c r="G26" s="11">
        <f t="shared" si="17"/>
        <v>4.9205734211545914E-2</v>
      </c>
      <c r="H26" s="33">
        <f t="shared" si="17"/>
        <v>6.4011379800853488E-2</v>
      </c>
      <c r="I26" s="24">
        <f t="shared" si="17"/>
        <v>5.3958251280031511E-2</v>
      </c>
      <c r="J26" s="30">
        <f t="shared" si="17"/>
        <v>5.6032719836400818E-2</v>
      </c>
      <c r="K26" s="28">
        <f t="shared" si="17"/>
        <v>6.4766839378238336E-2</v>
      </c>
      <c r="L26" s="24">
        <f t="shared" si="17"/>
        <v>4.6333783175888439E-2</v>
      </c>
      <c r="M26" s="11">
        <f t="shared" si="17"/>
        <v>4.5098941555453291E-2</v>
      </c>
      <c r="N26" s="33">
        <f t="shared" ref="N26:P26" si="18">IFERROR((N10/N$14),0)</f>
        <v>0</v>
      </c>
      <c r="O26" s="24">
        <f t="shared" si="18"/>
        <v>4.405286343612335E-2</v>
      </c>
      <c r="P26" s="30">
        <f t="shared" si="18"/>
        <v>4.6859421734795612E-2</v>
      </c>
      <c r="Q26" s="28">
        <v>0</v>
      </c>
      <c r="R26" s="24">
        <v>4.6100000000000002E-2</v>
      </c>
      <c r="S26" s="11">
        <v>4.2999999999999997E-2</v>
      </c>
      <c r="T26" s="28">
        <v>0</v>
      </c>
      <c r="U26" s="24">
        <v>4.4600000000000001E-2</v>
      </c>
      <c r="V26" s="11">
        <v>4.3499999999999997E-2</v>
      </c>
    </row>
    <row r="27" spans="1:22" x14ac:dyDescent="0.25">
      <c r="A27" s="14" t="s">
        <v>27</v>
      </c>
      <c r="B27" s="28">
        <f t="shared" ref="B27:D27" si="19">IFERROR((B11/B$14),0)</f>
        <v>0</v>
      </c>
      <c r="C27" s="24">
        <f t="shared" si="19"/>
        <v>9.161381254404511E-3</v>
      </c>
      <c r="D27" s="30">
        <f t="shared" si="19"/>
        <v>4.7683923705722072E-3</v>
      </c>
      <c r="E27" s="28">
        <f t="shared" ref="E27:M27" si="20">IFERROR((E11/E$14),0)</f>
        <v>1.2244897959183673E-2</v>
      </c>
      <c r="F27" s="24">
        <f t="shared" si="20"/>
        <v>8.559919436052367E-3</v>
      </c>
      <c r="G27" s="11">
        <f t="shared" si="20"/>
        <v>7.7489345215032935E-3</v>
      </c>
      <c r="H27" s="33">
        <f t="shared" si="20"/>
        <v>5.6899004267425323E-3</v>
      </c>
      <c r="I27" s="24">
        <f t="shared" si="20"/>
        <v>5.5139818826309573E-3</v>
      </c>
      <c r="J27" s="30">
        <f t="shared" si="20"/>
        <v>5.7259713701431495E-3</v>
      </c>
      <c r="K27" s="28">
        <f t="shared" si="20"/>
        <v>7.7720207253886009E-3</v>
      </c>
      <c r="L27" s="24">
        <f t="shared" si="20"/>
        <v>4.9482681061628429E-3</v>
      </c>
      <c r="M27" s="11">
        <f t="shared" si="20"/>
        <v>7.3630924988495172E-3</v>
      </c>
      <c r="N27" s="33">
        <f t="shared" ref="N27:P27" si="21">IFERROR((N11/N$14),0)</f>
        <v>0</v>
      </c>
      <c r="O27" s="24">
        <f t="shared" si="21"/>
        <v>5.3842388644150755E-3</v>
      </c>
      <c r="P27" s="30">
        <f t="shared" si="21"/>
        <v>4.4865403788634101E-3</v>
      </c>
      <c r="Q27" s="28">
        <v>0</v>
      </c>
      <c r="R27" s="24">
        <v>3.8999999999999998E-3</v>
      </c>
      <c r="S27" s="11">
        <v>4.1000000000000003E-3</v>
      </c>
      <c r="T27" s="28">
        <v>0</v>
      </c>
      <c r="U27" s="24">
        <v>2.7000000000000001E-3</v>
      </c>
      <c r="V27" s="11">
        <v>5.4999999999999997E-3</v>
      </c>
    </row>
    <row r="28" spans="1:22" x14ac:dyDescent="0.25">
      <c r="A28" s="14" t="s">
        <v>28</v>
      </c>
      <c r="B28" s="28">
        <f t="shared" ref="B28:D28" si="22">IFERROR((B12/B$14),0)</f>
        <v>5.2631578947368418E-2</v>
      </c>
      <c r="C28" s="24">
        <f t="shared" si="22"/>
        <v>1.3389711064129669E-2</v>
      </c>
      <c r="D28" s="30">
        <f t="shared" si="22"/>
        <v>1.0899182561307902E-2</v>
      </c>
      <c r="E28" s="28">
        <f t="shared" ref="E28:M28" si="23">IFERROR((E12/E$14),0)</f>
        <v>1.6326530612244899E-2</v>
      </c>
      <c r="F28" s="24">
        <f t="shared" si="23"/>
        <v>1.5609264853977844E-2</v>
      </c>
      <c r="G28" s="11">
        <f t="shared" si="23"/>
        <v>1.2785741960480435E-2</v>
      </c>
      <c r="H28" s="33">
        <f t="shared" si="23"/>
        <v>2.4182076813655761E-2</v>
      </c>
      <c r="I28" s="24">
        <f t="shared" si="23"/>
        <v>2.6782197715636079E-2</v>
      </c>
      <c r="J28" s="30">
        <f t="shared" si="23"/>
        <v>4.0081799591002047E-2</v>
      </c>
      <c r="K28" s="28">
        <f t="shared" si="23"/>
        <v>3.8860103626943004E-2</v>
      </c>
      <c r="L28" s="24">
        <f t="shared" si="23"/>
        <v>4.2285200179937019E-2</v>
      </c>
      <c r="M28" s="11">
        <f t="shared" si="23"/>
        <v>4.5559134836631383E-2</v>
      </c>
      <c r="N28" s="33">
        <f t="shared" ref="N28:P28" si="24">IFERROR((N12/N$14),0)</f>
        <v>0</v>
      </c>
      <c r="O28" s="24">
        <f t="shared" si="24"/>
        <v>5.5310817425354868E-2</v>
      </c>
      <c r="P28" s="30">
        <f t="shared" si="24"/>
        <v>5.4835493519441676E-2</v>
      </c>
      <c r="Q28" s="28">
        <v>0</v>
      </c>
      <c r="R28" s="24">
        <v>6.1600000000000002E-2</v>
      </c>
      <c r="S28" s="11">
        <v>6.2600000000000003E-2</v>
      </c>
      <c r="T28" s="28">
        <v>0</v>
      </c>
      <c r="U28" s="24">
        <v>7.3700000000000002E-2</v>
      </c>
      <c r="V28" s="11">
        <v>7.3200000000000001E-2</v>
      </c>
    </row>
    <row r="29" spans="1:22" ht="15.75" thickBot="1" x14ac:dyDescent="0.3">
      <c r="A29" s="15" t="s">
        <v>29</v>
      </c>
      <c r="B29" s="26">
        <f t="shared" ref="B29:D29" si="25">IFERROR((B13/B$14),0)</f>
        <v>0.15789473684210525</v>
      </c>
      <c r="C29" s="27">
        <f t="shared" si="25"/>
        <v>9.020436927413672E-2</v>
      </c>
      <c r="D29" s="31">
        <f t="shared" si="25"/>
        <v>8.038147138964577E-2</v>
      </c>
      <c r="E29" s="26">
        <f t="shared" ref="E29:M29" si="26">IFERROR((E13/E$14),0)</f>
        <v>9.5918367346938774E-2</v>
      </c>
      <c r="F29" s="27">
        <f t="shared" si="26"/>
        <v>8.2578046324269891E-2</v>
      </c>
      <c r="G29" s="25">
        <f t="shared" si="26"/>
        <v>8.8725300271212712E-2</v>
      </c>
      <c r="H29" s="34">
        <f t="shared" si="26"/>
        <v>9.2460881934566141E-2</v>
      </c>
      <c r="I29" s="27">
        <f t="shared" si="26"/>
        <v>9.0980701063410788E-2</v>
      </c>
      <c r="J29" s="31">
        <f t="shared" si="26"/>
        <v>7.8527607361963195E-2</v>
      </c>
      <c r="K29" s="26">
        <f t="shared" si="26"/>
        <v>7.512953367875648E-2</v>
      </c>
      <c r="L29" s="27">
        <f t="shared" si="26"/>
        <v>5.3081421502474135E-2</v>
      </c>
      <c r="M29" s="25">
        <f t="shared" si="26"/>
        <v>5.6603773584905662E-2</v>
      </c>
      <c r="N29" s="34">
        <f t="shared" ref="N29:P29" si="27">IFERROR((N13/N$14),0)</f>
        <v>0</v>
      </c>
      <c r="O29" s="27">
        <f t="shared" si="27"/>
        <v>3.6221243269701421E-2</v>
      </c>
      <c r="P29" s="31">
        <f t="shared" si="27"/>
        <v>3.9381854436689928E-2</v>
      </c>
      <c r="Q29" s="26">
        <v>0</v>
      </c>
      <c r="R29" s="27">
        <v>2.3800000000000002E-2</v>
      </c>
      <c r="S29" s="25">
        <v>2.12E-2</v>
      </c>
      <c r="T29" s="26">
        <v>0</v>
      </c>
      <c r="U29" s="27">
        <v>1.29E-2</v>
      </c>
      <c r="V29" s="25">
        <v>1.1599999999999999E-2</v>
      </c>
    </row>
    <row r="30" spans="1:22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22" ht="15.75" x14ac:dyDescent="0.25">
      <c r="A31" s="96" t="s">
        <v>33</v>
      </c>
      <c r="B31" s="87" t="s">
        <v>33</v>
      </c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</row>
    <row r="32" spans="1:22" ht="16.5" thickBot="1" x14ac:dyDescent="0.3">
      <c r="A32" s="97"/>
      <c r="B32" s="89" t="str">
        <f>B18</f>
        <v>MSJC I-15 Corridor / TEM Total by Ethnic Groups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</row>
    <row r="33" spans="1:22" ht="15.75" thickBot="1" x14ac:dyDescent="0.3">
      <c r="A33" s="98"/>
      <c r="B33" s="84" t="s">
        <v>0</v>
      </c>
      <c r="C33" s="85"/>
      <c r="D33" s="86"/>
      <c r="E33" s="81" t="s">
        <v>1</v>
      </c>
      <c r="F33" s="82"/>
      <c r="G33" s="83"/>
      <c r="H33" s="84" t="s">
        <v>2</v>
      </c>
      <c r="I33" s="85"/>
      <c r="J33" s="86"/>
      <c r="K33" s="81" t="s">
        <v>3</v>
      </c>
      <c r="L33" s="82"/>
      <c r="M33" s="83"/>
      <c r="N33" s="84" t="s">
        <v>4</v>
      </c>
      <c r="O33" s="85"/>
      <c r="P33" s="86"/>
      <c r="Q33" s="81" t="s">
        <v>41</v>
      </c>
      <c r="R33" s="82"/>
      <c r="S33" s="83"/>
      <c r="T33" s="84" t="s">
        <v>42</v>
      </c>
      <c r="U33" s="85"/>
      <c r="V33" s="86"/>
    </row>
    <row r="34" spans="1:22" ht="15.75" thickBot="1" x14ac:dyDescent="0.3">
      <c r="A34" s="7" t="s">
        <v>37</v>
      </c>
      <c r="B34" s="43" t="s">
        <v>6</v>
      </c>
      <c r="C34" s="44" t="s">
        <v>7</v>
      </c>
      <c r="D34" s="45" t="s">
        <v>8</v>
      </c>
      <c r="E34" s="46" t="s">
        <v>9</v>
      </c>
      <c r="F34" s="47" t="s">
        <v>10</v>
      </c>
      <c r="G34" s="48" t="s">
        <v>11</v>
      </c>
      <c r="H34" s="43" t="s">
        <v>12</v>
      </c>
      <c r="I34" s="44" t="s">
        <v>13</v>
      </c>
      <c r="J34" s="45" t="s">
        <v>14</v>
      </c>
      <c r="K34" s="46" t="s">
        <v>15</v>
      </c>
      <c r="L34" s="47" t="s">
        <v>16</v>
      </c>
      <c r="M34" s="48" t="s">
        <v>17</v>
      </c>
      <c r="N34" s="43" t="s">
        <v>18</v>
      </c>
      <c r="O34" s="44" t="s">
        <v>19</v>
      </c>
      <c r="P34" s="45" t="s">
        <v>20</v>
      </c>
      <c r="Q34" s="46" t="s">
        <v>43</v>
      </c>
      <c r="R34" s="47" t="s">
        <v>44</v>
      </c>
      <c r="S34" s="48" t="s">
        <v>45</v>
      </c>
      <c r="T34" s="43" t="s">
        <v>46</v>
      </c>
      <c r="U34" s="44" t="s">
        <v>47</v>
      </c>
      <c r="V34" s="49" t="s">
        <v>48</v>
      </c>
    </row>
    <row r="35" spans="1:22" x14ac:dyDescent="0.25">
      <c r="A35" s="13" t="s">
        <v>21</v>
      </c>
      <c r="B35" s="17">
        <v>1</v>
      </c>
      <c r="C35" s="17">
        <v>0.69</v>
      </c>
      <c r="D35" s="17">
        <v>0.76</v>
      </c>
      <c r="E35" s="17">
        <v>0.88</v>
      </c>
      <c r="F35" s="17">
        <v>0.73</v>
      </c>
      <c r="G35" s="17">
        <v>0.77</v>
      </c>
      <c r="H35" s="17">
        <v>0.84</v>
      </c>
      <c r="I35" s="17">
        <v>0.78</v>
      </c>
      <c r="J35" s="17">
        <v>0.73</v>
      </c>
      <c r="K35" s="17">
        <v>0.9</v>
      </c>
      <c r="L35" s="17">
        <v>0.75</v>
      </c>
      <c r="M35" s="17">
        <v>0.74</v>
      </c>
      <c r="N35" s="17"/>
      <c r="O35" s="17">
        <v>0.79</v>
      </c>
      <c r="P35" s="17">
        <v>0.76</v>
      </c>
      <c r="Q35" s="17">
        <v>1</v>
      </c>
      <c r="R35" s="17">
        <v>0.78</v>
      </c>
      <c r="S35" s="71">
        <v>0.78</v>
      </c>
      <c r="T35" s="72"/>
      <c r="U35" s="72">
        <v>0.77</v>
      </c>
      <c r="V35" s="73">
        <v>0.77</v>
      </c>
    </row>
    <row r="36" spans="1:22" x14ac:dyDescent="0.25">
      <c r="A36" s="14" t="s">
        <v>22</v>
      </c>
      <c r="B36" s="17">
        <v>1</v>
      </c>
      <c r="C36" s="17">
        <v>0.61</v>
      </c>
      <c r="D36" s="17">
        <v>0.68</v>
      </c>
      <c r="E36" s="17">
        <v>0.83</v>
      </c>
      <c r="F36" s="17">
        <v>0.64</v>
      </c>
      <c r="G36" s="17">
        <v>0.7</v>
      </c>
      <c r="H36" s="17">
        <v>0.83</v>
      </c>
      <c r="I36" s="17">
        <v>0.72</v>
      </c>
      <c r="J36" s="17">
        <v>0.7</v>
      </c>
      <c r="K36" s="17">
        <v>0.88</v>
      </c>
      <c r="L36" s="17">
        <v>0.72</v>
      </c>
      <c r="M36" s="17">
        <v>0.69</v>
      </c>
      <c r="N36" s="17"/>
      <c r="O36" s="17">
        <v>0.74</v>
      </c>
      <c r="P36" s="17">
        <v>0.71</v>
      </c>
      <c r="Q36" s="17"/>
      <c r="R36" s="17">
        <v>0.74</v>
      </c>
      <c r="S36" s="74">
        <v>0.72</v>
      </c>
      <c r="T36" s="75"/>
      <c r="U36" s="75">
        <v>0.74</v>
      </c>
      <c r="V36" s="76">
        <v>0.73</v>
      </c>
    </row>
    <row r="37" spans="1:22" x14ac:dyDescent="0.25">
      <c r="A37" s="14" t="s">
        <v>23</v>
      </c>
      <c r="B37" s="17">
        <v>1</v>
      </c>
      <c r="C37" s="17">
        <v>0.59</v>
      </c>
      <c r="D37" s="17">
        <v>0.53</v>
      </c>
      <c r="E37" s="17">
        <v>0.69</v>
      </c>
      <c r="F37" s="17">
        <v>0.61</v>
      </c>
      <c r="G37" s="17">
        <v>0.67</v>
      </c>
      <c r="H37" s="17">
        <v>0.69</v>
      </c>
      <c r="I37" s="17">
        <v>0.59</v>
      </c>
      <c r="J37" s="17">
        <v>0.56999999999999995</v>
      </c>
      <c r="K37" s="17">
        <v>0.7</v>
      </c>
      <c r="L37" s="17">
        <v>0.72</v>
      </c>
      <c r="M37" s="17">
        <v>0.66</v>
      </c>
      <c r="N37" s="17"/>
      <c r="O37" s="17">
        <v>0.67</v>
      </c>
      <c r="P37" s="17">
        <v>0.64</v>
      </c>
      <c r="Q37" s="17"/>
      <c r="R37" s="17">
        <v>0.66</v>
      </c>
      <c r="S37" s="74">
        <v>0.71</v>
      </c>
      <c r="T37" s="75"/>
      <c r="U37" s="75">
        <v>0.69</v>
      </c>
      <c r="V37" s="76">
        <v>0.66</v>
      </c>
    </row>
    <row r="38" spans="1:22" x14ac:dyDescent="0.25">
      <c r="A38" s="14" t="s">
        <v>24</v>
      </c>
      <c r="B38" s="17"/>
      <c r="C38" s="17">
        <v>0.76</v>
      </c>
      <c r="D38" s="17">
        <v>0.81</v>
      </c>
      <c r="E38" s="17">
        <v>0.88</v>
      </c>
      <c r="F38" s="17">
        <v>0.79</v>
      </c>
      <c r="G38" s="17">
        <v>0.78</v>
      </c>
      <c r="H38" s="17">
        <v>0.86</v>
      </c>
      <c r="I38" s="17">
        <v>0.71</v>
      </c>
      <c r="J38" s="17">
        <v>0.75</v>
      </c>
      <c r="K38" s="17">
        <v>0.88</v>
      </c>
      <c r="L38" s="17">
        <v>0.8</v>
      </c>
      <c r="M38" s="17">
        <v>0.74</v>
      </c>
      <c r="N38" s="17"/>
      <c r="O38" s="17">
        <v>0.84</v>
      </c>
      <c r="P38" s="17">
        <v>0.81</v>
      </c>
      <c r="Q38" s="17"/>
      <c r="R38" s="17">
        <v>0.87</v>
      </c>
      <c r="S38" s="74">
        <v>0.8</v>
      </c>
      <c r="T38" s="75"/>
      <c r="U38" s="75">
        <v>0.86</v>
      </c>
      <c r="V38" s="76">
        <v>0.71</v>
      </c>
    </row>
    <row r="39" spans="1:22" x14ac:dyDescent="0.25">
      <c r="A39" s="14" t="s">
        <v>25</v>
      </c>
      <c r="B39" s="17"/>
      <c r="C39" s="17">
        <v>0.35</v>
      </c>
      <c r="D39" s="17">
        <v>0.65</v>
      </c>
      <c r="E39" s="17">
        <v>1</v>
      </c>
      <c r="F39" s="17">
        <v>0.59</v>
      </c>
      <c r="G39" s="17">
        <v>0.59</v>
      </c>
      <c r="H39" s="17">
        <v>0.67</v>
      </c>
      <c r="I39" s="17">
        <v>0.67</v>
      </c>
      <c r="J39" s="17">
        <v>0.53</v>
      </c>
      <c r="K39" s="17">
        <v>1</v>
      </c>
      <c r="L39" s="17">
        <v>0.4</v>
      </c>
      <c r="M39" s="17">
        <v>0.31</v>
      </c>
      <c r="N39" s="17"/>
      <c r="O39" s="17">
        <v>0.67</v>
      </c>
      <c r="P39" s="17">
        <v>0.88</v>
      </c>
      <c r="Q39" s="17"/>
      <c r="R39" s="17">
        <v>0.75</v>
      </c>
      <c r="S39" s="74">
        <v>1</v>
      </c>
      <c r="T39" s="75"/>
      <c r="U39" s="75">
        <v>0.87</v>
      </c>
      <c r="V39" s="76">
        <v>0.78</v>
      </c>
    </row>
    <row r="40" spans="1:22" x14ac:dyDescent="0.25">
      <c r="A40" s="14" t="s">
        <v>26</v>
      </c>
      <c r="B40" s="17"/>
      <c r="C40" s="17">
        <v>0.74</v>
      </c>
      <c r="D40" s="17">
        <v>0.78</v>
      </c>
      <c r="E40" s="17">
        <v>0.86</v>
      </c>
      <c r="F40" s="17">
        <v>0.72</v>
      </c>
      <c r="G40" s="17">
        <v>0.74</v>
      </c>
      <c r="H40" s="17">
        <v>0.82</v>
      </c>
      <c r="I40" s="17">
        <v>0.79</v>
      </c>
      <c r="J40" s="17">
        <v>0.67</v>
      </c>
      <c r="K40" s="17">
        <v>0.88</v>
      </c>
      <c r="L40" s="17">
        <v>0.72</v>
      </c>
      <c r="M40" s="17">
        <v>0.74</v>
      </c>
      <c r="N40" s="17"/>
      <c r="O40" s="17">
        <v>0.72</v>
      </c>
      <c r="P40" s="17">
        <v>0.86</v>
      </c>
      <c r="Q40" s="17"/>
      <c r="R40" s="17">
        <v>0.81</v>
      </c>
      <c r="S40" s="74">
        <v>0.81</v>
      </c>
      <c r="T40" s="75"/>
      <c r="U40" s="75">
        <v>0.83</v>
      </c>
      <c r="V40" s="76">
        <v>0.69</v>
      </c>
    </row>
    <row r="41" spans="1:22" x14ac:dyDescent="0.25">
      <c r="A41" s="14" t="s">
        <v>27</v>
      </c>
      <c r="B41" s="17"/>
      <c r="C41" s="17">
        <v>0.38</v>
      </c>
      <c r="D41" s="17">
        <v>0.43</v>
      </c>
      <c r="E41" s="17">
        <v>1</v>
      </c>
      <c r="F41" s="17">
        <v>0.9</v>
      </c>
      <c r="G41" s="17">
        <v>0.52</v>
      </c>
      <c r="H41" s="17">
        <v>0.75</v>
      </c>
      <c r="I41" s="17">
        <v>0.54</v>
      </c>
      <c r="J41" s="17">
        <v>0.65</v>
      </c>
      <c r="K41" s="17">
        <v>1</v>
      </c>
      <c r="L41" s="17">
        <v>0.61</v>
      </c>
      <c r="M41" s="17">
        <v>0.61</v>
      </c>
      <c r="N41" s="17"/>
      <c r="O41" s="17">
        <v>0.69</v>
      </c>
      <c r="P41" s="17">
        <v>0.87</v>
      </c>
      <c r="Q41" s="17"/>
      <c r="R41" s="17">
        <v>0.64</v>
      </c>
      <c r="S41" s="74">
        <v>0.63</v>
      </c>
      <c r="T41" s="75"/>
      <c r="U41" s="75">
        <v>0.63</v>
      </c>
      <c r="V41" s="76">
        <v>0.71</v>
      </c>
    </row>
    <row r="42" spans="1:22" x14ac:dyDescent="0.25">
      <c r="A42" s="14" t="s">
        <v>28</v>
      </c>
      <c r="B42" s="17">
        <v>1</v>
      </c>
      <c r="C42" s="17">
        <v>0.65</v>
      </c>
      <c r="D42" s="17">
        <v>0.82</v>
      </c>
      <c r="E42" s="17">
        <v>0.88</v>
      </c>
      <c r="F42" s="17">
        <v>0.47</v>
      </c>
      <c r="G42" s="17">
        <v>0.63</v>
      </c>
      <c r="H42" s="17">
        <v>0.89</v>
      </c>
      <c r="I42" s="17">
        <v>0.74</v>
      </c>
      <c r="J42" s="17">
        <v>0.66</v>
      </c>
      <c r="K42" s="17">
        <v>0.81</v>
      </c>
      <c r="L42" s="17">
        <v>0.7</v>
      </c>
      <c r="M42" s="17">
        <v>0.73</v>
      </c>
      <c r="N42" s="17"/>
      <c r="O42" s="17">
        <v>0.76</v>
      </c>
      <c r="P42" s="17">
        <v>0.69</v>
      </c>
      <c r="Q42" s="17"/>
      <c r="R42" s="17">
        <v>0.77</v>
      </c>
      <c r="S42" s="74">
        <v>0.71</v>
      </c>
      <c r="T42" s="75"/>
      <c r="U42" s="75">
        <v>0.71</v>
      </c>
      <c r="V42" s="76">
        <v>0.72</v>
      </c>
    </row>
    <row r="43" spans="1:22" ht="15.75" thickBot="1" x14ac:dyDescent="0.3">
      <c r="A43" s="15" t="s">
        <v>29</v>
      </c>
      <c r="B43" s="36">
        <v>1</v>
      </c>
      <c r="C43" s="36">
        <v>0.72</v>
      </c>
      <c r="D43" s="36">
        <v>0.76</v>
      </c>
      <c r="E43" s="36">
        <v>0.87</v>
      </c>
      <c r="F43" s="36">
        <v>0.75</v>
      </c>
      <c r="G43" s="36">
        <v>0.73</v>
      </c>
      <c r="H43" s="36">
        <v>0.91</v>
      </c>
      <c r="I43" s="36">
        <v>0.73</v>
      </c>
      <c r="J43" s="36">
        <v>0.75</v>
      </c>
      <c r="K43" s="36">
        <v>0.83</v>
      </c>
      <c r="L43" s="36">
        <v>0.73</v>
      </c>
      <c r="M43" s="36">
        <v>0.78</v>
      </c>
      <c r="N43" s="36"/>
      <c r="O43" s="36">
        <v>0.73</v>
      </c>
      <c r="P43" s="36">
        <v>0.74</v>
      </c>
      <c r="Q43" s="36"/>
      <c r="R43" s="36">
        <v>0.78</v>
      </c>
      <c r="S43" s="77">
        <v>0.78</v>
      </c>
      <c r="T43" s="78"/>
      <c r="U43" s="78">
        <v>0.81</v>
      </c>
      <c r="V43" s="79">
        <v>0.73</v>
      </c>
    </row>
    <row r="44" spans="1:22" ht="15.75" thickBot="1" x14ac:dyDescent="0.3">
      <c r="A44" s="16" t="s">
        <v>34</v>
      </c>
      <c r="B44" s="35">
        <v>1</v>
      </c>
      <c r="C44" s="35">
        <v>0.66</v>
      </c>
      <c r="D44" s="35">
        <v>0.73</v>
      </c>
      <c r="E44" s="35">
        <v>0.86</v>
      </c>
      <c r="F44" s="35">
        <v>0.7</v>
      </c>
      <c r="G44" s="35">
        <v>0.73</v>
      </c>
      <c r="H44" s="35">
        <v>0.83</v>
      </c>
      <c r="I44" s="35">
        <v>0.74</v>
      </c>
      <c r="J44" s="35">
        <v>0.7</v>
      </c>
      <c r="K44" s="35">
        <v>0.88</v>
      </c>
      <c r="L44" s="35">
        <v>0.74</v>
      </c>
      <c r="M44" s="35">
        <v>0.72</v>
      </c>
      <c r="N44" s="35"/>
      <c r="O44" s="35">
        <v>0.76</v>
      </c>
      <c r="P44" s="35">
        <v>0.74</v>
      </c>
      <c r="Q44" s="35">
        <f>AVERAGE(Q35:Q43)</f>
        <v>1</v>
      </c>
      <c r="R44" s="35">
        <v>0.76</v>
      </c>
      <c r="S44" s="35">
        <v>0.75</v>
      </c>
      <c r="T44" s="35"/>
      <c r="U44" s="35">
        <v>0.76</v>
      </c>
      <c r="V44" s="99">
        <v>0.74</v>
      </c>
    </row>
    <row r="45" spans="1:22" x14ac:dyDescent="0.25">
      <c r="A45" s="5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2" x14ac:dyDescent="0.25">
      <c r="A46" s="6" t="s">
        <v>39</v>
      </c>
    </row>
    <row r="52" spans="1:16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2"/>
      <c r="P52" s="1"/>
    </row>
    <row r="53" spans="1:16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"/>
    </row>
    <row r="56" spans="1:16" x14ac:dyDescent="0.25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"/>
    </row>
    <row r="57" spans="1:16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</row>
  </sheetData>
  <mergeCells count="36">
    <mergeCell ref="N33:P33"/>
    <mergeCell ref="B31:V31"/>
    <mergeCell ref="B32:V32"/>
    <mergeCell ref="A17:A19"/>
    <mergeCell ref="B19:D19"/>
    <mergeCell ref="E19:G19"/>
    <mergeCell ref="H19:J19"/>
    <mergeCell ref="K19:M19"/>
    <mergeCell ref="N19:P19"/>
    <mergeCell ref="A31:A33"/>
    <mergeCell ref="B33:D33"/>
    <mergeCell ref="E33:G33"/>
    <mergeCell ref="H33:J33"/>
    <mergeCell ref="K33:M33"/>
    <mergeCell ref="Q33:S33"/>
    <mergeCell ref="T33:V33"/>
    <mergeCell ref="B1:V1"/>
    <mergeCell ref="Q3:S3"/>
    <mergeCell ref="T3:V3"/>
    <mergeCell ref="Q15:S15"/>
    <mergeCell ref="T15:V15"/>
    <mergeCell ref="B2:V2"/>
    <mergeCell ref="B3:D3"/>
    <mergeCell ref="N3:P3"/>
    <mergeCell ref="K3:M3"/>
    <mergeCell ref="E3:G3"/>
    <mergeCell ref="H3:J3"/>
    <mergeCell ref="Q19:S19"/>
    <mergeCell ref="T19:V19"/>
    <mergeCell ref="B17:V17"/>
    <mergeCell ref="B18:V18"/>
    <mergeCell ref="B15:D15"/>
    <mergeCell ref="E15:G15"/>
    <mergeCell ref="H15:J15"/>
    <mergeCell ref="K15:M15"/>
    <mergeCell ref="N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E0D922-E360-44EC-911C-5EDADB193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84F91F-9D62-4C77-AE0E-AF85C5D93B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5932E-4756-41ED-A3CC-E5ECE053A92E}">
  <ds:schemaRefs>
    <ds:schemaRef ds:uri="http://purl.org/dc/terms/"/>
    <ds:schemaRef ds:uri="http://schemas.microsoft.com/sharepoint/v3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LIVE.tem.ethnicity</dc:title>
  <dc:creator>nmesaris</dc:creator>
  <cp:lastModifiedBy>Wesley Klein</cp:lastModifiedBy>
  <dcterms:created xsi:type="dcterms:W3CDTF">2012-03-22T20:23:25Z</dcterms:created>
  <dcterms:modified xsi:type="dcterms:W3CDTF">2014-07-22T16:58:51Z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