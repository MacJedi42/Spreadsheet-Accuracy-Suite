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glide ratio over stable flight " sheetId="1" r:id="rId1"/>
  </sheets>
  <calcPr calcId="0"/>
</workbook>
</file>

<file path=xl/calcChain.xml><?xml version="1.0" encoding="utf-8"?>
<calcChain xmlns="http://schemas.openxmlformats.org/spreadsheetml/2006/main">
  <c r="N201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" i="1"/>
  <c r="M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</calcChain>
</file>

<file path=xl/sharedStrings.xml><?xml version="1.0" encoding="utf-8"?>
<sst xmlns="http://schemas.openxmlformats.org/spreadsheetml/2006/main" count="214" uniqueCount="214">
  <si>
    <t>time</t>
  </si>
  <si>
    <t>lat</t>
  </si>
  <si>
    <t>lon</t>
  </si>
  <si>
    <t>hMSL</t>
  </si>
  <si>
    <t>velN</t>
  </si>
  <si>
    <t>velE</t>
  </si>
  <si>
    <t>velD</t>
  </si>
  <si>
    <t>hAcc</t>
  </si>
  <si>
    <t>vAcc</t>
  </si>
  <si>
    <t>sAcc</t>
  </si>
  <si>
    <t>gpsFix</t>
  </si>
  <si>
    <t>numSV</t>
  </si>
  <si>
    <t>2012-10-05T14:13:59.80Z</t>
  </si>
  <si>
    <t>2012-10-05T14:14:00.00Z</t>
  </si>
  <si>
    <t>2012-10-05T14:14:00.20Z</t>
  </si>
  <si>
    <t>2012-10-05T14:14:00.40Z</t>
  </si>
  <si>
    <t>2012-10-05T14:14:00.60Z</t>
  </si>
  <si>
    <t>2012-10-05T14:14:00.80Z</t>
  </si>
  <si>
    <t>2012-10-05T14:14:01.00Z</t>
  </si>
  <si>
    <t>2012-10-05T14:14:01.20Z</t>
  </si>
  <si>
    <t>2012-10-05T14:14:01.40Z</t>
  </si>
  <si>
    <t>2012-10-05T14:14:01.60Z</t>
  </si>
  <si>
    <t>2012-10-05T14:14:01.80Z</t>
  </si>
  <si>
    <t>2012-10-05T14:14:02.00Z</t>
  </si>
  <si>
    <t>2012-10-05T14:14:02.20Z</t>
  </si>
  <si>
    <t>2012-10-05T14:14:02.40Z</t>
  </si>
  <si>
    <t>2012-10-05T14:14:02.60Z</t>
  </si>
  <si>
    <t>2012-10-05T14:14:02.80Z</t>
  </si>
  <si>
    <t>2012-10-05T14:14:03.00Z</t>
  </si>
  <si>
    <t>2012-10-05T14:14:03.20Z</t>
  </si>
  <si>
    <t>2012-10-05T14:14:03.40Z</t>
  </si>
  <si>
    <t>2012-10-05T14:14:03.60Z</t>
  </si>
  <si>
    <t>2012-10-05T14:14:03.80Z</t>
  </si>
  <si>
    <t>2012-10-05T14:14:04.00Z</t>
  </si>
  <si>
    <t>2012-10-05T14:14:04.20Z</t>
  </si>
  <si>
    <t>2012-10-05T14:14:04.40Z</t>
  </si>
  <si>
    <t>2012-10-05T14:14:04.60Z</t>
  </si>
  <si>
    <t>2012-10-05T14:14:04.80Z</t>
  </si>
  <si>
    <t>2012-10-05T14:14:05.00Z</t>
  </si>
  <si>
    <t>2012-10-05T14:14:05.20Z</t>
  </si>
  <si>
    <t>2012-10-05T14:14:05.40Z</t>
  </si>
  <si>
    <t>2012-10-05T14:14:05.60Z</t>
  </si>
  <si>
    <t>2012-10-05T14:14:05.80Z</t>
  </si>
  <si>
    <t>2012-10-05T14:14:06.00Z</t>
  </si>
  <si>
    <t>2012-10-05T14:14:06.20Z</t>
  </si>
  <si>
    <t>2012-10-05T14:14:06.40Z</t>
  </si>
  <si>
    <t>2012-10-05T14:14:06.60Z</t>
  </si>
  <si>
    <t>2012-10-05T14:14:06.80Z</t>
  </si>
  <si>
    <t>2012-10-05T14:14:07.00Z</t>
  </si>
  <si>
    <t>2012-10-05T14:14:07.20Z</t>
  </si>
  <si>
    <t>2012-10-05T14:14:07.40Z</t>
  </si>
  <si>
    <t>2012-10-05T14:14:07.60Z</t>
  </si>
  <si>
    <t>2012-10-05T14:14:07.80Z</t>
  </si>
  <si>
    <t>2012-10-05T14:14:08.00Z</t>
  </si>
  <si>
    <t>2012-10-05T14:14:08.20Z</t>
  </si>
  <si>
    <t>2012-10-05T14:14:08.40Z</t>
  </si>
  <si>
    <t>2012-10-05T14:14:08.60Z</t>
  </si>
  <si>
    <t>2012-10-05T14:14:08.80Z</t>
  </si>
  <si>
    <t>2012-10-05T14:14:09.00Z</t>
  </si>
  <si>
    <t>2012-10-05T14:14:09.20Z</t>
  </si>
  <si>
    <t>2012-10-05T14:14:09.40Z</t>
  </si>
  <si>
    <t>2012-10-05T14:14:09.60Z</t>
  </si>
  <si>
    <t>2012-10-05T14:14:09.80Z</t>
  </si>
  <si>
    <t>2012-10-05T14:14:10.00Z</t>
  </si>
  <si>
    <t>2012-10-05T14:14:10.20Z</t>
  </si>
  <si>
    <t>2012-10-05T14:14:10.40Z</t>
  </si>
  <si>
    <t>2012-10-05T14:14:10.60Z</t>
  </si>
  <si>
    <t>2012-10-05T14:14:10.80Z</t>
  </si>
  <si>
    <t>2012-10-05T14:14:11.00Z</t>
  </si>
  <si>
    <t>2012-10-05T14:14:11.20Z</t>
  </si>
  <si>
    <t>2012-10-05T14:14:11.40Z</t>
  </si>
  <si>
    <t>2012-10-05T14:14:11.60Z</t>
  </si>
  <si>
    <t>2012-10-05T14:14:11.80Z</t>
  </si>
  <si>
    <t>2012-10-05T14:14:12.00Z</t>
  </si>
  <si>
    <t>2012-10-05T14:14:12.20Z</t>
  </si>
  <si>
    <t>2012-10-05T14:14:12.40Z</t>
  </si>
  <si>
    <t>2012-10-05T14:14:12.60Z</t>
  </si>
  <si>
    <t>2012-10-05T14:14:12.80Z</t>
  </si>
  <si>
    <t>2012-10-05T14:14:13.00Z</t>
  </si>
  <si>
    <t>2012-10-05T14:14:13.20Z</t>
  </si>
  <si>
    <t>2012-10-05T14:14:13.40Z</t>
  </si>
  <si>
    <t>2012-10-05T14:14:13.60Z</t>
  </si>
  <si>
    <t>2012-10-05T14:14:13.80Z</t>
  </si>
  <si>
    <t>2012-10-05T14:14:14.00Z</t>
  </si>
  <si>
    <t>2012-10-05T14:14:14.20Z</t>
  </si>
  <si>
    <t>2012-10-05T14:14:14.40Z</t>
  </si>
  <si>
    <t>2012-10-05T14:14:14.60Z</t>
  </si>
  <si>
    <t>2012-10-05T14:14:14.80Z</t>
  </si>
  <si>
    <t>2012-10-05T14:14:15.00Z</t>
  </si>
  <si>
    <t>2012-10-05T14:14:15.20Z</t>
  </si>
  <si>
    <t>2012-10-05T14:14:15.40Z</t>
  </si>
  <si>
    <t>2012-10-05T14:14:15.60Z</t>
  </si>
  <si>
    <t>2012-10-05T14:14:15.80Z</t>
  </si>
  <si>
    <t>2012-10-05T14:14:16.00Z</t>
  </si>
  <si>
    <t>2012-10-05T14:14:16.20Z</t>
  </si>
  <si>
    <t>2012-10-05T14:14:16.40Z</t>
  </si>
  <si>
    <t>2012-10-05T14:14:16.60Z</t>
  </si>
  <si>
    <t>2012-10-05T14:14:16.80Z</t>
  </si>
  <si>
    <t>2012-10-05T14:14:17.00Z</t>
  </si>
  <si>
    <t>2012-10-05T14:14:17.20Z</t>
  </si>
  <si>
    <t>2012-10-05T14:14:17.40Z</t>
  </si>
  <si>
    <t>2012-10-05T14:14:17.60Z</t>
  </si>
  <si>
    <t>2012-10-05T14:14:17.80Z</t>
  </si>
  <si>
    <t>2012-10-05T14:14:18.00Z</t>
  </si>
  <si>
    <t>2012-10-05T14:14:18.20Z</t>
  </si>
  <si>
    <t>2012-10-05T14:14:18.40Z</t>
  </si>
  <si>
    <t>2012-10-05T14:14:18.60Z</t>
  </si>
  <si>
    <t>2012-10-05T14:14:18.80Z</t>
  </si>
  <si>
    <t>2012-10-05T14:14:19.00Z</t>
  </si>
  <si>
    <t>2012-10-05T14:14:19.20Z</t>
  </si>
  <si>
    <t>2012-10-05T14:14:19.40Z</t>
  </si>
  <si>
    <t>2012-10-05T14:14:19.60Z</t>
  </si>
  <si>
    <t>2012-10-05T14:14:19.80Z</t>
  </si>
  <si>
    <t>2012-10-05T14:14:20.00Z</t>
  </si>
  <si>
    <t>2012-10-05T14:14:20.20Z</t>
  </si>
  <si>
    <t>2012-10-05T14:14:20.40Z</t>
  </si>
  <si>
    <t>2012-10-05T14:14:20.60Z</t>
  </si>
  <si>
    <t>2012-10-05T14:14:20.80Z</t>
  </si>
  <si>
    <t>2012-10-05T14:14:21.00Z</t>
  </si>
  <si>
    <t>2012-10-05T14:14:21.20Z</t>
  </si>
  <si>
    <t>2012-10-05T14:14:21.40Z</t>
  </si>
  <si>
    <t>2012-10-05T14:14:21.60Z</t>
  </si>
  <si>
    <t>2012-10-05T14:14:21.80Z</t>
  </si>
  <si>
    <t>2012-10-05T14:14:22.00Z</t>
  </si>
  <si>
    <t>2012-10-05T14:14:22.20Z</t>
  </si>
  <si>
    <t>2012-10-05T14:14:22.40Z</t>
  </si>
  <si>
    <t>2012-10-05T14:14:22.60Z</t>
  </si>
  <si>
    <t>2012-10-05T14:14:22.80Z</t>
  </si>
  <si>
    <t>2012-10-05T14:14:23.00Z</t>
  </si>
  <si>
    <t>2012-10-05T14:14:23.20Z</t>
  </si>
  <si>
    <t>2012-10-05T14:14:23.40Z</t>
  </si>
  <si>
    <t>2012-10-05T14:14:23.60Z</t>
  </si>
  <si>
    <t>2012-10-05T14:14:23.80Z</t>
  </si>
  <si>
    <t>2012-10-05T14:14:24.00Z</t>
  </si>
  <si>
    <t>2012-10-05T14:14:24.20Z</t>
  </si>
  <si>
    <t>2012-10-05T14:14:24.40Z</t>
  </si>
  <si>
    <t>2012-10-05T14:14:24.60Z</t>
  </si>
  <si>
    <t>2012-10-05T14:14:24.80Z</t>
  </si>
  <si>
    <t>2012-10-05T14:14:25.00Z</t>
  </si>
  <si>
    <t>2012-10-05T14:14:25.20Z</t>
  </si>
  <si>
    <t>2012-10-05T14:14:25.40Z</t>
  </si>
  <si>
    <t>2012-10-05T14:14:25.60Z</t>
  </si>
  <si>
    <t>2012-10-05T14:14:25.80Z</t>
  </si>
  <si>
    <t>2012-10-05T14:14:26.00Z</t>
  </si>
  <si>
    <t>2012-10-05T14:14:26.20Z</t>
  </si>
  <si>
    <t>2012-10-05T14:14:26.40Z</t>
  </si>
  <si>
    <t>2012-10-05T14:14:26.60Z</t>
  </si>
  <si>
    <t>2012-10-05T14:14:26.80Z</t>
  </si>
  <si>
    <t>2012-10-05T14:14:27.00Z</t>
  </si>
  <si>
    <t>2012-10-05T14:14:27.20Z</t>
  </si>
  <si>
    <t>2012-10-05T14:14:27.40Z</t>
  </si>
  <si>
    <t>2012-10-05T14:14:27.60Z</t>
  </si>
  <si>
    <t>2012-10-05T14:14:27.80Z</t>
  </si>
  <si>
    <t>2012-10-05T14:14:28.00Z</t>
  </si>
  <si>
    <t>2012-10-05T14:14:28.20Z</t>
  </si>
  <si>
    <t>2012-10-05T14:14:28.40Z</t>
  </si>
  <si>
    <t>2012-10-05T14:14:28.60Z</t>
  </si>
  <si>
    <t>2012-10-05T14:14:28.80Z</t>
  </si>
  <si>
    <t>2012-10-05T14:14:29.00Z</t>
  </si>
  <si>
    <t>2012-10-05T14:14:29.20Z</t>
  </si>
  <si>
    <t>2012-10-05T14:14:29.40Z</t>
  </si>
  <si>
    <t>2012-10-05T14:14:29.60Z</t>
  </si>
  <si>
    <t>2012-10-05T14:14:29.80Z</t>
  </si>
  <si>
    <t>2012-10-05T14:14:30.00Z</t>
  </si>
  <si>
    <t>2012-10-05T14:14:30.20Z</t>
  </si>
  <si>
    <t>2012-10-05T14:14:30.40Z</t>
  </si>
  <si>
    <t>2012-10-05T14:14:30.60Z</t>
  </si>
  <si>
    <t>2012-10-05T14:14:30.80Z</t>
  </si>
  <si>
    <t>2012-10-05T14:14:31.00Z</t>
  </si>
  <si>
    <t>2012-10-05T14:14:31.20Z</t>
  </si>
  <si>
    <t>2012-10-05T14:14:31.40Z</t>
  </si>
  <si>
    <t>2012-10-05T14:14:31.60Z</t>
  </si>
  <si>
    <t>2012-10-05T14:14:31.80Z</t>
  </si>
  <si>
    <t>2012-10-05T14:14:32.00Z</t>
  </si>
  <si>
    <t>2012-10-05T14:14:32.20Z</t>
  </si>
  <si>
    <t>2012-10-05T14:14:32.40Z</t>
  </si>
  <si>
    <t>2012-10-05T14:14:32.60Z</t>
  </si>
  <si>
    <t>2012-10-05T14:14:32.80Z</t>
  </si>
  <si>
    <t>2012-10-05T14:14:33.00Z</t>
  </si>
  <si>
    <t>2012-10-05T14:14:33.20Z</t>
  </si>
  <si>
    <t>2012-10-05T14:14:33.40Z</t>
  </si>
  <si>
    <t>2012-10-05T14:14:33.60Z</t>
  </si>
  <si>
    <t>2012-10-05T14:14:33.80Z</t>
  </si>
  <si>
    <t>2012-10-05T14:14:34.00Z</t>
  </si>
  <si>
    <t>2012-10-05T14:14:34.20Z</t>
  </si>
  <si>
    <t>2012-10-05T14:14:34.40Z</t>
  </si>
  <si>
    <t>2012-10-05T14:14:34.60Z</t>
  </si>
  <si>
    <t>2012-10-05T14:14:34.80Z</t>
  </si>
  <si>
    <t>2012-10-05T14:14:35.00Z</t>
  </si>
  <si>
    <t>2012-10-05T14:14:35.20Z</t>
  </si>
  <si>
    <t>2012-10-05T14:14:35.40Z</t>
  </si>
  <si>
    <t>2012-10-05T14:14:35.60Z</t>
  </si>
  <si>
    <t>2012-10-05T14:14:35.80Z</t>
  </si>
  <si>
    <t>2012-10-05T14:14:36.00Z</t>
  </si>
  <si>
    <t>2012-10-05T14:14:36.20Z</t>
  </si>
  <si>
    <t>2012-10-05T14:14:36.40Z</t>
  </si>
  <si>
    <t>2012-10-05T14:14:36.60Z</t>
  </si>
  <si>
    <t>2012-10-05T14:14:36.80Z</t>
  </si>
  <si>
    <t>2012-10-05T14:14:37.00Z</t>
  </si>
  <si>
    <t>2012-10-05T14:14:37.20Z</t>
  </si>
  <si>
    <t>2012-10-05T14:14:37.40Z</t>
  </si>
  <si>
    <t>2012-10-05T14:14:37.60Z</t>
  </si>
  <si>
    <t>2012-10-05T14:14:37.80Z</t>
  </si>
  <si>
    <t>2012-10-05T14:14:38.00Z</t>
  </si>
  <si>
    <t>2012-10-05T14:14:38.20Z</t>
  </si>
  <si>
    <t>2012-10-05T14:14:38.40Z</t>
  </si>
  <si>
    <t>2012-10-05T14:14:38.60Z</t>
  </si>
  <si>
    <t>2012-10-05T14:14:38.80Z</t>
  </si>
  <si>
    <t>2012-10-05T14:14:39.00Z</t>
  </si>
  <si>
    <t>2012-10-05T14:14:39.20Z</t>
  </si>
  <si>
    <t>2012-10-05T14:14:39.40Z</t>
  </si>
  <si>
    <t>glide</t>
  </si>
  <si>
    <t>Avg</t>
  </si>
  <si>
    <t>vhoriz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</si>
</sst>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'glide ratio over stable flight '!$N$1</c:f>
              <c:strCache>
                <c:ptCount val="1"/>
                <c:pt idx="0">
                  <c:v>vhoriz</c:v>
                </c:pt>
              </c:strCache>
            </c:strRef>
          </c:tx>
          <c:xVal>
            <c:strRef>
              <c:f>'glide ratio over stable flight '!$A$2:$A$200</c:f>
              <c:strCache>
                <c:ptCount val="199"/>
                <c:pt idx="0">
                  <c:v>2012-10-05T14:13:59.80Z</c:v>
                </c:pt>
                <c:pt idx="1">
                  <c:v>2012-10-05T14:14:00.00Z</c:v>
                </c:pt>
                <c:pt idx="2">
                  <c:v>2012-10-05T14:14:00.20Z</c:v>
                </c:pt>
                <c:pt idx="3">
                  <c:v>2012-10-05T14:14:00.40Z</c:v>
                </c:pt>
                <c:pt idx="4">
                  <c:v>2012-10-05T14:14:00.60Z</c:v>
                </c:pt>
                <c:pt idx="5">
                  <c:v>2012-10-05T14:14:00.80Z</c:v>
                </c:pt>
                <c:pt idx="6">
                  <c:v>2012-10-05T14:14:01.00Z</c:v>
                </c:pt>
                <c:pt idx="7">
                  <c:v>2012-10-05T14:14:01.20Z</c:v>
                </c:pt>
                <c:pt idx="8">
                  <c:v>2012-10-05T14:14:01.40Z</c:v>
                </c:pt>
                <c:pt idx="9">
                  <c:v>2012-10-05T14:14:01.60Z</c:v>
                </c:pt>
                <c:pt idx="10">
                  <c:v>2012-10-05T14:14:01.80Z</c:v>
                </c:pt>
                <c:pt idx="11">
                  <c:v>2012-10-05T14:14:02.00Z</c:v>
                </c:pt>
                <c:pt idx="12">
                  <c:v>2012-10-05T14:14:02.20Z</c:v>
                </c:pt>
                <c:pt idx="13">
                  <c:v>2012-10-05T14:14:02.40Z</c:v>
                </c:pt>
                <c:pt idx="14">
                  <c:v>2012-10-05T14:14:02.60Z</c:v>
                </c:pt>
                <c:pt idx="15">
                  <c:v>2012-10-05T14:14:02.80Z</c:v>
                </c:pt>
                <c:pt idx="16">
                  <c:v>2012-10-05T14:14:03.00Z</c:v>
                </c:pt>
                <c:pt idx="17">
                  <c:v>2012-10-05T14:14:03.20Z</c:v>
                </c:pt>
                <c:pt idx="18">
                  <c:v>2012-10-05T14:14:03.40Z</c:v>
                </c:pt>
                <c:pt idx="19">
                  <c:v>2012-10-05T14:14:03.60Z</c:v>
                </c:pt>
                <c:pt idx="20">
                  <c:v>2012-10-05T14:14:03.80Z</c:v>
                </c:pt>
                <c:pt idx="21">
                  <c:v>2012-10-05T14:14:04.00Z</c:v>
                </c:pt>
                <c:pt idx="22">
                  <c:v>2012-10-05T14:14:04.20Z</c:v>
                </c:pt>
                <c:pt idx="23">
                  <c:v>2012-10-05T14:14:04.40Z</c:v>
                </c:pt>
                <c:pt idx="24">
                  <c:v>2012-10-05T14:14:04.60Z</c:v>
                </c:pt>
                <c:pt idx="25">
                  <c:v>2012-10-05T14:14:04.80Z</c:v>
                </c:pt>
                <c:pt idx="26">
                  <c:v>2012-10-05T14:14:05.00Z</c:v>
                </c:pt>
                <c:pt idx="27">
                  <c:v>2012-10-05T14:14:05.20Z</c:v>
                </c:pt>
                <c:pt idx="28">
                  <c:v>2012-10-05T14:14:05.40Z</c:v>
                </c:pt>
                <c:pt idx="29">
                  <c:v>2012-10-05T14:14:05.60Z</c:v>
                </c:pt>
                <c:pt idx="30">
                  <c:v>2012-10-05T14:14:05.80Z</c:v>
                </c:pt>
                <c:pt idx="31">
                  <c:v>2012-10-05T14:14:06.00Z</c:v>
                </c:pt>
                <c:pt idx="32">
                  <c:v>2012-10-05T14:14:06.20Z</c:v>
                </c:pt>
                <c:pt idx="33">
                  <c:v>2012-10-05T14:14:06.40Z</c:v>
                </c:pt>
                <c:pt idx="34">
                  <c:v>2012-10-05T14:14:06.60Z</c:v>
                </c:pt>
                <c:pt idx="35">
                  <c:v>2012-10-05T14:14:06.80Z</c:v>
                </c:pt>
                <c:pt idx="36">
                  <c:v>2012-10-05T14:14:07.00Z</c:v>
                </c:pt>
                <c:pt idx="37">
                  <c:v>2012-10-05T14:14:07.20Z</c:v>
                </c:pt>
                <c:pt idx="38">
                  <c:v>2012-10-05T14:14:07.40Z</c:v>
                </c:pt>
                <c:pt idx="39">
                  <c:v>2012-10-05T14:14:07.60Z</c:v>
                </c:pt>
                <c:pt idx="40">
                  <c:v>2012-10-05T14:14:07.80Z</c:v>
                </c:pt>
                <c:pt idx="41">
                  <c:v>2012-10-05T14:14:08.00Z</c:v>
                </c:pt>
                <c:pt idx="42">
                  <c:v>2012-10-05T14:14:08.20Z</c:v>
                </c:pt>
                <c:pt idx="43">
                  <c:v>2012-10-05T14:14:08.40Z</c:v>
                </c:pt>
                <c:pt idx="44">
                  <c:v>2012-10-05T14:14:08.60Z</c:v>
                </c:pt>
                <c:pt idx="45">
                  <c:v>2012-10-05T14:14:08.80Z</c:v>
                </c:pt>
                <c:pt idx="46">
                  <c:v>2012-10-05T14:14:09.00Z</c:v>
                </c:pt>
                <c:pt idx="47">
                  <c:v>2012-10-05T14:14:09.20Z</c:v>
                </c:pt>
                <c:pt idx="48">
                  <c:v>2012-10-05T14:14:09.40Z</c:v>
                </c:pt>
                <c:pt idx="49">
                  <c:v>2012-10-05T14:14:09.60Z</c:v>
                </c:pt>
                <c:pt idx="50">
                  <c:v>2012-10-05T14:14:09.80Z</c:v>
                </c:pt>
                <c:pt idx="51">
                  <c:v>2012-10-05T14:14:10.00Z</c:v>
                </c:pt>
                <c:pt idx="52">
                  <c:v>2012-10-05T14:14:10.20Z</c:v>
                </c:pt>
                <c:pt idx="53">
                  <c:v>2012-10-05T14:14:10.40Z</c:v>
                </c:pt>
                <c:pt idx="54">
                  <c:v>2012-10-05T14:14:10.60Z</c:v>
                </c:pt>
                <c:pt idx="55">
                  <c:v>2012-10-05T14:14:10.80Z</c:v>
                </c:pt>
                <c:pt idx="56">
                  <c:v>2012-10-05T14:14:11.00Z</c:v>
                </c:pt>
                <c:pt idx="57">
                  <c:v>2012-10-05T14:14:11.20Z</c:v>
                </c:pt>
                <c:pt idx="58">
                  <c:v>2012-10-05T14:14:11.40Z</c:v>
                </c:pt>
                <c:pt idx="59">
                  <c:v>2012-10-05T14:14:11.60Z</c:v>
                </c:pt>
                <c:pt idx="60">
                  <c:v>2012-10-05T14:14:11.80Z</c:v>
                </c:pt>
                <c:pt idx="61">
                  <c:v>2012-10-05T14:14:12.00Z</c:v>
                </c:pt>
                <c:pt idx="62">
                  <c:v>2012-10-05T14:14:12.20Z</c:v>
                </c:pt>
                <c:pt idx="63">
                  <c:v>2012-10-05T14:14:12.40Z</c:v>
                </c:pt>
                <c:pt idx="64">
                  <c:v>2012-10-05T14:14:12.60Z</c:v>
                </c:pt>
                <c:pt idx="65">
                  <c:v>2012-10-05T14:14:12.80Z</c:v>
                </c:pt>
                <c:pt idx="66">
                  <c:v>2012-10-05T14:14:13.00Z</c:v>
                </c:pt>
                <c:pt idx="67">
                  <c:v>2012-10-05T14:14:13.20Z</c:v>
                </c:pt>
                <c:pt idx="68">
                  <c:v>2012-10-05T14:14:13.40Z</c:v>
                </c:pt>
                <c:pt idx="69">
                  <c:v>2012-10-05T14:14:13.60Z</c:v>
                </c:pt>
                <c:pt idx="70">
                  <c:v>2012-10-05T14:14:13.80Z</c:v>
                </c:pt>
                <c:pt idx="71">
                  <c:v>2012-10-05T14:14:14.00Z</c:v>
                </c:pt>
                <c:pt idx="72">
                  <c:v>2012-10-05T14:14:14.20Z</c:v>
                </c:pt>
                <c:pt idx="73">
                  <c:v>2012-10-05T14:14:14.40Z</c:v>
                </c:pt>
                <c:pt idx="74">
                  <c:v>2012-10-05T14:14:14.60Z</c:v>
                </c:pt>
                <c:pt idx="75">
                  <c:v>2012-10-05T14:14:14.80Z</c:v>
                </c:pt>
                <c:pt idx="76">
                  <c:v>2012-10-05T14:14:15.00Z</c:v>
                </c:pt>
                <c:pt idx="77">
                  <c:v>2012-10-05T14:14:15.20Z</c:v>
                </c:pt>
                <c:pt idx="78">
                  <c:v>2012-10-05T14:14:15.40Z</c:v>
                </c:pt>
                <c:pt idx="79">
                  <c:v>2012-10-05T14:14:15.60Z</c:v>
                </c:pt>
                <c:pt idx="80">
                  <c:v>2012-10-05T14:14:15.80Z</c:v>
                </c:pt>
                <c:pt idx="81">
                  <c:v>2012-10-05T14:14:16.00Z</c:v>
                </c:pt>
                <c:pt idx="82">
                  <c:v>2012-10-05T14:14:16.20Z</c:v>
                </c:pt>
                <c:pt idx="83">
                  <c:v>2012-10-05T14:14:16.40Z</c:v>
                </c:pt>
                <c:pt idx="84">
                  <c:v>2012-10-05T14:14:16.60Z</c:v>
                </c:pt>
                <c:pt idx="85">
                  <c:v>2012-10-05T14:14:16.80Z</c:v>
                </c:pt>
                <c:pt idx="86">
                  <c:v>2012-10-05T14:14:17.00Z</c:v>
                </c:pt>
                <c:pt idx="87">
                  <c:v>2012-10-05T14:14:17.20Z</c:v>
                </c:pt>
                <c:pt idx="88">
                  <c:v>2012-10-05T14:14:17.40Z</c:v>
                </c:pt>
                <c:pt idx="89">
                  <c:v>2012-10-05T14:14:17.60Z</c:v>
                </c:pt>
                <c:pt idx="90">
                  <c:v>2012-10-05T14:14:17.80Z</c:v>
                </c:pt>
                <c:pt idx="91">
                  <c:v>2012-10-05T14:14:18.00Z</c:v>
                </c:pt>
                <c:pt idx="92">
                  <c:v>2012-10-05T14:14:18.20Z</c:v>
                </c:pt>
                <c:pt idx="93">
                  <c:v>2012-10-05T14:14:18.40Z</c:v>
                </c:pt>
                <c:pt idx="94">
                  <c:v>2012-10-05T14:14:18.60Z</c:v>
                </c:pt>
                <c:pt idx="95">
                  <c:v>2012-10-05T14:14:18.80Z</c:v>
                </c:pt>
                <c:pt idx="96">
                  <c:v>2012-10-05T14:14:19.00Z</c:v>
                </c:pt>
                <c:pt idx="97">
                  <c:v>2012-10-05T14:14:19.20Z</c:v>
                </c:pt>
                <c:pt idx="98">
                  <c:v>2012-10-05T14:14:19.40Z</c:v>
                </c:pt>
                <c:pt idx="99">
                  <c:v>2012-10-05T14:14:19.60Z</c:v>
                </c:pt>
                <c:pt idx="100">
                  <c:v>2012-10-05T14:14:19.80Z</c:v>
                </c:pt>
                <c:pt idx="101">
                  <c:v>2012-10-05T14:14:20.00Z</c:v>
                </c:pt>
                <c:pt idx="102">
                  <c:v>2012-10-05T14:14:20.20Z</c:v>
                </c:pt>
                <c:pt idx="103">
                  <c:v>2012-10-05T14:14:20.40Z</c:v>
                </c:pt>
                <c:pt idx="104">
                  <c:v>2012-10-05T14:14:20.60Z</c:v>
                </c:pt>
                <c:pt idx="105">
                  <c:v>2012-10-05T14:14:20.80Z</c:v>
                </c:pt>
                <c:pt idx="106">
                  <c:v>2012-10-05T14:14:21.00Z</c:v>
                </c:pt>
                <c:pt idx="107">
                  <c:v>2012-10-05T14:14:21.20Z</c:v>
                </c:pt>
                <c:pt idx="108">
                  <c:v>2012-10-05T14:14:21.40Z</c:v>
                </c:pt>
                <c:pt idx="109">
                  <c:v>2012-10-05T14:14:21.60Z</c:v>
                </c:pt>
                <c:pt idx="110">
                  <c:v>2012-10-05T14:14:21.80Z</c:v>
                </c:pt>
                <c:pt idx="111">
                  <c:v>2012-10-05T14:14:22.00Z</c:v>
                </c:pt>
                <c:pt idx="112">
                  <c:v>2012-10-05T14:14:22.20Z</c:v>
                </c:pt>
                <c:pt idx="113">
                  <c:v>2012-10-05T14:14:22.40Z</c:v>
                </c:pt>
                <c:pt idx="114">
                  <c:v>2012-10-05T14:14:22.60Z</c:v>
                </c:pt>
                <c:pt idx="115">
                  <c:v>2012-10-05T14:14:22.80Z</c:v>
                </c:pt>
                <c:pt idx="116">
                  <c:v>2012-10-05T14:14:23.00Z</c:v>
                </c:pt>
                <c:pt idx="117">
                  <c:v>2012-10-05T14:14:23.20Z</c:v>
                </c:pt>
                <c:pt idx="118">
                  <c:v>2012-10-05T14:14:23.40Z</c:v>
                </c:pt>
                <c:pt idx="119">
                  <c:v>2012-10-05T14:14:23.60Z</c:v>
                </c:pt>
                <c:pt idx="120">
                  <c:v>2012-10-05T14:14:23.80Z</c:v>
                </c:pt>
                <c:pt idx="121">
                  <c:v>2012-10-05T14:14:24.00Z</c:v>
                </c:pt>
                <c:pt idx="122">
                  <c:v>2012-10-05T14:14:24.20Z</c:v>
                </c:pt>
                <c:pt idx="123">
                  <c:v>2012-10-05T14:14:24.40Z</c:v>
                </c:pt>
                <c:pt idx="124">
                  <c:v>2012-10-05T14:14:24.60Z</c:v>
                </c:pt>
                <c:pt idx="125">
                  <c:v>2012-10-05T14:14:24.80Z</c:v>
                </c:pt>
                <c:pt idx="126">
                  <c:v>2012-10-05T14:14:25.00Z</c:v>
                </c:pt>
                <c:pt idx="127">
                  <c:v>2012-10-05T14:14:25.20Z</c:v>
                </c:pt>
                <c:pt idx="128">
                  <c:v>2012-10-05T14:14:25.40Z</c:v>
                </c:pt>
                <c:pt idx="129">
                  <c:v>2012-10-05T14:14:25.60Z</c:v>
                </c:pt>
                <c:pt idx="130">
                  <c:v>2012-10-05T14:14:25.80Z</c:v>
                </c:pt>
                <c:pt idx="131">
                  <c:v>2012-10-05T14:14:26.00Z</c:v>
                </c:pt>
                <c:pt idx="132">
                  <c:v>2012-10-05T14:14:26.20Z</c:v>
                </c:pt>
                <c:pt idx="133">
                  <c:v>2012-10-05T14:14:26.40Z</c:v>
                </c:pt>
                <c:pt idx="134">
                  <c:v>2012-10-05T14:14:26.60Z</c:v>
                </c:pt>
                <c:pt idx="135">
                  <c:v>2012-10-05T14:14:26.80Z</c:v>
                </c:pt>
                <c:pt idx="136">
                  <c:v>2012-10-05T14:14:27.00Z</c:v>
                </c:pt>
                <c:pt idx="137">
                  <c:v>2012-10-05T14:14:27.20Z</c:v>
                </c:pt>
                <c:pt idx="138">
                  <c:v>2012-10-05T14:14:27.40Z</c:v>
                </c:pt>
                <c:pt idx="139">
                  <c:v>2012-10-05T14:14:27.60Z</c:v>
                </c:pt>
                <c:pt idx="140">
                  <c:v>2012-10-05T14:14:27.80Z</c:v>
                </c:pt>
                <c:pt idx="141">
                  <c:v>2012-10-05T14:14:28.00Z</c:v>
                </c:pt>
                <c:pt idx="142">
                  <c:v>2012-10-05T14:14:28.20Z</c:v>
                </c:pt>
                <c:pt idx="143">
                  <c:v>2012-10-05T14:14:28.40Z</c:v>
                </c:pt>
                <c:pt idx="144">
                  <c:v>2012-10-05T14:14:28.60Z</c:v>
                </c:pt>
                <c:pt idx="145">
                  <c:v>2012-10-05T14:14:28.80Z</c:v>
                </c:pt>
                <c:pt idx="146">
                  <c:v>2012-10-05T14:14:29.00Z</c:v>
                </c:pt>
                <c:pt idx="147">
                  <c:v>2012-10-05T14:14:29.20Z</c:v>
                </c:pt>
                <c:pt idx="148">
                  <c:v>2012-10-05T14:14:29.40Z</c:v>
                </c:pt>
                <c:pt idx="149">
                  <c:v>2012-10-05T14:14:29.60Z</c:v>
                </c:pt>
                <c:pt idx="150">
                  <c:v>2012-10-05T14:14:29.80Z</c:v>
                </c:pt>
                <c:pt idx="151">
                  <c:v>2012-10-05T14:14:30.00Z</c:v>
                </c:pt>
                <c:pt idx="152">
                  <c:v>2012-10-05T14:14:30.20Z</c:v>
                </c:pt>
                <c:pt idx="153">
                  <c:v>2012-10-05T14:14:30.40Z</c:v>
                </c:pt>
                <c:pt idx="154">
                  <c:v>2012-10-05T14:14:30.60Z</c:v>
                </c:pt>
                <c:pt idx="155">
                  <c:v>2012-10-05T14:14:30.80Z</c:v>
                </c:pt>
                <c:pt idx="156">
                  <c:v>2012-10-05T14:14:31.00Z</c:v>
                </c:pt>
                <c:pt idx="157">
                  <c:v>2012-10-05T14:14:31.20Z</c:v>
                </c:pt>
                <c:pt idx="158">
                  <c:v>2012-10-05T14:14:31.40Z</c:v>
                </c:pt>
                <c:pt idx="159">
                  <c:v>2012-10-05T14:14:31.60Z</c:v>
                </c:pt>
                <c:pt idx="160">
                  <c:v>2012-10-05T14:14:31.80Z</c:v>
                </c:pt>
                <c:pt idx="161">
                  <c:v>2012-10-05T14:14:32.00Z</c:v>
                </c:pt>
                <c:pt idx="162">
                  <c:v>2012-10-05T14:14:32.20Z</c:v>
                </c:pt>
                <c:pt idx="163">
                  <c:v>2012-10-05T14:14:32.40Z</c:v>
                </c:pt>
                <c:pt idx="164">
                  <c:v>2012-10-05T14:14:32.60Z</c:v>
                </c:pt>
                <c:pt idx="165">
                  <c:v>2012-10-05T14:14:32.80Z</c:v>
                </c:pt>
                <c:pt idx="166">
                  <c:v>2012-10-05T14:14:33.00Z</c:v>
                </c:pt>
                <c:pt idx="167">
                  <c:v>2012-10-05T14:14:33.20Z</c:v>
                </c:pt>
                <c:pt idx="168">
                  <c:v>2012-10-05T14:14:33.40Z</c:v>
                </c:pt>
                <c:pt idx="169">
                  <c:v>2012-10-05T14:14:33.60Z</c:v>
                </c:pt>
                <c:pt idx="170">
                  <c:v>2012-10-05T14:14:33.80Z</c:v>
                </c:pt>
                <c:pt idx="171">
                  <c:v>2012-10-05T14:14:34.00Z</c:v>
                </c:pt>
                <c:pt idx="172">
                  <c:v>2012-10-05T14:14:34.20Z</c:v>
                </c:pt>
                <c:pt idx="173">
                  <c:v>2012-10-05T14:14:34.40Z</c:v>
                </c:pt>
                <c:pt idx="174">
                  <c:v>2012-10-05T14:14:34.60Z</c:v>
                </c:pt>
                <c:pt idx="175">
                  <c:v>2012-10-05T14:14:34.80Z</c:v>
                </c:pt>
                <c:pt idx="176">
                  <c:v>2012-10-05T14:14:35.00Z</c:v>
                </c:pt>
                <c:pt idx="177">
                  <c:v>2012-10-05T14:14:35.20Z</c:v>
                </c:pt>
                <c:pt idx="178">
                  <c:v>2012-10-05T14:14:35.40Z</c:v>
                </c:pt>
                <c:pt idx="179">
                  <c:v>2012-10-05T14:14:35.60Z</c:v>
                </c:pt>
                <c:pt idx="180">
                  <c:v>2012-10-05T14:14:35.80Z</c:v>
                </c:pt>
                <c:pt idx="181">
                  <c:v>2012-10-05T14:14:36.00Z</c:v>
                </c:pt>
                <c:pt idx="182">
                  <c:v>2012-10-05T14:14:36.20Z</c:v>
                </c:pt>
                <c:pt idx="183">
                  <c:v>2012-10-05T14:14:36.40Z</c:v>
                </c:pt>
                <c:pt idx="184">
                  <c:v>2012-10-05T14:14:36.60Z</c:v>
                </c:pt>
                <c:pt idx="185">
                  <c:v>2012-10-05T14:14:36.80Z</c:v>
                </c:pt>
                <c:pt idx="186">
                  <c:v>2012-10-05T14:14:37.00Z</c:v>
                </c:pt>
                <c:pt idx="187">
                  <c:v>2012-10-05T14:14:37.20Z</c:v>
                </c:pt>
                <c:pt idx="188">
                  <c:v>2012-10-05T14:14:37.40Z</c:v>
                </c:pt>
                <c:pt idx="189">
                  <c:v>2012-10-05T14:14:37.60Z</c:v>
                </c:pt>
                <c:pt idx="190">
                  <c:v>2012-10-05T14:14:37.80Z</c:v>
                </c:pt>
                <c:pt idx="191">
                  <c:v>2012-10-05T14:14:38.00Z</c:v>
                </c:pt>
                <c:pt idx="192">
                  <c:v>2012-10-05T14:14:38.20Z</c:v>
                </c:pt>
                <c:pt idx="193">
                  <c:v>2012-10-05T14:14:38.40Z</c:v>
                </c:pt>
                <c:pt idx="194">
                  <c:v>2012-10-05T14:14:38.60Z</c:v>
                </c:pt>
                <c:pt idx="195">
                  <c:v>2012-10-05T14:14:38.80Z</c:v>
                </c:pt>
                <c:pt idx="196">
                  <c:v>2012-10-05T14:14:39.00Z</c:v>
                </c:pt>
                <c:pt idx="197">
                  <c:v>2012-10-05T14:14:39.20Z</c:v>
                </c:pt>
                <c:pt idx="198">
                  <c:v>2012-10-05T14:14:39.40Z</c:v>
                </c:pt>
              </c:strCache>
            </c:strRef>
          </c:xVal>
          <c:yVal>
            <c:numRef>
              <c:f>'glide ratio over stable flight '!$N$2:$N$201</c:f>
              <c:numCache>
                <c:formatCode>General</c:formatCode>
                <c:ptCount val="200"/>
                <c:pt idx="0">
                  <c:v>51.029187726241545</c:v>
                </c:pt>
                <c:pt idx="1">
                  <c:v>51.51059405598037</c:v>
                </c:pt>
                <c:pt idx="2">
                  <c:v>52.048487009710477</c:v>
                </c:pt>
                <c:pt idx="3">
                  <c:v>52.510175204430617</c:v>
                </c:pt>
                <c:pt idx="4">
                  <c:v>52.697354772322299</c:v>
                </c:pt>
                <c:pt idx="5">
                  <c:v>53.315199521337249</c:v>
                </c:pt>
                <c:pt idx="6">
                  <c:v>53.900426714451903</c:v>
                </c:pt>
                <c:pt idx="7">
                  <c:v>54.181422092817016</c:v>
                </c:pt>
                <c:pt idx="8">
                  <c:v>54.611619642709741</c:v>
                </c:pt>
                <c:pt idx="9">
                  <c:v>54.841710403669943</c:v>
                </c:pt>
                <c:pt idx="10">
                  <c:v>55.171236165233779</c:v>
                </c:pt>
                <c:pt idx="11">
                  <c:v>55.673157805175734</c:v>
                </c:pt>
                <c:pt idx="12">
                  <c:v>55.895354010865702</c:v>
                </c:pt>
                <c:pt idx="13">
                  <c:v>56.361655405071275</c:v>
                </c:pt>
                <c:pt idx="14">
                  <c:v>56.815650132687914</c:v>
                </c:pt>
                <c:pt idx="15">
                  <c:v>57.043388749266988</c:v>
                </c:pt>
                <c:pt idx="16">
                  <c:v>57.313722615094548</c:v>
                </c:pt>
                <c:pt idx="17">
                  <c:v>58.063521250437432</c:v>
                </c:pt>
                <c:pt idx="18">
                  <c:v>58.573920818056898</c:v>
                </c:pt>
                <c:pt idx="19">
                  <c:v>58.774533600871727</c:v>
                </c:pt>
                <c:pt idx="20">
                  <c:v>59.280892368452079</c:v>
                </c:pt>
                <c:pt idx="21">
                  <c:v>59.777210540472694</c:v>
                </c:pt>
                <c:pt idx="22">
                  <c:v>60.295377103058243</c:v>
                </c:pt>
                <c:pt idx="23">
                  <c:v>60.795401141862698</c:v>
                </c:pt>
                <c:pt idx="24">
                  <c:v>61.35909549528904</c:v>
                </c:pt>
                <c:pt idx="25">
                  <c:v>61.683454021317587</c:v>
                </c:pt>
                <c:pt idx="26">
                  <c:v>62.154279820459664</c:v>
                </c:pt>
                <c:pt idx="27">
                  <c:v>62.618471715620778</c:v>
                </c:pt>
                <c:pt idx="28">
                  <c:v>63.280432994725942</c:v>
                </c:pt>
                <c:pt idx="29">
                  <c:v>63.90397874937053</c:v>
                </c:pt>
                <c:pt idx="30">
                  <c:v>63.875518001813496</c:v>
                </c:pt>
                <c:pt idx="31">
                  <c:v>64.39109954023148</c:v>
                </c:pt>
                <c:pt idx="32">
                  <c:v>65.133945067069291</c:v>
                </c:pt>
                <c:pt idx="33">
                  <c:v>65.520092338152267</c:v>
                </c:pt>
                <c:pt idx="34">
                  <c:v>65.34579481496877</c:v>
                </c:pt>
                <c:pt idx="35">
                  <c:v>66.017328785705956</c:v>
                </c:pt>
                <c:pt idx="36">
                  <c:v>66.529846685529037</c:v>
                </c:pt>
                <c:pt idx="37">
                  <c:v>66.853159985149546</c:v>
                </c:pt>
                <c:pt idx="38">
                  <c:v>66.910230159520452</c:v>
                </c:pt>
                <c:pt idx="39">
                  <c:v>67.420169830696821</c:v>
                </c:pt>
                <c:pt idx="40">
                  <c:v>67.787045960124274</c:v>
                </c:pt>
                <c:pt idx="41">
                  <c:v>67.940306887737862</c:v>
                </c:pt>
                <c:pt idx="42">
                  <c:v>68.237979161168013</c:v>
                </c:pt>
                <c:pt idx="43">
                  <c:v>68.398258018753666</c:v>
                </c:pt>
                <c:pt idx="44">
                  <c:v>68.729222314820348</c:v>
                </c:pt>
                <c:pt idx="45">
                  <c:v>68.930490350787437</c:v>
                </c:pt>
                <c:pt idx="46">
                  <c:v>69.175620705563603</c:v>
                </c:pt>
                <c:pt idx="47">
                  <c:v>69.855797898241775</c:v>
                </c:pt>
                <c:pt idx="48">
                  <c:v>69.974099494027072</c:v>
                </c:pt>
                <c:pt idx="49">
                  <c:v>70.479462256745407</c:v>
                </c:pt>
                <c:pt idx="50">
                  <c:v>70.6197606906169</c:v>
                </c:pt>
                <c:pt idx="51">
                  <c:v>70.386243684401848</c:v>
                </c:pt>
                <c:pt idx="52">
                  <c:v>70.784871264981476</c:v>
                </c:pt>
                <c:pt idx="53">
                  <c:v>71.01714300082763</c:v>
                </c:pt>
                <c:pt idx="54">
                  <c:v>71.455597401463237</c:v>
                </c:pt>
                <c:pt idx="55">
                  <c:v>71.557765476571447</c:v>
                </c:pt>
                <c:pt idx="56">
                  <c:v>71.585490848355576</c:v>
                </c:pt>
                <c:pt idx="57">
                  <c:v>71.468944304501932</c:v>
                </c:pt>
                <c:pt idx="58">
                  <c:v>71.78345909748289</c:v>
                </c:pt>
                <c:pt idx="59">
                  <c:v>72.042101579562484</c:v>
                </c:pt>
                <c:pt idx="60">
                  <c:v>72.427536890329222</c:v>
                </c:pt>
                <c:pt idx="61">
                  <c:v>72.600430439495327</c:v>
                </c:pt>
                <c:pt idx="62">
                  <c:v>73.070689746299777</c:v>
                </c:pt>
                <c:pt idx="63">
                  <c:v>73.31296747506542</c:v>
                </c:pt>
                <c:pt idx="64">
                  <c:v>73.787007663951243</c:v>
                </c:pt>
                <c:pt idx="65">
                  <c:v>74.262298644736276</c:v>
                </c:pt>
                <c:pt idx="66">
                  <c:v>74.515091759991819</c:v>
                </c:pt>
                <c:pt idx="67">
                  <c:v>75.065904377420239</c:v>
                </c:pt>
                <c:pt idx="68">
                  <c:v>75.337250414386645</c:v>
                </c:pt>
                <c:pt idx="69">
                  <c:v>75.519055211251157</c:v>
                </c:pt>
                <c:pt idx="70">
                  <c:v>76.089363908499067</c:v>
                </c:pt>
                <c:pt idx="71">
                  <c:v>76.299737876351841</c:v>
                </c:pt>
                <c:pt idx="72">
                  <c:v>76.51737188377551</c:v>
                </c:pt>
                <c:pt idx="73">
                  <c:v>77.009639007074952</c:v>
                </c:pt>
                <c:pt idx="74">
                  <c:v>77.514182573255596</c:v>
                </c:pt>
                <c:pt idx="75">
                  <c:v>77.914353619856215</c:v>
                </c:pt>
                <c:pt idx="76">
                  <c:v>78.057848420258168</c:v>
                </c:pt>
                <c:pt idx="77">
                  <c:v>78.17621185501379</c:v>
                </c:pt>
                <c:pt idx="78">
                  <c:v>78.475578366775991</c:v>
                </c:pt>
                <c:pt idx="79">
                  <c:v>78.729009901052351</c:v>
                </c:pt>
                <c:pt idx="80">
                  <c:v>78.902281335839717</c:v>
                </c:pt>
                <c:pt idx="81">
                  <c:v>79.277629253150607</c:v>
                </c:pt>
                <c:pt idx="82">
                  <c:v>79.615885977611271</c:v>
                </c:pt>
                <c:pt idx="83">
                  <c:v>79.72578002127041</c:v>
                </c:pt>
                <c:pt idx="84">
                  <c:v>79.737622863990623</c:v>
                </c:pt>
                <c:pt idx="85">
                  <c:v>80.030694736457207</c:v>
                </c:pt>
                <c:pt idx="86">
                  <c:v>80.580237031172857</c:v>
                </c:pt>
                <c:pt idx="87">
                  <c:v>80.751852610327148</c:v>
                </c:pt>
                <c:pt idx="88">
                  <c:v>80.936227364512121</c:v>
                </c:pt>
                <c:pt idx="89">
                  <c:v>81.22482686962158</c:v>
                </c:pt>
                <c:pt idx="90">
                  <c:v>81.220899404032707</c:v>
                </c:pt>
                <c:pt idx="91">
                  <c:v>81.348904110627075</c:v>
                </c:pt>
                <c:pt idx="92">
                  <c:v>81.451198886204253</c:v>
                </c:pt>
                <c:pt idx="93">
                  <c:v>81.625611789437755</c:v>
                </c:pt>
                <c:pt idx="94">
                  <c:v>81.713577819111549</c:v>
                </c:pt>
                <c:pt idx="95">
                  <c:v>81.666743537378778</c:v>
                </c:pt>
                <c:pt idx="96">
                  <c:v>82.066342065428984</c:v>
                </c:pt>
                <c:pt idx="97">
                  <c:v>82.318972296791941</c:v>
                </c:pt>
                <c:pt idx="98">
                  <c:v>82.462865582030318</c:v>
                </c:pt>
                <c:pt idx="99">
                  <c:v>82.587752723996559</c:v>
                </c:pt>
                <c:pt idx="100">
                  <c:v>82.852259474319709</c:v>
                </c:pt>
                <c:pt idx="101">
                  <c:v>82.955353052108691</c:v>
                </c:pt>
                <c:pt idx="102">
                  <c:v>83.054459242114149</c:v>
                </c:pt>
                <c:pt idx="103">
                  <c:v>83.212165576915496</c:v>
                </c:pt>
                <c:pt idx="104">
                  <c:v>83.127209745064818</c:v>
                </c:pt>
                <c:pt idx="105">
                  <c:v>83.328384719734004</c:v>
                </c:pt>
                <c:pt idx="106">
                  <c:v>83.474759059250957</c:v>
                </c:pt>
                <c:pt idx="107">
                  <c:v>83.268991827690584</c:v>
                </c:pt>
                <c:pt idx="108">
                  <c:v>83.26132415473586</c:v>
                </c:pt>
                <c:pt idx="109">
                  <c:v>83.517881318912771</c:v>
                </c:pt>
                <c:pt idx="110">
                  <c:v>83.663431677167054</c:v>
                </c:pt>
                <c:pt idx="111">
                  <c:v>83.788615575148398</c:v>
                </c:pt>
                <c:pt idx="112">
                  <c:v>83.885930286312018</c:v>
                </c:pt>
                <c:pt idx="113">
                  <c:v>84.006286669510644</c:v>
                </c:pt>
                <c:pt idx="114">
                  <c:v>83.966629681082239</c:v>
                </c:pt>
                <c:pt idx="115">
                  <c:v>84.13949191669748</c:v>
                </c:pt>
                <c:pt idx="116">
                  <c:v>84.385267079034591</c:v>
                </c:pt>
                <c:pt idx="117">
                  <c:v>84.554338741427102</c:v>
                </c:pt>
                <c:pt idx="118">
                  <c:v>84.793198430062759</c:v>
                </c:pt>
                <c:pt idx="119">
                  <c:v>84.570931767363177</c:v>
                </c:pt>
                <c:pt idx="120">
                  <c:v>84.674643784311243</c:v>
                </c:pt>
                <c:pt idx="121">
                  <c:v>84.030095204039853</c:v>
                </c:pt>
                <c:pt idx="122">
                  <c:v>83.538123033738316</c:v>
                </c:pt>
                <c:pt idx="123">
                  <c:v>83.131554177700778</c:v>
                </c:pt>
                <c:pt idx="124">
                  <c:v>83.109354467472556</c:v>
                </c:pt>
                <c:pt idx="125">
                  <c:v>83.087901044616601</c:v>
                </c:pt>
                <c:pt idx="126">
                  <c:v>83.120229186402028</c:v>
                </c:pt>
                <c:pt idx="127">
                  <c:v>83.222367786551231</c:v>
                </c:pt>
                <c:pt idx="128">
                  <c:v>83.202899588896543</c:v>
                </c:pt>
                <c:pt idx="129">
                  <c:v>82.904482990969797</c:v>
                </c:pt>
                <c:pt idx="130">
                  <c:v>82.734228104213315</c:v>
                </c:pt>
                <c:pt idx="131">
                  <c:v>82.592087393405919</c:v>
                </c:pt>
                <c:pt idx="132">
                  <c:v>82.402634059840594</c:v>
                </c:pt>
                <c:pt idx="133">
                  <c:v>82.176408415067641</c:v>
                </c:pt>
                <c:pt idx="134">
                  <c:v>81.899114769330694</c:v>
                </c:pt>
                <c:pt idx="135">
                  <c:v>81.714469954837256</c:v>
                </c:pt>
                <c:pt idx="136">
                  <c:v>81.42829790680878</c:v>
                </c:pt>
                <c:pt idx="137">
                  <c:v>80.857675578759995</c:v>
                </c:pt>
                <c:pt idx="138">
                  <c:v>80.018202929083586</c:v>
                </c:pt>
                <c:pt idx="139">
                  <c:v>79.313048737266428</c:v>
                </c:pt>
                <c:pt idx="140">
                  <c:v>79.126961271111625</c:v>
                </c:pt>
                <c:pt idx="141">
                  <c:v>78.493513744767469</c:v>
                </c:pt>
                <c:pt idx="142">
                  <c:v>78.329969998717601</c:v>
                </c:pt>
                <c:pt idx="143">
                  <c:v>77.346622421408938</c:v>
                </c:pt>
                <c:pt idx="144">
                  <c:v>76.149971109646529</c:v>
                </c:pt>
                <c:pt idx="145">
                  <c:v>75.72416060941184</c:v>
                </c:pt>
                <c:pt idx="146">
                  <c:v>74.932386189150549</c:v>
                </c:pt>
                <c:pt idx="147">
                  <c:v>74.323079860834625</c:v>
                </c:pt>
                <c:pt idx="148">
                  <c:v>73.461263942298189</c:v>
                </c:pt>
                <c:pt idx="149">
                  <c:v>72.720462732301144</c:v>
                </c:pt>
                <c:pt idx="150">
                  <c:v>71.9884053164119</c:v>
                </c:pt>
                <c:pt idx="151">
                  <c:v>70.967770854099683</c:v>
                </c:pt>
                <c:pt idx="152">
                  <c:v>70.044837782666036</c:v>
                </c:pt>
                <c:pt idx="153">
                  <c:v>69.091233886796374</c:v>
                </c:pt>
                <c:pt idx="154">
                  <c:v>68.228369466080593</c:v>
                </c:pt>
                <c:pt idx="155">
                  <c:v>67.361955137896643</c:v>
                </c:pt>
                <c:pt idx="156">
                  <c:v>66.453400213984537</c:v>
                </c:pt>
                <c:pt idx="157">
                  <c:v>65.356334811554419</c:v>
                </c:pt>
                <c:pt idx="158">
                  <c:v>64.215796343267442</c:v>
                </c:pt>
                <c:pt idx="159">
                  <c:v>63.070806241873903</c:v>
                </c:pt>
                <c:pt idx="160">
                  <c:v>62.173029522454506</c:v>
                </c:pt>
                <c:pt idx="161">
                  <c:v>61.484178452671877</c:v>
                </c:pt>
                <c:pt idx="162">
                  <c:v>60.472096871201686</c:v>
                </c:pt>
                <c:pt idx="163">
                  <c:v>59.750523010263272</c:v>
                </c:pt>
                <c:pt idx="164">
                  <c:v>59.062012326028984</c:v>
                </c:pt>
                <c:pt idx="165">
                  <c:v>58.273179079229926</c:v>
                </c:pt>
                <c:pt idx="166">
                  <c:v>57.417378902210437</c:v>
                </c:pt>
                <c:pt idx="167">
                  <c:v>56.773981716980181</c:v>
                </c:pt>
                <c:pt idx="168">
                  <c:v>56.010628455677953</c:v>
                </c:pt>
                <c:pt idx="169">
                  <c:v>55.395568414810946</c:v>
                </c:pt>
                <c:pt idx="170">
                  <c:v>54.903141075898382</c:v>
                </c:pt>
                <c:pt idx="171">
                  <c:v>54.096607102479176</c:v>
                </c:pt>
                <c:pt idx="172">
                  <c:v>53.43620495506768</c:v>
                </c:pt>
                <c:pt idx="173">
                  <c:v>52.707853304796998</c:v>
                </c:pt>
                <c:pt idx="174">
                  <c:v>51.979138122904651</c:v>
                </c:pt>
                <c:pt idx="175">
                  <c:v>51.137408029738857</c:v>
                </c:pt>
                <c:pt idx="176">
                  <c:v>50.287781816262289</c:v>
                </c:pt>
                <c:pt idx="177">
                  <c:v>49.773391485812979</c:v>
                </c:pt>
                <c:pt idx="178">
                  <c:v>49.123753928216843</c:v>
                </c:pt>
                <c:pt idx="179">
                  <c:v>48.39264510232934</c:v>
                </c:pt>
                <c:pt idx="180">
                  <c:v>47.716073811662248</c:v>
                </c:pt>
                <c:pt idx="181">
                  <c:v>46.897681179350435</c:v>
                </c:pt>
                <c:pt idx="182">
                  <c:v>45.869106160900934</c:v>
                </c:pt>
                <c:pt idx="183">
                  <c:v>44.901692618430324</c:v>
                </c:pt>
                <c:pt idx="184">
                  <c:v>43.822493082890666</c:v>
                </c:pt>
                <c:pt idx="185">
                  <c:v>42.526645764743783</c:v>
                </c:pt>
                <c:pt idx="186">
                  <c:v>41.630219792837991</c:v>
                </c:pt>
                <c:pt idx="187">
                  <c:v>40.236253553232316</c:v>
                </c:pt>
                <c:pt idx="188">
                  <c:v>39.962869016125453</c:v>
                </c:pt>
                <c:pt idx="189">
                  <c:v>38.699677001236068</c:v>
                </c:pt>
                <c:pt idx="190">
                  <c:v>37.775645593424343</c:v>
                </c:pt>
                <c:pt idx="191">
                  <c:v>37.119593208977925</c:v>
                </c:pt>
                <c:pt idx="192">
                  <c:v>36.664765102206779</c:v>
                </c:pt>
                <c:pt idx="193">
                  <c:v>36.494451633090748</c:v>
                </c:pt>
                <c:pt idx="194">
                  <c:v>36.501952002598436</c:v>
                </c:pt>
                <c:pt idx="195">
                  <c:v>36.151417676212915</c:v>
                </c:pt>
                <c:pt idx="196">
                  <c:v>35.982263686433072</c:v>
                </c:pt>
                <c:pt idx="197">
                  <c:v>36.031149024142984</c:v>
                </c:pt>
                <c:pt idx="198">
                  <c:v>36.030827079044414</c:v>
                </c:pt>
                <c:pt idx="199">
                  <c:v>68.008203534026578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'glide ratio over stable flight '!$G$1</c:f>
              <c:strCache>
                <c:ptCount val="1"/>
                <c:pt idx="0">
                  <c:v>velD</c:v>
                </c:pt>
              </c:strCache>
            </c:strRef>
          </c:tx>
          <c:xVal>
            <c:strRef>
              <c:f>'glide ratio over stable flight '!$A$2:$A$200</c:f>
              <c:strCache>
                <c:ptCount val="199"/>
                <c:pt idx="0">
                  <c:v>2012-10-05T14:13:59.80Z</c:v>
                </c:pt>
                <c:pt idx="1">
                  <c:v>2012-10-05T14:14:00.00Z</c:v>
                </c:pt>
                <c:pt idx="2">
                  <c:v>2012-10-05T14:14:00.20Z</c:v>
                </c:pt>
                <c:pt idx="3">
                  <c:v>2012-10-05T14:14:00.40Z</c:v>
                </c:pt>
                <c:pt idx="4">
                  <c:v>2012-10-05T14:14:00.60Z</c:v>
                </c:pt>
                <c:pt idx="5">
                  <c:v>2012-10-05T14:14:00.80Z</c:v>
                </c:pt>
                <c:pt idx="6">
                  <c:v>2012-10-05T14:14:01.00Z</c:v>
                </c:pt>
                <c:pt idx="7">
                  <c:v>2012-10-05T14:14:01.20Z</c:v>
                </c:pt>
                <c:pt idx="8">
                  <c:v>2012-10-05T14:14:01.40Z</c:v>
                </c:pt>
                <c:pt idx="9">
                  <c:v>2012-10-05T14:14:01.60Z</c:v>
                </c:pt>
                <c:pt idx="10">
                  <c:v>2012-10-05T14:14:01.80Z</c:v>
                </c:pt>
                <c:pt idx="11">
                  <c:v>2012-10-05T14:14:02.00Z</c:v>
                </c:pt>
                <c:pt idx="12">
                  <c:v>2012-10-05T14:14:02.20Z</c:v>
                </c:pt>
                <c:pt idx="13">
                  <c:v>2012-10-05T14:14:02.40Z</c:v>
                </c:pt>
                <c:pt idx="14">
                  <c:v>2012-10-05T14:14:02.60Z</c:v>
                </c:pt>
                <c:pt idx="15">
                  <c:v>2012-10-05T14:14:02.80Z</c:v>
                </c:pt>
                <c:pt idx="16">
                  <c:v>2012-10-05T14:14:03.00Z</c:v>
                </c:pt>
                <c:pt idx="17">
                  <c:v>2012-10-05T14:14:03.20Z</c:v>
                </c:pt>
                <c:pt idx="18">
                  <c:v>2012-10-05T14:14:03.40Z</c:v>
                </c:pt>
                <c:pt idx="19">
                  <c:v>2012-10-05T14:14:03.60Z</c:v>
                </c:pt>
                <c:pt idx="20">
                  <c:v>2012-10-05T14:14:03.80Z</c:v>
                </c:pt>
                <c:pt idx="21">
                  <c:v>2012-10-05T14:14:04.00Z</c:v>
                </c:pt>
                <c:pt idx="22">
                  <c:v>2012-10-05T14:14:04.20Z</c:v>
                </c:pt>
                <c:pt idx="23">
                  <c:v>2012-10-05T14:14:04.40Z</c:v>
                </c:pt>
                <c:pt idx="24">
                  <c:v>2012-10-05T14:14:04.60Z</c:v>
                </c:pt>
                <c:pt idx="25">
                  <c:v>2012-10-05T14:14:04.80Z</c:v>
                </c:pt>
                <c:pt idx="26">
                  <c:v>2012-10-05T14:14:05.00Z</c:v>
                </c:pt>
                <c:pt idx="27">
                  <c:v>2012-10-05T14:14:05.20Z</c:v>
                </c:pt>
                <c:pt idx="28">
                  <c:v>2012-10-05T14:14:05.40Z</c:v>
                </c:pt>
                <c:pt idx="29">
                  <c:v>2012-10-05T14:14:05.60Z</c:v>
                </c:pt>
                <c:pt idx="30">
                  <c:v>2012-10-05T14:14:05.80Z</c:v>
                </c:pt>
                <c:pt idx="31">
                  <c:v>2012-10-05T14:14:06.00Z</c:v>
                </c:pt>
                <c:pt idx="32">
                  <c:v>2012-10-05T14:14:06.20Z</c:v>
                </c:pt>
                <c:pt idx="33">
                  <c:v>2012-10-05T14:14:06.40Z</c:v>
                </c:pt>
                <c:pt idx="34">
                  <c:v>2012-10-05T14:14:06.60Z</c:v>
                </c:pt>
                <c:pt idx="35">
                  <c:v>2012-10-05T14:14:06.80Z</c:v>
                </c:pt>
                <c:pt idx="36">
                  <c:v>2012-10-05T14:14:07.00Z</c:v>
                </c:pt>
                <c:pt idx="37">
                  <c:v>2012-10-05T14:14:07.20Z</c:v>
                </c:pt>
                <c:pt idx="38">
                  <c:v>2012-10-05T14:14:07.40Z</c:v>
                </c:pt>
                <c:pt idx="39">
                  <c:v>2012-10-05T14:14:07.60Z</c:v>
                </c:pt>
                <c:pt idx="40">
                  <c:v>2012-10-05T14:14:07.80Z</c:v>
                </c:pt>
                <c:pt idx="41">
                  <c:v>2012-10-05T14:14:08.00Z</c:v>
                </c:pt>
                <c:pt idx="42">
                  <c:v>2012-10-05T14:14:08.20Z</c:v>
                </c:pt>
                <c:pt idx="43">
                  <c:v>2012-10-05T14:14:08.40Z</c:v>
                </c:pt>
                <c:pt idx="44">
                  <c:v>2012-10-05T14:14:08.60Z</c:v>
                </c:pt>
                <c:pt idx="45">
                  <c:v>2012-10-05T14:14:08.80Z</c:v>
                </c:pt>
                <c:pt idx="46">
                  <c:v>2012-10-05T14:14:09.00Z</c:v>
                </c:pt>
                <c:pt idx="47">
                  <c:v>2012-10-05T14:14:09.20Z</c:v>
                </c:pt>
                <c:pt idx="48">
                  <c:v>2012-10-05T14:14:09.40Z</c:v>
                </c:pt>
                <c:pt idx="49">
                  <c:v>2012-10-05T14:14:09.60Z</c:v>
                </c:pt>
                <c:pt idx="50">
                  <c:v>2012-10-05T14:14:09.80Z</c:v>
                </c:pt>
                <c:pt idx="51">
                  <c:v>2012-10-05T14:14:10.00Z</c:v>
                </c:pt>
                <c:pt idx="52">
                  <c:v>2012-10-05T14:14:10.20Z</c:v>
                </c:pt>
                <c:pt idx="53">
                  <c:v>2012-10-05T14:14:10.40Z</c:v>
                </c:pt>
                <c:pt idx="54">
                  <c:v>2012-10-05T14:14:10.60Z</c:v>
                </c:pt>
                <c:pt idx="55">
                  <c:v>2012-10-05T14:14:10.80Z</c:v>
                </c:pt>
                <c:pt idx="56">
                  <c:v>2012-10-05T14:14:11.00Z</c:v>
                </c:pt>
                <c:pt idx="57">
                  <c:v>2012-10-05T14:14:11.20Z</c:v>
                </c:pt>
                <c:pt idx="58">
                  <c:v>2012-10-05T14:14:11.40Z</c:v>
                </c:pt>
                <c:pt idx="59">
                  <c:v>2012-10-05T14:14:11.60Z</c:v>
                </c:pt>
                <c:pt idx="60">
                  <c:v>2012-10-05T14:14:11.80Z</c:v>
                </c:pt>
                <c:pt idx="61">
                  <c:v>2012-10-05T14:14:12.00Z</c:v>
                </c:pt>
                <c:pt idx="62">
                  <c:v>2012-10-05T14:14:12.20Z</c:v>
                </c:pt>
                <c:pt idx="63">
                  <c:v>2012-10-05T14:14:12.40Z</c:v>
                </c:pt>
                <c:pt idx="64">
                  <c:v>2012-10-05T14:14:12.60Z</c:v>
                </c:pt>
                <c:pt idx="65">
                  <c:v>2012-10-05T14:14:12.80Z</c:v>
                </c:pt>
                <c:pt idx="66">
                  <c:v>2012-10-05T14:14:13.00Z</c:v>
                </c:pt>
                <c:pt idx="67">
                  <c:v>2012-10-05T14:14:13.20Z</c:v>
                </c:pt>
                <c:pt idx="68">
                  <c:v>2012-10-05T14:14:13.40Z</c:v>
                </c:pt>
                <c:pt idx="69">
                  <c:v>2012-10-05T14:14:13.60Z</c:v>
                </c:pt>
                <c:pt idx="70">
                  <c:v>2012-10-05T14:14:13.80Z</c:v>
                </c:pt>
                <c:pt idx="71">
                  <c:v>2012-10-05T14:14:14.00Z</c:v>
                </c:pt>
                <c:pt idx="72">
                  <c:v>2012-10-05T14:14:14.20Z</c:v>
                </c:pt>
                <c:pt idx="73">
                  <c:v>2012-10-05T14:14:14.40Z</c:v>
                </c:pt>
                <c:pt idx="74">
                  <c:v>2012-10-05T14:14:14.60Z</c:v>
                </c:pt>
                <c:pt idx="75">
                  <c:v>2012-10-05T14:14:14.80Z</c:v>
                </c:pt>
                <c:pt idx="76">
                  <c:v>2012-10-05T14:14:15.00Z</c:v>
                </c:pt>
                <c:pt idx="77">
                  <c:v>2012-10-05T14:14:15.20Z</c:v>
                </c:pt>
                <c:pt idx="78">
                  <c:v>2012-10-05T14:14:15.40Z</c:v>
                </c:pt>
                <c:pt idx="79">
                  <c:v>2012-10-05T14:14:15.60Z</c:v>
                </c:pt>
                <c:pt idx="80">
                  <c:v>2012-10-05T14:14:15.80Z</c:v>
                </c:pt>
                <c:pt idx="81">
                  <c:v>2012-10-05T14:14:16.00Z</c:v>
                </c:pt>
                <c:pt idx="82">
                  <c:v>2012-10-05T14:14:16.20Z</c:v>
                </c:pt>
                <c:pt idx="83">
                  <c:v>2012-10-05T14:14:16.40Z</c:v>
                </c:pt>
                <c:pt idx="84">
                  <c:v>2012-10-05T14:14:16.60Z</c:v>
                </c:pt>
                <c:pt idx="85">
                  <c:v>2012-10-05T14:14:16.80Z</c:v>
                </c:pt>
                <c:pt idx="86">
                  <c:v>2012-10-05T14:14:17.00Z</c:v>
                </c:pt>
                <c:pt idx="87">
                  <c:v>2012-10-05T14:14:17.20Z</c:v>
                </c:pt>
                <c:pt idx="88">
                  <c:v>2012-10-05T14:14:17.40Z</c:v>
                </c:pt>
                <c:pt idx="89">
                  <c:v>2012-10-05T14:14:17.60Z</c:v>
                </c:pt>
                <c:pt idx="90">
                  <c:v>2012-10-05T14:14:17.80Z</c:v>
                </c:pt>
                <c:pt idx="91">
                  <c:v>2012-10-05T14:14:18.00Z</c:v>
                </c:pt>
                <c:pt idx="92">
                  <c:v>2012-10-05T14:14:18.20Z</c:v>
                </c:pt>
                <c:pt idx="93">
                  <c:v>2012-10-05T14:14:18.40Z</c:v>
                </c:pt>
                <c:pt idx="94">
                  <c:v>2012-10-05T14:14:18.60Z</c:v>
                </c:pt>
                <c:pt idx="95">
                  <c:v>2012-10-05T14:14:18.80Z</c:v>
                </c:pt>
                <c:pt idx="96">
                  <c:v>2012-10-05T14:14:19.00Z</c:v>
                </c:pt>
                <c:pt idx="97">
                  <c:v>2012-10-05T14:14:19.20Z</c:v>
                </c:pt>
                <c:pt idx="98">
                  <c:v>2012-10-05T14:14:19.40Z</c:v>
                </c:pt>
                <c:pt idx="99">
                  <c:v>2012-10-05T14:14:19.60Z</c:v>
                </c:pt>
                <c:pt idx="100">
                  <c:v>2012-10-05T14:14:19.80Z</c:v>
                </c:pt>
                <c:pt idx="101">
                  <c:v>2012-10-05T14:14:20.00Z</c:v>
                </c:pt>
                <c:pt idx="102">
                  <c:v>2012-10-05T14:14:20.20Z</c:v>
                </c:pt>
                <c:pt idx="103">
                  <c:v>2012-10-05T14:14:20.40Z</c:v>
                </c:pt>
                <c:pt idx="104">
                  <c:v>2012-10-05T14:14:20.60Z</c:v>
                </c:pt>
                <c:pt idx="105">
                  <c:v>2012-10-05T14:14:20.80Z</c:v>
                </c:pt>
                <c:pt idx="106">
                  <c:v>2012-10-05T14:14:21.00Z</c:v>
                </c:pt>
                <c:pt idx="107">
                  <c:v>2012-10-05T14:14:21.20Z</c:v>
                </c:pt>
                <c:pt idx="108">
                  <c:v>2012-10-05T14:14:21.40Z</c:v>
                </c:pt>
                <c:pt idx="109">
                  <c:v>2012-10-05T14:14:21.60Z</c:v>
                </c:pt>
                <c:pt idx="110">
                  <c:v>2012-10-05T14:14:21.80Z</c:v>
                </c:pt>
                <c:pt idx="111">
                  <c:v>2012-10-05T14:14:22.00Z</c:v>
                </c:pt>
                <c:pt idx="112">
                  <c:v>2012-10-05T14:14:22.20Z</c:v>
                </c:pt>
                <c:pt idx="113">
                  <c:v>2012-10-05T14:14:22.40Z</c:v>
                </c:pt>
                <c:pt idx="114">
                  <c:v>2012-10-05T14:14:22.60Z</c:v>
                </c:pt>
                <c:pt idx="115">
                  <c:v>2012-10-05T14:14:22.80Z</c:v>
                </c:pt>
                <c:pt idx="116">
                  <c:v>2012-10-05T14:14:23.00Z</c:v>
                </c:pt>
                <c:pt idx="117">
                  <c:v>2012-10-05T14:14:23.20Z</c:v>
                </c:pt>
                <c:pt idx="118">
                  <c:v>2012-10-05T14:14:23.40Z</c:v>
                </c:pt>
                <c:pt idx="119">
                  <c:v>2012-10-05T14:14:23.60Z</c:v>
                </c:pt>
                <c:pt idx="120">
                  <c:v>2012-10-05T14:14:23.80Z</c:v>
                </c:pt>
                <c:pt idx="121">
                  <c:v>2012-10-05T14:14:24.00Z</c:v>
                </c:pt>
                <c:pt idx="122">
                  <c:v>2012-10-05T14:14:24.20Z</c:v>
                </c:pt>
                <c:pt idx="123">
                  <c:v>2012-10-05T14:14:24.40Z</c:v>
                </c:pt>
                <c:pt idx="124">
                  <c:v>2012-10-05T14:14:24.60Z</c:v>
                </c:pt>
                <c:pt idx="125">
                  <c:v>2012-10-05T14:14:24.80Z</c:v>
                </c:pt>
                <c:pt idx="126">
                  <c:v>2012-10-05T14:14:25.00Z</c:v>
                </c:pt>
                <c:pt idx="127">
                  <c:v>2012-10-05T14:14:25.20Z</c:v>
                </c:pt>
                <c:pt idx="128">
                  <c:v>2012-10-05T14:14:25.40Z</c:v>
                </c:pt>
                <c:pt idx="129">
                  <c:v>2012-10-05T14:14:25.60Z</c:v>
                </c:pt>
                <c:pt idx="130">
                  <c:v>2012-10-05T14:14:25.80Z</c:v>
                </c:pt>
                <c:pt idx="131">
                  <c:v>2012-10-05T14:14:26.00Z</c:v>
                </c:pt>
                <c:pt idx="132">
                  <c:v>2012-10-05T14:14:26.20Z</c:v>
                </c:pt>
                <c:pt idx="133">
                  <c:v>2012-10-05T14:14:26.40Z</c:v>
                </c:pt>
                <c:pt idx="134">
                  <c:v>2012-10-05T14:14:26.60Z</c:v>
                </c:pt>
                <c:pt idx="135">
                  <c:v>2012-10-05T14:14:26.80Z</c:v>
                </c:pt>
                <c:pt idx="136">
                  <c:v>2012-10-05T14:14:27.00Z</c:v>
                </c:pt>
                <c:pt idx="137">
                  <c:v>2012-10-05T14:14:27.20Z</c:v>
                </c:pt>
                <c:pt idx="138">
                  <c:v>2012-10-05T14:14:27.40Z</c:v>
                </c:pt>
                <c:pt idx="139">
                  <c:v>2012-10-05T14:14:27.60Z</c:v>
                </c:pt>
                <c:pt idx="140">
                  <c:v>2012-10-05T14:14:27.80Z</c:v>
                </c:pt>
                <c:pt idx="141">
                  <c:v>2012-10-05T14:14:28.00Z</c:v>
                </c:pt>
                <c:pt idx="142">
                  <c:v>2012-10-05T14:14:28.20Z</c:v>
                </c:pt>
                <c:pt idx="143">
                  <c:v>2012-10-05T14:14:28.40Z</c:v>
                </c:pt>
                <c:pt idx="144">
                  <c:v>2012-10-05T14:14:28.60Z</c:v>
                </c:pt>
                <c:pt idx="145">
                  <c:v>2012-10-05T14:14:28.80Z</c:v>
                </c:pt>
                <c:pt idx="146">
                  <c:v>2012-10-05T14:14:29.00Z</c:v>
                </c:pt>
                <c:pt idx="147">
                  <c:v>2012-10-05T14:14:29.20Z</c:v>
                </c:pt>
                <c:pt idx="148">
                  <c:v>2012-10-05T14:14:29.40Z</c:v>
                </c:pt>
                <c:pt idx="149">
                  <c:v>2012-10-05T14:14:29.60Z</c:v>
                </c:pt>
                <c:pt idx="150">
                  <c:v>2012-10-05T14:14:29.80Z</c:v>
                </c:pt>
                <c:pt idx="151">
                  <c:v>2012-10-05T14:14:30.00Z</c:v>
                </c:pt>
                <c:pt idx="152">
                  <c:v>2012-10-05T14:14:30.20Z</c:v>
                </c:pt>
                <c:pt idx="153">
                  <c:v>2012-10-05T14:14:30.40Z</c:v>
                </c:pt>
                <c:pt idx="154">
                  <c:v>2012-10-05T14:14:30.60Z</c:v>
                </c:pt>
                <c:pt idx="155">
                  <c:v>2012-10-05T14:14:30.80Z</c:v>
                </c:pt>
                <c:pt idx="156">
                  <c:v>2012-10-05T14:14:31.00Z</c:v>
                </c:pt>
                <c:pt idx="157">
                  <c:v>2012-10-05T14:14:31.20Z</c:v>
                </c:pt>
                <c:pt idx="158">
                  <c:v>2012-10-05T14:14:31.40Z</c:v>
                </c:pt>
                <c:pt idx="159">
                  <c:v>2012-10-05T14:14:31.60Z</c:v>
                </c:pt>
                <c:pt idx="160">
                  <c:v>2012-10-05T14:14:31.80Z</c:v>
                </c:pt>
                <c:pt idx="161">
                  <c:v>2012-10-05T14:14:32.00Z</c:v>
                </c:pt>
                <c:pt idx="162">
                  <c:v>2012-10-05T14:14:32.20Z</c:v>
                </c:pt>
                <c:pt idx="163">
                  <c:v>2012-10-05T14:14:32.40Z</c:v>
                </c:pt>
                <c:pt idx="164">
                  <c:v>2012-10-05T14:14:32.60Z</c:v>
                </c:pt>
                <c:pt idx="165">
                  <c:v>2012-10-05T14:14:32.80Z</c:v>
                </c:pt>
                <c:pt idx="166">
                  <c:v>2012-10-05T14:14:33.00Z</c:v>
                </c:pt>
                <c:pt idx="167">
                  <c:v>2012-10-05T14:14:33.20Z</c:v>
                </c:pt>
                <c:pt idx="168">
                  <c:v>2012-10-05T14:14:33.40Z</c:v>
                </c:pt>
                <c:pt idx="169">
                  <c:v>2012-10-05T14:14:33.60Z</c:v>
                </c:pt>
                <c:pt idx="170">
                  <c:v>2012-10-05T14:14:33.80Z</c:v>
                </c:pt>
                <c:pt idx="171">
                  <c:v>2012-10-05T14:14:34.00Z</c:v>
                </c:pt>
                <c:pt idx="172">
                  <c:v>2012-10-05T14:14:34.20Z</c:v>
                </c:pt>
                <c:pt idx="173">
                  <c:v>2012-10-05T14:14:34.40Z</c:v>
                </c:pt>
                <c:pt idx="174">
                  <c:v>2012-10-05T14:14:34.60Z</c:v>
                </c:pt>
                <c:pt idx="175">
                  <c:v>2012-10-05T14:14:34.80Z</c:v>
                </c:pt>
                <c:pt idx="176">
                  <c:v>2012-10-05T14:14:35.00Z</c:v>
                </c:pt>
                <c:pt idx="177">
                  <c:v>2012-10-05T14:14:35.20Z</c:v>
                </c:pt>
                <c:pt idx="178">
                  <c:v>2012-10-05T14:14:35.40Z</c:v>
                </c:pt>
                <c:pt idx="179">
                  <c:v>2012-10-05T14:14:35.60Z</c:v>
                </c:pt>
                <c:pt idx="180">
                  <c:v>2012-10-05T14:14:35.80Z</c:v>
                </c:pt>
                <c:pt idx="181">
                  <c:v>2012-10-05T14:14:36.00Z</c:v>
                </c:pt>
                <c:pt idx="182">
                  <c:v>2012-10-05T14:14:36.20Z</c:v>
                </c:pt>
                <c:pt idx="183">
                  <c:v>2012-10-05T14:14:36.40Z</c:v>
                </c:pt>
                <c:pt idx="184">
                  <c:v>2012-10-05T14:14:36.60Z</c:v>
                </c:pt>
                <c:pt idx="185">
                  <c:v>2012-10-05T14:14:36.80Z</c:v>
                </c:pt>
                <c:pt idx="186">
                  <c:v>2012-10-05T14:14:37.00Z</c:v>
                </c:pt>
                <c:pt idx="187">
                  <c:v>2012-10-05T14:14:37.20Z</c:v>
                </c:pt>
                <c:pt idx="188">
                  <c:v>2012-10-05T14:14:37.40Z</c:v>
                </c:pt>
                <c:pt idx="189">
                  <c:v>2012-10-05T14:14:37.60Z</c:v>
                </c:pt>
                <c:pt idx="190">
                  <c:v>2012-10-05T14:14:37.80Z</c:v>
                </c:pt>
                <c:pt idx="191">
                  <c:v>2012-10-05T14:14:38.00Z</c:v>
                </c:pt>
                <c:pt idx="192">
                  <c:v>2012-10-05T14:14:38.20Z</c:v>
                </c:pt>
                <c:pt idx="193">
                  <c:v>2012-10-05T14:14:38.40Z</c:v>
                </c:pt>
                <c:pt idx="194">
                  <c:v>2012-10-05T14:14:38.60Z</c:v>
                </c:pt>
                <c:pt idx="195">
                  <c:v>2012-10-05T14:14:38.80Z</c:v>
                </c:pt>
                <c:pt idx="196">
                  <c:v>2012-10-05T14:14:39.00Z</c:v>
                </c:pt>
                <c:pt idx="197">
                  <c:v>2012-10-05T14:14:39.20Z</c:v>
                </c:pt>
                <c:pt idx="198">
                  <c:v>2012-10-05T14:14:39.40Z</c:v>
                </c:pt>
              </c:strCache>
            </c:strRef>
          </c:xVal>
          <c:yVal>
            <c:numRef>
              <c:f>'glide ratio over stable flight '!$G$2:$G$200</c:f>
              <c:numCache>
                <c:formatCode>General</c:formatCode>
                <c:ptCount val="199"/>
                <c:pt idx="0">
                  <c:v>51.2</c:v>
                </c:pt>
                <c:pt idx="1">
                  <c:v>52.45</c:v>
                </c:pt>
                <c:pt idx="2">
                  <c:v>53.57</c:v>
                </c:pt>
                <c:pt idx="3">
                  <c:v>54.59</c:v>
                </c:pt>
                <c:pt idx="4">
                  <c:v>55.62</c:v>
                </c:pt>
                <c:pt idx="5">
                  <c:v>56.49</c:v>
                </c:pt>
                <c:pt idx="6">
                  <c:v>57.32</c:v>
                </c:pt>
                <c:pt idx="7">
                  <c:v>57.89</c:v>
                </c:pt>
                <c:pt idx="8">
                  <c:v>58.51</c:v>
                </c:pt>
                <c:pt idx="9">
                  <c:v>58.97</c:v>
                </c:pt>
                <c:pt idx="10">
                  <c:v>59.45</c:v>
                </c:pt>
                <c:pt idx="11">
                  <c:v>60.01</c:v>
                </c:pt>
                <c:pt idx="12">
                  <c:v>60.7</c:v>
                </c:pt>
                <c:pt idx="13">
                  <c:v>61.41</c:v>
                </c:pt>
                <c:pt idx="14">
                  <c:v>62.15</c:v>
                </c:pt>
                <c:pt idx="15">
                  <c:v>62.7</c:v>
                </c:pt>
                <c:pt idx="16">
                  <c:v>63.36</c:v>
                </c:pt>
                <c:pt idx="17">
                  <c:v>64.11</c:v>
                </c:pt>
                <c:pt idx="18">
                  <c:v>64.73</c:v>
                </c:pt>
                <c:pt idx="19">
                  <c:v>65.400000000000006</c:v>
                </c:pt>
                <c:pt idx="20">
                  <c:v>66.06</c:v>
                </c:pt>
                <c:pt idx="21">
                  <c:v>66.59</c:v>
                </c:pt>
                <c:pt idx="22">
                  <c:v>67.12</c:v>
                </c:pt>
                <c:pt idx="23">
                  <c:v>67.73</c:v>
                </c:pt>
                <c:pt idx="24">
                  <c:v>68.2</c:v>
                </c:pt>
                <c:pt idx="25">
                  <c:v>68.680000000000007</c:v>
                </c:pt>
                <c:pt idx="26">
                  <c:v>69.13</c:v>
                </c:pt>
                <c:pt idx="27">
                  <c:v>69.599999999999994</c:v>
                </c:pt>
                <c:pt idx="28">
                  <c:v>69.989999999999995</c:v>
                </c:pt>
                <c:pt idx="29">
                  <c:v>70.36</c:v>
                </c:pt>
                <c:pt idx="30">
                  <c:v>70.92</c:v>
                </c:pt>
                <c:pt idx="31">
                  <c:v>71.37</c:v>
                </c:pt>
                <c:pt idx="32">
                  <c:v>71.7</c:v>
                </c:pt>
                <c:pt idx="33">
                  <c:v>71.989999999999995</c:v>
                </c:pt>
                <c:pt idx="34">
                  <c:v>72.53</c:v>
                </c:pt>
                <c:pt idx="35">
                  <c:v>72.83</c:v>
                </c:pt>
                <c:pt idx="36">
                  <c:v>73.12</c:v>
                </c:pt>
                <c:pt idx="37">
                  <c:v>73.44</c:v>
                </c:pt>
                <c:pt idx="38">
                  <c:v>73.87</c:v>
                </c:pt>
                <c:pt idx="39">
                  <c:v>74.12</c:v>
                </c:pt>
                <c:pt idx="40">
                  <c:v>74.42</c:v>
                </c:pt>
                <c:pt idx="41">
                  <c:v>74.760000000000005</c:v>
                </c:pt>
                <c:pt idx="42">
                  <c:v>75.12</c:v>
                </c:pt>
                <c:pt idx="43">
                  <c:v>75.53</c:v>
                </c:pt>
                <c:pt idx="44">
                  <c:v>75.86</c:v>
                </c:pt>
                <c:pt idx="45">
                  <c:v>76.319999999999993</c:v>
                </c:pt>
                <c:pt idx="46">
                  <c:v>76.760000000000005</c:v>
                </c:pt>
                <c:pt idx="47">
                  <c:v>76.95</c:v>
                </c:pt>
                <c:pt idx="48">
                  <c:v>77.28</c:v>
                </c:pt>
                <c:pt idx="49">
                  <c:v>77.510000000000005</c:v>
                </c:pt>
                <c:pt idx="50">
                  <c:v>77.87</c:v>
                </c:pt>
                <c:pt idx="51">
                  <c:v>78.3</c:v>
                </c:pt>
                <c:pt idx="52">
                  <c:v>78.56</c:v>
                </c:pt>
                <c:pt idx="53">
                  <c:v>78.819999999999993</c:v>
                </c:pt>
                <c:pt idx="54">
                  <c:v>79.05</c:v>
                </c:pt>
                <c:pt idx="55">
                  <c:v>79.37</c:v>
                </c:pt>
                <c:pt idx="56">
                  <c:v>79.66</c:v>
                </c:pt>
                <c:pt idx="57">
                  <c:v>80.099999999999994</c:v>
                </c:pt>
                <c:pt idx="58">
                  <c:v>80.349999999999994</c:v>
                </c:pt>
                <c:pt idx="59">
                  <c:v>80.56</c:v>
                </c:pt>
                <c:pt idx="60">
                  <c:v>80.650000000000006</c:v>
                </c:pt>
                <c:pt idx="61">
                  <c:v>80.78</c:v>
                </c:pt>
                <c:pt idx="62">
                  <c:v>80.78</c:v>
                </c:pt>
                <c:pt idx="63">
                  <c:v>80.88</c:v>
                </c:pt>
                <c:pt idx="64">
                  <c:v>80.97</c:v>
                </c:pt>
                <c:pt idx="65">
                  <c:v>81.010000000000005</c:v>
                </c:pt>
                <c:pt idx="66">
                  <c:v>81.069999999999993</c:v>
                </c:pt>
                <c:pt idx="67">
                  <c:v>80.959999999999994</c:v>
                </c:pt>
                <c:pt idx="68">
                  <c:v>80.94</c:v>
                </c:pt>
                <c:pt idx="69">
                  <c:v>80.87</c:v>
                </c:pt>
                <c:pt idx="70">
                  <c:v>80.680000000000007</c:v>
                </c:pt>
                <c:pt idx="71">
                  <c:v>80.56</c:v>
                </c:pt>
                <c:pt idx="72">
                  <c:v>80.48</c:v>
                </c:pt>
                <c:pt idx="73">
                  <c:v>80.22</c:v>
                </c:pt>
                <c:pt idx="74">
                  <c:v>79.86</c:v>
                </c:pt>
                <c:pt idx="75">
                  <c:v>79.55</c:v>
                </c:pt>
                <c:pt idx="76">
                  <c:v>79.39</c:v>
                </c:pt>
                <c:pt idx="77">
                  <c:v>79.23</c:v>
                </c:pt>
                <c:pt idx="78">
                  <c:v>78.95</c:v>
                </c:pt>
                <c:pt idx="79">
                  <c:v>78.72</c:v>
                </c:pt>
                <c:pt idx="80">
                  <c:v>78.52</c:v>
                </c:pt>
                <c:pt idx="81">
                  <c:v>78.239999999999995</c:v>
                </c:pt>
                <c:pt idx="82">
                  <c:v>77.91</c:v>
                </c:pt>
                <c:pt idx="83">
                  <c:v>77.61</c:v>
                </c:pt>
                <c:pt idx="84">
                  <c:v>77.38</c:v>
                </c:pt>
                <c:pt idx="85">
                  <c:v>77.16</c:v>
                </c:pt>
                <c:pt idx="86">
                  <c:v>76.760000000000005</c:v>
                </c:pt>
                <c:pt idx="87">
                  <c:v>76.39</c:v>
                </c:pt>
                <c:pt idx="88">
                  <c:v>76.06</c:v>
                </c:pt>
                <c:pt idx="89">
                  <c:v>75.89</c:v>
                </c:pt>
                <c:pt idx="90">
                  <c:v>75.739999999999995</c:v>
                </c:pt>
                <c:pt idx="91">
                  <c:v>75.62</c:v>
                </c:pt>
                <c:pt idx="92">
                  <c:v>75.48</c:v>
                </c:pt>
                <c:pt idx="93">
                  <c:v>75.430000000000007</c:v>
                </c:pt>
                <c:pt idx="94">
                  <c:v>75.11</c:v>
                </c:pt>
                <c:pt idx="95">
                  <c:v>74.760000000000005</c:v>
                </c:pt>
                <c:pt idx="96">
                  <c:v>74.22</c:v>
                </c:pt>
                <c:pt idx="97">
                  <c:v>73.760000000000005</c:v>
                </c:pt>
                <c:pt idx="98">
                  <c:v>73.39</c:v>
                </c:pt>
                <c:pt idx="99">
                  <c:v>72.92</c:v>
                </c:pt>
                <c:pt idx="100">
                  <c:v>72.61</c:v>
                </c:pt>
                <c:pt idx="101">
                  <c:v>72.34</c:v>
                </c:pt>
                <c:pt idx="102">
                  <c:v>72.13</c:v>
                </c:pt>
                <c:pt idx="103">
                  <c:v>71.849999999999994</c:v>
                </c:pt>
                <c:pt idx="104">
                  <c:v>71.44</c:v>
                </c:pt>
                <c:pt idx="105">
                  <c:v>71.010000000000005</c:v>
                </c:pt>
                <c:pt idx="106">
                  <c:v>70.67</c:v>
                </c:pt>
                <c:pt idx="107">
                  <c:v>70.38</c:v>
                </c:pt>
                <c:pt idx="108">
                  <c:v>70.13</c:v>
                </c:pt>
                <c:pt idx="109">
                  <c:v>69.63</c:v>
                </c:pt>
                <c:pt idx="110">
                  <c:v>69.150000000000006</c:v>
                </c:pt>
                <c:pt idx="111">
                  <c:v>68.849999999999994</c:v>
                </c:pt>
                <c:pt idx="112">
                  <c:v>68.62</c:v>
                </c:pt>
                <c:pt idx="113">
                  <c:v>68.41</c:v>
                </c:pt>
                <c:pt idx="114">
                  <c:v>68.239999999999995</c:v>
                </c:pt>
                <c:pt idx="115">
                  <c:v>67.97</c:v>
                </c:pt>
                <c:pt idx="116">
                  <c:v>67.45</c:v>
                </c:pt>
                <c:pt idx="117">
                  <c:v>66.989999999999995</c:v>
                </c:pt>
                <c:pt idx="118">
                  <c:v>66.31</c:v>
                </c:pt>
                <c:pt idx="119">
                  <c:v>65.34</c:v>
                </c:pt>
                <c:pt idx="120">
                  <c:v>64.489999999999995</c:v>
                </c:pt>
                <c:pt idx="121">
                  <c:v>63.55</c:v>
                </c:pt>
                <c:pt idx="122">
                  <c:v>63.02</c:v>
                </c:pt>
                <c:pt idx="123">
                  <c:v>62.89</c:v>
                </c:pt>
                <c:pt idx="124">
                  <c:v>62.78</c:v>
                </c:pt>
                <c:pt idx="125">
                  <c:v>62.79</c:v>
                </c:pt>
                <c:pt idx="126">
                  <c:v>62.43</c:v>
                </c:pt>
                <c:pt idx="127">
                  <c:v>61.79</c:v>
                </c:pt>
                <c:pt idx="128">
                  <c:v>60.99</c:v>
                </c:pt>
                <c:pt idx="129">
                  <c:v>60.1</c:v>
                </c:pt>
                <c:pt idx="130">
                  <c:v>58.9</c:v>
                </c:pt>
                <c:pt idx="131">
                  <c:v>57.88</c:v>
                </c:pt>
                <c:pt idx="132">
                  <c:v>56.93</c:v>
                </c:pt>
                <c:pt idx="133">
                  <c:v>56.03</c:v>
                </c:pt>
                <c:pt idx="134">
                  <c:v>55.42</c:v>
                </c:pt>
                <c:pt idx="135">
                  <c:v>54.82</c:v>
                </c:pt>
                <c:pt idx="136">
                  <c:v>54.12</c:v>
                </c:pt>
                <c:pt idx="137">
                  <c:v>53.19</c:v>
                </c:pt>
                <c:pt idx="138">
                  <c:v>52.06</c:v>
                </c:pt>
                <c:pt idx="139">
                  <c:v>50.97</c:v>
                </c:pt>
                <c:pt idx="140">
                  <c:v>50.15</c:v>
                </c:pt>
                <c:pt idx="141">
                  <c:v>49.6</c:v>
                </c:pt>
                <c:pt idx="142">
                  <c:v>48.87</c:v>
                </c:pt>
                <c:pt idx="143">
                  <c:v>48.16</c:v>
                </c:pt>
                <c:pt idx="144">
                  <c:v>47.45</c:v>
                </c:pt>
                <c:pt idx="145">
                  <c:v>46.6</c:v>
                </c:pt>
                <c:pt idx="146">
                  <c:v>45.67</c:v>
                </c:pt>
                <c:pt idx="147">
                  <c:v>44.59</c:v>
                </c:pt>
                <c:pt idx="148">
                  <c:v>43.61</c:v>
                </c:pt>
                <c:pt idx="149">
                  <c:v>42.63</c:v>
                </c:pt>
                <c:pt idx="150">
                  <c:v>41.83</c:v>
                </c:pt>
                <c:pt idx="151">
                  <c:v>40.950000000000003</c:v>
                </c:pt>
                <c:pt idx="152">
                  <c:v>40.11</c:v>
                </c:pt>
                <c:pt idx="153">
                  <c:v>39.32</c:v>
                </c:pt>
                <c:pt idx="154">
                  <c:v>38.56</c:v>
                </c:pt>
                <c:pt idx="155">
                  <c:v>37.83</c:v>
                </c:pt>
                <c:pt idx="156">
                  <c:v>37.19</c:v>
                </c:pt>
                <c:pt idx="157">
                  <c:v>36.6</c:v>
                </c:pt>
                <c:pt idx="158">
                  <c:v>35.950000000000003</c:v>
                </c:pt>
                <c:pt idx="159">
                  <c:v>35.22</c:v>
                </c:pt>
                <c:pt idx="160">
                  <c:v>34.49</c:v>
                </c:pt>
                <c:pt idx="161">
                  <c:v>33.89</c:v>
                </c:pt>
                <c:pt idx="162">
                  <c:v>33.340000000000003</c:v>
                </c:pt>
                <c:pt idx="163">
                  <c:v>32.880000000000003</c:v>
                </c:pt>
                <c:pt idx="164">
                  <c:v>32.5</c:v>
                </c:pt>
                <c:pt idx="165">
                  <c:v>32.24</c:v>
                </c:pt>
                <c:pt idx="166">
                  <c:v>31.98</c:v>
                </c:pt>
                <c:pt idx="167">
                  <c:v>31.68</c:v>
                </c:pt>
                <c:pt idx="168">
                  <c:v>31.5</c:v>
                </c:pt>
                <c:pt idx="169">
                  <c:v>31.33</c:v>
                </c:pt>
                <c:pt idx="170">
                  <c:v>31.21</c:v>
                </c:pt>
                <c:pt idx="171">
                  <c:v>31.08</c:v>
                </c:pt>
                <c:pt idx="172">
                  <c:v>30.98</c:v>
                </c:pt>
                <c:pt idx="173">
                  <c:v>30.94</c:v>
                </c:pt>
                <c:pt idx="174">
                  <c:v>30.94</c:v>
                </c:pt>
                <c:pt idx="175">
                  <c:v>30.93</c:v>
                </c:pt>
                <c:pt idx="176">
                  <c:v>31.02</c:v>
                </c:pt>
                <c:pt idx="177">
                  <c:v>31.11</c:v>
                </c:pt>
                <c:pt idx="178">
                  <c:v>31.28</c:v>
                </c:pt>
                <c:pt idx="179">
                  <c:v>31.43</c:v>
                </c:pt>
                <c:pt idx="180">
                  <c:v>31.66</c:v>
                </c:pt>
                <c:pt idx="181">
                  <c:v>31.8</c:v>
                </c:pt>
                <c:pt idx="182">
                  <c:v>32.229999999999997</c:v>
                </c:pt>
                <c:pt idx="183">
                  <c:v>32.619999999999997</c:v>
                </c:pt>
                <c:pt idx="184">
                  <c:v>32.93</c:v>
                </c:pt>
                <c:pt idx="185">
                  <c:v>33.380000000000003</c:v>
                </c:pt>
                <c:pt idx="186">
                  <c:v>33.76</c:v>
                </c:pt>
                <c:pt idx="187">
                  <c:v>34.39</c:v>
                </c:pt>
                <c:pt idx="188">
                  <c:v>34.92</c:v>
                </c:pt>
                <c:pt idx="189">
                  <c:v>35.65</c:v>
                </c:pt>
                <c:pt idx="190">
                  <c:v>36.299999999999997</c:v>
                </c:pt>
                <c:pt idx="191">
                  <c:v>36.82</c:v>
                </c:pt>
                <c:pt idx="192">
                  <c:v>37.36</c:v>
                </c:pt>
                <c:pt idx="193">
                  <c:v>38.06</c:v>
                </c:pt>
                <c:pt idx="194">
                  <c:v>38.630000000000003</c:v>
                </c:pt>
                <c:pt idx="195">
                  <c:v>39.06</c:v>
                </c:pt>
                <c:pt idx="196">
                  <c:v>39.43</c:v>
                </c:pt>
                <c:pt idx="197">
                  <c:v>39.799999999999997</c:v>
                </c:pt>
                <c:pt idx="198">
                  <c:v>40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24928"/>
        <c:axId val="44431616"/>
      </c:scatterChart>
      <c:valAx>
        <c:axId val="4492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431616"/>
        <c:crosses val="autoZero"/>
        <c:crossBetween val="midCat"/>
      </c:valAx>
      <c:valAx>
        <c:axId val="4443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24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'glide ratio over stable flight '!$M$1</c:f>
              <c:strCache>
                <c:ptCount val="1"/>
                <c:pt idx="0">
                  <c:v>glide</c:v>
                </c:pt>
              </c:strCache>
            </c:strRef>
          </c:tx>
          <c:xVal>
            <c:strRef>
              <c:f>'glide ratio over stable flight '!$A$2:$A$200</c:f>
              <c:strCache>
                <c:ptCount val="199"/>
                <c:pt idx="0">
                  <c:v>2012-10-05T14:13:59.80Z</c:v>
                </c:pt>
                <c:pt idx="1">
                  <c:v>2012-10-05T14:14:00.00Z</c:v>
                </c:pt>
                <c:pt idx="2">
                  <c:v>2012-10-05T14:14:00.20Z</c:v>
                </c:pt>
                <c:pt idx="3">
                  <c:v>2012-10-05T14:14:00.40Z</c:v>
                </c:pt>
                <c:pt idx="4">
                  <c:v>2012-10-05T14:14:00.60Z</c:v>
                </c:pt>
                <c:pt idx="5">
                  <c:v>2012-10-05T14:14:00.80Z</c:v>
                </c:pt>
                <c:pt idx="6">
                  <c:v>2012-10-05T14:14:01.00Z</c:v>
                </c:pt>
                <c:pt idx="7">
                  <c:v>2012-10-05T14:14:01.20Z</c:v>
                </c:pt>
                <c:pt idx="8">
                  <c:v>2012-10-05T14:14:01.40Z</c:v>
                </c:pt>
                <c:pt idx="9">
                  <c:v>2012-10-05T14:14:01.60Z</c:v>
                </c:pt>
                <c:pt idx="10">
                  <c:v>2012-10-05T14:14:01.80Z</c:v>
                </c:pt>
                <c:pt idx="11">
                  <c:v>2012-10-05T14:14:02.00Z</c:v>
                </c:pt>
                <c:pt idx="12">
                  <c:v>2012-10-05T14:14:02.20Z</c:v>
                </c:pt>
                <c:pt idx="13">
                  <c:v>2012-10-05T14:14:02.40Z</c:v>
                </c:pt>
                <c:pt idx="14">
                  <c:v>2012-10-05T14:14:02.60Z</c:v>
                </c:pt>
                <c:pt idx="15">
                  <c:v>2012-10-05T14:14:02.80Z</c:v>
                </c:pt>
                <c:pt idx="16">
                  <c:v>2012-10-05T14:14:03.00Z</c:v>
                </c:pt>
                <c:pt idx="17">
                  <c:v>2012-10-05T14:14:03.20Z</c:v>
                </c:pt>
                <c:pt idx="18">
                  <c:v>2012-10-05T14:14:03.40Z</c:v>
                </c:pt>
                <c:pt idx="19">
                  <c:v>2012-10-05T14:14:03.60Z</c:v>
                </c:pt>
                <c:pt idx="20">
                  <c:v>2012-10-05T14:14:03.80Z</c:v>
                </c:pt>
                <c:pt idx="21">
                  <c:v>2012-10-05T14:14:04.00Z</c:v>
                </c:pt>
                <c:pt idx="22">
                  <c:v>2012-10-05T14:14:04.20Z</c:v>
                </c:pt>
                <c:pt idx="23">
                  <c:v>2012-10-05T14:14:04.40Z</c:v>
                </c:pt>
                <c:pt idx="24">
                  <c:v>2012-10-05T14:14:04.60Z</c:v>
                </c:pt>
                <c:pt idx="25">
                  <c:v>2012-10-05T14:14:04.80Z</c:v>
                </c:pt>
                <c:pt idx="26">
                  <c:v>2012-10-05T14:14:05.00Z</c:v>
                </c:pt>
                <c:pt idx="27">
                  <c:v>2012-10-05T14:14:05.20Z</c:v>
                </c:pt>
                <c:pt idx="28">
                  <c:v>2012-10-05T14:14:05.40Z</c:v>
                </c:pt>
                <c:pt idx="29">
                  <c:v>2012-10-05T14:14:05.60Z</c:v>
                </c:pt>
                <c:pt idx="30">
                  <c:v>2012-10-05T14:14:05.80Z</c:v>
                </c:pt>
                <c:pt idx="31">
                  <c:v>2012-10-05T14:14:06.00Z</c:v>
                </c:pt>
                <c:pt idx="32">
                  <c:v>2012-10-05T14:14:06.20Z</c:v>
                </c:pt>
                <c:pt idx="33">
                  <c:v>2012-10-05T14:14:06.40Z</c:v>
                </c:pt>
                <c:pt idx="34">
                  <c:v>2012-10-05T14:14:06.60Z</c:v>
                </c:pt>
                <c:pt idx="35">
                  <c:v>2012-10-05T14:14:06.80Z</c:v>
                </c:pt>
                <c:pt idx="36">
                  <c:v>2012-10-05T14:14:07.00Z</c:v>
                </c:pt>
                <c:pt idx="37">
                  <c:v>2012-10-05T14:14:07.20Z</c:v>
                </c:pt>
                <c:pt idx="38">
                  <c:v>2012-10-05T14:14:07.40Z</c:v>
                </c:pt>
                <c:pt idx="39">
                  <c:v>2012-10-05T14:14:07.60Z</c:v>
                </c:pt>
                <c:pt idx="40">
                  <c:v>2012-10-05T14:14:07.80Z</c:v>
                </c:pt>
                <c:pt idx="41">
                  <c:v>2012-10-05T14:14:08.00Z</c:v>
                </c:pt>
                <c:pt idx="42">
                  <c:v>2012-10-05T14:14:08.20Z</c:v>
                </c:pt>
                <c:pt idx="43">
                  <c:v>2012-10-05T14:14:08.40Z</c:v>
                </c:pt>
                <c:pt idx="44">
                  <c:v>2012-10-05T14:14:08.60Z</c:v>
                </c:pt>
                <c:pt idx="45">
                  <c:v>2012-10-05T14:14:08.80Z</c:v>
                </c:pt>
                <c:pt idx="46">
                  <c:v>2012-10-05T14:14:09.00Z</c:v>
                </c:pt>
                <c:pt idx="47">
                  <c:v>2012-10-05T14:14:09.20Z</c:v>
                </c:pt>
                <c:pt idx="48">
                  <c:v>2012-10-05T14:14:09.40Z</c:v>
                </c:pt>
                <c:pt idx="49">
                  <c:v>2012-10-05T14:14:09.60Z</c:v>
                </c:pt>
                <c:pt idx="50">
                  <c:v>2012-10-05T14:14:09.80Z</c:v>
                </c:pt>
                <c:pt idx="51">
                  <c:v>2012-10-05T14:14:10.00Z</c:v>
                </c:pt>
                <c:pt idx="52">
                  <c:v>2012-10-05T14:14:10.20Z</c:v>
                </c:pt>
                <c:pt idx="53">
                  <c:v>2012-10-05T14:14:10.40Z</c:v>
                </c:pt>
                <c:pt idx="54">
                  <c:v>2012-10-05T14:14:10.60Z</c:v>
                </c:pt>
                <c:pt idx="55">
                  <c:v>2012-10-05T14:14:10.80Z</c:v>
                </c:pt>
                <c:pt idx="56">
                  <c:v>2012-10-05T14:14:11.00Z</c:v>
                </c:pt>
                <c:pt idx="57">
                  <c:v>2012-10-05T14:14:11.20Z</c:v>
                </c:pt>
                <c:pt idx="58">
                  <c:v>2012-10-05T14:14:11.40Z</c:v>
                </c:pt>
                <c:pt idx="59">
                  <c:v>2012-10-05T14:14:11.60Z</c:v>
                </c:pt>
                <c:pt idx="60">
                  <c:v>2012-10-05T14:14:11.80Z</c:v>
                </c:pt>
                <c:pt idx="61">
                  <c:v>2012-10-05T14:14:12.00Z</c:v>
                </c:pt>
                <c:pt idx="62">
                  <c:v>2012-10-05T14:14:12.20Z</c:v>
                </c:pt>
                <c:pt idx="63">
                  <c:v>2012-10-05T14:14:12.40Z</c:v>
                </c:pt>
                <c:pt idx="64">
                  <c:v>2012-10-05T14:14:12.60Z</c:v>
                </c:pt>
                <c:pt idx="65">
                  <c:v>2012-10-05T14:14:12.80Z</c:v>
                </c:pt>
                <c:pt idx="66">
                  <c:v>2012-10-05T14:14:13.00Z</c:v>
                </c:pt>
                <c:pt idx="67">
                  <c:v>2012-10-05T14:14:13.20Z</c:v>
                </c:pt>
                <c:pt idx="68">
                  <c:v>2012-10-05T14:14:13.40Z</c:v>
                </c:pt>
                <c:pt idx="69">
                  <c:v>2012-10-05T14:14:13.60Z</c:v>
                </c:pt>
                <c:pt idx="70">
                  <c:v>2012-10-05T14:14:13.80Z</c:v>
                </c:pt>
                <c:pt idx="71">
                  <c:v>2012-10-05T14:14:14.00Z</c:v>
                </c:pt>
                <c:pt idx="72">
                  <c:v>2012-10-05T14:14:14.20Z</c:v>
                </c:pt>
                <c:pt idx="73">
                  <c:v>2012-10-05T14:14:14.40Z</c:v>
                </c:pt>
                <c:pt idx="74">
                  <c:v>2012-10-05T14:14:14.60Z</c:v>
                </c:pt>
                <c:pt idx="75">
                  <c:v>2012-10-05T14:14:14.80Z</c:v>
                </c:pt>
                <c:pt idx="76">
                  <c:v>2012-10-05T14:14:15.00Z</c:v>
                </c:pt>
                <c:pt idx="77">
                  <c:v>2012-10-05T14:14:15.20Z</c:v>
                </c:pt>
                <c:pt idx="78">
                  <c:v>2012-10-05T14:14:15.40Z</c:v>
                </c:pt>
                <c:pt idx="79">
                  <c:v>2012-10-05T14:14:15.60Z</c:v>
                </c:pt>
                <c:pt idx="80">
                  <c:v>2012-10-05T14:14:15.80Z</c:v>
                </c:pt>
                <c:pt idx="81">
                  <c:v>2012-10-05T14:14:16.00Z</c:v>
                </c:pt>
                <c:pt idx="82">
                  <c:v>2012-10-05T14:14:16.20Z</c:v>
                </c:pt>
                <c:pt idx="83">
                  <c:v>2012-10-05T14:14:16.40Z</c:v>
                </c:pt>
                <c:pt idx="84">
                  <c:v>2012-10-05T14:14:16.60Z</c:v>
                </c:pt>
                <c:pt idx="85">
                  <c:v>2012-10-05T14:14:16.80Z</c:v>
                </c:pt>
                <c:pt idx="86">
                  <c:v>2012-10-05T14:14:17.00Z</c:v>
                </c:pt>
                <c:pt idx="87">
                  <c:v>2012-10-05T14:14:17.20Z</c:v>
                </c:pt>
                <c:pt idx="88">
                  <c:v>2012-10-05T14:14:17.40Z</c:v>
                </c:pt>
                <c:pt idx="89">
                  <c:v>2012-10-05T14:14:17.60Z</c:v>
                </c:pt>
                <c:pt idx="90">
                  <c:v>2012-10-05T14:14:17.80Z</c:v>
                </c:pt>
                <c:pt idx="91">
                  <c:v>2012-10-05T14:14:18.00Z</c:v>
                </c:pt>
                <c:pt idx="92">
                  <c:v>2012-10-05T14:14:18.20Z</c:v>
                </c:pt>
                <c:pt idx="93">
                  <c:v>2012-10-05T14:14:18.40Z</c:v>
                </c:pt>
                <c:pt idx="94">
                  <c:v>2012-10-05T14:14:18.60Z</c:v>
                </c:pt>
                <c:pt idx="95">
                  <c:v>2012-10-05T14:14:18.80Z</c:v>
                </c:pt>
                <c:pt idx="96">
                  <c:v>2012-10-05T14:14:19.00Z</c:v>
                </c:pt>
                <c:pt idx="97">
                  <c:v>2012-10-05T14:14:19.20Z</c:v>
                </c:pt>
                <c:pt idx="98">
                  <c:v>2012-10-05T14:14:19.40Z</c:v>
                </c:pt>
                <c:pt idx="99">
                  <c:v>2012-10-05T14:14:19.60Z</c:v>
                </c:pt>
                <c:pt idx="100">
                  <c:v>2012-10-05T14:14:19.80Z</c:v>
                </c:pt>
                <c:pt idx="101">
                  <c:v>2012-10-05T14:14:20.00Z</c:v>
                </c:pt>
                <c:pt idx="102">
                  <c:v>2012-10-05T14:14:20.20Z</c:v>
                </c:pt>
                <c:pt idx="103">
                  <c:v>2012-10-05T14:14:20.40Z</c:v>
                </c:pt>
                <c:pt idx="104">
                  <c:v>2012-10-05T14:14:20.60Z</c:v>
                </c:pt>
                <c:pt idx="105">
                  <c:v>2012-10-05T14:14:20.80Z</c:v>
                </c:pt>
                <c:pt idx="106">
                  <c:v>2012-10-05T14:14:21.00Z</c:v>
                </c:pt>
                <c:pt idx="107">
                  <c:v>2012-10-05T14:14:21.20Z</c:v>
                </c:pt>
                <c:pt idx="108">
                  <c:v>2012-10-05T14:14:21.40Z</c:v>
                </c:pt>
                <c:pt idx="109">
                  <c:v>2012-10-05T14:14:21.60Z</c:v>
                </c:pt>
                <c:pt idx="110">
                  <c:v>2012-10-05T14:14:21.80Z</c:v>
                </c:pt>
                <c:pt idx="111">
                  <c:v>2012-10-05T14:14:22.00Z</c:v>
                </c:pt>
                <c:pt idx="112">
                  <c:v>2012-10-05T14:14:22.20Z</c:v>
                </c:pt>
                <c:pt idx="113">
                  <c:v>2012-10-05T14:14:22.40Z</c:v>
                </c:pt>
                <c:pt idx="114">
                  <c:v>2012-10-05T14:14:22.60Z</c:v>
                </c:pt>
                <c:pt idx="115">
                  <c:v>2012-10-05T14:14:22.80Z</c:v>
                </c:pt>
                <c:pt idx="116">
                  <c:v>2012-10-05T14:14:23.00Z</c:v>
                </c:pt>
                <c:pt idx="117">
                  <c:v>2012-10-05T14:14:23.20Z</c:v>
                </c:pt>
                <c:pt idx="118">
                  <c:v>2012-10-05T14:14:23.40Z</c:v>
                </c:pt>
                <c:pt idx="119">
                  <c:v>2012-10-05T14:14:23.60Z</c:v>
                </c:pt>
                <c:pt idx="120">
                  <c:v>2012-10-05T14:14:23.80Z</c:v>
                </c:pt>
                <c:pt idx="121">
                  <c:v>2012-10-05T14:14:24.00Z</c:v>
                </c:pt>
                <c:pt idx="122">
                  <c:v>2012-10-05T14:14:24.20Z</c:v>
                </c:pt>
                <c:pt idx="123">
                  <c:v>2012-10-05T14:14:24.40Z</c:v>
                </c:pt>
                <c:pt idx="124">
                  <c:v>2012-10-05T14:14:24.60Z</c:v>
                </c:pt>
                <c:pt idx="125">
                  <c:v>2012-10-05T14:14:24.80Z</c:v>
                </c:pt>
                <c:pt idx="126">
                  <c:v>2012-10-05T14:14:25.00Z</c:v>
                </c:pt>
                <c:pt idx="127">
                  <c:v>2012-10-05T14:14:25.20Z</c:v>
                </c:pt>
                <c:pt idx="128">
                  <c:v>2012-10-05T14:14:25.40Z</c:v>
                </c:pt>
                <c:pt idx="129">
                  <c:v>2012-10-05T14:14:25.60Z</c:v>
                </c:pt>
                <c:pt idx="130">
                  <c:v>2012-10-05T14:14:25.80Z</c:v>
                </c:pt>
                <c:pt idx="131">
                  <c:v>2012-10-05T14:14:26.00Z</c:v>
                </c:pt>
                <c:pt idx="132">
                  <c:v>2012-10-05T14:14:26.20Z</c:v>
                </c:pt>
                <c:pt idx="133">
                  <c:v>2012-10-05T14:14:26.40Z</c:v>
                </c:pt>
                <c:pt idx="134">
                  <c:v>2012-10-05T14:14:26.60Z</c:v>
                </c:pt>
                <c:pt idx="135">
                  <c:v>2012-10-05T14:14:26.80Z</c:v>
                </c:pt>
                <c:pt idx="136">
                  <c:v>2012-10-05T14:14:27.00Z</c:v>
                </c:pt>
                <c:pt idx="137">
                  <c:v>2012-10-05T14:14:27.20Z</c:v>
                </c:pt>
                <c:pt idx="138">
                  <c:v>2012-10-05T14:14:27.40Z</c:v>
                </c:pt>
                <c:pt idx="139">
                  <c:v>2012-10-05T14:14:27.60Z</c:v>
                </c:pt>
                <c:pt idx="140">
                  <c:v>2012-10-05T14:14:27.80Z</c:v>
                </c:pt>
                <c:pt idx="141">
                  <c:v>2012-10-05T14:14:28.00Z</c:v>
                </c:pt>
                <c:pt idx="142">
                  <c:v>2012-10-05T14:14:28.20Z</c:v>
                </c:pt>
                <c:pt idx="143">
                  <c:v>2012-10-05T14:14:28.40Z</c:v>
                </c:pt>
                <c:pt idx="144">
                  <c:v>2012-10-05T14:14:28.60Z</c:v>
                </c:pt>
                <c:pt idx="145">
                  <c:v>2012-10-05T14:14:28.80Z</c:v>
                </c:pt>
                <c:pt idx="146">
                  <c:v>2012-10-05T14:14:29.00Z</c:v>
                </c:pt>
                <c:pt idx="147">
                  <c:v>2012-10-05T14:14:29.20Z</c:v>
                </c:pt>
                <c:pt idx="148">
                  <c:v>2012-10-05T14:14:29.40Z</c:v>
                </c:pt>
                <c:pt idx="149">
                  <c:v>2012-10-05T14:14:29.60Z</c:v>
                </c:pt>
                <c:pt idx="150">
                  <c:v>2012-10-05T14:14:29.80Z</c:v>
                </c:pt>
                <c:pt idx="151">
                  <c:v>2012-10-05T14:14:30.00Z</c:v>
                </c:pt>
                <c:pt idx="152">
                  <c:v>2012-10-05T14:14:30.20Z</c:v>
                </c:pt>
                <c:pt idx="153">
                  <c:v>2012-10-05T14:14:30.40Z</c:v>
                </c:pt>
                <c:pt idx="154">
                  <c:v>2012-10-05T14:14:30.60Z</c:v>
                </c:pt>
                <c:pt idx="155">
                  <c:v>2012-10-05T14:14:30.80Z</c:v>
                </c:pt>
                <c:pt idx="156">
                  <c:v>2012-10-05T14:14:31.00Z</c:v>
                </c:pt>
                <c:pt idx="157">
                  <c:v>2012-10-05T14:14:31.20Z</c:v>
                </c:pt>
                <c:pt idx="158">
                  <c:v>2012-10-05T14:14:31.40Z</c:v>
                </c:pt>
                <c:pt idx="159">
                  <c:v>2012-10-05T14:14:31.60Z</c:v>
                </c:pt>
                <c:pt idx="160">
                  <c:v>2012-10-05T14:14:31.80Z</c:v>
                </c:pt>
                <c:pt idx="161">
                  <c:v>2012-10-05T14:14:32.00Z</c:v>
                </c:pt>
                <c:pt idx="162">
                  <c:v>2012-10-05T14:14:32.20Z</c:v>
                </c:pt>
                <c:pt idx="163">
                  <c:v>2012-10-05T14:14:32.40Z</c:v>
                </c:pt>
                <c:pt idx="164">
                  <c:v>2012-10-05T14:14:32.60Z</c:v>
                </c:pt>
                <c:pt idx="165">
                  <c:v>2012-10-05T14:14:32.80Z</c:v>
                </c:pt>
                <c:pt idx="166">
                  <c:v>2012-10-05T14:14:33.00Z</c:v>
                </c:pt>
                <c:pt idx="167">
                  <c:v>2012-10-05T14:14:33.20Z</c:v>
                </c:pt>
                <c:pt idx="168">
                  <c:v>2012-10-05T14:14:33.40Z</c:v>
                </c:pt>
                <c:pt idx="169">
                  <c:v>2012-10-05T14:14:33.60Z</c:v>
                </c:pt>
                <c:pt idx="170">
                  <c:v>2012-10-05T14:14:33.80Z</c:v>
                </c:pt>
                <c:pt idx="171">
                  <c:v>2012-10-05T14:14:34.00Z</c:v>
                </c:pt>
                <c:pt idx="172">
                  <c:v>2012-10-05T14:14:34.20Z</c:v>
                </c:pt>
                <c:pt idx="173">
                  <c:v>2012-10-05T14:14:34.40Z</c:v>
                </c:pt>
                <c:pt idx="174">
                  <c:v>2012-10-05T14:14:34.60Z</c:v>
                </c:pt>
                <c:pt idx="175">
                  <c:v>2012-10-05T14:14:34.80Z</c:v>
                </c:pt>
                <c:pt idx="176">
                  <c:v>2012-10-05T14:14:35.00Z</c:v>
                </c:pt>
                <c:pt idx="177">
                  <c:v>2012-10-05T14:14:35.20Z</c:v>
                </c:pt>
                <c:pt idx="178">
                  <c:v>2012-10-05T14:14:35.40Z</c:v>
                </c:pt>
                <c:pt idx="179">
                  <c:v>2012-10-05T14:14:35.60Z</c:v>
                </c:pt>
                <c:pt idx="180">
                  <c:v>2012-10-05T14:14:35.80Z</c:v>
                </c:pt>
                <c:pt idx="181">
                  <c:v>2012-10-05T14:14:36.00Z</c:v>
                </c:pt>
                <c:pt idx="182">
                  <c:v>2012-10-05T14:14:36.20Z</c:v>
                </c:pt>
                <c:pt idx="183">
                  <c:v>2012-10-05T14:14:36.40Z</c:v>
                </c:pt>
                <c:pt idx="184">
                  <c:v>2012-10-05T14:14:36.60Z</c:v>
                </c:pt>
                <c:pt idx="185">
                  <c:v>2012-10-05T14:14:36.80Z</c:v>
                </c:pt>
                <c:pt idx="186">
                  <c:v>2012-10-05T14:14:37.00Z</c:v>
                </c:pt>
                <c:pt idx="187">
                  <c:v>2012-10-05T14:14:37.20Z</c:v>
                </c:pt>
                <c:pt idx="188">
                  <c:v>2012-10-05T14:14:37.40Z</c:v>
                </c:pt>
                <c:pt idx="189">
                  <c:v>2012-10-05T14:14:37.60Z</c:v>
                </c:pt>
                <c:pt idx="190">
                  <c:v>2012-10-05T14:14:37.80Z</c:v>
                </c:pt>
                <c:pt idx="191">
                  <c:v>2012-10-05T14:14:38.00Z</c:v>
                </c:pt>
                <c:pt idx="192">
                  <c:v>2012-10-05T14:14:38.20Z</c:v>
                </c:pt>
                <c:pt idx="193">
                  <c:v>2012-10-05T14:14:38.40Z</c:v>
                </c:pt>
                <c:pt idx="194">
                  <c:v>2012-10-05T14:14:38.60Z</c:v>
                </c:pt>
                <c:pt idx="195">
                  <c:v>2012-10-05T14:14:38.80Z</c:v>
                </c:pt>
                <c:pt idx="196">
                  <c:v>2012-10-05T14:14:39.00Z</c:v>
                </c:pt>
                <c:pt idx="197">
                  <c:v>2012-10-05T14:14:39.20Z</c:v>
                </c:pt>
                <c:pt idx="198">
                  <c:v>2012-10-05T14:14:39.40Z</c:v>
                </c:pt>
              </c:strCache>
            </c:strRef>
          </c:xVal>
          <c:yVal>
            <c:numRef>
              <c:f>'glide ratio over stable flight '!$M$2:$M$200</c:f>
              <c:numCache>
                <c:formatCode>General</c:formatCode>
                <c:ptCount val="199"/>
                <c:pt idx="0">
                  <c:v>0.99666382277815513</c:v>
                </c:pt>
                <c:pt idx="1">
                  <c:v>0.98208949582422056</c:v>
                </c:pt>
                <c:pt idx="2">
                  <c:v>0.97159766678570991</c:v>
                </c:pt>
                <c:pt idx="3">
                  <c:v>0.96190099293699605</c:v>
                </c:pt>
                <c:pt idx="4">
                  <c:v>0.94745334002736969</c:v>
                </c:pt>
                <c:pt idx="5">
                  <c:v>0.94379889398720562</c:v>
                </c:pt>
                <c:pt idx="6">
                  <c:v>0.94034240604417141</c:v>
                </c:pt>
                <c:pt idx="7">
                  <c:v>0.93593750376260176</c:v>
                </c:pt>
                <c:pt idx="8">
                  <c:v>0.9333724088653178</c:v>
                </c:pt>
                <c:pt idx="9">
                  <c:v>0.92999339331303954</c:v>
                </c:pt>
                <c:pt idx="10">
                  <c:v>0.92802752170283898</c:v>
                </c:pt>
                <c:pt idx="11">
                  <c:v>0.92773134152934067</c:v>
                </c:pt>
                <c:pt idx="12">
                  <c:v>0.92084602983304287</c:v>
                </c:pt>
                <c:pt idx="13">
                  <c:v>0.91779279278735182</c:v>
                </c:pt>
                <c:pt idx="14">
                  <c:v>0.91416975273834133</c:v>
                </c:pt>
                <c:pt idx="15">
                  <c:v>0.90978291466135541</c:v>
                </c:pt>
                <c:pt idx="16">
                  <c:v>0.90457264228368917</c:v>
                </c:pt>
                <c:pt idx="17">
                  <c:v>0.90568587194567829</c:v>
                </c:pt>
                <c:pt idx="18">
                  <c:v>0.90489604229965848</c:v>
                </c:pt>
                <c:pt idx="19">
                  <c:v>0.89869317432525564</c:v>
                </c:pt>
                <c:pt idx="20">
                  <c:v>0.89737953933472714</c:v>
                </c:pt>
                <c:pt idx="21">
                  <c:v>0.89769050218460267</c:v>
                </c:pt>
                <c:pt idx="22">
                  <c:v>0.89832206649371626</c:v>
                </c:pt>
                <c:pt idx="23">
                  <c:v>0.89761407266887194</c:v>
                </c:pt>
                <c:pt idx="24">
                  <c:v>0.89969348233561641</c:v>
                </c:pt>
                <c:pt idx="25">
                  <c:v>0.89812833461440855</c:v>
                </c:pt>
                <c:pt idx="26">
                  <c:v>0.89909272125646855</c:v>
                </c:pt>
                <c:pt idx="27">
                  <c:v>0.89969068556926413</c:v>
                </c:pt>
                <c:pt idx="28">
                  <c:v>0.90413534783148941</c:v>
                </c:pt>
                <c:pt idx="29">
                  <c:v>0.90824301804108198</c:v>
                </c:pt>
                <c:pt idx="30">
                  <c:v>0.90067002258620266</c:v>
                </c:pt>
                <c:pt idx="31">
                  <c:v>0.90221521003546978</c:v>
                </c:pt>
                <c:pt idx="32">
                  <c:v>0.90842322269273768</c:v>
                </c:pt>
                <c:pt idx="33">
                  <c:v>0.91012768909782293</c:v>
                </c:pt>
                <c:pt idx="34">
                  <c:v>0.90094850151618322</c:v>
                </c:pt>
                <c:pt idx="35">
                  <c:v>0.90645789902108964</c:v>
                </c:pt>
                <c:pt idx="36">
                  <c:v>0.90987208267955466</c:v>
                </c:pt>
                <c:pt idx="37">
                  <c:v>0.91030991265181849</c:v>
                </c:pt>
                <c:pt idx="38">
                  <c:v>0.90578354080845336</c:v>
                </c:pt>
                <c:pt idx="39">
                  <c:v>0.90960833554636833</c:v>
                </c:pt>
                <c:pt idx="40">
                  <c:v>0.910871351251334</c:v>
                </c:pt>
                <c:pt idx="41">
                  <c:v>0.908778850825814</c:v>
                </c:pt>
                <c:pt idx="42">
                  <c:v>0.90838630406240695</c:v>
                </c:pt>
                <c:pt idx="43">
                  <c:v>0.90557736023770241</c:v>
                </c:pt>
                <c:pt idx="44">
                  <c:v>0.90600082144503491</c:v>
                </c:pt>
                <c:pt idx="45">
                  <c:v>0.9031772844704854</c:v>
                </c:pt>
                <c:pt idx="46">
                  <c:v>0.90119359960348622</c:v>
                </c:pt>
                <c:pt idx="47">
                  <c:v>0.90780764000314196</c:v>
                </c:pt>
                <c:pt idx="48">
                  <c:v>0.90546194997447038</c:v>
                </c:pt>
                <c:pt idx="49">
                  <c:v>0.90929508781764168</c:v>
                </c:pt>
                <c:pt idx="50">
                  <c:v>0.90689303570844859</c:v>
                </c:pt>
                <c:pt idx="51">
                  <c:v>0.89893031525417433</c:v>
                </c:pt>
                <c:pt idx="52">
                  <c:v>0.90102942037909206</c:v>
                </c:pt>
                <c:pt idx="53">
                  <c:v>0.90100409795518444</c:v>
                </c:pt>
                <c:pt idx="54">
                  <c:v>0.90392912588821306</c:v>
                </c:pt>
                <c:pt idx="55">
                  <c:v>0.90157194754405245</c:v>
                </c:pt>
                <c:pt idx="56">
                  <c:v>0.89863784645186517</c:v>
                </c:pt>
                <c:pt idx="57">
                  <c:v>0.89224649568666592</c:v>
                </c:pt>
                <c:pt idx="58">
                  <c:v>0.89338468074029742</c:v>
                </c:pt>
                <c:pt idx="59">
                  <c:v>0.89426640491015985</c:v>
                </c:pt>
                <c:pt idx="60">
                  <c:v>0.89804757458560713</c:v>
                </c:pt>
                <c:pt idx="61">
                  <c:v>0.89874263975606994</c:v>
                </c:pt>
                <c:pt idx="62">
                  <c:v>0.90456412164273059</c:v>
                </c:pt>
                <c:pt idx="63">
                  <c:v>0.90644123980051217</c:v>
                </c:pt>
                <c:pt idx="64">
                  <c:v>0.91128822605843207</c:v>
                </c:pt>
                <c:pt idx="65">
                  <c:v>0.91670532828954787</c:v>
                </c:pt>
                <c:pt idx="66">
                  <c:v>0.91914508153437557</c:v>
                </c:pt>
                <c:pt idx="67">
                  <c:v>0.92719743549185085</c:v>
                </c:pt>
                <c:pt idx="68">
                  <c:v>0.93077897719775937</c:v>
                </c:pt>
                <c:pt idx="69">
                  <c:v>0.93383275888773531</c:v>
                </c:pt>
                <c:pt idx="70">
                  <c:v>0.94310069296602705</c:v>
                </c:pt>
                <c:pt idx="71">
                  <c:v>0.94711690511856805</c:v>
                </c:pt>
                <c:pt idx="72">
                  <c:v>0.95076257310854262</c:v>
                </c:pt>
                <c:pt idx="73">
                  <c:v>0.95998054110041076</c:v>
                </c:pt>
                <c:pt idx="74">
                  <c:v>0.97062587745123463</c:v>
                </c:pt>
                <c:pt idx="75">
                  <c:v>0.97943876329171864</c:v>
                </c:pt>
                <c:pt idx="76">
                  <c:v>0.98322015896533776</c:v>
                </c:pt>
                <c:pt idx="77">
                  <c:v>0.986699632147088</c:v>
                </c:pt>
                <c:pt idx="78">
                  <c:v>0.99399085961717526</c:v>
                </c:pt>
                <c:pt idx="79">
                  <c:v>1.0001144550438561</c:v>
                </c:pt>
                <c:pt idx="80">
                  <c:v>1.0048685855303072</c:v>
                </c:pt>
                <c:pt idx="81">
                  <c:v>1.0132621325811684</c:v>
                </c:pt>
                <c:pt idx="82">
                  <c:v>1.0218955971969101</c:v>
                </c:pt>
                <c:pt idx="83">
                  <c:v>1.0272616933548564</c:v>
                </c:pt>
                <c:pt idx="84">
                  <c:v>1.0304681166191603</c:v>
                </c:pt>
                <c:pt idx="85">
                  <c:v>1.0372044418929136</c:v>
                </c:pt>
                <c:pt idx="86">
                  <c:v>1.0497685908177807</c:v>
                </c:pt>
                <c:pt idx="87">
                  <c:v>1.0570997854474034</c:v>
                </c:pt>
                <c:pt idx="88">
                  <c:v>1.0641102730017371</c:v>
                </c:pt>
                <c:pt idx="89">
                  <c:v>1.0702968358100089</c:v>
                </c:pt>
                <c:pt idx="90">
                  <c:v>1.0723646607345223</c:v>
                </c:pt>
                <c:pt idx="91">
                  <c:v>1.0757591128091386</c:v>
                </c:pt>
                <c:pt idx="92">
                  <c:v>1.0791096831770568</c:v>
                </c:pt>
                <c:pt idx="93">
                  <c:v>1.0821372370335112</c:v>
                </c:pt>
                <c:pt idx="94">
                  <c:v>1.087918756744928</c:v>
                </c:pt>
                <c:pt idx="95">
                  <c:v>1.0923855475839856</c:v>
                </c:pt>
                <c:pt idx="96">
                  <c:v>1.1057173546945431</c:v>
                </c:pt>
                <c:pt idx="97">
                  <c:v>1.1160381276680034</c:v>
                </c:pt>
                <c:pt idx="98">
                  <c:v>1.1236253656088067</c:v>
                </c:pt>
                <c:pt idx="99">
                  <c:v>1.1325802622599637</c:v>
                </c:pt>
                <c:pt idx="100">
                  <c:v>1.1410585246428826</c:v>
                </c:pt>
                <c:pt idx="101">
                  <c:v>1.146742508323316</c:v>
                </c:pt>
                <c:pt idx="102">
                  <c:v>1.1514551399156268</c:v>
                </c:pt>
                <c:pt idx="103">
                  <c:v>1.1581373079598538</c:v>
                </c:pt>
                <c:pt idx="104">
                  <c:v>1.1635947612691044</c:v>
                </c:pt>
                <c:pt idx="105">
                  <c:v>1.1734739433845092</c:v>
                </c:pt>
                <c:pt idx="106">
                  <c:v>1.1811908739104422</c:v>
                </c:pt>
                <c:pt idx="107">
                  <c:v>1.1831342970686358</c:v>
                </c:pt>
                <c:pt idx="108">
                  <c:v>1.1872426087941803</c:v>
                </c:pt>
                <c:pt idx="109">
                  <c:v>1.199452553768674</c:v>
                </c:pt>
                <c:pt idx="110">
                  <c:v>1.2098833214340861</c:v>
                </c:pt>
                <c:pt idx="111">
                  <c:v>1.2169733562113059</c:v>
                </c:pt>
                <c:pt idx="112">
                  <c:v>1.2224705666906444</c:v>
                </c:pt>
                <c:pt idx="113">
                  <c:v>1.2279825561980799</c:v>
                </c:pt>
                <c:pt idx="114">
                  <c:v>1.2304605756313343</c:v>
                </c:pt>
                <c:pt idx="115">
                  <c:v>1.2378915980093788</c:v>
                </c:pt>
                <c:pt idx="116">
                  <c:v>1.2510788299337967</c:v>
                </c:pt>
                <c:pt idx="117">
                  <c:v>1.2621934429232289</c:v>
                </c:pt>
                <c:pt idx="118">
                  <c:v>1.2787392313386028</c:v>
                </c:pt>
                <c:pt idx="119">
                  <c:v>1.2943209636878354</c:v>
                </c:pt>
                <c:pt idx="120">
                  <c:v>1.3129887390961583</c:v>
                </c:pt>
                <c:pt idx="121">
                  <c:v>1.3222674304333573</c:v>
                </c:pt>
                <c:pt idx="122">
                  <c:v>1.325581133509018</c:v>
                </c:pt>
                <c:pt idx="123">
                  <c:v>1.3218564823930796</c:v>
                </c:pt>
                <c:pt idx="124">
                  <c:v>1.3238189625274379</c:v>
                </c:pt>
                <c:pt idx="125">
                  <c:v>1.3232664603378979</c:v>
                </c:pt>
                <c:pt idx="126">
                  <c:v>1.3314148516162427</c:v>
                </c:pt>
                <c:pt idx="127">
                  <c:v>1.3468581936648525</c:v>
                </c:pt>
                <c:pt idx="128">
                  <c:v>1.3642056007361296</c:v>
                </c:pt>
                <c:pt idx="129">
                  <c:v>1.379442312661727</c:v>
                </c:pt>
                <c:pt idx="130">
                  <c:v>1.4046558251988679</c:v>
                </c:pt>
                <c:pt idx="131">
                  <c:v>1.4269538250415672</c:v>
                </c:pt>
                <c:pt idx="132">
                  <c:v>1.4474378018591356</c:v>
                </c:pt>
                <c:pt idx="133">
                  <c:v>1.4666501591123977</c:v>
                </c:pt>
                <c:pt idx="134">
                  <c:v>1.4777898731384103</c:v>
                </c:pt>
                <c:pt idx="135">
                  <c:v>1.4905959495592349</c:v>
                </c:pt>
                <c:pt idx="136">
                  <c:v>1.5045879140208571</c:v>
                </c:pt>
                <c:pt idx="137">
                  <c:v>1.5201668655529235</c:v>
                </c:pt>
                <c:pt idx="138">
                  <c:v>1.5370380893024123</c:v>
                </c:pt>
                <c:pt idx="139">
                  <c:v>1.5560731555280838</c:v>
                </c:pt>
                <c:pt idx="140">
                  <c:v>1.5778058079982378</c:v>
                </c:pt>
                <c:pt idx="141">
                  <c:v>1.5825305190477312</c:v>
                </c:pt>
                <c:pt idx="142">
                  <c:v>1.6028232043936486</c:v>
                </c:pt>
                <c:pt idx="143">
                  <c:v>1.6060345187169631</c:v>
                </c:pt>
                <c:pt idx="144">
                  <c:v>1.6048465987280616</c:v>
                </c:pt>
                <c:pt idx="145">
                  <c:v>1.6249819873264342</c:v>
                </c:pt>
                <c:pt idx="146">
                  <c:v>1.6407354103164122</c:v>
                </c:pt>
                <c:pt idx="147">
                  <c:v>1.6668104925058225</c:v>
                </c:pt>
                <c:pt idx="148">
                  <c:v>1.684505020460862</c:v>
                </c:pt>
                <c:pt idx="149">
                  <c:v>1.7058518116889783</c:v>
                </c:pt>
                <c:pt idx="150">
                  <c:v>1.7209755036196965</c:v>
                </c:pt>
                <c:pt idx="151">
                  <c:v>1.7330346972918114</c:v>
                </c:pt>
                <c:pt idx="152">
                  <c:v>1.7463185685032669</c:v>
                </c:pt>
                <c:pt idx="153">
                  <c:v>1.7571524386265609</c:v>
                </c:pt>
                <c:pt idx="154">
                  <c:v>1.7694079218381895</c:v>
                </c:pt>
                <c:pt idx="155">
                  <c:v>1.7806490916705431</c:v>
                </c:pt>
                <c:pt idx="156">
                  <c:v>1.7868620654472853</c:v>
                </c:pt>
                <c:pt idx="157">
                  <c:v>1.7856922079659676</c:v>
                </c:pt>
                <c:pt idx="158">
                  <c:v>1.786253027629136</c:v>
                </c:pt>
                <c:pt idx="159">
                  <c:v>1.7907667871060167</c:v>
                </c:pt>
                <c:pt idx="160">
                  <c:v>1.802639301897782</c:v>
                </c:pt>
                <c:pt idx="161">
                  <c:v>1.8142277501526076</c:v>
                </c:pt>
                <c:pt idx="162">
                  <c:v>1.8138001461068289</c:v>
                </c:pt>
                <c:pt idx="163">
                  <c:v>1.8172300185603183</c:v>
                </c:pt>
                <c:pt idx="164">
                  <c:v>1.8172926869547379</c:v>
                </c:pt>
                <c:pt idx="165">
                  <c:v>1.8074807406709033</c:v>
                </c:pt>
                <c:pt idx="166">
                  <c:v>1.7954152252098323</c:v>
                </c:pt>
                <c:pt idx="167">
                  <c:v>1.7921080087430612</c:v>
                </c:pt>
                <c:pt idx="168">
                  <c:v>1.7781151890691413</c:v>
                </c:pt>
                <c:pt idx="169">
                  <c:v>1.7681317719377896</c:v>
                </c:pt>
                <c:pt idx="170">
                  <c:v>1.7591522292822295</c:v>
                </c:pt>
                <c:pt idx="171">
                  <c:v>1.7405600740823417</c:v>
                </c:pt>
                <c:pt idx="172">
                  <c:v>1.7248613607187759</c:v>
                </c:pt>
                <c:pt idx="173">
                  <c:v>1.7035505269811571</c:v>
                </c:pt>
                <c:pt idx="174">
                  <c:v>1.6799980000938801</c:v>
                </c:pt>
                <c:pt idx="175">
                  <c:v>1.6533271267293521</c:v>
                </c:pt>
                <c:pt idx="176">
                  <c:v>1.6211406130323112</c:v>
                </c:pt>
                <c:pt idx="177">
                  <c:v>1.5999161519065568</c:v>
                </c:pt>
                <c:pt idx="178">
                  <c:v>1.5704524913112801</c:v>
                </c:pt>
                <c:pt idx="179">
                  <c:v>1.5396959943470996</c:v>
                </c:pt>
                <c:pt idx="180">
                  <c:v>1.5071406763001343</c:v>
                </c:pt>
                <c:pt idx="181">
                  <c:v>1.4747698484072465</c:v>
                </c:pt>
                <c:pt idx="182">
                  <c:v>1.4231804579863772</c:v>
                </c:pt>
                <c:pt idx="183">
                  <c:v>1.3765080508409051</c:v>
                </c:pt>
                <c:pt idx="184">
                  <c:v>1.3307771965651585</c:v>
                </c:pt>
                <c:pt idx="185">
                  <c:v>1.2740157508910659</c:v>
                </c:pt>
                <c:pt idx="186">
                  <c:v>1.2331226241954383</c:v>
                </c:pt>
                <c:pt idx="187">
                  <c:v>1.1699986494106518</c:v>
                </c:pt>
                <c:pt idx="188">
                  <c:v>1.1444120565900759</c:v>
                </c:pt>
                <c:pt idx="189">
                  <c:v>1.0855449369210679</c:v>
                </c:pt>
                <c:pt idx="190">
                  <c:v>1.0406513937582464</c:v>
                </c:pt>
                <c:pt idx="191">
                  <c:v>1.0081366976908726</c:v>
                </c:pt>
                <c:pt idx="192">
                  <c:v>0.98139092885992452</c:v>
                </c:pt>
                <c:pt idx="193">
                  <c:v>0.95886630670233175</c:v>
                </c:pt>
                <c:pt idx="194">
                  <c:v>0.94491203734399254</c:v>
                </c:pt>
                <c:pt idx="195">
                  <c:v>0.92553552678476481</c:v>
                </c:pt>
                <c:pt idx="196">
                  <c:v>0.91256058043198252</c:v>
                </c:pt>
                <c:pt idx="197">
                  <c:v>0.90530525186288913</c:v>
                </c:pt>
                <c:pt idx="198">
                  <c:v>0.90077067697611035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28032"/>
        <c:axId val="89222144"/>
      </c:scatterChart>
      <c:valAx>
        <c:axId val="89228032"/>
        <c:scaling>
          <c:orientation val="minMax"/>
        </c:scaling>
        <c:delete val="0"/>
        <c:axPos val="b"/>
        <c:majorTickMark val="out"/>
        <c:minorTickMark val="none"/>
        <c:tickLblPos val="nextTo"/>
        <c:crossAx val="89222144"/>
        <c:crosses val="autoZero"/>
        <c:crossBetween val="midCat"/>
      </c:valAx>
      <c:valAx>
        <c:axId val="8922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2280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437030</xdr:colOff>
      <xdr:row>0</xdr:row>
      <xdr:rowOff>146796</xdr:rowOff>
    </xdr:from>
    <xdr:to>
      <xdr:col>24</xdr:col>
      <xdr:colOff>414617</xdr:colOff>
      <xdr:row>19</xdr:row>
      <xdr:rowOff>156881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593911</xdr:colOff>
      <xdr:row>21</xdr:row>
      <xdr:rowOff>45944</xdr:rowOff>
    </xdr:from>
    <xdr:to>
      <xdr:col>22</xdr:col>
      <xdr:colOff>324970</xdr:colOff>
      <xdr:row>35</xdr:row>
      <xdr:rowOff>122144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zoomScale="85" zoomScaleNormal="85" workbookViewId="0">
      <selection activeCell="Z22" sqref="Z22"/>
    </sheetView>
  </sheetViews>
  <sheetFormatPr defaultRowHeight="15" x14ac:dyDescent="0.25"/>
  <cols>
    <col min="1" max="1" width="3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211</v>
      </c>
      <c r="N1" t="s">
        <v>213</v>
      </c>
    </row>
    <row r="2" spans="1:14" x14ac:dyDescent="0.25">
      <c r="A2" t="s">
        <v>12</v>
      </c>
      <c r="B2">
        <v>42.247336900000001</v>
      </c>
      <c r="C2">
        <v>3.0859727000000001</v>
      </c>
      <c r="D2">
        <v>4002.0920000000001</v>
      </c>
      <c r="E2">
        <v>17.54</v>
      </c>
      <c r="F2">
        <v>47.92</v>
      </c>
      <c r="G2">
        <v>51.2</v>
      </c>
      <c r="H2">
        <v>2.6360000000000001</v>
      </c>
      <c r="I2">
        <v>3.762</v>
      </c>
      <c r="J2">
        <v>1.41</v>
      </c>
      <c r="K2">
        <v>3</v>
      </c>
      <c r="L2">
        <v>9</v>
      </c>
      <c r="M2">
        <f t="shared" ref="M2:M61" si="0">(SQRT((E2^2)+(F2^2)))/G2</f>
        <v>0.99666382277815513</v>
      </c>
      <c r="N2">
        <f>(SQRT((E2^2)+(F2^2)))</f>
        <v>51.029187726241545</v>
      </c>
    </row>
    <row r="3" spans="1:14" x14ac:dyDescent="0.25">
      <c r="A3" t="s">
        <v>13</v>
      </c>
      <c r="B3">
        <v>42.247368399999999</v>
      </c>
      <c r="C3">
        <v>3.0860907000000002</v>
      </c>
      <c r="D3">
        <v>3990.4029999999998</v>
      </c>
      <c r="E3">
        <v>17.82</v>
      </c>
      <c r="F3">
        <v>48.33</v>
      </c>
      <c r="G3">
        <v>52.45</v>
      </c>
      <c r="H3">
        <v>2.629</v>
      </c>
      <c r="I3">
        <v>3.7490000000000001</v>
      </c>
      <c r="J3">
        <v>1.37</v>
      </c>
      <c r="K3">
        <v>3</v>
      </c>
      <c r="L3">
        <v>9</v>
      </c>
      <c r="M3">
        <f t="shared" si="0"/>
        <v>0.98208949582422056</v>
      </c>
      <c r="N3">
        <f t="shared" ref="N3:N66" si="1">(SQRT((E3^2)+(F3^2)))</f>
        <v>51.51059405598037</v>
      </c>
    </row>
    <row r="4" spans="1:14" x14ac:dyDescent="0.25">
      <c r="A4" t="s">
        <v>14</v>
      </c>
      <c r="B4">
        <v>42.247399799999997</v>
      </c>
      <c r="C4">
        <v>3.0862083</v>
      </c>
      <c r="D4">
        <v>3978.614</v>
      </c>
      <c r="E4">
        <v>17.91</v>
      </c>
      <c r="F4">
        <v>48.87</v>
      </c>
      <c r="G4">
        <v>53.57</v>
      </c>
      <c r="H4">
        <v>2.609</v>
      </c>
      <c r="I4">
        <v>3.7370000000000001</v>
      </c>
      <c r="J4">
        <v>1.31</v>
      </c>
      <c r="K4">
        <v>3</v>
      </c>
      <c r="L4">
        <v>9</v>
      </c>
      <c r="M4">
        <f t="shared" si="0"/>
        <v>0.97159766678570991</v>
      </c>
      <c r="N4">
        <f t="shared" si="1"/>
        <v>52.048487009710477</v>
      </c>
    </row>
    <row r="5" spans="1:14" x14ac:dyDescent="0.25">
      <c r="A5" t="s">
        <v>15</v>
      </c>
      <c r="B5">
        <v>42.247432199999999</v>
      </c>
      <c r="C5">
        <v>3.0863265000000002</v>
      </c>
      <c r="D5">
        <v>3966.645</v>
      </c>
      <c r="E5">
        <v>18.16</v>
      </c>
      <c r="F5">
        <v>49.27</v>
      </c>
      <c r="G5">
        <v>54.59</v>
      </c>
      <c r="H5">
        <v>2.5939999999999999</v>
      </c>
      <c r="I5">
        <v>3.726</v>
      </c>
      <c r="J5">
        <v>1.29</v>
      </c>
      <c r="K5">
        <v>3</v>
      </c>
      <c r="L5">
        <v>9</v>
      </c>
      <c r="M5">
        <f t="shared" si="0"/>
        <v>0.96190099293699605</v>
      </c>
      <c r="N5">
        <f t="shared" si="1"/>
        <v>52.510175204430617</v>
      </c>
    </row>
    <row r="6" spans="1:14" x14ac:dyDescent="0.25">
      <c r="A6" t="s">
        <v>16</v>
      </c>
      <c r="B6">
        <v>42.247465099999999</v>
      </c>
      <c r="C6">
        <v>3.0864452999999998</v>
      </c>
      <c r="D6">
        <v>3954.502</v>
      </c>
      <c r="E6">
        <v>18.239999999999998</v>
      </c>
      <c r="F6">
        <v>49.44</v>
      </c>
      <c r="G6">
        <v>55.62</v>
      </c>
      <c r="H6">
        <v>2.58</v>
      </c>
      <c r="I6">
        <v>3.7160000000000002</v>
      </c>
      <c r="J6">
        <v>1.27</v>
      </c>
      <c r="K6">
        <v>3</v>
      </c>
      <c r="L6">
        <v>9</v>
      </c>
      <c r="M6">
        <f t="shared" si="0"/>
        <v>0.94745334002736969</v>
      </c>
      <c r="N6">
        <f t="shared" si="1"/>
        <v>52.697354772322299</v>
      </c>
    </row>
    <row r="7" spans="1:14" x14ac:dyDescent="0.25">
      <c r="A7" t="s">
        <v>17</v>
      </c>
      <c r="B7">
        <v>42.247498200000003</v>
      </c>
      <c r="C7">
        <v>3.0865648999999999</v>
      </c>
      <c r="D7">
        <v>3942.2840000000001</v>
      </c>
      <c r="E7">
        <v>18.48</v>
      </c>
      <c r="F7">
        <v>50.01</v>
      </c>
      <c r="G7">
        <v>56.49</v>
      </c>
      <c r="H7">
        <v>2.5670000000000002</v>
      </c>
      <c r="I7">
        <v>3.7050000000000001</v>
      </c>
      <c r="J7">
        <v>1.24</v>
      </c>
      <c r="K7">
        <v>3</v>
      </c>
      <c r="L7">
        <v>9</v>
      </c>
      <c r="M7">
        <f t="shared" si="0"/>
        <v>0.94379889398720562</v>
      </c>
      <c r="N7">
        <f t="shared" si="1"/>
        <v>53.315199521337249</v>
      </c>
    </row>
    <row r="8" spans="1:14" x14ac:dyDescent="0.25">
      <c r="A8" t="s">
        <v>18</v>
      </c>
      <c r="B8">
        <v>42.247531600000002</v>
      </c>
      <c r="C8">
        <v>3.0866861000000001</v>
      </c>
      <c r="D8">
        <v>3929.9760000000001</v>
      </c>
      <c r="E8">
        <v>18.68</v>
      </c>
      <c r="F8">
        <v>50.56</v>
      </c>
      <c r="G8">
        <v>57.32</v>
      </c>
      <c r="H8">
        <v>2.5539999999999998</v>
      </c>
      <c r="I8">
        <v>3.6920000000000002</v>
      </c>
      <c r="J8">
        <v>1.23</v>
      </c>
      <c r="K8">
        <v>3</v>
      </c>
      <c r="L8">
        <v>9</v>
      </c>
      <c r="M8">
        <f t="shared" si="0"/>
        <v>0.94034240604417141</v>
      </c>
      <c r="N8">
        <f t="shared" si="1"/>
        <v>53.900426714451903</v>
      </c>
    </row>
    <row r="9" spans="1:14" x14ac:dyDescent="0.25">
      <c r="A9" t="s">
        <v>19</v>
      </c>
      <c r="B9">
        <v>42.2475655</v>
      </c>
      <c r="C9">
        <v>3.0868087000000002</v>
      </c>
      <c r="D9">
        <v>3917.951</v>
      </c>
      <c r="E9">
        <v>18.760000000000002</v>
      </c>
      <c r="F9">
        <v>50.83</v>
      </c>
      <c r="G9">
        <v>57.89</v>
      </c>
      <c r="H9">
        <v>2.5419999999999998</v>
      </c>
      <c r="I9">
        <v>3.673</v>
      </c>
      <c r="J9">
        <v>1.1599999999999999</v>
      </c>
      <c r="K9">
        <v>3</v>
      </c>
      <c r="L9">
        <v>9</v>
      </c>
      <c r="M9">
        <f t="shared" si="0"/>
        <v>0.93593750376260176</v>
      </c>
      <c r="N9">
        <f t="shared" si="1"/>
        <v>54.181422092817016</v>
      </c>
    </row>
    <row r="10" spans="1:14" x14ac:dyDescent="0.25">
      <c r="A10" t="s">
        <v>20</v>
      </c>
      <c r="B10">
        <v>42.247599399999999</v>
      </c>
      <c r="C10">
        <v>3.0869317999999999</v>
      </c>
      <c r="D10">
        <v>3905.8029999999999</v>
      </c>
      <c r="E10">
        <v>18.809999999999999</v>
      </c>
      <c r="F10">
        <v>51.27</v>
      </c>
      <c r="G10">
        <v>58.51</v>
      </c>
      <c r="H10">
        <v>2.5299999999999998</v>
      </c>
      <c r="I10">
        <v>3.641</v>
      </c>
      <c r="J10">
        <v>1.0900000000000001</v>
      </c>
      <c r="K10">
        <v>3</v>
      </c>
      <c r="L10">
        <v>9</v>
      </c>
      <c r="M10">
        <f t="shared" si="0"/>
        <v>0.9333724088653178</v>
      </c>
      <c r="N10">
        <f t="shared" si="1"/>
        <v>54.611619642709741</v>
      </c>
    </row>
    <row r="11" spans="1:14" x14ac:dyDescent="0.25">
      <c r="A11" t="s">
        <v>21</v>
      </c>
      <c r="B11">
        <v>42.2476336</v>
      </c>
      <c r="C11">
        <v>3.0870563</v>
      </c>
      <c r="D11">
        <v>3893.9540000000002</v>
      </c>
      <c r="E11">
        <v>18.96</v>
      </c>
      <c r="F11">
        <v>51.46</v>
      </c>
      <c r="G11">
        <v>58.97</v>
      </c>
      <c r="H11">
        <v>2.5179999999999998</v>
      </c>
      <c r="I11">
        <v>3.609</v>
      </c>
      <c r="J11">
        <v>1</v>
      </c>
      <c r="K11">
        <v>3</v>
      </c>
      <c r="L11">
        <v>9</v>
      </c>
      <c r="M11">
        <f t="shared" si="0"/>
        <v>0.92999339331303954</v>
      </c>
      <c r="N11">
        <f t="shared" si="1"/>
        <v>54.841710403669943</v>
      </c>
    </row>
    <row r="12" spans="1:14" x14ac:dyDescent="0.25">
      <c r="A12" t="s">
        <v>22</v>
      </c>
      <c r="B12">
        <v>42.247668500000003</v>
      </c>
      <c r="C12">
        <v>3.0871822</v>
      </c>
      <c r="D12">
        <v>3882.1979999999999</v>
      </c>
      <c r="E12">
        <v>19.18</v>
      </c>
      <c r="F12">
        <v>51.73</v>
      </c>
      <c r="G12">
        <v>59.45</v>
      </c>
      <c r="H12">
        <v>2.5070000000000001</v>
      </c>
      <c r="I12">
        <v>3.5649999999999999</v>
      </c>
      <c r="J12">
        <v>0.92</v>
      </c>
      <c r="K12">
        <v>3</v>
      </c>
      <c r="L12">
        <v>9</v>
      </c>
      <c r="M12">
        <f t="shared" si="0"/>
        <v>0.92802752170283898</v>
      </c>
      <c r="N12">
        <f t="shared" si="1"/>
        <v>55.171236165233779</v>
      </c>
    </row>
    <row r="13" spans="1:14" x14ac:dyDescent="0.25">
      <c r="A13" t="s">
        <v>23</v>
      </c>
      <c r="B13">
        <v>42.247703899999998</v>
      </c>
      <c r="C13">
        <v>3.0873084</v>
      </c>
      <c r="D13">
        <v>3870.0320000000002</v>
      </c>
      <c r="E13">
        <v>19.41</v>
      </c>
      <c r="F13">
        <v>52.18</v>
      </c>
      <c r="G13">
        <v>60.01</v>
      </c>
      <c r="H13">
        <v>2.5009999999999999</v>
      </c>
      <c r="I13">
        <v>3.5230000000000001</v>
      </c>
      <c r="J13">
        <v>0.86</v>
      </c>
      <c r="K13">
        <v>3</v>
      </c>
      <c r="L13">
        <v>9</v>
      </c>
      <c r="M13">
        <f t="shared" si="0"/>
        <v>0.92773134152934067</v>
      </c>
      <c r="N13">
        <f t="shared" si="1"/>
        <v>55.673157805175734</v>
      </c>
    </row>
    <row r="14" spans="1:14" x14ac:dyDescent="0.25">
      <c r="A14" t="s">
        <v>24</v>
      </c>
      <c r="B14">
        <v>42.247739099999997</v>
      </c>
      <c r="C14">
        <v>3.0874359999999998</v>
      </c>
      <c r="D14">
        <v>3857.8620000000001</v>
      </c>
      <c r="E14">
        <v>19.59</v>
      </c>
      <c r="F14">
        <v>52.35</v>
      </c>
      <c r="G14">
        <v>60.7</v>
      </c>
      <c r="H14">
        <v>2.496</v>
      </c>
      <c r="I14">
        <v>3.4860000000000002</v>
      </c>
      <c r="J14">
        <v>0.82</v>
      </c>
      <c r="K14">
        <v>3</v>
      </c>
      <c r="L14">
        <v>9</v>
      </c>
      <c r="M14">
        <f t="shared" si="0"/>
        <v>0.92084602983304287</v>
      </c>
      <c r="N14">
        <f t="shared" si="1"/>
        <v>55.895354010865702</v>
      </c>
    </row>
    <row r="15" spans="1:14" x14ac:dyDescent="0.25">
      <c r="A15" t="s">
        <v>25</v>
      </c>
      <c r="B15">
        <v>42.2477752</v>
      </c>
      <c r="C15">
        <v>3.0875632</v>
      </c>
      <c r="D15">
        <v>3845.098</v>
      </c>
      <c r="E15">
        <v>20.010000000000002</v>
      </c>
      <c r="F15">
        <v>52.69</v>
      </c>
      <c r="G15">
        <v>61.41</v>
      </c>
      <c r="H15">
        <v>2.492</v>
      </c>
      <c r="I15">
        <v>3.4489999999999998</v>
      </c>
      <c r="J15">
        <v>0.78</v>
      </c>
      <c r="K15">
        <v>3</v>
      </c>
      <c r="L15">
        <v>9</v>
      </c>
      <c r="M15">
        <f t="shared" si="0"/>
        <v>0.91779279278735182</v>
      </c>
      <c r="N15">
        <f t="shared" si="1"/>
        <v>56.361655405071275</v>
      </c>
    </row>
    <row r="16" spans="1:14" x14ac:dyDescent="0.25">
      <c r="A16" t="s">
        <v>26</v>
      </c>
      <c r="B16">
        <v>42.247811599999999</v>
      </c>
      <c r="C16">
        <v>3.0876917000000002</v>
      </c>
      <c r="D16">
        <v>3832.3420000000001</v>
      </c>
      <c r="E16">
        <v>20.34</v>
      </c>
      <c r="F16">
        <v>53.05</v>
      </c>
      <c r="G16">
        <v>62.15</v>
      </c>
      <c r="H16">
        <v>2.4900000000000002</v>
      </c>
      <c r="I16">
        <v>3.4140000000000001</v>
      </c>
      <c r="J16">
        <v>0.75</v>
      </c>
      <c r="K16">
        <v>3</v>
      </c>
      <c r="L16">
        <v>9</v>
      </c>
      <c r="M16">
        <f t="shared" si="0"/>
        <v>0.91416975273834133</v>
      </c>
      <c r="N16">
        <f t="shared" si="1"/>
        <v>56.815650132687914</v>
      </c>
    </row>
    <row r="17" spans="1:14" x14ac:dyDescent="0.25">
      <c r="A17" t="s">
        <v>27</v>
      </c>
      <c r="B17">
        <v>42.247848699999999</v>
      </c>
      <c r="C17">
        <v>3.0878196999999998</v>
      </c>
      <c r="D17">
        <v>3819.32</v>
      </c>
      <c r="E17">
        <v>20.61</v>
      </c>
      <c r="F17">
        <v>53.19</v>
      </c>
      <c r="G17">
        <v>62.7</v>
      </c>
      <c r="H17">
        <v>2.4910000000000001</v>
      </c>
      <c r="I17">
        <v>3.4</v>
      </c>
      <c r="J17">
        <v>0.74</v>
      </c>
      <c r="K17">
        <v>3</v>
      </c>
      <c r="L17">
        <v>8</v>
      </c>
      <c r="M17">
        <f t="shared" si="0"/>
        <v>0.90978291466135541</v>
      </c>
      <c r="N17">
        <f t="shared" si="1"/>
        <v>57.043388749266988</v>
      </c>
    </row>
    <row r="18" spans="1:14" x14ac:dyDescent="0.25">
      <c r="A18" t="s">
        <v>28</v>
      </c>
      <c r="B18">
        <v>42.2478865</v>
      </c>
      <c r="C18">
        <v>3.0879485999999998</v>
      </c>
      <c r="D18">
        <v>3806.239</v>
      </c>
      <c r="E18">
        <v>21.02</v>
      </c>
      <c r="F18">
        <v>53.32</v>
      </c>
      <c r="G18">
        <v>63.36</v>
      </c>
      <c r="H18">
        <v>2.4929999999999999</v>
      </c>
      <c r="I18">
        <v>3.3879999999999999</v>
      </c>
      <c r="J18">
        <v>0.73</v>
      </c>
      <c r="K18">
        <v>3</v>
      </c>
      <c r="L18">
        <v>8</v>
      </c>
      <c r="M18">
        <f t="shared" si="0"/>
        <v>0.90457264228368917</v>
      </c>
      <c r="N18">
        <f t="shared" si="1"/>
        <v>57.313722615094548</v>
      </c>
    </row>
    <row r="19" spans="1:14" x14ac:dyDescent="0.25">
      <c r="A19" t="s">
        <v>29</v>
      </c>
      <c r="B19">
        <v>42.247924699999999</v>
      </c>
      <c r="C19">
        <v>3.0880795000000001</v>
      </c>
      <c r="D19">
        <v>3793.1669999999999</v>
      </c>
      <c r="E19">
        <v>21.39</v>
      </c>
      <c r="F19">
        <v>53.98</v>
      </c>
      <c r="G19">
        <v>64.11</v>
      </c>
      <c r="H19">
        <v>2.4929999999999999</v>
      </c>
      <c r="I19">
        <v>3.359</v>
      </c>
      <c r="J19">
        <v>0.7</v>
      </c>
      <c r="K19">
        <v>3</v>
      </c>
      <c r="L19">
        <v>9</v>
      </c>
      <c r="M19">
        <f t="shared" si="0"/>
        <v>0.90568587194567829</v>
      </c>
      <c r="N19">
        <f t="shared" si="1"/>
        <v>58.063521250437432</v>
      </c>
    </row>
    <row r="20" spans="1:14" x14ac:dyDescent="0.25">
      <c r="A20" t="s">
        <v>30</v>
      </c>
      <c r="B20">
        <v>42.247963800000001</v>
      </c>
      <c r="C20">
        <v>3.0882106</v>
      </c>
      <c r="D20">
        <v>3779.9169999999999</v>
      </c>
      <c r="E20">
        <v>21.69</v>
      </c>
      <c r="F20">
        <v>54.41</v>
      </c>
      <c r="G20">
        <v>64.73</v>
      </c>
      <c r="H20">
        <v>2.4950000000000001</v>
      </c>
      <c r="I20">
        <v>3.335</v>
      </c>
      <c r="J20">
        <v>0.71</v>
      </c>
      <c r="K20">
        <v>3</v>
      </c>
      <c r="L20">
        <v>9</v>
      </c>
      <c r="M20">
        <f t="shared" si="0"/>
        <v>0.90489604229965848</v>
      </c>
      <c r="N20">
        <f t="shared" si="1"/>
        <v>58.573920818056898</v>
      </c>
    </row>
    <row r="21" spans="1:14" x14ac:dyDescent="0.25">
      <c r="A21" t="s">
        <v>31</v>
      </c>
      <c r="B21">
        <v>42.248003099999998</v>
      </c>
      <c r="C21">
        <v>3.0883424000000002</v>
      </c>
      <c r="D21">
        <v>3766.5239999999999</v>
      </c>
      <c r="E21">
        <v>21.93</v>
      </c>
      <c r="F21">
        <v>54.53</v>
      </c>
      <c r="G21">
        <v>65.400000000000006</v>
      </c>
      <c r="H21">
        <v>2.4990000000000001</v>
      </c>
      <c r="I21">
        <v>3.3130000000000002</v>
      </c>
      <c r="J21">
        <v>0.71</v>
      </c>
      <c r="K21">
        <v>3</v>
      </c>
      <c r="L21">
        <v>9</v>
      </c>
      <c r="M21">
        <f t="shared" si="0"/>
        <v>0.89869317432525564</v>
      </c>
      <c r="N21">
        <f t="shared" si="1"/>
        <v>58.774533600871727</v>
      </c>
    </row>
    <row r="22" spans="1:14" x14ac:dyDescent="0.25">
      <c r="A22" t="s">
        <v>32</v>
      </c>
      <c r="B22">
        <v>42.248043299999999</v>
      </c>
      <c r="C22">
        <v>3.0884749999999999</v>
      </c>
      <c r="D22">
        <v>3753</v>
      </c>
      <c r="E22">
        <v>22.39</v>
      </c>
      <c r="F22">
        <v>54.89</v>
      </c>
      <c r="G22">
        <v>66.06</v>
      </c>
      <c r="H22">
        <v>2.5019999999999998</v>
      </c>
      <c r="I22">
        <v>3.2890000000000001</v>
      </c>
      <c r="J22">
        <v>0.69</v>
      </c>
      <c r="K22">
        <v>3</v>
      </c>
      <c r="L22">
        <v>9</v>
      </c>
      <c r="M22">
        <f t="shared" si="0"/>
        <v>0.89737953933472714</v>
      </c>
      <c r="N22">
        <f t="shared" si="1"/>
        <v>59.280892368452079</v>
      </c>
    </row>
    <row r="23" spans="1:14" x14ac:dyDescent="0.25">
      <c r="A23" t="s">
        <v>33</v>
      </c>
      <c r="B23">
        <v>42.248084400000003</v>
      </c>
      <c r="C23">
        <v>3.0886084</v>
      </c>
      <c r="D23">
        <v>3739.498</v>
      </c>
      <c r="E23">
        <v>22.82</v>
      </c>
      <c r="F23">
        <v>55.25</v>
      </c>
      <c r="G23">
        <v>66.59</v>
      </c>
      <c r="H23">
        <v>2.5030000000000001</v>
      </c>
      <c r="I23">
        <v>3.2639999999999998</v>
      </c>
      <c r="J23">
        <v>0.69</v>
      </c>
      <c r="K23">
        <v>3</v>
      </c>
      <c r="L23">
        <v>9</v>
      </c>
      <c r="M23">
        <f t="shared" si="0"/>
        <v>0.89769050218460267</v>
      </c>
      <c r="N23">
        <f t="shared" si="1"/>
        <v>59.777210540472694</v>
      </c>
    </row>
    <row r="24" spans="1:14" x14ac:dyDescent="0.25">
      <c r="A24" t="s">
        <v>34</v>
      </c>
      <c r="B24">
        <v>42.248126900000003</v>
      </c>
      <c r="C24">
        <v>3.0887422</v>
      </c>
      <c r="D24">
        <v>3725.7620000000002</v>
      </c>
      <c r="E24">
        <v>23.47</v>
      </c>
      <c r="F24">
        <v>55.54</v>
      </c>
      <c r="G24">
        <v>67.12</v>
      </c>
      <c r="H24">
        <v>2.5049999999999999</v>
      </c>
      <c r="I24">
        <v>3.242</v>
      </c>
      <c r="J24">
        <v>0.69</v>
      </c>
      <c r="K24">
        <v>3</v>
      </c>
      <c r="L24">
        <v>9</v>
      </c>
      <c r="M24">
        <f t="shared" si="0"/>
        <v>0.89832206649371626</v>
      </c>
      <c r="N24">
        <f t="shared" si="1"/>
        <v>60.295377103058243</v>
      </c>
    </row>
    <row r="25" spans="1:14" x14ac:dyDescent="0.25">
      <c r="A25" t="s">
        <v>35</v>
      </c>
      <c r="B25">
        <v>42.248170799999997</v>
      </c>
      <c r="C25">
        <v>3.0888765999999999</v>
      </c>
      <c r="D25">
        <v>3711.9319999999998</v>
      </c>
      <c r="E25">
        <v>24.18</v>
      </c>
      <c r="F25">
        <v>55.78</v>
      </c>
      <c r="G25">
        <v>67.73</v>
      </c>
      <c r="H25">
        <v>2.5070000000000001</v>
      </c>
      <c r="I25">
        <v>3.222</v>
      </c>
      <c r="J25">
        <v>0.68</v>
      </c>
      <c r="K25">
        <v>3</v>
      </c>
      <c r="L25">
        <v>9</v>
      </c>
      <c r="M25">
        <f t="shared" si="0"/>
        <v>0.89761407266887194</v>
      </c>
      <c r="N25">
        <f t="shared" si="1"/>
        <v>60.795401141862698</v>
      </c>
    </row>
    <row r="26" spans="1:14" x14ac:dyDescent="0.25">
      <c r="A26" t="s">
        <v>36</v>
      </c>
      <c r="B26">
        <v>42.248215100000003</v>
      </c>
      <c r="C26">
        <v>3.0890121000000001</v>
      </c>
      <c r="D26">
        <v>3697.95</v>
      </c>
      <c r="E26">
        <v>24.65</v>
      </c>
      <c r="F26">
        <v>56.19</v>
      </c>
      <c r="G26">
        <v>68.2</v>
      </c>
      <c r="H26">
        <v>2.5070000000000001</v>
      </c>
      <c r="I26">
        <v>3.2029999999999998</v>
      </c>
      <c r="J26">
        <v>0.67</v>
      </c>
      <c r="K26">
        <v>3</v>
      </c>
      <c r="L26">
        <v>9</v>
      </c>
      <c r="M26">
        <f t="shared" si="0"/>
        <v>0.89969348233561641</v>
      </c>
      <c r="N26">
        <f t="shared" si="1"/>
        <v>61.35909549528904</v>
      </c>
    </row>
    <row r="27" spans="1:14" x14ac:dyDescent="0.25">
      <c r="A27" t="s">
        <v>37</v>
      </c>
      <c r="B27">
        <v>42.248260700000003</v>
      </c>
      <c r="C27">
        <v>3.0891476</v>
      </c>
      <c r="D27">
        <v>3683.87</v>
      </c>
      <c r="E27">
        <v>25.18</v>
      </c>
      <c r="F27">
        <v>56.31</v>
      </c>
      <c r="G27">
        <v>68.680000000000007</v>
      </c>
      <c r="H27">
        <v>2.5070000000000001</v>
      </c>
      <c r="I27">
        <v>3.1840000000000002</v>
      </c>
      <c r="J27">
        <v>0.67</v>
      </c>
      <c r="K27">
        <v>3</v>
      </c>
      <c r="L27">
        <v>9</v>
      </c>
      <c r="M27">
        <f t="shared" si="0"/>
        <v>0.89812833461440855</v>
      </c>
      <c r="N27">
        <f t="shared" si="1"/>
        <v>61.683454021317587</v>
      </c>
    </row>
    <row r="28" spans="1:14" x14ac:dyDescent="0.25">
      <c r="A28" t="s">
        <v>38</v>
      </c>
      <c r="B28">
        <v>42.248307699999998</v>
      </c>
      <c r="C28">
        <v>3.0892835999999999</v>
      </c>
      <c r="D28">
        <v>3669.6979999999999</v>
      </c>
      <c r="E28">
        <v>25.88</v>
      </c>
      <c r="F28">
        <v>56.51</v>
      </c>
      <c r="G28">
        <v>69.13</v>
      </c>
      <c r="H28">
        <v>2.5070000000000001</v>
      </c>
      <c r="I28">
        <v>3.1659999999999999</v>
      </c>
      <c r="J28">
        <v>0.67</v>
      </c>
      <c r="K28">
        <v>3</v>
      </c>
      <c r="L28">
        <v>9</v>
      </c>
      <c r="M28">
        <f t="shared" si="0"/>
        <v>0.89909272125646855</v>
      </c>
      <c r="N28">
        <f t="shared" si="1"/>
        <v>62.154279820459664</v>
      </c>
    </row>
    <row r="29" spans="1:14" x14ac:dyDescent="0.25">
      <c r="A29" t="s">
        <v>39</v>
      </c>
      <c r="B29">
        <v>42.248355699999998</v>
      </c>
      <c r="C29">
        <v>3.0894200000000001</v>
      </c>
      <c r="D29">
        <v>3655.451</v>
      </c>
      <c r="E29">
        <v>26.51</v>
      </c>
      <c r="F29">
        <v>56.73</v>
      </c>
      <c r="G29">
        <v>69.599999999999994</v>
      </c>
      <c r="H29">
        <v>2.5049999999999999</v>
      </c>
      <c r="I29">
        <v>3.1480000000000001</v>
      </c>
      <c r="J29">
        <v>0.64</v>
      </c>
      <c r="K29">
        <v>3</v>
      </c>
      <c r="L29">
        <v>9</v>
      </c>
      <c r="M29">
        <f t="shared" si="0"/>
        <v>0.89969068556926413</v>
      </c>
      <c r="N29">
        <f t="shared" si="1"/>
        <v>62.618471715620778</v>
      </c>
    </row>
    <row r="30" spans="1:14" x14ac:dyDescent="0.25">
      <c r="A30" t="s">
        <v>40</v>
      </c>
      <c r="B30">
        <v>42.248405699999999</v>
      </c>
      <c r="C30">
        <v>3.0895565999999999</v>
      </c>
      <c r="D30">
        <v>3641.1170000000002</v>
      </c>
      <c r="E30">
        <v>27.36</v>
      </c>
      <c r="F30">
        <v>57.06</v>
      </c>
      <c r="G30">
        <v>69.989999999999995</v>
      </c>
      <c r="H30">
        <v>2.5049999999999999</v>
      </c>
      <c r="I30">
        <v>3.129</v>
      </c>
      <c r="J30">
        <v>0.63</v>
      </c>
      <c r="K30">
        <v>3</v>
      </c>
      <c r="L30">
        <v>9</v>
      </c>
      <c r="M30">
        <f t="shared" si="0"/>
        <v>0.90413534783148941</v>
      </c>
      <c r="N30">
        <f t="shared" si="1"/>
        <v>63.280432994725942</v>
      </c>
    </row>
    <row r="31" spans="1:14" x14ac:dyDescent="0.25">
      <c r="A31" t="s">
        <v>41</v>
      </c>
      <c r="B31">
        <v>42.248456699999998</v>
      </c>
      <c r="C31">
        <v>3.0896946999999999</v>
      </c>
      <c r="D31">
        <v>3626.732</v>
      </c>
      <c r="E31">
        <v>28.17</v>
      </c>
      <c r="F31">
        <v>57.36</v>
      </c>
      <c r="G31">
        <v>70.36</v>
      </c>
      <c r="H31">
        <v>2.508</v>
      </c>
      <c r="I31">
        <v>3.1160000000000001</v>
      </c>
      <c r="J31">
        <v>0.62</v>
      </c>
      <c r="K31">
        <v>3</v>
      </c>
      <c r="L31">
        <v>9</v>
      </c>
      <c r="M31">
        <f t="shared" si="0"/>
        <v>0.90824301804108198</v>
      </c>
      <c r="N31">
        <f t="shared" si="1"/>
        <v>63.90397874937053</v>
      </c>
    </row>
    <row r="32" spans="1:14" x14ac:dyDescent="0.25">
      <c r="A32" t="s">
        <v>42</v>
      </c>
      <c r="B32">
        <v>42.248508299999997</v>
      </c>
      <c r="C32">
        <v>3.0898329000000002</v>
      </c>
      <c r="D32">
        <v>3612.125</v>
      </c>
      <c r="E32">
        <v>28.57</v>
      </c>
      <c r="F32">
        <v>57.13</v>
      </c>
      <c r="G32">
        <v>70.92</v>
      </c>
      <c r="H32">
        <v>2.512</v>
      </c>
      <c r="I32">
        <v>3.1030000000000002</v>
      </c>
      <c r="J32">
        <v>0.62</v>
      </c>
      <c r="K32">
        <v>3</v>
      </c>
      <c r="L32">
        <v>9</v>
      </c>
      <c r="M32">
        <f t="shared" si="0"/>
        <v>0.90067002258620266</v>
      </c>
      <c r="N32">
        <f t="shared" si="1"/>
        <v>63.875518001813496</v>
      </c>
    </row>
    <row r="33" spans="1:14" x14ac:dyDescent="0.25">
      <c r="A33" t="s">
        <v>43</v>
      </c>
      <c r="B33">
        <v>42.248561000000002</v>
      </c>
      <c r="C33">
        <v>3.0899711000000001</v>
      </c>
      <c r="D33">
        <v>3597.4920000000002</v>
      </c>
      <c r="E33">
        <v>29.16</v>
      </c>
      <c r="F33">
        <v>57.41</v>
      </c>
      <c r="G33">
        <v>71.37</v>
      </c>
      <c r="H33">
        <v>2.516</v>
      </c>
      <c r="I33">
        <v>3.0920000000000001</v>
      </c>
      <c r="J33">
        <v>0.62</v>
      </c>
      <c r="K33">
        <v>3</v>
      </c>
      <c r="L33">
        <v>9</v>
      </c>
      <c r="M33">
        <f t="shared" si="0"/>
        <v>0.90221521003546978</v>
      </c>
      <c r="N33">
        <f t="shared" si="1"/>
        <v>64.39109954023148</v>
      </c>
    </row>
    <row r="34" spans="1:14" x14ac:dyDescent="0.25">
      <c r="A34" t="s">
        <v>44</v>
      </c>
      <c r="B34">
        <v>42.248615600000001</v>
      </c>
      <c r="C34">
        <v>3.0901095999999999</v>
      </c>
      <c r="D34">
        <v>3582.7910000000002</v>
      </c>
      <c r="E34">
        <v>30.18</v>
      </c>
      <c r="F34">
        <v>57.72</v>
      </c>
      <c r="G34">
        <v>71.7</v>
      </c>
      <c r="H34">
        <v>2.5190000000000001</v>
      </c>
      <c r="I34">
        <v>3.08</v>
      </c>
      <c r="J34">
        <v>0.62</v>
      </c>
      <c r="K34">
        <v>3</v>
      </c>
      <c r="L34">
        <v>9</v>
      </c>
      <c r="M34">
        <f t="shared" si="0"/>
        <v>0.90842322269273768</v>
      </c>
      <c r="N34">
        <f t="shared" si="1"/>
        <v>65.133945067069291</v>
      </c>
    </row>
    <row r="35" spans="1:14" x14ac:dyDescent="0.25">
      <c r="A35" t="s">
        <v>45</v>
      </c>
      <c r="B35">
        <v>42.2486715</v>
      </c>
      <c r="C35">
        <v>3.0902482</v>
      </c>
      <c r="D35">
        <v>3568.0709999999999</v>
      </c>
      <c r="E35">
        <v>30.93</v>
      </c>
      <c r="F35">
        <v>57.76</v>
      </c>
      <c r="G35">
        <v>71.989999999999995</v>
      </c>
      <c r="H35">
        <v>2.5219999999999998</v>
      </c>
      <c r="I35">
        <v>3.0680000000000001</v>
      </c>
      <c r="J35">
        <v>0.62</v>
      </c>
      <c r="K35">
        <v>3</v>
      </c>
      <c r="L35">
        <v>9</v>
      </c>
      <c r="M35">
        <f t="shared" si="0"/>
        <v>0.91012768909782293</v>
      </c>
      <c r="N35">
        <f t="shared" si="1"/>
        <v>65.520092338152267</v>
      </c>
    </row>
    <row r="36" spans="1:14" x14ac:dyDescent="0.25">
      <c r="A36" t="s">
        <v>46</v>
      </c>
      <c r="B36">
        <v>42.248727700000003</v>
      </c>
      <c r="C36">
        <v>3.0903866999999998</v>
      </c>
      <c r="D36">
        <v>3553.1660000000002</v>
      </c>
      <c r="E36">
        <v>31.23</v>
      </c>
      <c r="F36">
        <v>57.4</v>
      </c>
      <c r="G36">
        <v>72.53</v>
      </c>
      <c r="H36">
        <v>2.5289999999999999</v>
      </c>
      <c r="I36">
        <v>3.0569999999999999</v>
      </c>
      <c r="J36">
        <v>0.62</v>
      </c>
      <c r="K36">
        <v>3</v>
      </c>
      <c r="L36">
        <v>9</v>
      </c>
      <c r="M36">
        <f t="shared" si="0"/>
        <v>0.90094850151618322</v>
      </c>
      <c r="N36">
        <f t="shared" si="1"/>
        <v>65.34579481496877</v>
      </c>
    </row>
    <row r="37" spans="1:14" x14ac:dyDescent="0.25">
      <c r="A37" t="s">
        <v>47</v>
      </c>
      <c r="B37">
        <v>42.248785599999998</v>
      </c>
      <c r="C37">
        <v>3.0905252999999999</v>
      </c>
      <c r="D37">
        <v>3538.2040000000002</v>
      </c>
      <c r="E37">
        <v>32.06</v>
      </c>
      <c r="F37">
        <v>57.71</v>
      </c>
      <c r="G37">
        <v>72.83</v>
      </c>
      <c r="H37">
        <v>2.5350000000000001</v>
      </c>
      <c r="I37">
        <v>3.048</v>
      </c>
      <c r="J37">
        <v>0.62</v>
      </c>
      <c r="K37">
        <v>3</v>
      </c>
      <c r="L37">
        <v>9</v>
      </c>
      <c r="M37">
        <f t="shared" si="0"/>
        <v>0.90645789902108964</v>
      </c>
      <c r="N37">
        <f t="shared" si="1"/>
        <v>66.017328785705956</v>
      </c>
    </row>
    <row r="38" spans="1:14" x14ac:dyDescent="0.25">
      <c r="A38" t="s">
        <v>48</v>
      </c>
      <c r="B38">
        <v>42.248844900000002</v>
      </c>
      <c r="C38">
        <v>3.0906644000000001</v>
      </c>
      <c r="D38">
        <v>3523.2179999999998</v>
      </c>
      <c r="E38">
        <v>32.909999999999997</v>
      </c>
      <c r="F38">
        <v>57.82</v>
      </c>
      <c r="G38">
        <v>73.12</v>
      </c>
      <c r="H38">
        <v>2.54</v>
      </c>
      <c r="I38">
        <v>3.036</v>
      </c>
      <c r="J38">
        <v>0.62</v>
      </c>
      <c r="K38">
        <v>3</v>
      </c>
      <c r="L38">
        <v>9</v>
      </c>
      <c r="M38">
        <f t="shared" si="0"/>
        <v>0.90987208267955466</v>
      </c>
      <c r="N38">
        <f t="shared" si="1"/>
        <v>66.529846685529037</v>
      </c>
    </row>
    <row r="39" spans="1:14" x14ac:dyDescent="0.25">
      <c r="A39" t="s">
        <v>49</v>
      </c>
      <c r="B39">
        <v>42.248906099999999</v>
      </c>
      <c r="C39">
        <v>3.0908031</v>
      </c>
      <c r="D39">
        <v>3508.2359999999999</v>
      </c>
      <c r="E39">
        <v>33.85</v>
      </c>
      <c r="F39">
        <v>57.65</v>
      </c>
      <c r="G39">
        <v>73.44</v>
      </c>
      <c r="H39">
        <v>2.5449999999999999</v>
      </c>
      <c r="I39">
        <v>3.0230000000000001</v>
      </c>
      <c r="J39">
        <v>0.62</v>
      </c>
      <c r="K39">
        <v>3</v>
      </c>
      <c r="L39">
        <v>9</v>
      </c>
      <c r="M39">
        <f t="shared" si="0"/>
        <v>0.91030991265181849</v>
      </c>
      <c r="N39">
        <f t="shared" si="1"/>
        <v>66.853159985149546</v>
      </c>
    </row>
    <row r="40" spans="1:14" x14ac:dyDescent="0.25">
      <c r="A40" t="s">
        <v>50</v>
      </c>
      <c r="B40">
        <v>42.248967899999997</v>
      </c>
      <c r="C40">
        <v>3.0909415</v>
      </c>
      <c r="D40">
        <v>3493.08</v>
      </c>
      <c r="E40">
        <v>34.35</v>
      </c>
      <c r="F40">
        <v>57.42</v>
      </c>
      <c r="G40">
        <v>73.87</v>
      </c>
      <c r="H40">
        <v>2.5489999999999999</v>
      </c>
      <c r="I40">
        <v>3.012</v>
      </c>
      <c r="J40">
        <v>0.62</v>
      </c>
      <c r="K40">
        <v>3</v>
      </c>
      <c r="L40">
        <v>9</v>
      </c>
      <c r="M40">
        <f t="shared" si="0"/>
        <v>0.90578354080845336</v>
      </c>
      <c r="N40">
        <f t="shared" si="1"/>
        <v>66.910230159520452</v>
      </c>
    </row>
    <row r="41" spans="1:14" x14ac:dyDescent="0.25">
      <c r="A41" t="s">
        <v>51</v>
      </c>
      <c r="B41">
        <v>42.2490314</v>
      </c>
      <c r="C41">
        <v>3.0910802999999998</v>
      </c>
      <c r="D41">
        <v>3478.0279999999998</v>
      </c>
      <c r="E41">
        <v>35.17</v>
      </c>
      <c r="F41">
        <v>57.52</v>
      </c>
      <c r="G41">
        <v>74.12</v>
      </c>
      <c r="H41">
        <v>2.5449999999999999</v>
      </c>
      <c r="I41">
        <v>2.9969999999999999</v>
      </c>
      <c r="J41">
        <v>0.62</v>
      </c>
      <c r="K41">
        <v>3</v>
      </c>
      <c r="L41">
        <v>9</v>
      </c>
      <c r="M41">
        <f t="shared" si="0"/>
        <v>0.90960833554636833</v>
      </c>
      <c r="N41">
        <f t="shared" si="1"/>
        <v>67.420169830696821</v>
      </c>
    </row>
    <row r="42" spans="1:14" x14ac:dyDescent="0.25">
      <c r="A42" t="s">
        <v>52</v>
      </c>
      <c r="B42">
        <v>42.2490965</v>
      </c>
      <c r="C42">
        <v>3.0912187000000002</v>
      </c>
      <c r="D42">
        <v>3462.8679999999999</v>
      </c>
      <c r="E42">
        <v>36.06</v>
      </c>
      <c r="F42">
        <v>57.4</v>
      </c>
      <c r="G42">
        <v>74.42</v>
      </c>
      <c r="H42">
        <v>2.54</v>
      </c>
      <c r="I42">
        <v>2.9860000000000002</v>
      </c>
      <c r="J42">
        <v>0.63</v>
      </c>
      <c r="K42">
        <v>3</v>
      </c>
      <c r="L42">
        <v>9</v>
      </c>
      <c r="M42">
        <f t="shared" si="0"/>
        <v>0.910871351251334</v>
      </c>
      <c r="N42">
        <f t="shared" si="1"/>
        <v>67.787045960124274</v>
      </c>
    </row>
    <row r="43" spans="1:14" x14ac:dyDescent="0.25">
      <c r="A43" t="s">
        <v>53</v>
      </c>
      <c r="B43">
        <v>42.249162499999997</v>
      </c>
      <c r="C43">
        <v>3.0913572</v>
      </c>
      <c r="D43">
        <v>3447.6559999999999</v>
      </c>
      <c r="E43">
        <v>36.630000000000003</v>
      </c>
      <c r="F43">
        <v>57.22</v>
      </c>
      <c r="G43">
        <v>74.760000000000005</v>
      </c>
      <c r="H43">
        <v>2.536</v>
      </c>
      <c r="I43">
        <v>2.9750000000000001</v>
      </c>
      <c r="J43">
        <v>0.63</v>
      </c>
      <c r="K43">
        <v>3</v>
      </c>
      <c r="L43">
        <v>9</v>
      </c>
      <c r="M43">
        <f t="shared" si="0"/>
        <v>0.908778850825814</v>
      </c>
      <c r="N43">
        <f t="shared" si="1"/>
        <v>67.940306887737862</v>
      </c>
    </row>
    <row r="44" spans="1:14" x14ac:dyDescent="0.25">
      <c r="A44" t="s">
        <v>54</v>
      </c>
      <c r="B44">
        <v>42.249230099999998</v>
      </c>
      <c r="C44">
        <v>3.0914952000000002</v>
      </c>
      <c r="D44">
        <v>3432.3470000000002</v>
      </c>
      <c r="E44">
        <v>37.47</v>
      </c>
      <c r="F44">
        <v>57.03</v>
      </c>
      <c r="G44">
        <v>75.12</v>
      </c>
      <c r="H44">
        <v>2.5289999999999999</v>
      </c>
      <c r="I44">
        <v>2.9590000000000001</v>
      </c>
      <c r="J44">
        <v>0.62</v>
      </c>
      <c r="K44">
        <v>3</v>
      </c>
      <c r="L44">
        <v>9</v>
      </c>
      <c r="M44">
        <f t="shared" si="0"/>
        <v>0.90838630406240695</v>
      </c>
      <c r="N44">
        <f t="shared" si="1"/>
        <v>68.237979161168013</v>
      </c>
    </row>
    <row r="45" spans="1:14" x14ac:dyDescent="0.25">
      <c r="A45" t="s">
        <v>55</v>
      </c>
      <c r="B45">
        <v>42.249299299999997</v>
      </c>
      <c r="C45">
        <v>3.0916323000000001</v>
      </c>
      <c r="D45">
        <v>3416.9380000000001</v>
      </c>
      <c r="E45">
        <v>38.24</v>
      </c>
      <c r="F45">
        <v>56.71</v>
      </c>
      <c r="G45">
        <v>75.53</v>
      </c>
      <c r="H45">
        <v>2.5249999999999999</v>
      </c>
      <c r="I45">
        <v>2.9449999999999998</v>
      </c>
      <c r="J45">
        <v>0.63</v>
      </c>
      <c r="K45">
        <v>3</v>
      </c>
      <c r="L45">
        <v>9</v>
      </c>
      <c r="M45">
        <f t="shared" si="0"/>
        <v>0.90557736023770241</v>
      </c>
      <c r="N45">
        <f t="shared" si="1"/>
        <v>68.398258018753666</v>
      </c>
    </row>
    <row r="46" spans="1:14" x14ac:dyDescent="0.25">
      <c r="A46" t="s">
        <v>56</v>
      </c>
      <c r="B46">
        <v>42.249369700000003</v>
      </c>
      <c r="C46">
        <v>3.0917694</v>
      </c>
      <c r="D46">
        <v>3401.5210000000002</v>
      </c>
      <c r="E46">
        <v>38.96</v>
      </c>
      <c r="F46">
        <v>56.62</v>
      </c>
      <c r="G46">
        <v>75.86</v>
      </c>
      <c r="H46">
        <v>2.5209999999999999</v>
      </c>
      <c r="I46">
        <v>2.931</v>
      </c>
      <c r="J46">
        <v>0.63</v>
      </c>
      <c r="K46">
        <v>3</v>
      </c>
      <c r="L46">
        <v>9</v>
      </c>
      <c r="M46">
        <f t="shared" si="0"/>
        <v>0.90600082144503491</v>
      </c>
      <c r="N46">
        <f t="shared" si="1"/>
        <v>68.729222314820348</v>
      </c>
    </row>
    <row r="47" spans="1:14" x14ac:dyDescent="0.25">
      <c r="A47" t="s">
        <v>57</v>
      </c>
      <c r="B47">
        <v>42.249441300000001</v>
      </c>
      <c r="C47">
        <v>3.0919056999999999</v>
      </c>
      <c r="D47">
        <v>3385.8820000000001</v>
      </c>
      <c r="E47">
        <v>39.700000000000003</v>
      </c>
      <c r="F47">
        <v>56.35</v>
      </c>
      <c r="G47">
        <v>76.319999999999993</v>
      </c>
      <c r="H47">
        <v>2.5259999999999998</v>
      </c>
      <c r="I47">
        <v>2.915</v>
      </c>
      <c r="J47">
        <v>0.62</v>
      </c>
      <c r="K47">
        <v>3</v>
      </c>
      <c r="L47">
        <v>9</v>
      </c>
      <c r="M47">
        <f t="shared" si="0"/>
        <v>0.9031772844704854</v>
      </c>
      <c r="N47">
        <f t="shared" si="1"/>
        <v>68.930490350787437</v>
      </c>
    </row>
    <row r="48" spans="1:14" x14ac:dyDescent="0.25">
      <c r="A48" t="s">
        <v>58</v>
      </c>
      <c r="B48">
        <v>42.249513999999998</v>
      </c>
      <c r="C48">
        <v>3.0920418000000001</v>
      </c>
      <c r="D48">
        <v>3370.221</v>
      </c>
      <c r="E48">
        <v>40.32</v>
      </c>
      <c r="F48">
        <v>56.21</v>
      </c>
      <c r="G48">
        <v>76.760000000000005</v>
      </c>
      <c r="H48">
        <v>2.5310000000000001</v>
      </c>
      <c r="I48">
        <v>2.9</v>
      </c>
      <c r="J48">
        <v>0.62</v>
      </c>
      <c r="K48">
        <v>3</v>
      </c>
      <c r="L48">
        <v>9</v>
      </c>
      <c r="M48">
        <f t="shared" si="0"/>
        <v>0.90119359960348622</v>
      </c>
      <c r="N48">
        <f t="shared" si="1"/>
        <v>69.175620705563603</v>
      </c>
    </row>
    <row r="49" spans="1:14" x14ac:dyDescent="0.25">
      <c r="A49" t="s">
        <v>59</v>
      </c>
      <c r="B49">
        <v>42.249588299999999</v>
      </c>
      <c r="C49">
        <v>3.0921780000000001</v>
      </c>
      <c r="D49">
        <v>3354.6019999999999</v>
      </c>
      <c r="E49">
        <v>41.19</v>
      </c>
      <c r="F49">
        <v>56.42</v>
      </c>
      <c r="G49">
        <v>76.95</v>
      </c>
      <c r="H49">
        <v>2.5310000000000001</v>
      </c>
      <c r="I49">
        <v>2.8849999999999998</v>
      </c>
      <c r="J49">
        <v>0.61</v>
      </c>
      <c r="K49">
        <v>3</v>
      </c>
      <c r="L49">
        <v>9</v>
      </c>
      <c r="M49">
        <f t="shared" si="0"/>
        <v>0.90780764000314196</v>
      </c>
      <c r="N49">
        <f t="shared" si="1"/>
        <v>69.855797898241775</v>
      </c>
    </row>
    <row r="50" spans="1:14" x14ac:dyDescent="0.25">
      <c r="A50" t="s">
        <v>60</v>
      </c>
      <c r="B50">
        <v>42.249663900000002</v>
      </c>
      <c r="C50">
        <v>3.0923134999999999</v>
      </c>
      <c r="D50">
        <v>3338.8670000000002</v>
      </c>
      <c r="E50">
        <v>41.89</v>
      </c>
      <c r="F50">
        <v>56.05</v>
      </c>
      <c r="G50">
        <v>77.28</v>
      </c>
      <c r="H50">
        <v>2.5299999999999998</v>
      </c>
      <c r="I50">
        <v>2.871</v>
      </c>
      <c r="J50">
        <v>0.61</v>
      </c>
      <c r="K50">
        <v>3</v>
      </c>
      <c r="L50">
        <v>9</v>
      </c>
      <c r="M50">
        <f t="shared" si="0"/>
        <v>0.90546194997447038</v>
      </c>
      <c r="N50">
        <f t="shared" si="1"/>
        <v>69.974099494027072</v>
      </c>
    </row>
    <row r="51" spans="1:14" x14ac:dyDescent="0.25">
      <c r="A51" t="s">
        <v>61</v>
      </c>
      <c r="B51">
        <v>42.249740699999997</v>
      </c>
      <c r="C51">
        <v>3.0924489999999998</v>
      </c>
      <c r="D51">
        <v>3323.12</v>
      </c>
      <c r="E51">
        <v>42.65</v>
      </c>
      <c r="F51">
        <v>56.11</v>
      </c>
      <c r="G51">
        <v>77.510000000000005</v>
      </c>
      <c r="H51">
        <v>2.5289999999999999</v>
      </c>
      <c r="I51">
        <v>2.8570000000000002</v>
      </c>
      <c r="J51">
        <v>0.61</v>
      </c>
      <c r="K51">
        <v>3</v>
      </c>
      <c r="L51">
        <v>9</v>
      </c>
      <c r="M51">
        <f t="shared" si="0"/>
        <v>0.90929508781764168</v>
      </c>
      <c r="N51">
        <f t="shared" si="1"/>
        <v>70.479462256745407</v>
      </c>
    </row>
    <row r="52" spans="1:14" x14ac:dyDescent="0.25">
      <c r="A52" t="s">
        <v>62</v>
      </c>
      <c r="B52">
        <v>42.249817999999998</v>
      </c>
      <c r="C52">
        <v>3.0925843999999998</v>
      </c>
      <c r="D52">
        <v>3307.2339999999999</v>
      </c>
      <c r="E52">
        <v>43.09</v>
      </c>
      <c r="F52">
        <v>55.95</v>
      </c>
      <c r="G52">
        <v>77.87</v>
      </c>
      <c r="H52">
        <v>2.528</v>
      </c>
      <c r="I52">
        <v>2.8450000000000002</v>
      </c>
      <c r="J52">
        <v>0.61</v>
      </c>
      <c r="K52">
        <v>3</v>
      </c>
      <c r="L52">
        <v>9</v>
      </c>
      <c r="M52">
        <f t="shared" si="0"/>
        <v>0.90689303570844859</v>
      </c>
      <c r="N52">
        <f t="shared" si="1"/>
        <v>70.6197606906169</v>
      </c>
    </row>
    <row r="53" spans="1:14" x14ac:dyDescent="0.25">
      <c r="A53" t="s">
        <v>63</v>
      </c>
      <c r="B53">
        <v>42.249896399999997</v>
      </c>
      <c r="C53">
        <v>3.0927182000000002</v>
      </c>
      <c r="D53">
        <v>3291.2460000000001</v>
      </c>
      <c r="E53">
        <v>43.57</v>
      </c>
      <c r="F53">
        <v>55.28</v>
      </c>
      <c r="G53">
        <v>78.3</v>
      </c>
      <c r="H53">
        <v>2.5299999999999998</v>
      </c>
      <c r="I53">
        <v>2.835</v>
      </c>
      <c r="J53">
        <v>0.63</v>
      </c>
      <c r="K53">
        <v>3</v>
      </c>
      <c r="L53">
        <v>9</v>
      </c>
      <c r="M53">
        <f t="shared" si="0"/>
        <v>0.89893031525417433</v>
      </c>
      <c r="N53">
        <f t="shared" si="1"/>
        <v>70.386243684401848</v>
      </c>
    </row>
    <row r="54" spans="1:14" x14ac:dyDescent="0.25">
      <c r="A54" t="s">
        <v>64</v>
      </c>
      <c r="B54">
        <v>42.249976699999998</v>
      </c>
      <c r="C54">
        <v>3.0928513</v>
      </c>
      <c r="D54">
        <v>3275.3130000000001</v>
      </c>
      <c r="E54">
        <v>44.46</v>
      </c>
      <c r="F54">
        <v>55.08</v>
      </c>
      <c r="G54">
        <v>78.56</v>
      </c>
      <c r="H54">
        <v>2.5329999999999999</v>
      </c>
      <c r="I54">
        <v>2.827</v>
      </c>
      <c r="J54">
        <v>0.64</v>
      </c>
      <c r="K54">
        <v>3</v>
      </c>
      <c r="L54">
        <v>9</v>
      </c>
      <c r="M54">
        <f t="shared" si="0"/>
        <v>0.90102942037909206</v>
      </c>
      <c r="N54">
        <f t="shared" si="1"/>
        <v>70.784871264981476</v>
      </c>
    </row>
    <row r="55" spans="1:14" x14ac:dyDescent="0.25">
      <c r="A55" t="s">
        <v>65</v>
      </c>
      <c r="B55">
        <v>42.250058199999998</v>
      </c>
      <c r="C55">
        <v>3.0929837999999998</v>
      </c>
      <c r="D55">
        <v>3259.3229999999999</v>
      </c>
      <c r="E55">
        <v>45.11</v>
      </c>
      <c r="F55">
        <v>54.85</v>
      </c>
      <c r="G55">
        <v>78.819999999999993</v>
      </c>
      <c r="H55">
        <v>2.5390000000000001</v>
      </c>
      <c r="I55">
        <v>2.827</v>
      </c>
      <c r="J55">
        <v>0.64</v>
      </c>
      <c r="K55">
        <v>3</v>
      </c>
      <c r="L55">
        <v>9</v>
      </c>
      <c r="M55">
        <f t="shared" si="0"/>
        <v>0.90100409795518444</v>
      </c>
      <c r="N55">
        <f t="shared" si="1"/>
        <v>71.01714300082763</v>
      </c>
    </row>
    <row r="56" spans="1:14" x14ac:dyDescent="0.25">
      <c r="A56" t="s">
        <v>66</v>
      </c>
      <c r="B56">
        <v>42.250141399999997</v>
      </c>
      <c r="C56">
        <v>3.0931158000000001</v>
      </c>
      <c r="D56">
        <v>3243.2759999999998</v>
      </c>
      <c r="E56">
        <v>46</v>
      </c>
      <c r="F56">
        <v>54.68</v>
      </c>
      <c r="G56">
        <v>79.05</v>
      </c>
      <c r="H56">
        <v>2.544</v>
      </c>
      <c r="I56">
        <v>2.8239999999999998</v>
      </c>
      <c r="J56">
        <v>0.64</v>
      </c>
      <c r="K56">
        <v>3</v>
      </c>
      <c r="L56">
        <v>9</v>
      </c>
      <c r="M56">
        <f t="shared" si="0"/>
        <v>0.90392912588821306</v>
      </c>
      <c r="N56">
        <f t="shared" si="1"/>
        <v>71.455597401463237</v>
      </c>
    </row>
    <row r="57" spans="1:14" x14ac:dyDescent="0.25">
      <c r="A57" t="s">
        <v>67</v>
      </c>
      <c r="B57">
        <v>42.2502256</v>
      </c>
      <c r="C57">
        <v>3.0932472</v>
      </c>
      <c r="D57">
        <v>3227.174</v>
      </c>
      <c r="E57">
        <v>46.57</v>
      </c>
      <c r="F57">
        <v>54.33</v>
      </c>
      <c r="G57">
        <v>79.37</v>
      </c>
      <c r="H57">
        <v>2.5489999999999999</v>
      </c>
      <c r="I57">
        <v>2.8210000000000002</v>
      </c>
      <c r="J57">
        <v>0.64</v>
      </c>
      <c r="K57">
        <v>3</v>
      </c>
      <c r="L57">
        <v>9</v>
      </c>
      <c r="M57">
        <f t="shared" si="0"/>
        <v>0.90157194754405245</v>
      </c>
      <c r="N57">
        <f t="shared" si="1"/>
        <v>71.557765476571447</v>
      </c>
    </row>
    <row r="58" spans="1:14" x14ac:dyDescent="0.25">
      <c r="A58" t="s">
        <v>68</v>
      </c>
      <c r="B58">
        <v>42.250310300000002</v>
      </c>
      <c r="C58">
        <v>3.093378</v>
      </c>
      <c r="D58">
        <v>3211.002</v>
      </c>
      <c r="E58">
        <v>46.96</v>
      </c>
      <c r="F58">
        <v>54.03</v>
      </c>
      <c r="G58">
        <v>79.66</v>
      </c>
      <c r="H58">
        <v>2.5529999999999999</v>
      </c>
      <c r="I58">
        <v>2.819</v>
      </c>
      <c r="J58">
        <v>0.64</v>
      </c>
      <c r="K58">
        <v>3</v>
      </c>
      <c r="L58">
        <v>9</v>
      </c>
      <c r="M58">
        <f t="shared" si="0"/>
        <v>0.89863784645186517</v>
      </c>
      <c r="N58">
        <f t="shared" si="1"/>
        <v>71.585490848355576</v>
      </c>
    </row>
    <row r="59" spans="1:14" x14ac:dyDescent="0.25">
      <c r="A59" t="s">
        <v>69</v>
      </c>
      <c r="B59">
        <v>42.250396299999998</v>
      </c>
      <c r="C59">
        <v>3.0935074</v>
      </c>
      <c r="D59">
        <v>3194.7249999999999</v>
      </c>
      <c r="E59">
        <v>47.5</v>
      </c>
      <c r="F59">
        <v>53.4</v>
      </c>
      <c r="G59">
        <v>80.099999999999994</v>
      </c>
      <c r="H59">
        <v>2.5579999999999998</v>
      </c>
      <c r="I59">
        <v>2.8180000000000001</v>
      </c>
      <c r="J59">
        <v>0.65</v>
      </c>
      <c r="K59">
        <v>3</v>
      </c>
      <c r="L59">
        <v>9</v>
      </c>
      <c r="M59">
        <f t="shared" si="0"/>
        <v>0.89224649568666592</v>
      </c>
      <c r="N59">
        <f t="shared" si="1"/>
        <v>71.468944304501932</v>
      </c>
    </row>
    <row r="60" spans="1:14" x14ac:dyDescent="0.25">
      <c r="A60" t="s">
        <v>70</v>
      </c>
      <c r="B60">
        <v>42.250484200000002</v>
      </c>
      <c r="C60">
        <v>3.0936347999999998</v>
      </c>
      <c r="D60">
        <v>3178.3910000000001</v>
      </c>
      <c r="E60">
        <v>48.49</v>
      </c>
      <c r="F60">
        <v>52.93</v>
      </c>
      <c r="G60">
        <v>80.349999999999994</v>
      </c>
      <c r="H60">
        <v>2.5550000000000002</v>
      </c>
      <c r="I60">
        <v>2.8159999999999998</v>
      </c>
      <c r="J60">
        <v>0.65</v>
      </c>
      <c r="K60">
        <v>3</v>
      </c>
      <c r="L60">
        <v>9</v>
      </c>
      <c r="M60">
        <f t="shared" si="0"/>
        <v>0.89338468074029742</v>
      </c>
      <c r="N60">
        <f t="shared" si="1"/>
        <v>71.78345909748289</v>
      </c>
    </row>
    <row r="61" spans="1:14" x14ac:dyDescent="0.25">
      <c r="A61" t="s">
        <v>71</v>
      </c>
      <c r="B61">
        <v>42.250572900000002</v>
      </c>
      <c r="C61">
        <v>3.0937621000000002</v>
      </c>
      <c r="D61">
        <v>3162.067</v>
      </c>
      <c r="E61">
        <v>49.12</v>
      </c>
      <c r="F61">
        <v>52.7</v>
      </c>
      <c r="G61">
        <v>80.56</v>
      </c>
      <c r="H61">
        <v>2.556</v>
      </c>
      <c r="I61">
        <v>2.82</v>
      </c>
      <c r="J61">
        <v>0.66</v>
      </c>
      <c r="K61">
        <v>3</v>
      </c>
      <c r="L61">
        <v>9</v>
      </c>
      <c r="M61">
        <f t="shared" si="0"/>
        <v>0.89426640491015985</v>
      </c>
      <c r="N61">
        <f t="shared" si="1"/>
        <v>72.042101579562484</v>
      </c>
    </row>
    <row r="62" spans="1:14" x14ac:dyDescent="0.25">
      <c r="A62" t="s">
        <v>72</v>
      </c>
      <c r="B62">
        <v>42.250662599999998</v>
      </c>
      <c r="C62">
        <v>3.0938886999999999</v>
      </c>
      <c r="D62">
        <v>3145.7089999999998</v>
      </c>
      <c r="E62">
        <v>49.8</v>
      </c>
      <c r="F62">
        <v>52.59</v>
      </c>
      <c r="G62">
        <v>80.650000000000006</v>
      </c>
      <c r="H62">
        <v>2.556</v>
      </c>
      <c r="I62">
        <v>2.823</v>
      </c>
      <c r="J62">
        <v>0.66</v>
      </c>
      <c r="K62">
        <v>3</v>
      </c>
      <c r="L62">
        <v>9</v>
      </c>
      <c r="M62">
        <f t="shared" ref="M62:M125" si="2">(SQRT((E62^2)+(F62^2)))/G62</f>
        <v>0.89804757458560713</v>
      </c>
      <c r="N62">
        <f t="shared" si="1"/>
        <v>72.427536890329222</v>
      </c>
    </row>
    <row r="63" spans="1:14" x14ac:dyDescent="0.25">
      <c r="A63" t="s">
        <v>73</v>
      </c>
      <c r="B63">
        <v>42.250753000000003</v>
      </c>
      <c r="C63">
        <v>3.0940150000000002</v>
      </c>
      <c r="D63">
        <v>3129.3110000000001</v>
      </c>
      <c r="E63">
        <v>50.25</v>
      </c>
      <c r="F63">
        <v>52.4</v>
      </c>
      <c r="G63">
        <v>80.78</v>
      </c>
      <c r="H63">
        <v>2.5550000000000002</v>
      </c>
      <c r="I63">
        <v>2.8260000000000001</v>
      </c>
      <c r="J63">
        <v>0.66</v>
      </c>
      <c r="K63">
        <v>3</v>
      </c>
      <c r="L63">
        <v>9</v>
      </c>
      <c r="M63">
        <f t="shared" si="2"/>
        <v>0.89874263975606994</v>
      </c>
      <c r="N63">
        <f t="shared" si="1"/>
        <v>72.600430439495327</v>
      </c>
    </row>
    <row r="64" spans="1:14" x14ac:dyDescent="0.25">
      <c r="A64" t="s">
        <v>74</v>
      </c>
      <c r="B64">
        <v>42.250845300000002</v>
      </c>
      <c r="C64">
        <v>3.0941410999999999</v>
      </c>
      <c r="D64">
        <v>3113.0430000000001</v>
      </c>
      <c r="E64">
        <v>51.04</v>
      </c>
      <c r="F64">
        <v>52.29</v>
      </c>
      <c r="G64">
        <v>80.78</v>
      </c>
      <c r="H64">
        <v>2.5529999999999999</v>
      </c>
      <c r="I64">
        <v>2.83</v>
      </c>
      <c r="J64">
        <v>0.66</v>
      </c>
      <c r="K64">
        <v>3</v>
      </c>
      <c r="L64">
        <v>9</v>
      </c>
      <c r="M64">
        <f t="shared" si="2"/>
        <v>0.90456412164273059</v>
      </c>
      <c r="N64">
        <f t="shared" si="1"/>
        <v>73.070689746299777</v>
      </c>
    </row>
    <row r="65" spans="1:14" x14ac:dyDescent="0.25">
      <c r="A65" t="s">
        <v>75</v>
      </c>
      <c r="B65">
        <v>42.250938699999999</v>
      </c>
      <c r="C65">
        <v>3.0942661999999999</v>
      </c>
      <c r="D65">
        <v>3096.674</v>
      </c>
      <c r="E65">
        <v>51.74</v>
      </c>
      <c r="F65">
        <v>51.94</v>
      </c>
      <c r="G65">
        <v>80.88</v>
      </c>
      <c r="H65">
        <v>2.552</v>
      </c>
      <c r="I65">
        <v>2.831</v>
      </c>
      <c r="J65">
        <v>0.65</v>
      </c>
      <c r="K65">
        <v>3</v>
      </c>
      <c r="L65">
        <v>9</v>
      </c>
      <c r="M65">
        <f t="shared" si="2"/>
        <v>0.90644123980051217</v>
      </c>
      <c r="N65">
        <f t="shared" si="1"/>
        <v>73.31296747506542</v>
      </c>
    </row>
    <row r="66" spans="1:14" x14ac:dyDescent="0.25">
      <c r="A66" t="s">
        <v>76</v>
      </c>
      <c r="B66">
        <v>42.251033200000002</v>
      </c>
      <c r="C66">
        <v>3.0943917000000001</v>
      </c>
      <c r="D66">
        <v>3080.335</v>
      </c>
      <c r="E66">
        <v>52.35</v>
      </c>
      <c r="F66">
        <v>52</v>
      </c>
      <c r="G66">
        <v>80.97</v>
      </c>
      <c r="H66">
        <v>2.5569999999999999</v>
      </c>
      <c r="I66">
        <v>2.8319999999999999</v>
      </c>
      <c r="J66">
        <v>0.65</v>
      </c>
      <c r="K66">
        <v>3</v>
      </c>
      <c r="L66">
        <v>9</v>
      </c>
      <c r="M66">
        <f t="shared" si="2"/>
        <v>0.91128822605843207</v>
      </c>
      <c r="N66">
        <f t="shared" si="1"/>
        <v>73.787007663951243</v>
      </c>
    </row>
    <row r="67" spans="1:14" x14ac:dyDescent="0.25">
      <c r="A67" t="s">
        <v>77</v>
      </c>
      <c r="B67">
        <v>42.251128399999999</v>
      </c>
      <c r="C67">
        <v>3.0945171999999999</v>
      </c>
      <c r="D67">
        <v>3063.9349999999999</v>
      </c>
      <c r="E67">
        <v>52.89</v>
      </c>
      <c r="F67">
        <v>52.13</v>
      </c>
      <c r="G67">
        <v>81.010000000000005</v>
      </c>
      <c r="H67">
        <v>2.5590000000000002</v>
      </c>
      <c r="I67">
        <v>2.8319999999999999</v>
      </c>
      <c r="J67">
        <v>0.65</v>
      </c>
      <c r="K67">
        <v>3</v>
      </c>
      <c r="L67">
        <v>9</v>
      </c>
      <c r="M67">
        <f t="shared" si="2"/>
        <v>0.91670532828954787</v>
      </c>
      <c r="N67">
        <f t="shared" ref="N67:N130" si="3">(SQRT((E67^2)+(F67^2)))</f>
        <v>74.262298644736276</v>
      </c>
    </row>
    <row r="68" spans="1:14" x14ac:dyDescent="0.25">
      <c r="A68" t="s">
        <v>78</v>
      </c>
      <c r="B68">
        <v>42.2512246</v>
      </c>
      <c r="C68">
        <v>3.0946425</v>
      </c>
      <c r="D68">
        <v>3047.5659999999998</v>
      </c>
      <c r="E68">
        <v>53.42</v>
      </c>
      <c r="F68">
        <v>51.95</v>
      </c>
      <c r="G68">
        <v>81.069999999999993</v>
      </c>
      <c r="H68">
        <v>2.5579999999999998</v>
      </c>
      <c r="I68">
        <v>2.8330000000000002</v>
      </c>
      <c r="J68">
        <v>0.64</v>
      </c>
      <c r="K68">
        <v>3</v>
      </c>
      <c r="L68">
        <v>9</v>
      </c>
      <c r="M68">
        <f t="shared" si="2"/>
        <v>0.91914508153437557</v>
      </c>
      <c r="N68">
        <f t="shared" si="3"/>
        <v>74.515091759991819</v>
      </c>
    </row>
    <row r="69" spans="1:14" x14ac:dyDescent="0.25">
      <c r="A69" t="s">
        <v>79</v>
      </c>
      <c r="B69">
        <v>42.251322100000003</v>
      </c>
      <c r="C69">
        <v>3.0947676</v>
      </c>
      <c r="D69">
        <v>3031.2719999999999</v>
      </c>
      <c r="E69">
        <v>54.08</v>
      </c>
      <c r="F69">
        <v>52.06</v>
      </c>
      <c r="G69">
        <v>80.959999999999994</v>
      </c>
      <c r="H69">
        <v>2.5550000000000002</v>
      </c>
      <c r="I69">
        <v>2.8279999999999998</v>
      </c>
      <c r="J69">
        <v>0.63</v>
      </c>
      <c r="K69">
        <v>3</v>
      </c>
      <c r="L69">
        <v>9</v>
      </c>
      <c r="M69">
        <f t="shared" si="2"/>
        <v>0.92719743549185085</v>
      </c>
      <c r="N69">
        <f t="shared" si="3"/>
        <v>75.065904377420239</v>
      </c>
    </row>
    <row r="70" spans="1:14" x14ac:dyDescent="0.25">
      <c r="A70" t="s">
        <v>80</v>
      </c>
      <c r="B70">
        <v>42.251420400000001</v>
      </c>
      <c r="C70">
        <v>3.0948924999999998</v>
      </c>
      <c r="D70">
        <v>3014.9569999999999</v>
      </c>
      <c r="E70">
        <v>54.58</v>
      </c>
      <c r="F70">
        <v>51.93</v>
      </c>
      <c r="G70">
        <v>80.94</v>
      </c>
      <c r="H70">
        <v>2.5419999999999998</v>
      </c>
      <c r="I70">
        <v>2.8210000000000002</v>
      </c>
      <c r="J70">
        <v>0.61</v>
      </c>
      <c r="K70">
        <v>3</v>
      </c>
      <c r="L70">
        <v>9</v>
      </c>
      <c r="M70">
        <f t="shared" si="2"/>
        <v>0.93077897719775937</v>
      </c>
      <c r="N70">
        <f t="shared" si="3"/>
        <v>75.337250414386645</v>
      </c>
    </row>
    <row r="71" spans="1:14" x14ac:dyDescent="0.25">
      <c r="A71" t="s">
        <v>81</v>
      </c>
      <c r="B71">
        <v>42.251519700000003</v>
      </c>
      <c r="C71">
        <v>3.0950171000000002</v>
      </c>
      <c r="D71">
        <v>2998.7170000000001</v>
      </c>
      <c r="E71">
        <v>55.01</v>
      </c>
      <c r="F71">
        <v>51.74</v>
      </c>
      <c r="G71">
        <v>80.87</v>
      </c>
      <c r="H71">
        <v>2.5289999999999999</v>
      </c>
      <c r="I71">
        <v>2.8140000000000001</v>
      </c>
      <c r="J71">
        <v>0.61</v>
      </c>
      <c r="K71">
        <v>3</v>
      </c>
      <c r="L71">
        <v>9</v>
      </c>
      <c r="M71">
        <f t="shared" si="2"/>
        <v>0.93383275888773531</v>
      </c>
      <c r="N71">
        <f t="shared" si="3"/>
        <v>75.519055211251157</v>
      </c>
    </row>
    <row r="72" spans="1:14" x14ac:dyDescent="0.25">
      <c r="A72" t="s">
        <v>82</v>
      </c>
      <c r="B72">
        <v>42.2516198</v>
      </c>
      <c r="C72">
        <v>3.0951422000000002</v>
      </c>
      <c r="D72">
        <v>2982.56</v>
      </c>
      <c r="E72">
        <v>55.52</v>
      </c>
      <c r="F72">
        <v>52.03</v>
      </c>
      <c r="G72">
        <v>80.680000000000007</v>
      </c>
      <c r="H72">
        <v>2.5169999999999999</v>
      </c>
      <c r="I72">
        <v>2.8079999999999998</v>
      </c>
      <c r="J72">
        <v>0.61</v>
      </c>
      <c r="K72">
        <v>3</v>
      </c>
      <c r="L72">
        <v>9</v>
      </c>
      <c r="M72">
        <f t="shared" si="2"/>
        <v>0.94310069296602705</v>
      </c>
      <c r="N72">
        <f t="shared" si="3"/>
        <v>76.089363908499067</v>
      </c>
    </row>
    <row r="73" spans="1:14" x14ac:dyDescent="0.25">
      <c r="A73" t="s">
        <v>83</v>
      </c>
      <c r="B73">
        <v>42.251721199999999</v>
      </c>
      <c r="C73">
        <v>3.0952668999999999</v>
      </c>
      <c r="D73">
        <v>2966.4430000000002</v>
      </c>
      <c r="E73">
        <v>56.04</v>
      </c>
      <c r="F73">
        <v>51.78</v>
      </c>
      <c r="G73">
        <v>80.56</v>
      </c>
      <c r="H73">
        <v>2.5049999999999999</v>
      </c>
      <c r="I73">
        <v>2.802</v>
      </c>
      <c r="J73">
        <v>0.61</v>
      </c>
      <c r="K73">
        <v>3</v>
      </c>
      <c r="L73">
        <v>9</v>
      </c>
      <c r="M73">
        <f t="shared" si="2"/>
        <v>0.94711690511856805</v>
      </c>
      <c r="N73">
        <f t="shared" si="3"/>
        <v>76.299737876351841</v>
      </c>
    </row>
    <row r="74" spans="1:14" x14ac:dyDescent="0.25">
      <c r="A74" t="s">
        <v>84</v>
      </c>
      <c r="B74">
        <v>42.251823399999999</v>
      </c>
      <c r="C74">
        <v>3.0953914</v>
      </c>
      <c r="D74">
        <v>2950.37</v>
      </c>
      <c r="E74">
        <v>56.51</v>
      </c>
      <c r="F74">
        <v>51.59</v>
      </c>
      <c r="G74">
        <v>80.48</v>
      </c>
      <c r="H74">
        <v>2.4940000000000002</v>
      </c>
      <c r="I74">
        <v>2.7970000000000002</v>
      </c>
      <c r="J74">
        <v>0.6</v>
      </c>
      <c r="K74">
        <v>3</v>
      </c>
      <c r="L74">
        <v>9</v>
      </c>
      <c r="M74">
        <f t="shared" si="2"/>
        <v>0.95076257310854262</v>
      </c>
      <c r="N74">
        <f t="shared" si="3"/>
        <v>76.51737188377551</v>
      </c>
    </row>
    <row r="75" spans="1:14" x14ac:dyDescent="0.25">
      <c r="A75" t="s">
        <v>85</v>
      </c>
      <c r="B75">
        <v>42.2519262</v>
      </c>
      <c r="C75">
        <v>3.0955161000000002</v>
      </c>
      <c r="D75">
        <v>2934.404</v>
      </c>
      <c r="E75">
        <v>56.93</v>
      </c>
      <c r="F75">
        <v>51.86</v>
      </c>
      <c r="G75">
        <v>80.22</v>
      </c>
      <c r="H75">
        <v>2.4830000000000001</v>
      </c>
      <c r="I75">
        <v>2.7890000000000001</v>
      </c>
      <c r="J75">
        <v>0.59</v>
      </c>
      <c r="K75">
        <v>3</v>
      </c>
      <c r="L75">
        <v>9</v>
      </c>
      <c r="M75">
        <f t="shared" si="2"/>
        <v>0.95998054110041076</v>
      </c>
      <c r="N75">
        <f t="shared" si="3"/>
        <v>77.009639007074952</v>
      </c>
    </row>
    <row r="76" spans="1:14" x14ac:dyDescent="0.25">
      <c r="A76" t="s">
        <v>86</v>
      </c>
      <c r="B76">
        <v>42.252030099999999</v>
      </c>
      <c r="C76">
        <v>3.0956413</v>
      </c>
      <c r="D76">
        <v>2918.576</v>
      </c>
      <c r="E76">
        <v>57.43</v>
      </c>
      <c r="F76">
        <v>52.06</v>
      </c>
      <c r="G76">
        <v>79.86</v>
      </c>
      <c r="H76">
        <v>2.4729999999999999</v>
      </c>
      <c r="I76">
        <v>2.7810000000000001</v>
      </c>
      <c r="J76">
        <v>0.57999999999999996</v>
      </c>
      <c r="K76">
        <v>3</v>
      </c>
      <c r="L76">
        <v>9</v>
      </c>
      <c r="M76">
        <f t="shared" si="2"/>
        <v>0.97062587745123463</v>
      </c>
      <c r="N76">
        <f t="shared" si="3"/>
        <v>77.514182573255596</v>
      </c>
    </row>
    <row r="77" spans="1:14" x14ac:dyDescent="0.25">
      <c r="A77" t="s">
        <v>87</v>
      </c>
      <c r="B77">
        <v>42.252135099999997</v>
      </c>
      <c r="C77">
        <v>3.0957667</v>
      </c>
      <c r="D77">
        <v>2902.8339999999998</v>
      </c>
      <c r="E77">
        <v>57.96</v>
      </c>
      <c r="F77">
        <v>52.07</v>
      </c>
      <c r="G77">
        <v>79.55</v>
      </c>
      <c r="H77">
        <v>2.4569999999999999</v>
      </c>
      <c r="I77">
        <v>2.77</v>
      </c>
      <c r="J77">
        <v>0.57999999999999996</v>
      </c>
      <c r="K77">
        <v>3</v>
      </c>
      <c r="L77">
        <v>9</v>
      </c>
      <c r="M77">
        <f t="shared" si="2"/>
        <v>0.97943876329171864</v>
      </c>
      <c r="N77">
        <f t="shared" si="3"/>
        <v>77.914353619856215</v>
      </c>
    </row>
    <row r="78" spans="1:14" x14ac:dyDescent="0.25">
      <c r="A78" t="s">
        <v>88</v>
      </c>
      <c r="B78">
        <v>42.252239799999998</v>
      </c>
      <c r="C78">
        <v>3.0958926</v>
      </c>
      <c r="D78">
        <v>2887.03</v>
      </c>
      <c r="E78">
        <v>58.09</v>
      </c>
      <c r="F78">
        <v>52.14</v>
      </c>
      <c r="G78">
        <v>79.39</v>
      </c>
      <c r="H78">
        <v>2.4390000000000001</v>
      </c>
      <c r="I78">
        <v>2.7589999999999999</v>
      </c>
      <c r="J78">
        <v>0.57999999999999996</v>
      </c>
      <c r="K78">
        <v>3</v>
      </c>
      <c r="L78">
        <v>9</v>
      </c>
      <c r="M78">
        <f t="shared" si="2"/>
        <v>0.98322015896533776</v>
      </c>
      <c r="N78">
        <f t="shared" si="3"/>
        <v>78.057848420258168</v>
      </c>
    </row>
    <row r="79" spans="1:14" x14ac:dyDescent="0.25">
      <c r="A79" t="s">
        <v>89</v>
      </c>
      <c r="B79">
        <v>42.252344899999997</v>
      </c>
      <c r="C79">
        <v>3.0960185999999998</v>
      </c>
      <c r="D79">
        <v>2871.2739999999999</v>
      </c>
      <c r="E79">
        <v>58.24</v>
      </c>
      <c r="F79">
        <v>52.15</v>
      </c>
      <c r="G79">
        <v>79.23</v>
      </c>
      <c r="H79">
        <v>2.42</v>
      </c>
      <c r="I79">
        <v>2.7480000000000002</v>
      </c>
      <c r="J79">
        <v>0.57999999999999996</v>
      </c>
      <c r="K79">
        <v>3</v>
      </c>
      <c r="L79">
        <v>9</v>
      </c>
      <c r="M79">
        <f t="shared" si="2"/>
        <v>0.986699632147088</v>
      </c>
      <c r="N79">
        <f t="shared" si="3"/>
        <v>78.17621185501379</v>
      </c>
    </row>
    <row r="80" spans="1:14" x14ac:dyDescent="0.25">
      <c r="A80" t="s">
        <v>90</v>
      </c>
      <c r="B80">
        <v>42.252450199999998</v>
      </c>
      <c r="C80">
        <v>3.0961452999999999</v>
      </c>
      <c r="D80">
        <v>2855.6320000000001</v>
      </c>
      <c r="E80">
        <v>58.4</v>
      </c>
      <c r="F80">
        <v>52.42</v>
      </c>
      <c r="G80">
        <v>78.95</v>
      </c>
      <c r="H80">
        <v>2.4020000000000001</v>
      </c>
      <c r="I80">
        <v>2.7360000000000002</v>
      </c>
      <c r="J80">
        <v>0.57999999999999996</v>
      </c>
      <c r="K80">
        <v>3</v>
      </c>
      <c r="L80">
        <v>9</v>
      </c>
      <c r="M80">
        <f t="shared" si="2"/>
        <v>0.99399085961717526</v>
      </c>
      <c r="N80">
        <f t="shared" si="3"/>
        <v>78.475578366775991</v>
      </c>
    </row>
    <row r="81" spans="1:14" x14ac:dyDescent="0.25">
      <c r="A81" t="s">
        <v>91</v>
      </c>
      <c r="B81">
        <v>42.252555600000001</v>
      </c>
      <c r="C81">
        <v>3.0962725</v>
      </c>
      <c r="D81">
        <v>2839.998</v>
      </c>
      <c r="E81">
        <v>58.57</v>
      </c>
      <c r="F81">
        <v>52.61</v>
      </c>
      <c r="G81">
        <v>78.72</v>
      </c>
      <c r="H81">
        <v>2.3839999999999999</v>
      </c>
      <c r="I81">
        <v>2.7250000000000001</v>
      </c>
      <c r="J81">
        <v>0.57999999999999996</v>
      </c>
      <c r="K81">
        <v>3</v>
      </c>
      <c r="L81">
        <v>9</v>
      </c>
      <c r="M81">
        <f t="shared" si="2"/>
        <v>1.0001144550438561</v>
      </c>
      <c r="N81">
        <f t="shared" si="3"/>
        <v>78.729009901052351</v>
      </c>
    </row>
    <row r="82" spans="1:14" x14ac:dyDescent="0.25">
      <c r="A82" t="s">
        <v>92</v>
      </c>
      <c r="B82">
        <v>42.252661500000002</v>
      </c>
      <c r="C82">
        <v>3.0963997999999999</v>
      </c>
      <c r="D82">
        <v>2824.3919999999998</v>
      </c>
      <c r="E82">
        <v>58.74</v>
      </c>
      <c r="F82">
        <v>52.68</v>
      </c>
      <c r="G82">
        <v>78.52</v>
      </c>
      <c r="H82">
        <v>2.3650000000000002</v>
      </c>
      <c r="I82">
        <v>2.7109999999999999</v>
      </c>
      <c r="J82">
        <v>0.57999999999999996</v>
      </c>
      <c r="K82">
        <v>3</v>
      </c>
      <c r="L82">
        <v>9</v>
      </c>
      <c r="M82">
        <f t="shared" si="2"/>
        <v>1.0048685855303072</v>
      </c>
      <c r="N82">
        <f t="shared" si="3"/>
        <v>78.902281335839717</v>
      </c>
    </row>
    <row r="83" spans="1:14" x14ac:dyDescent="0.25">
      <c r="A83" t="s">
        <v>93</v>
      </c>
      <c r="B83">
        <v>42.252767300000002</v>
      </c>
      <c r="C83">
        <v>3.0965283000000001</v>
      </c>
      <c r="D83">
        <v>2808.8919999999998</v>
      </c>
      <c r="E83">
        <v>58.84</v>
      </c>
      <c r="F83">
        <v>53.13</v>
      </c>
      <c r="G83">
        <v>78.239999999999995</v>
      </c>
      <c r="H83">
        <v>2.3490000000000002</v>
      </c>
      <c r="I83">
        <v>2.698</v>
      </c>
      <c r="J83">
        <v>0.57999999999999996</v>
      </c>
      <c r="K83">
        <v>3</v>
      </c>
      <c r="L83">
        <v>9</v>
      </c>
      <c r="M83">
        <f t="shared" si="2"/>
        <v>1.0132621325811684</v>
      </c>
      <c r="N83">
        <f t="shared" si="3"/>
        <v>79.277629253150607</v>
      </c>
    </row>
    <row r="84" spans="1:14" x14ac:dyDescent="0.25">
      <c r="A84" t="s">
        <v>94</v>
      </c>
      <c r="B84">
        <v>42.252873800000003</v>
      </c>
      <c r="C84">
        <v>3.0966573999999998</v>
      </c>
      <c r="D84">
        <v>2793.5059999999999</v>
      </c>
      <c r="E84">
        <v>59.07</v>
      </c>
      <c r="F84">
        <v>53.38</v>
      </c>
      <c r="G84">
        <v>77.91</v>
      </c>
      <c r="H84">
        <v>2.3319999999999999</v>
      </c>
      <c r="I84">
        <v>2.6829999999999998</v>
      </c>
      <c r="J84">
        <v>0.56999999999999995</v>
      </c>
      <c r="K84">
        <v>3</v>
      </c>
      <c r="L84">
        <v>9</v>
      </c>
      <c r="M84">
        <f t="shared" si="2"/>
        <v>1.0218955971969101</v>
      </c>
      <c r="N84">
        <f t="shared" si="3"/>
        <v>79.615885977611271</v>
      </c>
    </row>
    <row r="85" spans="1:14" x14ac:dyDescent="0.25">
      <c r="A85" t="s">
        <v>95</v>
      </c>
      <c r="B85">
        <v>42.252980600000001</v>
      </c>
      <c r="C85">
        <v>3.0967864000000001</v>
      </c>
      <c r="D85">
        <v>2778.1570000000002</v>
      </c>
      <c r="E85">
        <v>59.2</v>
      </c>
      <c r="F85">
        <v>53.4</v>
      </c>
      <c r="G85">
        <v>77.61</v>
      </c>
      <c r="H85">
        <v>2.3180000000000001</v>
      </c>
      <c r="I85">
        <v>2.6680000000000001</v>
      </c>
      <c r="J85">
        <v>0.56999999999999995</v>
      </c>
      <c r="K85">
        <v>3</v>
      </c>
      <c r="L85">
        <v>9</v>
      </c>
      <c r="M85">
        <f t="shared" si="2"/>
        <v>1.0272616933548564</v>
      </c>
      <c r="N85">
        <f t="shared" si="3"/>
        <v>79.72578002127041</v>
      </c>
    </row>
    <row r="86" spans="1:14" x14ac:dyDescent="0.25">
      <c r="A86" t="s">
        <v>96</v>
      </c>
      <c r="B86">
        <v>42.253087499999999</v>
      </c>
      <c r="C86">
        <v>3.0969153999999999</v>
      </c>
      <c r="D86">
        <v>2762.8220000000001</v>
      </c>
      <c r="E86">
        <v>59.27</v>
      </c>
      <c r="F86">
        <v>53.34</v>
      </c>
      <c r="G86">
        <v>77.38</v>
      </c>
      <c r="H86">
        <v>2.31</v>
      </c>
      <c r="I86">
        <v>2.6539999999999999</v>
      </c>
      <c r="J86">
        <v>0.55000000000000004</v>
      </c>
      <c r="K86">
        <v>3</v>
      </c>
      <c r="L86">
        <v>9</v>
      </c>
      <c r="M86">
        <f t="shared" si="2"/>
        <v>1.0304681166191603</v>
      </c>
      <c r="N86">
        <f t="shared" si="3"/>
        <v>79.737622863990623</v>
      </c>
    </row>
    <row r="87" spans="1:14" x14ac:dyDescent="0.25">
      <c r="A87" t="s">
        <v>97</v>
      </c>
      <c r="B87">
        <v>42.253195099999999</v>
      </c>
      <c r="C87">
        <v>3.0970442</v>
      </c>
      <c r="D87">
        <v>2747.5140000000001</v>
      </c>
      <c r="E87">
        <v>59.61</v>
      </c>
      <c r="F87">
        <v>53.4</v>
      </c>
      <c r="G87">
        <v>77.16</v>
      </c>
      <c r="H87">
        <v>2.302</v>
      </c>
      <c r="I87">
        <v>2.6560000000000001</v>
      </c>
      <c r="J87">
        <v>0.59</v>
      </c>
      <c r="K87">
        <v>3</v>
      </c>
      <c r="L87">
        <v>9</v>
      </c>
      <c r="M87">
        <f t="shared" si="2"/>
        <v>1.0372044418929136</v>
      </c>
      <c r="N87">
        <f t="shared" si="3"/>
        <v>80.030694736457207</v>
      </c>
    </row>
    <row r="88" spans="1:14" x14ac:dyDescent="0.25">
      <c r="A88" t="s">
        <v>98</v>
      </c>
      <c r="B88">
        <v>42.253304499999999</v>
      </c>
      <c r="C88">
        <v>3.0971725000000001</v>
      </c>
      <c r="D88">
        <v>2732.3649999999998</v>
      </c>
      <c r="E88">
        <v>60.39</v>
      </c>
      <c r="F88">
        <v>53.35</v>
      </c>
      <c r="G88">
        <v>76.760000000000005</v>
      </c>
      <c r="H88">
        <v>2.2869999999999999</v>
      </c>
      <c r="I88">
        <v>2.6589999999999998</v>
      </c>
      <c r="J88">
        <v>0.63</v>
      </c>
      <c r="K88">
        <v>3</v>
      </c>
      <c r="L88">
        <v>9</v>
      </c>
      <c r="M88">
        <f t="shared" si="2"/>
        <v>1.0497685908177807</v>
      </c>
      <c r="N88">
        <f t="shared" si="3"/>
        <v>80.580237031172857</v>
      </c>
    </row>
    <row r="89" spans="1:14" x14ac:dyDescent="0.25">
      <c r="A89" t="s">
        <v>99</v>
      </c>
      <c r="B89">
        <v>42.253413999999999</v>
      </c>
      <c r="C89">
        <v>3.0973011000000001</v>
      </c>
      <c r="D89">
        <v>2717.2379999999998</v>
      </c>
      <c r="E89">
        <v>60.61</v>
      </c>
      <c r="F89">
        <v>53.36</v>
      </c>
      <c r="G89">
        <v>76.39</v>
      </c>
      <c r="H89">
        <v>2.2799999999999998</v>
      </c>
      <c r="I89">
        <v>2.6640000000000001</v>
      </c>
      <c r="J89">
        <v>0.64</v>
      </c>
      <c r="K89">
        <v>3</v>
      </c>
      <c r="L89">
        <v>9</v>
      </c>
      <c r="M89">
        <f t="shared" si="2"/>
        <v>1.0570997854474034</v>
      </c>
      <c r="N89">
        <f t="shared" si="3"/>
        <v>80.751852610327148</v>
      </c>
    </row>
    <row r="90" spans="1:14" x14ac:dyDescent="0.25">
      <c r="A90" t="s">
        <v>100</v>
      </c>
      <c r="B90">
        <v>42.253523600000001</v>
      </c>
      <c r="C90">
        <v>3.0974301</v>
      </c>
      <c r="D90">
        <v>2702.1680000000001</v>
      </c>
      <c r="E90">
        <v>60.75</v>
      </c>
      <c r="F90">
        <v>53.48</v>
      </c>
      <c r="G90">
        <v>76.06</v>
      </c>
      <c r="H90">
        <v>2.2759999999999998</v>
      </c>
      <c r="I90">
        <v>2.6709999999999998</v>
      </c>
      <c r="J90">
        <v>0.68</v>
      </c>
      <c r="K90">
        <v>3</v>
      </c>
      <c r="L90">
        <v>9</v>
      </c>
      <c r="M90">
        <f t="shared" si="2"/>
        <v>1.0641102730017371</v>
      </c>
      <c r="N90">
        <f t="shared" si="3"/>
        <v>80.936227364512121</v>
      </c>
    </row>
    <row r="91" spans="1:14" x14ac:dyDescent="0.25">
      <c r="A91" t="s">
        <v>101</v>
      </c>
      <c r="B91">
        <v>42.253633700000002</v>
      </c>
      <c r="C91">
        <v>3.0975595999999999</v>
      </c>
      <c r="D91">
        <v>2687.0749999999998</v>
      </c>
      <c r="E91">
        <v>61.02</v>
      </c>
      <c r="F91">
        <v>53.61</v>
      </c>
      <c r="G91">
        <v>75.89</v>
      </c>
      <c r="H91">
        <v>2.2749999999999999</v>
      </c>
      <c r="I91">
        <v>2.6880000000000002</v>
      </c>
      <c r="J91">
        <v>0.68</v>
      </c>
      <c r="K91">
        <v>3</v>
      </c>
      <c r="L91">
        <v>9</v>
      </c>
      <c r="M91">
        <f t="shared" si="2"/>
        <v>1.0702968358100089</v>
      </c>
      <c r="N91">
        <f t="shared" si="3"/>
        <v>81.22482686962158</v>
      </c>
    </row>
    <row r="92" spans="1:14" x14ac:dyDescent="0.25">
      <c r="A92" t="s">
        <v>102</v>
      </c>
      <c r="B92">
        <v>42.253743800000002</v>
      </c>
      <c r="C92">
        <v>3.0976887</v>
      </c>
      <c r="D92">
        <v>2671.9839999999999</v>
      </c>
      <c r="E92">
        <v>61.12</v>
      </c>
      <c r="F92">
        <v>53.49</v>
      </c>
      <c r="G92">
        <v>75.739999999999995</v>
      </c>
      <c r="H92">
        <v>2.274</v>
      </c>
      <c r="I92">
        <v>2.706</v>
      </c>
      <c r="J92">
        <v>0.69</v>
      </c>
      <c r="K92">
        <v>3</v>
      </c>
      <c r="L92">
        <v>9</v>
      </c>
      <c r="M92">
        <f t="shared" si="2"/>
        <v>1.0723646607345223</v>
      </c>
      <c r="N92">
        <f t="shared" si="3"/>
        <v>81.220899404032707</v>
      </c>
    </row>
    <row r="93" spans="1:14" x14ac:dyDescent="0.25">
      <c r="A93" t="s">
        <v>103</v>
      </c>
      <c r="B93">
        <v>42.253854099999998</v>
      </c>
      <c r="C93">
        <v>3.0978180000000002</v>
      </c>
      <c r="D93">
        <v>2656.924</v>
      </c>
      <c r="E93">
        <v>61.29</v>
      </c>
      <c r="F93">
        <v>53.49</v>
      </c>
      <c r="G93">
        <v>75.62</v>
      </c>
      <c r="H93">
        <v>2.2789999999999999</v>
      </c>
      <c r="I93">
        <v>2.726</v>
      </c>
      <c r="J93">
        <v>0.72</v>
      </c>
      <c r="K93">
        <v>3</v>
      </c>
      <c r="L93">
        <v>9</v>
      </c>
      <c r="M93">
        <f t="shared" si="2"/>
        <v>1.0757591128091386</v>
      </c>
      <c r="N93">
        <f t="shared" si="3"/>
        <v>81.348904110627075</v>
      </c>
    </row>
    <row r="94" spans="1:14" x14ac:dyDescent="0.25">
      <c r="A94" t="s">
        <v>104</v>
      </c>
      <c r="B94">
        <v>42.253965100000002</v>
      </c>
      <c r="C94">
        <v>3.0979469000000002</v>
      </c>
      <c r="D94">
        <v>2641.924</v>
      </c>
      <c r="E94">
        <v>61.53</v>
      </c>
      <c r="F94">
        <v>53.37</v>
      </c>
      <c r="G94">
        <v>75.48</v>
      </c>
      <c r="H94">
        <v>2.2850000000000001</v>
      </c>
      <c r="I94">
        <v>2.7530000000000001</v>
      </c>
      <c r="J94">
        <v>0.73</v>
      </c>
      <c r="K94">
        <v>3</v>
      </c>
      <c r="L94">
        <v>9</v>
      </c>
      <c r="M94">
        <f t="shared" si="2"/>
        <v>1.0791096831770568</v>
      </c>
      <c r="N94">
        <f t="shared" si="3"/>
        <v>81.451198886204253</v>
      </c>
    </row>
    <row r="95" spans="1:14" x14ac:dyDescent="0.25">
      <c r="A95" t="s">
        <v>105</v>
      </c>
      <c r="B95">
        <v>42.254076599999998</v>
      </c>
      <c r="C95">
        <v>3.0980756</v>
      </c>
      <c r="D95">
        <v>2626.913</v>
      </c>
      <c r="E95">
        <v>61.89</v>
      </c>
      <c r="F95">
        <v>53.22</v>
      </c>
      <c r="G95">
        <v>75.430000000000007</v>
      </c>
      <c r="H95">
        <v>2.294</v>
      </c>
      <c r="I95">
        <v>2.778</v>
      </c>
      <c r="J95">
        <v>0.75</v>
      </c>
      <c r="K95">
        <v>3</v>
      </c>
      <c r="L95">
        <v>9</v>
      </c>
      <c r="M95">
        <f t="shared" si="2"/>
        <v>1.0821372370335112</v>
      </c>
      <c r="N95">
        <f t="shared" si="3"/>
        <v>81.625611789437755</v>
      </c>
    </row>
    <row r="96" spans="1:14" x14ac:dyDescent="0.25">
      <c r="A96" t="s">
        <v>106</v>
      </c>
      <c r="B96">
        <v>42.254188300000003</v>
      </c>
      <c r="C96">
        <v>3.0982045999999999</v>
      </c>
      <c r="D96">
        <v>2612.0540000000001</v>
      </c>
      <c r="E96">
        <v>61.92</v>
      </c>
      <c r="F96">
        <v>53.32</v>
      </c>
      <c r="G96">
        <v>75.11</v>
      </c>
      <c r="H96">
        <v>2.3109999999999999</v>
      </c>
      <c r="I96">
        <v>2.8039999999999998</v>
      </c>
      <c r="J96">
        <v>0.75</v>
      </c>
      <c r="K96">
        <v>3</v>
      </c>
      <c r="L96">
        <v>9</v>
      </c>
      <c r="M96">
        <f t="shared" si="2"/>
        <v>1.087918756744928</v>
      </c>
      <c r="N96">
        <f t="shared" si="3"/>
        <v>81.713577819111549</v>
      </c>
    </row>
    <row r="97" spans="1:14" x14ac:dyDescent="0.25">
      <c r="A97" t="s">
        <v>107</v>
      </c>
      <c r="B97">
        <v>42.254300299999997</v>
      </c>
      <c r="C97">
        <v>3.0983328999999999</v>
      </c>
      <c r="D97">
        <v>2597.2379999999998</v>
      </c>
      <c r="E97">
        <v>61.97</v>
      </c>
      <c r="F97">
        <v>53.19</v>
      </c>
      <c r="G97">
        <v>74.760000000000005</v>
      </c>
      <c r="H97">
        <v>2.335</v>
      </c>
      <c r="I97">
        <v>2.827</v>
      </c>
      <c r="J97">
        <v>0.76</v>
      </c>
      <c r="K97">
        <v>3</v>
      </c>
      <c r="L97">
        <v>9</v>
      </c>
      <c r="M97">
        <f t="shared" si="2"/>
        <v>1.0923855475839856</v>
      </c>
      <c r="N97">
        <f t="shared" si="3"/>
        <v>81.666743537378778</v>
      </c>
    </row>
    <row r="98" spans="1:14" x14ac:dyDescent="0.25">
      <c r="A98" t="s">
        <v>108</v>
      </c>
      <c r="B98">
        <v>42.254412500000001</v>
      </c>
      <c r="C98">
        <v>3.0984631999999999</v>
      </c>
      <c r="D98">
        <v>2582.6550000000002</v>
      </c>
      <c r="E98">
        <v>61.98</v>
      </c>
      <c r="F98">
        <v>53.79</v>
      </c>
      <c r="G98">
        <v>74.22</v>
      </c>
      <c r="H98">
        <v>2.367</v>
      </c>
      <c r="I98">
        <v>2.8519999999999999</v>
      </c>
      <c r="J98">
        <v>0.79</v>
      </c>
      <c r="K98">
        <v>3</v>
      </c>
      <c r="L98">
        <v>9</v>
      </c>
      <c r="M98">
        <f t="shared" si="2"/>
        <v>1.1057173546945431</v>
      </c>
      <c r="N98">
        <f t="shared" si="3"/>
        <v>82.066342065428984</v>
      </c>
    </row>
    <row r="99" spans="1:14" x14ac:dyDescent="0.25">
      <c r="A99" t="s">
        <v>109</v>
      </c>
      <c r="B99">
        <v>42.2545255</v>
      </c>
      <c r="C99">
        <v>3.0985925999999999</v>
      </c>
      <c r="D99">
        <v>2568.1320000000001</v>
      </c>
      <c r="E99">
        <v>62.34</v>
      </c>
      <c r="F99">
        <v>53.76</v>
      </c>
      <c r="G99">
        <v>73.760000000000005</v>
      </c>
      <c r="H99">
        <v>2.395</v>
      </c>
      <c r="I99">
        <v>2.8759999999999999</v>
      </c>
      <c r="J99">
        <v>0.78</v>
      </c>
      <c r="K99">
        <v>3</v>
      </c>
      <c r="L99">
        <v>9</v>
      </c>
      <c r="M99">
        <f t="shared" si="2"/>
        <v>1.1160381276680034</v>
      </c>
      <c r="N99">
        <f t="shared" si="3"/>
        <v>82.318972296791941</v>
      </c>
    </row>
    <row r="100" spans="1:14" x14ac:dyDescent="0.25">
      <c r="A100" t="s">
        <v>110</v>
      </c>
      <c r="B100">
        <v>42.254638800000002</v>
      </c>
      <c r="C100">
        <v>3.0987217999999999</v>
      </c>
      <c r="D100">
        <v>2553.6790000000001</v>
      </c>
      <c r="E100">
        <v>62.59</v>
      </c>
      <c r="F100">
        <v>53.69</v>
      </c>
      <c r="G100">
        <v>73.39</v>
      </c>
      <c r="H100">
        <v>2.4220000000000002</v>
      </c>
      <c r="I100">
        <v>2.899</v>
      </c>
      <c r="J100">
        <v>0.77</v>
      </c>
      <c r="K100">
        <v>3</v>
      </c>
      <c r="L100">
        <v>9</v>
      </c>
      <c r="M100">
        <f t="shared" si="2"/>
        <v>1.1236253656088067</v>
      </c>
      <c r="N100">
        <f t="shared" si="3"/>
        <v>82.462865582030318</v>
      </c>
    </row>
    <row r="101" spans="1:14" x14ac:dyDescent="0.25">
      <c r="A101" t="s">
        <v>111</v>
      </c>
      <c r="B101">
        <v>42.2547523</v>
      </c>
      <c r="C101">
        <v>3.0988514999999999</v>
      </c>
      <c r="D101">
        <v>2539.299</v>
      </c>
      <c r="E101">
        <v>62.6</v>
      </c>
      <c r="F101">
        <v>53.87</v>
      </c>
      <c r="G101">
        <v>72.92</v>
      </c>
      <c r="H101">
        <v>2.448</v>
      </c>
      <c r="I101">
        <v>2.9239999999999999</v>
      </c>
      <c r="J101">
        <v>0.76</v>
      </c>
      <c r="K101">
        <v>3</v>
      </c>
      <c r="L101">
        <v>9</v>
      </c>
      <c r="M101">
        <f t="shared" si="2"/>
        <v>1.1325802622599637</v>
      </c>
      <c r="N101">
        <f t="shared" si="3"/>
        <v>82.587752723996559</v>
      </c>
    </row>
    <row r="102" spans="1:14" x14ac:dyDescent="0.25">
      <c r="A102" t="s">
        <v>112</v>
      </c>
      <c r="B102">
        <v>42.254865799999997</v>
      </c>
      <c r="C102">
        <v>3.0989816000000001</v>
      </c>
      <c r="D102">
        <v>2524.9609999999998</v>
      </c>
      <c r="E102">
        <v>62.88</v>
      </c>
      <c r="F102">
        <v>53.95</v>
      </c>
      <c r="G102">
        <v>72.61</v>
      </c>
      <c r="H102">
        <v>2.46</v>
      </c>
      <c r="I102">
        <v>2.95</v>
      </c>
      <c r="J102">
        <v>0.75</v>
      </c>
      <c r="K102">
        <v>3</v>
      </c>
      <c r="L102">
        <v>9</v>
      </c>
      <c r="M102">
        <f t="shared" si="2"/>
        <v>1.1410585246428826</v>
      </c>
      <c r="N102">
        <f t="shared" si="3"/>
        <v>82.852259474319709</v>
      </c>
    </row>
    <row r="103" spans="1:14" x14ac:dyDescent="0.25">
      <c r="A103" t="s">
        <v>113</v>
      </c>
      <c r="B103">
        <v>42.254979300000002</v>
      </c>
      <c r="C103">
        <v>3.0991118000000002</v>
      </c>
      <c r="D103">
        <v>2510.7359999999999</v>
      </c>
      <c r="E103">
        <v>63.05</v>
      </c>
      <c r="F103">
        <v>53.91</v>
      </c>
      <c r="G103">
        <v>72.34</v>
      </c>
      <c r="H103">
        <v>2.4700000000000002</v>
      </c>
      <c r="I103">
        <v>2.9750000000000001</v>
      </c>
      <c r="J103">
        <v>0.75</v>
      </c>
      <c r="K103">
        <v>3</v>
      </c>
      <c r="L103">
        <v>9</v>
      </c>
      <c r="M103">
        <f t="shared" si="2"/>
        <v>1.146742508323316</v>
      </c>
      <c r="N103">
        <f t="shared" si="3"/>
        <v>82.955353052108691</v>
      </c>
    </row>
    <row r="104" spans="1:14" x14ac:dyDescent="0.25">
      <c r="A104" t="s">
        <v>114</v>
      </c>
      <c r="B104">
        <v>42.255093100000003</v>
      </c>
      <c r="C104">
        <v>3.0992418000000002</v>
      </c>
      <c r="D104">
        <v>2496.4870000000001</v>
      </c>
      <c r="E104">
        <v>63.24</v>
      </c>
      <c r="F104">
        <v>53.84</v>
      </c>
      <c r="G104">
        <v>72.13</v>
      </c>
      <c r="H104">
        <v>2.48</v>
      </c>
      <c r="I104">
        <v>3</v>
      </c>
      <c r="J104">
        <v>0.76</v>
      </c>
      <c r="K104">
        <v>3</v>
      </c>
      <c r="L104">
        <v>9</v>
      </c>
      <c r="M104">
        <f t="shared" si="2"/>
        <v>1.1514551399156268</v>
      </c>
      <c r="N104">
        <f t="shared" si="3"/>
        <v>83.054459242114149</v>
      </c>
    </row>
    <row r="105" spans="1:14" x14ac:dyDescent="0.25">
      <c r="A105" t="s">
        <v>115</v>
      </c>
      <c r="B105">
        <v>42.255207400000003</v>
      </c>
      <c r="C105">
        <v>3.0993719999999998</v>
      </c>
      <c r="D105">
        <v>2482.3679999999999</v>
      </c>
      <c r="E105">
        <v>63.43</v>
      </c>
      <c r="F105">
        <v>53.86</v>
      </c>
      <c r="G105">
        <v>71.849999999999994</v>
      </c>
      <c r="H105">
        <v>2.488</v>
      </c>
      <c r="I105">
        <v>3.024</v>
      </c>
      <c r="J105">
        <v>0.76</v>
      </c>
      <c r="K105">
        <v>3</v>
      </c>
      <c r="L105">
        <v>9</v>
      </c>
      <c r="M105">
        <f t="shared" si="2"/>
        <v>1.1581373079598538</v>
      </c>
      <c r="N105">
        <f t="shared" si="3"/>
        <v>83.212165576915496</v>
      </c>
    </row>
    <row r="106" spans="1:14" x14ac:dyDescent="0.25">
      <c r="A106" t="s">
        <v>116</v>
      </c>
      <c r="B106">
        <v>42.2553214</v>
      </c>
      <c r="C106">
        <v>3.0995021</v>
      </c>
      <c r="D106">
        <v>2468.3319999999999</v>
      </c>
      <c r="E106">
        <v>63.31</v>
      </c>
      <c r="F106">
        <v>53.87</v>
      </c>
      <c r="G106">
        <v>71.44</v>
      </c>
      <c r="H106">
        <v>2.5030000000000001</v>
      </c>
      <c r="I106">
        <v>3.044</v>
      </c>
      <c r="J106">
        <v>0.76</v>
      </c>
      <c r="K106">
        <v>3</v>
      </c>
      <c r="L106">
        <v>9</v>
      </c>
      <c r="M106">
        <f t="shared" si="2"/>
        <v>1.1635947612691044</v>
      </c>
      <c r="N106">
        <f t="shared" si="3"/>
        <v>83.127209745064818</v>
      </c>
    </row>
    <row r="107" spans="1:14" x14ac:dyDescent="0.25">
      <c r="A107" t="s">
        <v>117</v>
      </c>
      <c r="B107">
        <v>42.255436199999998</v>
      </c>
      <c r="C107">
        <v>3.0996321999999998</v>
      </c>
      <c r="D107">
        <v>2454.3969999999999</v>
      </c>
      <c r="E107">
        <v>63.54</v>
      </c>
      <c r="F107">
        <v>53.91</v>
      </c>
      <c r="G107">
        <v>71.010000000000005</v>
      </c>
      <c r="H107">
        <v>2.5169999999999999</v>
      </c>
      <c r="I107">
        <v>3.0609999999999999</v>
      </c>
      <c r="J107">
        <v>0.76</v>
      </c>
      <c r="K107">
        <v>3</v>
      </c>
      <c r="L107">
        <v>9</v>
      </c>
      <c r="M107">
        <f t="shared" si="2"/>
        <v>1.1734739433845092</v>
      </c>
      <c r="N107">
        <f t="shared" si="3"/>
        <v>83.328384719734004</v>
      </c>
    </row>
    <row r="108" spans="1:14" x14ac:dyDescent="0.25">
      <c r="A108" t="s">
        <v>118</v>
      </c>
      <c r="B108">
        <v>42.2555513</v>
      </c>
      <c r="C108">
        <v>3.0997620000000001</v>
      </c>
      <c r="D108">
        <v>2440.5349999999999</v>
      </c>
      <c r="E108">
        <v>63.85</v>
      </c>
      <c r="F108">
        <v>53.77</v>
      </c>
      <c r="G108">
        <v>70.67</v>
      </c>
      <c r="H108">
        <v>2.528</v>
      </c>
      <c r="I108">
        <v>3.0790000000000002</v>
      </c>
      <c r="J108">
        <v>0.76</v>
      </c>
      <c r="K108">
        <v>3</v>
      </c>
      <c r="L108">
        <v>9</v>
      </c>
      <c r="M108">
        <f t="shared" si="2"/>
        <v>1.1811908739104422</v>
      </c>
      <c r="N108">
        <f t="shared" si="3"/>
        <v>83.474759059250957</v>
      </c>
    </row>
    <row r="109" spans="1:14" x14ac:dyDescent="0.25">
      <c r="A109" t="s">
        <v>119</v>
      </c>
      <c r="B109">
        <v>42.255666300000001</v>
      </c>
      <c r="C109">
        <v>3.0998907999999998</v>
      </c>
      <c r="D109">
        <v>2426.6909999999998</v>
      </c>
      <c r="E109">
        <v>63.85</v>
      </c>
      <c r="F109">
        <v>53.45</v>
      </c>
      <c r="G109">
        <v>70.38</v>
      </c>
      <c r="H109">
        <v>2.5419999999999998</v>
      </c>
      <c r="I109">
        <v>3.1019999999999999</v>
      </c>
      <c r="J109">
        <v>0.76</v>
      </c>
      <c r="K109">
        <v>3</v>
      </c>
      <c r="L109">
        <v>9</v>
      </c>
      <c r="M109">
        <f t="shared" si="2"/>
        <v>1.1831342970686358</v>
      </c>
      <c r="N109">
        <f t="shared" si="3"/>
        <v>83.268991827690584</v>
      </c>
    </row>
    <row r="110" spans="1:14" x14ac:dyDescent="0.25">
      <c r="A110" t="s">
        <v>120</v>
      </c>
      <c r="B110">
        <v>42.255781300000002</v>
      </c>
      <c r="C110">
        <v>3.1000200000000002</v>
      </c>
      <c r="D110">
        <v>2412.8620000000001</v>
      </c>
      <c r="E110">
        <v>63.84</v>
      </c>
      <c r="F110">
        <v>53.45</v>
      </c>
      <c r="G110">
        <v>70.13</v>
      </c>
      <c r="H110">
        <v>2.5569999999999999</v>
      </c>
      <c r="I110">
        <v>3.1269999999999998</v>
      </c>
      <c r="J110">
        <v>0.76</v>
      </c>
      <c r="K110">
        <v>3</v>
      </c>
      <c r="L110">
        <v>9</v>
      </c>
      <c r="M110">
        <f t="shared" si="2"/>
        <v>1.1872426087941803</v>
      </c>
      <c r="N110">
        <f t="shared" si="3"/>
        <v>83.26132415473586</v>
      </c>
    </row>
    <row r="111" spans="1:14" x14ac:dyDescent="0.25">
      <c r="A111" t="s">
        <v>121</v>
      </c>
      <c r="B111">
        <v>42.255896700000001</v>
      </c>
      <c r="C111">
        <v>3.1001498000000001</v>
      </c>
      <c r="D111">
        <v>2399.2269999999999</v>
      </c>
      <c r="E111">
        <v>63.94</v>
      </c>
      <c r="F111">
        <v>53.73</v>
      </c>
      <c r="G111">
        <v>69.63</v>
      </c>
      <c r="H111">
        <v>2.5720000000000001</v>
      </c>
      <c r="I111">
        <v>3.1520000000000001</v>
      </c>
      <c r="J111">
        <v>0.77</v>
      </c>
      <c r="K111">
        <v>3</v>
      </c>
      <c r="L111">
        <v>9</v>
      </c>
      <c r="M111">
        <f t="shared" si="2"/>
        <v>1.199452553768674</v>
      </c>
      <c r="N111">
        <f t="shared" si="3"/>
        <v>83.517881318912771</v>
      </c>
    </row>
    <row r="112" spans="1:14" x14ac:dyDescent="0.25">
      <c r="A112" t="s">
        <v>122</v>
      </c>
      <c r="B112">
        <v>42.256012800000001</v>
      </c>
      <c r="C112">
        <v>3.1002793</v>
      </c>
      <c r="D112">
        <v>2385.694</v>
      </c>
      <c r="E112">
        <v>64.13</v>
      </c>
      <c r="F112">
        <v>53.73</v>
      </c>
      <c r="G112">
        <v>69.150000000000006</v>
      </c>
      <c r="H112">
        <v>2.5750000000000002</v>
      </c>
      <c r="I112">
        <v>3.1760000000000002</v>
      </c>
      <c r="J112">
        <v>0.76</v>
      </c>
      <c r="K112">
        <v>3</v>
      </c>
      <c r="L112">
        <v>9</v>
      </c>
      <c r="M112">
        <f t="shared" si="2"/>
        <v>1.2098833214340861</v>
      </c>
      <c r="N112">
        <f t="shared" si="3"/>
        <v>83.663431677167054</v>
      </c>
    </row>
    <row r="113" spans="1:14" x14ac:dyDescent="0.25">
      <c r="A113" t="s">
        <v>123</v>
      </c>
      <c r="B113">
        <v>42.256129000000001</v>
      </c>
      <c r="C113">
        <v>3.1004087</v>
      </c>
      <c r="D113">
        <v>2372.14</v>
      </c>
      <c r="E113">
        <v>64.36</v>
      </c>
      <c r="F113">
        <v>53.65</v>
      </c>
      <c r="G113">
        <v>68.849999999999994</v>
      </c>
      <c r="H113">
        <v>2.5779999999999998</v>
      </c>
      <c r="I113">
        <v>3.1989999999999998</v>
      </c>
      <c r="J113">
        <v>0.76</v>
      </c>
      <c r="K113">
        <v>3</v>
      </c>
      <c r="L113">
        <v>9</v>
      </c>
      <c r="M113">
        <f t="shared" si="2"/>
        <v>1.2169733562113059</v>
      </c>
      <c r="N113">
        <f t="shared" si="3"/>
        <v>83.788615575148398</v>
      </c>
    </row>
    <row r="114" spans="1:14" x14ac:dyDescent="0.25">
      <c r="A114" t="s">
        <v>124</v>
      </c>
      <c r="B114">
        <v>42.256245</v>
      </c>
      <c r="C114">
        <v>3.1005387</v>
      </c>
      <c r="D114">
        <v>2358.6219999999998</v>
      </c>
      <c r="E114">
        <v>64.42</v>
      </c>
      <c r="F114">
        <v>53.73</v>
      </c>
      <c r="G114">
        <v>68.62</v>
      </c>
      <c r="H114">
        <v>2.58</v>
      </c>
      <c r="I114">
        <v>3.2250000000000001</v>
      </c>
      <c r="J114">
        <v>0.76</v>
      </c>
      <c r="K114">
        <v>3</v>
      </c>
      <c r="L114">
        <v>9</v>
      </c>
      <c r="M114">
        <f t="shared" si="2"/>
        <v>1.2224705666906444</v>
      </c>
      <c r="N114">
        <f t="shared" si="3"/>
        <v>83.885930286312018</v>
      </c>
    </row>
    <row r="115" spans="1:14" x14ac:dyDescent="0.25">
      <c r="A115" t="s">
        <v>125</v>
      </c>
      <c r="B115">
        <v>42.256361099999999</v>
      </c>
      <c r="C115">
        <v>3.1006689999999999</v>
      </c>
      <c r="D115">
        <v>2345.1680000000001</v>
      </c>
      <c r="E115">
        <v>64.510000000000005</v>
      </c>
      <c r="F115">
        <v>53.81</v>
      </c>
      <c r="G115">
        <v>68.41</v>
      </c>
      <c r="H115">
        <v>2.5830000000000002</v>
      </c>
      <c r="I115">
        <v>3.2509999999999999</v>
      </c>
      <c r="J115">
        <v>0.77</v>
      </c>
      <c r="K115">
        <v>3</v>
      </c>
      <c r="L115">
        <v>9</v>
      </c>
      <c r="M115">
        <f t="shared" si="2"/>
        <v>1.2279825561980799</v>
      </c>
      <c r="N115">
        <f t="shared" si="3"/>
        <v>84.006286669510644</v>
      </c>
    </row>
    <row r="116" spans="1:14" x14ac:dyDescent="0.25">
      <c r="A116" t="s">
        <v>126</v>
      </c>
      <c r="B116">
        <v>42.256477099999998</v>
      </c>
      <c r="C116">
        <v>3.1007992</v>
      </c>
      <c r="D116">
        <v>2331.67</v>
      </c>
      <c r="E116">
        <v>64.45</v>
      </c>
      <c r="F116">
        <v>53.82</v>
      </c>
      <c r="G116">
        <v>68.239999999999995</v>
      </c>
      <c r="H116">
        <v>2.5870000000000002</v>
      </c>
      <c r="I116">
        <v>3.2759999999999998</v>
      </c>
      <c r="J116">
        <v>0.77</v>
      </c>
      <c r="K116">
        <v>3</v>
      </c>
      <c r="L116">
        <v>9</v>
      </c>
      <c r="M116">
        <f t="shared" si="2"/>
        <v>1.2304605756313343</v>
      </c>
      <c r="N116">
        <f t="shared" si="3"/>
        <v>83.966629681082239</v>
      </c>
    </row>
    <row r="117" spans="1:14" x14ac:dyDescent="0.25">
      <c r="A117" t="s">
        <v>127</v>
      </c>
      <c r="B117">
        <v>42.256593700000003</v>
      </c>
      <c r="C117">
        <v>3.1009291999999999</v>
      </c>
      <c r="D117">
        <v>2318.3069999999998</v>
      </c>
      <c r="E117">
        <v>64.7</v>
      </c>
      <c r="F117">
        <v>53.79</v>
      </c>
      <c r="G117">
        <v>67.97</v>
      </c>
      <c r="H117">
        <v>2.59</v>
      </c>
      <c r="I117">
        <v>3.2989999999999999</v>
      </c>
      <c r="J117">
        <v>0.77</v>
      </c>
      <c r="K117">
        <v>3</v>
      </c>
      <c r="L117">
        <v>9</v>
      </c>
      <c r="M117">
        <f t="shared" si="2"/>
        <v>1.2378915980093788</v>
      </c>
      <c r="N117">
        <f t="shared" si="3"/>
        <v>84.13949191669748</v>
      </c>
    </row>
    <row r="118" spans="1:14" x14ac:dyDescent="0.25">
      <c r="A118" t="s">
        <v>128</v>
      </c>
      <c r="B118">
        <v>42.256710499999997</v>
      </c>
      <c r="C118">
        <v>3.1010601000000002</v>
      </c>
      <c r="D118">
        <v>2305.2190000000001</v>
      </c>
      <c r="E118">
        <v>64.819999999999993</v>
      </c>
      <c r="F118">
        <v>54.03</v>
      </c>
      <c r="G118">
        <v>67.45</v>
      </c>
      <c r="H118">
        <v>2.6059999999999999</v>
      </c>
      <c r="I118">
        <v>3.3090000000000002</v>
      </c>
      <c r="J118">
        <v>0.8</v>
      </c>
      <c r="K118">
        <v>3</v>
      </c>
      <c r="L118">
        <v>9</v>
      </c>
      <c r="M118">
        <f t="shared" si="2"/>
        <v>1.2510788299337967</v>
      </c>
      <c r="N118">
        <f t="shared" si="3"/>
        <v>84.385267079034591</v>
      </c>
    </row>
    <row r="119" spans="1:14" x14ac:dyDescent="0.25">
      <c r="A119" t="s">
        <v>129</v>
      </c>
      <c r="B119">
        <v>42.256827399999999</v>
      </c>
      <c r="C119">
        <v>3.1011912000000001</v>
      </c>
      <c r="D119">
        <v>2292.2109999999998</v>
      </c>
      <c r="E119">
        <v>64.89</v>
      </c>
      <c r="F119">
        <v>54.21</v>
      </c>
      <c r="G119">
        <v>66.989999999999995</v>
      </c>
      <c r="H119">
        <v>2.6349999999999998</v>
      </c>
      <c r="I119">
        <v>3.3250000000000002</v>
      </c>
      <c r="J119">
        <v>0.82</v>
      </c>
      <c r="K119">
        <v>3</v>
      </c>
      <c r="L119">
        <v>9</v>
      </c>
      <c r="M119">
        <f t="shared" si="2"/>
        <v>1.2621934429232289</v>
      </c>
      <c r="N119">
        <f t="shared" si="3"/>
        <v>84.554338741427102</v>
      </c>
    </row>
    <row r="120" spans="1:14" x14ac:dyDescent="0.25">
      <c r="A120" t="s">
        <v>130</v>
      </c>
      <c r="B120">
        <v>42.256943399999997</v>
      </c>
      <c r="C120">
        <v>3.101324</v>
      </c>
      <c r="D120">
        <v>2279.3719999999998</v>
      </c>
      <c r="E120">
        <v>64.569999999999993</v>
      </c>
      <c r="F120">
        <v>54.96</v>
      </c>
      <c r="G120">
        <v>66.31</v>
      </c>
      <c r="H120">
        <v>2.6680000000000001</v>
      </c>
      <c r="I120">
        <v>3.3460000000000001</v>
      </c>
      <c r="J120">
        <v>0.83</v>
      </c>
      <c r="K120">
        <v>3</v>
      </c>
      <c r="L120">
        <v>9</v>
      </c>
      <c r="M120">
        <f t="shared" si="2"/>
        <v>1.2787392313386028</v>
      </c>
      <c r="N120">
        <f t="shared" si="3"/>
        <v>84.793198430062759</v>
      </c>
    </row>
    <row r="121" spans="1:14" x14ac:dyDescent="0.25">
      <c r="A121" t="s">
        <v>131</v>
      </c>
      <c r="B121">
        <v>42.257057099999997</v>
      </c>
      <c r="C121">
        <v>3.101458</v>
      </c>
      <c r="D121">
        <v>2266.924</v>
      </c>
      <c r="E121">
        <v>63.55</v>
      </c>
      <c r="F121">
        <v>55.8</v>
      </c>
      <c r="G121">
        <v>65.34</v>
      </c>
      <c r="H121">
        <v>2.7040000000000002</v>
      </c>
      <c r="I121">
        <v>3.3679999999999999</v>
      </c>
      <c r="J121">
        <v>0.83</v>
      </c>
      <c r="K121">
        <v>3</v>
      </c>
      <c r="L121">
        <v>9</v>
      </c>
      <c r="M121">
        <f t="shared" si="2"/>
        <v>1.2943209636878354</v>
      </c>
      <c r="N121">
        <f t="shared" si="3"/>
        <v>84.570931767363177</v>
      </c>
    </row>
    <row r="122" spans="1:14" x14ac:dyDescent="0.25">
      <c r="A122" t="s">
        <v>132</v>
      </c>
      <c r="B122">
        <v>42.257169900000001</v>
      </c>
      <c r="C122">
        <v>3.1015936000000002</v>
      </c>
      <c r="D122">
        <v>2254.5210000000002</v>
      </c>
      <c r="E122">
        <v>62.87</v>
      </c>
      <c r="F122">
        <v>56.72</v>
      </c>
      <c r="G122">
        <v>64.489999999999995</v>
      </c>
      <c r="H122">
        <v>2.742</v>
      </c>
      <c r="I122">
        <v>3.387</v>
      </c>
      <c r="J122">
        <v>0.83</v>
      </c>
      <c r="K122">
        <v>3</v>
      </c>
      <c r="L122">
        <v>9</v>
      </c>
      <c r="M122">
        <f t="shared" si="2"/>
        <v>1.3129887390961583</v>
      </c>
      <c r="N122">
        <f t="shared" si="3"/>
        <v>84.674643784311243</v>
      </c>
    </row>
    <row r="123" spans="1:14" x14ac:dyDescent="0.25">
      <c r="A123" t="s">
        <v>133</v>
      </c>
      <c r="B123">
        <v>42.257281399999997</v>
      </c>
      <c r="C123">
        <v>3.1017275</v>
      </c>
      <c r="D123">
        <v>2242.2869999999998</v>
      </c>
      <c r="E123">
        <v>61.88</v>
      </c>
      <c r="F123">
        <v>56.85</v>
      </c>
      <c r="G123">
        <v>63.55</v>
      </c>
      <c r="H123">
        <v>2.7629999999999999</v>
      </c>
      <c r="I123">
        <v>3.3969999999999998</v>
      </c>
      <c r="J123">
        <v>0.78</v>
      </c>
      <c r="K123">
        <v>3</v>
      </c>
      <c r="L123">
        <v>9</v>
      </c>
      <c r="M123">
        <f t="shared" si="2"/>
        <v>1.3222674304333573</v>
      </c>
      <c r="N123">
        <f t="shared" si="3"/>
        <v>84.030095204039853</v>
      </c>
    </row>
    <row r="124" spans="1:14" x14ac:dyDescent="0.25">
      <c r="A124" t="s">
        <v>134</v>
      </c>
      <c r="B124">
        <v>42.257393299999997</v>
      </c>
      <c r="C124">
        <v>3.1018606000000002</v>
      </c>
      <c r="D124">
        <v>2229.9670000000001</v>
      </c>
      <c r="E124">
        <v>61.68</v>
      </c>
      <c r="F124">
        <v>56.34</v>
      </c>
      <c r="G124">
        <v>63.02</v>
      </c>
      <c r="H124">
        <v>2.7759999999999998</v>
      </c>
      <c r="I124">
        <v>3.4140000000000001</v>
      </c>
      <c r="J124">
        <v>0.75</v>
      </c>
      <c r="K124">
        <v>3</v>
      </c>
      <c r="L124">
        <v>9</v>
      </c>
      <c r="M124">
        <f t="shared" si="2"/>
        <v>1.325581133509018</v>
      </c>
      <c r="N124">
        <f t="shared" si="3"/>
        <v>83.538123033738316</v>
      </c>
    </row>
    <row r="125" spans="1:14" x14ac:dyDescent="0.25">
      <c r="A125" t="s">
        <v>135</v>
      </c>
      <c r="B125">
        <v>42.257504699999998</v>
      </c>
      <c r="C125">
        <v>3.1019942</v>
      </c>
      <c r="D125">
        <v>2217.5940000000001</v>
      </c>
      <c r="E125">
        <v>61.73</v>
      </c>
      <c r="F125">
        <v>55.68</v>
      </c>
      <c r="G125">
        <v>62.89</v>
      </c>
      <c r="H125">
        <v>2.774</v>
      </c>
      <c r="I125">
        <v>3.4319999999999999</v>
      </c>
      <c r="J125">
        <v>0.73</v>
      </c>
      <c r="K125">
        <v>3</v>
      </c>
      <c r="L125">
        <v>9</v>
      </c>
      <c r="M125">
        <f t="shared" si="2"/>
        <v>1.3218564823930796</v>
      </c>
      <c r="N125">
        <f t="shared" si="3"/>
        <v>83.131554177700778</v>
      </c>
    </row>
    <row r="126" spans="1:14" x14ac:dyDescent="0.25">
      <c r="A126" t="s">
        <v>136</v>
      </c>
      <c r="B126">
        <v>42.257616300000002</v>
      </c>
      <c r="C126">
        <v>3.1021280999999998</v>
      </c>
      <c r="D126">
        <v>2205.221</v>
      </c>
      <c r="E126">
        <v>61.88</v>
      </c>
      <c r="F126">
        <v>55.48</v>
      </c>
      <c r="G126">
        <v>62.78</v>
      </c>
      <c r="H126">
        <v>2.774</v>
      </c>
      <c r="I126">
        <v>3.452</v>
      </c>
      <c r="J126">
        <v>0.77</v>
      </c>
      <c r="K126">
        <v>3</v>
      </c>
      <c r="L126">
        <v>9</v>
      </c>
      <c r="M126">
        <f t="shared" ref="M126:M189" si="4">(SQRT((E126^2)+(F126^2)))/G126</f>
        <v>1.3238189625274379</v>
      </c>
      <c r="N126">
        <f t="shared" si="3"/>
        <v>83.109354467472556</v>
      </c>
    </row>
    <row r="127" spans="1:14" x14ac:dyDescent="0.25">
      <c r="A127" t="s">
        <v>137</v>
      </c>
      <c r="B127">
        <v>42.257727799999998</v>
      </c>
      <c r="C127">
        <v>3.1022620999999999</v>
      </c>
      <c r="D127">
        <v>2192.8510000000001</v>
      </c>
      <c r="E127">
        <v>62.03</v>
      </c>
      <c r="F127">
        <v>55.28</v>
      </c>
      <c r="G127">
        <v>62.79</v>
      </c>
      <c r="H127">
        <v>2.7850000000000001</v>
      </c>
      <c r="I127">
        <v>3.4710000000000001</v>
      </c>
      <c r="J127">
        <v>0.77</v>
      </c>
      <c r="K127">
        <v>3</v>
      </c>
      <c r="L127">
        <v>9</v>
      </c>
      <c r="M127">
        <f t="shared" si="4"/>
        <v>1.3232664603378979</v>
      </c>
      <c r="N127">
        <f t="shared" si="3"/>
        <v>83.087901044616601</v>
      </c>
    </row>
    <row r="128" spans="1:14" x14ac:dyDescent="0.25">
      <c r="A128" t="s">
        <v>138</v>
      </c>
      <c r="B128">
        <v>42.257839799999999</v>
      </c>
      <c r="C128">
        <v>3.1023953</v>
      </c>
      <c r="D128">
        <v>2180.7269999999999</v>
      </c>
      <c r="E128">
        <v>62.1</v>
      </c>
      <c r="F128">
        <v>55.25</v>
      </c>
      <c r="G128">
        <v>62.43</v>
      </c>
      <c r="H128">
        <v>2.7770000000000001</v>
      </c>
      <c r="I128">
        <v>3.4740000000000002</v>
      </c>
      <c r="J128">
        <v>0.77</v>
      </c>
      <c r="K128">
        <v>3</v>
      </c>
      <c r="L128">
        <v>9</v>
      </c>
      <c r="M128">
        <f t="shared" si="4"/>
        <v>1.3314148516162427</v>
      </c>
      <c r="N128">
        <f t="shared" si="3"/>
        <v>83.120229186402028</v>
      </c>
    </row>
    <row r="129" spans="1:14" x14ac:dyDescent="0.25">
      <c r="A129" t="s">
        <v>139</v>
      </c>
      <c r="B129">
        <v>42.257952199999998</v>
      </c>
      <c r="C129">
        <v>3.1025285</v>
      </c>
      <c r="D129">
        <v>2168.8989999999999</v>
      </c>
      <c r="E129">
        <v>62.21</v>
      </c>
      <c r="F129">
        <v>55.28</v>
      </c>
      <c r="G129">
        <v>61.79</v>
      </c>
      <c r="H129">
        <v>2.78</v>
      </c>
      <c r="I129">
        <v>3.4740000000000002</v>
      </c>
      <c r="J129">
        <v>0.79</v>
      </c>
      <c r="K129">
        <v>3</v>
      </c>
      <c r="L129">
        <v>9</v>
      </c>
      <c r="M129">
        <f t="shared" si="4"/>
        <v>1.3468581936648525</v>
      </c>
      <c r="N129">
        <f t="shared" si="3"/>
        <v>83.222367786551231</v>
      </c>
    </row>
    <row r="130" spans="1:14" x14ac:dyDescent="0.25">
      <c r="A130" t="s">
        <v>140</v>
      </c>
      <c r="B130">
        <v>42.258063700000001</v>
      </c>
      <c r="C130">
        <v>3.1026630000000002</v>
      </c>
      <c r="D130">
        <v>2157.2489999999998</v>
      </c>
      <c r="E130">
        <v>61.79</v>
      </c>
      <c r="F130">
        <v>55.72</v>
      </c>
      <c r="G130">
        <v>60.99</v>
      </c>
      <c r="H130">
        <v>2.7890000000000001</v>
      </c>
      <c r="I130">
        <v>3.4670000000000001</v>
      </c>
      <c r="J130">
        <v>0.82</v>
      </c>
      <c r="K130">
        <v>3</v>
      </c>
      <c r="L130">
        <v>9</v>
      </c>
      <c r="M130">
        <f t="shared" si="4"/>
        <v>1.3642056007361296</v>
      </c>
      <c r="N130">
        <f t="shared" si="3"/>
        <v>83.202899588896543</v>
      </c>
    </row>
    <row r="131" spans="1:14" x14ac:dyDescent="0.25">
      <c r="A131" t="s">
        <v>141</v>
      </c>
      <c r="B131">
        <v>42.2581737</v>
      </c>
      <c r="C131">
        <v>3.1027982000000001</v>
      </c>
      <c r="D131">
        <v>2145.6970000000001</v>
      </c>
      <c r="E131">
        <v>60.93</v>
      </c>
      <c r="F131">
        <v>56.22</v>
      </c>
      <c r="G131">
        <v>60.1</v>
      </c>
      <c r="H131">
        <v>2.7919999999999998</v>
      </c>
      <c r="I131">
        <v>3.4630000000000001</v>
      </c>
      <c r="J131">
        <v>0.81</v>
      </c>
      <c r="K131">
        <v>3</v>
      </c>
      <c r="L131">
        <v>9</v>
      </c>
      <c r="M131">
        <f t="shared" si="4"/>
        <v>1.379442312661727</v>
      </c>
      <c r="N131">
        <f t="shared" ref="N131:N194" si="5">(SQRT((E131^2)+(F131^2)))</f>
        <v>82.904482990969797</v>
      </c>
    </row>
    <row r="132" spans="1:14" x14ac:dyDescent="0.25">
      <c r="A132" t="s">
        <v>142</v>
      </c>
      <c r="B132">
        <v>42.258282700000002</v>
      </c>
      <c r="C132">
        <v>3.1029342999999998</v>
      </c>
      <c r="D132">
        <v>2134.7080000000001</v>
      </c>
      <c r="E132">
        <v>60.25</v>
      </c>
      <c r="F132">
        <v>56.7</v>
      </c>
      <c r="G132">
        <v>58.9</v>
      </c>
      <c r="H132">
        <v>2.7919999999999998</v>
      </c>
      <c r="I132">
        <v>3.4529999999999998</v>
      </c>
      <c r="J132">
        <v>0.81</v>
      </c>
      <c r="K132">
        <v>3</v>
      </c>
      <c r="L132">
        <v>9</v>
      </c>
      <c r="M132">
        <f t="shared" si="4"/>
        <v>1.4046558251988679</v>
      </c>
      <c r="N132">
        <f t="shared" si="5"/>
        <v>82.734228104213315</v>
      </c>
    </row>
    <row r="133" spans="1:14" x14ac:dyDescent="0.25">
      <c r="A133" t="s">
        <v>143</v>
      </c>
      <c r="B133">
        <v>42.258390599999998</v>
      </c>
      <c r="C133">
        <v>3.1030712</v>
      </c>
      <c r="D133">
        <v>2123.9250000000002</v>
      </c>
      <c r="E133">
        <v>59.77</v>
      </c>
      <c r="F133">
        <v>57</v>
      </c>
      <c r="G133">
        <v>57.88</v>
      </c>
      <c r="H133">
        <v>2.7989999999999999</v>
      </c>
      <c r="I133">
        <v>3.448</v>
      </c>
      <c r="J133">
        <v>0.83</v>
      </c>
      <c r="K133">
        <v>3</v>
      </c>
      <c r="L133">
        <v>9</v>
      </c>
      <c r="M133">
        <f t="shared" si="4"/>
        <v>1.4269538250415672</v>
      </c>
      <c r="N133">
        <f t="shared" si="5"/>
        <v>82.592087393405919</v>
      </c>
    </row>
    <row r="134" spans="1:14" x14ac:dyDescent="0.25">
      <c r="A134" t="s">
        <v>144</v>
      </c>
      <c r="B134">
        <v>42.258497599999998</v>
      </c>
      <c r="C134">
        <v>3.1032084000000002</v>
      </c>
      <c r="D134">
        <v>2113.4899999999998</v>
      </c>
      <c r="E134">
        <v>59.46</v>
      </c>
      <c r="F134">
        <v>57.05</v>
      </c>
      <c r="G134">
        <v>56.93</v>
      </c>
      <c r="H134">
        <v>2.7959999999999998</v>
      </c>
      <c r="I134">
        <v>3.42</v>
      </c>
      <c r="J134">
        <v>0.84</v>
      </c>
      <c r="K134">
        <v>3</v>
      </c>
      <c r="L134">
        <v>10</v>
      </c>
      <c r="M134">
        <f t="shared" si="4"/>
        <v>1.4474378018591356</v>
      </c>
      <c r="N134">
        <f t="shared" si="5"/>
        <v>82.402634059840594</v>
      </c>
    </row>
    <row r="135" spans="1:14" x14ac:dyDescent="0.25">
      <c r="A135" t="s">
        <v>145</v>
      </c>
      <c r="B135">
        <v>42.258603999999998</v>
      </c>
      <c r="C135">
        <v>3.1033450999999999</v>
      </c>
      <c r="D135">
        <v>2103.2629999999999</v>
      </c>
      <c r="E135">
        <v>59.3</v>
      </c>
      <c r="F135">
        <v>56.89</v>
      </c>
      <c r="G135">
        <v>56.03</v>
      </c>
      <c r="H135">
        <v>2.778</v>
      </c>
      <c r="I135">
        <v>3.39</v>
      </c>
      <c r="J135">
        <v>0.82</v>
      </c>
      <c r="K135">
        <v>3</v>
      </c>
      <c r="L135">
        <v>10</v>
      </c>
      <c r="M135">
        <f t="shared" si="4"/>
        <v>1.4666501591123977</v>
      </c>
      <c r="N135">
        <f t="shared" si="5"/>
        <v>82.176408415067641</v>
      </c>
    </row>
    <row r="136" spans="1:14" x14ac:dyDescent="0.25">
      <c r="A136" t="s">
        <v>146</v>
      </c>
      <c r="B136">
        <v>42.258709600000003</v>
      </c>
      <c r="C136">
        <v>3.1034822000000002</v>
      </c>
      <c r="D136">
        <v>2092.9569999999999</v>
      </c>
      <c r="E136">
        <v>59.05</v>
      </c>
      <c r="F136">
        <v>56.75</v>
      </c>
      <c r="G136">
        <v>55.42</v>
      </c>
      <c r="H136">
        <v>2.766</v>
      </c>
      <c r="I136">
        <v>3.3620000000000001</v>
      </c>
      <c r="J136">
        <v>0.81</v>
      </c>
      <c r="K136">
        <v>3</v>
      </c>
      <c r="L136">
        <v>10</v>
      </c>
      <c r="M136">
        <f t="shared" si="4"/>
        <v>1.4777898731384103</v>
      </c>
      <c r="N136">
        <f t="shared" si="5"/>
        <v>81.899114769330694</v>
      </c>
    </row>
    <row r="137" spans="1:14" x14ac:dyDescent="0.25">
      <c r="A137" t="s">
        <v>147</v>
      </c>
      <c r="B137">
        <v>42.258814999999998</v>
      </c>
      <c r="C137">
        <v>3.1036190000000001</v>
      </c>
      <c r="D137">
        <v>2082.7440000000001</v>
      </c>
      <c r="E137">
        <v>58.89</v>
      </c>
      <c r="F137">
        <v>56.65</v>
      </c>
      <c r="G137">
        <v>54.82</v>
      </c>
      <c r="H137">
        <v>2.758</v>
      </c>
      <c r="I137">
        <v>3.335</v>
      </c>
      <c r="J137">
        <v>0.81</v>
      </c>
      <c r="K137">
        <v>3</v>
      </c>
      <c r="L137">
        <v>10</v>
      </c>
      <c r="M137">
        <f t="shared" si="4"/>
        <v>1.4905959495592349</v>
      </c>
      <c r="N137">
        <f t="shared" si="5"/>
        <v>81.714469954837256</v>
      </c>
    </row>
    <row r="138" spans="1:14" x14ac:dyDescent="0.25">
      <c r="A138" t="s">
        <v>148</v>
      </c>
      <c r="B138">
        <v>42.258919200000001</v>
      </c>
      <c r="C138">
        <v>3.1037564999999998</v>
      </c>
      <c r="D138">
        <v>2072.5810000000001</v>
      </c>
      <c r="E138">
        <v>58.21</v>
      </c>
      <c r="F138">
        <v>56.94</v>
      </c>
      <c r="G138">
        <v>54.12</v>
      </c>
      <c r="H138">
        <v>2.754</v>
      </c>
      <c r="I138">
        <v>3.3119999999999998</v>
      </c>
      <c r="J138">
        <v>0.82</v>
      </c>
      <c r="K138">
        <v>3</v>
      </c>
      <c r="L138">
        <v>10</v>
      </c>
      <c r="M138">
        <f t="shared" si="4"/>
        <v>1.5045879140208571</v>
      </c>
      <c r="N138">
        <f t="shared" si="5"/>
        <v>81.42829790680878</v>
      </c>
    </row>
    <row r="139" spans="1:14" x14ac:dyDescent="0.25">
      <c r="A139" t="s">
        <v>149</v>
      </c>
      <c r="B139">
        <v>42.259021699999998</v>
      </c>
      <c r="C139">
        <v>3.1038942</v>
      </c>
      <c r="D139">
        <v>2062.6550000000002</v>
      </c>
      <c r="E139">
        <v>57.14</v>
      </c>
      <c r="F139">
        <v>57.21</v>
      </c>
      <c r="G139">
        <v>53.19</v>
      </c>
      <c r="H139">
        <v>2.742</v>
      </c>
      <c r="I139">
        <v>3.3050000000000002</v>
      </c>
      <c r="J139">
        <v>0.83</v>
      </c>
      <c r="K139">
        <v>3</v>
      </c>
      <c r="L139">
        <v>10</v>
      </c>
      <c r="M139">
        <f t="shared" si="4"/>
        <v>1.5201668655529235</v>
      </c>
      <c r="N139">
        <f t="shared" si="5"/>
        <v>80.857675578759995</v>
      </c>
    </row>
    <row r="140" spans="1:14" x14ac:dyDescent="0.25">
      <c r="A140" t="s">
        <v>150</v>
      </c>
      <c r="B140">
        <v>42.259122699999999</v>
      </c>
      <c r="C140">
        <v>3.1040304000000001</v>
      </c>
      <c r="D140">
        <v>2053.1329999999998</v>
      </c>
      <c r="E140">
        <v>56.18</v>
      </c>
      <c r="F140">
        <v>56.98</v>
      </c>
      <c r="G140">
        <v>52.06</v>
      </c>
      <c r="H140">
        <v>2.7410000000000001</v>
      </c>
      <c r="I140">
        <v>3.3039999999999998</v>
      </c>
      <c r="J140">
        <v>0.88</v>
      </c>
      <c r="K140">
        <v>3</v>
      </c>
      <c r="L140">
        <v>10</v>
      </c>
      <c r="M140">
        <f t="shared" si="4"/>
        <v>1.5370380893024123</v>
      </c>
      <c r="N140">
        <f t="shared" si="5"/>
        <v>80.018202929083586</v>
      </c>
    </row>
    <row r="141" spans="1:14" x14ac:dyDescent="0.25">
      <c r="A141" t="s">
        <v>151</v>
      </c>
      <c r="B141">
        <v>42.259222000000001</v>
      </c>
      <c r="C141">
        <v>3.1041669999999999</v>
      </c>
      <c r="D141">
        <v>2043.7639999999999</v>
      </c>
      <c r="E141">
        <v>55.14</v>
      </c>
      <c r="F141">
        <v>57.01</v>
      </c>
      <c r="G141">
        <v>50.97</v>
      </c>
      <c r="H141">
        <v>2.738</v>
      </c>
      <c r="I141">
        <v>3.3119999999999998</v>
      </c>
      <c r="J141">
        <v>0.96</v>
      </c>
      <c r="K141">
        <v>3</v>
      </c>
      <c r="L141">
        <v>9</v>
      </c>
      <c r="M141">
        <f t="shared" si="4"/>
        <v>1.5560731555280838</v>
      </c>
      <c r="N141">
        <f t="shared" si="5"/>
        <v>79.313048737266428</v>
      </c>
    </row>
    <row r="142" spans="1:14" x14ac:dyDescent="0.25">
      <c r="A142" t="s">
        <v>152</v>
      </c>
      <c r="B142">
        <v>42.259320700000004</v>
      </c>
      <c r="C142">
        <v>3.1043042000000001</v>
      </c>
      <c r="D142">
        <v>2034.537</v>
      </c>
      <c r="E142">
        <v>54.82</v>
      </c>
      <c r="F142">
        <v>57.06</v>
      </c>
      <c r="G142">
        <v>50.15</v>
      </c>
      <c r="H142">
        <v>2.742</v>
      </c>
      <c r="I142">
        <v>3.32</v>
      </c>
      <c r="J142">
        <v>1.01</v>
      </c>
      <c r="K142">
        <v>3</v>
      </c>
      <c r="L142">
        <v>9</v>
      </c>
      <c r="M142">
        <f t="shared" si="4"/>
        <v>1.5778058079982378</v>
      </c>
      <c r="N142">
        <f t="shared" si="5"/>
        <v>79.126961271111625</v>
      </c>
    </row>
    <row r="143" spans="1:14" x14ac:dyDescent="0.25">
      <c r="A143" t="s">
        <v>153</v>
      </c>
      <c r="B143">
        <v>42.259417300000003</v>
      </c>
      <c r="C143">
        <v>3.1044410999999998</v>
      </c>
      <c r="D143">
        <v>2025.2560000000001</v>
      </c>
      <c r="E143">
        <v>54.06</v>
      </c>
      <c r="F143">
        <v>56.91</v>
      </c>
      <c r="G143">
        <v>49.6</v>
      </c>
      <c r="H143">
        <v>2.74</v>
      </c>
      <c r="I143">
        <v>3.3359999999999999</v>
      </c>
      <c r="J143">
        <v>1.01</v>
      </c>
      <c r="K143">
        <v>3</v>
      </c>
      <c r="L143">
        <v>9</v>
      </c>
      <c r="M143">
        <f t="shared" si="4"/>
        <v>1.5825305190477312</v>
      </c>
      <c r="N143">
        <f t="shared" si="5"/>
        <v>78.493513744767469</v>
      </c>
    </row>
    <row r="144" spans="1:14" x14ac:dyDescent="0.25">
      <c r="A144" t="s">
        <v>154</v>
      </c>
      <c r="B144">
        <v>42.259512999999998</v>
      </c>
      <c r="C144">
        <v>3.1045783999999998</v>
      </c>
      <c r="D144">
        <v>2016.393</v>
      </c>
      <c r="E144">
        <v>53.61</v>
      </c>
      <c r="F144">
        <v>57.11</v>
      </c>
      <c r="G144">
        <v>48.87</v>
      </c>
      <c r="H144">
        <v>2.7440000000000002</v>
      </c>
      <c r="I144">
        <v>3.347</v>
      </c>
      <c r="J144">
        <v>1.04</v>
      </c>
      <c r="K144">
        <v>3</v>
      </c>
      <c r="L144">
        <v>9</v>
      </c>
      <c r="M144">
        <f t="shared" si="4"/>
        <v>1.6028232043936486</v>
      </c>
      <c r="N144">
        <f t="shared" si="5"/>
        <v>78.329969998717601</v>
      </c>
    </row>
    <row r="145" spans="1:14" x14ac:dyDescent="0.25">
      <c r="A145" t="s">
        <v>155</v>
      </c>
      <c r="B145">
        <v>42.259606699999999</v>
      </c>
      <c r="C145">
        <v>3.1047134000000001</v>
      </c>
      <c r="D145">
        <v>2007.732</v>
      </c>
      <c r="E145">
        <v>52.78</v>
      </c>
      <c r="F145">
        <v>56.54</v>
      </c>
      <c r="G145">
        <v>48.16</v>
      </c>
      <c r="H145">
        <v>2.7450000000000001</v>
      </c>
      <c r="I145">
        <v>3.3730000000000002</v>
      </c>
      <c r="J145">
        <v>1.06</v>
      </c>
      <c r="K145">
        <v>3</v>
      </c>
      <c r="L145">
        <v>9</v>
      </c>
      <c r="M145">
        <f t="shared" si="4"/>
        <v>1.6060345187169631</v>
      </c>
      <c r="N145">
        <f t="shared" si="5"/>
        <v>77.346622421408938</v>
      </c>
    </row>
    <row r="146" spans="1:14" x14ac:dyDescent="0.25">
      <c r="A146" t="s">
        <v>156</v>
      </c>
      <c r="B146">
        <v>42.259698200000003</v>
      </c>
      <c r="C146">
        <v>3.1048464999999998</v>
      </c>
      <c r="D146">
        <v>1999.252</v>
      </c>
      <c r="E146">
        <v>51.7</v>
      </c>
      <c r="F146">
        <v>55.91</v>
      </c>
      <c r="G146">
        <v>47.45</v>
      </c>
      <c r="H146">
        <v>2.75</v>
      </c>
      <c r="I146">
        <v>3.4060000000000001</v>
      </c>
      <c r="J146">
        <v>1.0900000000000001</v>
      </c>
      <c r="K146">
        <v>3</v>
      </c>
      <c r="L146">
        <v>9</v>
      </c>
      <c r="M146">
        <f t="shared" si="4"/>
        <v>1.6048465987280616</v>
      </c>
      <c r="N146">
        <f t="shared" si="5"/>
        <v>76.149971109646529</v>
      </c>
    </row>
    <row r="147" spans="1:14" x14ac:dyDescent="0.25">
      <c r="A147" t="s">
        <v>157</v>
      </c>
      <c r="B147">
        <v>42.259788700000001</v>
      </c>
      <c r="C147">
        <v>3.1049794999999998</v>
      </c>
      <c r="D147">
        <v>1991.1559999999999</v>
      </c>
      <c r="E147">
        <v>51.18</v>
      </c>
      <c r="F147">
        <v>55.81</v>
      </c>
      <c r="G147">
        <v>46.6</v>
      </c>
      <c r="H147">
        <v>2.7509999999999999</v>
      </c>
      <c r="I147">
        <v>3.43</v>
      </c>
      <c r="J147">
        <v>1.1200000000000001</v>
      </c>
      <c r="K147">
        <v>3</v>
      </c>
      <c r="L147">
        <v>9</v>
      </c>
      <c r="M147">
        <f t="shared" si="4"/>
        <v>1.6249819873264342</v>
      </c>
      <c r="N147">
        <f t="shared" si="5"/>
        <v>75.72416060941184</v>
      </c>
    </row>
    <row r="148" spans="1:14" x14ac:dyDescent="0.25">
      <c r="A148" t="s">
        <v>158</v>
      </c>
      <c r="B148">
        <v>42.259877400000001</v>
      </c>
      <c r="C148">
        <v>3.105111</v>
      </c>
      <c r="D148">
        <v>1983.4090000000001</v>
      </c>
      <c r="E148">
        <v>50.4</v>
      </c>
      <c r="F148">
        <v>55.45</v>
      </c>
      <c r="G148">
        <v>45.67</v>
      </c>
      <c r="H148">
        <v>2.746</v>
      </c>
      <c r="I148">
        <v>3.448</v>
      </c>
      <c r="J148">
        <v>1.17</v>
      </c>
      <c r="K148">
        <v>3</v>
      </c>
      <c r="L148">
        <v>9</v>
      </c>
      <c r="M148">
        <f t="shared" si="4"/>
        <v>1.6407354103164122</v>
      </c>
      <c r="N148">
        <f t="shared" si="5"/>
        <v>74.932386189150549</v>
      </c>
    </row>
    <row r="149" spans="1:14" x14ac:dyDescent="0.25">
      <c r="A149" t="s">
        <v>159</v>
      </c>
      <c r="B149">
        <v>42.259964799999999</v>
      </c>
      <c r="C149">
        <v>3.1052411000000002</v>
      </c>
      <c r="D149">
        <v>1976.0809999999999</v>
      </c>
      <c r="E149">
        <v>49.89</v>
      </c>
      <c r="F149">
        <v>55.09</v>
      </c>
      <c r="G149">
        <v>44.59</v>
      </c>
      <c r="H149">
        <v>2.74</v>
      </c>
      <c r="I149">
        <v>3.4620000000000002</v>
      </c>
      <c r="J149">
        <v>1.22</v>
      </c>
      <c r="K149">
        <v>3</v>
      </c>
      <c r="L149">
        <v>9</v>
      </c>
      <c r="M149">
        <f t="shared" si="4"/>
        <v>1.6668104925058225</v>
      </c>
      <c r="N149">
        <f t="shared" si="5"/>
        <v>74.323079860834625</v>
      </c>
    </row>
    <row r="150" spans="1:14" x14ac:dyDescent="0.25">
      <c r="A150" t="s">
        <v>160</v>
      </c>
      <c r="B150">
        <v>42.260050700000001</v>
      </c>
      <c r="C150">
        <v>3.1053696</v>
      </c>
      <c r="D150">
        <v>1968.8710000000001</v>
      </c>
      <c r="E150">
        <v>49.18</v>
      </c>
      <c r="F150">
        <v>54.57</v>
      </c>
      <c r="G150">
        <v>43.61</v>
      </c>
      <c r="H150">
        <v>2.7360000000000002</v>
      </c>
      <c r="I150">
        <v>3.476</v>
      </c>
      <c r="J150">
        <v>1.24</v>
      </c>
      <c r="K150">
        <v>3</v>
      </c>
      <c r="L150">
        <v>9</v>
      </c>
      <c r="M150">
        <f t="shared" si="4"/>
        <v>1.684505020460862</v>
      </c>
      <c r="N150">
        <f t="shared" si="5"/>
        <v>73.461263942298189</v>
      </c>
    </row>
    <row r="151" spans="1:14" x14ac:dyDescent="0.25">
      <c r="A151" t="s">
        <v>161</v>
      </c>
      <c r="B151">
        <v>42.260135099999999</v>
      </c>
      <c r="C151">
        <v>3.1054976000000001</v>
      </c>
      <c r="D151">
        <v>1961.848</v>
      </c>
      <c r="E151">
        <v>48.36</v>
      </c>
      <c r="F151">
        <v>54.31</v>
      </c>
      <c r="G151">
        <v>42.63</v>
      </c>
      <c r="H151">
        <v>2.7389999999999999</v>
      </c>
      <c r="I151">
        <v>3.4889999999999999</v>
      </c>
      <c r="J151">
        <v>1.24</v>
      </c>
      <c r="K151">
        <v>3</v>
      </c>
      <c r="L151">
        <v>9</v>
      </c>
      <c r="M151">
        <f t="shared" si="4"/>
        <v>1.7058518116889783</v>
      </c>
      <c r="N151">
        <f t="shared" si="5"/>
        <v>72.720462732301144</v>
      </c>
    </row>
    <row r="152" spans="1:14" x14ac:dyDescent="0.25">
      <c r="A152" t="s">
        <v>162</v>
      </c>
      <c r="B152">
        <v>42.260218299999998</v>
      </c>
      <c r="C152">
        <v>3.1056249</v>
      </c>
      <c r="D152">
        <v>1954.7639999999999</v>
      </c>
      <c r="E152">
        <v>47.64</v>
      </c>
      <c r="F152">
        <v>53.97</v>
      </c>
      <c r="G152">
        <v>41.83</v>
      </c>
      <c r="H152">
        <v>2.7429999999999999</v>
      </c>
      <c r="I152">
        <v>3.504</v>
      </c>
      <c r="J152">
        <v>1.24</v>
      </c>
      <c r="K152">
        <v>3</v>
      </c>
      <c r="L152">
        <v>9</v>
      </c>
      <c r="M152">
        <f t="shared" si="4"/>
        <v>1.7209755036196965</v>
      </c>
      <c r="N152">
        <f t="shared" si="5"/>
        <v>71.9884053164119</v>
      </c>
    </row>
    <row r="153" spans="1:14" x14ac:dyDescent="0.25">
      <c r="A153" t="s">
        <v>163</v>
      </c>
      <c r="B153">
        <v>42.260299199999999</v>
      </c>
      <c r="C153">
        <v>3.1057508999999999</v>
      </c>
      <c r="D153">
        <v>1947.934</v>
      </c>
      <c r="E153">
        <v>46.49</v>
      </c>
      <c r="F153">
        <v>53.62</v>
      </c>
      <c r="G153">
        <v>40.950000000000003</v>
      </c>
      <c r="H153">
        <v>2.7440000000000002</v>
      </c>
      <c r="I153">
        <v>3.5179999999999998</v>
      </c>
      <c r="J153">
        <v>1.22</v>
      </c>
      <c r="K153">
        <v>3</v>
      </c>
      <c r="L153">
        <v>9</v>
      </c>
      <c r="M153">
        <f t="shared" si="4"/>
        <v>1.7330346972918114</v>
      </c>
      <c r="N153">
        <f t="shared" si="5"/>
        <v>70.967770854099683</v>
      </c>
    </row>
    <row r="154" spans="1:14" x14ac:dyDescent="0.25">
      <c r="A154" t="s">
        <v>164</v>
      </c>
      <c r="B154">
        <v>42.260378199999998</v>
      </c>
      <c r="C154">
        <v>3.1058769000000002</v>
      </c>
      <c r="D154">
        <v>1941.2750000000001</v>
      </c>
      <c r="E154">
        <v>45.47</v>
      </c>
      <c r="F154">
        <v>53.28</v>
      </c>
      <c r="G154">
        <v>40.11</v>
      </c>
      <c r="H154">
        <v>2.7480000000000002</v>
      </c>
      <c r="I154">
        <v>3.5310000000000001</v>
      </c>
      <c r="J154">
        <v>1.21</v>
      </c>
      <c r="K154">
        <v>3</v>
      </c>
      <c r="L154">
        <v>9</v>
      </c>
      <c r="M154">
        <f t="shared" si="4"/>
        <v>1.7463185685032669</v>
      </c>
      <c r="N154">
        <f t="shared" si="5"/>
        <v>70.044837782666036</v>
      </c>
    </row>
    <row r="155" spans="1:14" x14ac:dyDescent="0.25">
      <c r="A155" t="s">
        <v>165</v>
      </c>
      <c r="B155">
        <v>42.260455399999998</v>
      </c>
      <c r="C155">
        <v>3.1060015999999999</v>
      </c>
      <c r="D155">
        <v>1934.7729999999999</v>
      </c>
      <c r="E155">
        <v>44.55</v>
      </c>
      <c r="F155">
        <v>52.81</v>
      </c>
      <c r="G155">
        <v>39.32</v>
      </c>
      <c r="H155">
        <v>2.7519999999999998</v>
      </c>
      <c r="I155">
        <v>3.544</v>
      </c>
      <c r="J155">
        <v>1.18</v>
      </c>
      <c r="K155">
        <v>3</v>
      </c>
      <c r="L155">
        <v>9</v>
      </c>
      <c r="M155">
        <f t="shared" si="4"/>
        <v>1.7571524386265609</v>
      </c>
      <c r="N155">
        <f t="shared" si="5"/>
        <v>69.091233886796374</v>
      </c>
    </row>
    <row r="156" spans="1:14" x14ac:dyDescent="0.25">
      <c r="A156" t="s">
        <v>166</v>
      </c>
      <c r="B156">
        <v>42.260530899999999</v>
      </c>
      <c r="C156">
        <v>3.1061258</v>
      </c>
      <c r="D156">
        <v>1928.384</v>
      </c>
      <c r="E156">
        <v>43.6</v>
      </c>
      <c r="F156">
        <v>52.48</v>
      </c>
      <c r="G156">
        <v>38.56</v>
      </c>
      <c r="H156">
        <v>2.7519999999999998</v>
      </c>
      <c r="I156">
        <v>3.5569999999999999</v>
      </c>
      <c r="J156">
        <v>1.1399999999999999</v>
      </c>
      <c r="K156">
        <v>3</v>
      </c>
      <c r="L156">
        <v>9</v>
      </c>
      <c r="M156">
        <f t="shared" si="4"/>
        <v>1.7694079218381895</v>
      </c>
      <c r="N156">
        <f t="shared" si="5"/>
        <v>68.228369466080593</v>
      </c>
    </row>
    <row r="157" spans="1:14" x14ac:dyDescent="0.25">
      <c r="A157" t="s">
        <v>167</v>
      </c>
      <c r="B157">
        <v>42.260605599999998</v>
      </c>
      <c r="C157">
        <v>3.1062482999999999</v>
      </c>
      <c r="D157">
        <v>1922.047</v>
      </c>
      <c r="E157">
        <v>42.93</v>
      </c>
      <c r="F157">
        <v>51.91</v>
      </c>
      <c r="G157">
        <v>37.83</v>
      </c>
      <c r="H157">
        <v>2.7549999999999999</v>
      </c>
      <c r="I157">
        <v>3.569</v>
      </c>
      <c r="J157">
        <v>1.1399999999999999</v>
      </c>
      <c r="K157">
        <v>3</v>
      </c>
      <c r="L157">
        <v>9</v>
      </c>
      <c r="M157">
        <f t="shared" si="4"/>
        <v>1.7806490916705431</v>
      </c>
      <c r="N157">
        <f t="shared" si="5"/>
        <v>67.361955137896643</v>
      </c>
    </row>
    <row r="158" spans="1:14" x14ac:dyDescent="0.25">
      <c r="A158" t="s">
        <v>168</v>
      </c>
      <c r="B158">
        <v>42.2606787</v>
      </c>
      <c r="C158">
        <v>3.1063695999999998</v>
      </c>
      <c r="D158">
        <v>1915.7180000000001</v>
      </c>
      <c r="E158">
        <v>42.12</v>
      </c>
      <c r="F158">
        <v>51.4</v>
      </c>
      <c r="G158">
        <v>37.19</v>
      </c>
      <c r="H158">
        <v>2.7650000000000001</v>
      </c>
      <c r="I158">
        <v>3.5880000000000001</v>
      </c>
      <c r="J158">
        <v>1.1200000000000001</v>
      </c>
      <c r="K158">
        <v>3</v>
      </c>
      <c r="L158">
        <v>9</v>
      </c>
      <c r="M158">
        <f t="shared" si="4"/>
        <v>1.7868620654472853</v>
      </c>
      <c r="N158">
        <f t="shared" si="5"/>
        <v>66.453400213984537</v>
      </c>
    </row>
    <row r="159" spans="1:14" x14ac:dyDescent="0.25">
      <c r="A159" t="s">
        <v>169</v>
      </c>
      <c r="B159">
        <v>42.260750000000002</v>
      </c>
      <c r="C159">
        <v>3.1064892999999998</v>
      </c>
      <c r="D159">
        <v>1909.404</v>
      </c>
      <c r="E159">
        <v>41.07</v>
      </c>
      <c r="F159">
        <v>50.84</v>
      </c>
      <c r="G159">
        <v>36.6</v>
      </c>
      <c r="H159">
        <v>2.7789999999999999</v>
      </c>
      <c r="I159">
        <v>3.613</v>
      </c>
      <c r="J159">
        <v>1.1000000000000001</v>
      </c>
      <c r="K159">
        <v>3</v>
      </c>
      <c r="L159">
        <v>9</v>
      </c>
      <c r="M159">
        <f t="shared" si="4"/>
        <v>1.7856922079659676</v>
      </c>
      <c r="N159">
        <f t="shared" si="5"/>
        <v>65.356334811554419</v>
      </c>
    </row>
    <row r="160" spans="1:14" x14ac:dyDescent="0.25">
      <c r="A160" t="s">
        <v>170</v>
      </c>
      <c r="B160">
        <v>42.260818999999998</v>
      </c>
      <c r="C160">
        <v>3.1066075</v>
      </c>
      <c r="D160">
        <v>1903.2950000000001</v>
      </c>
      <c r="E160">
        <v>39.97</v>
      </c>
      <c r="F160">
        <v>50.26</v>
      </c>
      <c r="G160">
        <v>35.950000000000003</v>
      </c>
      <c r="H160">
        <v>2.794</v>
      </c>
      <c r="I160">
        <v>3.6339999999999999</v>
      </c>
      <c r="J160">
        <v>1.0900000000000001</v>
      </c>
      <c r="K160">
        <v>3</v>
      </c>
      <c r="L160">
        <v>9</v>
      </c>
      <c r="M160">
        <f t="shared" si="4"/>
        <v>1.786253027629136</v>
      </c>
      <c r="N160">
        <f t="shared" si="5"/>
        <v>64.215796343267442</v>
      </c>
    </row>
    <row r="161" spans="1:14" x14ac:dyDescent="0.25">
      <c r="A161" t="s">
        <v>171</v>
      </c>
      <c r="B161">
        <v>42.2608861</v>
      </c>
      <c r="C161">
        <v>3.1067214999999999</v>
      </c>
      <c r="D161">
        <v>1897.595</v>
      </c>
      <c r="E161">
        <v>39.35</v>
      </c>
      <c r="F161">
        <v>49.29</v>
      </c>
      <c r="G161">
        <v>35.22</v>
      </c>
      <c r="H161">
        <v>2.81</v>
      </c>
      <c r="I161">
        <v>3.6480000000000001</v>
      </c>
      <c r="J161">
        <v>1.07</v>
      </c>
      <c r="K161">
        <v>3</v>
      </c>
      <c r="L161">
        <v>10</v>
      </c>
      <c r="M161">
        <f t="shared" si="4"/>
        <v>1.7907667871060167</v>
      </c>
      <c r="N161">
        <f t="shared" si="5"/>
        <v>63.070806241873903</v>
      </c>
    </row>
    <row r="162" spans="1:14" x14ac:dyDescent="0.25">
      <c r="A162" t="s">
        <v>172</v>
      </c>
      <c r="B162">
        <v>42.2609523</v>
      </c>
      <c r="C162">
        <v>3.1068343999999999</v>
      </c>
      <c r="D162">
        <v>1892.0060000000001</v>
      </c>
      <c r="E162">
        <v>38.700000000000003</v>
      </c>
      <c r="F162">
        <v>48.66</v>
      </c>
      <c r="G162">
        <v>34.49</v>
      </c>
      <c r="H162">
        <v>2.8220000000000001</v>
      </c>
      <c r="I162">
        <v>3.6539999999999999</v>
      </c>
      <c r="J162">
        <v>1.07</v>
      </c>
      <c r="K162">
        <v>3</v>
      </c>
      <c r="L162">
        <v>10</v>
      </c>
      <c r="M162">
        <f t="shared" si="4"/>
        <v>1.802639301897782</v>
      </c>
      <c r="N162">
        <f t="shared" si="5"/>
        <v>62.173029522454506</v>
      </c>
    </row>
    <row r="163" spans="1:14" x14ac:dyDescent="0.25">
      <c r="A163" t="s">
        <v>173</v>
      </c>
      <c r="B163">
        <v>42.261017899999999</v>
      </c>
      <c r="C163">
        <v>3.1069461999999999</v>
      </c>
      <c r="D163">
        <v>1886.423</v>
      </c>
      <c r="E163">
        <v>38.31</v>
      </c>
      <c r="F163">
        <v>48.09</v>
      </c>
      <c r="G163">
        <v>33.89</v>
      </c>
      <c r="H163">
        <v>2.835</v>
      </c>
      <c r="I163">
        <v>3.6539999999999999</v>
      </c>
      <c r="J163">
        <v>1.06</v>
      </c>
      <c r="K163">
        <v>3</v>
      </c>
      <c r="L163">
        <v>10</v>
      </c>
      <c r="M163">
        <f t="shared" si="4"/>
        <v>1.8142277501526076</v>
      </c>
      <c r="N163">
        <f t="shared" si="5"/>
        <v>61.484178452671877</v>
      </c>
    </row>
    <row r="164" spans="1:14" x14ac:dyDescent="0.25">
      <c r="A164" t="s">
        <v>174</v>
      </c>
      <c r="B164">
        <v>42.261082600000002</v>
      </c>
      <c r="C164">
        <v>3.1070554000000001</v>
      </c>
      <c r="D164">
        <v>1880.8630000000001</v>
      </c>
      <c r="E164">
        <v>37.840000000000003</v>
      </c>
      <c r="F164">
        <v>47.17</v>
      </c>
      <c r="G164">
        <v>33.340000000000003</v>
      </c>
      <c r="H164">
        <v>2.8439999999999999</v>
      </c>
      <c r="I164">
        <v>3.6560000000000001</v>
      </c>
      <c r="J164">
        <v>1.03</v>
      </c>
      <c r="K164">
        <v>3</v>
      </c>
      <c r="L164">
        <v>10</v>
      </c>
      <c r="M164">
        <f t="shared" si="4"/>
        <v>1.8138001461068289</v>
      </c>
      <c r="N164">
        <f t="shared" si="5"/>
        <v>60.472096871201686</v>
      </c>
    </row>
    <row r="165" spans="1:14" x14ac:dyDescent="0.25">
      <c r="A165" t="s">
        <v>175</v>
      </c>
      <c r="B165">
        <v>42.261147000000001</v>
      </c>
      <c r="C165">
        <v>3.1071645000000001</v>
      </c>
      <c r="D165">
        <v>1875.248</v>
      </c>
      <c r="E165">
        <v>37.31</v>
      </c>
      <c r="F165">
        <v>46.67</v>
      </c>
      <c r="G165">
        <v>32.880000000000003</v>
      </c>
      <c r="H165">
        <v>2.8519999999999999</v>
      </c>
      <c r="I165">
        <v>3.6539999999999999</v>
      </c>
      <c r="J165">
        <v>1.02</v>
      </c>
      <c r="K165">
        <v>3</v>
      </c>
      <c r="L165">
        <v>10</v>
      </c>
      <c r="M165">
        <f t="shared" si="4"/>
        <v>1.8172300185603183</v>
      </c>
      <c r="N165">
        <f t="shared" si="5"/>
        <v>59.750523010263272</v>
      </c>
    </row>
    <row r="166" spans="1:14" x14ac:dyDescent="0.25">
      <c r="A166" t="s">
        <v>176</v>
      </c>
      <c r="B166">
        <v>42.261210599999998</v>
      </c>
      <c r="C166">
        <v>3.1072730000000002</v>
      </c>
      <c r="D166">
        <v>1869.6079999999999</v>
      </c>
      <c r="E166">
        <v>36.770000000000003</v>
      </c>
      <c r="F166">
        <v>46.22</v>
      </c>
      <c r="G166">
        <v>32.5</v>
      </c>
      <c r="H166">
        <v>2.859</v>
      </c>
      <c r="I166">
        <v>3.6539999999999999</v>
      </c>
      <c r="J166">
        <v>1.01</v>
      </c>
      <c r="K166">
        <v>3</v>
      </c>
      <c r="L166">
        <v>10</v>
      </c>
      <c r="M166">
        <f t="shared" si="4"/>
        <v>1.8172926869547379</v>
      </c>
      <c r="N166">
        <f t="shared" si="5"/>
        <v>59.062012326028984</v>
      </c>
    </row>
    <row r="167" spans="1:14" x14ac:dyDescent="0.25">
      <c r="A167" t="s">
        <v>177</v>
      </c>
      <c r="B167">
        <v>42.261274399999998</v>
      </c>
      <c r="C167">
        <v>3.1073799000000002</v>
      </c>
      <c r="D167">
        <v>1863.761</v>
      </c>
      <c r="E167">
        <v>36.47</v>
      </c>
      <c r="F167">
        <v>45.45</v>
      </c>
      <c r="G167">
        <v>32.24</v>
      </c>
      <c r="H167">
        <v>2.8730000000000002</v>
      </c>
      <c r="I167">
        <v>3.665</v>
      </c>
      <c r="J167">
        <v>1.04</v>
      </c>
      <c r="K167">
        <v>3</v>
      </c>
      <c r="L167">
        <v>9</v>
      </c>
      <c r="M167">
        <f t="shared" si="4"/>
        <v>1.8074807406709033</v>
      </c>
      <c r="N167">
        <f t="shared" si="5"/>
        <v>58.273179079229926</v>
      </c>
    </row>
    <row r="168" spans="1:14" x14ac:dyDescent="0.25">
      <c r="A168" t="s">
        <v>178</v>
      </c>
      <c r="B168">
        <v>42.261337599999997</v>
      </c>
      <c r="C168">
        <v>3.1074853</v>
      </c>
      <c r="D168">
        <v>1857.924</v>
      </c>
      <c r="E168">
        <v>35.950000000000003</v>
      </c>
      <c r="F168">
        <v>44.77</v>
      </c>
      <c r="G168">
        <v>31.98</v>
      </c>
      <c r="H168">
        <v>2.8889999999999998</v>
      </c>
      <c r="I168">
        <v>3.6840000000000002</v>
      </c>
      <c r="J168">
        <v>1.04</v>
      </c>
      <c r="K168">
        <v>3</v>
      </c>
      <c r="L168">
        <v>9</v>
      </c>
      <c r="M168">
        <f t="shared" si="4"/>
        <v>1.7954152252098323</v>
      </c>
      <c r="N168">
        <f t="shared" si="5"/>
        <v>57.417378902210437</v>
      </c>
    </row>
    <row r="169" spans="1:14" x14ac:dyDescent="0.25">
      <c r="A169" t="s">
        <v>179</v>
      </c>
      <c r="B169">
        <v>42.261399400000002</v>
      </c>
      <c r="C169">
        <v>3.1075903</v>
      </c>
      <c r="D169">
        <v>1852.261</v>
      </c>
      <c r="E169">
        <v>35.369999999999997</v>
      </c>
      <c r="F169">
        <v>44.41</v>
      </c>
      <c r="G169">
        <v>31.68</v>
      </c>
      <c r="H169">
        <v>2.9009999999999998</v>
      </c>
      <c r="I169">
        <v>3.6949999999999998</v>
      </c>
      <c r="J169">
        <v>1.04</v>
      </c>
      <c r="K169">
        <v>3</v>
      </c>
      <c r="L169">
        <v>9</v>
      </c>
      <c r="M169">
        <f t="shared" si="4"/>
        <v>1.7921080087430612</v>
      </c>
      <c r="N169">
        <f t="shared" si="5"/>
        <v>56.773981716980181</v>
      </c>
    </row>
    <row r="170" spans="1:14" x14ac:dyDescent="0.25">
      <c r="A170" t="s">
        <v>180</v>
      </c>
      <c r="B170">
        <v>42.261460700000001</v>
      </c>
      <c r="C170">
        <v>3.1076942999999999</v>
      </c>
      <c r="D170">
        <v>1846.4380000000001</v>
      </c>
      <c r="E170">
        <v>34.81</v>
      </c>
      <c r="F170">
        <v>43.88</v>
      </c>
      <c r="G170">
        <v>31.5</v>
      </c>
      <c r="H170">
        <v>2.919</v>
      </c>
      <c r="I170">
        <v>3.7189999999999999</v>
      </c>
      <c r="J170">
        <v>1.05</v>
      </c>
      <c r="K170">
        <v>3</v>
      </c>
      <c r="L170">
        <v>9</v>
      </c>
      <c r="M170">
        <f t="shared" si="4"/>
        <v>1.7781151890691413</v>
      </c>
      <c r="N170">
        <f t="shared" si="5"/>
        <v>56.010628455677953</v>
      </c>
    </row>
    <row r="171" spans="1:14" x14ac:dyDescent="0.25">
      <c r="A171" t="s">
        <v>181</v>
      </c>
      <c r="B171">
        <v>42.261521000000002</v>
      </c>
      <c r="C171">
        <v>3.1077976999999999</v>
      </c>
      <c r="D171">
        <v>1840.61</v>
      </c>
      <c r="E171">
        <v>34.21</v>
      </c>
      <c r="F171">
        <v>43.57</v>
      </c>
      <c r="G171">
        <v>31.33</v>
      </c>
      <c r="H171">
        <v>2.9279999999999999</v>
      </c>
      <c r="I171">
        <v>3.742</v>
      </c>
      <c r="J171">
        <v>1.04</v>
      </c>
      <c r="K171">
        <v>3</v>
      </c>
      <c r="L171">
        <v>9</v>
      </c>
      <c r="M171">
        <f t="shared" si="4"/>
        <v>1.7681317719377896</v>
      </c>
      <c r="N171">
        <f t="shared" si="5"/>
        <v>55.395568414810946</v>
      </c>
    </row>
    <row r="172" spans="1:14" x14ac:dyDescent="0.25">
      <c r="A172" t="s">
        <v>182</v>
      </c>
      <c r="B172">
        <v>42.2615804</v>
      </c>
      <c r="C172">
        <v>3.1079001000000002</v>
      </c>
      <c r="D172">
        <v>1834.798</v>
      </c>
      <c r="E172">
        <v>33.82</v>
      </c>
      <c r="F172">
        <v>43.25</v>
      </c>
      <c r="G172">
        <v>31.21</v>
      </c>
      <c r="H172">
        <v>2.9319999999999999</v>
      </c>
      <c r="I172">
        <v>3.754</v>
      </c>
      <c r="J172">
        <v>1.03</v>
      </c>
      <c r="K172">
        <v>3</v>
      </c>
      <c r="L172">
        <v>9</v>
      </c>
      <c r="M172">
        <f t="shared" si="4"/>
        <v>1.7591522292822295</v>
      </c>
      <c r="N172">
        <f t="shared" si="5"/>
        <v>54.903141075898382</v>
      </c>
    </row>
    <row r="173" spans="1:14" x14ac:dyDescent="0.25">
      <c r="A173" t="s">
        <v>183</v>
      </c>
      <c r="B173">
        <v>42.261638400000002</v>
      </c>
      <c r="C173">
        <v>3.1080009999999998</v>
      </c>
      <c r="D173">
        <v>1828.98</v>
      </c>
      <c r="E173">
        <v>33.020000000000003</v>
      </c>
      <c r="F173">
        <v>42.85</v>
      </c>
      <c r="G173">
        <v>31.08</v>
      </c>
      <c r="H173">
        <v>2.9289999999999998</v>
      </c>
      <c r="I173">
        <v>3.758</v>
      </c>
      <c r="J173">
        <v>1</v>
      </c>
      <c r="K173">
        <v>3</v>
      </c>
      <c r="L173">
        <v>10</v>
      </c>
      <c r="M173">
        <f t="shared" si="4"/>
        <v>1.7405600740823417</v>
      </c>
      <c r="N173">
        <f t="shared" si="5"/>
        <v>54.096607102479176</v>
      </c>
    </row>
    <row r="174" spans="1:14" x14ac:dyDescent="0.25">
      <c r="A174" t="s">
        <v>184</v>
      </c>
      <c r="B174">
        <v>42.261695000000003</v>
      </c>
      <c r="C174">
        <v>3.1081021</v>
      </c>
      <c r="D174">
        <v>1823.1590000000001</v>
      </c>
      <c r="E174">
        <v>32.18</v>
      </c>
      <c r="F174">
        <v>42.66</v>
      </c>
      <c r="G174">
        <v>30.98</v>
      </c>
      <c r="H174">
        <v>2.92</v>
      </c>
      <c r="I174">
        <v>3.7519999999999998</v>
      </c>
      <c r="J174">
        <v>0.97</v>
      </c>
      <c r="K174">
        <v>3</v>
      </c>
      <c r="L174">
        <v>10</v>
      </c>
      <c r="M174">
        <f t="shared" si="4"/>
        <v>1.7248613607187759</v>
      </c>
      <c r="N174">
        <f t="shared" si="5"/>
        <v>53.43620495506768</v>
      </c>
    </row>
    <row r="175" spans="1:14" x14ac:dyDescent="0.25">
      <c r="A175" t="s">
        <v>185</v>
      </c>
      <c r="B175">
        <v>42.261749999999999</v>
      </c>
      <c r="C175">
        <v>3.1082029000000002</v>
      </c>
      <c r="D175">
        <v>1817.268</v>
      </c>
      <c r="E175">
        <v>31.27</v>
      </c>
      <c r="F175">
        <v>42.43</v>
      </c>
      <c r="G175">
        <v>30.94</v>
      </c>
      <c r="H175">
        <v>2.907</v>
      </c>
      <c r="I175">
        <v>3.7450000000000001</v>
      </c>
      <c r="J175">
        <v>0.96</v>
      </c>
      <c r="K175">
        <v>3</v>
      </c>
      <c r="L175">
        <v>10</v>
      </c>
      <c r="M175">
        <f t="shared" si="4"/>
        <v>1.7035505269811571</v>
      </c>
      <c r="N175">
        <f t="shared" si="5"/>
        <v>52.707853304796998</v>
      </c>
    </row>
    <row r="176" spans="1:14" x14ac:dyDescent="0.25">
      <c r="A176" t="s">
        <v>186</v>
      </c>
      <c r="B176">
        <v>42.261803700000002</v>
      </c>
      <c r="C176">
        <v>3.1083042000000001</v>
      </c>
      <c r="D176">
        <v>1811.2639999999999</v>
      </c>
      <c r="E176">
        <v>30.32</v>
      </c>
      <c r="F176">
        <v>42.22</v>
      </c>
      <c r="G176">
        <v>30.94</v>
      </c>
      <c r="H176">
        <v>2.907</v>
      </c>
      <c r="I176">
        <v>3.7429999999999999</v>
      </c>
      <c r="J176">
        <v>0.98</v>
      </c>
      <c r="K176">
        <v>3</v>
      </c>
      <c r="L176">
        <v>10</v>
      </c>
      <c r="M176">
        <f t="shared" si="4"/>
        <v>1.6799980000938801</v>
      </c>
      <c r="N176">
        <f t="shared" si="5"/>
        <v>51.979138122904651</v>
      </c>
    </row>
    <row r="177" spans="1:14" x14ac:dyDescent="0.25">
      <c r="A177" t="s">
        <v>187</v>
      </c>
      <c r="B177">
        <v>42.261854900000003</v>
      </c>
      <c r="C177">
        <v>3.1084046000000001</v>
      </c>
      <c r="D177">
        <v>1805.3679999999999</v>
      </c>
      <c r="E177">
        <v>29.23</v>
      </c>
      <c r="F177">
        <v>41.96</v>
      </c>
      <c r="G177">
        <v>30.93</v>
      </c>
      <c r="H177">
        <v>2.9079999999999999</v>
      </c>
      <c r="I177">
        <v>3.7469999999999999</v>
      </c>
      <c r="J177">
        <v>0.98</v>
      </c>
      <c r="K177">
        <v>3</v>
      </c>
      <c r="L177">
        <v>10</v>
      </c>
      <c r="M177">
        <f t="shared" si="4"/>
        <v>1.6533271267293521</v>
      </c>
      <c r="N177">
        <f t="shared" si="5"/>
        <v>51.137408029738857</v>
      </c>
    </row>
    <row r="178" spans="1:14" x14ac:dyDescent="0.25">
      <c r="A178" t="s">
        <v>188</v>
      </c>
      <c r="B178">
        <v>42.261904299999998</v>
      </c>
      <c r="C178">
        <v>3.1085039999999999</v>
      </c>
      <c r="D178">
        <v>1799.3820000000001</v>
      </c>
      <c r="E178">
        <v>28.21</v>
      </c>
      <c r="F178">
        <v>41.63</v>
      </c>
      <c r="G178">
        <v>31.02</v>
      </c>
      <c r="H178">
        <v>2.9009999999999998</v>
      </c>
      <c r="I178">
        <v>3.74</v>
      </c>
      <c r="J178">
        <v>0.96</v>
      </c>
      <c r="K178">
        <v>3</v>
      </c>
      <c r="L178">
        <v>10</v>
      </c>
      <c r="M178">
        <f t="shared" si="4"/>
        <v>1.6211406130323112</v>
      </c>
      <c r="N178">
        <f t="shared" si="5"/>
        <v>50.287781816262289</v>
      </c>
    </row>
    <row r="179" spans="1:14" x14ac:dyDescent="0.25">
      <c r="A179" t="s">
        <v>189</v>
      </c>
      <c r="B179">
        <v>42.261952700000002</v>
      </c>
      <c r="C179">
        <v>3.1086038</v>
      </c>
      <c r="D179">
        <v>1793.34</v>
      </c>
      <c r="E179">
        <v>27.51</v>
      </c>
      <c r="F179">
        <v>41.48</v>
      </c>
      <c r="G179">
        <v>31.11</v>
      </c>
      <c r="H179">
        <v>2.8980000000000001</v>
      </c>
      <c r="I179">
        <v>3.7349999999999999</v>
      </c>
      <c r="J179">
        <v>0.95</v>
      </c>
      <c r="K179">
        <v>3</v>
      </c>
      <c r="L179">
        <v>10</v>
      </c>
      <c r="M179">
        <f t="shared" si="4"/>
        <v>1.5999161519065568</v>
      </c>
      <c r="N179">
        <f t="shared" si="5"/>
        <v>49.773391485812979</v>
      </c>
    </row>
    <row r="180" spans="1:14" x14ac:dyDescent="0.25">
      <c r="A180" t="s">
        <v>190</v>
      </c>
      <c r="B180">
        <v>42.261999600000003</v>
      </c>
      <c r="C180">
        <v>3.1087028000000001</v>
      </c>
      <c r="D180">
        <v>1787.171</v>
      </c>
      <c r="E180">
        <v>26.66</v>
      </c>
      <c r="F180">
        <v>41.26</v>
      </c>
      <c r="G180">
        <v>31.28</v>
      </c>
      <c r="H180">
        <v>2.89</v>
      </c>
      <c r="I180">
        <v>3.7210000000000001</v>
      </c>
      <c r="J180">
        <v>0.93</v>
      </c>
      <c r="K180">
        <v>3</v>
      </c>
      <c r="L180">
        <v>10</v>
      </c>
      <c r="M180">
        <f t="shared" si="4"/>
        <v>1.5704524913112801</v>
      </c>
      <c r="N180">
        <f t="shared" si="5"/>
        <v>49.123753928216843</v>
      </c>
    </row>
    <row r="181" spans="1:14" x14ac:dyDescent="0.25">
      <c r="A181" t="s">
        <v>191</v>
      </c>
      <c r="B181">
        <v>42.262044199999998</v>
      </c>
      <c r="C181">
        <v>3.1088018000000002</v>
      </c>
      <c r="D181">
        <v>1780.9390000000001</v>
      </c>
      <c r="E181">
        <v>25.45</v>
      </c>
      <c r="F181">
        <v>41.16</v>
      </c>
      <c r="G181">
        <v>31.43</v>
      </c>
      <c r="H181">
        <v>2.8780000000000001</v>
      </c>
      <c r="I181">
        <v>3.702</v>
      </c>
      <c r="J181">
        <v>0.91</v>
      </c>
      <c r="K181">
        <v>3</v>
      </c>
      <c r="L181">
        <v>10</v>
      </c>
      <c r="M181">
        <f t="shared" si="4"/>
        <v>1.5396959943470996</v>
      </c>
      <c r="N181">
        <f t="shared" si="5"/>
        <v>48.39264510232934</v>
      </c>
    </row>
    <row r="182" spans="1:14" x14ac:dyDescent="0.25">
      <c r="A182" t="s">
        <v>192</v>
      </c>
      <c r="B182">
        <v>42.262087299999997</v>
      </c>
      <c r="C182">
        <v>3.1089007</v>
      </c>
      <c r="D182">
        <v>1774.558</v>
      </c>
      <c r="E182">
        <v>24.51</v>
      </c>
      <c r="F182">
        <v>40.94</v>
      </c>
      <c r="G182">
        <v>31.66</v>
      </c>
      <c r="H182">
        <v>2.867</v>
      </c>
      <c r="I182">
        <v>3.6880000000000002</v>
      </c>
      <c r="J182">
        <v>0.88</v>
      </c>
      <c r="K182">
        <v>3</v>
      </c>
      <c r="L182">
        <v>10</v>
      </c>
      <c r="M182">
        <f t="shared" si="4"/>
        <v>1.5071406763001343</v>
      </c>
      <c r="N182">
        <f t="shared" si="5"/>
        <v>47.716073811662248</v>
      </c>
    </row>
    <row r="183" spans="1:14" x14ac:dyDescent="0.25">
      <c r="A183" t="s">
        <v>193</v>
      </c>
      <c r="B183">
        <v>42.262127800000002</v>
      </c>
      <c r="C183">
        <v>3.1089978999999999</v>
      </c>
      <c r="D183">
        <v>1768.2719999999999</v>
      </c>
      <c r="E183">
        <v>23.37</v>
      </c>
      <c r="F183">
        <v>40.659999999999997</v>
      </c>
      <c r="G183">
        <v>31.8</v>
      </c>
      <c r="H183">
        <v>2.8359999999999999</v>
      </c>
      <c r="I183">
        <v>3.6549999999999998</v>
      </c>
      <c r="J183">
        <v>0.84</v>
      </c>
      <c r="K183">
        <v>3</v>
      </c>
      <c r="L183">
        <v>10</v>
      </c>
      <c r="M183">
        <f t="shared" si="4"/>
        <v>1.4747698484072465</v>
      </c>
      <c r="N183">
        <f t="shared" si="5"/>
        <v>46.897681179350435</v>
      </c>
    </row>
    <row r="184" spans="1:14" x14ac:dyDescent="0.25">
      <c r="A184" t="s">
        <v>194</v>
      </c>
      <c r="B184">
        <v>42.262166399999998</v>
      </c>
      <c r="C184">
        <v>3.1090949000000001</v>
      </c>
      <c r="D184">
        <v>1761.5719999999999</v>
      </c>
      <c r="E184">
        <v>22.18</v>
      </c>
      <c r="F184">
        <v>40.15</v>
      </c>
      <c r="G184">
        <v>32.229999999999997</v>
      </c>
      <c r="H184">
        <v>2.8119999999999998</v>
      </c>
      <c r="I184">
        <v>3.6139999999999999</v>
      </c>
      <c r="J184">
        <v>0.84</v>
      </c>
      <c r="K184">
        <v>3</v>
      </c>
      <c r="L184">
        <v>10</v>
      </c>
      <c r="M184">
        <f t="shared" si="4"/>
        <v>1.4231804579863772</v>
      </c>
      <c r="N184">
        <f t="shared" si="5"/>
        <v>45.869106160900934</v>
      </c>
    </row>
    <row r="185" spans="1:14" x14ac:dyDescent="0.25">
      <c r="A185" t="s">
        <v>195</v>
      </c>
      <c r="B185">
        <v>42.262202799999997</v>
      </c>
      <c r="C185">
        <v>3.1091912000000002</v>
      </c>
      <c r="D185">
        <v>1754.742</v>
      </c>
      <c r="E185">
        <v>20.94</v>
      </c>
      <c r="F185">
        <v>39.72</v>
      </c>
      <c r="G185">
        <v>32.619999999999997</v>
      </c>
      <c r="H185">
        <v>2.7919999999999998</v>
      </c>
      <c r="I185">
        <v>3.581</v>
      </c>
      <c r="J185">
        <v>0.83</v>
      </c>
      <c r="K185">
        <v>3</v>
      </c>
      <c r="L185">
        <v>10</v>
      </c>
      <c r="M185">
        <f t="shared" si="4"/>
        <v>1.3765080508409051</v>
      </c>
      <c r="N185">
        <f t="shared" si="5"/>
        <v>44.901692618430324</v>
      </c>
    </row>
    <row r="186" spans="1:14" x14ac:dyDescent="0.25">
      <c r="A186" t="s">
        <v>196</v>
      </c>
      <c r="B186">
        <v>42.262236299999998</v>
      </c>
      <c r="C186">
        <v>3.1092859000000002</v>
      </c>
      <c r="D186">
        <v>1747.9680000000001</v>
      </c>
      <c r="E186">
        <v>19.55</v>
      </c>
      <c r="F186">
        <v>39.22</v>
      </c>
      <c r="G186">
        <v>32.93</v>
      </c>
      <c r="H186">
        <v>2.7679999999999998</v>
      </c>
      <c r="I186">
        <v>3.556</v>
      </c>
      <c r="J186">
        <v>0.82</v>
      </c>
      <c r="K186">
        <v>3</v>
      </c>
      <c r="L186">
        <v>10</v>
      </c>
      <c r="M186">
        <f t="shared" si="4"/>
        <v>1.3307771965651585</v>
      </c>
      <c r="N186">
        <f t="shared" si="5"/>
        <v>43.822493082890666</v>
      </c>
    </row>
    <row r="187" spans="1:14" x14ac:dyDescent="0.25">
      <c r="A187" t="s">
        <v>197</v>
      </c>
      <c r="B187">
        <v>42.262267899999998</v>
      </c>
      <c r="C187">
        <v>3.1093787000000002</v>
      </c>
      <c r="D187">
        <v>1740.9449999999999</v>
      </c>
      <c r="E187">
        <v>18.399999999999999</v>
      </c>
      <c r="F187">
        <v>38.340000000000003</v>
      </c>
      <c r="G187">
        <v>33.380000000000003</v>
      </c>
      <c r="H187">
        <v>2.7389999999999999</v>
      </c>
      <c r="I187">
        <v>3.53</v>
      </c>
      <c r="J187">
        <v>0.78</v>
      </c>
      <c r="K187">
        <v>3</v>
      </c>
      <c r="L187">
        <v>10</v>
      </c>
      <c r="M187">
        <f t="shared" si="4"/>
        <v>1.2740157508910659</v>
      </c>
      <c r="N187">
        <f t="shared" si="5"/>
        <v>42.526645764743783</v>
      </c>
    </row>
    <row r="188" spans="1:14" x14ac:dyDescent="0.25">
      <c r="A188" t="s">
        <v>198</v>
      </c>
      <c r="B188">
        <v>42.262295999999999</v>
      </c>
      <c r="C188">
        <v>3.1094719999999998</v>
      </c>
      <c r="D188">
        <v>1733.8109999999999</v>
      </c>
      <c r="E188">
        <v>16.64</v>
      </c>
      <c r="F188">
        <v>38.159999999999997</v>
      </c>
      <c r="G188">
        <v>33.76</v>
      </c>
      <c r="H188">
        <v>2.7280000000000002</v>
      </c>
      <c r="I188">
        <v>3.528</v>
      </c>
      <c r="J188">
        <v>0.81</v>
      </c>
      <c r="K188">
        <v>3</v>
      </c>
      <c r="L188">
        <v>10</v>
      </c>
      <c r="M188">
        <f t="shared" si="4"/>
        <v>1.2331226241954383</v>
      </c>
      <c r="N188">
        <f t="shared" si="5"/>
        <v>41.630219792837991</v>
      </c>
    </row>
    <row r="189" spans="1:14" x14ac:dyDescent="0.25">
      <c r="A189" t="s">
        <v>199</v>
      </c>
      <c r="B189">
        <v>42.262323299999998</v>
      </c>
      <c r="C189">
        <v>3.1095622999999999</v>
      </c>
      <c r="D189">
        <v>1726.3710000000001</v>
      </c>
      <c r="E189">
        <v>15.81</v>
      </c>
      <c r="F189">
        <v>37</v>
      </c>
      <c r="G189">
        <v>34.39</v>
      </c>
      <c r="H189">
        <v>2.718</v>
      </c>
      <c r="I189">
        <v>3.5129999999999999</v>
      </c>
      <c r="J189">
        <v>0.81</v>
      </c>
      <c r="K189">
        <v>3</v>
      </c>
      <c r="L189">
        <v>10</v>
      </c>
      <c r="M189">
        <f t="shared" si="4"/>
        <v>1.1699986494106518</v>
      </c>
      <c r="N189">
        <f t="shared" si="5"/>
        <v>40.236253553232316</v>
      </c>
    </row>
    <row r="190" spans="1:14" x14ac:dyDescent="0.25">
      <c r="A190" t="s">
        <v>200</v>
      </c>
      <c r="B190">
        <v>42.262347900000002</v>
      </c>
      <c r="C190">
        <v>3.1096531999999999</v>
      </c>
      <c r="D190">
        <v>1718.903</v>
      </c>
      <c r="E190">
        <v>14.55</v>
      </c>
      <c r="F190">
        <v>37.22</v>
      </c>
      <c r="G190">
        <v>34.92</v>
      </c>
      <c r="H190">
        <v>2.7160000000000002</v>
      </c>
      <c r="I190">
        <v>3.5110000000000001</v>
      </c>
      <c r="J190">
        <v>0.82</v>
      </c>
      <c r="K190">
        <v>3</v>
      </c>
      <c r="L190">
        <v>10</v>
      </c>
      <c r="M190">
        <f t="shared" ref="M190:M200" si="6">(SQRT((E190^2)+(F190^2)))/G190</f>
        <v>1.1444120565900759</v>
      </c>
      <c r="N190">
        <f t="shared" si="5"/>
        <v>39.962869016125453</v>
      </c>
    </row>
    <row r="191" spans="1:14" x14ac:dyDescent="0.25">
      <c r="A191" t="s">
        <v>201</v>
      </c>
      <c r="B191">
        <v>42.262370599999997</v>
      </c>
      <c r="C191">
        <v>3.1097412000000002</v>
      </c>
      <c r="D191">
        <v>1711.1369999999999</v>
      </c>
      <c r="E191">
        <v>13.55</v>
      </c>
      <c r="F191">
        <v>36.25</v>
      </c>
      <c r="G191">
        <v>35.65</v>
      </c>
      <c r="H191">
        <v>2.702</v>
      </c>
      <c r="I191">
        <v>3.4980000000000002</v>
      </c>
      <c r="J191">
        <v>0.8</v>
      </c>
      <c r="K191">
        <v>3</v>
      </c>
      <c r="L191">
        <v>10</v>
      </c>
      <c r="M191">
        <f t="shared" si="6"/>
        <v>1.0855449369210679</v>
      </c>
      <c r="N191">
        <f t="shared" si="5"/>
        <v>38.699677001236068</v>
      </c>
    </row>
    <row r="192" spans="1:14" x14ac:dyDescent="0.25">
      <c r="A192" t="s">
        <v>202</v>
      </c>
      <c r="B192">
        <v>42.262391600000001</v>
      </c>
      <c r="C192">
        <v>3.1098276</v>
      </c>
      <c r="D192">
        <v>1703.2940000000001</v>
      </c>
      <c r="E192">
        <v>12.55</v>
      </c>
      <c r="F192">
        <v>35.630000000000003</v>
      </c>
      <c r="G192">
        <v>36.299999999999997</v>
      </c>
      <c r="H192">
        <v>2.6859999999999999</v>
      </c>
      <c r="I192">
        <v>3.4870000000000001</v>
      </c>
      <c r="J192">
        <v>0.78</v>
      </c>
      <c r="K192">
        <v>3</v>
      </c>
      <c r="L192">
        <v>10</v>
      </c>
      <c r="M192">
        <f t="shared" si="6"/>
        <v>1.0406513937582464</v>
      </c>
      <c r="N192">
        <f t="shared" si="5"/>
        <v>37.775645593424343</v>
      </c>
    </row>
    <row r="193" spans="1:14" x14ac:dyDescent="0.25">
      <c r="A193" t="s">
        <v>203</v>
      </c>
      <c r="B193">
        <v>42.262410899999999</v>
      </c>
      <c r="C193">
        <v>3.1099133000000001</v>
      </c>
      <c r="D193">
        <v>1695.415</v>
      </c>
      <c r="E193">
        <v>11.51</v>
      </c>
      <c r="F193">
        <v>35.29</v>
      </c>
      <c r="G193">
        <v>36.82</v>
      </c>
      <c r="H193">
        <v>2.6720000000000002</v>
      </c>
      <c r="I193">
        <v>3.4830000000000001</v>
      </c>
      <c r="J193">
        <v>0.78</v>
      </c>
      <c r="K193">
        <v>3</v>
      </c>
      <c r="L193">
        <v>10</v>
      </c>
      <c r="M193">
        <f t="shared" si="6"/>
        <v>1.0081366976908726</v>
      </c>
      <c r="N193">
        <f t="shared" si="5"/>
        <v>37.119593208977925</v>
      </c>
    </row>
    <row r="194" spans="1:14" x14ac:dyDescent="0.25">
      <c r="A194" t="s">
        <v>204</v>
      </c>
      <c r="B194">
        <v>42.262428300000003</v>
      </c>
      <c r="C194">
        <v>3.1099982000000002</v>
      </c>
      <c r="D194">
        <v>1687.454</v>
      </c>
      <c r="E194">
        <v>10.63</v>
      </c>
      <c r="F194">
        <v>35.090000000000003</v>
      </c>
      <c r="G194">
        <v>37.36</v>
      </c>
      <c r="H194">
        <v>2.6360000000000001</v>
      </c>
      <c r="I194">
        <v>3.4540000000000002</v>
      </c>
      <c r="J194">
        <v>0.74</v>
      </c>
      <c r="K194">
        <v>3</v>
      </c>
      <c r="L194">
        <v>10</v>
      </c>
      <c r="M194">
        <f t="shared" si="6"/>
        <v>0.98139092885992452</v>
      </c>
      <c r="N194">
        <f t="shared" si="5"/>
        <v>36.664765102206779</v>
      </c>
    </row>
    <row r="195" spans="1:14" x14ac:dyDescent="0.25">
      <c r="A195" t="s">
        <v>205</v>
      </c>
      <c r="B195">
        <v>42.2624438</v>
      </c>
      <c r="C195">
        <v>3.1100840000000001</v>
      </c>
      <c r="D195">
        <v>1679.192</v>
      </c>
      <c r="E195">
        <v>9.67</v>
      </c>
      <c r="F195">
        <v>35.19</v>
      </c>
      <c r="G195">
        <v>38.06</v>
      </c>
      <c r="H195">
        <v>2.5990000000000002</v>
      </c>
      <c r="I195">
        <v>3.4209999999999998</v>
      </c>
      <c r="J195">
        <v>0.74</v>
      </c>
      <c r="K195">
        <v>3</v>
      </c>
      <c r="L195">
        <v>10</v>
      </c>
      <c r="M195">
        <f t="shared" si="6"/>
        <v>0.95886630670233175</v>
      </c>
      <c r="N195">
        <f t="shared" ref="N195:N200" si="7">(SQRT((E195^2)+(F195^2)))</f>
        <v>36.494451633090748</v>
      </c>
    </row>
    <row r="196" spans="1:14" x14ac:dyDescent="0.25">
      <c r="A196" t="s">
        <v>206</v>
      </c>
      <c r="B196">
        <v>42.2624578</v>
      </c>
      <c r="C196">
        <v>3.1101706999999998</v>
      </c>
      <c r="D196">
        <v>1670.9</v>
      </c>
      <c r="E196">
        <v>8.6999999999999993</v>
      </c>
      <c r="F196">
        <v>35.450000000000003</v>
      </c>
      <c r="G196">
        <v>38.630000000000003</v>
      </c>
      <c r="H196">
        <v>2.5779999999999998</v>
      </c>
      <c r="I196">
        <v>3.3929999999999998</v>
      </c>
      <c r="J196">
        <v>0.76</v>
      </c>
      <c r="K196">
        <v>3</v>
      </c>
      <c r="L196">
        <v>10</v>
      </c>
      <c r="M196">
        <f t="shared" si="6"/>
        <v>0.94491203734399254</v>
      </c>
      <c r="N196">
        <f t="shared" si="7"/>
        <v>36.501952002598436</v>
      </c>
    </row>
    <row r="197" spans="1:14" x14ac:dyDescent="0.25">
      <c r="A197" t="s">
        <v>207</v>
      </c>
      <c r="B197">
        <v>42.2624712</v>
      </c>
      <c r="C197">
        <v>3.1102563999999999</v>
      </c>
      <c r="D197">
        <v>1662.64</v>
      </c>
      <c r="E197">
        <v>8.11</v>
      </c>
      <c r="F197">
        <v>35.229999999999997</v>
      </c>
      <c r="G197">
        <v>39.06</v>
      </c>
      <c r="H197">
        <v>2.5680000000000001</v>
      </c>
      <c r="I197">
        <v>3.3719999999999999</v>
      </c>
      <c r="J197">
        <v>0.77</v>
      </c>
      <c r="K197">
        <v>3</v>
      </c>
      <c r="L197">
        <v>10</v>
      </c>
      <c r="M197">
        <f t="shared" si="6"/>
        <v>0.92553552678476481</v>
      </c>
      <c r="N197">
        <f t="shared" si="7"/>
        <v>36.151417676212915</v>
      </c>
    </row>
    <row r="198" spans="1:14" x14ac:dyDescent="0.25">
      <c r="A198" t="s">
        <v>208</v>
      </c>
      <c r="B198">
        <v>42.262484499999999</v>
      </c>
      <c r="C198">
        <v>3.1103421999999998</v>
      </c>
      <c r="D198">
        <v>1654.3240000000001</v>
      </c>
      <c r="E198">
        <v>7.83</v>
      </c>
      <c r="F198">
        <v>35.119999999999997</v>
      </c>
      <c r="G198">
        <v>39.43</v>
      </c>
      <c r="H198">
        <v>2.5790000000000002</v>
      </c>
      <c r="I198">
        <v>3.3679999999999999</v>
      </c>
      <c r="J198">
        <v>0.82</v>
      </c>
      <c r="K198">
        <v>3</v>
      </c>
      <c r="L198">
        <v>10</v>
      </c>
      <c r="M198">
        <f t="shared" si="6"/>
        <v>0.91256058043198252</v>
      </c>
      <c r="N198">
        <f t="shared" si="7"/>
        <v>35.982263686433072</v>
      </c>
    </row>
    <row r="199" spans="1:14" x14ac:dyDescent="0.25">
      <c r="A199" t="s">
        <v>209</v>
      </c>
      <c r="B199">
        <v>42.262497500000002</v>
      </c>
      <c r="C199">
        <v>3.1104283000000001</v>
      </c>
      <c r="D199">
        <v>1645.9649999999999</v>
      </c>
      <c r="E199">
        <v>7.74</v>
      </c>
      <c r="F199">
        <v>35.19</v>
      </c>
      <c r="G199">
        <v>39.799999999999997</v>
      </c>
      <c r="H199">
        <v>2.5840000000000001</v>
      </c>
      <c r="I199">
        <v>3.3639999999999999</v>
      </c>
      <c r="J199">
        <v>0.81</v>
      </c>
      <c r="K199">
        <v>3</v>
      </c>
      <c r="L199">
        <v>10</v>
      </c>
      <c r="M199">
        <f t="shared" si="6"/>
        <v>0.90530525186288913</v>
      </c>
      <c r="N199">
        <f t="shared" si="7"/>
        <v>36.031149024142984</v>
      </c>
    </row>
    <row r="200" spans="1:14" x14ac:dyDescent="0.25">
      <c r="A200" t="s">
        <v>210</v>
      </c>
      <c r="B200">
        <v>42.262512000000001</v>
      </c>
      <c r="C200">
        <v>3.1105138000000001</v>
      </c>
      <c r="D200">
        <v>1637.636</v>
      </c>
      <c r="E200">
        <v>8.18</v>
      </c>
      <c r="F200">
        <v>35.090000000000003</v>
      </c>
      <c r="G200">
        <v>40</v>
      </c>
      <c r="H200">
        <v>2.5870000000000002</v>
      </c>
      <c r="I200">
        <v>3.36</v>
      </c>
      <c r="J200">
        <v>0.78</v>
      </c>
      <c r="K200">
        <v>3</v>
      </c>
      <c r="L200">
        <v>10</v>
      </c>
      <c r="M200">
        <f t="shared" si="6"/>
        <v>0.90077067697611035</v>
      </c>
      <c r="N200">
        <f t="shared" si="7"/>
        <v>36.030827079044414</v>
      </c>
    </row>
    <row r="201" spans="1:14" x14ac:dyDescent="0.25">
      <c r="L201" t="s">
        <v>212</v>
      </c>
      <c r="M201">
        <f>AVERAGE(M2:M200)</f>
        <v>1.1932448399085549</v>
      </c>
      <c r="N201">
        <f>AVERAGE(N2:N200)</f>
        <v>68.008203534026578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glide ratio over stable flight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</dc:creator>
  <cp:lastModifiedBy>Geoff</cp:lastModifiedBy>
  <dcterms:created xsi:type="dcterms:W3CDTF">2012-10-27T17:51:12Z</dcterms:created>
  <dcterms:modified xsi:type="dcterms:W3CDTF">2012-10-27T17:56:49Z</dcterms:modified>
</cp:coreProperties>
</file>