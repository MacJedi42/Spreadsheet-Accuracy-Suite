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9260" windowHeight="5430" tabRatio="786" activeTab="8"/>
  </bookViews>
  <sheets>
    <sheet name="Facility Data" sheetId="2" r:id="rId1"/>
    <sheet name="SEPT (REVISED)" sheetId="15" r:id="rId2"/>
    <sheet name="OCT 12" sheetId="4" r:id="rId3"/>
    <sheet name="NOV 12" sheetId="14" r:id="rId4"/>
    <sheet name="DEC 12" sheetId="17" r:id="rId5"/>
    <sheet name="JAN 13" sheetId="19" r:id="rId6"/>
    <sheet name="FEB 13" sheetId="20" r:id="rId7"/>
    <sheet name="MAR 13" sheetId="21" r:id="rId8"/>
    <sheet name="APR 13" sheetId="23" r:id="rId9"/>
    <sheet name="Monthly &quot;Top Ten&quot; Comparisons" sheetId="16" r:id="rId10"/>
  </sheets>
  <definedNames>
    <definedName name="_xlnm.Print_Area" localSheetId="8">'APR 13'!$A$1:$AH$42</definedName>
    <definedName name="_xlnm.Print_Area" localSheetId="4">'DEC 12'!$A$4:$AD$67</definedName>
    <definedName name="_xlnm.Print_Area" localSheetId="6">'FEB 13'!$A$1:$AG$42</definedName>
    <definedName name="_xlnm.Print_Area" localSheetId="5">'JAN 13'!$A$1:$AG$67</definedName>
    <definedName name="_xlnm.Print_Area" localSheetId="7">'MAR 13'!$A$1:$AH$42</definedName>
    <definedName name="_xlnm.Print_Area" localSheetId="3">'NOV 12'!$A$4:$AH$67</definedName>
    <definedName name="_xlnm.Print_Area" localSheetId="2">'OCT 12'!$A$4:$AF$67</definedName>
    <definedName name="_xlnm.Print_Area" localSheetId="1">'SEPT (REVISED)'!$A$1:$AB$65</definedName>
  </definedNames>
  <calcPr calcId="125725"/>
</workbook>
</file>

<file path=xl/calcChain.xml><?xml version="1.0" encoding="utf-8"?>
<calcChain xmlns="http://schemas.openxmlformats.org/spreadsheetml/2006/main">
  <c r="AF19" i="23"/>
  <c r="AG27"/>
  <c r="AG44"/>
  <c r="AG52"/>
  <c r="AG8"/>
  <c r="AG43"/>
  <c r="AG65"/>
  <c r="AG31"/>
  <c r="AG33"/>
  <c r="AG26"/>
  <c r="AG66"/>
  <c r="AG24"/>
  <c r="AG25"/>
  <c r="AG53"/>
  <c r="AG22"/>
  <c r="AG6"/>
  <c r="AG36"/>
  <c r="AG16"/>
  <c r="AG59"/>
  <c r="AG50"/>
  <c r="AG62"/>
  <c r="AG60"/>
  <c r="AG35"/>
  <c r="AG39"/>
  <c r="AG29"/>
  <c r="AG61"/>
  <c r="AG11"/>
  <c r="AG21"/>
  <c r="AG55"/>
  <c r="AG49"/>
  <c r="AG57"/>
  <c r="AG18"/>
  <c r="AG14"/>
  <c r="AG63"/>
  <c r="AG37"/>
  <c r="AG46"/>
  <c r="AG51"/>
  <c r="AG23"/>
  <c r="AG7"/>
  <c r="AG20"/>
  <c r="AG40"/>
  <c r="AG19"/>
  <c r="AG17"/>
  <c r="AG56"/>
  <c r="AG30"/>
  <c r="AG54"/>
  <c r="AG15"/>
  <c r="AG38"/>
  <c r="AG64"/>
  <c r="AG45"/>
  <c r="AG9"/>
  <c r="AG47"/>
  <c r="AG28"/>
  <c r="AG67"/>
  <c r="AG13"/>
  <c r="AG58"/>
  <c r="AG32"/>
  <c r="AG34"/>
  <c r="AG48"/>
  <c r="AG42"/>
  <c r="AG12"/>
  <c r="AG10"/>
  <c r="AG41"/>
  <c r="AF44"/>
  <c r="AH44" s="1"/>
  <c r="AF52"/>
  <c r="AH52" s="1"/>
  <c r="AF8"/>
  <c r="AH8" s="1"/>
  <c r="AF43"/>
  <c r="AH43" s="1"/>
  <c r="AF65"/>
  <c r="AH65" s="1"/>
  <c r="AF31"/>
  <c r="AH31" s="1"/>
  <c r="AF33"/>
  <c r="AH33" s="1"/>
  <c r="AF26"/>
  <c r="AH26" s="1"/>
  <c r="AF66"/>
  <c r="AH66" s="1"/>
  <c r="AF24"/>
  <c r="AH24" s="1"/>
  <c r="AF25"/>
  <c r="AH25" s="1"/>
  <c r="AF53"/>
  <c r="AH53" s="1"/>
  <c r="AF22"/>
  <c r="AH22" s="1"/>
  <c r="AF6"/>
  <c r="AH6" s="1"/>
  <c r="AF36"/>
  <c r="AH36" s="1"/>
  <c r="AF16"/>
  <c r="AH16" s="1"/>
  <c r="AF59"/>
  <c r="AH59" s="1"/>
  <c r="AF50"/>
  <c r="AH50" s="1"/>
  <c r="AF62"/>
  <c r="AH62" s="1"/>
  <c r="AF60"/>
  <c r="AH60" s="1"/>
  <c r="AF35"/>
  <c r="AH35" s="1"/>
  <c r="AF39"/>
  <c r="AH39" s="1"/>
  <c r="AF29"/>
  <c r="AH29" s="1"/>
  <c r="AF61"/>
  <c r="AH61" s="1"/>
  <c r="AF11"/>
  <c r="AH11" s="1"/>
  <c r="AF21"/>
  <c r="AH21" s="1"/>
  <c r="AF55"/>
  <c r="AH55" s="1"/>
  <c r="AF49"/>
  <c r="AH49" s="1"/>
  <c r="AF57"/>
  <c r="AH57" s="1"/>
  <c r="AF18"/>
  <c r="AH18" s="1"/>
  <c r="AF14"/>
  <c r="AH14" s="1"/>
  <c r="AF63"/>
  <c r="AH63" s="1"/>
  <c r="AF37"/>
  <c r="AH37" s="1"/>
  <c r="AF46"/>
  <c r="AH46" s="1"/>
  <c r="AF51"/>
  <c r="AH51" s="1"/>
  <c r="AF23"/>
  <c r="AH23" s="1"/>
  <c r="AF7"/>
  <c r="AH7" s="1"/>
  <c r="AF20"/>
  <c r="AH20" s="1"/>
  <c r="AF40"/>
  <c r="AH40" s="1"/>
  <c r="AF17"/>
  <c r="AH17" s="1"/>
  <c r="AF56"/>
  <c r="AH56" s="1"/>
  <c r="AF30"/>
  <c r="AH30" s="1"/>
  <c r="AF54"/>
  <c r="AH54" s="1"/>
  <c r="AF15"/>
  <c r="AH15" s="1"/>
  <c r="AF38"/>
  <c r="AH38" s="1"/>
  <c r="AF64"/>
  <c r="AH64" s="1"/>
  <c r="AF45"/>
  <c r="AH45" s="1"/>
  <c r="AF9"/>
  <c r="AH9" s="1"/>
  <c r="AF47"/>
  <c r="AH47" s="1"/>
  <c r="AF28"/>
  <c r="AH28" s="1"/>
  <c r="AF67"/>
  <c r="AH67" s="1"/>
  <c r="AF13"/>
  <c r="AH13" s="1"/>
  <c r="AF58"/>
  <c r="AH58" s="1"/>
  <c r="AF32"/>
  <c r="AH32" s="1"/>
  <c r="AF34"/>
  <c r="AH34" s="1"/>
  <c r="AF48"/>
  <c r="AH48" s="1"/>
  <c r="AF42"/>
  <c r="AH42" s="1"/>
  <c r="AF12"/>
  <c r="AH12" s="1"/>
  <c r="AF10"/>
  <c r="AH10" s="1"/>
  <c r="AF41"/>
  <c r="AH41" s="1"/>
  <c r="AF27"/>
  <c r="AH27" s="1"/>
  <c r="AE69" i="20"/>
  <c r="AF69" i="21"/>
  <c r="AE69" i="19"/>
  <c r="AB69" i="17"/>
  <c r="AF69" i="14"/>
  <c r="AD69" i="4"/>
  <c r="Z69" i="15"/>
  <c r="AH19" i="23" l="1"/>
  <c r="AF69"/>
  <c r="AG36" i="21"/>
  <c r="AG40"/>
  <c r="AG23"/>
  <c r="AG45"/>
  <c r="AG63"/>
  <c r="AG32"/>
  <c r="AG52"/>
  <c r="AG29"/>
  <c r="AG66"/>
  <c r="AG16"/>
  <c r="AG47"/>
  <c r="AG54"/>
  <c r="AG30"/>
  <c r="AG6"/>
  <c r="AG57"/>
  <c r="AG43"/>
  <c r="AG20"/>
  <c r="AG38"/>
  <c r="AG59"/>
  <c r="AG62"/>
  <c r="AG24"/>
  <c r="AG44"/>
  <c r="AG64"/>
  <c r="AG42"/>
  <c r="AG37"/>
  <c r="AG46"/>
  <c r="AG67"/>
  <c r="AG51"/>
  <c r="AG58"/>
  <c r="AG15"/>
  <c r="AG26"/>
  <c r="AG60"/>
  <c r="AG50"/>
  <c r="AG39"/>
  <c r="AG27"/>
  <c r="AG11"/>
  <c r="AG7"/>
  <c r="AG19"/>
  <c r="AG10"/>
  <c r="AG55"/>
  <c r="AG28"/>
  <c r="AG13"/>
  <c r="AG21"/>
  <c r="AG14"/>
  <c r="AG35"/>
  <c r="AG56"/>
  <c r="AG17"/>
  <c r="AG53"/>
  <c r="AG41"/>
  <c r="AG49"/>
  <c r="AG18"/>
  <c r="AG61"/>
  <c r="AG31"/>
  <c r="AG33"/>
  <c r="AG48"/>
  <c r="AG9"/>
  <c r="AG25"/>
  <c r="AG65"/>
  <c r="AG12"/>
  <c r="AG8"/>
  <c r="AG22"/>
  <c r="AG34"/>
  <c r="AF31"/>
  <c r="AF57"/>
  <c r="AF20"/>
  <c r="AH20" s="1"/>
  <c r="AF13"/>
  <c r="AH13" s="1"/>
  <c r="AF53"/>
  <c r="AH53" s="1"/>
  <c r="AF47"/>
  <c r="AF28"/>
  <c r="AH28" s="1"/>
  <c r="AF44"/>
  <c r="AH44" s="1"/>
  <c r="AF62"/>
  <c r="AH62" s="1"/>
  <c r="AF64"/>
  <c r="AF63"/>
  <c r="AH63" s="1"/>
  <c r="AF24"/>
  <c r="AF18"/>
  <c r="AH18" s="1"/>
  <c r="AF36"/>
  <c r="AF15"/>
  <c r="AH15" s="1"/>
  <c r="AF49"/>
  <c r="AH49" s="1"/>
  <c r="AF19"/>
  <c r="AH19" s="1"/>
  <c r="AF27"/>
  <c r="AF45"/>
  <c r="AH45" s="1"/>
  <c r="AF54"/>
  <c r="AH54" s="1"/>
  <c r="AF9"/>
  <c r="AH9" s="1"/>
  <c r="AF8"/>
  <c r="AH8" s="1"/>
  <c r="AF16"/>
  <c r="AH16" s="1"/>
  <c r="AF40"/>
  <c r="AH40" s="1"/>
  <c r="AF29"/>
  <c r="AH29" s="1"/>
  <c r="AF56"/>
  <c r="AH56" s="1"/>
  <c r="AF51"/>
  <c r="AH51" s="1"/>
  <c r="AF33"/>
  <c r="AH33" s="1"/>
  <c r="AF12"/>
  <c r="AH12" s="1"/>
  <c r="AF41"/>
  <c r="AF60"/>
  <c r="AF21"/>
  <c r="AF43"/>
  <c r="AH43" s="1"/>
  <c r="AF6"/>
  <c r="AH6" s="1"/>
  <c r="AF38"/>
  <c r="AH38" s="1"/>
  <c r="AF59"/>
  <c r="AF50"/>
  <c r="AH50" s="1"/>
  <c r="AF66"/>
  <c r="AF30"/>
  <c r="AH30" s="1"/>
  <c r="AF7"/>
  <c r="AF65"/>
  <c r="AH65" s="1"/>
  <c r="AF14"/>
  <c r="AH14" s="1"/>
  <c r="AF32"/>
  <c r="AH32" s="1"/>
  <c r="AF25"/>
  <c r="AF55"/>
  <c r="AH55" s="1"/>
  <c r="AF11"/>
  <c r="AH11" s="1"/>
  <c r="AF61"/>
  <c r="AH61" s="1"/>
  <c r="AF22"/>
  <c r="AF58"/>
  <c r="AH58" s="1"/>
  <c r="AF37"/>
  <c r="AF34"/>
  <c r="AH34" s="1"/>
  <c r="AF52"/>
  <c r="AF39"/>
  <c r="AH39" s="1"/>
  <c r="AF35"/>
  <c r="AF26"/>
  <c r="AH26" s="1"/>
  <c r="AF42"/>
  <c r="AH42" s="1"/>
  <c r="AF17"/>
  <c r="AH17" s="1"/>
  <c r="AF23"/>
  <c r="AF48"/>
  <c r="AH48" s="1"/>
  <c r="AF67"/>
  <c r="AF46"/>
  <c r="AF10"/>
  <c r="AF58" i="20"/>
  <c r="AF53"/>
  <c r="AF24"/>
  <c r="AF54"/>
  <c r="AF52"/>
  <c r="AF49"/>
  <c r="AF48"/>
  <c r="AF46"/>
  <c r="AF66"/>
  <c r="AF9"/>
  <c r="AF33"/>
  <c r="AF45"/>
  <c r="AF36"/>
  <c r="AF7"/>
  <c r="AF61"/>
  <c r="AF39"/>
  <c r="AF18"/>
  <c r="AF42"/>
  <c r="AF63"/>
  <c r="AF67"/>
  <c r="AF15"/>
  <c r="AF41"/>
  <c r="AF64"/>
  <c r="AF56"/>
  <c r="AF35"/>
  <c r="AF47"/>
  <c r="AF40"/>
  <c r="AF28"/>
  <c r="AF62"/>
  <c r="AF21"/>
  <c r="AF32"/>
  <c r="AF65"/>
  <c r="AF25"/>
  <c r="AF50"/>
  <c r="AF26"/>
  <c r="AF23"/>
  <c r="AF13"/>
  <c r="AF31"/>
  <c r="AF11"/>
  <c r="AF43"/>
  <c r="AF51"/>
  <c r="AF19"/>
  <c r="AF38"/>
  <c r="AF10"/>
  <c r="AF22"/>
  <c r="AF60"/>
  <c r="AF14"/>
  <c r="AF57"/>
  <c r="AF44"/>
  <c r="AF59"/>
  <c r="AF12"/>
  <c r="AF29"/>
  <c r="AF30"/>
  <c r="AF34"/>
  <c r="AF16"/>
  <c r="AF20"/>
  <c r="AF27"/>
  <c r="AF55"/>
  <c r="AF8"/>
  <c r="AF6"/>
  <c r="AF37"/>
  <c r="AF17"/>
  <c r="AE58"/>
  <c r="AG58" s="1"/>
  <c r="AE53"/>
  <c r="AG53" s="1"/>
  <c r="AE24"/>
  <c r="AG24" s="1"/>
  <c r="AE54"/>
  <c r="AG54" s="1"/>
  <c r="AE52"/>
  <c r="AG52" s="1"/>
  <c r="AE49"/>
  <c r="AG49" s="1"/>
  <c r="AE48"/>
  <c r="AG48" s="1"/>
  <c r="AE46"/>
  <c r="AG46" s="1"/>
  <c r="AE66"/>
  <c r="AG66" s="1"/>
  <c r="AE9"/>
  <c r="AG9" s="1"/>
  <c r="AE33"/>
  <c r="AG33" s="1"/>
  <c r="AE45"/>
  <c r="AG45" s="1"/>
  <c r="AE36"/>
  <c r="AG36" s="1"/>
  <c r="AE7"/>
  <c r="AG7" s="1"/>
  <c r="AE61"/>
  <c r="AG61" s="1"/>
  <c r="AE39"/>
  <c r="AG39" s="1"/>
  <c r="AE18"/>
  <c r="AG18" s="1"/>
  <c r="AE42"/>
  <c r="AG42" s="1"/>
  <c r="AE63"/>
  <c r="AG63" s="1"/>
  <c r="AE67"/>
  <c r="AG67" s="1"/>
  <c r="AE15"/>
  <c r="AG15" s="1"/>
  <c r="AE41"/>
  <c r="AG41" s="1"/>
  <c r="AE64"/>
  <c r="AG64" s="1"/>
  <c r="AE56"/>
  <c r="AG56" s="1"/>
  <c r="AE35"/>
  <c r="AG35" s="1"/>
  <c r="AE47"/>
  <c r="AG47" s="1"/>
  <c r="AE40"/>
  <c r="AG40" s="1"/>
  <c r="AE28"/>
  <c r="AG28" s="1"/>
  <c r="AE62"/>
  <c r="AG62" s="1"/>
  <c r="AE21"/>
  <c r="AG21" s="1"/>
  <c r="AE32"/>
  <c r="AG32" s="1"/>
  <c r="AE65"/>
  <c r="AG65" s="1"/>
  <c r="AE25"/>
  <c r="AG25" s="1"/>
  <c r="AE50"/>
  <c r="AG50" s="1"/>
  <c r="AE26"/>
  <c r="AG26" s="1"/>
  <c r="AE23"/>
  <c r="AG23" s="1"/>
  <c r="AE13"/>
  <c r="AG13" s="1"/>
  <c r="AE31"/>
  <c r="AG31" s="1"/>
  <c r="AE11"/>
  <c r="AG11" s="1"/>
  <c r="AE43"/>
  <c r="AG43" s="1"/>
  <c r="AE51"/>
  <c r="AG51" s="1"/>
  <c r="AE19"/>
  <c r="AG19" s="1"/>
  <c r="AE38"/>
  <c r="AG38" s="1"/>
  <c r="AE10"/>
  <c r="AG10" s="1"/>
  <c r="AE22"/>
  <c r="AG22" s="1"/>
  <c r="AE60"/>
  <c r="AG60" s="1"/>
  <c r="AE14"/>
  <c r="AG14" s="1"/>
  <c r="AE57"/>
  <c r="AG57" s="1"/>
  <c r="AE44"/>
  <c r="AG44" s="1"/>
  <c r="AE59"/>
  <c r="AG59" s="1"/>
  <c r="AE12"/>
  <c r="AG12" s="1"/>
  <c r="AE29"/>
  <c r="AG29" s="1"/>
  <c r="AE30"/>
  <c r="AG30" s="1"/>
  <c r="AE34"/>
  <c r="AG34" s="1"/>
  <c r="AE16"/>
  <c r="AG16" s="1"/>
  <c r="AE20"/>
  <c r="AG20" s="1"/>
  <c r="AE27"/>
  <c r="AG27" s="1"/>
  <c r="AE55"/>
  <c r="AG55" s="1"/>
  <c r="AE8"/>
  <c r="AG8" s="1"/>
  <c r="AE6"/>
  <c r="AG6" s="1"/>
  <c r="AE37"/>
  <c r="AG37" s="1"/>
  <c r="AE17"/>
  <c r="AG17" s="1"/>
  <c r="AE37" i="19"/>
  <c r="AE64"/>
  <c r="AE24"/>
  <c r="AE33"/>
  <c r="AE16"/>
  <c r="AE50"/>
  <c r="AE62"/>
  <c r="AE12"/>
  <c r="AE65"/>
  <c r="AE7"/>
  <c r="AE57"/>
  <c r="AE47"/>
  <c r="AE39"/>
  <c r="AE6"/>
  <c r="AE43"/>
  <c r="AE45"/>
  <c r="AE27"/>
  <c r="AE21"/>
  <c r="AE59"/>
  <c r="AE52"/>
  <c r="AE38"/>
  <c r="AE20"/>
  <c r="AE42"/>
  <c r="AE29"/>
  <c r="AE54"/>
  <c r="AE44"/>
  <c r="AE36"/>
  <c r="AE14"/>
  <c r="AE46"/>
  <c r="AE22"/>
  <c r="AE48"/>
  <c r="AE23"/>
  <c r="AE41"/>
  <c r="AE66"/>
  <c r="AE28"/>
  <c r="AE26"/>
  <c r="AE15"/>
  <c r="AE35"/>
  <c r="AE32"/>
  <c r="AE51"/>
  <c r="AE18"/>
  <c r="AE19"/>
  <c r="AE61"/>
  <c r="AE10"/>
  <c r="AE17"/>
  <c r="AE56"/>
  <c r="AE67"/>
  <c r="AE63"/>
  <c r="AE31"/>
  <c r="AE11"/>
  <c r="AE55"/>
  <c r="AE58"/>
  <c r="AE60"/>
  <c r="AE34"/>
  <c r="AE30"/>
  <c r="AE13"/>
  <c r="AE49"/>
  <c r="AE40"/>
  <c r="AE8"/>
  <c r="AE25"/>
  <c r="AE53"/>
  <c r="AE9"/>
  <c r="AB57" i="17"/>
  <c r="AB60"/>
  <c r="AB53"/>
  <c r="AB51"/>
  <c r="AB35"/>
  <c r="AB37"/>
  <c r="AB22"/>
  <c r="AB38"/>
  <c r="AB30"/>
  <c r="AB65"/>
  <c r="AB10"/>
  <c r="AB40"/>
  <c r="AB42"/>
  <c r="AB14"/>
  <c r="AB9"/>
  <c r="AB52"/>
  <c r="AB56"/>
  <c r="AB64"/>
  <c r="AB8"/>
  <c r="AB44"/>
  <c r="AB61"/>
  <c r="AB34"/>
  <c r="AB36"/>
  <c r="AB63"/>
  <c r="AB19"/>
  <c r="AB67"/>
  <c r="AB23"/>
  <c r="AB41"/>
  <c r="AB27"/>
  <c r="AB47"/>
  <c r="AB15"/>
  <c r="AB16"/>
  <c r="AB48"/>
  <c r="AB39"/>
  <c r="AB45"/>
  <c r="AB17"/>
  <c r="AB20"/>
  <c r="AB6"/>
  <c r="AB62"/>
  <c r="AB12"/>
  <c r="AB13"/>
  <c r="AB28"/>
  <c r="AB24"/>
  <c r="AB32"/>
  <c r="AB26"/>
  <c r="AB29"/>
  <c r="AB43"/>
  <c r="AB66"/>
  <c r="AB49"/>
  <c r="AB31"/>
  <c r="AB21"/>
  <c r="AB46"/>
  <c r="AB58"/>
  <c r="AB59"/>
  <c r="AB55"/>
  <c r="AB54"/>
  <c r="AB18"/>
  <c r="AB33"/>
  <c r="AB50"/>
  <c r="AB25"/>
  <c r="AB7"/>
  <c r="AB11"/>
  <c r="AF50" i="14"/>
  <c r="AF62"/>
  <c r="AF37"/>
  <c r="AF57"/>
  <c r="AF44"/>
  <c r="AF28"/>
  <c r="AF39"/>
  <c r="AF25"/>
  <c r="AF64"/>
  <c r="AF6"/>
  <c r="AF55"/>
  <c r="AF43"/>
  <c r="AF13"/>
  <c r="AF7"/>
  <c r="AF46"/>
  <c r="AF12"/>
  <c r="AF35"/>
  <c r="AF8"/>
  <c r="AF54"/>
  <c r="AF53"/>
  <c r="AF49"/>
  <c r="AF38"/>
  <c r="AF45"/>
  <c r="AF15"/>
  <c r="AF9"/>
  <c r="AF27"/>
  <c r="AF17"/>
  <c r="AF41"/>
  <c r="AF65"/>
  <c r="AF34"/>
  <c r="AF19"/>
  <c r="AF30"/>
  <c r="AF61"/>
  <c r="AF42"/>
  <c r="AF21"/>
  <c r="AF33"/>
  <c r="AF10"/>
  <c r="AF16"/>
  <c r="AF47"/>
  <c r="AF32"/>
  <c r="AF24"/>
  <c r="AF31"/>
  <c r="AF59"/>
  <c r="AF23"/>
  <c r="AF40"/>
  <c r="AF48"/>
  <c r="AF26"/>
  <c r="AF67"/>
  <c r="AF20"/>
  <c r="AF11"/>
  <c r="AF66"/>
  <c r="AF51"/>
  <c r="AF58"/>
  <c r="AF60"/>
  <c r="AF52"/>
  <c r="AF18"/>
  <c r="AF22"/>
  <c r="AF63"/>
  <c r="AF36"/>
  <c r="AF29"/>
  <c r="AF56"/>
  <c r="AF14"/>
  <c r="AD65" i="4"/>
  <c r="AD62"/>
  <c r="AD43"/>
  <c r="AD57"/>
  <c r="AD9"/>
  <c r="AD27"/>
  <c r="AD61"/>
  <c r="AD60"/>
  <c r="AD56"/>
  <c r="AD6"/>
  <c r="AD49"/>
  <c r="AD51"/>
  <c r="AD46"/>
  <c r="AD22"/>
  <c r="AD34"/>
  <c r="AD17"/>
  <c r="AD45"/>
  <c r="AD41"/>
  <c r="AD19"/>
  <c r="AD63"/>
  <c r="AD38"/>
  <c r="AD24"/>
  <c r="AD53"/>
  <c r="AD64"/>
  <c r="AD10"/>
  <c r="AD52"/>
  <c r="AD39"/>
  <c r="AD21"/>
  <c r="AD58"/>
  <c r="AD30"/>
  <c r="AD16"/>
  <c r="AD20"/>
  <c r="AD59"/>
  <c r="AD50"/>
  <c r="AD11"/>
  <c r="AD29"/>
  <c r="AD18"/>
  <c r="AD40"/>
  <c r="AD25"/>
  <c r="AD15"/>
  <c r="AD54"/>
  <c r="AD48"/>
  <c r="AD23"/>
  <c r="AD12"/>
  <c r="AD32"/>
  <c r="AD47"/>
  <c r="AD66"/>
  <c r="AD8"/>
  <c r="AD55"/>
  <c r="AD14"/>
  <c r="AD37"/>
  <c r="AD28"/>
  <c r="AD67"/>
  <c r="AD35"/>
  <c r="AD44"/>
  <c r="AD33"/>
  <c r="AD26"/>
  <c r="AD31"/>
  <c r="AD42"/>
  <c r="AD7"/>
  <c r="AD36"/>
  <c r="AD13"/>
  <c r="D4" i="2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AG57" i="19" s="1"/>
  <c r="D31" i="2"/>
  <c r="D32"/>
  <c r="D33"/>
  <c r="D34"/>
  <c r="D35"/>
  <c r="D36"/>
  <c r="D37"/>
  <c r="D38"/>
  <c r="D39"/>
  <c r="D40"/>
  <c r="AG24" i="19" s="1"/>
  <c r="D41" i="2"/>
  <c r="D42"/>
  <c r="AG59" i="19" s="1"/>
  <c r="D43" i="2"/>
  <c r="D44"/>
  <c r="D45"/>
  <c r="D46"/>
  <c r="D47"/>
  <c r="D48"/>
  <c r="D49"/>
  <c r="D50"/>
  <c r="D51"/>
  <c r="AG19" i="19" s="1"/>
  <c r="D52" i="2"/>
  <c r="D53"/>
  <c r="D54"/>
  <c r="AG43" i="19" s="1"/>
  <c r="D55" i="2"/>
  <c r="AG63" i="19" s="1"/>
  <c r="D56" i="2"/>
  <c r="AG35" i="19" s="1"/>
  <c r="D57" i="2"/>
  <c r="D58"/>
  <c r="D59"/>
  <c r="D60"/>
  <c r="AG67" i="19" s="1"/>
  <c r="D61" i="2"/>
  <c r="D62"/>
  <c r="D63"/>
  <c r="D64"/>
  <c r="D3"/>
  <c r="AH10" i="21" l="1"/>
  <c r="AH67"/>
  <c r="AH23"/>
  <c r="AH35"/>
  <c r="AH52"/>
  <c r="AH37"/>
  <c r="AH22"/>
  <c r="AH25"/>
  <c r="AH7"/>
  <c r="AH66"/>
  <c r="AH59"/>
  <c r="AH21"/>
  <c r="AH41"/>
  <c r="AH27"/>
  <c r="AH36"/>
  <c r="AH24"/>
  <c r="AH64"/>
  <c r="AH47"/>
  <c r="AH57"/>
  <c r="AH46"/>
  <c r="AH60"/>
  <c r="AH31"/>
  <c r="AG17" i="19"/>
  <c r="AG15"/>
  <c r="AG61"/>
  <c r="AG18"/>
  <c r="AG30"/>
  <c r="AG41"/>
  <c r="AG31"/>
  <c r="AG27"/>
  <c r="AG55"/>
  <c r="AG49"/>
  <c r="AG58"/>
  <c r="AG36"/>
  <c r="AG51"/>
  <c r="AG32"/>
  <c r="AG53"/>
  <c r="AG8"/>
  <c r="AG46"/>
  <c r="AG25"/>
  <c r="AG65"/>
  <c r="AG60"/>
  <c r="AG64"/>
  <c r="AG62"/>
  <c r="AG7"/>
  <c r="AG39"/>
  <c r="AG45"/>
  <c r="AG21"/>
  <c r="AG38"/>
  <c r="AG54"/>
  <c r="AG14"/>
  <c r="AG48"/>
  <c r="AG28"/>
  <c r="AG37"/>
  <c r="AG33"/>
  <c r="AG12"/>
  <c r="AG6"/>
  <c r="AG42"/>
  <c r="AG22"/>
  <c r="AG66"/>
  <c r="AG16"/>
  <c r="AG20"/>
  <c r="AG9"/>
  <c r="AG47"/>
  <c r="AG29"/>
  <c r="AG23"/>
  <c r="AG26"/>
  <c r="AG10"/>
  <c r="AG13"/>
  <c r="AG50"/>
  <c r="AG52"/>
  <c r="AG44"/>
  <c r="AG56"/>
  <c r="AG11"/>
  <c r="AG34"/>
  <c r="AG40"/>
  <c r="AD15" i="17"/>
  <c r="AD16"/>
  <c r="AD47"/>
  <c r="AD41"/>
  <c r="AD67"/>
  <c r="AD63"/>
  <c r="AD34"/>
  <c r="AD44"/>
  <c r="AD64"/>
  <c r="AD52"/>
  <c r="AD14"/>
  <c r="AD40"/>
  <c r="AD65"/>
  <c r="AD38"/>
  <c r="AD37"/>
  <c r="AD51"/>
  <c r="AD60"/>
  <c r="AD27"/>
  <c r="AD23"/>
  <c r="AD19"/>
  <c r="AD36"/>
  <c r="AD61"/>
  <c r="AD8"/>
  <c r="AD56"/>
  <c r="AD9"/>
  <c r="AD42"/>
  <c r="AD10"/>
  <c r="AD30"/>
  <c r="AD22"/>
  <c r="AD35"/>
  <c r="AD53"/>
  <c r="AD7"/>
  <c r="AD50"/>
  <c r="AD18"/>
  <c r="AD55"/>
  <c r="AD58"/>
  <c r="AD21"/>
  <c r="AD49"/>
  <c r="AD43"/>
  <c r="AD26"/>
  <c r="AD24"/>
  <c r="AD13"/>
  <c r="AD62"/>
  <c r="AD20"/>
  <c r="AD45"/>
  <c r="AD48"/>
  <c r="AD57"/>
  <c r="AD11"/>
  <c r="AD25"/>
  <c r="AD33"/>
  <c r="AD54"/>
  <c r="AD59"/>
  <c r="AD46"/>
  <c r="AD31"/>
  <c r="AD66"/>
  <c r="AD29"/>
  <c r="AD32"/>
  <c r="AD28"/>
  <c r="AD12"/>
  <c r="AD6"/>
  <c r="AD17"/>
  <c r="AD39"/>
  <c r="Z7" i="15"/>
  <c r="Z6"/>
  <c r="Z66"/>
  <c r="Z67"/>
  <c r="Z65"/>
  <c r="Z64"/>
  <c r="Z63"/>
  <c r="Z62"/>
  <c r="Z61"/>
  <c r="Z60"/>
  <c r="Z59"/>
  <c r="Z57"/>
  <c r="Z58"/>
  <c r="Z55"/>
  <c r="Z54"/>
  <c r="Z53"/>
  <c r="Z56"/>
  <c r="Z48"/>
  <c r="Z51"/>
  <c r="Z52"/>
  <c r="Z50"/>
  <c r="Z49"/>
  <c r="Z47"/>
  <c r="Z46"/>
  <c r="Z44"/>
  <c r="Z45"/>
  <c r="Z43"/>
  <c r="Z42"/>
  <c r="Z40"/>
  <c r="Z41"/>
  <c r="Z39"/>
  <c r="Z38"/>
  <c r="Z37"/>
  <c r="Z36"/>
  <c r="Z35"/>
  <c r="Z34"/>
  <c r="Z31"/>
  <c r="Z33"/>
  <c r="Z32"/>
  <c r="Z30"/>
  <c r="Z29"/>
  <c r="Z26"/>
  <c r="Z27"/>
  <c r="Z25"/>
  <c r="Z24"/>
  <c r="Z28"/>
  <c r="Z15"/>
  <c r="Z23"/>
  <c r="Z22"/>
  <c r="Z19"/>
  <c r="Z20"/>
  <c r="Z21"/>
  <c r="Z18"/>
  <c r="Z17"/>
  <c r="Z14"/>
  <c r="Z16"/>
  <c r="Z13"/>
  <c r="Z12"/>
  <c r="Z11"/>
  <c r="Z10"/>
  <c r="Z9"/>
  <c r="Z8"/>
  <c r="AH51" i="14"/>
  <c r="AF28" i="4"/>
  <c r="AH50" i="14"/>
  <c r="AH62"/>
  <c r="AH37"/>
  <c r="AH57"/>
  <c r="AH44"/>
  <c r="AH28"/>
  <c r="AH39"/>
  <c r="AH25"/>
  <c r="AH64"/>
  <c r="AH6"/>
  <c r="AH55"/>
  <c r="AH43"/>
  <c r="AH13"/>
  <c r="AH7"/>
  <c r="AH46"/>
  <c r="AH12"/>
  <c r="AH35"/>
  <c r="AH8"/>
  <c r="AH54"/>
  <c r="AH53"/>
  <c r="AH49"/>
  <c r="AH38"/>
  <c r="AH45"/>
  <c r="AH15"/>
  <c r="AH9"/>
  <c r="AH27"/>
  <c r="AH41"/>
  <c r="AF58" i="4"/>
  <c r="AH34" i="14"/>
  <c r="AF16" i="4"/>
  <c r="AH30" i="14"/>
  <c r="AF59" i="4"/>
  <c r="AH42" i="14"/>
  <c r="AF11" i="4"/>
  <c r="AH33" i="14"/>
  <c r="AF18" i="4"/>
  <c r="AH16" i="14"/>
  <c r="AF25" i="4"/>
  <c r="AH32" i="14"/>
  <c r="AF54" i="4"/>
  <c r="AH31" i="14"/>
  <c r="AF23" i="4"/>
  <c r="AH23" i="14"/>
  <c r="AF32" i="4"/>
  <c r="AH48" i="14"/>
  <c r="AF66" i="4"/>
  <c r="AH67" i="14"/>
  <c r="AF55" i="4"/>
  <c r="AH11" i="14"/>
  <c r="AF37" i="4"/>
  <c r="AH58" i="14"/>
  <c r="AH60"/>
  <c r="AH52"/>
  <c r="AH18"/>
  <c r="AH22"/>
  <c r="AH63"/>
  <c r="AH36"/>
  <c r="AH29"/>
  <c r="AF36" i="4"/>
  <c r="AH14" i="14"/>
  <c r="AF39" i="4" l="1"/>
  <c r="AH17" i="14"/>
  <c r="AB9" i="15"/>
  <c r="AB11"/>
  <c r="AB13"/>
  <c r="AB17"/>
  <c r="AB8"/>
  <c r="AB10"/>
  <c r="AB12"/>
  <c r="AB16"/>
  <c r="AB14"/>
  <c r="AB18"/>
  <c r="AB21"/>
  <c r="AB20"/>
  <c r="AB19"/>
  <c r="AB22"/>
  <c r="AB23"/>
  <c r="AB15"/>
  <c r="AB28"/>
  <c r="AB24"/>
  <c r="AB25"/>
  <c r="AB27"/>
  <c r="AB26"/>
  <c r="AB29"/>
  <c r="AB30"/>
  <c r="AB32"/>
  <c r="AB33"/>
  <c r="AB31"/>
  <c r="AB34"/>
  <c r="AB35"/>
  <c r="AB36"/>
  <c r="AB37"/>
  <c r="AB38"/>
  <c r="AB39"/>
  <c r="AB41"/>
  <c r="AB40"/>
  <c r="AB42"/>
  <c r="AB43"/>
  <c r="AB45"/>
  <c r="AB44"/>
  <c r="AB46"/>
  <c r="AB47"/>
  <c r="AB49"/>
  <c r="AB50"/>
  <c r="AB52"/>
  <c r="AB51"/>
  <c r="AB48"/>
  <c r="AB56"/>
  <c r="AB53"/>
  <c r="AB54"/>
  <c r="AB55"/>
  <c r="AB58"/>
  <c r="AB57"/>
  <c r="AB59"/>
  <c r="AB60"/>
  <c r="AB61"/>
  <c r="AB62"/>
  <c r="AB63"/>
  <c r="AB64"/>
  <c r="AB65"/>
  <c r="AB67"/>
  <c r="AB66"/>
  <c r="AB6"/>
  <c r="AB7"/>
  <c r="AH56" i="14"/>
  <c r="AF7" i="4"/>
  <c r="AF42"/>
  <c r="AF31"/>
  <c r="AF26"/>
  <c r="AF33"/>
  <c r="AF44"/>
  <c r="AF35"/>
  <c r="AF67"/>
  <c r="AH66" i="14"/>
  <c r="AF14" i="4"/>
  <c r="AH20" i="14"/>
  <c r="AF8" i="4"/>
  <c r="AH26" i="14"/>
  <c r="AF47" i="4"/>
  <c r="AH40" i="14"/>
  <c r="AF12" i="4"/>
  <c r="AH59" i="14"/>
  <c r="AF48" i="4"/>
  <c r="AH24" i="14"/>
  <c r="AF15" i="4"/>
  <c r="AH47" i="14"/>
  <c r="AF40" i="4"/>
  <c r="AH10" i="14"/>
  <c r="AF29" i="4"/>
  <c r="AH21" i="14"/>
  <c r="AF50" i="4"/>
  <c r="AH61" i="14"/>
  <c r="AF20" i="4"/>
  <c r="AH19" i="14"/>
  <c r="AF30" i="4"/>
  <c r="AH65" i="14"/>
  <c r="AF21" i="4"/>
  <c r="AF52"/>
  <c r="AF10"/>
  <c r="AF64"/>
  <c r="AF53"/>
  <c r="AF24"/>
  <c r="AF38"/>
  <c r="AF63"/>
  <c r="AF19"/>
  <c r="AF41"/>
  <c r="AF45"/>
  <c r="AF17"/>
  <c r="AF34"/>
  <c r="AF22"/>
  <c r="AF46"/>
  <c r="AF51"/>
  <c r="AF49"/>
  <c r="AF6"/>
  <c r="AF56"/>
  <c r="AF60"/>
  <c r="AF61"/>
  <c r="AF27"/>
  <c r="AF9"/>
  <c r="AF57"/>
  <c r="AF43"/>
  <c r="AF62"/>
  <c r="AF65"/>
  <c r="AF13"/>
</calcChain>
</file>

<file path=xl/sharedStrings.xml><?xml version="1.0" encoding="utf-8"?>
<sst xmlns="http://schemas.openxmlformats.org/spreadsheetml/2006/main" count="2756" uniqueCount="106">
  <si>
    <t>BALLENGER CREEK MIDDLE</t>
  </si>
  <si>
    <t>BRUNSWICK HIGH</t>
  </si>
  <si>
    <t>BRUNSWICK MIDDLE</t>
  </si>
  <si>
    <t>CATOCTIN HIGH</t>
  </si>
  <si>
    <t>CRESTWOOD MIDDLE</t>
  </si>
  <si>
    <t>FREDERICK HIGH</t>
  </si>
  <si>
    <t>HEATHER RIDGE SCHOOL</t>
  </si>
  <si>
    <t>LINGANORE HIGH</t>
  </si>
  <si>
    <t>MIDDLETOWN HIGH</t>
  </si>
  <si>
    <t>MIDDLETOWN MIDDLE</t>
  </si>
  <si>
    <t>MIDDLETOWN PRIMARY</t>
  </si>
  <si>
    <t>MONOCACY MIDDLE</t>
  </si>
  <si>
    <t>NEW MARKET MIDDLE</t>
  </si>
  <si>
    <t>OAKDALE HIGH</t>
  </si>
  <si>
    <t>OAKDALE MIDDLE</t>
  </si>
  <si>
    <t>PARKWAY ELEMENTARY</t>
  </si>
  <si>
    <t>ROCK CREEK SCHOOL</t>
  </si>
  <si>
    <t>THOMAS JOHNSON HIGH</t>
  </si>
  <si>
    <t>THOMAS JOHNSON MIDDLE</t>
  </si>
  <si>
    <t>THURMONT MIDDLE</t>
  </si>
  <si>
    <t>THURMONT PRIMARY</t>
  </si>
  <si>
    <t>TUSCARORA HIGH</t>
  </si>
  <si>
    <t>URBANA HIGH</t>
  </si>
  <si>
    <t>URBANA MIDDLE</t>
  </si>
  <si>
    <t>W FREDERIC MIDDLE</t>
  </si>
  <si>
    <t>WALKERSVILLE HIGH</t>
  </si>
  <si>
    <t>WALKERSVILLE MIDDLE</t>
  </si>
  <si>
    <t>WINDSOR KNOLLS MIDDLE</t>
  </si>
  <si>
    <t xml:space="preserve">SCHOOL: </t>
  </si>
  <si>
    <t>Date of Collection</t>
  </si>
  <si>
    <t>TOTAL COLLECTED</t>
  </si>
  <si>
    <t># of Recyclers</t>
  </si>
  <si>
    <t>Pounds Recycled Per Capita</t>
  </si>
  <si>
    <t>Staff</t>
  </si>
  <si>
    <t>Students</t>
  </si>
  <si>
    <t>Total # of Recyclers</t>
  </si>
  <si>
    <t>BALLENGER CREEK ELEMENTARY</t>
  </si>
  <si>
    <t>BRUNSWICK ELEMENTARY</t>
  </si>
  <si>
    <t>CARROLL MANOR ELEMENTARY</t>
  </si>
  <si>
    <t>CENTERVILLE ELEMENTARY</t>
  </si>
  <si>
    <t>DEER CROSSING ELEMENTARY</t>
  </si>
  <si>
    <t>EMMITSBURG ELEMENTARY</t>
  </si>
  <si>
    <t>GLADE ELEMENTARY</t>
  </si>
  <si>
    <t>GREEN VALLEY ELEMENTARY</t>
  </si>
  <si>
    <t>HILLCREST ELEMENTARY</t>
  </si>
  <si>
    <t>KEMPTOWN ELEMENTARY</t>
  </si>
  <si>
    <t>LEWISTOWN ELEMENTARY</t>
  </si>
  <si>
    <t>LIBERTY ELEMENTARY</t>
  </si>
  <si>
    <t>LINCOLN ELEMENTARY</t>
  </si>
  <si>
    <t>MIDDLETOWN ELEMENTARY</t>
  </si>
  <si>
    <t>MONOCACY ELEMENTARY</t>
  </si>
  <si>
    <t>MYERSVILLE ELEMENTARY</t>
  </si>
  <si>
    <t>N FREDERICK ELEMENTARY</t>
  </si>
  <si>
    <t>NEW MARKET ELEMENTARY</t>
  </si>
  <si>
    <t>OAKDALE ELEMENTARY</t>
  </si>
  <si>
    <t>ORCHARD GROVE ELEMENTARY</t>
  </si>
  <si>
    <t>SABILLASVILLE ELEMENTARY</t>
  </si>
  <si>
    <t>SPRING RIDGE ELEMENTARY</t>
  </si>
  <si>
    <t>THURMONT ELEMENTARY</t>
  </si>
  <si>
    <t>TUSCARORA ELEMENTARY</t>
  </si>
  <si>
    <t>TWIN RIDGE ELEMENTARY</t>
  </si>
  <si>
    <t>URBANA ELEMENTARY</t>
  </si>
  <si>
    <t>VALLEY ELEMENTARY</t>
  </si>
  <si>
    <t>WALKERSVILLE ELEMENTARY</t>
  </si>
  <si>
    <t>WAVERLY ELEMENTARY</t>
  </si>
  <si>
    <t>WHITTIER ELEMENTARY</t>
  </si>
  <si>
    <t>WOLFSVILLE ELEMENTARY</t>
  </si>
  <si>
    <t>WOODSBORO ELEMENTARY</t>
  </si>
  <si>
    <t>YELLOW SPRINGS ELEMENTARY</t>
  </si>
  <si>
    <t>NEW MIDWAY ELEMENTARY</t>
  </si>
  <si>
    <t>MON</t>
  </si>
  <si>
    <t>TUE</t>
  </si>
  <si>
    <t>WED</t>
  </si>
  <si>
    <t>FRI</t>
  </si>
  <si>
    <t>THU</t>
  </si>
  <si>
    <t>SEPTEMBER</t>
  </si>
  <si>
    <t xml:space="preserve"> </t>
  </si>
  <si>
    <t>W FREDERICK MIDDLE</t>
  </si>
  <si>
    <t>Date of Recycling Collection</t>
  </si>
  <si>
    <t>OCTOBER</t>
  </si>
  <si>
    <t>NOVEMBER</t>
  </si>
  <si>
    <t>Data in the yellow columns shows the pounds of  material collected from each facility's RECYCLING dumpster and the date material was picked up.</t>
  </si>
  <si>
    <t>TOTAL POUNDS COLLECTED</t>
  </si>
  <si>
    <t>(</t>
  </si>
  <si>
    <t>(Original  Staff Report)</t>
  </si>
  <si>
    <t>blocked</t>
  </si>
  <si>
    <t>November</t>
  </si>
  <si>
    <t>October</t>
  </si>
  <si>
    <t>September</t>
  </si>
  <si>
    <t>"Top Ten" Monthly Comparisons</t>
  </si>
  <si>
    <t>December</t>
  </si>
  <si>
    <t>LINCOLN ELEMENTARYENTARY</t>
  </si>
  <si>
    <t>locked</t>
  </si>
  <si>
    <t>January</t>
  </si>
  <si>
    <t>pounds per capita</t>
  </si>
  <si>
    <t>February</t>
  </si>
  <si>
    <t>JANUARY</t>
  </si>
  <si>
    <t>DECEMBER</t>
  </si>
  <si>
    <t>FEBRUARY</t>
  </si>
  <si>
    <t>LOCKED</t>
  </si>
  <si>
    <t xml:space="preserve"> LOCKED</t>
  </si>
  <si>
    <t>March</t>
  </si>
  <si>
    <t>APRIL</t>
  </si>
  <si>
    <t>MARCH</t>
  </si>
  <si>
    <t>April</t>
  </si>
  <si>
    <t>May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</si>
</sst>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8B16CC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mbria"/>
      <family val="1"/>
      <scheme val="major"/>
    </font>
    <font>
      <sz val="10"/>
      <name val="MS Sans Serif"/>
      <family val="2"/>
    </font>
    <font>
      <b/>
      <i/>
      <sz val="12"/>
      <color theme="1"/>
      <name val="Cambria"/>
      <family val="1"/>
      <scheme val="major"/>
    </font>
    <font>
      <i/>
      <sz val="11"/>
      <color theme="0" tint="-0.34998626667073579"/>
      <name val="Calibri"/>
      <family val="2"/>
      <scheme val="minor"/>
    </font>
    <font>
      <b/>
      <i/>
      <sz val="8"/>
      <color theme="0" tint="-0.34998626667073579"/>
      <name val="Cambria"/>
      <family val="1"/>
      <scheme val="major"/>
    </font>
    <font>
      <b/>
      <sz val="11"/>
      <color theme="1" tint="0.34998626667073579"/>
      <name val="Calibri"/>
      <family val="2"/>
      <scheme val="minor"/>
    </font>
    <font>
      <sz val="11"/>
      <color rgb="FF8B16CC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mbria"/>
      <family val="1"/>
      <scheme val="maj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mediumGray">
        <fgColor indexed="22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3" tint="-0.24994659260841701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3" tint="-0.24994659260841701"/>
      </left>
      <right style="thin">
        <color theme="3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theme="3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0" applyNumberFormat="0" applyFont="0" applyFill="0" applyBorder="0" applyAlignment="0" applyProtection="0">
      <alignment horizontal="left"/>
    </xf>
    <xf numFmtId="0" fontId="10" fillId="6" borderId="0" applyNumberFormat="0" applyFont="0" applyBorder="0" applyAlignment="0" applyProtection="0"/>
    <xf numFmtId="3" fontId="10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1" xfId="0" applyFill="1" applyBorder="1"/>
    <xf numFmtId="0" fontId="0" fillId="5" borderId="2" xfId="0" applyFill="1" applyBorder="1"/>
    <xf numFmtId="0" fontId="0" fillId="5" borderId="4" xfId="0" applyFill="1" applyBorder="1"/>
    <xf numFmtId="0" fontId="0" fillId="4" borderId="8" xfId="0" applyFill="1" applyBorder="1"/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0" fillId="4" borderId="12" xfId="0" applyFill="1" applyBorder="1"/>
    <xf numFmtId="0" fontId="0" fillId="4" borderId="5" xfId="0" applyFill="1" applyBorder="1"/>
    <xf numFmtId="0" fontId="2" fillId="3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wrapText="1"/>
    </xf>
    <xf numFmtId="0" fontId="0" fillId="0" borderId="0" xfId="0" applyFill="1"/>
    <xf numFmtId="0" fontId="0" fillId="0" borderId="7" xfId="0" applyFill="1" applyBorder="1"/>
    <xf numFmtId="0" fontId="2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5" fillId="2" borderId="1" xfId="0" applyFont="1" applyFill="1" applyBorder="1"/>
    <xf numFmtId="0" fontId="8" fillId="2" borderId="1" xfId="0" applyFont="1" applyFill="1" applyBorder="1"/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0" xfId="0" applyFont="1"/>
    <xf numFmtId="0" fontId="0" fillId="0" borderId="6" xfId="0" applyFill="1" applyBorder="1"/>
    <xf numFmtId="0" fontId="0" fillId="0" borderId="8" xfId="0" applyFill="1" applyBorder="1"/>
    <xf numFmtId="0" fontId="0" fillId="0" borderId="1" xfId="0" applyFill="1" applyBorder="1"/>
    <xf numFmtId="0" fontId="0" fillId="0" borderId="3" xfId="0" applyFill="1" applyBorder="1"/>
    <xf numFmtId="0" fontId="0" fillId="0" borderId="0" xfId="0" applyFill="1" applyBorder="1"/>
    <xf numFmtId="0" fontId="2" fillId="0" borderId="18" xfId="0" applyFont="1" applyFill="1" applyBorder="1" applyAlignment="1">
      <alignment horizontal="center" vertical="center"/>
    </xf>
    <xf numFmtId="0" fontId="0" fillId="0" borderId="19" xfId="0" applyFill="1" applyBorder="1"/>
    <xf numFmtId="0" fontId="0" fillId="0" borderId="17" xfId="0" applyFont="1" applyFill="1" applyBorder="1" applyAlignment="1"/>
    <xf numFmtId="0" fontId="0" fillId="0" borderId="17" xfId="0" applyFont="1" applyFill="1" applyBorder="1" applyAlignment="1">
      <alignment horizontal="left"/>
    </xf>
    <xf numFmtId="0" fontId="2" fillId="7" borderId="0" xfId="0" applyFont="1" applyFill="1"/>
    <xf numFmtId="0" fontId="0" fillId="7" borderId="0" xfId="0" applyFill="1"/>
    <xf numFmtId="0" fontId="0" fillId="7" borderId="0" xfId="0" applyFill="1" applyBorder="1"/>
    <xf numFmtId="0" fontId="0" fillId="0" borderId="0" xfId="0" applyAlignment="1">
      <alignment vertical="center"/>
    </xf>
    <xf numFmtId="0" fontId="12" fillId="0" borderId="20" xfId="0" applyFont="1" applyBorder="1"/>
    <xf numFmtId="0" fontId="13" fillId="2" borderId="20" xfId="0" applyFont="1" applyFill="1" applyBorder="1" applyAlignment="1">
      <alignment horizontal="center" wrapText="1"/>
    </xf>
    <xf numFmtId="0" fontId="12" fillId="0" borderId="0" xfId="0" applyFont="1" applyBorder="1"/>
    <xf numFmtId="0" fontId="14" fillId="2" borderId="1" xfId="0" applyFont="1" applyFill="1" applyBorder="1"/>
    <xf numFmtId="2" fontId="0" fillId="4" borderId="3" xfId="0" applyNumberFormat="1" applyFill="1" applyBorder="1"/>
    <xf numFmtId="2" fontId="0" fillId="4" borderId="13" xfId="0" applyNumberFormat="1" applyFill="1" applyBorder="1"/>
    <xf numFmtId="0" fontId="0" fillId="0" borderId="0" xfId="0" applyFont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2" fontId="19" fillId="2" borderId="1" xfId="0" applyNumberFormat="1" applyFont="1" applyFill="1" applyBorder="1"/>
    <xf numFmtId="0" fontId="19" fillId="0" borderId="0" xfId="0" applyFont="1"/>
    <xf numFmtId="0" fontId="0" fillId="0" borderId="0" xfId="0" applyAlignment="1">
      <alignment vertical="center"/>
    </xf>
    <xf numFmtId="2" fontId="0" fillId="2" borderId="1" xfId="0" applyNumberFormat="1" applyFill="1" applyBorder="1"/>
    <xf numFmtId="0" fontId="0" fillId="0" borderId="0" xfId="0" applyAlignment="1">
      <alignment vertical="center"/>
    </xf>
    <xf numFmtId="0" fontId="6" fillId="2" borderId="21" xfId="0" applyFont="1" applyFill="1" applyBorder="1"/>
    <xf numFmtId="0" fontId="0" fillId="5" borderId="22" xfId="0" applyFill="1" applyBorder="1"/>
    <xf numFmtId="0" fontId="0" fillId="5" borderId="23" xfId="0" applyFill="1" applyBorder="1"/>
    <xf numFmtId="0" fontId="0" fillId="4" borderId="24" xfId="0" applyFill="1" applyBorder="1"/>
    <xf numFmtId="0" fontId="0" fillId="4" borderId="21" xfId="0" applyFill="1" applyBorder="1"/>
    <xf numFmtId="2" fontId="0" fillId="4" borderId="25" xfId="0" applyNumberFormat="1" applyFill="1" applyBorder="1"/>
    <xf numFmtId="0" fontId="0" fillId="5" borderId="1" xfId="0" applyFill="1" applyBorder="1"/>
    <xf numFmtId="2" fontId="0" fillId="4" borderId="1" xfId="0" applyNumberFormat="1" applyFill="1" applyBorder="1"/>
    <xf numFmtId="0" fontId="2" fillId="0" borderId="0" xfId="0" applyFont="1" applyBorder="1"/>
    <xf numFmtId="0" fontId="0" fillId="0" borderId="0" xfId="0" applyBorder="1"/>
    <xf numFmtId="2" fontId="0" fillId="0" borderId="0" xfId="0" applyNumberFormat="1" applyBorder="1"/>
    <xf numFmtId="0" fontId="0" fillId="5" borderId="26" xfId="0" applyFill="1" applyBorder="1"/>
    <xf numFmtId="0" fontId="0" fillId="5" borderId="27" xfId="0" applyFill="1" applyBorder="1"/>
    <xf numFmtId="0" fontId="0" fillId="0" borderId="27" xfId="0" applyFill="1" applyBorder="1"/>
    <xf numFmtId="0" fontId="0" fillId="0" borderId="28" xfId="0" applyBorder="1"/>
    <xf numFmtId="0" fontId="0" fillId="0" borderId="29" xfId="0" applyBorder="1"/>
    <xf numFmtId="0" fontId="19" fillId="2" borderId="1" xfId="0" applyFont="1" applyFill="1" applyBorder="1"/>
    <xf numFmtId="0" fontId="20" fillId="2" borderId="1" xfId="0" applyFont="1" applyFill="1" applyBorder="1"/>
    <xf numFmtId="0" fontId="22" fillId="0" borderId="0" xfId="0" applyFont="1" applyAlignment="1">
      <alignment wrapText="1"/>
    </xf>
    <xf numFmtId="0" fontId="21" fillId="5" borderId="2" xfId="0" applyFont="1" applyFill="1" applyBorder="1"/>
    <xf numFmtId="0" fontId="21" fillId="5" borderId="4" xfId="0" applyFont="1" applyFill="1" applyBorder="1"/>
    <xf numFmtId="0" fontId="21" fillId="0" borderId="19" xfId="0" applyFont="1" applyFill="1" applyBorder="1"/>
    <xf numFmtId="0" fontId="23" fillId="4" borderId="9" xfId="0" applyFont="1" applyFill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24" fillId="5" borderId="2" xfId="0" applyFont="1" applyFill="1" applyBorder="1"/>
    <xf numFmtId="0" fontId="24" fillId="0" borderId="19" xfId="0" applyFont="1" applyFill="1" applyBorder="1"/>
    <xf numFmtId="0" fontId="25" fillId="5" borderId="2" xfId="0" applyFont="1" applyFill="1" applyBorder="1"/>
    <xf numFmtId="0" fontId="0" fillId="0" borderId="0" xfId="0" applyAlignment="1">
      <alignment vertical="center"/>
    </xf>
    <xf numFmtId="0" fontId="0" fillId="4" borderId="0" xfId="0" applyFill="1" applyBorder="1"/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26" fillId="0" borderId="0" xfId="0" applyFont="1" applyAlignment="1"/>
  </cellXfs>
  <cellStyles count="4">
    <cellStyle name="Normal" xfId="0" builtinId="0"/>
    <cellStyle name="PSChar" xfId="1"/>
    <cellStyle name="PSInt" xfId="3"/>
    <cellStyle name="PSSpacer" xfId="2"/>
  </cellStyles>
  <dxfs count="0"/>
  <tableStyles count="0" defaultTableStyle="TableStyleMedium9" defaultPivotStyle="PivotStyleLight16"/>
  <colors>
    <mruColors>
      <color rgb="FFFFFFCC"/>
      <color rgb="FF8B16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459440</xdr:colOff>
      <xdr:row>2</xdr:row>
      <xdr:rowOff>0</xdr:rowOff>
    </xdr:from>
    <xdr:to>
      <xdr:col>12</xdr:col>
      <xdr:colOff>448234</xdr:colOff>
      <xdr:row>5</xdr:row>
      <xdr:rowOff>123265</xdr:rowOff>
    </xdr:to>
    <xdr:sp macro="" textlink="">
      <xdr:nvSpPr>
        <xdr:cNvPr id="2" name="TextBox 1"/>
        <xdr:cNvSpPr txBox="1"/>
      </xdr:nvSpPr>
      <xdr:spPr>
        <a:xfrm>
          <a:off x="7507940" y="728382"/>
          <a:ext cx="2375647" cy="6947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50" i="1"/>
            <a:t>* Staff and student numbers provided by Dian Nelson, FCPS Communications</a:t>
          </a:r>
          <a:r>
            <a:rPr lang="en-US" sz="1050" i="1" baseline="0"/>
            <a:t> Services Division- October, 2012</a:t>
          </a:r>
          <a:endParaRPr lang="en-US" sz="1050" i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38</xdr:row>
      <xdr:rowOff>0</xdr:rowOff>
    </xdr:from>
    <xdr:to>
      <xdr:col>8</xdr:col>
      <xdr:colOff>476250</xdr:colOff>
      <xdr:row>43</xdr:row>
      <xdr:rowOff>19050</xdr:rowOff>
    </xdr:to>
    <xdr:sp macro="" textlink="">
      <xdr:nvSpPr>
        <xdr:cNvPr id="2" name="TextBox 1"/>
        <xdr:cNvSpPr txBox="1"/>
      </xdr:nvSpPr>
      <xdr:spPr>
        <a:xfrm>
          <a:off x="361950" y="7877175"/>
          <a:ext cx="7496175" cy="97155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50" i="1"/>
            <a:t>During</a:t>
          </a:r>
          <a:r>
            <a:rPr lang="en-US" sz="1050" i="1" baseline="0"/>
            <a:t> the 2012-13 school year, t</a:t>
          </a:r>
          <a:r>
            <a:rPr lang="en-US" sz="1050" i="1"/>
            <a:t>here is an ongoing contest for FCPS Elementary</a:t>
          </a:r>
          <a:r>
            <a:rPr lang="en-US" sz="1050" i="1" baseline="0"/>
            <a:t> school facilities to see who can recycle the most per capita.  As the school year draws to a close, the schools with the best average recycling rates will be rewarded with prizes.  (Note: prizes will not be awarded for monthly recycling achievements, but for year-end totals.)</a:t>
          </a:r>
        </a:p>
        <a:p>
          <a:r>
            <a:rPr lang="en-US" sz="1050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For more information, p</a:t>
          </a:r>
          <a:r>
            <a:rPr lang="en-US" sz="1050" i="1" baseline="0"/>
            <a:t>lease contact Annmarie Creamer, Recycling Outreach Program Coordinator for Frederick County Government, at 301-600-7405 or email to: ACreamer@FrederickCountyMD.gov .</a:t>
          </a:r>
          <a:endParaRPr lang="en-US" sz="1050" i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89"/>
  <sheetViews>
    <sheetView topLeftCell="A2" zoomScale="55" zoomScaleNormal="55" workbookViewId="0">
      <selection activeCell="A67" sqref="A67"/>
    </sheetView>
  </sheetViews>
  <sheetFormatPr defaultRowHeight="15"/>
  <cols>
    <col min="1" max="1" width="36.85546875" customWidth="1"/>
    <col min="2" max="2" width="10.7109375" customWidth="1"/>
    <col min="3" max="3" width="10.42578125" customWidth="1"/>
    <col min="4" max="4" width="11.42578125" style="31" customWidth="1"/>
    <col min="5" max="5" width="2.7109375" customWidth="1"/>
    <col min="6" max="6" width="1.42578125" customWidth="1"/>
    <col min="7" max="7" width="3.5703125" customWidth="1"/>
    <col min="9" max="9" width="8.5703125" customWidth="1"/>
    <col min="24" max="24" width="9.85546875" style="45" customWidth="1"/>
  </cols>
  <sheetData>
    <row r="1" spans="1:24">
      <c r="A1" t="s">
        <v>83</v>
      </c>
    </row>
    <row r="2" spans="1:24" ht="42" customHeight="1">
      <c r="A2" s="2" t="s">
        <v>28</v>
      </c>
      <c r="B2" s="19" t="s">
        <v>33</v>
      </c>
      <c r="C2" s="19" t="s">
        <v>34</v>
      </c>
      <c r="D2" s="19" t="s">
        <v>35</v>
      </c>
      <c r="E2" s="3"/>
      <c r="X2" s="46" t="s">
        <v>84</v>
      </c>
    </row>
    <row r="3" spans="1:24">
      <c r="A3" s="23" t="s">
        <v>36</v>
      </c>
      <c r="B3" s="18">
        <v>85</v>
      </c>
      <c r="C3" s="18">
        <v>653</v>
      </c>
      <c r="D3" s="30">
        <f t="shared" ref="D3:D34" si="0">B3+C3</f>
        <v>738</v>
      </c>
      <c r="H3">
        <v>738</v>
      </c>
      <c r="X3" s="45">
        <v>68</v>
      </c>
    </row>
    <row r="4" spans="1:24">
      <c r="A4" s="24" t="s">
        <v>0</v>
      </c>
      <c r="B4" s="18">
        <v>90</v>
      </c>
      <c r="C4" s="18">
        <v>707</v>
      </c>
      <c r="D4" s="30">
        <f t="shared" si="0"/>
        <v>797</v>
      </c>
      <c r="H4">
        <v>797</v>
      </c>
      <c r="X4" s="45">
        <v>84</v>
      </c>
    </row>
    <row r="5" spans="1:24">
      <c r="A5" s="23" t="s">
        <v>37</v>
      </c>
      <c r="B5" s="18">
        <v>80</v>
      </c>
      <c r="C5" s="18">
        <v>611</v>
      </c>
      <c r="D5" s="30">
        <f t="shared" si="0"/>
        <v>691</v>
      </c>
      <c r="H5">
        <v>691</v>
      </c>
      <c r="X5" s="45">
        <v>86</v>
      </c>
    </row>
    <row r="6" spans="1:24">
      <c r="A6" s="25" t="s">
        <v>1</v>
      </c>
      <c r="B6" s="18">
        <v>90</v>
      </c>
      <c r="C6" s="18">
        <v>717</v>
      </c>
      <c r="D6" s="30">
        <f t="shared" si="0"/>
        <v>807</v>
      </c>
      <c r="H6">
        <v>807</v>
      </c>
      <c r="X6" s="45">
        <v>96</v>
      </c>
    </row>
    <row r="7" spans="1:24">
      <c r="A7" s="24" t="s">
        <v>2</v>
      </c>
      <c r="B7" s="18">
        <v>75</v>
      </c>
      <c r="C7" s="18">
        <v>529</v>
      </c>
      <c r="D7" s="30">
        <f t="shared" si="0"/>
        <v>604</v>
      </c>
      <c r="H7">
        <v>604</v>
      </c>
      <c r="X7" s="45">
        <v>82</v>
      </c>
    </row>
    <row r="8" spans="1:24">
      <c r="A8" s="23" t="s">
        <v>38</v>
      </c>
      <c r="B8" s="18">
        <v>92</v>
      </c>
      <c r="C8" s="18">
        <v>552</v>
      </c>
      <c r="D8" s="30">
        <f t="shared" si="0"/>
        <v>644</v>
      </c>
      <c r="H8">
        <v>644</v>
      </c>
      <c r="X8" s="45">
        <v>97</v>
      </c>
    </row>
    <row r="9" spans="1:24">
      <c r="A9" s="25" t="s">
        <v>3</v>
      </c>
      <c r="B9" s="18">
        <v>100</v>
      </c>
      <c r="C9" s="18">
        <v>974</v>
      </c>
      <c r="D9" s="30">
        <f t="shared" si="0"/>
        <v>1074</v>
      </c>
      <c r="H9">
        <v>1074</v>
      </c>
      <c r="X9" s="45">
        <v>120</v>
      </c>
    </row>
    <row r="10" spans="1:24">
      <c r="A10" s="23" t="s">
        <v>39</v>
      </c>
      <c r="B10" s="18">
        <v>102</v>
      </c>
      <c r="C10" s="18">
        <v>926</v>
      </c>
      <c r="D10" s="30">
        <f t="shared" si="0"/>
        <v>1028</v>
      </c>
      <c r="H10">
        <v>1028</v>
      </c>
      <c r="X10" s="45">
        <v>100</v>
      </c>
    </row>
    <row r="11" spans="1:24">
      <c r="A11" s="24" t="s">
        <v>4</v>
      </c>
      <c r="B11" s="18">
        <v>60</v>
      </c>
      <c r="C11" s="18">
        <v>513</v>
      </c>
      <c r="D11" s="30">
        <f t="shared" si="0"/>
        <v>573</v>
      </c>
      <c r="H11">
        <v>573</v>
      </c>
      <c r="X11" s="45">
        <v>75</v>
      </c>
    </row>
    <row r="12" spans="1:24">
      <c r="A12" s="23" t="s">
        <v>40</v>
      </c>
      <c r="B12" s="18">
        <v>72</v>
      </c>
      <c r="C12" s="18">
        <v>668</v>
      </c>
      <c r="D12" s="30">
        <f t="shared" si="0"/>
        <v>740</v>
      </c>
      <c r="H12">
        <v>740</v>
      </c>
      <c r="X12" s="45">
        <v>78</v>
      </c>
    </row>
    <row r="13" spans="1:24">
      <c r="A13" s="23" t="s">
        <v>41</v>
      </c>
      <c r="B13" s="18">
        <v>50</v>
      </c>
      <c r="C13" s="18">
        <v>292</v>
      </c>
      <c r="D13" s="30">
        <f t="shared" si="0"/>
        <v>342</v>
      </c>
      <c r="H13">
        <v>342</v>
      </c>
      <c r="X13" s="45">
        <v>53</v>
      </c>
    </row>
    <row r="14" spans="1:24">
      <c r="A14" s="25" t="s">
        <v>5</v>
      </c>
      <c r="B14" s="18">
        <v>160</v>
      </c>
      <c r="C14" s="18">
        <v>1340</v>
      </c>
      <c r="D14" s="30">
        <f t="shared" si="0"/>
        <v>1500</v>
      </c>
      <c r="H14">
        <v>1500</v>
      </c>
      <c r="X14" s="45">
        <v>158</v>
      </c>
    </row>
    <row r="15" spans="1:24">
      <c r="A15" s="23" t="s">
        <v>42</v>
      </c>
      <c r="B15" s="18">
        <v>68</v>
      </c>
      <c r="C15" s="18">
        <v>645</v>
      </c>
      <c r="D15" s="30">
        <f t="shared" si="0"/>
        <v>713</v>
      </c>
      <c r="H15">
        <v>713</v>
      </c>
      <c r="X15" s="45">
        <v>73</v>
      </c>
    </row>
    <row r="16" spans="1:24">
      <c r="A16" s="23" t="s">
        <v>43</v>
      </c>
      <c r="B16" s="18">
        <v>54</v>
      </c>
      <c r="C16" s="18">
        <v>415</v>
      </c>
      <c r="D16" s="30">
        <f t="shared" si="0"/>
        <v>469</v>
      </c>
      <c r="H16">
        <v>469</v>
      </c>
      <c r="X16" s="45">
        <v>60</v>
      </c>
    </row>
    <row r="17" spans="1:24">
      <c r="A17" s="25" t="s">
        <v>6</v>
      </c>
      <c r="B17" s="18">
        <v>56</v>
      </c>
      <c r="C17" s="18">
        <v>65</v>
      </c>
      <c r="D17" s="30">
        <f t="shared" si="0"/>
        <v>121</v>
      </c>
      <c r="H17">
        <v>121</v>
      </c>
      <c r="X17" s="45">
        <v>55</v>
      </c>
    </row>
    <row r="18" spans="1:24">
      <c r="A18" s="23" t="s">
        <v>44</v>
      </c>
      <c r="B18" s="18">
        <v>110</v>
      </c>
      <c r="C18" s="18">
        <v>888</v>
      </c>
      <c r="D18" s="30">
        <f t="shared" si="0"/>
        <v>998</v>
      </c>
      <c r="H18">
        <v>998</v>
      </c>
      <c r="X18" s="45">
        <v>119</v>
      </c>
    </row>
    <row r="19" spans="1:24">
      <c r="A19" s="23" t="s">
        <v>45</v>
      </c>
      <c r="B19" s="18">
        <v>48</v>
      </c>
      <c r="C19" s="18">
        <v>394</v>
      </c>
      <c r="D19" s="30">
        <f t="shared" si="0"/>
        <v>442</v>
      </c>
      <c r="H19">
        <v>442</v>
      </c>
      <c r="X19" s="45">
        <v>56</v>
      </c>
    </row>
    <row r="20" spans="1:24">
      <c r="A20" s="23" t="s">
        <v>46</v>
      </c>
      <c r="B20" s="18">
        <v>62</v>
      </c>
      <c r="C20" s="18">
        <v>212</v>
      </c>
      <c r="D20" s="30">
        <f t="shared" si="0"/>
        <v>274</v>
      </c>
      <c r="H20">
        <v>274</v>
      </c>
      <c r="X20" s="45">
        <v>66</v>
      </c>
    </row>
    <row r="21" spans="1:24">
      <c r="A21" s="23" t="s">
        <v>47</v>
      </c>
      <c r="B21" s="18">
        <v>42</v>
      </c>
      <c r="C21" s="18">
        <v>292</v>
      </c>
      <c r="D21" s="30">
        <f t="shared" si="0"/>
        <v>334</v>
      </c>
      <c r="H21">
        <v>334</v>
      </c>
      <c r="X21" s="45">
        <v>50</v>
      </c>
    </row>
    <row r="22" spans="1:24">
      <c r="A22" s="23" t="s">
        <v>48</v>
      </c>
      <c r="B22" s="18">
        <v>75</v>
      </c>
      <c r="C22" s="18">
        <v>511</v>
      </c>
      <c r="D22" s="30">
        <f t="shared" si="0"/>
        <v>586</v>
      </c>
      <c r="H22">
        <v>586</v>
      </c>
      <c r="X22" s="45">
        <v>69</v>
      </c>
    </row>
    <row r="23" spans="1:24">
      <c r="A23" s="25" t="s">
        <v>7</v>
      </c>
      <c r="B23" s="18">
        <v>150</v>
      </c>
      <c r="C23" s="18">
        <v>1496</v>
      </c>
      <c r="D23" s="30">
        <f t="shared" si="0"/>
        <v>1646</v>
      </c>
      <c r="H23">
        <v>1646</v>
      </c>
      <c r="X23" s="45">
        <v>154</v>
      </c>
    </row>
    <row r="24" spans="1:24">
      <c r="A24" s="23" t="s">
        <v>49</v>
      </c>
      <c r="B24" s="18">
        <v>70</v>
      </c>
      <c r="C24" s="18">
        <v>467</v>
      </c>
      <c r="D24" s="30">
        <f t="shared" si="0"/>
        <v>537</v>
      </c>
      <c r="H24">
        <v>537</v>
      </c>
      <c r="X24" s="45">
        <v>71</v>
      </c>
    </row>
    <row r="25" spans="1:24">
      <c r="A25" s="25" t="s">
        <v>8</v>
      </c>
      <c r="B25" s="18">
        <v>110</v>
      </c>
      <c r="C25" s="18">
        <v>1215</v>
      </c>
      <c r="D25" s="30">
        <f t="shared" si="0"/>
        <v>1325</v>
      </c>
      <c r="H25">
        <v>1325</v>
      </c>
      <c r="X25" s="45">
        <v>133</v>
      </c>
    </row>
    <row r="26" spans="1:24">
      <c r="A26" s="24" t="s">
        <v>9</v>
      </c>
      <c r="B26" s="18">
        <v>102</v>
      </c>
      <c r="C26" s="18">
        <v>812</v>
      </c>
      <c r="D26" s="30">
        <f t="shared" si="0"/>
        <v>914</v>
      </c>
      <c r="H26">
        <v>914</v>
      </c>
      <c r="X26" s="45">
        <v>88</v>
      </c>
    </row>
    <row r="27" spans="1:24">
      <c r="A27" s="23" t="s">
        <v>10</v>
      </c>
      <c r="B27" s="18">
        <v>80</v>
      </c>
      <c r="C27" s="18">
        <v>461</v>
      </c>
      <c r="D27" s="30">
        <f t="shared" si="0"/>
        <v>541</v>
      </c>
      <c r="H27">
        <v>541</v>
      </c>
      <c r="X27" s="45">
        <v>72</v>
      </c>
    </row>
    <row r="28" spans="1:24">
      <c r="A28" s="23" t="s">
        <v>50</v>
      </c>
      <c r="B28" s="18">
        <v>90</v>
      </c>
      <c r="C28" s="18">
        <v>612</v>
      </c>
      <c r="D28" s="30">
        <f t="shared" si="0"/>
        <v>702</v>
      </c>
      <c r="H28">
        <v>702</v>
      </c>
      <c r="X28" s="45">
        <v>83</v>
      </c>
    </row>
    <row r="29" spans="1:24">
      <c r="A29" s="24" t="s">
        <v>11</v>
      </c>
      <c r="B29" s="18">
        <v>87</v>
      </c>
      <c r="C29" s="18">
        <v>729</v>
      </c>
      <c r="D29" s="30">
        <f t="shared" si="0"/>
        <v>816</v>
      </c>
      <c r="H29">
        <v>816</v>
      </c>
      <c r="X29" s="45">
        <v>97</v>
      </c>
    </row>
    <row r="30" spans="1:24">
      <c r="A30" s="23" t="s">
        <v>51</v>
      </c>
      <c r="B30" s="18">
        <v>55</v>
      </c>
      <c r="C30" s="18">
        <v>364</v>
      </c>
      <c r="D30" s="30">
        <f t="shared" si="0"/>
        <v>419</v>
      </c>
      <c r="H30">
        <v>419</v>
      </c>
      <c r="X30" s="45">
        <v>55</v>
      </c>
    </row>
    <row r="31" spans="1:24">
      <c r="A31" s="23" t="s">
        <v>52</v>
      </c>
      <c r="B31" s="18">
        <v>87</v>
      </c>
      <c r="C31" s="18">
        <v>606</v>
      </c>
      <c r="D31" s="30">
        <f t="shared" si="0"/>
        <v>693</v>
      </c>
      <c r="H31">
        <v>693</v>
      </c>
      <c r="X31" s="45">
        <v>84</v>
      </c>
    </row>
    <row r="32" spans="1:24">
      <c r="A32" s="23" t="s">
        <v>53</v>
      </c>
      <c r="B32" s="18">
        <v>91</v>
      </c>
      <c r="C32" s="18">
        <v>755</v>
      </c>
      <c r="D32" s="30">
        <f t="shared" si="0"/>
        <v>846</v>
      </c>
      <c r="H32">
        <v>846</v>
      </c>
      <c r="X32" s="45">
        <v>71</v>
      </c>
    </row>
    <row r="33" spans="1:24">
      <c r="A33" s="24" t="s">
        <v>12</v>
      </c>
      <c r="B33" s="18">
        <v>75</v>
      </c>
      <c r="C33" s="18">
        <v>506</v>
      </c>
      <c r="D33" s="30">
        <f t="shared" si="0"/>
        <v>581</v>
      </c>
      <c r="H33">
        <v>581</v>
      </c>
      <c r="X33" s="45">
        <v>27</v>
      </c>
    </row>
    <row r="34" spans="1:24">
      <c r="A34" s="23" t="s">
        <v>69</v>
      </c>
      <c r="B34" s="18">
        <v>24</v>
      </c>
      <c r="C34" s="18">
        <v>142</v>
      </c>
      <c r="D34" s="30">
        <f t="shared" si="0"/>
        <v>166</v>
      </c>
      <c r="H34">
        <v>166</v>
      </c>
      <c r="X34" s="45">
        <v>85</v>
      </c>
    </row>
    <row r="35" spans="1:24">
      <c r="A35" s="23" t="s">
        <v>54</v>
      </c>
      <c r="B35" s="18">
        <v>80</v>
      </c>
      <c r="C35" s="18">
        <v>627</v>
      </c>
      <c r="D35" s="30">
        <f t="shared" ref="D35:D64" si="1">B35+C35</f>
        <v>707</v>
      </c>
      <c r="H35">
        <v>707</v>
      </c>
      <c r="X35" s="45">
        <v>68</v>
      </c>
    </row>
    <row r="36" spans="1:24">
      <c r="A36" s="25" t="s">
        <v>13</v>
      </c>
      <c r="B36" s="18">
        <v>120</v>
      </c>
      <c r="C36" s="18">
        <v>1154</v>
      </c>
      <c r="D36" s="30">
        <f t="shared" si="1"/>
        <v>1274</v>
      </c>
      <c r="H36">
        <v>1274</v>
      </c>
      <c r="X36" s="45">
        <v>109</v>
      </c>
    </row>
    <row r="37" spans="1:24">
      <c r="A37" s="24" t="s">
        <v>14</v>
      </c>
      <c r="B37" s="18">
        <v>75</v>
      </c>
      <c r="C37" s="18">
        <v>622</v>
      </c>
      <c r="D37" s="30">
        <f t="shared" si="1"/>
        <v>697</v>
      </c>
      <c r="H37">
        <v>697</v>
      </c>
      <c r="X37" s="45">
        <v>88</v>
      </c>
    </row>
    <row r="38" spans="1:24">
      <c r="A38" s="23" t="s">
        <v>55</v>
      </c>
      <c r="B38" s="18">
        <v>80</v>
      </c>
      <c r="C38" s="18">
        <v>615</v>
      </c>
      <c r="D38" s="30">
        <f t="shared" si="1"/>
        <v>695</v>
      </c>
      <c r="H38">
        <v>695</v>
      </c>
      <c r="X38" s="45">
        <v>73</v>
      </c>
    </row>
    <row r="39" spans="1:24">
      <c r="A39" s="23" t="s">
        <v>15</v>
      </c>
      <c r="B39" s="18">
        <v>51</v>
      </c>
      <c r="C39" s="18">
        <v>251</v>
      </c>
      <c r="D39" s="30">
        <f t="shared" si="1"/>
        <v>302</v>
      </c>
      <c r="H39">
        <v>302</v>
      </c>
      <c r="X39" s="45">
        <v>44</v>
      </c>
    </row>
    <row r="40" spans="1:24">
      <c r="A40" s="26" t="s">
        <v>16</v>
      </c>
      <c r="B40" s="18">
        <v>80</v>
      </c>
      <c r="C40" s="18">
        <v>97</v>
      </c>
      <c r="D40" s="30">
        <f t="shared" si="1"/>
        <v>177</v>
      </c>
      <c r="H40">
        <v>177</v>
      </c>
      <c r="X40" s="45">
        <v>97</v>
      </c>
    </row>
    <row r="41" spans="1:24">
      <c r="A41" s="23" t="s">
        <v>56</v>
      </c>
      <c r="B41" s="18">
        <v>32</v>
      </c>
      <c r="C41" s="18">
        <v>125</v>
      </c>
      <c r="D41" s="30">
        <f t="shared" si="1"/>
        <v>157</v>
      </c>
      <c r="H41">
        <v>157</v>
      </c>
      <c r="X41" s="45">
        <v>31</v>
      </c>
    </row>
    <row r="42" spans="1:24">
      <c r="A42" s="23" t="s">
        <v>57</v>
      </c>
      <c r="B42" s="18">
        <v>80</v>
      </c>
      <c r="C42" s="18">
        <v>483</v>
      </c>
      <c r="D42" s="30">
        <f t="shared" si="1"/>
        <v>563</v>
      </c>
      <c r="H42">
        <v>563</v>
      </c>
      <c r="X42" s="45">
        <v>78</v>
      </c>
    </row>
    <row r="43" spans="1:24">
      <c r="A43" s="25" t="s">
        <v>17</v>
      </c>
      <c r="B43" s="18">
        <v>162</v>
      </c>
      <c r="C43" s="18">
        <v>1470</v>
      </c>
      <c r="D43" s="30">
        <f t="shared" si="1"/>
        <v>1632</v>
      </c>
      <c r="H43">
        <v>1632</v>
      </c>
      <c r="X43" s="45">
        <v>192</v>
      </c>
    </row>
    <row r="44" spans="1:24">
      <c r="A44" s="24" t="s">
        <v>18</v>
      </c>
      <c r="B44" s="18">
        <v>76</v>
      </c>
      <c r="C44" s="18">
        <v>554</v>
      </c>
      <c r="D44" s="30">
        <f t="shared" si="1"/>
        <v>630</v>
      </c>
      <c r="H44">
        <v>630</v>
      </c>
      <c r="X44" s="45">
        <v>84</v>
      </c>
    </row>
    <row r="45" spans="1:24">
      <c r="A45" s="23" t="s">
        <v>58</v>
      </c>
      <c r="B45" s="18">
        <v>45</v>
      </c>
      <c r="C45" s="18">
        <v>336</v>
      </c>
      <c r="D45" s="30">
        <f t="shared" si="1"/>
        <v>381</v>
      </c>
      <c r="H45">
        <v>381</v>
      </c>
      <c r="X45" s="45">
        <v>59</v>
      </c>
    </row>
    <row r="46" spans="1:24">
      <c r="A46" s="24" t="s">
        <v>19</v>
      </c>
      <c r="B46" s="18">
        <v>77</v>
      </c>
      <c r="C46" s="18">
        <v>616</v>
      </c>
      <c r="D46" s="30">
        <f t="shared" si="1"/>
        <v>693</v>
      </c>
      <c r="H46">
        <v>693</v>
      </c>
      <c r="X46" s="45">
        <v>78</v>
      </c>
    </row>
    <row r="47" spans="1:24">
      <c r="A47" s="23" t="s">
        <v>20</v>
      </c>
      <c r="B47" s="18">
        <v>65</v>
      </c>
      <c r="C47" s="18">
        <v>377</v>
      </c>
      <c r="D47" s="30">
        <f t="shared" si="1"/>
        <v>442</v>
      </c>
      <c r="H47">
        <v>442</v>
      </c>
      <c r="X47" s="45">
        <v>71</v>
      </c>
    </row>
    <row r="48" spans="1:24">
      <c r="A48" s="23" t="s">
        <v>59</v>
      </c>
      <c r="B48" s="18">
        <v>77</v>
      </c>
      <c r="C48" s="18">
        <v>762</v>
      </c>
      <c r="D48" s="30">
        <f t="shared" si="1"/>
        <v>839</v>
      </c>
      <c r="H48">
        <v>839</v>
      </c>
      <c r="X48" s="45">
        <v>73</v>
      </c>
    </row>
    <row r="49" spans="1:24">
      <c r="A49" s="25" t="s">
        <v>21</v>
      </c>
      <c r="B49" s="18">
        <v>175</v>
      </c>
      <c r="C49" s="18">
        <v>1494</v>
      </c>
      <c r="D49" s="30">
        <f t="shared" si="1"/>
        <v>1669</v>
      </c>
      <c r="H49">
        <v>1669</v>
      </c>
      <c r="X49" s="45">
        <v>167</v>
      </c>
    </row>
    <row r="50" spans="1:24">
      <c r="A50" s="23" t="s">
        <v>60</v>
      </c>
      <c r="B50" s="18">
        <v>67</v>
      </c>
      <c r="C50" s="18">
        <v>531</v>
      </c>
      <c r="D50" s="30">
        <f t="shared" si="1"/>
        <v>598</v>
      </c>
      <c r="H50">
        <v>598</v>
      </c>
      <c r="X50" s="45">
        <v>76</v>
      </c>
    </row>
    <row r="51" spans="1:24">
      <c r="A51" s="23" t="s">
        <v>61</v>
      </c>
      <c r="B51" s="18">
        <v>83</v>
      </c>
      <c r="C51" s="18">
        <v>737</v>
      </c>
      <c r="D51" s="30">
        <f t="shared" si="1"/>
        <v>820</v>
      </c>
      <c r="H51">
        <v>820</v>
      </c>
      <c r="X51" s="45">
        <v>89</v>
      </c>
    </row>
    <row r="52" spans="1:24">
      <c r="A52" s="25" t="s">
        <v>22</v>
      </c>
      <c r="B52" s="18">
        <v>123</v>
      </c>
      <c r="C52" s="18">
        <v>1486</v>
      </c>
      <c r="D52" s="30">
        <f t="shared" si="1"/>
        <v>1609</v>
      </c>
      <c r="H52">
        <v>1609</v>
      </c>
      <c r="X52" s="45">
        <v>155</v>
      </c>
    </row>
    <row r="53" spans="1:24">
      <c r="A53" s="24" t="s">
        <v>23</v>
      </c>
      <c r="B53" s="18">
        <v>85</v>
      </c>
      <c r="C53" s="18">
        <v>745</v>
      </c>
      <c r="D53" s="30">
        <f t="shared" si="1"/>
        <v>830</v>
      </c>
      <c r="H53">
        <v>830</v>
      </c>
      <c r="X53" s="45">
        <v>71</v>
      </c>
    </row>
    <row r="54" spans="1:24">
      <c r="A54" s="23" t="s">
        <v>62</v>
      </c>
      <c r="B54" s="18">
        <v>65</v>
      </c>
      <c r="C54" s="18">
        <v>423</v>
      </c>
      <c r="D54" s="30">
        <f t="shared" si="1"/>
        <v>488</v>
      </c>
      <c r="H54">
        <v>488</v>
      </c>
      <c r="X54" s="45">
        <v>69</v>
      </c>
    </row>
    <row r="55" spans="1:24">
      <c r="A55" s="24" t="s">
        <v>77</v>
      </c>
      <c r="B55" s="18">
        <v>77</v>
      </c>
      <c r="C55" s="18">
        <v>823</v>
      </c>
      <c r="D55" s="30">
        <f t="shared" si="1"/>
        <v>900</v>
      </c>
      <c r="H55">
        <v>900</v>
      </c>
      <c r="X55" s="45">
        <v>77</v>
      </c>
    </row>
    <row r="56" spans="1:24">
      <c r="A56" s="23" t="s">
        <v>63</v>
      </c>
      <c r="B56" s="18">
        <v>78</v>
      </c>
      <c r="C56" s="18">
        <v>684</v>
      </c>
      <c r="D56" s="30">
        <f t="shared" si="1"/>
        <v>762</v>
      </c>
      <c r="H56">
        <v>762</v>
      </c>
      <c r="X56" s="45">
        <v>136</v>
      </c>
    </row>
    <row r="57" spans="1:24">
      <c r="A57" s="25" t="s">
        <v>25</v>
      </c>
      <c r="B57" s="18">
        <v>86</v>
      </c>
      <c r="C57" s="18">
        <v>1141</v>
      </c>
      <c r="D57" s="30">
        <f t="shared" si="1"/>
        <v>1227</v>
      </c>
      <c r="H57">
        <v>1227</v>
      </c>
      <c r="X57" s="45">
        <v>96</v>
      </c>
    </row>
    <row r="58" spans="1:24">
      <c r="A58" s="24" t="s">
        <v>26</v>
      </c>
      <c r="B58" s="18">
        <v>80</v>
      </c>
      <c r="C58" s="18">
        <v>779</v>
      </c>
      <c r="D58" s="30">
        <f t="shared" si="1"/>
        <v>859</v>
      </c>
      <c r="H58">
        <v>859</v>
      </c>
      <c r="X58" s="45">
        <v>85</v>
      </c>
    </row>
    <row r="59" spans="1:24">
      <c r="A59" s="23" t="s">
        <v>64</v>
      </c>
      <c r="B59" s="18">
        <v>94</v>
      </c>
      <c r="C59" s="18">
        <v>543</v>
      </c>
      <c r="D59" s="30">
        <f t="shared" si="1"/>
        <v>637</v>
      </c>
      <c r="H59">
        <v>637</v>
      </c>
      <c r="X59" s="45">
        <v>121</v>
      </c>
    </row>
    <row r="60" spans="1:24">
      <c r="A60" s="23" t="s">
        <v>65</v>
      </c>
      <c r="B60" s="18">
        <v>93</v>
      </c>
      <c r="C60" s="18">
        <v>772</v>
      </c>
      <c r="D60" s="30">
        <f t="shared" si="1"/>
        <v>865</v>
      </c>
      <c r="H60">
        <v>865</v>
      </c>
      <c r="X60" s="45">
        <v>96</v>
      </c>
    </row>
    <row r="61" spans="1:24">
      <c r="A61" s="24" t="s">
        <v>27</v>
      </c>
      <c r="B61" s="18">
        <v>78</v>
      </c>
      <c r="C61" s="18">
        <v>876</v>
      </c>
      <c r="D61" s="30">
        <f t="shared" si="1"/>
        <v>954</v>
      </c>
      <c r="H61">
        <v>954</v>
      </c>
      <c r="X61" s="45">
        <v>95</v>
      </c>
    </row>
    <row r="62" spans="1:24">
      <c r="A62" s="23" t="s">
        <v>66</v>
      </c>
      <c r="B62" s="18">
        <v>35</v>
      </c>
      <c r="C62" s="18">
        <v>174</v>
      </c>
      <c r="D62" s="30">
        <f t="shared" si="1"/>
        <v>209</v>
      </c>
      <c r="H62">
        <v>209</v>
      </c>
      <c r="X62" s="45">
        <v>41</v>
      </c>
    </row>
    <row r="63" spans="1:24">
      <c r="A63" s="23" t="s">
        <v>67</v>
      </c>
      <c r="B63" s="18">
        <v>26</v>
      </c>
      <c r="C63" s="18">
        <v>187</v>
      </c>
      <c r="D63" s="30">
        <f t="shared" si="1"/>
        <v>213</v>
      </c>
      <c r="H63">
        <v>213</v>
      </c>
      <c r="X63" s="45">
        <v>27</v>
      </c>
    </row>
    <row r="64" spans="1:24">
      <c r="A64" s="23" t="s">
        <v>68</v>
      </c>
      <c r="B64" s="18">
        <v>51</v>
      </c>
      <c r="C64" s="18">
        <v>463</v>
      </c>
      <c r="D64" s="30">
        <f t="shared" si="1"/>
        <v>514</v>
      </c>
      <c r="H64">
        <v>514</v>
      </c>
      <c r="X64" s="45">
        <v>57</v>
      </c>
    </row>
    <row r="65" spans="24:24">
      <c r="X65" s="47"/>
    </row>
    <row r="66" spans="24:24">
      <c r="X66" s="47"/>
    </row>
    <row r="67" spans="24:24">
      <c r="X67" s="47"/>
    </row>
    <row r="68" spans="24:24">
      <c r="X68" s="47"/>
    </row>
    <row r="69" spans="24:24">
      <c r="X69" s="47"/>
    </row>
    <row r="70" spans="24:24">
      <c r="X70" s="47"/>
    </row>
    <row r="71" spans="24:24">
      <c r="X71" s="47"/>
    </row>
    <row r="72" spans="24:24">
      <c r="X72" s="47"/>
    </row>
    <row r="73" spans="24:24">
      <c r="X73" s="47"/>
    </row>
    <row r="74" spans="24:24">
      <c r="X74" s="47"/>
    </row>
    <row r="75" spans="24:24">
      <c r="X75" s="47"/>
    </row>
    <row r="76" spans="24:24">
      <c r="X76" s="47"/>
    </row>
    <row r="77" spans="24:24">
      <c r="X77" s="47"/>
    </row>
    <row r="78" spans="24:24">
      <c r="X78" s="47"/>
    </row>
    <row r="79" spans="24:24">
      <c r="X79" s="47"/>
    </row>
    <row r="80" spans="24:24">
      <c r="X80" s="47"/>
    </row>
    <row r="81" spans="24:24">
      <c r="X81" s="47"/>
    </row>
    <row r="82" spans="24:24">
      <c r="X82" s="47"/>
    </row>
    <row r="83" spans="24:24">
      <c r="X83" s="47"/>
    </row>
    <row r="84" spans="24:24">
      <c r="X84" s="47"/>
    </row>
    <row r="85" spans="24:24">
      <c r="X85" s="47"/>
    </row>
    <row r="86" spans="24:24">
      <c r="X86" s="47"/>
    </row>
    <row r="87" spans="24:24">
      <c r="X87" s="47"/>
    </row>
    <row r="88" spans="24:24">
      <c r="X88" s="47"/>
    </row>
    <row r="89" spans="24:24">
      <c r="X89" s="47"/>
    </row>
    <row r="90" spans="24:24">
      <c r="X90" s="47"/>
    </row>
    <row r="91" spans="24:24">
      <c r="X91" s="47"/>
    </row>
    <row r="92" spans="24:24">
      <c r="X92" s="47"/>
    </row>
    <row r="93" spans="24:24">
      <c r="X93" s="47"/>
    </row>
    <row r="94" spans="24:24">
      <c r="X94" s="47"/>
    </row>
    <row r="95" spans="24:24">
      <c r="X95" s="47"/>
    </row>
    <row r="96" spans="24:24">
      <c r="X96" s="47"/>
    </row>
    <row r="97" spans="24:24">
      <c r="X97" s="47"/>
    </row>
    <row r="98" spans="24:24">
      <c r="X98" s="47"/>
    </row>
    <row r="99" spans="24:24">
      <c r="X99" s="47"/>
    </row>
    <row r="100" spans="24:24">
      <c r="X100" s="47"/>
    </row>
    <row r="101" spans="24:24">
      <c r="X101" s="47"/>
    </row>
    <row r="102" spans="24:24">
      <c r="X102" s="47"/>
    </row>
    <row r="103" spans="24:24">
      <c r="X103" s="47"/>
    </row>
    <row r="104" spans="24:24">
      <c r="X104" s="47"/>
    </row>
    <row r="105" spans="24:24">
      <c r="X105" s="47"/>
    </row>
    <row r="106" spans="24:24">
      <c r="X106" s="47"/>
    </row>
    <row r="107" spans="24:24">
      <c r="X107" s="47"/>
    </row>
    <row r="108" spans="24:24">
      <c r="X108" s="47"/>
    </row>
    <row r="109" spans="24:24">
      <c r="X109" s="47"/>
    </row>
    <row r="110" spans="24:24">
      <c r="X110" s="47"/>
    </row>
    <row r="111" spans="24:24">
      <c r="X111" s="47"/>
    </row>
    <row r="112" spans="24:24">
      <c r="X112" s="47"/>
    </row>
    <row r="113" spans="24:24">
      <c r="X113" s="47"/>
    </row>
    <row r="114" spans="24:24">
      <c r="X114" s="47"/>
    </row>
    <row r="115" spans="24:24">
      <c r="X115" s="47"/>
    </row>
    <row r="116" spans="24:24">
      <c r="X116" s="47"/>
    </row>
    <row r="117" spans="24:24">
      <c r="X117" s="47"/>
    </row>
    <row r="118" spans="24:24">
      <c r="X118" s="47"/>
    </row>
    <row r="119" spans="24:24">
      <c r="X119" s="47"/>
    </row>
    <row r="120" spans="24:24">
      <c r="X120" s="47"/>
    </row>
    <row r="121" spans="24:24">
      <c r="X121" s="47"/>
    </row>
    <row r="122" spans="24:24">
      <c r="X122" s="47"/>
    </row>
    <row r="123" spans="24:24">
      <c r="X123" s="47"/>
    </row>
    <row r="124" spans="24:24">
      <c r="X124" s="47"/>
    </row>
    <row r="125" spans="24:24">
      <c r="X125" s="47"/>
    </row>
    <row r="126" spans="24:24">
      <c r="X126" s="47"/>
    </row>
    <row r="127" spans="24:24">
      <c r="X127" s="47"/>
    </row>
    <row r="128" spans="24:24">
      <c r="X128" s="47"/>
    </row>
    <row r="129" spans="24:24">
      <c r="X129" s="47"/>
    </row>
    <row r="130" spans="24:24">
      <c r="X130" s="47"/>
    </row>
    <row r="131" spans="24:24">
      <c r="X131" s="47"/>
    </row>
    <row r="132" spans="24:24">
      <c r="X132" s="47"/>
    </row>
    <row r="133" spans="24:24">
      <c r="X133" s="47"/>
    </row>
    <row r="134" spans="24:24">
      <c r="X134" s="47"/>
    </row>
    <row r="135" spans="24:24">
      <c r="X135" s="47"/>
    </row>
    <row r="136" spans="24:24">
      <c r="X136" s="47"/>
    </row>
    <row r="137" spans="24:24">
      <c r="X137" s="47"/>
    </row>
    <row r="138" spans="24:24">
      <c r="X138" s="47"/>
    </row>
    <row r="139" spans="24:24">
      <c r="X139" s="47"/>
    </row>
    <row r="140" spans="24:24">
      <c r="X140" s="47"/>
    </row>
    <row r="141" spans="24:24">
      <c r="X141" s="47"/>
    </row>
    <row r="142" spans="24:24">
      <c r="X142" s="47"/>
    </row>
    <row r="143" spans="24:24">
      <c r="X143" s="47"/>
    </row>
    <row r="144" spans="24:24">
      <c r="X144" s="47"/>
    </row>
    <row r="145" spans="24:24">
      <c r="X145" s="47"/>
    </row>
    <row r="146" spans="24:24">
      <c r="X146" s="47"/>
    </row>
    <row r="147" spans="24:24">
      <c r="X147" s="47"/>
    </row>
    <row r="148" spans="24:24">
      <c r="X148" s="47"/>
    </row>
    <row r="149" spans="24:24">
      <c r="X149" s="47"/>
    </row>
    <row r="150" spans="24:24">
      <c r="X150" s="47"/>
    </row>
    <row r="151" spans="24:24">
      <c r="X151" s="47"/>
    </row>
    <row r="152" spans="24:24">
      <c r="X152" s="47"/>
    </row>
    <row r="153" spans="24:24">
      <c r="X153" s="47"/>
    </row>
    <row r="154" spans="24:24">
      <c r="X154" s="47"/>
    </row>
    <row r="155" spans="24:24">
      <c r="X155" s="47"/>
    </row>
    <row r="156" spans="24:24">
      <c r="X156" s="47"/>
    </row>
    <row r="157" spans="24:24">
      <c r="X157" s="47"/>
    </row>
    <row r="158" spans="24:24">
      <c r="X158" s="47"/>
    </row>
    <row r="159" spans="24:24">
      <c r="X159" s="47"/>
    </row>
    <row r="160" spans="24:24">
      <c r="X160" s="47"/>
    </row>
    <row r="161" spans="24:24">
      <c r="X161" s="47"/>
    </row>
    <row r="162" spans="24:24">
      <c r="X162" s="47"/>
    </row>
    <row r="163" spans="24:24">
      <c r="X163" s="47"/>
    </row>
    <row r="164" spans="24:24">
      <c r="X164" s="47"/>
    </row>
    <row r="165" spans="24:24">
      <c r="X165" s="47"/>
    </row>
    <row r="166" spans="24:24">
      <c r="X166" s="47"/>
    </row>
    <row r="167" spans="24:24">
      <c r="X167" s="47"/>
    </row>
    <row r="168" spans="24:24">
      <c r="X168" s="47"/>
    </row>
    <row r="169" spans="24:24">
      <c r="X169" s="47"/>
    </row>
    <row r="170" spans="24:24">
      <c r="X170" s="47"/>
    </row>
    <row r="171" spans="24:24">
      <c r="X171" s="47"/>
    </row>
    <row r="172" spans="24:24">
      <c r="X172" s="47"/>
    </row>
    <row r="173" spans="24:24">
      <c r="X173" s="47"/>
    </row>
    <row r="174" spans="24:24">
      <c r="X174" s="47"/>
    </row>
    <row r="175" spans="24:24">
      <c r="X175" s="47"/>
    </row>
    <row r="176" spans="24:24">
      <c r="X176" s="47"/>
    </row>
    <row r="177" spans="24:24">
      <c r="X177" s="47"/>
    </row>
    <row r="178" spans="24:24">
      <c r="X178" s="47"/>
    </row>
    <row r="179" spans="24:24">
      <c r="X179" s="47"/>
    </row>
    <row r="180" spans="24:24">
      <c r="X180" s="47"/>
    </row>
    <row r="181" spans="24:24">
      <c r="X181" s="47"/>
    </row>
    <row r="182" spans="24:24">
      <c r="X182" s="47"/>
    </row>
    <row r="183" spans="24:24">
      <c r="X183" s="47"/>
    </row>
    <row r="184" spans="24:24">
      <c r="X184" s="47"/>
    </row>
    <row r="185" spans="24:24">
      <c r="X185" s="47"/>
    </row>
    <row r="186" spans="24:24">
      <c r="X186" s="47"/>
    </row>
    <row r="187" spans="24:24">
      <c r="X187" s="47"/>
    </row>
    <row r="188" spans="24:24">
      <c r="X188" s="47"/>
    </row>
    <row r="189" spans="24:24">
      <c r="X189" s="47"/>
    </row>
    <row r="190" spans="24:24">
      <c r="X190" s="47"/>
    </row>
    <row r="191" spans="24:24">
      <c r="X191" s="47"/>
    </row>
    <row r="192" spans="24:24">
      <c r="X192" s="47"/>
    </row>
    <row r="193" spans="24:24">
      <c r="X193" s="47"/>
    </row>
    <row r="194" spans="24:24">
      <c r="X194" s="47"/>
    </row>
    <row r="195" spans="24:24">
      <c r="X195" s="47"/>
    </row>
    <row r="196" spans="24:24">
      <c r="X196" s="47"/>
    </row>
    <row r="197" spans="24:24">
      <c r="X197" s="47"/>
    </row>
    <row r="198" spans="24:24">
      <c r="X198" s="47"/>
    </row>
    <row r="199" spans="24:24">
      <c r="X199" s="47"/>
    </row>
    <row r="200" spans="24:24">
      <c r="X200" s="47"/>
    </row>
    <row r="201" spans="24:24">
      <c r="X201" s="47"/>
    </row>
    <row r="202" spans="24:24">
      <c r="X202" s="47"/>
    </row>
    <row r="203" spans="24:24">
      <c r="X203" s="47"/>
    </row>
    <row r="204" spans="24:24">
      <c r="X204" s="47"/>
    </row>
    <row r="205" spans="24:24">
      <c r="X205" s="47"/>
    </row>
    <row r="206" spans="24:24">
      <c r="X206" s="47"/>
    </row>
    <row r="207" spans="24:24">
      <c r="X207" s="47"/>
    </row>
    <row r="208" spans="24:24">
      <c r="X208" s="47"/>
    </row>
    <row r="209" spans="24:24">
      <c r="X209" s="47"/>
    </row>
    <row r="210" spans="24:24">
      <c r="X210" s="47"/>
    </row>
    <row r="211" spans="24:24">
      <c r="X211" s="47"/>
    </row>
    <row r="212" spans="24:24">
      <c r="X212" s="47"/>
    </row>
    <row r="213" spans="24:24">
      <c r="X213" s="47"/>
    </row>
    <row r="214" spans="24:24">
      <c r="X214" s="47"/>
    </row>
    <row r="215" spans="24:24">
      <c r="X215" s="47"/>
    </row>
    <row r="216" spans="24:24">
      <c r="X216" s="47"/>
    </row>
    <row r="217" spans="24:24">
      <c r="X217" s="47"/>
    </row>
    <row r="218" spans="24:24">
      <c r="X218" s="47"/>
    </row>
    <row r="219" spans="24:24">
      <c r="X219" s="47"/>
    </row>
    <row r="220" spans="24:24">
      <c r="X220" s="47"/>
    </row>
    <row r="221" spans="24:24">
      <c r="X221" s="47"/>
    </row>
    <row r="222" spans="24:24">
      <c r="X222" s="47"/>
    </row>
    <row r="223" spans="24:24">
      <c r="X223" s="47"/>
    </row>
    <row r="224" spans="24:24">
      <c r="X224" s="47"/>
    </row>
    <row r="225" spans="24:24">
      <c r="X225" s="47"/>
    </row>
    <row r="226" spans="24:24">
      <c r="X226" s="47"/>
    </row>
    <row r="227" spans="24:24">
      <c r="X227" s="47"/>
    </row>
    <row r="228" spans="24:24">
      <c r="X228" s="47"/>
    </row>
    <row r="229" spans="24:24">
      <c r="X229" s="47"/>
    </row>
    <row r="230" spans="24:24">
      <c r="X230" s="47"/>
    </row>
    <row r="231" spans="24:24">
      <c r="X231" s="47"/>
    </row>
    <row r="232" spans="24:24">
      <c r="X232" s="47"/>
    </row>
    <row r="233" spans="24:24">
      <c r="X233" s="47"/>
    </row>
    <row r="234" spans="24:24">
      <c r="X234" s="47"/>
    </row>
    <row r="235" spans="24:24">
      <c r="X235" s="47"/>
    </row>
    <row r="236" spans="24:24">
      <c r="X236" s="47"/>
    </row>
    <row r="237" spans="24:24">
      <c r="X237" s="47"/>
    </row>
    <row r="238" spans="24:24">
      <c r="X238" s="47"/>
    </row>
    <row r="239" spans="24:24">
      <c r="X239" s="47"/>
    </row>
    <row r="240" spans="24:24">
      <c r="X240" s="47"/>
    </row>
    <row r="241" spans="24:24">
      <c r="X241" s="47"/>
    </row>
    <row r="242" spans="24:24">
      <c r="X242" s="47"/>
    </row>
    <row r="243" spans="24:24">
      <c r="X243" s="47"/>
    </row>
    <row r="244" spans="24:24">
      <c r="X244" s="47"/>
    </row>
    <row r="245" spans="24:24">
      <c r="X245" s="47"/>
    </row>
    <row r="246" spans="24:24">
      <c r="X246" s="47"/>
    </row>
    <row r="247" spans="24:24">
      <c r="X247" s="47"/>
    </row>
    <row r="248" spans="24:24">
      <c r="X248" s="47"/>
    </row>
    <row r="249" spans="24:24">
      <c r="X249" s="47"/>
    </row>
    <row r="250" spans="24:24">
      <c r="X250" s="47"/>
    </row>
    <row r="251" spans="24:24">
      <c r="X251" s="47"/>
    </row>
    <row r="252" spans="24:24">
      <c r="X252" s="47"/>
    </row>
    <row r="253" spans="24:24">
      <c r="X253" s="47"/>
    </row>
    <row r="254" spans="24:24">
      <c r="X254" s="47"/>
    </row>
    <row r="255" spans="24:24">
      <c r="X255" s="47"/>
    </row>
    <row r="256" spans="24:24">
      <c r="X256" s="47"/>
    </row>
    <row r="257" spans="24:24">
      <c r="X257" s="47"/>
    </row>
    <row r="258" spans="24:24">
      <c r="X258" s="47"/>
    </row>
    <row r="259" spans="24:24">
      <c r="X259" s="47"/>
    </row>
    <row r="260" spans="24:24">
      <c r="X260" s="47"/>
    </row>
    <row r="261" spans="24:24">
      <c r="X261" s="47"/>
    </row>
    <row r="262" spans="24:24">
      <c r="X262" s="47"/>
    </row>
    <row r="263" spans="24:24">
      <c r="X263" s="47"/>
    </row>
    <row r="264" spans="24:24">
      <c r="X264" s="47"/>
    </row>
    <row r="265" spans="24:24">
      <c r="X265" s="47"/>
    </row>
    <row r="266" spans="24:24">
      <c r="X266" s="47"/>
    </row>
    <row r="267" spans="24:24">
      <c r="X267" s="47"/>
    </row>
    <row r="268" spans="24:24">
      <c r="X268" s="47"/>
    </row>
    <row r="269" spans="24:24">
      <c r="X269" s="47"/>
    </row>
    <row r="270" spans="24:24">
      <c r="X270" s="47"/>
    </row>
    <row r="271" spans="24:24">
      <c r="X271" s="47"/>
    </row>
    <row r="272" spans="24:24">
      <c r="X272" s="47"/>
    </row>
    <row r="273" spans="24:24">
      <c r="X273" s="47"/>
    </row>
    <row r="274" spans="24:24">
      <c r="X274" s="47"/>
    </row>
    <row r="275" spans="24:24">
      <c r="X275" s="47"/>
    </row>
    <row r="276" spans="24:24">
      <c r="X276" s="47"/>
    </row>
    <row r="277" spans="24:24">
      <c r="X277" s="47"/>
    </row>
    <row r="278" spans="24:24">
      <c r="X278" s="47"/>
    </row>
    <row r="279" spans="24:24">
      <c r="X279" s="47"/>
    </row>
    <row r="280" spans="24:24">
      <c r="X280" s="47"/>
    </row>
    <row r="281" spans="24:24">
      <c r="X281" s="47"/>
    </row>
    <row r="282" spans="24:24">
      <c r="X282" s="47"/>
    </row>
    <row r="283" spans="24:24">
      <c r="X283" s="47"/>
    </row>
    <row r="284" spans="24:24">
      <c r="X284" s="47"/>
    </row>
    <row r="285" spans="24:24">
      <c r="X285" s="47"/>
    </row>
    <row r="286" spans="24:24">
      <c r="X286" s="47"/>
    </row>
    <row r="287" spans="24:24">
      <c r="X287" s="47"/>
    </row>
    <row r="288" spans="24:24">
      <c r="X288" s="47"/>
    </row>
    <row r="289" spans="24:24">
      <c r="X289" s="47"/>
    </row>
    <row r="290" spans="24:24">
      <c r="X290" s="47"/>
    </row>
    <row r="291" spans="24:24">
      <c r="X291" s="47"/>
    </row>
    <row r="292" spans="24:24">
      <c r="X292" s="47"/>
    </row>
    <row r="293" spans="24:24">
      <c r="X293" s="47"/>
    </row>
    <row r="294" spans="24:24">
      <c r="X294" s="47"/>
    </row>
    <row r="295" spans="24:24">
      <c r="X295" s="47"/>
    </row>
    <row r="296" spans="24:24">
      <c r="X296" s="47"/>
    </row>
    <row r="297" spans="24:24">
      <c r="X297" s="47"/>
    </row>
    <row r="298" spans="24:24">
      <c r="X298" s="47"/>
    </row>
    <row r="299" spans="24:24">
      <c r="X299" s="47"/>
    </row>
    <row r="300" spans="24:24">
      <c r="X300" s="47"/>
    </row>
    <row r="301" spans="24:24">
      <c r="X301" s="47"/>
    </row>
    <row r="302" spans="24:24">
      <c r="X302" s="47"/>
    </row>
    <row r="303" spans="24:24">
      <c r="X303" s="47"/>
    </row>
    <row r="304" spans="24:24">
      <c r="X304" s="47"/>
    </row>
    <row r="305" spans="24:24">
      <c r="X305" s="47"/>
    </row>
    <row r="306" spans="24:24">
      <c r="X306" s="47"/>
    </row>
    <row r="307" spans="24:24">
      <c r="X307" s="47"/>
    </row>
    <row r="308" spans="24:24">
      <c r="X308" s="47"/>
    </row>
    <row r="309" spans="24:24">
      <c r="X309" s="47"/>
    </row>
    <row r="310" spans="24:24">
      <c r="X310" s="47"/>
    </row>
    <row r="311" spans="24:24">
      <c r="X311" s="47"/>
    </row>
    <row r="312" spans="24:24">
      <c r="X312" s="47"/>
    </row>
    <row r="313" spans="24:24">
      <c r="X313" s="47"/>
    </row>
    <row r="314" spans="24:24">
      <c r="X314" s="47"/>
    </row>
    <row r="315" spans="24:24">
      <c r="X315" s="47"/>
    </row>
    <row r="316" spans="24:24">
      <c r="X316" s="47"/>
    </row>
    <row r="317" spans="24:24">
      <c r="X317" s="47"/>
    </row>
    <row r="318" spans="24:24">
      <c r="X318" s="47"/>
    </row>
    <row r="319" spans="24:24">
      <c r="X319" s="47"/>
    </row>
    <row r="320" spans="24:24">
      <c r="X320" s="47"/>
    </row>
    <row r="321" spans="24:24">
      <c r="X321" s="47"/>
    </row>
    <row r="322" spans="24:24">
      <c r="X322" s="47"/>
    </row>
    <row r="323" spans="24:24">
      <c r="X323" s="47"/>
    </row>
    <row r="324" spans="24:24">
      <c r="X324" s="47"/>
    </row>
    <row r="325" spans="24:24">
      <c r="X325" s="47"/>
    </row>
    <row r="326" spans="24:24">
      <c r="X326" s="47"/>
    </row>
    <row r="327" spans="24:24">
      <c r="X327" s="47"/>
    </row>
    <row r="328" spans="24:24">
      <c r="X328" s="47"/>
    </row>
    <row r="329" spans="24:24">
      <c r="X329" s="47"/>
    </row>
    <row r="330" spans="24:24">
      <c r="X330" s="47"/>
    </row>
    <row r="331" spans="24:24">
      <c r="X331" s="47"/>
    </row>
    <row r="332" spans="24:24">
      <c r="X332" s="47"/>
    </row>
    <row r="333" spans="24:24">
      <c r="X333" s="47"/>
    </row>
    <row r="334" spans="24:24">
      <c r="X334" s="47"/>
    </row>
    <row r="335" spans="24:24">
      <c r="X335" s="47"/>
    </row>
    <row r="336" spans="24:24">
      <c r="X336" s="47"/>
    </row>
    <row r="337" spans="24:24">
      <c r="X337" s="47"/>
    </row>
    <row r="338" spans="24:24">
      <c r="X338" s="47"/>
    </row>
    <row r="339" spans="24:24">
      <c r="X339" s="47"/>
    </row>
    <row r="340" spans="24:24">
      <c r="X340" s="47"/>
    </row>
    <row r="341" spans="24:24">
      <c r="X341" s="47"/>
    </row>
    <row r="342" spans="24:24">
      <c r="X342" s="47"/>
    </row>
    <row r="343" spans="24:24">
      <c r="X343" s="47"/>
    </row>
    <row r="344" spans="24:24">
      <c r="X344" s="47"/>
    </row>
    <row r="345" spans="24:24">
      <c r="X345" s="47"/>
    </row>
    <row r="346" spans="24:24">
      <c r="X346" s="47"/>
    </row>
    <row r="347" spans="24:24">
      <c r="X347" s="47"/>
    </row>
    <row r="348" spans="24:24">
      <c r="X348" s="47"/>
    </row>
    <row r="349" spans="24:24">
      <c r="X349" s="47"/>
    </row>
    <row r="350" spans="24:24">
      <c r="X350" s="47"/>
    </row>
    <row r="351" spans="24:24">
      <c r="X351" s="47"/>
    </row>
    <row r="352" spans="24:24">
      <c r="X352" s="47"/>
    </row>
    <row r="353" spans="24:24">
      <c r="X353" s="47"/>
    </row>
    <row r="354" spans="24:24">
      <c r="X354" s="47"/>
    </row>
    <row r="355" spans="24:24">
      <c r="X355" s="47"/>
    </row>
    <row r="356" spans="24:24">
      <c r="X356" s="47"/>
    </row>
    <row r="357" spans="24:24">
      <c r="X357" s="47"/>
    </row>
    <row r="358" spans="24:24">
      <c r="X358" s="47"/>
    </row>
    <row r="359" spans="24:24">
      <c r="X359" s="47"/>
    </row>
    <row r="360" spans="24:24">
      <c r="X360" s="47"/>
    </row>
    <row r="361" spans="24:24">
      <c r="X361" s="47"/>
    </row>
    <row r="362" spans="24:24">
      <c r="X362" s="47"/>
    </row>
    <row r="363" spans="24:24">
      <c r="X363" s="47"/>
    </row>
    <row r="364" spans="24:24">
      <c r="X364" s="47"/>
    </row>
    <row r="365" spans="24:24">
      <c r="X365" s="47"/>
    </row>
    <row r="366" spans="24:24">
      <c r="X366" s="47"/>
    </row>
    <row r="367" spans="24:24">
      <c r="X367" s="47"/>
    </row>
    <row r="368" spans="24:24">
      <c r="X368" s="47"/>
    </row>
    <row r="369" spans="24:24">
      <c r="X369" s="47"/>
    </row>
    <row r="370" spans="24:24">
      <c r="X370" s="47"/>
    </row>
    <row r="371" spans="24:24">
      <c r="X371" s="47"/>
    </row>
    <row r="372" spans="24:24">
      <c r="X372" s="47"/>
    </row>
    <row r="373" spans="24:24">
      <c r="X373" s="47"/>
    </row>
    <row r="374" spans="24:24">
      <c r="X374" s="47"/>
    </row>
    <row r="375" spans="24:24">
      <c r="X375" s="47"/>
    </row>
    <row r="376" spans="24:24">
      <c r="X376" s="47"/>
    </row>
    <row r="377" spans="24:24">
      <c r="X377" s="47"/>
    </row>
    <row r="378" spans="24:24">
      <c r="X378" s="47"/>
    </row>
    <row r="379" spans="24:24">
      <c r="X379" s="47"/>
    </row>
    <row r="380" spans="24:24">
      <c r="X380" s="47"/>
    </row>
    <row r="381" spans="24:24">
      <c r="X381" s="47"/>
    </row>
    <row r="382" spans="24:24">
      <c r="X382" s="47"/>
    </row>
    <row r="383" spans="24:24">
      <c r="X383" s="47"/>
    </row>
    <row r="384" spans="24:24">
      <c r="X384" s="47"/>
    </row>
    <row r="385" spans="24:24">
      <c r="X385" s="47"/>
    </row>
    <row r="386" spans="24:24">
      <c r="X386" s="47"/>
    </row>
    <row r="387" spans="24:24">
      <c r="X387" s="47"/>
    </row>
    <row r="388" spans="24:24">
      <c r="X388" s="47"/>
    </row>
    <row r="389" spans="24:24">
      <c r="X389" s="47"/>
    </row>
  </sheetData>
  <sortState ref="A3:X64">
    <sortCondition ref="A3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71"/>
  <sheetViews>
    <sheetView topLeftCell="A18" zoomScale="70" zoomScaleNormal="70" workbookViewId="0">
      <selection activeCell="Z6" sqref="Z6:Z69"/>
    </sheetView>
  </sheetViews>
  <sheetFormatPr defaultRowHeight="15"/>
  <cols>
    <col min="1" max="1" width="43.7109375" style="22" customWidth="1"/>
    <col min="2" max="6" width="6.140625" customWidth="1"/>
    <col min="7" max="7" width="2.28515625" style="36" customWidth="1"/>
    <col min="8" max="12" width="6.140625" customWidth="1"/>
    <col min="13" max="13" width="2" style="36" customWidth="1"/>
    <col min="14" max="18" width="6.140625" customWidth="1"/>
    <col min="19" max="19" width="2" style="36" customWidth="1"/>
    <col min="20" max="24" width="6.140625" customWidth="1"/>
    <col min="25" max="25" width="2" customWidth="1"/>
    <col min="26" max="26" width="17.140625" customWidth="1"/>
    <col min="27" max="27" width="15" customWidth="1"/>
    <col min="28" max="28" width="13.140625" customWidth="1"/>
  </cols>
  <sheetData>
    <row r="1" spans="1:30" s="44" customFormat="1" ht="29.25" customHeight="1">
      <c r="A1" s="93" t="s">
        <v>81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</row>
    <row r="2" spans="1:30" ht="6.75" customHeight="1">
      <c r="A2" s="41"/>
      <c r="B2" s="42"/>
      <c r="C2" s="42"/>
      <c r="D2" s="42"/>
      <c r="E2" s="42"/>
      <c r="F2" s="42"/>
      <c r="G2" s="43"/>
      <c r="H2" s="42"/>
      <c r="I2" s="42"/>
      <c r="J2" s="42"/>
      <c r="K2" s="42"/>
      <c r="L2" s="42"/>
      <c r="M2" s="43"/>
      <c r="N2" s="42"/>
      <c r="O2" s="42"/>
      <c r="P2" s="42"/>
      <c r="Q2" s="42"/>
      <c r="R2" s="42"/>
      <c r="S2" s="43"/>
      <c r="T2" s="42"/>
      <c r="U2" s="42"/>
      <c r="V2" s="42"/>
      <c r="W2" s="42"/>
      <c r="X2" s="42"/>
      <c r="Y2" s="42"/>
      <c r="Z2" s="42"/>
      <c r="AA2" s="42"/>
      <c r="AB2" s="42"/>
    </row>
    <row r="3" spans="1:30" ht="18.75" customHeight="1" thickBot="1">
      <c r="A3" s="1" t="s">
        <v>75</v>
      </c>
      <c r="B3" t="s">
        <v>70</v>
      </c>
      <c r="C3" t="s">
        <v>71</v>
      </c>
      <c r="D3" t="s">
        <v>72</v>
      </c>
      <c r="E3" t="s">
        <v>74</v>
      </c>
      <c r="F3" t="s">
        <v>73</v>
      </c>
      <c r="H3" t="s">
        <v>70</v>
      </c>
      <c r="I3" t="s">
        <v>71</v>
      </c>
      <c r="J3" t="s">
        <v>72</v>
      </c>
      <c r="K3" t="s">
        <v>74</v>
      </c>
      <c r="L3" t="s">
        <v>73</v>
      </c>
      <c r="N3" t="s">
        <v>70</v>
      </c>
      <c r="O3" t="s">
        <v>71</v>
      </c>
      <c r="P3" t="s">
        <v>72</v>
      </c>
      <c r="Q3" t="s">
        <v>74</v>
      </c>
      <c r="R3" t="s">
        <v>73</v>
      </c>
      <c r="T3" t="s">
        <v>70</v>
      </c>
      <c r="U3" t="s">
        <v>71</v>
      </c>
      <c r="V3" t="s">
        <v>72</v>
      </c>
      <c r="W3" t="s">
        <v>74</v>
      </c>
      <c r="X3" t="s">
        <v>73</v>
      </c>
    </row>
    <row r="4" spans="1:30" s="4" customFormat="1" ht="45" customHeight="1" thickBot="1">
      <c r="A4" s="17" t="s">
        <v>78</v>
      </c>
      <c r="B4" s="15">
        <v>3</v>
      </c>
      <c r="C4" s="15">
        <v>4</v>
      </c>
      <c r="D4" s="15">
        <v>5</v>
      </c>
      <c r="E4" s="15">
        <v>6</v>
      </c>
      <c r="F4" s="15">
        <v>7</v>
      </c>
      <c r="G4" s="37"/>
      <c r="H4" s="15">
        <v>10</v>
      </c>
      <c r="I4" s="15">
        <v>11</v>
      </c>
      <c r="J4" s="15">
        <v>12</v>
      </c>
      <c r="K4" s="15">
        <v>13</v>
      </c>
      <c r="L4" s="15">
        <v>14</v>
      </c>
      <c r="M4" s="37"/>
      <c r="N4" s="15">
        <v>17</v>
      </c>
      <c r="O4" s="15">
        <v>18</v>
      </c>
      <c r="P4" s="15">
        <v>19</v>
      </c>
      <c r="Q4" s="15">
        <v>20</v>
      </c>
      <c r="R4" s="15">
        <v>21</v>
      </c>
      <c r="S4" s="37"/>
      <c r="T4" s="15">
        <v>24</v>
      </c>
      <c r="U4" s="15">
        <v>25</v>
      </c>
      <c r="V4" s="15">
        <v>26</v>
      </c>
      <c r="W4" s="15">
        <v>27</v>
      </c>
      <c r="X4" s="15">
        <v>28</v>
      </c>
      <c r="Z4" s="27" t="s">
        <v>82</v>
      </c>
      <c r="AA4" s="28" t="s">
        <v>31</v>
      </c>
      <c r="AB4" s="12" t="s">
        <v>32</v>
      </c>
      <c r="AC4" s="5"/>
      <c r="AD4" s="5"/>
    </row>
    <row r="5" spans="1:30">
      <c r="A5" s="39" t="s">
        <v>28</v>
      </c>
      <c r="B5" s="32"/>
      <c r="C5" s="21"/>
      <c r="D5" s="21"/>
      <c r="E5" s="21"/>
      <c r="F5" s="21"/>
      <c r="G5" s="38"/>
      <c r="H5" s="21"/>
      <c r="I5" s="21"/>
      <c r="J5" s="21"/>
      <c r="K5" s="21"/>
      <c r="L5" s="21"/>
      <c r="M5" s="38"/>
      <c r="N5" s="21"/>
      <c r="O5" s="21"/>
      <c r="P5" s="21"/>
      <c r="Q5" s="21"/>
      <c r="R5" s="21"/>
      <c r="S5" s="38"/>
      <c r="T5" s="21"/>
      <c r="U5" s="21"/>
      <c r="V5" s="21"/>
      <c r="W5" s="21"/>
      <c r="X5" s="21"/>
      <c r="Y5" s="20"/>
      <c r="Z5" s="33"/>
      <c r="AA5" s="34"/>
      <c r="AB5" s="35"/>
    </row>
    <row r="6" spans="1:30">
      <c r="A6" s="48" t="s">
        <v>16</v>
      </c>
      <c r="B6" s="8"/>
      <c r="C6" s="7">
        <v>400</v>
      </c>
      <c r="D6" s="7"/>
      <c r="E6" s="7"/>
      <c r="F6" s="7"/>
      <c r="G6" s="38"/>
      <c r="H6" s="7"/>
      <c r="I6" s="7">
        <v>280</v>
      </c>
      <c r="J6" s="7"/>
      <c r="K6" s="7"/>
      <c r="L6" s="7">
        <v>1340</v>
      </c>
      <c r="M6" s="38"/>
      <c r="N6" s="7"/>
      <c r="O6" s="7"/>
      <c r="P6" s="7"/>
      <c r="Q6" s="7"/>
      <c r="R6" s="7"/>
      <c r="S6" s="38"/>
      <c r="T6" s="7"/>
      <c r="U6" s="7">
        <v>60</v>
      </c>
      <c r="V6" s="7"/>
      <c r="W6" s="7"/>
      <c r="X6" s="7">
        <v>220</v>
      </c>
      <c r="Z6" s="9">
        <f t="shared" ref="Z6:Z37" si="0">SUM(B6:Y6)</f>
        <v>2300</v>
      </c>
      <c r="AA6" s="6">
        <v>177</v>
      </c>
      <c r="AB6" s="49">
        <f t="shared" ref="AB6:AB37" si="1">Z6/AA6</f>
        <v>12.994350282485875</v>
      </c>
    </row>
    <row r="7" spans="1:30">
      <c r="A7" s="48" t="s">
        <v>6</v>
      </c>
      <c r="B7" s="8"/>
      <c r="C7" s="7">
        <v>80</v>
      </c>
      <c r="D7" s="7"/>
      <c r="E7" s="7">
        <v>60</v>
      </c>
      <c r="F7" s="7"/>
      <c r="G7" s="38"/>
      <c r="H7" s="7"/>
      <c r="I7" s="7">
        <v>140</v>
      </c>
      <c r="J7" s="7"/>
      <c r="K7" s="7">
        <v>200</v>
      </c>
      <c r="L7" s="7"/>
      <c r="M7" s="38"/>
      <c r="N7" s="7"/>
      <c r="O7" s="7"/>
      <c r="P7" s="7"/>
      <c r="Q7" s="7"/>
      <c r="R7" s="7"/>
      <c r="S7" s="38"/>
      <c r="T7" s="7"/>
      <c r="U7" s="7">
        <v>140</v>
      </c>
      <c r="V7" s="7"/>
      <c r="W7" s="7">
        <v>140</v>
      </c>
      <c r="X7" s="7"/>
      <c r="Z7" s="9">
        <f t="shared" si="0"/>
        <v>760</v>
      </c>
      <c r="AA7" s="6">
        <v>121</v>
      </c>
      <c r="AB7" s="49">
        <f t="shared" si="1"/>
        <v>6.2809917355371905</v>
      </c>
    </row>
    <row r="8" spans="1:30">
      <c r="A8" s="23" t="s">
        <v>55</v>
      </c>
      <c r="B8" s="8"/>
      <c r="C8" s="7">
        <v>200</v>
      </c>
      <c r="D8" s="7"/>
      <c r="E8" s="7"/>
      <c r="F8" s="7">
        <v>360</v>
      </c>
      <c r="G8" s="38"/>
      <c r="H8" s="7"/>
      <c r="I8" s="7"/>
      <c r="J8" s="7"/>
      <c r="K8" s="7"/>
      <c r="L8" s="7">
        <v>1900</v>
      </c>
      <c r="M8" s="38"/>
      <c r="N8" s="7">
        <v>340</v>
      </c>
      <c r="O8" s="7"/>
      <c r="P8" s="7"/>
      <c r="Q8" s="7"/>
      <c r="R8" s="7"/>
      <c r="S8" s="38"/>
      <c r="T8" s="7">
        <v>140</v>
      </c>
      <c r="U8" s="7"/>
      <c r="V8" s="7"/>
      <c r="W8" s="7"/>
      <c r="X8" s="7">
        <v>280</v>
      </c>
      <c r="Z8" s="9">
        <f t="shared" si="0"/>
        <v>3220</v>
      </c>
      <c r="AA8" s="6">
        <v>695</v>
      </c>
      <c r="AB8" s="49">
        <f t="shared" si="1"/>
        <v>4.6330935251798557</v>
      </c>
    </row>
    <row r="9" spans="1:30">
      <c r="A9" s="23" t="s">
        <v>68</v>
      </c>
      <c r="B9" s="8"/>
      <c r="C9" s="7">
        <v>1140</v>
      </c>
      <c r="D9" s="7"/>
      <c r="E9" s="7"/>
      <c r="F9" s="7"/>
      <c r="G9" s="38"/>
      <c r="H9" s="7"/>
      <c r="I9" s="7"/>
      <c r="J9" s="7"/>
      <c r="K9" s="7"/>
      <c r="L9" s="7"/>
      <c r="M9" s="38"/>
      <c r="N9" s="7">
        <v>380</v>
      </c>
      <c r="O9" s="7"/>
      <c r="P9" s="7"/>
      <c r="Q9" s="7"/>
      <c r="R9" s="7"/>
      <c r="S9" s="38"/>
      <c r="T9" s="7">
        <v>440</v>
      </c>
      <c r="U9" s="7"/>
      <c r="V9" s="7"/>
      <c r="W9" s="7"/>
      <c r="X9" s="7"/>
      <c r="Z9" s="9">
        <f t="shared" si="0"/>
        <v>1960</v>
      </c>
      <c r="AA9" s="6">
        <v>514</v>
      </c>
      <c r="AB9" s="49">
        <f t="shared" si="1"/>
        <v>3.813229571984436</v>
      </c>
    </row>
    <row r="10" spans="1:30">
      <c r="A10" s="23" t="s">
        <v>50</v>
      </c>
      <c r="B10" s="8"/>
      <c r="C10" s="7">
        <v>80</v>
      </c>
      <c r="D10" s="7"/>
      <c r="E10" s="7"/>
      <c r="F10" s="7"/>
      <c r="G10" s="38"/>
      <c r="H10" s="7"/>
      <c r="I10" s="7">
        <v>260</v>
      </c>
      <c r="J10" s="7"/>
      <c r="K10" s="7"/>
      <c r="L10" s="7"/>
      <c r="M10" s="38"/>
      <c r="N10" s="7"/>
      <c r="O10" s="7">
        <v>1920</v>
      </c>
      <c r="P10" s="7"/>
      <c r="Q10" s="7"/>
      <c r="R10" s="7"/>
      <c r="S10" s="38"/>
      <c r="T10" s="7"/>
      <c r="U10" s="7">
        <v>120</v>
      </c>
      <c r="V10" s="7"/>
      <c r="W10" s="7"/>
      <c r="X10" s="7"/>
      <c r="Z10" s="9">
        <f t="shared" si="0"/>
        <v>2380</v>
      </c>
      <c r="AA10" s="6">
        <v>702</v>
      </c>
      <c r="AB10" s="49">
        <f t="shared" si="1"/>
        <v>3.3903133903133904</v>
      </c>
    </row>
    <row r="11" spans="1:30">
      <c r="A11" s="25" t="s">
        <v>17</v>
      </c>
      <c r="B11" s="8"/>
      <c r="C11" s="7">
        <v>340</v>
      </c>
      <c r="D11" s="7"/>
      <c r="E11" s="7">
        <v>1520</v>
      </c>
      <c r="F11" s="7">
        <v>420</v>
      </c>
      <c r="G11" s="38"/>
      <c r="H11" s="7"/>
      <c r="I11" s="7">
        <v>460</v>
      </c>
      <c r="J11" s="7"/>
      <c r="K11" s="7"/>
      <c r="L11" s="7">
        <v>340</v>
      </c>
      <c r="M11" s="38"/>
      <c r="N11" s="7">
        <v>920</v>
      </c>
      <c r="O11" s="7"/>
      <c r="P11" s="7"/>
      <c r="Q11" s="7"/>
      <c r="R11" s="7"/>
      <c r="S11" s="38"/>
      <c r="T11" s="7"/>
      <c r="U11" s="7">
        <v>300</v>
      </c>
      <c r="V11" s="7"/>
      <c r="W11" s="7">
        <v>820</v>
      </c>
      <c r="X11" s="7">
        <v>260</v>
      </c>
      <c r="Z11" s="9">
        <f t="shared" si="0"/>
        <v>5380</v>
      </c>
      <c r="AA11" s="6">
        <v>1632</v>
      </c>
      <c r="AB11" s="49">
        <f t="shared" si="1"/>
        <v>3.2965686274509802</v>
      </c>
    </row>
    <row r="12" spans="1:30">
      <c r="A12" s="23" t="s">
        <v>67</v>
      </c>
      <c r="B12" s="8"/>
      <c r="C12" s="7"/>
      <c r="D12" s="7"/>
      <c r="E12" s="7">
        <v>340</v>
      </c>
      <c r="F12" s="7"/>
      <c r="G12" s="38"/>
      <c r="H12" s="7"/>
      <c r="I12" s="7"/>
      <c r="J12" s="7"/>
      <c r="K12" s="7">
        <v>200</v>
      </c>
      <c r="L12" s="7"/>
      <c r="M12" s="38"/>
      <c r="N12" s="7"/>
      <c r="O12" s="7"/>
      <c r="P12" s="7"/>
      <c r="Q12" s="7"/>
      <c r="R12" s="7"/>
      <c r="S12" s="38"/>
      <c r="T12" s="7"/>
      <c r="U12" s="7"/>
      <c r="V12" s="7"/>
      <c r="W12" s="7">
        <v>140</v>
      </c>
      <c r="X12" s="7"/>
      <c r="Z12" s="9">
        <f t="shared" si="0"/>
        <v>680</v>
      </c>
      <c r="AA12" s="6">
        <v>213</v>
      </c>
      <c r="AB12" s="49">
        <f t="shared" si="1"/>
        <v>3.192488262910798</v>
      </c>
    </row>
    <row r="13" spans="1:30">
      <c r="A13" s="24" t="s">
        <v>9</v>
      </c>
      <c r="B13" s="8"/>
      <c r="C13" s="7">
        <v>40</v>
      </c>
      <c r="D13" s="7"/>
      <c r="E13" s="7">
        <v>1740</v>
      </c>
      <c r="F13" s="7"/>
      <c r="G13" s="38"/>
      <c r="H13" s="7"/>
      <c r="I13" s="7"/>
      <c r="J13" s="7"/>
      <c r="K13" s="7">
        <v>280</v>
      </c>
      <c r="L13" s="7"/>
      <c r="M13" s="38"/>
      <c r="N13" s="7">
        <v>300</v>
      </c>
      <c r="O13" s="7"/>
      <c r="P13" s="7"/>
      <c r="Q13" s="7"/>
      <c r="R13" s="7"/>
      <c r="S13" s="38"/>
      <c r="T13" s="7">
        <v>280</v>
      </c>
      <c r="U13" s="7"/>
      <c r="V13" s="7"/>
      <c r="W13" s="7">
        <v>140</v>
      </c>
      <c r="X13" s="7"/>
      <c r="Z13" s="9">
        <f t="shared" si="0"/>
        <v>2780</v>
      </c>
      <c r="AA13" s="6">
        <v>914</v>
      </c>
      <c r="AB13" s="49">
        <f t="shared" si="1"/>
        <v>3.0415754923413565</v>
      </c>
    </row>
    <row r="14" spans="1:30">
      <c r="A14" s="23" t="s">
        <v>66</v>
      </c>
      <c r="B14" s="8"/>
      <c r="C14" s="7"/>
      <c r="D14" s="7"/>
      <c r="E14" s="7">
        <v>120</v>
      </c>
      <c r="F14" s="7"/>
      <c r="G14" s="38"/>
      <c r="H14" s="7"/>
      <c r="I14" s="7"/>
      <c r="J14" s="7"/>
      <c r="K14" s="7">
        <v>160</v>
      </c>
      <c r="L14" s="7"/>
      <c r="M14" s="38"/>
      <c r="N14" s="7"/>
      <c r="O14" s="7"/>
      <c r="P14" s="7"/>
      <c r="Q14" s="7"/>
      <c r="R14" s="7"/>
      <c r="S14" s="38"/>
      <c r="T14" s="7"/>
      <c r="U14" s="7"/>
      <c r="V14" s="7"/>
      <c r="W14" s="7">
        <v>300</v>
      </c>
      <c r="X14" s="7"/>
      <c r="Z14" s="9">
        <f t="shared" si="0"/>
        <v>580</v>
      </c>
      <c r="AA14" s="6">
        <v>209</v>
      </c>
      <c r="AB14" s="49">
        <f t="shared" si="1"/>
        <v>2.7751196172248802</v>
      </c>
    </row>
    <row r="15" spans="1:30">
      <c r="A15" s="23" t="s">
        <v>69</v>
      </c>
      <c r="B15" s="8"/>
      <c r="C15" s="7"/>
      <c r="D15" s="7"/>
      <c r="E15" s="7">
        <v>200</v>
      </c>
      <c r="F15" s="7"/>
      <c r="G15" s="38"/>
      <c r="H15" s="7"/>
      <c r="I15" s="7"/>
      <c r="J15" s="7"/>
      <c r="K15" s="7">
        <v>140</v>
      </c>
      <c r="L15" s="7"/>
      <c r="M15" s="38"/>
      <c r="N15" s="7"/>
      <c r="O15" s="7"/>
      <c r="P15" s="7"/>
      <c r="Q15" s="7"/>
      <c r="R15" s="7"/>
      <c r="S15" s="38"/>
      <c r="T15" s="7"/>
      <c r="U15" s="7"/>
      <c r="V15" s="7"/>
      <c r="W15" s="7">
        <v>120</v>
      </c>
      <c r="X15" s="7"/>
      <c r="Z15" s="9">
        <f t="shared" si="0"/>
        <v>460</v>
      </c>
      <c r="AA15" s="6">
        <v>166</v>
      </c>
      <c r="AB15" s="49">
        <f t="shared" si="1"/>
        <v>2.7710843373493974</v>
      </c>
    </row>
    <row r="16" spans="1:30">
      <c r="A16" s="23" t="s">
        <v>39</v>
      </c>
      <c r="B16" s="8"/>
      <c r="C16" s="7">
        <v>60</v>
      </c>
      <c r="D16" s="7"/>
      <c r="E16" s="7"/>
      <c r="F16" s="7">
        <v>120</v>
      </c>
      <c r="G16" s="38"/>
      <c r="H16" s="7"/>
      <c r="I16" s="7">
        <v>200</v>
      </c>
      <c r="J16" s="7"/>
      <c r="K16" s="7"/>
      <c r="L16" s="7">
        <v>1900</v>
      </c>
      <c r="M16" s="38"/>
      <c r="N16" s="7"/>
      <c r="O16" s="7">
        <v>180</v>
      </c>
      <c r="P16" s="7"/>
      <c r="Q16" s="7"/>
      <c r="R16" s="7"/>
      <c r="S16" s="38"/>
      <c r="T16" s="7"/>
      <c r="U16" s="7">
        <v>20</v>
      </c>
      <c r="V16" s="7"/>
      <c r="W16" s="7"/>
      <c r="X16" s="7">
        <v>360</v>
      </c>
      <c r="Z16" s="9">
        <f t="shared" si="0"/>
        <v>2840</v>
      </c>
      <c r="AA16" s="6">
        <v>1028</v>
      </c>
      <c r="AB16" s="49">
        <f t="shared" si="1"/>
        <v>2.7626459143968871</v>
      </c>
    </row>
    <row r="17" spans="1:28">
      <c r="A17" s="23" t="s">
        <v>56</v>
      </c>
      <c r="B17" s="8"/>
      <c r="C17" s="7"/>
      <c r="D17" s="7"/>
      <c r="E17" s="7">
        <v>40</v>
      </c>
      <c r="F17" s="7"/>
      <c r="G17" s="38"/>
      <c r="H17" s="7"/>
      <c r="I17" s="7"/>
      <c r="J17" s="7"/>
      <c r="K17" s="7">
        <v>240</v>
      </c>
      <c r="L17" s="7"/>
      <c r="M17" s="38"/>
      <c r="N17" s="7"/>
      <c r="O17" s="7"/>
      <c r="P17" s="7"/>
      <c r="Q17" s="7"/>
      <c r="R17" s="7"/>
      <c r="S17" s="38"/>
      <c r="T17" s="7"/>
      <c r="U17" s="7"/>
      <c r="V17" s="7"/>
      <c r="W17" s="7">
        <v>120</v>
      </c>
      <c r="X17" s="7"/>
      <c r="Z17" s="9">
        <f t="shared" si="0"/>
        <v>400</v>
      </c>
      <c r="AA17" s="6">
        <v>157</v>
      </c>
      <c r="AB17" s="49">
        <f t="shared" si="1"/>
        <v>2.5477707006369426</v>
      </c>
    </row>
    <row r="18" spans="1:28">
      <c r="A18" s="23" t="s">
        <v>52</v>
      </c>
      <c r="B18" s="8"/>
      <c r="C18" s="7">
        <v>680</v>
      </c>
      <c r="D18" s="7"/>
      <c r="E18" s="7"/>
      <c r="F18" s="7"/>
      <c r="G18" s="38"/>
      <c r="H18" s="7"/>
      <c r="I18" s="7">
        <v>380</v>
      </c>
      <c r="J18" s="7"/>
      <c r="K18" s="7"/>
      <c r="L18" s="7"/>
      <c r="M18" s="38"/>
      <c r="N18" s="7"/>
      <c r="O18" s="7"/>
      <c r="P18" s="7"/>
      <c r="Q18" s="7"/>
      <c r="R18" s="7"/>
      <c r="S18" s="38"/>
      <c r="T18" s="7"/>
      <c r="U18" s="7">
        <v>640</v>
      </c>
      <c r="V18" s="7"/>
      <c r="W18" s="7"/>
      <c r="X18" s="7"/>
      <c r="Z18" s="9">
        <f t="shared" si="0"/>
        <v>1700</v>
      </c>
      <c r="AA18" s="6">
        <v>693</v>
      </c>
      <c r="AB18" s="49">
        <f t="shared" si="1"/>
        <v>2.4531024531024532</v>
      </c>
    </row>
    <row r="19" spans="1:28">
      <c r="A19" s="23" t="s">
        <v>64</v>
      </c>
      <c r="B19" s="8"/>
      <c r="C19" s="7" t="s">
        <v>76</v>
      </c>
      <c r="D19" s="7"/>
      <c r="E19" s="7"/>
      <c r="F19" s="7">
        <v>400</v>
      </c>
      <c r="G19" s="38"/>
      <c r="H19" s="7"/>
      <c r="I19" s="7">
        <v>320</v>
      </c>
      <c r="J19" s="7"/>
      <c r="K19" s="7"/>
      <c r="L19" s="7">
        <v>360</v>
      </c>
      <c r="M19" s="38"/>
      <c r="N19" s="7"/>
      <c r="O19" s="7"/>
      <c r="P19" s="7"/>
      <c r="Q19" s="7"/>
      <c r="R19" s="7"/>
      <c r="S19" s="38"/>
      <c r="T19" s="7"/>
      <c r="U19" s="7">
        <v>260</v>
      </c>
      <c r="V19" s="7"/>
      <c r="W19" s="7"/>
      <c r="X19" s="7">
        <v>160</v>
      </c>
      <c r="Z19" s="9">
        <f t="shared" si="0"/>
        <v>1500</v>
      </c>
      <c r="AA19" s="6">
        <v>637</v>
      </c>
      <c r="AB19" s="49">
        <f t="shared" si="1"/>
        <v>2.3547880690737832</v>
      </c>
    </row>
    <row r="20" spans="1:28">
      <c r="A20" s="25" t="s">
        <v>5</v>
      </c>
      <c r="B20" s="8"/>
      <c r="C20" s="7">
        <v>720</v>
      </c>
      <c r="D20" s="7"/>
      <c r="E20" s="7">
        <v>80</v>
      </c>
      <c r="F20" s="7">
        <v>60</v>
      </c>
      <c r="G20" s="38"/>
      <c r="H20" s="7"/>
      <c r="I20" s="7"/>
      <c r="J20" s="7">
        <v>40</v>
      </c>
      <c r="K20" s="7"/>
      <c r="L20" s="7">
        <v>120</v>
      </c>
      <c r="M20" s="38"/>
      <c r="N20" s="7">
        <v>200</v>
      </c>
      <c r="O20" s="7"/>
      <c r="P20" s="7">
        <v>380</v>
      </c>
      <c r="Q20" s="7"/>
      <c r="R20" s="7"/>
      <c r="S20" s="38"/>
      <c r="T20" s="7">
        <v>20</v>
      </c>
      <c r="U20" s="7"/>
      <c r="V20" s="7">
        <v>80</v>
      </c>
      <c r="W20" s="7"/>
      <c r="X20" s="7">
        <v>1720</v>
      </c>
      <c r="Z20" s="9">
        <f t="shared" si="0"/>
        <v>3420</v>
      </c>
      <c r="AA20" s="6">
        <v>1500</v>
      </c>
      <c r="AB20" s="49">
        <f t="shared" si="1"/>
        <v>2.2799999999999998</v>
      </c>
    </row>
    <row r="21" spans="1:28">
      <c r="A21" s="24" t="s">
        <v>12</v>
      </c>
      <c r="B21" s="8"/>
      <c r="C21" s="7">
        <v>200</v>
      </c>
      <c r="D21" s="7"/>
      <c r="E21" s="7"/>
      <c r="F21" s="7">
        <v>420</v>
      </c>
      <c r="G21" s="38"/>
      <c r="H21" s="7"/>
      <c r="I21" s="7">
        <v>40</v>
      </c>
      <c r="J21" s="7"/>
      <c r="K21" s="7"/>
      <c r="L21" s="7">
        <v>160</v>
      </c>
      <c r="M21" s="38"/>
      <c r="N21" s="7"/>
      <c r="O21" s="7">
        <v>180</v>
      </c>
      <c r="P21" s="7"/>
      <c r="Q21" s="7"/>
      <c r="R21" s="7"/>
      <c r="S21" s="38"/>
      <c r="T21" s="7"/>
      <c r="U21" s="7">
        <v>200</v>
      </c>
      <c r="V21" s="7"/>
      <c r="W21" s="7"/>
      <c r="X21" s="7">
        <v>100</v>
      </c>
      <c r="Z21" s="9">
        <f t="shared" si="0"/>
        <v>1300</v>
      </c>
      <c r="AA21" s="6">
        <v>581</v>
      </c>
      <c r="AB21" s="49">
        <f t="shared" si="1"/>
        <v>2.2375215146299485</v>
      </c>
    </row>
    <row r="22" spans="1:28">
      <c r="A22" s="23" t="s">
        <v>47</v>
      </c>
      <c r="B22" s="8"/>
      <c r="C22" s="7"/>
      <c r="D22" s="7"/>
      <c r="E22" s="7">
        <v>280</v>
      </c>
      <c r="F22" s="7"/>
      <c r="G22" s="38"/>
      <c r="H22" s="7"/>
      <c r="I22" s="7"/>
      <c r="J22" s="7"/>
      <c r="K22" s="7">
        <v>140</v>
      </c>
      <c r="L22" s="7"/>
      <c r="M22" s="38"/>
      <c r="N22" s="7"/>
      <c r="O22" s="7"/>
      <c r="P22" s="7"/>
      <c r="Q22" s="7"/>
      <c r="R22" s="7"/>
      <c r="S22" s="38"/>
      <c r="T22" s="7"/>
      <c r="U22" s="7"/>
      <c r="V22" s="7"/>
      <c r="W22" s="7">
        <v>320</v>
      </c>
      <c r="X22" s="7"/>
      <c r="Z22" s="9">
        <f t="shared" si="0"/>
        <v>740</v>
      </c>
      <c r="AA22" s="6">
        <v>334</v>
      </c>
      <c r="AB22" s="49">
        <f t="shared" si="1"/>
        <v>2.215568862275449</v>
      </c>
    </row>
    <row r="23" spans="1:28">
      <c r="A23" s="23" t="s">
        <v>45</v>
      </c>
      <c r="B23" s="8"/>
      <c r="C23" s="7"/>
      <c r="D23" s="7"/>
      <c r="E23" s="7"/>
      <c r="F23" s="7">
        <v>180</v>
      </c>
      <c r="G23" s="38"/>
      <c r="H23" s="7"/>
      <c r="I23" s="7"/>
      <c r="J23" s="7"/>
      <c r="K23" s="7"/>
      <c r="L23" s="7">
        <v>420</v>
      </c>
      <c r="M23" s="38"/>
      <c r="N23" s="7"/>
      <c r="O23" s="7"/>
      <c r="P23" s="7"/>
      <c r="Q23" s="7"/>
      <c r="R23" s="7"/>
      <c r="S23" s="38"/>
      <c r="T23" s="7"/>
      <c r="U23" s="7"/>
      <c r="V23" s="7"/>
      <c r="W23" s="7"/>
      <c r="X23" s="7">
        <v>320</v>
      </c>
      <c r="Z23" s="9">
        <f t="shared" si="0"/>
        <v>920</v>
      </c>
      <c r="AA23" s="6">
        <v>442</v>
      </c>
      <c r="AB23" s="49">
        <f t="shared" si="1"/>
        <v>2.0814479638009051</v>
      </c>
    </row>
    <row r="24" spans="1:28">
      <c r="A24" s="24" t="s">
        <v>11</v>
      </c>
      <c r="B24" s="8"/>
      <c r="C24" s="7">
        <v>180</v>
      </c>
      <c r="D24" s="7"/>
      <c r="E24" s="7"/>
      <c r="F24" s="7">
        <v>480</v>
      </c>
      <c r="G24" s="38"/>
      <c r="H24" s="7"/>
      <c r="I24" s="7">
        <v>300</v>
      </c>
      <c r="J24" s="7"/>
      <c r="K24" s="7"/>
      <c r="L24" s="7">
        <v>260</v>
      </c>
      <c r="M24" s="38"/>
      <c r="N24" s="7"/>
      <c r="O24" s="7"/>
      <c r="P24" s="7"/>
      <c r="Q24" s="7"/>
      <c r="R24" s="7"/>
      <c r="S24" s="38"/>
      <c r="T24" s="7"/>
      <c r="U24" s="7">
        <v>100</v>
      </c>
      <c r="V24" s="7"/>
      <c r="W24" s="7"/>
      <c r="X24" s="7">
        <v>220</v>
      </c>
      <c r="Z24" s="9">
        <f t="shared" si="0"/>
        <v>1540</v>
      </c>
      <c r="AA24" s="6">
        <v>816</v>
      </c>
      <c r="AB24" s="49">
        <f t="shared" si="1"/>
        <v>1.8872549019607843</v>
      </c>
    </row>
    <row r="25" spans="1:28">
      <c r="A25" s="23" t="s">
        <v>43</v>
      </c>
      <c r="B25" s="8"/>
      <c r="C25" s="7"/>
      <c r="D25" s="7"/>
      <c r="E25" s="7"/>
      <c r="F25" s="7">
        <v>300</v>
      </c>
      <c r="G25" s="38"/>
      <c r="H25" s="7"/>
      <c r="I25" s="7"/>
      <c r="J25" s="7"/>
      <c r="K25" s="7"/>
      <c r="L25" s="7">
        <v>320</v>
      </c>
      <c r="M25" s="38"/>
      <c r="N25" s="7"/>
      <c r="O25" s="7"/>
      <c r="P25" s="7"/>
      <c r="Q25" s="7"/>
      <c r="R25" s="7"/>
      <c r="S25" s="38"/>
      <c r="T25" s="7"/>
      <c r="U25" s="7"/>
      <c r="V25" s="7"/>
      <c r="W25" s="7"/>
      <c r="X25" s="7">
        <v>260</v>
      </c>
      <c r="Z25" s="9">
        <f t="shared" si="0"/>
        <v>880</v>
      </c>
      <c r="AA25" s="6">
        <v>469</v>
      </c>
      <c r="AB25" s="49">
        <f t="shared" si="1"/>
        <v>1.8763326226012793</v>
      </c>
    </row>
    <row r="26" spans="1:28">
      <c r="A26" s="25" t="s">
        <v>22</v>
      </c>
      <c r="B26" s="8"/>
      <c r="C26" s="7">
        <v>300</v>
      </c>
      <c r="D26" s="7"/>
      <c r="E26" s="7">
        <v>220</v>
      </c>
      <c r="F26" s="7">
        <v>140</v>
      </c>
      <c r="G26" s="38"/>
      <c r="H26" s="7"/>
      <c r="I26" s="7"/>
      <c r="J26" s="7">
        <v>180</v>
      </c>
      <c r="K26" s="7"/>
      <c r="L26" s="7">
        <v>540</v>
      </c>
      <c r="M26" s="38"/>
      <c r="N26" s="7">
        <v>280</v>
      </c>
      <c r="O26" s="7"/>
      <c r="P26" s="7">
        <v>420</v>
      </c>
      <c r="Q26" s="7"/>
      <c r="R26" s="7"/>
      <c r="S26" s="38"/>
      <c r="T26" s="7">
        <v>240</v>
      </c>
      <c r="U26" s="7"/>
      <c r="V26" s="7">
        <v>220</v>
      </c>
      <c r="W26" s="7"/>
      <c r="X26" s="7">
        <v>460</v>
      </c>
      <c r="Z26" s="9">
        <f t="shared" si="0"/>
        <v>3000</v>
      </c>
      <c r="AA26" s="6">
        <v>1609</v>
      </c>
      <c r="AB26" s="49">
        <f t="shared" si="1"/>
        <v>1.8645121193287757</v>
      </c>
    </row>
    <row r="27" spans="1:28">
      <c r="A27" s="25" t="s">
        <v>3</v>
      </c>
      <c r="B27" s="8"/>
      <c r="C27" s="7">
        <v>640</v>
      </c>
      <c r="D27" s="7"/>
      <c r="E27" s="7">
        <v>140</v>
      </c>
      <c r="F27" s="7"/>
      <c r="G27" s="38"/>
      <c r="H27" s="7"/>
      <c r="I27" s="7"/>
      <c r="J27" s="7"/>
      <c r="K27" s="7">
        <v>360</v>
      </c>
      <c r="L27" s="7"/>
      <c r="M27" s="38"/>
      <c r="N27" s="7">
        <v>220</v>
      </c>
      <c r="O27" s="7"/>
      <c r="P27" s="7"/>
      <c r="Q27" s="7"/>
      <c r="R27" s="7"/>
      <c r="S27" s="38"/>
      <c r="T27" s="7">
        <v>180</v>
      </c>
      <c r="U27" s="7"/>
      <c r="V27" s="7"/>
      <c r="W27" s="7">
        <v>460</v>
      </c>
      <c r="X27" s="7"/>
      <c r="Z27" s="9">
        <f t="shared" si="0"/>
        <v>2000</v>
      </c>
      <c r="AA27" s="6">
        <v>1074</v>
      </c>
      <c r="AB27" s="49">
        <f t="shared" si="1"/>
        <v>1.8621973929236499</v>
      </c>
    </row>
    <row r="28" spans="1:28">
      <c r="A28" s="23" t="s">
        <v>36</v>
      </c>
      <c r="B28" s="8"/>
      <c r="C28" s="7">
        <v>280</v>
      </c>
      <c r="D28" s="7"/>
      <c r="E28" s="7">
        <v>140</v>
      </c>
      <c r="F28" s="7"/>
      <c r="G28" s="38"/>
      <c r="H28" s="7"/>
      <c r="I28" s="7"/>
      <c r="J28" s="7"/>
      <c r="K28" s="7">
        <v>480</v>
      </c>
      <c r="L28" s="7"/>
      <c r="M28" s="38"/>
      <c r="N28" s="7">
        <v>300</v>
      </c>
      <c r="O28" s="7"/>
      <c r="P28" s="7"/>
      <c r="Q28" s="7"/>
      <c r="R28" s="7"/>
      <c r="S28" s="38"/>
      <c r="T28" s="7">
        <v>60</v>
      </c>
      <c r="U28" s="7"/>
      <c r="V28" s="7"/>
      <c r="W28" s="7">
        <v>100</v>
      </c>
      <c r="X28" s="7"/>
      <c r="Z28" s="9">
        <f t="shared" si="0"/>
        <v>1360</v>
      </c>
      <c r="AA28" s="6">
        <v>738</v>
      </c>
      <c r="AB28" s="49">
        <f t="shared" si="1"/>
        <v>1.8428184281842819</v>
      </c>
    </row>
    <row r="29" spans="1:28">
      <c r="A29" s="24" t="s">
        <v>14</v>
      </c>
      <c r="B29" s="8"/>
      <c r="C29" s="7">
        <v>400</v>
      </c>
      <c r="D29" s="7"/>
      <c r="E29" s="7"/>
      <c r="F29" s="7">
        <v>220</v>
      </c>
      <c r="G29" s="38"/>
      <c r="H29" s="7"/>
      <c r="I29" s="7">
        <v>320</v>
      </c>
      <c r="J29" s="7"/>
      <c r="K29" s="7"/>
      <c r="L29" s="7">
        <v>180</v>
      </c>
      <c r="M29" s="38"/>
      <c r="N29" s="7"/>
      <c r="O29" s="7">
        <v>160</v>
      </c>
      <c r="P29" s="7"/>
      <c r="Q29" s="7"/>
      <c r="R29" s="7"/>
      <c r="S29" s="38"/>
      <c r="T29" s="7"/>
      <c r="U29" s="7">
        <v>0</v>
      </c>
      <c r="V29" s="7"/>
      <c r="W29" s="7"/>
      <c r="X29" s="7"/>
      <c r="Z29" s="9">
        <f t="shared" si="0"/>
        <v>1280</v>
      </c>
      <c r="AA29" s="6">
        <v>697</v>
      </c>
      <c r="AB29" s="49">
        <f t="shared" si="1"/>
        <v>1.836441893830703</v>
      </c>
    </row>
    <row r="30" spans="1:28">
      <c r="A30" s="23" t="s">
        <v>41</v>
      </c>
      <c r="B30" s="8"/>
      <c r="C30" s="7"/>
      <c r="D30" s="7"/>
      <c r="E30" s="7">
        <v>320</v>
      </c>
      <c r="F30" s="7"/>
      <c r="G30" s="38"/>
      <c r="H30" s="7"/>
      <c r="I30" s="7"/>
      <c r="J30" s="7"/>
      <c r="K30" s="7">
        <v>180</v>
      </c>
      <c r="L30" s="7"/>
      <c r="M30" s="38"/>
      <c r="N30" s="7"/>
      <c r="O30" s="7"/>
      <c r="P30" s="7"/>
      <c r="Q30" s="7"/>
      <c r="R30" s="7"/>
      <c r="S30" s="38"/>
      <c r="T30" s="7"/>
      <c r="U30" s="7"/>
      <c r="V30" s="7"/>
      <c r="W30" s="7">
        <v>120</v>
      </c>
      <c r="X30" s="7"/>
      <c r="Z30" s="9">
        <f t="shared" si="0"/>
        <v>620</v>
      </c>
      <c r="AA30" s="6">
        <v>342</v>
      </c>
      <c r="AB30" s="49">
        <f t="shared" si="1"/>
        <v>1.8128654970760234</v>
      </c>
    </row>
    <row r="31" spans="1:28">
      <c r="A31" s="25" t="s">
        <v>8</v>
      </c>
      <c r="B31" s="8"/>
      <c r="C31" s="7">
        <v>700</v>
      </c>
      <c r="D31" s="7"/>
      <c r="E31" s="7">
        <v>240</v>
      </c>
      <c r="F31" s="7"/>
      <c r="G31" s="38"/>
      <c r="H31" s="7"/>
      <c r="I31" s="7"/>
      <c r="J31" s="7"/>
      <c r="K31" s="7">
        <v>420</v>
      </c>
      <c r="L31" s="7"/>
      <c r="M31" s="38"/>
      <c r="N31" s="7">
        <v>480</v>
      </c>
      <c r="O31" s="7"/>
      <c r="P31" s="7"/>
      <c r="Q31" s="7"/>
      <c r="R31" s="7"/>
      <c r="S31" s="38"/>
      <c r="T31" s="7">
        <v>360</v>
      </c>
      <c r="U31" s="7"/>
      <c r="V31" s="7"/>
      <c r="W31" s="7">
        <v>180</v>
      </c>
      <c r="X31" s="7"/>
      <c r="Z31" s="9">
        <f t="shared" si="0"/>
        <v>2380</v>
      </c>
      <c r="AA31" s="6">
        <v>1325</v>
      </c>
      <c r="AB31" s="49">
        <f t="shared" si="1"/>
        <v>1.7962264150943397</v>
      </c>
    </row>
    <row r="32" spans="1:28">
      <c r="A32" s="23" t="s">
        <v>49</v>
      </c>
      <c r="B32" s="8"/>
      <c r="C32" s="7">
        <v>200</v>
      </c>
      <c r="D32" s="7"/>
      <c r="E32" s="7"/>
      <c r="F32" s="7"/>
      <c r="G32" s="38"/>
      <c r="H32" s="7"/>
      <c r="I32" s="7"/>
      <c r="J32" s="7"/>
      <c r="K32" s="7"/>
      <c r="L32" s="7"/>
      <c r="M32" s="38"/>
      <c r="N32" s="7">
        <v>100</v>
      </c>
      <c r="O32" s="7"/>
      <c r="P32" s="7"/>
      <c r="Q32" s="7"/>
      <c r="R32" s="7"/>
      <c r="S32" s="38"/>
      <c r="T32" s="7">
        <v>660</v>
      </c>
      <c r="U32" s="7"/>
      <c r="V32" s="7"/>
      <c r="W32" s="7"/>
      <c r="X32" s="7"/>
      <c r="Z32" s="9">
        <f t="shared" si="0"/>
        <v>960</v>
      </c>
      <c r="AA32" s="6">
        <v>537</v>
      </c>
      <c r="AB32" s="49">
        <f t="shared" si="1"/>
        <v>1.7877094972067038</v>
      </c>
    </row>
    <row r="33" spans="1:28">
      <c r="A33" s="23" t="s">
        <v>65</v>
      </c>
      <c r="B33" s="8"/>
      <c r="C33" s="7">
        <v>660</v>
      </c>
      <c r="D33" s="7"/>
      <c r="E33" s="7"/>
      <c r="F33" s="7"/>
      <c r="G33" s="38"/>
      <c r="H33" s="7"/>
      <c r="I33" s="7"/>
      <c r="J33" s="7"/>
      <c r="K33" s="7"/>
      <c r="L33" s="7"/>
      <c r="M33" s="38"/>
      <c r="N33" s="7">
        <v>420</v>
      </c>
      <c r="O33" s="7"/>
      <c r="P33" s="7"/>
      <c r="Q33" s="7"/>
      <c r="R33" s="7"/>
      <c r="S33" s="38"/>
      <c r="T33" s="7">
        <v>460</v>
      </c>
      <c r="U33" s="7"/>
      <c r="V33" s="7"/>
      <c r="W33" s="7"/>
      <c r="X33" s="7"/>
      <c r="Z33" s="9">
        <f t="shared" si="0"/>
        <v>1540</v>
      </c>
      <c r="AA33" s="6">
        <v>865</v>
      </c>
      <c r="AB33" s="49">
        <f t="shared" si="1"/>
        <v>1.7803468208092486</v>
      </c>
    </row>
    <row r="34" spans="1:28">
      <c r="A34" s="24" t="s">
        <v>18</v>
      </c>
      <c r="B34" s="8"/>
      <c r="C34" s="7">
        <v>500</v>
      </c>
      <c r="D34" s="7"/>
      <c r="E34" s="7"/>
      <c r="F34" s="7">
        <v>100</v>
      </c>
      <c r="G34" s="38"/>
      <c r="H34" s="7"/>
      <c r="I34" s="7"/>
      <c r="J34" s="7"/>
      <c r="K34" s="7"/>
      <c r="L34" s="7">
        <v>240</v>
      </c>
      <c r="M34" s="38"/>
      <c r="N34" s="7">
        <v>40</v>
      </c>
      <c r="O34" s="7"/>
      <c r="P34" s="7"/>
      <c r="Q34" s="7"/>
      <c r="R34" s="7"/>
      <c r="S34" s="38"/>
      <c r="T34" s="7">
        <v>80</v>
      </c>
      <c r="U34" s="7"/>
      <c r="V34" s="7"/>
      <c r="W34" s="7"/>
      <c r="X34" s="7">
        <v>80</v>
      </c>
      <c r="Z34" s="9">
        <f t="shared" si="0"/>
        <v>1040</v>
      </c>
      <c r="AA34" s="6">
        <v>630</v>
      </c>
      <c r="AB34" s="49">
        <f t="shared" si="1"/>
        <v>1.6507936507936507</v>
      </c>
    </row>
    <row r="35" spans="1:28">
      <c r="A35" s="23" t="s">
        <v>15</v>
      </c>
      <c r="B35" s="8"/>
      <c r="C35" s="7">
        <v>80</v>
      </c>
      <c r="D35" s="7"/>
      <c r="E35" s="7"/>
      <c r="F35" s="7"/>
      <c r="G35" s="38"/>
      <c r="H35" s="7"/>
      <c r="I35" s="7"/>
      <c r="J35" s="7"/>
      <c r="K35" s="7"/>
      <c r="L35" s="7"/>
      <c r="M35" s="38"/>
      <c r="N35" s="7">
        <v>240</v>
      </c>
      <c r="O35" s="7"/>
      <c r="P35" s="7"/>
      <c r="Q35" s="7"/>
      <c r="R35" s="7"/>
      <c r="S35" s="38"/>
      <c r="T35" s="7">
        <v>160</v>
      </c>
      <c r="U35" s="7"/>
      <c r="V35" s="7"/>
      <c r="W35" s="7"/>
      <c r="X35" s="7"/>
      <c r="Z35" s="9">
        <f t="shared" si="0"/>
        <v>480</v>
      </c>
      <c r="AA35" s="6">
        <v>302</v>
      </c>
      <c r="AB35" s="49">
        <f t="shared" si="1"/>
        <v>1.5894039735099337</v>
      </c>
    </row>
    <row r="36" spans="1:28">
      <c r="A36" s="23" t="s">
        <v>20</v>
      </c>
      <c r="B36" s="8"/>
      <c r="C36" s="7"/>
      <c r="D36" s="7"/>
      <c r="E36" s="7">
        <v>520</v>
      </c>
      <c r="F36" s="7"/>
      <c r="G36" s="38"/>
      <c r="H36" s="7"/>
      <c r="I36" s="7"/>
      <c r="J36" s="7"/>
      <c r="K36" s="7">
        <v>120</v>
      </c>
      <c r="L36" s="7"/>
      <c r="M36" s="38"/>
      <c r="N36" s="7"/>
      <c r="O36" s="7"/>
      <c r="P36" s="7"/>
      <c r="Q36" s="7"/>
      <c r="R36" s="7"/>
      <c r="S36" s="38"/>
      <c r="T36" s="7"/>
      <c r="U36" s="7"/>
      <c r="V36" s="7"/>
      <c r="W36" s="7">
        <v>60</v>
      </c>
      <c r="X36" s="7"/>
      <c r="Z36" s="9">
        <f t="shared" si="0"/>
        <v>700</v>
      </c>
      <c r="AA36" s="6">
        <v>442</v>
      </c>
      <c r="AB36" s="49">
        <f t="shared" si="1"/>
        <v>1.5837104072398189</v>
      </c>
    </row>
    <row r="37" spans="1:28">
      <c r="A37" s="24" t="s">
        <v>27</v>
      </c>
      <c r="B37" s="8"/>
      <c r="C37" s="7" t="s">
        <v>76</v>
      </c>
      <c r="D37" s="7"/>
      <c r="E37" s="7"/>
      <c r="F37" s="7">
        <v>100</v>
      </c>
      <c r="G37" s="38"/>
      <c r="H37" s="7"/>
      <c r="I37" s="7">
        <v>200</v>
      </c>
      <c r="J37" s="7"/>
      <c r="K37" s="7"/>
      <c r="L37" s="7">
        <v>160</v>
      </c>
      <c r="M37" s="38"/>
      <c r="N37" s="7"/>
      <c r="O37" s="7">
        <v>100</v>
      </c>
      <c r="P37" s="7"/>
      <c r="Q37" s="7"/>
      <c r="R37" s="7"/>
      <c r="S37" s="38"/>
      <c r="T37" s="7"/>
      <c r="U37" s="7">
        <v>660</v>
      </c>
      <c r="V37" s="7"/>
      <c r="W37" s="7"/>
      <c r="X37" s="7">
        <v>280</v>
      </c>
      <c r="Z37" s="9">
        <f t="shared" si="0"/>
        <v>1500</v>
      </c>
      <c r="AA37" s="6">
        <v>954</v>
      </c>
      <c r="AB37" s="49">
        <f t="shared" si="1"/>
        <v>1.5723270440251573</v>
      </c>
    </row>
    <row r="38" spans="1:28">
      <c r="A38" s="24" t="s">
        <v>4</v>
      </c>
      <c r="B38" s="8"/>
      <c r="C38" s="7"/>
      <c r="D38" s="7"/>
      <c r="E38" s="7">
        <v>360</v>
      </c>
      <c r="F38" s="7"/>
      <c r="G38" s="38"/>
      <c r="H38" s="7"/>
      <c r="I38" s="7"/>
      <c r="J38" s="7"/>
      <c r="K38" s="7">
        <v>280</v>
      </c>
      <c r="L38" s="7"/>
      <c r="M38" s="38"/>
      <c r="N38" s="7"/>
      <c r="O38" s="7"/>
      <c r="P38" s="7"/>
      <c r="Q38" s="7"/>
      <c r="R38" s="7"/>
      <c r="S38" s="38"/>
      <c r="T38" s="7"/>
      <c r="U38" s="7"/>
      <c r="V38" s="7"/>
      <c r="W38" s="7">
        <v>240</v>
      </c>
      <c r="X38" s="7"/>
      <c r="Z38" s="9">
        <f t="shared" ref="Z38:Z67" si="2">SUM(B38:Y38)</f>
        <v>880</v>
      </c>
      <c r="AA38" s="6">
        <v>573</v>
      </c>
      <c r="AB38" s="49">
        <f t="shared" ref="AB38:AB67" si="3">Z38/AA38</f>
        <v>1.5357766143106457</v>
      </c>
    </row>
    <row r="39" spans="1:28">
      <c r="A39" s="23" t="s">
        <v>44</v>
      </c>
      <c r="B39" s="8"/>
      <c r="C39" s="7">
        <v>180</v>
      </c>
      <c r="D39" s="7"/>
      <c r="E39" s="7"/>
      <c r="F39" s="7">
        <v>200</v>
      </c>
      <c r="G39" s="38"/>
      <c r="H39" s="7"/>
      <c r="I39" s="7">
        <v>280</v>
      </c>
      <c r="J39" s="7"/>
      <c r="K39" s="7"/>
      <c r="L39" s="7">
        <v>300</v>
      </c>
      <c r="M39" s="38"/>
      <c r="N39" s="7"/>
      <c r="O39" s="7"/>
      <c r="P39" s="7"/>
      <c r="Q39" s="7"/>
      <c r="R39" s="7"/>
      <c r="S39" s="38"/>
      <c r="T39" s="7"/>
      <c r="U39" s="7">
        <v>260</v>
      </c>
      <c r="V39" s="7"/>
      <c r="W39" s="7"/>
      <c r="X39" s="7">
        <v>280</v>
      </c>
      <c r="Z39" s="9">
        <f t="shared" si="2"/>
        <v>1500</v>
      </c>
      <c r="AA39" s="6">
        <v>998</v>
      </c>
      <c r="AB39" s="49">
        <f t="shared" si="3"/>
        <v>1.503006012024048</v>
      </c>
    </row>
    <row r="40" spans="1:28">
      <c r="A40" s="23" t="s">
        <v>58</v>
      </c>
      <c r="B40" s="8"/>
      <c r="C40" s="7"/>
      <c r="D40" s="7"/>
      <c r="E40" s="7">
        <v>280</v>
      </c>
      <c r="F40" s="7"/>
      <c r="G40" s="38"/>
      <c r="H40" s="7"/>
      <c r="I40" s="7"/>
      <c r="J40" s="7"/>
      <c r="K40" s="7">
        <v>160</v>
      </c>
      <c r="L40" s="7"/>
      <c r="M40" s="38"/>
      <c r="N40" s="7"/>
      <c r="O40" s="7"/>
      <c r="P40" s="7"/>
      <c r="Q40" s="7"/>
      <c r="R40" s="7"/>
      <c r="S40" s="38"/>
      <c r="T40" s="7"/>
      <c r="U40" s="7"/>
      <c r="V40" s="7"/>
      <c r="W40" s="7">
        <v>120</v>
      </c>
      <c r="X40" s="7"/>
      <c r="Z40" s="9">
        <f t="shared" si="2"/>
        <v>560</v>
      </c>
      <c r="AA40" s="6">
        <v>381</v>
      </c>
      <c r="AB40" s="49">
        <f t="shared" si="3"/>
        <v>1.4698162729658792</v>
      </c>
    </row>
    <row r="41" spans="1:28">
      <c r="A41" s="25" t="s">
        <v>21</v>
      </c>
      <c r="B41" s="8"/>
      <c r="C41" s="7">
        <v>380</v>
      </c>
      <c r="D41" s="7"/>
      <c r="E41" s="7">
        <v>340</v>
      </c>
      <c r="F41" s="7"/>
      <c r="G41" s="38"/>
      <c r="H41" s="7"/>
      <c r="I41" s="7"/>
      <c r="J41" s="7"/>
      <c r="K41" s="7">
        <v>320</v>
      </c>
      <c r="L41" s="7"/>
      <c r="M41" s="38"/>
      <c r="N41" s="7">
        <v>460</v>
      </c>
      <c r="O41" s="7"/>
      <c r="P41" s="7"/>
      <c r="Q41" s="7"/>
      <c r="R41" s="7"/>
      <c r="S41" s="38"/>
      <c r="T41" s="7">
        <v>280</v>
      </c>
      <c r="U41" s="7"/>
      <c r="V41" s="7"/>
      <c r="W41" s="7">
        <v>600</v>
      </c>
      <c r="X41" s="7"/>
      <c r="Z41" s="9">
        <f t="shared" si="2"/>
        <v>2380</v>
      </c>
      <c r="AA41" s="6">
        <v>1669</v>
      </c>
      <c r="AB41" s="49">
        <f t="shared" si="3"/>
        <v>1.4260035949670462</v>
      </c>
    </row>
    <row r="42" spans="1:28">
      <c r="A42" s="24" t="s">
        <v>2</v>
      </c>
      <c r="B42" s="8"/>
      <c r="C42" s="7">
        <v>140</v>
      </c>
      <c r="D42" s="7"/>
      <c r="E42" s="7">
        <v>180</v>
      </c>
      <c r="F42" s="7"/>
      <c r="G42" s="38"/>
      <c r="H42" s="7"/>
      <c r="I42" s="7"/>
      <c r="J42" s="7"/>
      <c r="K42" s="7">
        <v>260</v>
      </c>
      <c r="L42" s="7"/>
      <c r="M42" s="38"/>
      <c r="N42" s="7">
        <v>100</v>
      </c>
      <c r="O42" s="7"/>
      <c r="P42" s="7"/>
      <c r="Q42" s="7"/>
      <c r="R42" s="7"/>
      <c r="S42" s="38"/>
      <c r="T42" s="7">
        <v>40</v>
      </c>
      <c r="U42" s="7"/>
      <c r="V42" s="7"/>
      <c r="W42" s="7">
        <v>120</v>
      </c>
      <c r="X42" s="7"/>
      <c r="Z42" s="9">
        <f t="shared" si="2"/>
        <v>840</v>
      </c>
      <c r="AA42" s="6">
        <v>604</v>
      </c>
      <c r="AB42" s="49">
        <f t="shared" si="3"/>
        <v>1.3907284768211921</v>
      </c>
    </row>
    <row r="43" spans="1:28">
      <c r="A43" s="23" t="s">
        <v>51</v>
      </c>
      <c r="B43" s="8"/>
      <c r="C43" s="7"/>
      <c r="D43" s="7"/>
      <c r="E43" s="7">
        <v>220</v>
      </c>
      <c r="F43" s="7"/>
      <c r="G43" s="38"/>
      <c r="H43" s="7"/>
      <c r="I43" s="7"/>
      <c r="J43" s="7"/>
      <c r="K43" s="7">
        <v>220</v>
      </c>
      <c r="L43" s="7"/>
      <c r="M43" s="38"/>
      <c r="N43" s="7"/>
      <c r="O43" s="7"/>
      <c r="P43" s="7"/>
      <c r="Q43" s="7"/>
      <c r="R43" s="7"/>
      <c r="S43" s="38"/>
      <c r="T43" s="7"/>
      <c r="U43" s="7"/>
      <c r="V43" s="7"/>
      <c r="W43" s="7">
        <v>120</v>
      </c>
      <c r="X43" s="7"/>
      <c r="Z43" s="9">
        <f t="shared" si="2"/>
        <v>560</v>
      </c>
      <c r="AA43" s="6">
        <v>419</v>
      </c>
      <c r="AB43" s="49">
        <f t="shared" si="3"/>
        <v>1.3365155131264916</v>
      </c>
    </row>
    <row r="44" spans="1:28">
      <c r="A44" s="24" t="s">
        <v>77</v>
      </c>
      <c r="B44" s="8"/>
      <c r="C44" s="7">
        <v>60</v>
      </c>
      <c r="D44" s="7"/>
      <c r="E44" s="7"/>
      <c r="F44" s="7">
        <v>300</v>
      </c>
      <c r="G44" s="38"/>
      <c r="H44" s="7"/>
      <c r="I44" s="7">
        <v>160</v>
      </c>
      <c r="J44" s="7"/>
      <c r="K44" s="7"/>
      <c r="L44" s="7">
        <v>340</v>
      </c>
      <c r="M44" s="38"/>
      <c r="N44" s="7">
        <v>100</v>
      </c>
      <c r="O44" s="7"/>
      <c r="P44" s="7"/>
      <c r="Q44" s="7"/>
      <c r="R44" s="7"/>
      <c r="S44" s="38"/>
      <c r="T44" s="7">
        <v>20</v>
      </c>
      <c r="U44" s="7"/>
      <c r="V44" s="7"/>
      <c r="W44" s="7"/>
      <c r="X44" s="7">
        <v>200</v>
      </c>
      <c r="Z44" s="9">
        <f t="shared" si="2"/>
        <v>1180</v>
      </c>
      <c r="AA44" s="6">
        <v>900</v>
      </c>
      <c r="AB44" s="49">
        <f t="shared" si="3"/>
        <v>1.3111111111111111</v>
      </c>
    </row>
    <row r="45" spans="1:28">
      <c r="A45" s="23" t="s">
        <v>59</v>
      </c>
      <c r="B45" s="8"/>
      <c r="C45" s="7">
        <v>320</v>
      </c>
      <c r="D45" s="7"/>
      <c r="E45" s="7">
        <v>240</v>
      </c>
      <c r="F45" s="7"/>
      <c r="G45" s="38"/>
      <c r="H45" s="7"/>
      <c r="I45" s="7"/>
      <c r="J45" s="7"/>
      <c r="K45" s="7">
        <v>120</v>
      </c>
      <c r="L45" s="7"/>
      <c r="M45" s="38"/>
      <c r="N45" s="7">
        <v>240</v>
      </c>
      <c r="O45" s="7"/>
      <c r="P45" s="7"/>
      <c r="Q45" s="7"/>
      <c r="R45" s="7"/>
      <c r="S45" s="38"/>
      <c r="T45" s="7">
        <v>80</v>
      </c>
      <c r="U45" s="7"/>
      <c r="V45" s="7"/>
      <c r="W45" s="7">
        <v>100</v>
      </c>
      <c r="X45" s="7"/>
      <c r="Z45" s="9">
        <f t="shared" si="2"/>
        <v>1100</v>
      </c>
      <c r="AA45" s="6">
        <v>839</v>
      </c>
      <c r="AB45" s="49">
        <f t="shared" si="3"/>
        <v>1.3110846245530394</v>
      </c>
    </row>
    <row r="46" spans="1:28">
      <c r="A46" s="24" t="s">
        <v>19</v>
      </c>
      <c r="B46" s="8"/>
      <c r="C46" s="7">
        <v>240</v>
      </c>
      <c r="D46" s="7"/>
      <c r="E46" s="7">
        <v>60</v>
      </c>
      <c r="F46" s="7"/>
      <c r="G46" s="38"/>
      <c r="H46" s="7"/>
      <c r="I46" s="7"/>
      <c r="J46" s="7"/>
      <c r="K46" s="7">
        <v>160</v>
      </c>
      <c r="L46" s="7"/>
      <c r="M46" s="38"/>
      <c r="N46" s="7">
        <v>60</v>
      </c>
      <c r="O46" s="7"/>
      <c r="P46" s="7"/>
      <c r="Q46" s="7"/>
      <c r="R46" s="7"/>
      <c r="S46" s="38"/>
      <c r="T46" s="7">
        <v>200</v>
      </c>
      <c r="U46" s="7"/>
      <c r="V46" s="7"/>
      <c r="W46" s="7">
        <v>160</v>
      </c>
      <c r="X46" s="7"/>
      <c r="Z46" s="9">
        <f t="shared" si="2"/>
        <v>880</v>
      </c>
      <c r="AA46" s="6">
        <v>693</v>
      </c>
      <c r="AB46" s="49">
        <f t="shared" si="3"/>
        <v>1.2698412698412698</v>
      </c>
    </row>
    <row r="47" spans="1:28">
      <c r="A47" s="25" t="s">
        <v>25</v>
      </c>
      <c r="B47" s="8"/>
      <c r="C47" s="7">
        <v>220</v>
      </c>
      <c r="D47" s="7"/>
      <c r="E47" s="7">
        <v>140</v>
      </c>
      <c r="F47" s="7"/>
      <c r="G47" s="38"/>
      <c r="H47" s="7"/>
      <c r="I47" s="7"/>
      <c r="J47" s="7"/>
      <c r="K47" s="7">
        <v>380</v>
      </c>
      <c r="L47" s="7"/>
      <c r="M47" s="38"/>
      <c r="N47" s="7">
        <v>220</v>
      </c>
      <c r="O47" s="7"/>
      <c r="P47" s="7"/>
      <c r="Q47" s="7"/>
      <c r="R47" s="7"/>
      <c r="S47" s="38"/>
      <c r="T47" s="7">
        <v>60</v>
      </c>
      <c r="U47" s="7"/>
      <c r="V47" s="7"/>
      <c r="W47" s="7">
        <v>520</v>
      </c>
      <c r="X47" s="7"/>
      <c r="Z47" s="9">
        <f t="shared" si="2"/>
        <v>1540</v>
      </c>
      <c r="AA47" s="6">
        <v>1227</v>
      </c>
      <c r="AB47" s="49">
        <f t="shared" si="3"/>
        <v>1.2550937245313774</v>
      </c>
    </row>
    <row r="48" spans="1:28">
      <c r="A48" s="23" t="s">
        <v>63</v>
      </c>
      <c r="B48" s="8"/>
      <c r="C48" s="7"/>
      <c r="D48" s="7"/>
      <c r="E48" s="7">
        <v>580</v>
      </c>
      <c r="F48" s="7"/>
      <c r="G48" s="38"/>
      <c r="H48" s="7"/>
      <c r="I48" s="7"/>
      <c r="J48" s="7"/>
      <c r="K48" s="7">
        <v>220</v>
      </c>
      <c r="L48" s="7"/>
      <c r="M48" s="38"/>
      <c r="N48" s="7"/>
      <c r="O48" s="7"/>
      <c r="P48" s="7"/>
      <c r="Q48" s="7"/>
      <c r="R48" s="7"/>
      <c r="S48" s="38"/>
      <c r="T48" s="7"/>
      <c r="U48" s="7"/>
      <c r="V48" s="7"/>
      <c r="W48" s="7">
        <v>120</v>
      </c>
      <c r="X48" s="7"/>
      <c r="Z48" s="9">
        <f t="shared" si="2"/>
        <v>920</v>
      </c>
      <c r="AA48" s="6">
        <v>762</v>
      </c>
      <c r="AB48" s="49">
        <f t="shared" si="3"/>
        <v>1.2073490813648293</v>
      </c>
    </row>
    <row r="49" spans="1:28">
      <c r="A49" s="25" t="s">
        <v>7</v>
      </c>
      <c r="B49" s="8"/>
      <c r="C49" s="7">
        <v>480</v>
      </c>
      <c r="D49" s="7"/>
      <c r="E49" s="7">
        <v>120</v>
      </c>
      <c r="F49" s="7">
        <v>20</v>
      </c>
      <c r="G49" s="38"/>
      <c r="H49" s="7"/>
      <c r="I49" s="7"/>
      <c r="J49" s="7">
        <v>220</v>
      </c>
      <c r="K49" s="7"/>
      <c r="L49" s="7">
        <v>320</v>
      </c>
      <c r="M49" s="38"/>
      <c r="N49" s="7">
        <v>100</v>
      </c>
      <c r="O49" s="7"/>
      <c r="P49" s="7">
        <v>100</v>
      </c>
      <c r="Q49" s="7"/>
      <c r="R49" s="7"/>
      <c r="S49" s="38"/>
      <c r="T49" s="7">
        <v>280</v>
      </c>
      <c r="U49" s="7"/>
      <c r="V49" s="7">
        <v>180</v>
      </c>
      <c r="W49" s="7"/>
      <c r="X49" s="7">
        <v>140</v>
      </c>
      <c r="Z49" s="9">
        <f t="shared" si="2"/>
        <v>1960</v>
      </c>
      <c r="AA49" s="6">
        <v>1646</v>
      </c>
      <c r="AB49" s="49">
        <f t="shared" si="3"/>
        <v>1.1907654921020656</v>
      </c>
    </row>
    <row r="50" spans="1:28">
      <c r="A50" s="25" t="s">
        <v>13</v>
      </c>
      <c r="B50" s="8"/>
      <c r="C50" s="7">
        <v>40</v>
      </c>
      <c r="D50" s="7"/>
      <c r="E50" s="7">
        <v>260</v>
      </c>
      <c r="F50" s="7"/>
      <c r="G50" s="38"/>
      <c r="H50" s="7"/>
      <c r="I50" s="7"/>
      <c r="J50" s="7"/>
      <c r="K50" s="7">
        <v>420</v>
      </c>
      <c r="L50" s="7"/>
      <c r="M50" s="38"/>
      <c r="N50" s="7">
        <v>160</v>
      </c>
      <c r="O50" s="7"/>
      <c r="P50" s="7"/>
      <c r="Q50" s="7"/>
      <c r="R50" s="7"/>
      <c r="S50" s="38"/>
      <c r="T50" s="7">
        <v>200</v>
      </c>
      <c r="U50" s="7"/>
      <c r="V50" s="7"/>
      <c r="W50" s="7">
        <v>420</v>
      </c>
      <c r="X50" s="7"/>
      <c r="Z50" s="9">
        <f t="shared" si="2"/>
        <v>1500</v>
      </c>
      <c r="AA50" s="6">
        <v>1274</v>
      </c>
      <c r="AB50" s="49">
        <f t="shared" si="3"/>
        <v>1.1773940345368916</v>
      </c>
    </row>
    <row r="51" spans="1:28">
      <c r="A51" s="23" t="s">
        <v>40</v>
      </c>
      <c r="B51" s="8"/>
      <c r="C51" s="7">
        <v>220</v>
      </c>
      <c r="D51" s="7"/>
      <c r="E51" s="7"/>
      <c r="F51" s="7"/>
      <c r="G51" s="38"/>
      <c r="H51" s="7"/>
      <c r="I51" s="7">
        <v>180</v>
      </c>
      <c r="J51" s="7"/>
      <c r="K51" s="7"/>
      <c r="L51" s="7"/>
      <c r="M51" s="38"/>
      <c r="N51" s="7"/>
      <c r="O51" s="7">
        <v>140</v>
      </c>
      <c r="P51" s="7"/>
      <c r="Q51" s="7"/>
      <c r="R51" s="7"/>
      <c r="S51" s="38"/>
      <c r="T51" s="7"/>
      <c r="U51" s="7">
        <v>320</v>
      </c>
      <c r="V51" s="7"/>
      <c r="W51" s="7"/>
      <c r="X51" s="7"/>
      <c r="Z51" s="9">
        <f t="shared" si="2"/>
        <v>860</v>
      </c>
      <c r="AA51" s="6">
        <v>740</v>
      </c>
      <c r="AB51" s="49">
        <f t="shared" si="3"/>
        <v>1.1621621621621621</v>
      </c>
    </row>
    <row r="52" spans="1:28">
      <c r="A52" s="24" t="s">
        <v>0</v>
      </c>
      <c r="B52" s="8"/>
      <c r="C52" s="7">
        <v>160</v>
      </c>
      <c r="D52" s="7"/>
      <c r="E52" s="7">
        <v>40</v>
      </c>
      <c r="F52" s="7"/>
      <c r="G52" s="38"/>
      <c r="H52" s="7"/>
      <c r="I52" s="7"/>
      <c r="J52" s="7"/>
      <c r="K52" s="7">
        <v>320</v>
      </c>
      <c r="L52" s="7"/>
      <c r="M52" s="38"/>
      <c r="N52" s="7">
        <v>280</v>
      </c>
      <c r="O52" s="7"/>
      <c r="P52" s="7"/>
      <c r="Q52" s="7"/>
      <c r="R52" s="7"/>
      <c r="S52" s="38"/>
      <c r="T52" s="7">
        <v>0</v>
      </c>
      <c r="U52" s="7"/>
      <c r="V52" s="7"/>
      <c r="W52" s="7">
        <v>120</v>
      </c>
      <c r="X52" s="7"/>
      <c r="Z52" s="9">
        <f t="shared" si="2"/>
        <v>920</v>
      </c>
      <c r="AA52" s="6">
        <v>797</v>
      </c>
      <c r="AB52" s="49">
        <f t="shared" si="3"/>
        <v>1.1543287327478042</v>
      </c>
    </row>
    <row r="53" spans="1:28">
      <c r="A53" s="23" t="s">
        <v>61</v>
      </c>
      <c r="B53" s="8"/>
      <c r="C53" s="7">
        <v>380</v>
      </c>
      <c r="D53" s="7"/>
      <c r="E53" s="7">
        <v>160</v>
      </c>
      <c r="F53" s="7"/>
      <c r="G53" s="38"/>
      <c r="H53" s="7"/>
      <c r="I53" s="7"/>
      <c r="J53" s="7"/>
      <c r="K53" s="7"/>
      <c r="L53" s="7"/>
      <c r="M53" s="38"/>
      <c r="N53" s="7">
        <v>60</v>
      </c>
      <c r="O53" s="7"/>
      <c r="P53" s="7"/>
      <c r="Q53" s="7"/>
      <c r="R53" s="7"/>
      <c r="S53" s="38"/>
      <c r="T53" s="7">
        <v>320</v>
      </c>
      <c r="U53" s="7"/>
      <c r="V53" s="7"/>
      <c r="W53" s="7"/>
      <c r="X53" s="7"/>
      <c r="Z53" s="9">
        <f t="shared" si="2"/>
        <v>920</v>
      </c>
      <c r="AA53" s="6">
        <v>820</v>
      </c>
      <c r="AB53" s="49">
        <f t="shared" si="3"/>
        <v>1.1219512195121952</v>
      </c>
    </row>
    <row r="54" spans="1:28">
      <c r="A54" s="23" t="s">
        <v>62</v>
      </c>
      <c r="B54" s="8"/>
      <c r="C54" s="7">
        <v>220</v>
      </c>
      <c r="D54" s="7"/>
      <c r="E54" s="7"/>
      <c r="F54" s="7"/>
      <c r="G54" s="38"/>
      <c r="H54" s="7"/>
      <c r="I54" s="7"/>
      <c r="J54" s="7"/>
      <c r="K54" s="7"/>
      <c r="L54" s="7"/>
      <c r="M54" s="38"/>
      <c r="N54" s="7"/>
      <c r="O54" s="7"/>
      <c r="P54" s="7"/>
      <c r="Q54" s="7"/>
      <c r="R54" s="7"/>
      <c r="S54" s="38"/>
      <c r="T54" s="7">
        <v>320</v>
      </c>
      <c r="U54" s="7"/>
      <c r="V54" s="7"/>
      <c r="W54" s="7"/>
      <c r="X54" s="7"/>
      <c r="Z54" s="9">
        <f t="shared" si="2"/>
        <v>540</v>
      </c>
      <c r="AA54" s="6">
        <v>488</v>
      </c>
      <c r="AB54" s="49">
        <f t="shared" si="3"/>
        <v>1.1065573770491803</v>
      </c>
    </row>
    <row r="55" spans="1:28">
      <c r="A55" s="23" t="s">
        <v>60</v>
      </c>
      <c r="B55" s="8"/>
      <c r="C55" s="7"/>
      <c r="D55" s="7"/>
      <c r="E55" s="7"/>
      <c r="F55" s="7">
        <v>260</v>
      </c>
      <c r="G55" s="38"/>
      <c r="H55" s="7"/>
      <c r="I55" s="7"/>
      <c r="J55" s="7"/>
      <c r="K55" s="7"/>
      <c r="L55" s="7">
        <v>260</v>
      </c>
      <c r="M55" s="38"/>
      <c r="N55" s="7"/>
      <c r="O55" s="7"/>
      <c r="P55" s="7"/>
      <c r="Q55" s="7"/>
      <c r="R55" s="7"/>
      <c r="S55" s="38"/>
      <c r="T55" s="7"/>
      <c r="U55" s="7"/>
      <c r="V55" s="7"/>
      <c r="W55" s="7"/>
      <c r="X55" s="7">
        <v>140</v>
      </c>
      <c r="Z55" s="9">
        <f t="shared" si="2"/>
        <v>660</v>
      </c>
      <c r="AA55" s="6">
        <v>598</v>
      </c>
      <c r="AB55" s="49">
        <f t="shared" si="3"/>
        <v>1.1036789297658862</v>
      </c>
    </row>
    <row r="56" spans="1:28">
      <c r="A56" s="23" t="s">
        <v>53</v>
      </c>
      <c r="B56" s="8"/>
      <c r="C56" s="7">
        <v>320</v>
      </c>
      <c r="D56" s="7"/>
      <c r="E56" s="7"/>
      <c r="F56" s="7"/>
      <c r="G56" s="38"/>
      <c r="H56" s="7"/>
      <c r="I56" s="7">
        <v>220</v>
      </c>
      <c r="J56" s="7"/>
      <c r="K56" s="7"/>
      <c r="L56" s="7"/>
      <c r="M56" s="38"/>
      <c r="N56" s="7"/>
      <c r="O56" s="7">
        <v>40</v>
      </c>
      <c r="P56" s="7"/>
      <c r="Q56" s="7"/>
      <c r="R56" s="7"/>
      <c r="S56" s="38"/>
      <c r="T56" s="7"/>
      <c r="U56" s="7">
        <v>340</v>
      </c>
      <c r="V56" s="7"/>
      <c r="W56" s="7"/>
      <c r="X56" s="7"/>
      <c r="Z56" s="9">
        <f t="shared" si="2"/>
        <v>920</v>
      </c>
      <c r="AA56" s="6">
        <v>846</v>
      </c>
      <c r="AB56" s="49">
        <f t="shared" si="3"/>
        <v>1.0874704491725768</v>
      </c>
    </row>
    <row r="57" spans="1:28">
      <c r="A57" s="23" t="s">
        <v>42</v>
      </c>
      <c r="B57" s="8"/>
      <c r="C57" s="7"/>
      <c r="D57" s="7"/>
      <c r="E57" s="7">
        <v>520</v>
      </c>
      <c r="F57" s="7"/>
      <c r="G57" s="38"/>
      <c r="H57" s="7"/>
      <c r="I57" s="7"/>
      <c r="J57" s="7"/>
      <c r="K57" s="7">
        <v>160</v>
      </c>
      <c r="L57" s="7"/>
      <c r="M57" s="38"/>
      <c r="N57" s="7"/>
      <c r="O57" s="7"/>
      <c r="P57" s="7"/>
      <c r="Q57" s="7"/>
      <c r="R57" s="7"/>
      <c r="S57" s="38"/>
      <c r="T57" s="7"/>
      <c r="U57" s="7"/>
      <c r="V57" s="7"/>
      <c r="W57" s="7">
        <v>80</v>
      </c>
      <c r="X57" s="7"/>
      <c r="Z57" s="9">
        <f t="shared" si="2"/>
        <v>760</v>
      </c>
      <c r="AA57" s="6">
        <v>713</v>
      </c>
      <c r="AB57" s="49">
        <f t="shared" si="3"/>
        <v>1.0659186535764376</v>
      </c>
    </row>
    <row r="58" spans="1:28">
      <c r="A58" s="24" t="s">
        <v>23</v>
      </c>
      <c r="B58" s="8"/>
      <c r="C58" s="7"/>
      <c r="D58" s="7"/>
      <c r="E58" s="7"/>
      <c r="F58" s="7">
        <v>40</v>
      </c>
      <c r="G58" s="38"/>
      <c r="H58" s="7"/>
      <c r="I58" s="7">
        <v>40</v>
      </c>
      <c r="J58" s="7"/>
      <c r="K58" s="7"/>
      <c r="L58" s="7">
        <v>480</v>
      </c>
      <c r="M58" s="38"/>
      <c r="N58" s="7"/>
      <c r="O58" s="7">
        <v>120</v>
      </c>
      <c r="P58" s="7"/>
      <c r="Q58" s="7"/>
      <c r="R58" s="7"/>
      <c r="S58" s="38"/>
      <c r="T58" s="7"/>
      <c r="U58" s="7">
        <v>40</v>
      </c>
      <c r="V58" s="7"/>
      <c r="W58" s="7"/>
      <c r="X58" s="7">
        <v>160</v>
      </c>
      <c r="Z58" s="9">
        <f t="shared" si="2"/>
        <v>880</v>
      </c>
      <c r="AA58" s="6">
        <v>830</v>
      </c>
      <c r="AB58" s="49">
        <f t="shared" si="3"/>
        <v>1.0602409638554218</v>
      </c>
    </row>
    <row r="59" spans="1:28">
      <c r="A59" s="23" t="s">
        <v>46</v>
      </c>
      <c r="B59" s="8"/>
      <c r="C59" s="7"/>
      <c r="D59" s="7"/>
      <c r="E59" s="7">
        <v>60</v>
      </c>
      <c r="F59" s="7"/>
      <c r="G59" s="38"/>
      <c r="H59" s="7"/>
      <c r="I59" s="7"/>
      <c r="J59" s="7"/>
      <c r="K59" s="7">
        <v>140</v>
      </c>
      <c r="L59" s="7"/>
      <c r="M59" s="38"/>
      <c r="N59" s="7"/>
      <c r="O59" s="7"/>
      <c r="P59" s="7"/>
      <c r="Q59" s="7"/>
      <c r="R59" s="7"/>
      <c r="S59" s="38"/>
      <c r="T59" s="7"/>
      <c r="U59" s="7"/>
      <c r="V59" s="7"/>
      <c r="W59" s="7">
        <v>80</v>
      </c>
      <c r="X59" s="7"/>
      <c r="Z59" s="9">
        <f t="shared" si="2"/>
        <v>280</v>
      </c>
      <c r="AA59" s="6">
        <v>274</v>
      </c>
      <c r="AB59" s="49">
        <f t="shared" si="3"/>
        <v>1.0218978102189782</v>
      </c>
    </row>
    <row r="60" spans="1:28">
      <c r="A60" s="23" t="s">
        <v>38</v>
      </c>
      <c r="B60" s="8"/>
      <c r="C60" s="7"/>
      <c r="D60" s="7"/>
      <c r="E60" s="7">
        <v>440</v>
      </c>
      <c r="F60" s="7"/>
      <c r="G60" s="38"/>
      <c r="H60" s="7"/>
      <c r="I60" s="7"/>
      <c r="J60" s="7"/>
      <c r="K60" s="7">
        <v>80</v>
      </c>
      <c r="L60" s="7"/>
      <c r="M60" s="38"/>
      <c r="N60" s="7"/>
      <c r="O60" s="7"/>
      <c r="P60" s="7"/>
      <c r="Q60" s="7"/>
      <c r="R60" s="7"/>
      <c r="S60" s="38"/>
      <c r="T60" s="7"/>
      <c r="U60" s="7"/>
      <c r="V60" s="7"/>
      <c r="W60" s="7">
        <v>80</v>
      </c>
      <c r="X60" s="7"/>
      <c r="Z60" s="9">
        <f t="shared" si="2"/>
        <v>600</v>
      </c>
      <c r="AA60" s="6">
        <v>644</v>
      </c>
      <c r="AB60" s="49">
        <f t="shared" si="3"/>
        <v>0.93167701863354035</v>
      </c>
    </row>
    <row r="61" spans="1:28">
      <c r="A61" s="24" t="s">
        <v>26</v>
      </c>
      <c r="B61" s="8"/>
      <c r="C61" s="7">
        <v>60</v>
      </c>
      <c r="D61" s="7"/>
      <c r="E61" s="7">
        <v>20</v>
      </c>
      <c r="F61" s="7"/>
      <c r="G61" s="38"/>
      <c r="H61" s="7"/>
      <c r="I61" s="7"/>
      <c r="J61" s="7"/>
      <c r="K61" s="7">
        <v>240</v>
      </c>
      <c r="L61" s="7"/>
      <c r="M61" s="38"/>
      <c r="N61" s="7">
        <v>120</v>
      </c>
      <c r="O61" s="7"/>
      <c r="P61" s="7"/>
      <c r="Q61" s="7"/>
      <c r="R61" s="7"/>
      <c r="S61" s="38"/>
      <c r="T61" s="7">
        <v>140</v>
      </c>
      <c r="U61" s="7"/>
      <c r="V61" s="7"/>
      <c r="W61" s="7">
        <v>200</v>
      </c>
      <c r="X61" s="7"/>
      <c r="Z61" s="9">
        <f t="shared" si="2"/>
        <v>780</v>
      </c>
      <c r="AA61" s="6">
        <v>859</v>
      </c>
      <c r="AB61" s="49">
        <f t="shared" si="3"/>
        <v>0.90803259604190922</v>
      </c>
    </row>
    <row r="62" spans="1:28">
      <c r="A62" s="23" t="s">
        <v>57</v>
      </c>
      <c r="B62" s="8"/>
      <c r="C62" s="7">
        <v>20</v>
      </c>
      <c r="D62" s="7"/>
      <c r="E62" s="7">
        <v>160</v>
      </c>
      <c r="F62" s="7"/>
      <c r="G62" s="38"/>
      <c r="H62" s="7"/>
      <c r="I62" s="7"/>
      <c r="J62" s="7"/>
      <c r="K62" s="7">
        <v>140</v>
      </c>
      <c r="L62" s="7"/>
      <c r="M62" s="38"/>
      <c r="N62" s="7">
        <v>40</v>
      </c>
      <c r="O62" s="7"/>
      <c r="P62" s="7"/>
      <c r="Q62" s="7"/>
      <c r="R62" s="7"/>
      <c r="S62" s="38"/>
      <c r="T62" s="7">
        <v>60</v>
      </c>
      <c r="U62" s="7"/>
      <c r="V62" s="7"/>
      <c r="W62" s="7">
        <v>80</v>
      </c>
      <c r="X62" s="7"/>
      <c r="Z62" s="9">
        <f t="shared" si="2"/>
        <v>500</v>
      </c>
      <c r="AA62" s="6">
        <v>563</v>
      </c>
      <c r="AB62" s="49">
        <f t="shared" si="3"/>
        <v>0.88809946714031973</v>
      </c>
    </row>
    <row r="63" spans="1:28">
      <c r="A63" s="23" t="s">
        <v>10</v>
      </c>
      <c r="B63" s="8"/>
      <c r="C63" s="7"/>
      <c r="D63" s="7"/>
      <c r="E63" s="7">
        <v>200</v>
      </c>
      <c r="F63" s="7"/>
      <c r="G63" s="38"/>
      <c r="H63" s="7"/>
      <c r="I63" s="7"/>
      <c r="J63" s="7"/>
      <c r="K63" s="7">
        <v>180</v>
      </c>
      <c r="L63" s="7"/>
      <c r="M63" s="38"/>
      <c r="N63" s="7"/>
      <c r="O63" s="7"/>
      <c r="P63" s="7"/>
      <c r="Q63" s="7"/>
      <c r="R63" s="7"/>
      <c r="S63" s="38"/>
      <c r="T63" s="7"/>
      <c r="U63" s="7"/>
      <c r="V63" s="7"/>
      <c r="W63" s="7">
        <v>80</v>
      </c>
      <c r="X63" s="7"/>
      <c r="Z63" s="9">
        <f t="shared" si="2"/>
        <v>460</v>
      </c>
      <c r="AA63" s="6">
        <v>541</v>
      </c>
      <c r="AB63" s="49">
        <f t="shared" si="3"/>
        <v>0.85027726432532347</v>
      </c>
    </row>
    <row r="64" spans="1:28">
      <c r="A64" s="23" t="s">
        <v>37</v>
      </c>
      <c r="B64" s="8"/>
      <c r="C64" s="7">
        <v>140</v>
      </c>
      <c r="D64" s="7"/>
      <c r="E64" s="7"/>
      <c r="F64" s="7"/>
      <c r="G64" s="38"/>
      <c r="H64" s="7"/>
      <c r="I64" s="7"/>
      <c r="J64" s="7"/>
      <c r="K64" s="7"/>
      <c r="L64" s="7"/>
      <c r="M64" s="38"/>
      <c r="N64" s="7">
        <v>180</v>
      </c>
      <c r="O64" s="7"/>
      <c r="P64" s="7"/>
      <c r="Q64" s="7"/>
      <c r="R64" s="7"/>
      <c r="S64" s="38"/>
      <c r="T64" s="7">
        <v>180</v>
      </c>
      <c r="U64" s="7"/>
      <c r="V64" s="7"/>
      <c r="W64" s="7"/>
      <c r="X64" s="7"/>
      <c r="Z64" s="9">
        <f t="shared" si="2"/>
        <v>500</v>
      </c>
      <c r="AA64" s="6">
        <v>691</v>
      </c>
      <c r="AB64" s="49">
        <f t="shared" si="3"/>
        <v>0.72358900144717797</v>
      </c>
    </row>
    <row r="65" spans="1:28">
      <c r="A65" s="61" t="s">
        <v>48</v>
      </c>
      <c r="B65" s="62"/>
      <c r="C65" s="63">
        <v>160</v>
      </c>
      <c r="D65" s="63"/>
      <c r="E65" s="63"/>
      <c r="F65" s="63"/>
      <c r="G65" s="38"/>
      <c r="H65" s="63"/>
      <c r="I65" s="63"/>
      <c r="J65" s="63"/>
      <c r="K65" s="63"/>
      <c r="L65" s="63"/>
      <c r="M65" s="38"/>
      <c r="N65" s="63">
        <v>100</v>
      </c>
      <c r="O65" s="63"/>
      <c r="P65" s="63"/>
      <c r="Q65" s="63"/>
      <c r="R65" s="63"/>
      <c r="S65" s="38"/>
      <c r="T65" s="63">
        <v>120</v>
      </c>
      <c r="U65" s="63"/>
      <c r="V65" s="63"/>
      <c r="W65" s="63"/>
      <c r="X65" s="63"/>
      <c r="Z65" s="64">
        <f t="shared" si="2"/>
        <v>380</v>
      </c>
      <c r="AA65" s="65">
        <v>586</v>
      </c>
      <c r="AB65" s="66">
        <f t="shared" si="3"/>
        <v>0.64846416382252559</v>
      </c>
    </row>
    <row r="66" spans="1:28">
      <c r="A66" s="25" t="s">
        <v>1</v>
      </c>
      <c r="B66" s="67"/>
      <c r="C66" s="67">
        <v>120</v>
      </c>
      <c r="D66" s="67"/>
      <c r="E66" s="67"/>
      <c r="F66" s="67"/>
      <c r="G66" s="34"/>
      <c r="H66" s="67"/>
      <c r="I66" s="67"/>
      <c r="J66" s="67"/>
      <c r="K66" s="67"/>
      <c r="L66" s="67"/>
      <c r="M66" s="34"/>
      <c r="N66" s="67">
        <v>260</v>
      </c>
      <c r="O66" s="67"/>
      <c r="P66" s="67"/>
      <c r="Q66" s="67"/>
      <c r="R66" s="67"/>
      <c r="S66" s="34"/>
      <c r="T66" s="67">
        <v>80</v>
      </c>
      <c r="U66" s="67"/>
      <c r="V66" s="67"/>
      <c r="W66" s="67"/>
      <c r="X66" s="67"/>
      <c r="Y66" s="76"/>
      <c r="Z66" s="9">
        <f t="shared" si="2"/>
        <v>460</v>
      </c>
      <c r="AA66" s="6">
        <v>807</v>
      </c>
      <c r="AB66" s="68">
        <f t="shared" si="3"/>
        <v>0.57001239157372985</v>
      </c>
    </row>
    <row r="67" spans="1:28" ht="15.75" thickBot="1">
      <c r="A67" s="23" t="s">
        <v>54</v>
      </c>
      <c r="B67" s="72"/>
      <c r="C67" s="73">
        <v>20</v>
      </c>
      <c r="D67" s="73"/>
      <c r="E67" s="73"/>
      <c r="F67" s="73"/>
      <c r="G67" s="74"/>
      <c r="H67" s="73"/>
      <c r="I67" s="73">
        <v>20</v>
      </c>
      <c r="J67" s="73"/>
      <c r="K67" s="73"/>
      <c r="L67" s="73"/>
      <c r="M67" s="74"/>
      <c r="N67" s="73"/>
      <c r="O67" s="73">
        <v>60</v>
      </c>
      <c r="P67" s="73"/>
      <c r="Q67" s="73"/>
      <c r="R67" s="73"/>
      <c r="S67" s="74"/>
      <c r="T67" s="73"/>
      <c r="U67" s="73">
        <v>180</v>
      </c>
      <c r="V67" s="73"/>
      <c r="W67" s="73"/>
      <c r="X67" s="73">
        <v>120</v>
      </c>
      <c r="Y67" s="75"/>
      <c r="Z67" s="13">
        <f t="shared" si="2"/>
        <v>400</v>
      </c>
      <c r="AA67" s="14">
        <v>707</v>
      </c>
      <c r="AB67" s="50">
        <f t="shared" si="3"/>
        <v>0.56577086280056577</v>
      </c>
    </row>
    <row r="68" spans="1:28">
      <c r="A68" s="69"/>
      <c r="B68" s="70"/>
      <c r="C68" s="70"/>
      <c r="D68" s="70"/>
      <c r="E68" s="70"/>
      <c r="F68" s="70"/>
      <c r="H68" s="70"/>
      <c r="I68" s="70"/>
      <c r="J68" s="70"/>
      <c r="K68" s="70"/>
      <c r="L68" s="70"/>
      <c r="N68" s="70"/>
      <c r="O68" s="70"/>
      <c r="P68" s="70"/>
      <c r="Q68" s="70"/>
      <c r="R68" s="70"/>
      <c r="T68" s="70"/>
      <c r="U68" s="70"/>
      <c r="V68" s="70"/>
      <c r="W68" s="70"/>
      <c r="X68" s="70"/>
      <c r="Y68" s="70"/>
      <c r="Z68" s="70"/>
      <c r="AA68" s="70"/>
      <c r="AB68" s="71"/>
    </row>
    <row r="69" spans="1:28">
      <c r="A69" s="69"/>
      <c r="B69" s="70"/>
      <c r="C69" s="70"/>
      <c r="D69" s="70"/>
      <c r="E69" s="70"/>
      <c r="F69" s="70"/>
      <c r="H69" s="70"/>
      <c r="I69" s="70"/>
      <c r="J69" s="70"/>
      <c r="K69" s="70"/>
      <c r="L69" s="70"/>
      <c r="N69" s="70"/>
      <c r="O69" s="70"/>
      <c r="P69" s="70"/>
      <c r="Q69" s="70"/>
      <c r="R69" s="70"/>
      <c r="T69" s="70"/>
      <c r="U69" s="70"/>
      <c r="V69" s="70"/>
      <c r="W69" s="70"/>
      <c r="X69" s="70"/>
      <c r="Y69" s="70"/>
      <c r="Z69" s="92">
        <f>SUM(Z6:Z68)</f>
        <v>79220</v>
      </c>
      <c r="AA69" s="70"/>
      <c r="AB69" s="70"/>
    </row>
    <row r="70" spans="1:28">
      <c r="A70" s="69"/>
      <c r="B70" s="70"/>
      <c r="C70" s="70"/>
      <c r="D70" s="70"/>
      <c r="E70" s="70"/>
      <c r="F70" s="70"/>
      <c r="H70" s="70"/>
      <c r="I70" s="70"/>
      <c r="J70" s="70"/>
      <c r="K70" s="70"/>
      <c r="L70" s="70"/>
      <c r="N70" s="70"/>
      <c r="O70" s="70"/>
      <c r="P70" s="70"/>
      <c r="Q70" s="70"/>
      <c r="R70" s="70"/>
      <c r="T70" s="70"/>
      <c r="U70" s="70"/>
      <c r="V70" s="70"/>
      <c r="W70" s="70"/>
      <c r="X70" s="70"/>
      <c r="Y70" s="70"/>
      <c r="Z70" s="70"/>
      <c r="AA70" s="70"/>
      <c r="AB70" s="70"/>
    </row>
    <row r="71" spans="1:28">
      <c r="A71" s="69"/>
      <c r="B71" s="70"/>
      <c r="C71" s="70"/>
      <c r="D71" s="70"/>
      <c r="E71" s="70"/>
      <c r="F71" s="70"/>
      <c r="H71" s="70"/>
      <c r="I71" s="70"/>
      <c r="J71" s="70"/>
      <c r="K71" s="70"/>
      <c r="L71" s="70"/>
      <c r="N71" s="70"/>
      <c r="O71" s="70"/>
      <c r="P71" s="70"/>
      <c r="Q71" s="70"/>
      <c r="R71" s="70"/>
      <c r="T71" s="70"/>
      <c r="U71" s="70"/>
      <c r="V71" s="70"/>
      <c r="W71" s="70"/>
      <c r="X71" s="70"/>
      <c r="Y71" s="70"/>
      <c r="Z71" s="70"/>
      <c r="AA71" s="70"/>
      <c r="AB71" s="70"/>
    </row>
  </sheetData>
  <sortState ref="A6:AD67">
    <sortCondition descending="1" ref="AB6:AB67"/>
  </sortState>
  <mergeCells count="1">
    <mergeCell ref="A1:AB1"/>
  </mergeCells>
  <pageMargins left="0.25" right="0.25" top="0.75" bottom="0.75" header="0.3" footer="0.3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69"/>
  <sheetViews>
    <sheetView topLeftCell="A27" zoomScale="70" zoomScaleNormal="70" workbookViewId="0">
      <selection activeCell="AD6" sqref="AD6:AD69"/>
    </sheetView>
  </sheetViews>
  <sheetFormatPr defaultRowHeight="15"/>
  <cols>
    <col min="1" max="1" width="38.5703125" style="1" customWidth="1"/>
    <col min="2" max="6" width="5.5703125" customWidth="1"/>
    <col min="7" max="7" width="2.140625" style="36" customWidth="1"/>
    <col min="8" max="12" width="5.5703125" customWidth="1"/>
    <col min="13" max="13" width="2.140625" style="36" customWidth="1"/>
    <col min="14" max="18" width="5.5703125" customWidth="1"/>
    <col min="19" max="19" width="2.28515625" style="36" customWidth="1"/>
    <col min="20" max="24" width="5.5703125" customWidth="1"/>
    <col min="25" max="25" width="2.140625" style="36" customWidth="1"/>
    <col min="26" max="28" width="5.5703125" customWidth="1"/>
    <col min="29" max="29" width="2" customWidth="1"/>
    <col min="30" max="30" width="17.140625" customWidth="1"/>
    <col min="31" max="31" width="15" customWidth="1"/>
    <col min="32" max="32" width="13.140625" customWidth="1"/>
  </cols>
  <sheetData>
    <row r="1" spans="1:34" s="44" customFormat="1" ht="29.25" customHeight="1">
      <c r="A1" s="93" t="s">
        <v>81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</row>
    <row r="2" spans="1:34" ht="6.75" customHeight="1">
      <c r="A2" s="41"/>
      <c r="B2" s="42"/>
      <c r="C2" s="42"/>
      <c r="D2" s="42"/>
      <c r="E2" s="42"/>
      <c r="F2" s="42"/>
      <c r="G2" s="43"/>
      <c r="H2" s="42"/>
      <c r="I2" s="42"/>
      <c r="J2" s="42"/>
      <c r="K2" s="42"/>
      <c r="L2" s="42"/>
      <c r="M2" s="43"/>
      <c r="N2" s="42"/>
      <c r="O2" s="42"/>
      <c r="P2" s="42"/>
      <c r="Q2" s="42"/>
      <c r="R2" s="42"/>
      <c r="S2" s="43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</row>
    <row r="3" spans="1:34" ht="18.75" customHeight="1" thickBot="1">
      <c r="A3" s="1" t="s">
        <v>79</v>
      </c>
      <c r="B3" t="s">
        <v>70</v>
      </c>
      <c r="C3" t="s">
        <v>71</v>
      </c>
      <c r="D3" t="s">
        <v>72</v>
      </c>
      <c r="E3" t="s">
        <v>74</v>
      </c>
      <c r="F3" t="s">
        <v>73</v>
      </c>
      <c r="H3" t="s">
        <v>70</v>
      </c>
      <c r="I3" t="s">
        <v>71</v>
      </c>
      <c r="J3" t="s">
        <v>72</v>
      </c>
      <c r="K3" t="s">
        <v>74</v>
      </c>
      <c r="L3" t="s">
        <v>73</v>
      </c>
      <c r="N3" t="s">
        <v>70</v>
      </c>
      <c r="O3" t="s">
        <v>71</v>
      </c>
      <c r="P3" t="s">
        <v>72</v>
      </c>
      <c r="Q3" t="s">
        <v>74</v>
      </c>
      <c r="R3" t="s">
        <v>73</v>
      </c>
      <c r="T3" t="s">
        <v>70</v>
      </c>
      <c r="U3" t="s">
        <v>71</v>
      </c>
      <c r="V3" t="s">
        <v>72</v>
      </c>
      <c r="W3" t="s">
        <v>74</v>
      </c>
      <c r="X3" t="s">
        <v>73</v>
      </c>
      <c r="Y3"/>
      <c r="Z3" t="s">
        <v>70</v>
      </c>
      <c r="AA3" t="s">
        <v>71</v>
      </c>
      <c r="AB3" t="s">
        <v>72</v>
      </c>
    </row>
    <row r="4" spans="1:34" s="4" customFormat="1" ht="45" customHeight="1" thickBot="1">
      <c r="A4" s="17" t="s">
        <v>29</v>
      </c>
      <c r="B4" s="15">
        <v>1</v>
      </c>
      <c r="C4" s="15">
        <v>2</v>
      </c>
      <c r="D4" s="15">
        <v>3</v>
      </c>
      <c r="E4" s="15">
        <v>4</v>
      </c>
      <c r="F4" s="15">
        <v>5</v>
      </c>
      <c r="G4" s="37"/>
      <c r="H4" s="15">
        <v>8</v>
      </c>
      <c r="I4" s="15">
        <v>9</v>
      </c>
      <c r="J4" s="15">
        <v>10</v>
      </c>
      <c r="K4" s="15">
        <v>11</v>
      </c>
      <c r="L4" s="15">
        <v>12</v>
      </c>
      <c r="M4" s="37"/>
      <c r="N4" s="15">
        <v>15</v>
      </c>
      <c r="O4" s="15">
        <v>16</v>
      </c>
      <c r="P4" s="15">
        <v>17</v>
      </c>
      <c r="Q4" s="15">
        <v>18</v>
      </c>
      <c r="R4" s="15">
        <v>19</v>
      </c>
      <c r="S4" s="37"/>
      <c r="T4" s="15">
        <v>22</v>
      </c>
      <c r="U4" s="15">
        <v>23</v>
      </c>
      <c r="V4" s="15">
        <v>24</v>
      </c>
      <c r="W4" s="15">
        <v>25</v>
      </c>
      <c r="X4" s="15">
        <v>26</v>
      </c>
      <c r="Y4" s="37"/>
      <c r="Z4" s="15">
        <v>29</v>
      </c>
      <c r="AA4" s="15">
        <v>30</v>
      </c>
      <c r="AB4" s="16">
        <v>31</v>
      </c>
      <c r="AD4" s="10" t="s">
        <v>30</v>
      </c>
      <c r="AE4" s="11" t="s">
        <v>31</v>
      </c>
      <c r="AF4" s="12" t="s">
        <v>32</v>
      </c>
      <c r="AG4" s="5"/>
      <c r="AH4" s="5"/>
    </row>
    <row r="5" spans="1:34" s="20" customFormat="1">
      <c r="A5" s="40" t="s">
        <v>28</v>
      </c>
      <c r="B5" s="32"/>
      <c r="C5" s="21"/>
      <c r="D5" s="21"/>
      <c r="E5" s="21"/>
      <c r="F5" s="21"/>
      <c r="G5" s="38"/>
      <c r="H5" s="21"/>
      <c r="I5" s="21"/>
      <c r="J5" s="21"/>
      <c r="K5" s="21"/>
      <c r="L5" s="21"/>
      <c r="M5" s="38"/>
      <c r="N5" s="21"/>
      <c r="O5" s="21"/>
      <c r="P5" s="21"/>
      <c r="Q5" s="21"/>
      <c r="R5" s="21"/>
      <c r="S5" s="38"/>
      <c r="T5" s="21"/>
      <c r="U5" s="21"/>
      <c r="V5" s="21"/>
      <c r="W5" s="21"/>
      <c r="X5" s="21"/>
      <c r="Y5" s="38"/>
      <c r="Z5" s="21"/>
      <c r="AA5" s="21"/>
      <c r="AB5" s="21"/>
      <c r="AD5" s="33"/>
      <c r="AE5" s="34"/>
      <c r="AF5" s="35"/>
    </row>
    <row r="6" spans="1:34">
      <c r="A6" s="23" t="s">
        <v>41</v>
      </c>
      <c r="B6" s="8"/>
      <c r="C6" s="7"/>
      <c r="D6" s="7"/>
      <c r="E6" s="7">
        <v>520</v>
      </c>
      <c r="F6" s="7"/>
      <c r="G6" s="38"/>
      <c r="H6" s="7"/>
      <c r="I6" s="7"/>
      <c r="J6" s="7"/>
      <c r="K6" s="7">
        <v>1080</v>
      </c>
      <c r="L6" s="7"/>
      <c r="M6" s="38"/>
      <c r="N6" s="7"/>
      <c r="O6" s="7"/>
      <c r="P6" s="7"/>
      <c r="Q6" s="7">
        <v>40</v>
      </c>
      <c r="R6" s="7"/>
      <c r="S6" s="38"/>
      <c r="T6" s="7"/>
      <c r="U6" s="7"/>
      <c r="V6" s="7"/>
      <c r="W6" s="7">
        <v>1240</v>
      </c>
      <c r="X6" s="7"/>
      <c r="Y6" s="38"/>
      <c r="Z6" s="7"/>
      <c r="AA6" s="7"/>
      <c r="AB6" s="7"/>
      <c r="AD6" s="9">
        <f t="shared" ref="AD6:AD37" si="0">SUM(B6:AC6)</f>
        <v>2880</v>
      </c>
      <c r="AE6" s="6">
        <v>342</v>
      </c>
      <c r="AF6" s="49">
        <f t="shared" ref="AF6:AF37" si="1">AD6/AE6</f>
        <v>8.4210526315789469</v>
      </c>
    </row>
    <row r="7" spans="1:34">
      <c r="A7" s="23" t="s">
        <v>67</v>
      </c>
      <c r="B7" s="8"/>
      <c r="C7" s="7"/>
      <c r="D7" s="7"/>
      <c r="E7" s="7">
        <v>1040</v>
      </c>
      <c r="F7" s="7"/>
      <c r="G7" s="38"/>
      <c r="H7" s="7"/>
      <c r="I7" s="7"/>
      <c r="J7" s="7"/>
      <c r="K7" s="7">
        <v>220</v>
      </c>
      <c r="L7" s="7"/>
      <c r="M7" s="38"/>
      <c r="N7" s="7"/>
      <c r="O7" s="7"/>
      <c r="P7" s="7"/>
      <c r="Q7" s="7">
        <v>160</v>
      </c>
      <c r="R7" s="7"/>
      <c r="S7" s="38"/>
      <c r="T7" s="7"/>
      <c r="U7" s="7"/>
      <c r="V7" s="7"/>
      <c r="W7" s="7">
        <v>160</v>
      </c>
      <c r="X7" s="7"/>
      <c r="Y7" s="38"/>
      <c r="Z7" s="7"/>
      <c r="AA7" s="7"/>
      <c r="AB7" s="7"/>
      <c r="AD7" s="9">
        <f t="shared" si="0"/>
        <v>1580</v>
      </c>
      <c r="AE7" s="6">
        <v>213</v>
      </c>
      <c r="AF7" s="49">
        <f t="shared" si="1"/>
        <v>7.4178403755868541</v>
      </c>
    </row>
    <row r="8" spans="1:34">
      <c r="A8" s="23" t="s">
        <v>61</v>
      </c>
      <c r="B8" s="8">
        <v>2280</v>
      </c>
      <c r="C8" s="7"/>
      <c r="D8" s="7"/>
      <c r="E8" s="7"/>
      <c r="F8" s="7"/>
      <c r="G8" s="38"/>
      <c r="H8" s="7">
        <v>160</v>
      </c>
      <c r="I8" s="7"/>
      <c r="J8" s="7"/>
      <c r="K8" s="7"/>
      <c r="L8" s="7"/>
      <c r="M8" s="38"/>
      <c r="N8" s="7">
        <v>320</v>
      </c>
      <c r="O8" s="7"/>
      <c r="P8" s="7"/>
      <c r="Q8" s="7"/>
      <c r="R8" s="7"/>
      <c r="S8" s="38"/>
      <c r="T8" s="7">
        <v>420</v>
      </c>
      <c r="U8" s="7"/>
      <c r="V8" s="7"/>
      <c r="W8" s="7"/>
      <c r="X8" s="7"/>
      <c r="Y8" s="38"/>
      <c r="Z8" s="7">
        <v>1900</v>
      </c>
      <c r="AA8" s="7"/>
      <c r="AB8" s="7"/>
      <c r="AD8" s="9">
        <f t="shared" si="0"/>
        <v>5080</v>
      </c>
      <c r="AE8" s="6">
        <v>820</v>
      </c>
      <c r="AF8" s="49">
        <f t="shared" si="1"/>
        <v>6.1951219512195124</v>
      </c>
    </row>
    <row r="9" spans="1:34">
      <c r="A9" s="23" t="s">
        <v>38</v>
      </c>
      <c r="B9" s="8"/>
      <c r="C9" s="7"/>
      <c r="D9" s="7"/>
      <c r="E9" s="7">
        <v>1680</v>
      </c>
      <c r="F9" s="7"/>
      <c r="G9" s="38"/>
      <c r="H9" s="7"/>
      <c r="I9" s="7"/>
      <c r="J9" s="7"/>
      <c r="K9" s="7">
        <v>400</v>
      </c>
      <c r="L9" s="7"/>
      <c r="M9" s="38"/>
      <c r="N9" s="7"/>
      <c r="O9" s="7"/>
      <c r="P9" s="7"/>
      <c r="Q9" s="7">
        <v>1500</v>
      </c>
      <c r="R9" s="7"/>
      <c r="S9" s="38"/>
      <c r="T9" s="7"/>
      <c r="U9" s="7"/>
      <c r="V9" s="7"/>
      <c r="W9" s="7">
        <v>280</v>
      </c>
      <c r="X9" s="7"/>
      <c r="Y9" s="38"/>
      <c r="Z9" s="7"/>
      <c r="AA9" s="7"/>
      <c r="AB9" s="7"/>
      <c r="AD9" s="9">
        <f t="shared" si="0"/>
        <v>3860</v>
      </c>
      <c r="AE9" s="6">
        <v>644</v>
      </c>
      <c r="AF9" s="49">
        <f t="shared" si="1"/>
        <v>5.9937888198757765</v>
      </c>
    </row>
    <row r="10" spans="1:34">
      <c r="A10" s="23" t="s">
        <v>50</v>
      </c>
      <c r="B10" s="8"/>
      <c r="C10" s="7">
        <v>320</v>
      </c>
      <c r="D10" s="7"/>
      <c r="E10" s="7"/>
      <c r="F10" s="7"/>
      <c r="G10" s="38"/>
      <c r="H10" s="7"/>
      <c r="I10" s="7"/>
      <c r="J10" s="7"/>
      <c r="K10" s="7"/>
      <c r="L10" s="7"/>
      <c r="M10" s="38"/>
      <c r="N10" s="7"/>
      <c r="O10" s="7"/>
      <c r="P10" s="7"/>
      <c r="Q10" s="7"/>
      <c r="R10" s="7"/>
      <c r="S10" s="38"/>
      <c r="T10" s="7"/>
      <c r="U10" s="7"/>
      <c r="V10" s="7"/>
      <c r="W10" s="7"/>
      <c r="X10" s="7">
        <v>1980</v>
      </c>
      <c r="Y10" s="38"/>
      <c r="Z10" s="7"/>
      <c r="AA10" s="7"/>
      <c r="AB10" s="7">
        <v>1900</v>
      </c>
      <c r="AD10" s="9">
        <f t="shared" si="0"/>
        <v>4200</v>
      </c>
      <c r="AE10" s="6">
        <v>702</v>
      </c>
      <c r="AF10" s="49">
        <f t="shared" si="1"/>
        <v>5.982905982905983</v>
      </c>
    </row>
    <row r="11" spans="1:34">
      <c r="A11" s="23" t="s">
        <v>55</v>
      </c>
      <c r="B11" s="8">
        <v>40</v>
      </c>
      <c r="C11" s="7"/>
      <c r="D11" s="7"/>
      <c r="E11" s="7"/>
      <c r="F11" s="7">
        <v>1900</v>
      </c>
      <c r="G11" s="38"/>
      <c r="H11" s="7">
        <v>420</v>
      </c>
      <c r="I11" s="7"/>
      <c r="J11" s="7"/>
      <c r="K11" s="7">
        <v>400</v>
      </c>
      <c r="L11" s="7"/>
      <c r="M11" s="38"/>
      <c r="N11" s="7">
        <v>220</v>
      </c>
      <c r="O11" s="7"/>
      <c r="P11" s="7"/>
      <c r="Q11" s="7">
        <v>320</v>
      </c>
      <c r="R11" s="7"/>
      <c r="S11" s="38"/>
      <c r="T11" s="7">
        <v>120</v>
      </c>
      <c r="U11" s="7"/>
      <c r="V11" s="7"/>
      <c r="W11" s="7">
        <v>340</v>
      </c>
      <c r="X11" s="7"/>
      <c r="Y11" s="38"/>
      <c r="Z11" s="7">
        <v>260</v>
      </c>
      <c r="AA11" s="7"/>
      <c r="AB11" s="7"/>
      <c r="AD11" s="9">
        <f t="shared" si="0"/>
        <v>4020</v>
      </c>
      <c r="AE11" s="6">
        <v>695</v>
      </c>
      <c r="AF11" s="49">
        <f t="shared" si="1"/>
        <v>5.7841726618705032</v>
      </c>
    </row>
    <row r="12" spans="1:34">
      <c r="A12" s="23" t="s">
        <v>20</v>
      </c>
      <c r="B12" s="8"/>
      <c r="C12" s="7"/>
      <c r="D12" s="7"/>
      <c r="E12" s="7">
        <v>1660</v>
      </c>
      <c r="F12" s="7"/>
      <c r="G12" s="38"/>
      <c r="H12" s="7"/>
      <c r="I12" s="7"/>
      <c r="J12" s="7"/>
      <c r="K12" s="7">
        <v>360</v>
      </c>
      <c r="L12" s="7"/>
      <c r="M12" s="38"/>
      <c r="N12" s="7"/>
      <c r="O12" s="7"/>
      <c r="P12" s="7"/>
      <c r="Q12" s="7">
        <v>260</v>
      </c>
      <c r="R12" s="7"/>
      <c r="S12" s="38"/>
      <c r="T12" s="7"/>
      <c r="U12" s="7"/>
      <c r="V12" s="7"/>
      <c r="W12" s="7">
        <v>220</v>
      </c>
      <c r="X12" s="7"/>
      <c r="Y12" s="38"/>
      <c r="Z12" s="7"/>
      <c r="AA12" s="7"/>
      <c r="AB12" s="7"/>
      <c r="AD12" s="9">
        <f t="shared" si="0"/>
        <v>2500</v>
      </c>
      <c r="AE12" s="6">
        <v>442</v>
      </c>
      <c r="AF12" s="49">
        <f t="shared" si="1"/>
        <v>5.6561085972850682</v>
      </c>
    </row>
    <row r="13" spans="1:34">
      <c r="A13" s="23" t="s">
        <v>36</v>
      </c>
      <c r="B13" s="8">
        <v>60</v>
      </c>
      <c r="C13" s="7"/>
      <c r="D13" s="7"/>
      <c r="E13" s="7">
        <v>480</v>
      </c>
      <c r="F13" s="7"/>
      <c r="G13" s="38"/>
      <c r="H13" s="7">
        <v>140</v>
      </c>
      <c r="I13" s="7"/>
      <c r="J13" s="7"/>
      <c r="K13" s="7">
        <v>520</v>
      </c>
      <c r="L13" s="7"/>
      <c r="M13" s="38"/>
      <c r="N13" s="7">
        <v>160</v>
      </c>
      <c r="O13" s="7"/>
      <c r="P13" s="7"/>
      <c r="Q13" s="7">
        <v>380</v>
      </c>
      <c r="R13" s="7"/>
      <c r="S13" s="38"/>
      <c r="T13" s="7">
        <v>1640</v>
      </c>
      <c r="U13" s="7"/>
      <c r="V13" s="7"/>
      <c r="W13" s="7">
        <v>200</v>
      </c>
      <c r="X13" s="7"/>
      <c r="Y13" s="38"/>
      <c r="Z13" s="7">
        <v>260</v>
      </c>
      <c r="AA13" s="7"/>
      <c r="AB13" s="7"/>
      <c r="AD13" s="9">
        <f t="shared" si="0"/>
        <v>3840</v>
      </c>
      <c r="AE13" s="6">
        <v>738</v>
      </c>
      <c r="AF13" s="49">
        <f t="shared" si="1"/>
        <v>5.2032520325203251</v>
      </c>
    </row>
    <row r="14" spans="1:34">
      <c r="A14" s="24" t="s">
        <v>23</v>
      </c>
      <c r="B14" s="8"/>
      <c r="C14" s="7">
        <v>160</v>
      </c>
      <c r="D14" s="7"/>
      <c r="E14" s="7"/>
      <c r="F14" s="7">
        <v>120</v>
      </c>
      <c r="G14" s="38"/>
      <c r="H14" s="7"/>
      <c r="I14" s="7"/>
      <c r="J14" s="7"/>
      <c r="K14" s="7"/>
      <c r="L14" s="7">
        <v>80</v>
      </c>
      <c r="M14" s="38"/>
      <c r="N14" s="7"/>
      <c r="O14" s="7">
        <v>1820</v>
      </c>
      <c r="P14" s="7"/>
      <c r="Q14" s="7"/>
      <c r="R14" s="7">
        <v>60</v>
      </c>
      <c r="S14" s="38"/>
      <c r="T14" s="7"/>
      <c r="U14" s="7">
        <v>20</v>
      </c>
      <c r="V14" s="7"/>
      <c r="W14" s="7"/>
      <c r="X14" s="7">
        <v>1720</v>
      </c>
      <c r="Y14" s="38"/>
      <c r="Z14" s="7">
        <v>200</v>
      </c>
      <c r="AA14" s="7"/>
      <c r="AB14" s="7"/>
      <c r="AD14" s="9">
        <f t="shared" si="0"/>
        <v>4180</v>
      </c>
      <c r="AE14" s="6">
        <v>830</v>
      </c>
      <c r="AF14" s="49">
        <f t="shared" si="1"/>
        <v>5.0361445783132526</v>
      </c>
    </row>
    <row r="15" spans="1:34">
      <c r="A15" s="25" t="s">
        <v>17</v>
      </c>
      <c r="B15" s="8">
        <v>1220</v>
      </c>
      <c r="C15" s="7">
        <v>260</v>
      </c>
      <c r="D15" s="7"/>
      <c r="E15" s="7">
        <v>1180</v>
      </c>
      <c r="F15" s="7">
        <v>480</v>
      </c>
      <c r="G15" s="38"/>
      <c r="H15" s="7">
        <v>1340</v>
      </c>
      <c r="I15" s="7"/>
      <c r="J15" s="7"/>
      <c r="K15" s="7"/>
      <c r="L15" s="7">
        <v>500</v>
      </c>
      <c r="M15" s="38"/>
      <c r="N15" s="7">
        <v>60</v>
      </c>
      <c r="O15" s="7">
        <v>400</v>
      </c>
      <c r="P15" s="7"/>
      <c r="Q15" s="7">
        <v>740</v>
      </c>
      <c r="R15" s="7">
        <v>440</v>
      </c>
      <c r="S15" s="38"/>
      <c r="T15" s="7"/>
      <c r="U15" s="7">
        <v>100</v>
      </c>
      <c r="V15" s="7"/>
      <c r="W15" s="7">
        <v>520</v>
      </c>
      <c r="X15" s="7">
        <v>140</v>
      </c>
      <c r="Y15" s="38"/>
      <c r="Z15" s="7">
        <v>60</v>
      </c>
      <c r="AA15" s="7"/>
      <c r="AB15" s="7">
        <v>700</v>
      </c>
      <c r="AD15" s="9">
        <f t="shared" si="0"/>
        <v>8140</v>
      </c>
      <c r="AE15" s="6">
        <v>1632</v>
      </c>
      <c r="AF15" s="49">
        <f t="shared" si="1"/>
        <v>4.9877450980392153</v>
      </c>
    </row>
    <row r="16" spans="1:34">
      <c r="A16" s="23" t="s">
        <v>69</v>
      </c>
      <c r="B16" s="8"/>
      <c r="C16" s="7"/>
      <c r="D16" s="7"/>
      <c r="E16" s="7">
        <v>280</v>
      </c>
      <c r="F16" s="7"/>
      <c r="G16" s="38"/>
      <c r="H16" s="7"/>
      <c r="I16" s="7"/>
      <c r="J16" s="7"/>
      <c r="K16" s="7">
        <v>140</v>
      </c>
      <c r="L16" s="7"/>
      <c r="M16" s="38"/>
      <c r="N16" s="7"/>
      <c r="O16" s="7"/>
      <c r="P16" s="7"/>
      <c r="Q16" s="7">
        <v>20</v>
      </c>
      <c r="R16" s="7"/>
      <c r="S16" s="38"/>
      <c r="T16" s="7"/>
      <c r="U16" s="7">
        <v>220</v>
      </c>
      <c r="V16" s="7"/>
      <c r="W16" s="7">
        <v>160</v>
      </c>
      <c r="X16" s="7"/>
      <c r="Y16" s="38"/>
      <c r="Z16" s="7"/>
      <c r="AA16" s="7"/>
      <c r="AB16" s="7"/>
      <c r="AD16" s="9">
        <f t="shared" si="0"/>
        <v>820</v>
      </c>
      <c r="AE16" s="6">
        <v>166</v>
      </c>
      <c r="AF16" s="49">
        <f t="shared" si="1"/>
        <v>4.9397590361445785</v>
      </c>
    </row>
    <row r="17" spans="1:32">
      <c r="A17" s="23" t="s">
        <v>45</v>
      </c>
      <c r="B17" s="8"/>
      <c r="C17" s="7"/>
      <c r="D17" s="7"/>
      <c r="E17" s="7"/>
      <c r="F17" s="7">
        <v>260</v>
      </c>
      <c r="G17" s="38"/>
      <c r="H17" s="7"/>
      <c r="I17" s="7"/>
      <c r="J17" s="7"/>
      <c r="K17" s="7"/>
      <c r="L17" s="7">
        <v>180</v>
      </c>
      <c r="M17" s="38"/>
      <c r="N17" s="7"/>
      <c r="O17" s="7"/>
      <c r="P17" s="7"/>
      <c r="Q17" s="7"/>
      <c r="R17" s="7">
        <v>380</v>
      </c>
      <c r="S17" s="38"/>
      <c r="T17" s="7"/>
      <c r="U17" s="7"/>
      <c r="V17" s="7"/>
      <c r="W17" s="7"/>
      <c r="X17" s="7">
        <v>1360</v>
      </c>
      <c r="Y17" s="38"/>
      <c r="Z17" s="7"/>
      <c r="AA17" s="7"/>
      <c r="AB17" s="7"/>
      <c r="AD17" s="9">
        <f t="shared" si="0"/>
        <v>2180</v>
      </c>
      <c r="AE17" s="6">
        <v>442</v>
      </c>
      <c r="AF17" s="49">
        <f t="shared" si="1"/>
        <v>4.9321266968325794</v>
      </c>
    </row>
    <row r="18" spans="1:32">
      <c r="A18" s="48" t="s">
        <v>16</v>
      </c>
      <c r="B18" s="8"/>
      <c r="C18" s="7">
        <v>40</v>
      </c>
      <c r="D18" s="7"/>
      <c r="E18" s="7"/>
      <c r="F18" s="7">
        <v>240</v>
      </c>
      <c r="G18" s="38"/>
      <c r="H18" s="7"/>
      <c r="I18" s="7"/>
      <c r="J18" s="7"/>
      <c r="K18" s="7"/>
      <c r="L18" s="7">
        <v>260</v>
      </c>
      <c r="M18" s="38"/>
      <c r="N18" s="7"/>
      <c r="O18" s="7"/>
      <c r="P18" s="7"/>
      <c r="Q18" s="7"/>
      <c r="R18" s="7">
        <v>20</v>
      </c>
      <c r="S18" s="38"/>
      <c r="T18" s="7"/>
      <c r="U18" s="7">
        <v>20</v>
      </c>
      <c r="V18" s="7"/>
      <c r="W18" s="7"/>
      <c r="X18" s="7">
        <v>140</v>
      </c>
      <c r="Y18" s="38"/>
      <c r="Z18" s="7"/>
      <c r="AA18" s="7"/>
      <c r="AB18" s="7">
        <v>80</v>
      </c>
      <c r="AD18" s="9">
        <f t="shared" si="0"/>
        <v>800</v>
      </c>
      <c r="AE18" s="6">
        <v>177</v>
      </c>
      <c r="AF18" s="49">
        <f t="shared" si="1"/>
        <v>4.5197740112994351</v>
      </c>
    </row>
    <row r="19" spans="1:32">
      <c r="A19" s="23" t="s">
        <v>48</v>
      </c>
      <c r="B19" s="8">
        <v>260</v>
      </c>
      <c r="C19" s="7"/>
      <c r="D19" s="7"/>
      <c r="E19" s="7"/>
      <c r="F19" s="7"/>
      <c r="G19" s="38"/>
      <c r="H19" s="7">
        <v>340</v>
      </c>
      <c r="I19" s="7"/>
      <c r="J19" s="7"/>
      <c r="K19" s="7"/>
      <c r="L19" s="7"/>
      <c r="M19" s="38"/>
      <c r="N19" s="7">
        <v>340</v>
      </c>
      <c r="O19" s="7"/>
      <c r="P19" s="7"/>
      <c r="Q19" s="7"/>
      <c r="R19" s="7"/>
      <c r="S19" s="38"/>
      <c r="T19" s="7">
        <v>220</v>
      </c>
      <c r="U19" s="7"/>
      <c r="V19" s="7"/>
      <c r="W19" s="7"/>
      <c r="X19" s="7"/>
      <c r="Y19" s="38"/>
      <c r="Z19" s="7">
        <v>1340</v>
      </c>
      <c r="AA19" s="7"/>
      <c r="AB19" s="7"/>
      <c r="AD19" s="9">
        <f t="shared" si="0"/>
        <v>2500</v>
      </c>
      <c r="AE19" s="6">
        <v>586</v>
      </c>
      <c r="AF19" s="49">
        <f t="shared" si="1"/>
        <v>4.2662116040955631</v>
      </c>
    </row>
    <row r="20" spans="1:32">
      <c r="A20" s="23" t="s">
        <v>54</v>
      </c>
      <c r="B20" s="8"/>
      <c r="C20" s="7">
        <v>320</v>
      </c>
      <c r="D20" s="7"/>
      <c r="E20" s="7"/>
      <c r="F20" s="7"/>
      <c r="G20" s="38"/>
      <c r="H20" s="7"/>
      <c r="I20" s="7"/>
      <c r="J20" s="7"/>
      <c r="K20" s="7"/>
      <c r="L20" s="7"/>
      <c r="M20" s="38"/>
      <c r="N20" s="7"/>
      <c r="O20" s="7">
        <v>500</v>
      </c>
      <c r="P20" s="7"/>
      <c r="Q20" s="7"/>
      <c r="R20" s="7"/>
      <c r="S20" s="38"/>
      <c r="T20" s="7"/>
      <c r="U20" s="7">
        <v>1700</v>
      </c>
      <c r="V20" s="7"/>
      <c r="W20" s="7"/>
      <c r="X20" s="7"/>
      <c r="Y20" s="38"/>
      <c r="Z20" s="7"/>
      <c r="AA20" s="7"/>
      <c r="AB20" s="7">
        <v>280</v>
      </c>
      <c r="AD20" s="9">
        <f t="shared" si="0"/>
        <v>2800</v>
      </c>
      <c r="AE20" s="6">
        <v>707</v>
      </c>
      <c r="AF20" s="49">
        <f t="shared" si="1"/>
        <v>3.9603960396039604</v>
      </c>
    </row>
    <row r="21" spans="1:32">
      <c r="A21" s="23" t="s">
        <v>52</v>
      </c>
      <c r="B21" s="8"/>
      <c r="C21" s="7">
        <v>540</v>
      </c>
      <c r="D21" s="7"/>
      <c r="E21" s="7"/>
      <c r="F21" s="7"/>
      <c r="G21" s="38"/>
      <c r="H21" s="7"/>
      <c r="I21" s="7"/>
      <c r="J21" s="7"/>
      <c r="K21" s="7"/>
      <c r="L21" s="7"/>
      <c r="M21" s="38"/>
      <c r="N21" s="7"/>
      <c r="O21" s="7">
        <v>480</v>
      </c>
      <c r="P21" s="7"/>
      <c r="Q21" s="7"/>
      <c r="R21" s="7"/>
      <c r="S21" s="38"/>
      <c r="T21" s="7"/>
      <c r="U21" s="7">
        <v>500</v>
      </c>
      <c r="V21" s="7"/>
      <c r="W21" s="7"/>
      <c r="X21" s="7"/>
      <c r="Y21" s="38"/>
      <c r="Z21" s="7"/>
      <c r="AA21" s="7"/>
      <c r="AB21" s="7">
        <v>1180</v>
      </c>
      <c r="AD21" s="9">
        <f t="shared" si="0"/>
        <v>2700</v>
      </c>
      <c r="AE21" s="6">
        <v>693</v>
      </c>
      <c r="AF21" s="49">
        <f t="shared" si="1"/>
        <v>3.8961038961038961</v>
      </c>
    </row>
    <row r="22" spans="1:32">
      <c r="A22" s="48" t="s">
        <v>6</v>
      </c>
      <c r="B22" s="8"/>
      <c r="C22" s="7">
        <v>80</v>
      </c>
      <c r="D22" s="7"/>
      <c r="E22" s="7">
        <v>0</v>
      </c>
      <c r="F22" s="7"/>
      <c r="G22" s="38"/>
      <c r="H22" s="7"/>
      <c r="I22" s="7"/>
      <c r="J22" s="7"/>
      <c r="K22" s="7">
        <v>60</v>
      </c>
      <c r="L22" s="7"/>
      <c r="M22" s="38"/>
      <c r="N22" s="7"/>
      <c r="O22" s="7"/>
      <c r="P22" s="7"/>
      <c r="Q22" s="7">
        <v>20</v>
      </c>
      <c r="R22" s="7"/>
      <c r="S22" s="38"/>
      <c r="T22" s="7"/>
      <c r="U22" s="7">
        <v>40</v>
      </c>
      <c r="V22" s="7"/>
      <c r="W22" s="7">
        <v>140</v>
      </c>
      <c r="X22" s="7"/>
      <c r="Y22" s="38"/>
      <c r="Z22" s="7"/>
      <c r="AA22" s="7"/>
      <c r="AB22" s="7">
        <v>120</v>
      </c>
      <c r="AD22" s="9">
        <f t="shared" si="0"/>
        <v>460</v>
      </c>
      <c r="AE22" s="6">
        <v>121</v>
      </c>
      <c r="AF22" s="49">
        <f t="shared" si="1"/>
        <v>3.8016528925619837</v>
      </c>
    </row>
    <row r="23" spans="1:32">
      <c r="A23" s="24" t="s">
        <v>19</v>
      </c>
      <c r="B23" s="8">
        <v>20</v>
      </c>
      <c r="C23" s="7"/>
      <c r="D23" s="7"/>
      <c r="E23" s="7">
        <v>20</v>
      </c>
      <c r="F23" s="7"/>
      <c r="G23" s="38"/>
      <c r="H23" s="7">
        <v>1540</v>
      </c>
      <c r="I23" s="7"/>
      <c r="J23" s="7"/>
      <c r="K23" s="7">
        <v>160</v>
      </c>
      <c r="L23" s="7"/>
      <c r="M23" s="38"/>
      <c r="N23" s="7">
        <v>140</v>
      </c>
      <c r="O23" s="7"/>
      <c r="P23" s="7"/>
      <c r="Q23" s="7">
        <v>100</v>
      </c>
      <c r="R23" s="7"/>
      <c r="S23" s="38"/>
      <c r="T23" s="7">
        <v>80</v>
      </c>
      <c r="U23" s="7"/>
      <c r="V23" s="7"/>
      <c r="W23" s="7">
        <v>200</v>
      </c>
      <c r="X23" s="7"/>
      <c r="Y23" s="38"/>
      <c r="Z23" s="7">
        <v>340</v>
      </c>
      <c r="AA23" s="7"/>
      <c r="AB23" s="7"/>
      <c r="AD23" s="9">
        <f t="shared" si="0"/>
        <v>2600</v>
      </c>
      <c r="AE23" s="6">
        <v>693</v>
      </c>
      <c r="AF23" s="49">
        <f t="shared" si="1"/>
        <v>3.7518037518037519</v>
      </c>
    </row>
    <row r="24" spans="1:32">
      <c r="A24" s="25" t="s">
        <v>8</v>
      </c>
      <c r="B24" s="8">
        <v>300</v>
      </c>
      <c r="C24" s="7"/>
      <c r="D24" s="7"/>
      <c r="E24" s="7">
        <v>320</v>
      </c>
      <c r="F24" s="7"/>
      <c r="G24" s="38"/>
      <c r="H24" s="7">
        <v>300</v>
      </c>
      <c r="I24" s="7"/>
      <c r="J24" s="7"/>
      <c r="K24" s="7">
        <v>320</v>
      </c>
      <c r="L24" s="7"/>
      <c r="M24" s="38"/>
      <c r="N24" s="7">
        <v>380</v>
      </c>
      <c r="O24" s="7"/>
      <c r="P24" s="7"/>
      <c r="Q24" s="7">
        <v>1580</v>
      </c>
      <c r="R24" s="7"/>
      <c r="S24" s="38"/>
      <c r="T24" s="7">
        <v>660</v>
      </c>
      <c r="U24" s="7"/>
      <c r="V24" s="7"/>
      <c r="W24" s="7">
        <v>300</v>
      </c>
      <c r="X24" s="7"/>
      <c r="Y24" s="38"/>
      <c r="Z24" s="7">
        <v>620</v>
      </c>
      <c r="AA24" s="7"/>
      <c r="AB24" s="7"/>
      <c r="AD24" s="9">
        <f t="shared" si="0"/>
        <v>4780</v>
      </c>
      <c r="AE24" s="6">
        <v>1325</v>
      </c>
      <c r="AF24" s="49">
        <f t="shared" si="1"/>
        <v>3.6075471698113208</v>
      </c>
    </row>
    <row r="25" spans="1:32">
      <c r="A25" s="23" t="s">
        <v>57</v>
      </c>
      <c r="B25" s="8"/>
      <c r="C25" s="7"/>
      <c r="D25" s="7"/>
      <c r="E25" s="7">
        <v>80</v>
      </c>
      <c r="F25" s="7"/>
      <c r="G25" s="38"/>
      <c r="H25" s="7">
        <v>120</v>
      </c>
      <c r="I25" s="7"/>
      <c r="J25" s="7"/>
      <c r="K25" s="7">
        <v>100</v>
      </c>
      <c r="L25" s="7"/>
      <c r="M25" s="38"/>
      <c r="N25" s="7">
        <v>1300</v>
      </c>
      <c r="O25" s="7"/>
      <c r="P25" s="7"/>
      <c r="Q25" s="7">
        <v>180</v>
      </c>
      <c r="R25" s="7"/>
      <c r="S25" s="38"/>
      <c r="T25" s="7">
        <v>20</v>
      </c>
      <c r="U25" s="7"/>
      <c r="V25" s="7"/>
      <c r="W25" s="7">
        <v>180</v>
      </c>
      <c r="X25" s="7"/>
      <c r="Y25" s="38"/>
      <c r="Z25" s="7"/>
      <c r="AA25" s="7"/>
      <c r="AB25" s="7"/>
      <c r="AD25" s="9">
        <f t="shared" si="0"/>
        <v>1980</v>
      </c>
      <c r="AE25" s="6">
        <v>563</v>
      </c>
      <c r="AF25" s="49">
        <f t="shared" si="1"/>
        <v>3.516873889875666</v>
      </c>
    </row>
    <row r="26" spans="1:32">
      <c r="A26" s="23" t="s">
        <v>65</v>
      </c>
      <c r="B26" s="8">
        <v>660</v>
      </c>
      <c r="C26" s="7"/>
      <c r="D26" s="7"/>
      <c r="E26" s="7"/>
      <c r="F26" s="7"/>
      <c r="G26" s="38"/>
      <c r="H26" s="7">
        <v>620</v>
      </c>
      <c r="I26" s="7"/>
      <c r="J26" s="7"/>
      <c r="K26" s="7"/>
      <c r="L26" s="7"/>
      <c r="M26" s="38"/>
      <c r="N26" s="7">
        <v>320</v>
      </c>
      <c r="O26" s="7"/>
      <c r="P26" s="7"/>
      <c r="Q26" s="7"/>
      <c r="R26" s="7"/>
      <c r="S26" s="38"/>
      <c r="T26" s="7">
        <v>560</v>
      </c>
      <c r="U26" s="7"/>
      <c r="V26" s="7"/>
      <c r="W26" s="7"/>
      <c r="X26" s="7"/>
      <c r="Y26" s="38"/>
      <c r="Z26" s="7">
        <v>740</v>
      </c>
      <c r="AA26" s="7"/>
      <c r="AB26" s="7"/>
      <c r="AD26" s="9">
        <f t="shared" si="0"/>
        <v>2900</v>
      </c>
      <c r="AE26" s="6">
        <v>865</v>
      </c>
      <c r="AF26" s="49">
        <f t="shared" si="1"/>
        <v>3.352601156069364</v>
      </c>
    </row>
    <row r="27" spans="1:32">
      <c r="A27" s="25" t="s">
        <v>3</v>
      </c>
      <c r="B27" s="8">
        <v>380</v>
      </c>
      <c r="C27" s="7"/>
      <c r="D27" s="7"/>
      <c r="E27" s="7">
        <v>340</v>
      </c>
      <c r="F27" s="7"/>
      <c r="G27" s="38"/>
      <c r="H27" s="7">
        <v>540</v>
      </c>
      <c r="I27" s="7"/>
      <c r="J27" s="7"/>
      <c r="K27" s="7">
        <v>700</v>
      </c>
      <c r="L27" s="7"/>
      <c r="M27" s="38"/>
      <c r="N27" s="7">
        <v>300</v>
      </c>
      <c r="O27" s="7"/>
      <c r="P27" s="7"/>
      <c r="Q27" s="7">
        <v>440</v>
      </c>
      <c r="R27" s="7"/>
      <c r="S27" s="38"/>
      <c r="T27" s="7">
        <v>220</v>
      </c>
      <c r="U27" s="7"/>
      <c r="V27" s="7"/>
      <c r="W27" s="7">
        <v>420</v>
      </c>
      <c r="X27" s="7"/>
      <c r="Y27" s="38"/>
      <c r="Z27" s="7">
        <v>180</v>
      </c>
      <c r="AA27" s="7"/>
      <c r="AB27" s="7"/>
      <c r="AD27" s="9">
        <f t="shared" si="0"/>
        <v>3520</v>
      </c>
      <c r="AE27" s="6">
        <v>1074</v>
      </c>
      <c r="AF27" s="49">
        <f t="shared" si="1"/>
        <v>3.2774674115456239</v>
      </c>
    </row>
    <row r="28" spans="1:32">
      <c r="A28" s="24" t="s">
        <v>24</v>
      </c>
      <c r="B28" s="8">
        <v>120</v>
      </c>
      <c r="C28" s="7"/>
      <c r="D28" s="7"/>
      <c r="E28" s="7"/>
      <c r="F28" s="7">
        <v>1820</v>
      </c>
      <c r="G28" s="38"/>
      <c r="H28" s="7">
        <v>40</v>
      </c>
      <c r="I28" s="7"/>
      <c r="J28" s="7"/>
      <c r="K28" s="7"/>
      <c r="L28" s="7">
        <v>260</v>
      </c>
      <c r="M28" s="38"/>
      <c r="N28" s="7">
        <v>100</v>
      </c>
      <c r="O28" s="7"/>
      <c r="P28" s="7"/>
      <c r="Q28" s="7"/>
      <c r="R28" s="7">
        <v>220</v>
      </c>
      <c r="S28" s="38"/>
      <c r="T28" s="7">
        <v>120</v>
      </c>
      <c r="U28" s="7"/>
      <c r="V28" s="7"/>
      <c r="W28" s="7"/>
      <c r="X28" s="7">
        <v>160</v>
      </c>
      <c r="Y28" s="38"/>
      <c r="Z28" s="7">
        <v>60</v>
      </c>
      <c r="AA28" s="7"/>
      <c r="AB28" s="7"/>
      <c r="AD28" s="9">
        <f t="shared" si="0"/>
        <v>2900</v>
      </c>
      <c r="AE28" s="6">
        <v>900</v>
      </c>
      <c r="AF28" s="49">
        <f t="shared" si="1"/>
        <v>3.2222222222222223</v>
      </c>
    </row>
    <row r="29" spans="1:32">
      <c r="A29" s="23" t="s">
        <v>15</v>
      </c>
      <c r="B29" s="8">
        <v>240</v>
      </c>
      <c r="C29" s="7"/>
      <c r="D29" s="7"/>
      <c r="E29" s="7"/>
      <c r="F29" s="7"/>
      <c r="G29" s="38"/>
      <c r="H29" s="7">
        <v>180</v>
      </c>
      <c r="I29" s="7"/>
      <c r="J29" s="7"/>
      <c r="K29" s="7"/>
      <c r="L29" s="7"/>
      <c r="M29" s="38"/>
      <c r="N29" s="7">
        <v>280</v>
      </c>
      <c r="O29" s="7"/>
      <c r="P29" s="7"/>
      <c r="Q29" s="7"/>
      <c r="R29" s="7"/>
      <c r="S29" s="38"/>
      <c r="T29" s="7">
        <v>200</v>
      </c>
      <c r="U29" s="7"/>
      <c r="V29" s="7"/>
      <c r="W29" s="7"/>
      <c r="X29" s="7"/>
      <c r="Y29" s="38"/>
      <c r="Z29" s="7">
        <v>60</v>
      </c>
      <c r="AA29" s="7"/>
      <c r="AB29" s="7"/>
      <c r="AD29" s="9">
        <f t="shared" si="0"/>
        <v>960</v>
      </c>
      <c r="AE29" s="6">
        <v>302</v>
      </c>
      <c r="AF29" s="49">
        <f t="shared" si="1"/>
        <v>3.1788079470198674</v>
      </c>
    </row>
    <row r="30" spans="1:32">
      <c r="A30" s="24" t="s">
        <v>12</v>
      </c>
      <c r="B30" s="8"/>
      <c r="C30" s="7">
        <v>80</v>
      </c>
      <c r="D30" s="7"/>
      <c r="E30" s="7"/>
      <c r="F30" s="7">
        <v>160</v>
      </c>
      <c r="G30" s="38"/>
      <c r="H30" s="7"/>
      <c r="I30" s="7"/>
      <c r="J30" s="7"/>
      <c r="K30" s="7"/>
      <c r="L30" s="7">
        <v>240</v>
      </c>
      <c r="M30" s="38"/>
      <c r="N30" s="7"/>
      <c r="O30" s="7">
        <v>280</v>
      </c>
      <c r="P30" s="7"/>
      <c r="Q30" s="7"/>
      <c r="R30" s="7">
        <v>400</v>
      </c>
      <c r="S30" s="38"/>
      <c r="T30" s="7"/>
      <c r="U30" s="7">
        <v>100</v>
      </c>
      <c r="V30" s="7"/>
      <c r="W30" s="7"/>
      <c r="X30" s="7">
        <v>240</v>
      </c>
      <c r="Y30" s="38"/>
      <c r="Z30" s="7"/>
      <c r="AA30" s="7"/>
      <c r="AB30" s="7">
        <v>320</v>
      </c>
      <c r="AD30" s="9">
        <f t="shared" si="0"/>
        <v>1820</v>
      </c>
      <c r="AE30" s="6">
        <v>581</v>
      </c>
      <c r="AF30" s="49">
        <f t="shared" si="1"/>
        <v>3.1325301204819276</v>
      </c>
    </row>
    <row r="31" spans="1:32">
      <c r="A31" s="24" t="s">
        <v>27</v>
      </c>
      <c r="B31" s="8"/>
      <c r="C31" s="7">
        <v>1760</v>
      </c>
      <c r="D31" s="7"/>
      <c r="E31" s="7"/>
      <c r="F31" s="7">
        <v>140</v>
      </c>
      <c r="G31" s="38"/>
      <c r="H31" s="7"/>
      <c r="I31" s="7"/>
      <c r="J31" s="7"/>
      <c r="K31" s="7"/>
      <c r="L31" s="7">
        <v>160</v>
      </c>
      <c r="M31" s="38"/>
      <c r="N31" s="7"/>
      <c r="O31" s="7">
        <v>100</v>
      </c>
      <c r="P31" s="7"/>
      <c r="Q31" s="7"/>
      <c r="R31" s="7">
        <v>360</v>
      </c>
      <c r="S31" s="38"/>
      <c r="T31" s="7"/>
      <c r="U31" s="7">
        <v>40</v>
      </c>
      <c r="V31" s="7"/>
      <c r="W31" s="7"/>
      <c r="X31" s="7">
        <v>140</v>
      </c>
      <c r="Y31" s="38"/>
      <c r="Z31" s="7">
        <v>280</v>
      </c>
      <c r="AA31" s="7"/>
      <c r="AB31" s="7"/>
      <c r="AD31" s="9">
        <f t="shared" si="0"/>
        <v>2980</v>
      </c>
      <c r="AE31" s="6">
        <v>954</v>
      </c>
      <c r="AF31" s="49">
        <f t="shared" si="1"/>
        <v>3.1236897274633124</v>
      </c>
    </row>
    <row r="32" spans="1:32">
      <c r="A32" s="23" t="s">
        <v>59</v>
      </c>
      <c r="B32" s="8">
        <v>180</v>
      </c>
      <c r="C32" s="7"/>
      <c r="D32" s="7"/>
      <c r="E32" s="7">
        <v>420</v>
      </c>
      <c r="F32" s="7"/>
      <c r="G32" s="38"/>
      <c r="H32" s="7">
        <v>400</v>
      </c>
      <c r="I32" s="7"/>
      <c r="J32" s="7"/>
      <c r="K32" s="7">
        <v>300</v>
      </c>
      <c r="L32" s="7"/>
      <c r="M32" s="38"/>
      <c r="N32" s="7">
        <v>200</v>
      </c>
      <c r="O32" s="7"/>
      <c r="P32" s="7"/>
      <c r="Q32" s="7">
        <v>380</v>
      </c>
      <c r="R32" s="7"/>
      <c r="S32" s="38"/>
      <c r="T32" s="7">
        <v>180</v>
      </c>
      <c r="U32" s="7"/>
      <c r="V32" s="7"/>
      <c r="W32" s="7">
        <v>40</v>
      </c>
      <c r="X32" s="7"/>
      <c r="Y32" s="38"/>
      <c r="Z32" s="7">
        <v>400</v>
      </c>
      <c r="AA32" s="7"/>
      <c r="AB32" s="7"/>
      <c r="AD32" s="9">
        <f t="shared" si="0"/>
        <v>2500</v>
      </c>
      <c r="AE32" s="6">
        <v>839</v>
      </c>
      <c r="AF32" s="49">
        <f t="shared" si="1"/>
        <v>2.9797377830750893</v>
      </c>
    </row>
    <row r="33" spans="1:32">
      <c r="A33" s="23" t="s">
        <v>64</v>
      </c>
      <c r="B33" s="8"/>
      <c r="C33" s="7">
        <v>220</v>
      </c>
      <c r="D33" s="7"/>
      <c r="E33" s="7"/>
      <c r="F33" s="7">
        <v>420</v>
      </c>
      <c r="G33" s="38"/>
      <c r="H33" s="7"/>
      <c r="I33" s="7"/>
      <c r="J33" s="7"/>
      <c r="K33" s="7"/>
      <c r="L33" s="7">
        <v>80</v>
      </c>
      <c r="M33" s="38"/>
      <c r="N33" s="7"/>
      <c r="O33" s="7"/>
      <c r="P33" s="7"/>
      <c r="Q33" s="7"/>
      <c r="R33" s="7">
        <v>280</v>
      </c>
      <c r="S33" s="38"/>
      <c r="T33" s="7"/>
      <c r="U33" s="7">
        <v>40</v>
      </c>
      <c r="V33" s="7"/>
      <c r="W33" s="7"/>
      <c r="X33" s="7">
        <v>400</v>
      </c>
      <c r="Y33" s="38"/>
      <c r="Z33" s="7"/>
      <c r="AA33" s="7"/>
      <c r="AB33" s="7">
        <v>400</v>
      </c>
      <c r="AD33" s="9">
        <f t="shared" si="0"/>
        <v>1840</v>
      </c>
      <c r="AE33" s="6">
        <v>637</v>
      </c>
      <c r="AF33" s="49">
        <f t="shared" si="1"/>
        <v>2.8885400313971741</v>
      </c>
    </row>
    <row r="34" spans="1:32">
      <c r="A34" s="23" t="s">
        <v>44</v>
      </c>
      <c r="B34" s="8"/>
      <c r="C34" s="7">
        <v>140</v>
      </c>
      <c r="D34" s="7"/>
      <c r="E34" s="7"/>
      <c r="F34" s="7">
        <v>1560</v>
      </c>
      <c r="G34" s="38"/>
      <c r="H34" s="7"/>
      <c r="I34" s="7"/>
      <c r="J34" s="7"/>
      <c r="K34" s="7"/>
      <c r="L34" s="7">
        <v>300</v>
      </c>
      <c r="M34" s="38"/>
      <c r="N34" s="7"/>
      <c r="O34" s="7"/>
      <c r="P34" s="7"/>
      <c r="Q34" s="7"/>
      <c r="R34" s="7">
        <v>340</v>
      </c>
      <c r="S34" s="38"/>
      <c r="T34" s="7"/>
      <c r="U34" s="7">
        <v>160</v>
      </c>
      <c r="V34" s="7"/>
      <c r="W34" s="7"/>
      <c r="X34" s="7">
        <v>240</v>
      </c>
      <c r="Y34" s="38"/>
      <c r="Z34" s="7"/>
      <c r="AA34" s="7"/>
      <c r="AB34" s="7">
        <v>140</v>
      </c>
      <c r="AD34" s="9">
        <f t="shared" si="0"/>
        <v>2880</v>
      </c>
      <c r="AE34" s="6">
        <v>998</v>
      </c>
      <c r="AF34" s="49">
        <f t="shared" si="1"/>
        <v>2.8857715430861726</v>
      </c>
    </row>
    <row r="35" spans="1:32">
      <c r="A35" s="25" t="s">
        <v>25</v>
      </c>
      <c r="B35" s="8">
        <v>1660</v>
      </c>
      <c r="C35" s="7"/>
      <c r="D35" s="7"/>
      <c r="E35" s="7">
        <v>120</v>
      </c>
      <c r="F35" s="7"/>
      <c r="G35" s="38"/>
      <c r="H35" s="7">
        <v>480</v>
      </c>
      <c r="I35" s="7"/>
      <c r="J35" s="7"/>
      <c r="K35" s="7">
        <v>160</v>
      </c>
      <c r="L35" s="7"/>
      <c r="M35" s="38"/>
      <c r="N35" s="7">
        <v>260</v>
      </c>
      <c r="O35" s="7"/>
      <c r="P35" s="7"/>
      <c r="Q35" s="7">
        <v>280</v>
      </c>
      <c r="R35" s="7"/>
      <c r="S35" s="38"/>
      <c r="T35" s="7">
        <v>220</v>
      </c>
      <c r="U35" s="7"/>
      <c r="V35" s="7"/>
      <c r="W35" s="7">
        <v>40</v>
      </c>
      <c r="X35" s="7"/>
      <c r="Y35" s="38"/>
      <c r="Z35" s="7">
        <v>260</v>
      </c>
      <c r="AA35" s="7"/>
      <c r="AB35" s="7"/>
      <c r="AD35" s="9">
        <f t="shared" si="0"/>
        <v>3480</v>
      </c>
      <c r="AE35" s="6">
        <v>1227</v>
      </c>
      <c r="AF35" s="49">
        <f t="shared" si="1"/>
        <v>2.8361858190709048</v>
      </c>
    </row>
    <row r="36" spans="1:32">
      <c r="A36" s="23" t="s">
        <v>68</v>
      </c>
      <c r="B36" s="8">
        <v>360</v>
      </c>
      <c r="C36" s="7"/>
      <c r="D36" s="7"/>
      <c r="E36" s="7"/>
      <c r="F36" s="7"/>
      <c r="G36" s="38"/>
      <c r="H36" s="7">
        <v>300</v>
      </c>
      <c r="I36" s="7"/>
      <c r="J36" s="7"/>
      <c r="K36" s="7"/>
      <c r="L36" s="7"/>
      <c r="M36" s="38"/>
      <c r="N36" s="7">
        <v>60</v>
      </c>
      <c r="O36" s="7"/>
      <c r="P36" s="7"/>
      <c r="Q36" s="7"/>
      <c r="R36" s="7"/>
      <c r="S36" s="38"/>
      <c r="T36" s="7">
        <v>240</v>
      </c>
      <c r="U36" s="7"/>
      <c r="V36" s="7"/>
      <c r="W36" s="7"/>
      <c r="X36" s="7"/>
      <c r="Y36" s="38"/>
      <c r="Z36" s="7">
        <v>420</v>
      </c>
      <c r="AA36" s="7"/>
      <c r="AB36" s="7"/>
      <c r="AD36" s="9">
        <f t="shared" si="0"/>
        <v>1380</v>
      </c>
      <c r="AE36" s="6">
        <v>514</v>
      </c>
      <c r="AF36" s="49">
        <f t="shared" si="1"/>
        <v>2.6848249027237352</v>
      </c>
    </row>
    <row r="37" spans="1:32">
      <c r="A37" s="23" t="s">
        <v>62</v>
      </c>
      <c r="B37" s="8">
        <v>220</v>
      </c>
      <c r="C37" s="7"/>
      <c r="D37" s="7"/>
      <c r="E37" s="7"/>
      <c r="F37" s="7"/>
      <c r="G37" s="38"/>
      <c r="H37" s="7">
        <v>360</v>
      </c>
      <c r="I37" s="7"/>
      <c r="J37" s="7"/>
      <c r="K37" s="7"/>
      <c r="L37" s="7"/>
      <c r="M37" s="38"/>
      <c r="N37" s="7">
        <v>260</v>
      </c>
      <c r="O37" s="7"/>
      <c r="P37" s="7"/>
      <c r="Q37" s="7"/>
      <c r="R37" s="7"/>
      <c r="S37" s="38"/>
      <c r="T37" s="7">
        <v>140</v>
      </c>
      <c r="U37" s="7"/>
      <c r="V37" s="7"/>
      <c r="W37" s="7"/>
      <c r="X37" s="7"/>
      <c r="Y37" s="38"/>
      <c r="Z37" s="7">
        <v>300</v>
      </c>
      <c r="AA37" s="7"/>
      <c r="AB37" s="7"/>
      <c r="AD37" s="9">
        <f t="shared" si="0"/>
        <v>1280</v>
      </c>
      <c r="AE37" s="6">
        <v>488</v>
      </c>
      <c r="AF37" s="49">
        <f t="shared" si="1"/>
        <v>2.622950819672131</v>
      </c>
    </row>
    <row r="38" spans="1:32">
      <c r="A38" s="23" t="s">
        <v>49</v>
      </c>
      <c r="B38" s="8">
        <v>420</v>
      </c>
      <c r="C38" s="7"/>
      <c r="D38" s="7"/>
      <c r="E38" s="7"/>
      <c r="F38" s="7"/>
      <c r="G38" s="38"/>
      <c r="H38" s="7">
        <v>120</v>
      </c>
      <c r="I38" s="7"/>
      <c r="J38" s="7"/>
      <c r="K38" s="7"/>
      <c r="L38" s="7"/>
      <c r="M38" s="38"/>
      <c r="N38" s="7">
        <v>260</v>
      </c>
      <c r="O38" s="7"/>
      <c r="P38" s="7"/>
      <c r="Q38" s="7"/>
      <c r="R38" s="7"/>
      <c r="S38" s="38"/>
      <c r="T38" s="7">
        <v>280</v>
      </c>
      <c r="U38" s="7"/>
      <c r="V38" s="7"/>
      <c r="W38" s="7"/>
      <c r="X38" s="7"/>
      <c r="Y38" s="38"/>
      <c r="Z38" s="7">
        <v>280</v>
      </c>
      <c r="AA38" s="7"/>
      <c r="AB38" s="7"/>
      <c r="AD38" s="9">
        <f t="shared" ref="AD38:AD67" si="2">SUM(B38:AC38)</f>
        <v>1360</v>
      </c>
      <c r="AE38" s="6">
        <v>537</v>
      </c>
      <c r="AF38" s="49">
        <f t="shared" ref="AF38:AF67" si="3">AD38/AE38</f>
        <v>2.5325884543761639</v>
      </c>
    </row>
    <row r="39" spans="1:32">
      <c r="A39" s="23" t="s">
        <v>51</v>
      </c>
      <c r="B39" s="8"/>
      <c r="C39" s="7"/>
      <c r="D39" s="7"/>
      <c r="E39" s="7">
        <v>400</v>
      </c>
      <c r="F39" s="7"/>
      <c r="G39" s="38"/>
      <c r="H39" s="7"/>
      <c r="I39" s="7"/>
      <c r="J39" s="7"/>
      <c r="K39" s="7">
        <v>320</v>
      </c>
      <c r="L39" s="7"/>
      <c r="M39" s="38"/>
      <c r="N39" s="7"/>
      <c r="O39" s="7"/>
      <c r="P39" s="7"/>
      <c r="Q39" s="7">
        <v>140</v>
      </c>
      <c r="R39" s="7"/>
      <c r="S39" s="38"/>
      <c r="T39" s="7"/>
      <c r="U39" s="7"/>
      <c r="V39" s="7"/>
      <c r="W39" s="7">
        <v>160</v>
      </c>
      <c r="X39" s="7"/>
      <c r="Y39" s="38"/>
      <c r="Z39" s="7"/>
      <c r="AA39" s="7"/>
      <c r="AB39" s="7"/>
      <c r="AD39" s="9">
        <f t="shared" si="2"/>
        <v>1020</v>
      </c>
      <c r="AE39" s="6">
        <v>419</v>
      </c>
      <c r="AF39" s="49">
        <f t="shared" si="3"/>
        <v>2.4343675417661097</v>
      </c>
    </row>
    <row r="40" spans="1:32">
      <c r="A40" s="23" t="s">
        <v>56</v>
      </c>
      <c r="B40" s="8"/>
      <c r="C40" s="7"/>
      <c r="D40" s="7"/>
      <c r="E40" s="7">
        <v>60</v>
      </c>
      <c r="F40" s="7"/>
      <c r="G40" s="38"/>
      <c r="H40" s="7"/>
      <c r="I40" s="7"/>
      <c r="J40" s="7"/>
      <c r="K40" s="7">
        <v>20</v>
      </c>
      <c r="L40" s="7"/>
      <c r="M40" s="38"/>
      <c r="N40" s="7"/>
      <c r="O40" s="7"/>
      <c r="P40" s="7"/>
      <c r="Q40" s="7">
        <v>80</v>
      </c>
      <c r="R40" s="7"/>
      <c r="S40" s="38"/>
      <c r="T40" s="7"/>
      <c r="U40" s="7"/>
      <c r="V40" s="7"/>
      <c r="W40" s="7">
        <v>220</v>
      </c>
      <c r="X40" s="7"/>
      <c r="Y40" s="38"/>
      <c r="Z40" s="7"/>
      <c r="AA40" s="7"/>
      <c r="AB40" s="7"/>
      <c r="AD40" s="9">
        <f t="shared" si="2"/>
        <v>380</v>
      </c>
      <c r="AE40" s="6">
        <v>157</v>
      </c>
      <c r="AF40" s="49">
        <f t="shared" si="3"/>
        <v>2.4203821656050954</v>
      </c>
    </row>
    <row r="41" spans="1:32">
      <c r="A41" s="23" t="s">
        <v>47</v>
      </c>
      <c r="B41" s="8"/>
      <c r="C41" s="7"/>
      <c r="D41" s="7"/>
      <c r="E41" s="7">
        <v>280</v>
      </c>
      <c r="F41" s="7"/>
      <c r="G41" s="38"/>
      <c r="H41" s="7"/>
      <c r="I41" s="7"/>
      <c r="J41" s="7"/>
      <c r="K41" s="7">
        <v>160</v>
      </c>
      <c r="L41" s="7"/>
      <c r="M41" s="38"/>
      <c r="N41" s="7"/>
      <c r="O41" s="7"/>
      <c r="P41" s="7"/>
      <c r="Q41" s="7">
        <v>200</v>
      </c>
      <c r="R41" s="7"/>
      <c r="S41" s="38"/>
      <c r="T41" s="7"/>
      <c r="U41" s="7"/>
      <c r="V41" s="7"/>
      <c r="W41" s="7">
        <v>160</v>
      </c>
      <c r="X41" s="7"/>
      <c r="Y41" s="38"/>
      <c r="Z41" s="7"/>
      <c r="AA41" s="7"/>
      <c r="AB41" s="7"/>
      <c r="AD41" s="9">
        <f t="shared" si="2"/>
        <v>800</v>
      </c>
      <c r="AE41" s="6">
        <v>334</v>
      </c>
      <c r="AF41" s="49">
        <f t="shared" si="3"/>
        <v>2.3952095808383231</v>
      </c>
    </row>
    <row r="42" spans="1:32">
      <c r="A42" s="23" t="s">
        <v>66</v>
      </c>
      <c r="B42" s="8"/>
      <c r="C42" s="7"/>
      <c r="D42" s="7"/>
      <c r="E42" s="7">
        <v>40</v>
      </c>
      <c r="F42" s="7"/>
      <c r="G42" s="38"/>
      <c r="H42" s="7"/>
      <c r="I42" s="7"/>
      <c r="J42" s="7"/>
      <c r="K42" s="7">
        <v>140</v>
      </c>
      <c r="L42" s="7"/>
      <c r="M42" s="38"/>
      <c r="N42" s="7"/>
      <c r="O42" s="7"/>
      <c r="P42" s="7"/>
      <c r="Q42" s="7">
        <v>180</v>
      </c>
      <c r="R42" s="7"/>
      <c r="S42" s="38"/>
      <c r="T42" s="7"/>
      <c r="U42" s="7"/>
      <c r="V42" s="7"/>
      <c r="W42" s="7">
        <v>140</v>
      </c>
      <c r="X42" s="7"/>
      <c r="Y42" s="38"/>
      <c r="Z42" s="7"/>
      <c r="AA42" s="7"/>
      <c r="AB42" s="7"/>
      <c r="AD42" s="9">
        <f t="shared" si="2"/>
        <v>500</v>
      </c>
      <c r="AE42" s="6">
        <v>209</v>
      </c>
      <c r="AF42" s="49">
        <f t="shared" si="3"/>
        <v>2.3923444976076556</v>
      </c>
    </row>
    <row r="43" spans="1:32">
      <c r="A43" s="25" t="s">
        <v>1</v>
      </c>
      <c r="B43" s="8">
        <v>380</v>
      </c>
      <c r="C43" s="7"/>
      <c r="D43" s="7"/>
      <c r="E43" s="7"/>
      <c r="F43" s="7"/>
      <c r="G43" s="38"/>
      <c r="H43" s="7">
        <v>500</v>
      </c>
      <c r="I43" s="7"/>
      <c r="J43" s="7"/>
      <c r="K43" s="7"/>
      <c r="L43" s="7"/>
      <c r="M43" s="38"/>
      <c r="N43" s="7">
        <v>280</v>
      </c>
      <c r="O43" s="7"/>
      <c r="P43" s="7"/>
      <c r="Q43" s="7"/>
      <c r="R43" s="7"/>
      <c r="S43" s="38"/>
      <c r="T43" s="7">
        <v>420</v>
      </c>
      <c r="U43" s="7"/>
      <c r="V43" s="7"/>
      <c r="W43" s="7"/>
      <c r="X43" s="7"/>
      <c r="Y43" s="38"/>
      <c r="Z43" s="7">
        <v>320</v>
      </c>
      <c r="AA43" s="7"/>
      <c r="AB43" s="7"/>
      <c r="AD43" s="9">
        <f t="shared" si="2"/>
        <v>1900</v>
      </c>
      <c r="AE43" s="6">
        <v>807</v>
      </c>
      <c r="AF43" s="49">
        <f t="shared" si="3"/>
        <v>2.3543990086741018</v>
      </c>
    </row>
    <row r="44" spans="1:32">
      <c r="A44" s="24" t="s">
        <v>26</v>
      </c>
      <c r="B44" s="8">
        <v>180</v>
      </c>
      <c r="C44" s="7"/>
      <c r="D44" s="7"/>
      <c r="E44" s="7">
        <v>620</v>
      </c>
      <c r="F44" s="7"/>
      <c r="G44" s="38"/>
      <c r="H44" s="7">
        <v>160</v>
      </c>
      <c r="I44" s="7"/>
      <c r="J44" s="7"/>
      <c r="K44" s="7">
        <v>180</v>
      </c>
      <c r="L44" s="7"/>
      <c r="M44" s="38"/>
      <c r="N44" s="7">
        <v>180</v>
      </c>
      <c r="O44" s="7"/>
      <c r="P44" s="7"/>
      <c r="Q44" s="7">
        <v>180</v>
      </c>
      <c r="R44" s="7"/>
      <c r="S44" s="38"/>
      <c r="T44" s="7">
        <v>160</v>
      </c>
      <c r="U44" s="7"/>
      <c r="V44" s="7"/>
      <c r="W44" s="7">
        <v>120</v>
      </c>
      <c r="X44" s="7"/>
      <c r="Y44" s="38"/>
      <c r="Z44" s="7">
        <v>180</v>
      </c>
      <c r="AA44" s="7"/>
      <c r="AB44" s="7"/>
      <c r="AD44" s="9">
        <f t="shared" si="2"/>
        <v>1960</v>
      </c>
      <c r="AE44" s="6">
        <v>859</v>
      </c>
      <c r="AF44" s="49">
        <f t="shared" si="3"/>
        <v>2.2817229336437719</v>
      </c>
    </row>
    <row r="45" spans="1:32">
      <c r="A45" s="23" t="s">
        <v>46</v>
      </c>
      <c r="B45" s="8"/>
      <c r="C45" s="7"/>
      <c r="D45" s="7"/>
      <c r="E45" s="7">
        <v>200</v>
      </c>
      <c r="F45" s="7"/>
      <c r="G45" s="38"/>
      <c r="H45" s="7"/>
      <c r="I45" s="7"/>
      <c r="J45" s="7"/>
      <c r="K45" s="7">
        <v>80</v>
      </c>
      <c r="L45" s="7"/>
      <c r="M45" s="38"/>
      <c r="N45" s="7"/>
      <c r="O45" s="7"/>
      <c r="P45" s="7"/>
      <c r="Q45" s="7">
        <v>180</v>
      </c>
      <c r="R45" s="7"/>
      <c r="S45" s="38"/>
      <c r="T45" s="7"/>
      <c r="U45" s="7"/>
      <c r="V45" s="7"/>
      <c r="W45" s="7">
        <v>160</v>
      </c>
      <c r="X45" s="7"/>
      <c r="Y45" s="38"/>
      <c r="Z45" s="7"/>
      <c r="AA45" s="7"/>
      <c r="AB45" s="7"/>
      <c r="AD45" s="9">
        <f t="shared" si="2"/>
        <v>620</v>
      </c>
      <c r="AE45" s="6">
        <v>274</v>
      </c>
      <c r="AF45" s="49">
        <f t="shared" si="3"/>
        <v>2.2627737226277373</v>
      </c>
    </row>
    <row r="46" spans="1:32">
      <c r="A46" s="23" t="s">
        <v>43</v>
      </c>
      <c r="B46" s="8"/>
      <c r="C46" s="7"/>
      <c r="D46" s="7"/>
      <c r="E46" s="7"/>
      <c r="F46" s="7">
        <v>200</v>
      </c>
      <c r="G46" s="38"/>
      <c r="H46" s="7"/>
      <c r="I46" s="7"/>
      <c r="J46" s="7"/>
      <c r="K46" s="7"/>
      <c r="L46" s="7">
        <v>260</v>
      </c>
      <c r="M46" s="38"/>
      <c r="N46" s="7"/>
      <c r="O46" s="7"/>
      <c r="P46" s="7"/>
      <c r="Q46" s="7"/>
      <c r="R46" s="7">
        <v>360</v>
      </c>
      <c r="S46" s="38"/>
      <c r="T46" s="7"/>
      <c r="U46" s="7"/>
      <c r="V46" s="7"/>
      <c r="W46" s="7"/>
      <c r="X46" s="7">
        <v>240</v>
      </c>
      <c r="Y46" s="38"/>
      <c r="Z46" s="7"/>
      <c r="AA46" s="7"/>
      <c r="AB46" s="7"/>
      <c r="AD46" s="9">
        <f t="shared" si="2"/>
        <v>1060</v>
      </c>
      <c r="AE46" s="6">
        <v>469</v>
      </c>
      <c r="AF46" s="49">
        <f t="shared" si="3"/>
        <v>2.2601279317697229</v>
      </c>
    </row>
    <row r="47" spans="1:32">
      <c r="A47" s="25" t="s">
        <v>21</v>
      </c>
      <c r="B47" s="8">
        <v>130</v>
      </c>
      <c r="C47" s="7"/>
      <c r="D47" s="7"/>
      <c r="E47" s="7">
        <v>1560</v>
      </c>
      <c r="F47" s="7"/>
      <c r="G47" s="38"/>
      <c r="H47" s="7">
        <v>280</v>
      </c>
      <c r="I47" s="7"/>
      <c r="J47" s="7"/>
      <c r="K47" s="7">
        <v>400</v>
      </c>
      <c r="L47" s="7"/>
      <c r="M47" s="38"/>
      <c r="N47" s="7">
        <v>400</v>
      </c>
      <c r="O47" s="7"/>
      <c r="P47" s="7"/>
      <c r="Q47" s="7">
        <v>420</v>
      </c>
      <c r="R47" s="7"/>
      <c r="S47" s="38"/>
      <c r="T47" s="7">
        <v>260</v>
      </c>
      <c r="U47" s="7"/>
      <c r="V47" s="7"/>
      <c r="W47" s="7">
        <v>140</v>
      </c>
      <c r="X47" s="7"/>
      <c r="Y47" s="38"/>
      <c r="Z47" s="7">
        <v>160</v>
      </c>
      <c r="AA47" s="7"/>
      <c r="AB47" s="7"/>
      <c r="AD47" s="9">
        <f t="shared" si="2"/>
        <v>3750</v>
      </c>
      <c r="AE47" s="6">
        <v>1669</v>
      </c>
      <c r="AF47" s="49">
        <f t="shared" si="3"/>
        <v>2.2468544038346314</v>
      </c>
    </row>
    <row r="48" spans="1:32">
      <c r="A48" s="23" t="s">
        <v>58</v>
      </c>
      <c r="B48" s="8"/>
      <c r="C48" s="7"/>
      <c r="D48" s="7"/>
      <c r="E48" s="7"/>
      <c r="F48" s="7"/>
      <c r="G48" s="38"/>
      <c r="H48" s="7"/>
      <c r="I48" s="7"/>
      <c r="J48" s="7"/>
      <c r="K48" s="7">
        <v>340</v>
      </c>
      <c r="L48" s="7"/>
      <c r="M48" s="38"/>
      <c r="N48" s="7"/>
      <c r="O48" s="7"/>
      <c r="P48" s="7"/>
      <c r="Q48" s="7">
        <v>280</v>
      </c>
      <c r="R48" s="7"/>
      <c r="S48" s="38"/>
      <c r="T48" s="7"/>
      <c r="U48" s="7"/>
      <c r="V48" s="7"/>
      <c r="W48" s="7">
        <v>220</v>
      </c>
      <c r="X48" s="7"/>
      <c r="Y48" s="38"/>
      <c r="Z48" s="7"/>
      <c r="AA48" s="7"/>
      <c r="AB48" s="7"/>
      <c r="AD48" s="9">
        <f t="shared" si="2"/>
        <v>840</v>
      </c>
      <c r="AE48" s="6">
        <v>381</v>
      </c>
      <c r="AF48" s="49">
        <f t="shared" si="3"/>
        <v>2.204724409448819</v>
      </c>
    </row>
    <row r="49" spans="1:32">
      <c r="A49" s="25" t="s">
        <v>5</v>
      </c>
      <c r="B49" s="8">
        <v>520</v>
      </c>
      <c r="C49" s="7"/>
      <c r="D49" s="7">
        <v>80</v>
      </c>
      <c r="E49" s="7"/>
      <c r="F49" s="7">
        <v>100</v>
      </c>
      <c r="G49" s="38"/>
      <c r="H49" s="7">
        <v>160</v>
      </c>
      <c r="I49" s="7"/>
      <c r="J49" s="7">
        <v>20</v>
      </c>
      <c r="K49" s="7"/>
      <c r="L49" s="7">
        <v>320</v>
      </c>
      <c r="M49" s="38"/>
      <c r="N49" s="7">
        <v>620</v>
      </c>
      <c r="O49" s="7"/>
      <c r="P49" s="7">
        <v>220</v>
      </c>
      <c r="Q49" s="7"/>
      <c r="R49" s="7">
        <v>300</v>
      </c>
      <c r="S49" s="38"/>
      <c r="T49" s="7">
        <v>60</v>
      </c>
      <c r="U49" s="7"/>
      <c r="V49" s="7">
        <v>80</v>
      </c>
      <c r="W49" s="7"/>
      <c r="X49" s="7">
        <v>260</v>
      </c>
      <c r="Y49" s="38"/>
      <c r="Z49" s="7">
        <v>560</v>
      </c>
      <c r="AA49" s="7"/>
      <c r="AB49" s="7"/>
      <c r="AD49" s="9">
        <f t="shared" si="2"/>
        <v>3300</v>
      </c>
      <c r="AE49" s="6">
        <v>1500</v>
      </c>
      <c r="AF49" s="49">
        <f t="shared" si="3"/>
        <v>2.2000000000000002</v>
      </c>
    </row>
    <row r="50" spans="1:32">
      <c r="A50" s="24" t="s">
        <v>14</v>
      </c>
      <c r="B50" s="8"/>
      <c r="C50" s="7">
        <v>180</v>
      </c>
      <c r="D50" s="7"/>
      <c r="E50" s="7"/>
      <c r="F50" s="7">
        <v>300</v>
      </c>
      <c r="G50" s="38"/>
      <c r="H50" s="7"/>
      <c r="I50" s="7"/>
      <c r="J50" s="7"/>
      <c r="K50" s="7"/>
      <c r="L50" s="7">
        <v>100</v>
      </c>
      <c r="M50" s="38"/>
      <c r="N50" s="7"/>
      <c r="O50" s="7">
        <v>60</v>
      </c>
      <c r="P50" s="7"/>
      <c r="Q50" s="7"/>
      <c r="R50" s="7">
        <v>200</v>
      </c>
      <c r="S50" s="38"/>
      <c r="T50" s="7"/>
      <c r="U50" s="7">
        <v>60</v>
      </c>
      <c r="V50" s="7"/>
      <c r="W50" s="7"/>
      <c r="X50" s="7">
        <v>520</v>
      </c>
      <c r="Y50" s="38"/>
      <c r="Z50" s="7"/>
      <c r="AA50" s="7"/>
      <c r="AB50" s="7">
        <v>80</v>
      </c>
      <c r="AD50" s="9">
        <f t="shared" si="2"/>
        <v>1500</v>
      </c>
      <c r="AE50" s="6">
        <v>697</v>
      </c>
      <c r="AF50" s="49">
        <f t="shared" si="3"/>
        <v>2.1520803443328549</v>
      </c>
    </row>
    <row r="51" spans="1:32">
      <c r="A51" s="23" t="s">
        <v>42</v>
      </c>
      <c r="B51" s="8"/>
      <c r="C51" s="7"/>
      <c r="D51" s="7"/>
      <c r="E51" s="7">
        <v>400</v>
      </c>
      <c r="F51" s="7"/>
      <c r="G51" s="38"/>
      <c r="H51" s="7"/>
      <c r="I51" s="7"/>
      <c r="J51" s="7"/>
      <c r="K51" s="7">
        <v>380</v>
      </c>
      <c r="L51" s="7"/>
      <c r="M51" s="38"/>
      <c r="N51" s="7"/>
      <c r="O51" s="7"/>
      <c r="P51" s="7"/>
      <c r="Q51" s="7">
        <v>420</v>
      </c>
      <c r="R51" s="7"/>
      <c r="S51" s="38"/>
      <c r="T51" s="7"/>
      <c r="U51" s="7"/>
      <c r="V51" s="7"/>
      <c r="W51" s="7">
        <v>280</v>
      </c>
      <c r="X51" s="7"/>
      <c r="Y51" s="38"/>
      <c r="Z51" s="7"/>
      <c r="AA51" s="7"/>
      <c r="AB51" s="7"/>
      <c r="AD51" s="9">
        <f t="shared" si="2"/>
        <v>1480</v>
      </c>
      <c r="AE51" s="6">
        <v>713</v>
      </c>
      <c r="AF51" s="49">
        <f t="shared" si="3"/>
        <v>2.0757363253856944</v>
      </c>
    </row>
    <row r="52" spans="1:32">
      <c r="A52" s="24" t="s">
        <v>11</v>
      </c>
      <c r="B52" s="8"/>
      <c r="C52" s="7">
        <v>200</v>
      </c>
      <c r="D52" s="7"/>
      <c r="E52" s="7"/>
      <c r="F52" s="7">
        <v>220</v>
      </c>
      <c r="G52" s="38"/>
      <c r="H52" s="7"/>
      <c r="I52" s="7"/>
      <c r="J52" s="7"/>
      <c r="K52" s="7"/>
      <c r="L52" s="7">
        <v>220</v>
      </c>
      <c r="M52" s="38"/>
      <c r="N52" s="7"/>
      <c r="O52" s="7"/>
      <c r="P52" s="7"/>
      <c r="Q52" s="7"/>
      <c r="R52" s="7">
        <v>360</v>
      </c>
      <c r="S52" s="38"/>
      <c r="T52" s="7"/>
      <c r="U52" s="7">
        <v>180</v>
      </c>
      <c r="V52" s="7"/>
      <c r="W52" s="7"/>
      <c r="X52" s="7">
        <v>200</v>
      </c>
      <c r="Y52" s="38"/>
      <c r="Z52" s="7"/>
      <c r="AA52" s="7"/>
      <c r="AB52" s="7">
        <v>180</v>
      </c>
      <c r="AD52" s="9">
        <f t="shared" si="2"/>
        <v>1560</v>
      </c>
      <c r="AE52" s="6">
        <v>816</v>
      </c>
      <c r="AF52" s="49">
        <f t="shared" si="3"/>
        <v>1.911764705882353</v>
      </c>
    </row>
    <row r="53" spans="1:32">
      <c r="A53" s="24" t="s">
        <v>9</v>
      </c>
      <c r="B53" s="8">
        <v>60</v>
      </c>
      <c r="C53" s="7"/>
      <c r="D53" s="7"/>
      <c r="E53" s="7">
        <v>280</v>
      </c>
      <c r="F53" s="7"/>
      <c r="G53" s="38"/>
      <c r="H53" s="7">
        <v>40</v>
      </c>
      <c r="I53" s="7"/>
      <c r="J53" s="7"/>
      <c r="K53" s="7">
        <v>160</v>
      </c>
      <c r="L53" s="7"/>
      <c r="M53" s="38"/>
      <c r="N53" s="7">
        <v>80</v>
      </c>
      <c r="O53" s="7"/>
      <c r="P53" s="7"/>
      <c r="Q53" s="7">
        <v>200</v>
      </c>
      <c r="R53" s="7"/>
      <c r="S53" s="38"/>
      <c r="T53" s="7">
        <v>200</v>
      </c>
      <c r="U53" s="7"/>
      <c r="V53" s="7"/>
      <c r="W53" s="7">
        <v>370</v>
      </c>
      <c r="X53" s="7"/>
      <c r="Y53" s="38"/>
      <c r="Z53" s="7">
        <v>320</v>
      </c>
      <c r="AA53" s="7"/>
      <c r="AB53" s="7"/>
      <c r="AD53" s="9">
        <f t="shared" si="2"/>
        <v>1710</v>
      </c>
      <c r="AE53" s="6">
        <v>914</v>
      </c>
      <c r="AF53" s="49">
        <f t="shared" si="3"/>
        <v>1.8708971553610503</v>
      </c>
    </row>
    <row r="54" spans="1:32">
      <c r="A54" s="24" t="s">
        <v>18</v>
      </c>
      <c r="B54" s="8">
        <v>40</v>
      </c>
      <c r="C54" s="7"/>
      <c r="D54" s="7"/>
      <c r="E54" s="7">
        <v>60</v>
      </c>
      <c r="F54" s="7"/>
      <c r="G54" s="38"/>
      <c r="H54" s="7">
        <v>40</v>
      </c>
      <c r="I54" s="7"/>
      <c r="J54" s="7"/>
      <c r="K54" s="7">
        <v>140</v>
      </c>
      <c r="L54" s="7"/>
      <c r="M54" s="38"/>
      <c r="N54" s="7">
        <v>140</v>
      </c>
      <c r="O54" s="7"/>
      <c r="P54" s="7"/>
      <c r="Q54" s="7">
        <v>260</v>
      </c>
      <c r="R54" s="7"/>
      <c r="S54" s="38"/>
      <c r="T54" s="7">
        <v>160</v>
      </c>
      <c r="U54" s="7"/>
      <c r="V54" s="7"/>
      <c r="W54" s="7">
        <v>180</v>
      </c>
      <c r="X54" s="7"/>
      <c r="Y54" s="38"/>
      <c r="Z54" s="7">
        <v>140</v>
      </c>
      <c r="AA54" s="7"/>
      <c r="AB54" s="7"/>
      <c r="AD54" s="9">
        <f t="shared" si="2"/>
        <v>1160</v>
      </c>
      <c r="AE54" s="6">
        <v>630</v>
      </c>
      <c r="AF54" s="49">
        <f t="shared" si="3"/>
        <v>1.8412698412698412</v>
      </c>
    </row>
    <row r="55" spans="1:32">
      <c r="A55" s="25" t="s">
        <v>22</v>
      </c>
      <c r="B55" s="8"/>
      <c r="C55" s="7"/>
      <c r="D55" s="7">
        <v>120</v>
      </c>
      <c r="E55" s="7"/>
      <c r="F55" s="7">
        <v>420</v>
      </c>
      <c r="G55" s="38"/>
      <c r="H55" s="7">
        <v>220</v>
      </c>
      <c r="I55" s="7"/>
      <c r="J55" s="7">
        <v>180</v>
      </c>
      <c r="K55" s="7"/>
      <c r="L55" s="7">
        <v>400</v>
      </c>
      <c r="M55" s="38"/>
      <c r="N55" s="7">
        <v>200</v>
      </c>
      <c r="O55" s="7"/>
      <c r="P55" s="7"/>
      <c r="Q55" s="7"/>
      <c r="R55" s="7">
        <v>140</v>
      </c>
      <c r="S55" s="38"/>
      <c r="T55" s="7">
        <v>360</v>
      </c>
      <c r="U55" s="7"/>
      <c r="V55" s="7">
        <v>220</v>
      </c>
      <c r="W55" s="7"/>
      <c r="X55" s="7">
        <v>320</v>
      </c>
      <c r="Y55" s="38"/>
      <c r="Z55" s="7">
        <v>200</v>
      </c>
      <c r="AA55" s="7"/>
      <c r="AB55" s="7"/>
      <c r="AD55" s="9">
        <f t="shared" si="2"/>
        <v>2780</v>
      </c>
      <c r="AE55" s="6">
        <v>1609</v>
      </c>
      <c r="AF55" s="49">
        <f t="shared" si="3"/>
        <v>1.7277812305779987</v>
      </c>
    </row>
    <row r="56" spans="1:32">
      <c r="A56" s="23" t="s">
        <v>40</v>
      </c>
      <c r="B56" s="8"/>
      <c r="C56" s="7">
        <v>160</v>
      </c>
      <c r="D56" s="7"/>
      <c r="E56" s="7"/>
      <c r="F56" s="7"/>
      <c r="G56" s="38"/>
      <c r="H56" s="7"/>
      <c r="I56" s="7"/>
      <c r="J56" s="7"/>
      <c r="K56" s="7"/>
      <c r="L56" s="7"/>
      <c r="M56" s="38"/>
      <c r="N56" s="7"/>
      <c r="O56" s="7">
        <v>60</v>
      </c>
      <c r="P56" s="7"/>
      <c r="Q56" s="7"/>
      <c r="R56" s="7"/>
      <c r="S56" s="38"/>
      <c r="T56" s="7"/>
      <c r="U56" s="7">
        <v>140</v>
      </c>
      <c r="V56" s="7"/>
      <c r="W56" s="7"/>
      <c r="X56" s="7"/>
      <c r="Y56" s="38"/>
      <c r="Z56" s="7"/>
      <c r="AA56" s="7"/>
      <c r="AB56" s="7">
        <v>840</v>
      </c>
      <c r="AD56" s="9">
        <f t="shared" si="2"/>
        <v>1200</v>
      </c>
      <c r="AE56" s="6">
        <v>740</v>
      </c>
      <c r="AF56" s="49">
        <f t="shared" si="3"/>
        <v>1.6216216216216217</v>
      </c>
    </row>
    <row r="57" spans="1:32">
      <c r="A57" s="24" t="s">
        <v>2</v>
      </c>
      <c r="B57" s="8">
        <v>80</v>
      </c>
      <c r="C57" s="7"/>
      <c r="D57" s="7"/>
      <c r="E57" s="7">
        <v>80</v>
      </c>
      <c r="F57" s="7"/>
      <c r="G57" s="38"/>
      <c r="H57" s="7">
        <v>20</v>
      </c>
      <c r="I57" s="7"/>
      <c r="J57" s="7"/>
      <c r="K57" s="7">
        <v>80</v>
      </c>
      <c r="L57" s="7"/>
      <c r="M57" s="38"/>
      <c r="N57" s="7">
        <v>80</v>
      </c>
      <c r="O57" s="7"/>
      <c r="P57" s="7"/>
      <c r="Q57" s="7">
        <v>160</v>
      </c>
      <c r="R57" s="7"/>
      <c r="S57" s="38"/>
      <c r="T57" s="7">
        <v>60</v>
      </c>
      <c r="U57" s="7"/>
      <c r="V57" s="7"/>
      <c r="W57" s="7">
        <v>80</v>
      </c>
      <c r="X57" s="7"/>
      <c r="Y57" s="38"/>
      <c r="Z57" s="7">
        <v>320</v>
      </c>
      <c r="AA57" s="7"/>
      <c r="AB57" s="7"/>
      <c r="AD57" s="9">
        <f t="shared" si="2"/>
        <v>960</v>
      </c>
      <c r="AE57" s="6">
        <v>604</v>
      </c>
      <c r="AF57" s="49">
        <f t="shared" si="3"/>
        <v>1.5894039735099337</v>
      </c>
    </row>
    <row r="58" spans="1:32">
      <c r="A58" s="23" t="s">
        <v>53</v>
      </c>
      <c r="B58" s="8"/>
      <c r="C58" s="7">
        <v>400</v>
      </c>
      <c r="D58" s="7"/>
      <c r="E58" s="7"/>
      <c r="F58" s="7"/>
      <c r="G58" s="38"/>
      <c r="H58" s="7"/>
      <c r="I58" s="7"/>
      <c r="J58" s="7"/>
      <c r="K58" s="7"/>
      <c r="L58" s="7"/>
      <c r="M58" s="38"/>
      <c r="N58" s="7"/>
      <c r="O58" s="7">
        <v>340</v>
      </c>
      <c r="P58" s="7"/>
      <c r="Q58" s="7"/>
      <c r="R58" s="7"/>
      <c r="S58" s="38"/>
      <c r="T58" s="7"/>
      <c r="U58" s="7"/>
      <c r="V58" s="7"/>
      <c r="W58" s="7"/>
      <c r="X58" s="7"/>
      <c r="Y58" s="38"/>
      <c r="Z58" s="7"/>
      <c r="AA58" s="7"/>
      <c r="AB58" s="7">
        <v>580</v>
      </c>
      <c r="AD58" s="9">
        <f t="shared" si="2"/>
        <v>1320</v>
      </c>
      <c r="AE58" s="6">
        <v>846</v>
      </c>
      <c r="AF58" s="49">
        <f t="shared" si="3"/>
        <v>1.5602836879432624</v>
      </c>
    </row>
    <row r="59" spans="1:32">
      <c r="A59" s="25" t="s">
        <v>13</v>
      </c>
      <c r="B59" s="8"/>
      <c r="C59" s="7"/>
      <c r="D59" s="7"/>
      <c r="E59" s="7">
        <v>180</v>
      </c>
      <c r="F59" s="7"/>
      <c r="G59" s="38"/>
      <c r="H59" s="7">
        <v>80</v>
      </c>
      <c r="I59" s="7"/>
      <c r="J59" s="7"/>
      <c r="K59" s="7">
        <v>220</v>
      </c>
      <c r="L59" s="7"/>
      <c r="M59" s="38"/>
      <c r="N59" s="7">
        <v>620</v>
      </c>
      <c r="O59" s="7"/>
      <c r="P59" s="7"/>
      <c r="Q59" s="7">
        <v>220</v>
      </c>
      <c r="R59" s="7"/>
      <c r="S59" s="38"/>
      <c r="T59" s="7">
        <v>480</v>
      </c>
      <c r="U59" s="7"/>
      <c r="V59" s="7"/>
      <c r="W59" s="7">
        <v>180</v>
      </c>
      <c r="X59" s="7"/>
      <c r="Y59" s="38"/>
      <c r="Z59" s="7"/>
      <c r="AA59" s="7"/>
      <c r="AB59" s="7"/>
      <c r="AD59" s="9">
        <f t="shared" si="2"/>
        <v>1980</v>
      </c>
      <c r="AE59" s="6">
        <v>1274</v>
      </c>
      <c r="AF59" s="49">
        <f t="shared" si="3"/>
        <v>1.554160125588697</v>
      </c>
    </row>
    <row r="60" spans="1:32">
      <c r="A60" s="24" t="s">
        <v>4</v>
      </c>
      <c r="B60" s="8"/>
      <c r="C60" s="7"/>
      <c r="D60" s="7"/>
      <c r="E60" s="7">
        <v>280</v>
      </c>
      <c r="F60" s="7"/>
      <c r="G60" s="38"/>
      <c r="H60" s="7"/>
      <c r="I60" s="7"/>
      <c r="J60" s="7"/>
      <c r="K60" s="7">
        <v>200</v>
      </c>
      <c r="L60" s="7"/>
      <c r="M60" s="38"/>
      <c r="N60" s="7"/>
      <c r="O60" s="7"/>
      <c r="P60" s="7"/>
      <c r="Q60" s="7">
        <v>260</v>
      </c>
      <c r="R60" s="7"/>
      <c r="S60" s="38"/>
      <c r="T60" s="7"/>
      <c r="U60" s="7"/>
      <c r="V60" s="7"/>
      <c r="W60" s="7">
        <v>140</v>
      </c>
      <c r="X60" s="7"/>
      <c r="Y60" s="38"/>
      <c r="Z60" s="7"/>
      <c r="AA60" s="7"/>
      <c r="AB60" s="7"/>
      <c r="AD60" s="9">
        <f t="shared" si="2"/>
        <v>880</v>
      </c>
      <c r="AE60" s="6">
        <v>573</v>
      </c>
      <c r="AF60" s="49">
        <f t="shared" si="3"/>
        <v>1.5357766143106457</v>
      </c>
    </row>
    <row r="61" spans="1:32">
      <c r="A61" s="23" t="s">
        <v>39</v>
      </c>
      <c r="B61" s="8"/>
      <c r="C61" s="7">
        <v>220</v>
      </c>
      <c r="D61" s="7"/>
      <c r="E61" s="7"/>
      <c r="F61" s="7">
        <v>40</v>
      </c>
      <c r="G61" s="38"/>
      <c r="H61" s="7"/>
      <c r="I61" s="7"/>
      <c r="J61" s="7"/>
      <c r="K61" s="7"/>
      <c r="L61" s="7">
        <v>400</v>
      </c>
      <c r="M61" s="38"/>
      <c r="N61" s="7"/>
      <c r="O61" s="7">
        <v>300</v>
      </c>
      <c r="P61" s="7"/>
      <c r="Q61" s="7"/>
      <c r="R61" s="7">
        <v>200</v>
      </c>
      <c r="S61" s="38"/>
      <c r="T61" s="7"/>
      <c r="U61" s="7">
        <v>180</v>
      </c>
      <c r="V61" s="7"/>
      <c r="W61" s="7"/>
      <c r="X61" s="7">
        <v>20</v>
      </c>
      <c r="Y61" s="38"/>
      <c r="Z61" s="7"/>
      <c r="AA61" s="7"/>
      <c r="AB61" s="7">
        <v>160</v>
      </c>
      <c r="AD61" s="9">
        <f t="shared" si="2"/>
        <v>1520</v>
      </c>
      <c r="AE61" s="6">
        <v>1028</v>
      </c>
      <c r="AF61" s="49">
        <f t="shared" si="3"/>
        <v>1.4785992217898833</v>
      </c>
    </row>
    <row r="62" spans="1:32">
      <c r="A62" s="23" t="s">
        <v>37</v>
      </c>
      <c r="B62" s="8">
        <v>200</v>
      </c>
      <c r="C62" s="7"/>
      <c r="D62" s="7"/>
      <c r="E62" s="7"/>
      <c r="F62" s="7"/>
      <c r="G62" s="38"/>
      <c r="H62" s="7">
        <v>320</v>
      </c>
      <c r="I62" s="7"/>
      <c r="J62" s="7"/>
      <c r="K62" s="7"/>
      <c r="L62" s="7"/>
      <c r="M62" s="38"/>
      <c r="N62" s="7">
        <v>20</v>
      </c>
      <c r="O62" s="7"/>
      <c r="P62" s="7"/>
      <c r="Q62" s="7"/>
      <c r="R62" s="7"/>
      <c r="S62" s="38"/>
      <c r="T62" s="7">
        <v>180</v>
      </c>
      <c r="U62" s="7"/>
      <c r="V62" s="7"/>
      <c r="W62" s="7"/>
      <c r="X62" s="7"/>
      <c r="Y62" s="38"/>
      <c r="Z62" s="7">
        <v>300</v>
      </c>
      <c r="AA62" s="7"/>
      <c r="AB62" s="7"/>
      <c r="AD62" s="9">
        <f t="shared" si="2"/>
        <v>1020</v>
      </c>
      <c r="AE62" s="6">
        <v>691</v>
      </c>
      <c r="AF62" s="49">
        <f t="shared" si="3"/>
        <v>1.4761215629522431</v>
      </c>
    </row>
    <row r="63" spans="1:32">
      <c r="A63" s="25" t="s">
        <v>7</v>
      </c>
      <c r="B63" s="8"/>
      <c r="C63" s="7"/>
      <c r="D63" s="7">
        <v>40</v>
      </c>
      <c r="E63" s="7"/>
      <c r="F63" s="7">
        <v>260</v>
      </c>
      <c r="G63" s="38"/>
      <c r="H63" s="7">
        <v>200</v>
      </c>
      <c r="I63" s="7"/>
      <c r="J63" s="7">
        <v>180</v>
      </c>
      <c r="K63" s="7"/>
      <c r="L63" s="7">
        <v>240</v>
      </c>
      <c r="M63" s="38"/>
      <c r="N63" s="7">
        <v>240</v>
      </c>
      <c r="O63" s="7"/>
      <c r="P63" s="7">
        <v>180</v>
      </c>
      <c r="Q63" s="7"/>
      <c r="R63" s="7">
        <v>260</v>
      </c>
      <c r="S63" s="38"/>
      <c r="T63" s="7"/>
      <c r="U63" s="7"/>
      <c r="V63" s="7" t="s">
        <v>85</v>
      </c>
      <c r="W63" s="7">
        <v>220</v>
      </c>
      <c r="X63" s="7">
        <v>80</v>
      </c>
      <c r="Y63" s="38"/>
      <c r="Z63" s="7">
        <v>440</v>
      </c>
      <c r="AA63" s="7"/>
      <c r="AB63" s="7"/>
      <c r="AD63" s="9">
        <f t="shared" si="2"/>
        <v>2340</v>
      </c>
      <c r="AE63" s="6">
        <v>1646</v>
      </c>
      <c r="AF63" s="49">
        <f t="shared" si="3"/>
        <v>1.4216281895504252</v>
      </c>
    </row>
    <row r="64" spans="1:32">
      <c r="A64" s="23" t="s">
        <v>10</v>
      </c>
      <c r="B64" s="8"/>
      <c r="C64" s="7"/>
      <c r="D64" s="7"/>
      <c r="E64" s="7">
        <v>280</v>
      </c>
      <c r="F64" s="7"/>
      <c r="G64" s="38"/>
      <c r="H64" s="7"/>
      <c r="I64" s="7"/>
      <c r="J64" s="7"/>
      <c r="K64" s="7">
        <v>60</v>
      </c>
      <c r="L64" s="7"/>
      <c r="M64" s="38"/>
      <c r="N64" s="7"/>
      <c r="O64" s="7"/>
      <c r="P64" s="7"/>
      <c r="Q64" s="7">
        <v>300</v>
      </c>
      <c r="R64" s="7"/>
      <c r="S64" s="38"/>
      <c r="T64" s="7"/>
      <c r="U64" s="7"/>
      <c r="V64" s="7"/>
      <c r="W64" s="7">
        <v>60</v>
      </c>
      <c r="X64" s="7"/>
      <c r="Y64" s="38"/>
      <c r="Z64" s="7"/>
      <c r="AA64" s="7"/>
      <c r="AB64" s="7"/>
      <c r="AD64" s="9">
        <f t="shared" si="2"/>
        <v>700</v>
      </c>
      <c r="AE64" s="6">
        <v>541</v>
      </c>
      <c r="AF64" s="49">
        <f t="shared" si="3"/>
        <v>1.2939001848428835</v>
      </c>
    </row>
    <row r="65" spans="1:32">
      <c r="A65" s="24" t="s">
        <v>0</v>
      </c>
      <c r="B65" s="8">
        <v>80</v>
      </c>
      <c r="C65" s="7"/>
      <c r="D65" s="7"/>
      <c r="E65" s="7">
        <v>100</v>
      </c>
      <c r="F65" s="7"/>
      <c r="G65" s="38"/>
      <c r="H65" s="7">
        <v>200</v>
      </c>
      <c r="I65" s="7"/>
      <c r="J65" s="7"/>
      <c r="K65" s="7">
        <v>20</v>
      </c>
      <c r="L65" s="7"/>
      <c r="M65" s="38"/>
      <c r="N65" s="7">
        <v>80</v>
      </c>
      <c r="O65" s="7"/>
      <c r="P65" s="7"/>
      <c r="Q65" s="7">
        <v>60</v>
      </c>
      <c r="R65" s="7"/>
      <c r="S65" s="38"/>
      <c r="T65" s="7">
        <v>160</v>
      </c>
      <c r="U65" s="7"/>
      <c r="V65" s="7"/>
      <c r="W65" s="7">
        <v>100</v>
      </c>
      <c r="X65" s="7"/>
      <c r="Y65" s="38"/>
      <c r="Z65" s="7">
        <v>120</v>
      </c>
      <c r="AA65" s="7"/>
      <c r="AB65" s="7"/>
      <c r="AD65" s="9">
        <f t="shared" si="2"/>
        <v>920</v>
      </c>
      <c r="AE65" s="6">
        <v>797</v>
      </c>
      <c r="AF65" s="49">
        <f t="shared" si="3"/>
        <v>1.1543287327478042</v>
      </c>
    </row>
    <row r="66" spans="1:32">
      <c r="A66" s="23" t="s">
        <v>60</v>
      </c>
      <c r="B66" s="8"/>
      <c r="C66" s="7"/>
      <c r="D66" s="7"/>
      <c r="E66" s="7"/>
      <c r="F66" s="7">
        <v>160</v>
      </c>
      <c r="G66" s="38"/>
      <c r="H66" s="7"/>
      <c r="I66" s="7"/>
      <c r="J66" s="7"/>
      <c r="K66" s="7"/>
      <c r="L66" s="7">
        <v>120</v>
      </c>
      <c r="M66" s="38"/>
      <c r="N66" s="7"/>
      <c r="O66" s="7"/>
      <c r="P66" s="7"/>
      <c r="Q66" s="7"/>
      <c r="R66" s="7">
        <v>180</v>
      </c>
      <c r="S66" s="38"/>
      <c r="T66" s="7"/>
      <c r="U66" s="7"/>
      <c r="V66" s="7"/>
      <c r="W66" s="7"/>
      <c r="X66" s="7">
        <v>140</v>
      </c>
      <c r="Y66" s="38"/>
      <c r="Z66" s="7"/>
      <c r="AA66" s="7"/>
      <c r="AB66" s="7"/>
      <c r="AD66" s="9">
        <f t="shared" si="2"/>
        <v>600</v>
      </c>
      <c r="AE66" s="6">
        <v>598</v>
      </c>
      <c r="AF66" s="49">
        <f t="shared" si="3"/>
        <v>1.0033444816053512</v>
      </c>
    </row>
    <row r="67" spans="1:32" ht="15.75" thickBot="1">
      <c r="A67" s="23" t="s">
        <v>63</v>
      </c>
      <c r="B67" s="8"/>
      <c r="C67" s="7"/>
      <c r="D67" s="7"/>
      <c r="E67" s="7">
        <v>280</v>
      </c>
      <c r="F67" s="7"/>
      <c r="G67" s="38"/>
      <c r="H67" s="7"/>
      <c r="I67" s="7"/>
      <c r="J67" s="7"/>
      <c r="K67" s="7">
        <v>60</v>
      </c>
      <c r="L67" s="7"/>
      <c r="M67" s="38"/>
      <c r="N67" s="7"/>
      <c r="O67" s="7"/>
      <c r="P67" s="7"/>
      <c r="Q67" s="7">
        <v>180</v>
      </c>
      <c r="R67" s="7"/>
      <c r="S67" s="38"/>
      <c r="T67" s="7"/>
      <c r="U67" s="7"/>
      <c r="V67" s="7"/>
      <c r="W67" s="7">
        <v>160</v>
      </c>
      <c r="X67" s="7"/>
      <c r="Y67" s="38"/>
      <c r="Z67" s="7"/>
      <c r="AA67" s="7"/>
      <c r="AB67" s="7"/>
      <c r="AD67" s="9">
        <f t="shared" si="2"/>
        <v>680</v>
      </c>
      <c r="AE67" s="14">
        <v>762</v>
      </c>
      <c r="AF67" s="49">
        <f t="shared" si="3"/>
        <v>0.8923884514435696</v>
      </c>
    </row>
    <row r="69" spans="1:32">
      <c r="AD69" s="92">
        <f>SUM(AD6:AD68)</f>
        <v>132140</v>
      </c>
    </row>
  </sheetData>
  <sortState ref="A6:AH67">
    <sortCondition descending="1" ref="AF6:AF67"/>
  </sortState>
  <mergeCells count="1">
    <mergeCell ref="A1:AF1"/>
  </mergeCells>
  <pageMargins left="0.25" right="0.25" top="0.75" bottom="0.75" header="0.3" footer="0.3"/>
  <pageSetup paperSize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69"/>
  <sheetViews>
    <sheetView topLeftCell="A24" zoomScale="70" zoomScaleNormal="70" workbookViewId="0">
      <selection activeCell="AF6" sqref="AF6:AF69"/>
    </sheetView>
  </sheetViews>
  <sheetFormatPr defaultRowHeight="15"/>
  <cols>
    <col min="1" max="1" width="38.5703125" style="1" customWidth="1"/>
    <col min="2" max="6" width="5.5703125" customWidth="1"/>
    <col min="7" max="7" width="2.140625" style="36" customWidth="1"/>
    <col min="8" max="12" width="5.5703125" customWidth="1"/>
    <col min="13" max="13" width="2.140625" style="36" customWidth="1"/>
    <col min="14" max="18" width="5.5703125" customWidth="1"/>
    <col min="19" max="19" width="2.28515625" style="36" customWidth="1"/>
    <col min="20" max="24" width="5.5703125" customWidth="1"/>
    <col min="25" max="25" width="2.140625" style="36" customWidth="1"/>
    <col min="26" max="30" width="5.5703125" customWidth="1"/>
    <col min="31" max="31" width="2" customWidth="1"/>
    <col min="32" max="32" width="17.140625" customWidth="1"/>
    <col min="33" max="33" width="15" customWidth="1"/>
    <col min="34" max="34" width="13.140625" customWidth="1"/>
  </cols>
  <sheetData>
    <row r="1" spans="1:36" s="44" customFormat="1" ht="29.25" customHeight="1">
      <c r="A1" s="93" t="s">
        <v>81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</row>
    <row r="2" spans="1:36" ht="6.75" customHeight="1">
      <c r="A2" s="41"/>
      <c r="B2" s="42"/>
      <c r="C2" s="42"/>
      <c r="D2" s="42"/>
      <c r="E2" s="42"/>
      <c r="F2" s="42"/>
      <c r="G2" s="43"/>
      <c r="H2" s="42"/>
      <c r="I2" s="42"/>
      <c r="J2" s="42"/>
      <c r="K2" s="42"/>
      <c r="L2" s="42"/>
      <c r="M2" s="43"/>
      <c r="N2" s="42"/>
      <c r="O2" s="42"/>
      <c r="P2" s="42"/>
      <c r="Q2" s="42"/>
      <c r="R2" s="42"/>
      <c r="S2" s="43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</row>
    <row r="3" spans="1:36" ht="18.75" customHeight="1" thickBot="1">
      <c r="A3" s="1" t="s">
        <v>80</v>
      </c>
      <c r="B3" t="s">
        <v>70</v>
      </c>
      <c r="C3" t="s">
        <v>71</v>
      </c>
      <c r="D3" t="s">
        <v>72</v>
      </c>
      <c r="E3" t="s">
        <v>74</v>
      </c>
      <c r="F3" t="s">
        <v>73</v>
      </c>
      <c r="H3" t="s">
        <v>70</v>
      </c>
      <c r="I3" t="s">
        <v>71</v>
      </c>
      <c r="J3" t="s">
        <v>72</v>
      </c>
      <c r="K3" t="s">
        <v>74</v>
      </c>
      <c r="L3" t="s">
        <v>73</v>
      </c>
      <c r="N3" t="s">
        <v>70</v>
      </c>
      <c r="O3" t="s">
        <v>71</v>
      </c>
      <c r="P3" t="s">
        <v>72</v>
      </c>
      <c r="Q3" t="s">
        <v>74</v>
      </c>
      <c r="R3" t="s">
        <v>73</v>
      </c>
      <c r="T3" t="s">
        <v>70</v>
      </c>
      <c r="U3" t="s">
        <v>71</v>
      </c>
      <c r="V3" t="s">
        <v>72</v>
      </c>
      <c r="W3" t="s">
        <v>74</v>
      </c>
      <c r="X3" t="s">
        <v>73</v>
      </c>
      <c r="Y3"/>
      <c r="Z3" t="s">
        <v>70</v>
      </c>
      <c r="AA3" t="s">
        <v>71</v>
      </c>
      <c r="AB3" t="s">
        <v>72</v>
      </c>
      <c r="AC3" t="s">
        <v>74</v>
      </c>
      <c r="AD3" t="s">
        <v>73</v>
      </c>
    </row>
    <row r="4" spans="1:36" s="4" customFormat="1" ht="45" customHeight="1" thickBot="1">
      <c r="A4" s="17" t="s">
        <v>29</v>
      </c>
      <c r="B4" s="15"/>
      <c r="C4" s="15"/>
      <c r="D4" s="15"/>
      <c r="E4" s="15">
        <v>1</v>
      </c>
      <c r="F4" s="15">
        <v>2</v>
      </c>
      <c r="G4" s="37"/>
      <c r="H4" s="15">
        <v>5</v>
      </c>
      <c r="I4" s="15">
        <v>6</v>
      </c>
      <c r="J4" s="15">
        <v>7</v>
      </c>
      <c r="K4" s="15">
        <v>8</v>
      </c>
      <c r="L4" s="15">
        <v>9</v>
      </c>
      <c r="M4" s="37"/>
      <c r="N4" s="15">
        <v>12</v>
      </c>
      <c r="O4" s="15">
        <v>13</v>
      </c>
      <c r="P4" s="15">
        <v>14</v>
      </c>
      <c r="Q4" s="15">
        <v>15</v>
      </c>
      <c r="R4" s="15">
        <v>16</v>
      </c>
      <c r="S4" s="37"/>
      <c r="T4" s="15">
        <v>19</v>
      </c>
      <c r="U4" s="15">
        <v>20</v>
      </c>
      <c r="V4" s="15">
        <v>21</v>
      </c>
      <c r="W4" s="29">
        <v>22</v>
      </c>
      <c r="X4" s="15">
        <v>23</v>
      </c>
      <c r="Y4" s="37"/>
      <c r="Z4" s="15">
        <v>26</v>
      </c>
      <c r="AA4" s="15">
        <v>27</v>
      </c>
      <c r="AB4" s="16">
        <v>28</v>
      </c>
      <c r="AC4" s="15">
        <v>29</v>
      </c>
      <c r="AD4" s="16">
        <v>30</v>
      </c>
      <c r="AF4" s="10" t="s">
        <v>30</v>
      </c>
      <c r="AG4" s="11" t="s">
        <v>31</v>
      </c>
      <c r="AH4" s="12" t="s">
        <v>32</v>
      </c>
      <c r="AI4" s="5"/>
      <c r="AJ4" s="5"/>
    </row>
    <row r="5" spans="1:36" s="20" customFormat="1">
      <c r="A5" s="40" t="s">
        <v>28</v>
      </c>
      <c r="B5" s="32"/>
      <c r="C5" s="21"/>
      <c r="D5" s="21"/>
      <c r="E5" s="21"/>
      <c r="F5" s="21"/>
      <c r="G5" s="38"/>
      <c r="H5" s="21"/>
      <c r="I5" s="21"/>
      <c r="J5" s="21"/>
      <c r="K5" s="21"/>
      <c r="L5" s="21"/>
      <c r="M5" s="38"/>
      <c r="N5" s="21"/>
      <c r="O5" s="21"/>
      <c r="P5" s="21"/>
      <c r="Q5" s="21"/>
      <c r="R5" s="21"/>
      <c r="S5" s="38"/>
      <c r="T5" s="21"/>
      <c r="U5" s="21"/>
      <c r="V5" s="21"/>
      <c r="W5" s="21"/>
      <c r="X5" s="21"/>
      <c r="Y5" s="38"/>
      <c r="Z5" s="21"/>
      <c r="AA5" s="21"/>
      <c r="AB5" s="21"/>
      <c r="AC5" s="21"/>
      <c r="AD5" s="21"/>
      <c r="AF5" s="33"/>
      <c r="AG5" s="34"/>
      <c r="AH5" s="35"/>
    </row>
    <row r="6" spans="1:36">
      <c r="A6" s="23" t="s">
        <v>41</v>
      </c>
      <c r="B6" s="8"/>
      <c r="C6" s="7"/>
      <c r="D6" s="7"/>
      <c r="E6" s="7">
        <v>1660</v>
      </c>
      <c r="F6" s="7"/>
      <c r="G6" s="38"/>
      <c r="H6" s="7"/>
      <c r="I6" s="7"/>
      <c r="J6" s="7"/>
      <c r="K6" s="7">
        <v>220</v>
      </c>
      <c r="L6" s="7"/>
      <c r="M6" s="38"/>
      <c r="N6" s="7"/>
      <c r="O6" s="7"/>
      <c r="P6" s="7"/>
      <c r="Q6" s="7">
        <v>240</v>
      </c>
      <c r="R6" s="7"/>
      <c r="S6" s="38"/>
      <c r="T6" s="7"/>
      <c r="U6" s="7"/>
      <c r="V6" s="7"/>
      <c r="W6" s="7"/>
      <c r="X6" s="7">
        <v>280</v>
      </c>
      <c r="Y6" s="38"/>
      <c r="Z6" s="7"/>
      <c r="AA6" s="7"/>
      <c r="AB6" s="7"/>
      <c r="AC6" s="7">
        <v>1240</v>
      </c>
      <c r="AD6" s="7"/>
      <c r="AF6" s="9">
        <f t="shared" ref="AF6:AF37" si="0">SUM(E6:AE6)</f>
        <v>3640</v>
      </c>
      <c r="AG6" s="6">
        <v>342</v>
      </c>
      <c r="AH6" s="49">
        <f t="shared" ref="AH6:AH37" si="1">AF6/AG6</f>
        <v>10.64327485380117</v>
      </c>
    </row>
    <row r="7" spans="1:36">
      <c r="A7" s="48" t="s">
        <v>6</v>
      </c>
      <c r="B7" s="8"/>
      <c r="C7" s="7"/>
      <c r="D7" s="7"/>
      <c r="E7" s="7">
        <v>60</v>
      </c>
      <c r="F7" s="7"/>
      <c r="G7" s="38"/>
      <c r="H7" s="7"/>
      <c r="I7" s="7">
        <v>220</v>
      </c>
      <c r="J7" s="7"/>
      <c r="K7" s="7">
        <v>60</v>
      </c>
      <c r="L7" s="7"/>
      <c r="M7" s="38"/>
      <c r="N7" s="7"/>
      <c r="O7" s="7"/>
      <c r="P7" s="7"/>
      <c r="Q7" s="7">
        <v>40</v>
      </c>
      <c r="R7" s="7"/>
      <c r="S7" s="38"/>
      <c r="T7" s="7"/>
      <c r="U7" s="7">
        <v>0</v>
      </c>
      <c r="V7" s="7"/>
      <c r="W7" s="7"/>
      <c r="X7" s="7">
        <v>180</v>
      </c>
      <c r="Y7" s="38"/>
      <c r="Z7" s="7"/>
      <c r="AA7" s="7">
        <v>40</v>
      </c>
      <c r="AB7" s="7"/>
      <c r="AC7" s="7">
        <v>140</v>
      </c>
      <c r="AD7" s="7"/>
      <c r="AF7" s="9">
        <f t="shared" si="0"/>
        <v>740</v>
      </c>
      <c r="AG7" s="6">
        <v>121</v>
      </c>
      <c r="AH7" s="49">
        <f t="shared" si="1"/>
        <v>6.115702479338843</v>
      </c>
    </row>
    <row r="8" spans="1:36">
      <c r="A8" s="23" t="s">
        <v>47</v>
      </c>
      <c r="B8" s="8"/>
      <c r="C8" s="7"/>
      <c r="D8" s="7"/>
      <c r="E8" s="7">
        <v>1280</v>
      </c>
      <c r="F8" s="7"/>
      <c r="G8" s="38"/>
      <c r="H8" s="7"/>
      <c r="I8" s="7"/>
      <c r="J8" s="7"/>
      <c r="K8" s="7">
        <v>120</v>
      </c>
      <c r="L8" s="7"/>
      <c r="M8" s="38"/>
      <c r="N8" s="7"/>
      <c r="O8" s="7"/>
      <c r="P8" s="7"/>
      <c r="Q8" s="7">
        <v>260</v>
      </c>
      <c r="R8" s="7"/>
      <c r="S8" s="38"/>
      <c r="T8" s="7"/>
      <c r="U8" s="7"/>
      <c r="V8" s="7"/>
      <c r="W8" s="7"/>
      <c r="X8" s="7">
        <v>140</v>
      </c>
      <c r="Y8" s="38"/>
      <c r="Z8" s="7"/>
      <c r="AA8" s="7"/>
      <c r="AB8" s="7"/>
      <c r="AC8" s="7">
        <v>160</v>
      </c>
      <c r="AD8" s="7"/>
      <c r="AF8" s="9">
        <f t="shared" si="0"/>
        <v>1960</v>
      </c>
      <c r="AG8" s="6">
        <v>334</v>
      </c>
      <c r="AH8" s="49">
        <f t="shared" si="1"/>
        <v>5.8682634730538918</v>
      </c>
    </row>
    <row r="9" spans="1:36">
      <c r="A9" s="23" t="s">
        <v>50</v>
      </c>
      <c r="B9" s="8"/>
      <c r="C9" s="7"/>
      <c r="D9" s="7"/>
      <c r="E9" s="7"/>
      <c r="F9" s="7"/>
      <c r="G9" s="38"/>
      <c r="H9" s="7"/>
      <c r="I9" s="7">
        <v>100</v>
      </c>
      <c r="J9" s="7"/>
      <c r="K9" s="7"/>
      <c r="L9" s="7"/>
      <c r="M9" s="38"/>
      <c r="N9" s="7"/>
      <c r="O9" s="7"/>
      <c r="P9" s="7"/>
      <c r="Q9" s="7"/>
      <c r="R9" s="7"/>
      <c r="S9" s="38"/>
      <c r="T9" s="7"/>
      <c r="U9" s="7">
        <v>560</v>
      </c>
      <c r="V9" s="7"/>
      <c r="W9" s="7"/>
      <c r="X9" s="7"/>
      <c r="Y9" s="38"/>
      <c r="Z9" s="7"/>
      <c r="AA9" s="7">
        <v>1120</v>
      </c>
      <c r="AB9" s="7"/>
      <c r="AC9" s="7"/>
      <c r="AD9" s="7">
        <v>1980</v>
      </c>
      <c r="AF9" s="9">
        <f t="shared" si="0"/>
        <v>3760</v>
      </c>
      <c r="AG9" s="6">
        <v>702</v>
      </c>
      <c r="AH9" s="49">
        <f t="shared" si="1"/>
        <v>5.3561253561253563</v>
      </c>
    </row>
    <row r="10" spans="1:36">
      <c r="A10" s="48" t="s">
        <v>16</v>
      </c>
      <c r="B10" s="8"/>
      <c r="C10" s="7"/>
      <c r="D10" s="7"/>
      <c r="E10" s="7"/>
      <c r="F10" s="7">
        <v>160</v>
      </c>
      <c r="G10" s="38"/>
      <c r="H10" s="7"/>
      <c r="I10" s="7">
        <v>160</v>
      </c>
      <c r="J10" s="7"/>
      <c r="K10" s="7"/>
      <c r="L10" s="7">
        <v>140</v>
      </c>
      <c r="M10" s="38"/>
      <c r="N10" s="7"/>
      <c r="O10" s="7"/>
      <c r="P10" s="7"/>
      <c r="Q10" s="7"/>
      <c r="R10" s="7">
        <v>120</v>
      </c>
      <c r="S10" s="38"/>
      <c r="T10" s="7"/>
      <c r="U10" s="7">
        <v>100</v>
      </c>
      <c r="V10" s="7"/>
      <c r="W10" s="7"/>
      <c r="X10" s="7"/>
      <c r="Y10" s="38"/>
      <c r="Z10" s="7"/>
      <c r="AA10" s="7">
        <v>20</v>
      </c>
      <c r="AB10" s="7"/>
      <c r="AC10" s="7"/>
      <c r="AD10" s="7">
        <v>140</v>
      </c>
      <c r="AF10" s="9">
        <f t="shared" si="0"/>
        <v>840</v>
      </c>
      <c r="AG10" s="6">
        <v>177</v>
      </c>
      <c r="AH10" s="49">
        <f t="shared" si="1"/>
        <v>4.7457627118644066</v>
      </c>
    </row>
    <row r="11" spans="1:36">
      <c r="A11" s="24" t="s">
        <v>23</v>
      </c>
      <c r="B11" s="8"/>
      <c r="C11" s="7"/>
      <c r="D11" s="7"/>
      <c r="E11" s="7"/>
      <c r="F11" s="7">
        <v>340</v>
      </c>
      <c r="G11" s="38"/>
      <c r="H11" s="7"/>
      <c r="I11" s="7">
        <v>20</v>
      </c>
      <c r="J11" s="7"/>
      <c r="K11" s="7"/>
      <c r="L11" s="7">
        <v>100</v>
      </c>
      <c r="M11" s="38"/>
      <c r="N11" s="7"/>
      <c r="O11" s="7"/>
      <c r="P11" s="7"/>
      <c r="Q11" s="7"/>
      <c r="R11" s="7">
        <v>20</v>
      </c>
      <c r="S11" s="38"/>
      <c r="T11" s="7"/>
      <c r="U11" s="7">
        <v>1660</v>
      </c>
      <c r="V11" s="7"/>
      <c r="W11" s="7"/>
      <c r="X11" s="7"/>
      <c r="Y11" s="38"/>
      <c r="Z11" s="7"/>
      <c r="AA11" s="7">
        <v>20</v>
      </c>
      <c r="AB11" s="7"/>
      <c r="AC11" s="7"/>
      <c r="AD11" s="7">
        <v>1720</v>
      </c>
      <c r="AF11" s="9">
        <f t="shared" si="0"/>
        <v>3880</v>
      </c>
      <c r="AG11" s="6">
        <v>830</v>
      </c>
      <c r="AH11" s="49">
        <f t="shared" si="1"/>
        <v>4.6746987951807233</v>
      </c>
    </row>
    <row r="12" spans="1:36">
      <c r="A12" s="23" t="s">
        <v>45</v>
      </c>
      <c r="B12" s="8"/>
      <c r="C12" s="7"/>
      <c r="D12" s="7"/>
      <c r="E12" s="7"/>
      <c r="F12" s="7">
        <v>320</v>
      </c>
      <c r="G12" s="38"/>
      <c r="H12" s="7"/>
      <c r="I12" s="7"/>
      <c r="J12" s="7"/>
      <c r="K12" s="7"/>
      <c r="L12" s="7">
        <v>100</v>
      </c>
      <c r="M12" s="38"/>
      <c r="N12" s="7"/>
      <c r="O12" s="7"/>
      <c r="P12" s="7"/>
      <c r="Q12" s="7"/>
      <c r="R12" s="7">
        <v>260</v>
      </c>
      <c r="S12" s="38"/>
      <c r="T12" s="7"/>
      <c r="U12" s="7"/>
      <c r="V12" s="7"/>
      <c r="W12" s="7"/>
      <c r="X12" s="7"/>
      <c r="Y12" s="38"/>
      <c r="Z12" s="7"/>
      <c r="AA12" s="7"/>
      <c r="AB12" s="7"/>
      <c r="AC12" s="7"/>
      <c r="AD12" s="7">
        <v>1360</v>
      </c>
      <c r="AF12" s="9">
        <f t="shared" si="0"/>
        <v>2040</v>
      </c>
      <c r="AG12" s="6">
        <v>442</v>
      </c>
      <c r="AH12" s="49">
        <f t="shared" si="1"/>
        <v>4.615384615384615</v>
      </c>
    </row>
    <row r="13" spans="1:36">
      <c r="A13" s="23" t="s">
        <v>43</v>
      </c>
      <c r="B13" s="8"/>
      <c r="C13" s="7"/>
      <c r="D13" s="7"/>
      <c r="E13" s="7"/>
      <c r="F13" s="7">
        <v>240</v>
      </c>
      <c r="G13" s="38"/>
      <c r="H13" s="7"/>
      <c r="I13" s="7"/>
      <c r="J13" s="7"/>
      <c r="K13" s="7"/>
      <c r="L13" s="7">
        <v>1420</v>
      </c>
      <c r="M13" s="38"/>
      <c r="N13" s="7"/>
      <c r="O13" s="7"/>
      <c r="P13" s="7"/>
      <c r="Q13" s="7"/>
      <c r="R13" s="7">
        <v>200</v>
      </c>
      <c r="S13" s="38"/>
      <c r="T13" s="7"/>
      <c r="U13" s="7"/>
      <c r="V13" s="7"/>
      <c r="W13" s="7"/>
      <c r="X13" s="7"/>
      <c r="Y13" s="38"/>
      <c r="Z13" s="7"/>
      <c r="AA13" s="7"/>
      <c r="AB13" s="7"/>
      <c r="AC13" s="7"/>
      <c r="AD13" s="7">
        <v>240</v>
      </c>
      <c r="AF13" s="9">
        <f t="shared" si="0"/>
        <v>2100</v>
      </c>
      <c r="AG13" s="6">
        <v>469</v>
      </c>
      <c r="AH13" s="49">
        <f t="shared" si="1"/>
        <v>4.4776119402985071</v>
      </c>
    </row>
    <row r="14" spans="1:36">
      <c r="A14" s="23" t="s">
        <v>36</v>
      </c>
      <c r="B14" s="8"/>
      <c r="C14" s="7"/>
      <c r="D14" s="7"/>
      <c r="E14" s="7">
        <v>720</v>
      </c>
      <c r="F14" s="7"/>
      <c r="G14" s="38"/>
      <c r="H14" s="7">
        <v>40</v>
      </c>
      <c r="I14" s="7"/>
      <c r="J14" s="7"/>
      <c r="K14" s="7">
        <v>1620</v>
      </c>
      <c r="L14" s="7"/>
      <c r="M14" s="38"/>
      <c r="N14" s="7"/>
      <c r="O14" s="7"/>
      <c r="P14" s="7"/>
      <c r="Q14" s="7">
        <v>220</v>
      </c>
      <c r="R14" s="7"/>
      <c r="S14" s="38"/>
      <c r="T14" s="7">
        <v>260</v>
      </c>
      <c r="U14" s="7"/>
      <c r="V14" s="7"/>
      <c r="W14" s="7"/>
      <c r="X14" s="7">
        <v>180</v>
      </c>
      <c r="Y14" s="38"/>
      <c r="Z14" s="7"/>
      <c r="AA14" s="7"/>
      <c r="AB14" s="7"/>
      <c r="AC14" s="7">
        <v>200</v>
      </c>
      <c r="AD14" s="7"/>
      <c r="AF14" s="9">
        <f t="shared" si="0"/>
        <v>3240</v>
      </c>
      <c r="AG14" s="6">
        <v>738</v>
      </c>
      <c r="AH14" s="49">
        <f t="shared" si="1"/>
        <v>4.3902439024390247</v>
      </c>
    </row>
    <row r="15" spans="1:36">
      <c r="A15" s="23" t="s">
        <v>10</v>
      </c>
      <c r="B15" s="8"/>
      <c r="C15" s="7"/>
      <c r="D15" s="7"/>
      <c r="E15" s="7">
        <v>360</v>
      </c>
      <c r="F15" s="7"/>
      <c r="G15" s="38"/>
      <c r="H15" s="7"/>
      <c r="I15" s="7"/>
      <c r="J15" s="7"/>
      <c r="K15" s="7">
        <v>1500</v>
      </c>
      <c r="L15" s="7"/>
      <c r="M15" s="38"/>
      <c r="N15" s="7"/>
      <c r="O15" s="7"/>
      <c r="P15" s="7"/>
      <c r="Q15" s="7">
        <v>300</v>
      </c>
      <c r="R15" s="7"/>
      <c r="S15" s="38"/>
      <c r="T15" s="7"/>
      <c r="U15" s="7"/>
      <c r="V15" s="7"/>
      <c r="W15" s="7"/>
      <c r="X15" s="7">
        <v>120</v>
      </c>
      <c r="Y15" s="38"/>
      <c r="Z15" s="7"/>
      <c r="AA15" s="7"/>
      <c r="AB15" s="7"/>
      <c r="AC15" s="7">
        <v>60</v>
      </c>
      <c r="AD15" s="7"/>
      <c r="AF15" s="9">
        <f t="shared" si="0"/>
        <v>2340</v>
      </c>
      <c r="AG15" s="6">
        <v>541</v>
      </c>
      <c r="AH15" s="49">
        <f t="shared" si="1"/>
        <v>4.3253234750462104</v>
      </c>
    </row>
    <row r="16" spans="1:36">
      <c r="A16" s="23" t="s">
        <v>56</v>
      </c>
      <c r="B16" s="8"/>
      <c r="C16" s="7"/>
      <c r="D16" s="7"/>
      <c r="E16" s="7">
        <v>200</v>
      </c>
      <c r="F16" s="7"/>
      <c r="G16" s="38"/>
      <c r="H16" s="7"/>
      <c r="I16" s="7"/>
      <c r="J16" s="7"/>
      <c r="K16" s="7">
        <v>40</v>
      </c>
      <c r="L16" s="7"/>
      <c r="M16" s="38"/>
      <c r="N16" s="7"/>
      <c r="O16" s="7"/>
      <c r="P16" s="7"/>
      <c r="Q16" s="7">
        <v>80</v>
      </c>
      <c r="R16" s="7"/>
      <c r="S16" s="38"/>
      <c r="T16" s="7"/>
      <c r="U16" s="7"/>
      <c r="V16" s="7"/>
      <c r="W16" s="7"/>
      <c r="X16" s="7">
        <v>100</v>
      </c>
      <c r="Y16" s="38"/>
      <c r="Z16" s="7"/>
      <c r="AA16" s="7"/>
      <c r="AB16" s="7"/>
      <c r="AC16" s="7">
        <v>220</v>
      </c>
      <c r="AD16" s="7"/>
      <c r="AF16" s="9">
        <f t="shared" si="0"/>
        <v>640</v>
      </c>
      <c r="AG16" s="6">
        <v>157</v>
      </c>
      <c r="AH16" s="49">
        <f t="shared" si="1"/>
        <v>4.0764331210191083</v>
      </c>
    </row>
    <row r="17" spans="1:35">
      <c r="A17" s="23" t="s">
        <v>51</v>
      </c>
      <c r="B17" s="8"/>
      <c r="C17" s="7"/>
      <c r="D17" s="7"/>
      <c r="E17" s="7">
        <v>560</v>
      </c>
      <c r="F17" s="7"/>
      <c r="G17" s="38"/>
      <c r="H17" s="7"/>
      <c r="I17" s="7"/>
      <c r="J17" s="7"/>
      <c r="K17" s="7">
        <v>220</v>
      </c>
      <c r="L17" s="7"/>
      <c r="M17" s="38"/>
      <c r="N17" s="7"/>
      <c r="O17" s="7"/>
      <c r="P17" s="7"/>
      <c r="Q17" s="7">
        <v>300</v>
      </c>
      <c r="R17" s="7"/>
      <c r="S17" s="38"/>
      <c r="T17" s="7"/>
      <c r="U17" s="7"/>
      <c r="V17" s="7"/>
      <c r="W17" s="7"/>
      <c r="X17" s="7">
        <v>400</v>
      </c>
      <c r="Y17" s="38"/>
      <c r="Z17" s="7"/>
      <c r="AA17" s="7"/>
      <c r="AB17" s="7"/>
      <c r="AC17" s="7">
        <v>160</v>
      </c>
      <c r="AD17" s="7"/>
      <c r="AF17" s="9">
        <f t="shared" si="0"/>
        <v>1640</v>
      </c>
      <c r="AG17" s="6">
        <v>419</v>
      </c>
      <c r="AH17" s="49">
        <f t="shared" si="1"/>
        <v>3.9140811455847255</v>
      </c>
    </row>
    <row r="18" spans="1:35">
      <c r="A18" s="23" t="s">
        <v>64</v>
      </c>
      <c r="B18" s="8"/>
      <c r="C18" s="7"/>
      <c r="D18" s="7"/>
      <c r="E18" s="7"/>
      <c r="F18" s="7">
        <v>160</v>
      </c>
      <c r="G18" s="38"/>
      <c r="H18" s="7"/>
      <c r="I18" s="7">
        <v>1300</v>
      </c>
      <c r="J18" s="7"/>
      <c r="K18" s="7"/>
      <c r="L18" s="7">
        <v>200</v>
      </c>
      <c r="M18" s="38"/>
      <c r="N18" s="7"/>
      <c r="O18" s="7"/>
      <c r="P18" s="7"/>
      <c r="Q18" s="7"/>
      <c r="R18" s="7">
        <v>60</v>
      </c>
      <c r="S18" s="38"/>
      <c r="T18" s="7"/>
      <c r="U18" s="7">
        <v>220</v>
      </c>
      <c r="V18" s="7"/>
      <c r="W18" s="7"/>
      <c r="X18" s="7"/>
      <c r="Y18" s="38"/>
      <c r="Z18" s="7"/>
      <c r="AA18" s="7">
        <v>40</v>
      </c>
      <c r="AB18" s="7"/>
      <c r="AC18" s="7"/>
      <c r="AD18" s="7">
        <v>400</v>
      </c>
      <c r="AF18" s="9">
        <f t="shared" si="0"/>
        <v>2380</v>
      </c>
      <c r="AG18" s="6">
        <v>637</v>
      </c>
      <c r="AH18" s="49">
        <f t="shared" si="1"/>
        <v>3.7362637362637363</v>
      </c>
    </row>
    <row r="19" spans="1:35">
      <c r="A19" s="23" t="s">
        <v>69</v>
      </c>
      <c r="B19" s="8"/>
      <c r="C19" s="7"/>
      <c r="D19" s="7"/>
      <c r="E19" s="7">
        <v>60</v>
      </c>
      <c r="F19" s="7"/>
      <c r="G19" s="38"/>
      <c r="H19" s="7"/>
      <c r="I19" s="7"/>
      <c r="J19" s="7"/>
      <c r="K19" s="7">
        <v>120</v>
      </c>
      <c r="L19" s="7"/>
      <c r="M19" s="38"/>
      <c r="N19" s="7"/>
      <c r="O19" s="7"/>
      <c r="P19" s="7"/>
      <c r="Q19" s="7">
        <v>180</v>
      </c>
      <c r="R19" s="7"/>
      <c r="S19" s="38"/>
      <c r="T19" s="7"/>
      <c r="U19" s="7"/>
      <c r="V19" s="7"/>
      <c r="W19" s="7"/>
      <c r="X19" s="7">
        <v>180</v>
      </c>
      <c r="Y19" s="38"/>
      <c r="Z19" s="7"/>
      <c r="AA19" s="7"/>
      <c r="AB19" s="7"/>
      <c r="AC19" s="7">
        <v>80</v>
      </c>
      <c r="AD19" s="7"/>
      <c r="AF19" s="9">
        <f t="shared" si="0"/>
        <v>620</v>
      </c>
      <c r="AG19" s="6">
        <v>166</v>
      </c>
      <c r="AH19" s="49">
        <f t="shared" si="1"/>
        <v>3.7349397590361444</v>
      </c>
    </row>
    <row r="20" spans="1:35">
      <c r="A20" s="25" t="s">
        <v>22</v>
      </c>
      <c r="B20" s="8"/>
      <c r="C20" s="7"/>
      <c r="D20" s="7"/>
      <c r="E20" s="7"/>
      <c r="F20" s="7">
        <v>280</v>
      </c>
      <c r="G20" s="38"/>
      <c r="H20" s="7">
        <v>520</v>
      </c>
      <c r="I20" s="7"/>
      <c r="J20" s="7">
        <v>280</v>
      </c>
      <c r="K20" s="7"/>
      <c r="L20" s="7">
        <v>420</v>
      </c>
      <c r="M20" s="38"/>
      <c r="N20" s="7"/>
      <c r="O20" s="7"/>
      <c r="P20" s="7">
        <v>860</v>
      </c>
      <c r="Q20" s="7"/>
      <c r="R20" s="7">
        <v>380</v>
      </c>
      <c r="S20" s="38"/>
      <c r="T20" s="7">
        <v>2120</v>
      </c>
      <c r="U20" s="7"/>
      <c r="V20" s="7">
        <v>480</v>
      </c>
      <c r="W20" s="7"/>
      <c r="X20" s="7"/>
      <c r="Y20" s="38"/>
      <c r="Z20" s="7"/>
      <c r="AA20" s="7"/>
      <c r="AB20" s="7">
        <v>220</v>
      </c>
      <c r="AC20" s="7"/>
      <c r="AD20" s="7">
        <v>320</v>
      </c>
      <c r="AF20" s="9">
        <f t="shared" si="0"/>
        <v>5880</v>
      </c>
      <c r="AG20" s="6">
        <v>1609</v>
      </c>
      <c r="AH20" s="49">
        <f t="shared" si="1"/>
        <v>3.6544437538844003</v>
      </c>
    </row>
    <row r="21" spans="1:35">
      <c r="A21" s="23" t="s">
        <v>55</v>
      </c>
      <c r="B21" s="8"/>
      <c r="C21" s="7"/>
      <c r="D21" s="7"/>
      <c r="E21" s="7">
        <v>460</v>
      </c>
      <c r="F21" s="7"/>
      <c r="G21" s="38"/>
      <c r="H21" s="7">
        <v>400</v>
      </c>
      <c r="I21" s="7"/>
      <c r="J21" s="7"/>
      <c r="K21" s="7">
        <v>220</v>
      </c>
      <c r="L21" s="7"/>
      <c r="M21" s="38"/>
      <c r="N21" s="7"/>
      <c r="O21" s="7"/>
      <c r="P21" s="7"/>
      <c r="Q21" s="7">
        <v>320</v>
      </c>
      <c r="R21" s="7"/>
      <c r="S21" s="38"/>
      <c r="T21" s="7">
        <v>360</v>
      </c>
      <c r="U21" s="7"/>
      <c r="V21" s="7"/>
      <c r="W21" s="7"/>
      <c r="X21" s="7">
        <v>240</v>
      </c>
      <c r="Y21" s="38"/>
      <c r="Z21" s="7">
        <v>120</v>
      </c>
      <c r="AA21" s="7"/>
      <c r="AB21" s="7"/>
      <c r="AC21" s="7">
        <v>340</v>
      </c>
      <c r="AD21" s="7"/>
      <c r="AF21" s="9">
        <f t="shared" si="0"/>
        <v>2460</v>
      </c>
      <c r="AG21" s="6">
        <v>695</v>
      </c>
      <c r="AH21" s="49">
        <f t="shared" si="1"/>
        <v>3.5395683453237412</v>
      </c>
    </row>
    <row r="22" spans="1:35">
      <c r="A22" s="23" t="s">
        <v>65</v>
      </c>
      <c r="B22" s="8"/>
      <c r="C22" s="7"/>
      <c r="D22" s="7"/>
      <c r="E22" s="7"/>
      <c r="F22" s="7"/>
      <c r="G22" s="38"/>
      <c r="H22" s="7">
        <v>700</v>
      </c>
      <c r="I22" s="7"/>
      <c r="J22" s="7"/>
      <c r="K22" s="7"/>
      <c r="L22" s="7"/>
      <c r="M22" s="38"/>
      <c r="N22" s="7"/>
      <c r="O22" s="7"/>
      <c r="P22" s="7"/>
      <c r="Q22" s="7"/>
      <c r="R22" s="7"/>
      <c r="S22" s="38"/>
      <c r="T22" s="7">
        <v>1740</v>
      </c>
      <c r="U22" s="7"/>
      <c r="V22" s="7"/>
      <c r="W22" s="7"/>
      <c r="X22" s="7"/>
      <c r="Y22" s="38"/>
      <c r="Z22" s="7">
        <v>560</v>
      </c>
      <c r="AA22" s="7"/>
      <c r="AB22" s="7"/>
      <c r="AC22" s="7"/>
      <c r="AD22" s="7"/>
      <c r="AF22" s="9">
        <f t="shared" si="0"/>
        <v>3000</v>
      </c>
      <c r="AG22" s="6">
        <v>865</v>
      </c>
      <c r="AH22" s="49">
        <f t="shared" si="1"/>
        <v>3.4682080924855492</v>
      </c>
    </row>
    <row r="23" spans="1:35">
      <c r="A23" s="23" t="s">
        <v>20</v>
      </c>
      <c r="B23" s="8"/>
      <c r="C23" s="7"/>
      <c r="D23" s="7"/>
      <c r="E23" s="7">
        <v>240</v>
      </c>
      <c r="F23" s="7"/>
      <c r="G23" s="38"/>
      <c r="H23" s="7"/>
      <c r="I23" s="7"/>
      <c r="J23" s="7"/>
      <c r="K23" s="7">
        <v>300</v>
      </c>
      <c r="L23" s="7"/>
      <c r="M23" s="38"/>
      <c r="N23" s="7"/>
      <c r="O23" s="7"/>
      <c r="P23" s="7"/>
      <c r="Q23" s="7">
        <v>480</v>
      </c>
      <c r="R23" s="7"/>
      <c r="S23" s="38"/>
      <c r="T23" s="7"/>
      <c r="U23" s="7"/>
      <c r="V23" s="7"/>
      <c r="W23" s="7"/>
      <c r="X23" s="7">
        <v>260</v>
      </c>
      <c r="Y23" s="38"/>
      <c r="Z23" s="7"/>
      <c r="AA23" s="7"/>
      <c r="AB23" s="7"/>
      <c r="AC23" s="7">
        <v>220</v>
      </c>
      <c r="AD23" s="7"/>
      <c r="AF23" s="9">
        <f t="shared" si="0"/>
        <v>1500</v>
      </c>
      <c r="AG23" s="6">
        <v>442</v>
      </c>
      <c r="AH23" s="49">
        <f t="shared" si="1"/>
        <v>3.3936651583710407</v>
      </c>
    </row>
    <row r="24" spans="1:35">
      <c r="A24" s="24" t="s">
        <v>18</v>
      </c>
      <c r="B24" s="8"/>
      <c r="C24" s="7"/>
      <c r="D24" s="7"/>
      <c r="E24" s="7">
        <v>460</v>
      </c>
      <c r="F24" s="7"/>
      <c r="G24" s="38"/>
      <c r="H24" s="7">
        <v>140</v>
      </c>
      <c r="I24" s="7"/>
      <c r="J24" s="7"/>
      <c r="K24" s="7">
        <v>80</v>
      </c>
      <c r="L24" s="7"/>
      <c r="M24" s="38"/>
      <c r="N24" s="7"/>
      <c r="O24" s="7"/>
      <c r="P24" s="7"/>
      <c r="Q24" s="7">
        <v>980</v>
      </c>
      <c r="R24" s="7"/>
      <c r="S24" s="38"/>
      <c r="T24" s="7">
        <v>0</v>
      </c>
      <c r="U24" s="7"/>
      <c r="V24" s="7"/>
      <c r="W24" s="7"/>
      <c r="X24" s="7">
        <v>100</v>
      </c>
      <c r="Y24" s="38"/>
      <c r="Z24" s="7">
        <v>160</v>
      </c>
      <c r="AA24" s="7"/>
      <c r="AB24" s="7"/>
      <c r="AC24" s="7">
        <v>180</v>
      </c>
      <c r="AD24" s="7"/>
      <c r="AF24" s="9">
        <f t="shared" si="0"/>
        <v>2100</v>
      </c>
      <c r="AG24" s="6">
        <v>630</v>
      </c>
      <c r="AH24" s="49">
        <f t="shared" si="1"/>
        <v>3.3333333333333335</v>
      </c>
    </row>
    <row r="25" spans="1:35">
      <c r="A25" s="24" t="s">
        <v>4</v>
      </c>
      <c r="B25" s="8"/>
      <c r="C25" s="7"/>
      <c r="D25" s="7"/>
      <c r="E25" s="7">
        <v>580</v>
      </c>
      <c r="F25" s="7"/>
      <c r="G25" s="38"/>
      <c r="H25" s="7"/>
      <c r="I25" s="7"/>
      <c r="J25" s="7"/>
      <c r="K25" s="7">
        <v>320</v>
      </c>
      <c r="L25" s="7"/>
      <c r="M25" s="38"/>
      <c r="N25" s="7"/>
      <c r="O25" s="7"/>
      <c r="P25" s="7"/>
      <c r="Q25" s="7">
        <v>460</v>
      </c>
      <c r="R25" s="7"/>
      <c r="S25" s="38"/>
      <c r="T25" s="7"/>
      <c r="U25" s="7"/>
      <c r="V25" s="7"/>
      <c r="W25" s="7"/>
      <c r="X25" s="7">
        <v>360</v>
      </c>
      <c r="Y25" s="38"/>
      <c r="Z25" s="7"/>
      <c r="AA25" s="7"/>
      <c r="AB25" s="7"/>
      <c r="AC25" s="7">
        <v>140</v>
      </c>
      <c r="AD25" s="7"/>
      <c r="AF25" s="9">
        <f t="shared" si="0"/>
        <v>1860</v>
      </c>
      <c r="AG25" s="6">
        <v>573</v>
      </c>
      <c r="AH25" s="49">
        <f t="shared" si="1"/>
        <v>3.2460732984293195</v>
      </c>
    </row>
    <row r="26" spans="1:35">
      <c r="A26" s="23" t="s">
        <v>60</v>
      </c>
      <c r="B26" s="8"/>
      <c r="C26" s="7"/>
      <c r="D26" s="7"/>
      <c r="E26" s="7"/>
      <c r="F26" s="7">
        <v>540</v>
      </c>
      <c r="G26" s="38"/>
      <c r="H26" s="7"/>
      <c r="I26" s="7"/>
      <c r="J26" s="7"/>
      <c r="K26" s="7"/>
      <c r="L26" s="7">
        <v>20</v>
      </c>
      <c r="M26" s="38"/>
      <c r="N26" s="7"/>
      <c r="O26" s="7"/>
      <c r="P26" s="7"/>
      <c r="Q26" s="7"/>
      <c r="R26" s="7">
        <v>1220</v>
      </c>
      <c r="S26" s="38"/>
      <c r="T26" s="7"/>
      <c r="U26" s="7"/>
      <c r="V26" s="7"/>
      <c r="W26" s="7"/>
      <c r="X26" s="7"/>
      <c r="Y26" s="38"/>
      <c r="Z26" s="7"/>
      <c r="AA26" s="7"/>
      <c r="AB26" s="7"/>
      <c r="AC26" s="7"/>
      <c r="AD26" s="7">
        <v>140</v>
      </c>
      <c r="AF26" s="9">
        <f t="shared" si="0"/>
        <v>1920</v>
      </c>
      <c r="AG26" s="6">
        <v>598</v>
      </c>
      <c r="AH26" s="49">
        <f t="shared" si="1"/>
        <v>3.2107023411371238</v>
      </c>
      <c r="AI26" t="s">
        <v>76</v>
      </c>
    </row>
    <row r="27" spans="1:35">
      <c r="A27" s="24" t="s">
        <v>11</v>
      </c>
      <c r="B27" s="8"/>
      <c r="C27" s="7"/>
      <c r="D27" s="7"/>
      <c r="E27" s="7"/>
      <c r="F27" s="7">
        <v>180</v>
      </c>
      <c r="G27" s="38"/>
      <c r="H27" s="7"/>
      <c r="I27" s="7">
        <v>340</v>
      </c>
      <c r="J27" s="7"/>
      <c r="K27" s="7"/>
      <c r="L27" s="7">
        <v>1200</v>
      </c>
      <c r="M27" s="38"/>
      <c r="N27" s="7"/>
      <c r="O27" s="7"/>
      <c r="P27" s="7"/>
      <c r="Q27" s="7"/>
      <c r="R27" s="7">
        <v>280</v>
      </c>
      <c r="S27" s="38"/>
      <c r="T27" s="7"/>
      <c r="U27" s="7">
        <v>140</v>
      </c>
      <c r="V27" s="7"/>
      <c r="W27" s="7"/>
      <c r="X27" s="7"/>
      <c r="Y27" s="38"/>
      <c r="Z27" s="7"/>
      <c r="AA27" s="7">
        <v>180</v>
      </c>
      <c r="AB27" s="7"/>
      <c r="AC27" s="7"/>
      <c r="AD27" s="7">
        <v>200</v>
      </c>
      <c r="AF27" s="9">
        <f t="shared" si="0"/>
        <v>2520</v>
      </c>
      <c r="AG27" s="6">
        <v>816</v>
      </c>
      <c r="AH27" s="49">
        <f t="shared" si="1"/>
        <v>3.0882352941176472</v>
      </c>
    </row>
    <row r="28" spans="1:35">
      <c r="A28" s="25" t="s">
        <v>3</v>
      </c>
      <c r="B28" s="8"/>
      <c r="C28" s="7"/>
      <c r="D28" s="7"/>
      <c r="E28" s="7">
        <v>340</v>
      </c>
      <c r="F28" s="7"/>
      <c r="G28" s="38"/>
      <c r="H28" s="7">
        <v>340</v>
      </c>
      <c r="I28" s="7"/>
      <c r="J28" s="7"/>
      <c r="K28" s="7">
        <v>700</v>
      </c>
      <c r="L28" s="7"/>
      <c r="M28" s="38"/>
      <c r="N28" s="7"/>
      <c r="O28" s="7"/>
      <c r="P28" s="7"/>
      <c r="Q28" s="7">
        <v>600</v>
      </c>
      <c r="R28" s="7"/>
      <c r="S28" s="38"/>
      <c r="T28" s="7">
        <v>360</v>
      </c>
      <c r="U28" s="7"/>
      <c r="V28" s="7"/>
      <c r="W28" s="7"/>
      <c r="X28" s="7">
        <v>320</v>
      </c>
      <c r="Y28" s="38"/>
      <c r="Z28" s="7">
        <v>220</v>
      </c>
      <c r="AA28" s="7"/>
      <c r="AB28" s="7"/>
      <c r="AC28" s="7">
        <v>420</v>
      </c>
      <c r="AD28" s="7"/>
      <c r="AF28" s="9">
        <f t="shared" si="0"/>
        <v>3300</v>
      </c>
      <c r="AG28" s="6">
        <v>1074</v>
      </c>
      <c r="AH28" s="49">
        <f t="shared" si="1"/>
        <v>3.0726256983240225</v>
      </c>
    </row>
    <row r="29" spans="1:35">
      <c r="A29" s="23" t="s">
        <v>67</v>
      </c>
      <c r="B29" s="8"/>
      <c r="C29" s="7"/>
      <c r="D29" s="7"/>
      <c r="E29" s="7">
        <v>220</v>
      </c>
      <c r="F29" s="7"/>
      <c r="G29" s="38"/>
      <c r="H29" s="7"/>
      <c r="I29" s="7"/>
      <c r="J29" s="7"/>
      <c r="K29" s="7">
        <v>60</v>
      </c>
      <c r="L29" s="7"/>
      <c r="M29" s="38"/>
      <c r="N29" s="7"/>
      <c r="O29" s="7"/>
      <c r="P29" s="7"/>
      <c r="Q29" s="7">
        <v>80</v>
      </c>
      <c r="R29" s="7"/>
      <c r="S29" s="38"/>
      <c r="T29" s="7"/>
      <c r="U29" s="7"/>
      <c r="V29" s="7"/>
      <c r="W29" s="7"/>
      <c r="X29" s="7">
        <v>120</v>
      </c>
      <c r="Y29" s="38"/>
      <c r="Z29" s="7"/>
      <c r="AA29" s="7"/>
      <c r="AB29" s="7"/>
      <c r="AC29" s="7">
        <v>160</v>
      </c>
      <c r="AD29" s="7"/>
      <c r="AF29" s="9">
        <f t="shared" si="0"/>
        <v>640</v>
      </c>
      <c r="AG29" s="6">
        <v>213</v>
      </c>
      <c r="AH29" s="49">
        <f t="shared" si="1"/>
        <v>3.004694835680751</v>
      </c>
    </row>
    <row r="30" spans="1:35">
      <c r="A30" s="23" t="s">
        <v>54</v>
      </c>
      <c r="B30" s="8"/>
      <c r="C30" s="7"/>
      <c r="D30" s="7"/>
      <c r="E30" s="7"/>
      <c r="F30" s="7"/>
      <c r="G30" s="38"/>
      <c r="H30" s="7"/>
      <c r="I30" s="7">
        <v>100</v>
      </c>
      <c r="J30" s="7"/>
      <c r="K30" s="7"/>
      <c r="L30" s="7"/>
      <c r="M30" s="38"/>
      <c r="N30" s="7"/>
      <c r="O30" s="7"/>
      <c r="P30" s="7"/>
      <c r="Q30" s="7"/>
      <c r="R30" s="7"/>
      <c r="S30" s="38"/>
      <c r="T30" s="7"/>
      <c r="U30" s="7">
        <v>280</v>
      </c>
      <c r="V30" s="7"/>
      <c r="W30" s="7"/>
      <c r="X30" s="7"/>
      <c r="Y30" s="38"/>
      <c r="Z30" s="7"/>
      <c r="AA30" s="7">
        <v>1700</v>
      </c>
      <c r="AB30" s="7"/>
      <c r="AC30" s="7"/>
      <c r="AD30" s="7"/>
      <c r="AF30" s="9">
        <f t="shared" si="0"/>
        <v>2080</v>
      </c>
      <c r="AG30" s="6">
        <v>707</v>
      </c>
      <c r="AH30" s="49">
        <f t="shared" si="1"/>
        <v>2.9420084865629419</v>
      </c>
    </row>
    <row r="31" spans="1:35">
      <c r="A31" s="23" t="s">
        <v>58</v>
      </c>
      <c r="B31" s="8"/>
      <c r="C31" s="7"/>
      <c r="D31" s="7"/>
      <c r="E31" s="7">
        <v>260</v>
      </c>
      <c r="F31" s="7"/>
      <c r="G31" s="38"/>
      <c r="H31" s="7"/>
      <c r="I31" s="7"/>
      <c r="J31" s="7"/>
      <c r="K31" s="7">
        <v>160</v>
      </c>
      <c r="L31" s="7"/>
      <c r="M31" s="38"/>
      <c r="N31" s="7"/>
      <c r="O31" s="7"/>
      <c r="P31" s="7"/>
      <c r="Q31" s="7">
        <v>80</v>
      </c>
      <c r="R31" s="7"/>
      <c r="S31" s="38"/>
      <c r="T31" s="7"/>
      <c r="U31" s="7"/>
      <c r="V31" s="7"/>
      <c r="W31" s="7"/>
      <c r="X31" s="7">
        <v>320</v>
      </c>
      <c r="Y31" s="38"/>
      <c r="Z31" s="7"/>
      <c r="AA31" s="7"/>
      <c r="AB31" s="7"/>
      <c r="AC31" s="7">
        <v>220</v>
      </c>
      <c r="AD31" s="7"/>
      <c r="AF31" s="9">
        <f t="shared" si="0"/>
        <v>1040</v>
      </c>
      <c r="AG31" s="6">
        <v>381</v>
      </c>
      <c r="AH31" s="49">
        <f t="shared" si="1"/>
        <v>2.7296587926509188</v>
      </c>
    </row>
    <row r="32" spans="1:35">
      <c r="A32" s="25" t="s">
        <v>17</v>
      </c>
      <c r="B32" s="8"/>
      <c r="C32" s="7"/>
      <c r="D32" s="7"/>
      <c r="E32" s="7">
        <v>820</v>
      </c>
      <c r="F32" s="7">
        <v>280</v>
      </c>
      <c r="G32" s="38"/>
      <c r="H32" s="7">
        <v>320</v>
      </c>
      <c r="I32" s="7">
        <v>400</v>
      </c>
      <c r="J32" s="7"/>
      <c r="K32" s="7"/>
      <c r="L32" s="7">
        <v>380</v>
      </c>
      <c r="M32" s="38"/>
      <c r="N32" s="7"/>
      <c r="O32" s="7"/>
      <c r="P32" s="7"/>
      <c r="Q32" s="7">
        <v>60</v>
      </c>
      <c r="R32" s="7">
        <v>200</v>
      </c>
      <c r="S32" s="38"/>
      <c r="T32" s="7">
        <v>740</v>
      </c>
      <c r="U32" s="7">
        <v>300</v>
      </c>
      <c r="V32" s="7"/>
      <c r="W32" s="7"/>
      <c r="X32" s="7">
        <v>60</v>
      </c>
      <c r="Y32" s="38"/>
      <c r="Z32" s="7">
        <v>80</v>
      </c>
      <c r="AA32" s="7">
        <v>100</v>
      </c>
      <c r="AB32" s="7"/>
      <c r="AC32" s="7">
        <v>520</v>
      </c>
      <c r="AD32" s="7">
        <v>140</v>
      </c>
      <c r="AF32" s="9">
        <f t="shared" si="0"/>
        <v>4400</v>
      </c>
      <c r="AG32" s="6">
        <v>1632</v>
      </c>
      <c r="AH32" s="49">
        <f t="shared" si="1"/>
        <v>2.6960784313725492</v>
      </c>
    </row>
    <row r="33" spans="1:34">
      <c r="A33" s="23" t="s">
        <v>15</v>
      </c>
      <c r="B33" s="8"/>
      <c r="C33" s="7"/>
      <c r="D33" s="7"/>
      <c r="E33" s="7"/>
      <c r="F33" s="7"/>
      <c r="G33" s="38"/>
      <c r="H33" s="7">
        <v>300</v>
      </c>
      <c r="I33" s="7"/>
      <c r="J33" s="7"/>
      <c r="K33" s="7"/>
      <c r="L33" s="7"/>
      <c r="M33" s="38"/>
      <c r="N33" s="7"/>
      <c r="O33" s="7"/>
      <c r="P33" s="7"/>
      <c r="Q33" s="7"/>
      <c r="R33" s="7"/>
      <c r="S33" s="38"/>
      <c r="T33" s="7">
        <v>300</v>
      </c>
      <c r="U33" s="7"/>
      <c r="V33" s="7"/>
      <c r="W33" s="7"/>
      <c r="X33" s="7"/>
      <c r="Y33" s="38"/>
      <c r="Z33" s="7">
        <v>200</v>
      </c>
      <c r="AA33" s="7"/>
      <c r="AB33" s="7"/>
      <c r="AC33" s="7"/>
      <c r="AD33" s="7"/>
      <c r="AF33" s="9">
        <f t="shared" si="0"/>
        <v>800</v>
      </c>
      <c r="AG33" s="6">
        <v>302</v>
      </c>
      <c r="AH33" s="49">
        <f t="shared" si="1"/>
        <v>2.6490066225165565</v>
      </c>
    </row>
    <row r="34" spans="1:34">
      <c r="A34" s="24" t="s">
        <v>12</v>
      </c>
      <c r="B34" s="8"/>
      <c r="C34" s="7"/>
      <c r="D34" s="7"/>
      <c r="E34" s="7"/>
      <c r="F34" s="7">
        <v>320</v>
      </c>
      <c r="G34" s="38"/>
      <c r="H34" s="7"/>
      <c r="I34" s="7">
        <v>200</v>
      </c>
      <c r="J34" s="7"/>
      <c r="K34" s="7"/>
      <c r="L34" s="7">
        <v>260</v>
      </c>
      <c r="M34" s="38"/>
      <c r="N34" s="7"/>
      <c r="O34" s="7"/>
      <c r="P34" s="7"/>
      <c r="Q34" s="7"/>
      <c r="R34" s="7">
        <v>180</v>
      </c>
      <c r="S34" s="38"/>
      <c r="T34" s="7"/>
      <c r="U34" s="7">
        <v>180</v>
      </c>
      <c r="V34" s="7"/>
      <c r="W34" s="7"/>
      <c r="X34" s="7"/>
      <c r="Y34" s="38"/>
      <c r="Z34" s="7"/>
      <c r="AA34" s="7">
        <v>100</v>
      </c>
      <c r="AB34" s="7"/>
      <c r="AC34" s="7"/>
      <c r="AD34" s="7">
        <v>240</v>
      </c>
      <c r="AF34" s="9">
        <f t="shared" si="0"/>
        <v>1480</v>
      </c>
      <c r="AG34" s="6">
        <v>581</v>
      </c>
      <c r="AH34" s="49">
        <f t="shared" si="1"/>
        <v>2.5473321858864026</v>
      </c>
    </row>
    <row r="35" spans="1:34">
      <c r="A35" s="23" t="s">
        <v>46</v>
      </c>
      <c r="B35" s="8"/>
      <c r="C35" s="7"/>
      <c r="D35" s="7"/>
      <c r="E35" s="7">
        <v>140</v>
      </c>
      <c r="F35" s="7"/>
      <c r="G35" s="38"/>
      <c r="H35" s="7"/>
      <c r="I35" s="7"/>
      <c r="J35" s="7"/>
      <c r="K35" s="7">
        <v>20</v>
      </c>
      <c r="L35" s="7"/>
      <c r="M35" s="38"/>
      <c r="N35" s="7"/>
      <c r="O35" s="7"/>
      <c r="P35" s="7"/>
      <c r="Q35" s="7">
        <v>160</v>
      </c>
      <c r="R35" s="7"/>
      <c r="S35" s="38"/>
      <c r="T35" s="7"/>
      <c r="U35" s="7"/>
      <c r="V35" s="7"/>
      <c r="W35" s="7"/>
      <c r="X35" s="7">
        <v>160</v>
      </c>
      <c r="Y35" s="38"/>
      <c r="Z35" s="7"/>
      <c r="AA35" s="7"/>
      <c r="AB35" s="7"/>
      <c r="AC35" s="7">
        <v>160</v>
      </c>
      <c r="AD35" s="7"/>
      <c r="AF35" s="9">
        <f t="shared" si="0"/>
        <v>640</v>
      </c>
      <c r="AG35" s="6">
        <v>274</v>
      </c>
      <c r="AH35" s="49">
        <f t="shared" si="1"/>
        <v>2.335766423357664</v>
      </c>
    </row>
    <row r="36" spans="1:34">
      <c r="A36" s="23" t="s">
        <v>66</v>
      </c>
      <c r="B36" s="8"/>
      <c r="C36" s="7"/>
      <c r="D36" s="7"/>
      <c r="E36" s="7">
        <v>80</v>
      </c>
      <c r="F36" s="7"/>
      <c r="G36" s="38"/>
      <c r="H36" s="7"/>
      <c r="I36" s="7"/>
      <c r="J36" s="7"/>
      <c r="K36" s="7">
        <v>140</v>
      </c>
      <c r="L36" s="7"/>
      <c r="M36" s="38"/>
      <c r="N36" s="7"/>
      <c r="O36" s="7"/>
      <c r="P36" s="7"/>
      <c r="Q36" s="7">
        <v>80</v>
      </c>
      <c r="R36" s="7"/>
      <c r="S36" s="38"/>
      <c r="T36" s="7"/>
      <c r="U36" s="7"/>
      <c r="V36" s="7"/>
      <c r="W36" s="7"/>
      <c r="X36" s="7">
        <v>40</v>
      </c>
      <c r="Y36" s="38"/>
      <c r="Z36" s="7"/>
      <c r="AA36" s="7"/>
      <c r="AB36" s="7"/>
      <c r="AC36" s="7">
        <v>140</v>
      </c>
      <c r="AD36" s="7"/>
      <c r="AF36" s="9">
        <f t="shared" si="0"/>
        <v>480</v>
      </c>
      <c r="AG36" s="6">
        <v>209</v>
      </c>
      <c r="AH36" s="49">
        <f t="shared" si="1"/>
        <v>2.2966507177033493</v>
      </c>
    </row>
    <row r="37" spans="1:34">
      <c r="A37" s="25" t="s">
        <v>1</v>
      </c>
      <c r="B37" s="8"/>
      <c r="C37" s="7"/>
      <c r="D37" s="7"/>
      <c r="E37" s="7">
        <v>800</v>
      </c>
      <c r="F37" s="7"/>
      <c r="G37" s="38"/>
      <c r="H37" s="7">
        <v>240</v>
      </c>
      <c r="I37" s="7"/>
      <c r="J37" s="7"/>
      <c r="K37" s="7"/>
      <c r="L37" s="7"/>
      <c r="M37" s="38"/>
      <c r="N37" s="7"/>
      <c r="O37" s="7"/>
      <c r="P37" s="7"/>
      <c r="Q37" s="7"/>
      <c r="R37" s="7"/>
      <c r="S37" s="38"/>
      <c r="T37" s="7">
        <v>280</v>
      </c>
      <c r="U37" s="7"/>
      <c r="V37" s="7"/>
      <c r="W37" s="7"/>
      <c r="X37" s="7"/>
      <c r="Y37" s="38"/>
      <c r="Z37" s="7">
        <v>420</v>
      </c>
      <c r="AA37" s="7"/>
      <c r="AB37" s="7"/>
      <c r="AC37" s="7"/>
      <c r="AD37" s="7"/>
      <c r="AF37" s="9">
        <f t="shared" si="0"/>
        <v>1740</v>
      </c>
      <c r="AG37" s="6">
        <v>807</v>
      </c>
      <c r="AH37" s="49">
        <f t="shared" si="1"/>
        <v>2.1561338289962824</v>
      </c>
    </row>
    <row r="38" spans="1:34">
      <c r="A38" s="25" t="s">
        <v>8</v>
      </c>
      <c r="B38" s="8"/>
      <c r="C38" s="7"/>
      <c r="D38" s="7"/>
      <c r="E38" s="7">
        <v>320</v>
      </c>
      <c r="F38" s="7"/>
      <c r="G38" s="38"/>
      <c r="H38" s="7">
        <v>360</v>
      </c>
      <c r="I38" s="7"/>
      <c r="J38" s="7"/>
      <c r="K38" s="7">
        <v>40</v>
      </c>
      <c r="L38" s="7"/>
      <c r="M38" s="38"/>
      <c r="N38" s="7"/>
      <c r="O38" s="7"/>
      <c r="P38" s="7"/>
      <c r="Q38" s="7">
        <v>260</v>
      </c>
      <c r="R38" s="7"/>
      <c r="S38" s="38"/>
      <c r="T38" s="7">
        <v>520</v>
      </c>
      <c r="U38" s="7"/>
      <c r="V38" s="7"/>
      <c r="W38" s="7"/>
      <c r="X38" s="7">
        <v>240</v>
      </c>
      <c r="Y38" s="38"/>
      <c r="Z38" s="7">
        <v>660</v>
      </c>
      <c r="AA38" s="7"/>
      <c r="AB38" s="7"/>
      <c r="AC38" s="7">
        <v>300</v>
      </c>
      <c r="AD38" s="7"/>
      <c r="AF38" s="9">
        <f t="shared" ref="AF38:AF67" si="2">SUM(E38:AE38)</f>
        <v>2700</v>
      </c>
      <c r="AG38" s="6">
        <v>1325</v>
      </c>
      <c r="AH38" s="49">
        <f t="shared" ref="AH38:AH67" si="3">AF38/AG38</f>
        <v>2.0377358490566038</v>
      </c>
    </row>
    <row r="39" spans="1:34">
      <c r="A39" s="23" t="s">
        <v>39</v>
      </c>
      <c r="B39" s="8"/>
      <c r="C39" s="7"/>
      <c r="D39" s="7"/>
      <c r="E39" s="7"/>
      <c r="F39" s="7">
        <v>420</v>
      </c>
      <c r="G39" s="38"/>
      <c r="H39" s="7"/>
      <c r="I39" s="7">
        <v>240</v>
      </c>
      <c r="J39" s="7"/>
      <c r="K39" s="7"/>
      <c r="L39" s="7">
        <v>160</v>
      </c>
      <c r="M39" s="38"/>
      <c r="N39" s="7"/>
      <c r="O39" s="7"/>
      <c r="P39" s="7"/>
      <c r="Q39" s="7"/>
      <c r="R39" s="7">
        <v>400</v>
      </c>
      <c r="S39" s="38"/>
      <c r="T39" s="7"/>
      <c r="U39" s="7">
        <v>620</v>
      </c>
      <c r="V39" s="7"/>
      <c r="W39" s="7"/>
      <c r="X39" s="7"/>
      <c r="Y39" s="38"/>
      <c r="Z39" s="7"/>
      <c r="AA39" s="7">
        <v>180</v>
      </c>
      <c r="AB39" s="7"/>
      <c r="AC39" s="7"/>
      <c r="AD39" s="7">
        <v>20</v>
      </c>
      <c r="AF39" s="9">
        <f t="shared" si="2"/>
        <v>2040</v>
      </c>
      <c r="AG39" s="6">
        <v>1028</v>
      </c>
      <c r="AH39" s="49">
        <f t="shared" si="3"/>
        <v>1.9844357976653697</v>
      </c>
    </row>
    <row r="40" spans="1:34">
      <c r="A40" s="23" t="s">
        <v>59</v>
      </c>
      <c r="B40" s="8"/>
      <c r="C40" s="7"/>
      <c r="D40" s="7"/>
      <c r="E40" s="7">
        <v>360</v>
      </c>
      <c r="F40" s="7"/>
      <c r="G40" s="38"/>
      <c r="H40" s="7">
        <v>300</v>
      </c>
      <c r="I40" s="7"/>
      <c r="J40" s="7"/>
      <c r="K40" s="7">
        <v>140</v>
      </c>
      <c r="L40" s="7"/>
      <c r="M40" s="38"/>
      <c r="N40" s="7"/>
      <c r="O40" s="7"/>
      <c r="P40" s="7"/>
      <c r="Q40" s="7">
        <v>200</v>
      </c>
      <c r="R40" s="7"/>
      <c r="S40" s="38"/>
      <c r="T40" s="7">
        <v>280</v>
      </c>
      <c r="U40" s="7"/>
      <c r="V40" s="7"/>
      <c r="W40" s="7"/>
      <c r="X40" s="7">
        <v>320</v>
      </c>
      <c r="Y40" s="38"/>
      <c r="Z40" s="7"/>
      <c r="AA40" s="7"/>
      <c r="AB40" s="7"/>
      <c r="AC40" s="7">
        <v>40</v>
      </c>
      <c r="AD40" s="7"/>
      <c r="AF40" s="9">
        <f t="shared" si="2"/>
        <v>1640</v>
      </c>
      <c r="AG40" s="6">
        <v>839</v>
      </c>
      <c r="AH40" s="49">
        <f t="shared" si="3"/>
        <v>1.9547079856972587</v>
      </c>
    </row>
    <row r="41" spans="1:34">
      <c r="A41" s="23" t="s">
        <v>52</v>
      </c>
      <c r="B41" s="8"/>
      <c r="C41" s="7"/>
      <c r="D41" s="7"/>
      <c r="E41" s="7"/>
      <c r="F41" s="7"/>
      <c r="G41" s="38"/>
      <c r="H41" s="7"/>
      <c r="I41" s="7">
        <v>340</v>
      </c>
      <c r="J41" s="7"/>
      <c r="K41" s="7"/>
      <c r="L41" s="7"/>
      <c r="M41" s="38"/>
      <c r="N41" s="7"/>
      <c r="O41" s="7"/>
      <c r="P41" s="7"/>
      <c r="Q41" s="7"/>
      <c r="R41" s="7"/>
      <c r="S41" s="38"/>
      <c r="T41" s="7"/>
      <c r="U41" s="7">
        <v>480</v>
      </c>
      <c r="V41" s="7"/>
      <c r="W41" s="7"/>
      <c r="X41" s="7"/>
      <c r="Y41" s="38"/>
      <c r="Z41" s="7"/>
      <c r="AA41" s="7">
        <v>500</v>
      </c>
      <c r="AB41" s="7"/>
      <c r="AC41" s="7"/>
      <c r="AD41" s="7"/>
      <c r="AF41" s="9">
        <f t="shared" si="2"/>
        <v>1320</v>
      </c>
      <c r="AG41" s="6">
        <v>693</v>
      </c>
      <c r="AH41" s="49">
        <f t="shared" si="3"/>
        <v>1.9047619047619047</v>
      </c>
    </row>
    <row r="42" spans="1:34">
      <c r="A42" s="24" t="s">
        <v>14</v>
      </c>
      <c r="B42" s="8"/>
      <c r="C42" s="7"/>
      <c r="D42" s="7"/>
      <c r="E42" s="7"/>
      <c r="F42" s="7">
        <v>140</v>
      </c>
      <c r="G42" s="38"/>
      <c r="H42" s="7"/>
      <c r="I42" s="7">
        <v>80</v>
      </c>
      <c r="J42" s="7"/>
      <c r="K42" s="7"/>
      <c r="L42" s="7">
        <v>260</v>
      </c>
      <c r="M42" s="38"/>
      <c r="N42" s="7"/>
      <c r="O42" s="7"/>
      <c r="P42" s="7"/>
      <c r="Q42" s="7"/>
      <c r="R42" s="7">
        <v>80</v>
      </c>
      <c r="S42" s="38"/>
      <c r="T42" s="7"/>
      <c r="U42" s="7">
        <v>180</v>
      </c>
      <c r="V42" s="7"/>
      <c r="W42" s="7"/>
      <c r="X42" s="7"/>
      <c r="Y42" s="38"/>
      <c r="Z42" s="7"/>
      <c r="AA42" s="7">
        <v>60</v>
      </c>
      <c r="AB42" s="7"/>
      <c r="AC42" s="7"/>
      <c r="AD42" s="7">
        <v>520</v>
      </c>
      <c r="AF42" s="9">
        <f t="shared" si="2"/>
        <v>1320</v>
      </c>
      <c r="AG42" s="6">
        <v>697</v>
      </c>
      <c r="AH42" s="49">
        <f t="shared" si="3"/>
        <v>1.8938307030129125</v>
      </c>
    </row>
    <row r="43" spans="1:34">
      <c r="A43" s="23" t="s">
        <v>42</v>
      </c>
      <c r="B43" s="8"/>
      <c r="C43" s="7"/>
      <c r="D43" s="7"/>
      <c r="E43" s="7">
        <v>180</v>
      </c>
      <c r="F43" s="7"/>
      <c r="G43" s="38"/>
      <c r="H43" s="7"/>
      <c r="I43" s="7"/>
      <c r="J43" s="7"/>
      <c r="K43" s="7">
        <v>340</v>
      </c>
      <c r="L43" s="7"/>
      <c r="M43" s="38"/>
      <c r="N43" s="7"/>
      <c r="O43" s="7"/>
      <c r="P43" s="7"/>
      <c r="Q43" s="7">
        <v>180</v>
      </c>
      <c r="R43" s="7"/>
      <c r="S43" s="38"/>
      <c r="T43" s="7"/>
      <c r="U43" s="7"/>
      <c r="V43" s="7"/>
      <c r="W43" s="7"/>
      <c r="X43" s="7">
        <v>320</v>
      </c>
      <c r="Y43" s="38"/>
      <c r="Z43" s="7"/>
      <c r="AA43" s="7"/>
      <c r="AB43" s="7"/>
      <c r="AC43" s="7">
        <v>280</v>
      </c>
      <c r="AD43" s="7"/>
      <c r="AF43" s="9">
        <f t="shared" si="2"/>
        <v>1300</v>
      </c>
      <c r="AG43" s="6">
        <v>713</v>
      </c>
      <c r="AH43" s="49">
        <f t="shared" si="3"/>
        <v>1.8232819074333801</v>
      </c>
    </row>
    <row r="44" spans="1:34">
      <c r="A44" s="23" t="s">
        <v>38</v>
      </c>
      <c r="B44" s="8"/>
      <c r="C44" s="7"/>
      <c r="D44" s="7"/>
      <c r="E44" s="7">
        <v>160</v>
      </c>
      <c r="F44" s="7"/>
      <c r="G44" s="38"/>
      <c r="H44" s="7"/>
      <c r="I44" s="7"/>
      <c r="J44" s="7"/>
      <c r="K44" s="7">
        <v>280</v>
      </c>
      <c r="L44" s="7"/>
      <c r="M44" s="38"/>
      <c r="N44" s="7"/>
      <c r="O44" s="7"/>
      <c r="P44" s="7"/>
      <c r="Q44" s="7">
        <v>180</v>
      </c>
      <c r="R44" s="7"/>
      <c r="S44" s="38"/>
      <c r="T44" s="7"/>
      <c r="U44" s="7"/>
      <c r="V44" s="7"/>
      <c r="W44" s="7"/>
      <c r="X44" s="7">
        <v>160</v>
      </c>
      <c r="Y44" s="38"/>
      <c r="Z44" s="7"/>
      <c r="AA44" s="7"/>
      <c r="AB44" s="7"/>
      <c r="AC44" s="7">
        <v>280</v>
      </c>
      <c r="AD44" s="7"/>
      <c r="AF44" s="9">
        <f t="shared" si="2"/>
        <v>1060</v>
      </c>
      <c r="AG44" s="6">
        <v>644</v>
      </c>
      <c r="AH44" s="49">
        <f t="shared" si="3"/>
        <v>1.6459627329192548</v>
      </c>
    </row>
    <row r="45" spans="1:34">
      <c r="A45" s="24" t="s">
        <v>9</v>
      </c>
      <c r="B45" s="8"/>
      <c r="C45" s="7"/>
      <c r="D45" s="7"/>
      <c r="E45" s="7">
        <v>400</v>
      </c>
      <c r="F45" s="7"/>
      <c r="G45" s="38"/>
      <c r="H45" s="7">
        <v>80</v>
      </c>
      <c r="I45" s="7"/>
      <c r="J45" s="7"/>
      <c r="K45" s="7">
        <v>20</v>
      </c>
      <c r="L45" s="7"/>
      <c r="M45" s="38"/>
      <c r="N45" s="7"/>
      <c r="O45" s="7"/>
      <c r="P45" s="7"/>
      <c r="Q45" s="7">
        <v>40</v>
      </c>
      <c r="R45" s="7"/>
      <c r="S45" s="38"/>
      <c r="T45" s="7">
        <v>140</v>
      </c>
      <c r="U45" s="7"/>
      <c r="V45" s="7"/>
      <c r="W45" s="7"/>
      <c r="X45" s="7">
        <v>220</v>
      </c>
      <c r="Y45" s="38"/>
      <c r="Z45" s="7">
        <v>200</v>
      </c>
      <c r="AA45" s="7"/>
      <c r="AB45" s="7"/>
      <c r="AC45" s="7">
        <v>370</v>
      </c>
      <c r="AD45" s="7"/>
      <c r="AF45" s="9">
        <f t="shared" si="2"/>
        <v>1470</v>
      </c>
      <c r="AG45" s="6">
        <v>914</v>
      </c>
      <c r="AH45" s="49">
        <f t="shared" si="3"/>
        <v>1.6083150984682713</v>
      </c>
    </row>
    <row r="46" spans="1:34">
      <c r="A46" s="23" t="s">
        <v>44</v>
      </c>
      <c r="B46" s="8"/>
      <c r="C46" s="7"/>
      <c r="D46" s="7"/>
      <c r="E46" s="7"/>
      <c r="F46" s="7">
        <v>40</v>
      </c>
      <c r="G46" s="38"/>
      <c r="H46" s="7"/>
      <c r="I46" s="7">
        <v>200</v>
      </c>
      <c r="J46" s="7"/>
      <c r="K46" s="7"/>
      <c r="L46" s="7">
        <v>200</v>
      </c>
      <c r="M46" s="38"/>
      <c r="N46" s="7"/>
      <c r="O46" s="7"/>
      <c r="P46" s="7"/>
      <c r="Q46" s="7"/>
      <c r="R46" s="7">
        <v>80</v>
      </c>
      <c r="S46" s="38"/>
      <c r="T46" s="7"/>
      <c r="U46" s="7">
        <v>640</v>
      </c>
      <c r="V46" s="7"/>
      <c r="W46" s="7"/>
      <c r="X46" s="7"/>
      <c r="Y46" s="38"/>
      <c r="Z46" s="7"/>
      <c r="AA46" s="7">
        <v>160</v>
      </c>
      <c r="AB46" s="7"/>
      <c r="AC46" s="7"/>
      <c r="AD46" s="7">
        <v>240</v>
      </c>
      <c r="AF46" s="9">
        <f t="shared" si="2"/>
        <v>1560</v>
      </c>
      <c r="AG46" s="6">
        <v>998</v>
      </c>
      <c r="AH46" s="49">
        <f t="shared" si="3"/>
        <v>1.56312625250501</v>
      </c>
    </row>
    <row r="47" spans="1:34">
      <c r="A47" s="23" t="s">
        <v>57</v>
      </c>
      <c r="B47" s="8"/>
      <c r="C47" s="7"/>
      <c r="D47" s="7"/>
      <c r="E47" s="7">
        <v>60</v>
      </c>
      <c r="F47" s="7"/>
      <c r="G47" s="38"/>
      <c r="H47" s="7">
        <v>180</v>
      </c>
      <c r="I47" s="7"/>
      <c r="J47" s="7"/>
      <c r="K47" s="7">
        <v>140</v>
      </c>
      <c r="L47" s="7"/>
      <c r="M47" s="38"/>
      <c r="N47" s="7"/>
      <c r="O47" s="7"/>
      <c r="P47" s="7"/>
      <c r="Q47" s="7">
        <v>100</v>
      </c>
      <c r="R47" s="7"/>
      <c r="S47" s="38"/>
      <c r="T47" s="7">
        <v>0</v>
      </c>
      <c r="U47" s="7"/>
      <c r="V47" s="7"/>
      <c r="W47" s="7"/>
      <c r="X47" s="7">
        <v>180</v>
      </c>
      <c r="Y47" s="38"/>
      <c r="Z47" s="7"/>
      <c r="AA47" s="7"/>
      <c r="AB47" s="7"/>
      <c r="AC47" s="7">
        <v>180</v>
      </c>
      <c r="AD47" s="7"/>
      <c r="AF47" s="9">
        <f t="shared" si="2"/>
        <v>840</v>
      </c>
      <c r="AG47" s="6">
        <v>563</v>
      </c>
      <c r="AH47" s="49">
        <f t="shared" si="3"/>
        <v>1.4920071047957371</v>
      </c>
    </row>
    <row r="48" spans="1:34">
      <c r="A48" s="25" t="s">
        <v>21</v>
      </c>
      <c r="B48" s="8"/>
      <c r="C48" s="7"/>
      <c r="D48" s="7"/>
      <c r="E48" s="7">
        <v>820</v>
      </c>
      <c r="F48" s="7"/>
      <c r="G48" s="38"/>
      <c r="H48" s="7">
        <v>400</v>
      </c>
      <c r="I48" s="7"/>
      <c r="J48" s="7"/>
      <c r="K48" s="7">
        <v>400</v>
      </c>
      <c r="L48" s="7"/>
      <c r="M48" s="38"/>
      <c r="N48" s="7"/>
      <c r="O48" s="7"/>
      <c r="P48" s="7"/>
      <c r="Q48" s="7">
        <v>180</v>
      </c>
      <c r="R48" s="7"/>
      <c r="S48" s="38"/>
      <c r="T48" s="7">
        <v>300</v>
      </c>
      <c r="U48" s="7"/>
      <c r="V48" s="7"/>
      <c r="W48" s="7"/>
      <c r="X48" s="7">
        <v>220</v>
      </c>
      <c r="Y48" s="38"/>
      <c r="Z48" s="7"/>
      <c r="AA48" s="7"/>
      <c r="AB48" s="7"/>
      <c r="AC48" s="7">
        <v>140</v>
      </c>
      <c r="AD48" s="7"/>
      <c r="AF48" s="9">
        <f t="shared" si="2"/>
        <v>2460</v>
      </c>
      <c r="AG48" s="6">
        <v>1669</v>
      </c>
      <c r="AH48" s="49">
        <f t="shared" si="3"/>
        <v>1.4739364889155182</v>
      </c>
    </row>
    <row r="49" spans="1:34">
      <c r="A49" s="23" t="s">
        <v>49</v>
      </c>
      <c r="B49" s="8"/>
      <c r="C49" s="7"/>
      <c r="D49" s="7"/>
      <c r="E49" s="7"/>
      <c r="F49" s="7"/>
      <c r="G49" s="38"/>
      <c r="H49" s="7">
        <v>400</v>
      </c>
      <c r="I49" s="7"/>
      <c r="J49" s="7"/>
      <c r="K49" s="7"/>
      <c r="L49" s="7"/>
      <c r="M49" s="38"/>
      <c r="N49" s="7"/>
      <c r="O49" s="7"/>
      <c r="P49" s="7"/>
      <c r="Q49" s="7"/>
      <c r="R49" s="7"/>
      <c r="S49" s="38"/>
      <c r="T49" s="7">
        <v>80</v>
      </c>
      <c r="U49" s="7"/>
      <c r="V49" s="7"/>
      <c r="W49" s="7"/>
      <c r="X49" s="7"/>
      <c r="Y49" s="38"/>
      <c r="Z49" s="7">
        <v>280</v>
      </c>
      <c r="AA49" s="7"/>
      <c r="AB49" s="7"/>
      <c r="AC49" s="7"/>
      <c r="AD49" s="7"/>
      <c r="AF49" s="9">
        <f t="shared" si="2"/>
        <v>760</v>
      </c>
      <c r="AG49" s="6">
        <v>537</v>
      </c>
      <c r="AH49" s="49">
        <f t="shared" si="3"/>
        <v>1.415270018621974</v>
      </c>
    </row>
    <row r="50" spans="1:34">
      <c r="A50" s="24" t="s">
        <v>0</v>
      </c>
      <c r="B50" s="8"/>
      <c r="C50" s="7"/>
      <c r="D50" s="7"/>
      <c r="E50" s="7">
        <v>180</v>
      </c>
      <c r="F50" s="7"/>
      <c r="G50" s="38"/>
      <c r="H50" s="7">
        <v>140</v>
      </c>
      <c r="I50" s="7"/>
      <c r="J50" s="7"/>
      <c r="K50" s="7">
        <v>160</v>
      </c>
      <c r="L50" s="7"/>
      <c r="M50" s="38"/>
      <c r="N50" s="7"/>
      <c r="O50" s="7"/>
      <c r="P50" s="7"/>
      <c r="Q50" s="7">
        <v>20</v>
      </c>
      <c r="R50" s="7"/>
      <c r="S50" s="38"/>
      <c r="T50" s="7">
        <v>280</v>
      </c>
      <c r="U50" s="7"/>
      <c r="V50" s="7"/>
      <c r="W50" s="7"/>
      <c r="X50" s="7">
        <v>60</v>
      </c>
      <c r="Y50" s="38"/>
      <c r="Z50" s="7">
        <v>160</v>
      </c>
      <c r="AA50" s="7"/>
      <c r="AB50" s="7"/>
      <c r="AC50" s="7">
        <v>100</v>
      </c>
      <c r="AD50" s="7"/>
      <c r="AF50" s="9">
        <f t="shared" si="2"/>
        <v>1100</v>
      </c>
      <c r="AG50" s="6">
        <v>797</v>
      </c>
      <c r="AH50" s="49">
        <f t="shared" si="3"/>
        <v>1.3801756587202008</v>
      </c>
    </row>
    <row r="51" spans="1:34">
      <c r="A51" s="24" t="s">
        <v>24</v>
      </c>
      <c r="B51" s="8"/>
      <c r="C51" s="7"/>
      <c r="D51" s="7"/>
      <c r="E51" s="7"/>
      <c r="F51" s="7">
        <v>600</v>
      </c>
      <c r="G51" s="38"/>
      <c r="H51" s="7">
        <v>80</v>
      </c>
      <c r="I51" s="7"/>
      <c r="J51" s="7"/>
      <c r="K51" s="7"/>
      <c r="L51" s="7">
        <v>20</v>
      </c>
      <c r="M51" s="38"/>
      <c r="N51" s="7"/>
      <c r="O51" s="7"/>
      <c r="P51" s="7"/>
      <c r="Q51" s="7"/>
      <c r="R51" s="7">
        <v>240</v>
      </c>
      <c r="S51" s="38"/>
      <c r="T51" s="7">
        <v>120</v>
      </c>
      <c r="U51" s="7"/>
      <c r="V51" s="7"/>
      <c r="W51" s="7"/>
      <c r="X51" s="7"/>
      <c r="Y51" s="38"/>
      <c r="Z51" s="7">
        <v>0</v>
      </c>
      <c r="AA51" s="7"/>
      <c r="AB51" s="7"/>
      <c r="AC51" s="7"/>
      <c r="AD51" s="7">
        <v>160</v>
      </c>
      <c r="AF51" s="9">
        <f t="shared" si="2"/>
        <v>1220</v>
      </c>
      <c r="AG51" s="6">
        <v>900</v>
      </c>
      <c r="AH51" s="49">
        <f t="shared" si="3"/>
        <v>1.3555555555555556</v>
      </c>
    </row>
    <row r="52" spans="1:34">
      <c r="A52" s="24" t="s">
        <v>26</v>
      </c>
      <c r="B52" s="8"/>
      <c r="C52" s="7"/>
      <c r="D52" s="7"/>
      <c r="E52" s="7">
        <v>220</v>
      </c>
      <c r="F52" s="7"/>
      <c r="G52" s="38"/>
      <c r="H52" s="7">
        <v>20</v>
      </c>
      <c r="I52" s="7"/>
      <c r="J52" s="7"/>
      <c r="K52" s="7">
        <v>200</v>
      </c>
      <c r="L52" s="7"/>
      <c r="M52" s="38"/>
      <c r="N52" s="7"/>
      <c r="O52" s="7"/>
      <c r="P52" s="7"/>
      <c r="Q52" s="7">
        <v>140</v>
      </c>
      <c r="R52" s="7"/>
      <c r="S52" s="38"/>
      <c r="T52" s="7">
        <v>80</v>
      </c>
      <c r="U52" s="7"/>
      <c r="V52" s="7"/>
      <c r="W52" s="7"/>
      <c r="X52" s="7">
        <v>200</v>
      </c>
      <c r="Y52" s="38"/>
      <c r="Z52" s="7">
        <v>160</v>
      </c>
      <c r="AA52" s="7"/>
      <c r="AB52" s="7"/>
      <c r="AC52" s="7">
        <v>120</v>
      </c>
      <c r="AD52" s="7"/>
      <c r="AF52" s="9">
        <f t="shared" si="2"/>
        <v>1140</v>
      </c>
      <c r="AG52" s="6">
        <v>859</v>
      </c>
      <c r="AH52" s="49">
        <f t="shared" si="3"/>
        <v>1.3271245634458673</v>
      </c>
    </row>
    <row r="53" spans="1:34">
      <c r="A53" s="25" t="s">
        <v>7</v>
      </c>
      <c r="B53" s="8"/>
      <c r="C53" s="7"/>
      <c r="D53" s="7"/>
      <c r="E53" s="7"/>
      <c r="F53" s="7">
        <v>260</v>
      </c>
      <c r="G53" s="38"/>
      <c r="H53" s="7">
        <v>140</v>
      </c>
      <c r="I53" s="7"/>
      <c r="J53" s="7">
        <v>100</v>
      </c>
      <c r="K53" s="7"/>
      <c r="L53" s="7">
        <v>180</v>
      </c>
      <c r="M53" s="38"/>
      <c r="N53" s="7"/>
      <c r="O53" s="7"/>
      <c r="P53" s="7">
        <v>420</v>
      </c>
      <c r="Q53" s="7"/>
      <c r="R53" s="7">
        <v>220</v>
      </c>
      <c r="S53" s="38"/>
      <c r="T53" s="7">
        <v>320</v>
      </c>
      <c r="U53" s="7"/>
      <c r="V53" s="7">
        <v>220</v>
      </c>
      <c r="W53" s="7"/>
      <c r="X53" s="7"/>
      <c r="Y53" s="38"/>
      <c r="Z53" s="7"/>
      <c r="AA53" s="7"/>
      <c r="AB53" s="7">
        <v>0</v>
      </c>
      <c r="AC53" s="7">
        <v>220</v>
      </c>
      <c r="AD53" s="7">
        <v>80</v>
      </c>
      <c r="AF53" s="9">
        <f t="shared" si="2"/>
        <v>2160</v>
      </c>
      <c r="AG53" s="6">
        <v>1646</v>
      </c>
      <c r="AH53" s="49">
        <f t="shared" si="3"/>
        <v>1.3122721749696233</v>
      </c>
    </row>
    <row r="54" spans="1:34">
      <c r="A54" s="23" t="s">
        <v>48</v>
      </c>
      <c r="B54" s="8"/>
      <c r="C54" s="7"/>
      <c r="D54" s="7"/>
      <c r="E54" s="7"/>
      <c r="F54" s="7"/>
      <c r="G54" s="38"/>
      <c r="H54" s="7">
        <v>240</v>
      </c>
      <c r="I54" s="7"/>
      <c r="J54" s="7"/>
      <c r="K54" s="7"/>
      <c r="L54" s="7"/>
      <c r="M54" s="38"/>
      <c r="N54" s="7"/>
      <c r="O54" s="7"/>
      <c r="P54" s="7"/>
      <c r="Q54" s="7"/>
      <c r="R54" s="7"/>
      <c r="S54" s="38"/>
      <c r="T54" s="7">
        <v>300</v>
      </c>
      <c r="U54" s="7"/>
      <c r="V54" s="7"/>
      <c r="W54" s="7"/>
      <c r="X54" s="7"/>
      <c r="Y54" s="38"/>
      <c r="Z54" s="7">
        <v>220</v>
      </c>
      <c r="AA54" s="7"/>
      <c r="AB54" s="7"/>
      <c r="AC54" s="7"/>
      <c r="AD54" s="7"/>
      <c r="AF54" s="9">
        <f t="shared" si="2"/>
        <v>760</v>
      </c>
      <c r="AG54" s="6">
        <v>586</v>
      </c>
      <c r="AH54" s="49">
        <f t="shared" si="3"/>
        <v>1.2969283276450512</v>
      </c>
    </row>
    <row r="55" spans="1:34">
      <c r="A55" s="25" t="s">
        <v>5</v>
      </c>
      <c r="B55" s="8"/>
      <c r="C55" s="7"/>
      <c r="D55" s="7"/>
      <c r="E55" s="7"/>
      <c r="F55" s="7">
        <v>200</v>
      </c>
      <c r="G55" s="38"/>
      <c r="H55" s="7">
        <v>100</v>
      </c>
      <c r="I55" s="7"/>
      <c r="J55" s="7">
        <v>160</v>
      </c>
      <c r="K55" s="7"/>
      <c r="L55" s="7">
        <v>180</v>
      </c>
      <c r="M55" s="38"/>
      <c r="N55" s="7"/>
      <c r="O55" s="7"/>
      <c r="P55" s="7">
        <v>380</v>
      </c>
      <c r="Q55" s="7"/>
      <c r="R55" s="7">
        <v>180</v>
      </c>
      <c r="S55" s="38"/>
      <c r="T55" s="7">
        <v>260</v>
      </c>
      <c r="U55" s="7"/>
      <c r="V55" s="7">
        <v>80</v>
      </c>
      <c r="W55" s="7"/>
      <c r="X55" s="7"/>
      <c r="Y55" s="38"/>
      <c r="Z55" s="7">
        <v>60</v>
      </c>
      <c r="AA55" s="7"/>
      <c r="AB55" s="7">
        <v>80</v>
      </c>
      <c r="AC55" s="7"/>
      <c r="AD55" s="7">
        <v>260</v>
      </c>
      <c r="AF55" s="9">
        <f t="shared" si="2"/>
        <v>1940</v>
      </c>
      <c r="AG55" s="6">
        <v>1500</v>
      </c>
      <c r="AH55" s="49">
        <f t="shared" si="3"/>
        <v>1.2933333333333332</v>
      </c>
    </row>
    <row r="56" spans="1:34">
      <c r="A56" s="23" t="s">
        <v>68</v>
      </c>
      <c r="B56" s="8"/>
      <c r="C56" s="7"/>
      <c r="D56" s="7"/>
      <c r="E56" s="7"/>
      <c r="F56" s="7"/>
      <c r="G56" s="38"/>
      <c r="H56" s="7">
        <v>240</v>
      </c>
      <c r="I56" s="7"/>
      <c r="J56" s="7"/>
      <c r="K56" s="7"/>
      <c r="L56" s="7"/>
      <c r="M56" s="38"/>
      <c r="N56" s="7"/>
      <c r="O56" s="7"/>
      <c r="P56" s="7"/>
      <c r="Q56" s="7"/>
      <c r="R56" s="7"/>
      <c r="S56" s="38"/>
      <c r="T56" s="7">
        <v>180</v>
      </c>
      <c r="U56" s="7"/>
      <c r="V56" s="7"/>
      <c r="W56" s="7"/>
      <c r="X56" s="7"/>
      <c r="Y56" s="38"/>
      <c r="Z56" s="7">
        <v>240</v>
      </c>
      <c r="AA56" s="7"/>
      <c r="AB56" s="7"/>
      <c r="AC56" s="7"/>
      <c r="AD56" s="7"/>
      <c r="AF56" s="9">
        <f t="shared" si="2"/>
        <v>660</v>
      </c>
      <c r="AG56" s="6">
        <v>514</v>
      </c>
      <c r="AH56" s="49">
        <f t="shared" si="3"/>
        <v>1.284046692607004</v>
      </c>
    </row>
    <row r="57" spans="1:34">
      <c r="A57" s="24" t="s">
        <v>2</v>
      </c>
      <c r="B57" s="8"/>
      <c r="C57" s="7"/>
      <c r="D57" s="7"/>
      <c r="E57" s="7">
        <v>40</v>
      </c>
      <c r="F57" s="7"/>
      <c r="G57" s="38"/>
      <c r="H57" s="7">
        <v>160</v>
      </c>
      <c r="I57" s="7"/>
      <c r="J57" s="7"/>
      <c r="K57" s="7">
        <v>80</v>
      </c>
      <c r="L57" s="7"/>
      <c r="M57" s="38"/>
      <c r="N57" s="7"/>
      <c r="O57" s="7"/>
      <c r="P57" s="7"/>
      <c r="Q57" s="7">
        <v>140</v>
      </c>
      <c r="R57" s="7"/>
      <c r="S57" s="38"/>
      <c r="T57" s="7">
        <v>140</v>
      </c>
      <c r="U57" s="7"/>
      <c r="V57" s="7"/>
      <c r="W57" s="7"/>
      <c r="X57" s="7">
        <v>60</v>
      </c>
      <c r="Y57" s="38"/>
      <c r="Z57" s="7">
        <v>60</v>
      </c>
      <c r="AA57" s="7"/>
      <c r="AB57" s="7"/>
      <c r="AC57" s="7">
        <v>80</v>
      </c>
      <c r="AD57" s="7"/>
      <c r="AF57" s="9">
        <f t="shared" si="2"/>
        <v>760</v>
      </c>
      <c r="AG57" s="6">
        <v>604</v>
      </c>
      <c r="AH57" s="49">
        <f t="shared" si="3"/>
        <v>1.2582781456953642</v>
      </c>
    </row>
    <row r="58" spans="1:34">
      <c r="A58" s="23" t="s">
        <v>63</v>
      </c>
      <c r="B58" s="8"/>
      <c r="C58" s="7"/>
      <c r="D58" s="7"/>
      <c r="E58" s="7">
        <v>120</v>
      </c>
      <c r="F58" s="7"/>
      <c r="G58" s="38"/>
      <c r="H58" s="7"/>
      <c r="I58" s="7"/>
      <c r="J58" s="7"/>
      <c r="K58" s="7">
        <v>240</v>
      </c>
      <c r="L58" s="7"/>
      <c r="M58" s="38"/>
      <c r="N58" s="7"/>
      <c r="O58" s="7"/>
      <c r="P58" s="7"/>
      <c r="Q58" s="7">
        <v>240</v>
      </c>
      <c r="R58" s="7"/>
      <c r="S58" s="38"/>
      <c r="T58" s="7"/>
      <c r="U58" s="7"/>
      <c r="V58" s="7"/>
      <c r="W58" s="7"/>
      <c r="X58" s="7">
        <v>180</v>
      </c>
      <c r="Y58" s="38"/>
      <c r="Z58" s="7"/>
      <c r="AA58" s="7"/>
      <c r="AB58" s="7"/>
      <c r="AC58" s="7">
        <v>160</v>
      </c>
      <c r="AD58" s="7"/>
      <c r="AF58" s="9">
        <f t="shared" si="2"/>
        <v>940</v>
      </c>
      <c r="AG58" s="6">
        <v>762</v>
      </c>
      <c r="AH58" s="49">
        <f t="shared" si="3"/>
        <v>1.2335958005249343</v>
      </c>
    </row>
    <row r="59" spans="1:34">
      <c r="A59" s="24" t="s">
        <v>19</v>
      </c>
      <c r="B59" s="8"/>
      <c r="C59" s="7"/>
      <c r="D59" s="7"/>
      <c r="E59" s="7">
        <v>180</v>
      </c>
      <c r="F59" s="7"/>
      <c r="G59" s="38"/>
      <c r="H59" s="7">
        <v>20</v>
      </c>
      <c r="I59" s="7"/>
      <c r="J59" s="7"/>
      <c r="K59" s="7">
        <v>60</v>
      </c>
      <c r="L59" s="7"/>
      <c r="M59" s="38"/>
      <c r="N59" s="7"/>
      <c r="O59" s="7"/>
      <c r="P59" s="7"/>
      <c r="Q59" s="7">
        <v>80</v>
      </c>
      <c r="R59" s="7"/>
      <c r="S59" s="38"/>
      <c r="T59" s="7">
        <v>20</v>
      </c>
      <c r="U59" s="7"/>
      <c r="V59" s="7"/>
      <c r="W59" s="7"/>
      <c r="X59" s="7">
        <v>200</v>
      </c>
      <c r="Y59" s="38"/>
      <c r="Z59" s="7">
        <v>80</v>
      </c>
      <c r="AA59" s="7"/>
      <c r="AB59" s="7"/>
      <c r="AC59" s="7">
        <v>200</v>
      </c>
      <c r="AD59" s="7"/>
      <c r="AF59" s="9">
        <f t="shared" si="2"/>
        <v>840</v>
      </c>
      <c r="AG59" s="6">
        <v>693</v>
      </c>
      <c r="AH59" s="49">
        <f t="shared" si="3"/>
        <v>1.2121212121212122</v>
      </c>
    </row>
    <row r="60" spans="1:34">
      <c r="A60" s="25" t="s">
        <v>25</v>
      </c>
      <c r="B60" s="8"/>
      <c r="C60" s="7"/>
      <c r="D60" s="7"/>
      <c r="E60" s="7">
        <v>300</v>
      </c>
      <c r="F60" s="7"/>
      <c r="G60" s="38"/>
      <c r="H60" s="7">
        <v>380</v>
      </c>
      <c r="I60" s="7"/>
      <c r="J60" s="7"/>
      <c r="K60" s="7">
        <v>140</v>
      </c>
      <c r="L60" s="7"/>
      <c r="M60" s="38"/>
      <c r="N60" s="7"/>
      <c r="O60" s="7"/>
      <c r="P60" s="7"/>
      <c r="Q60" s="7">
        <v>40</v>
      </c>
      <c r="R60" s="7"/>
      <c r="S60" s="38"/>
      <c r="T60" s="7">
        <v>220</v>
      </c>
      <c r="U60" s="7"/>
      <c r="V60" s="7"/>
      <c r="W60" s="7"/>
      <c r="X60" s="7">
        <v>20</v>
      </c>
      <c r="Y60" s="38"/>
      <c r="Z60" s="7">
        <v>220</v>
      </c>
      <c r="AA60" s="7"/>
      <c r="AB60" s="7"/>
      <c r="AC60" s="7">
        <v>40</v>
      </c>
      <c r="AD60" s="7"/>
      <c r="AF60" s="9">
        <f t="shared" si="2"/>
        <v>1360</v>
      </c>
      <c r="AG60" s="6">
        <v>1227</v>
      </c>
      <c r="AH60" s="49">
        <f t="shared" si="3"/>
        <v>1.1083944580277099</v>
      </c>
    </row>
    <row r="61" spans="1:34">
      <c r="A61" s="25" t="s">
        <v>13</v>
      </c>
      <c r="B61" s="8"/>
      <c r="C61" s="7"/>
      <c r="D61" s="7"/>
      <c r="E61" s="7">
        <v>260</v>
      </c>
      <c r="F61" s="7"/>
      <c r="G61" s="38"/>
      <c r="H61" s="7">
        <v>180</v>
      </c>
      <c r="I61" s="7"/>
      <c r="J61" s="7"/>
      <c r="K61" s="7"/>
      <c r="L61" s="7"/>
      <c r="M61" s="38"/>
      <c r="N61" s="7"/>
      <c r="O61" s="7"/>
      <c r="P61" s="7"/>
      <c r="Q61" s="7">
        <v>200</v>
      </c>
      <c r="R61" s="7"/>
      <c r="S61" s="38"/>
      <c r="T61" s="7">
        <v>420</v>
      </c>
      <c r="U61" s="7"/>
      <c r="V61" s="7"/>
      <c r="W61" s="7"/>
      <c r="X61" s="7">
        <v>160</v>
      </c>
      <c r="Y61" s="38"/>
      <c r="Z61" s="7"/>
      <c r="AA61" s="7"/>
      <c r="AB61" s="7"/>
      <c r="AC61" s="7">
        <v>180</v>
      </c>
      <c r="AD61" s="7"/>
      <c r="AF61" s="9">
        <f t="shared" si="2"/>
        <v>1400</v>
      </c>
      <c r="AG61" s="6">
        <v>1274</v>
      </c>
      <c r="AH61" s="49">
        <f t="shared" si="3"/>
        <v>1.098901098901099</v>
      </c>
    </row>
    <row r="62" spans="1:34">
      <c r="A62" s="23" t="s">
        <v>37</v>
      </c>
      <c r="B62" s="8"/>
      <c r="C62" s="7"/>
      <c r="D62" s="7"/>
      <c r="E62" s="7"/>
      <c r="F62" s="7"/>
      <c r="G62" s="38"/>
      <c r="H62" s="7">
        <v>260</v>
      </c>
      <c r="I62" s="7"/>
      <c r="J62" s="7"/>
      <c r="K62" s="7"/>
      <c r="L62" s="7"/>
      <c r="M62" s="38"/>
      <c r="N62" s="7"/>
      <c r="O62" s="7"/>
      <c r="P62" s="7"/>
      <c r="Q62" s="7"/>
      <c r="R62" s="7"/>
      <c r="S62" s="38"/>
      <c r="T62" s="7">
        <v>280</v>
      </c>
      <c r="U62" s="7"/>
      <c r="V62" s="7"/>
      <c r="W62" s="7"/>
      <c r="X62" s="7"/>
      <c r="Y62" s="38"/>
      <c r="Z62" s="7">
        <v>180</v>
      </c>
      <c r="AA62" s="7"/>
      <c r="AB62" s="7"/>
      <c r="AC62" s="7"/>
      <c r="AD62" s="7"/>
      <c r="AF62" s="9">
        <f t="shared" si="2"/>
        <v>720</v>
      </c>
      <c r="AG62" s="6">
        <v>691</v>
      </c>
      <c r="AH62" s="49">
        <f t="shared" si="3"/>
        <v>1.0419681620839363</v>
      </c>
    </row>
    <row r="63" spans="1:34">
      <c r="A63" s="24" t="s">
        <v>27</v>
      </c>
      <c r="B63" s="8"/>
      <c r="C63" s="7"/>
      <c r="D63" s="7"/>
      <c r="E63" s="7"/>
      <c r="F63" s="7">
        <v>40</v>
      </c>
      <c r="G63" s="38"/>
      <c r="H63" s="7"/>
      <c r="I63" s="7">
        <v>240</v>
      </c>
      <c r="J63" s="7"/>
      <c r="K63" s="7"/>
      <c r="L63" s="7">
        <v>100</v>
      </c>
      <c r="M63" s="38"/>
      <c r="N63" s="7"/>
      <c r="O63" s="7"/>
      <c r="P63" s="7"/>
      <c r="Q63" s="7"/>
      <c r="R63" s="7">
        <v>180</v>
      </c>
      <c r="S63" s="38"/>
      <c r="T63" s="7"/>
      <c r="U63" s="7">
        <v>200</v>
      </c>
      <c r="V63" s="7"/>
      <c r="W63" s="7"/>
      <c r="X63" s="7"/>
      <c r="Y63" s="38"/>
      <c r="Z63" s="7"/>
      <c r="AA63" s="7">
        <v>40</v>
      </c>
      <c r="AB63" s="7"/>
      <c r="AC63" s="7"/>
      <c r="AD63" s="7">
        <v>140</v>
      </c>
      <c r="AF63" s="9">
        <f t="shared" si="2"/>
        <v>940</v>
      </c>
      <c r="AG63" s="6">
        <v>954</v>
      </c>
      <c r="AH63" s="49">
        <f t="shared" si="3"/>
        <v>0.9853249475890985</v>
      </c>
    </row>
    <row r="64" spans="1:34">
      <c r="A64" s="23" t="s">
        <v>40</v>
      </c>
      <c r="B64" s="8"/>
      <c r="C64" s="7"/>
      <c r="D64" s="7"/>
      <c r="E64" s="7"/>
      <c r="F64" s="7"/>
      <c r="G64" s="38"/>
      <c r="H64" s="7"/>
      <c r="I64" s="7">
        <v>240</v>
      </c>
      <c r="J64" s="7"/>
      <c r="K64" s="7"/>
      <c r="L64" s="7"/>
      <c r="M64" s="38"/>
      <c r="N64" s="7"/>
      <c r="O64" s="7"/>
      <c r="P64" s="7"/>
      <c r="Q64" s="7"/>
      <c r="R64" s="7"/>
      <c r="S64" s="38"/>
      <c r="T64" s="7"/>
      <c r="U64" s="7">
        <v>320</v>
      </c>
      <c r="V64" s="7"/>
      <c r="W64" s="7"/>
      <c r="X64" s="7"/>
      <c r="Y64" s="38"/>
      <c r="Z64" s="7"/>
      <c r="AA64" s="7">
        <v>140</v>
      </c>
      <c r="AB64" s="7"/>
      <c r="AC64" s="7"/>
      <c r="AD64" s="7"/>
      <c r="AF64" s="9">
        <f t="shared" si="2"/>
        <v>700</v>
      </c>
      <c r="AG64" s="6">
        <v>740</v>
      </c>
      <c r="AH64" s="49">
        <f t="shared" si="3"/>
        <v>0.94594594594594594</v>
      </c>
    </row>
    <row r="65" spans="1:34">
      <c r="A65" s="23" t="s">
        <v>53</v>
      </c>
      <c r="B65" s="8"/>
      <c r="C65" s="7"/>
      <c r="D65" s="7"/>
      <c r="E65" s="7"/>
      <c r="F65" s="7"/>
      <c r="G65" s="38"/>
      <c r="H65" s="7"/>
      <c r="I65" s="7">
        <v>140</v>
      </c>
      <c r="J65" s="7"/>
      <c r="K65" s="7"/>
      <c r="L65" s="7"/>
      <c r="M65" s="38"/>
      <c r="N65" s="7"/>
      <c r="O65" s="7"/>
      <c r="P65" s="7"/>
      <c r="Q65" s="7"/>
      <c r="R65" s="7"/>
      <c r="S65" s="38"/>
      <c r="T65" s="7"/>
      <c r="U65" s="7">
        <v>280</v>
      </c>
      <c r="V65" s="7"/>
      <c r="W65" s="7"/>
      <c r="X65" s="7"/>
      <c r="Y65" s="38"/>
      <c r="Z65" s="7"/>
      <c r="AA65" s="7">
        <v>220</v>
      </c>
      <c r="AB65" s="7"/>
      <c r="AC65" s="7"/>
      <c r="AD65" s="7"/>
      <c r="AF65" s="9">
        <f t="shared" si="2"/>
        <v>640</v>
      </c>
      <c r="AG65" s="6">
        <v>846</v>
      </c>
      <c r="AH65" s="49">
        <f t="shared" si="3"/>
        <v>0.75650118203309691</v>
      </c>
    </row>
    <row r="66" spans="1:34">
      <c r="A66" s="23" t="s">
        <v>62</v>
      </c>
      <c r="B66" s="8"/>
      <c r="C66" s="7"/>
      <c r="D66" s="7"/>
      <c r="E66" s="7"/>
      <c r="F66" s="7"/>
      <c r="G66" s="38"/>
      <c r="H66" s="7">
        <v>40</v>
      </c>
      <c r="I66" s="7"/>
      <c r="J66" s="7"/>
      <c r="K66" s="7"/>
      <c r="L66" s="7"/>
      <c r="M66" s="38"/>
      <c r="N66" s="7"/>
      <c r="O66" s="7"/>
      <c r="P66" s="7"/>
      <c r="Q66" s="7"/>
      <c r="R66" s="7"/>
      <c r="S66" s="38"/>
      <c r="T66" s="7">
        <v>120</v>
      </c>
      <c r="U66" s="7"/>
      <c r="V66" s="7"/>
      <c r="W66" s="7"/>
      <c r="X66" s="7"/>
      <c r="Y66" s="38"/>
      <c r="Z66" s="7">
        <v>140</v>
      </c>
      <c r="AA66" s="7"/>
      <c r="AB66" s="7"/>
      <c r="AC66" s="7"/>
      <c r="AD66" s="7"/>
      <c r="AF66" s="9">
        <f t="shared" si="2"/>
        <v>300</v>
      </c>
      <c r="AG66" s="6">
        <v>488</v>
      </c>
      <c r="AH66" s="49">
        <f t="shared" si="3"/>
        <v>0.61475409836065575</v>
      </c>
    </row>
    <row r="67" spans="1:34" ht="15.75" thickBot="1">
      <c r="A67" s="23" t="s">
        <v>61</v>
      </c>
      <c r="B67" s="8"/>
      <c r="C67" s="7"/>
      <c r="D67" s="7"/>
      <c r="E67" s="7"/>
      <c r="F67" s="7"/>
      <c r="G67" s="38"/>
      <c r="H67" s="7">
        <v>100</v>
      </c>
      <c r="I67" s="7"/>
      <c r="J67" s="7"/>
      <c r="K67" s="7"/>
      <c r="L67" s="7"/>
      <c r="M67" s="38"/>
      <c r="N67" s="7"/>
      <c r="O67" s="7"/>
      <c r="P67" s="7"/>
      <c r="Q67" s="7"/>
      <c r="R67" s="7"/>
      <c r="S67" s="38"/>
      <c r="T67" s="7">
        <v>200</v>
      </c>
      <c r="U67" s="7"/>
      <c r="V67" s="7"/>
      <c r="W67" s="7"/>
      <c r="X67" s="7"/>
      <c r="Y67" s="38"/>
      <c r="Z67" s="7"/>
      <c r="AA67" s="7"/>
      <c r="AB67" s="7"/>
      <c r="AC67" s="7"/>
      <c r="AD67" s="7"/>
      <c r="AF67" s="9">
        <f t="shared" si="2"/>
        <v>300</v>
      </c>
      <c r="AG67" s="14">
        <v>820</v>
      </c>
      <c r="AH67" s="49">
        <f t="shared" si="3"/>
        <v>0.36585365853658536</v>
      </c>
    </row>
    <row r="69" spans="1:34">
      <c r="AF69" s="92">
        <f>SUM(AF6:AF68)</f>
        <v>104010</v>
      </c>
    </row>
  </sheetData>
  <sortState ref="A6:AJ67">
    <sortCondition descending="1" ref="AH6:AH67"/>
  </sortState>
  <mergeCells count="1">
    <mergeCell ref="A1:AH1"/>
  </mergeCells>
  <pageMargins left="0.25" right="0.25" top="0.75" bottom="0.75" header="0.3" footer="0.3"/>
  <pageSetup paperSize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69"/>
  <sheetViews>
    <sheetView topLeftCell="A24" zoomScale="70" zoomScaleNormal="70" workbookViewId="0">
      <selection activeCell="AB6" sqref="AB6:AB69"/>
    </sheetView>
  </sheetViews>
  <sheetFormatPr defaultRowHeight="15"/>
  <cols>
    <col min="1" max="1" width="44.5703125" style="1" customWidth="1"/>
    <col min="2" max="6" width="5.5703125" customWidth="1"/>
    <col min="7" max="7" width="2.140625" style="36" customWidth="1"/>
    <col min="8" max="12" width="5.5703125" customWidth="1"/>
    <col min="13" max="13" width="2.140625" style="36" customWidth="1"/>
    <col min="14" max="18" width="5.5703125" customWidth="1"/>
    <col min="19" max="19" width="2.28515625" style="36" customWidth="1"/>
    <col min="20" max="24" width="5.5703125" customWidth="1"/>
    <col min="25" max="25" width="2.140625" style="36" customWidth="1"/>
    <col min="26" max="26" width="5.5703125" customWidth="1"/>
    <col min="27" max="27" width="2" customWidth="1"/>
    <col min="28" max="28" width="17.140625" customWidth="1"/>
    <col min="29" max="29" width="15" customWidth="1"/>
    <col min="30" max="30" width="13.140625" customWidth="1"/>
  </cols>
  <sheetData>
    <row r="1" spans="1:32" s="58" customFormat="1" ht="29.25" customHeight="1">
      <c r="A1" s="93" t="s">
        <v>81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</row>
    <row r="2" spans="1:32" ht="6.75" customHeight="1">
      <c r="A2" s="41"/>
      <c r="B2" s="42"/>
      <c r="C2" s="42"/>
      <c r="D2" s="42"/>
      <c r="E2" s="42"/>
      <c r="F2" s="42"/>
      <c r="G2" s="43"/>
      <c r="H2" s="42"/>
      <c r="I2" s="42"/>
      <c r="J2" s="42"/>
      <c r="K2" s="42"/>
      <c r="L2" s="42"/>
      <c r="M2" s="43"/>
      <c r="N2" s="42"/>
      <c r="O2" s="42"/>
      <c r="P2" s="42"/>
      <c r="Q2" s="42"/>
      <c r="R2" s="42"/>
      <c r="S2" s="43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 spans="1:32" ht="18.75" customHeight="1" thickBot="1">
      <c r="A3" s="1" t="s">
        <v>97</v>
      </c>
      <c r="B3" t="s">
        <v>70</v>
      </c>
      <c r="C3" t="s">
        <v>71</v>
      </c>
      <c r="D3" t="s">
        <v>72</v>
      </c>
      <c r="E3" t="s">
        <v>74</v>
      </c>
      <c r="F3" t="s">
        <v>73</v>
      </c>
      <c r="H3" t="s">
        <v>70</v>
      </c>
      <c r="I3" t="s">
        <v>71</v>
      </c>
      <c r="J3" t="s">
        <v>72</v>
      </c>
      <c r="K3" t="s">
        <v>74</v>
      </c>
      <c r="L3" t="s">
        <v>73</v>
      </c>
      <c r="N3" t="s">
        <v>70</v>
      </c>
      <c r="O3" t="s">
        <v>71</v>
      </c>
      <c r="P3" t="s">
        <v>72</v>
      </c>
      <c r="Q3" t="s">
        <v>74</v>
      </c>
      <c r="R3" t="s">
        <v>73</v>
      </c>
      <c r="T3" t="s">
        <v>70</v>
      </c>
      <c r="U3" t="s">
        <v>71</v>
      </c>
      <c r="V3" t="s">
        <v>72</v>
      </c>
      <c r="W3" t="s">
        <v>74</v>
      </c>
      <c r="X3" t="s">
        <v>73</v>
      </c>
      <c r="Y3"/>
      <c r="Z3" t="s">
        <v>70</v>
      </c>
    </row>
    <row r="4" spans="1:32" s="4" customFormat="1" ht="45" customHeight="1" thickBot="1">
      <c r="A4" s="17" t="s">
        <v>29</v>
      </c>
      <c r="B4" s="15">
        <v>3</v>
      </c>
      <c r="C4" s="15">
        <v>4</v>
      </c>
      <c r="D4" s="15">
        <v>5</v>
      </c>
      <c r="E4" s="15">
        <v>6</v>
      </c>
      <c r="F4" s="15">
        <v>7</v>
      </c>
      <c r="G4" s="37"/>
      <c r="H4" s="15">
        <v>10</v>
      </c>
      <c r="I4" s="15">
        <v>11</v>
      </c>
      <c r="J4" s="15">
        <v>12</v>
      </c>
      <c r="K4" s="15">
        <v>13</v>
      </c>
      <c r="L4" s="15">
        <v>14</v>
      </c>
      <c r="M4" s="37"/>
      <c r="N4" s="15">
        <v>17</v>
      </c>
      <c r="O4" s="15">
        <v>18</v>
      </c>
      <c r="P4" s="15">
        <v>19</v>
      </c>
      <c r="Q4" s="15">
        <v>20</v>
      </c>
      <c r="R4" s="15">
        <v>21</v>
      </c>
      <c r="S4" s="37"/>
      <c r="T4" s="15">
        <v>24</v>
      </c>
      <c r="U4" s="15">
        <v>25</v>
      </c>
      <c r="V4" s="15">
        <v>26</v>
      </c>
      <c r="W4" s="15">
        <v>27</v>
      </c>
      <c r="X4" s="15">
        <v>28</v>
      </c>
      <c r="Y4" s="37"/>
      <c r="Z4" s="15">
        <v>31</v>
      </c>
      <c r="AB4" s="10" t="s">
        <v>30</v>
      </c>
      <c r="AC4" s="11" t="s">
        <v>31</v>
      </c>
      <c r="AD4" s="12" t="s">
        <v>32</v>
      </c>
      <c r="AE4" s="5"/>
      <c r="AF4" s="5"/>
    </row>
    <row r="5" spans="1:32" s="20" customFormat="1">
      <c r="A5" s="40" t="s">
        <v>28</v>
      </c>
      <c r="B5" s="32"/>
      <c r="C5" s="21"/>
      <c r="D5" s="21"/>
      <c r="E5" s="21"/>
      <c r="F5" s="21"/>
      <c r="G5" s="38"/>
      <c r="H5" s="21"/>
      <c r="I5" s="21"/>
      <c r="J5" s="21"/>
      <c r="K5" s="21"/>
      <c r="L5" s="21"/>
      <c r="M5" s="38"/>
      <c r="N5" s="21"/>
      <c r="O5" s="21"/>
      <c r="P5" s="21"/>
      <c r="Q5" s="21"/>
      <c r="R5" s="21"/>
      <c r="S5" s="38"/>
      <c r="T5" s="21"/>
      <c r="U5" s="21"/>
      <c r="V5" s="21"/>
      <c r="W5" s="21"/>
      <c r="X5" s="21"/>
      <c r="Y5" s="38"/>
      <c r="Z5" s="21"/>
      <c r="AB5" s="33"/>
      <c r="AC5" s="34"/>
      <c r="AD5" s="35"/>
    </row>
    <row r="6" spans="1:32">
      <c r="A6" s="48" t="s">
        <v>16</v>
      </c>
      <c r="B6" s="8"/>
      <c r="C6" s="7">
        <v>160</v>
      </c>
      <c r="D6" s="7"/>
      <c r="E6" s="7"/>
      <c r="F6" s="7">
        <v>140</v>
      </c>
      <c r="G6" s="38"/>
      <c r="H6" s="7"/>
      <c r="I6" s="7">
        <v>160</v>
      </c>
      <c r="J6" s="7"/>
      <c r="K6" s="7"/>
      <c r="L6" s="7">
        <v>260</v>
      </c>
      <c r="M6" s="38"/>
      <c r="N6" s="7"/>
      <c r="O6" s="7"/>
      <c r="P6" s="7"/>
      <c r="Q6" s="7"/>
      <c r="R6" s="7">
        <v>220</v>
      </c>
      <c r="S6" s="38"/>
      <c r="T6" s="7"/>
      <c r="U6" s="7"/>
      <c r="V6" s="7"/>
      <c r="W6" s="7"/>
      <c r="X6" s="7">
        <v>260</v>
      </c>
      <c r="Y6" s="38"/>
      <c r="Z6" s="7"/>
      <c r="AB6" s="9">
        <f t="shared" ref="AB6:AB37" si="0">SUM(B6:AA6)</f>
        <v>1200</v>
      </c>
      <c r="AC6" s="6">
        <v>177</v>
      </c>
      <c r="AD6" s="49">
        <f t="shared" ref="AD6:AD37" si="1">AB6/AC6</f>
        <v>6.7796610169491522</v>
      </c>
    </row>
    <row r="7" spans="1:32">
      <c r="A7" s="23" t="s">
        <v>67</v>
      </c>
      <c r="B7" s="8"/>
      <c r="C7" s="7"/>
      <c r="D7" s="7"/>
      <c r="E7" s="7">
        <v>60</v>
      </c>
      <c r="F7" s="7"/>
      <c r="G7" s="38"/>
      <c r="H7" s="7"/>
      <c r="I7" s="7"/>
      <c r="J7" s="7"/>
      <c r="K7" s="7">
        <v>220</v>
      </c>
      <c r="L7" s="7"/>
      <c r="M7" s="38"/>
      <c r="N7" s="7"/>
      <c r="O7" s="7"/>
      <c r="P7" s="7"/>
      <c r="Q7" s="7">
        <v>880</v>
      </c>
      <c r="R7" s="7"/>
      <c r="S7" s="38"/>
      <c r="T7" s="7"/>
      <c r="U7" s="7"/>
      <c r="V7" s="7"/>
      <c r="W7" s="7">
        <v>100</v>
      </c>
      <c r="X7" s="7"/>
      <c r="Y7" s="38"/>
      <c r="Z7" s="7"/>
      <c r="AB7" s="9">
        <f t="shared" si="0"/>
        <v>1260</v>
      </c>
      <c r="AC7" s="6">
        <v>213</v>
      </c>
      <c r="AD7" s="49">
        <f t="shared" si="1"/>
        <v>5.915492957746479</v>
      </c>
    </row>
    <row r="8" spans="1:32">
      <c r="A8" s="23" t="s">
        <v>47</v>
      </c>
      <c r="B8" s="8"/>
      <c r="C8" s="7"/>
      <c r="D8" s="7"/>
      <c r="E8" s="7">
        <v>120</v>
      </c>
      <c r="F8" s="7"/>
      <c r="G8" s="38"/>
      <c r="H8" s="7"/>
      <c r="I8" s="7"/>
      <c r="J8" s="7"/>
      <c r="K8" s="7">
        <v>160</v>
      </c>
      <c r="L8" s="7"/>
      <c r="M8" s="38"/>
      <c r="N8" s="7"/>
      <c r="O8" s="7"/>
      <c r="P8" s="7"/>
      <c r="Q8" s="7">
        <v>1320</v>
      </c>
      <c r="R8" s="7"/>
      <c r="S8" s="38"/>
      <c r="T8" s="7"/>
      <c r="U8" s="7"/>
      <c r="V8" s="7"/>
      <c r="W8" s="7">
        <v>120</v>
      </c>
      <c r="X8" s="7"/>
      <c r="Y8" s="38"/>
      <c r="Z8" s="7"/>
      <c r="AB8" s="9">
        <f t="shared" si="0"/>
        <v>1720</v>
      </c>
      <c r="AC8" s="6">
        <v>334</v>
      </c>
      <c r="AD8" s="49">
        <f t="shared" si="1"/>
        <v>5.1497005988023954</v>
      </c>
    </row>
    <row r="9" spans="1:32">
      <c r="A9" s="48" t="s">
        <v>6</v>
      </c>
      <c r="B9" s="8"/>
      <c r="C9" s="7">
        <v>220</v>
      </c>
      <c r="D9" s="7"/>
      <c r="E9" s="7">
        <v>60</v>
      </c>
      <c r="F9" s="7"/>
      <c r="G9" s="38"/>
      <c r="H9" s="7"/>
      <c r="I9" s="7">
        <v>40</v>
      </c>
      <c r="J9" s="7"/>
      <c r="K9" s="7">
        <v>60</v>
      </c>
      <c r="L9" s="7"/>
      <c r="M9" s="38"/>
      <c r="N9" s="7"/>
      <c r="O9" s="7"/>
      <c r="P9" s="7"/>
      <c r="Q9" s="7">
        <v>120</v>
      </c>
      <c r="R9" s="7"/>
      <c r="S9" s="38"/>
      <c r="T9" s="7">
        <v>100</v>
      </c>
      <c r="U9" s="7"/>
      <c r="V9" s="7"/>
      <c r="W9" s="7">
        <v>20</v>
      </c>
      <c r="X9" s="7"/>
      <c r="Y9" s="38"/>
      <c r="Z9" s="7"/>
      <c r="AB9" s="9">
        <f t="shared" si="0"/>
        <v>620</v>
      </c>
      <c r="AC9" s="6">
        <v>121</v>
      </c>
      <c r="AD9" s="49">
        <f t="shared" si="1"/>
        <v>5.1239669421487601</v>
      </c>
    </row>
    <row r="10" spans="1:32">
      <c r="A10" s="23" t="s">
        <v>41</v>
      </c>
      <c r="B10" s="8"/>
      <c r="C10" s="7"/>
      <c r="D10" s="7"/>
      <c r="E10" s="7">
        <v>220</v>
      </c>
      <c r="F10" s="7"/>
      <c r="G10" s="38"/>
      <c r="H10" s="7"/>
      <c r="I10" s="7"/>
      <c r="J10" s="7"/>
      <c r="K10" s="7">
        <v>1080</v>
      </c>
      <c r="L10" s="7"/>
      <c r="M10" s="38"/>
      <c r="N10" s="7"/>
      <c r="O10" s="7"/>
      <c r="P10" s="7"/>
      <c r="Q10" s="7">
        <v>120</v>
      </c>
      <c r="R10" s="7"/>
      <c r="S10" s="38"/>
      <c r="T10" s="7"/>
      <c r="U10" s="7"/>
      <c r="V10" s="7"/>
      <c r="W10" s="7">
        <v>320</v>
      </c>
      <c r="X10" s="7"/>
      <c r="Y10" s="38"/>
      <c r="Z10" s="7"/>
      <c r="AB10" s="9">
        <f t="shared" si="0"/>
        <v>1740</v>
      </c>
      <c r="AC10" s="6">
        <v>342</v>
      </c>
      <c r="AD10" s="49">
        <f t="shared" si="1"/>
        <v>5.0877192982456139</v>
      </c>
    </row>
    <row r="11" spans="1:32">
      <c r="A11" s="23" t="s">
        <v>36</v>
      </c>
      <c r="B11" s="8">
        <v>40</v>
      </c>
      <c r="C11" s="7"/>
      <c r="D11" s="7"/>
      <c r="E11" s="7">
        <v>1620</v>
      </c>
      <c r="F11" s="7"/>
      <c r="G11" s="38"/>
      <c r="H11" s="7">
        <v>160</v>
      </c>
      <c r="I11" s="7"/>
      <c r="J11" s="7"/>
      <c r="K11" s="7">
        <v>520</v>
      </c>
      <c r="L11" s="7"/>
      <c r="M11" s="38"/>
      <c r="N11" s="7">
        <v>160</v>
      </c>
      <c r="O11" s="7"/>
      <c r="P11" s="7"/>
      <c r="Q11" s="7">
        <v>560</v>
      </c>
      <c r="R11" s="7"/>
      <c r="S11" s="38"/>
      <c r="T11" s="7">
        <v>260</v>
      </c>
      <c r="U11" s="7"/>
      <c r="V11" s="7"/>
      <c r="W11" s="7">
        <v>200</v>
      </c>
      <c r="X11" s="7"/>
      <c r="Y11" s="38"/>
      <c r="Z11" s="7">
        <v>20</v>
      </c>
      <c r="AB11" s="9">
        <f t="shared" si="0"/>
        <v>3540</v>
      </c>
      <c r="AC11" s="6">
        <v>738</v>
      </c>
      <c r="AD11" s="49">
        <f t="shared" si="1"/>
        <v>4.7967479674796749</v>
      </c>
    </row>
    <row r="12" spans="1:32">
      <c r="A12" s="23" t="s">
        <v>57</v>
      </c>
      <c r="B12" s="8">
        <v>180</v>
      </c>
      <c r="C12" s="7"/>
      <c r="D12" s="7"/>
      <c r="E12" s="7">
        <v>140</v>
      </c>
      <c r="F12" s="7"/>
      <c r="G12" s="38"/>
      <c r="H12" s="7">
        <v>180</v>
      </c>
      <c r="I12" s="7"/>
      <c r="J12" s="7"/>
      <c r="K12" s="7">
        <v>100</v>
      </c>
      <c r="L12" s="7"/>
      <c r="M12" s="38"/>
      <c r="N12" s="7">
        <v>1300</v>
      </c>
      <c r="O12" s="7"/>
      <c r="P12" s="7"/>
      <c r="Q12" s="7">
        <v>140</v>
      </c>
      <c r="R12" s="7"/>
      <c r="S12" s="38"/>
      <c r="T12" s="7">
        <v>260</v>
      </c>
      <c r="U12" s="7"/>
      <c r="V12" s="7"/>
      <c r="W12" s="7">
        <v>80</v>
      </c>
      <c r="X12" s="7"/>
      <c r="Y12" s="38"/>
      <c r="Z12" s="7">
        <v>260</v>
      </c>
      <c r="AB12" s="9">
        <f t="shared" si="0"/>
        <v>2640</v>
      </c>
      <c r="AC12" s="6">
        <v>563</v>
      </c>
      <c r="AD12" s="49">
        <f t="shared" si="1"/>
        <v>4.6891651865008885</v>
      </c>
    </row>
    <row r="13" spans="1:32">
      <c r="A13" s="25" t="s">
        <v>17</v>
      </c>
      <c r="B13" s="8">
        <v>320</v>
      </c>
      <c r="C13" s="7">
        <v>400</v>
      </c>
      <c r="D13" s="7"/>
      <c r="E13" s="7">
        <v>380</v>
      </c>
      <c r="F13" s="7">
        <v>380</v>
      </c>
      <c r="G13" s="38"/>
      <c r="H13" s="7">
        <v>60</v>
      </c>
      <c r="I13" s="7">
        <v>320</v>
      </c>
      <c r="J13" s="7"/>
      <c r="K13" s="7">
        <v>940</v>
      </c>
      <c r="L13" s="7">
        <v>500</v>
      </c>
      <c r="M13" s="38"/>
      <c r="N13" s="7">
        <v>60</v>
      </c>
      <c r="O13" s="7">
        <v>400</v>
      </c>
      <c r="P13" s="7"/>
      <c r="Q13" s="7">
        <v>680</v>
      </c>
      <c r="R13" s="7">
        <v>680</v>
      </c>
      <c r="S13" s="38"/>
      <c r="T13" s="7">
        <v>100</v>
      </c>
      <c r="U13" s="7">
        <v>380</v>
      </c>
      <c r="V13" s="7"/>
      <c r="W13" s="7">
        <v>640</v>
      </c>
      <c r="X13" s="7">
        <v>480</v>
      </c>
      <c r="Y13" s="38"/>
      <c r="Z13" s="7">
        <v>60</v>
      </c>
      <c r="AB13" s="9">
        <f t="shared" si="0"/>
        <v>6780</v>
      </c>
      <c r="AC13" s="6">
        <v>1632</v>
      </c>
      <c r="AD13" s="49">
        <f t="shared" si="1"/>
        <v>4.1544117647058822</v>
      </c>
    </row>
    <row r="14" spans="1:32">
      <c r="A14" s="23" t="s">
        <v>43</v>
      </c>
      <c r="B14" s="8"/>
      <c r="C14" s="7"/>
      <c r="D14" s="7"/>
      <c r="E14" s="7"/>
      <c r="F14" s="7">
        <v>1420</v>
      </c>
      <c r="G14" s="38"/>
      <c r="H14" s="7"/>
      <c r="I14" s="7"/>
      <c r="J14" s="7"/>
      <c r="K14" s="7"/>
      <c r="L14" s="7">
        <v>260</v>
      </c>
      <c r="M14" s="38"/>
      <c r="N14" s="7"/>
      <c r="O14" s="7"/>
      <c r="P14" s="7"/>
      <c r="Q14" s="7"/>
      <c r="R14" s="7">
        <v>0</v>
      </c>
      <c r="S14" s="38"/>
      <c r="T14" s="7"/>
      <c r="U14" s="7"/>
      <c r="V14" s="7"/>
      <c r="W14" s="7"/>
      <c r="X14" s="7">
        <v>140</v>
      </c>
      <c r="Y14" s="38"/>
      <c r="Z14" s="7"/>
      <c r="AB14" s="9">
        <f t="shared" si="0"/>
        <v>1820</v>
      </c>
      <c r="AC14" s="6">
        <v>469</v>
      </c>
      <c r="AD14" s="49">
        <f t="shared" si="1"/>
        <v>3.8805970149253732</v>
      </c>
    </row>
    <row r="15" spans="1:32">
      <c r="A15" s="24" t="s">
        <v>12</v>
      </c>
      <c r="B15" s="8"/>
      <c r="C15" s="7">
        <v>200</v>
      </c>
      <c r="D15" s="7"/>
      <c r="E15" s="7"/>
      <c r="F15" s="7">
        <v>260</v>
      </c>
      <c r="G15" s="38"/>
      <c r="H15" s="7"/>
      <c r="I15" s="7">
        <v>180</v>
      </c>
      <c r="J15" s="7"/>
      <c r="K15" s="7"/>
      <c r="L15" s="7">
        <v>240</v>
      </c>
      <c r="M15" s="38"/>
      <c r="N15" s="7"/>
      <c r="O15" s="7">
        <v>280</v>
      </c>
      <c r="P15" s="7"/>
      <c r="Q15" s="7"/>
      <c r="R15" s="7">
        <v>520</v>
      </c>
      <c r="S15" s="38"/>
      <c r="T15" s="7"/>
      <c r="U15" s="7">
        <v>260</v>
      </c>
      <c r="V15" s="7"/>
      <c r="W15" s="7"/>
      <c r="X15" s="7">
        <v>160</v>
      </c>
      <c r="Y15" s="38"/>
      <c r="Z15" s="7"/>
      <c r="AB15" s="9">
        <f t="shared" si="0"/>
        <v>2100</v>
      </c>
      <c r="AC15" s="6">
        <v>581</v>
      </c>
      <c r="AD15" s="49">
        <f t="shared" si="1"/>
        <v>3.6144578313253013</v>
      </c>
    </row>
    <row r="16" spans="1:32">
      <c r="A16" s="23" t="s">
        <v>69</v>
      </c>
      <c r="B16" s="8"/>
      <c r="C16" s="7"/>
      <c r="D16" s="7"/>
      <c r="E16" s="7">
        <v>120</v>
      </c>
      <c r="F16" s="7"/>
      <c r="G16" s="38"/>
      <c r="H16" s="7"/>
      <c r="I16" s="7"/>
      <c r="J16" s="7"/>
      <c r="K16" s="7">
        <v>140</v>
      </c>
      <c r="L16" s="7"/>
      <c r="M16" s="38"/>
      <c r="N16" s="7"/>
      <c r="O16" s="7"/>
      <c r="P16" s="7"/>
      <c r="Q16" s="7">
        <v>180</v>
      </c>
      <c r="R16" s="7"/>
      <c r="S16" s="38"/>
      <c r="T16" s="7"/>
      <c r="U16" s="7"/>
      <c r="V16" s="7"/>
      <c r="W16" s="7">
        <v>140</v>
      </c>
      <c r="X16" s="7"/>
      <c r="Y16" s="38"/>
      <c r="Z16" s="7"/>
      <c r="AB16" s="9">
        <f t="shared" si="0"/>
        <v>580</v>
      </c>
      <c r="AC16" s="6">
        <v>166</v>
      </c>
      <c r="AD16" s="49">
        <f t="shared" si="1"/>
        <v>3.4939759036144578</v>
      </c>
    </row>
    <row r="17" spans="1:31">
      <c r="A17" s="23" t="s">
        <v>55</v>
      </c>
      <c r="B17" s="8">
        <v>400</v>
      </c>
      <c r="C17" s="7"/>
      <c r="D17" s="7"/>
      <c r="E17" s="7">
        <v>220</v>
      </c>
      <c r="F17" s="7"/>
      <c r="G17" s="38"/>
      <c r="H17" s="7">
        <v>260</v>
      </c>
      <c r="I17" s="7"/>
      <c r="J17" s="7"/>
      <c r="K17" s="7">
        <v>400</v>
      </c>
      <c r="L17" s="7"/>
      <c r="M17" s="38"/>
      <c r="N17" s="7">
        <v>220</v>
      </c>
      <c r="O17" s="7"/>
      <c r="P17" s="7"/>
      <c r="Q17" s="7">
        <v>280</v>
      </c>
      <c r="R17" s="7"/>
      <c r="S17" s="38"/>
      <c r="T17" s="7">
        <v>200</v>
      </c>
      <c r="U17" s="7"/>
      <c r="V17" s="7"/>
      <c r="W17" s="7">
        <v>380</v>
      </c>
      <c r="X17" s="7"/>
      <c r="Y17" s="38"/>
      <c r="Z17" s="7">
        <v>40</v>
      </c>
      <c r="AB17" s="9">
        <f t="shared" si="0"/>
        <v>2400</v>
      </c>
      <c r="AC17" s="6">
        <v>695</v>
      </c>
      <c r="AD17" s="49">
        <f t="shared" si="1"/>
        <v>3.4532374100719423</v>
      </c>
    </row>
    <row r="18" spans="1:31">
      <c r="A18" s="23" t="s">
        <v>64</v>
      </c>
      <c r="B18" s="8"/>
      <c r="C18" s="7">
        <v>1300</v>
      </c>
      <c r="D18" s="7"/>
      <c r="E18" s="7"/>
      <c r="F18" s="7">
        <v>200</v>
      </c>
      <c r="G18" s="38"/>
      <c r="H18" s="7"/>
      <c r="I18" s="7">
        <v>200</v>
      </c>
      <c r="J18" s="7"/>
      <c r="K18" s="7"/>
      <c r="L18" s="7">
        <v>80</v>
      </c>
      <c r="M18" s="38"/>
      <c r="N18" s="7"/>
      <c r="O18" s="7"/>
      <c r="P18" s="7"/>
      <c r="Q18" s="7"/>
      <c r="R18" s="7">
        <v>300</v>
      </c>
      <c r="S18" s="38"/>
      <c r="T18" s="7"/>
      <c r="U18" s="7"/>
      <c r="V18" s="7"/>
      <c r="W18" s="7"/>
      <c r="X18" s="7">
        <v>60</v>
      </c>
      <c r="Y18" s="38"/>
      <c r="Z18" s="7"/>
      <c r="AB18" s="9">
        <f t="shared" si="0"/>
        <v>2140</v>
      </c>
      <c r="AC18" s="6">
        <v>637</v>
      </c>
      <c r="AD18" s="49">
        <f t="shared" si="1"/>
        <v>3.3594976452119307</v>
      </c>
    </row>
    <row r="19" spans="1:31">
      <c r="A19" s="23" t="s">
        <v>10</v>
      </c>
      <c r="B19" s="8"/>
      <c r="C19" s="7"/>
      <c r="D19" s="7"/>
      <c r="E19" s="7">
        <v>1500</v>
      </c>
      <c r="F19" s="7"/>
      <c r="G19" s="38"/>
      <c r="H19" s="7"/>
      <c r="I19" s="7"/>
      <c r="J19" s="7"/>
      <c r="K19" s="7">
        <v>60</v>
      </c>
      <c r="L19" s="7"/>
      <c r="M19" s="38"/>
      <c r="N19" s="7"/>
      <c r="O19" s="7"/>
      <c r="P19" s="7"/>
      <c r="Q19" s="7">
        <v>20</v>
      </c>
      <c r="R19" s="7"/>
      <c r="S19" s="38"/>
      <c r="T19" s="7"/>
      <c r="U19" s="7"/>
      <c r="V19" s="7"/>
      <c r="W19" s="7">
        <v>180</v>
      </c>
      <c r="X19" s="7"/>
      <c r="Y19" s="38"/>
      <c r="Z19" s="7"/>
      <c r="AB19" s="9">
        <f t="shared" si="0"/>
        <v>1760</v>
      </c>
      <c r="AC19" s="6">
        <v>541</v>
      </c>
      <c r="AD19" s="49">
        <f t="shared" si="1"/>
        <v>3.2532347504621071</v>
      </c>
    </row>
    <row r="20" spans="1:31">
      <c r="A20" s="23" t="s">
        <v>15</v>
      </c>
      <c r="B20" s="8">
        <v>300</v>
      </c>
      <c r="C20" s="7"/>
      <c r="D20" s="7"/>
      <c r="E20" s="7"/>
      <c r="F20" s="7"/>
      <c r="G20" s="38"/>
      <c r="H20" s="7">
        <v>120</v>
      </c>
      <c r="I20" s="7"/>
      <c r="J20" s="7"/>
      <c r="K20" s="7"/>
      <c r="L20" s="7"/>
      <c r="M20" s="38"/>
      <c r="N20" s="7">
        <v>280</v>
      </c>
      <c r="O20" s="7"/>
      <c r="P20" s="7"/>
      <c r="Q20" s="7"/>
      <c r="R20" s="7"/>
      <c r="S20" s="38"/>
      <c r="T20" s="7">
        <v>260</v>
      </c>
      <c r="U20" s="7"/>
      <c r="V20" s="7"/>
      <c r="W20" s="7"/>
      <c r="X20" s="7"/>
      <c r="Y20" s="38"/>
      <c r="Z20" s="7">
        <v>20</v>
      </c>
      <c r="AB20" s="9">
        <f t="shared" si="0"/>
        <v>980</v>
      </c>
      <c r="AC20" s="6">
        <v>302</v>
      </c>
      <c r="AD20" s="49">
        <f t="shared" si="1"/>
        <v>3.2450331125827816</v>
      </c>
    </row>
    <row r="21" spans="1:31">
      <c r="A21" s="24" t="s">
        <v>23</v>
      </c>
      <c r="B21" s="8"/>
      <c r="C21" s="7">
        <v>20</v>
      </c>
      <c r="D21" s="7"/>
      <c r="E21" s="7"/>
      <c r="F21" s="7">
        <v>100</v>
      </c>
      <c r="G21" s="38"/>
      <c r="H21" s="7"/>
      <c r="I21" s="7">
        <v>80</v>
      </c>
      <c r="J21" s="7"/>
      <c r="K21" s="7"/>
      <c r="L21" s="7">
        <v>80</v>
      </c>
      <c r="M21" s="38"/>
      <c r="N21" s="7"/>
      <c r="O21" s="7">
        <v>1820</v>
      </c>
      <c r="P21" s="7"/>
      <c r="Q21" s="7"/>
      <c r="R21" s="7">
        <v>260</v>
      </c>
      <c r="S21" s="38"/>
      <c r="T21" s="7"/>
      <c r="U21" s="7">
        <v>120</v>
      </c>
      <c r="V21" s="7"/>
      <c r="W21" s="7"/>
      <c r="X21" s="7">
        <v>60</v>
      </c>
      <c r="Y21" s="38"/>
      <c r="Z21" s="7"/>
      <c r="AB21" s="9">
        <f t="shared" si="0"/>
        <v>2540</v>
      </c>
      <c r="AC21" s="6">
        <v>830</v>
      </c>
      <c r="AD21" s="49">
        <f t="shared" si="1"/>
        <v>3.0602409638554215</v>
      </c>
    </row>
    <row r="22" spans="1:31">
      <c r="A22" s="25" t="s">
        <v>3</v>
      </c>
      <c r="B22" s="8">
        <v>340</v>
      </c>
      <c r="C22" s="7"/>
      <c r="D22" s="7"/>
      <c r="E22" s="7">
        <v>700</v>
      </c>
      <c r="F22" s="7"/>
      <c r="G22" s="38"/>
      <c r="H22" s="7">
        <v>480</v>
      </c>
      <c r="I22" s="7"/>
      <c r="J22" s="7"/>
      <c r="K22" s="7">
        <v>700</v>
      </c>
      <c r="L22" s="7"/>
      <c r="M22" s="38"/>
      <c r="N22" s="7">
        <v>300</v>
      </c>
      <c r="O22" s="7"/>
      <c r="P22" s="7"/>
      <c r="Q22" s="7">
        <v>240</v>
      </c>
      <c r="R22" s="7"/>
      <c r="S22" s="38"/>
      <c r="T22" s="7">
        <v>160</v>
      </c>
      <c r="U22" s="7"/>
      <c r="V22" s="7"/>
      <c r="W22" s="7">
        <v>180</v>
      </c>
      <c r="X22" s="7"/>
      <c r="Y22" s="38"/>
      <c r="Z22" s="7">
        <v>120</v>
      </c>
      <c r="AB22" s="9">
        <f t="shared" si="0"/>
        <v>3220</v>
      </c>
      <c r="AC22" s="6">
        <v>1074</v>
      </c>
      <c r="AD22" s="49">
        <f t="shared" si="1"/>
        <v>2.9981378026070762</v>
      </c>
    </row>
    <row r="23" spans="1:31">
      <c r="A23" s="24" t="s">
        <v>11</v>
      </c>
      <c r="B23" s="8"/>
      <c r="C23" s="7">
        <v>340</v>
      </c>
      <c r="D23" s="7"/>
      <c r="E23" s="7"/>
      <c r="F23" s="7">
        <v>1200</v>
      </c>
      <c r="G23" s="38"/>
      <c r="H23" s="7"/>
      <c r="I23" s="7">
        <v>80</v>
      </c>
      <c r="J23" s="7"/>
      <c r="K23" s="7"/>
      <c r="L23" s="7">
        <v>220</v>
      </c>
      <c r="M23" s="38"/>
      <c r="N23" s="7"/>
      <c r="O23" s="7"/>
      <c r="P23" s="7"/>
      <c r="Q23" s="7"/>
      <c r="R23" s="7">
        <v>220</v>
      </c>
      <c r="S23" s="38"/>
      <c r="T23" s="7"/>
      <c r="U23" s="7"/>
      <c r="V23" s="7"/>
      <c r="W23" s="7"/>
      <c r="X23" s="7">
        <v>240</v>
      </c>
      <c r="Y23" s="38"/>
      <c r="Z23" s="7"/>
      <c r="AB23" s="9">
        <f t="shared" si="0"/>
        <v>2300</v>
      </c>
      <c r="AC23" s="6">
        <v>816</v>
      </c>
      <c r="AD23" s="49">
        <f t="shared" si="1"/>
        <v>2.8186274509803924</v>
      </c>
    </row>
    <row r="24" spans="1:31">
      <c r="A24" s="23" t="s">
        <v>58</v>
      </c>
      <c r="B24" s="8"/>
      <c r="C24" s="7"/>
      <c r="D24" s="7"/>
      <c r="E24" s="7">
        <v>160</v>
      </c>
      <c r="F24" s="7"/>
      <c r="G24" s="38"/>
      <c r="H24" s="7"/>
      <c r="I24" s="7"/>
      <c r="J24" s="7"/>
      <c r="K24" s="7">
        <v>340</v>
      </c>
      <c r="L24" s="7"/>
      <c r="M24" s="38"/>
      <c r="N24" s="7"/>
      <c r="O24" s="7"/>
      <c r="P24" s="7"/>
      <c r="Q24" s="7">
        <v>240</v>
      </c>
      <c r="R24" s="7"/>
      <c r="S24" s="38"/>
      <c r="T24" s="7"/>
      <c r="U24" s="7"/>
      <c r="V24" s="7"/>
      <c r="W24" s="7">
        <v>320</v>
      </c>
      <c r="X24" s="7"/>
      <c r="Y24" s="38"/>
      <c r="Z24" s="7"/>
      <c r="AB24" s="9">
        <f t="shared" si="0"/>
        <v>1060</v>
      </c>
      <c r="AC24" s="6">
        <v>381</v>
      </c>
      <c r="AD24" s="49">
        <f t="shared" si="1"/>
        <v>2.7821522309711284</v>
      </c>
    </row>
    <row r="25" spans="1:31">
      <c r="A25" s="23" t="s">
        <v>66</v>
      </c>
      <c r="B25" s="8"/>
      <c r="C25" s="7"/>
      <c r="D25" s="7"/>
      <c r="E25" s="7">
        <v>140</v>
      </c>
      <c r="F25" s="7"/>
      <c r="G25" s="38"/>
      <c r="H25" s="7"/>
      <c r="I25" s="7"/>
      <c r="J25" s="7"/>
      <c r="K25" s="7">
        <v>140</v>
      </c>
      <c r="L25" s="7"/>
      <c r="M25" s="38"/>
      <c r="N25" s="7"/>
      <c r="O25" s="7"/>
      <c r="P25" s="7"/>
      <c r="Q25" s="7">
        <v>140</v>
      </c>
      <c r="R25" s="7"/>
      <c r="S25" s="38"/>
      <c r="T25" s="7"/>
      <c r="U25" s="7"/>
      <c r="V25" s="7"/>
      <c r="W25" s="7">
        <v>160</v>
      </c>
      <c r="X25" s="7"/>
      <c r="Y25" s="38"/>
      <c r="Z25" s="7"/>
      <c r="AB25" s="9">
        <f t="shared" si="0"/>
        <v>580</v>
      </c>
      <c r="AC25" s="6">
        <v>209</v>
      </c>
      <c r="AD25" s="49">
        <f t="shared" si="1"/>
        <v>2.7751196172248802</v>
      </c>
    </row>
    <row r="26" spans="1:31">
      <c r="A26" s="23" t="s">
        <v>20</v>
      </c>
      <c r="B26" s="8"/>
      <c r="C26" s="7"/>
      <c r="D26" s="7"/>
      <c r="E26" s="7">
        <v>300</v>
      </c>
      <c r="F26" s="7"/>
      <c r="G26" s="38"/>
      <c r="H26" s="7"/>
      <c r="I26" s="7"/>
      <c r="J26" s="7"/>
      <c r="K26" s="7">
        <v>360</v>
      </c>
      <c r="L26" s="7"/>
      <c r="M26" s="38"/>
      <c r="N26" s="7"/>
      <c r="O26" s="7"/>
      <c r="P26" s="7"/>
      <c r="Q26" s="7">
        <v>200</v>
      </c>
      <c r="R26" s="7"/>
      <c r="S26" s="38"/>
      <c r="T26" s="7"/>
      <c r="U26" s="7"/>
      <c r="V26" s="7"/>
      <c r="W26" s="7">
        <v>340</v>
      </c>
      <c r="X26" s="7"/>
      <c r="Y26" s="38"/>
      <c r="Z26" s="7"/>
      <c r="AB26" s="9">
        <f t="shared" si="0"/>
        <v>1200</v>
      </c>
      <c r="AC26" s="6">
        <v>442</v>
      </c>
      <c r="AD26" s="49">
        <f t="shared" si="1"/>
        <v>2.7149321266968327</v>
      </c>
      <c r="AE26" t="s">
        <v>76</v>
      </c>
    </row>
    <row r="27" spans="1:31">
      <c r="A27" s="23" t="s">
        <v>52</v>
      </c>
      <c r="B27" s="8"/>
      <c r="C27" s="7">
        <v>340</v>
      </c>
      <c r="D27" s="7"/>
      <c r="E27" s="7"/>
      <c r="F27" s="7"/>
      <c r="G27" s="38"/>
      <c r="H27" s="7"/>
      <c r="I27" s="7">
        <v>300</v>
      </c>
      <c r="J27" s="7"/>
      <c r="K27" s="7"/>
      <c r="L27" s="7"/>
      <c r="M27" s="38"/>
      <c r="N27" s="7"/>
      <c r="O27" s="7">
        <v>480</v>
      </c>
      <c r="P27" s="7"/>
      <c r="Q27" s="7">
        <v>440</v>
      </c>
      <c r="R27" s="7"/>
      <c r="S27" s="38"/>
      <c r="T27" s="7"/>
      <c r="U27" s="7">
        <v>300</v>
      </c>
      <c r="V27" s="7"/>
      <c r="W27" s="7"/>
      <c r="X27" s="7"/>
      <c r="Y27" s="38"/>
      <c r="Z27" s="7"/>
      <c r="AB27" s="9">
        <f t="shared" si="0"/>
        <v>1860</v>
      </c>
      <c r="AC27" s="6">
        <v>693</v>
      </c>
      <c r="AD27" s="49">
        <f t="shared" si="1"/>
        <v>2.6839826839826841</v>
      </c>
    </row>
    <row r="28" spans="1:31">
      <c r="A28" s="24" t="s">
        <v>18</v>
      </c>
      <c r="B28" s="8">
        <v>140</v>
      </c>
      <c r="C28" s="7"/>
      <c r="D28" s="7"/>
      <c r="E28" s="7"/>
      <c r="F28" s="7"/>
      <c r="G28" s="38"/>
      <c r="H28" s="7">
        <v>180</v>
      </c>
      <c r="I28" s="7"/>
      <c r="J28" s="7"/>
      <c r="K28" s="7">
        <v>140</v>
      </c>
      <c r="L28" s="7"/>
      <c r="M28" s="38"/>
      <c r="N28" s="7">
        <v>140</v>
      </c>
      <c r="O28" s="7"/>
      <c r="P28" s="7"/>
      <c r="Q28" s="7">
        <v>200</v>
      </c>
      <c r="R28" s="7"/>
      <c r="S28" s="38"/>
      <c r="T28" s="7">
        <v>120</v>
      </c>
      <c r="U28" s="7"/>
      <c r="V28" s="7"/>
      <c r="W28" s="7">
        <v>160</v>
      </c>
      <c r="X28" s="7"/>
      <c r="Y28" s="38"/>
      <c r="Z28" s="7">
        <v>560</v>
      </c>
      <c r="AB28" s="9">
        <f t="shared" si="0"/>
        <v>1640</v>
      </c>
      <c r="AC28" s="6">
        <v>630</v>
      </c>
      <c r="AD28" s="49">
        <f t="shared" si="1"/>
        <v>2.6031746031746033</v>
      </c>
    </row>
    <row r="29" spans="1:31">
      <c r="A29" s="23" t="s">
        <v>59</v>
      </c>
      <c r="B29" s="8">
        <v>300</v>
      </c>
      <c r="C29" s="7"/>
      <c r="D29" s="7"/>
      <c r="E29" s="7">
        <v>140</v>
      </c>
      <c r="F29" s="7"/>
      <c r="G29" s="38"/>
      <c r="H29" s="7">
        <v>340</v>
      </c>
      <c r="I29" s="7"/>
      <c r="J29" s="7"/>
      <c r="K29" s="7">
        <v>300</v>
      </c>
      <c r="L29" s="7"/>
      <c r="M29" s="38"/>
      <c r="N29" s="7">
        <v>200</v>
      </c>
      <c r="O29" s="7"/>
      <c r="P29" s="7"/>
      <c r="Q29" s="7">
        <v>260</v>
      </c>
      <c r="R29" s="7"/>
      <c r="S29" s="38"/>
      <c r="T29" s="7">
        <v>220</v>
      </c>
      <c r="U29" s="7"/>
      <c r="V29" s="7"/>
      <c r="W29" s="7">
        <v>280</v>
      </c>
      <c r="X29" s="7"/>
      <c r="Y29" s="38"/>
      <c r="Z29" s="7">
        <v>40</v>
      </c>
      <c r="AB29" s="9">
        <f t="shared" si="0"/>
        <v>2080</v>
      </c>
      <c r="AC29" s="6">
        <v>839</v>
      </c>
      <c r="AD29" s="49">
        <f t="shared" si="1"/>
        <v>2.4791418355184742</v>
      </c>
    </row>
    <row r="30" spans="1:31">
      <c r="A30" s="24" t="s">
        <v>4</v>
      </c>
      <c r="B30" s="8"/>
      <c r="C30" s="7"/>
      <c r="D30" s="7"/>
      <c r="E30" s="7">
        <v>320</v>
      </c>
      <c r="F30" s="7"/>
      <c r="G30" s="38"/>
      <c r="H30" s="7"/>
      <c r="I30" s="7"/>
      <c r="J30" s="7"/>
      <c r="K30" s="7">
        <v>200</v>
      </c>
      <c r="L30" s="7"/>
      <c r="M30" s="38"/>
      <c r="N30" s="7"/>
      <c r="O30" s="7"/>
      <c r="P30" s="7"/>
      <c r="Q30" s="7">
        <v>520</v>
      </c>
      <c r="R30" s="7"/>
      <c r="S30" s="38"/>
      <c r="T30" s="7"/>
      <c r="U30" s="7"/>
      <c r="V30" s="7"/>
      <c r="W30" s="7">
        <v>320</v>
      </c>
      <c r="X30" s="7"/>
      <c r="Y30" s="38"/>
      <c r="Z30" s="7"/>
      <c r="AB30" s="9">
        <f t="shared" si="0"/>
        <v>1360</v>
      </c>
      <c r="AC30" s="6">
        <v>573</v>
      </c>
      <c r="AD30" s="49">
        <f t="shared" si="1"/>
        <v>2.3734729493891797</v>
      </c>
    </row>
    <row r="31" spans="1:31">
      <c r="A31" s="25" t="s">
        <v>22</v>
      </c>
      <c r="B31" s="8">
        <v>520</v>
      </c>
      <c r="C31" s="7"/>
      <c r="D31" s="7">
        <v>280</v>
      </c>
      <c r="E31" s="7"/>
      <c r="F31" s="7">
        <v>420</v>
      </c>
      <c r="G31" s="38"/>
      <c r="H31" s="7">
        <v>280</v>
      </c>
      <c r="I31" s="7"/>
      <c r="J31" s="7">
        <v>240</v>
      </c>
      <c r="K31" s="7"/>
      <c r="L31" s="7">
        <v>400</v>
      </c>
      <c r="M31" s="38"/>
      <c r="N31" s="7">
        <v>200</v>
      </c>
      <c r="O31" s="7"/>
      <c r="P31" s="7">
        <v>180</v>
      </c>
      <c r="Q31" s="7"/>
      <c r="R31" s="7">
        <v>260</v>
      </c>
      <c r="S31" s="38"/>
      <c r="T31" s="7">
        <v>180</v>
      </c>
      <c r="U31" s="7"/>
      <c r="V31" s="7"/>
      <c r="W31" s="7"/>
      <c r="X31" s="7">
        <v>240</v>
      </c>
      <c r="Y31" s="38"/>
      <c r="Z31" s="7">
        <v>480</v>
      </c>
      <c r="AB31" s="9">
        <f t="shared" si="0"/>
        <v>3680</v>
      </c>
      <c r="AC31" s="6">
        <v>1609</v>
      </c>
      <c r="AD31" s="49">
        <f t="shared" si="1"/>
        <v>2.2871348663766313</v>
      </c>
    </row>
    <row r="32" spans="1:31">
      <c r="A32" s="24" t="s">
        <v>19</v>
      </c>
      <c r="B32" s="8">
        <v>20</v>
      </c>
      <c r="C32" s="7"/>
      <c r="D32" s="7"/>
      <c r="E32" s="7">
        <v>60</v>
      </c>
      <c r="F32" s="7"/>
      <c r="G32" s="38"/>
      <c r="H32" s="7">
        <v>240</v>
      </c>
      <c r="I32" s="7"/>
      <c r="J32" s="7"/>
      <c r="K32" s="7">
        <v>160</v>
      </c>
      <c r="L32" s="7"/>
      <c r="M32" s="38"/>
      <c r="N32" s="7">
        <v>140</v>
      </c>
      <c r="O32" s="7"/>
      <c r="P32" s="7"/>
      <c r="Q32" s="7">
        <v>240</v>
      </c>
      <c r="R32" s="7"/>
      <c r="S32" s="38"/>
      <c r="T32" s="7">
        <v>120</v>
      </c>
      <c r="U32" s="7"/>
      <c r="V32" s="7"/>
      <c r="W32" s="7">
        <v>180</v>
      </c>
      <c r="X32" s="7"/>
      <c r="Y32" s="38"/>
      <c r="Z32" s="7">
        <v>380</v>
      </c>
      <c r="AB32" s="9">
        <f t="shared" si="0"/>
        <v>1540</v>
      </c>
      <c r="AC32" s="6">
        <v>693</v>
      </c>
      <c r="AD32" s="49">
        <f t="shared" si="1"/>
        <v>2.2222222222222223</v>
      </c>
    </row>
    <row r="33" spans="1:30">
      <c r="A33" s="23" t="s">
        <v>65</v>
      </c>
      <c r="B33" s="8">
        <v>700</v>
      </c>
      <c r="C33" s="7"/>
      <c r="D33" s="7"/>
      <c r="E33" s="7"/>
      <c r="F33" s="7"/>
      <c r="G33" s="38"/>
      <c r="H33" s="7">
        <v>520</v>
      </c>
      <c r="I33" s="7"/>
      <c r="J33" s="7"/>
      <c r="K33" s="7"/>
      <c r="L33" s="7"/>
      <c r="M33" s="38"/>
      <c r="N33" s="7">
        <v>320</v>
      </c>
      <c r="O33" s="7"/>
      <c r="P33" s="7"/>
      <c r="Q33" s="7"/>
      <c r="R33" s="7"/>
      <c r="S33" s="38"/>
      <c r="T33" s="7">
        <v>320</v>
      </c>
      <c r="U33" s="7"/>
      <c r="V33" s="7"/>
      <c r="W33" s="7"/>
      <c r="X33" s="7"/>
      <c r="Y33" s="38"/>
      <c r="Z33" s="7">
        <v>40</v>
      </c>
      <c r="AB33" s="9">
        <f t="shared" si="0"/>
        <v>1900</v>
      </c>
      <c r="AC33" s="6">
        <v>865</v>
      </c>
      <c r="AD33" s="49">
        <f t="shared" si="1"/>
        <v>2.1965317919075145</v>
      </c>
    </row>
    <row r="34" spans="1:30">
      <c r="A34" s="23" t="s">
        <v>49</v>
      </c>
      <c r="B34" s="8">
        <v>400</v>
      </c>
      <c r="C34" s="7"/>
      <c r="D34" s="7"/>
      <c r="E34" s="7"/>
      <c r="F34" s="7"/>
      <c r="G34" s="38"/>
      <c r="H34" s="7">
        <v>260</v>
      </c>
      <c r="I34" s="7"/>
      <c r="J34" s="7"/>
      <c r="K34" s="7"/>
      <c r="L34" s="7"/>
      <c r="M34" s="38"/>
      <c r="N34" s="7">
        <v>260</v>
      </c>
      <c r="O34" s="7"/>
      <c r="P34" s="7"/>
      <c r="Q34" s="7"/>
      <c r="R34" s="7"/>
      <c r="S34" s="38"/>
      <c r="T34" s="7">
        <v>220</v>
      </c>
      <c r="U34" s="7"/>
      <c r="V34" s="7"/>
      <c r="W34" s="7"/>
      <c r="X34" s="7"/>
      <c r="Y34" s="38"/>
      <c r="Z34" s="7">
        <v>0</v>
      </c>
      <c r="AB34" s="9">
        <f t="shared" si="0"/>
        <v>1140</v>
      </c>
      <c r="AC34" s="6">
        <v>537</v>
      </c>
      <c r="AD34" s="49">
        <f t="shared" si="1"/>
        <v>2.1229050279329611</v>
      </c>
    </row>
    <row r="35" spans="1:30">
      <c r="A35" s="24" t="s">
        <v>2</v>
      </c>
      <c r="B35" s="8">
        <v>160</v>
      </c>
      <c r="C35" s="7"/>
      <c r="D35" s="7"/>
      <c r="E35" s="7">
        <v>80</v>
      </c>
      <c r="F35" s="7"/>
      <c r="G35" s="38"/>
      <c r="H35" s="7">
        <v>80</v>
      </c>
      <c r="I35" s="7"/>
      <c r="J35" s="7"/>
      <c r="K35" s="7">
        <v>80</v>
      </c>
      <c r="L35" s="7"/>
      <c r="M35" s="38"/>
      <c r="N35" s="7">
        <v>80</v>
      </c>
      <c r="O35" s="7"/>
      <c r="P35" s="7"/>
      <c r="Q35" s="7">
        <v>200</v>
      </c>
      <c r="R35" s="7"/>
      <c r="S35" s="38"/>
      <c r="T35" s="7">
        <v>240</v>
      </c>
      <c r="U35" s="7"/>
      <c r="V35" s="7"/>
      <c r="W35" s="7">
        <v>60</v>
      </c>
      <c r="X35" s="7"/>
      <c r="Y35" s="38"/>
      <c r="Z35" s="7">
        <v>280</v>
      </c>
      <c r="AB35" s="9">
        <f t="shared" si="0"/>
        <v>1260</v>
      </c>
      <c r="AC35" s="6">
        <v>604</v>
      </c>
      <c r="AD35" s="49">
        <f t="shared" si="1"/>
        <v>2.0860927152317883</v>
      </c>
    </row>
    <row r="36" spans="1:30">
      <c r="A36" s="25" t="s">
        <v>8</v>
      </c>
      <c r="B36" s="8">
        <v>360</v>
      </c>
      <c r="C36" s="7"/>
      <c r="D36" s="7"/>
      <c r="E36" s="7">
        <v>40</v>
      </c>
      <c r="F36" s="7"/>
      <c r="G36" s="38"/>
      <c r="H36" s="7">
        <v>420</v>
      </c>
      <c r="I36" s="7"/>
      <c r="J36" s="7"/>
      <c r="K36" s="7">
        <v>320</v>
      </c>
      <c r="L36" s="7"/>
      <c r="M36" s="38"/>
      <c r="N36" s="7">
        <v>380</v>
      </c>
      <c r="O36" s="7"/>
      <c r="P36" s="7"/>
      <c r="Q36" s="7">
        <v>500</v>
      </c>
      <c r="R36" s="7"/>
      <c r="S36" s="38"/>
      <c r="T36" s="7">
        <v>360</v>
      </c>
      <c r="U36" s="7"/>
      <c r="V36" s="7"/>
      <c r="W36" s="7">
        <v>180</v>
      </c>
      <c r="X36" s="7"/>
      <c r="Y36" s="38"/>
      <c r="Z36" s="7">
        <v>120</v>
      </c>
      <c r="AB36" s="9">
        <f t="shared" si="0"/>
        <v>2680</v>
      </c>
      <c r="AC36" s="6">
        <v>1325</v>
      </c>
      <c r="AD36" s="49">
        <f t="shared" si="1"/>
        <v>2.0226415094339623</v>
      </c>
    </row>
    <row r="37" spans="1:30">
      <c r="A37" s="23" t="s">
        <v>38</v>
      </c>
      <c r="B37" s="8"/>
      <c r="C37" s="7"/>
      <c r="D37" s="7"/>
      <c r="E37" s="7">
        <v>280</v>
      </c>
      <c r="F37" s="7"/>
      <c r="G37" s="38"/>
      <c r="H37" s="7"/>
      <c r="I37" s="7"/>
      <c r="J37" s="7"/>
      <c r="K37" s="7">
        <v>400</v>
      </c>
      <c r="L37" s="7"/>
      <c r="M37" s="38"/>
      <c r="N37" s="7"/>
      <c r="O37" s="7"/>
      <c r="P37" s="7"/>
      <c r="Q37" s="7">
        <v>280</v>
      </c>
      <c r="R37" s="7"/>
      <c r="S37" s="38"/>
      <c r="T37" s="7"/>
      <c r="U37" s="7"/>
      <c r="V37" s="7"/>
      <c r="W37" s="7">
        <v>320</v>
      </c>
      <c r="X37" s="7"/>
      <c r="Y37" s="38"/>
      <c r="Z37" s="7"/>
      <c r="AB37" s="9">
        <f t="shared" si="0"/>
        <v>1280</v>
      </c>
      <c r="AC37" s="6">
        <v>644</v>
      </c>
      <c r="AD37" s="49">
        <f t="shared" si="1"/>
        <v>1.9875776397515528</v>
      </c>
    </row>
    <row r="38" spans="1:30">
      <c r="A38" s="23" t="s">
        <v>39</v>
      </c>
      <c r="B38" s="8"/>
      <c r="C38" s="7">
        <v>240</v>
      </c>
      <c r="D38" s="7"/>
      <c r="E38" s="7"/>
      <c r="F38" s="7">
        <v>160</v>
      </c>
      <c r="G38" s="38"/>
      <c r="H38" s="7"/>
      <c r="I38" s="7">
        <v>420</v>
      </c>
      <c r="J38" s="7"/>
      <c r="K38" s="7"/>
      <c r="L38" s="7">
        <v>400</v>
      </c>
      <c r="M38" s="38"/>
      <c r="N38" s="7"/>
      <c r="O38" s="7">
        <v>300</v>
      </c>
      <c r="P38" s="7"/>
      <c r="Q38" s="7"/>
      <c r="R38" s="7">
        <v>200</v>
      </c>
      <c r="S38" s="38"/>
      <c r="T38" s="7"/>
      <c r="U38" s="7"/>
      <c r="V38" s="7">
        <v>220</v>
      </c>
      <c r="W38" s="7"/>
      <c r="X38" s="7">
        <v>40</v>
      </c>
      <c r="Y38" s="38"/>
      <c r="Z38" s="7"/>
      <c r="AB38" s="9">
        <f t="shared" ref="AB38:AB67" si="2">SUM(B38:AA38)</f>
        <v>1980</v>
      </c>
      <c r="AC38" s="6">
        <v>1028</v>
      </c>
      <c r="AD38" s="49">
        <f t="shared" ref="AD38:AD67" si="3">AB38/AC38</f>
        <v>1.9260700389105059</v>
      </c>
    </row>
    <row r="39" spans="1:30">
      <c r="A39" s="25" t="s">
        <v>13</v>
      </c>
      <c r="B39" s="8">
        <v>180</v>
      </c>
      <c r="C39" s="7"/>
      <c r="D39" s="7"/>
      <c r="E39" s="7"/>
      <c r="F39" s="7"/>
      <c r="G39" s="38"/>
      <c r="H39" s="7">
        <v>160</v>
      </c>
      <c r="I39" s="7"/>
      <c r="J39" s="7"/>
      <c r="K39" s="7">
        <v>220</v>
      </c>
      <c r="L39" s="7"/>
      <c r="M39" s="38"/>
      <c r="N39" s="7">
        <v>620</v>
      </c>
      <c r="O39" s="7"/>
      <c r="P39" s="7"/>
      <c r="Q39" s="7">
        <v>300</v>
      </c>
      <c r="R39" s="7"/>
      <c r="S39" s="38"/>
      <c r="T39" s="7">
        <v>580</v>
      </c>
      <c r="U39" s="7"/>
      <c r="V39" s="7"/>
      <c r="W39" s="7">
        <v>200</v>
      </c>
      <c r="X39" s="7"/>
      <c r="Y39" s="38"/>
      <c r="Z39" s="7">
        <v>120</v>
      </c>
      <c r="AB39" s="9">
        <f t="shared" si="2"/>
        <v>2380</v>
      </c>
      <c r="AC39" s="6">
        <v>1274</v>
      </c>
      <c r="AD39" s="49">
        <f t="shared" si="3"/>
        <v>1.8681318681318682</v>
      </c>
    </row>
    <row r="40" spans="1:30">
      <c r="A40" s="25" t="s">
        <v>5</v>
      </c>
      <c r="B40" s="8">
        <v>100</v>
      </c>
      <c r="C40" s="7"/>
      <c r="D40" s="7">
        <v>160</v>
      </c>
      <c r="E40" s="7"/>
      <c r="F40" s="7">
        <v>180</v>
      </c>
      <c r="G40" s="38"/>
      <c r="H40" s="7">
        <v>280</v>
      </c>
      <c r="I40" s="7"/>
      <c r="J40" s="7">
        <v>180</v>
      </c>
      <c r="K40" s="7"/>
      <c r="L40" s="7">
        <v>320</v>
      </c>
      <c r="M40" s="38"/>
      <c r="N40" s="7">
        <v>620</v>
      </c>
      <c r="O40" s="7"/>
      <c r="P40" s="7">
        <v>220</v>
      </c>
      <c r="Q40" s="7"/>
      <c r="R40" s="7">
        <v>200</v>
      </c>
      <c r="S40" s="38"/>
      <c r="T40" s="7">
        <v>160</v>
      </c>
      <c r="U40" s="7"/>
      <c r="V40" s="7">
        <v>20</v>
      </c>
      <c r="W40" s="7"/>
      <c r="X40" s="7">
        <v>120</v>
      </c>
      <c r="Y40" s="38"/>
      <c r="Z40" s="7">
        <v>120</v>
      </c>
      <c r="AB40" s="9">
        <f t="shared" si="2"/>
        <v>2680</v>
      </c>
      <c r="AC40" s="6">
        <v>1500</v>
      </c>
      <c r="AD40" s="49">
        <f t="shared" si="3"/>
        <v>1.7866666666666666</v>
      </c>
    </row>
    <row r="41" spans="1:30">
      <c r="A41" s="23" t="s">
        <v>51</v>
      </c>
      <c r="B41" s="8"/>
      <c r="C41" s="7"/>
      <c r="D41" s="7"/>
      <c r="E41" s="7">
        <v>220</v>
      </c>
      <c r="F41" s="7"/>
      <c r="G41" s="38"/>
      <c r="H41" s="7"/>
      <c r="I41" s="7"/>
      <c r="J41" s="7"/>
      <c r="K41" s="7">
        <v>320</v>
      </c>
      <c r="L41" s="7"/>
      <c r="M41" s="38"/>
      <c r="N41" s="7"/>
      <c r="O41" s="7"/>
      <c r="P41" s="7"/>
      <c r="Q41" s="7">
        <v>20</v>
      </c>
      <c r="R41" s="7"/>
      <c r="S41" s="38"/>
      <c r="T41" s="7"/>
      <c r="U41" s="7"/>
      <c r="V41" s="7"/>
      <c r="W41" s="7">
        <v>160</v>
      </c>
      <c r="X41" s="7"/>
      <c r="Y41" s="38"/>
      <c r="Z41" s="7"/>
      <c r="AB41" s="9">
        <f t="shared" si="2"/>
        <v>720</v>
      </c>
      <c r="AC41" s="6">
        <v>419</v>
      </c>
      <c r="AD41" s="49">
        <f t="shared" si="3"/>
        <v>1.7183770883054892</v>
      </c>
    </row>
    <row r="42" spans="1:30">
      <c r="A42" s="23" t="s">
        <v>42</v>
      </c>
      <c r="B42" s="8"/>
      <c r="C42" s="7"/>
      <c r="D42" s="7"/>
      <c r="E42" s="7">
        <v>340</v>
      </c>
      <c r="F42" s="7"/>
      <c r="G42" s="38"/>
      <c r="H42" s="7"/>
      <c r="I42" s="7"/>
      <c r="J42" s="7"/>
      <c r="K42" s="7">
        <v>380</v>
      </c>
      <c r="L42" s="7"/>
      <c r="M42" s="38"/>
      <c r="N42" s="7"/>
      <c r="O42" s="7"/>
      <c r="P42" s="7"/>
      <c r="Q42" s="7">
        <v>240</v>
      </c>
      <c r="R42" s="7"/>
      <c r="S42" s="38"/>
      <c r="T42" s="7"/>
      <c r="U42" s="7"/>
      <c r="V42" s="7"/>
      <c r="W42" s="7">
        <v>220</v>
      </c>
      <c r="X42" s="7"/>
      <c r="Y42" s="38"/>
      <c r="Z42" s="7"/>
      <c r="AB42" s="9">
        <f t="shared" si="2"/>
        <v>1180</v>
      </c>
      <c r="AC42" s="6">
        <v>713</v>
      </c>
      <c r="AD42" s="49">
        <f t="shared" si="3"/>
        <v>1.6549789621318374</v>
      </c>
    </row>
    <row r="43" spans="1:30">
      <c r="A43" s="25" t="s">
        <v>21</v>
      </c>
      <c r="B43" s="8">
        <v>400</v>
      </c>
      <c r="C43" s="7"/>
      <c r="D43" s="7"/>
      <c r="E43" s="7">
        <v>400</v>
      </c>
      <c r="F43" s="7"/>
      <c r="G43" s="38"/>
      <c r="H43" s="7">
        <v>140</v>
      </c>
      <c r="I43" s="7"/>
      <c r="J43" s="7"/>
      <c r="K43" s="7">
        <v>400</v>
      </c>
      <c r="L43" s="7"/>
      <c r="M43" s="38"/>
      <c r="N43" s="7">
        <v>400</v>
      </c>
      <c r="O43" s="7"/>
      <c r="P43" s="7"/>
      <c r="Q43" s="7">
        <v>220</v>
      </c>
      <c r="R43" s="7"/>
      <c r="S43" s="38"/>
      <c r="T43" s="7">
        <v>380</v>
      </c>
      <c r="U43" s="7"/>
      <c r="V43" s="7"/>
      <c r="W43" s="7">
        <v>200</v>
      </c>
      <c r="X43" s="7"/>
      <c r="Y43" s="38"/>
      <c r="Z43" s="7">
        <v>160</v>
      </c>
      <c r="AB43" s="9">
        <f t="shared" si="2"/>
        <v>2700</v>
      </c>
      <c r="AC43" s="6">
        <v>1669</v>
      </c>
      <c r="AD43" s="49">
        <f t="shared" si="3"/>
        <v>1.6177351707609346</v>
      </c>
    </row>
    <row r="44" spans="1:30">
      <c r="A44" s="23" t="s">
        <v>91</v>
      </c>
      <c r="B44" s="8">
        <v>240</v>
      </c>
      <c r="C44" s="7"/>
      <c r="D44" s="7"/>
      <c r="E44" s="7"/>
      <c r="F44" s="7"/>
      <c r="G44" s="38"/>
      <c r="H44" s="7">
        <v>160</v>
      </c>
      <c r="I44" s="7"/>
      <c r="J44" s="7"/>
      <c r="K44" s="7"/>
      <c r="L44" s="7"/>
      <c r="M44" s="38"/>
      <c r="N44" s="7">
        <v>340</v>
      </c>
      <c r="O44" s="7"/>
      <c r="P44" s="7"/>
      <c r="Q44" s="7"/>
      <c r="R44" s="7"/>
      <c r="S44" s="38"/>
      <c r="T44" s="7">
        <v>200</v>
      </c>
      <c r="U44" s="7"/>
      <c r="V44" s="7"/>
      <c r="W44" s="7"/>
      <c r="X44" s="7"/>
      <c r="Y44" s="38"/>
      <c r="Z44" s="7">
        <v>0</v>
      </c>
      <c r="AB44" s="9">
        <f t="shared" si="2"/>
        <v>940</v>
      </c>
      <c r="AC44" s="6">
        <v>586</v>
      </c>
      <c r="AD44" s="49">
        <f t="shared" si="3"/>
        <v>1.6040955631399318</v>
      </c>
    </row>
    <row r="45" spans="1:30">
      <c r="A45" s="24" t="s">
        <v>14</v>
      </c>
      <c r="B45" s="8"/>
      <c r="C45" s="7">
        <v>80</v>
      </c>
      <c r="D45" s="7"/>
      <c r="E45" s="7"/>
      <c r="F45" s="7">
        <v>260</v>
      </c>
      <c r="G45" s="38"/>
      <c r="H45" s="7"/>
      <c r="I45" s="7">
        <v>160</v>
      </c>
      <c r="J45" s="7"/>
      <c r="K45" s="7"/>
      <c r="L45" s="7">
        <v>100</v>
      </c>
      <c r="M45" s="38"/>
      <c r="N45" s="7"/>
      <c r="O45" s="7">
        <v>60</v>
      </c>
      <c r="P45" s="7"/>
      <c r="Q45" s="7"/>
      <c r="R45" s="7">
        <v>240</v>
      </c>
      <c r="S45" s="38"/>
      <c r="T45" s="7"/>
      <c r="U45" s="7">
        <v>100</v>
      </c>
      <c r="V45" s="7"/>
      <c r="W45" s="7"/>
      <c r="X45" s="7">
        <v>100</v>
      </c>
      <c r="Y45" s="38"/>
      <c r="Z45" s="7"/>
      <c r="AB45" s="9">
        <f t="shared" si="2"/>
        <v>1100</v>
      </c>
      <c r="AC45" s="6">
        <v>697</v>
      </c>
      <c r="AD45" s="49">
        <f t="shared" si="3"/>
        <v>1.5781922525107603</v>
      </c>
    </row>
    <row r="46" spans="1:30">
      <c r="A46" s="23" t="s">
        <v>62</v>
      </c>
      <c r="B46" s="8">
        <v>40</v>
      </c>
      <c r="C46" s="7"/>
      <c r="D46" s="7"/>
      <c r="E46" s="7"/>
      <c r="F46" s="7"/>
      <c r="G46" s="38"/>
      <c r="H46" s="7">
        <v>220</v>
      </c>
      <c r="I46" s="7"/>
      <c r="J46" s="7"/>
      <c r="K46" s="7"/>
      <c r="L46" s="7"/>
      <c r="M46" s="38"/>
      <c r="N46" s="7">
        <v>260</v>
      </c>
      <c r="O46" s="7"/>
      <c r="P46" s="7"/>
      <c r="Q46" s="7"/>
      <c r="R46" s="7"/>
      <c r="S46" s="38"/>
      <c r="T46" s="7">
        <v>240</v>
      </c>
      <c r="U46" s="7"/>
      <c r="V46" s="7"/>
      <c r="W46" s="7"/>
      <c r="X46" s="7"/>
      <c r="Y46" s="38"/>
      <c r="Z46" s="7">
        <v>0</v>
      </c>
      <c r="AB46" s="9">
        <f t="shared" si="2"/>
        <v>760</v>
      </c>
      <c r="AC46" s="6">
        <v>488</v>
      </c>
      <c r="AD46" s="49">
        <f t="shared" si="3"/>
        <v>1.5573770491803278</v>
      </c>
    </row>
    <row r="47" spans="1:30">
      <c r="A47" s="23" t="s">
        <v>53</v>
      </c>
      <c r="B47" s="8"/>
      <c r="C47" s="7">
        <v>140</v>
      </c>
      <c r="D47" s="7"/>
      <c r="E47" s="7"/>
      <c r="F47" s="7"/>
      <c r="G47" s="38"/>
      <c r="H47" s="7"/>
      <c r="I47" s="7">
        <v>480</v>
      </c>
      <c r="J47" s="7"/>
      <c r="K47" s="7"/>
      <c r="L47" s="7"/>
      <c r="M47" s="38"/>
      <c r="N47" s="7"/>
      <c r="O47" s="7">
        <v>340</v>
      </c>
      <c r="P47" s="7"/>
      <c r="Q47" s="7"/>
      <c r="R47" s="7"/>
      <c r="S47" s="38"/>
      <c r="T47" s="7"/>
      <c r="U47" s="7">
        <v>340</v>
      </c>
      <c r="V47" s="7"/>
      <c r="W47" s="7"/>
      <c r="X47" s="7"/>
      <c r="Y47" s="38"/>
      <c r="Z47" s="7"/>
      <c r="AB47" s="9">
        <f t="shared" si="2"/>
        <v>1300</v>
      </c>
      <c r="AC47" s="6">
        <v>846</v>
      </c>
      <c r="AD47" s="49">
        <f t="shared" si="3"/>
        <v>1.5366430260047281</v>
      </c>
    </row>
    <row r="48" spans="1:30">
      <c r="A48" s="23" t="s">
        <v>54</v>
      </c>
      <c r="B48" s="8"/>
      <c r="C48" s="7">
        <v>100</v>
      </c>
      <c r="D48" s="7"/>
      <c r="E48" s="7"/>
      <c r="F48" s="7"/>
      <c r="G48" s="38"/>
      <c r="H48" s="7"/>
      <c r="I48" s="7">
        <v>120</v>
      </c>
      <c r="J48" s="7"/>
      <c r="K48" s="7"/>
      <c r="L48" s="7"/>
      <c r="M48" s="38"/>
      <c r="N48" s="7"/>
      <c r="O48" s="7">
        <v>500</v>
      </c>
      <c r="P48" s="7"/>
      <c r="Q48" s="7"/>
      <c r="R48" s="7"/>
      <c r="S48" s="38"/>
      <c r="T48" s="7"/>
      <c r="U48" s="7">
        <v>360</v>
      </c>
      <c r="V48" s="7"/>
      <c r="W48" s="7"/>
      <c r="X48" s="7"/>
      <c r="Y48" s="38"/>
      <c r="Z48" s="7"/>
      <c r="AB48" s="9">
        <f t="shared" si="2"/>
        <v>1080</v>
      </c>
      <c r="AC48" s="6">
        <v>707</v>
      </c>
      <c r="AD48" s="49">
        <f t="shared" si="3"/>
        <v>1.5275813295615275</v>
      </c>
    </row>
    <row r="49" spans="1:30">
      <c r="A49" s="23" t="s">
        <v>61</v>
      </c>
      <c r="B49" s="8">
        <v>100</v>
      </c>
      <c r="C49" s="7"/>
      <c r="D49" s="7"/>
      <c r="E49" s="7"/>
      <c r="F49" s="7"/>
      <c r="G49" s="38"/>
      <c r="H49" s="7">
        <v>420</v>
      </c>
      <c r="I49" s="7"/>
      <c r="J49" s="7"/>
      <c r="K49" s="7"/>
      <c r="L49" s="7"/>
      <c r="M49" s="38"/>
      <c r="N49" s="7">
        <v>320</v>
      </c>
      <c r="O49" s="7"/>
      <c r="P49" s="7"/>
      <c r="Q49" s="7"/>
      <c r="R49" s="7"/>
      <c r="S49" s="38"/>
      <c r="T49" s="7">
        <v>300</v>
      </c>
      <c r="U49" s="7"/>
      <c r="V49" s="7"/>
      <c r="W49" s="7"/>
      <c r="X49" s="7"/>
      <c r="Y49" s="38"/>
      <c r="Z49" s="7">
        <v>60</v>
      </c>
      <c r="AB49" s="9">
        <f t="shared" si="2"/>
        <v>1200</v>
      </c>
      <c r="AC49" s="6">
        <v>820</v>
      </c>
      <c r="AD49" s="49">
        <f t="shared" si="3"/>
        <v>1.4634146341463414</v>
      </c>
    </row>
    <row r="50" spans="1:30">
      <c r="A50" s="24" t="s">
        <v>27</v>
      </c>
      <c r="B50" s="8"/>
      <c r="C50" s="7">
        <v>240</v>
      </c>
      <c r="D50" s="7"/>
      <c r="E50" s="7"/>
      <c r="F50" s="7">
        <v>100</v>
      </c>
      <c r="G50" s="38"/>
      <c r="H50" s="7"/>
      <c r="I50" s="7">
        <v>140</v>
      </c>
      <c r="J50" s="7"/>
      <c r="K50" s="7"/>
      <c r="L50" s="7">
        <v>160</v>
      </c>
      <c r="M50" s="38"/>
      <c r="N50" s="7"/>
      <c r="O50" s="7">
        <v>100</v>
      </c>
      <c r="P50" s="7"/>
      <c r="Q50" s="7"/>
      <c r="R50" s="7">
        <v>440</v>
      </c>
      <c r="S50" s="38"/>
      <c r="T50" s="7"/>
      <c r="U50" s="7">
        <v>80</v>
      </c>
      <c r="V50" s="7"/>
      <c r="W50" s="7"/>
      <c r="X50" s="7">
        <v>120</v>
      </c>
      <c r="Y50" s="38"/>
      <c r="Z50" s="7"/>
      <c r="AB50" s="9">
        <f t="shared" si="2"/>
        <v>1380</v>
      </c>
      <c r="AC50" s="6">
        <v>954</v>
      </c>
      <c r="AD50" s="49">
        <f t="shared" si="3"/>
        <v>1.4465408805031446</v>
      </c>
    </row>
    <row r="51" spans="1:30">
      <c r="A51" s="25" t="s">
        <v>1</v>
      </c>
      <c r="B51" s="8">
        <v>240</v>
      </c>
      <c r="C51" s="7"/>
      <c r="D51" s="7"/>
      <c r="E51" s="7"/>
      <c r="F51" s="7"/>
      <c r="G51" s="38"/>
      <c r="H51" s="7">
        <v>360</v>
      </c>
      <c r="I51" s="7"/>
      <c r="J51" s="7"/>
      <c r="K51" s="7"/>
      <c r="L51" s="7"/>
      <c r="M51" s="38"/>
      <c r="N51" s="7">
        <v>280</v>
      </c>
      <c r="O51" s="7"/>
      <c r="P51" s="7"/>
      <c r="Q51" s="7"/>
      <c r="R51" s="7"/>
      <c r="S51" s="38"/>
      <c r="T51" s="7">
        <v>260</v>
      </c>
      <c r="U51" s="7"/>
      <c r="V51" s="7"/>
      <c r="W51" s="7"/>
      <c r="X51" s="7"/>
      <c r="Y51" s="38"/>
      <c r="Z51" s="7">
        <v>20</v>
      </c>
      <c r="AB51" s="9">
        <f t="shared" si="2"/>
        <v>1160</v>
      </c>
      <c r="AC51" s="6">
        <v>807</v>
      </c>
      <c r="AD51" s="49">
        <f t="shared" si="3"/>
        <v>1.4374225526641884</v>
      </c>
    </row>
    <row r="52" spans="1:30">
      <c r="A52" s="23" t="s">
        <v>44</v>
      </c>
      <c r="B52" s="8"/>
      <c r="C52" s="7">
        <v>200</v>
      </c>
      <c r="D52" s="7"/>
      <c r="E52" s="7"/>
      <c r="F52" s="7">
        <v>200</v>
      </c>
      <c r="G52" s="38"/>
      <c r="H52" s="7"/>
      <c r="I52" s="7">
        <v>180</v>
      </c>
      <c r="J52" s="7"/>
      <c r="K52" s="7"/>
      <c r="L52" s="7">
        <v>300</v>
      </c>
      <c r="M52" s="38"/>
      <c r="N52" s="7"/>
      <c r="O52" s="7"/>
      <c r="P52" s="7"/>
      <c r="Q52" s="7"/>
      <c r="R52" s="7">
        <v>240</v>
      </c>
      <c r="S52" s="38"/>
      <c r="T52" s="7">
        <v>120</v>
      </c>
      <c r="U52" s="7"/>
      <c r="V52" s="7"/>
      <c r="W52" s="7"/>
      <c r="X52" s="7">
        <v>100</v>
      </c>
      <c r="Y52" s="38"/>
      <c r="Z52" s="7"/>
      <c r="AB52" s="9">
        <f t="shared" si="2"/>
        <v>1340</v>
      </c>
      <c r="AC52" s="6">
        <v>998</v>
      </c>
      <c r="AD52" s="49">
        <f t="shared" si="3"/>
        <v>1.342685370741483</v>
      </c>
    </row>
    <row r="53" spans="1:30">
      <c r="A53" s="23" t="s">
        <v>37</v>
      </c>
      <c r="B53" s="8">
        <v>260</v>
      </c>
      <c r="C53" s="7"/>
      <c r="D53" s="7"/>
      <c r="E53" s="7"/>
      <c r="F53" s="7"/>
      <c r="G53" s="38"/>
      <c r="H53" s="7">
        <v>360</v>
      </c>
      <c r="I53" s="7"/>
      <c r="J53" s="7"/>
      <c r="K53" s="7"/>
      <c r="L53" s="7"/>
      <c r="M53" s="38"/>
      <c r="N53" s="7">
        <v>20</v>
      </c>
      <c r="O53" s="7"/>
      <c r="P53" s="7"/>
      <c r="Q53" s="7"/>
      <c r="R53" s="7"/>
      <c r="S53" s="38"/>
      <c r="T53" s="7">
        <v>180</v>
      </c>
      <c r="U53" s="7"/>
      <c r="V53" s="7"/>
      <c r="W53" s="7"/>
      <c r="X53" s="7"/>
      <c r="Y53" s="38"/>
      <c r="Z53" s="7">
        <v>100</v>
      </c>
      <c r="AB53" s="9">
        <f t="shared" si="2"/>
        <v>920</v>
      </c>
      <c r="AC53" s="6">
        <v>691</v>
      </c>
      <c r="AD53" s="49">
        <f t="shared" si="3"/>
        <v>1.3314037626628075</v>
      </c>
    </row>
    <row r="54" spans="1:30">
      <c r="A54" s="24" t="s">
        <v>26</v>
      </c>
      <c r="B54" s="8">
        <v>20</v>
      </c>
      <c r="C54" s="7"/>
      <c r="D54" s="7"/>
      <c r="E54" s="7">
        <v>200</v>
      </c>
      <c r="F54" s="7"/>
      <c r="G54" s="38"/>
      <c r="H54" s="7">
        <v>160</v>
      </c>
      <c r="I54" s="7"/>
      <c r="J54" s="7"/>
      <c r="K54" s="7">
        <v>180</v>
      </c>
      <c r="L54" s="7"/>
      <c r="M54" s="38"/>
      <c r="N54" s="7">
        <v>180</v>
      </c>
      <c r="O54" s="7"/>
      <c r="P54" s="7"/>
      <c r="Q54" s="7">
        <v>60</v>
      </c>
      <c r="R54" s="7"/>
      <c r="S54" s="38"/>
      <c r="T54" s="7">
        <v>160</v>
      </c>
      <c r="U54" s="7"/>
      <c r="V54" s="7"/>
      <c r="W54" s="7">
        <v>120</v>
      </c>
      <c r="X54" s="7"/>
      <c r="Y54" s="38"/>
      <c r="Z54" s="7">
        <v>40</v>
      </c>
      <c r="AB54" s="9">
        <f t="shared" si="2"/>
        <v>1120</v>
      </c>
      <c r="AC54" s="6">
        <v>859</v>
      </c>
      <c r="AD54" s="49">
        <f t="shared" si="3"/>
        <v>1.3038416763678695</v>
      </c>
    </row>
    <row r="55" spans="1:30">
      <c r="A55" s="25" t="s">
        <v>25</v>
      </c>
      <c r="B55" s="8">
        <v>380</v>
      </c>
      <c r="C55" s="7"/>
      <c r="D55" s="7"/>
      <c r="E55" s="7">
        <v>140</v>
      </c>
      <c r="F55" s="7"/>
      <c r="G55" s="38"/>
      <c r="H55" s="7">
        <v>180</v>
      </c>
      <c r="I55" s="7"/>
      <c r="J55" s="7"/>
      <c r="K55" s="7">
        <v>160</v>
      </c>
      <c r="L55" s="7"/>
      <c r="M55" s="38"/>
      <c r="N55" s="7">
        <v>260</v>
      </c>
      <c r="O55" s="7"/>
      <c r="P55" s="7"/>
      <c r="Q55" s="7">
        <v>20</v>
      </c>
      <c r="R55" s="7"/>
      <c r="S55" s="38"/>
      <c r="T55" s="7">
        <v>240</v>
      </c>
      <c r="U55" s="7"/>
      <c r="V55" s="7"/>
      <c r="W55" s="7">
        <v>120</v>
      </c>
      <c r="X55" s="7"/>
      <c r="Y55" s="38"/>
      <c r="Z55" s="7">
        <v>20</v>
      </c>
      <c r="AB55" s="9">
        <f t="shared" si="2"/>
        <v>1520</v>
      </c>
      <c r="AC55" s="6">
        <v>1227</v>
      </c>
      <c r="AD55" s="49">
        <f t="shared" si="3"/>
        <v>1.2387938060309698</v>
      </c>
    </row>
    <row r="56" spans="1:30">
      <c r="A56" s="23" t="s">
        <v>45</v>
      </c>
      <c r="B56" s="8"/>
      <c r="C56" s="7"/>
      <c r="D56" s="7"/>
      <c r="E56" s="7"/>
      <c r="F56" s="7">
        <v>100</v>
      </c>
      <c r="G56" s="38"/>
      <c r="H56" s="7"/>
      <c r="I56" s="7"/>
      <c r="J56" s="7"/>
      <c r="K56" s="7"/>
      <c r="L56" s="7">
        <v>180</v>
      </c>
      <c r="M56" s="38"/>
      <c r="N56" s="7"/>
      <c r="O56" s="7"/>
      <c r="P56" s="7"/>
      <c r="Q56" s="7"/>
      <c r="R56" s="7">
        <v>100</v>
      </c>
      <c r="S56" s="38"/>
      <c r="T56" s="7"/>
      <c r="U56" s="7"/>
      <c r="V56" s="7"/>
      <c r="W56" s="7"/>
      <c r="X56" s="7">
        <v>120</v>
      </c>
      <c r="Y56" s="38"/>
      <c r="Z56" s="7"/>
      <c r="AB56" s="9">
        <f t="shared" si="2"/>
        <v>500</v>
      </c>
      <c r="AC56" s="6">
        <v>442</v>
      </c>
      <c r="AD56" s="49">
        <f t="shared" si="3"/>
        <v>1.1312217194570136</v>
      </c>
    </row>
    <row r="57" spans="1:30">
      <c r="A57" s="23" t="s">
        <v>68</v>
      </c>
      <c r="B57" s="8">
        <v>240</v>
      </c>
      <c r="C57" s="7"/>
      <c r="D57" s="7"/>
      <c r="E57" s="7"/>
      <c r="F57" s="7"/>
      <c r="G57" s="38"/>
      <c r="H57" s="7">
        <v>140</v>
      </c>
      <c r="I57" s="7"/>
      <c r="J57" s="7"/>
      <c r="K57" s="7"/>
      <c r="L57" s="7"/>
      <c r="M57" s="38"/>
      <c r="N57" s="7">
        <v>60</v>
      </c>
      <c r="O57" s="7"/>
      <c r="P57" s="7"/>
      <c r="Q57" s="7"/>
      <c r="R57" s="7"/>
      <c r="S57" s="38"/>
      <c r="T57" s="7">
        <v>100</v>
      </c>
      <c r="U57" s="7"/>
      <c r="V57" s="7"/>
      <c r="W57" s="7"/>
      <c r="X57" s="7"/>
      <c r="Y57" s="38"/>
      <c r="Z57" s="7">
        <v>40</v>
      </c>
      <c r="AB57" s="9">
        <f t="shared" si="2"/>
        <v>580</v>
      </c>
      <c r="AC57" s="6">
        <v>514</v>
      </c>
      <c r="AD57" s="49">
        <f t="shared" si="3"/>
        <v>1.1284046692607004</v>
      </c>
    </row>
    <row r="58" spans="1:30">
      <c r="A58" s="24" t="s">
        <v>24</v>
      </c>
      <c r="B58" s="8">
        <v>80</v>
      </c>
      <c r="C58" s="7"/>
      <c r="D58" s="7"/>
      <c r="E58" s="7"/>
      <c r="F58" s="7">
        <v>20</v>
      </c>
      <c r="G58" s="38"/>
      <c r="H58" s="7">
        <v>120</v>
      </c>
      <c r="I58" s="7"/>
      <c r="J58" s="7"/>
      <c r="K58" s="7"/>
      <c r="L58" s="7">
        <v>260</v>
      </c>
      <c r="M58" s="38"/>
      <c r="N58" s="7">
        <v>100</v>
      </c>
      <c r="O58" s="7"/>
      <c r="P58" s="7"/>
      <c r="Q58" s="7"/>
      <c r="R58" s="7">
        <v>20</v>
      </c>
      <c r="S58" s="38"/>
      <c r="T58" s="7">
        <v>80</v>
      </c>
      <c r="U58" s="7"/>
      <c r="V58" s="7"/>
      <c r="W58" s="7"/>
      <c r="X58" s="7">
        <v>220</v>
      </c>
      <c r="Y58" s="38"/>
      <c r="Z58" s="7">
        <v>80</v>
      </c>
      <c r="AB58" s="9">
        <f t="shared" si="2"/>
        <v>980</v>
      </c>
      <c r="AC58" s="6">
        <v>900</v>
      </c>
      <c r="AD58" s="49">
        <f t="shared" si="3"/>
        <v>1.0888888888888888</v>
      </c>
    </row>
    <row r="59" spans="1:30">
      <c r="A59" s="23" t="s">
        <v>63</v>
      </c>
      <c r="B59" s="8"/>
      <c r="C59" s="7"/>
      <c r="D59" s="7"/>
      <c r="E59" s="7">
        <v>240</v>
      </c>
      <c r="F59" s="7"/>
      <c r="G59" s="38"/>
      <c r="H59" s="7"/>
      <c r="I59" s="7"/>
      <c r="J59" s="7"/>
      <c r="K59" s="7">
        <v>60</v>
      </c>
      <c r="L59" s="7"/>
      <c r="M59" s="38"/>
      <c r="N59" s="7"/>
      <c r="O59" s="7"/>
      <c r="P59" s="7"/>
      <c r="Q59" s="7">
        <v>460</v>
      </c>
      <c r="R59" s="7"/>
      <c r="S59" s="38"/>
      <c r="T59" s="7"/>
      <c r="U59" s="7"/>
      <c r="V59" s="7"/>
      <c r="W59" s="7">
        <v>60</v>
      </c>
      <c r="X59" s="7"/>
      <c r="Y59" s="38"/>
      <c r="Z59" s="7"/>
      <c r="AB59" s="9">
        <f t="shared" si="2"/>
        <v>820</v>
      </c>
      <c r="AC59" s="6">
        <v>762</v>
      </c>
      <c r="AD59" s="49">
        <f t="shared" si="3"/>
        <v>1.0761154855643045</v>
      </c>
    </row>
    <row r="60" spans="1:30">
      <c r="A60" s="24" t="s">
        <v>0</v>
      </c>
      <c r="B60" s="8">
        <v>140</v>
      </c>
      <c r="C60" s="7"/>
      <c r="D60" s="7"/>
      <c r="E60" s="7">
        <v>160</v>
      </c>
      <c r="F60" s="7"/>
      <c r="G60" s="38"/>
      <c r="H60" s="7">
        <v>180</v>
      </c>
      <c r="I60" s="7"/>
      <c r="J60" s="7"/>
      <c r="K60" s="7">
        <v>20</v>
      </c>
      <c r="L60" s="7"/>
      <c r="M60" s="38"/>
      <c r="N60" s="7">
        <v>80</v>
      </c>
      <c r="O60" s="7"/>
      <c r="P60" s="7"/>
      <c r="Q60" s="7">
        <v>20</v>
      </c>
      <c r="R60" s="7"/>
      <c r="S60" s="38"/>
      <c r="T60" s="7">
        <v>120</v>
      </c>
      <c r="U60" s="7"/>
      <c r="V60" s="7"/>
      <c r="W60" s="7">
        <v>100</v>
      </c>
      <c r="X60" s="7"/>
      <c r="Y60" s="38"/>
      <c r="Z60" s="7">
        <v>0</v>
      </c>
      <c r="AB60" s="9">
        <f t="shared" si="2"/>
        <v>820</v>
      </c>
      <c r="AC60" s="6">
        <v>797</v>
      </c>
      <c r="AD60" s="49">
        <f t="shared" si="3"/>
        <v>1.0288582183186952</v>
      </c>
    </row>
    <row r="61" spans="1:30">
      <c r="A61" s="25" t="s">
        <v>7</v>
      </c>
      <c r="B61" s="8">
        <v>140</v>
      </c>
      <c r="C61" s="7"/>
      <c r="D61" s="7">
        <v>100</v>
      </c>
      <c r="E61" s="7"/>
      <c r="F61" s="7">
        <v>180</v>
      </c>
      <c r="G61" s="38"/>
      <c r="H61" s="7">
        <v>140</v>
      </c>
      <c r="I61" s="7"/>
      <c r="J61" s="7">
        <v>180</v>
      </c>
      <c r="K61" s="7"/>
      <c r="L61" s="7">
        <v>240</v>
      </c>
      <c r="M61" s="38"/>
      <c r="N61" s="7">
        <v>240</v>
      </c>
      <c r="O61" s="7"/>
      <c r="P61" s="7"/>
      <c r="Q61" s="7"/>
      <c r="R61" s="7">
        <v>80</v>
      </c>
      <c r="S61" s="38"/>
      <c r="T61" s="7">
        <v>280</v>
      </c>
      <c r="U61" s="7"/>
      <c r="V61" s="7"/>
      <c r="W61" s="7"/>
      <c r="X61" s="7">
        <v>100</v>
      </c>
      <c r="Y61" s="38"/>
      <c r="Z61" s="7">
        <v>0</v>
      </c>
      <c r="AB61" s="9">
        <f t="shared" si="2"/>
        <v>1680</v>
      </c>
      <c r="AC61" s="6">
        <v>1646</v>
      </c>
      <c r="AD61" s="49">
        <f t="shared" si="3"/>
        <v>1.0206561360874848</v>
      </c>
    </row>
    <row r="62" spans="1:30">
      <c r="A62" s="23" t="s">
        <v>56</v>
      </c>
      <c r="B62" s="8"/>
      <c r="C62" s="7"/>
      <c r="D62" s="7"/>
      <c r="E62" s="7">
        <v>40</v>
      </c>
      <c r="F62" s="7"/>
      <c r="G62" s="38"/>
      <c r="H62" s="7"/>
      <c r="I62" s="7"/>
      <c r="J62" s="7"/>
      <c r="K62" s="7">
        <v>20</v>
      </c>
      <c r="L62" s="7"/>
      <c r="M62" s="38"/>
      <c r="N62" s="7"/>
      <c r="O62" s="7"/>
      <c r="P62" s="7"/>
      <c r="Q62" s="7">
        <v>40</v>
      </c>
      <c r="R62" s="7"/>
      <c r="S62" s="38"/>
      <c r="T62" s="7"/>
      <c r="U62" s="7"/>
      <c r="V62" s="7"/>
      <c r="W62" s="7">
        <v>60</v>
      </c>
      <c r="X62" s="7"/>
      <c r="Y62" s="38"/>
      <c r="Z62" s="7"/>
      <c r="AB62" s="9">
        <f t="shared" si="2"/>
        <v>160</v>
      </c>
      <c r="AC62" s="6">
        <v>157</v>
      </c>
      <c r="AD62" s="49">
        <f t="shared" si="3"/>
        <v>1.0191082802547771</v>
      </c>
    </row>
    <row r="63" spans="1:30">
      <c r="A63" s="24" t="s">
        <v>9</v>
      </c>
      <c r="B63" s="8">
        <v>80</v>
      </c>
      <c r="C63" s="7"/>
      <c r="D63" s="7"/>
      <c r="E63" s="7">
        <v>20</v>
      </c>
      <c r="F63" s="7"/>
      <c r="G63" s="38"/>
      <c r="H63" s="7">
        <v>80</v>
      </c>
      <c r="I63" s="7"/>
      <c r="J63" s="7"/>
      <c r="K63" s="7">
        <v>160</v>
      </c>
      <c r="L63" s="7"/>
      <c r="M63" s="38"/>
      <c r="N63" s="7">
        <v>80</v>
      </c>
      <c r="O63" s="7"/>
      <c r="P63" s="7"/>
      <c r="Q63" s="7">
        <v>120</v>
      </c>
      <c r="R63" s="7"/>
      <c r="S63" s="38"/>
      <c r="T63" s="7">
        <v>100</v>
      </c>
      <c r="U63" s="7"/>
      <c r="V63" s="7"/>
      <c r="W63" s="7">
        <v>160</v>
      </c>
      <c r="X63" s="7"/>
      <c r="Y63" s="38"/>
      <c r="Z63" s="7">
        <v>20</v>
      </c>
      <c r="AB63" s="9">
        <f t="shared" si="2"/>
        <v>820</v>
      </c>
      <c r="AC63" s="6">
        <v>914</v>
      </c>
      <c r="AD63" s="49">
        <f t="shared" si="3"/>
        <v>0.89715536105032823</v>
      </c>
    </row>
    <row r="64" spans="1:30">
      <c r="A64" s="23" t="s">
        <v>46</v>
      </c>
      <c r="B64" s="8"/>
      <c r="C64" s="7"/>
      <c r="D64" s="7"/>
      <c r="E64" s="7">
        <v>20</v>
      </c>
      <c r="F64" s="7"/>
      <c r="G64" s="38"/>
      <c r="H64" s="7"/>
      <c r="I64" s="7"/>
      <c r="J64" s="7"/>
      <c r="K64" s="7">
        <v>80</v>
      </c>
      <c r="L64" s="7"/>
      <c r="M64" s="38"/>
      <c r="N64" s="7"/>
      <c r="O64" s="7"/>
      <c r="P64" s="7"/>
      <c r="Q64" s="7">
        <v>0</v>
      </c>
      <c r="R64" s="7"/>
      <c r="S64" s="38"/>
      <c r="T64" s="7"/>
      <c r="U64" s="7"/>
      <c r="V64" s="7"/>
      <c r="W64" s="7">
        <v>120</v>
      </c>
      <c r="X64" s="7"/>
      <c r="Y64" s="38"/>
      <c r="Z64" s="7"/>
      <c r="AB64" s="9">
        <f t="shared" si="2"/>
        <v>220</v>
      </c>
      <c r="AC64" s="6">
        <v>274</v>
      </c>
      <c r="AD64" s="49">
        <f t="shared" si="3"/>
        <v>0.8029197080291971</v>
      </c>
    </row>
    <row r="65" spans="1:30">
      <c r="A65" s="23" t="s">
        <v>40</v>
      </c>
      <c r="B65" s="8"/>
      <c r="C65" s="7">
        <v>240</v>
      </c>
      <c r="D65" s="7"/>
      <c r="E65" s="7"/>
      <c r="F65" s="7"/>
      <c r="G65" s="38"/>
      <c r="H65" s="7"/>
      <c r="I65" s="7">
        <v>140</v>
      </c>
      <c r="J65" s="7"/>
      <c r="K65" s="7"/>
      <c r="L65" s="7"/>
      <c r="M65" s="38"/>
      <c r="N65" s="7"/>
      <c r="O65" s="7">
        <v>60</v>
      </c>
      <c r="P65" s="7"/>
      <c r="Q65" s="7"/>
      <c r="R65" s="7"/>
      <c r="S65" s="38"/>
      <c r="T65" s="7"/>
      <c r="U65" s="7"/>
      <c r="V65" s="7">
        <v>120</v>
      </c>
      <c r="W65" s="7"/>
      <c r="X65" s="7"/>
      <c r="Y65" s="38"/>
      <c r="Z65" s="7"/>
      <c r="AB65" s="9">
        <f t="shared" si="2"/>
        <v>560</v>
      </c>
      <c r="AC65" s="6">
        <v>740</v>
      </c>
      <c r="AD65" s="49">
        <f t="shared" si="3"/>
        <v>0.7567567567567568</v>
      </c>
    </row>
    <row r="66" spans="1:30">
      <c r="A66" s="23" t="s">
        <v>60</v>
      </c>
      <c r="B66" s="8"/>
      <c r="C66" s="7"/>
      <c r="D66" s="7"/>
      <c r="E66" s="7"/>
      <c r="F66" s="7">
        <v>20</v>
      </c>
      <c r="G66" s="38"/>
      <c r="H66" s="7"/>
      <c r="I66" s="7"/>
      <c r="J66" s="7"/>
      <c r="K66" s="7"/>
      <c r="L66" s="7">
        <v>120</v>
      </c>
      <c r="M66" s="38"/>
      <c r="N66" s="7"/>
      <c r="O66" s="7"/>
      <c r="P66" s="7"/>
      <c r="Q66" s="7"/>
      <c r="R66" s="7">
        <v>180</v>
      </c>
      <c r="S66" s="38"/>
      <c r="T66" s="7"/>
      <c r="U66" s="7"/>
      <c r="V66" s="7"/>
      <c r="W66" s="7"/>
      <c r="X66" s="7">
        <v>120</v>
      </c>
      <c r="Y66" s="38"/>
      <c r="Z66" s="7"/>
      <c r="AB66" s="9">
        <f t="shared" si="2"/>
        <v>440</v>
      </c>
      <c r="AC66" s="6">
        <v>598</v>
      </c>
      <c r="AD66" s="49">
        <f t="shared" si="3"/>
        <v>0.73578595317725748</v>
      </c>
    </row>
    <row r="67" spans="1:30">
      <c r="A67" s="23" t="s">
        <v>50</v>
      </c>
      <c r="B67" s="8"/>
      <c r="C67" s="7">
        <v>100</v>
      </c>
      <c r="D67" s="7"/>
      <c r="E67" s="7"/>
      <c r="F67" s="7"/>
      <c r="G67" s="38"/>
      <c r="H67" s="7"/>
      <c r="I67" s="7">
        <v>300</v>
      </c>
      <c r="J67" s="7"/>
      <c r="K67" s="7"/>
      <c r="L67" s="7"/>
      <c r="M67" s="38"/>
      <c r="N67" s="7"/>
      <c r="O67" s="7"/>
      <c r="P67" s="7"/>
      <c r="Q67" s="7"/>
      <c r="R67" s="7"/>
      <c r="S67" s="38"/>
      <c r="T67" s="7"/>
      <c r="U67" s="7"/>
      <c r="V67" s="7"/>
      <c r="W67" s="7"/>
      <c r="X67" s="7"/>
      <c r="Y67" s="38"/>
      <c r="Z67" s="7"/>
      <c r="AB67" s="9">
        <f t="shared" si="2"/>
        <v>400</v>
      </c>
      <c r="AC67" s="6">
        <v>702</v>
      </c>
      <c r="AD67" s="49">
        <f t="shared" si="3"/>
        <v>0.56980056980056981</v>
      </c>
    </row>
    <row r="69" spans="1:30">
      <c r="AB69" s="92">
        <f>SUM(AB6:AB68)</f>
        <v>96040</v>
      </c>
    </row>
  </sheetData>
  <sortState ref="A6:AF67">
    <sortCondition descending="1" ref="AD6:AD67"/>
  </sortState>
  <mergeCells count="1">
    <mergeCell ref="A1:AD1"/>
  </mergeCells>
  <pageMargins left="0.25" right="0.25" top="0.75" bottom="0.75" header="0.3" footer="0.3"/>
  <pageSetup paperSize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69"/>
  <sheetViews>
    <sheetView zoomScale="85" zoomScaleNormal="85" workbookViewId="0">
      <selection activeCell="AE6" sqref="AE6:AE69"/>
    </sheetView>
  </sheetViews>
  <sheetFormatPr defaultRowHeight="15"/>
  <cols>
    <col min="1" max="1" width="28.140625" style="1" customWidth="1"/>
    <col min="2" max="6" width="4.42578125" customWidth="1"/>
    <col min="7" max="7" width="1" style="36" customWidth="1"/>
    <col min="8" max="12" width="4.7109375" customWidth="1"/>
    <col min="13" max="13" width="1.140625" style="36" customWidth="1"/>
    <col min="14" max="18" width="4.85546875" customWidth="1"/>
    <col min="19" max="19" width="1" style="36" customWidth="1"/>
    <col min="20" max="24" width="4.42578125" customWidth="1"/>
    <col min="25" max="25" width="1.140625" style="36" customWidth="1"/>
    <col min="26" max="29" width="4.7109375" customWidth="1"/>
    <col min="30" max="30" width="1.42578125" customWidth="1"/>
    <col min="31" max="31" width="9.42578125" customWidth="1"/>
    <col min="32" max="32" width="7.42578125" customWidth="1"/>
    <col min="33" max="33" width="8.28515625" customWidth="1"/>
  </cols>
  <sheetData>
    <row r="1" spans="1:35" s="60" customFormat="1" ht="29.25" customHeight="1">
      <c r="A1" s="93" t="s">
        <v>81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</row>
    <row r="2" spans="1:35" ht="3.75" customHeight="1">
      <c r="A2" s="41"/>
      <c r="B2" s="42"/>
      <c r="C2" s="42"/>
      <c r="D2" s="42"/>
      <c r="E2" s="42"/>
      <c r="F2" s="42"/>
      <c r="G2" s="43"/>
      <c r="H2" s="42"/>
      <c r="I2" s="42"/>
      <c r="J2" s="42"/>
      <c r="K2" s="42"/>
      <c r="L2" s="42"/>
      <c r="M2" s="43"/>
      <c r="N2" s="42"/>
      <c r="O2" s="42"/>
      <c r="P2" s="42"/>
      <c r="Q2" s="42"/>
      <c r="R2" s="42"/>
      <c r="S2" s="43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</row>
    <row r="3" spans="1:35" ht="18.75" customHeight="1" thickBot="1">
      <c r="A3" s="1" t="s">
        <v>96</v>
      </c>
      <c r="B3" t="s">
        <v>70</v>
      </c>
      <c r="C3" t="s">
        <v>71</v>
      </c>
      <c r="D3" t="s">
        <v>72</v>
      </c>
      <c r="E3" t="s">
        <v>74</v>
      </c>
      <c r="F3" t="s">
        <v>73</v>
      </c>
      <c r="H3" t="s">
        <v>70</v>
      </c>
      <c r="I3" t="s">
        <v>71</v>
      </c>
      <c r="J3" t="s">
        <v>72</v>
      </c>
      <c r="K3" t="s">
        <v>74</v>
      </c>
      <c r="L3" t="s">
        <v>73</v>
      </c>
      <c r="N3" t="s">
        <v>70</v>
      </c>
      <c r="O3" t="s">
        <v>71</v>
      </c>
      <c r="P3" t="s">
        <v>72</v>
      </c>
      <c r="Q3" t="s">
        <v>74</v>
      </c>
      <c r="R3" t="s">
        <v>73</v>
      </c>
      <c r="T3" t="s">
        <v>70</v>
      </c>
      <c r="U3" t="s">
        <v>71</v>
      </c>
      <c r="V3" t="s">
        <v>72</v>
      </c>
      <c r="W3" t="s">
        <v>74</v>
      </c>
      <c r="X3" t="s">
        <v>73</v>
      </c>
      <c r="Y3"/>
      <c r="Z3" t="s">
        <v>70</v>
      </c>
      <c r="AA3" t="s">
        <v>71</v>
      </c>
      <c r="AB3" t="s">
        <v>72</v>
      </c>
      <c r="AC3" t="s">
        <v>74</v>
      </c>
    </row>
    <row r="4" spans="1:35" s="4" customFormat="1" ht="48" customHeight="1" thickBot="1">
      <c r="A4" s="17" t="s">
        <v>29</v>
      </c>
      <c r="B4" s="15"/>
      <c r="C4" s="15">
        <v>1</v>
      </c>
      <c r="D4" s="15">
        <v>2</v>
      </c>
      <c r="E4" s="15">
        <v>3</v>
      </c>
      <c r="F4" s="15">
        <v>4</v>
      </c>
      <c r="G4" s="37"/>
      <c r="H4" s="15">
        <v>7</v>
      </c>
      <c r="I4" s="15">
        <v>8</v>
      </c>
      <c r="J4" s="15">
        <v>9</v>
      </c>
      <c r="K4" s="15">
        <v>10</v>
      </c>
      <c r="L4" s="15">
        <v>11</v>
      </c>
      <c r="M4" s="37"/>
      <c r="N4" s="15">
        <v>14</v>
      </c>
      <c r="O4" s="15">
        <v>15</v>
      </c>
      <c r="P4" s="15">
        <v>16</v>
      </c>
      <c r="Q4" s="15">
        <v>17</v>
      </c>
      <c r="R4" s="15">
        <v>18</v>
      </c>
      <c r="S4" s="37"/>
      <c r="T4" s="15">
        <v>21</v>
      </c>
      <c r="U4" s="15">
        <v>22</v>
      </c>
      <c r="V4" s="15">
        <v>23</v>
      </c>
      <c r="W4" s="15">
        <v>24</v>
      </c>
      <c r="X4" s="15">
        <v>25</v>
      </c>
      <c r="Y4" s="37"/>
      <c r="Z4" s="15">
        <v>28</v>
      </c>
      <c r="AA4" s="15">
        <v>29</v>
      </c>
      <c r="AB4" s="15">
        <v>30</v>
      </c>
      <c r="AC4" s="15">
        <v>31</v>
      </c>
      <c r="AE4" s="83" t="s">
        <v>30</v>
      </c>
      <c r="AF4" s="84" t="s">
        <v>31</v>
      </c>
      <c r="AG4" s="85" t="s">
        <v>32</v>
      </c>
      <c r="AH4" s="5"/>
      <c r="AI4" s="5"/>
    </row>
    <row r="5" spans="1:35" s="20" customFormat="1">
      <c r="A5" s="40" t="s">
        <v>28</v>
      </c>
      <c r="B5" s="32"/>
      <c r="C5" s="21"/>
      <c r="D5" s="21"/>
      <c r="E5" s="21"/>
      <c r="F5" s="21"/>
      <c r="G5" s="38"/>
      <c r="H5" s="21"/>
      <c r="I5" s="21"/>
      <c r="J5" s="21"/>
      <c r="K5" s="21"/>
      <c r="L5" s="21"/>
      <c r="M5" s="38"/>
      <c r="N5" s="21"/>
      <c r="O5" s="21"/>
      <c r="P5" s="21"/>
      <c r="Q5" s="21"/>
      <c r="R5" s="21"/>
      <c r="S5" s="38"/>
      <c r="T5" s="21"/>
      <c r="U5" s="21"/>
      <c r="V5" s="21"/>
      <c r="W5" s="21"/>
      <c r="X5" s="21"/>
      <c r="Y5" s="38"/>
      <c r="Z5" s="21"/>
      <c r="AA5" s="21"/>
      <c r="AB5" s="21"/>
      <c r="AC5" s="21"/>
      <c r="AE5" s="33"/>
      <c r="AF5" s="34"/>
      <c r="AG5" s="35"/>
    </row>
    <row r="6" spans="1:35">
      <c r="A6" s="48" t="s">
        <v>6</v>
      </c>
      <c r="B6" s="81"/>
      <c r="C6" s="80">
        <v>40</v>
      </c>
      <c r="D6" s="80"/>
      <c r="E6" s="80">
        <v>60</v>
      </c>
      <c r="F6" s="80"/>
      <c r="G6" s="82"/>
      <c r="H6" s="80"/>
      <c r="I6" s="80">
        <v>200</v>
      </c>
      <c r="J6" s="80"/>
      <c r="K6" s="80">
        <v>40</v>
      </c>
      <c r="L6" s="80"/>
      <c r="M6" s="82"/>
      <c r="N6" s="80"/>
      <c r="O6" s="80">
        <v>80</v>
      </c>
      <c r="P6" s="80"/>
      <c r="Q6" s="80">
        <v>20</v>
      </c>
      <c r="R6" s="80"/>
      <c r="S6" s="82"/>
      <c r="T6" s="80"/>
      <c r="U6" s="80">
        <v>140</v>
      </c>
      <c r="V6" s="80"/>
      <c r="W6" s="80"/>
      <c r="X6" s="80">
        <v>60</v>
      </c>
      <c r="Y6" s="82"/>
      <c r="Z6" s="80"/>
      <c r="AA6" s="80">
        <v>20</v>
      </c>
      <c r="AB6" s="80"/>
      <c r="AC6" s="80">
        <v>200</v>
      </c>
      <c r="AE6" s="9">
        <f t="shared" ref="AE6:AE37" si="0">SUM(B6:AD6)</f>
        <v>860</v>
      </c>
      <c r="AF6" s="6">
        <v>121</v>
      </c>
      <c r="AG6" s="49">
        <f t="shared" ref="AG6:AG37" si="1">AE6/AF6</f>
        <v>7.1074380165289259</v>
      </c>
    </row>
    <row r="7" spans="1:35">
      <c r="A7" s="23" t="s">
        <v>41</v>
      </c>
      <c r="B7" s="81"/>
      <c r="C7" s="80"/>
      <c r="D7" s="80"/>
      <c r="E7" s="80">
        <v>360</v>
      </c>
      <c r="F7" s="80"/>
      <c r="G7" s="82"/>
      <c r="H7" s="80"/>
      <c r="I7" s="80"/>
      <c r="J7" s="80"/>
      <c r="K7" s="80">
        <v>1120</v>
      </c>
      <c r="L7" s="80"/>
      <c r="M7" s="82"/>
      <c r="N7" s="80"/>
      <c r="O7" s="80"/>
      <c r="P7" s="80"/>
      <c r="Q7" s="80">
        <v>40</v>
      </c>
      <c r="R7" s="80"/>
      <c r="S7" s="82"/>
      <c r="T7" s="80"/>
      <c r="U7" s="80"/>
      <c r="V7" s="80"/>
      <c r="W7" s="80"/>
      <c r="X7" s="80">
        <v>420</v>
      </c>
      <c r="Y7" s="82"/>
      <c r="Z7" s="80"/>
      <c r="AA7" s="80"/>
      <c r="AB7" s="80"/>
      <c r="AC7" s="80">
        <v>460</v>
      </c>
      <c r="AE7" s="9">
        <f t="shared" si="0"/>
        <v>2400</v>
      </c>
      <c r="AF7" s="6">
        <v>342</v>
      </c>
      <c r="AG7" s="49">
        <f t="shared" si="1"/>
        <v>7.0175438596491224</v>
      </c>
    </row>
    <row r="8" spans="1:35">
      <c r="A8" s="23" t="s">
        <v>66</v>
      </c>
      <c r="B8" s="81"/>
      <c r="C8" s="80"/>
      <c r="D8" s="80"/>
      <c r="E8" s="80">
        <v>780</v>
      </c>
      <c r="F8" s="80"/>
      <c r="G8" s="82"/>
      <c r="H8" s="80"/>
      <c r="I8" s="80"/>
      <c r="J8" s="80"/>
      <c r="K8" s="80">
        <v>80</v>
      </c>
      <c r="L8" s="80"/>
      <c r="M8" s="82"/>
      <c r="N8" s="80"/>
      <c r="O8" s="80"/>
      <c r="P8" s="80"/>
      <c r="Q8" s="80">
        <v>180</v>
      </c>
      <c r="R8" s="80"/>
      <c r="S8" s="82"/>
      <c r="T8" s="80"/>
      <c r="U8" s="80"/>
      <c r="V8" s="80"/>
      <c r="W8" s="80"/>
      <c r="X8" s="80">
        <v>60</v>
      </c>
      <c r="Y8" s="82"/>
      <c r="Z8" s="80"/>
      <c r="AA8" s="80"/>
      <c r="AB8" s="80"/>
      <c r="AC8" s="80">
        <v>140</v>
      </c>
      <c r="AE8" s="9">
        <f t="shared" si="0"/>
        <v>1240</v>
      </c>
      <c r="AF8" s="6">
        <v>209</v>
      </c>
      <c r="AG8" s="49">
        <f t="shared" si="1"/>
        <v>5.9330143540669855</v>
      </c>
    </row>
    <row r="9" spans="1:35">
      <c r="A9" s="23" t="s">
        <v>36</v>
      </c>
      <c r="B9" s="81"/>
      <c r="C9" s="80">
        <v>120</v>
      </c>
      <c r="D9" s="80"/>
      <c r="E9" s="80">
        <v>360</v>
      </c>
      <c r="F9" s="80"/>
      <c r="G9" s="82"/>
      <c r="H9" s="80">
        <v>1420</v>
      </c>
      <c r="I9" s="80"/>
      <c r="J9" s="80"/>
      <c r="K9" s="80">
        <v>460</v>
      </c>
      <c r="L9" s="80"/>
      <c r="M9" s="82"/>
      <c r="N9" s="80">
        <v>300</v>
      </c>
      <c r="O9" s="80"/>
      <c r="P9" s="80"/>
      <c r="Q9" s="80">
        <v>380</v>
      </c>
      <c r="R9" s="80"/>
      <c r="S9" s="82"/>
      <c r="T9" s="80">
        <v>400</v>
      </c>
      <c r="U9" s="80"/>
      <c r="V9" s="80"/>
      <c r="W9" s="80"/>
      <c r="X9" s="80">
        <v>220</v>
      </c>
      <c r="Y9" s="82"/>
      <c r="Z9" s="80">
        <v>120</v>
      </c>
      <c r="AA9" s="80"/>
      <c r="AB9" s="80"/>
      <c r="AC9" s="80">
        <v>440</v>
      </c>
      <c r="AE9" s="9">
        <f t="shared" si="0"/>
        <v>4220</v>
      </c>
      <c r="AF9" s="6">
        <v>738</v>
      </c>
      <c r="AG9" s="49">
        <f t="shared" si="1"/>
        <v>5.718157181571816</v>
      </c>
    </row>
    <row r="10" spans="1:35">
      <c r="A10" s="23" t="s">
        <v>20</v>
      </c>
      <c r="B10" s="81"/>
      <c r="C10" s="80"/>
      <c r="D10" s="80"/>
      <c r="E10" s="80">
        <v>60</v>
      </c>
      <c r="F10" s="80"/>
      <c r="G10" s="82"/>
      <c r="H10" s="80"/>
      <c r="I10" s="80"/>
      <c r="J10" s="80"/>
      <c r="K10" s="80">
        <v>1720</v>
      </c>
      <c r="L10" s="80"/>
      <c r="M10" s="82"/>
      <c r="N10" s="80"/>
      <c r="O10" s="80"/>
      <c r="P10" s="80"/>
      <c r="Q10" s="80">
        <v>260</v>
      </c>
      <c r="R10" s="80"/>
      <c r="S10" s="82"/>
      <c r="T10" s="80"/>
      <c r="U10" s="80"/>
      <c r="V10" s="80"/>
      <c r="W10" s="80"/>
      <c r="X10" s="80">
        <v>180</v>
      </c>
      <c r="Y10" s="82"/>
      <c r="Z10" s="80"/>
      <c r="AA10" s="80"/>
      <c r="AB10" s="80"/>
      <c r="AC10" s="80">
        <v>200</v>
      </c>
      <c r="AE10" s="9">
        <f t="shared" si="0"/>
        <v>2420</v>
      </c>
      <c r="AF10" s="6">
        <v>442</v>
      </c>
      <c r="AG10" s="49">
        <f t="shared" si="1"/>
        <v>5.4751131221719458</v>
      </c>
      <c r="AH10" t="s">
        <v>76</v>
      </c>
    </row>
    <row r="11" spans="1:35">
      <c r="A11" s="24" t="s">
        <v>23</v>
      </c>
      <c r="B11" s="81"/>
      <c r="C11" s="80">
        <v>360</v>
      </c>
      <c r="D11" s="80"/>
      <c r="E11" s="80"/>
      <c r="F11" s="80">
        <v>160</v>
      </c>
      <c r="G11" s="82"/>
      <c r="H11" s="80"/>
      <c r="I11" s="80">
        <v>80</v>
      </c>
      <c r="J11" s="80"/>
      <c r="K11" s="80"/>
      <c r="L11" s="80">
        <v>240</v>
      </c>
      <c r="M11" s="82"/>
      <c r="N11" s="80"/>
      <c r="O11" s="80">
        <v>1820</v>
      </c>
      <c r="P11" s="80"/>
      <c r="Q11" s="80"/>
      <c r="R11" s="80">
        <v>60</v>
      </c>
      <c r="S11" s="82"/>
      <c r="T11" s="80"/>
      <c r="U11" s="80">
        <v>40</v>
      </c>
      <c r="V11" s="80"/>
      <c r="W11" s="80"/>
      <c r="X11" s="80">
        <v>60</v>
      </c>
      <c r="Y11" s="82"/>
      <c r="Z11" s="80"/>
      <c r="AA11" s="80">
        <v>1720</v>
      </c>
      <c r="AB11" s="80"/>
      <c r="AC11" s="80"/>
      <c r="AE11" s="9">
        <f t="shared" si="0"/>
        <v>4540</v>
      </c>
      <c r="AF11" s="6">
        <v>830</v>
      </c>
      <c r="AG11" s="49">
        <f t="shared" si="1"/>
        <v>5.4698795180722888</v>
      </c>
    </row>
    <row r="12" spans="1:35">
      <c r="A12" s="24" t="s">
        <v>4</v>
      </c>
      <c r="B12" s="81"/>
      <c r="C12" s="80"/>
      <c r="D12" s="80"/>
      <c r="E12" s="80">
        <v>20</v>
      </c>
      <c r="F12" s="80"/>
      <c r="G12" s="82"/>
      <c r="H12" s="80"/>
      <c r="I12" s="80"/>
      <c r="J12" s="80"/>
      <c r="K12" s="80">
        <v>2080</v>
      </c>
      <c r="L12" s="80"/>
      <c r="M12" s="82"/>
      <c r="N12" s="80"/>
      <c r="O12" s="80"/>
      <c r="P12" s="80"/>
      <c r="Q12" s="80">
        <v>260</v>
      </c>
      <c r="R12" s="80"/>
      <c r="S12" s="82"/>
      <c r="T12" s="80"/>
      <c r="U12" s="80"/>
      <c r="V12" s="80"/>
      <c r="W12" s="80"/>
      <c r="X12" s="80">
        <v>420</v>
      </c>
      <c r="Y12" s="82"/>
      <c r="Z12" s="80"/>
      <c r="AA12" s="80"/>
      <c r="AB12" s="80"/>
      <c r="AC12" s="80">
        <v>300</v>
      </c>
      <c r="AE12" s="9">
        <f t="shared" si="0"/>
        <v>3080</v>
      </c>
      <c r="AF12" s="6">
        <v>573</v>
      </c>
      <c r="AG12" s="49">
        <f t="shared" si="1"/>
        <v>5.3752181500872602</v>
      </c>
    </row>
    <row r="13" spans="1:35">
      <c r="A13" s="23" t="s">
        <v>64</v>
      </c>
      <c r="B13" s="81"/>
      <c r="C13" s="80">
        <v>100</v>
      </c>
      <c r="D13" s="80"/>
      <c r="E13" s="80"/>
      <c r="F13" s="80">
        <v>300</v>
      </c>
      <c r="G13" s="82"/>
      <c r="H13" s="80"/>
      <c r="I13" s="80">
        <v>260</v>
      </c>
      <c r="J13" s="80"/>
      <c r="K13" s="80"/>
      <c r="L13" s="80">
        <v>180</v>
      </c>
      <c r="M13" s="82"/>
      <c r="N13" s="80"/>
      <c r="O13" s="80">
        <v>320</v>
      </c>
      <c r="P13" s="80"/>
      <c r="Q13" s="80"/>
      <c r="R13" s="80">
        <v>280</v>
      </c>
      <c r="S13" s="82"/>
      <c r="T13" s="80"/>
      <c r="U13" s="80">
        <v>260</v>
      </c>
      <c r="V13" s="80"/>
      <c r="W13" s="80"/>
      <c r="X13" s="80">
        <v>180</v>
      </c>
      <c r="Y13" s="82"/>
      <c r="Z13" s="80"/>
      <c r="AA13" s="80">
        <v>760</v>
      </c>
      <c r="AB13" s="80">
        <v>760</v>
      </c>
      <c r="AC13" s="80"/>
      <c r="AE13" s="9">
        <f t="shared" si="0"/>
        <v>3400</v>
      </c>
      <c r="AF13" s="6">
        <v>637</v>
      </c>
      <c r="AG13" s="49">
        <f t="shared" si="1"/>
        <v>5.3375196232339093</v>
      </c>
    </row>
    <row r="14" spans="1:35">
      <c r="A14" s="23" t="s">
        <v>52</v>
      </c>
      <c r="B14" s="81"/>
      <c r="C14" s="80">
        <v>60</v>
      </c>
      <c r="D14" s="80"/>
      <c r="E14" s="80">
        <v>160</v>
      </c>
      <c r="F14" s="80"/>
      <c r="G14" s="82"/>
      <c r="H14" s="80"/>
      <c r="I14" s="80">
        <v>280</v>
      </c>
      <c r="J14" s="80"/>
      <c r="K14" s="80">
        <v>360</v>
      </c>
      <c r="L14" s="80"/>
      <c r="M14" s="82"/>
      <c r="N14" s="80"/>
      <c r="O14" s="80">
        <v>480</v>
      </c>
      <c r="P14" s="80"/>
      <c r="Q14" s="80">
        <v>320</v>
      </c>
      <c r="R14" s="80"/>
      <c r="S14" s="82"/>
      <c r="T14" s="80"/>
      <c r="U14" s="80">
        <v>640</v>
      </c>
      <c r="V14" s="80"/>
      <c r="W14" s="80"/>
      <c r="X14" s="80">
        <v>460</v>
      </c>
      <c r="Y14" s="82"/>
      <c r="Z14" s="80"/>
      <c r="AA14" s="80">
        <v>200</v>
      </c>
      <c r="AB14" s="80"/>
      <c r="AC14" s="80">
        <v>560</v>
      </c>
      <c r="AE14" s="9">
        <f t="shared" si="0"/>
        <v>3520</v>
      </c>
      <c r="AF14" s="6">
        <v>693</v>
      </c>
      <c r="AG14" s="49">
        <f t="shared" si="1"/>
        <v>5.0793650793650791</v>
      </c>
    </row>
    <row r="15" spans="1:35">
      <c r="A15" s="48" t="s">
        <v>16</v>
      </c>
      <c r="B15" s="81"/>
      <c r="C15" s="80">
        <v>80</v>
      </c>
      <c r="D15" s="80"/>
      <c r="E15" s="80"/>
      <c r="F15" s="80">
        <v>140</v>
      </c>
      <c r="G15" s="82"/>
      <c r="H15" s="80"/>
      <c r="I15" s="80">
        <v>140</v>
      </c>
      <c r="J15" s="80"/>
      <c r="K15" s="80"/>
      <c r="L15" s="80">
        <v>80</v>
      </c>
      <c r="M15" s="82"/>
      <c r="N15" s="80"/>
      <c r="O15" s="80">
        <v>100</v>
      </c>
      <c r="P15" s="80"/>
      <c r="Q15" s="80"/>
      <c r="R15" s="80">
        <v>20</v>
      </c>
      <c r="S15" s="82"/>
      <c r="T15" s="80"/>
      <c r="U15" s="80">
        <v>60</v>
      </c>
      <c r="V15" s="80"/>
      <c r="W15" s="80"/>
      <c r="X15" s="80">
        <v>100</v>
      </c>
      <c r="Y15" s="82"/>
      <c r="Z15" s="80"/>
      <c r="AA15" s="80">
        <v>80</v>
      </c>
      <c r="AB15" s="80"/>
      <c r="AC15" s="80"/>
      <c r="AE15" s="9">
        <f t="shared" si="0"/>
        <v>800</v>
      </c>
      <c r="AF15" s="6">
        <v>177</v>
      </c>
      <c r="AG15" s="49">
        <f t="shared" si="1"/>
        <v>4.5197740112994351</v>
      </c>
    </row>
    <row r="16" spans="1:35">
      <c r="A16" s="23" t="s">
        <v>38</v>
      </c>
      <c r="B16" s="81"/>
      <c r="C16" s="80"/>
      <c r="D16" s="80"/>
      <c r="E16" s="80">
        <v>120</v>
      </c>
      <c r="F16" s="80"/>
      <c r="G16" s="82"/>
      <c r="H16" s="80"/>
      <c r="I16" s="80"/>
      <c r="J16" s="80"/>
      <c r="K16" s="80">
        <v>420</v>
      </c>
      <c r="L16" s="80"/>
      <c r="M16" s="82"/>
      <c r="N16" s="80"/>
      <c r="O16" s="80"/>
      <c r="P16" s="80"/>
      <c r="Q16" s="80">
        <v>1500</v>
      </c>
      <c r="R16" s="80"/>
      <c r="S16" s="82"/>
      <c r="T16" s="80"/>
      <c r="U16" s="80"/>
      <c r="V16" s="80"/>
      <c r="W16" s="80"/>
      <c r="X16" s="80">
        <v>520</v>
      </c>
      <c r="Y16" s="82"/>
      <c r="Z16" s="80"/>
      <c r="AA16" s="80"/>
      <c r="AB16" s="80"/>
      <c r="AC16" s="80">
        <v>280</v>
      </c>
      <c r="AE16" s="9">
        <f t="shared" si="0"/>
        <v>2840</v>
      </c>
      <c r="AF16" s="6">
        <v>644</v>
      </c>
      <c r="AG16" s="49">
        <f t="shared" si="1"/>
        <v>4.4099378881987574</v>
      </c>
    </row>
    <row r="17" spans="1:33">
      <c r="A17" s="23" t="s">
        <v>59</v>
      </c>
      <c r="B17" s="81"/>
      <c r="C17" s="80"/>
      <c r="D17" s="80"/>
      <c r="E17" s="80">
        <v>220</v>
      </c>
      <c r="F17" s="80"/>
      <c r="G17" s="82"/>
      <c r="H17" s="80">
        <v>280</v>
      </c>
      <c r="I17" s="80"/>
      <c r="J17" s="80"/>
      <c r="K17" s="80">
        <v>260</v>
      </c>
      <c r="L17" s="80"/>
      <c r="M17" s="82"/>
      <c r="N17" s="80">
        <v>240</v>
      </c>
      <c r="O17" s="80"/>
      <c r="P17" s="80"/>
      <c r="Q17" s="80">
        <v>380</v>
      </c>
      <c r="R17" s="80"/>
      <c r="S17" s="82"/>
      <c r="T17" s="80">
        <v>700</v>
      </c>
      <c r="U17" s="80"/>
      <c r="V17" s="80"/>
      <c r="W17" s="80"/>
      <c r="X17" s="80">
        <v>500</v>
      </c>
      <c r="Y17" s="82"/>
      <c r="Z17" s="80">
        <v>120</v>
      </c>
      <c r="AA17" s="80"/>
      <c r="AB17" s="80"/>
      <c r="AC17" s="80">
        <v>820</v>
      </c>
      <c r="AE17" s="9">
        <f t="shared" si="0"/>
        <v>3520</v>
      </c>
      <c r="AF17" s="6">
        <v>839</v>
      </c>
      <c r="AG17" s="49">
        <f t="shared" si="1"/>
        <v>4.1954707985697262</v>
      </c>
    </row>
    <row r="18" spans="1:33">
      <c r="A18" s="24" t="s">
        <v>18</v>
      </c>
      <c r="B18" s="81"/>
      <c r="C18" s="80"/>
      <c r="D18" s="80"/>
      <c r="E18" s="80">
        <v>120</v>
      </c>
      <c r="F18" s="80"/>
      <c r="G18" s="82"/>
      <c r="H18" s="80">
        <v>300</v>
      </c>
      <c r="I18" s="80"/>
      <c r="J18" s="80"/>
      <c r="K18" s="80">
        <v>20</v>
      </c>
      <c r="L18" s="80"/>
      <c r="M18" s="82"/>
      <c r="N18" s="80">
        <v>860</v>
      </c>
      <c r="O18" s="80"/>
      <c r="P18" s="80"/>
      <c r="Q18" s="80">
        <v>260</v>
      </c>
      <c r="R18" s="80"/>
      <c r="S18" s="82"/>
      <c r="T18" s="80">
        <v>200</v>
      </c>
      <c r="U18" s="80"/>
      <c r="V18" s="80"/>
      <c r="W18" s="80"/>
      <c r="X18" s="80">
        <v>160</v>
      </c>
      <c r="Y18" s="82"/>
      <c r="Z18" s="80">
        <v>20</v>
      </c>
      <c r="AA18" s="80"/>
      <c r="AB18" s="80">
        <v>300</v>
      </c>
      <c r="AC18" s="80">
        <v>300</v>
      </c>
      <c r="AE18" s="9">
        <f t="shared" si="0"/>
        <v>2540</v>
      </c>
      <c r="AF18" s="6">
        <v>630</v>
      </c>
      <c r="AG18" s="49">
        <f t="shared" si="1"/>
        <v>4.0317460317460316</v>
      </c>
    </row>
    <row r="19" spans="1:33">
      <c r="A19" s="23" t="s">
        <v>58</v>
      </c>
      <c r="B19" s="81"/>
      <c r="C19" s="80"/>
      <c r="D19" s="80"/>
      <c r="E19" s="80">
        <v>200</v>
      </c>
      <c r="F19" s="80"/>
      <c r="G19" s="82"/>
      <c r="H19" s="80"/>
      <c r="I19" s="80"/>
      <c r="J19" s="80"/>
      <c r="K19" s="80">
        <v>360</v>
      </c>
      <c r="L19" s="80"/>
      <c r="M19" s="82"/>
      <c r="N19" s="80"/>
      <c r="O19" s="80"/>
      <c r="P19" s="80"/>
      <c r="Q19" s="80">
        <v>280</v>
      </c>
      <c r="R19" s="80"/>
      <c r="S19" s="82"/>
      <c r="T19" s="80"/>
      <c r="U19" s="80"/>
      <c r="V19" s="80"/>
      <c r="W19" s="80"/>
      <c r="X19" s="80">
        <v>220</v>
      </c>
      <c r="Y19" s="82"/>
      <c r="Z19" s="80"/>
      <c r="AA19" s="80"/>
      <c r="AB19" s="80"/>
      <c r="AC19" s="80">
        <v>400</v>
      </c>
      <c r="AE19" s="9">
        <f t="shared" si="0"/>
        <v>1460</v>
      </c>
      <c r="AF19" s="6">
        <v>381</v>
      </c>
      <c r="AG19" s="49">
        <f t="shared" si="1"/>
        <v>3.8320209973753281</v>
      </c>
    </row>
    <row r="20" spans="1:33">
      <c r="A20" s="25" t="s">
        <v>8</v>
      </c>
      <c r="B20" s="81"/>
      <c r="C20" s="80"/>
      <c r="D20" s="80"/>
      <c r="E20" s="80">
        <v>60</v>
      </c>
      <c r="F20" s="80"/>
      <c r="G20" s="82"/>
      <c r="H20" s="80">
        <v>60</v>
      </c>
      <c r="I20" s="80"/>
      <c r="J20" s="80"/>
      <c r="K20" s="80">
        <v>400</v>
      </c>
      <c r="L20" s="80"/>
      <c r="M20" s="82"/>
      <c r="N20" s="80">
        <v>260</v>
      </c>
      <c r="O20" s="80"/>
      <c r="P20" s="80"/>
      <c r="Q20" s="80">
        <v>1580</v>
      </c>
      <c r="R20" s="80"/>
      <c r="S20" s="82"/>
      <c r="T20" s="80">
        <v>960</v>
      </c>
      <c r="U20" s="80"/>
      <c r="V20" s="80"/>
      <c r="W20" s="80"/>
      <c r="X20" s="80">
        <v>600</v>
      </c>
      <c r="Y20" s="82"/>
      <c r="Z20" s="80">
        <v>440</v>
      </c>
      <c r="AA20" s="80"/>
      <c r="AB20" s="80"/>
      <c r="AC20" s="80">
        <v>380</v>
      </c>
      <c r="AE20" s="9">
        <f t="shared" si="0"/>
        <v>4740</v>
      </c>
      <c r="AF20" s="6">
        <v>1325</v>
      </c>
      <c r="AG20" s="49">
        <f t="shared" si="1"/>
        <v>3.5773584905660378</v>
      </c>
    </row>
    <row r="21" spans="1:33">
      <c r="A21" s="23" t="s">
        <v>47</v>
      </c>
      <c r="B21" s="81"/>
      <c r="C21" s="80"/>
      <c r="D21" s="80"/>
      <c r="E21" s="80">
        <v>360</v>
      </c>
      <c r="F21" s="80"/>
      <c r="G21" s="82"/>
      <c r="H21" s="80"/>
      <c r="I21" s="80"/>
      <c r="J21" s="80"/>
      <c r="K21" s="80">
        <v>220</v>
      </c>
      <c r="L21" s="80"/>
      <c r="M21" s="82"/>
      <c r="N21" s="80"/>
      <c r="O21" s="80"/>
      <c r="P21" s="80"/>
      <c r="Q21" s="80">
        <v>200</v>
      </c>
      <c r="R21" s="80"/>
      <c r="S21" s="82"/>
      <c r="T21" s="80"/>
      <c r="U21" s="80"/>
      <c r="V21" s="80"/>
      <c r="W21" s="80"/>
      <c r="X21" s="80">
        <v>180</v>
      </c>
      <c r="Y21" s="82"/>
      <c r="Z21" s="80"/>
      <c r="AA21" s="80"/>
      <c r="AB21" s="80"/>
      <c r="AC21" s="80">
        <v>220</v>
      </c>
      <c r="AE21" s="9">
        <f t="shared" si="0"/>
        <v>1180</v>
      </c>
      <c r="AF21" s="6">
        <v>334</v>
      </c>
      <c r="AG21" s="49">
        <f t="shared" si="1"/>
        <v>3.532934131736527</v>
      </c>
    </row>
    <row r="22" spans="1:33">
      <c r="A22" s="24" t="s">
        <v>12</v>
      </c>
      <c r="B22" s="81"/>
      <c r="C22" s="80">
        <v>120</v>
      </c>
      <c r="D22" s="80"/>
      <c r="E22" s="80"/>
      <c r="F22" s="80">
        <v>20</v>
      </c>
      <c r="G22" s="82"/>
      <c r="H22" s="80"/>
      <c r="I22" s="80">
        <v>60</v>
      </c>
      <c r="J22" s="80"/>
      <c r="K22" s="80"/>
      <c r="L22" s="80">
        <v>320</v>
      </c>
      <c r="M22" s="82"/>
      <c r="N22" s="80"/>
      <c r="O22" s="80">
        <v>280</v>
      </c>
      <c r="P22" s="80"/>
      <c r="Q22" s="80"/>
      <c r="R22" s="80">
        <v>400</v>
      </c>
      <c r="S22" s="82"/>
      <c r="T22" s="80"/>
      <c r="U22" s="80">
        <v>200</v>
      </c>
      <c r="V22" s="80"/>
      <c r="W22" s="80"/>
      <c r="X22" s="80">
        <v>320</v>
      </c>
      <c r="Y22" s="82"/>
      <c r="Z22" s="80"/>
      <c r="AA22" s="80">
        <v>300</v>
      </c>
      <c r="AB22" s="80"/>
      <c r="AC22" s="80"/>
      <c r="AE22" s="9">
        <f t="shared" si="0"/>
        <v>2020</v>
      </c>
      <c r="AF22" s="6">
        <v>581</v>
      </c>
      <c r="AG22" s="49">
        <f t="shared" si="1"/>
        <v>3.4767641996557659</v>
      </c>
    </row>
    <row r="23" spans="1:33">
      <c r="A23" s="23" t="s">
        <v>54</v>
      </c>
      <c r="B23" s="81"/>
      <c r="C23" s="80">
        <v>80</v>
      </c>
      <c r="D23" s="80"/>
      <c r="E23" s="80"/>
      <c r="F23" s="80"/>
      <c r="G23" s="82"/>
      <c r="H23" s="80"/>
      <c r="I23" s="80">
        <v>40</v>
      </c>
      <c r="J23" s="80"/>
      <c r="K23" s="80"/>
      <c r="L23" s="80"/>
      <c r="M23" s="82"/>
      <c r="N23" s="80"/>
      <c r="O23" s="80">
        <v>500</v>
      </c>
      <c r="P23" s="80"/>
      <c r="Q23" s="80"/>
      <c r="R23" s="80"/>
      <c r="S23" s="82"/>
      <c r="T23" s="80"/>
      <c r="U23" s="80">
        <v>180</v>
      </c>
      <c r="V23" s="80"/>
      <c r="W23" s="80"/>
      <c r="X23" s="80"/>
      <c r="Y23" s="82"/>
      <c r="Z23" s="80"/>
      <c r="AA23" s="80">
        <v>1580</v>
      </c>
      <c r="AB23" s="80"/>
      <c r="AC23" s="80"/>
      <c r="AE23" s="9">
        <f t="shared" si="0"/>
        <v>2380</v>
      </c>
      <c r="AF23" s="6">
        <v>707</v>
      </c>
      <c r="AG23" s="49">
        <f t="shared" si="1"/>
        <v>3.3663366336633662</v>
      </c>
    </row>
    <row r="24" spans="1:33">
      <c r="A24" s="25" t="s">
        <v>1</v>
      </c>
      <c r="B24" s="81"/>
      <c r="C24" s="80"/>
      <c r="D24" s="80"/>
      <c r="E24" s="80"/>
      <c r="F24" s="80"/>
      <c r="G24" s="82"/>
      <c r="H24" s="80">
        <v>360</v>
      </c>
      <c r="I24" s="80"/>
      <c r="J24" s="80"/>
      <c r="K24" s="80"/>
      <c r="L24" s="80"/>
      <c r="M24" s="82"/>
      <c r="N24" s="80">
        <v>260</v>
      </c>
      <c r="O24" s="80"/>
      <c r="P24" s="80"/>
      <c r="Q24" s="80"/>
      <c r="R24" s="80"/>
      <c r="S24" s="82"/>
      <c r="T24" s="80">
        <v>120</v>
      </c>
      <c r="U24" s="80"/>
      <c r="V24" s="80"/>
      <c r="W24" s="80"/>
      <c r="X24" s="80"/>
      <c r="Y24" s="82"/>
      <c r="Z24" s="80">
        <v>1940</v>
      </c>
      <c r="AA24" s="80"/>
      <c r="AB24" s="80"/>
      <c r="AC24" s="80"/>
      <c r="AE24" s="9">
        <f t="shared" si="0"/>
        <v>2680</v>
      </c>
      <c r="AF24" s="6">
        <v>807</v>
      </c>
      <c r="AG24" s="49">
        <f t="shared" si="1"/>
        <v>3.3209417596034698</v>
      </c>
    </row>
    <row r="25" spans="1:33">
      <c r="A25" s="23" t="s">
        <v>67</v>
      </c>
      <c r="B25" s="81"/>
      <c r="C25" s="80"/>
      <c r="D25" s="80"/>
      <c r="E25" s="80">
        <v>20</v>
      </c>
      <c r="F25" s="80"/>
      <c r="G25" s="82"/>
      <c r="H25" s="80"/>
      <c r="I25" s="80"/>
      <c r="J25" s="80"/>
      <c r="K25" s="80">
        <v>160</v>
      </c>
      <c r="L25" s="80"/>
      <c r="M25" s="82"/>
      <c r="N25" s="80"/>
      <c r="O25" s="80"/>
      <c r="P25" s="80"/>
      <c r="Q25" s="80">
        <v>160</v>
      </c>
      <c r="R25" s="80"/>
      <c r="S25" s="82"/>
      <c r="T25" s="80"/>
      <c r="U25" s="80"/>
      <c r="V25" s="80"/>
      <c r="W25" s="80"/>
      <c r="X25" s="80">
        <v>180</v>
      </c>
      <c r="Y25" s="82"/>
      <c r="Z25" s="80"/>
      <c r="AA25" s="80"/>
      <c r="AB25" s="80"/>
      <c r="AC25" s="80">
        <v>180</v>
      </c>
      <c r="AE25" s="9">
        <f t="shared" si="0"/>
        <v>700</v>
      </c>
      <c r="AF25" s="6">
        <v>213</v>
      </c>
      <c r="AG25" s="49">
        <f t="shared" si="1"/>
        <v>3.2863849765258215</v>
      </c>
    </row>
    <row r="26" spans="1:33">
      <c r="A26" s="23" t="s">
        <v>15</v>
      </c>
      <c r="B26" s="81"/>
      <c r="C26" s="80">
        <v>120</v>
      </c>
      <c r="D26" s="80"/>
      <c r="E26" s="80"/>
      <c r="F26" s="80"/>
      <c r="G26" s="82"/>
      <c r="H26" s="80">
        <v>280</v>
      </c>
      <c r="I26" s="80"/>
      <c r="J26" s="80"/>
      <c r="K26" s="80"/>
      <c r="L26" s="80"/>
      <c r="M26" s="82"/>
      <c r="N26" s="80">
        <v>240</v>
      </c>
      <c r="O26" s="80"/>
      <c r="P26" s="80"/>
      <c r="Q26" s="80"/>
      <c r="R26" s="80"/>
      <c r="S26" s="82"/>
      <c r="T26" s="80">
        <v>120</v>
      </c>
      <c r="U26" s="80"/>
      <c r="V26" s="80"/>
      <c r="W26" s="80"/>
      <c r="X26" s="80"/>
      <c r="Y26" s="82"/>
      <c r="Z26" s="80">
        <v>200</v>
      </c>
      <c r="AA26" s="80"/>
      <c r="AB26" s="80"/>
      <c r="AC26" s="80"/>
      <c r="AE26" s="9">
        <f t="shared" si="0"/>
        <v>960</v>
      </c>
      <c r="AF26" s="6">
        <v>302</v>
      </c>
      <c r="AG26" s="49">
        <f t="shared" si="1"/>
        <v>3.1788079470198674</v>
      </c>
    </row>
    <row r="27" spans="1:33">
      <c r="A27" s="23" t="s">
        <v>46</v>
      </c>
      <c r="B27" s="81"/>
      <c r="C27" s="80"/>
      <c r="D27" s="80"/>
      <c r="E27" s="80">
        <v>120</v>
      </c>
      <c r="F27" s="80"/>
      <c r="G27" s="82"/>
      <c r="H27" s="80"/>
      <c r="I27" s="80"/>
      <c r="J27" s="80"/>
      <c r="K27" s="80">
        <v>88</v>
      </c>
      <c r="L27" s="80"/>
      <c r="M27" s="82"/>
      <c r="N27" s="80"/>
      <c r="O27" s="80"/>
      <c r="P27" s="80"/>
      <c r="Q27" s="80">
        <v>180</v>
      </c>
      <c r="R27" s="80"/>
      <c r="S27" s="82"/>
      <c r="T27" s="80"/>
      <c r="U27" s="80"/>
      <c r="V27" s="80"/>
      <c r="W27" s="80"/>
      <c r="X27" s="80">
        <v>140</v>
      </c>
      <c r="Y27" s="82"/>
      <c r="Z27" s="80"/>
      <c r="AA27" s="80"/>
      <c r="AB27" s="80"/>
      <c r="AC27" s="80">
        <v>340</v>
      </c>
      <c r="AE27" s="9">
        <f t="shared" si="0"/>
        <v>868</v>
      </c>
      <c r="AF27" s="6">
        <v>274</v>
      </c>
      <c r="AG27" s="49">
        <f t="shared" si="1"/>
        <v>3.167883211678832</v>
      </c>
    </row>
    <row r="28" spans="1:33">
      <c r="A28" s="23" t="s">
        <v>55</v>
      </c>
      <c r="B28" s="81"/>
      <c r="C28" s="80"/>
      <c r="D28" s="80"/>
      <c r="E28" s="80">
        <v>120</v>
      </c>
      <c r="F28" s="80"/>
      <c r="G28" s="82"/>
      <c r="H28" s="80">
        <v>320</v>
      </c>
      <c r="I28" s="80"/>
      <c r="J28" s="80"/>
      <c r="K28" s="80">
        <v>280</v>
      </c>
      <c r="L28" s="80"/>
      <c r="M28" s="82"/>
      <c r="N28" s="80">
        <v>260</v>
      </c>
      <c r="O28" s="80"/>
      <c r="P28" s="80"/>
      <c r="Q28" s="80">
        <v>320</v>
      </c>
      <c r="R28" s="80"/>
      <c r="S28" s="82"/>
      <c r="T28" s="80">
        <v>40</v>
      </c>
      <c r="U28" s="80"/>
      <c r="V28" s="80"/>
      <c r="W28" s="80"/>
      <c r="X28" s="80">
        <v>280</v>
      </c>
      <c r="Y28" s="82"/>
      <c r="Z28" s="80">
        <v>100</v>
      </c>
      <c r="AA28" s="80"/>
      <c r="AB28" s="80"/>
      <c r="AC28" s="80">
        <v>360</v>
      </c>
      <c r="AE28" s="9">
        <f t="shared" si="0"/>
        <v>2080</v>
      </c>
      <c r="AF28" s="6">
        <v>695</v>
      </c>
      <c r="AG28" s="49">
        <f t="shared" si="1"/>
        <v>2.9928057553956835</v>
      </c>
    </row>
    <row r="29" spans="1:33">
      <c r="A29" s="23" t="s">
        <v>10</v>
      </c>
      <c r="B29" s="81"/>
      <c r="C29" s="80"/>
      <c r="D29" s="80"/>
      <c r="E29" s="80">
        <v>400</v>
      </c>
      <c r="F29" s="80"/>
      <c r="G29" s="82"/>
      <c r="H29" s="80"/>
      <c r="I29" s="80"/>
      <c r="J29" s="80"/>
      <c r="K29" s="80">
        <v>300</v>
      </c>
      <c r="L29" s="80"/>
      <c r="M29" s="82"/>
      <c r="N29" s="80"/>
      <c r="O29" s="80"/>
      <c r="P29" s="80"/>
      <c r="Q29" s="80">
        <v>300</v>
      </c>
      <c r="R29" s="80"/>
      <c r="S29" s="82"/>
      <c r="T29" s="80"/>
      <c r="U29" s="80"/>
      <c r="V29" s="80"/>
      <c r="W29" s="80"/>
      <c r="X29" s="80">
        <v>260</v>
      </c>
      <c r="Y29" s="82"/>
      <c r="Z29" s="80"/>
      <c r="AA29" s="80"/>
      <c r="AB29" s="80"/>
      <c r="AC29" s="80">
        <v>320</v>
      </c>
      <c r="AE29" s="9">
        <f t="shared" si="0"/>
        <v>1580</v>
      </c>
      <c r="AF29" s="6">
        <v>541</v>
      </c>
      <c r="AG29" s="49">
        <f t="shared" si="1"/>
        <v>2.9205175600739373</v>
      </c>
    </row>
    <row r="30" spans="1:33">
      <c r="A30" s="24" t="s">
        <v>26</v>
      </c>
      <c r="B30" s="81"/>
      <c r="C30" s="80"/>
      <c r="D30" s="80"/>
      <c r="E30" s="80">
        <v>500</v>
      </c>
      <c r="F30" s="80"/>
      <c r="G30" s="82"/>
      <c r="H30" s="80">
        <v>320</v>
      </c>
      <c r="I30" s="80"/>
      <c r="J30" s="80"/>
      <c r="K30" s="80">
        <v>100</v>
      </c>
      <c r="L30" s="80"/>
      <c r="M30" s="82"/>
      <c r="N30" s="80">
        <v>140</v>
      </c>
      <c r="O30" s="80"/>
      <c r="P30" s="80"/>
      <c r="Q30" s="80">
        <v>180</v>
      </c>
      <c r="R30" s="80"/>
      <c r="S30" s="82"/>
      <c r="T30" s="80">
        <v>160</v>
      </c>
      <c r="U30" s="80"/>
      <c r="V30" s="80"/>
      <c r="W30" s="80"/>
      <c r="X30" s="80">
        <v>160</v>
      </c>
      <c r="Y30" s="82"/>
      <c r="Z30" s="80">
        <v>800</v>
      </c>
      <c r="AA30" s="80"/>
      <c r="AB30" s="80"/>
      <c r="AC30" s="80">
        <v>120</v>
      </c>
      <c r="AE30" s="9">
        <f t="shared" si="0"/>
        <v>2480</v>
      </c>
      <c r="AF30" s="6">
        <v>859</v>
      </c>
      <c r="AG30" s="49">
        <f t="shared" si="1"/>
        <v>2.8870779976717111</v>
      </c>
    </row>
    <row r="31" spans="1:33">
      <c r="A31" s="25" t="s">
        <v>22</v>
      </c>
      <c r="B31" s="81"/>
      <c r="C31" s="80"/>
      <c r="D31" s="80">
        <v>220</v>
      </c>
      <c r="E31" s="80"/>
      <c r="F31" s="80">
        <v>140</v>
      </c>
      <c r="G31" s="82"/>
      <c r="H31" s="80">
        <v>400</v>
      </c>
      <c r="I31" s="80"/>
      <c r="J31" s="80">
        <v>320</v>
      </c>
      <c r="K31" s="80"/>
      <c r="L31" s="80">
        <v>240</v>
      </c>
      <c r="M31" s="82"/>
      <c r="N31" s="80">
        <v>340</v>
      </c>
      <c r="O31" s="80"/>
      <c r="P31" s="80">
        <v>280</v>
      </c>
      <c r="Q31" s="80"/>
      <c r="R31" s="80">
        <v>140</v>
      </c>
      <c r="S31" s="82"/>
      <c r="T31" s="80">
        <v>260</v>
      </c>
      <c r="U31" s="80"/>
      <c r="V31" s="80">
        <v>220</v>
      </c>
      <c r="W31" s="80"/>
      <c r="X31" s="80">
        <v>120</v>
      </c>
      <c r="Y31" s="82"/>
      <c r="Z31" s="80">
        <v>100</v>
      </c>
      <c r="AA31" s="80"/>
      <c r="AB31" s="80">
        <v>1740</v>
      </c>
      <c r="AC31" s="80"/>
      <c r="AE31" s="9">
        <f t="shared" si="0"/>
        <v>4520</v>
      </c>
      <c r="AF31" s="6">
        <v>1609</v>
      </c>
      <c r="AG31" s="49">
        <f t="shared" si="1"/>
        <v>2.8091982597886886</v>
      </c>
    </row>
    <row r="32" spans="1:33">
      <c r="A32" s="23" t="s">
        <v>57</v>
      </c>
      <c r="B32" s="81"/>
      <c r="C32" s="80"/>
      <c r="D32" s="80"/>
      <c r="E32" s="80">
        <v>180</v>
      </c>
      <c r="F32" s="80"/>
      <c r="G32" s="82"/>
      <c r="H32" s="80">
        <v>280</v>
      </c>
      <c r="I32" s="80"/>
      <c r="J32" s="80"/>
      <c r="K32" s="80">
        <v>180</v>
      </c>
      <c r="L32" s="80"/>
      <c r="M32" s="82"/>
      <c r="N32" s="80">
        <v>200</v>
      </c>
      <c r="O32" s="80"/>
      <c r="P32" s="80"/>
      <c r="Q32" s="80">
        <v>180</v>
      </c>
      <c r="R32" s="80"/>
      <c r="S32" s="82"/>
      <c r="T32" s="80">
        <v>60</v>
      </c>
      <c r="U32" s="80"/>
      <c r="V32" s="80"/>
      <c r="W32" s="80"/>
      <c r="X32" s="80">
        <v>100</v>
      </c>
      <c r="Y32" s="82"/>
      <c r="Z32" s="80">
        <v>160</v>
      </c>
      <c r="AA32" s="80"/>
      <c r="AB32" s="80"/>
      <c r="AC32" s="80">
        <v>80</v>
      </c>
      <c r="AE32" s="9">
        <f t="shared" si="0"/>
        <v>1420</v>
      </c>
      <c r="AF32" s="6">
        <v>563</v>
      </c>
      <c r="AG32" s="49">
        <f t="shared" si="1"/>
        <v>2.5222024866785078</v>
      </c>
    </row>
    <row r="33" spans="1:33">
      <c r="A33" s="24" t="s">
        <v>2</v>
      </c>
      <c r="B33" s="81"/>
      <c r="C33" s="80"/>
      <c r="D33" s="80"/>
      <c r="E33" s="80">
        <v>120</v>
      </c>
      <c r="F33" s="80"/>
      <c r="G33" s="82"/>
      <c r="H33" s="80">
        <v>180</v>
      </c>
      <c r="I33" s="80"/>
      <c r="J33" s="80"/>
      <c r="K33" s="80">
        <v>140</v>
      </c>
      <c r="L33" s="80"/>
      <c r="M33" s="82"/>
      <c r="N33" s="80">
        <v>100</v>
      </c>
      <c r="O33" s="80"/>
      <c r="P33" s="80"/>
      <c r="Q33" s="80">
        <v>160</v>
      </c>
      <c r="R33" s="80"/>
      <c r="S33" s="82"/>
      <c r="T33" s="80">
        <v>380</v>
      </c>
      <c r="U33" s="80"/>
      <c r="V33" s="80"/>
      <c r="W33" s="80"/>
      <c r="X33" s="80">
        <v>80</v>
      </c>
      <c r="Y33" s="82"/>
      <c r="Z33" s="80">
        <v>140</v>
      </c>
      <c r="AA33" s="80"/>
      <c r="AB33" s="80"/>
      <c r="AC33" s="80">
        <v>220</v>
      </c>
      <c r="AE33" s="9">
        <f t="shared" si="0"/>
        <v>1520</v>
      </c>
      <c r="AF33" s="6">
        <v>604</v>
      </c>
      <c r="AG33" s="49">
        <f t="shared" si="1"/>
        <v>2.5165562913907285</v>
      </c>
    </row>
    <row r="34" spans="1:33">
      <c r="A34" s="25" t="s">
        <v>25</v>
      </c>
      <c r="B34" s="81"/>
      <c r="C34" s="80"/>
      <c r="D34" s="80"/>
      <c r="E34" s="80">
        <v>120</v>
      </c>
      <c r="F34" s="80"/>
      <c r="G34" s="82"/>
      <c r="H34" s="80">
        <v>80</v>
      </c>
      <c r="I34" s="80"/>
      <c r="J34" s="80"/>
      <c r="K34" s="80">
        <v>280</v>
      </c>
      <c r="L34" s="80"/>
      <c r="M34" s="82"/>
      <c r="N34" s="80">
        <v>380</v>
      </c>
      <c r="O34" s="80"/>
      <c r="P34" s="80"/>
      <c r="Q34" s="80">
        <v>280</v>
      </c>
      <c r="R34" s="80"/>
      <c r="S34" s="82"/>
      <c r="T34" s="80">
        <v>980</v>
      </c>
      <c r="U34" s="80"/>
      <c r="V34" s="80"/>
      <c r="W34" s="80"/>
      <c r="X34" s="80">
        <v>580</v>
      </c>
      <c r="Y34" s="82"/>
      <c r="Z34" s="80">
        <v>40</v>
      </c>
      <c r="AA34" s="80"/>
      <c r="AB34" s="80"/>
      <c r="AC34" s="80">
        <v>320</v>
      </c>
      <c r="AE34" s="9">
        <f t="shared" si="0"/>
        <v>3060</v>
      </c>
      <c r="AF34" s="6">
        <v>1227</v>
      </c>
      <c r="AG34" s="49">
        <f t="shared" si="1"/>
        <v>2.4938875305623474</v>
      </c>
    </row>
    <row r="35" spans="1:33">
      <c r="A35" s="23" t="s">
        <v>56</v>
      </c>
      <c r="B35" s="81"/>
      <c r="C35" s="80"/>
      <c r="D35" s="80"/>
      <c r="E35" s="80">
        <v>80</v>
      </c>
      <c r="F35" s="80"/>
      <c r="G35" s="82"/>
      <c r="H35" s="80"/>
      <c r="I35" s="80"/>
      <c r="J35" s="80"/>
      <c r="K35" s="80">
        <v>80</v>
      </c>
      <c r="L35" s="80"/>
      <c r="M35" s="82"/>
      <c r="N35" s="80"/>
      <c r="O35" s="80"/>
      <c r="P35" s="80"/>
      <c r="Q35" s="80">
        <v>80</v>
      </c>
      <c r="R35" s="80"/>
      <c r="S35" s="82"/>
      <c r="T35" s="80"/>
      <c r="U35" s="80"/>
      <c r="V35" s="80"/>
      <c r="W35" s="80">
        <v>100</v>
      </c>
      <c r="X35" s="80"/>
      <c r="Y35" s="82"/>
      <c r="Z35" s="80"/>
      <c r="AA35" s="80"/>
      <c r="AB35" s="80"/>
      <c r="AC35" s="80">
        <v>40</v>
      </c>
      <c r="AE35" s="9">
        <f t="shared" si="0"/>
        <v>380</v>
      </c>
      <c r="AF35" s="6">
        <v>157</v>
      </c>
      <c r="AG35" s="49">
        <f t="shared" si="1"/>
        <v>2.4203821656050954</v>
      </c>
    </row>
    <row r="36" spans="1:33">
      <c r="A36" s="23" t="s">
        <v>51</v>
      </c>
      <c r="B36" s="81"/>
      <c r="C36" s="80"/>
      <c r="D36" s="80"/>
      <c r="E36" s="80">
        <v>60</v>
      </c>
      <c r="F36" s="80"/>
      <c r="G36" s="82"/>
      <c r="H36" s="80"/>
      <c r="I36" s="80"/>
      <c r="J36" s="80"/>
      <c r="K36" s="80">
        <v>220</v>
      </c>
      <c r="L36" s="80"/>
      <c r="M36" s="82"/>
      <c r="N36" s="80"/>
      <c r="O36" s="80"/>
      <c r="P36" s="80"/>
      <c r="Q36" s="80">
        <v>140</v>
      </c>
      <c r="R36" s="80"/>
      <c r="S36" s="82"/>
      <c r="T36" s="80"/>
      <c r="U36" s="80">
        <v>120</v>
      </c>
      <c r="V36" s="80"/>
      <c r="W36" s="80"/>
      <c r="X36" s="80"/>
      <c r="Y36" s="82"/>
      <c r="Z36" s="80"/>
      <c r="AA36" s="80"/>
      <c r="AB36" s="80"/>
      <c r="AC36" s="80">
        <v>460</v>
      </c>
      <c r="AE36" s="9">
        <f t="shared" si="0"/>
        <v>1000</v>
      </c>
      <c r="AF36" s="6">
        <v>419</v>
      </c>
      <c r="AG36" s="49">
        <f t="shared" si="1"/>
        <v>2.3866348448687349</v>
      </c>
    </row>
    <row r="37" spans="1:33">
      <c r="A37" s="24" t="s">
        <v>0</v>
      </c>
      <c r="B37" s="81"/>
      <c r="C37" s="80"/>
      <c r="D37" s="80"/>
      <c r="E37" s="80">
        <v>200</v>
      </c>
      <c r="F37" s="80"/>
      <c r="G37" s="82"/>
      <c r="H37" s="80">
        <v>560</v>
      </c>
      <c r="I37" s="80"/>
      <c r="J37" s="80"/>
      <c r="K37" s="80">
        <v>320</v>
      </c>
      <c r="L37" s="80"/>
      <c r="M37" s="82"/>
      <c r="N37" s="80">
        <v>120</v>
      </c>
      <c r="O37" s="80"/>
      <c r="P37" s="80"/>
      <c r="Q37" s="80">
        <v>60</v>
      </c>
      <c r="R37" s="80"/>
      <c r="S37" s="82"/>
      <c r="T37" s="80">
        <v>60</v>
      </c>
      <c r="U37" s="80"/>
      <c r="V37" s="80"/>
      <c r="W37" s="80"/>
      <c r="X37" s="80">
        <v>60</v>
      </c>
      <c r="Y37" s="82"/>
      <c r="Z37" s="80">
        <v>160</v>
      </c>
      <c r="AA37" s="80"/>
      <c r="AB37" s="80"/>
      <c r="AC37" s="80">
        <v>340</v>
      </c>
      <c r="AE37" s="9">
        <f t="shared" si="0"/>
        <v>1880</v>
      </c>
      <c r="AF37" s="6">
        <v>797</v>
      </c>
      <c r="AG37" s="49">
        <f t="shared" si="1"/>
        <v>2.3588456712672521</v>
      </c>
    </row>
    <row r="38" spans="1:33">
      <c r="A38" s="23" t="s">
        <v>49</v>
      </c>
      <c r="B38" s="81"/>
      <c r="C38" s="80"/>
      <c r="D38" s="80"/>
      <c r="E38" s="80"/>
      <c r="F38" s="80"/>
      <c r="G38" s="82"/>
      <c r="H38" s="80">
        <v>300</v>
      </c>
      <c r="I38" s="80"/>
      <c r="J38" s="80"/>
      <c r="K38" s="80"/>
      <c r="L38" s="80"/>
      <c r="M38" s="82"/>
      <c r="N38" s="80">
        <v>320</v>
      </c>
      <c r="O38" s="80"/>
      <c r="P38" s="80"/>
      <c r="Q38" s="80"/>
      <c r="R38" s="80"/>
      <c r="S38" s="82"/>
      <c r="T38" s="80">
        <v>400</v>
      </c>
      <c r="U38" s="80"/>
      <c r="V38" s="80"/>
      <c r="W38" s="80"/>
      <c r="X38" s="80"/>
      <c r="Y38" s="82"/>
      <c r="Z38" s="80">
        <v>240</v>
      </c>
      <c r="AA38" s="80"/>
      <c r="AB38" s="80"/>
      <c r="AC38" s="80"/>
      <c r="AE38" s="9">
        <f t="shared" ref="AE38:AE67" si="2">SUM(B38:AD38)</f>
        <v>1260</v>
      </c>
      <c r="AF38" s="6">
        <v>537</v>
      </c>
      <c r="AG38" s="49">
        <f t="shared" ref="AG38:AG67" si="3">AE38/AF38</f>
        <v>2.3463687150837989</v>
      </c>
    </row>
    <row r="39" spans="1:33">
      <c r="A39" s="23" t="s">
        <v>43</v>
      </c>
      <c r="B39" s="81"/>
      <c r="C39" s="80"/>
      <c r="D39" s="80"/>
      <c r="E39" s="80"/>
      <c r="F39" s="80">
        <v>240</v>
      </c>
      <c r="G39" s="82"/>
      <c r="H39" s="80"/>
      <c r="I39" s="80"/>
      <c r="J39" s="80"/>
      <c r="K39" s="80"/>
      <c r="L39" s="80">
        <v>320</v>
      </c>
      <c r="M39" s="82"/>
      <c r="N39" s="80"/>
      <c r="O39" s="80"/>
      <c r="P39" s="80"/>
      <c r="Q39" s="80"/>
      <c r="R39" s="80">
        <v>360</v>
      </c>
      <c r="S39" s="82"/>
      <c r="T39" s="80"/>
      <c r="U39" s="80"/>
      <c r="V39" s="80"/>
      <c r="W39" s="80"/>
      <c r="X39" s="80">
        <v>180</v>
      </c>
      <c r="Y39" s="82"/>
      <c r="Z39" s="80"/>
      <c r="AA39" s="80"/>
      <c r="AB39" s="80"/>
      <c r="AC39" s="80"/>
      <c r="AE39" s="9">
        <f t="shared" si="2"/>
        <v>1100</v>
      </c>
      <c r="AF39" s="6">
        <v>469</v>
      </c>
      <c r="AG39" s="49">
        <f t="shared" si="3"/>
        <v>2.3454157782515992</v>
      </c>
    </row>
    <row r="40" spans="1:33">
      <c r="A40" s="24" t="s">
        <v>27</v>
      </c>
      <c r="B40" s="81"/>
      <c r="C40" s="80">
        <v>200</v>
      </c>
      <c r="D40" s="80"/>
      <c r="E40" s="80"/>
      <c r="F40" s="80">
        <v>140</v>
      </c>
      <c r="G40" s="82"/>
      <c r="H40" s="80"/>
      <c r="I40" s="80">
        <v>180</v>
      </c>
      <c r="J40" s="80"/>
      <c r="K40" s="80"/>
      <c r="L40" s="80">
        <v>160</v>
      </c>
      <c r="M40" s="82"/>
      <c r="N40" s="80"/>
      <c r="O40" s="80">
        <v>100</v>
      </c>
      <c r="P40" s="80"/>
      <c r="Q40" s="80"/>
      <c r="R40" s="80">
        <v>360</v>
      </c>
      <c r="S40" s="82"/>
      <c r="T40" s="80"/>
      <c r="U40" s="80">
        <v>660</v>
      </c>
      <c r="V40" s="80"/>
      <c r="W40" s="80"/>
      <c r="X40" s="80">
        <v>280</v>
      </c>
      <c r="Y40" s="82"/>
      <c r="Z40" s="80"/>
      <c r="AA40" s="80">
        <v>120</v>
      </c>
      <c r="AB40" s="80"/>
      <c r="AC40" s="80"/>
      <c r="AE40" s="9">
        <f t="shared" si="2"/>
        <v>2200</v>
      </c>
      <c r="AF40" s="6">
        <v>954</v>
      </c>
      <c r="AG40" s="49">
        <f t="shared" si="3"/>
        <v>2.3060796645702304</v>
      </c>
    </row>
    <row r="41" spans="1:33">
      <c r="A41" s="25" t="s">
        <v>13</v>
      </c>
      <c r="B41" s="81"/>
      <c r="C41" s="80"/>
      <c r="D41" s="80"/>
      <c r="E41" s="80">
        <v>120</v>
      </c>
      <c r="F41" s="80"/>
      <c r="G41" s="82"/>
      <c r="H41" s="80">
        <v>240</v>
      </c>
      <c r="I41" s="80"/>
      <c r="J41" s="80"/>
      <c r="K41" s="80">
        <v>240</v>
      </c>
      <c r="L41" s="80"/>
      <c r="M41" s="82"/>
      <c r="N41" s="80">
        <v>220</v>
      </c>
      <c r="O41" s="80"/>
      <c r="P41" s="80"/>
      <c r="Q41" s="80">
        <v>200</v>
      </c>
      <c r="R41" s="80"/>
      <c r="S41" s="82"/>
      <c r="T41" s="80">
        <v>1160</v>
      </c>
      <c r="U41" s="80"/>
      <c r="V41" s="80"/>
      <c r="W41" s="80"/>
      <c r="X41" s="80">
        <v>280</v>
      </c>
      <c r="Y41" s="82"/>
      <c r="Z41" s="80">
        <v>80</v>
      </c>
      <c r="AA41" s="80"/>
      <c r="AB41" s="80"/>
      <c r="AC41" s="80">
        <v>380</v>
      </c>
      <c r="AE41" s="9">
        <f t="shared" si="2"/>
        <v>2920</v>
      </c>
      <c r="AF41" s="6">
        <v>1274</v>
      </c>
      <c r="AG41" s="49">
        <f t="shared" si="3"/>
        <v>2.2919937205651491</v>
      </c>
    </row>
    <row r="42" spans="1:33">
      <c r="A42" s="24" t="s">
        <v>9</v>
      </c>
      <c r="B42" s="81"/>
      <c r="C42" s="80"/>
      <c r="D42" s="80"/>
      <c r="E42" s="80">
        <v>20</v>
      </c>
      <c r="F42" s="80"/>
      <c r="G42" s="82"/>
      <c r="H42" s="80">
        <v>200</v>
      </c>
      <c r="I42" s="80"/>
      <c r="J42" s="80"/>
      <c r="K42" s="80">
        <v>160</v>
      </c>
      <c r="L42" s="80"/>
      <c r="M42" s="82"/>
      <c r="N42" s="80">
        <v>120</v>
      </c>
      <c r="O42" s="80"/>
      <c r="P42" s="80"/>
      <c r="Q42" s="80">
        <v>200</v>
      </c>
      <c r="R42" s="80"/>
      <c r="S42" s="82"/>
      <c r="T42" s="80">
        <v>480</v>
      </c>
      <c r="U42" s="80"/>
      <c r="V42" s="80"/>
      <c r="W42" s="80"/>
      <c r="X42" s="80">
        <v>120</v>
      </c>
      <c r="Y42" s="82"/>
      <c r="Z42" s="80">
        <v>220</v>
      </c>
      <c r="AA42" s="80"/>
      <c r="AB42" s="80"/>
      <c r="AC42" s="80">
        <v>560</v>
      </c>
      <c r="AE42" s="9">
        <f t="shared" si="2"/>
        <v>2080</v>
      </c>
      <c r="AF42" s="6">
        <v>914</v>
      </c>
      <c r="AG42" s="49">
        <f t="shared" si="3"/>
        <v>2.2757111597374178</v>
      </c>
    </row>
    <row r="43" spans="1:33">
      <c r="A43" s="23" t="s">
        <v>44</v>
      </c>
      <c r="B43" s="81"/>
      <c r="C43" s="80">
        <v>480</v>
      </c>
      <c r="D43" s="80"/>
      <c r="E43" s="80"/>
      <c r="F43" s="80">
        <v>100</v>
      </c>
      <c r="G43" s="82"/>
      <c r="H43" s="80"/>
      <c r="I43" s="80">
        <v>400</v>
      </c>
      <c r="J43" s="80"/>
      <c r="K43" s="80"/>
      <c r="L43" s="80">
        <v>260</v>
      </c>
      <c r="M43" s="82"/>
      <c r="N43" s="80"/>
      <c r="O43" s="80">
        <v>180</v>
      </c>
      <c r="P43" s="80"/>
      <c r="Q43" s="80"/>
      <c r="R43" s="80">
        <v>340</v>
      </c>
      <c r="S43" s="82"/>
      <c r="T43" s="80"/>
      <c r="U43" s="80">
        <v>260</v>
      </c>
      <c r="V43" s="80"/>
      <c r="W43" s="80"/>
      <c r="X43" s="80">
        <v>140</v>
      </c>
      <c r="Y43" s="82"/>
      <c r="Z43" s="80"/>
      <c r="AA43" s="80">
        <v>80</v>
      </c>
      <c r="AB43" s="80"/>
      <c r="AC43" s="80"/>
      <c r="AE43" s="9">
        <f t="shared" si="2"/>
        <v>2240</v>
      </c>
      <c r="AF43" s="6">
        <v>998</v>
      </c>
      <c r="AG43" s="49">
        <f t="shared" si="3"/>
        <v>2.2444889779559118</v>
      </c>
    </row>
    <row r="44" spans="1:33">
      <c r="A44" s="24" t="s">
        <v>11</v>
      </c>
      <c r="B44" s="81"/>
      <c r="C44" s="80">
        <v>180</v>
      </c>
      <c r="D44" s="80"/>
      <c r="E44" s="80"/>
      <c r="F44" s="80">
        <v>180</v>
      </c>
      <c r="G44" s="82"/>
      <c r="H44" s="80"/>
      <c r="I44" s="80">
        <v>340</v>
      </c>
      <c r="J44" s="80"/>
      <c r="K44" s="80"/>
      <c r="L44" s="80">
        <v>160</v>
      </c>
      <c r="M44" s="82"/>
      <c r="N44" s="80"/>
      <c r="O44" s="80">
        <v>120</v>
      </c>
      <c r="P44" s="80"/>
      <c r="Q44" s="80"/>
      <c r="R44" s="80">
        <v>360</v>
      </c>
      <c r="S44" s="82"/>
      <c r="T44" s="80"/>
      <c r="U44" s="80">
        <v>100</v>
      </c>
      <c r="V44" s="80"/>
      <c r="W44" s="80"/>
      <c r="X44" s="80">
        <v>200</v>
      </c>
      <c r="Y44" s="82"/>
      <c r="Z44" s="80"/>
      <c r="AA44" s="80">
        <v>180</v>
      </c>
      <c r="AB44" s="80"/>
      <c r="AC44" s="80"/>
      <c r="AE44" s="9">
        <f t="shared" si="2"/>
        <v>1820</v>
      </c>
      <c r="AF44" s="6">
        <v>816</v>
      </c>
      <c r="AG44" s="49">
        <f t="shared" si="3"/>
        <v>2.2303921568627452</v>
      </c>
    </row>
    <row r="45" spans="1:33">
      <c r="A45" s="23" t="s">
        <v>45</v>
      </c>
      <c r="B45" s="81"/>
      <c r="C45" s="80"/>
      <c r="D45" s="80"/>
      <c r="E45" s="80"/>
      <c r="F45" s="80">
        <v>220</v>
      </c>
      <c r="G45" s="82"/>
      <c r="H45" s="80"/>
      <c r="I45" s="80"/>
      <c r="J45" s="80"/>
      <c r="K45" s="80"/>
      <c r="L45" s="80">
        <v>120</v>
      </c>
      <c r="M45" s="82"/>
      <c r="N45" s="80"/>
      <c r="O45" s="80"/>
      <c r="P45" s="80"/>
      <c r="Q45" s="80"/>
      <c r="R45" s="80">
        <v>380</v>
      </c>
      <c r="S45" s="82"/>
      <c r="T45" s="80"/>
      <c r="U45" s="80"/>
      <c r="V45" s="80"/>
      <c r="W45" s="80"/>
      <c r="X45" s="80">
        <v>260</v>
      </c>
      <c r="Y45" s="82"/>
      <c r="Z45" s="80"/>
      <c r="AA45" s="80"/>
      <c r="AB45" s="80"/>
      <c r="AC45" s="80"/>
      <c r="AE45" s="9">
        <f t="shared" si="2"/>
        <v>980</v>
      </c>
      <c r="AF45" s="6">
        <v>442</v>
      </c>
      <c r="AG45" s="49">
        <f t="shared" si="3"/>
        <v>2.2171945701357467</v>
      </c>
    </row>
    <row r="46" spans="1:33">
      <c r="A46" s="23" t="s">
        <v>53</v>
      </c>
      <c r="B46" s="81"/>
      <c r="C46" s="80">
        <v>360</v>
      </c>
      <c r="D46" s="80"/>
      <c r="E46" s="80"/>
      <c r="F46" s="80"/>
      <c r="G46" s="82"/>
      <c r="H46" s="80"/>
      <c r="I46" s="80">
        <v>340</v>
      </c>
      <c r="J46" s="80"/>
      <c r="K46" s="80"/>
      <c r="L46" s="80"/>
      <c r="M46" s="82"/>
      <c r="N46" s="80"/>
      <c r="O46" s="80">
        <v>340</v>
      </c>
      <c r="P46" s="80"/>
      <c r="Q46" s="80"/>
      <c r="R46" s="80"/>
      <c r="S46" s="82"/>
      <c r="T46" s="80"/>
      <c r="U46" s="80">
        <v>340</v>
      </c>
      <c r="V46" s="80"/>
      <c r="W46" s="80"/>
      <c r="X46" s="80"/>
      <c r="Y46" s="82"/>
      <c r="Z46" s="80"/>
      <c r="AA46" s="80">
        <v>480</v>
      </c>
      <c r="AB46" s="80"/>
      <c r="AC46" s="80"/>
      <c r="AE46" s="9">
        <f t="shared" si="2"/>
        <v>1860</v>
      </c>
      <c r="AF46" s="6">
        <v>846</v>
      </c>
      <c r="AG46" s="49">
        <f t="shared" si="3"/>
        <v>2.1985815602836878</v>
      </c>
    </row>
    <row r="47" spans="1:33">
      <c r="A47" s="23" t="s">
        <v>42</v>
      </c>
      <c r="B47" s="81"/>
      <c r="C47" s="80"/>
      <c r="D47" s="80"/>
      <c r="E47" s="80">
        <v>60</v>
      </c>
      <c r="F47" s="80"/>
      <c r="G47" s="82"/>
      <c r="H47" s="80"/>
      <c r="I47" s="80"/>
      <c r="J47" s="80"/>
      <c r="K47" s="80">
        <v>420</v>
      </c>
      <c r="L47" s="80"/>
      <c r="M47" s="82"/>
      <c r="N47" s="80"/>
      <c r="O47" s="80"/>
      <c r="P47" s="80"/>
      <c r="Q47" s="80">
        <v>420</v>
      </c>
      <c r="R47" s="80"/>
      <c r="S47" s="82"/>
      <c r="T47" s="80"/>
      <c r="U47" s="80"/>
      <c r="V47" s="80"/>
      <c r="W47" s="80"/>
      <c r="X47" s="80">
        <v>240</v>
      </c>
      <c r="Y47" s="82"/>
      <c r="Z47" s="80"/>
      <c r="AA47" s="80"/>
      <c r="AB47" s="80"/>
      <c r="AC47" s="80">
        <v>420</v>
      </c>
      <c r="AE47" s="9">
        <f t="shared" si="2"/>
        <v>1560</v>
      </c>
      <c r="AF47" s="6">
        <v>713</v>
      </c>
      <c r="AG47" s="49">
        <f t="shared" si="3"/>
        <v>2.1879382889200563</v>
      </c>
    </row>
    <row r="48" spans="1:33">
      <c r="A48" s="23" t="s">
        <v>69</v>
      </c>
      <c r="B48" s="81"/>
      <c r="C48" s="80"/>
      <c r="D48" s="80"/>
      <c r="E48" s="80">
        <v>20</v>
      </c>
      <c r="F48" s="80"/>
      <c r="G48" s="82"/>
      <c r="H48" s="80"/>
      <c r="I48" s="80"/>
      <c r="J48" s="80"/>
      <c r="K48" s="80">
        <v>100</v>
      </c>
      <c r="L48" s="80"/>
      <c r="M48" s="82"/>
      <c r="N48" s="80"/>
      <c r="O48" s="80"/>
      <c r="P48" s="80"/>
      <c r="Q48" s="80">
        <v>20</v>
      </c>
      <c r="R48" s="80"/>
      <c r="S48" s="82"/>
      <c r="T48" s="80"/>
      <c r="U48" s="80"/>
      <c r="V48" s="80"/>
      <c r="W48" s="80"/>
      <c r="X48" s="80">
        <v>120</v>
      </c>
      <c r="Y48" s="82"/>
      <c r="Z48" s="80"/>
      <c r="AA48" s="80"/>
      <c r="AB48" s="80"/>
      <c r="AC48" s="80">
        <v>100</v>
      </c>
      <c r="AE48" s="9">
        <f t="shared" si="2"/>
        <v>360</v>
      </c>
      <c r="AF48" s="6">
        <v>166</v>
      </c>
      <c r="AG48" s="49">
        <f t="shared" si="3"/>
        <v>2.1686746987951806</v>
      </c>
    </row>
    <row r="49" spans="1:33">
      <c r="A49" s="23" t="s">
        <v>65</v>
      </c>
      <c r="B49" s="81"/>
      <c r="C49" s="80"/>
      <c r="D49" s="80"/>
      <c r="E49" s="80"/>
      <c r="F49" s="80"/>
      <c r="G49" s="82"/>
      <c r="H49" s="80">
        <v>380</v>
      </c>
      <c r="I49" s="80"/>
      <c r="J49" s="80"/>
      <c r="K49" s="80"/>
      <c r="L49" s="80"/>
      <c r="M49" s="82"/>
      <c r="N49" s="80">
        <v>260</v>
      </c>
      <c r="O49" s="80"/>
      <c r="P49" s="80"/>
      <c r="Q49" s="80"/>
      <c r="R49" s="80"/>
      <c r="S49" s="82"/>
      <c r="T49" s="80">
        <v>660</v>
      </c>
      <c r="U49" s="80"/>
      <c r="V49" s="80"/>
      <c r="W49" s="80"/>
      <c r="X49" s="80"/>
      <c r="Y49" s="82"/>
      <c r="Z49" s="80">
        <v>440</v>
      </c>
      <c r="AA49" s="80"/>
      <c r="AB49" s="80"/>
      <c r="AC49" s="80"/>
      <c r="AE49" s="9">
        <f t="shared" si="2"/>
        <v>1740</v>
      </c>
      <c r="AF49" s="6">
        <v>865</v>
      </c>
      <c r="AG49" s="49">
        <f t="shared" si="3"/>
        <v>2.0115606936416186</v>
      </c>
    </row>
    <row r="50" spans="1:33">
      <c r="A50" s="25" t="s">
        <v>3</v>
      </c>
      <c r="B50" s="81"/>
      <c r="C50" s="80"/>
      <c r="D50" s="80"/>
      <c r="E50" s="80">
        <v>40</v>
      </c>
      <c r="F50" s="80"/>
      <c r="G50" s="82"/>
      <c r="H50" s="80">
        <v>160</v>
      </c>
      <c r="I50" s="80"/>
      <c r="J50" s="80"/>
      <c r="K50" s="80">
        <v>320</v>
      </c>
      <c r="L50" s="80"/>
      <c r="M50" s="82"/>
      <c r="N50" s="80">
        <v>340</v>
      </c>
      <c r="O50" s="80"/>
      <c r="P50" s="80"/>
      <c r="Q50" s="80">
        <v>440</v>
      </c>
      <c r="R50" s="80"/>
      <c r="S50" s="82"/>
      <c r="T50" s="80">
        <v>120</v>
      </c>
      <c r="U50" s="80"/>
      <c r="V50" s="80"/>
      <c r="W50" s="80"/>
      <c r="X50" s="80">
        <v>220</v>
      </c>
      <c r="Y50" s="82"/>
      <c r="Z50" s="80">
        <v>140</v>
      </c>
      <c r="AA50" s="80"/>
      <c r="AB50" s="80"/>
      <c r="AC50" s="80">
        <v>320</v>
      </c>
      <c r="AE50" s="9">
        <f t="shared" si="2"/>
        <v>2100</v>
      </c>
      <c r="AF50" s="6">
        <v>1074</v>
      </c>
      <c r="AG50" s="49">
        <f t="shared" si="3"/>
        <v>1.9553072625698324</v>
      </c>
    </row>
    <row r="51" spans="1:33">
      <c r="A51" s="25" t="s">
        <v>17</v>
      </c>
      <c r="B51" s="81"/>
      <c r="C51" s="80">
        <v>120</v>
      </c>
      <c r="D51" s="80"/>
      <c r="E51" s="80"/>
      <c r="F51" s="80">
        <v>200</v>
      </c>
      <c r="G51" s="82"/>
      <c r="H51" s="80"/>
      <c r="I51" s="80">
        <v>120</v>
      </c>
      <c r="J51" s="80"/>
      <c r="K51" s="80"/>
      <c r="L51" s="80">
        <v>600</v>
      </c>
      <c r="M51" s="82"/>
      <c r="N51" s="80"/>
      <c r="O51" s="80">
        <v>400</v>
      </c>
      <c r="P51" s="80"/>
      <c r="Q51" s="80"/>
      <c r="R51" s="80">
        <v>440</v>
      </c>
      <c r="S51" s="82"/>
      <c r="T51" s="80"/>
      <c r="U51" s="80">
        <v>300</v>
      </c>
      <c r="V51" s="80"/>
      <c r="W51" s="80"/>
      <c r="X51" s="80">
        <v>200</v>
      </c>
      <c r="Y51" s="82"/>
      <c r="Z51" s="80"/>
      <c r="AA51" s="80">
        <v>620</v>
      </c>
      <c r="AB51" s="80"/>
      <c r="AC51" s="80"/>
      <c r="AE51" s="9">
        <f t="shared" si="2"/>
        <v>3000</v>
      </c>
      <c r="AF51" s="6">
        <v>1632</v>
      </c>
      <c r="AG51" s="49">
        <f t="shared" si="3"/>
        <v>1.838235294117647</v>
      </c>
    </row>
    <row r="52" spans="1:33">
      <c r="A52" s="25" t="s">
        <v>7</v>
      </c>
      <c r="B52" s="81"/>
      <c r="C52" s="80"/>
      <c r="D52" s="80">
        <v>40</v>
      </c>
      <c r="E52" s="80"/>
      <c r="F52" s="80">
        <v>1180</v>
      </c>
      <c r="G52" s="82"/>
      <c r="H52" s="80">
        <v>80</v>
      </c>
      <c r="I52" s="80"/>
      <c r="J52" s="80" t="s">
        <v>85</v>
      </c>
      <c r="K52" s="80" t="s">
        <v>85</v>
      </c>
      <c r="L52" s="80">
        <v>220</v>
      </c>
      <c r="M52" s="82"/>
      <c r="N52" s="80">
        <v>160</v>
      </c>
      <c r="O52" s="80"/>
      <c r="P52" s="80">
        <v>200</v>
      </c>
      <c r="Q52" s="80"/>
      <c r="R52" s="80">
        <v>260</v>
      </c>
      <c r="S52" s="82"/>
      <c r="T52" s="80">
        <v>80</v>
      </c>
      <c r="U52" s="80"/>
      <c r="V52" s="80">
        <v>180</v>
      </c>
      <c r="W52" s="80"/>
      <c r="X52" s="80">
        <v>80</v>
      </c>
      <c r="Y52" s="82"/>
      <c r="Z52" s="80">
        <v>80</v>
      </c>
      <c r="AA52" s="80"/>
      <c r="AB52" s="80">
        <v>220</v>
      </c>
      <c r="AC52" s="80"/>
      <c r="AE52" s="9">
        <f t="shared" si="2"/>
        <v>2780</v>
      </c>
      <c r="AF52" s="6">
        <v>1646</v>
      </c>
      <c r="AG52" s="49">
        <f t="shared" si="3"/>
        <v>1.6889428918590523</v>
      </c>
    </row>
    <row r="53" spans="1:33">
      <c r="A53" s="23" t="s">
        <v>68</v>
      </c>
      <c r="B53" s="81"/>
      <c r="C53" s="80"/>
      <c r="D53" s="80"/>
      <c r="E53" s="80"/>
      <c r="F53" s="80"/>
      <c r="G53" s="82"/>
      <c r="H53" s="80">
        <v>240</v>
      </c>
      <c r="I53" s="80"/>
      <c r="J53" s="80"/>
      <c r="K53" s="80"/>
      <c r="L53" s="80"/>
      <c r="M53" s="82"/>
      <c r="N53" s="80">
        <v>220</v>
      </c>
      <c r="O53" s="80"/>
      <c r="P53" s="80"/>
      <c r="Q53" s="80"/>
      <c r="R53" s="80"/>
      <c r="S53" s="82"/>
      <c r="T53" s="80">
        <v>160</v>
      </c>
      <c r="U53" s="80"/>
      <c r="V53" s="80"/>
      <c r="W53" s="80"/>
      <c r="X53" s="80"/>
      <c r="Y53" s="82"/>
      <c r="Z53" s="80">
        <v>220</v>
      </c>
      <c r="AA53" s="80"/>
      <c r="AB53" s="80"/>
      <c r="AC53" s="80"/>
      <c r="AE53" s="9">
        <f t="shared" si="2"/>
        <v>840</v>
      </c>
      <c r="AF53" s="6">
        <v>514</v>
      </c>
      <c r="AG53" s="49">
        <f t="shared" si="3"/>
        <v>1.6342412451361867</v>
      </c>
    </row>
    <row r="54" spans="1:33">
      <c r="A54" s="23" t="s">
        <v>50</v>
      </c>
      <c r="B54" s="81"/>
      <c r="C54" s="80">
        <v>240</v>
      </c>
      <c r="D54" s="80"/>
      <c r="E54" s="80"/>
      <c r="F54" s="80"/>
      <c r="G54" s="82"/>
      <c r="H54" s="80"/>
      <c r="I54" s="80">
        <v>120</v>
      </c>
      <c r="J54" s="80"/>
      <c r="K54" s="80"/>
      <c r="L54" s="80"/>
      <c r="M54" s="82"/>
      <c r="N54" s="80"/>
      <c r="O54" s="80">
        <v>100</v>
      </c>
      <c r="P54" s="80"/>
      <c r="Q54" s="80"/>
      <c r="R54" s="80"/>
      <c r="S54" s="82"/>
      <c r="T54" s="80"/>
      <c r="U54" s="80">
        <v>160</v>
      </c>
      <c r="V54" s="80"/>
      <c r="W54" s="80"/>
      <c r="X54" s="80"/>
      <c r="Y54" s="82"/>
      <c r="Z54" s="80"/>
      <c r="AA54" s="80">
        <v>520</v>
      </c>
      <c r="AB54" s="80"/>
      <c r="AC54" s="80"/>
      <c r="AE54" s="9">
        <f t="shared" si="2"/>
        <v>1140</v>
      </c>
      <c r="AF54" s="6">
        <v>702</v>
      </c>
      <c r="AG54" s="49">
        <f t="shared" si="3"/>
        <v>1.6239316239316239</v>
      </c>
    </row>
    <row r="55" spans="1:33">
      <c r="A55" s="23" t="s">
        <v>62</v>
      </c>
      <c r="B55" s="81"/>
      <c r="C55" s="80"/>
      <c r="D55" s="80"/>
      <c r="E55" s="80"/>
      <c r="F55" s="80"/>
      <c r="G55" s="82"/>
      <c r="H55" s="80">
        <v>240</v>
      </c>
      <c r="I55" s="80"/>
      <c r="J55" s="80"/>
      <c r="K55" s="80"/>
      <c r="L55" s="80"/>
      <c r="M55" s="82"/>
      <c r="N55" s="80">
        <v>220</v>
      </c>
      <c r="O55" s="80"/>
      <c r="P55" s="80"/>
      <c r="Q55" s="80"/>
      <c r="R55" s="80"/>
      <c r="S55" s="82"/>
      <c r="T55" s="80">
        <v>160</v>
      </c>
      <c r="U55" s="80"/>
      <c r="V55" s="80"/>
      <c r="W55" s="80"/>
      <c r="X55" s="80"/>
      <c r="Y55" s="82"/>
      <c r="Z55" s="80">
        <v>160</v>
      </c>
      <c r="AA55" s="80"/>
      <c r="AB55" s="80"/>
      <c r="AC55" s="80"/>
      <c r="AE55" s="9">
        <f t="shared" si="2"/>
        <v>780</v>
      </c>
      <c r="AF55" s="6">
        <v>488</v>
      </c>
      <c r="AG55" s="49">
        <f t="shared" si="3"/>
        <v>1.598360655737705</v>
      </c>
    </row>
    <row r="56" spans="1:33">
      <c r="A56" s="25" t="s">
        <v>21</v>
      </c>
      <c r="B56" s="81"/>
      <c r="C56" s="80"/>
      <c r="D56" s="80"/>
      <c r="E56" s="80">
        <v>220</v>
      </c>
      <c r="F56" s="80"/>
      <c r="G56" s="82"/>
      <c r="H56" s="80">
        <v>520</v>
      </c>
      <c r="I56" s="80"/>
      <c r="J56" s="80"/>
      <c r="K56" s="80">
        <v>340</v>
      </c>
      <c r="L56" s="80"/>
      <c r="M56" s="82"/>
      <c r="N56" s="80">
        <v>300</v>
      </c>
      <c r="O56" s="80"/>
      <c r="P56" s="80"/>
      <c r="Q56" s="80">
        <v>420</v>
      </c>
      <c r="R56" s="80"/>
      <c r="S56" s="82"/>
      <c r="T56" s="80" t="s">
        <v>92</v>
      </c>
      <c r="U56" s="80"/>
      <c r="V56" s="80"/>
      <c r="W56" s="80"/>
      <c r="X56" s="80">
        <v>280</v>
      </c>
      <c r="Y56" s="82"/>
      <c r="Z56" s="80">
        <v>60</v>
      </c>
      <c r="AA56" s="80"/>
      <c r="AB56" s="80"/>
      <c r="AC56" s="80">
        <v>500</v>
      </c>
      <c r="AE56" s="9">
        <f t="shared" si="2"/>
        <v>2640</v>
      </c>
      <c r="AF56" s="6">
        <v>1669</v>
      </c>
      <c r="AG56" s="49">
        <f t="shared" si="3"/>
        <v>1.5817855002995806</v>
      </c>
    </row>
    <row r="57" spans="1:33">
      <c r="A57" s="25" t="s">
        <v>5</v>
      </c>
      <c r="B57" s="81"/>
      <c r="C57" s="80"/>
      <c r="D57" s="80">
        <v>120</v>
      </c>
      <c r="E57" s="80"/>
      <c r="F57" s="80">
        <v>20</v>
      </c>
      <c r="G57" s="82"/>
      <c r="H57" s="80">
        <v>220</v>
      </c>
      <c r="I57" s="80"/>
      <c r="J57" s="80">
        <v>80</v>
      </c>
      <c r="K57" s="80"/>
      <c r="L57" s="80">
        <v>300</v>
      </c>
      <c r="M57" s="82"/>
      <c r="N57" s="80">
        <v>140</v>
      </c>
      <c r="O57" s="80"/>
      <c r="P57" s="80">
        <v>220</v>
      </c>
      <c r="Q57" s="80"/>
      <c r="R57" s="80">
        <v>300</v>
      </c>
      <c r="S57" s="82"/>
      <c r="T57" s="80">
        <v>460</v>
      </c>
      <c r="U57" s="80"/>
      <c r="V57" s="80">
        <v>80</v>
      </c>
      <c r="W57" s="80"/>
      <c r="X57" s="80">
        <v>20</v>
      </c>
      <c r="Y57" s="82"/>
      <c r="Z57" s="80">
        <v>80</v>
      </c>
      <c r="AA57" s="80"/>
      <c r="AB57" s="80">
        <v>260</v>
      </c>
      <c r="AC57" s="80"/>
      <c r="AE57" s="9">
        <f t="shared" si="2"/>
        <v>2300</v>
      </c>
      <c r="AF57" s="6">
        <v>1500</v>
      </c>
      <c r="AG57" s="49">
        <f t="shared" si="3"/>
        <v>1.5333333333333334</v>
      </c>
    </row>
    <row r="58" spans="1:33">
      <c r="A58" s="24" t="s">
        <v>24</v>
      </c>
      <c r="B58" s="81"/>
      <c r="C58" s="80"/>
      <c r="D58" s="80">
        <v>80</v>
      </c>
      <c r="E58" s="80"/>
      <c r="F58" s="80">
        <v>520</v>
      </c>
      <c r="G58" s="82"/>
      <c r="H58" s="80">
        <v>80</v>
      </c>
      <c r="I58" s="80"/>
      <c r="J58" s="80"/>
      <c r="K58" s="80"/>
      <c r="L58" s="80">
        <v>40</v>
      </c>
      <c r="M58" s="82"/>
      <c r="N58" s="80">
        <v>80</v>
      </c>
      <c r="O58" s="80"/>
      <c r="P58" s="80"/>
      <c r="Q58" s="80"/>
      <c r="R58" s="80">
        <v>220</v>
      </c>
      <c r="S58" s="82"/>
      <c r="T58" s="80">
        <v>60</v>
      </c>
      <c r="U58" s="80"/>
      <c r="V58" s="80"/>
      <c r="W58" s="80"/>
      <c r="X58" s="80">
        <v>100</v>
      </c>
      <c r="Y58" s="82"/>
      <c r="Z58" s="80">
        <v>120</v>
      </c>
      <c r="AA58" s="80"/>
      <c r="AB58" s="80"/>
      <c r="AC58" s="80"/>
      <c r="AE58" s="9">
        <f t="shared" si="2"/>
        <v>1300</v>
      </c>
      <c r="AF58" s="6">
        <v>900</v>
      </c>
      <c r="AG58" s="49">
        <f t="shared" si="3"/>
        <v>1.4444444444444444</v>
      </c>
    </row>
    <row r="59" spans="1:33">
      <c r="A59" s="23" t="s">
        <v>91</v>
      </c>
      <c r="B59" s="81"/>
      <c r="C59" s="80"/>
      <c r="D59" s="80"/>
      <c r="E59" s="80"/>
      <c r="F59" s="80"/>
      <c r="G59" s="82"/>
      <c r="H59" s="80">
        <v>200</v>
      </c>
      <c r="I59" s="80"/>
      <c r="J59" s="80"/>
      <c r="K59" s="80"/>
      <c r="L59" s="80"/>
      <c r="M59" s="82"/>
      <c r="N59" s="80">
        <v>180</v>
      </c>
      <c r="O59" s="80"/>
      <c r="P59" s="80"/>
      <c r="Q59" s="80"/>
      <c r="R59" s="80"/>
      <c r="S59" s="82"/>
      <c r="T59" s="80">
        <v>300</v>
      </c>
      <c r="U59" s="80"/>
      <c r="V59" s="80"/>
      <c r="W59" s="80"/>
      <c r="X59" s="80"/>
      <c r="Y59" s="82"/>
      <c r="Z59" s="80">
        <v>160</v>
      </c>
      <c r="AA59" s="80"/>
      <c r="AB59" s="80"/>
      <c r="AC59" s="80"/>
      <c r="AE59" s="9">
        <f t="shared" si="2"/>
        <v>840</v>
      </c>
      <c r="AF59" s="6">
        <v>586</v>
      </c>
      <c r="AG59" s="49">
        <f t="shared" si="3"/>
        <v>1.4334470989761092</v>
      </c>
    </row>
    <row r="60" spans="1:33">
      <c r="A60" s="23" t="s">
        <v>63</v>
      </c>
      <c r="B60" s="81"/>
      <c r="C60" s="80"/>
      <c r="D60" s="80"/>
      <c r="E60" s="80">
        <v>80</v>
      </c>
      <c r="F60" s="80"/>
      <c r="G60" s="82"/>
      <c r="H60" s="80"/>
      <c r="I60" s="80"/>
      <c r="J60" s="80"/>
      <c r="K60" s="80">
        <v>100</v>
      </c>
      <c r="L60" s="80"/>
      <c r="M60" s="82"/>
      <c r="N60" s="80"/>
      <c r="O60" s="80"/>
      <c r="P60" s="80"/>
      <c r="Q60" s="80">
        <v>180</v>
      </c>
      <c r="R60" s="80"/>
      <c r="S60" s="82"/>
      <c r="T60" s="80"/>
      <c r="U60" s="80"/>
      <c r="V60" s="80"/>
      <c r="W60" s="80"/>
      <c r="X60" s="80">
        <v>120</v>
      </c>
      <c r="Y60" s="82"/>
      <c r="Z60" s="80"/>
      <c r="AA60" s="80"/>
      <c r="AB60" s="80"/>
      <c r="AC60" s="80">
        <v>560</v>
      </c>
      <c r="AE60" s="9">
        <f t="shared" si="2"/>
        <v>1040</v>
      </c>
      <c r="AF60" s="6">
        <v>762</v>
      </c>
      <c r="AG60" s="49">
        <f t="shared" si="3"/>
        <v>1.3648293963254594</v>
      </c>
    </row>
    <row r="61" spans="1:33">
      <c r="A61" s="24" t="s">
        <v>19</v>
      </c>
      <c r="B61" s="81"/>
      <c r="C61" s="80"/>
      <c r="D61" s="80"/>
      <c r="E61" s="80">
        <v>0</v>
      </c>
      <c r="F61" s="80"/>
      <c r="G61" s="82"/>
      <c r="H61" s="80">
        <v>80</v>
      </c>
      <c r="I61" s="80"/>
      <c r="J61" s="80"/>
      <c r="K61" s="80">
        <v>100</v>
      </c>
      <c r="L61" s="80"/>
      <c r="M61" s="82"/>
      <c r="N61" s="80">
        <v>180</v>
      </c>
      <c r="O61" s="80"/>
      <c r="P61" s="80"/>
      <c r="Q61" s="80">
        <v>100</v>
      </c>
      <c r="R61" s="80"/>
      <c r="S61" s="82"/>
      <c r="T61" s="80">
        <v>60</v>
      </c>
      <c r="U61" s="80"/>
      <c r="V61" s="80"/>
      <c r="W61" s="80"/>
      <c r="X61" s="80">
        <v>120</v>
      </c>
      <c r="Y61" s="82"/>
      <c r="Z61" s="80">
        <v>120</v>
      </c>
      <c r="AA61" s="80"/>
      <c r="AB61" s="80"/>
      <c r="AC61" s="80">
        <v>140</v>
      </c>
      <c r="AE61" s="9">
        <f t="shared" si="2"/>
        <v>900</v>
      </c>
      <c r="AF61" s="6">
        <v>693</v>
      </c>
      <c r="AG61" s="49">
        <f t="shared" si="3"/>
        <v>1.2987012987012987</v>
      </c>
    </row>
    <row r="62" spans="1:33">
      <c r="A62" s="23" t="s">
        <v>39</v>
      </c>
      <c r="B62" s="81"/>
      <c r="C62" s="80" t="s">
        <v>92</v>
      </c>
      <c r="D62" s="80"/>
      <c r="E62" s="80"/>
      <c r="F62" s="80">
        <v>80</v>
      </c>
      <c r="G62" s="82"/>
      <c r="H62" s="80"/>
      <c r="I62" s="80">
        <v>160</v>
      </c>
      <c r="J62" s="80"/>
      <c r="K62" s="80"/>
      <c r="L62" s="80">
        <v>160</v>
      </c>
      <c r="M62" s="82"/>
      <c r="N62" s="80"/>
      <c r="O62" s="80">
        <v>300</v>
      </c>
      <c r="P62" s="80"/>
      <c r="Q62" s="80"/>
      <c r="R62" s="80">
        <v>200</v>
      </c>
      <c r="S62" s="82"/>
      <c r="T62" s="80"/>
      <c r="U62" s="80">
        <v>20</v>
      </c>
      <c r="V62" s="80"/>
      <c r="W62" s="80"/>
      <c r="X62" s="80">
        <v>60</v>
      </c>
      <c r="Y62" s="82"/>
      <c r="Z62" s="80"/>
      <c r="AA62" s="80">
        <v>180</v>
      </c>
      <c r="AB62" s="80"/>
      <c r="AC62" s="80"/>
      <c r="AE62" s="9">
        <f t="shared" si="2"/>
        <v>1160</v>
      </c>
      <c r="AF62" s="6">
        <v>1028</v>
      </c>
      <c r="AG62" s="49">
        <f t="shared" si="3"/>
        <v>1.1284046692607004</v>
      </c>
    </row>
    <row r="63" spans="1:33">
      <c r="A63" s="23" t="s">
        <v>61</v>
      </c>
      <c r="B63" s="81"/>
      <c r="C63" s="80"/>
      <c r="D63" s="80"/>
      <c r="E63" s="80"/>
      <c r="F63" s="80"/>
      <c r="G63" s="82"/>
      <c r="H63" s="80">
        <v>320</v>
      </c>
      <c r="I63" s="80"/>
      <c r="J63" s="80"/>
      <c r="K63" s="80"/>
      <c r="L63" s="80"/>
      <c r="M63" s="82"/>
      <c r="N63" s="80">
        <v>180</v>
      </c>
      <c r="O63" s="80"/>
      <c r="P63" s="80"/>
      <c r="Q63" s="80"/>
      <c r="R63" s="80"/>
      <c r="S63" s="82"/>
      <c r="T63" s="80">
        <v>120</v>
      </c>
      <c r="U63" s="80"/>
      <c r="V63" s="80"/>
      <c r="W63" s="80"/>
      <c r="X63" s="80"/>
      <c r="Y63" s="82"/>
      <c r="Z63" s="80">
        <v>220</v>
      </c>
      <c r="AA63" s="80"/>
      <c r="AB63" s="80"/>
      <c r="AC63" s="80"/>
      <c r="AE63" s="9">
        <f t="shared" si="2"/>
        <v>840</v>
      </c>
      <c r="AF63" s="6">
        <v>820</v>
      </c>
      <c r="AG63" s="49">
        <f t="shared" si="3"/>
        <v>1.024390243902439</v>
      </c>
    </row>
    <row r="64" spans="1:33">
      <c r="A64" s="23" t="s">
        <v>37</v>
      </c>
      <c r="B64" s="81"/>
      <c r="C64" s="80">
        <v>80</v>
      </c>
      <c r="D64" s="80"/>
      <c r="E64" s="80"/>
      <c r="F64" s="80"/>
      <c r="G64" s="82"/>
      <c r="H64" s="80">
        <v>200</v>
      </c>
      <c r="I64" s="80"/>
      <c r="J64" s="80"/>
      <c r="K64" s="80"/>
      <c r="L64" s="80"/>
      <c r="M64" s="82"/>
      <c r="N64" s="80">
        <v>120</v>
      </c>
      <c r="O64" s="80"/>
      <c r="P64" s="80"/>
      <c r="Q64" s="80"/>
      <c r="R64" s="80"/>
      <c r="S64" s="82"/>
      <c r="T64" s="80">
        <v>260</v>
      </c>
      <c r="U64" s="80"/>
      <c r="V64" s="80"/>
      <c r="W64" s="80"/>
      <c r="X64" s="80"/>
      <c r="Y64" s="82"/>
      <c r="Z64" s="80">
        <v>40</v>
      </c>
      <c r="AA64" s="80"/>
      <c r="AB64" s="80"/>
      <c r="AC64" s="80"/>
      <c r="AE64" s="9">
        <f t="shared" si="2"/>
        <v>700</v>
      </c>
      <c r="AF64" s="6">
        <v>691</v>
      </c>
      <c r="AG64" s="49">
        <f t="shared" si="3"/>
        <v>1.0130246020260492</v>
      </c>
    </row>
    <row r="65" spans="1:33">
      <c r="A65" s="23" t="s">
        <v>40</v>
      </c>
      <c r="B65" s="81"/>
      <c r="C65" s="80">
        <v>40</v>
      </c>
      <c r="D65" s="80"/>
      <c r="E65" s="80"/>
      <c r="F65" s="80"/>
      <c r="G65" s="82"/>
      <c r="H65" s="80"/>
      <c r="I65" s="80">
        <v>40</v>
      </c>
      <c r="J65" s="80"/>
      <c r="K65" s="80"/>
      <c r="L65" s="80"/>
      <c r="M65" s="82"/>
      <c r="N65" s="80"/>
      <c r="O65" s="80">
        <v>60</v>
      </c>
      <c r="P65" s="80"/>
      <c r="Q65" s="80"/>
      <c r="R65" s="80"/>
      <c r="S65" s="82"/>
      <c r="T65" s="80"/>
      <c r="U65" s="80">
        <v>320</v>
      </c>
      <c r="V65" s="80"/>
      <c r="W65" s="80"/>
      <c r="X65" s="80"/>
      <c r="Y65" s="82"/>
      <c r="Z65" s="80"/>
      <c r="AA65" s="80">
        <v>220</v>
      </c>
      <c r="AB65" s="80"/>
      <c r="AC65" s="80"/>
      <c r="AE65" s="9">
        <f t="shared" si="2"/>
        <v>680</v>
      </c>
      <c r="AF65" s="6">
        <v>740</v>
      </c>
      <c r="AG65" s="49">
        <f t="shared" si="3"/>
        <v>0.91891891891891897</v>
      </c>
    </row>
    <row r="66" spans="1:33">
      <c r="A66" s="24" t="s">
        <v>14</v>
      </c>
      <c r="B66" s="81"/>
      <c r="C66" s="80">
        <v>80</v>
      </c>
      <c r="D66" s="80"/>
      <c r="E66" s="80"/>
      <c r="F66" s="80">
        <v>40</v>
      </c>
      <c r="G66" s="82"/>
      <c r="H66" s="80"/>
      <c r="I66" s="80">
        <v>140</v>
      </c>
      <c r="J66" s="80"/>
      <c r="K66" s="80"/>
      <c r="L66" s="80">
        <v>40</v>
      </c>
      <c r="M66" s="82"/>
      <c r="N66" s="80"/>
      <c r="O66" s="80">
        <v>60</v>
      </c>
      <c r="P66" s="80"/>
      <c r="Q66" s="80"/>
      <c r="R66" s="80">
        <v>80</v>
      </c>
      <c r="S66" s="82"/>
      <c r="T66" s="80"/>
      <c r="U66" s="80">
        <v>0</v>
      </c>
      <c r="V66" s="80"/>
      <c r="W66" s="80"/>
      <c r="X66" s="80">
        <v>40</v>
      </c>
      <c r="Y66" s="82"/>
      <c r="Z66" s="80"/>
      <c r="AA66" s="80">
        <v>40</v>
      </c>
      <c r="AB66" s="80"/>
      <c r="AC66" s="80"/>
      <c r="AE66" s="9">
        <f t="shared" si="2"/>
        <v>520</v>
      </c>
      <c r="AF66" s="6">
        <v>697</v>
      </c>
      <c r="AG66" s="49">
        <f t="shared" si="3"/>
        <v>0.74605451936872313</v>
      </c>
    </row>
    <row r="67" spans="1:33">
      <c r="A67" s="23" t="s">
        <v>60</v>
      </c>
      <c r="B67" s="81"/>
      <c r="C67" s="80"/>
      <c r="D67" s="80"/>
      <c r="E67" s="80"/>
      <c r="F67" s="80">
        <v>0</v>
      </c>
      <c r="G67" s="82"/>
      <c r="H67" s="80"/>
      <c r="I67" s="80"/>
      <c r="J67" s="80"/>
      <c r="K67" s="80"/>
      <c r="L67" s="80">
        <v>20</v>
      </c>
      <c r="M67" s="82"/>
      <c r="N67" s="80"/>
      <c r="O67" s="80"/>
      <c r="P67" s="80"/>
      <c r="Q67" s="80"/>
      <c r="R67" s="80">
        <v>180</v>
      </c>
      <c r="S67" s="82"/>
      <c r="T67" s="80"/>
      <c r="U67" s="80"/>
      <c r="V67" s="80"/>
      <c r="W67" s="80"/>
      <c r="X67" s="80">
        <v>120</v>
      </c>
      <c r="Y67" s="82"/>
      <c r="Z67" s="80"/>
      <c r="AA67" s="80"/>
      <c r="AB67" s="80"/>
      <c r="AC67" s="80"/>
      <c r="AE67" s="9">
        <f t="shared" si="2"/>
        <v>320</v>
      </c>
      <c r="AF67" s="6">
        <v>598</v>
      </c>
      <c r="AG67" s="49">
        <f t="shared" si="3"/>
        <v>0.53511705685618727</v>
      </c>
    </row>
    <row r="69" spans="1:33">
      <c r="AE69" s="92">
        <f>SUM(AE6:AE68)</f>
        <v>116288</v>
      </c>
    </row>
  </sheetData>
  <sortState ref="A6:AJ67">
    <sortCondition descending="1" ref="AG6:AG67"/>
  </sortState>
  <mergeCells count="1">
    <mergeCell ref="A1:AG1"/>
  </mergeCells>
  <pageMargins left="0.25" right="0.25" top="0.45" bottom="0.31" header="0.3" footer="0.3"/>
  <pageSetup paperSize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69"/>
  <sheetViews>
    <sheetView zoomScale="70" zoomScaleNormal="70" workbookViewId="0">
      <pane ySplit="4" topLeftCell="A21" activePane="bottomLeft" state="frozen"/>
      <selection pane="bottomLeft" activeCell="AE70" sqref="AE70"/>
    </sheetView>
  </sheetViews>
  <sheetFormatPr defaultRowHeight="15"/>
  <cols>
    <col min="1" max="1" width="45.7109375" style="1" customWidth="1"/>
    <col min="2" max="6" width="4.42578125" customWidth="1"/>
    <col min="7" max="7" width="1" style="36" customWidth="1"/>
    <col min="8" max="12" width="4.7109375" customWidth="1"/>
    <col min="13" max="13" width="1.140625" style="36" customWidth="1"/>
    <col min="14" max="18" width="4.85546875" customWidth="1"/>
    <col min="19" max="19" width="1" style="36" customWidth="1"/>
    <col min="20" max="24" width="4.42578125" customWidth="1"/>
    <col min="25" max="25" width="1.140625" style="36" customWidth="1"/>
    <col min="26" max="29" width="4.7109375" customWidth="1"/>
    <col min="30" max="30" width="1.42578125" customWidth="1"/>
    <col min="31" max="31" width="10.140625" customWidth="1"/>
    <col min="32" max="32" width="7.42578125" customWidth="1"/>
    <col min="33" max="33" width="8.28515625" customWidth="1"/>
  </cols>
  <sheetData>
    <row r="1" spans="1:35" s="86" customFormat="1" ht="29.25" customHeight="1">
      <c r="A1" s="93" t="s">
        <v>81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</row>
    <row r="2" spans="1:35" ht="3.75" customHeight="1">
      <c r="A2" s="41"/>
      <c r="B2" s="42"/>
      <c r="C2" s="42"/>
      <c r="D2" s="42"/>
      <c r="E2" s="42"/>
      <c r="F2" s="42"/>
      <c r="G2" s="43"/>
      <c r="H2" s="42"/>
      <c r="I2" s="42"/>
      <c r="J2" s="42"/>
      <c r="K2" s="42"/>
      <c r="L2" s="42"/>
      <c r="M2" s="43"/>
      <c r="N2" s="42"/>
      <c r="O2" s="42"/>
      <c r="P2" s="42"/>
      <c r="Q2" s="42"/>
      <c r="R2" s="42"/>
      <c r="S2" s="43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</row>
    <row r="3" spans="1:35" ht="18.75" customHeight="1" thickBot="1">
      <c r="A3" s="1" t="s">
        <v>98</v>
      </c>
      <c r="B3" t="s">
        <v>70</v>
      </c>
      <c r="C3" t="s">
        <v>71</v>
      </c>
      <c r="D3" t="s">
        <v>72</v>
      </c>
      <c r="E3" t="s">
        <v>74</v>
      </c>
      <c r="F3" t="s">
        <v>73</v>
      </c>
      <c r="H3" t="s">
        <v>70</v>
      </c>
      <c r="I3" t="s">
        <v>71</v>
      </c>
      <c r="J3" t="s">
        <v>72</v>
      </c>
      <c r="K3" t="s">
        <v>74</v>
      </c>
      <c r="L3" t="s">
        <v>73</v>
      </c>
      <c r="N3" t="s">
        <v>70</v>
      </c>
      <c r="O3" t="s">
        <v>71</v>
      </c>
      <c r="P3" t="s">
        <v>72</v>
      </c>
      <c r="Q3" t="s">
        <v>74</v>
      </c>
      <c r="R3" t="s">
        <v>73</v>
      </c>
      <c r="T3" t="s">
        <v>70</v>
      </c>
      <c r="U3" t="s">
        <v>71</v>
      </c>
      <c r="V3" t="s">
        <v>72</v>
      </c>
      <c r="W3" t="s">
        <v>74</v>
      </c>
      <c r="X3" t="s">
        <v>73</v>
      </c>
      <c r="Y3"/>
      <c r="Z3" t="s">
        <v>70</v>
      </c>
      <c r="AA3" t="s">
        <v>71</v>
      </c>
      <c r="AB3" t="s">
        <v>72</v>
      </c>
      <c r="AC3" t="s">
        <v>74</v>
      </c>
    </row>
    <row r="4" spans="1:35" s="4" customFormat="1" ht="48" customHeight="1" thickBot="1">
      <c r="A4" s="17" t="s">
        <v>29</v>
      </c>
      <c r="B4" s="15"/>
      <c r="C4" s="15"/>
      <c r="D4" s="15"/>
      <c r="E4" s="15"/>
      <c r="F4" s="15">
        <v>1</v>
      </c>
      <c r="G4" s="37"/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37"/>
      <c r="N4" s="15">
        <v>11</v>
      </c>
      <c r="O4" s="15">
        <v>12</v>
      </c>
      <c r="P4" s="15">
        <v>13</v>
      </c>
      <c r="Q4" s="15">
        <v>14</v>
      </c>
      <c r="R4" s="15">
        <v>15</v>
      </c>
      <c r="S4" s="37"/>
      <c r="T4" s="15">
        <v>18</v>
      </c>
      <c r="U4" s="15">
        <v>19</v>
      </c>
      <c r="V4" s="15">
        <v>20</v>
      </c>
      <c r="W4" s="15">
        <v>21</v>
      </c>
      <c r="X4" s="15">
        <v>22</v>
      </c>
      <c r="Y4" s="37"/>
      <c r="Z4" s="15">
        <v>25</v>
      </c>
      <c r="AA4" s="15">
        <v>26</v>
      </c>
      <c r="AB4" s="15">
        <v>27</v>
      </c>
      <c r="AC4" s="15">
        <v>28</v>
      </c>
      <c r="AE4" s="83" t="s">
        <v>30</v>
      </c>
      <c r="AF4" s="84" t="s">
        <v>31</v>
      </c>
      <c r="AG4" s="85" t="s">
        <v>32</v>
      </c>
      <c r="AH4" s="5"/>
      <c r="AI4" s="5"/>
    </row>
    <row r="5" spans="1:35" s="20" customFormat="1">
      <c r="A5" s="40" t="s">
        <v>28</v>
      </c>
      <c r="B5" s="32"/>
      <c r="C5" s="21"/>
      <c r="D5" s="21"/>
      <c r="E5" s="21"/>
      <c r="F5" s="21"/>
      <c r="G5" s="38"/>
      <c r="H5" s="21"/>
      <c r="I5" s="21"/>
      <c r="J5" s="21"/>
      <c r="K5" s="21"/>
      <c r="L5" s="21"/>
      <c r="M5" s="38"/>
      <c r="N5" s="21"/>
      <c r="O5" s="21"/>
      <c r="P5" s="21"/>
      <c r="Q5" s="21"/>
      <c r="R5" s="21"/>
      <c r="S5" s="38"/>
      <c r="T5" s="21"/>
      <c r="U5" s="21"/>
      <c r="V5" s="21"/>
      <c r="W5" s="21"/>
      <c r="X5" s="21"/>
      <c r="Y5" s="38"/>
      <c r="Z5" s="21"/>
      <c r="AA5" s="21"/>
      <c r="AB5" s="21"/>
      <c r="AC5" s="21"/>
      <c r="AE5" s="33"/>
      <c r="AF5" s="34"/>
      <c r="AG5" s="35"/>
    </row>
    <row r="6" spans="1:35">
      <c r="A6" s="23" t="s">
        <v>67</v>
      </c>
      <c r="B6" s="81"/>
      <c r="C6" s="80"/>
      <c r="D6" s="80"/>
      <c r="E6" s="80"/>
      <c r="F6" s="88"/>
      <c r="G6" s="89"/>
      <c r="H6" s="88"/>
      <c r="I6" s="88"/>
      <c r="J6" s="88"/>
      <c r="K6" s="88">
        <v>180</v>
      </c>
      <c r="L6" s="88"/>
      <c r="M6" s="89"/>
      <c r="N6" s="88"/>
      <c r="O6" s="88"/>
      <c r="P6" s="88"/>
      <c r="Q6" s="88">
        <v>1120</v>
      </c>
      <c r="R6" s="88"/>
      <c r="S6" s="89"/>
      <c r="T6" s="88"/>
      <c r="U6" s="88"/>
      <c r="V6" s="88"/>
      <c r="W6" s="88">
        <v>680</v>
      </c>
      <c r="X6" s="88"/>
      <c r="Y6" s="89"/>
      <c r="Z6" s="88"/>
      <c r="AA6" s="88"/>
      <c r="AB6" s="88"/>
      <c r="AC6" s="88">
        <v>840</v>
      </c>
      <c r="AE6" s="9">
        <f t="shared" ref="AE6:AE37" si="0">SUM(B6:AD6)</f>
        <v>2820</v>
      </c>
      <c r="AF6" s="6">
        <f>'Facility Data'!D63</f>
        <v>213</v>
      </c>
      <c r="AG6" s="49">
        <f t="shared" ref="AG6:AG37" si="1">AE6/AF6</f>
        <v>13.23943661971831</v>
      </c>
    </row>
    <row r="7" spans="1:35">
      <c r="A7" s="48" t="s">
        <v>6</v>
      </c>
      <c r="B7" s="81"/>
      <c r="C7" s="80"/>
      <c r="D7" s="80"/>
      <c r="E7" s="80"/>
      <c r="F7" s="88"/>
      <c r="G7" s="89"/>
      <c r="H7" s="88"/>
      <c r="I7" s="88">
        <v>240</v>
      </c>
      <c r="J7" s="88"/>
      <c r="K7" s="88">
        <v>20</v>
      </c>
      <c r="L7" s="88"/>
      <c r="M7" s="89"/>
      <c r="N7" s="88"/>
      <c r="O7" s="88">
        <v>80</v>
      </c>
      <c r="P7" s="88"/>
      <c r="Q7" s="88">
        <v>120</v>
      </c>
      <c r="R7" s="88"/>
      <c r="S7" s="89"/>
      <c r="T7" s="88"/>
      <c r="U7" s="88">
        <v>20</v>
      </c>
      <c r="V7" s="88"/>
      <c r="W7" s="88">
        <v>40</v>
      </c>
      <c r="X7" s="88"/>
      <c r="Y7" s="89"/>
      <c r="Z7" s="88"/>
      <c r="AA7" s="88">
        <v>320</v>
      </c>
      <c r="AB7" s="88"/>
      <c r="AC7" s="88">
        <v>100</v>
      </c>
      <c r="AE7" s="9">
        <f t="shared" si="0"/>
        <v>940</v>
      </c>
      <c r="AF7" s="6">
        <f>'Facility Data'!D17</f>
        <v>121</v>
      </c>
      <c r="AG7" s="49">
        <f t="shared" si="1"/>
        <v>7.7685950413223139</v>
      </c>
    </row>
    <row r="8" spans="1:35">
      <c r="A8" s="23" t="s">
        <v>66</v>
      </c>
      <c r="B8" s="81"/>
      <c r="C8" s="80"/>
      <c r="D8" s="80"/>
      <c r="E8" s="80"/>
      <c r="F8" s="88"/>
      <c r="G8" s="89"/>
      <c r="H8" s="88"/>
      <c r="I8" s="88"/>
      <c r="J8" s="88"/>
      <c r="K8" s="88">
        <v>120</v>
      </c>
      <c r="L8" s="88"/>
      <c r="M8" s="89"/>
      <c r="N8" s="88"/>
      <c r="O8" s="88"/>
      <c r="P8" s="88"/>
      <c r="Q8" s="88">
        <v>140</v>
      </c>
      <c r="R8" s="88"/>
      <c r="S8" s="89"/>
      <c r="T8" s="88"/>
      <c r="U8" s="88"/>
      <c r="V8" s="88"/>
      <c r="W8" s="88">
        <v>800</v>
      </c>
      <c r="X8" s="88"/>
      <c r="Y8" s="89"/>
      <c r="Z8" s="88"/>
      <c r="AA8" s="88"/>
      <c r="AB8" s="88"/>
      <c r="AC8" s="88">
        <v>280</v>
      </c>
      <c r="AE8" s="9">
        <f t="shared" si="0"/>
        <v>1340</v>
      </c>
      <c r="AF8" s="6">
        <f>'Facility Data'!D62</f>
        <v>209</v>
      </c>
      <c r="AG8" s="49">
        <f t="shared" si="1"/>
        <v>6.4114832535885169</v>
      </c>
    </row>
    <row r="9" spans="1:35">
      <c r="A9" s="23" t="s">
        <v>41</v>
      </c>
      <c r="B9" s="81"/>
      <c r="C9" s="80"/>
      <c r="D9" s="80"/>
      <c r="E9" s="80"/>
      <c r="F9" s="88"/>
      <c r="G9" s="89"/>
      <c r="H9" s="88"/>
      <c r="I9" s="88"/>
      <c r="J9" s="88"/>
      <c r="K9" s="88">
        <v>220</v>
      </c>
      <c r="L9" s="88"/>
      <c r="M9" s="89"/>
      <c r="N9" s="88"/>
      <c r="O9" s="88"/>
      <c r="P9" s="88"/>
      <c r="Q9" s="88">
        <v>280</v>
      </c>
      <c r="R9" s="88"/>
      <c r="S9" s="89"/>
      <c r="T9" s="88"/>
      <c r="U9" s="88"/>
      <c r="V9" s="88"/>
      <c r="W9" s="88">
        <v>200</v>
      </c>
      <c r="X9" s="88"/>
      <c r="Y9" s="89"/>
      <c r="Z9" s="88"/>
      <c r="AA9" s="88"/>
      <c r="AB9" s="88"/>
      <c r="AC9" s="88">
        <v>1140</v>
      </c>
      <c r="AE9" s="9">
        <f t="shared" si="0"/>
        <v>1840</v>
      </c>
      <c r="AF9" s="6">
        <f>'Facility Data'!D13</f>
        <v>342</v>
      </c>
      <c r="AG9" s="49">
        <f t="shared" si="1"/>
        <v>5.3801169590643276</v>
      </c>
    </row>
    <row r="10" spans="1:35">
      <c r="A10" s="23" t="s">
        <v>20</v>
      </c>
      <c r="B10" s="81"/>
      <c r="C10" s="80"/>
      <c r="D10" s="80"/>
      <c r="E10" s="80"/>
      <c r="F10" s="88"/>
      <c r="G10" s="89"/>
      <c r="H10" s="88"/>
      <c r="I10" s="88"/>
      <c r="J10" s="88"/>
      <c r="K10" s="88">
        <v>180</v>
      </c>
      <c r="L10" s="88"/>
      <c r="M10" s="89"/>
      <c r="N10" s="88"/>
      <c r="O10" s="88"/>
      <c r="P10" s="88"/>
      <c r="Q10" s="88">
        <v>320</v>
      </c>
      <c r="R10" s="88"/>
      <c r="S10" s="89"/>
      <c r="T10" s="88"/>
      <c r="U10" s="88"/>
      <c r="V10" s="88"/>
      <c r="W10" s="88">
        <v>1540</v>
      </c>
      <c r="X10" s="88"/>
      <c r="Y10" s="89"/>
      <c r="Z10" s="88"/>
      <c r="AA10" s="88"/>
      <c r="AB10" s="88"/>
      <c r="AC10" s="88">
        <v>60</v>
      </c>
      <c r="AE10" s="9">
        <f t="shared" si="0"/>
        <v>2100</v>
      </c>
      <c r="AF10" s="6">
        <f>'Facility Data'!D47</f>
        <v>442</v>
      </c>
      <c r="AG10" s="49">
        <f t="shared" si="1"/>
        <v>4.751131221719457</v>
      </c>
    </row>
    <row r="11" spans="1:35">
      <c r="A11" s="23" t="s">
        <v>57</v>
      </c>
      <c r="B11" s="81"/>
      <c r="C11" s="80"/>
      <c r="D11" s="80"/>
      <c r="E11" s="80"/>
      <c r="F11" s="88"/>
      <c r="G11" s="89"/>
      <c r="H11" s="88">
        <v>1560</v>
      </c>
      <c r="I11" s="88"/>
      <c r="J11" s="88"/>
      <c r="K11" s="88">
        <v>440</v>
      </c>
      <c r="L11" s="88"/>
      <c r="M11" s="89"/>
      <c r="N11" s="88">
        <v>160</v>
      </c>
      <c r="O11" s="88"/>
      <c r="P11" s="88"/>
      <c r="Q11" s="88">
        <v>140</v>
      </c>
      <c r="R11" s="88"/>
      <c r="S11" s="89"/>
      <c r="T11" s="88">
        <v>180</v>
      </c>
      <c r="U11" s="88"/>
      <c r="V11" s="88"/>
      <c r="W11" s="88">
        <v>20</v>
      </c>
      <c r="X11" s="88"/>
      <c r="Y11" s="89"/>
      <c r="Z11" s="88">
        <v>100</v>
      </c>
      <c r="AA11" s="88"/>
      <c r="AB11" s="88"/>
      <c r="AC11" s="88">
        <v>40</v>
      </c>
      <c r="AE11" s="9">
        <f t="shared" si="0"/>
        <v>2640</v>
      </c>
      <c r="AF11" s="6">
        <f>'Facility Data'!D42</f>
        <v>563</v>
      </c>
      <c r="AG11" s="49">
        <f t="shared" si="1"/>
        <v>4.6891651865008885</v>
      </c>
    </row>
    <row r="12" spans="1:35">
      <c r="A12" s="23" t="s">
        <v>62</v>
      </c>
      <c r="B12" s="81"/>
      <c r="C12" s="80"/>
      <c r="D12" s="80"/>
      <c r="E12" s="80"/>
      <c r="F12" s="88"/>
      <c r="G12" s="89"/>
      <c r="H12" s="88">
        <v>260</v>
      </c>
      <c r="I12" s="88"/>
      <c r="J12" s="88"/>
      <c r="K12" s="88"/>
      <c r="L12" s="88"/>
      <c r="M12" s="89"/>
      <c r="N12" s="88">
        <v>1280</v>
      </c>
      <c r="O12" s="88"/>
      <c r="P12" s="88"/>
      <c r="Q12" s="88"/>
      <c r="R12" s="88"/>
      <c r="S12" s="89"/>
      <c r="T12" s="88">
        <v>280</v>
      </c>
      <c r="U12" s="88"/>
      <c r="V12" s="88"/>
      <c r="W12" s="88"/>
      <c r="X12" s="88"/>
      <c r="Y12" s="89"/>
      <c r="Z12" s="88">
        <v>280</v>
      </c>
      <c r="AA12" s="88"/>
      <c r="AB12" s="88"/>
      <c r="AC12" s="88"/>
      <c r="AE12" s="9">
        <f t="shared" si="0"/>
        <v>2100</v>
      </c>
      <c r="AF12" s="6">
        <f>'Facility Data'!D54</f>
        <v>488</v>
      </c>
      <c r="AG12" s="49">
        <f t="shared" si="1"/>
        <v>4.3032786885245899</v>
      </c>
    </row>
    <row r="13" spans="1:35">
      <c r="A13" s="48" t="s">
        <v>16</v>
      </c>
      <c r="B13" s="81"/>
      <c r="C13" s="80"/>
      <c r="D13" s="80"/>
      <c r="E13" s="80"/>
      <c r="F13" s="88">
        <v>60</v>
      </c>
      <c r="G13" s="89"/>
      <c r="H13" s="88"/>
      <c r="I13" s="88">
        <v>120</v>
      </c>
      <c r="J13" s="88"/>
      <c r="K13" s="88"/>
      <c r="L13" s="88">
        <v>80</v>
      </c>
      <c r="M13" s="89"/>
      <c r="N13" s="88"/>
      <c r="O13" s="88">
        <v>40</v>
      </c>
      <c r="P13" s="88"/>
      <c r="Q13" s="88"/>
      <c r="R13" s="88">
        <v>20</v>
      </c>
      <c r="S13" s="89"/>
      <c r="T13" s="88"/>
      <c r="U13" s="88">
        <v>160</v>
      </c>
      <c r="V13" s="88"/>
      <c r="W13" s="88"/>
      <c r="X13" s="88">
        <v>40</v>
      </c>
      <c r="Y13" s="89"/>
      <c r="Z13" s="88"/>
      <c r="AA13" s="88">
        <v>240</v>
      </c>
      <c r="AB13" s="88"/>
      <c r="AC13" s="88"/>
      <c r="AE13" s="9">
        <f t="shared" si="0"/>
        <v>760</v>
      </c>
      <c r="AF13" s="6">
        <f>'Facility Data'!D40</f>
        <v>177</v>
      </c>
      <c r="AG13" s="49">
        <f t="shared" si="1"/>
        <v>4.2937853107344637</v>
      </c>
    </row>
    <row r="14" spans="1:35">
      <c r="A14" s="23" t="s">
        <v>60</v>
      </c>
      <c r="B14" s="81"/>
      <c r="C14" s="80"/>
      <c r="D14" s="80"/>
      <c r="E14" s="80"/>
      <c r="F14" s="88">
        <v>1260</v>
      </c>
      <c r="G14" s="89"/>
      <c r="H14" s="88"/>
      <c r="I14" s="88"/>
      <c r="J14" s="88"/>
      <c r="K14" s="88"/>
      <c r="L14" s="88">
        <v>60</v>
      </c>
      <c r="M14" s="89"/>
      <c r="N14" s="88"/>
      <c r="O14" s="88"/>
      <c r="P14" s="88"/>
      <c r="Q14" s="88"/>
      <c r="R14" s="88">
        <v>40</v>
      </c>
      <c r="S14" s="89"/>
      <c r="T14" s="88"/>
      <c r="U14" s="88"/>
      <c r="V14" s="88"/>
      <c r="W14" s="88"/>
      <c r="X14" s="88">
        <v>1120</v>
      </c>
      <c r="Y14" s="89"/>
      <c r="Z14" s="88"/>
      <c r="AA14" s="88"/>
      <c r="AB14" s="88"/>
      <c r="AC14" s="88"/>
      <c r="AE14" s="9">
        <f t="shared" si="0"/>
        <v>2480</v>
      </c>
      <c r="AF14" s="6">
        <f>'Facility Data'!D50</f>
        <v>598</v>
      </c>
      <c r="AG14" s="49">
        <f t="shared" si="1"/>
        <v>4.1471571906354514</v>
      </c>
    </row>
    <row r="15" spans="1:35">
      <c r="A15" s="23" t="s">
        <v>49</v>
      </c>
      <c r="B15" s="81"/>
      <c r="C15" s="80"/>
      <c r="D15" s="80"/>
      <c r="E15" s="80"/>
      <c r="F15" s="88"/>
      <c r="G15" s="89"/>
      <c r="H15" s="88">
        <v>20</v>
      </c>
      <c r="I15" s="88"/>
      <c r="J15" s="88"/>
      <c r="K15" s="88"/>
      <c r="L15" s="88"/>
      <c r="M15" s="89"/>
      <c r="N15" s="88">
        <v>1740</v>
      </c>
      <c r="O15" s="88"/>
      <c r="P15" s="88"/>
      <c r="Q15" s="88"/>
      <c r="R15" s="88"/>
      <c r="S15" s="89"/>
      <c r="T15" s="88">
        <v>300</v>
      </c>
      <c r="U15" s="88"/>
      <c r="V15" s="88"/>
      <c r="W15" s="88"/>
      <c r="X15" s="88"/>
      <c r="Y15" s="89"/>
      <c r="Z15" s="88">
        <v>160</v>
      </c>
      <c r="AA15" s="88"/>
      <c r="AB15" s="88"/>
      <c r="AC15" s="88"/>
      <c r="AE15" s="9">
        <f t="shared" si="0"/>
        <v>2220</v>
      </c>
      <c r="AF15" s="6">
        <f>'Facility Data'!D24</f>
        <v>537</v>
      </c>
      <c r="AG15" s="49">
        <f t="shared" si="1"/>
        <v>4.1340782122905031</v>
      </c>
    </row>
    <row r="16" spans="1:35">
      <c r="A16" s="24" t="s">
        <v>26</v>
      </c>
      <c r="B16" s="81"/>
      <c r="C16" s="80"/>
      <c r="D16" s="80"/>
      <c r="E16" s="80"/>
      <c r="F16" s="88">
        <v>1180</v>
      </c>
      <c r="G16" s="89"/>
      <c r="H16" s="88"/>
      <c r="I16" s="88">
        <v>220</v>
      </c>
      <c r="J16" s="88"/>
      <c r="K16" s="88"/>
      <c r="L16" s="88">
        <v>260</v>
      </c>
      <c r="M16" s="89"/>
      <c r="N16" s="88"/>
      <c r="O16" s="88">
        <v>40</v>
      </c>
      <c r="P16" s="88"/>
      <c r="Q16" s="88"/>
      <c r="R16" s="88">
        <v>180</v>
      </c>
      <c r="S16" s="89"/>
      <c r="T16" s="88"/>
      <c r="U16" s="88">
        <v>140</v>
      </c>
      <c r="V16" s="88"/>
      <c r="W16" s="88"/>
      <c r="X16" s="88">
        <v>1340</v>
      </c>
      <c r="Y16" s="89"/>
      <c r="Z16" s="88"/>
      <c r="AA16" s="88">
        <v>180</v>
      </c>
      <c r="AB16" s="88"/>
      <c r="AC16" s="88"/>
      <c r="AE16" s="9">
        <f t="shared" si="0"/>
        <v>3540</v>
      </c>
      <c r="AF16" s="6">
        <f>'Facility Data'!D58</f>
        <v>859</v>
      </c>
      <c r="AG16" s="49">
        <f t="shared" si="1"/>
        <v>4.1210710128055883</v>
      </c>
    </row>
    <row r="17" spans="1:34">
      <c r="A17" s="23" t="s">
        <v>36</v>
      </c>
      <c r="B17" s="81"/>
      <c r="C17" s="80"/>
      <c r="D17" s="80"/>
      <c r="E17" s="80"/>
      <c r="F17" s="88"/>
      <c r="G17" s="89"/>
      <c r="H17" s="88">
        <v>280</v>
      </c>
      <c r="I17" s="88"/>
      <c r="J17" s="88"/>
      <c r="K17" s="88">
        <v>280</v>
      </c>
      <c r="L17" s="88"/>
      <c r="M17" s="89"/>
      <c r="N17" s="88">
        <v>320</v>
      </c>
      <c r="O17" s="88"/>
      <c r="P17" s="88"/>
      <c r="Q17" s="88">
        <v>420</v>
      </c>
      <c r="R17" s="88"/>
      <c r="S17" s="89"/>
      <c r="T17" s="88">
        <v>640</v>
      </c>
      <c r="U17" s="88"/>
      <c r="V17" s="88"/>
      <c r="W17" s="88">
        <v>380</v>
      </c>
      <c r="X17" s="88"/>
      <c r="Y17" s="89"/>
      <c r="Z17" s="88">
        <v>160</v>
      </c>
      <c r="AA17" s="88"/>
      <c r="AB17" s="88"/>
      <c r="AC17" s="88">
        <v>160</v>
      </c>
      <c r="AE17" s="9">
        <f t="shared" si="0"/>
        <v>2640</v>
      </c>
      <c r="AF17" s="6">
        <f>'Facility Data'!D3</f>
        <v>738</v>
      </c>
      <c r="AG17" s="49">
        <f t="shared" si="1"/>
        <v>3.5772357723577235</v>
      </c>
    </row>
    <row r="18" spans="1:34">
      <c r="A18" s="23" t="s">
        <v>46</v>
      </c>
      <c r="B18" s="81"/>
      <c r="C18" s="80"/>
      <c r="D18" s="80"/>
      <c r="E18" s="80"/>
      <c r="F18" s="88"/>
      <c r="G18" s="89"/>
      <c r="H18" s="88"/>
      <c r="I18" s="88"/>
      <c r="J18" s="88"/>
      <c r="K18" s="88">
        <v>180</v>
      </c>
      <c r="L18" s="88"/>
      <c r="M18" s="89"/>
      <c r="N18" s="88"/>
      <c r="O18" s="88"/>
      <c r="P18" s="88"/>
      <c r="Q18" s="88">
        <v>280</v>
      </c>
      <c r="R18" s="88"/>
      <c r="S18" s="89"/>
      <c r="T18" s="88"/>
      <c r="U18" s="88"/>
      <c r="V18" s="88"/>
      <c r="W18" s="88">
        <v>220</v>
      </c>
      <c r="X18" s="88"/>
      <c r="Y18" s="89"/>
      <c r="Z18" s="88"/>
      <c r="AA18" s="88"/>
      <c r="AB18" s="88"/>
      <c r="AC18" s="88">
        <v>220</v>
      </c>
      <c r="AE18" s="9">
        <f t="shared" si="0"/>
        <v>900</v>
      </c>
      <c r="AF18" s="6">
        <f>'Facility Data'!D20</f>
        <v>274</v>
      </c>
      <c r="AG18" s="49">
        <f t="shared" si="1"/>
        <v>3.2846715328467155</v>
      </c>
    </row>
    <row r="19" spans="1:34">
      <c r="A19" s="23" t="s">
        <v>58</v>
      </c>
      <c r="B19" s="81"/>
      <c r="C19" s="80"/>
      <c r="D19" s="80"/>
      <c r="E19" s="80"/>
      <c r="F19" s="88"/>
      <c r="G19" s="89"/>
      <c r="H19" s="88"/>
      <c r="I19" s="88"/>
      <c r="J19" s="88"/>
      <c r="K19" s="88">
        <v>300</v>
      </c>
      <c r="L19" s="88"/>
      <c r="M19" s="89"/>
      <c r="N19" s="88"/>
      <c r="O19" s="88"/>
      <c r="P19" s="88"/>
      <c r="Q19" s="88">
        <v>360</v>
      </c>
      <c r="R19" s="88"/>
      <c r="S19" s="89"/>
      <c r="T19" s="88"/>
      <c r="U19" s="88"/>
      <c r="V19" s="88"/>
      <c r="W19" s="88">
        <v>320</v>
      </c>
      <c r="X19" s="88"/>
      <c r="Y19" s="89"/>
      <c r="Z19" s="88"/>
      <c r="AA19" s="88"/>
      <c r="AB19" s="88"/>
      <c r="AC19" s="88">
        <v>240</v>
      </c>
      <c r="AE19" s="9">
        <f t="shared" si="0"/>
        <v>1220</v>
      </c>
      <c r="AF19" s="6">
        <f>'Facility Data'!D45</f>
        <v>381</v>
      </c>
      <c r="AG19" s="49">
        <f t="shared" si="1"/>
        <v>3.2020997375328082</v>
      </c>
    </row>
    <row r="20" spans="1:34">
      <c r="A20" s="23" t="s">
        <v>64</v>
      </c>
      <c r="B20" s="81"/>
      <c r="C20" s="80"/>
      <c r="D20" s="80"/>
      <c r="E20" s="80"/>
      <c r="F20" s="88">
        <v>600</v>
      </c>
      <c r="G20" s="89"/>
      <c r="H20" s="88">
        <v>140</v>
      </c>
      <c r="I20" s="88"/>
      <c r="J20" s="88"/>
      <c r="K20" s="88"/>
      <c r="L20" s="88">
        <v>80</v>
      </c>
      <c r="M20" s="89"/>
      <c r="N20" s="88">
        <v>100</v>
      </c>
      <c r="O20" s="88"/>
      <c r="P20" s="88"/>
      <c r="Q20" s="88"/>
      <c r="R20" s="88">
        <v>120</v>
      </c>
      <c r="S20" s="89"/>
      <c r="T20" s="88">
        <v>20</v>
      </c>
      <c r="U20" s="88"/>
      <c r="V20" s="88"/>
      <c r="W20" s="88"/>
      <c r="X20" s="88">
        <v>720</v>
      </c>
      <c r="Y20" s="89"/>
      <c r="Z20" s="88">
        <v>220</v>
      </c>
      <c r="AA20" s="88"/>
      <c r="AB20" s="88"/>
      <c r="AC20" s="88"/>
      <c r="AE20" s="9">
        <f t="shared" si="0"/>
        <v>2000</v>
      </c>
      <c r="AF20" s="6">
        <f>'Facility Data'!D59</f>
        <v>637</v>
      </c>
      <c r="AG20" s="49">
        <f t="shared" si="1"/>
        <v>3.1397174254317113</v>
      </c>
    </row>
    <row r="21" spans="1:34">
      <c r="A21" s="24" t="s">
        <v>12</v>
      </c>
      <c r="B21" s="81"/>
      <c r="C21" s="80"/>
      <c r="D21" s="80"/>
      <c r="E21" s="80"/>
      <c r="F21" s="88">
        <v>260</v>
      </c>
      <c r="G21" s="89"/>
      <c r="H21" s="88"/>
      <c r="I21" s="88">
        <v>420</v>
      </c>
      <c r="J21" s="88"/>
      <c r="K21" s="88"/>
      <c r="L21" s="88">
        <v>320</v>
      </c>
      <c r="M21" s="89"/>
      <c r="N21" s="88"/>
      <c r="O21" s="88">
        <v>180</v>
      </c>
      <c r="P21" s="88"/>
      <c r="Q21" s="88"/>
      <c r="R21" s="88">
        <v>220</v>
      </c>
      <c r="S21" s="89"/>
      <c r="T21" s="88"/>
      <c r="U21" s="88">
        <v>160</v>
      </c>
      <c r="V21" s="88"/>
      <c r="W21" s="88"/>
      <c r="X21" s="88">
        <v>80</v>
      </c>
      <c r="Y21" s="89"/>
      <c r="Z21" s="88"/>
      <c r="AA21" s="88">
        <v>120</v>
      </c>
      <c r="AB21" s="88"/>
      <c r="AC21" s="88"/>
      <c r="AE21" s="9">
        <f t="shared" si="0"/>
        <v>1760</v>
      </c>
      <c r="AF21" s="6">
        <f>'Facility Data'!D33</f>
        <v>581</v>
      </c>
      <c r="AG21" s="49">
        <f t="shared" si="1"/>
        <v>3.0292598967297764</v>
      </c>
    </row>
    <row r="22" spans="1:34">
      <c r="A22" s="23" t="s">
        <v>59</v>
      </c>
      <c r="B22" s="81"/>
      <c r="C22" s="80"/>
      <c r="D22" s="80"/>
      <c r="E22" s="80"/>
      <c r="F22" s="88"/>
      <c r="G22" s="89"/>
      <c r="H22" s="88">
        <v>380</v>
      </c>
      <c r="I22" s="88"/>
      <c r="J22" s="88"/>
      <c r="K22" s="88">
        <v>540</v>
      </c>
      <c r="L22" s="88"/>
      <c r="M22" s="89"/>
      <c r="N22" s="88">
        <v>320</v>
      </c>
      <c r="O22" s="88"/>
      <c r="P22" s="88"/>
      <c r="Q22" s="88">
        <v>160</v>
      </c>
      <c r="R22" s="88"/>
      <c r="S22" s="89"/>
      <c r="T22" s="88">
        <v>280</v>
      </c>
      <c r="U22" s="88"/>
      <c r="V22" s="88"/>
      <c r="W22" s="88">
        <v>280</v>
      </c>
      <c r="X22" s="88"/>
      <c r="Y22" s="89"/>
      <c r="Z22" s="88">
        <v>220</v>
      </c>
      <c r="AA22" s="88"/>
      <c r="AB22" s="88"/>
      <c r="AC22" s="88">
        <v>340</v>
      </c>
      <c r="AE22" s="9">
        <f t="shared" si="0"/>
        <v>2520</v>
      </c>
      <c r="AF22" s="6">
        <f>'Facility Data'!D48</f>
        <v>839</v>
      </c>
      <c r="AG22" s="49">
        <f t="shared" si="1"/>
        <v>3.00357568533969</v>
      </c>
    </row>
    <row r="23" spans="1:34">
      <c r="A23" s="23" t="s">
        <v>15</v>
      </c>
      <c r="B23" s="81"/>
      <c r="C23" s="80"/>
      <c r="D23" s="80"/>
      <c r="E23" s="80"/>
      <c r="F23" s="88"/>
      <c r="G23" s="89"/>
      <c r="H23" s="88">
        <v>120</v>
      </c>
      <c r="I23" s="88"/>
      <c r="J23" s="88"/>
      <c r="K23" s="88"/>
      <c r="L23" s="88"/>
      <c r="M23" s="89"/>
      <c r="N23" s="88">
        <v>520</v>
      </c>
      <c r="O23" s="88"/>
      <c r="P23" s="88"/>
      <c r="Q23" s="88"/>
      <c r="R23" s="88"/>
      <c r="S23" s="89"/>
      <c r="T23" s="88">
        <v>180</v>
      </c>
      <c r="U23" s="88"/>
      <c r="V23" s="88"/>
      <c r="W23" s="88"/>
      <c r="X23" s="88"/>
      <c r="Y23" s="89"/>
      <c r="Z23" s="88">
        <v>80</v>
      </c>
      <c r="AA23" s="88"/>
      <c r="AB23" s="88"/>
      <c r="AC23" s="88"/>
      <c r="AE23" s="9">
        <f t="shared" si="0"/>
        <v>900</v>
      </c>
      <c r="AF23" s="6">
        <f>'Facility Data'!D39</f>
        <v>302</v>
      </c>
      <c r="AG23" s="49">
        <f t="shared" si="1"/>
        <v>2.9801324503311259</v>
      </c>
    </row>
    <row r="24" spans="1:34">
      <c r="A24" s="25" t="s">
        <v>1</v>
      </c>
      <c r="B24" s="81"/>
      <c r="C24" s="80"/>
      <c r="D24" s="80"/>
      <c r="E24" s="80"/>
      <c r="F24" s="88"/>
      <c r="G24" s="89"/>
      <c r="H24" s="88">
        <v>420</v>
      </c>
      <c r="I24" s="88"/>
      <c r="J24" s="88"/>
      <c r="K24" s="88"/>
      <c r="L24" s="88"/>
      <c r="M24" s="89"/>
      <c r="N24" s="88">
        <v>1640</v>
      </c>
      <c r="O24" s="88"/>
      <c r="P24" s="88"/>
      <c r="Q24" s="88"/>
      <c r="R24" s="88"/>
      <c r="S24" s="89"/>
      <c r="T24" s="88">
        <v>80</v>
      </c>
      <c r="U24" s="88"/>
      <c r="V24" s="88"/>
      <c r="W24" s="88"/>
      <c r="X24" s="88"/>
      <c r="Y24" s="89"/>
      <c r="Z24" s="88">
        <v>180</v>
      </c>
      <c r="AA24" s="88"/>
      <c r="AB24" s="88"/>
      <c r="AC24" s="88"/>
      <c r="AE24" s="9">
        <f t="shared" si="0"/>
        <v>2320</v>
      </c>
      <c r="AF24" s="6">
        <f>'Facility Data'!D6</f>
        <v>807</v>
      </c>
      <c r="AG24" s="49">
        <f t="shared" si="1"/>
        <v>2.8748451053283768</v>
      </c>
    </row>
    <row r="25" spans="1:34">
      <c r="A25" s="25" t="s">
        <v>13</v>
      </c>
      <c r="B25" s="81"/>
      <c r="C25" s="80"/>
      <c r="D25" s="80"/>
      <c r="E25" s="80"/>
      <c r="F25" s="88"/>
      <c r="G25" s="89"/>
      <c r="H25" s="88">
        <v>180</v>
      </c>
      <c r="I25" s="88"/>
      <c r="J25" s="88"/>
      <c r="K25" s="88">
        <v>420</v>
      </c>
      <c r="L25" s="88"/>
      <c r="M25" s="89"/>
      <c r="N25" s="88">
        <v>20</v>
      </c>
      <c r="O25" s="88"/>
      <c r="P25" s="88"/>
      <c r="Q25" s="88">
        <v>280</v>
      </c>
      <c r="R25" s="88"/>
      <c r="S25" s="89"/>
      <c r="T25" s="88">
        <v>200</v>
      </c>
      <c r="U25" s="88"/>
      <c r="V25" s="88"/>
      <c r="W25" s="88">
        <v>120</v>
      </c>
      <c r="X25" s="88"/>
      <c r="Y25" s="89"/>
      <c r="Z25" s="88">
        <v>440</v>
      </c>
      <c r="AA25" s="88"/>
      <c r="AB25" s="88"/>
      <c r="AC25" s="88">
        <v>1680</v>
      </c>
      <c r="AE25" s="9">
        <f t="shared" si="0"/>
        <v>3340</v>
      </c>
      <c r="AF25" s="6">
        <f>'Facility Data'!D36</f>
        <v>1274</v>
      </c>
      <c r="AG25" s="49">
        <f t="shared" si="1"/>
        <v>2.6216640502354789</v>
      </c>
    </row>
    <row r="26" spans="1:34">
      <c r="A26" s="23" t="s">
        <v>55</v>
      </c>
      <c r="B26" s="81"/>
      <c r="C26" s="80"/>
      <c r="D26" s="80"/>
      <c r="E26" s="80"/>
      <c r="F26" s="88"/>
      <c r="G26" s="89"/>
      <c r="H26" s="88">
        <v>240</v>
      </c>
      <c r="I26" s="88"/>
      <c r="J26" s="88"/>
      <c r="K26" s="88">
        <v>160</v>
      </c>
      <c r="L26" s="88"/>
      <c r="M26" s="89"/>
      <c r="N26" s="88">
        <v>0</v>
      </c>
      <c r="O26" s="88"/>
      <c r="P26" s="88"/>
      <c r="Q26" s="88">
        <v>240</v>
      </c>
      <c r="R26" s="88"/>
      <c r="S26" s="89"/>
      <c r="T26" s="88">
        <v>400</v>
      </c>
      <c r="U26" s="88"/>
      <c r="V26" s="88"/>
      <c r="W26" s="88">
        <v>240</v>
      </c>
      <c r="X26" s="88"/>
      <c r="Y26" s="89"/>
      <c r="Z26" s="88">
        <v>120</v>
      </c>
      <c r="AA26" s="88"/>
      <c r="AB26" s="88"/>
      <c r="AC26" s="88">
        <v>400</v>
      </c>
      <c r="AE26" s="9">
        <f t="shared" si="0"/>
        <v>1800</v>
      </c>
      <c r="AF26" s="6">
        <f>'Facility Data'!D38</f>
        <v>695</v>
      </c>
      <c r="AG26" s="49">
        <f t="shared" si="1"/>
        <v>2.5899280575539567</v>
      </c>
    </row>
    <row r="27" spans="1:34">
      <c r="A27" s="23" t="s">
        <v>65</v>
      </c>
      <c r="B27" s="81"/>
      <c r="C27" s="80"/>
      <c r="D27" s="80"/>
      <c r="E27" s="80"/>
      <c r="F27" s="88"/>
      <c r="G27" s="89"/>
      <c r="H27" s="88">
        <v>520</v>
      </c>
      <c r="I27" s="88"/>
      <c r="J27" s="88"/>
      <c r="K27" s="88"/>
      <c r="L27" s="88"/>
      <c r="M27" s="89"/>
      <c r="N27" s="88">
        <v>680</v>
      </c>
      <c r="O27" s="88"/>
      <c r="P27" s="88"/>
      <c r="Q27" s="88"/>
      <c r="R27" s="88"/>
      <c r="S27" s="89"/>
      <c r="T27" s="88">
        <v>540</v>
      </c>
      <c r="U27" s="88"/>
      <c r="V27" s="88"/>
      <c r="W27" s="88"/>
      <c r="X27" s="88"/>
      <c r="Y27" s="89"/>
      <c r="Z27" s="88">
        <v>500</v>
      </c>
      <c r="AA27" s="88"/>
      <c r="AB27" s="88"/>
      <c r="AC27" s="88"/>
      <c r="AE27" s="9">
        <f t="shared" si="0"/>
        <v>2240</v>
      </c>
      <c r="AF27" s="6">
        <f>'Facility Data'!D60</f>
        <v>865</v>
      </c>
      <c r="AG27" s="49">
        <f t="shared" si="1"/>
        <v>2.5895953757225434</v>
      </c>
    </row>
    <row r="28" spans="1:34">
      <c r="A28" s="23" t="s">
        <v>52</v>
      </c>
      <c r="B28" s="81"/>
      <c r="C28" s="80"/>
      <c r="D28" s="80"/>
      <c r="E28" s="80"/>
      <c r="F28" s="88"/>
      <c r="G28" s="89"/>
      <c r="H28" s="88"/>
      <c r="I28" s="88">
        <v>140</v>
      </c>
      <c r="J28" s="88"/>
      <c r="K28" s="88">
        <v>160</v>
      </c>
      <c r="L28" s="88"/>
      <c r="M28" s="89"/>
      <c r="N28" s="88"/>
      <c r="O28" s="88">
        <v>520</v>
      </c>
      <c r="P28" s="88"/>
      <c r="Q28" s="88">
        <v>100</v>
      </c>
      <c r="R28" s="88"/>
      <c r="S28" s="89"/>
      <c r="T28" s="88"/>
      <c r="U28" s="88">
        <v>60</v>
      </c>
      <c r="V28" s="88"/>
      <c r="W28" s="88">
        <v>100</v>
      </c>
      <c r="X28" s="88"/>
      <c r="Y28" s="89"/>
      <c r="Z28" s="88"/>
      <c r="AA28" s="88">
        <v>320</v>
      </c>
      <c r="AB28" s="88"/>
      <c r="AC28" s="88">
        <v>240</v>
      </c>
      <c r="AE28" s="9">
        <f t="shared" si="0"/>
        <v>1640</v>
      </c>
      <c r="AF28" s="6">
        <f>'Facility Data'!D31</f>
        <v>693</v>
      </c>
      <c r="AG28" s="49">
        <f t="shared" si="1"/>
        <v>2.3665223665223665</v>
      </c>
    </row>
    <row r="29" spans="1:34">
      <c r="A29" s="24" t="s">
        <v>24</v>
      </c>
      <c r="B29" s="81"/>
      <c r="C29" s="80"/>
      <c r="D29" s="80"/>
      <c r="E29" s="80"/>
      <c r="F29" s="88"/>
      <c r="G29" s="89"/>
      <c r="H29" s="88"/>
      <c r="I29" s="88"/>
      <c r="J29" s="88"/>
      <c r="K29" s="88">
        <v>340</v>
      </c>
      <c r="L29" s="88"/>
      <c r="M29" s="89"/>
      <c r="N29" s="88"/>
      <c r="O29" s="88"/>
      <c r="P29" s="88"/>
      <c r="Q29" s="88">
        <v>720</v>
      </c>
      <c r="R29" s="88"/>
      <c r="S29" s="89"/>
      <c r="T29" s="88"/>
      <c r="U29" s="88"/>
      <c r="V29" s="88"/>
      <c r="W29" s="88">
        <v>300</v>
      </c>
      <c r="X29" s="88"/>
      <c r="Y29" s="89"/>
      <c r="Z29" s="88"/>
      <c r="AA29" s="88"/>
      <c r="AB29" s="88"/>
      <c r="AC29" s="88">
        <v>760</v>
      </c>
      <c r="AE29" s="9">
        <f t="shared" si="0"/>
        <v>2120</v>
      </c>
      <c r="AF29" s="6">
        <f>'Facility Data'!D55</f>
        <v>900</v>
      </c>
      <c r="AG29" s="49">
        <f t="shared" si="1"/>
        <v>2.3555555555555556</v>
      </c>
    </row>
    <row r="30" spans="1:34">
      <c r="A30" s="23" t="s">
        <v>63</v>
      </c>
      <c r="B30" s="81"/>
      <c r="C30" s="80"/>
      <c r="D30" s="80"/>
      <c r="E30" s="80"/>
      <c r="F30" s="88"/>
      <c r="G30" s="89"/>
      <c r="H30" s="88">
        <v>280</v>
      </c>
      <c r="I30" s="88"/>
      <c r="J30" s="88"/>
      <c r="K30" s="88">
        <v>160</v>
      </c>
      <c r="L30" s="88"/>
      <c r="M30" s="89"/>
      <c r="N30" s="88">
        <v>400</v>
      </c>
      <c r="O30" s="88"/>
      <c r="P30" s="88"/>
      <c r="Q30" s="88">
        <v>120</v>
      </c>
      <c r="R30" s="88"/>
      <c r="S30" s="89"/>
      <c r="T30" s="88">
        <v>280</v>
      </c>
      <c r="U30" s="88"/>
      <c r="V30" s="88"/>
      <c r="W30" s="88">
        <v>20</v>
      </c>
      <c r="X30" s="88"/>
      <c r="Y30" s="89"/>
      <c r="Z30" s="88">
        <v>340</v>
      </c>
      <c r="AA30" s="88"/>
      <c r="AB30" s="88"/>
      <c r="AC30" s="88">
        <v>140</v>
      </c>
      <c r="AE30" s="9">
        <f t="shared" si="0"/>
        <v>1740</v>
      </c>
      <c r="AF30" s="6">
        <f>'Facility Data'!D56</f>
        <v>762</v>
      </c>
      <c r="AG30" s="49">
        <f t="shared" si="1"/>
        <v>2.2834645669291338</v>
      </c>
    </row>
    <row r="31" spans="1:34">
      <c r="A31" s="23" t="s">
        <v>56</v>
      </c>
      <c r="B31" s="81"/>
      <c r="C31" s="80"/>
      <c r="D31" s="80"/>
      <c r="E31" s="80"/>
      <c r="F31" s="88"/>
      <c r="G31" s="89"/>
      <c r="H31" s="88"/>
      <c r="I31" s="88"/>
      <c r="J31" s="88"/>
      <c r="K31" s="88">
        <v>100</v>
      </c>
      <c r="L31" s="88"/>
      <c r="M31" s="89"/>
      <c r="N31" s="88"/>
      <c r="O31" s="88"/>
      <c r="P31" s="88"/>
      <c r="Q31" s="88">
        <v>100</v>
      </c>
      <c r="R31" s="88"/>
      <c r="S31" s="89"/>
      <c r="T31" s="88"/>
      <c r="U31" s="88"/>
      <c r="V31" s="88"/>
      <c r="W31" s="88">
        <v>80</v>
      </c>
      <c r="X31" s="88"/>
      <c r="Y31" s="89"/>
      <c r="Z31" s="88"/>
      <c r="AA31" s="88"/>
      <c r="AB31" s="88"/>
      <c r="AC31" s="88">
        <v>60</v>
      </c>
      <c r="AE31" s="9">
        <f t="shared" si="0"/>
        <v>340</v>
      </c>
      <c r="AF31" s="6">
        <f>'Facility Data'!D41</f>
        <v>157</v>
      </c>
      <c r="AG31" s="49">
        <f t="shared" si="1"/>
        <v>2.1656050955414012</v>
      </c>
    </row>
    <row r="32" spans="1:34">
      <c r="A32" s="23" t="s">
        <v>69</v>
      </c>
      <c r="B32" s="81"/>
      <c r="C32" s="80"/>
      <c r="D32" s="80"/>
      <c r="E32" s="80"/>
      <c r="F32" s="88"/>
      <c r="G32" s="89"/>
      <c r="H32" s="88"/>
      <c r="I32" s="88"/>
      <c r="J32" s="88"/>
      <c r="K32" s="88">
        <v>20</v>
      </c>
      <c r="L32" s="88"/>
      <c r="M32" s="89"/>
      <c r="N32" s="88"/>
      <c r="O32" s="88"/>
      <c r="P32" s="88"/>
      <c r="Q32" s="88">
        <v>60</v>
      </c>
      <c r="R32" s="88"/>
      <c r="S32" s="89"/>
      <c r="T32" s="88"/>
      <c r="U32" s="88"/>
      <c r="V32" s="88"/>
      <c r="W32" s="88">
        <v>60</v>
      </c>
      <c r="X32" s="88"/>
      <c r="Y32" s="89"/>
      <c r="Z32" s="88"/>
      <c r="AA32" s="88"/>
      <c r="AB32" s="88"/>
      <c r="AC32" s="88">
        <v>200</v>
      </c>
      <c r="AE32" s="9">
        <f t="shared" si="0"/>
        <v>340</v>
      </c>
      <c r="AF32" s="6">
        <f>'Facility Data'!D34</f>
        <v>166</v>
      </c>
      <c r="AG32" s="49">
        <f t="shared" si="1"/>
        <v>2.0481927710843375</v>
      </c>
      <c r="AH32" t="s">
        <v>76</v>
      </c>
    </row>
    <row r="33" spans="1:33">
      <c r="A33" s="25" t="s">
        <v>5</v>
      </c>
      <c r="B33" s="81"/>
      <c r="C33" s="80"/>
      <c r="D33" s="80"/>
      <c r="E33" s="80"/>
      <c r="F33" s="88">
        <v>260</v>
      </c>
      <c r="G33" s="89"/>
      <c r="H33" s="88">
        <v>660</v>
      </c>
      <c r="I33" s="88"/>
      <c r="J33" s="88">
        <v>160</v>
      </c>
      <c r="K33" s="88"/>
      <c r="L33" s="88">
        <v>140</v>
      </c>
      <c r="M33" s="89"/>
      <c r="N33" s="88">
        <v>400</v>
      </c>
      <c r="O33" s="88"/>
      <c r="P33" s="88">
        <v>160</v>
      </c>
      <c r="Q33" s="88"/>
      <c r="R33" s="88">
        <v>200</v>
      </c>
      <c r="S33" s="89"/>
      <c r="T33" s="88">
        <v>360</v>
      </c>
      <c r="U33" s="88"/>
      <c r="V33" s="88">
        <v>120</v>
      </c>
      <c r="W33" s="88"/>
      <c r="X33" s="88">
        <v>80</v>
      </c>
      <c r="Y33" s="89"/>
      <c r="Z33" s="88">
        <v>360</v>
      </c>
      <c r="AA33" s="88"/>
      <c r="AB33" s="88">
        <v>120</v>
      </c>
      <c r="AC33" s="88"/>
      <c r="AE33" s="9">
        <f t="shared" si="0"/>
        <v>3020</v>
      </c>
      <c r="AF33" s="6">
        <f>'Facility Data'!D14</f>
        <v>1500</v>
      </c>
      <c r="AG33" s="49">
        <f t="shared" si="1"/>
        <v>2.0133333333333332</v>
      </c>
    </row>
    <row r="34" spans="1:33">
      <c r="A34" s="25" t="s">
        <v>25</v>
      </c>
      <c r="B34" s="81"/>
      <c r="C34" s="80"/>
      <c r="D34" s="80"/>
      <c r="E34" s="80"/>
      <c r="F34" s="88"/>
      <c r="G34" s="89"/>
      <c r="H34" s="88">
        <v>300</v>
      </c>
      <c r="I34" s="88"/>
      <c r="J34" s="88"/>
      <c r="K34" s="88">
        <v>140</v>
      </c>
      <c r="L34" s="88"/>
      <c r="M34" s="89"/>
      <c r="N34" s="88">
        <v>80</v>
      </c>
      <c r="O34" s="88"/>
      <c r="P34" s="88"/>
      <c r="Q34" s="88">
        <v>180</v>
      </c>
      <c r="R34" s="88"/>
      <c r="S34" s="89"/>
      <c r="T34" s="88">
        <v>1240</v>
      </c>
      <c r="U34" s="88"/>
      <c r="V34" s="88"/>
      <c r="W34" s="88">
        <v>60</v>
      </c>
      <c r="X34" s="88"/>
      <c r="Y34" s="89"/>
      <c r="Z34" s="88">
        <v>320</v>
      </c>
      <c r="AA34" s="88"/>
      <c r="AB34" s="88"/>
      <c r="AC34" s="88">
        <v>140</v>
      </c>
      <c r="AE34" s="9">
        <f t="shared" si="0"/>
        <v>2460</v>
      </c>
      <c r="AF34" s="6">
        <f>'Facility Data'!D57</f>
        <v>1227</v>
      </c>
      <c r="AG34" s="49">
        <f t="shared" si="1"/>
        <v>2.0048899755501224</v>
      </c>
    </row>
    <row r="35" spans="1:33">
      <c r="A35" s="23" t="s">
        <v>50</v>
      </c>
      <c r="B35" s="81"/>
      <c r="C35" s="80"/>
      <c r="D35" s="80"/>
      <c r="E35" s="80"/>
      <c r="F35" s="88"/>
      <c r="G35" s="89"/>
      <c r="H35" s="88"/>
      <c r="I35" s="88">
        <v>300</v>
      </c>
      <c r="J35" s="88"/>
      <c r="K35" s="88"/>
      <c r="L35" s="88"/>
      <c r="M35" s="89"/>
      <c r="N35" s="88"/>
      <c r="O35" s="88">
        <v>480</v>
      </c>
      <c r="P35" s="88"/>
      <c r="Q35" s="88"/>
      <c r="R35" s="88"/>
      <c r="S35" s="89"/>
      <c r="T35" s="88"/>
      <c r="U35" s="88">
        <v>280</v>
      </c>
      <c r="V35" s="88"/>
      <c r="W35" s="88"/>
      <c r="X35" s="88"/>
      <c r="Y35" s="89"/>
      <c r="Z35" s="88"/>
      <c r="AA35" s="88">
        <v>280</v>
      </c>
      <c r="AB35" s="88"/>
      <c r="AC35" s="88"/>
      <c r="AE35" s="9">
        <f t="shared" si="0"/>
        <v>1340</v>
      </c>
      <c r="AF35" s="6">
        <f>'Facility Data'!D28</f>
        <v>702</v>
      </c>
      <c r="AG35" s="49">
        <f t="shared" si="1"/>
        <v>1.9088319088319088</v>
      </c>
    </row>
    <row r="36" spans="1:33">
      <c r="A36" s="23" t="s">
        <v>43</v>
      </c>
      <c r="B36" s="81"/>
      <c r="C36" s="80"/>
      <c r="D36" s="80"/>
      <c r="E36" s="80"/>
      <c r="F36" s="88">
        <v>280</v>
      </c>
      <c r="G36" s="89"/>
      <c r="H36" s="88"/>
      <c r="I36" s="88"/>
      <c r="J36" s="88"/>
      <c r="K36" s="88"/>
      <c r="L36" s="88">
        <v>360</v>
      </c>
      <c r="M36" s="89"/>
      <c r="N36" s="88"/>
      <c r="O36" s="88"/>
      <c r="P36" s="88"/>
      <c r="Q36" s="88"/>
      <c r="R36" s="88">
        <v>80</v>
      </c>
      <c r="S36" s="89"/>
      <c r="T36" s="88"/>
      <c r="U36" s="88"/>
      <c r="V36" s="88"/>
      <c r="W36" s="88"/>
      <c r="X36" s="88">
        <v>160</v>
      </c>
      <c r="Y36" s="89"/>
      <c r="Z36" s="88"/>
      <c r="AA36" s="88"/>
      <c r="AB36" s="88"/>
      <c r="AC36" s="88"/>
      <c r="AE36" s="9">
        <f t="shared" si="0"/>
        <v>880</v>
      </c>
      <c r="AF36" s="6">
        <f>'Facility Data'!D16</f>
        <v>469</v>
      </c>
      <c r="AG36" s="49">
        <f t="shared" si="1"/>
        <v>1.8763326226012793</v>
      </c>
    </row>
    <row r="37" spans="1:33">
      <c r="A37" s="23" t="s">
        <v>68</v>
      </c>
      <c r="B37" s="81"/>
      <c r="C37" s="80"/>
      <c r="D37" s="80"/>
      <c r="E37" s="80"/>
      <c r="F37" s="88"/>
      <c r="G37" s="89"/>
      <c r="H37" s="88">
        <v>160</v>
      </c>
      <c r="I37" s="88"/>
      <c r="J37" s="88"/>
      <c r="K37" s="88"/>
      <c r="L37" s="88"/>
      <c r="M37" s="89"/>
      <c r="N37" s="88">
        <v>520</v>
      </c>
      <c r="O37" s="88"/>
      <c r="P37" s="88"/>
      <c r="Q37" s="88"/>
      <c r="R37" s="88"/>
      <c r="S37" s="89"/>
      <c r="T37" s="88">
        <v>200</v>
      </c>
      <c r="U37" s="88"/>
      <c r="V37" s="88"/>
      <c r="W37" s="88"/>
      <c r="X37" s="88"/>
      <c r="Y37" s="89"/>
      <c r="Z37" s="88">
        <v>80</v>
      </c>
      <c r="AA37" s="88"/>
      <c r="AB37" s="88"/>
      <c r="AC37" s="88"/>
      <c r="AE37" s="9">
        <f t="shared" si="0"/>
        <v>960</v>
      </c>
      <c r="AF37" s="6">
        <f>'Facility Data'!D64</f>
        <v>514</v>
      </c>
      <c r="AG37" s="49">
        <f t="shared" si="1"/>
        <v>1.867704280155642</v>
      </c>
    </row>
    <row r="38" spans="1:33">
      <c r="A38" s="24" t="s">
        <v>19</v>
      </c>
      <c r="B38" s="81"/>
      <c r="C38" s="80"/>
      <c r="D38" s="80"/>
      <c r="E38" s="80"/>
      <c r="F38" s="88"/>
      <c r="G38" s="89"/>
      <c r="H38" s="88">
        <v>80</v>
      </c>
      <c r="I38" s="88"/>
      <c r="J38" s="88"/>
      <c r="K38" s="88">
        <v>240</v>
      </c>
      <c r="L38" s="88"/>
      <c r="M38" s="89"/>
      <c r="N38" s="88">
        <v>160</v>
      </c>
      <c r="O38" s="88"/>
      <c r="P38" s="88"/>
      <c r="Q38" s="88">
        <v>270</v>
      </c>
      <c r="R38" s="88"/>
      <c r="S38" s="89"/>
      <c r="T38" s="88">
        <v>140</v>
      </c>
      <c r="U38" s="88"/>
      <c r="V38" s="88"/>
      <c r="W38" s="88">
        <v>60</v>
      </c>
      <c r="X38" s="88"/>
      <c r="Y38" s="89"/>
      <c r="Z38" s="88">
        <v>180</v>
      </c>
      <c r="AA38" s="88"/>
      <c r="AB38" s="88"/>
      <c r="AC38" s="88">
        <v>160</v>
      </c>
      <c r="AE38" s="9">
        <f t="shared" ref="AE38:AE67" si="2">SUM(B38:AD38)</f>
        <v>1290</v>
      </c>
      <c r="AF38" s="6">
        <f>'Facility Data'!D46</f>
        <v>693</v>
      </c>
      <c r="AG38" s="49">
        <f t="shared" ref="AG38:AG67" si="3">AE38/AF38</f>
        <v>1.8614718614718615</v>
      </c>
    </row>
    <row r="39" spans="1:33">
      <c r="A39" s="23" t="s">
        <v>45</v>
      </c>
      <c r="B39" s="81"/>
      <c r="C39" s="80"/>
      <c r="D39" s="80"/>
      <c r="E39" s="80"/>
      <c r="F39" s="88">
        <v>260</v>
      </c>
      <c r="G39" s="89"/>
      <c r="H39" s="88"/>
      <c r="I39" s="88"/>
      <c r="J39" s="88"/>
      <c r="K39" s="88"/>
      <c r="L39" s="88">
        <v>420</v>
      </c>
      <c r="M39" s="89"/>
      <c r="N39" s="88"/>
      <c r="O39" s="88"/>
      <c r="P39" s="88"/>
      <c r="Q39" s="88"/>
      <c r="R39" s="88">
        <v>120</v>
      </c>
      <c r="S39" s="89"/>
      <c r="T39" s="88"/>
      <c r="U39" s="88"/>
      <c r="V39" s="88"/>
      <c r="W39" s="88"/>
      <c r="X39" s="88">
        <v>20</v>
      </c>
      <c r="Y39" s="89"/>
      <c r="Z39" s="88"/>
      <c r="AA39" s="88"/>
      <c r="AB39" s="88"/>
      <c r="AC39" s="88"/>
      <c r="AE39" s="9">
        <f t="shared" si="2"/>
        <v>820</v>
      </c>
      <c r="AF39" s="6">
        <f>'Facility Data'!D19</f>
        <v>442</v>
      </c>
      <c r="AG39" s="49">
        <f t="shared" si="3"/>
        <v>1.8552036199095023</v>
      </c>
    </row>
    <row r="40" spans="1:33">
      <c r="A40" s="23" t="s">
        <v>51</v>
      </c>
      <c r="B40" s="81"/>
      <c r="C40" s="80"/>
      <c r="D40" s="80"/>
      <c r="E40" s="80"/>
      <c r="F40" s="88"/>
      <c r="G40" s="89"/>
      <c r="H40" s="88"/>
      <c r="I40" s="88"/>
      <c r="J40" s="88"/>
      <c r="K40" s="88">
        <v>60</v>
      </c>
      <c r="L40" s="88"/>
      <c r="M40" s="89"/>
      <c r="N40" s="88"/>
      <c r="O40" s="88"/>
      <c r="P40" s="88"/>
      <c r="Q40" s="88">
        <v>240</v>
      </c>
      <c r="R40" s="88"/>
      <c r="S40" s="89"/>
      <c r="T40" s="88"/>
      <c r="U40" s="88"/>
      <c r="V40" s="88"/>
      <c r="W40" s="88">
        <v>200</v>
      </c>
      <c r="X40" s="88"/>
      <c r="Y40" s="89"/>
      <c r="Z40" s="88"/>
      <c r="AA40" s="88"/>
      <c r="AB40" s="88"/>
      <c r="AC40" s="88">
        <v>240</v>
      </c>
      <c r="AE40" s="9">
        <f t="shared" si="2"/>
        <v>740</v>
      </c>
      <c r="AF40" s="6">
        <f>'Facility Data'!D30</f>
        <v>419</v>
      </c>
      <c r="AG40" s="49">
        <f t="shared" si="3"/>
        <v>1.766109785202864</v>
      </c>
    </row>
    <row r="41" spans="1:33">
      <c r="A41" s="25" t="s">
        <v>8</v>
      </c>
      <c r="B41" s="81"/>
      <c r="C41" s="80"/>
      <c r="D41" s="80"/>
      <c r="E41" s="80"/>
      <c r="F41" s="88"/>
      <c r="G41" s="89"/>
      <c r="H41" s="88">
        <v>540</v>
      </c>
      <c r="I41" s="88"/>
      <c r="J41" s="88"/>
      <c r="K41" s="88">
        <v>280</v>
      </c>
      <c r="L41" s="88"/>
      <c r="M41" s="89"/>
      <c r="N41" s="88">
        <v>100</v>
      </c>
      <c r="O41" s="88"/>
      <c r="P41" s="88"/>
      <c r="Q41" s="88">
        <v>480</v>
      </c>
      <c r="R41" s="88"/>
      <c r="S41" s="89"/>
      <c r="T41" s="88">
        <v>200</v>
      </c>
      <c r="U41" s="88"/>
      <c r="V41" s="88"/>
      <c r="W41" s="88">
        <v>100</v>
      </c>
      <c r="X41" s="88"/>
      <c r="Y41" s="89"/>
      <c r="Z41" s="88">
        <v>400</v>
      </c>
      <c r="AA41" s="88"/>
      <c r="AB41" s="88"/>
      <c r="AC41" s="88">
        <v>220</v>
      </c>
      <c r="AE41" s="9">
        <f t="shared" si="2"/>
        <v>2320</v>
      </c>
      <c r="AF41" s="6">
        <f>'Facility Data'!D25</f>
        <v>1325</v>
      </c>
      <c r="AG41" s="49">
        <f t="shared" si="3"/>
        <v>1.7509433962264151</v>
      </c>
    </row>
    <row r="42" spans="1:33">
      <c r="A42" s="23" t="s">
        <v>47</v>
      </c>
      <c r="B42" s="81"/>
      <c r="C42" s="80"/>
      <c r="D42" s="80"/>
      <c r="E42" s="80"/>
      <c r="F42" s="88"/>
      <c r="G42" s="89"/>
      <c r="H42" s="88"/>
      <c r="I42" s="88"/>
      <c r="J42" s="88"/>
      <c r="K42" s="88">
        <v>120</v>
      </c>
      <c r="L42" s="88"/>
      <c r="M42" s="89"/>
      <c r="N42" s="88"/>
      <c r="O42" s="88"/>
      <c r="P42" s="88"/>
      <c r="Q42" s="88">
        <v>120</v>
      </c>
      <c r="R42" s="88"/>
      <c r="S42" s="89"/>
      <c r="T42" s="88"/>
      <c r="U42" s="88"/>
      <c r="V42" s="88"/>
      <c r="W42" s="88">
        <v>140</v>
      </c>
      <c r="X42" s="88"/>
      <c r="Y42" s="89"/>
      <c r="Z42" s="88"/>
      <c r="AA42" s="88"/>
      <c r="AB42" s="88"/>
      <c r="AC42" s="88">
        <v>200</v>
      </c>
      <c r="AE42" s="9">
        <f t="shared" si="2"/>
        <v>580</v>
      </c>
      <c r="AF42" s="6">
        <f>'Facility Data'!D21</f>
        <v>334</v>
      </c>
      <c r="AG42" s="49">
        <f t="shared" si="3"/>
        <v>1.7365269461077844</v>
      </c>
    </row>
    <row r="43" spans="1:33">
      <c r="A43" s="25" t="s">
        <v>17</v>
      </c>
      <c r="B43" s="81"/>
      <c r="C43" s="80"/>
      <c r="D43" s="80"/>
      <c r="E43" s="80"/>
      <c r="F43" s="88">
        <v>740</v>
      </c>
      <c r="G43" s="89"/>
      <c r="H43" s="88"/>
      <c r="I43" s="88">
        <v>440</v>
      </c>
      <c r="J43" s="88"/>
      <c r="K43" s="88"/>
      <c r="L43" s="88">
        <v>280</v>
      </c>
      <c r="M43" s="89"/>
      <c r="N43" s="88"/>
      <c r="O43" s="88">
        <v>300</v>
      </c>
      <c r="P43" s="88"/>
      <c r="Q43" s="88"/>
      <c r="R43" s="88">
        <v>340</v>
      </c>
      <c r="S43" s="89"/>
      <c r="T43" s="88"/>
      <c r="U43" s="88">
        <v>60</v>
      </c>
      <c r="V43" s="88"/>
      <c r="W43" s="88"/>
      <c r="X43" s="88">
        <v>620</v>
      </c>
      <c r="Y43" s="89"/>
      <c r="Z43" s="88"/>
      <c r="AA43" s="88">
        <v>40</v>
      </c>
      <c r="AB43" s="88"/>
      <c r="AC43" s="88"/>
      <c r="AE43" s="9">
        <f t="shared" si="2"/>
        <v>2820</v>
      </c>
      <c r="AF43" s="6">
        <f>'Facility Data'!D43</f>
        <v>1632</v>
      </c>
      <c r="AG43" s="49">
        <f t="shared" si="3"/>
        <v>1.7279411764705883</v>
      </c>
    </row>
    <row r="44" spans="1:33">
      <c r="A44" s="25" t="s">
        <v>22</v>
      </c>
      <c r="B44" s="81"/>
      <c r="C44" s="80"/>
      <c r="D44" s="80"/>
      <c r="E44" s="80"/>
      <c r="F44" s="88">
        <v>140</v>
      </c>
      <c r="G44" s="89"/>
      <c r="H44" s="88">
        <v>200</v>
      </c>
      <c r="I44" s="88"/>
      <c r="J44" s="88">
        <v>240</v>
      </c>
      <c r="K44" s="88"/>
      <c r="L44" s="88">
        <v>120</v>
      </c>
      <c r="M44" s="89"/>
      <c r="N44" s="88">
        <v>300</v>
      </c>
      <c r="O44" s="88"/>
      <c r="P44" s="88">
        <v>240</v>
      </c>
      <c r="Q44" s="88"/>
      <c r="R44" s="88">
        <v>60</v>
      </c>
      <c r="S44" s="89"/>
      <c r="T44" s="88">
        <v>260</v>
      </c>
      <c r="U44" s="88"/>
      <c r="V44" s="88">
        <v>240</v>
      </c>
      <c r="W44" s="88"/>
      <c r="X44" s="88">
        <v>120</v>
      </c>
      <c r="Y44" s="89"/>
      <c r="Z44" s="88">
        <v>580</v>
      </c>
      <c r="AA44" s="88"/>
      <c r="AB44" s="88">
        <v>260</v>
      </c>
      <c r="AC44" s="88"/>
      <c r="AE44" s="9">
        <f t="shared" si="2"/>
        <v>2760</v>
      </c>
      <c r="AF44" s="6">
        <f>'Facility Data'!D52</f>
        <v>1609</v>
      </c>
      <c r="AG44" s="49">
        <f t="shared" si="3"/>
        <v>1.7153511497824736</v>
      </c>
    </row>
    <row r="45" spans="1:33">
      <c r="A45" s="23" t="s">
        <v>42</v>
      </c>
      <c r="B45" s="81"/>
      <c r="C45" s="80"/>
      <c r="D45" s="80"/>
      <c r="E45" s="80"/>
      <c r="F45" s="88"/>
      <c r="G45" s="89"/>
      <c r="H45" s="88"/>
      <c r="I45" s="88"/>
      <c r="J45" s="88"/>
      <c r="K45" s="88">
        <v>160</v>
      </c>
      <c r="L45" s="88"/>
      <c r="M45" s="89"/>
      <c r="N45" s="88"/>
      <c r="O45" s="88"/>
      <c r="P45" s="88"/>
      <c r="Q45" s="88">
        <v>360</v>
      </c>
      <c r="R45" s="88"/>
      <c r="S45" s="89"/>
      <c r="T45" s="88"/>
      <c r="U45" s="88"/>
      <c r="V45" s="88"/>
      <c r="W45" s="88">
        <v>420</v>
      </c>
      <c r="X45" s="88"/>
      <c r="Y45" s="89"/>
      <c r="Z45" s="88"/>
      <c r="AA45" s="88"/>
      <c r="AB45" s="88"/>
      <c r="AC45" s="88">
        <v>180</v>
      </c>
      <c r="AE45" s="9">
        <f t="shared" si="2"/>
        <v>1120</v>
      </c>
      <c r="AF45" s="6">
        <f>'Facility Data'!D15</f>
        <v>713</v>
      </c>
      <c r="AG45" s="49">
        <f t="shared" si="3"/>
        <v>1.5708274894810659</v>
      </c>
    </row>
    <row r="46" spans="1:33">
      <c r="A46" s="24" t="s">
        <v>4</v>
      </c>
      <c r="B46" s="81"/>
      <c r="C46" s="80"/>
      <c r="D46" s="80"/>
      <c r="E46" s="80"/>
      <c r="F46" s="88"/>
      <c r="G46" s="89"/>
      <c r="H46" s="88"/>
      <c r="I46" s="88"/>
      <c r="J46" s="88"/>
      <c r="K46" s="88">
        <v>260</v>
      </c>
      <c r="L46" s="88"/>
      <c r="M46" s="89"/>
      <c r="N46" s="88"/>
      <c r="O46" s="88"/>
      <c r="P46" s="88"/>
      <c r="Q46" s="88">
        <v>280</v>
      </c>
      <c r="R46" s="88"/>
      <c r="S46" s="89"/>
      <c r="T46" s="88"/>
      <c r="U46" s="88"/>
      <c r="V46" s="88"/>
      <c r="W46" s="88">
        <v>200</v>
      </c>
      <c r="X46" s="88"/>
      <c r="Y46" s="89"/>
      <c r="Z46" s="88"/>
      <c r="AA46" s="88"/>
      <c r="AB46" s="88"/>
      <c r="AC46" s="88">
        <v>160</v>
      </c>
      <c r="AE46" s="9">
        <f t="shared" si="2"/>
        <v>900</v>
      </c>
      <c r="AF46" s="6">
        <f>'Facility Data'!D11</f>
        <v>573</v>
      </c>
      <c r="AG46" s="49">
        <f t="shared" si="3"/>
        <v>1.5706806282722514</v>
      </c>
    </row>
    <row r="47" spans="1:33">
      <c r="A47" s="24" t="s">
        <v>11</v>
      </c>
      <c r="B47" s="81"/>
      <c r="C47" s="80"/>
      <c r="D47" s="80"/>
      <c r="E47" s="80"/>
      <c r="F47" s="88">
        <v>180</v>
      </c>
      <c r="G47" s="89"/>
      <c r="H47" s="88"/>
      <c r="I47" s="88">
        <v>260</v>
      </c>
      <c r="J47" s="88"/>
      <c r="K47" s="88"/>
      <c r="L47" s="88">
        <v>180</v>
      </c>
      <c r="M47" s="89"/>
      <c r="N47" s="88"/>
      <c r="O47" s="88">
        <v>180</v>
      </c>
      <c r="P47" s="88"/>
      <c r="Q47" s="88"/>
      <c r="R47" s="88">
        <v>140</v>
      </c>
      <c r="S47" s="89"/>
      <c r="T47" s="88"/>
      <c r="U47" s="88">
        <v>160</v>
      </c>
      <c r="V47" s="88"/>
      <c r="W47" s="88"/>
      <c r="X47" s="88">
        <v>100</v>
      </c>
      <c r="Y47" s="89"/>
      <c r="Z47" s="88"/>
      <c r="AA47" s="88">
        <v>80</v>
      </c>
      <c r="AB47" s="88"/>
      <c r="AC47" s="88"/>
      <c r="AE47" s="9">
        <f t="shared" si="2"/>
        <v>1280</v>
      </c>
      <c r="AF47" s="6">
        <f>'Facility Data'!D29</f>
        <v>816</v>
      </c>
      <c r="AG47" s="49">
        <f t="shared" si="3"/>
        <v>1.5686274509803921</v>
      </c>
    </row>
    <row r="48" spans="1:33">
      <c r="A48" s="23" t="s">
        <v>39</v>
      </c>
      <c r="B48" s="81"/>
      <c r="C48" s="80"/>
      <c r="D48" s="80"/>
      <c r="E48" s="80"/>
      <c r="F48" s="88">
        <v>220</v>
      </c>
      <c r="G48" s="89"/>
      <c r="H48" s="88"/>
      <c r="I48" s="88">
        <v>140</v>
      </c>
      <c r="J48" s="88"/>
      <c r="K48" s="88"/>
      <c r="L48" s="88">
        <v>200</v>
      </c>
      <c r="M48" s="89"/>
      <c r="N48" s="88"/>
      <c r="O48" s="88">
        <v>360</v>
      </c>
      <c r="P48" s="88"/>
      <c r="Q48" s="88"/>
      <c r="R48" s="88">
        <v>240</v>
      </c>
      <c r="S48" s="89"/>
      <c r="T48" s="88"/>
      <c r="U48" s="88">
        <v>200</v>
      </c>
      <c r="V48" s="88"/>
      <c r="W48" s="88"/>
      <c r="X48" s="88">
        <v>20</v>
      </c>
      <c r="Y48" s="89"/>
      <c r="Z48" s="88"/>
      <c r="AA48" s="88">
        <v>220</v>
      </c>
      <c r="AB48" s="88"/>
      <c r="AC48" s="88"/>
      <c r="AE48" s="9">
        <f t="shared" si="2"/>
        <v>1600</v>
      </c>
      <c r="AF48" s="6">
        <f>'Facility Data'!D10</f>
        <v>1028</v>
      </c>
      <c r="AG48" s="49">
        <f t="shared" si="3"/>
        <v>1.556420233463035</v>
      </c>
    </row>
    <row r="49" spans="1:33">
      <c r="A49" s="25" t="s">
        <v>3</v>
      </c>
      <c r="B49" s="81"/>
      <c r="C49" s="80"/>
      <c r="D49" s="80"/>
      <c r="E49" s="80"/>
      <c r="F49" s="88"/>
      <c r="G49" s="89"/>
      <c r="H49" s="88">
        <v>500</v>
      </c>
      <c r="I49" s="88"/>
      <c r="J49" s="88"/>
      <c r="K49" s="88">
        <v>320</v>
      </c>
      <c r="L49" s="88"/>
      <c r="M49" s="89"/>
      <c r="N49" s="88">
        <v>160</v>
      </c>
      <c r="O49" s="88"/>
      <c r="P49" s="88"/>
      <c r="Q49" s="88">
        <v>180</v>
      </c>
      <c r="R49" s="88"/>
      <c r="S49" s="89"/>
      <c r="T49" s="90" t="s">
        <v>99</v>
      </c>
      <c r="U49" s="88"/>
      <c r="V49" s="88"/>
      <c r="W49" s="88">
        <v>40</v>
      </c>
      <c r="X49" s="88"/>
      <c r="Y49" s="89"/>
      <c r="Z49" s="88">
        <v>20</v>
      </c>
      <c r="AA49" s="88"/>
      <c r="AB49" s="88"/>
      <c r="AC49" s="88">
        <v>400</v>
      </c>
      <c r="AE49" s="9">
        <f t="shared" si="2"/>
        <v>1620</v>
      </c>
      <c r="AF49" s="6">
        <f>'Facility Data'!D9</f>
        <v>1074</v>
      </c>
      <c r="AG49" s="49">
        <f t="shared" si="3"/>
        <v>1.5083798882681565</v>
      </c>
    </row>
    <row r="50" spans="1:33">
      <c r="A50" s="24" t="s">
        <v>14</v>
      </c>
      <c r="B50" s="81"/>
      <c r="C50" s="80"/>
      <c r="D50" s="80"/>
      <c r="E50" s="80"/>
      <c r="F50" s="88">
        <v>20</v>
      </c>
      <c r="G50" s="89"/>
      <c r="H50" s="88"/>
      <c r="I50" s="88">
        <v>60</v>
      </c>
      <c r="J50" s="88"/>
      <c r="K50" s="88"/>
      <c r="L50" s="88">
        <v>100</v>
      </c>
      <c r="M50" s="89"/>
      <c r="N50" s="88"/>
      <c r="O50" s="88">
        <v>200</v>
      </c>
      <c r="P50" s="88"/>
      <c r="Q50" s="88"/>
      <c r="R50" s="88">
        <v>40</v>
      </c>
      <c r="S50" s="89"/>
      <c r="T50" s="88"/>
      <c r="U50" s="88">
        <v>180</v>
      </c>
      <c r="V50" s="88"/>
      <c r="W50" s="88"/>
      <c r="X50" s="88">
        <v>420</v>
      </c>
      <c r="Y50" s="89"/>
      <c r="Z50" s="88"/>
      <c r="AA50" s="88">
        <v>20</v>
      </c>
      <c r="AB50" s="88"/>
      <c r="AC50" s="88"/>
      <c r="AE50" s="9">
        <f t="shared" si="2"/>
        <v>1040</v>
      </c>
      <c r="AF50" s="6">
        <f>'Facility Data'!D37</f>
        <v>697</v>
      </c>
      <c r="AG50" s="49">
        <f t="shared" si="3"/>
        <v>1.4921090387374463</v>
      </c>
    </row>
    <row r="51" spans="1:33">
      <c r="A51" s="24" t="s">
        <v>18</v>
      </c>
      <c r="B51" s="81"/>
      <c r="C51" s="80"/>
      <c r="D51" s="80"/>
      <c r="E51" s="80"/>
      <c r="F51" s="88"/>
      <c r="G51" s="89"/>
      <c r="H51" s="88">
        <v>60</v>
      </c>
      <c r="I51" s="88"/>
      <c r="J51" s="88"/>
      <c r="K51" s="88">
        <v>420</v>
      </c>
      <c r="L51" s="88"/>
      <c r="M51" s="89"/>
      <c r="N51" s="88">
        <v>20</v>
      </c>
      <c r="O51" s="88"/>
      <c r="P51" s="88"/>
      <c r="Q51" s="88">
        <v>100</v>
      </c>
      <c r="R51" s="88"/>
      <c r="S51" s="89"/>
      <c r="T51" s="88">
        <v>60</v>
      </c>
      <c r="U51" s="88"/>
      <c r="V51" s="88"/>
      <c r="W51" s="88">
        <v>140</v>
      </c>
      <c r="X51" s="88"/>
      <c r="Y51" s="89"/>
      <c r="Z51" s="88">
        <v>80</v>
      </c>
      <c r="AA51" s="88"/>
      <c r="AB51" s="88"/>
      <c r="AC51" s="88">
        <v>60</v>
      </c>
      <c r="AE51" s="9">
        <f t="shared" si="2"/>
        <v>940</v>
      </c>
      <c r="AF51" s="6">
        <f>'Facility Data'!D44</f>
        <v>630</v>
      </c>
      <c r="AG51" s="49">
        <f t="shared" si="3"/>
        <v>1.4920634920634921</v>
      </c>
    </row>
    <row r="52" spans="1:33">
      <c r="A52" s="23" t="s">
        <v>38</v>
      </c>
      <c r="B52" s="81"/>
      <c r="C52" s="80"/>
      <c r="D52" s="80"/>
      <c r="E52" s="80"/>
      <c r="F52" s="88"/>
      <c r="G52" s="89"/>
      <c r="H52" s="88"/>
      <c r="I52" s="88"/>
      <c r="J52" s="88"/>
      <c r="K52" s="88">
        <v>40</v>
      </c>
      <c r="L52" s="88"/>
      <c r="M52" s="89"/>
      <c r="N52" s="88"/>
      <c r="O52" s="88"/>
      <c r="P52" s="88"/>
      <c r="Q52" s="88">
        <v>260</v>
      </c>
      <c r="R52" s="88"/>
      <c r="S52" s="89"/>
      <c r="T52" s="88"/>
      <c r="U52" s="88"/>
      <c r="V52" s="88"/>
      <c r="W52" s="88">
        <v>300</v>
      </c>
      <c r="X52" s="88"/>
      <c r="Y52" s="89"/>
      <c r="Z52" s="88"/>
      <c r="AA52" s="88"/>
      <c r="AB52" s="88"/>
      <c r="AC52" s="88">
        <v>340</v>
      </c>
      <c r="AE52" s="9">
        <f t="shared" si="2"/>
        <v>940</v>
      </c>
      <c r="AF52" s="6">
        <f>'Facility Data'!D8</f>
        <v>644</v>
      </c>
      <c r="AG52" s="49">
        <f t="shared" si="3"/>
        <v>1.4596273291925466</v>
      </c>
    </row>
    <row r="53" spans="1:33">
      <c r="A53" s="23" t="s">
        <v>37</v>
      </c>
      <c r="B53" s="81"/>
      <c r="C53" s="80"/>
      <c r="D53" s="80"/>
      <c r="E53" s="80"/>
      <c r="F53" s="88"/>
      <c r="G53" s="89"/>
      <c r="H53" s="88">
        <v>240</v>
      </c>
      <c r="I53" s="88"/>
      <c r="J53" s="88"/>
      <c r="K53" s="88"/>
      <c r="L53" s="88"/>
      <c r="M53" s="89"/>
      <c r="N53" s="88">
        <v>180</v>
      </c>
      <c r="O53" s="88"/>
      <c r="P53" s="88"/>
      <c r="Q53" s="88"/>
      <c r="R53" s="88"/>
      <c r="S53" s="89"/>
      <c r="T53" s="88">
        <v>300</v>
      </c>
      <c r="U53" s="88"/>
      <c r="V53" s="88"/>
      <c r="W53" s="88"/>
      <c r="X53" s="88"/>
      <c r="Y53" s="89"/>
      <c r="Z53" s="88">
        <v>280</v>
      </c>
      <c r="AA53" s="88"/>
      <c r="AB53" s="88"/>
      <c r="AC53" s="88"/>
      <c r="AE53" s="9">
        <f t="shared" si="2"/>
        <v>1000</v>
      </c>
      <c r="AF53" s="6">
        <f>'Facility Data'!D5</f>
        <v>691</v>
      </c>
      <c r="AG53" s="49">
        <f t="shared" si="3"/>
        <v>1.4471780028943559</v>
      </c>
    </row>
    <row r="54" spans="1:33">
      <c r="A54" s="24" t="s">
        <v>2</v>
      </c>
      <c r="B54" s="81"/>
      <c r="C54" s="80"/>
      <c r="D54" s="80"/>
      <c r="E54" s="80"/>
      <c r="F54" s="88"/>
      <c r="G54" s="89"/>
      <c r="H54" s="88">
        <v>80</v>
      </c>
      <c r="I54" s="88"/>
      <c r="J54" s="88"/>
      <c r="K54" s="88">
        <v>80</v>
      </c>
      <c r="L54" s="88"/>
      <c r="M54" s="89"/>
      <c r="N54" s="88">
        <v>260</v>
      </c>
      <c r="O54" s="88"/>
      <c r="P54" s="88"/>
      <c r="Q54" s="88">
        <v>60</v>
      </c>
      <c r="R54" s="88"/>
      <c r="S54" s="89"/>
      <c r="T54" s="88">
        <v>120</v>
      </c>
      <c r="U54" s="88"/>
      <c r="V54" s="88"/>
      <c r="W54" s="88">
        <v>60</v>
      </c>
      <c r="X54" s="88"/>
      <c r="Y54" s="89"/>
      <c r="Z54" s="88">
        <v>20</v>
      </c>
      <c r="AA54" s="88"/>
      <c r="AB54" s="88"/>
      <c r="AC54" s="88">
        <v>120</v>
      </c>
      <c r="AE54" s="9">
        <f t="shared" si="2"/>
        <v>800</v>
      </c>
      <c r="AF54" s="6">
        <f>'Facility Data'!D7</f>
        <v>604</v>
      </c>
      <c r="AG54" s="49">
        <f t="shared" si="3"/>
        <v>1.3245033112582782</v>
      </c>
    </row>
    <row r="55" spans="1:33">
      <c r="A55" s="24" t="s">
        <v>27</v>
      </c>
      <c r="B55" s="81"/>
      <c r="C55" s="80"/>
      <c r="D55" s="80"/>
      <c r="E55" s="80"/>
      <c r="F55" s="88">
        <v>260</v>
      </c>
      <c r="G55" s="89"/>
      <c r="H55" s="88"/>
      <c r="I55" s="88">
        <v>120</v>
      </c>
      <c r="J55" s="88"/>
      <c r="K55" s="88"/>
      <c r="L55" s="88">
        <v>200</v>
      </c>
      <c r="M55" s="89"/>
      <c r="N55" s="88"/>
      <c r="O55" s="88">
        <v>60</v>
      </c>
      <c r="P55" s="88"/>
      <c r="Q55" s="88"/>
      <c r="R55" s="88">
        <v>120</v>
      </c>
      <c r="S55" s="89"/>
      <c r="T55" s="88"/>
      <c r="U55" s="88">
        <v>260</v>
      </c>
      <c r="V55" s="88"/>
      <c r="W55" s="88"/>
      <c r="X55" s="88">
        <v>80</v>
      </c>
      <c r="Y55" s="89"/>
      <c r="Z55" s="88"/>
      <c r="AA55" s="88">
        <v>160</v>
      </c>
      <c r="AB55" s="88"/>
      <c r="AC55" s="88"/>
      <c r="AE55" s="9">
        <f t="shared" si="2"/>
        <v>1260</v>
      </c>
      <c r="AF55" s="6">
        <f>'Facility Data'!D61</f>
        <v>954</v>
      </c>
      <c r="AG55" s="49">
        <f t="shared" si="3"/>
        <v>1.320754716981132</v>
      </c>
    </row>
    <row r="56" spans="1:33">
      <c r="A56" s="23" t="s">
        <v>10</v>
      </c>
      <c r="B56" s="81"/>
      <c r="C56" s="80"/>
      <c r="D56" s="80"/>
      <c r="E56" s="80"/>
      <c r="F56" s="88"/>
      <c r="G56" s="89"/>
      <c r="H56" s="88"/>
      <c r="I56" s="88"/>
      <c r="J56" s="88"/>
      <c r="K56" s="88">
        <v>60</v>
      </c>
      <c r="L56" s="88"/>
      <c r="M56" s="89"/>
      <c r="N56" s="88"/>
      <c r="O56" s="88"/>
      <c r="P56" s="88"/>
      <c r="Q56" s="88">
        <v>340</v>
      </c>
      <c r="R56" s="88"/>
      <c r="S56" s="89"/>
      <c r="T56" s="88"/>
      <c r="U56" s="88"/>
      <c r="V56" s="88"/>
      <c r="W56" s="88">
        <v>120</v>
      </c>
      <c r="X56" s="88"/>
      <c r="Y56" s="89"/>
      <c r="Z56" s="88"/>
      <c r="AA56" s="88"/>
      <c r="AB56" s="88"/>
      <c r="AC56" s="88">
        <v>180</v>
      </c>
      <c r="AE56" s="9">
        <f t="shared" si="2"/>
        <v>700</v>
      </c>
      <c r="AF56" s="6">
        <f>'Facility Data'!D27</f>
        <v>541</v>
      </c>
      <c r="AG56" s="49">
        <f t="shared" si="3"/>
        <v>1.2939001848428835</v>
      </c>
    </row>
    <row r="57" spans="1:33">
      <c r="A57" s="23" t="s">
        <v>61</v>
      </c>
      <c r="B57" s="81"/>
      <c r="C57" s="80"/>
      <c r="D57" s="80"/>
      <c r="E57" s="80"/>
      <c r="F57" s="88"/>
      <c r="G57" s="89"/>
      <c r="H57" s="88">
        <v>280</v>
      </c>
      <c r="I57" s="88"/>
      <c r="J57" s="88"/>
      <c r="K57" s="88"/>
      <c r="L57" s="88"/>
      <c r="M57" s="89"/>
      <c r="N57" s="88">
        <v>320</v>
      </c>
      <c r="O57" s="88"/>
      <c r="P57" s="88"/>
      <c r="Q57" s="88"/>
      <c r="R57" s="88"/>
      <c r="S57" s="89"/>
      <c r="T57" s="88">
        <v>200</v>
      </c>
      <c r="U57" s="88"/>
      <c r="V57" s="88"/>
      <c r="W57" s="88"/>
      <c r="X57" s="88"/>
      <c r="Y57" s="89"/>
      <c r="Z57" s="88">
        <v>260</v>
      </c>
      <c r="AA57" s="88"/>
      <c r="AB57" s="88"/>
      <c r="AC57" s="88"/>
      <c r="AE57" s="9">
        <f t="shared" si="2"/>
        <v>1060</v>
      </c>
      <c r="AF57" s="6">
        <f>'Facility Data'!D51</f>
        <v>820</v>
      </c>
      <c r="AG57" s="49">
        <f t="shared" si="3"/>
        <v>1.2926829268292683</v>
      </c>
    </row>
    <row r="58" spans="1:33">
      <c r="A58" s="24" t="s">
        <v>0</v>
      </c>
      <c r="B58" s="81"/>
      <c r="C58" s="80"/>
      <c r="D58" s="80"/>
      <c r="E58" s="80"/>
      <c r="F58" s="88"/>
      <c r="G58" s="89"/>
      <c r="H58" s="88">
        <v>140</v>
      </c>
      <c r="I58" s="88"/>
      <c r="J58" s="88"/>
      <c r="K58" s="88">
        <v>80</v>
      </c>
      <c r="L58" s="88"/>
      <c r="M58" s="89"/>
      <c r="N58" s="88">
        <v>280</v>
      </c>
      <c r="O58" s="88"/>
      <c r="P58" s="88"/>
      <c r="Q58" s="88">
        <v>80</v>
      </c>
      <c r="R58" s="88"/>
      <c r="S58" s="89"/>
      <c r="T58" s="88">
        <v>80</v>
      </c>
      <c r="U58" s="88"/>
      <c r="V58" s="88"/>
      <c r="W58" s="88">
        <v>180</v>
      </c>
      <c r="X58" s="88"/>
      <c r="Y58" s="89"/>
      <c r="Z58" s="88">
        <v>100</v>
      </c>
      <c r="AA58" s="88"/>
      <c r="AB58" s="88"/>
      <c r="AC58" s="88">
        <v>60</v>
      </c>
      <c r="AE58" s="9">
        <f t="shared" si="2"/>
        <v>1000</v>
      </c>
      <c r="AF58" s="6">
        <f>'Facility Data'!D4</f>
        <v>797</v>
      </c>
      <c r="AG58" s="49">
        <f t="shared" si="3"/>
        <v>1.2547051442910917</v>
      </c>
    </row>
    <row r="59" spans="1:33">
      <c r="A59" s="24" t="s">
        <v>23</v>
      </c>
      <c r="B59" s="81"/>
      <c r="C59" s="80"/>
      <c r="D59" s="80"/>
      <c r="E59" s="80"/>
      <c r="F59" s="88"/>
      <c r="G59" s="89"/>
      <c r="H59" s="88"/>
      <c r="I59" s="88">
        <v>180</v>
      </c>
      <c r="J59" s="88"/>
      <c r="K59" s="88"/>
      <c r="L59" s="88">
        <v>300</v>
      </c>
      <c r="M59" s="89"/>
      <c r="N59" s="88"/>
      <c r="O59" s="88">
        <v>60</v>
      </c>
      <c r="P59" s="88"/>
      <c r="Q59" s="88"/>
      <c r="R59" s="88">
        <v>80</v>
      </c>
      <c r="S59" s="89"/>
      <c r="T59" s="88"/>
      <c r="U59" s="88">
        <v>60</v>
      </c>
      <c r="V59" s="88"/>
      <c r="W59" s="88"/>
      <c r="X59" s="88">
        <v>200</v>
      </c>
      <c r="Y59" s="89"/>
      <c r="Z59" s="88"/>
      <c r="AA59" s="88">
        <v>120</v>
      </c>
      <c r="AB59" s="88"/>
      <c r="AC59" s="88"/>
      <c r="AE59" s="9">
        <f t="shared" si="2"/>
        <v>1000</v>
      </c>
      <c r="AF59" s="6">
        <f>'Facility Data'!D53</f>
        <v>830</v>
      </c>
      <c r="AG59" s="49">
        <f t="shared" si="3"/>
        <v>1.2048192771084338</v>
      </c>
    </row>
    <row r="60" spans="1:33">
      <c r="A60" s="25" t="s">
        <v>21</v>
      </c>
      <c r="B60" s="81"/>
      <c r="C60" s="80"/>
      <c r="D60" s="80"/>
      <c r="E60" s="80"/>
      <c r="F60" s="88"/>
      <c r="G60" s="89"/>
      <c r="H60" s="88">
        <v>300</v>
      </c>
      <c r="I60" s="88"/>
      <c r="J60" s="88"/>
      <c r="K60" s="88">
        <v>380</v>
      </c>
      <c r="L60" s="88"/>
      <c r="M60" s="89"/>
      <c r="N60" s="88">
        <v>360</v>
      </c>
      <c r="O60" s="88"/>
      <c r="P60" s="88"/>
      <c r="Q60" s="88">
        <v>240</v>
      </c>
      <c r="R60" s="88"/>
      <c r="S60" s="89"/>
      <c r="T60" s="90" t="s">
        <v>100</v>
      </c>
      <c r="U60" s="88"/>
      <c r="V60" s="88"/>
      <c r="W60" s="88">
        <v>360</v>
      </c>
      <c r="X60" s="88"/>
      <c r="Y60" s="89"/>
      <c r="Z60" s="88">
        <v>200</v>
      </c>
      <c r="AA60" s="88"/>
      <c r="AB60" s="88"/>
      <c r="AC60" s="88">
        <v>160</v>
      </c>
      <c r="AE60" s="9">
        <f t="shared" si="2"/>
        <v>2000</v>
      </c>
      <c r="AF60" s="6">
        <f>'Facility Data'!D49</f>
        <v>1669</v>
      </c>
      <c r="AG60" s="49">
        <f t="shared" si="3"/>
        <v>1.1983223487118035</v>
      </c>
    </row>
    <row r="61" spans="1:33">
      <c r="A61" s="23" t="s">
        <v>44</v>
      </c>
      <c r="B61" s="81"/>
      <c r="C61" s="80"/>
      <c r="D61" s="80"/>
      <c r="E61" s="80"/>
      <c r="F61" s="88">
        <v>220</v>
      </c>
      <c r="G61" s="89"/>
      <c r="H61" s="88"/>
      <c r="I61" s="88">
        <v>100</v>
      </c>
      <c r="J61" s="88"/>
      <c r="K61" s="88"/>
      <c r="L61" s="88">
        <v>240</v>
      </c>
      <c r="M61" s="89"/>
      <c r="N61" s="88"/>
      <c r="O61" s="88">
        <v>60</v>
      </c>
      <c r="P61" s="88"/>
      <c r="Q61" s="88"/>
      <c r="R61" s="88">
        <v>200</v>
      </c>
      <c r="S61" s="89"/>
      <c r="T61" s="88"/>
      <c r="U61" s="88">
        <v>160</v>
      </c>
      <c r="V61" s="88"/>
      <c r="W61" s="88"/>
      <c r="X61" s="88">
        <v>140</v>
      </c>
      <c r="Y61" s="89"/>
      <c r="Z61" s="88"/>
      <c r="AA61" s="88">
        <v>40</v>
      </c>
      <c r="AB61" s="88"/>
      <c r="AC61" s="88"/>
      <c r="AE61" s="9">
        <f t="shared" si="2"/>
        <v>1160</v>
      </c>
      <c r="AF61" s="6">
        <f>'Facility Data'!D18</f>
        <v>998</v>
      </c>
      <c r="AG61" s="49">
        <f t="shared" si="3"/>
        <v>1.1623246492985972</v>
      </c>
    </row>
    <row r="62" spans="1:33">
      <c r="A62" s="23" t="s">
        <v>53</v>
      </c>
      <c r="B62" s="81"/>
      <c r="C62" s="80"/>
      <c r="D62" s="80"/>
      <c r="E62" s="80"/>
      <c r="F62" s="88"/>
      <c r="G62" s="89"/>
      <c r="H62" s="88"/>
      <c r="I62" s="88">
        <v>240</v>
      </c>
      <c r="J62" s="88"/>
      <c r="K62" s="88"/>
      <c r="L62" s="88"/>
      <c r="M62" s="89"/>
      <c r="N62" s="88"/>
      <c r="O62" s="88">
        <v>180</v>
      </c>
      <c r="P62" s="88"/>
      <c r="Q62" s="88"/>
      <c r="R62" s="88"/>
      <c r="S62" s="89"/>
      <c r="T62" s="88"/>
      <c r="U62" s="88">
        <v>300</v>
      </c>
      <c r="V62" s="88"/>
      <c r="W62" s="88"/>
      <c r="X62" s="88"/>
      <c r="Y62" s="89"/>
      <c r="Z62" s="88"/>
      <c r="AA62" s="88">
        <v>260</v>
      </c>
      <c r="AB62" s="88"/>
      <c r="AC62" s="88"/>
      <c r="AE62" s="9">
        <f t="shared" si="2"/>
        <v>980</v>
      </c>
      <c r="AF62" s="6">
        <f>'Facility Data'!D32</f>
        <v>846</v>
      </c>
      <c r="AG62" s="49">
        <f t="shared" si="3"/>
        <v>1.1583924349881796</v>
      </c>
    </row>
    <row r="63" spans="1:33">
      <c r="A63" s="23" t="s">
        <v>91</v>
      </c>
      <c r="B63" s="81"/>
      <c r="C63" s="80"/>
      <c r="D63" s="80"/>
      <c r="E63" s="80"/>
      <c r="F63" s="88"/>
      <c r="G63" s="89"/>
      <c r="H63" s="88">
        <v>220</v>
      </c>
      <c r="I63" s="88"/>
      <c r="J63" s="88"/>
      <c r="K63" s="88"/>
      <c r="L63" s="88"/>
      <c r="M63" s="89"/>
      <c r="N63" s="88">
        <v>160</v>
      </c>
      <c r="O63" s="88"/>
      <c r="P63" s="88"/>
      <c r="Q63" s="88"/>
      <c r="R63" s="88"/>
      <c r="S63" s="89"/>
      <c r="T63" s="88">
        <v>140</v>
      </c>
      <c r="U63" s="88"/>
      <c r="V63" s="88"/>
      <c r="W63" s="88"/>
      <c r="X63" s="88"/>
      <c r="Y63" s="89"/>
      <c r="Z63" s="88">
        <v>140</v>
      </c>
      <c r="AA63" s="88"/>
      <c r="AB63" s="88"/>
      <c r="AC63" s="88"/>
      <c r="AE63" s="9">
        <f t="shared" si="2"/>
        <v>660</v>
      </c>
      <c r="AF63" s="6">
        <f>'Facility Data'!D22</f>
        <v>586</v>
      </c>
      <c r="AG63" s="49">
        <f t="shared" si="3"/>
        <v>1.1262798634812288</v>
      </c>
    </row>
    <row r="64" spans="1:33">
      <c r="A64" s="24" t="s">
        <v>9</v>
      </c>
      <c r="B64" s="81"/>
      <c r="C64" s="80"/>
      <c r="D64" s="80"/>
      <c r="E64" s="80"/>
      <c r="F64" s="88"/>
      <c r="G64" s="89"/>
      <c r="H64" s="88">
        <v>160</v>
      </c>
      <c r="I64" s="88"/>
      <c r="J64" s="88"/>
      <c r="K64" s="88">
        <v>160</v>
      </c>
      <c r="L64" s="88"/>
      <c r="M64" s="89"/>
      <c r="N64" s="88">
        <v>40</v>
      </c>
      <c r="O64" s="88"/>
      <c r="P64" s="88"/>
      <c r="Q64" s="88">
        <v>220</v>
      </c>
      <c r="R64" s="88"/>
      <c r="S64" s="89"/>
      <c r="T64" s="88">
        <v>40</v>
      </c>
      <c r="U64" s="88"/>
      <c r="V64" s="88"/>
      <c r="W64" s="88">
        <v>60</v>
      </c>
      <c r="X64" s="88"/>
      <c r="Y64" s="89"/>
      <c r="Z64" s="88">
        <v>100</v>
      </c>
      <c r="AA64" s="88"/>
      <c r="AB64" s="88"/>
      <c r="AC64" s="88">
        <v>180</v>
      </c>
      <c r="AE64" s="9">
        <f t="shared" si="2"/>
        <v>960</v>
      </c>
      <c r="AF64" s="6">
        <f>'Facility Data'!D26</f>
        <v>914</v>
      </c>
      <c r="AG64" s="49">
        <f t="shared" si="3"/>
        <v>1.0503282275711159</v>
      </c>
    </row>
    <row r="65" spans="1:33">
      <c r="A65" s="23" t="s">
        <v>54</v>
      </c>
      <c r="B65" s="81"/>
      <c r="C65" s="80"/>
      <c r="D65" s="80"/>
      <c r="E65" s="80"/>
      <c r="F65" s="88"/>
      <c r="G65" s="89"/>
      <c r="H65" s="88"/>
      <c r="I65" s="88">
        <v>60</v>
      </c>
      <c r="J65" s="88"/>
      <c r="K65" s="88"/>
      <c r="L65" s="88"/>
      <c r="M65" s="89"/>
      <c r="N65" s="88"/>
      <c r="O65" s="88">
        <v>480</v>
      </c>
      <c r="P65" s="88"/>
      <c r="Q65" s="88"/>
      <c r="R65" s="88"/>
      <c r="S65" s="89"/>
      <c r="T65" s="88"/>
      <c r="U65" s="88">
        <v>100</v>
      </c>
      <c r="V65" s="88"/>
      <c r="W65" s="88"/>
      <c r="X65" s="88"/>
      <c r="Y65" s="89"/>
      <c r="Z65" s="88"/>
      <c r="AA65" s="88">
        <v>40</v>
      </c>
      <c r="AB65" s="88"/>
      <c r="AC65" s="88"/>
      <c r="AE65" s="9">
        <f t="shared" si="2"/>
        <v>680</v>
      </c>
      <c r="AF65" s="6">
        <f>'Facility Data'!D35</f>
        <v>707</v>
      </c>
      <c r="AG65" s="49">
        <f t="shared" si="3"/>
        <v>0.96181046676096182</v>
      </c>
    </row>
    <row r="66" spans="1:33">
      <c r="A66" s="23" t="s">
        <v>40</v>
      </c>
      <c r="B66" s="81"/>
      <c r="C66" s="80"/>
      <c r="D66" s="80"/>
      <c r="E66" s="80"/>
      <c r="F66" s="88"/>
      <c r="G66" s="89"/>
      <c r="H66" s="88"/>
      <c r="I66" s="88">
        <v>180</v>
      </c>
      <c r="J66" s="88"/>
      <c r="K66" s="88"/>
      <c r="L66" s="88"/>
      <c r="M66" s="89"/>
      <c r="N66" s="88"/>
      <c r="O66" s="88">
        <v>100</v>
      </c>
      <c r="P66" s="88"/>
      <c r="Q66" s="88"/>
      <c r="R66" s="88"/>
      <c r="S66" s="89"/>
      <c r="T66" s="88"/>
      <c r="U66" s="88">
        <v>140</v>
      </c>
      <c r="V66" s="88"/>
      <c r="W66" s="88"/>
      <c r="X66" s="88"/>
      <c r="Y66" s="89"/>
      <c r="Z66" s="88"/>
      <c r="AA66" s="88">
        <v>140</v>
      </c>
      <c r="AB66" s="88"/>
      <c r="AC66" s="88"/>
      <c r="AE66" s="9">
        <f t="shared" si="2"/>
        <v>560</v>
      </c>
      <c r="AF66" s="6">
        <f>'Facility Data'!D12</f>
        <v>740</v>
      </c>
      <c r="AG66" s="49">
        <f t="shared" si="3"/>
        <v>0.7567567567567568</v>
      </c>
    </row>
    <row r="67" spans="1:33">
      <c r="A67" s="25" t="s">
        <v>7</v>
      </c>
      <c r="B67" s="81"/>
      <c r="C67" s="80"/>
      <c r="D67" s="80"/>
      <c r="E67" s="80"/>
      <c r="F67" s="88">
        <v>100</v>
      </c>
      <c r="G67" s="89"/>
      <c r="H67" s="88">
        <v>20</v>
      </c>
      <c r="I67" s="88"/>
      <c r="J67" s="88">
        <v>60</v>
      </c>
      <c r="K67" s="88"/>
      <c r="L67" s="88">
        <v>60</v>
      </c>
      <c r="M67" s="89"/>
      <c r="N67" s="88">
        <v>40</v>
      </c>
      <c r="O67" s="88"/>
      <c r="P67" s="88">
        <v>80</v>
      </c>
      <c r="Q67" s="88"/>
      <c r="R67" s="88">
        <v>40</v>
      </c>
      <c r="S67" s="89"/>
      <c r="T67" s="88">
        <v>60</v>
      </c>
      <c r="U67" s="88"/>
      <c r="V67" s="88">
        <v>40</v>
      </c>
      <c r="W67" s="88"/>
      <c r="X67" s="88">
        <v>20</v>
      </c>
      <c r="Y67" s="89"/>
      <c r="Z67" s="88">
        <v>80</v>
      </c>
      <c r="AA67" s="88"/>
      <c r="AB67" s="88">
        <v>100</v>
      </c>
      <c r="AC67" s="88"/>
      <c r="AE67" s="9">
        <f t="shared" si="2"/>
        <v>700</v>
      </c>
      <c r="AF67" s="6">
        <f>'Facility Data'!D23</f>
        <v>1646</v>
      </c>
      <c r="AG67" s="49">
        <f t="shared" si="3"/>
        <v>0.42527339003645198</v>
      </c>
    </row>
    <row r="69" spans="1:33">
      <c r="AE69" s="92">
        <f>SUM(AE6:AE68)</f>
        <v>94550</v>
      </c>
    </row>
  </sheetData>
  <sortState ref="A6:AG67">
    <sortCondition descending="1" ref="AG6:AG67"/>
  </sortState>
  <mergeCells count="1">
    <mergeCell ref="A1:AG1"/>
  </mergeCells>
  <pageMargins left="0.25" right="0.25" top="0.45" bottom="0.31" header="0.3" footer="0.3"/>
  <pageSetup paperSize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J69"/>
  <sheetViews>
    <sheetView zoomScale="70" zoomScaleNormal="70" workbookViewId="0">
      <pane ySplit="4" topLeftCell="A26" activePane="bottomLeft" state="frozen"/>
      <selection pane="bottomLeft" activeCell="A3" sqref="A3"/>
    </sheetView>
  </sheetViews>
  <sheetFormatPr defaultRowHeight="15"/>
  <cols>
    <col min="1" max="1" width="39" style="1" customWidth="1"/>
    <col min="2" max="2" width="2.140625" customWidth="1"/>
    <col min="3" max="5" width="2" customWidth="1"/>
    <col min="6" max="6" width="4.42578125" customWidth="1"/>
    <col min="7" max="7" width="1" style="36" customWidth="1"/>
    <col min="8" max="12" width="4.7109375" customWidth="1"/>
    <col min="13" max="13" width="1.140625" style="36" customWidth="1"/>
    <col min="14" max="18" width="4.85546875" customWidth="1"/>
    <col min="19" max="19" width="1" style="36" customWidth="1"/>
    <col min="20" max="24" width="4.42578125" customWidth="1"/>
    <col min="25" max="25" width="1.140625" style="36" customWidth="1"/>
    <col min="26" max="28" width="4.7109375" customWidth="1"/>
    <col min="29" max="29" width="4.42578125" customWidth="1"/>
    <col min="30" max="30" width="4.7109375" customWidth="1"/>
    <col min="31" max="31" width="1.42578125" customWidth="1"/>
    <col min="32" max="32" width="10.140625" customWidth="1"/>
    <col min="33" max="33" width="7.42578125" customWidth="1"/>
    <col min="34" max="34" width="8.28515625" customWidth="1"/>
  </cols>
  <sheetData>
    <row r="1" spans="1:36" s="87" customFormat="1" ht="29.25" customHeight="1">
      <c r="A1" s="93" t="s">
        <v>81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</row>
    <row r="2" spans="1:36" ht="3.75" customHeight="1">
      <c r="A2" s="41"/>
      <c r="B2" s="42"/>
      <c r="C2" s="42"/>
      <c r="D2" s="42"/>
      <c r="E2" s="42"/>
      <c r="F2" s="42"/>
      <c r="G2" s="43"/>
      <c r="H2" s="42"/>
      <c r="I2" s="42"/>
      <c r="J2" s="42"/>
      <c r="K2" s="42"/>
      <c r="L2" s="42"/>
      <c r="M2" s="43"/>
      <c r="N2" s="42"/>
      <c r="O2" s="42"/>
      <c r="P2" s="42"/>
      <c r="Q2" s="42"/>
      <c r="R2" s="42"/>
      <c r="S2" s="43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</row>
    <row r="3" spans="1:36" ht="18.75" customHeight="1" thickBot="1">
      <c r="A3" s="1" t="s">
        <v>103</v>
      </c>
      <c r="B3" t="s">
        <v>70</v>
      </c>
      <c r="C3" t="s">
        <v>71</v>
      </c>
      <c r="D3" t="s">
        <v>72</v>
      </c>
      <c r="E3" t="s">
        <v>74</v>
      </c>
      <c r="F3" t="s">
        <v>73</v>
      </c>
      <c r="H3" t="s">
        <v>70</v>
      </c>
      <c r="I3" t="s">
        <v>71</v>
      </c>
      <c r="J3" t="s">
        <v>72</v>
      </c>
      <c r="K3" t="s">
        <v>74</v>
      </c>
      <c r="L3" t="s">
        <v>73</v>
      </c>
      <c r="N3" t="s">
        <v>70</v>
      </c>
      <c r="O3" t="s">
        <v>71</v>
      </c>
      <c r="P3" t="s">
        <v>72</v>
      </c>
      <c r="Q3" t="s">
        <v>74</v>
      </c>
      <c r="R3" t="s">
        <v>73</v>
      </c>
      <c r="T3" t="s">
        <v>70</v>
      </c>
      <c r="U3" t="s">
        <v>71</v>
      </c>
      <c r="V3" t="s">
        <v>72</v>
      </c>
      <c r="W3" t="s">
        <v>74</v>
      </c>
      <c r="X3" t="s">
        <v>73</v>
      </c>
      <c r="Y3"/>
      <c r="Z3" t="s">
        <v>70</v>
      </c>
      <c r="AA3" t="s">
        <v>71</v>
      </c>
      <c r="AB3" t="s">
        <v>72</v>
      </c>
      <c r="AC3" t="s">
        <v>74</v>
      </c>
      <c r="AD3" t="s">
        <v>73</v>
      </c>
    </row>
    <row r="4" spans="1:36" s="4" customFormat="1" ht="48" customHeight="1" thickBot="1">
      <c r="A4" s="17" t="s">
        <v>29</v>
      </c>
      <c r="B4" s="15"/>
      <c r="C4" s="15"/>
      <c r="D4" s="15"/>
      <c r="E4" s="15"/>
      <c r="F4" s="15">
        <v>1</v>
      </c>
      <c r="G4" s="37"/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37"/>
      <c r="N4" s="15">
        <v>11</v>
      </c>
      <c r="O4" s="15">
        <v>12</v>
      </c>
      <c r="P4" s="15">
        <v>13</v>
      </c>
      <c r="Q4" s="15">
        <v>14</v>
      </c>
      <c r="R4" s="15">
        <v>15</v>
      </c>
      <c r="S4" s="37"/>
      <c r="T4" s="15">
        <v>18</v>
      </c>
      <c r="U4" s="15">
        <v>19</v>
      </c>
      <c r="V4" s="15">
        <v>20</v>
      </c>
      <c r="W4" s="15">
        <v>21</v>
      </c>
      <c r="X4" s="15">
        <v>22</v>
      </c>
      <c r="Y4" s="37"/>
      <c r="Z4" s="15">
        <v>25</v>
      </c>
      <c r="AA4" s="15">
        <v>26</v>
      </c>
      <c r="AB4" s="15">
        <v>27</v>
      </c>
      <c r="AC4" s="15">
        <v>28</v>
      </c>
      <c r="AD4" s="15">
        <v>29</v>
      </c>
      <c r="AF4" s="83" t="s">
        <v>30</v>
      </c>
      <c r="AG4" s="84" t="s">
        <v>31</v>
      </c>
      <c r="AH4" s="85" t="s">
        <v>32</v>
      </c>
      <c r="AI4" s="5"/>
      <c r="AJ4" s="5"/>
    </row>
    <row r="5" spans="1:36" s="20" customFormat="1">
      <c r="A5" s="40" t="s">
        <v>28</v>
      </c>
      <c r="B5" s="32"/>
      <c r="C5" s="21"/>
      <c r="D5" s="21"/>
      <c r="E5" s="21"/>
      <c r="F5" s="21"/>
      <c r="G5" s="38"/>
      <c r="H5" s="21"/>
      <c r="I5" s="21"/>
      <c r="J5" s="21"/>
      <c r="K5" s="21"/>
      <c r="L5" s="21"/>
      <c r="M5" s="38"/>
      <c r="N5" s="21"/>
      <c r="O5" s="21"/>
      <c r="P5" s="21"/>
      <c r="Q5" s="21"/>
      <c r="R5" s="21"/>
      <c r="S5" s="38"/>
      <c r="T5" s="21"/>
      <c r="U5" s="21"/>
      <c r="V5" s="21"/>
      <c r="W5" s="21"/>
      <c r="X5" s="21"/>
      <c r="Y5" s="38"/>
      <c r="Z5" s="21"/>
      <c r="AA5" s="21"/>
      <c r="AB5" s="21"/>
      <c r="AC5" s="21"/>
      <c r="AD5" s="21"/>
      <c r="AF5" s="33"/>
      <c r="AG5" s="34"/>
      <c r="AH5" s="35"/>
    </row>
    <row r="6" spans="1:36">
      <c r="A6" s="48" t="s">
        <v>6</v>
      </c>
      <c r="B6" s="81"/>
      <c r="C6" s="80"/>
      <c r="D6" s="80"/>
      <c r="E6" s="80"/>
      <c r="F6" s="88" t="s">
        <v>76</v>
      </c>
      <c r="G6" s="89"/>
      <c r="H6" s="88" t="s">
        <v>76</v>
      </c>
      <c r="I6" s="88">
        <v>240</v>
      </c>
      <c r="J6" s="88" t="s">
        <v>76</v>
      </c>
      <c r="K6" s="88">
        <v>280</v>
      </c>
      <c r="L6" s="88" t="s">
        <v>76</v>
      </c>
      <c r="M6" s="89"/>
      <c r="N6" s="88" t="s">
        <v>76</v>
      </c>
      <c r="O6" s="88">
        <v>100</v>
      </c>
      <c r="P6" s="88" t="s">
        <v>76</v>
      </c>
      <c r="Q6" s="88">
        <v>160</v>
      </c>
      <c r="R6" s="88" t="s">
        <v>76</v>
      </c>
      <c r="S6" s="89"/>
      <c r="T6" s="88" t="s">
        <v>76</v>
      </c>
      <c r="U6" s="88">
        <v>60</v>
      </c>
      <c r="V6" s="88" t="s">
        <v>76</v>
      </c>
      <c r="W6" s="88">
        <v>320</v>
      </c>
      <c r="X6" s="88" t="s">
        <v>76</v>
      </c>
      <c r="Y6" s="89"/>
      <c r="Z6" s="88" t="s">
        <v>76</v>
      </c>
      <c r="AA6" s="88">
        <v>160</v>
      </c>
      <c r="AB6" s="88" t="s">
        <v>76</v>
      </c>
      <c r="AC6" s="88">
        <v>80</v>
      </c>
      <c r="AD6" s="88" t="s">
        <v>76</v>
      </c>
      <c r="AF6" s="9">
        <f t="shared" ref="AF6:AF37" si="0">SUM(B6:AE6)</f>
        <v>1400</v>
      </c>
      <c r="AG6" s="6">
        <f>'Facility Data'!D17</f>
        <v>121</v>
      </c>
      <c r="AH6" s="49">
        <f t="shared" ref="AH6:AH37" si="1">AF6/AG6</f>
        <v>11.570247933884298</v>
      </c>
    </row>
    <row r="7" spans="1:36">
      <c r="A7" s="48" t="s">
        <v>16</v>
      </c>
      <c r="B7" s="81"/>
      <c r="C7" s="80"/>
      <c r="D7" s="80"/>
      <c r="E7" s="80"/>
      <c r="F7" s="88">
        <v>320</v>
      </c>
      <c r="G7" s="89"/>
      <c r="H7" s="88" t="s">
        <v>76</v>
      </c>
      <c r="I7" s="88">
        <v>200</v>
      </c>
      <c r="J7" s="88" t="s">
        <v>76</v>
      </c>
      <c r="K7" s="88" t="s">
        <v>76</v>
      </c>
      <c r="L7" s="88">
        <v>120</v>
      </c>
      <c r="M7" s="89"/>
      <c r="N7" s="88" t="s">
        <v>76</v>
      </c>
      <c r="O7" s="88">
        <v>80</v>
      </c>
      <c r="P7" s="88" t="s">
        <v>76</v>
      </c>
      <c r="Q7" s="88" t="s">
        <v>76</v>
      </c>
      <c r="R7" s="88">
        <v>120</v>
      </c>
      <c r="S7" s="89"/>
      <c r="T7" s="88" t="s">
        <v>76</v>
      </c>
      <c r="U7" s="88">
        <v>160</v>
      </c>
      <c r="V7" s="88" t="s">
        <v>76</v>
      </c>
      <c r="W7" s="88" t="s">
        <v>76</v>
      </c>
      <c r="X7" s="88">
        <v>80</v>
      </c>
      <c r="Y7" s="89"/>
      <c r="Z7" s="88" t="s">
        <v>76</v>
      </c>
      <c r="AA7" s="88">
        <v>40</v>
      </c>
      <c r="AB7" s="88" t="s">
        <v>76</v>
      </c>
      <c r="AC7" s="88" t="s">
        <v>76</v>
      </c>
      <c r="AD7" s="88">
        <v>160</v>
      </c>
      <c r="AF7" s="9">
        <f t="shared" si="0"/>
        <v>1280</v>
      </c>
      <c r="AG7" s="6">
        <f>'Facility Data'!D40</f>
        <v>177</v>
      </c>
      <c r="AH7" s="49">
        <f t="shared" si="1"/>
        <v>7.231638418079096</v>
      </c>
    </row>
    <row r="8" spans="1:36">
      <c r="A8" s="23" t="s">
        <v>67</v>
      </c>
      <c r="B8" s="81"/>
      <c r="C8" s="80"/>
      <c r="D8" s="80"/>
      <c r="E8" s="80"/>
      <c r="F8" s="88" t="s">
        <v>76</v>
      </c>
      <c r="G8" s="89"/>
      <c r="H8" s="88" t="s">
        <v>76</v>
      </c>
      <c r="I8" s="88" t="s">
        <v>76</v>
      </c>
      <c r="J8" s="88" t="s">
        <v>76</v>
      </c>
      <c r="K8" s="88">
        <v>260</v>
      </c>
      <c r="L8" s="88" t="s">
        <v>76</v>
      </c>
      <c r="M8" s="89"/>
      <c r="N8" s="88" t="s">
        <v>76</v>
      </c>
      <c r="O8" s="88" t="s">
        <v>76</v>
      </c>
      <c r="P8" s="88" t="s">
        <v>76</v>
      </c>
      <c r="Q8" s="88">
        <v>360</v>
      </c>
      <c r="R8" s="88" t="s">
        <v>76</v>
      </c>
      <c r="S8" s="89"/>
      <c r="T8" s="88" t="s">
        <v>76</v>
      </c>
      <c r="U8" s="88" t="s">
        <v>76</v>
      </c>
      <c r="V8" s="88" t="s">
        <v>76</v>
      </c>
      <c r="W8" s="88">
        <v>420</v>
      </c>
      <c r="X8" s="88" t="s">
        <v>76</v>
      </c>
      <c r="Y8" s="89"/>
      <c r="Z8" s="88" t="s">
        <v>76</v>
      </c>
      <c r="AA8" s="88" t="s">
        <v>76</v>
      </c>
      <c r="AB8" s="88" t="s">
        <v>76</v>
      </c>
      <c r="AC8" s="88">
        <v>280</v>
      </c>
      <c r="AD8" s="88" t="s">
        <v>76</v>
      </c>
      <c r="AF8" s="9">
        <f t="shared" si="0"/>
        <v>1320</v>
      </c>
      <c r="AG8" s="6">
        <f>'Facility Data'!D63</f>
        <v>213</v>
      </c>
      <c r="AH8" s="49">
        <f t="shared" si="1"/>
        <v>6.197183098591549</v>
      </c>
    </row>
    <row r="9" spans="1:36">
      <c r="A9" s="23" t="s">
        <v>64</v>
      </c>
      <c r="B9" s="81"/>
      <c r="C9" s="80"/>
      <c r="D9" s="80"/>
      <c r="E9" s="80"/>
      <c r="F9" s="88">
        <v>860</v>
      </c>
      <c r="G9" s="89"/>
      <c r="H9" s="88" t="s">
        <v>76</v>
      </c>
      <c r="I9" s="88">
        <v>320</v>
      </c>
      <c r="J9" s="88" t="s">
        <v>76</v>
      </c>
      <c r="K9" s="88" t="s">
        <v>76</v>
      </c>
      <c r="L9" s="88">
        <v>340</v>
      </c>
      <c r="M9" s="89"/>
      <c r="N9" s="88" t="s">
        <v>76</v>
      </c>
      <c r="O9" s="88">
        <v>480</v>
      </c>
      <c r="P9" s="88" t="s">
        <v>76</v>
      </c>
      <c r="Q9" s="88" t="s">
        <v>76</v>
      </c>
      <c r="R9" s="88">
        <v>280</v>
      </c>
      <c r="S9" s="89"/>
      <c r="T9" s="88" t="s">
        <v>76</v>
      </c>
      <c r="U9" s="88">
        <v>320</v>
      </c>
      <c r="V9" s="88" t="s">
        <v>76</v>
      </c>
      <c r="W9" s="88" t="s">
        <v>76</v>
      </c>
      <c r="X9" s="88">
        <v>420</v>
      </c>
      <c r="Y9" s="89"/>
      <c r="Z9" s="88" t="s">
        <v>76</v>
      </c>
      <c r="AA9" s="88">
        <v>180</v>
      </c>
      <c r="AB9" s="88" t="s">
        <v>76</v>
      </c>
      <c r="AC9" s="88" t="s">
        <v>76</v>
      </c>
      <c r="AD9" s="88">
        <v>260</v>
      </c>
      <c r="AF9" s="9">
        <f t="shared" si="0"/>
        <v>3460</v>
      </c>
      <c r="AG9" s="6">
        <f>'Facility Data'!D59</f>
        <v>637</v>
      </c>
      <c r="AH9" s="49">
        <f t="shared" si="1"/>
        <v>5.4317111459968599</v>
      </c>
    </row>
    <row r="10" spans="1:36">
      <c r="A10" s="23" t="s">
        <v>57</v>
      </c>
      <c r="B10" s="81"/>
      <c r="C10" s="80"/>
      <c r="D10" s="80"/>
      <c r="E10" s="80"/>
      <c r="F10" s="88" t="s">
        <v>76</v>
      </c>
      <c r="G10" s="89"/>
      <c r="H10" s="88">
        <v>320</v>
      </c>
      <c r="I10" s="88" t="s">
        <v>76</v>
      </c>
      <c r="J10" s="88" t="s">
        <v>76</v>
      </c>
      <c r="K10" s="88">
        <v>420</v>
      </c>
      <c r="L10" s="88" t="s">
        <v>76</v>
      </c>
      <c r="M10" s="89"/>
      <c r="N10" s="88">
        <v>180</v>
      </c>
      <c r="O10" s="88" t="s">
        <v>76</v>
      </c>
      <c r="P10" s="88" t="s">
        <v>76</v>
      </c>
      <c r="Q10" s="88">
        <v>520</v>
      </c>
      <c r="R10" s="88" t="s">
        <v>76</v>
      </c>
      <c r="S10" s="89"/>
      <c r="T10" s="88">
        <v>340</v>
      </c>
      <c r="U10" s="88" t="s">
        <v>76</v>
      </c>
      <c r="V10" s="88" t="s">
        <v>76</v>
      </c>
      <c r="W10" s="88">
        <v>260</v>
      </c>
      <c r="X10" s="88" t="s">
        <v>76</v>
      </c>
      <c r="Y10" s="89"/>
      <c r="Z10" s="88">
        <v>240</v>
      </c>
      <c r="AA10" s="88" t="s">
        <v>76</v>
      </c>
      <c r="AB10" s="88" t="s">
        <v>76</v>
      </c>
      <c r="AC10" s="88">
        <v>460</v>
      </c>
      <c r="AD10" s="88" t="s">
        <v>76</v>
      </c>
      <c r="AF10" s="9">
        <f t="shared" si="0"/>
        <v>2740</v>
      </c>
      <c r="AG10" s="6">
        <f>'Facility Data'!D42</f>
        <v>563</v>
      </c>
      <c r="AH10" s="49">
        <f t="shared" si="1"/>
        <v>4.8667850799289525</v>
      </c>
    </row>
    <row r="11" spans="1:36">
      <c r="A11" s="23" t="s">
        <v>15</v>
      </c>
      <c r="B11" s="81"/>
      <c r="C11" s="80"/>
      <c r="D11" s="80"/>
      <c r="E11" s="80"/>
      <c r="F11" s="88" t="s">
        <v>76</v>
      </c>
      <c r="G11" s="89"/>
      <c r="H11" s="88">
        <v>460</v>
      </c>
      <c r="I11" s="88" t="s">
        <v>76</v>
      </c>
      <c r="J11" s="88" t="s">
        <v>76</v>
      </c>
      <c r="K11" s="88" t="s">
        <v>76</v>
      </c>
      <c r="L11" s="88" t="s">
        <v>76</v>
      </c>
      <c r="M11" s="89"/>
      <c r="N11" s="88">
        <v>380</v>
      </c>
      <c r="O11" s="88" t="s">
        <v>76</v>
      </c>
      <c r="P11" s="88" t="s">
        <v>76</v>
      </c>
      <c r="Q11" s="88" t="s">
        <v>76</v>
      </c>
      <c r="R11" s="88" t="s">
        <v>76</v>
      </c>
      <c r="S11" s="89"/>
      <c r="T11" s="88">
        <v>280</v>
      </c>
      <c r="U11" s="88" t="s">
        <v>76</v>
      </c>
      <c r="V11" s="88" t="s">
        <v>76</v>
      </c>
      <c r="W11" s="88" t="s">
        <v>76</v>
      </c>
      <c r="X11" s="88" t="s">
        <v>76</v>
      </c>
      <c r="Y11" s="89"/>
      <c r="Z11" s="88">
        <v>340</v>
      </c>
      <c r="AA11" s="88" t="s">
        <v>76</v>
      </c>
      <c r="AB11" s="88" t="s">
        <v>76</v>
      </c>
      <c r="AC11" s="88" t="s">
        <v>76</v>
      </c>
      <c r="AD11" s="88" t="s">
        <v>76</v>
      </c>
      <c r="AF11" s="9">
        <f t="shared" si="0"/>
        <v>1460</v>
      </c>
      <c r="AG11" s="6">
        <f>'Facility Data'!D39</f>
        <v>302</v>
      </c>
      <c r="AH11" s="49">
        <f t="shared" si="1"/>
        <v>4.8344370860927155</v>
      </c>
    </row>
    <row r="12" spans="1:36">
      <c r="A12" s="23" t="s">
        <v>66</v>
      </c>
      <c r="B12" s="81"/>
      <c r="C12" s="80"/>
      <c r="D12" s="80"/>
      <c r="E12" s="80"/>
      <c r="F12" s="88" t="s">
        <v>76</v>
      </c>
      <c r="G12" s="89"/>
      <c r="H12" s="88" t="s">
        <v>76</v>
      </c>
      <c r="I12" s="88" t="s">
        <v>76</v>
      </c>
      <c r="J12" s="88" t="s">
        <v>76</v>
      </c>
      <c r="K12" s="88">
        <v>180</v>
      </c>
      <c r="L12" s="88" t="s">
        <v>76</v>
      </c>
      <c r="M12" s="89"/>
      <c r="N12" s="88" t="s">
        <v>76</v>
      </c>
      <c r="O12" s="88" t="s">
        <v>76</v>
      </c>
      <c r="P12" s="88" t="s">
        <v>76</v>
      </c>
      <c r="Q12" s="88">
        <v>220</v>
      </c>
      <c r="R12" s="88" t="s">
        <v>76</v>
      </c>
      <c r="S12" s="89"/>
      <c r="T12" s="88" t="s">
        <v>76</v>
      </c>
      <c r="U12" s="88" t="s">
        <v>76</v>
      </c>
      <c r="V12" s="88" t="s">
        <v>76</v>
      </c>
      <c r="W12" s="88">
        <v>160</v>
      </c>
      <c r="X12" s="88" t="s">
        <v>76</v>
      </c>
      <c r="Y12" s="89"/>
      <c r="Z12" s="88" t="s">
        <v>76</v>
      </c>
      <c r="AA12" s="88" t="s">
        <v>76</v>
      </c>
      <c r="AB12" s="88" t="s">
        <v>76</v>
      </c>
      <c r="AC12" s="88">
        <v>340</v>
      </c>
      <c r="AD12" s="88" t="s">
        <v>76</v>
      </c>
      <c r="AF12" s="9">
        <f t="shared" si="0"/>
        <v>900</v>
      </c>
      <c r="AG12" s="6">
        <f>'Facility Data'!D62</f>
        <v>209</v>
      </c>
      <c r="AH12" s="49">
        <f t="shared" si="1"/>
        <v>4.3062200956937797</v>
      </c>
    </row>
    <row r="13" spans="1:36">
      <c r="A13" s="23" t="s">
        <v>58</v>
      </c>
      <c r="B13" s="81"/>
      <c r="C13" s="80"/>
      <c r="D13" s="80"/>
      <c r="E13" s="80"/>
      <c r="F13" s="88" t="s">
        <v>76</v>
      </c>
      <c r="G13" s="89"/>
      <c r="H13" s="88" t="s">
        <v>76</v>
      </c>
      <c r="I13" s="88" t="s">
        <v>76</v>
      </c>
      <c r="J13" s="88" t="s">
        <v>76</v>
      </c>
      <c r="K13" s="88">
        <v>480</v>
      </c>
      <c r="L13" s="88" t="s">
        <v>76</v>
      </c>
      <c r="M13" s="89"/>
      <c r="N13" s="88" t="s">
        <v>76</v>
      </c>
      <c r="O13" s="88" t="s">
        <v>76</v>
      </c>
      <c r="P13" s="88" t="s">
        <v>76</v>
      </c>
      <c r="Q13" s="88">
        <v>520</v>
      </c>
      <c r="R13" s="88" t="s">
        <v>76</v>
      </c>
      <c r="S13" s="89"/>
      <c r="T13" s="88" t="s">
        <v>76</v>
      </c>
      <c r="U13" s="88" t="s">
        <v>76</v>
      </c>
      <c r="V13" s="88" t="s">
        <v>76</v>
      </c>
      <c r="W13" s="88">
        <v>320</v>
      </c>
      <c r="X13" s="88" t="s">
        <v>76</v>
      </c>
      <c r="Y13" s="89"/>
      <c r="Z13" s="88" t="s">
        <v>76</v>
      </c>
      <c r="AA13" s="88" t="s">
        <v>76</v>
      </c>
      <c r="AB13" s="88" t="s">
        <v>76</v>
      </c>
      <c r="AC13" s="88">
        <v>220</v>
      </c>
      <c r="AD13" s="88" t="s">
        <v>76</v>
      </c>
      <c r="AF13" s="9">
        <f t="shared" si="0"/>
        <v>1540</v>
      </c>
      <c r="AG13" s="6">
        <f>'Facility Data'!D45</f>
        <v>381</v>
      </c>
      <c r="AH13" s="49">
        <f t="shared" si="1"/>
        <v>4.0419947506561682</v>
      </c>
    </row>
    <row r="14" spans="1:36">
      <c r="A14" s="23" t="s">
        <v>20</v>
      </c>
      <c r="B14" s="81"/>
      <c r="C14" s="80"/>
      <c r="D14" s="80"/>
      <c r="E14" s="80"/>
      <c r="F14" s="88" t="s">
        <v>76</v>
      </c>
      <c r="G14" s="89"/>
      <c r="H14" s="88" t="s">
        <v>76</v>
      </c>
      <c r="I14" s="88" t="s">
        <v>76</v>
      </c>
      <c r="J14" s="88" t="s">
        <v>76</v>
      </c>
      <c r="K14" s="88">
        <v>480</v>
      </c>
      <c r="L14" s="88" t="s">
        <v>76</v>
      </c>
      <c r="M14" s="89"/>
      <c r="N14" s="88" t="s">
        <v>76</v>
      </c>
      <c r="O14" s="88" t="s">
        <v>76</v>
      </c>
      <c r="P14" s="88" t="s">
        <v>76</v>
      </c>
      <c r="Q14" s="88">
        <v>620</v>
      </c>
      <c r="R14" s="88" t="s">
        <v>76</v>
      </c>
      <c r="S14" s="89"/>
      <c r="T14" s="88" t="s">
        <v>76</v>
      </c>
      <c r="U14" s="88" t="s">
        <v>76</v>
      </c>
      <c r="V14" s="88" t="s">
        <v>76</v>
      </c>
      <c r="W14" s="88">
        <v>220</v>
      </c>
      <c r="X14" s="88" t="s">
        <v>76</v>
      </c>
      <c r="Y14" s="89"/>
      <c r="Z14" s="88" t="s">
        <v>76</v>
      </c>
      <c r="AA14" s="88" t="s">
        <v>76</v>
      </c>
      <c r="AB14" s="88" t="s">
        <v>76</v>
      </c>
      <c r="AC14" s="88">
        <v>400</v>
      </c>
      <c r="AD14" s="88" t="s">
        <v>76</v>
      </c>
      <c r="AF14" s="9">
        <f t="shared" si="0"/>
        <v>1720</v>
      </c>
      <c r="AG14" s="6">
        <f>'Facility Data'!D47</f>
        <v>442</v>
      </c>
      <c r="AH14" s="49">
        <f t="shared" si="1"/>
        <v>3.8914027149321266</v>
      </c>
    </row>
    <row r="15" spans="1:36">
      <c r="A15" s="24" t="s">
        <v>12</v>
      </c>
      <c r="B15" s="81"/>
      <c r="C15" s="80"/>
      <c r="D15" s="80"/>
      <c r="E15" s="80"/>
      <c r="F15" s="88">
        <v>260</v>
      </c>
      <c r="G15" s="89"/>
      <c r="H15" s="88" t="s">
        <v>76</v>
      </c>
      <c r="I15" s="88">
        <v>420</v>
      </c>
      <c r="J15" s="88" t="s">
        <v>76</v>
      </c>
      <c r="K15" s="88" t="s">
        <v>76</v>
      </c>
      <c r="L15" s="88">
        <v>180</v>
      </c>
      <c r="M15" s="89"/>
      <c r="N15" s="88" t="s">
        <v>76</v>
      </c>
      <c r="O15" s="88">
        <v>280</v>
      </c>
      <c r="P15" s="88" t="s">
        <v>76</v>
      </c>
      <c r="Q15" s="88" t="s">
        <v>76</v>
      </c>
      <c r="R15" s="88">
        <v>300</v>
      </c>
      <c r="S15" s="89"/>
      <c r="T15" s="88" t="s">
        <v>76</v>
      </c>
      <c r="U15" s="88">
        <v>180</v>
      </c>
      <c r="V15" s="88" t="s">
        <v>76</v>
      </c>
      <c r="W15" s="88" t="s">
        <v>76</v>
      </c>
      <c r="X15" s="88">
        <v>80</v>
      </c>
      <c r="Y15" s="89"/>
      <c r="Z15" s="88" t="s">
        <v>76</v>
      </c>
      <c r="AA15" s="88">
        <v>240</v>
      </c>
      <c r="AB15" s="88" t="s">
        <v>76</v>
      </c>
      <c r="AC15" s="88" t="s">
        <v>76</v>
      </c>
      <c r="AD15" s="88">
        <v>100</v>
      </c>
      <c r="AF15" s="9">
        <f t="shared" si="0"/>
        <v>2040</v>
      </c>
      <c r="AG15" s="6">
        <f>'Facility Data'!D33</f>
        <v>581</v>
      </c>
      <c r="AH15" s="49">
        <f t="shared" si="1"/>
        <v>3.5111876075731496</v>
      </c>
    </row>
    <row r="16" spans="1:36">
      <c r="A16" s="23" t="s">
        <v>41</v>
      </c>
      <c r="B16" s="81"/>
      <c r="C16" s="80"/>
      <c r="D16" s="80"/>
      <c r="E16" s="80"/>
      <c r="F16" s="88" t="s">
        <v>76</v>
      </c>
      <c r="G16" s="89"/>
      <c r="H16" s="88" t="s">
        <v>76</v>
      </c>
      <c r="I16" s="88" t="s">
        <v>76</v>
      </c>
      <c r="J16" s="88" t="s">
        <v>76</v>
      </c>
      <c r="K16" s="88">
        <v>160</v>
      </c>
      <c r="L16" s="88" t="s">
        <v>76</v>
      </c>
      <c r="M16" s="89"/>
      <c r="N16" s="88" t="s">
        <v>76</v>
      </c>
      <c r="O16" s="88" t="s">
        <v>76</v>
      </c>
      <c r="P16" s="88" t="s">
        <v>76</v>
      </c>
      <c r="Q16" s="88">
        <v>240</v>
      </c>
      <c r="R16" s="88" t="s">
        <v>76</v>
      </c>
      <c r="S16" s="89"/>
      <c r="T16" s="88" t="s">
        <v>76</v>
      </c>
      <c r="U16" s="88" t="s">
        <v>76</v>
      </c>
      <c r="V16" s="88" t="s">
        <v>76</v>
      </c>
      <c r="W16" s="88">
        <v>180</v>
      </c>
      <c r="X16" s="88" t="s">
        <v>76</v>
      </c>
      <c r="Y16" s="89"/>
      <c r="Z16" s="88" t="s">
        <v>76</v>
      </c>
      <c r="AA16" s="88" t="s">
        <v>76</v>
      </c>
      <c r="AB16" s="88" t="s">
        <v>76</v>
      </c>
      <c r="AC16" s="88">
        <v>620</v>
      </c>
      <c r="AD16" s="88" t="s">
        <v>76</v>
      </c>
      <c r="AF16" s="9">
        <f t="shared" si="0"/>
        <v>1200</v>
      </c>
      <c r="AG16" s="6">
        <f>'Facility Data'!D13</f>
        <v>342</v>
      </c>
      <c r="AH16" s="49">
        <f t="shared" si="1"/>
        <v>3.5087719298245612</v>
      </c>
    </row>
    <row r="17" spans="1:35">
      <c r="A17" s="23" t="s">
        <v>60</v>
      </c>
      <c r="B17" s="81"/>
      <c r="C17" s="80"/>
      <c r="D17" s="80"/>
      <c r="E17" s="80"/>
      <c r="F17" s="88">
        <v>380</v>
      </c>
      <c r="G17" s="89"/>
      <c r="H17" s="88" t="s">
        <v>76</v>
      </c>
      <c r="I17" s="88" t="s">
        <v>76</v>
      </c>
      <c r="J17" s="88" t="s">
        <v>76</v>
      </c>
      <c r="K17" s="88" t="s">
        <v>76</v>
      </c>
      <c r="L17" s="88">
        <v>620</v>
      </c>
      <c r="M17" s="89"/>
      <c r="N17" s="88" t="s">
        <v>76</v>
      </c>
      <c r="O17" s="88" t="s">
        <v>76</v>
      </c>
      <c r="P17" s="88" t="s">
        <v>76</v>
      </c>
      <c r="Q17" s="88" t="s">
        <v>76</v>
      </c>
      <c r="R17" s="88">
        <v>280</v>
      </c>
      <c r="S17" s="89"/>
      <c r="T17" s="88" t="s">
        <v>76</v>
      </c>
      <c r="U17" s="88" t="s">
        <v>76</v>
      </c>
      <c r="V17" s="88" t="s">
        <v>76</v>
      </c>
      <c r="W17" s="88" t="s">
        <v>76</v>
      </c>
      <c r="X17" s="88">
        <v>400</v>
      </c>
      <c r="Y17" s="89"/>
      <c r="Z17" s="88" t="s">
        <v>76</v>
      </c>
      <c r="AA17" s="88" t="s">
        <v>76</v>
      </c>
      <c r="AB17" s="88" t="s">
        <v>76</v>
      </c>
      <c r="AC17" s="88" t="s">
        <v>76</v>
      </c>
      <c r="AD17" s="88">
        <v>320</v>
      </c>
      <c r="AF17" s="9">
        <f t="shared" si="0"/>
        <v>2000</v>
      </c>
      <c r="AG17" s="6">
        <f>'Facility Data'!D50</f>
        <v>598</v>
      </c>
      <c r="AH17" s="49">
        <f t="shared" si="1"/>
        <v>3.3444816053511706</v>
      </c>
    </row>
    <row r="18" spans="1:35">
      <c r="A18" s="23" t="s">
        <v>62</v>
      </c>
      <c r="B18" s="81"/>
      <c r="C18" s="80"/>
      <c r="D18" s="80"/>
      <c r="E18" s="80"/>
      <c r="F18" s="88" t="s">
        <v>76</v>
      </c>
      <c r="G18" s="89"/>
      <c r="H18" s="88">
        <v>320</v>
      </c>
      <c r="I18" s="88" t="s">
        <v>76</v>
      </c>
      <c r="J18" s="88" t="s">
        <v>76</v>
      </c>
      <c r="K18" s="88" t="s">
        <v>76</v>
      </c>
      <c r="L18" s="88" t="s">
        <v>76</v>
      </c>
      <c r="M18" s="89"/>
      <c r="N18" s="88">
        <v>460</v>
      </c>
      <c r="O18" s="88" t="s">
        <v>76</v>
      </c>
      <c r="P18" s="88" t="s">
        <v>76</v>
      </c>
      <c r="Q18" s="88" t="s">
        <v>76</v>
      </c>
      <c r="R18" s="88" t="s">
        <v>76</v>
      </c>
      <c r="S18" s="89"/>
      <c r="T18" s="88">
        <v>320</v>
      </c>
      <c r="U18" s="88" t="s">
        <v>76</v>
      </c>
      <c r="V18" s="88" t="s">
        <v>76</v>
      </c>
      <c r="W18" s="88" t="s">
        <v>76</v>
      </c>
      <c r="X18" s="88" t="s">
        <v>76</v>
      </c>
      <c r="Y18" s="89"/>
      <c r="Z18" s="88">
        <v>400</v>
      </c>
      <c r="AA18" s="88" t="s">
        <v>76</v>
      </c>
      <c r="AB18" s="88" t="s">
        <v>76</v>
      </c>
      <c r="AC18" s="88" t="s">
        <v>76</v>
      </c>
      <c r="AD18" s="88" t="s">
        <v>76</v>
      </c>
      <c r="AF18" s="9">
        <f t="shared" si="0"/>
        <v>1500</v>
      </c>
      <c r="AG18" s="6">
        <f>'Facility Data'!D54</f>
        <v>488</v>
      </c>
      <c r="AH18" s="49">
        <f t="shared" si="1"/>
        <v>3.0737704918032787</v>
      </c>
    </row>
    <row r="19" spans="1:35">
      <c r="A19" s="23" t="s">
        <v>56</v>
      </c>
      <c r="B19" s="81"/>
      <c r="C19" s="80"/>
      <c r="D19" s="80"/>
      <c r="E19" s="80"/>
      <c r="F19" s="88" t="s">
        <v>76</v>
      </c>
      <c r="G19" s="89"/>
      <c r="H19" s="88" t="s">
        <v>76</v>
      </c>
      <c r="I19" s="88" t="s">
        <v>76</v>
      </c>
      <c r="J19" s="88" t="s">
        <v>76</v>
      </c>
      <c r="K19" s="88">
        <v>80</v>
      </c>
      <c r="L19" s="88" t="s">
        <v>76</v>
      </c>
      <c r="M19" s="89"/>
      <c r="N19" s="88" t="s">
        <v>76</v>
      </c>
      <c r="O19" s="88" t="s">
        <v>76</v>
      </c>
      <c r="P19" s="88" t="s">
        <v>76</v>
      </c>
      <c r="Q19" s="88">
        <v>180</v>
      </c>
      <c r="R19" s="88" t="s">
        <v>76</v>
      </c>
      <c r="S19" s="89"/>
      <c r="T19" s="88" t="s">
        <v>76</v>
      </c>
      <c r="U19" s="88" t="s">
        <v>76</v>
      </c>
      <c r="V19" s="88" t="s">
        <v>76</v>
      </c>
      <c r="W19" s="88">
        <v>60</v>
      </c>
      <c r="X19" s="88" t="s">
        <v>76</v>
      </c>
      <c r="Y19" s="89"/>
      <c r="Z19" s="88" t="s">
        <v>76</v>
      </c>
      <c r="AA19" s="88" t="s">
        <v>76</v>
      </c>
      <c r="AB19" s="88" t="s">
        <v>76</v>
      </c>
      <c r="AC19" s="88">
        <v>120</v>
      </c>
      <c r="AD19" s="88" t="s">
        <v>76</v>
      </c>
      <c r="AF19" s="9">
        <f t="shared" si="0"/>
        <v>440</v>
      </c>
      <c r="AG19" s="6">
        <f>'Facility Data'!D41</f>
        <v>157</v>
      </c>
      <c r="AH19" s="49">
        <f t="shared" si="1"/>
        <v>2.8025477707006368</v>
      </c>
    </row>
    <row r="20" spans="1:35">
      <c r="A20" s="23" t="s">
        <v>46</v>
      </c>
      <c r="B20" s="81"/>
      <c r="C20" s="80"/>
      <c r="D20" s="80"/>
      <c r="E20" s="80"/>
      <c r="F20" s="88" t="s">
        <v>76</v>
      </c>
      <c r="G20" s="89"/>
      <c r="H20" s="88" t="s">
        <v>76</v>
      </c>
      <c r="I20" s="88" t="s">
        <v>76</v>
      </c>
      <c r="J20" s="88" t="s">
        <v>76</v>
      </c>
      <c r="K20" s="88">
        <v>200</v>
      </c>
      <c r="L20" s="88" t="s">
        <v>76</v>
      </c>
      <c r="M20" s="89"/>
      <c r="N20" s="88" t="s">
        <v>76</v>
      </c>
      <c r="O20" s="88" t="s">
        <v>76</v>
      </c>
      <c r="P20" s="88" t="s">
        <v>76</v>
      </c>
      <c r="Q20" s="88">
        <v>220</v>
      </c>
      <c r="R20" s="88" t="s">
        <v>76</v>
      </c>
      <c r="S20" s="89"/>
      <c r="T20" s="88" t="s">
        <v>76</v>
      </c>
      <c r="U20" s="88" t="s">
        <v>76</v>
      </c>
      <c r="V20" s="88" t="s">
        <v>76</v>
      </c>
      <c r="W20" s="88">
        <v>140</v>
      </c>
      <c r="X20" s="88" t="s">
        <v>76</v>
      </c>
      <c r="Y20" s="89"/>
      <c r="Z20" s="88" t="s">
        <v>76</v>
      </c>
      <c r="AA20" s="88" t="s">
        <v>76</v>
      </c>
      <c r="AB20" s="88" t="s">
        <v>76</v>
      </c>
      <c r="AC20" s="88">
        <v>160</v>
      </c>
      <c r="AD20" s="88" t="s">
        <v>76</v>
      </c>
      <c r="AF20" s="9">
        <f t="shared" si="0"/>
        <v>720</v>
      </c>
      <c r="AG20" s="6">
        <f>'Facility Data'!D20</f>
        <v>274</v>
      </c>
      <c r="AH20" s="49">
        <f t="shared" si="1"/>
        <v>2.6277372262773722</v>
      </c>
    </row>
    <row r="21" spans="1:35">
      <c r="A21" s="24" t="s">
        <v>19</v>
      </c>
      <c r="B21" s="81"/>
      <c r="C21" s="80"/>
      <c r="D21" s="80"/>
      <c r="E21" s="80"/>
      <c r="F21" s="88" t="s">
        <v>76</v>
      </c>
      <c r="G21" s="89"/>
      <c r="H21" s="88">
        <v>160</v>
      </c>
      <c r="I21" s="88" t="s">
        <v>76</v>
      </c>
      <c r="J21" s="88" t="s">
        <v>76</v>
      </c>
      <c r="K21" s="88">
        <v>140</v>
      </c>
      <c r="L21" s="88" t="s">
        <v>76</v>
      </c>
      <c r="M21" s="89"/>
      <c r="N21" s="88">
        <v>320</v>
      </c>
      <c r="O21" s="88" t="s">
        <v>76</v>
      </c>
      <c r="P21" s="88" t="s">
        <v>76</v>
      </c>
      <c r="Q21" s="88">
        <v>220</v>
      </c>
      <c r="R21" s="88" t="s">
        <v>76</v>
      </c>
      <c r="S21" s="89"/>
      <c r="T21" s="88">
        <v>240</v>
      </c>
      <c r="U21" s="88" t="s">
        <v>76</v>
      </c>
      <c r="V21" s="88" t="s">
        <v>76</v>
      </c>
      <c r="W21" s="88">
        <v>200</v>
      </c>
      <c r="X21" s="88" t="s">
        <v>76</v>
      </c>
      <c r="Y21" s="89"/>
      <c r="Z21" s="88">
        <v>240</v>
      </c>
      <c r="AA21" s="88" t="s">
        <v>76</v>
      </c>
      <c r="AB21" s="88" t="s">
        <v>76</v>
      </c>
      <c r="AC21" s="88">
        <v>260</v>
      </c>
      <c r="AD21" s="88" t="s">
        <v>76</v>
      </c>
      <c r="AF21" s="9">
        <f t="shared" si="0"/>
        <v>1780</v>
      </c>
      <c r="AG21" s="6">
        <f>'Facility Data'!D46</f>
        <v>693</v>
      </c>
      <c r="AH21" s="49">
        <f t="shared" si="1"/>
        <v>2.5685425685425685</v>
      </c>
    </row>
    <row r="22" spans="1:35">
      <c r="A22" s="23" t="s">
        <v>68</v>
      </c>
      <c r="B22" s="81"/>
      <c r="C22" s="80"/>
      <c r="D22" s="80"/>
      <c r="E22" s="80"/>
      <c r="F22" s="88" t="s">
        <v>76</v>
      </c>
      <c r="G22" s="89"/>
      <c r="H22" s="88">
        <v>460</v>
      </c>
      <c r="I22" s="88" t="s">
        <v>76</v>
      </c>
      <c r="J22" s="88" t="s">
        <v>76</v>
      </c>
      <c r="K22" s="88" t="s">
        <v>76</v>
      </c>
      <c r="L22" s="88" t="s">
        <v>76</v>
      </c>
      <c r="M22" s="89"/>
      <c r="N22" s="88">
        <v>300</v>
      </c>
      <c r="O22" s="88" t="s">
        <v>76</v>
      </c>
      <c r="P22" s="88" t="s">
        <v>76</v>
      </c>
      <c r="Q22" s="88" t="s">
        <v>76</v>
      </c>
      <c r="R22" s="88" t="s">
        <v>76</v>
      </c>
      <c r="S22" s="89"/>
      <c r="T22" s="88">
        <v>260</v>
      </c>
      <c r="U22" s="88" t="s">
        <v>76</v>
      </c>
      <c r="V22" s="88" t="s">
        <v>76</v>
      </c>
      <c r="W22" s="88" t="s">
        <v>76</v>
      </c>
      <c r="X22" s="88" t="s">
        <v>76</v>
      </c>
      <c r="Y22" s="89"/>
      <c r="Z22" s="88">
        <v>280</v>
      </c>
      <c r="AA22" s="88" t="s">
        <v>76</v>
      </c>
      <c r="AB22" s="88" t="s">
        <v>76</v>
      </c>
      <c r="AC22" s="88" t="s">
        <v>76</v>
      </c>
      <c r="AD22" s="88" t="s">
        <v>76</v>
      </c>
      <c r="AF22" s="9">
        <f t="shared" si="0"/>
        <v>1300</v>
      </c>
      <c r="AG22" s="6">
        <f>'Facility Data'!D64</f>
        <v>514</v>
      </c>
      <c r="AH22" s="49">
        <f t="shared" si="1"/>
        <v>2.5291828793774318</v>
      </c>
    </row>
    <row r="23" spans="1:35">
      <c r="A23" s="25" t="s">
        <v>1</v>
      </c>
      <c r="B23" s="81"/>
      <c r="C23" s="80"/>
      <c r="D23" s="80"/>
      <c r="E23" s="80"/>
      <c r="F23" s="88" t="s">
        <v>76</v>
      </c>
      <c r="G23" s="89"/>
      <c r="H23" s="88">
        <v>520</v>
      </c>
      <c r="I23" s="88" t="s">
        <v>76</v>
      </c>
      <c r="J23" s="88" t="s">
        <v>76</v>
      </c>
      <c r="K23" s="88" t="s">
        <v>76</v>
      </c>
      <c r="L23" s="88" t="s">
        <v>76</v>
      </c>
      <c r="M23" s="89"/>
      <c r="N23" s="88">
        <v>680</v>
      </c>
      <c r="O23" s="88" t="s">
        <v>76</v>
      </c>
      <c r="P23" s="88" t="s">
        <v>76</v>
      </c>
      <c r="Q23" s="88" t="s">
        <v>76</v>
      </c>
      <c r="R23" s="88" t="s">
        <v>76</v>
      </c>
      <c r="S23" s="89"/>
      <c r="T23" s="88">
        <v>340</v>
      </c>
      <c r="U23" s="88" t="s">
        <v>76</v>
      </c>
      <c r="V23" s="88" t="s">
        <v>76</v>
      </c>
      <c r="W23" s="88" t="s">
        <v>76</v>
      </c>
      <c r="X23" s="88" t="s">
        <v>76</v>
      </c>
      <c r="Y23" s="89"/>
      <c r="Z23" s="88">
        <v>480</v>
      </c>
      <c r="AA23" s="88" t="s">
        <v>76</v>
      </c>
      <c r="AB23" s="88" t="s">
        <v>76</v>
      </c>
      <c r="AC23" s="88" t="s">
        <v>76</v>
      </c>
      <c r="AD23" s="88" t="s">
        <v>76</v>
      </c>
      <c r="AF23" s="9">
        <f t="shared" si="0"/>
        <v>2020</v>
      </c>
      <c r="AG23" s="6">
        <f>'Facility Data'!D6</f>
        <v>807</v>
      </c>
      <c r="AH23" s="49">
        <f t="shared" si="1"/>
        <v>2.5030978934324661</v>
      </c>
    </row>
    <row r="24" spans="1:35">
      <c r="A24" s="23" t="s">
        <v>49</v>
      </c>
      <c r="B24" s="81"/>
      <c r="C24" s="80"/>
      <c r="D24" s="80"/>
      <c r="E24" s="80"/>
      <c r="F24" s="88" t="s">
        <v>76</v>
      </c>
      <c r="G24" s="89"/>
      <c r="H24" s="88">
        <v>520</v>
      </c>
      <c r="I24" s="88" t="s">
        <v>76</v>
      </c>
      <c r="J24" s="88" t="s">
        <v>76</v>
      </c>
      <c r="K24" s="88" t="s">
        <v>76</v>
      </c>
      <c r="L24" s="88" t="s">
        <v>76</v>
      </c>
      <c r="M24" s="89"/>
      <c r="N24" s="88">
        <v>340</v>
      </c>
      <c r="O24" s="88" t="s">
        <v>76</v>
      </c>
      <c r="P24" s="88" t="s">
        <v>76</v>
      </c>
      <c r="Q24" s="88" t="s">
        <v>76</v>
      </c>
      <c r="R24" s="88" t="s">
        <v>76</v>
      </c>
      <c r="S24" s="89"/>
      <c r="T24" s="88">
        <v>160</v>
      </c>
      <c r="U24" s="88" t="s">
        <v>76</v>
      </c>
      <c r="V24" s="88" t="s">
        <v>76</v>
      </c>
      <c r="W24" s="88" t="s">
        <v>76</v>
      </c>
      <c r="X24" s="88" t="s">
        <v>76</v>
      </c>
      <c r="Y24" s="89"/>
      <c r="Z24" s="88">
        <v>320</v>
      </c>
      <c r="AA24" s="88" t="s">
        <v>76</v>
      </c>
      <c r="AB24" s="88" t="s">
        <v>76</v>
      </c>
      <c r="AC24" s="88" t="s">
        <v>76</v>
      </c>
      <c r="AD24" s="88" t="s">
        <v>76</v>
      </c>
      <c r="AF24" s="9">
        <f t="shared" si="0"/>
        <v>1340</v>
      </c>
      <c r="AG24" s="6">
        <f>'Facility Data'!D24</f>
        <v>537</v>
      </c>
      <c r="AH24" s="49">
        <f t="shared" si="1"/>
        <v>2.4953445065176907</v>
      </c>
    </row>
    <row r="25" spans="1:35">
      <c r="A25" s="23" t="s">
        <v>65</v>
      </c>
      <c r="B25" s="81"/>
      <c r="C25" s="80"/>
      <c r="D25" s="80"/>
      <c r="E25" s="80"/>
      <c r="F25" s="88" t="s">
        <v>76</v>
      </c>
      <c r="G25" s="89"/>
      <c r="H25" s="88">
        <v>560</v>
      </c>
      <c r="I25" s="88" t="s">
        <v>76</v>
      </c>
      <c r="J25" s="88" t="s">
        <v>76</v>
      </c>
      <c r="K25" s="88" t="s">
        <v>76</v>
      </c>
      <c r="L25" s="88" t="s">
        <v>76</v>
      </c>
      <c r="M25" s="89"/>
      <c r="N25" s="88">
        <v>680</v>
      </c>
      <c r="O25" s="88" t="s">
        <v>76</v>
      </c>
      <c r="P25" s="88" t="s">
        <v>76</v>
      </c>
      <c r="Q25" s="88" t="s">
        <v>76</v>
      </c>
      <c r="R25" s="88" t="s">
        <v>76</v>
      </c>
      <c r="S25" s="89"/>
      <c r="T25" s="88">
        <v>420</v>
      </c>
      <c r="U25" s="88" t="s">
        <v>76</v>
      </c>
      <c r="V25" s="88" t="s">
        <v>76</v>
      </c>
      <c r="W25" s="88" t="s">
        <v>76</v>
      </c>
      <c r="X25" s="88" t="s">
        <v>76</v>
      </c>
      <c r="Y25" s="89"/>
      <c r="Z25" s="88">
        <v>320</v>
      </c>
      <c r="AA25" s="88" t="s">
        <v>76</v>
      </c>
      <c r="AB25" s="88" t="s">
        <v>76</v>
      </c>
      <c r="AC25" s="88" t="s">
        <v>76</v>
      </c>
      <c r="AD25" s="88" t="s">
        <v>76</v>
      </c>
      <c r="AF25" s="9">
        <f t="shared" si="0"/>
        <v>1980</v>
      </c>
      <c r="AG25" s="6">
        <f>'Facility Data'!D60</f>
        <v>865</v>
      </c>
      <c r="AH25" s="49">
        <f t="shared" si="1"/>
        <v>2.2890173410404624</v>
      </c>
    </row>
    <row r="26" spans="1:35">
      <c r="A26" s="23" t="s">
        <v>69</v>
      </c>
      <c r="B26" s="81"/>
      <c r="C26" s="80"/>
      <c r="D26" s="80"/>
      <c r="E26" s="80"/>
      <c r="F26" s="88" t="s">
        <v>76</v>
      </c>
      <c r="G26" s="89"/>
      <c r="H26" s="88" t="s">
        <v>76</v>
      </c>
      <c r="I26" s="88" t="s">
        <v>76</v>
      </c>
      <c r="J26" s="88" t="s">
        <v>76</v>
      </c>
      <c r="K26" s="88">
        <v>60</v>
      </c>
      <c r="L26" s="88" t="s">
        <v>76</v>
      </c>
      <c r="M26" s="89"/>
      <c r="N26" s="88" t="s">
        <v>76</v>
      </c>
      <c r="O26" s="88" t="s">
        <v>76</v>
      </c>
      <c r="P26" s="88" t="s">
        <v>76</v>
      </c>
      <c r="Q26" s="88">
        <v>100</v>
      </c>
      <c r="R26" s="88" t="s">
        <v>76</v>
      </c>
      <c r="S26" s="89"/>
      <c r="T26" s="88" t="s">
        <v>76</v>
      </c>
      <c r="U26" s="88" t="s">
        <v>76</v>
      </c>
      <c r="V26" s="88" t="s">
        <v>76</v>
      </c>
      <c r="W26" s="88">
        <v>80</v>
      </c>
      <c r="X26" s="88" t="s">
        <v>76</v>
      </c>
      <c r="Y26" s="89"/>
      <c r="Z26" s="88" t="s">
        <v>76</v>
      </c>
      <c r="AA26" s="88" t="s">
        <v>76</v>
      </c>
      <c r="AB26" s="88" t="s">
        <v>76</v>
      </c>
      <c r="AC26" s="88">
        <v>120</v>
      </c>
      <c r="AD26" s="88" t="s">
        <v>76</v>
      </c>
      <c r="AF26" s="9">
        <f t="shared" si="0"/>
        <v>360</v>
      </c>
      <c r="AG26" s="6">
        <f>'Facility Data'!D34</f>
        <v>166</v>
      </c>
      <c r="AH26" s="49">
        <f t="shared" si="1"/>
        <v>2.1686746987951806</v>
      </c>
    </row>
    <row r="27" spans="1:35">
      <c r="A27" s="23" t="s">
        <v>55</v>
      </c>
      <c r="B27" s="81"/>
      <c r="C27" s="80"/>
      <c r="D27" s="80"/>
      <c r="E27" s="80"/>
      <c r="F27" s="88" t="s">
        <v>76</v>
      </c>
      <c r="G27" s="89"/>
      <c r="H27" s="88">
        <v>320</v>
      </c>
      <c r="I27" s="88" t="s">
        <v>76</v>
      </c>
      <c r="J27" s="88" t="s">
        <v>76</v>
      </c>
      <c r="K27" s="88">
        <v>240</v>
      </c>
      <c r="L27" s="88" t="s">
        <v>76</v>
      </c>
      <c r="M27" s="89"/>
      <c r="N27" s="88">
        <v>160</v>
      </c>
      <c r="O27" s="88" t="s">
        <v>76</v>
      </c>
      <c r="P27" s="88" t="s">
        <v>76</v>
      </c>
      <c r="Q27" s="88">
        <v>200</v>
      </c>
      <c r="R27" s="88" t="s">
        <v>76</v>
      </c>
      <c r="S27" s="89"/>
      <c r="T27" s="88">
        <v>80</v>
      </c>
      <c r="U27" s="88" t="s">
        <v>76</v>
      </c>
      <c r="V27" s="88" t="s">
        <v>76</v>
      </c>
      <c r="W27" s="88">
        <v>180</v>
      </c>
      <c r="X27" s="88" t="s">
        <v>76</v>
      </c>
      <c r="Y27" s="89"/>
      <c r="Z27" s="88">
        <v>260</v>
      </c>
      <c r="AA27" s="88" t="s">
        <v>76</v>
      </c>
      <c r="AB27" s="88" t="s">
        <v>76</v>
      </c>
      <c r="AC27" s="88">
        <v>60</v>
      </c>
      <c r="AD27" s="88" t="s">
        <v>76</v>
      </c>
      <c r="AF27" s="9">
        <f t="shared" si="0"/>
        <v>1500</v>
      </c>
      <c r="AG27" s="6">
        <f>'Facility Data'!D38</f>
        <v>695</v>
      </c>
      <c r="AH27" s="49">
        <f t="shared" si="1"/>
        <v>2.1582733812949639</v>
      </c>
    </row>
    <row r="28" spans="1:35">
      <c r="A28" s="24" t="s">
        <v>18</v>
      </c>
      <c r="B28" s="81"/>
      <c r="C28" s="80"/>
      <c r="D28" s="80"/>
      <c r="E28" s="80"/>
      <c r="F28" s="88" t="s">
        <v>76</v>
      </c>
      <c r="G28" s="89"/>
      <c r="H28" s="88">
        <v>80</v>
      </c>
      <c r="I28" s="88" t="s">
        <v>76</v>
      </c>
      <c r="J28" s="88" t="s">
        <v>76</v>
      </c>
      <c r="K28" s="88">
        <v>100</v>
      </c>
      <c r="L28" s="88" t="s">
        <v>76</v>
      </c>
      <c r="M28" s="89"/>
      <c r="N28" s="88">
        <v>140</v>
      </c>
      <c r="O28" s="88" t="s">
        <v>76</v>
      </c>
      <c r="P28" s="88" t="s">
        <v>76</v>
      </c>
      <c r="Q28" s="88">
        <v>200</v>
      </c>
      <c r="R28" s="88" t="s">
        <v>76</v>
      </c>
      <c r="S28" s="89"/>
      <c r="T28" s="88">
        <v>160</v>
      </c>
      <c r="U28" s="88" t="s">
        <v>76</v>
      </c>
      <c r="V28" s="88" t="s">
        <v>76</v>
      </c>
      <c r="W28" s="88">
        <v>40</v>
      </c>
      <c r="X28" s="88" t="s">
        <v>76</v>
      </c>
      <c r="Y28" s="89"/>
      <c r="Z28" s="88">
        <v>240</v>
      </c>
      <c r="AA28" s="88" t="s">
        <v>76</v>
      </c>
      <c r="AB28" s="88" t="s">
        <v>76</v>
      </c>
      <c r="AC28" s="88">
        <v>380</v>
      </c>
      <c r="AD28" s="88" t="s">
        <v>76</v>
      </c>
      <c r="AF28" s="9">
        <f t="shared" si="0"/>
        <v>1340</v>
      </c>
      <c r="AG28" s="6">
        <f>'Facility Data'!D44</f>
        <v>630</v>
      </c>
      <c r="AH28" s="49">
        <f t="shared" si="1"/>
        <v>2.126984126984127</v>
      </c>
    </row>
    <row r="29" spans="1:35">
      <c r="A29" s="24" t="s">
        <v>4</v>
      </c>
      <c r="B29" s="81"/>
      <c r="C29" s="80"/>
      <c r="D29" s="80"/>
      <c r="E29" s="80"/>
      <c r="F29" s="88" t="s">
        <v>76</v>
      </c>
      <c r="G29" s="89"/>
      <c r="H29" s="88" t="s">
        <v>76</v>
      </c>
      <c r="I29" s="88" t="s">
        <v>76</v>
      </c>
      <c r="J29" s="88" t="s">
        <v>76</v>
      </c>
      <c r="K29" s="88">
        <v>280</v>
      </c>
      <c r="L29" s="88" t="s">
        <v>76</v>
      </c>
      <c r="M29" s="89"/>
      <c r="N29" s="88" t="s">
        <v>76</v>
      </c>
      <c r="O29" s="88" t="s">
        <v>76</v>
      </c>
      <c r="P29" s="88" t="s">
        <v>76</v>
      </c>
      <c r="Q29" s="88">
        <v>340</v>
      </c>
      <c r="R29" s="88" t="s">
        <v>76</v>
      </c>
      <c r="S29" s="89"/>
      <c r="T29" s="88" t="s">
        <v>76</v>
      </c>
      <c r="U29" s="88" t="s">
        <v>76</v>
      </c>
      <c r="V29" s="88" t="s">
        <v>76</v>
      </c>
      <c r="W29" s="88">
        <v>180</v>
      </c>
      <c r="X29" s="88" t="s">
        <v>76</v>
      </c>
      <c r="Y29" s="89"/>
      <c r="Z29" s="88" t="s">
        <v>76</v>
      </c>
      <c r="AA29" s="88" t="s">
        <v>76</v>
      </c>
      <c r="AB29" s="88" t="s">
        <v>76</v>
      </c>
      <c r="AC29" s="88">
        <v>340</v>
      </c>
      <c r="AD29" s="88" t="s">
        <v>76</v>
      </c>
      <c r="AF29" s="9">
        <f t="shared" si="0"/>
        <v>1140</v>
      </c>
      <c r="AG29" s="6">
        <f>'Facility Data'!D11</f>
        <v>573</v>
      </c>
      <c r="AH29" s="49">
        <f t="shared" si="1"/>
        <v>1.9895287958115184</v>
      </c>
    </row>
    <row r="30" spans="1:35">
      <c r="A30" s="23" t="s">
        <v>43</v>
      </c>
      <c r="B30" s="81"/>
      <c r="C30" s="80"/>
      <c r="D30" s="80"/>
      <c r="E30" s="80"/>
      <c r="F30" s="88">
        <v>300</v>
      </c>
      <c r="G30" s="89"/>
      <c r="H30" s="88" t="s">
        <v>76</v>
      </c>
      <c r="I30" s="88" t="s">
        <v>76</v>
      </c>
      <c r="J30" s="88" t="s">
        <v>76</v>
      </c>
      <c r="K30" s="88" t="s">
        <v>76</v>
      </c>
      <c r="L30" s="88">
        <v>260</v>
      </c>
      <c r="M30" s="89"/>
      <c r="N30" s="88" t="s">
        <v>76</v>
      </c>
      <c r="O30" s="88" t="s">
        <v>76</v>
      </c>
      <c r="P30" s="88" t="s">
        <v>76</v>
      </c>
      <c r="Q30" s="88" t="s">
        <v>76</v>
      </c>
      <c r="R30" s="88">
        <v>160</v>
      </c>
      <c r="S30" s="89"/>
      <c r="T30" s="88" t="s">
        <v>76</v>
      </c>
      <c r="U30" s="88" t="s">
        <v>76</v>
      </c>
      <c r="V30" s="88" t="s">
        <v>76</v>
      </c>
      <c r="W30" s="88" t="s">
        <v>76</v>
      </c>
      <c r="X30" s="88">
        <v>80</v>
      </c>
      <c r="Y30" s="89"/>
      <c r="Z30" s="88" t="s">
        <v>76</v>
      </c>
      <c r="AA30" s="88" t="s">
        <v>76</v>
      </c>
      <c r="AB30" s="88" t="s">
        <v>76</v>
      </c>
      <c r="AC30" s="88" t="s">
        <v>76</v>
      </c>
      <c r="AD30" s="88">
        <v>120</v>
      </c>
      <c r="AF30" s="9">
        <f t="shared" si="0"/>
        <v>920</v>
      </c>
      <c r="AG30" s="6">
        <f>'Facility Data'!D16</f>
        <v>469</v>
      </c>
      <c r="AH30" s="49">
        <f t="shared" si="1"/>
        <v>1.9616204690831556</v>
      </c>
    </row>
    <row r="31" spans="1:35">
      <c r="A31" s="23" t="s">
        <v>63</v>
      </c>
      <c r="B31" s="81"/>
      <c r="C31" s="80"/>
      <c r="D31" s="80"/>
      <c r="E31" s="80"/>
      <c r="F31" s="88" t="s">
        <v>76</v>
      </c>
      <c r="G31" s="89"/>
      <c r="H31" s="88" t="s">
        <v>76</v>
      </c>
      <c r="I31" s="88" t="s">
        <v>76</v>
      </c>
      <c r="J31" s="88" t="s">
        <v>76</v>
      </c>
      <c r="K31" s="88">
        <v>400</v>
      </c>
      <c r="L31" s="88" t="s">
        <v>76</v>
      </c>
      <c r="M31" s="89"/>
      <c r="N31" s="88" t="s">
        <v>76</v>
      </c>
      <c r="O31" s="88" t="s">
        <v>76</v>
      </c>
      <c r="P31" s="88" t="s">
        <v>76</v>
      </c>
      <c r="Q31" s="88">
        <v>380</v>
      </c>
      <c r="R31" s="88" t="s">
        <v>76</v>
      </c>
      <c r="S31" s="89"/>
      <c r="T31" s="88" t="s">
        <v>76</v>
      </c>
      <c r="U31" s="88" t="s">
        <v>76</v>
      </c>
      <c r="V31" s="88" t="s">
        <v>76</v>
      </c>
      <c r="W31" s="88">
        <v>420</v>
      </c>
      <c r="X31" s="88" t="s">
        <v>76</v>
      </c>
      <c r="Y31" s="89"/>
      <c r="Z31" s="88" t="s">
        <v>76</v>
      </c>
      <c r="AA31" s="88" t="s">
        <v>76</v>
      </c>
      <c r="AB31" s="88" t="s">
        <v>76</v>
      </c>
      <c r="AC31" s="88">
        <v>260</v>
      </c>
      <c r="AD31" s="88" t="s">
        <v>76</v>
      </c>
      <c r="AF31" s="9">
        <f t="shared" si="0"/>
        <v>1460</v>
      </c>
      <c r="AG31" s="6">
        <f>'Facility Data'!D56</f>
        <v>762</v>
      </c>
      <c r="AH31" s="49">
        <f t="shared" si="1"/>
        <v>1.916010498687664</v>
      </c>
    </row>
    <row r="32" spans="1:35">
      <c r="A32" s="25" t="s">
        <v>3</v>
      </c>
      <c r="B32" s="81"/>
      <c r="C32" s="80"/>
      <c r="D32" s="80"/>
      <c r="E32" s="80"/>
      <c r="F32" s="88" t="s">
        <v>76</v>
      </c>
      <c r="G32" s="89"/>
      <c r="H32" s="88">
        <v>260</v>
      </c>
      <c r="I32" s="88" t="s">
        <v>76</v>
      </c>
      <c r="J32" s="88" t="s">
        <v>76</v>
      </c>
      <c r="K32" s="88">
        <v>240</v>
      </c>
      <c r="L32" s="88" t="s">
        <v>76</v>
      </c>
      <c r="M32" s="89"/>
      <c r="N32" s="88">
        <v>180</v>
      </c>
      <c r="O32" s="88" t="s">
        <v>76</v>
      </c>
      <c r="P32" s="88" t="s">
        <v>76</v>
      </c>
      <c r="Q32" s="88">
        <v>360</v>
      </c>
      <c r="R32" s="88" t="s">
        <v>76</v>
      </c>
      <c r="S32" s="89"/>
      <c r="T32" s="88">
        <v>180</v>
      </c>
      <c r="U32" s="88" t="s">
        <v>76</v>
      </c>
      <c r="V32" s="88" t="s">
        <v>76</v>
      </c>
      <c r="W32" s="88">
        <v>80</v>
      </c>
      <c r="X32" s="88" t="s">
        <v>76</v>
      </c>
      <c r="Y32" s="89"/>
      <c r="Z32" s="88">
        <v>420</v>
      </c>
      <c r="AA32" s="88" t="s">
        <v>76</v>
      </c>
      <c r="AB32" s="88" t="s">
        <v>76</v>
      </c>
      <c r="AC32" s="88">
        <v>320</v>
      </c>
      <c r="AD32" s="88" t="s">
        <v>76</v>
      </c>
      <c r="AF32" s="9">
        <f t="shared" si="0"/>
        <v>2040</v>
      </c>
      <c r="AG32" s="6">
        <f>'Facility Data'!D9</f>
        <v>1074</v>
      </c>
      <c r="AH32" s="49">
        <f t="shared" si="1"/>
        <v>1.8994413407821229</v>
      </c>
      <c r="AI32" t="s">
        <v>76</v>
      </c>
    </row>
    <row r="33" spans="1:34">
      <c r="A33" s="25" t="s">
        <v>25</v>
      </c>
      <c r="B33" s="81"/>
      <c r="C33" s="80"/>
      <c r="D33" s="80"/>
      <c r="E33" s="80"/>
      <c r="F33" s="88" t="s">
        <v>76</v>
      </c>
      <c r="G33" s="89"/>
      <c r="H33" s="88">
        <v>300</v>
      </c>
      <c r="I33" s="88" t="s">
        <v>76</v>
      </c>
      <c r="J33" s="88" t="s">
        <v>76</v>
      </c>
      <c r="K33" s="88">
        <v>260</v>
      </c>
      <c r="L33" s="88" t="s">
        <v>76</v>
      </c>
      <c r="M33" s="89"/>
      <c r="N33" s="88">
        <v>320</v>
      </c>
      <c r="O33" s="88" t="s">
        <v>76</v>
      </c>
      <c r="P33" s="88" t="s">
        <v>76</v>
      </c>
      <c r="Q33" s="88">
        <v>360</v>
      </c>
      <c r="R33" s="88" t="s">
        <v>76</v>
      </c>
      <c r="S33" s="89"/>
      <c r="T33" s="88">
        <v>240</v>
      </c>
      <c r="U33" s="88" t="s">
        <v>76</v>
      </c>
      <c r="V33" s="88" t="s">
        <v>76</v>
      </c>
      <c r="W33" s="88">
        <v>200</v>
      </c>
      <c r="X33" s="88" t="s">
        <v>76</v>
      </c>
      <c r="Y33" s="89"/>
      <c r="Z33" s="88">
        <v>480</v>
      </c>
      <c r="AA33" s="88" t="s">
        <v>76</v>
      </c>
      <c r="AB33" s="88" t="s">
        <v>76</v>
      </c>
      <c r="AC33" s="88">
        <v>160</v>
      </c>
      <c r="AD33" s="88" t="s">
        <v>76</v>
      </c>
      <c r="AF33" s="9">
        <f t="shared" si="0"/>
        <v>2320</v>
      </c>
      <c r="AG33" s="6">
        <f>'Facility Data'!D57</f>
        <v>1227</v>
      </c>
      <c r="AH33" s="49">
        <f t="shared" si="1"/>
        <v>1.8907905460472698</v>
      </c>
    </row>
    <row r="34" spans="1:34">
      <c r="A34" s="23" t="s">
        <v>36</v>
      </c>
      <c r="B34" s="81"/>
      <c r="C34" s="80"/>
      <c r="D34" s="80"/>
      <c r="E34" s="80"/>
      <c r="F34" s="88" t="s">
        <v>76</v>
      </c>
      <c r="G34" s="89"/>
      <c r="H34" s="88">
        <v>380</v>
      </c>
      <c r="I34" s="88" t="s">
        <v>76</v>
      </c>
      <c r="J34" s="88" t="s">
        <v>76</v>
      </c>
      <c r="K34" s="88">
        <v>260</v>
      </c>
      <c r="L34" s="88" t="s">
        <v>76</v>
      </c>
      <c r="M34" s="89"/>
      <c r="N34" s="88">
        <v>100</v>
      </c>
      <c r="O34" s="88" t="s">
        <v>76</v>
      </c>
      <c r="P34" s="88" t="s">
        <v>76</v>
      </c>
      <c r="Q34" s="88">
        <v>120</v>
      </c>
      <c r="R34" s="88" t="s">
        <v>76</v>
      </c>
      <c r="S34" s="89"/>
      <c r="T34" s="88">
        <v>80</v>
      </c>
      <c r="U34" s="88" t="s">
        <v>76</v>
      </c>
      <c r="V34" s="88" t="s">
        <v>76</v>
      </c>
      <c r="W34" s="88">
        <v>160</v>
      </c>
      <c r="X34" s="88" t="s">
        <v>76</v>
      </c>
      <c r="Y34" s="89"/>
      <c r="Z34" s="88">
        <v>220</v>
      </c>
      <c r="AA34" s="88" t="s">
        <v>76</v>
      </c>
      <c r="AB34" s="88" t="s">
        <v>76</v>
      </c>
      <c r="AC34" s="88">
        <v>60</v>
      </c>
      <c r="AD34" s="88" t="s">
        <v>76</v>
      </c>
      <c r="AF34" s="9">
        <f t="shared" si="0"/>
        <v>1380</v>
      </c>
      <c r="AG34" s="6">
        <f>'Facility Data'!D3</f>
        <v>738</v>
      </c>
      <c r="AH34" s="49">
        <f t="shared" si="1"/>
        <v>1.8699186991869918</v>
      </c>
    </row>
    <row r="35" spans="1:34">
      <c r="A35" s="23" t="s">
        <v>59</v>
      </c>
      <c r="B35" s="81"/>
      <c r="C35" s="80"/>
      <c r="D35" s="80"/>
      <c r="E35" s="80"/>
      <c r="F35" s="88" t="s">
        <v>76</v>
      </c>
      <c r="G35" s="89"/>
      <c r="H35" s="88">
        <v>280</v>
      </c>
      <c r="I35" s="88" t="s">
        <v>76</v>
      </c>
      <c r="J35" s="88" t="s">
        <v>76</v>
      </c>
      <c r="K35" s="88">
        <v>160</v>
      </c>
      <c r="L35" s="88" t="s">
        <v>76</v>
      </c>
      <c r="M35" s="89"/>
      <c r="N35" s="88">
        <v>200</v>
      </c>
      <c r="O35" s="88" t="s">
        <v>76</v>
      </c>
      <c r="P35" s="88" t="s">
        <v>76</v>
      </c>
      <c r="Q35" s="88">
        <v>240</v>
      </c>
      <c r="R35" s="88" t="s">
        <v>76</v>
      </c>
      <c r="S35" s="89"/>
      <c r="T35" s="88">
        <v>60</v>
      </c>
      <c r="U35" s="88" t="s">
        <v>76</v>
      </c>
      <c r="V35" s="88" t="s">
        <v>76</v>
      </c>
      <c r="W35" s="88">
        <v>300</v>
      </c>
      <c r="X35" s="88" t="s">
        <v>76</v>
      </c>
      <c r="Y35" s="89"/>
      <c r="Z35" s="88">
        <v>180</v>
      </c>
      <c r="AA35" s="88" t="s">
        <v>76</v>
      </c>
      <c r="AB35" s="88" t="s">
        <v>76</v>
      </c>
      <c r="AC35" s="88">
        <v>140</v>
      </c>
      <c r="AD35" s="88" t="s">
        <v>76</v>
      </c>
      <c r="AF35" s="9">
        <f t="shared" si="0"/>
        <v>1560</v>
      </c>
      <c r="AG35" s="6">
        <f>'Facility Data'!D48</f>
        <v>839</v>
      </c>
      <c r="AH35" s="49">
        <f t="shared" si="1"/>
        <v>1.8593563766388559</v>
      </c>
    </row>
    <row r="36" spans="1:34">
      <c r="A36" s="24" t="s">
        <v>0</v>
      </c>
      <c r="B36" s="81"/>
      <c r="C36" s="80"/>
      <c r="D36" s="80"/>
      <c r="E36" s="80"/>
      <c r="F36" s="88" t="s">
        <v>76</v>
      </c>
      <c r="G36" s="89"/>
      <c r="H36" s="88">
        <v>220</v>
      </c>
      <c r="I36" s="88" t="s">
        <v>76</v>
      </c>
      <c r="J36" s="88" t="s">
        <v>76</v>
      </c>
      <c r="K36" s="88">
        <v>60</v>
      </c>
      <c r="L36" s="88" t="s">
        <v>76</v>
      </c>
      <c r="M36" s="89"/>
      <c r="N36" s="88">
        <v>180</v>
      </c>
      <c r="O36" s="88" t="s">
        <v>76</v>
      </c>
      <c r="P36" s="88" t="s">
        <v>76</v>
      </c>
      <c r="Q36" s="88">
        <v>120</v>
      </c>
      <c r="R36" s="88" t="s">
        <v>76</v>
      </c>
      <c r="S36" s="89"/>
      <c r="T36" s="88">
        <v>60</v>
      </c>
      <c r="U36" s="88" t="s">
        <v>76</v>
      </c>
      <c r="V36" s="88" t="s">
        <v>76</v>
      </c>
      <c r="W36" s="88">
        <v>240</v>
      </c>
      <c r="X36" s="88" t="s">
        <v>76</v>
      </c>
      <c r="Y36" s="89"/>
      <c r="Z36" s="88">
        <v>280</v>
      </c>
      <c r="AA36" s="88" t="s">
        <v>76</v>
      </c>
      <c r="AB36" s="88" t="s">
        <v>76</v>
      </c>
      <c r="AC36" s="88">
        <v>260</v>
      </c>
      <c r="AD36" s="88" t="s">
        <v>76</v>
      </c>
      <c r="AF36" s="9">
        <f t="shared" si="0"/>
        <v>1420</v>
      </c>
      <c r="AG36" s="6">
        <f>'Facility Data'!D4</f>
        <v>797</v>
      </c>
      <c r="AH36" s="49">
        <f t="shared" si="1"/>
        <v>1.78168130489335</v>
      </c>
    </row>
    <row r="37" spans="1:34">
      <c r="A37" s="23" t="s">
        <v>50</v>
      </c>
      <c r="B37" s="81"/>
      <c r="C37" s="80"/>
      <c r="D37" s="80"/>
      <c r="E37" s="80"/>
      <c r="F37" s="88" t="s">
        <v>76</v>
      </c>
      <c r="G37" s="89"/>
      <c r="H37" s="88" t="s">
        <v>76</v>
      </c>
      <c r="I37" s="88">
        <v>320</v>
      </c>
      <c r="J37" s="88" t="s">
        <v>76</v>
      </c>
      <c r="K37" s="88" t="s">
        <v>76</v>
      </c>
      <c r="L37" s="88" t="s">
        <v>76</v>
      </c>
      <c r="M37" s="89"/>
      <c r="N37" s="88" t="s">
        <v>76</v>
      </c>
      <c r="O37" s="88">
        <v>420</v>
      </c>
      <c r="P37" s="88" t="s">
        <v>76</v>
      </c>
      <c r="Q37" s="88" t="s">
        <v>76</v>
      </c>
      <c r="R37" s="88" t="s">
        <v>76</v>
      </c>
      <c r="S37" s="89"/>
      <c r="T37" s="88" t="s">
        <v>76</v>
      </c>
      <c r="U37" s="88">
        <v>260</v>
      </c>
      <c r="V37" s="88" t="s">
        <v>76</v>
      </c>
      <c r="W37" s="88" t="s">
        <v>76</v>
      </c>
      <c r="X37" s="88" t="s">
        <v>76</v>
      </c>
      <c r="Y37" s="89"/>
      <c r="Z37" s="88" t="s">
        <v>76</v>
      </c>
      <c r="AA37" s="88">
        <v>220</v>
      </c>
      <c r="AB37" s="88" t="s">
        <v>76</v>
      </c>
      <c r="AC37" s="88" t="s">
        <v>76</v>
      </c>
      <c r="AD37" s="88" t="s">
        <v>76</v>
      </c>
      <c r="AF37" s="9">
        <f t="shared" si="0"/>
        <v>1220</v>
      </c>
      <c r="AG37" s="6">
        <f>'Facility Data'!D28</f>
        <v>702</v>
      </c>
      <c r="AH37" s="49">
        <f t="shared" si="1"/>
        <v>1.7378917378917378</v>
      </c>
    </row>
    <row r="38" spans="1:34">
      <c r="A38" s="23" t="s">
        <v>47</v>
      </c>
      <c r="B38" s="81"/>
      <c r="C38" s="80"/>
      <c r="D38" s="80"/>
      <c r="E38" s="80"/>
      <c r="F38" s="88" t="s">
        <v>76</v>
      </c>
      <c r="G38" s="89"/>
      <c r="H38" s="88" t="s">
        <v>76</v>
      </c>
      <c r="I38" s="88" t="s">
        <v>76</v>
      </c>
      <c r="J38" s="88" t="s">
        <v>76</v>
      </c>
      <c r="K38" s="88">
        <v>160</v>
      </c>
      <c r="L38" s="88" t="s">
        <v>76</v>
      </c>
      <c r="M38" s="89"/>
      <c r="N38" s="88" t="s">
        <v>76</v>
      </c>
      <c r="O38" s="88" t="s">
        <v>76</v>
      </c>
      <c r="P38" s="88" t="s">
        <v>76</v>
      </c>
      <c r="Q38" s="88">
        <v>200</v>
      </c>
      <c r="R38" s="88" t="s">
        <v>76</v>
      </c>
      <c r="S38" s="89"/>
      <c r="T38" s="88" t="s">
        <v>76</v>
      </c>
      <c r="U38" s="88" t="s">
        <v>76</v>
      </c>
      <c r="V38" s="88" t="s">
        <v>76</v>
      </c>
      <c r="W38" s="88">
        <v>140</v>
      </c>
      <c r="X38" s="88" t="s">
        <v>76</v>
      </c>
      <c r="Y38" s="89"/>
      <c r="Z38" s="88" t="s">
        <v>76</v>
      </c>
      <c r="AA38" s="88" t="s">
        <v>76</v>
      </c>
      <c r="AB38" s="88" t="s">
        <v>76</v>
      </c>
      <c r="AC38" s="88">
        <v>80</v>
      </c>
      <c r="AD38" s="88" t="s">
        <v>76</v>
      </c>
      <c r="AF38" s="9">
        <f t="shared" ref="AF38:AF67" si="2">SUM(B38:AE38)</f>
        <v>580</v>
      </c>
      <c r="AG38" s="6">
        <f>'Facility Data'!D21</f>
        <v>334</v>
      </c>
      <c r="AH38" s="49">
        <f t="shared" ref="AH38:AH67" si="3">AF38/AG38</f>
        <v>1.7365269461077844</v>
      </c>
    </row>
    <row r="39" spans="1:34">
      <c r="A39" s="24" t="s">
        <v>14</v>
      </c>
      <c r="B39" s="81"/>
      <c r="C39" s="80"/>
      <c r="D39" s="80"/>
      <c r="E39" s="80"/>
      <c r="F39" s="88">
        <v>200</v>
      </c>
      <c r="G39" s="89"/>
      <c r="H39" s="88" t="s">
        <v>76</v>
      </c>
      <c r="I39" s="88">
        <v>40</v>
      </c>
      <c r="J39" s="88" t="s">
        <v>76</v>
      </c>
      <c r="K39" s="88" t="s">
        <v>76</v>
      </c>
      <c r="L39" s="88">
        <v>120</v>
      </c>
      <c r="M39" s="89"/>
      <c r="N39" s="88" t="s">
        <v>76</v>
      </c>
      <c r="O39" s="88">
        <v>160</v>
      </c>
      <c r="P39" s="88" t="s">
        <v>76</v>
      </c>
      <c r="Q39" s="88" t="s">
        <v>76</v>
      </c>
      <c r="R39" s="88">
        <v>180</v>
      </c>
      <c r="S39" s="89"/>
      <c r="T39" s="88" t="s">
        <v>76</v>
      </c>
      <c r="U39" s="88">
        <v>220</v>
      </c>
      <c r="V39" s="88" t="s">
        <v>76</v>
      </c>
      <c r="W39" s="88" t="s">
        <v>76</v>
      </c>
      <c r="X39" s="88">
        <v>60</v>
      </c>
      <c r="Y39" s="89"/>
      <c r="Z39" s="88" t="s">
        <v>76</v>
      </c>
      <c r="AA39" s="88">
        <v>120</v>
      </c>
      <c r="AB39" s="88" t="s">
        <v>76</v>
      </c>
      <c r="AC39" s="88" t="s">
        <v>76</v>
      </c>
      <c r="AD39" s="88">
        <v>100</v>
      </c>
      <c r="AF39" s="9">
        <f t="shared" si="2"/>
        <v>1200</v>
      </c>
      <c r="AG39" s="6">
        <f>'Facility Data'!D37</f>
        <v>697</v>
      </c>
      <c r="AH39" s="49">
        <f t="shared" si="3"/>
        <v>1.7216642754662841</v>
      </c>
    </row>
    <row r="40" spans="1:34">
      <c r="A40" s="23" t="s">
        <v>37</v>
      </c>
      <c r="B40" s="81"/>
      <c r="C40" s="80"/>
      <c r="D40" s="80"/>
      <c r="E40" s="80"/>
      <c r="F40" s="88" t="s">
        <v>76</v>
      </c>
      <c r="G40" s="89"/>
      <c r="H40" s="88">
        <v>360</v>
      </c>
      <c r="I40" s="88" t="s">
        <v>76</v>
      </c>
      <c r="J40" s="88" t="s">
        <v>76</v>
      </c>
      <c r="K40" s="88" t="s">
        <v>76</v>
      </c>
      <c r="L40" s="88" t="s">
        <v>76</v>
      </c>
      <c r="M40" s="89"/>
      <c r="N40" s="88">
        <v>340</v>
      </c>
      <c r="O40" s="88" t="s">
        <v>76</v>
      </c>
      <c r="P40" s="88" t="s">
        <v>76</v>
      </c>
      <c r="Q40" s="88" t="s">
        <v>76</v>
      </c>
      <c r="R40" s="88" t="s">
        <v>76</v>
      </c>
      <c r="S40" s="89"/>
      <c r="T40" s="88">
        <v>220</v>
      </c>
      <c r="U40" s="88" t="s">
        <v>76</v>
      </c>
      <c r="V40" s="88" t="s">
        <v>76</v>
      </c>
      <c r="W40" s="88" t="s">
        <v>76</v>
      </c>
      <c r="X40" s="88" t="s">
        <v>76</v>
      </c>
      <c r="Y40" s="89"/>
      <c r="Z40" s="88">
        <v>260</v>
      </c>
      <c r="AA40" s="88" t="s">
        <v>76</v>
      </c>
      <c r="AB40" s="88" t="s">
        <v>76</v>
      </c>
      <c r="AC40" s="88" t="s">
        <v>76</v>
      </c>
      <c r="AD40" s="88" t="s">
        <v>76</v>
      </c>
      <c r="AF40" s="9">
        <f t="shared" si="2"/>
        <v>1180</v>
      </c>
      <c r="AG40" s="6">
        <f>'Facility Data'!D5</f>
        <v>691</v>
      </c>
      <c r="AH40" s="49">
        <f t="shared" si="3"/>
        <v>1.70767004341534</v>
      </c>
    </row>
    <row r="41" spans="1:34">
      <c r="A41" s="25" t="s">
        <v>22</v>
      </c>
      <c r="B41" s="81"/>
      <c r="C41" s="80"/>
      <c r="D41" s="80"/>
      <c r="E41" s="80"/>
      <c r="F41" s="88">
        <v>180</v>
      </c>
      <c r="G41" s="89"/>
      <c r="H41" s="88">
        <v>360</v>
      </c>
      <c r="I41" s="88" t="s">
        <v>76</v>
      </c>
      <c r="J41" s="88">
        <v>120</v>
      </c>
      <c r="K41" s="88" t="s">
        <v>76</v>
      </c>
      <c r="L41" s="88">
        <v>140</v>
      </c>
      <c r="M41" s="89"/>
      <c r="N41" s="88">
        <v>220</v>
      </c>
      <c r="O41" s="88" t="s">
        <v>76</v>
      </c>
      <c r="P41" s="88">
        <v>80</v>
      </c>
      <c r="Q41" s="88" t="s">
        <v>76</v>
      </c>
      <c r="R41" s="88">
        <v>200</v>
      </c>
      <c r="S41" s="89"/>
      <c r="T41" s="88">
        <v>120</v>
      </c>
      <c r="U41" s="88" t="s">
        <v>76</v>
      </c>
      <c r="V41" s="88">
        <v>480</v>
      </c>
      <c r="W41" s="88" t="s">
        <v>76</v>
      </c>
      <c r="X41" s="88">
        <v>220</v>
      </c>
      <c r="Y41" s="89"/>
      <c r="Z41" s="88">
        <v>240</v>
      </c>
      <c r="AA41" s="88" t="s">
        <v>76</v>
      </c>
      <c r="AB41" s="88">
        <v>260</v>
      </c>
      <c r="AC41" s="88" t="s">
        <v>76</v>
      </c>
      <c r="AD41" s="88">
        <v>120</v>
      </c>
      <c r="AF41" s="9">
        <f t="shared" si="2"/>
        <v>2740</v>
      </c>
      <c r="AG41" s="6">
        <f>'Facility Data'!D52</f>
        <v>1609</v>
      </c>
      <c r="AH41" s="49">
        <f t="shared" si="3"/>
        <v>1.7029210689869485</v>
      </c>
    </row>
    <row r="42" spans="1:34">
      <c r="A42" s="23" t="s">
        <v>10</v>
      </c>
      <c r="B42" s="81"/>
      <c r="C42" s="80"/>
      <c r="D42" s="80"/>
      <c r="E42" s="80"/>
      <c r="F42" s="88" t="s">
        <v>76</v>
      </c>
      <c r="G42" s="89"/>
      <c r="H42" s="88" t="s">
        <v>76</v>
      </c>
      <c r="I42" s="88" t="s">
        <v>76</v>
      </c>
      <c r="J42" s="88" t="s">
        <v>76</v>
      </c>
      <c r="K42" s="88">
        <v>320</v>
      </c>
      <c r="L42" s="88" t="s">
        <v>76</v>
      </c>
      <c r="M42" s="89"/>
      <c r="N42" s="88" t="s">
        <v>76</v>
      </c>
      <c r="O42" s="88" t="s">
        <v>76</v>
      </c>
      <c r="P42" s="88" t="s">
        <v>76</v>
      </c>
      <c r="Q42" s="88">
        <v>140</v>
      </c>
      <c r="R42" s="88" t="s">
        <v>76</v>
      </c>
      <c r="S42" s="89"/>
      <c r="T42" s="88" t="s">
        <v>76</v>
      </c>
      <c r="U42" s="88" t="s">
        <v>76</v>
      </c>
      <c r="V42" s="88" t="s">
        <v>76</v>
      </c>
      <c r="W42" s="88">
        <v>260</v>
      </c>
      <c r="X42" s="88" t="s">
        <v>76</v>
      </c>
      <c r="Y42" s="89"/>
      <c r="Z42" s="88" t="s">
        <v>76</v>
      </c>
      <c r="AA42" s="88" t="s">
        <v>76</v>
      </c>
      <c r="AB42" s="88" t="s">
        <v>76</v>
      </c>
      <c r="AC42" s="88">
        <v>200</v>
      </c>
      <c r="AD42" s="88" t="s">
        <v>76</v>
      </c>
      <c r="AF42" s="9">
        <f t="shared" si="2"/>
        <v>920</v>
      </c>
      <c r="AG42" s="6">
        <f>'Facility Data'!D27</f>
        <v>541</v>
      </c>
      <c r="AH42" s="49">
        <f t="shared" si="3"/>
        <v>1.7005545286506469</v>
      </c>
    </row>
    <row r="43" spans="1:34">
      <c r="A43" s="23" t="s">
        <v>45</v>
      </c>
      <c r="B43" s="81"/>
      <c r="C43" s="80"/>
      <c r="D43" s="80"/>
      <c r="E43" s="80"/>
      <c r="F43" s="88">
        <v>180</v>
      </c>
      <c r="G43" s="89"/>
      <c r="H43" s="88" t="s">
        <v>76</v>
      </c>
      <c r="I43" s="88" t="s">
        <v>76</v>
      </c>
      <c r="J43" s="88" t="s">
        <v>76</v>
      </c>
      <c r="K43" s="88" t="s">
        <v>76</v>
      </c>
      <c r="L43" s="88">
        <v>160</v>
      </c>
      <c r="M43" s="89"/>
      <c r="N43" s="88" t="s">
        <v>76</v>
      </c>
      <c r="O43" s="88" t="s">
        <v>76</v>
      </c>
      <c r="P43" s="88" t="s">
        <v>76</v>
      </c>
      <c r="Q43" s="88" t="s">
        <v>76</v>
      </c>
      <c r="R43" s="88">
        <v>160</v>
      </c>
      <c r="S43" s="89"/>
      <c r="T43" s="88" t="s">
        <v>76</v>
      </c>
      <c r="U43" s="88" t="s">
        <v>76</v>
      </c>
      <c r="V43" s="88" t="s">
        <v>76</v>
      </c>
      <c r="W43" s="88" t="s">
        <v>76</v>
      </c>
      <c r="X43" s="88">
        <v>120</v>
      </c>
      <c r="Y43" s="89"/>
      <c r="Z43" s="88" t="s">
        <v>76</v>
      </c>
      <c r="AA43" s="88" t="s">
        <v>76</v>
      </c>
      <c r="AB43" s="88" t="s">
        <v>76</v>
      </c>
      <c r="AC43" s="88" t="s">
        <v>76</v>
      </c>
      <c r="AD43" s="88">
        <v>80</v>
      </c>
      <c r="AF43" s="9">
        <f t="shared" si="2"/>
        <v>700</v>
      </c>
      <c r="AG43" s="6">
        <f>'Facility Data'!D19</f>
        <v>442</v>
      </c>
      <c r="AH43" s="49">
        <f t="shared" si="3"/>
        <v>1.5837104072398189</v>
      </c>
    </row>
    <row r="44" spans="1:34">
      <c r="A44" s="25" t="s">
        <v>8</v>
      </c>
      <c r="B44" s="81"/>
      <c r="C44" s="80"/>
      <c r="D44" s="80"/>
      <c r="E44" s="80"/>
      <c r="F44" s="88" t="s">
        <v>76</v>
      </c>
      <c r="G44" s="89"/>
      <c r="H44" s="88">
        <v>240</v>
      </c>
      <c r="I44" s="88" t="s">
        <v>76</v>
      </c>
      <c r="J44" s="88" t="s">
        <v>76</v>
      </c>
      <c r="K44" s="88">
        <v>180</v>
      </c>
      <c r="L44" s="88" t="s">
        <v>76</v>
      </c>
      <c r="M44" s="89"/>
      <c r="N44" s="88">
        <v>180</v>
      </c>
      <c r="O44" s="88" t="s">
        <v>76</v>
      </c>
      <c r="P44" s="88" t="s">
        <v>76</v>
      </c>
      <c r="Q44" s="88">
        <v>200</v>
      </c>
      <c r="R44" s="88" t="s">
        <v>76</v>
      </c>
      <c r="S44" s="89"/>
      <c r="T44" s="90">
        <v>320</v>
      </c>
      <c r="U44" s="88" t="s">
        <v>76</v>
      </c>
      <c r="V44" s="88" t="s">
        <v>76</v>
      </c>
      <c r="W44" s="88">
        <v>300</v>
      </c>
      <c r="X44" s="88" t="s">
        <v>76</v>
      </c>
      <c r="Y44" s="89"/>
      <c r="Z44" s="88">
        <v>260</v>
      </c>
      <c r="AA44" s="88" t="s">
        <v>76</v>
      </c>
      <c r="AB44" s="88" t="s">
        <v>76</v>
      </c>
      <c r="AC44" s="88">
        <v>380</v>
      </c>
      <c r="AD44" s="88" t="s">
        <v>76</v>
      </c>
      <c r="AF44" s="9">
        <f t="shared" si="2"/>
        <v>2060</v>
      </c>
      <c r="AG44" s="6">
        <f>'Facility Data'!D25</f>
        <v>1325</v>
      </c>
      <c r="AH44" s="49">
        <f t="shared" si="3"/>
        <v>1.5547169811320756</v>
      </c>
    </row>
    <row r="45" spans="1:34">
      <c r="A45" s="24" t="s">
        <v>2</v>
      </c>
      <c r="B45" s="81"/>
      <c r="C45" s="80"/>
      <c r="D45" s="80"/>
      <c r="E45" s="80"/>
      <c r="F45" s="88" t="s">
        <v>76</v>
      </c>
      <c r="G45" s="89"/>
      <c r="H45" s="88">
        <v>100</v>
      </c>
      <c r="I45" s="88" t="s">
        <v>76</v>
      </c>
      <c r="J45" s="88" t="s">
        <v>76</v>
      </c>
      <c r="K45" s="88">
        <v>80</v>
      </c>
      <c r="L45" s="88" t="s">
        <v>76</v>
      </c>
      <c r="M45" s="89"/>
      <c r="N45" s="88">
        <v>160</v>
      </c>
      <c r="O45" s="88" t="s">
        <v>76</v>
      </c>
      <c r="P45" s="88" t="s">
        <v>76</v>
      </c>
      <c r="Q45" s="88">
        <v>220</v>
      </c>
      <c r="R45" s="88" t="s">
        <v>76</v>
      </c>
      <c r="S45" s="89"/>
      <c r="T45" s="90">
        <v>60</v>
      </c>
      <c r="U45" s="88" t="s">
        <v>76</v>
      </c>
      <c r="V45" s="88" t="s">
        <v>76</v>
      </c>
      <c r="W45" s="88">
        <v>100</v>
      </c>
      <c r="X45" s="88" t="s">
        <v>76</v>
      </c>
      <c r="Y45" s="89"/>
      <c r="Z45" s="88">
        <v>140</v>
      </c>
      <c r="AA45" s="88" t="s">
        <v>76</v>
      </c>
      <c r="AB45" s="88" t="s">
        <v>76</v>
      </c>
      <c r="AC45" s="88">
        <v>60</v>
      </c>
      <c r="AD45" s="88" t="s">
        <v>76</v>
      </c>
      <c r="AF45" s="9">
        <f t="shared" si="2"/>
        <v>920</v>
      </c>
      <c r="AG45" s="6">
        <f>'Facility Data'!D7</f>
        <v>604</v>
      </c>
      <c r="AH45" s="49">
        <f t="shared" si="3"/>
        <v>1.5231788079470199</v>
      </c>
    </row>
    <row r="46" spans="1:34">
      <c r="A46" s="24" t="s">
        <v>11</v>
      </c>
      <c r="B46" s="81"/>
      <c r="C46" s="80"/>
      <c r="D46" s="80"/>
      <c r="E46" s="80"/>
      <c r="F46" s="88">
        <v>140</v>
      </c>
      <c r="G46" s="89"/>
      <c r="H46" s="88" t="s">
        <v>76</v>
      </c>
      <c r="I46" s="88">
        <v>180</v>
      </c>
      <c r="J46" s="88" t="s">
        <v>76</v>
      </c>
      <c r="K46" s="88" t="s">
        <v>76</v>
      </c>
      <c r="L46" s="88">
        <v>260</v>
      </c>
      <c r="M46" s="89"/>
      <c r="N46" s="88" t="s">
        <v>76</v>
      </c>
      <c r="O46" s="88">
        <v>100</v>
      </c>
      <c r="P46" s="88" t="s">
        <v>76</v>
      </c>
      <c r="Q46" s="88" t="s">
        <v>76</v>
      </c>
      <c r="R46" s="88">
        <v>140</v>
      </c>
      <c r="S46" s="89"/>
      <c r="T46" s="88" t="s">
        <v>76</v>
      </c>
      <c r="U46" s="88">
        <v>60</v>
      </c>
      <c r="V46" s="88" t="s">
        <v>76</v>
      </c>
      <c r="W46" s="88" t="s">
        <v>76</v>
      </c>
      <c r="X46" s="88">
        <v>120</v>
      </c>
      <c r="Y46" s="89"/>
      <c r="Z46" s="88" t="s">
        <v>76</v>
      </c>
      <c r="AA46" s="88">
        <v>200</v>
      </c>
      <c r="AB46" s="88" t="s">
        <v>76</v>
      </c>
      <c r="AC46" s="88" t="s">
        <v>76</v>
      </c>
      <c r="AD46" s="88">
        <v>40</v>
      </c>
      <c r="AF46" s="9">
        <f t="shared" si="2"/>
        <v>1240</v>
      </c>
      <c r="AG46" s="6">
        <f>'Facility Data'!D29</f>
        <v>816</v>
      </c>
      <c r="AH46" s="49">
        <f t="shared" si="3"/>
        <v>1.5196078431372548</v>
      </c>
    </row>
    <row r="47" spans="1:34">
      <c r="A47" s="25" t="s">
        <v>5</v>
      </c>
      <c r="B47" s="81"/>
      <c r="C47" s="80"/>
      <c r="D47" s="80"/>
      <c r="E47" s="80"/>
      <c r="F47" s="88">
        <v>80</v>
      </c>
      <c r="G47" s="89"/>
      <c r="H47" s="88">
        <v>120</v>
      </c>
      <c r="I47" s="88" t="s">
        <v>76</v>
      </c>
      <c r="J47" s="88">
        <v>60</v>
      </c>
      <c r="K47" s="88" t="s">
        <v>76</v>
      </c>
      <c r="L47" s="88">
        <v>140</v>
      </c>
      <c r="M47" s="89"/>
      <c r="N47" s="88">
        <v>80</v>
      </c>
      <c r="O47" s="88" t="s">
        <v>76</v>
      </c>
      <c r="P47" s="88">
        <v>180</v>
      </c>
      <c r="Q47" s="88" t="s">
        <v>76</v>
      </c>
      <c r="R47" s="88">
        <v>260</v>
      </c>
      <c r="S47" s="89"/>
      <c r="T47" s="88">
        <v>180</v>
      </c>
      <c r="U47" s="88" t="s">
        <v>76</v>
      </c>
      <c r="V47" s="88">
        <v>240</v>
      </c>
      <c r="W47" s="88" t="s">
        <v>76</v>
      </c>
      <c r="X47" s="88">
        <v>320</v>
      </c>
      <c r="Y47" s="89"/>
      <c r="Z47" s="88">
        <v>280</v>
      </c>
      <c r="AA47" s="88" t="s">
        <v>76</v>
      </c>
      <c r="AB47" s="88">
        <v>140</v>
      </c>
      <c r="AC47" s="88" t="s">
        <v>76</v>
      </c>
      <c r="AD47" s="88">
        <v>180</v>
      </c>
      <c r="AF47" s="9">
        <f t="shared" si="2"/>
        <v>2260</v>
      </c>
      <c r="AG47" s="6">
        <f>'Facility Data'!D14</f>
        <v>1500</v>
      </c>
      <c r="AH47" s="49">
        <f t="shared" si="3"/>
        <v>1.5066666666666666</v>
      </c>
    </row>
    <row r="48" spans="1:34">
      <c r="A48" s="24" t="s">
        <v>26</v>
      </c>
      <c r="B48" s="81"/>
      <c r="C48" s="80"/>
      <c r="D48" s="80"/>
      <c r="E48" s="80"/>
      <c r="F48" s="88" t="s">
        <v>76</v>
      </c>
      <c r="G48" s="89"/>
      <c r="H48" s="88">
        <v>280</v>
      </c>
      <c r="I48" s="88" t="s">
        <v>76</v>
      </c>
      <c r="J48" s="88" t="s">
        <v>76</v>
      </c>
      <c r="K48" s="88">
        <v>160</v>
      </c>
      <c r="L48" s="88" t="s">
        <v>76</v>
      </c>
      <c r="M48" s="89"/>
      <c r="N48" s="88">
        <v>180</v>
      </c>
      <c r="O48" s="88" t="s">
        <v>76</v>
      </c>
      <c r="P48" s="88" t="s">
        <v>76</v>
      </c>
      <c r="Q48" s="88">
        <v>220</v>
      </c>
      <c r="R48" s="88" t="s">
        <v>76</v>
      </c>
      <c r="S48" s="89"/>
      <c r="T48" s="88">
        <v>60</v>
      </c>
      <c r="U48" s="88" t="s">
        <v>76</v>
      </c>
      <c r="V48" s="88" t="s">
        <v>76</v>
      </c>
      <c r="W48" s="88">
        <v>120</v>
      </c>
      <c r="X48" s="88" t="s">
        <v>76</v>
      </c>
      <c r="Y48" s="89"/>
      <c r="Z48" s="88">
        <v>80</v>
      </c>
      <c r="AA48" s="88" t="s">
        <v>76</v>
      </c>
      <c r="AB48" s="88" t="s">
        <v>76</v>
      </c>
      <c r="AC48" s="88">
        <v>160</v>
      </c>
      <c r="AD48" s="88" t="s">
        <v>76</v>
      </c>
      <c r="AF48" s="9">
        <f t="shared" si="2"/>
        <v>1260</v>
      </c>
      <c r="AG48" s="6">
        <f>'Facility Data'!D58</f>
        <v>859</v>
      </c>
      <c r="AH48" s="49">
        <f t="shared" si="3"/>
        <v>1.4668218859138533</v>
      </c>
    </row>
    <row r="49" spans="1:34">
      <c r="A49" s="24" t="s">
        <v>23</v>
      </c>
      <c r="B49" s="81"/>
      <c r="C49" s="80"/>
      <c r="D49" s="80"/>
      <c r="E49" s="80"/>
      <c r="F49" s="88" t="s">
        <v>76</v>
      </c>
      <c r="G49" s="89"/>
      <c r="H49" s="88" t="s">
        <v>76</v>
      </c>
      <c r="I49" s="88">
        <v>200</v>
      </c>
      <c r="J49" s="88" t="s">
        <v>76</v>
      </c>
      <c r="K49" s="88" t="s">
        <v>76</v>
      </c>
      <c r="L49" s="88">
        <v>180</v>
      </c>
      <c r="M49" s="89"/>
      <c r="N49" s="88" t="s">
        <v>76</v>
      </c>
      <c r="O49" s="88">
        <v>60</v>
      </c>
      <c r="P49" s="88" t="s">
        <v>76</v>
      </c>
      <c r="Q49" s="88" t="s">
        <v>76</v>
      </c>
      <c r="R49" s="88">
        <v>120</v>
      </c>
      <c r="S49" s="89"/>
      <c r="T49" s="88" t="s">
        <v>76</v>
      </c>
      <c r="U49" s="88">
        <v>180</v>
      </c>
      <c r="V49" s="88" t="s">
        <v>76</v>
      </c>
      <c r="W49" s="88" t="s">
        <v>76</v>
      </c>
      <c r="X49" s="88">
        <v>60</v>
      </c>
      <c r="Y49" s="89"/>
      <c r="Z49" s="88" t="s">
        <v>76</v>
      </c>
      <c r="AA49" s="88">
        <v>220</v>
      </c>
      <c r="AB49" s="88" t="s">
        <v>76</v>
      </c>
      <c r="AC49" s="88" t="s">
        <v>76</v>
      </c>
      <c r="AD49" s="88">
        <v>180</v>
      </c>
      <c r="AF49" s="9">
        <f t="shared" si="2"/>
        <v>1200</v>
      </c>
      <c r="AG49" s="6">
        <f>'Facility Data'!D53</f>
        <v>830</v>
      </c>
      <c r="AH49" s="49">
        <f t="shared" si="3"/>
        <v>1.4457831325301205</v>
      </c>
    </row>
    <row r="50" spans="1:34">
      <c r="A50" s="25" t="s">
        <v>13</v>
      </c>
      <c r="B50" s="81"/>
      <c r="C50" s="80"/>
      <c r="D50" s="80"/>
      <c r="E50" s="80"/>
      <c r="F50" s="88" t="s">
        <v>76</v>
      </c>
      <c r="G50" s="89"/>
      <c r="H50" s="88">
        <v>220</v>
      </c>
      <c r="I50" s="88" t="s">
        <v>76</v>
      </c>
      <c r="J50" s="88" t="s">
        <v>76</v>
      </c>
      <c r="K50" s="88">
        <v>260</v>
      </c>
      <c r="L50" s="88" t="s">
        <v>76</v>
      </c>
      <c r="M50" s="89"/>
      <c r="N50" s="88">
        <v>160</v>
      </c>
      <c r="O50" s="88" t="s">
        <v>76</v>
      </c>
      <c r="P50" s="88" t="s">
        <v>76</v>
      </c>
      <c r="Q50" s="88">
        <v>120</v>
      </c>
      <c r="R50" s="88" t="s">
        <v>76</v>
      </c>
      <c r="S50" s="89"/>
      <c r="T50" s="88">
        <v>80</v>
      </c>
      <c r="U50" s="88" t="s">
        <v>76</v>
      </c>
      <c r="V50" s="88" t="s">
        <v>76</v>
      </c>
      <c r="W50" s="88">
        <v>340</v>
      </c>
      <c r="X50" s="88" t="s">
        <v>76</v>
      </c>
      <c r="Y50" s="89"/>
      <c r="Z50" s="88">
        <v>260</v>
      </c>
      <c r="AA50" s="88" t="s">
        <v>76</v>
      </c>
      <c r="AB50" s="88" t="s">
        <v>76</v>
      </c>
      <c r="AC50" s="88">
        <v>360</v>
      </c>
      <c r="AD50" s="88" t="s">
        <v>76</v>
      </c>
      <c r="AF50" s="9">
        <f t="shared" si="2"/>
        <v>1800</v>
      </c>
      <c r="AG50" s="6">
        <f>'Facility Data'!D36</f>
        <v>1274</v>
      </c>
      <c r="AH50" s="49">
        <f t="shared" si="3"/>
        <v>1.4128728414442699</v>
      </c>
    </row>
    <row r="51" spans="1:34">
      <c r="A51" s="23" t="s">
        <v>52</v>
      </c>
      <c r="B51" s="81"/>
      <c r="C51" s="80"/>
      <c r="D51" s="80"/>
      <c r="E51" s="80"/>
      <c r="F51" s="88" t="s">
        <v>76</v>
      </c>
      <c r="G51" s="89"/>
      <c r="H51" s="88" t="s">
        <v>76</v>
      </c>
      <c r="I51" s="88">
        <v>160</v>
      </c>
      <c r="J51" s="88" t="s">
        <v>76</v>
      </c>
      <c r="K51" s="88">
        <v>40</v>
      </c>
      <c r="L51" s="88" t="s">
        <v>76</v>
      </c>
      <c r="M51" s="89"/>
      <c r="N51" s="88" t="s">
        <v>76</v>
      </c>
      <c r="O51" s="88">
        <v>120</v>
      </c>
      <c r="P51" s="88" t="s">
        <v>76</v>
      </c>
      <c r="Q51" s="88">
        <v>180</v>
      </c>
      <c r="R51" s="88" t="s">
        <v>76</v>
      </c>
      <c r="S51" s="89"/>
      <c r="T51" s="88" t="s">
        <v>76</v>
      </c>
      <c r="U51" s="88">
        <v>80</v>
      </c>
      <c r="V51" s="88" t="s">
        <v>76</v>
      </c>
      <c r="W51" s="88">
        <v>100</v>
      </c>
      <c r="X51" s="88" t="s">
        <v>76</v>
      </c>
      <c r="Y51" s="89"/>
      <c r="Z51" s="88" t="s">
        <v>76</v>
      </c>
      <c r="AA51" s="88">
        <v>120</v>
      </c>
      <c r="AB51" s="88" t="s">
        <v>76</v>
      </c>
      <c r="AC51" s="88">
        <v>160</v>
      </c>
      <c r="AD51" s="88" t="s">
        <v>76</v>
      </c>
      <c r="AF51" s="9">
        <f t="shared" si="2"/>
        <v>960</v>
      </c>
      <c r="AG51" s="6">
        <f>'Facility Data'!D31</f>
        <v>693</v>
      </c>
      <c r="AH51" s="49">
        <f t="shared" si="3"/>
        <v>1.3852813852813852</v>
      </c>
    </row>
    <row r="52" spans="1:34">
      <c r="A52" s="23" t="s">
        <v>39</v>
      </c>
      <c r="B52" s="81"/>
      <c r="C52" s="80"/>
      <c r="D52" s="80"/>
      <c r="E52" s="80"/>
      <c r="F52" s="88">
        <v>240</v>
      </c>
      <c r="G52" s="89"/>
      <c r="H52" s="88" t="s">
        <v>76</v>
      </c>
      <c r="I52" s="88">
        <v>260</v>
      </c>
      <c r="J52" s="88" t="s">
        <v>76</v>
      </c>
      <c r="K52" s="88" t="s">
        <v>76</v>
      </c>
      <c r="L52" s="88">
        <v>180</v>
      </c>
      <c r="M52" s="89"/>
      <c r="N52" s="88" t="s">
        <v>76</v>
      </c>
      <c r="O52" s="88">
        <v>200</v>
      </c>
      <c r="P52" s="88" t="s">
        <v>76</v>
      </c>
      <c r="Q52" s="88" t="s">
        <v>76</v>
      </c>
      <c r="R52" s="88">
        <v>80</v>
      </c>
      <c r="S52" s="89"/>
      <c r="T52" s="88" t="s">
        <v>76</v>
      </c>
      <c r="U52" s="88">
        <v>100</v>
      </c>
      <c r="V52" s="88" t="s">
        <v>76</v>
      </c>
      <c r="W52" s="88" t="s">
        <v>76</v>
      </c>
      <c r="X52" s="88">
        <v>80</v>
      </c>
      <c r="Y52" s="89"/>
      <c r="Z52" s="88" t="s">
        <v>76</v>
      </c>
      <c r="AA52" s="88">
        <v>140</v>
      </c>
      <c r="AB52" s="88" t="s">
        <v>76</v>
      </c>
      <c r="AC52" s="88" t="s">
        <v>76</v>
      </c>
      <c r="AD52" s="88">
        <v>120</v>
      </c>
      <c r="AF52" s="9">
        <f t="shared" si="2"/>
        <v>1400</v>
      </c>
      <c r="AG52" s="6">
        <f>'Facility Data'!D10</f>
        <v>1028</v>
      </c>
      <c r="AH52" s="49">
        <f t="shared" si="3"/>
        <v>1.3618677042801557</v>
      </c>
    </row>
    <row r="53" spans="1:34">
      <c r="A53" s="23" t="s">
        <v>61</v>
      </c>
      <c r="B53" s="81"/>
      <c r="C53" s="80"/>
      <c r="D53" s="80"/>
      <c r="E53" s="80"/>
      <c r="F53" s="88" t="s">
        <v>76</v>
      </c>
      <c r="G53" s="89"/>
      <c r="H53" s="88">
        <v>240</v>
      </c>
      <c r="I53" s="88" t="s">
        <v>76</v>
      </c>
      <c r="J53" s="88" t="s">
        <v>76</v>
      </c>
      <c r="K53" s="88" t="s">
        <v>76</v>
      </c>
      <c r="L53" s="88" t="s">
        <v>76</v>
      </c>
      <c r="M53" s="89"/>
      <c r="N53" s="88">
        <v>360</v>
      </c>
      <c r="O53" s="88" t="s">
        <v>76</v>
      </c>
      <c r="P53" s="88" t="s">
        <v>76</v>
      </c>
      <c r="Q53" s="88" t="s">
        <v>76</v>
      </c>
      <c r="R53" s="88" t="s">
        <v>76</v>
      </c>
      <c r="S53" s="89"/>
      <c r="T53" s="88">
        <v>280</v>
      </c>
      <c r="U53" s="88" t="s">
        <v>76</v>
      </c>
      <c r="V53" s="88" t="s">
        <v>76</v>
      </c>
      <c r="W53" s="88" t="s">
        <v>76</v>
      </c>
      <c r="X53" s="88" t="s">
        <v>76</v>
      </c>
      <c r="Y53" s="89"/>
      <c r="Z53" s="88">
        <v>200</v>
      </c>
      <c r="AA53" s="88" t="s">
        <v>76</v>
      </c>
      <c r="AB53" s="88" t="s">
        <v>76</v>
      </c>
      <c r="AC53" s="88" t="s">
        <v>76</v>
      </c>
      <c r="AD53" s="88" t="s">
        <v>76</v>
      </c>
      <c r="AF53" s="9">
        <f t="shared" si="2"/>
        <v>1080</v>
      </c>
      <c r="AG53" s="6">
        <f>'Facility Data'!D51</f>
        <v>820</v>
      </c>
      <c r="AH53" s="49">
        <f t="shared" si="3"/>
        <v>1.3170731707317074</v>
      </c>
    </row>
    <row r="54" spans="1:34">
      <c r="A54" s="23" t="s">
        <v>42</v>
      </c>
      <c r="B54" s="81"/>
      <c r="C54" s="80"/>
      <c r="D54" s="80"/>
      <c r="E54" s="80"/>
      <c r="F54" s="88" t="s">
        <v>76</v>
      </c>
      <c r="G54" s="89"/>
      <c r="H54" s="88" t="s">
        <v>76</v>
      </c>
      <c r="I54" s="88" t="s">
        <v>76</v>
      </c>
      <c r="J54" s="88" t="s">
        <v>76</v>
      </c>
      <c r="K54" s="88">
        <v>180</v>
      </c>
      <c r="L54" s="88" t="s">
        <v>76</v>
      </c>
      <c r="M54" s="89"/>
      <c r="N54" s="88" t="s">
        <v>76</v>
      </c>
      <c r="O54" s="88" t="s">
        <v>76</v>
      </c>
      <c r="P54" s="88" t="s">
        <v>76</v>
      </c>
      <c r="Q54" s="88">
        <v>320</v>
      </c>
      <c r="R54" s="88" t="s">
        <v>76</v>
      </c>
      <c r="S54" s="89"/>
      <c r="T54" s="88" t="s">
        <v>76</v>
      </c>
      <c r="U54" s="88" t="s">
        <v>76</v>
      </c>
      <c r="V54" s="88" t="s">
        <v>76</v>
      </c>
      <c r="W54" s="88">
        <v>260</v>
      </c>
      <c r="X54" s="88" t="s">
        <v>76</v>
      </c>
      <c r="Y54" s="89"/>
      <c r="Z54" s="88" t="s">
        <v>76</v>
      </c>
      <c r="AA54" s="88" t="s">
        <v>76</v>
      </c>
      <c r="AB54" s="88" t="s">
        <v>76</v>
      </c>
      <c r="AC54" s="88">
        <v>140</v>
      </c>
      <c r="AD54" s="88" t="s">
        <v>76</v>
      </c>
      <c r="AF54" s="9">
        <f t="shared" si="2"/>
        <v>900</v>
      </c>
      <c r="AG54" s="6">
        <f>'Facility Data'!D15</f>
        <v>713</v>
      </c>
      <c r="AH54" s="49">
        <f t="shared" si="3"/>
        <v>1.2622720897615709</v>
      </c>
    </row>
    <row r="55" spans="1:34">
      <c r="A55" s="25" t="s">
        <v>17</v>
      </c>
      <c r="B55" s="81"/>
      <c r="C55" s="80"/>
      <c r="D55" s="80"/>
      <c r="E55" s="80"/>
      <c r="F55" s="88">
        <v>200</v>
      </c>
      <c r="G55" s="89"/>
      <c r="H55" s="88" t="s">
        <v>76</v>
      </c>
      <c r="I55" s="88">
        <v>260</v>
      </c>
      <c r="J55" s="88" t="s">
        <v>76</v>
      </c>
      <c r="K55" s="88" t="s">
        <v>76</v>
      </c>
      <c r="L55" s="88">
        <v>240</v>
      </c>
      <c r="M55" s="89"/>
      <c r="N55" s="88" t="s">
        <v>76</v>
      </c>
      <c r="O55" s="88">
        <v>180</v>
      </c>
      <c r="P55" s="88" t="s">
        <v>76</v>
      </c>
      <c r="Q55" s="88" t="s">
        <v>76</v>
      </c>
      <c r="R55" s="88">
        <v>200</v>
      </c>
      <c r="S55" s="89"/>
      <c r="T55" s="88" t="s">
        <v>76</v>
      </c>
      <c r="U55" s="88">
        <v>220</v>
      </c>
      <c r="V55" s="88" t="s">
        <v>76</v>
      </c>
      <c r="W55" s="88" t="s">
        <v>76</v>
      </c>
      <c r="X55" s="88">
        <v>260</v>
      </c>
      <c r="Y55" s="89"/>
      <c r="Z55" s="88" t="s">
        <v>76</v>
      </c>
      <c r="AA55" s="88">
        <v>280</v>
      </c>
      <c r="AB55" s="88" t="s">
        <v>76</v>
      </c>
      <c r="AC55" s="88" t="s">
        <v>76</v>
      </c>
      <c r="AD55" s="88">
        <v>180</v>
      </c>
      <c r="AF55" s="9">
        <f t="shared" si="2"/>
        <v>2020</v>
      </c>
      <c r="AG55" s="6">
        <f>'Facility Data'!D43</f>
        <v>1632</v>
      </c>
      <c r="AH55" s="49">
        <f t="shared" si="3"/>
        <v>1.2377450980392157</v>
      </c>
    </row>
    <row r="56" spans="1:34">
      <c r="A56" s="25" t="s">
        <v>21</v>
      </c>
      <c r="B56" s="81"/>
      <c r="C56" s="80"/>
      <c r="D56" s="80"/>
      <c r="E56" s="80"/>
      <c r="F56" s="88" t="s">
        <v>76</v>
      </c>
      <c r="G56" s="89"/>
      <c r="H56" s="88">
        <v>300</v>
      </c>
      <c r="I56" s="88" t="s">
        <v>76</v>
      </c>
      <c r="J56" s="88" t="s">
        <v>76</v>
      </c>
      <c r="K56" s="88">
        <v>280</v>
      </c>
      <c r="L56" s="88" t="s">
        <v>76</v>
      </c>
      <c r="M56" s="89"/>
      <c r="N56" s="88">
        <v>240</v>
      </c>
      <c r="O56" s="88" t="s">
        <v>76</v>
      </c>
      <c r="P56" s="88" t="s">
        <v>76</v>
      </c>
      <c r="Q56" s="88">
        <v>260</v>
      </c>
      <c r="R56" s="88" t="s">
        <v>76</v>
      </c>
      <c r="S56" s="89"/>
      <c r="T56" s="88">
        <v>180</v>
      </c>
      <c r="U56" s="88" t="s">
        <v>76</v>
      </c>
      <c r="V56" s="88" t="s">
        <v>76</v>
      </c>
      <c r="W56" s="88">
        <v>120</v>
      </c>
      <c r="X56" s="88" t="s">
        <v>76</v>
      </c>
      <c r="Y56" s="89"/>
      <c r="Z56" s="88">
        <v>320</v>
      </c>
      <c r="AA56" s="88" t="s">
        <v>76</v>
      </c>
      <c r="AB56" s="88" t="s">
        <v>76</v>
      </c>
      <c r="AC56" s="88">
        <v>240</v>
      </c>
      <c r="AD56" s="88" t="s">
        <v>76</v>
      </c>
      <c r="AF56" s="9">
        <f t="shared" si="2"/>
        <v>1940</v>
      </c>
      <c r="AG56" s="6">
        <f>'Facility Data'!D49</f>
        <v>1669</v>
      </c>
      <c r="AH56" s="49">
        <f t="shared" si="3"/>
        <v>1.1623726782504493</v>
      </c>
    </row>
    <row r="57" spans="1:34">
      <c r="A57" s="23" t="s">
        <v>44</v>
      </c>
      <c r="B57" s="81"/>
      <c r="C57" s="80"/>
      <c r="D57" s="80"/>
      <c r="E57" s="80"/>
      <c r="F57" s="88">
        <v>260</v>
      </c>
      <c r="G57" s="89"/>
      <c r="H57" s="88" t="s">
        <v>76</v>
      </c>
      <c r="I57" s="88">
        <v>100</v>
      </c>
      <c r="J57" s="88" t="s">
        <v>76</v>
      </c>
      <c r="K57" s="88" t="s">
        <v>76</v>
      </c>
      <c r="L57" s="88">
        <v>80</v>
      </c>
      <c r="M57" s="89"/>
      <c r="N57" s="88" t="s">
        <v>76</v>
      </c>
      <c r="O57" s="88">
        <v>60</v>
      </c>
      <c r="P57" s="88" t="s">
        <v>76</v>
      </c>
      <c r="Q57" s="88" t="s">
        <v>76</v>
      </c>
      <c r="R57" s="88">
        <v>140</v>
      </c>
      <c r="S57" s="89"/>
      <c r="T57" s="88" t="s">
        <v>76</v>
      </c>
      <c r="U57" s="88">
        <v>160</v>
      </c>
      <c r="V57" s="88" t="s">
        <v>76</v>
      </c>
      <c r="W57" s="88" t="s">
        <v>76</v>
      </c>
      <c r="X57" s="88">
        <v>120</v>
      </c>
      <c r="Y57" s="89"/>
      <c r="Z57" s="88" t="s">
        <v>76</v>
      </c>
      <c r="AA57" s="88">
        <v>200</v>
      </c>
      <c r="AB57" s="88" t="s">
        <v>76</v>
      </c>
      <c r="AC57" s="88" t="s">
        <v>76</v>
      </c>
      <c r="AD57" s="88">
        <v>40</v>
      </c>
      <c r="AF57" s="9">
        <f t="shared" si="2"/>
        <v>1160</v>
      </c>
      <c r="AG57" s="6">
        <f>'Facility Data'!D18</f>
        <v>998</v>
      </c>
      <c r="AH57" s="49">
        <f t="shared" si="3"/>
        <v>1.1623246492985972</v>
      </c>
    </row>
    <row r="58" spans="1:34">
      <c r="A58" s="23" t="s">
        <v>53</v>
      </c>
      <c r="B58" s="81"/>
      <c r="C58" s="80"/>
      <c r="D58" s="80"/>
      <c r="E58" s="80"/>
      <c r="F58" s="88" t="s">
        <v>76</v>
      </c>
      <c r="G58" s="89"/>
      <c r="H58" s="88" t="s">
        <v>76</v>
      </c>
      <c r="I58" s="88">
        <v>220</v>
      </c>
      <c r="J58" s="88" t="s">
        <v>76</v>
      </c>
      <c r="K58" s="88" t="s">
        <v>76</v>
      </c>
      <c r="L58" s="88" t="s">
        <v>76</v>
      </c>
      <c r="M58" s="89"/>
      <c r="N58" s="88" t="s">
        <v>76</v>
      </c>
      <c r="O58" s="88">
        <v>320</v>
      </c>
      <c r="P58" s="88" t="s">
        <v>76</v>
      </c>
      <c r="Q58" s="88" t="s">
        <v>76</v>
      </c>
      <c r="R58" s="88" t="s">
        <v>76</v>
      </c>
      <c r="S58" s="89"/>
      <c r="T58" s="88" t="s">
        <v>76</v>
      </c>
      <c r="U58" s="88">
        <v>180</v>
      </c>
      <c r="V58" s="88" t="s">
        <v>76</v>
      </c>
      <c r="W58" s="88" t="s">
        <v>76</v>
      </c>
      <c r="X58" s="88" t="s">
        <v>76</v>
      </c>
      <c r="Y58" s="89"/>
      <c r="Z58" s="88" t="s">
        <v>76</v>
      </c>
      <c r="AA58" s="88">
        <v>260</v>
      </c>
      <c r="AB58" s="88" t="s">
        <v>76</v>
      </c>
      <c r="AC58" s="88" t="s">
        <v>76</v>
      </c>
      <c r="AD58" s="88" t="s">
        <v>76</v>
      </c>
      <c r="AF58" s="9">
        <f t="shared" si="2"/>
        <v>980</v>
      </c>
      <c r="AG58" s="6">
        <f>'Facility Data'!D32</f>
        <v>846</v>
      </c>
      <c r="AH58" s="49">
        <f t="shared" si="3"/>
        <v>1.1583924349881796</v>
      </c>
    </row>
    <row r="59" spans="1:34">
      <c r="A59" s="23" t="s">
        <v>48</v>
      </c>
      <c r="B59" s="81"/>
      <c r="C59" s="80"/>
      <c r="D59" s="80"/>
      <c r="E59" s="80"/>
      <c r="F59" s="88" t="s">
        <v>76</v>
      </c>
      <c r="G59" s="89"/>
      <c r="H59" s="88">
        <v>160</v>
      </c>
      <c r="I59" s="88" t="s">
        <v>76</v>
      </c>
      <c r="J59" s="88" t="s">
        <v>76</v>
      </c>
      <c r="K59" s="88" t="s">
        <v>76</v>
      </c>
      <c r="L59" s="88" t="s">
        <v>76</v>
      </c>
      <c r="M59" s="89"/>
      <c r="N59" s="88">
        <v>120</v>
      </c>
      <c r="O59" s="88" t="s">
        <v>76</v>
      </c>
      <c r="P59" s="88" t="s">
        <v>76</v>
      </c>
      <c r="Q59" s="88" t="s">
        <v>76</v>
      </c>
      <c r="R59" s="88" t="s">
        <v>76</v>
      </c>
      <c r="S59" s="89"/>
      <c r="T59" s="88">
        <v>180</v>
      </c>
      <c r="U59" s="88" t="s">
        <v>76</v>
      </c>
      <c r="V59" s="88" t="s">
        <v>76</v>
      </c>
      <c r="W59" s="88" t="s">
        <v>76</v>
      </c>
      <c r="X59" s="88" t="s">
        <v>76</v>
      </c>
      <c r="Y59" s="89"/>
      <c r="Z59" s="88">
        <v>200</v>
      </c>
      <c r="AA59" s="88" t="s">
        <v>76</v>
      </c>
      <c r="AB59" s="88" t="s">
        <v>76</v>
      </c>
      <c r="AC59" s="88" t="s">
        <v>76</v>
      </c>
      <c r="AD59" s="88" t="s">
        <v>76</v>
      </c>
      <c r="AF59" s="9">
        <f t="shared" si="2"/>
        <v>660</v>
      </c>
      <c r="AG59" s="6">
        <f>'Facility Data'!D22</f>
        <v>586</v>
      </c>
      <c r="AH59" s="49">
        <f t="shared" si="3"/>
        <v>1.1262798634812288</v>
      </c>
    </row>
    <row r="60" spans="1:34">
      <c r="A60" s="23" t="s">
        <v>54</v>
      </c>
      <c r="B60" s="81"/>
      <c r="C60" s="80"/>
      <c r="D60" s="80"/>
      <c r="E60" s="80"/>
      <c r="F60" s="88" t="s">
        <v>76</v>
      </c>
      <c r="G60" s="89"/>
      <c r="H60" s="88" t="s">
        <v>76</v>
      </c>
      <c r="I60" s="88">
        <v>300</v>
      </c>
      <c r="J60" s="88" t="s">
        <v>76</v>
      </c>
      <c r="K60" s="88" t="s">
        <v>76</v>
      </c>
      <c r="L60" s="88" t="s">
        <v>76</v>
      </c>
      <c r="M60" s="89"/>
      <c r="N60" s="88" t="s">
        <v>76</v>
      </c>
      <c r="O60" s="88">
        <v>80</v>
      </c>
      <c r="P60" s="88" t="s">
        <v>76</v>
      </c>
      <c r="Q60" s="88" t="s">
        <v>76</v>
      </c>
      <c r="R60" s="88" t="s">
        <v>76</v>
      </c>
      <c r="S60" s="89"/>
      <c r="T60" s="88" t="s">
        <v>76</v>
      </c>
      <c r="U60" s="88">
        <v>240</v>
      </c>
      <c r="V60" s="88" t="s">
        <v>76</v>
      </c>
      <c r="W60" s="88" t="s">
        <v>76</v>
      </c>
      <c r="X60" s="88" t="s">
        <v>76</v>
      </c>
      <c r="Y60" s="89"/>
      <c r="Z60" s="88" t="s">
        <v>76</v>
      </c>
      <c r="AA60" s="88">
        <v>160</v>
      </c>
      <c r="AB60" s="88" t="s">
        <v>76</v>
      </c>
      <c r="AC60" s="88" t="s">
        <v>76</v>
      </c>
      <c r="AD60" s="88" t="s">
        <v>76</v>
      </c>
      <c r="AF60" s="9">
        <f t="shared" si="2"/>
        <v>780</v>
      </c>
      <c r="AG60" s="6">
        <f>'Facility Data'!D35</f>
        <v>707</v>
      </c>
      <c r="AH60" s="49">
        <f t="shared" si="3"/>
        <v>1.1032531824611032</v>
      </c>
    </row>
    <row r="61" spans="1:34">
      <c r="A61" s="24" t="s">
        <v>77</v>
      </c>
      <c r="B61" s="81"/>
      <c r="C61" s="80"/>
      <c r="D61" s="80"/>
      <c r="E61" s="80"/>
      <c r="F61" s="88">
        <v>100</v>
      </c>
      <c r="G61" s="89"/>
      <c r="H61" s="88">
        <v>80</v>
      </c>
      <c r="I61" s="88" t="s">
        <v>76</v>
      </c>
      <c r="J61" s="88" t="s">
        <v>76</v>
      </c>
      <c r="K61" s="88" t="s">
        <v>76</v>
      </c>
      <c r="L61" s="88">
        <v>60</v>
      </c>
      <c r="M61" s="89"/>
      <c r="N61" s="88">
        <v>120</v>
      </c>
      <c r="O61" s="88" t="s">
        <v>76</v>
      </c>
      <c r="P61" s="88" t="s">
        <v>76</v>
      </c>
      <c r="Q61" s="88" t="s">
        <v>76</v>
      </c>
      <c r="R61" s="88">
        <v>80</v>
      </c>
      <c r="S61" s="89"/>
      <c r="T61" s="88">
        <v>60</v>
      </c>
      <c r="U61" s="88" t="s">
        <v>76</v>
      </c>
      <c r="V61" s="88" t="s">
        <v>76</v>
      </c>
      <c r="W61" s="88" t="s">
        <v>76</v>
      </c>
      <c r="X61" s="88">
        <v>140</v>
      </c>
      <c r="Y61" s="89"/>
      <c r="Z61" s="88">
        <v>200</v>
      </c>
      <c r="AA61" s="88" t="s">
        <v>76</v>
      </c>
      <c r="AB61" s="88" t="s">
        <v>76</v>
      </c>
      <c r="AC61" s="88" t="s">
        <v>76</v>
      </c>
      <c r="AD61" s="88">
        <v>80</v>
      </c>
      <c r="AF61" s="9">
        <f t="shared" si="2"/>
        <v>920</v>
      </c>
      <c r="AG61" s="6">
        <f>'Facility Data'!D55</f>
        <v>900</v>
      </c>
      <c r="AH61" s="49">
        <f t="shared" si="3"/>
        <v>1.0222222222222221</v>
      </c>
    </row>
    <row r="62" spans="1:34">
      <c r="A62" s="25" t="s">
        <v>7</v>
      </c>
      <c r="B62" s="81"/>
      <c r="C62" s="80"/>
      <c r="D62" s="80"/>
      <c r="E62" s="80"/>
      <c r="F62" s="88">
        <v>160</v>
      </c>
      <c r="G62" s="89"/>
      <c r="H62" s="88">
        <v>120</v>
      </c>
      <c r="I62" s="88" t="s">
        <v>76</v>
      </c>
      <c r="J62" s="88">
        <v>80</v>
      </c>
      <c r="K62" s="88" t="s">
        <v>76</v>
      </c>
      <c r="L62" s="88">
        <v>160</v>
      </c>
      <c r="M62" s="89"/>
      <c r="N62" s="88">
        <v>140</v>
      </c>
      <c r="O62" s="88" t="s">
        <v>76</v>
      </c>
      <c r="P62" s="88">
        <v>120</v>
      </c>
      <c r="Q62" s="88" t="s">
        <v>76</v>
      </c>
      <c r="R62" s="88">
        <v>140</v>
      </c>
      <c r="S62" s="89"/>
      <c r="T62" s="88">
        <v>160</v>
      </c>
      <c r="U62" s="88" t="s">
        <v>76</v>
      </c>
      <c r="V62" s="88">
        <v>80</v>
      </c>
      <c r="W62" s="88" t="s">
        <v>76</v>
      </c>
      <c r="X62" s="88">
        <v>120</v>
      </c>
      <c r="Y62" s="89"/>
      <c r="Z62" s="88">
        <v>140</v>
      </c>
      <c r="AA62" s="88" t="s">
        <v>76</v>
      </c>
      <c r="AB62" s="88">
        <v>60</v>
      </c>
      <c r="AC62" s="88" t="s">
        <v>76</v>
      </c>
      <c r="AD62" s="88">
        <v>80</v>
      </c>
      <c r="AF62" s="9">
        <f t="shared" si="2"/>
        <v>1560</v>
      </c>
      <c r="AG62" s="6">
        <f>'Facility Data'!D23</f>
        <v>1646</v>
      </c>
      <c r="AH62" s="49">
        <f t="shared" si="3"/>
        <v>0.94775212636695016</v>
      </c>
    </row>
    <row r="63" spans="1:34">
      <c r="A63" s="23" t="s">
        <v>38</v>
      </c>
      <c r="B63" s="81"/>
      <c r="C63" s="80"/>
      <c r="D63" s="80"/>
      <c r="E63" s="80"/>
      <c r="F63" s="88" t="s">
        <v>76</v>
      </c>
      <c r="G63" s="89"/>
      <c r="H63" s="88" t="s">
        <v>76</v>
      </c>
      <c r="I63" s="88" t="s">
        <v>76</v>
      </c>
      <c r="J63" s="88" t="s">
        <v>76</v>
      </c>
      <c r="K63" s="88">
        <v>80</v>
      </c>
      <c r="L63" s="88" t="s">
        <v>76</v>
      </c>
      <c r="M63" s="89"/>
      <c r="N63" s="88" t="s">
        <v>76</v>
      </c>
      <c r="O63" s="88" t="s">
        <v>76</v>
      </c>
      <c r="P63" s="88" t="s">
        <v>76</v>
      </c>
      <c r="Q63" s="88">
        <v>120</v>
      </c>
      <c r="R63" s="88" t="s">
        <v>76</v>
      </c>
      <c r="S63" s="89"/>
      <c r="T63" s="88" t="s">
        <v>76</v>
      </c>
      <c r="U63" s="88" t="s">
        <v>76</v>
      </c>
      <c r="V63" s="88" t="s">
        <v>76</v>
      </c>
      <c r="W63" s="88">
        <v>100</v>
      </c>
      <c r="X63" s="88" t="s">
        <v>76</v>
      </c>
      <c r="Y63" s="89"/>
      <c r="Z63" s="88" t="s">
        <v>76</v>
      </c>
      <c r="AA63" s="88" t="s">
        <v>76</v>
      </c>
      <c r="AB63" s="88" t="s">
        <v>76</v>
      </c>
      <c r="AC63" s="88">
        <v>300</v>
      </c>
      <c r="AD63" s="88" t="s">
        <v>76</v>
      </c>
      <c r="AF63" s="9">
        <f t="shared" si="2"/>
        <v>600</v>
      </c>
      <c r="AG63" s="6">
        <f>'Facility Data'!D8</f>
        <v>644</v>
      </c>
      <c r="AH63" s="49">
        <f t="shared" si="3"/>
        <v>0.93167701863354035</v>
      </c>
    </row>
    <row r="64" spans="1:34">
      <c r="A64" s="24" t="s">
        <v>9</v>
      </c>
      <c r="B64" s="81"/>
      <c r="C64" s="80"/>
      <c r="D64" s="80"/>
      <c r="E64" s="80"/>
      <c r="F64" s="88" t="s">
        <v>76</v>
      </c>
      <c r="G64" s="89"/>
      <c r="H64" s="88">
        <v>40</v>
      </c>
      <c r="I64" s="88" t="s">
        <v>76</v>
      </c>
      <c r="J64" s="88" t="s">
        <v>76</v>
      </c>
      <c r="K64" s="88">
        <v>200</v>
      </c>
      <c r="L64" s="88" t="s">
        <v>76</v>
      </c>
      <c r="M64" s="89"/>
      <c r="N64" s="88">
        <v>80</v>
      </c>
      <c r="O64" s="88" t="s">
        <v>76</v>
      </c>
      <c r="P64" s="88" t="s">
        <v>76</v>
      </c>
      <c r="Q64" s="88">
        <v>140</v>
      </c>
      <c r="R64" s="88" t="s">
        <v>76</v>
      </c>
      <c r="S64" s="89"/>
      <c r="T64" s="88">
        <v>120</v>
      </c>
      <c r="U64" s="88" t="s">
        <v>76</v>
      </c>
      <c r="V64" s="88" t="s">
        <v>76</v>
      </c>
      <c r="W64" s="88">
        <v>60</v>
      </c>
      <c r="X64" s="88" t="s">
        <v>76</v>
      </c>
      <c r="Y64" s="89"/>
      <c r="Z64" s="88">
        <v>100</v>
      </c>
      <c r="AA64" s="88" t="s">
        <v>76</v>
      </c>
      <c r="AB64" s="88" t="s">
        <v>76</v>
      </c>
      <c r="AC64" s="88">
        <v>80</v>
      </c>
      <c r="AD64" s="88" t="s">
        <v>76</v>
      </c>
      <c r="AF64" s="9">
        <f t="shared" si="2"/>
        <v>820</v>
      </c>
      <c r="AG64" s="6">
        <f>'Facility Data'!D26</f>
        <v>914</v>
      </c>
      <c r="AH64" s="49">
        <f t="shared" si="3"/>
        <v>0.89715536105032823</v>
      </c>
    </row>
    <row r="65" spans="1:34">
      <c r="A65" s="24" t="s">
        <v>27</v>
      </c>
      <c r="B65" s="81"/>
      <c r="C65" s="80"/>
      <c r="D65" s="80"/>
      <c r="E65" s="80"/>
      <c r="F65" s="88">
        <v>100</v>
      </c>
      <c r="G65" s="89"/>
      <c r="H65" s="88" t="s">
        <v>76</v>
      </c>
      <c r="I65" s="88">
        <v>80</v>
      </c>
      <c r="J65" s="88" t="s">
        <v>76</v>
      </c>
      <c r="K65" s="88" t="s">
        <v>76</v>
      </c>
      <c r="L65" s="88">
        <v>120</v>
      </c>
      <c r="M65" s="89"/>
      <c r="N65" s="88" t="s">
        <v>76</v>
      </c>
      <c r="O65" s="88">
        <v>60</v>
      </c>
      <c r="P65" s="88" t="s">
        <v>76</v>
      </c>
      <c r="Q65" s="88" t="s">
        <v>76</v>
      </c>
      <c r="R65" s="88">
        <v>40</v>
      </c>
      <c r="S65" s="89"/>
      <c r="T65" s="88" t="s">
        <v>76</v>
      </c>
      <c r="U65" s="88">
        <v>140</v>
      </c>
      <c r="V65" s="88" t="s">
        <v>76</v>
      </c>
      <c r="W65" s="88" t="s">
        <v>76</v>
      </c>
      <c r="X65" s="88">
        <v>80</v>
      </c>
      <c r="Y65" s="89"/>
      <c r="Z65" s="88" t="s">
        <v>76</v>
      </c>
      <c r="AA65" s="88">
        <v>60</v>
      </c>
      <c r="AB65" s="88" t="s">
        <v>76</v>
      </c>
      <c r="AC65" s="88" t="s">
        <v>76</v>
      </c>
      <c r="AD65" s="88">
        <v>160</v>
      </c>
      <c r="AF65" s="9">
        <f t="shared" si="2"/>
        <v>840</v>
      </c>
      <c r="AG65" s="6">
        <f>'Facility Data'!D61</f>
        <v>954</v>
      </c>
      <c r="AH65" s="49">
        <f t="shared" si="3"/>
        <v>0.88050314465408808</v>
      </c>
    </row>
    <row r="66" spans="1:34">
      <c r="A66" s="23" t="s">
        <v>40</v>
      </c>
      <c r="B66" s="81"/>
      <c r="C66" s="80"/>
      <c r="D66" s="80"/>
      <c r="E66" s="80"/>
      <c r="F66" s="88" t="s">
        <v>76</v>
      </c>
      <c r="G66" s="89"/>
      <c r="H66" s="88" t="s">
        <v>76</v>
      </c>
      <c r="I66" s="88">
        <v>160</v>
      </c>
      <c r="J66" s="88" t="s">
        <v>76</v>
      </c>
      <c r="K66" s="88" t="s">
        <v>76</v>
      </c>
      <c r="L66" s="88" t="s">
        <v>76</v>
      </c>
      <c r="M66" s="89"/>
      <c r="N66" s="88" t="s">
        <v>76</v>
      </c>
      <c r="O66" s="88">
        <v>220</v>
      </c>
      <c r="P66" s="88" t="s">
        <v>76</v>
      </c>
      <c r="Q66" s="88" t="s">
        <v>76</v>
      </c>
      <c r="R66" s="88" t="s">
        <v>76</v>
      </c>
      <c r="S66" s="89"/>
      <c r="T66" s="88" t="s">
        <v>76</v>
      </c>
      <c r="U66" s="88">
        <v>60</v>
      </c>
      <c r="V66" s="88" t="s">
        <v>76</v>
      </c>
      <c r="W66" s="88" t="s">
        <v>76</v>
      </c>
      <c r="X66" s="88" t="s">
        <v>76</v>
      </c>
      <c r="Y66" s="89"/>
      <c r="Z66" s="88" t="s">
        <v>76</v>
      </c>
      <c r="AA66" s="88">
        <v>120</v>
      </c>
      <c r="AB66" s="88" t="s">
        <v>76</v>
      </c>
      <c r="AC66" s="88" t="s">
        <v>76</v>
      </c>
      <c r="AD66" s="88" t="s">
        <v>76</v>
      </c>
      <c r="AF66" s="9">
        <f t="shared" si="2"/>
        <v>560</v>
      </c>
      <c r="AG66" s="6">
        <f>'Facility Data'!D12</f>
        <v>740</v>
      </c>
      <c r="AH66" s="49">
        <f t="shared" si="3"/>
        <v>0.7567567567567568</v>
      </c>
    </row>
    <row r="67" spans="1:34">
      <c r="A67" s="23" t="s">
        <v>51</v>
      </c>
      <c r="B67" s="81"/>
      <c r="C67" s="80"/>
      <c r="D67" s="80"/>
      <c r="E67" s="80"/>
      <c r="F67" s="88" t="s">
        <v>76</v>
      </c>
      <c r="G67" s="89"/>
      <c r="H67" s="88" t="s">
        <v>76</v>
      </c>
      <c r="I67" s="88" t="s">
        <v>76</v>
      </c>
      <c r="J67" s="88" t="s">
        <v>76</v>
      </c>
      <c r="K67" s="88">
        <v>40</v>
      </c>
      <c r="L67" s="88" t="s">
        <v>76</v>
      </c>
      <c r="M67" s="89"/>
      <c r="N67" s="88" t="s">
        <v>76</v>
      </c>
      <c r="O67" s="88" t="s">
        <v>76</v>
      </c>
      <c r="P67" s="88" t="s">
        <v>76</v>
      </c>
      <c r="Q67" s="88">
        <v>100</v>
      </c>
      <c r="R67" s="88" t="s">
        <v>76</v>
      </c>
      <c r="S67" s="89"/>
      <c r="T67" s="88" t="s">
        <v>76</v>
      </c>
      <c r="U67" s="88" t="s">
        <v>76</v>
      </c>
      <c r="V67" s="88" t="s">
        <v>76</v>
      </c>
      <c r="W67" s="88">
        <v>80</v>
      </c>
      <c r="X67" s="88" t="s">
        <v>76</v>
      </c>
      <c r="Y67" s="89"/>
      <c r="Z67" s="88" t="s">
        <v>76</v>
      </c>
      <c r="AA67" s="88" t="s">
        <v>76</v>
      </c>
      <c r="AB67" s="88" t="s">
        <v>76</v>
      </c>
      <c r="AC67" s="88">
        <v>60</v>
      </c>
      <c r="AD67" s="88" t="s">
        <v>76</v>
      </c>
      <c r="AF67" s="9">
        <f t="shared" si="2"/>
        <v>280</v>
      </c>
      <c r="AG67" s="6">
        <f>'Facility Data'!D30</f>
        <v>419</v>
      </c>
      <c r="AH67" s="49">
        <f t="shared" si="3"/>
        <v>0.66825775656324582</v>
      </c>
    </row>
    <row r="69" spans="1:34">
      <c r="AF69" s="92">
        <f>SUM(AF6:AF68)</f>
        <v>84320</v>
      </c>
    </row>
  </sheetData>
  <sortState ref="A6:AH67">
    <sortCondition descending="1" ref="AH6:AH67"/>
  </sortState>
  <mergeCells count="1">
    <mergeCell ref="A1:AH1"/>
  </mergeCells>
  <pageMargins left="0.25" right="0.25" top="0.45" bottom="0.31" header="0.3" footer="0.3"/>
  <pageSetup paperSize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69"/>
  <sheetViews>
    <sheetView tabSelected="1" zoomScale="70" zoomScaleNormal="70" workbookViewId="0">
      <pane ySplit="4" topLeftCell="A5" activePane="bottomLeft" state="frozen"/>
      <selection pane="bottomLeft" activeCell="AK43" sqref="AK43"/>
    </sheetView>
  </sheetViews>
  <sheetFormatPr defaultRowHeight="15"/>
  <cols>
    <col min="1" max="1" width="39" style="1" customWidth="1"/>
    <col min="2" max="6" width="4.42578125" customWidth="1"/>
    <col min="7" max="7" width="1" style="36" customWidth="1"/>
    <col min="8" max="12" width="4.7109375" customWidth="1"/>
    <col min="13" max="13" width="1.140625" style="36" customWidth="1"/>
    <col min="14" max="18" width="4.85546875" customWidth="1"/>
    <col min="19" max="19" width="1" style="36" customWidth="1"/>
    <col min="20" max="24" width="4.42578125" customWidth="1"/>
    <col min="25" max="25" width="1.140625" style="36" customWidth="1"/>
    <col min="26" max="27" width="4.7109375" customWidth="1"/>
    <col min="28" max="30" width="1.7109375" customWidth="1"/>
    <col min="31" max="31" width="1.42578125" customWidth="1"/>
    <col min="32" max="32" width="10.140625" customWidth="1"/>
    <col min="33" max="33" width="7.42578125" customWidth="1"/>
    <col min="34" max="34" width="8.28515625" customWidth="1"/>
  </cols>
  <sheetData>
    <row r="1" spans="1:36" s="91" customFormat="1" ht="29.25" customHeight="1">
      <c r="A1" s="93" t="s">
        <v>81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</row>
    <row r="2" spans="1:36" ht="3.75" customHeight="1">
      <c r="A2" s="41"/>
      <c r="B2" s="42"/>
      <c r="C2" s="42"/>
      <c r="D2" s="42"/>
      <c r="E2" s="42"/>
      <c r="F2" s="42"/>
      <c r="G2" s="43"/>
      <c r="H2" s="42"/>
      <c r="I2" s="42"/>
      <c r="J2" s="42"/>
      <c r="K2" s="42"/>
      <c r="L2" s="42"/>
      <c r="M2" s="43"/>
      <c r="N2" s="42"/>
      <c r="O2" s="42"/>
      <c r="P2" s="42"/>
      <c r="Q2" s="42"/>
      <c r="R2" s="42"/>
      <c r="S2" s="43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</row>
    <row r="3" spans="1:36" ht="18.75" customHeight="1" thickBot="1">
      <c r="A3" s="1" t="s">
        <v>102</v>
      </c>
      <c r="B3" t="s">
        <v>70</v>
      </c>
      <c r="C3" t="s">
        <v>71</v>
      </c>
      <c r="D3" t="s">
        <v>72</v>
      </c>
      <c r="E3" t="s">
        <v>74</v>
      </c>
      <c r="F3" t="s">
        <v>73</v>
      </c>
      <c r="H3" t="s">
        <v>70</v>
      </c>
      <c r="I3" t="s">
        <v>71</v>
      </c>
      <c r="J3" t="s">
        <v>72</v>
      </c>
      <c r="K3" t="s">
        <v>74</v>
      </c>
      <c r="L3" t="s">
        <v>73</v>
      </c>
      <c r="N3" t="s">
        <v>70</v>
      </c>
      <c r="O3" t="s">
        <v>71</v>
      </c>
      <c r="P3" t="s">
        <v>72</v>
      </c>
      <c r="Q3" t="s">
        <v>74</v>
      </c>
      <c r="R3" t="s">
        <v>73</v>
      </c>
      <c r="T3" t="s">
        <v>70</v>
      </c>
      <c r="U3" t="s">
        <v>71</v>
      </c>
      <c r="V3" t="s">
        <v>72</v>
      </c>
      <c r="W3" t="s">
        <v>74</v>
      </c>
      <c r="X3" t="s">
        <v>73</v>
      </c>
      <c r="Y3"/>
      <c r="Z3" t="s">
        <v>70</v>
      </c>
      <c r="AA3" t="s">
        <v>71</v>
      </c>
      <c r="AB3" t="s">
        <v>72</v>
      </c>
      <c r="AC3" t="s">
        <v>74</v>
      </c>
      <c r="AD3" t="s">
        <v>73</v>
      </c>
    </row>
    <row r="4" spans="1:36" s="4" customFormat="1" ht="48" customHeight="1" thickBot="1">
      <c r="A4" s="17" t="s">
        <v>29</v>
      </c>
      <c r="B4" s="15">
        <v>1</v>
      </c>
      <c r="C4" s="15">
        <v>2</v>
      </c>
      <c r="D4" s="15">
        <v>3</v>
      </c>
      <c r="E4" s="15">
        <v>4</v>
      </c>
      <c r="F4" s="15">
        <v>5</v>
      </c>
      <c r="G4" s="37"/>
      <c r="H4" s="15">
        <v>8</v>
      </c>
      <c r="I4" s="15">
        <v>9</v>
      </c>
      <c r="J4" s="15">
        <v>10</v>
      </c>
      <c r="K4" s="15">
        <v>11</v>
      </c>
      <c r="L4" s="15">
        <v>12</v>
      </c>
      <c r="M4" s="37"/>
      <c r="N4" s="15">
        <v>15</v>
      </c>
      <c r="O4" s="15">
        <v>16</v>
      </c>
      <c r="P4" s="15">
        <v>17</v>
      </c>
      <c r="Q4" s="15">
        <v>18</v>
      </c>
      <c r="R4" s="15">
        <v>15</v>
      </c>
      <c r="S4" s="37"/>
      <c r="T4" s="15">
        <v>22</v>
      </c>
      <c r="U4" s="15">
        <v>23</v>
      </c>
      <c r="V4" s="15">
        <v>24</v>
      </c>
      <c r="W4" s="15">
        <v>25</v>
      </c>
      <c r="X4" s="15">
        <v>26</v>
      </c>
      <c r="Y4" s="37"/>
      <c r="Z4" s="15">
        <v>29</v>
      </c>
      <c r="AA4" s="15">
        <v>30</v>
      </c>
      <c r="AB4" s="15"/>
      <c r="AC4" s="15"/>
      <c r="AD4" s="15"/>
      <c r="AF4" s="83" t="s">
        <v>30</v>
      </c>
      <c r="AG4" s="84" t="s">
        <v>31</v>
      </c>
      <c r="AH4" s="85" t="s">
        <v>32</v>
      </c>
      <c r="AI4" s="5"/>
      <c r="AJ4" s="5"/>
    </row>
    <row r="5" spans="1:36" s="20" customFormat="1">
      <c r="A5" s="40" t="s">
        <v>28</v>
      </c>
      <c r="B5" s="32"/>
      <c r="C5" s="21"/>
      <c r="D5" s="21"/>
      <c r="E5" s="21"/>
      <c r="F5" s="21"/>
      <c r="G5" s="38"/>
      <c r="H5" s="21"/>
      <c r="I5" s="21"/>
      <c r="J5" s="21"/>
      <c r="K5" s="21"/>
      <c r="L5" s="21"/>
      <c r="M5" s="38"/>
      <c r="N5" s="21"/>
      <c r="O5" s="21"/>
      <c r="P5" s="21"/>
      <c r="Q5" s="21"/>
      <c r="R5" s="21"/>
      <c r="S5" s="38"/>
      <c r="T5" s="21"/>
      <c r="U5" s="21"/>
      <c r="V5" s="21"/>
      <c r="W5" s="21"/>
      <c r="X5" s="21"/>
      <c r="Y5" s="38"/>
      <c r="Z5" s="21"/>
      <c r="AA5" s="21"/>
      <c r="AB5" s="21"/>
      <c r="AC5" s="21"/>
      <c r="AD5" s="21"/>
      <c r="AF5" s="33"/>
      <c r="AG5" s="34"/>
      <c r="AH5" s="35"/>
    </row>
    <row r="6" spans="1:36">
      <c r="A6" s="48" t="s">
        <v>6</v>
      </c>
      <c r="B6" s="81" t="s">
        <v>76</v>
      </c>
      <c r="C6" s="80">
        <v>160</v>
      </c>
      <c r="D6" s="80" t="s">
        <v>76</v>
      </c>
      <c r="E6" s="80">
        <v>180</v>
      </c>
      <c r="F6" s="88" t="s">
        <v>76</v>
      </c>
      <c r="G6" s="89"/>
      <c r="H6" s="88" t="s">
        <v>76</v>
      </c>
      <c r="I6" s="88">
        <v>120</v>
      </c>
      <c r="J6" s="88" t="s">
        <v>76</v>
      </c>
      <c r="K6" s="88">
        <v>240</v>
      </c>
      <c r="L6" s="88" t="s">
        <v>76</v>
      </c>
      <c r="M6" s="89"/>
      <c r="N6" s="88" t="s">
        <v>76</v>
      </c>
      <c r="O6" s="88">
        <v>120</v>
      </c>
      <c r="P6" s="88" t="s">
        <v>76</v>
      </c>
      <c r="Q6" s="88">
        <v>180</v>
      </c>
      <c r="R6" s="88" t="s">
        <v>76</v>
      </c>
      <c r="S6" s="89"/>
      <c r="T6" s="88" t="s">
        <v>76</v>
      </c>
      <c r="U6" s="88">
        <v>240</v>
      </c>
      <c r="V6" s="88" t="s">
        <v>76</v>
      </c>
      <c r="W6" s="88">
        <v>160</v>
      </c>
      <c r="X6" s="88" t="s">
        <v>76</v>
      </c>
      <c r="Y6" s="89"/>
      <c r="Z6" s="88" t="s">
        <v>76</v>
      </c>
      <c r="AA6" s="88">
        <v>80</v>
      </c>
      <c r="AB6" s="88"/>
      <c r="AC6" s="88"/>
      <c r="AD6" s="88"/>
      <c r="AF6" s="9">
        <f>SUM(B6:AE6)</f>
        <v>1480</v>
      </c>
      <c r="AG6" s="6">
        <f>'Facility Data'!D17</f>
        <v>121</v>
      </c>
      <c r="AH6" s="49">
        <f>AF6/AG6</f>
        <v>12.231404958677686</v>
      </c>
    </row>
    <row r="7" spans="1:36">
      <c r="A7" s="48" t="s">
        <v>16</v>
      </c>
      <c r="B7" s="81" t="s">
        <v>76</v>
      </c>
      <c r="C7" s="80">
        <v>80</v>
      </c>
      <c r="D7" s="80" t="s">
        <v>76</v>
      </c>
      <c r="E7" s="80" t="s">
        <v>76</v>
      </c>
      <c r="F7" s="88">
        <v>100</v>
      </c>
      <c r="G7" s="89"/>
      <c r="H7" s="88" t="s">
        <v>76</v>
      </c>
      <c r="I7" s="88">
        <v>160</v>
      </c>
      <c r="J7" s="88" t="s">
        <v>76</v>
      </c>
      <c r="K7" s="88" t="s">
        <v>76</v>
      </c>
      <c r="L7" s="88">
        <v>180</v>
      </c>
      <c r="M7" s="89"/>
      <c r="N7" s="88" t="s">
        <v>76</v>
      </c>
      <c r="O7" s="88">
        <v>180</v>
      </c>
      <c r="P7" s="88" t="s">
        <v>76</v>
      </c>
      <c r="Q7" s="88" t="s">
        <v>76</v>
      </c>
      <c r="R7" s="88">
        <v>200</v>
      </c>
      <c r="S7" s="89"/>
      <c r="T7" s="88" t="s">
        <v>76</v>
      </c>
      <c r="U7" s="88">
        <v>80</v>
      </c>
      <c r="V7" s="88" t="s">
        <v>76</v>
      </c>
      <c r="W7" s="88" t="s">
        <v>76</v>
      </c>
      <c r="X7" s="88">
        <v>300</v>
      </c>
      <c r="Y7" s="89"/>
      <c r="Z7" s="88" t="s">
        <v>76</v>
      </c>
      <c r="AA7" s="88">
        <v>140</v>
      </c>
      <c r="AB7" s="88"/>
      <c r="AC7" s="88"/>
      <c r="AD7" s="88"/>
      <c r="AF7" s="9">
        <f>SUM(B7:AE7)</f>
        <v>1420</v>
      </c>
      <c r="AG7" s="6">
        <f>'Facility Data'!D40</f>
        <v>177</v>
      </c>
      <c r="AH7" s="49">
        <f>AF7/AG7</f>
        <v>8.0225988700564965</v>
      </c>
    </row>
    <row r="8" spans="1:36">
      <c r="A8" s="25" t="s">
        <v>1</v>
      </c>
      <c r="B8" s="81">
        <v>480</v>
      </c>
      <c r="C8" s="80" t="s">
        <v>76</v>
      </c>
      <c r="D8" s="80" t="s">
        <v>76</v>
      </c>
      <c r="E8" s="80" t="s">
        <v>76</v>
      </c>
      <c r="F8" s="88" t="s">
        <v>76</v>
      </c>
      <c r="G8" s="89"/>
      <c r="H8" s="88">
        <v>560</v>
      </c>
      <c r="I8" s="88" t="s">
        <v>76</v>
      </c>
      <c r="J8" s="88" t="s">
        <v>76</v>
      </c>
      <c r="K8" s="88" t="s">
        <v>76</v>
      </c>
      <c r="L8" s="88" t="s">
        <v>76</v>
      </c>
      <c r="M8" s="89"/>
      <c r="N8" s="88">
        <v>1720</v>
      </c>
      <c r="O8" s="88" t="s">
        <v>76</v>
      </c>
      <c r="P8" s="88" t="s">
        <v>76</v>
      </c>
      <c r="Q8" s="88" t="s">
        <v>76</v>
      </c>
      <c r="R8" s="88" t="s">
        <v>76</v>
      </c>
      <c r="S8" s="89"/>
      <c r="T8" s="88">
        <v>500</v>
      </c>
      <c r="U8" s="88" t="s">
        <v>76</v>
      </c>
      <c r="V8" s="88" t="s">
        <v>76</v>
      </c>
      <c r="W8" s="88" t="s">
        <v>76</v>
      </c>
      <c r="X8" s="88" t="s">
        <v>76</v>
      </c>
      <c r="Y8" s="89"/>
      <c r="Z8" s="88">
        <v>1760</v>
      </c>
      <c r="AA8" s="88" t="s">
        <v>76</v>
      </c>
      <c r="AB8" s="88"/>
      <c r="AC8" s="88"/>
      <c r="AD8" s="88"/>
      <c r="AF8" s="9">
        <f>SUM(B8:AE8)</f>
        <v>5020</v>
      </c>
      <c r="AG8" s="6">
        <f>'Facility Data'!D6</f>
        <v>807</v>
      </c>
      <c r="AH8" s="49">
        <f>AF8/AG8</f>
        <v>6.2205700123915735</v>
      </c>
    </row>
    <row r="9" spans="1:36">
      <c r="A9" s="25" t="s">
        <v>22</v>
      </c>
      <c r="B9" s="81">
        <v>600</v>
      </c>
      <c r="C9" s="80" t="s">
        <v>76</v>
      </c>
      <c r="D9" s="80">
        <v>1120</v>
      </c>
      <c r="E9" s="80" t="s">
        <v>76</v>
      </c>
      <c r="F9" s="88">
        <v>380</v>
      </c>
      <c r="G9" s="89"/>
      <c r="H9" s="88">
        <v>1360</v>
      </c>
      <c r="I9" s="88" t="s">
        <v>76</v>
      </c>
      <c r="J9" s="88">
        <v>460</v>
      </c>
      <c r="K9" s="88" t="s">
        <v>76</v>
      </c>
      <c r="L9" s="88">
        <v>1540</v>
      </c>
      <c r="M9" s="89"/>
      <c r="N9" s="88">
        <v>240</v>
      </c>
      <c r="O9" s="88" t="s">
        <v>76</v>
      </c>
      <c r="P9" s="88">
        <v>420</v>
      </c>
      <c r="Q9" s="88" t="s">
        <v>76</v>
      </c>
      <c r="R9" s="88">
        <v>280</v>
      </c>
      <c r="S9" s="89"/>
      <c r="T9" s="88">
        <v>620</v>
      </c>
      <c r="U9" s="88" t="s">
        <v>76</v>
      </c>
      <c r="V9" s="88">
        <v>380</v>
      </c>
      <c r="W9" s="88" t="s">
        <v>76</v>
      </c>
      <c r="X9" s="88">
        <v>240</v>
      </c>
      <c r="Y9" s="89"/>
      <c r="Z9" s="88">
        <v>680</v>
      </c>
      <c r="AA9" s="88" t="s">
        <v>76</v>
      </c>
      <c r="AB9" s="88"/>
      <c r="AC9" s="88"/>
      <c r="AD9" s="88"/>
      <c r="AF9" s="9">
        <f>SUM(B9:AE9)</f>
        <v>8320</v>
      </c>
      <c r="AG9" s="6">
        <f>'Facility Data'!D52</f>
        <v>1609</v>
      </c>
      <c r="AH9" s="49">
        <f>AF9/AG9</f>
        <v>5.170913610938471</v>
      </c>
    </row>
    <row r="10" spans="1:36">
      <c r="A10" s="23" t="s">
        <v>67</v>
      </c>
      <c r="B10" s="81" t="s">
        <v>76</v>
      </c>
      <c r="C10" s="80" t="s">
        <v>76</v>
      </c>
      <c r="D10" s="80" t="s">
        <v>76</v>
      </c>
      <c r="E10" s="80">
        <v>280</v>
      </c>
      <c r="F10" s="88" t="s">
        <v>76</v>
      </c>
      <c r="G10" s="89"/>
      <c r="H10" s="88" t="s">
        <v>76</v>
      </c>
      <c r="I10" s="88" t="s">
        <v>76</v>
      </c>
      <c r="J10" s="88" t="s">
        <v>76</v>
      </c>
      <c r="K10" s="88">
        <v>320</v>
      </c>
      <c r="L10" s="88" t="s">
        <v>76</v>
      </c>
      <c r="M10" s="89"/>
      <c r="N10" s="88" t="s">
        <v>76</v>
      </c>
      <c r="O10" s="88" t="s">
        <v>76</v>
      </c>
      <c r="P10" s="88" t="s">
        <v>76</v>
      </c>
      <c r="Q10" s="88">
        <v>260</v>
      </c>
      <c r="R10" s="88" t="s">
        <v>76</v>
      </c>
      <c r="S10" s="89"/>
      <c r="T10" s="88" t="s">
        <v>76</v>
      </c>
      <c r="U10" s="88" t="s">
        <v>76</v>
      </c>
      <c r="V10" s="88" t="s">
        <v>76</v>
      </c>
      <c r="W10" s="88">
        <v>180</v>
      </c>
      <c r="X10" s="88" t="s">
        <v>76</v>
      </c>
      <c r="Y10" s="89"/>
      <c r="Z10" s="88" t="s">
        <v>76</v>
      </c>
      <c r="AA10" s="88" t="s">
        <v>76</v>
      </c>
      <c r="AB10" s="88"/>
      <c r="AC10" s="88"/>
      <c r="AD10" s="88"/>
      <c r="AF10" s="9">
        <f>SUM(B10:AE10)</f>
        <v>1040</v>
      </c>
      <c r="AG10" s="6">
        <f>'Facility Data'!D63</f>
        <v>213</v>
      </c>
      <c r="AH10" s="49">
        <f>AF10/AG10</f>
        <v>4.882629107981221</v>
      </c>
    </row>
    <row r="11" spans="1:36">
      <c r="A11" s="23" t="s">
        <v>50</v>
      </c>
      <c r="B11" s="81" t="s">
        <v>76</v>
      </c>
      <c r="C11" s="80">
        <v>260</v>
      </c>
      <c r="D11" s="80" t="s">
        <v>76</v>
      </c>
      <c r="E11" s="80" t="s">
        <v>76</v>
      </c>
      <c r="F11" s="88" t="s">
        <v>76</v>
      </c>
      <c r="G11" s="89"/>
      <c r="H11" s="88" t="s">
        <v>76</v>
      </c>
      <c r="I11" s="88">
        <v>340</v>
      </c>
      <c r="J11" s="88" t="s">
        <v>76</v>
      </c>
      <c r="K11" s="88" t="s">
        <v>76</v>
      </c>
      <c r="L11" s="88" t="s">
        <v>76</v>
      </c>
      <c r="M11" s="89"/>
      <c r="N11" s="88" t="s">
        <v>76</v>
      </c>
      <c r="O11" s="88">
        <v>300</v>
      </c>
      <c r="P11" s="88" t="s">
        <v>76</v>
      </c>
      <c r="Q11" s="88" t="s">
        <v>76</v>
      </c>
      <c r="R11" s="88" t="s">
        <v>76</v>
      </c>
      <c r="S11" s="89"/>
      <c r="T11" s="88" t="s">
        <v>76</v>
      </c>
      <c r="U11" s="88">
        <v>300</v>
      </c>
      <c r="V11" s="88" t="s">
        <v>76</v>
      </c>
      <c r="W11" s="88" t="s">
        <v>76</v>
      </c>
      <c r="X11" s="88" t="s">
        <v>76</v>
      </c>
      <c r="Y11" s="89"/>
      <c r="Z11" s="88" t="s">
        <v>76</v>
      </c>
      <c r="AA11" s="88">
        <v>1860</v>
      </c>
      <c r="AB11" s="88"/>
      <c r="AC11" s="88"/>
      <c r="AD11" s="88"/>
      <c r="AF11" s="9">
        <f>SUM(B11:AE11)</f>
        <v>3060</v>
      </c>
      <c r="AG11" s="6">
        <f>'Facility Data'!D28</f>
        <v>702</v>
      </c>
      <c r="AH11" s="49">
        <f>AF11/AG11</f>
        <v>4.3589743589743586</v>
      </c>
    </row>
    <row r="12" spans="1:36">
      <c r="A12" s="23" t="s">
        <v>66</v>
      </c>
      <c r="B12" s="81" t="s">
        <v>76</v>
      </c>
      <c r="C12" s="80" t="s">
        <v>76</v>
      </c>
      <c r="D12" s="80" t="s">
        <v>76</v>
      </c>
      <c r="E12" s="80">
        <v>200</v>
      </c>
      <c r="F12" s="88" t="s">
        <v>76</v>
      </c>
      <c r="G12" s="89"/>
      <c r="H12" s="88" t="s">
        <v>76</v>
      </c>
      <c r="I12" s="88" t="s">
        <v>76</v>
      </c>
      <c r="J12" s="88" t="s">
        <v>76</v>
      </c>
      <c r="K12" s="88">
        <v>230</v>
      </c>
      <c r="L12" s="88" t="s">
        <v>76</v>
      </c>
      <c r="M12" s="89"/>
      <c r="N12" s="88" t="s">
        <v>76</v>
      </c>
      <c r="O12" s="88" t="s">
        <v>76</v>
      </c>
      <c r="P12" s="88" t="s">
        <v>76</v>
      </c>
      <c r="Q12" s="88">
        <v>180</v>
      </c>
      <c r="R12" s="88" t="s">
        <v>76</v>
      </c>
      <c r="S12" s="89"/>
      <c r="T12" s="88" t="s">
        <v>76</v>
      </c>
      <c r="U12" s="88" t="s">
        <v>76</v>
      </c>
      <c r="V12" s="88" t="s">
        <v>76</v>
      </c>
      <c r="W12" s="88">
        <v>300</v>
      </c>
      <c r="X12" s="88" t="s">
        <v>76</v>
      </c>
      <c r="Y12" s="89"/>
      <c r="Z12" s="88" t="s">
        <v>76</v>
      </c>
      <c r="AA12" s="88" t="s">
        <v>76</v>
      </c>
      <c r="AB12" s="88"/>
      <c r="AC12" s="88"/>
      <c r="AD12" s="88"/>
      <c r="AF12" s="9">
        <f>SUM(B12:AE12)</f>
        <v>910</v>
      </c>
      <c r="AG12" s="6">
        <f>'Facility Data'!D62</f>
        <v>209</v>
      </c>
      <c r="AH12" s="49">
        <f>AF12/AG12</f>
        <v>4.3540669856459333</v>
      </c>
    </row>
    <row r="13" spans="1:36">
      <c r="A13" s="23" t="s">
        <v>63</v>
      </c>
      <c r="B13" s="81">
        <v>460</v>
      </c>
      <c r="C13" s="80" t="s">
        <v>76</v>
      </c>
      <c r="D13" s="80" t="s">
        <v>76</v>
      </c>
      <c r="E13" s="80">
        <v>320</v>
      </c>
      <c r="F13" s="88" t="s">
        <v>76</v>
      </c>
      <c r="G13" s="89"/>
      <c r="H13" s="88">
        <v>540</v>
      </c>
      <c r="I13" s="88" t="s">
        <v>76</v>
      </c>
      <c r="J13" s="88" t="s">
        <v>76</v>
      </c>
      <c r="K13" s="88">
        <v>420</v>
      </c>
      <c r="L13" s="88" t="s">
        <v>76</v>
      </c>
      <c r="M13" s="89"/>
      <c r="N13" s="88">
        <v>220</v>
      </c>
      <c r="O13" s="88" t="s">
        <v>76</v>
      </c>
      <c r="P13" s="88" t="s">
        <v>76</v>
      </c>
      <c r="Q13" s="88">
        <v>360</v>
      </c>
      <c r="R13" s="88" t="s">
        <v>76</v>
      </c>
      <c r="S13" s="89"/>
      <c r="T13" s="88">
        <v>300</v>
      </c>
      <c r="U13" s="88" t="s">
        <v>76</v>
      </c>
      <c r="V13" s="88" t="s">
        <v>76</v>
      </c>
      <c r="W13" s="88">
        <v>400</v>
      </c>
      <c r="X13" s="88" t="s">
        <v>76</v>
      </c>
      <c r="Y13" s="89"/>
      <c r="Z13" s="88">
        <v>120</v>
      </c>
      <c r="AA13" s="88" t="s">
        <v>76</v>
      </c>
      <c r="AB13" s="88"/>
      <c r="AC13" s="88"/>
      <c r="AD13" s="88"/>
      <c r="AF13" s="9">
        <f>SUM(B13:AE13)</f>
        <v>3140</v>
      </c>
      <c r="AG13" s="6">
        <f>'Facility Data'!D56</f>
        <v>762</v>
      </c>
      <c r="AH13" s="49">
        <f>AF13/AG13</f>
        <v>4.120734908136483</v>
      </c>
    </row>
    <row r="14" spans="1:36">
      <c r="A14" s="23" t="s">
        <v>69</v>
      </c>
      <c r="B14" s="81" t="s">
        <v>76</v>
      </c>
      <c r="C14" s="80" t="s">
        <v>76</v>
      </c>
      <c r="D14" s="80" t="s">
        <v>76</v>
      </c>
      <c r="E14" s="80">
        <v>160</v>
      </c>
      <c r="F14" s="88" t="s">
        <v>76</v>
      </c>
      <c r="G14" s="89"/>
      <c r="H14" s="88" t="s">
        <v>76</v>
      </c>
      <c r="I14" s="88" t="s">
        <v>76</v>
      </c>
      <c r="J14" s="88" t="s">
        <v>76</v>
      </c>
      <c r="K14" s="88">
        <v>200</v>
      </c>
      <c r="L14" s="88" t="s">
        <v>76</v>
      </c>
      <c r="M14" s="89"/>
      <c r="N14" s="88" t="s">
        <v>76</v>
      </c>
      <c r="O14" s="88" t="s">
        <v>76</v>
      </c>
      <c r="P14" s="88" t="s">
        <v>76</v>
      </c>
      <c r="Q14" s="88">
        <v>160</v>
      </c>
      <c r="R14" s="88" t="s">
        <v>76</v>
      </c>
      <c r="S14" s="89"/>
      <c r="T14" s="88" t="s">
        <v>76</v>
      </c>
      <c r="U14" s="88" t="s">
        <v>76</v>
      </c>
      <c r="V14" s="88" t="s">
        <v>76</v>
      </c>
      <c r="W14" s="88">
        <v>140</v>
      </c>
      <c r="X14" s="88" t="s">
        <v>76</v>
      </c>
      <c r="Y14" s="89"/>
      <c r="Z14" s="88" t="s">
        <v>76</v>
      </c>
      <c r="AA14" s="88" t="s">
        <v>76</v>
      </c>
      <c r="AB14" s="88"/>
      <c r="AC14" s="88"/>
      <c r="AD14" s="88"/>
      <c r="AF14" s="9">
        <f>SUM(B14:AE14)</f>
        <v>660</v>
      </c>
      <c r="AG14" s="6">
        <f>'Facility Data'!D34</f>
        <v>166</v>
      </c>
      <c r="AH14" s="49">
        <f>AF14/AG14</f>
        <v>3.9759036144578315</v>
      </c>
    </row>
    <row r="15" spans="1:36">
      <c r="A15" s="23" t="s">
        <v>59</v>
      </c>
      <c r="B15" s="81">
        <v>340</v>
      </c>
      <c r="C15" s="80" t="s">
        <v>76</v>
      </c>
      <c r="D15" s="80" t="s">
        <v>76</v>
      </c>
      <c r="E15" s="80">
        <v>180</v>
      </c>
      <c r="F15" s="88" t="s">
        <v>76</v>
      </c>
      <c r="G15" s="89"/>
      <c r="H15" s="88">
        <v>300</v>
      </c>
      <c r="I15" s="88" t="s">
        <v>76</v>
      </c>
      <c r="J15" s="88" t="s">
        <v>76</v>
      </c>
      <c r="K15" s="88">
        <v>420</v>
      </c>
      <c r="L15" s="88" t="s">
        <v>76</v>
      </c>
      <c r="M15" s="89"/>
      <c r="N15" s="88">
        <v>660</v>
      </c>
      <c r="O15" s="88" t="s">
        <v>76</v>
      </c>
      <c r="P15" s="88" t="s">
        <v>76</v>
      </c>
      <c r="Q15" s="88">
        <v>360</v>
      </c>
      <c r="R15" s="88" t="s">
        <v>76</v>
      </c>
      <c r="S15" s="89"/>
      <c r="T15" s="88">
        <v>200</v>
      </c>
      <c r="U15" s="88" t="s">
        <v>76</v>
      </c>
      <c r="V15" s="88" t="s">
        <v>76</v>
      </c>
      <c r="W15" s="88">
        <v>340</v>
      </c>
      <c r="X15" s="88" t="s">
        <v>76</v>
      </c>
      <c r="Y15" s="89"/>
      <c r="Z15" s="88">
        <v>320</v>
      </c>
      <c r="AA15" s="88" t="s">
        <v>76</v>
      </c>
      <c r="AB15" s="88"/>
      <c r="AC15" s="88"/>
      <c r="AD15" s="88"/>
      <c r="AF15" s="9">
        <f>SUM(B15:AE15)</f>
        <v>3120</v>
      </c>
      <c r="AG15" s="6">
        <f>'Facility Data'!D48</f>
        <v>839</v>
      </c>
      <c r="AH15" s="49">
        <f>AF15/AG15</f>
        <v>3.7187127532777118</v>
      </c>
    </row>
    <row r="16" spans="1:36">
      <c r="A16" s="23" t="s">
        <v>45</v>
      </c>
      <c r="B16" s="81" t="s">
        <v>76</v>
      </c>
      <c r="C16" s="80" t="s">
        <v>76</v>
      </c>
      <c r="D16" s="80" t="s">
        <v>76</v>
      </c>
      <c r="E16" s="80" t="s">
        <v>76</v>
      </c>
      <c r="F16" s="88">
        <v>300</v>
      </c>
      <c r="G16" s="89"/>
      <c r="H16" s="88" t="s">
        <v>76</v>
      </c>
      <c r="I16" s="88" t="s">
        <v>76</v>
      </c>
      <c r="J16" s="88" t="s">
        <v>76</v>
      </c>
      <c r="K16" s="88" t="s">
        <v>76</v>
      </c>
      <c r="L16" s="88">
        <v>620</v>
      </c>
      <c r="M16" s="89"/>
      <c r="N16" s="88" t="s">
        <v>76</v>
      </c>
      <c r="O16" s="88" t="s">
        <v>76</v>
      </c>
      <c r="P16" s="88" t="s">
        <v>76</v>
      </c>
      <c r="Q16" s="88" t="s">
        <v>76</v>
      </c>
      <c r="R16" s="88">
        <v>420</v>
      </c>
      <c r="S16" s="89"/>
      <c r="T16" s="88" t="s">
        <v>76</v>
      </c>
      <c r="U16" s="88" t="s">
        <v>76</v>
      </c>
      <c r="V16" s="88" t="s">
        <v>76</v>
      </c>
      <c r="W16" s="88" t="s">
        <v>76</v>
      </c>
      <c r="X16" s="88">
        <v>260</v>
      </c>
      <c r="Y16" s="89"/>
      <c r="Z16" s="88" t="s">
        <v>76</v>
      </c>
      <c r="AA16" s="88" t="s">
        <v>76</v>
      </c>
      <c r="AB16" s="88"/>
      <c r="AC16" s="88"/>
      <c r="AD16" s="88"/>
      <c r="AF16" s="9">
        <f>SUM(B16:AE16)</f>
        <v>1600</v>
      </c>
      <c r="AG16" s="6">
        <f>'Facility Data'!D19</f>
        <v>442</v>
      </c>
      <c r="AH16" s="49">
        <f>AF16/AG16</f>
        <v>3.6199095022624435</v>
      </c>
    </row>
    <row r="17" spans="1:34">
      <c r="A17" s="24" t="s">
        <v>18</v>
      </c>
      <c r="B17" s="81">
        <v>80</v>
      </c>
      <c r="C17" s="80" t="s">
        <v>76</v>
      </c>
      <c r="D17" s="80" t="s">
        <v>76</v>
      </c>
      <c r="E17" s="80">
        <v>140</v>
      </c>
      <c r="F17" s="88" t="s">
        <v>76</v>
      </c>
      <c r="G17" s="89"/>
      <c r="H17" s="88">
        <v>140</v>
      </c>
      <c r="I17" s="88" t="s">
        <v>76</v>
      </c>
      <c r="J17" s="88" t="s">
        <v>76</v>
      </c>
      <c r="K17" s="88">
        <v>16</v>
      </c>
      <c r="L17" s="88" t="s">
        <v>76</v>
      </c>
      <c r="M17" s="89"/>
      <c r="N17" s="88">
        <v>140</v>
      </c>
      <c r="O17" s="88" t="s">
        <v>76</v>
      </c>
      <c r="P17" s="88" t="s">
        <v>76</v>
      </c>
      <c r="Q17" s="88">
        <v>80</v>
      </c>
      <c r="R17" s="88" t="s">
        <v>76</v>
      </c>
      <c r="S17" s="89"/>
      <c r="T17" s="88">
        <v>60</v>
      </c>
      <c r="U17" s="88" t="s">
        <v>76</v>
      </c>
      <c r="V17" s="88" t="s">
        <v>76</v>
      </c>
      <c r="W17" s="88">
        <v>120</v>
      </c>
      <c r="X17" s="88" t="s">
        <v>76</v>
      </c>
      <c r="Y17" s="89"/>
      <c r="Z17" s="88">
        <v>160</v>
      </c>
      <c r="AA17" s="88">
        <v>1260</v>
      </c>
      <c r="AB17" s="88"/>
      <c r="AC17" s="88"/>
      <c r="AD17" s="88"/>
      <c r="AF17" s="9">
        <f>SUM(B17:AE17)</f>
        <v>2196</v>
      </c>
      <c r="AG17" s="6">
        <f>'Facility Data'!D44</f>
        <v>630</v>
      </c>
      <c r="AH17" s="49">
        <f>AF17/AG17</f>
        <v>3.4857142857142858</v>
      </c>
    </row>
    <row r="18" spans="1:34">
      <c r="A18" s="24" t="s">
        <v>12</v>
      </c>
      <c r="B18" s="81" t="s">
        <v>76</v>
      </c>
      <c r="C18" s="80">
        <v>120</v>
      </c>
      <c r="D18" s="80" t="s">
        <v>76</v>
      </c>
      <c r="E18" s="80" t="s">
        <v>76</v>
      </c>
      <c r="F18" s="88">
        <v>80</v>
      </c>
      <c r="G18" s="89"/>
      <c r="H18" s="88" t="s">
        <v>76</v>
      </c>
      <c r="I18" s="88">
        <v>360</v>
      </c>
      <c r="J18" s="88" t="s">
        <v>76</v>
      </c>
      <c r="K18" s="88" t="s">
        <v>76</v>
      </c>
      <c r="L18" s="88">
        <v>320</v>
      </c>
      <c r="M18" s="89"/>
      <c r="N18" s="88" t="s">
        <v>76</v>
      </c>
      <c r="O18" s="88">
        <v>160</v>
      </c>
      <c r="P18" s="88" t="s">
        <v>76</v>
      </c>
      <c r="Q18" s="88" t="s">
        <v>76</v>
      </c>
      <c r="R18" s="88">
        <v>160</v>
      </c>
      <c r="S18" s="89"/>
      <c r="T18" s="88" t="s">
        <v>76</v>
      </c>
      <c r="U18" s="88">
        <v>360</v>
      </c>
      <c r="V18" s="88" t="s">
        <v>76</v>
      </c>
      <c r="W18" s="88" t="s">
        <v>76</v>
      </c>
      <c r="X18" s="88">
        <v>180</v>
      </c>
      <c r="Y18" s="89"/>
      <c r="Z18" s="88" t="s">
        <v>76</v>
      </c>
      <c r="AA18" s="88">
        <v>220</v>
      </c>
      <c r="AB18" s="88"/>
      <c r="AC18" s="88"/>
      <c r="AD18" s="88"/>
      <c r="AF18" s="9">
        <f>SUM(B18:AE18)</f>
        <v>1960</v>
      </c>
      <c r="AG18" s="6">
        <f>'Facility Data'!D33</f>
        <v>581</v>
      </c>
      <c r="AH18" s="49">
        <f>AF18/AG18</f>
        <v>3.3734939759036147</v>
      </c>
    </row>
    <row r="19" spans="1:34">
      <c r="A19" s="25" t="s">
        <v>17</v>
      </c>
      <c r="B19" s="81" t="s">
        <v>76</v>
      </c>
      <c r="C19" s="80">
        <v>600</v>
      </c>
      <c r="D19" s="80" t="s">
        <v>76</v>
      </c>
      <c r="E19" s="80" t="s">
        <v>76</v>
      </c>
      <c r="F19" s="88">
        <v>420</v>
      </c>
      <c r="G19" s="89"/>
      <c r="H19" s="88" t="s">
        <v>76</v>
      </c>
      <c r="I19" s="88">
        <v>360</v>
      </c>
      <c r="J19" s="88" t="s">
        <v>76</v>
      </c>
      <c r="K19" s="88" t="s">
        <v>76</v>
      </c>
      <c r="L19" s="88">
        <v>1080</v>
      </c>
      <c r="M19" s="89"/>
      <c r="N19" s="88" t="s">
        <v>76</v>
      </c>
      <c r="O19" s="88">
        <v>120</v>
      </c>
      <c r="P19" s="88" t="s">
        <v>76</v>
      </c>
      <c r="Q19" s="88" t="s">
        <v>76</v>
      </c>
      <c r="R19" s="88">
        <v>640</v>
      </c>
      <c r="S19" s="89"/>
      <c r="T19" s="88" t="s">
        <v>76</v>
      </c>
      <c r="U19" s="88">
        <v>640</v>
      </c>
      <c r="V19" s="88" t="s">
        <v>76</v>
      </c>
      <c r="W19" s="88" t="s">
        <v>76</v>
      </c>
      <c r="X19" s="88">
        <v>260</v>
      </c>
      <c r="Y19" s="89"/>
      <c r="Z19" s="88" t="s">
        <v>76</v>
      </c>
      <c r="AA19" s="88">
        <v>1260</v>
      </c>
      <c r="AB19" s="88"/>
      <c r="AC19" s="88"/>
      <c r="AD19" s="88"/>
      <c r="AF19" s="9">
        <f>SUM(C19:AE19)</f>
        <v>5380</v>
      </c>
      <c r="AG19" s="6">
        <f>'Facility Data'!D43</f>
        <v>1632</v>
      </c>
      <c r="AH19" s="49">
        <f>AF19/AG19</f>
        <v>3.2965686274509802</v>
      </c>
    </row>
    <row r="20" spans="1:34">
      <c r="A20" s="23" t="s">
        <v>56</v>
      </c>
      <c r="B20" s="81" t="s">
        <v>76</v>
      </c>
      <c r="C20" s="80" t="s">
        <v>76</v>
      </c>
      <c r="D20" s="80" t="s">
        <v>76</v>
      </c>
      <c r="E20" s="80">
        <v>120</v>
      </c>
      <c r="F20" s="88" t="s">
        <v>76</v>
      </c>
      <c r="G20" s="89"/>
      <c r="H20" s="88" t="s">
        <v>76</v>
      </c>
      <c r="I20" s="88" t="s">
        <v>76</v>
      </c>
      <c r="J20" s="88" t="s">
        <v>76</v>
      </c>
      <c r="K20" s="88">
        <v>80</v>
      </c>
      <c r="L20" s="88" t="s">
        <v>76</v>
      </c>
      <c r="M20" s="89"/>
      <c r="N20" s="88" t="s">
        <v>76</v>
      </c>
      <c r="O20" s="88" t="s">
        <v>76</v>
      </c>
      <c r="P20" s="88" t="s">
        <v>76</v>
      </c>
      <c r="Q20" s="88">
        <v>160</v>
      </c>
      <c r="R20" s="88" t="s">
        <v>76</v>
      </c>
      <c r="S20" s="89"/>
      <c r="T20" s="90" t="s">
        <v>76</v>
      </c>
      <c r="U20" s="88" t="s">
        <v>76</v>
      </c>
      <c r="V20" s="88" t="s">
        <v>76</v>
      </c>
      <c r="W20" s="88">
        <v>140</v>
      </c>
      <c r="X20" s="88" t="s">
        <v>76</v>
      </c>
      <c r="Y20" s="89"/>
      <c r="Z20" s="88" t="s">
        <v>76</v>
      </c>
      <c r="AA20" s="88" t="s">
        <v>76</v>
      </c>
      <c r="AB20" s="88"/>
      <c r="AC20" s="88"/>
      <c r="AD20" s="88"/>
      <c r="AF20" s="9">
        <f>SUM(B20:AE20)</f>
        <v>500</v>
      </c>
      <c r="AG20" s="6">
        <f>'Facility Data'!D41</f>
        <v>157</v>
      </c>
      <c r="AH20" s="49">
        <f>AF20/AG20</f>
        <v>3.1847133757961785</v>
      </c>
    </row>
    <row r="21" spans="1:34">
      <c r="A21" s="24" t="s">
        <v>11</v>
      </c>
      <c r="B21" s="81" t="s">
        <v>76</v>
      </c>
      <c r="C21" s="80">
        <v>240</v>
      </c>
      <c r="D21" s="80" t="s">
        <v>76</v>
      </c>
      <c r="E21" s="80" t="s">
        <v>76</v>
      </c>
      <c r="F21" s="88">
        <v>260</v>
      </c>
      <c r="G21" s="89"/>
      <c r="H21" s="88" t="s">
        <v>76</v>
      </c>
      <c r="I21" s="88">
        <v>180</v>
      </c>
      <c r="J21" s="88" t="s">
        <v>76</v>
      </c>
      <c r="K21" s="88" t="s">
        <v>76</v>
      </c>
      <c r="L21" s="88">
        <v>320</v>
      </c>
      <c r="M21" s="89"/>
      <c r="N21" s="88" t="s">
        <v>76</v>
      </c>
      <c r="O21" s="88">
        <v>80</v>
      </c>
      <c r="P21" s="88" t="s">
        <v>76</v>
      </c>
      <c r="Q21" s="88" t="s">
        <v>76</v>
      </c>
      <c r="R21" s="88">
        <v>500</v>
      </c>
      <c r="S21" s="89"/>
      <c r="T21" s="88" t="s">
        <v>76</v>
      </c>
      <c r="U21" s="88">
        <v>220</v>
      </c>
      <c r="V21" s="88" t="s">
        <v>76</v>
      </c>
      <c r="W21" s="88" t="s">
        <v>76</v>
      </c>
      <c r="X21" s="88">
        <v>340</v>
      </c>
      <c r="Y21" s="89"/>
      <c r="Z21" s="88" t="s">
        <v>76</v>
      </c>
      <c r="AA21" s="88">
        <v>280</v>
      </c>
      <c r="AB21" s="88"/>
      <c r="AC21" s="88"/>
      <c r="AD21" s="88"/>
      <c r="AF21" s="9">
        <f>SUM(B21:AE21)</f>
        <v>2420</v>
      </c>
      <c r="AG21" s="6">
        <f>'Facility Data'!D29</f>
        <v>816</v>
      </c>
      <c r="AH21" s="49">
        <f>AF21/AG21</f>
        <v>2.965686274509804</v>
      </c>
    </row>
    <row r="22" spans="1:34">
      <c r="A22" s="23" t="s">
        <v>43</v>
      </c>
      <c r="B22" s="81" t="s">
        <v>76</v>
      </c>
      <c r="C22" s="80" t="s">
        <v>76</v>
      </c>
      <c r="D22" s="80" t="s">
        <v>76</v>
      </c>
      <c r="E22" s="80" t="s">
        <v>76</v>
      </c>
      <c r="F22" s="88">
        <v>320</v>
      </c>
      <c r="G22" s="89"/>
      <c r="H22" s="88" t="s">
        <v>76</v>
      </c>
      <c r="I22" s="88" t="s">
        <v>76</v>
      </c>
      <c r="J22" s="88" t="s">
        <v>76</v>
      </c>
      <c r="K22" s="88" t="s">
        <v>76</v>
      </c>
      <c r="L22" s="88">
        <v>400</v>
      </c>
      <c r="M22" s="89"/>
      <c r="N22" s="88" t="s">
        <v>76</v>
      </c>
      <c r="O22" s="88" t="s">
        <v>76</v>
      </c>
      <c r="P22" s="88" t="s">
        <v>76</v>
      </c>
      <c r="Q22" s="88" t="s">
        <v>76</v>
      </c>
      <c r="R22" s="88">
        <v>380</v>
      </c>
      <c r="S22" s="89"/>
      <c r="T22" s="88" t="s">
        <v>76</v>
      </c>
      <c r="U22" s="88" t="s">
        <v>76</v>
      </c>
      <c r="V22" s="88" t="s">
        <v>76</v>
      </c>
      <c r="W22" s="88" t="s">
        <v>76</v>
      </c>
      <c r="X22" s="88">
        <v>240</v>
      </c>
      <c r="Y22" s="89"/>
      <c r="Z22" s="88" t="s">
        <v>76</v>
      </c>
      <c r="AA22" s="88" t="s">
        <v>76</v>
      </c>
      <c r="AB22" s="88"/>
      <c r="AC22" s="88"/>
      <c r="AD22" s="88"/>
      <c r="AF22" s="9">
        <f>SUM(B22:AE22)</f>
        <v>1340</v>
      </c>
      <c r="AG22" s="6">
        <f>'Facility Data'!D16</f>
        <v>469</v>
      </c>
      <c r="AH22" s="49">
        <f>AF22/AG22</f>
        <v>2.8571428571428572</v>
      </c>
    </row>
    <row r="23" spans="1:34">
      <c r="A23" s="23" t="s">
        <v>15</v>
      </c>
      <c r="B23" s="81">
        <v>300</v>
      </c>
      <c r="C23" s="80" t="s">
        <v>76</v>
      </c>
      <c r="D23" s="80" t="s">
        <v>76</v>
      </c>
      <c r="E23" s="80" t="s">
        <v>76</v>
      </c>
      <c r="F23" s="88" t="s">
        <v>76</v>
      </c>
      <c r="G23" s="89"/>
      <c r="H23" s="88">
        <v>60</v>
      </c>
      <c r="I23" s="88" t="s">
        <v>76</v>
      </c>
      <c r="J23" s="88" t="s">
        <v>76</v>
      </c>
      <c r="K23" s="88" t="s">
        <v>76</v>
      </c>
      <c r="L23" s="88" t="s">
        <v>76</v>
      </c>
      <c r="M23" s="89"/>
      <c r="N23" s="88">
        <v>280</v>
      </c>
      <c r="O23" s="88" t="s">
        <v>76</v>
      </c>
      <c r="P23" s="88" t="s">
        <v>76</v>
      </c>
      <c r="Q23" s="88" t="s">
        <v>76</v>
      </c>
      <c r="R23" s="88" t="s">
        <v>76</v>
      </c>
      <c r="S23" s="89"/>
      <c r="T23" s="88">
        <v>100</v>
      </c>
      <c r="U23" s="88" t="s">
        <v>76</v>
      </c>
      <c r="V23" s="88" t="s">
        <v>76</v>
      </c>
      <c r="W23" s="88" t="s">
        <v>76</v>
      </c>
      <c r="X23" s="88" t="s">
        <v>76</v>
      </c>
      <c r="Y23" s="89"/>
      <c r="Z23" s="88">
        <v>120</v>
      </c>
      <c r="AA23" s="88" t="s">
        <v>76</v>
      </c>
      <c r="AB23" s="88"/>
      <c r="AC23" s="88"/>
      <c r="AD23" s="88"/>
      <c r="AF23" s="9">
        <f>SUM(B23:AE23)</f>
        <v>860</v>
      </c>
      <c r="AG23" s="6">
        <f>'Facility Data'!D39</f>
        <v>302</v>
      </c>
      <c r="AH23" s="49">
        <f>AF23/AG23</f>
        <v>2.8476821192052979</v>
      </c>
    </row>
    <row r="24" spans="1:34">
      <c r="A24" s="23" t="s">
        <v>41</v>
      </c>
      <c r="B24" s="81" t="s">
        <v>76</v>
      </c>
      <c r="C24" s="80" t="s">
        <v>76</v>
      </c>
      <c r="D24" s="80" t="s">
        <v>76</v>
      </c>
      <c r="E24" s="80">
        <v>240</v>
      </c>
      <c r="F24" s="88" t="s">
        <v>76</v>
      </c>
      <c r="G24" s="89"/>
      <c r="H24" s="88" t="s">
        <v>76</v>
      </c>
      <c r="I24" s="88" t="s">
        <v>76</v>
      </c>
      <c r="J24" s="88" t="s">
        <v>76</v>
      </c>
      <c r="K24" s="88">
        <v>160</v>
      </c>
      <c r="L24" s="88" t="s">
        <v>76</v>
      </c>
      <c r="M24" s="89"/>
      <c r="N24" s="88" t="s">
        <v>76</v>
      </c>
      <c r="O24" s="88" t="s">
        <v>76</v>
      </c>
      <c r="P24" s="88" t="s">
        <v>76</v>
      </c>
      <c r="Q24" s="88">
        <v>380</v>
      </c>
      <c r="R24" s="88" t="s">
        <v>76</v>
      </c>
      <c r="S24" s="89"/>
      <c r="T24" s="88" t="s">
        <v>76</v>
      </c>
      <c r="U24" s="88" t="s">
        <v>76</v>
      </c>
      <c r="V24" s="88" t="s">
        <v>76</v>
      </c>
      <c r="W24" s="88">
        <v>180</v>
      </c>
      <c r="X24" s="88" t="s">
        <v>76</v>
      </c>
      <c r="Y24" s="89"/>
      <c r="Z24" s="88" t="s">
        <v>76</v>
      </c>
      <c r="AA24" s="88" t="s">
        <v>76</v>
      </c>
      <c r="AB24" s="88"/>
      <c r="AC24" s="88"/>
      <c r="AD24" s="88"/>
      <c r="AF24" s="9">
        <f>SUM(B24:AE24)</f>
        <v>960</v>
      </c>
      <c r="AG24" s="6">
        <f>'Facility Data'!D13</f>
        <v>342</v>
      </c>
      <c r="AH24" s="49">
        <f>AF24/AG24</f>
        <v>2.807017543859649</v>
      </c>
    </row>
    <row r="25" spans="1:34">
      <c r="A25" s="25" t="s">
        <v>5</v>
      </c>
      <c r="B25" s="81">
        <v>460</v>
      </c>
      <c r="C25" s="80" t="s">
        <v>76</v>
      </c>
      <c r="D25" s="80">
        <v>380</v>
      </c>
      <c r="E25" s="80" t="s">
        <v>76</v>
      </c>
      <c r="F25" s="88">
        <v>120</v>
      </c>
      <c r="G25" s="89"/>
      <c r="H25" s="88">
        <v>520</v>
      </c>
      <c r="I25" s="88" t="s">
        <v>76</v>
      </c>
      <c r="J25" s="88">
        <v>400</v>
      </c>
      <c r="K25" s="88" t="s">
        <v>76</v>
      </c>
      <c r="L25" s="88">
        <v>520</v>
      </c>
      <c r="M25" s="89"/>
      <c r="N25" s="88">
        <v>260</v>
      </c>
      <c r="O25" s="88" t="s">
        <v>76</v>
      </c>
      <c r="P25" s="88">
        <v>80</v>
      </c>
      <c r="Q25" s="88" t="s">
        <v>76</v>
      </c>
      <c r="R25" s="88">
        <v>80</v>
      </c>
      <c r="S25" s="89"/>
      <c r="T25" s="88">
        <v>480</v>
      </c>
      <c r="U25" s="88" t="s">
        <v>76</v>
      </c>
      <c r="V25" s="88">
        <v>160</v>
      </c>
      <c r="W25" s="88" t="s">
        <v>76</v>
      </c>
      <c r="X25" s="88">
        <v>100</v>
      </c>
      <c r="Y25" s="89"/>
      <c r="Z25" s="88">
        <v>560</v>
      </c>
      <c r="AA25" s="88" t="s">
        <v>76</v>
      </c>
      <c r="AB25" s="88"/>
      <c r="AC25" s="88"/>
      <c r="AD25" s="88"/>
      <c r="AF25" s="9">
        <f>SUM(B25:AE25)</f>
        <v>4120</v>
      </c>
      <c r="AG25" s="6">
        <f>'Facility Data'!D14</f>
        <v>1500</v>
      </c>
      <c r="AH25" s="49">
        <f>AF25/AG25</f>
        <v>2.7466666666666666</v>
      </c>
    </row>
    <row r="26" spans="1:34">
      <c r="A26" s="24" t="s">
        <v>4</v>
      </c>
      <c r="B26" s="81" t="s">
        <v>76</v>
      </c>
      <c r="C26" s="80" t="s">
        <v>76</v>
      </c>
      <c r="D26" s="80" t="s">
        <v>76</v>
      </c>
      <c r="E26" s="80">
        <v>420</v>
      </c>
      <c r="F26" s="88" t="s">
        <v>76</v>
      </c>
      <c r="G26" s="89"/>
      <c r="H26" s="88" t="s">
        <v>76</v>
      </c>
      <c r="I26" s="88" t="s">
        <v>76</v>
      </c>
      <c r="J26" s="88" t="s">
        <v>76</v>
      </c>
      <c r="K26" s="88">
        <v>260</v>
      </c>
      <c r="L26" s="88" t="s">
        <v>76</v>
      </c>
      <c r="M26" s="89"/>
      <c r="N26" s="88" t="s">
        <v>76</v>
      </c>
      <c r="O26" s="88" t="s">
        <v>76</v>
      </c>
      <c r="P26" s="88" t="s">
        <v>76</v>
      </c>
      <c r="Q26" s="88">
        <v>500</v>
      </c>
      <c r="R26" s="88" t="s">
        <v>76</v>
      </c>
      <c r="S26" s="89"/>
      <c r="T26" s="88" t="s">
        <v>76</v>
      </c>
      <c r="U26" s="88" t="s">
        <v>76</v>
      </c>
      <c r="V26" s="88" t="s">
        <v>76</v>
      </c>
      <c r="W26" s="88">
        <v>380</v>
      </c>
      <c r="X26" s="88" t="s">
        <v>76</v>
      </c>
      <c r="Y26" s="89"/>
      <c r="Z26" s="88" t="s">
        <v>76</v>
      </c>
      <c r="AA26" s="88" t="s">
        <v>76</v>
      </c>
      <c r="AB26" s="88"/>
      <c r="AC26" s="88"/>
      <c r="AD26" s="88"/>
      <c r="AF26" s="9">
        <f>SUM(B26:AE26)</f>
        <v>1560</v>
      </c>
      <c r="AG26" s="6">
        <f>'Facility Data'!D11</f>
        <v>573</v>
      </c>
      <c r="AH26" s="49">
        <f>AF26/AG26</f>
        <v>2.7225130890052358</v>
      </c>
    </row>
    <row r="27" spans="1:34">
      <c r="A27" s="23" t="s">
        <v>36</v>
      </c>
      <c r="B27" s="81">
        <v>100</v>
      </c>
      <c r="C27" s="80" t="s">
        <v>76</v>
      </c>
      <c r="D27" s="80" t="s">
        <v>76</v>
      </c>
      <c r="E27" s="80">
        <v>80</v>
      </c>
      <c r="F27" s="88" t="s">
        <v>76</v>
      </c>
      <c r="G27" s="89"/>
      <c r="H27" s="88">
        <v>340</v>
      </c>
      <c r="I27" s="88" t="s">
        <v>76</v>
      </c>
      <c r="J27" s="88" t="s">
        <v>76</v>
      </c>
      <c r="K27" s="88">
        <v>160</v>
      </c>
      <c r="L27" s="88" t="s">
        <v>76</v>
      </c>
      <c r="M27" s="89"/>
      <c r="N27" s="88">
        <v>520</v>
      </c>
      <c r="O27" s="88" t="s">
        <v>76</v>
      </c>
      <c r="P27" s="88" t="s">
        <v>76</v>
      </c>
      <c r="Q27" s="88">
        <v>220</v>
      </c>
      <c r="R27" s="88" t="s">
        <v>76</v>
      </c>
      <c r="S27" s="89"/>
      <c r="T27" s="88">
        <v>180</v>
      </c>
      <c r="U27" s="88" t="s">
        <v>76</v>
      </c>
      <c r="V27" s="88" t="s">
        <v>76</v>
      </c>
      <c r="W27" s="88">
        <v>200</v>
      </c>
      <c r="X27" s="88" t="s">
        <v>76</v>
      </c>
      <c r="Y27" s="89"/>
      <c r="Z27" s="88">
        <v>120</v>
      </c>
      <c r="AA27" s="88" t="s">
        <v>76</v>
      </c>
      <c r="AB27" s="88"/>
      <c r="AC27" s="88"/>
      <c r="AD27" s="88"/>
      <c r="AF27" s="9">
        <f>SUM(B27:AE27)</f>
        <v>1920</v>
      </c>
      <c r="AG27" s="6">
        <f>'Facility Data'!D3</f>
        <v>738</v>
      </c>
      <c r="AH27" s="49">
        <f>AF27/AG27</f>
        <v>2.6016260162601625</v>
      </c>
    </row>
    <row r="28" spans="1:34">
      <c r="A28" s="23" t="s">
        <v>62</v>
      </c>
      <c r="B28" s="81">
        <v>300</v>
      </c>
      <c r="C28" s="80" t="s">
        <v>76</v>
      </c>
      <c r="D28" s="80" t="s">
        <v>76</v>
      </c>
      <c r="E28" s="80" t="s">
        <v>76</v>
      </c>
      <c r="F28" s="88" t="s">
        <v>76</v>
      </c>
      <c r="G28" s="89"/>
      <c r="H28" s="88">
        <v>320</v>
      </c>
      <c r="I28" s="88" t="s">
        <v>76</v>
      </c>
      <c r="J28" s="88" t="s">
        <v>76</v>
      </c>
      <c r="K28" s="88" t="s">
        <v>76</v>
      </c>
      <c r="L28" s="88" t="s">
        <v>76</v>
      </c>
      <c r="M28" s="89"/>
      <c r="N28" s="88">
        <v>300</v>
      </c>
      <c r="O28" s="88" t="s">
        <v>76</v>
      </c>
      <c r="P28" s="88" t="s">
        <v>76</v>
      </c>
      <c r="Q28" s="88" t="s">
        <v>76</v>
      </c>
      <c r="R28" s="88" t="s">
        <v>76</v>
      </c>
      <c r="S28" s="89"/>
      <c r="T28" s="88">
        <v>80</v>
      </c>
      <c r="U28" s="88" t="s">
        <v>76</v>
      </c>
      <c r="V28" s="88" t="s">
        <v>76</v>
      </c>
      <c r="W28" s="88" t="s">
        <v>76</v>
      </c>
      <c r="X28" s="88" t="s">
        <v>76</v>
      </c>
      <c r="Y28" s="89"/>
      <c r="Z28" s="88">
        <v>220</v>
      </c>
      <c r="AA28" s="88" t="s">
        <v>76</v>
      </c>
      <c r="AB28" s="88"/>
      <c r="AC28" s="88"/>
      <c r="AD28" s="88"/>
      <c r="AF28" s="9">
        <f>SUM(B28:AE28)</f>
        <v>1220</v>
      </c>
      <c r="AG28" s="6">
        <f>'Facility Data'!D54</f>
        <v>488</v>
      </c>
      <c r="AH28" s="49">
        <f>AF28/AG28</f>
        <v>2.5</v>
      </c>
    </row>
    <row r="29" spans="1:34">
      <c r="A29" s="24" t="s">
        <v>9</v>
      </c>
      <c r="B29" s="81">
        <v>360</v>
      </c>
      <c r="C29" s="80" t="s">
        <v>76</v>
      </c>
      <c r="D29" s="80" t="s">
        <v>76</v>
      </c>
      <c r="E29" s="80">
        <v>280</v>
      </c>
      <c r="F29" s="88" t="s">
        <v>76</v>
      </c>
      <c r="G29" s="89"/>
      <c r="H29" s="88">
        <v>80</v>
      </c>
      <c r="I29" s="88" t="s">
        <v>76</v>
      </c>
      <c r="J29" s="88" t="s">
        <v>76</v>
      </c>
      <c r="K29" s="88">
        <v>240</v>
      </c>
      <c r="L29" s="88" t="s">
        <v>76</v>
      </c>
      <c r="M29" s="89"/>
      <c r="N29" s="88">
        <v>400</v>
      </c>
      <c r="O29" s="88" t="s">
        <v>76</v>
      </c>
      <c r="P29" s="88" t="s">
        <v>76</v>
      </c>
      <c r="Q29" s="88">
        <v>220</v>
      </c>
      <c r="R29" s="88" t="s">
        <v>76</v>
      </c>
      <c r="S29" s="89"/>
      <c r="T29" s="88">
        <v>320</v>
      </c>
      <c r="U29" s="88" t="s">
        <v>76</v>
      </c>
      <c r="V29" s="88" t="s">
        <v>76</v>
      </c>
      <c r="W29" s="88">
        <v>140</v>
      </c>
      <c r="X29" s="88" t="s">
        <v>76</v>
      </c>
      <c r="Y29" s="89"/>
      <c r="Z29" s="88">
        <v>200</v>
      </c>
      <c r="AA29" s="88" t="s">
        <v>76</v>
      </c>
      <c r="AB29" s="88"/>
      <c r="AC29" s="88"/>
      <c r="AD29" s="88"/>
      <c r="AF29" s="9">
        <f>SUM(B29:AE29)</f>
        <v>2240</v>
      </c>
      <c r="AG29" s="6">
        <f>'Facility Data'!D26</f>
        <v>914</v>
      </c>
      <c r="AH29" s="49">
        <f>AF29/AG29</f>
        <v>2.4507658643326038</v>
      </c>
    </row>
    <row r="30" spans="1:34">
      <c r="A30" s="24" t="s">
        <v>19</v>
      </c>
      <c r="B30" s="81">
        <v>220</v>
      </c>
      <c r="C30" s="80" t="s">
        <v>76</v>
      </c>
      <c r="D30" s="80" t="s">
        <v>76</v>
      </c>
      <c r="E30" s="80">
        <v>200</v>
      </c>
      <c r="F30" s="88" t="s">
        <v>76</v>
      </c>
      <c r="G30" s="89"/>
      <c r="H30" s="88">
        <v>180</v>
      </c>
      <c r="I30" s="88" t="s">
        <v>76</v>
      </c>
      <c r="J30" s="88" t="s">
        <v>76</v>
      </c>
      <c r="K30" s="88">
        <v>140</v>
      </c>
      <c r="L30" s="88" t="s">
        <v>76</v>
      </c>
      <c r="M30" s="89"/>
      <c r="N30" s="88">
        <v>60</v>
      </c>
      <c r="O30" s="88" t="s">
        <v>76</v>
      </c>
      <c r="P30" s="88" t="s">
        <v>76</v>
      </c>
      <c r="Q30" s="88">
        <v>240</v>
      </c>
      <c r="R30" s="88" t="s">
        <v>76</v>
      </c>
      <c r="S30" s="89"/>
      <c r="T30" s="88">
        <v>160</v>
      </c>
      <c r="U30" s="88" t="s">
        <v>76</v>
      </c>
      <c r="V30" s="88" t="s">
        <v>76</v>
      </c>
      <c r="W30" s="88">
        <v>220</v>
      </c>
      <c r="X30" s="88" t="s">
        <v>76</v>
      </c>
      <c r="Y30" s="89"/>
      <c r="Z30" s="88">
        <v>260</v>
      </c>
      <c r="AA30" s="88" t="s">
        <v>76</v>
      </c>
      <c r="AB30" s="88"/>
      <c r="AC30" s="88"/>
      <c r="AD30" s="88"/>
      <c r="AF30" s="9">
        <f>SUM(B30:AE30)</f>
        <v>1680</v>
      </c>
      <c r="AG30" s="6">
        <f>'Facility Data'!D46</f>
        <v>693</v>
      </c>
      <c r="AH30" s="49">
        <f>AF30/AG30</f>
        <v>2.4242424242424243</v>
      </c>
    </row>
    <row r="31" spans="1:34">
      <c r="A31" s="25" t="s">
        <v>3</v>
      </c>
      <c r="B31" s="81">
        <v>200</v>
      </c>
      <c r="C31" s="80" t="s">
        <v>76</v>
      </c>
      <c r="D31" s="80" t="s">
        <v>76</v>
      </c>
      <c r="E31" s="80">
        <v>160</v>
      </c>
      <c r="F31" s="88" t="s">
        <v>76</v>
      </c>
      <c r="G31" s="89"/>
      <c r="H31" s="88">
        <v>180</v>
      </c>
      <c r="I31" s="88" t="s">
        <v>76</v>
      </c>
      <c r="J31" s="88" t="s">
        <v>76</v>
      </c>
      <c r="K31" s="88">
        <v>240</v>
      </c>
      <c r="L31" s="88" t="s">
        <v>76</v>
      </c>
      <c r="M31" s="89"/>
      <c r="N31" s="88">
        <v>360</v>
      </c>
      <c r="O31" s="88" t="s">
        <v>76</v>
      </c>
      <c r="P31" s="88" t="s">
        <v>76</v>
      </c>
      <c r="Q31" s="88">
        <v>300</v>
      </c>
      <c r="R31" s="88" t="s">
        <v>76</v>
      </c>
      <c r="S31" s="89"/>
      <c r="T31" s="88">
        <v>520</v>
      </c>
      <c r="U31" s="88" t="s">
        <v>76</v>
      </c>
      <c r="V31" s="88" t="s">
        <v>76</v>
      </c>
      <c r="W31" s="88">
        <v>280</v>
      </c>
      <c r="X31" s="88" t="s">
        <v>76</v>
      </c>
      <c r="Y31" s="89"/>
      <c r="Z31" s="88">
        <v>340</v>
      </c>
      <c r="AA31" s="88" t="s">
        <v>76</v>
      </c>
      <c r="AB31" s="88"/>
      <c r="AC31" s="88"/>
      <c r="AD31" s="88"/>
      <c r="AF31" s="9">
        <f>SUM(B31:AE31)</f>
        <v>2580</v>
      </c>
      <c r="AG31" s="6">
        <f>'Facility Data'!D9</f>
        <v>1074</v>
      </c>
      <c r="AH31" s="49">
        <f>AF31/AG31</f>
        <v>2.4022346368715084</v>
      </c>
    </row>
    <row r="32" spans="1:34">
      <c r="A32" s="24" t="s">
        <v>26</v>
      </c>
      <c r="B32" s="81" t="s">
        <v>76</v>
      </c>
      <c r="C32" s="80">
        <v>160</v>
      </c>
      <c r="D32" s="80" t="s">
        <v>76</v>
      </c>
      <c r="E32" s="80" t="s">
        <v>76</v>
      </c>
      <c r="F32" s="88">
        <v>280</v>
      </c>
      <c r="G32" s="89"/>
      <c r="H32" s="88" t="s">
        <v>76</v>
      </c>
      <c r="I32" s="88">
        <v>60</v>
      </c>
      <c r="J32" s="88" t="s">
        <v>76</v>
      </c>
      <c r="K32" s="88" t="s">
        <v>76</v>
      </c>
      <c r="L32" s="88">
        <v>260</v>
      </c>
      <c r="M32" s="89"/>
      <c r="N32" s="88" t="s">
        <v>76</v>
      </c>
      <c r="O32" s="88">
        <v>220</v>
      </c>
      <c r="P32" s="88" t="s">
        <v>76</v>
      </c>
      <c r="Q32" s="88" t="s">
        <v>76</v>
      </c>
      <c r="R32" s="88">
        <v>240</v>
      </c>
      <c r="S32" s="89"/>
      <c r="T32" s="88" t="s">
        <v>76</v>
      </c>
      <c r="U32" s="88">
        <v>220</v>
      </c>
      <c r="V32" s="88" t="s">
        <v>76</v>
      </c>
      <c r="W32" s="88" t="s">
        <v>76</v>
      </c>
      <c r="X32" s="88">
        <v>400</v>
      </c>
      <c r="Y32" s="89"/>
      <c r="Z32" s="88" t="s">
        <v>76</v>
      </c>
      <c r="AA32" s="88">
        <v>140</v>
      </c>
      <c r="AB32" s="88"/>
      <c r="AC32" s="88"/>
      <c r="AD32" s="88"/>
      <c r="AF32" s="9">
        <f>SUM(B32:AE32)</f>
        <v>1980</v>
      </c>
      <c r="AG32" s="6">
        <f>'Facility Data'!D58</f>
        <v>859</v>
      </c>
      <c r="AH32" s="49">
        <f>AF32/AG32</f>
        <v>2.3050058207217696</v>
      </c>
    </row>
    <row r="33" spans="1:34">
      <c r="A33" s="23" t="s">
        <v>39</v>
      </c>
      <c r="B33" s="81" t="s">
        <v>76</v>
      </c>
      <c r="C33" s="80">
        <v>200</v>
      </c>
      <c r="D33" s="80" t="s">
        <v>76</v>
      </c>
      <c r="E33" s="80" t="s">
        <v>76</v>
      </c>
      <c r="F33" s="88">
        <v>180</v>
      </c>
      <c r="G33" s="89"/>
      <c r="H33" s="88" t="s">
        <v>76</v>
      </c>
      <c r="I33" s="88">
        <v>140</v>
      </c>
      <c r="J33" s="88" t="s">
        <v>76</v>
      </c>
      <c r="K33" s="88" t="s">
        <v>76</v>
      </c>
      <c r="L33" s="88">
        <v>440</v>
      </c>
      <c r="M33" s="89"/>
      <c r="N33" s="88" t="s">
        <v>76</v>
      </c>
      <c r="O33" s="88">
        <v>200</v>
      </c>
      <c r="P33" s="88" t="s">
        <v>76</v>
      </c>
      <c r="Q33" s="88" t="s">
        <v>76</v>
      </c>
      <c r="R33" s="88">
        <v>420</v>
      </c>
      <c r="S33" s="89"/>
      <c r="T33" s="88" t="s">
        <v>76</v>
      </c>
      <c r="U33" s="88">
        <v>200</v>
      </c>
      <c r="V33" s="88" t="s">
        <v>76</v>
      </c>
      <c r="W33" s="88" t="s">
        <v>76</v>
      </c>
      <c r="X33" s="88">
        <v>360</v>
      </c>
      <c r="Y33" s="89"/>
      <c r="Z33" s="88" t="s">
        <v>76</v>
      </c>
      <c r="AA33" s="88">
        <v>220</v>
      </c>
      <c r="AB33" s="88"/>
      <c r="AC33" s="88"/>
      <c r="AD33" s="88"/>
      <c r="AF33" s="9">
        <f>SUM(B33:AE33)</f>
        <v>2360</v>
      </c>
      <c r="AG33" s="6">
        <f>'Facility Data'!D10</f>
        <v>1028</v>
      </c>
      <c r="AH33" s="49">
        <f>AF33/AG33</f>
        <v>2.2957198443579765</v>
      </c>
    </row>
    <row r="34" spans="1:34">
      <c r="A34" s="23" t="s">
        <v>64</v>
      </c>
      <c r="B34" s="81">
        <v>100</v>
      </c>
      <c r="C34" s="80" t="s">
        <v>76</v>
      </c>
      <c r="D34" s="80" t="s">
        <v>76</v>
      </c>
      <c r="E34" s="80" t="s">
        <v>76</v>
      </c>
      <c r="F34" s="88">
        <v>320</v>
      </c>
      <c r="G34" s="89"/>
      <c r="H34" s="88">
        <v>60</v>
      </c>
      <c r="I34" s="88" t="s">
        <v>76</v>
      </c>
      <c r="J34" s="88" t="s">
        <v>76</v>
      </c>
      <c r="K34" s="88" t="s">
        <v>76</v>
      </c>
      <c r="L34" s="88">
        <v>180</v>
      </c>
      <c r="M34" s="89"/>
      <c r="N34" s="88">
        <v>340</v>
      </c>
      <c r="O34" s="88" t="s">
        <v>76</v>
      </c>
      <c r="P34" s="88" t="s">
        <v>76</v>
      </c>
      <c r="Q34" s="88" t="s">
        <v>76</v>
      </c>
      <c r="R34" s="88">
        <v>220</v>
      </c>
      <c r="S34" s="89"/>
      <c r="T34" s="88">
        <v>160</v>
      </c>
      <c r="U34" s="88" t="s">
        <v>76</v>
      </c>
      <c r="V34" s="88" t="s">
        <v>76</v>
      </c>
      <c r="W34" s="88" t="s">
        <v>76</v>
      </c>
      <c r="X34" s="88">
        <v>20</v>
      </c>
      <c r="Y34" s="89"/>
      <c r="Z34" s="88">
        <v>40</v>
      </c>
      <c r="AA34" s="88" t="s">
        <v>76</v>
      </c>
      <c r="AB34" s="88"/>
      <c r="AC34" s="88"/>
      <c r="AD34" s="88"/>
      <c r="AF34" s="9">
        <f>SUM(B34:AE34)</f>
        <v>1440</v>
      </c>
      <c r="AG34" s="6">
        <f>'Facility Data'!D59</f>
        <v>637</v>
      </c>
      <c r="AH34" s="49">
        <f>AF34/AG34</f>
        <v>2.2605965463108322</v>
      </c>
    </row>
    <row r="35" spans="1:34">
      <c r="A35" s="23" t="s">
        <v>49</v>
      </c>
      <c r="B35" s="81">
        <v>220</v>
      </c>
      <c r="C35" s="80" t="s">
        <v>76</v>
      </c>
      <c r="D35" s="80" t="s">
        <v>76</v>
      </c>
      <c r="E35" s="80" t="s">
        <v>76</v>
      </c>
      <c r="F35" s="88" t="s">
        <v>76</v>
      </c>
      <c r="G35" s="89"/>
      <c r="H35" s="88">
        <v>240</v>
      </c>
      <c r="I35" s="88" t="s">
        <v>76</v>
      </c>
      <c r="J35" s="88" t="s">
        <v>76</v>
      </c>
      <c r="K35" s="88" t="s">
        <v>76</v>
      </c>
      <c r="L35" s="88" t="s">
        <v>76</v>
      </c>
      <c r="M35" s="89"/>
      <c r="N35" s="88">
        <v>340</v>
      </c>
      <c r="O35" s="88" t="s">
        <v>76</v>
      </c>
      <c r="P35" s="88" t="s">
        <v>76</v>
      </c>
      <c r="Q35" s="88" t="s">
        <v>76</v>
      </c>
      <c r="R35" s="88" t="s">
        <v>76</v>
      </c>
      <c r="S35" s="89"/>
      <c r="T35" s="88">
        <v>260</v>
      </c>
      <c r="U35" s="88" t="s">
        <v>76</v>
      </c>
      <c r="V35" s="88" t="s">
        <v>76</v>
      </c>
      <c r="W35" s="88" t="s">
        <v>76</v>
      </c>
      <c r="X35" s="88" t="s">
        <v>76</v>
      </c>
      <c r="Y35" s="89"/>
      <c r="Z35" s="88">
        <v>100</v>
      </c>
      <c r="AA35" s="88" t="s">
        <v>76</v>
      </c>
      <c r="AB35" s="88"/>
      <c r="AC35" s="88"/>
      <c r="AD35" s="88"/>
      <c r="AF35" s="9">
        <f>SUM(B35:AE35)</f>
        <v>1160</v>
      </c>
      <c r="AG35" s="6">
        <f>'Facility Data'!D24</f>
        <v>537</v>
      </c>
      <c r="AH35" s="49">
        <f>AF35/AG35</f>
        <v>2.1601489757914338</v>
      </c>
    </row>
    <row r="36" spans="1:34">
      <c r="A36" s="23" t="s">
        <v>44</v>
      </c>
      <c r="B36" s="81" t="s">
        <v>76</v>
      </c>
      <c r="C36" s="80">
        <v>140</v>
      </c>
      <c r="D36" s="80" t="s">
        <v>76</v>
      </c>
      <c r="E36" s="80" t="s">
        <v>76</v>
      </c>
      <c r="F36" s="88">
        <v>140</v>
      </c>
      <c r="G36" s="89"/>
      <c r="H36" s="88" t="s">
        <v>76</v>
      </c>
      <c r="I36" s="88">
        <v>260</v>
      </c>
      <c r="J36" s="88" t="s">
        <v>76</v>
      </c>
      <c r="K36" s="88" t="s">
        <v>76</v>
      </c>
      <c r="L36" s="88">
        <v>400</v>
      </c>
      <c r="M36" s="89"/>
      <c r="N36" s="88" t="s">
        <v>76</v>
      </c>
      <c r="O36" s="88">
        <v>120</v>
      </c>
      <c r="P36" s="88" t="s">
        <v>76</v>
      </c>
      <c r="Q36" s="88" t="s">
        <v>76</v>
      </c>
      <c r="R36" s="88">
        <v>280</v>
      </c>
      <c r="S36" s="89"/>
      <c r="T36" s="88" t="s">
        <v>76</v>
      </c>
      <c r="U36" s="88">
        <v>260</v>
      </c>
      <c r="V36" s="88" t="s">
        <v>76</v>
      </c>
      <c r="W36" s="88" t="s">
        <v>76</v>
      </c>
      <c r="X36" s="88">
        <v>280</v>
      </c>
      <c r="Y36" s="89"/>
      <c r="Z36" s="88" t="s">
        <v>76</v>
      </c>
      <c r="AA36" s="88">
        <v>260</v>
      </c>
      <c r="AB36" s="88"/>
      <c r="AC36" s="88"/>
      <c r="AD36" s="88"/>
      <c r="AF36" s="9">
        <f>SUM(B36:AE36)</f>
        <v>2140</v>
      </c>
      <c r="AG36" s="6">
        <f>'Facility Data'!D18</f>
        <v>998</v>
      </c>
      <c r="AH36" s="49">
        <f>AF36/AG36</f>
        <v>2.1442885771543088</v>
      </c>
    </row>
    <row r="37" spans="1:34">
      <c r="A37" s="25" t="s">
        <v>13</v>
      </c>
      <c r="B37" s="81">
        <v>180</v>
      </c>
      <c r="C37" s="80" t="s">
        <v>76</v>
      </c>
      <c r="D37" s="80" t="s">
        <v>76</v>
      </c>
      <c r="E37" s="80">
        <v>240</v>
      </c>
      <c r="F37" s="88" t="s">
        <v>76</v>
      </c>
      <c r="G37" s="89"/>
      <c r="H37" s="88">
        <v>400</v>
      </c>
      <c r="I37" s="88" t="s">
        <v>76</v>
      </c>
      <c r="J37" s="88" t="s">
        <v>76</v>
      </c>
      <c r="K37" s="88">
        <v>320</v>
      </c>
      <c r="L37" s="88" t="s">
        <v>76</v>
      </c>
      <c r="M37" s="89"/>
      <c r="N37" s="88">
        <v>260</v>
      </c>
      <c r="O37" s="88" t="s">
        <v>76</v>
      </c>
      <c r="P37" s="88" t="s">
        <v>76</v>
      </c>
      <c r="Q37" s="88">
        <v>160</v>
      </c>
      <c r="R37" s="88" t="s">
        <v>76</v>
      </c>
      <c r="S37" s="89"/>
      <c r="T37" s="88">
        <v>460</v>
      </c>
      <c r="U37" s="88" t="s">
        <v>76</v>
      </c>
      <c r="V37" s="88" t="s">
        <v>76</v>
      </c>
      <c r="W37" s="88">
        <v>220</v>
      </c>
      <c r="X37" s="88" t="s">
        <v>76</v>
      </c>
      <c r="Y37" s="89"/>
      <c r="Z37" s="88">
        <v>440</v>
      </c>
      <c r="AA37" s="88" t="s">
        <v>76</v>
      </c>
      <c r="AB37" s="88"/>
      <c r="AC37" s="88"/>
      <c r="AD37" s="88"/>
      <c r="AF37" s="9">
        <f>SUM(B37:AE37)</f>
        <v>2680</v>
      </c>
      <c r="AG37" s="6">
        <f>'Facility Data'!D36</f>
        <v>1274</v>
      </c>
      <c r="AH37" s="49">
        <f>AF37/AG37</f>
        <v>2.1036106750392465</v>
      </c>
    </row>
    <row r="38" spans="1:34">
      <c r="A38" s="25" t="s">
        <v>21</v>
      </c>
      <c r="B38" s="81">
        <v>480</v>
      </c>
      <c r="C38" s="80" t="s">
        <v>76</v>
      </c>
      <c r="D38" s="80" t="s">
        <v>76</v>
      </c>
      <c r="E38" s="80">
        <v>320</v>
      </c>
      <c r="F38" s="88" t="s">
        <v>76</v>
      </c>
      <c r="G38" s="89"/>
      <c r="H38" s="88">
        <v>620</v>
      </c>
      <c r="I38" s="88" t="s">
        <v>76</v>
      </c>
      <c r="J38" s="88" t="s">
        <v>76</v>
      </c>
      <c r="K38" s="88">
        <v>280</v>
      </c>
      <c r="L38" s="88" t="s">
        <v>76</v>
      </c>
      <c r="M38" s="89"/>
      <c r="N38" s="88">
        <v>460</v>
      </c>
      <c r="O38" s="88" t="s">
        <v>76</v>
      </c>
      <c r="P38" s="88" t="s">
        <v>76</v>
      </c>
      <c r="Q38" s="88">
        <v>260</v>
      </c>
      <c r="R38" s="88" t="s">
        <v>76</v>
      </c>
      <c r="S38" s="89"/>
      <c r="T38" s="88">
        <v>320</v>
      </c>
      <c r="U38" s="88" t="s">
        <v>76</v>
      </c>
      <c r="V38" s="88" t="s">
        <v>76</v>
      </c>
      <c r="W38" s="88">
        <v>440</v>
      </c>
      <c r="X38" s="88" t="s">
        <v>76</v>
      </c>
      <c r="Y38" s="89"/>
      <c r="Z38" s="88">
        <v>300</v>
      </c>
      <c r="AA38" s="88" t="s">
        <v>76</v>
      </c>
      <c r="AB38" s="88"/>
      <c r="AC38" s="88"/>
      <c r="AD38" s="88"/>
      <c r="AF38" s="9">
        <f>SUM(B38:AE38)</f>
        <v>3480</v>
      </c>
      <c r="AG38" s="6">
        <f>'Facility Data'!D49</f>
        <v>1669</v>
      </c>
      <c r="AH38" s="49">
        <f>AF38/AG38</f>
        <v>2.0850808867585382</v>
      </c>
    </row>
    <row r="39" spans="1:34">
      <c r="A39" s="25" t="s">
        <v>8</v>
      </c>
      <c r="B39" s="81">
        <v>220</v>
      </c>
      <c r="C39" s="80" t="s">
        <v>76</v>
      </c>
      <c r="D39" s="80" t="s">
        <v>76</v>
      </c>
      <c r="E39" s="80">
        <v>240</v>
      </c>
      <c r="F39" s="88" t="s">
        <v>76</v>
      </c>
      <c r="G39" s="89"/>
      <c r="H39" s="88">
        <v>80</v>
      </c>
      <c r="I39" s="88" t="s">
        <v>76</v>
      </c>
      <c r="J39" s="88" t="s">
        <v>76</v>
      </c>
      <c r="K39" s="88">
        <v>260</v>
      </c>
      <c r="L39" s="88" t="s">
        <v>76</v>
      </c>
      <c r="M39" s="89"/>
      <c r="N39" s="88">
        <v>520</v>
      </c>
      <c r="O39" s="88" t="s">
        <v>76</v>
      </c>
      <c r="P39" s="88" t="s">
        <v>76</v>
      </c>
      <c r="Q39" s="88">
        <v>240</v>
      </c>
      <c r="R39" s="88" t="s">
        <v>76</v>
      </c>
      <c r="S39" s="89"/>
      <c r="T39" s="88">
        <v>480</v>
      </c>
      <c r="U39" s="88" t="s">
        <v>76</v>
      </c>
      <c r="V39" s="88" t="s">
        <v>76</v>
      </c>
      <c r="W39" s="88">
        <v>300</v>
      </c>
      <c r="X39" s="88" t="s">
        <v>76</v>
      </c>
      <c r="Y39" s="89"/>
      <c r="Z39" s="88">
        <v>380</v>
      </c>
      <c r="AA39" s="88" t="s">
        <v>76</v>
      </c>
      <c r="AB39" s="88"/>
      <c r="AC39" s="88"/>
      <c r="AD39" s="88"/>
      <c r="AF39" s="9">
        <f>SUM(B39:AE39)</f>
        <v>2720</v>
      </c>
      <c r="AG39" s="6">
        <f>'Facility Data'!D25</f>
        <v>1325</v>
      </c>
      <c r="AH39" s="49">
        <f>AF39/AG39</f>
        <v>2.0528301886792453</v>
      </c>
    </row>
    <row r="40" spans="1:34">
      <c r="A40" s="23" t="s">
        <v>57</v>
      </c>
      <c r="B40" s="81">
        <v>180</v>
      </c>
      <c r="C40" s="80" t="s">
        <v>76</v>
      </c>
      <c r="D40" s="80" t="s">
        <v>76</v>
      </c>
      <c r="E40" s="80">
        <v>80</v>
      </c>
      <c r="F40" s="88" t="s">
        <v>76</v>
      </c>
      <c r="G40" s="89"/>
      <c r="H40" s="88">
        <v>160</v>
      </c>
      <c r="I40" s="88" t="s">
        <v>76</v>
      </c>
      <c r="J40" s="88" t="s">
        <v>76</v>
      </c>
      <c r="K40" s="88">
        <v>60</v>
      </c>
      <c r="L40" s="88" t="s">
        <v>76</v>
      </c>
      <c r="M40" s="89"/>
      <c r="N40" s="88">
        <v>140</v>
      </c>
      <c r="O40" s="88" t="s">
        <v>76</v>
      </c>
      <c r="P40" s="88" t="s">
        <v>76</v>
      </c>
      <c r="Q40" s="88">
        <v>180</v>
      </c>
      <c r="R40" s="88" t="s">
        <v>76</v>
      </c>
      <c r="S40" s="89"/>
      <c r="T40" s="90">
        <v>120</v>
      </c>
      <c r="U40" s="88" t="s">
        <v>76</v>
      </c>
      <c r="V40" s="88" t="s">
        <v>76</v>
      </c>
      <c r="W40" s="88">
        <v>80</v>
      </c>
      <c r="X40" s="88" t="s">
        <v>76</v>
      </c>
      <c r="Y40" s="89"/>
      <c r="Z40" s="88">
        <v>120</v>
      </c>
      <c r="AA40" s="88" t="s">
        <v>76</v>
      </c>
      <c r="AB40" s="88"/>
      <c r="AC40" s="88"/>
      <c r="AD40" s="88"/>
      <c r="AF40" s="9">
        <f>SUM(B40:AE40)</f>
        <v>1120</v>
      </c>
      <c r="AG40" s="6">
        <f>'Facility Data'!D42</f>
        <v>563</v>
      </c>
      <c r="AH40" s="49">
        <f>AF40/AG40</f>
        <v>1.9893428063943162</v>
      </c>
    </row>
    <row r="41" spans="1:34">
      <c r="A41" s="23" t="s">
        <v>68</v>
      </c>
      <c r="B41" s="81">
        <v>220</v>
      </c>
      <c r="C41" s="80" t="s">
        <v>76</v>
      </c>
      <c r="D41" s="80" t="s">
        <v>76</v>
      </c>
      <c r="E41" s="80" t="s">
        <v>76</v>
      </c>
      <c r="F41" s="88" t="s">
        <v>76</v>
      </c>
      <c r="G41" s="89"/>
      <c r="H41" s="88">
        <v>80</v>
      </c>
      <c r="I41" s="88" t="s">
        <v>76</v>
      </c>
      <c r="J41" s="88" t="s">
        <v>76</v>
      </c>
      <c r="K41" s="88" t="s">
        <v>76</v>
      </c>
      <c r="L41" s="88" t="s">
        <v>76</v>
      </c>
      <c r="M41" s="89"/>
      <c r="N41" s="88">
        <v>340</v>
      </c>
      <c r="O41" s="88" t="s">
        <v>76</v>
      </c>
      <c r="P41" s="88" t="s">
        <v>76</v>
      </c>
      <c r="Q41" s="88" t="s">
        <v>76</v>
      </c>
      <c r="R41" s="88" t="s">
        <v>76</v>
      </c>
      <c r="S41" s="89"/>
      <c r="T41" s="88">
        <v>100</v>
      </c>
      <c r="U41" s="88" t="s">
        <v>76</v>
      </c>
      <c r="V41" s="88" t="s">
        <v>76</v>
      </c>
      <c r="W41" s="88" t="s">
        <v>76</v>
      </c>
      <c r="X41" s="88" t="s">
        <v>76</v>
      </c>
      <c r="Y41" s="89"/>
      <c r="Z41" s="88">
        <v>280</v>
      </c>
      <c r="AA41" s="88" t="s">
        <v>76</v>
      </c>
      <c r="AB41" s="88"/>
      <c r="AC41" s="88"/>
      <c r="AD41" s="88"/>
      <c r="AF41" s="9">
        <f>SUM(B41:AE41)</f>
        <v>1020</v>
      </c>
      <c r="AG41" s="6">
        <f>'Facility Data'!D64</f>
        <v>514</v>
      </c>
      <c r="AH41" s="49">
        <f>AF41/AG41</f>
        <v>1.9844357976653697</v>
      </c>
    </row>
    <row r="42" spans="1:34">
      <c r="A42" s="24" t="s">
        <v>27</v>
      </c>
      <c r="B42" s="81" t="s">
        <v>76</v>
      </c>
      <c r="C42" s="80">
        <v>200</v>
      </c>
      <c r="D42" s="80" t="s">
        <v>76</v>
      </c>
      <c r="E42" s="80" t="s">
        <v>76</v>
      </c>
      <c r="F42" s="88">
        <v>80</v>
      </c>
      <c r="G42" s="89"/>
      <c r="H42" s="88" t="s">
        <v>76</v>
      </c>
      <c r="I42" s="88">
        <v>260</v>
      </c>
      <c r="J42" s="88" t="s">
        <v>76</v>
      </c>
      <c r="K42" s="88" t="s">
        <v>76</v>
      </c>
      <c r="L42" s="88">
        <v>320</v>
      </c>
      <c r="M42" s="89"/>
      <c r="N42" s="88" t="s">
        <v>76</v>
      </c>
      <c r="O42" s="88">
        <v>60</v>
      </c>
      <c r="P42" s="88" t="s">
        <v>76</v>
      </c>
      <c r="Q42" s="88" t="s">
        <v>76</v>
      </c>
      <c r="R42" s="88">
        <v>180</v>
      </c>
      <c r="S42" s="89"/>
      <c r="T42" s="88" t="s">
        <v>76</v>
      </c>
      <c r="U42" s="88">
        <v>280</v>
      </c>
      <c r="V42" s="88" t="s">
        <v>76</v>
      </c>
      <c r="W42" s="88" t="s">
        <v>76</v>
      </c>
      <c r="X42" s="88">
        <v>280</v>
      </c>
      <c r="Y42" s="89"/>
      <c r="Z42" s="88" t="s">
        <v>76</v>
      </c>
      <c r="AA42" s="88">
        <v>200</v>
      </c>
      <c r="AB42" s="88"/>
      <c r="AC42" s="88"/>
      <c r="AD42" s="88"/>
      <c r="AF42" s="9">
        <f>SUM(B42:AE42)</f>
        <v>1860</v>
      </c>
      <c r="AG42" s="6">
        <f>'Facility Data'!D61</f>
        <v>954</v>
      </c>
      <c r="AH42" s="49">
        <f>AF42/AG42</f>
        <v>1.949685534591195</v>
      </c>
    </row>
    <row r="43" spans="1:34">
      <c r="A43" s="24" t="s">
        <v>2</v>
      </c>
      <c r="B43" s="81">
        <v>120</v>
      </c>
      <c r="C43" s="80" t="s">
        <v>76</v>
      </c>
      <c r="D43" s="80" t="s">
        <v>76</v>
      </c>
      <c r="E43" s="80">
        <v>180</v>
      </c>
      <c r="F43" s="88" t="s">
        <v>76</v>
      </c>
      <c r="G43" s="89"/>
      <c r="H43" s="88">
        <v>80</v>
      </c>
      <c r="I43" s="88" t="s">
        <v>76</v>
      </c>
      <c r="J43" s="88" t="s">
        <v>76</v>
      </c>
      <c r="K43" s="88">
        <v>140</v>
      </c>
      <c r="L43" s="88" t="s">
        <v>76</v>
      </c>
      <c r="M43" s="89"/>
      <c r="N43" s="88">
        <v>160</v>
      </c>
      <c r="O43" s="88" t="s">
        <v>76</v>
      </c>
      <c r="P43" s="88" t="s">
        <v>76</v>
      </c>
      <c r="Q43" s="88">
        <v>100</v>
      </c>
      <c r="R43" s="88" t="s">
        <v>76</v>
      </c>
      <c r="S43" s="89"/>
      <c r="T43" s="88">
        <v>160</v>
      </c>
      <c r="U43" s="88" t="s">
        <v>76</v>
      </c>
      <c r="V43" s="88" t="s">
        <v>76</v>
      </c>
      <c r="W43" s="88">
        <v>80</v>
      </c>
      <c r="X43" s="88" t="s">
        <v>76</v>
      </c>
      <c r="Y43" s="89"/>
      <c r="Z43" s="88">
        <v>120</v>
      </c>
      <c r="AA43" s="88" t="s">
        <v>76</v>
      </c>
      <c r="AB43" s="88"/>
      <c r="AC43" s="88"/>
      <c r="AD43" s="88"/>
      <c r="AF43" s="9">
        <f>SUM(B43:AE43)</f>
        <v>1140</v>
      </c>
      <c r="AG43" s="6">
        <f>'Facility Data'!D7</f>
        <v>604</v>
      </c>
      <c r="AH43" s="49">
        <f>AF43/AG43</f>
        <v>1.8874172185430464</v>
      </c>
    </row>
    <row r="44" spans="1:34">
      <c r="A44" s="24" t="s">
        <v>0</v>
      </c>
      <c r="B44" s="81">
        <v>180</v>
      </c>
      <c r="C44" s="80" t="s">
        <v>76</v>
      </c>
      <c r="D44" s="80" t="s">
        <v>76</v>
      </c>
      <c r="E44" s="80">
        <v>160</v>
      </c>
      <c r="F44" s="88" t="s">
        <v>76</v>
      </c>
      <c r="G44" s="89"/>
      <c r="H44" s="88">
        <v>80</v>
      </c>
      <c r="I44" s="88" t="s">
        <v>76</v>
      </c>
      <c r="J44" s="88" t="s">
        <v>76</v>
      </c>
      <c r="K44" s="88">
        <v>240</v>
      </c>
      <c r="L44" s="88" t="s">
        <v>76</v>
      </c>
      <c r="M44" s="89"/>
      <c r="N44" s="88">
        <v>200</v>
      </c>
      <c r="O44" s="88" t="s">
        <v>76</v>
      </c>
      <c r="P44" s="88" t="s">
        <v>76</v>
      </c>
      <c r="Q44" s="88">
        <v>240</v>
      </c>
      <c r="R44" s="88" t="s">
        <v>76</v>
      </c>
      <c r="S44" s="89"/>
      <c r="T44" s="88">
        <v>160</v>
      </c>
      <c r="U44" s="88" t="s">
        <v>76</v>
      </c>
      <c r="V44" s="88" t="s">
        <v>76</v>
      </c>
      <c r="W44" s="88">
        <v>180</v>
      </c>
      <c r="X44" s="88" t="s">
        <v>76</v>
      </c>
      <c r="Y44" s="89"/>
      <c r="Z44" s="88">
        <v>60</v>
      </c>
      <c r="AA44" s="88" t="s">
        <v>76</v>
      </c>
      <c r="AB44" s="88"/>
      <c r="AC44" s="88"/>
      <c r="AD44" s="88"/>
      <c r="AF44" s="9">
        <f>SUM(B44:AE44)</f>
        <v>1500</v>
      </c>
      <c r="AG44" s="6">
        <f>'Facility Data'!D4</f>
        <v>797</v>
      </c>
      <c r="AH44" s="49">
        <f>AF44/AG44</f>
        <v>1.8820577164366374</v>
      </c>
    </row>
    <row r="45" spans="1:34">
      <c r="A45" s="23" t="s">
        <v>61</v>
      </c>
      <c r="B45" s="81">
        <v>320</v>
      </c>
      <c r="C45" s="80" t="s">
        <v>76</v>
      </c>
      <c r="D45" s="80" t="s">
        <v>76</v>
      </c>
      <c r="E45" s="80" t="s">
        <v>76</v>
      </c>
      <c r="F45" s="88" t="s">
        <v>76</v>
      </c>
      <c r="G45" s="89"/>
      <c r="H45" s="88">
        <v>220</v>
      </c>
      <c r="I45" s="88" t="s">
        <v>76</v>
      </c>
      <c r="J45" s="88" t="s">
        <v>76</v>
      </c>
      <c r="K45" s="88" t="s">
        <v>76</v>
      </c>
      <c r="L45" s="88" t="s">
        <v>76</v>
      </c>
      <c r="M45" s="89"/>
      <c r="N45" s="88">
        <v>240</v>
      </c>
      <c r="O45" s="88" t="s">
        <v>76</v>
      </c>
      <c r="P45" s="88" t="s">
        <v>76</v>
      </c>
      <c r="Q45" s="88" t="s">
        <v>76</v>
      </c>
      <c r="R45" s="88" t="s">
        <v>76</v>
      </c>
      <c r="S45" s="89"/>
      <c r="T45" s="88">
        <v>340</v>
      </c>
      <c r="U45" s="88" t="s">
        <v>76</v>
      </c>
      <c r="V45" s="88" t="s">
        <v>76</v>
      </c>
      <c r="W45" s="88" t="s">
        <v>76</v>
      </c>
      <c r="X45" s="88" t="s">
        <v>76</v>
      </c>
      <c r="Y45" s="89"/>
      <c r="Z45" s="88">
        <v>420</v>
      </c>
      <c r="AA45" s="88" t="s">
        <v>76</v>
      </c>
      <c r="AB45" s="88"/>
      <c r="AC45" s="88"/>
      <c r="AD45" s="88"/>
      <c r="AF45" s="9">
        <f>SUM(B45:AE45)</f>
        <v>1540</v>
      </c>
      <c r="AG45" s="6">
        <f>'Facility Data'!D51</f>
        <v>820</v>
      </c>
      <c r="AH45" s="49">
        <f>AF45/AG45</f>
        <v>1.8780487804878048</v>
      </c>
    </row>
    <row r="46" spans="1:34">
      <c r="A46" s="24" t="s">
        <v>14</v>
      </c>
      <c r="B46" s="81" t="s">
        <v>76</v>
      </c>
      <c r="C46" s="80">
        <v>140</v>
      </c>
      <c r="D46" s="80" t="s">
        <v>76</v>
      </c>
      <c r="E46" s="80" t="s">
        <v>76</v>
      </c>
      <c r="F46" s="88">
        <v>160</v>
      </c>
      <c r="G46" s="89"/>
      <c r="H46" s="88" t="s">
        <v>76</v>
      </c>
      <c r="I46" s="88">
        <v>140</v>
      </c>
      <c r="J46" s="88" t="s">
        <v>76</v>
      </c>
      <c r="K46" s="88" t="s">
        <v>76</v>
      </c>
      <c r="L46" s="88">
        <v>80</v>
      </c>
      <c r="M46" s="89"/>
      <c r="N46" s="88" t="s">
        <v>76</v>
      </c>
      <c r="O46" s="88">
        <v>260</v>
      </c>
      <c r="P46" s="88" t="s">
        <v>76</v>
      </c>
      <c r="Q46" s="88" t="s">
        <v>76</v>
      </c>
      <c r="R46" s="88">
        <v>200</v>
      </c>
      <c r="S46" s="89"/>
      <c r="T46" s="88" t="s">
        <v>76</v>
      </c>
      <c r="U46" s="88">
        <v>20</v>
      </c>
      <c r="V46" s="88" t="s">
        <v>76</v>
      </c>
      <c r="W46" s="88" t="s">
        <v>76</v>
      </c>
      <c r="X46" s="88">
        <v>220</v>
      </c>
      <c r="Y46" s="89"/>
      <c r="Z46" s="88" t="s">
        <v>76</v>
      </c>
      <c r="AA46" s="88">
        <v>80</v>
      </c>
      <c r="AB46" s="88"/>
      <c r="AC46" s="88"/>
      <c r="AD46" s="88"/>
      <c r="AF46" s="9">
        <f>SUM(B46:AE46)</f>
        <v>1300</v>
      </c>
      <c r="AG46" s="6">
        <f>'Facility Data'!D37</f>
        <v>697</v>
      </c>
      <c r="AH46" s="49">
        <f>AF46/AG46</f>
        <v>1.8651362984218078</v>
      </c>
    </row>
    <row r="47" spans="1:34">
      <c r="A47" s="24" t="s">
        <v>23</v>
      </c>
      <c r="B47" s="81" t="s">
        <v>76</v>
      </c>
      <c r="C47" s="80">
        <v>220</v>
      </c>
      <c r="D47" s="80" t="s">
        <v>76</v>
      </c>
      <c r="E47" s="80" t="s">
        <v>76</v>
      </c>
      <c r="F47" s="88">
        <v>240</v>
      </c>
      <c r="G47" s="89"/>
      <c r="H47" s="88" t="s">
        <v>76</v>
      </c>
      <c r="I47" s="88">
        <v>20</v>
      </c>
      <c r="J47" s="88" t="s">
        <v>76</v>
      </c>
      <c r="K47" s="88" t="s">
        <v>76</v>
      </c>
      <c r="L47" s="88">
        <v>240</v>
      </c>
      <c r="M47" s="89"/>
      <c r="N47" s="88" t="s">
        <v>76</v>
      </c>
      <c r="O47" s="88">
        <v>340</v>
      </c>
      <c r="P47" s="88" t="s">
        <v>76</v>
      </c>
      <c r="Q47" s="88" t="s">
        <v>76</v>
      </c>
      <c r="R47" s="88">
        <v>100</v>
      </c>
      <c r="S47" s="89"/>
      <c r="T47" s="88" t="s">
        <v>76</v>
      </c>
      <c r="U47" s="88">
        <v>180</v>
      </c>
      <c r="V47" s="88" t="s">
        <v>76</v>
      </c>
      <c r="W47" s="88" t="s">
        <v>76</v>
      </c>
      <c r="X47" s="88">
        <v>80</v>
      </c>
      <c r="Y47" s="89"/>
      <c r="Z47" s="88" t="s">
        <v>76</v>
      </c>
      <c r="AA47" s="88">
        <v>100</v>
      </c>
      <c r="AB47" s="88"/>
      <c r="AC47" s="88"/>
      <c r="AD47" s="88"/>
      <c r="AF47" s="9">
        <f>SUM(B47:AE47)</f>
        <v>1520</v>
      </c>
      <c r="AG47" s="6">
        <f>'Facility Data'!D53</f>
        <v>830</v>
      </c>
      <c r="AH47" s="49">
        <f>AF47/AG47</f>
        <v>1.8313253012048192</v>
      </c>
    </row>
    <row r="48" spans="1:34">
      <c r="A48" s="23" t="s">
        <v>65</v>
      </c>
      <c r="B48" s="81">
        <v>140</v>
      </c>
      <c r="C48" s="80" t="s">
        <v>76</v>
      </c>
      <c r="D48" s="80" t="s">
        <v>76</v>
      </c>
      <c r="E48" s="80" t="s">
        <v>76</v>
      </c>
      <c r="F48" s="88" t="s">
        <v>76</v>
      </c>
      <c r="G48" s="89"/>
      <c r="H48" s="88">
        <v>40</v>
      </c>
      <c r="I48" s="88" t="s">
        <v>76</v>
      </c>
      <c r="J48" s="88" t="s">
        <v>76</v>
      </c>
      <c r="K48" s="88" t="s">
        <v>76</v>
      </c>
      <c r="L48" s="88" t="s">
        <v>76</v>
      </c>
      <c r="M48" s="89"/>
      <c r="N48" s="88">
        <v>640</v>
      </c>
      <c r="O48" s="88" t="s">
        <v>76</v>
      </c>
      <c r="P48" s="88" t="s">
        <v>76</v>
      </c>
      <c r="Q48" s="88" t="s">
        <v>76</v>
      </c>
      <c r="R48" s="88" t="s">
        <v>76</v>
      </c>
      <c r="S48" s="89"/>
      <c r="T48" s="88">
        <v>140</v>
      </c>
      <c r="U48" s="88" t="s">
        <v>76</v>
      </c>
      <c r="V48" s="88" t="s">
        <v>76</v>
      </c>
      <c r="W48" s="88" t="s">
        <v>76</v>
      </c>
      <c r="X48" s="88" t="s">
        <v>76</v>
      </c>
      <c r="Y48" s="89"/>
      <c r="Z48" s="88">
        <v>540</v>
      </c>
      <c r="AA48" s="88" t="s">
        <v>76</v>
      </c>
      <c r="AB48" s="88"/>
      <c r="AC48" s="88"/>
      <c r="AD48" s="88"/>
      <c r="AF48" s="9">
        <f>SUM(B48:AE48)</f>
        <v>1500</v>
      </c>
      <c r="AG48" s="6">
        <f>'Facility Data'!D60</f>
        <v>865</v>
      </c>
      <c r="AH48" s="49">
        <f>AF48/AG48</f>
        <v>1.7341040462427746</v>
      </c>
    </row>
    <row r="49" spans="1:34">
      <c r="A49" s="23" t="s">
        <v>52</v>
      </c>
      <c r="B49" s="81" t="s">
        <v>76</v>
      </c>
      <c r="C49" s="80">
        <v>80</v>
      </c>
      <c r="D49" s="80" t="s">
        <v>76</v>
      </c>
      <c r="E49" s="80">
        <v>100</v>
      </c>
      <c r="F49" s="88" t="s">
        <v>76</v>
      </c>
      <c r="G49" s="89"/>
      <c r="H49" s="88" t="s">
        <v>76</v>
      </c>
      <c r="I49" s="88">
        <v>120</v>
      </c>
      <c r="J49" s="88" t="s">
        <v>76</v>
      </c>
      <c r="K49" s="88">
        <v>60</v>
      </c>
      <c r="L49" s="88" t="s">
        <v>76</v>
      </c>
      <c r="M49" s="89"/>
      <c r="N49" s="88">
        <v>220</v>
      </c>
      <c r="O49" s="88" t="s">
        <v>76</v>
      </c>
      <c r="P49" s="88" t="s">
        <v>76</v>
      </c>
      <c r="Q49" s="88">
        <v>160</v>
      </c>
      <c r="R49" s="88" t="s">
        <v>76</v>
      </c>
      <c r="S49" s="89"/>
      <c r="T49" s="88">
        <v>120</v>
      </c>
      <c r="U49" s="88" t="s">
        <v>76</v>
      </c>
      <c r="V49" s="88" t="s">
        <v>76</v>
      </c>
      <c r="W49" s="88">
        <v>100</v>
      </c>
      <c r="X49" s="88" t="s">
        <v>76</v>
      </c>
      <c r="Y49" s="89"/>
      <c r="Z49" s="88">
        <v>240</v>
      </c>
      <c r="AA49" s="88"/>
      <c r="AB49" s="88"/>
      <c r="AC49" s="88"/>
      <c r="AD49" s="88"/>
      <c r="AF49" s="9">
        <f>SUM(B49:AE49)</f>
        <v>1200</v>
      </c>
      <c r="AG49" s="6">
        <f>'Facility Data'!D31</f>
        <v>693</v>
      </c>
      <c r="AH49" s="49">
        <f>AF49/AG49</f>
        <v>1.7316017316017316</v>
      </c>
    </row>
    <row r="50" spans="1:34">
      <c r="A50" s="23" t="s">
        <v>47</v>
      </c>
      <c r="B50" s="81" t="s">
        <v>76</v>
      </c>
      <c r="C50" s="80" t="s">
        <v>76</v>
      </c>
      <c r="D50" s="80" t="s">
        <v>76</v>
      </c>
      <c r="E50" s="80">
        <v>80</v>
      </c>
      <c r="F50" s="88" t="s">
        <v>76</v>
      </c>
      <c r="G50" s="89"/>
      <c r="H50" s="88" t="s">
        <v>76</v>
      </c>
      <c r="I50" s="88" t="s">
        <v>76</v>
      </c>
      <c r="J50" s="88" t="s">
        <v>76</v>
      </c>
      <c r="K50" s="88">
        <v>140</v>
      </c>
      <c r="L50" s="88" t="s">
        <v>76</v>
      </c>
      <c r="M50" s="89"/>
      <c r="N50" s="88" t="s">
        <v>76</v>
      </c>
      <c r="O50" s="88" t="s">
        <v>76</v>
      </c>
      <c r="P50" s="88" t="s">
        <v>76</v>
      </c>
      <c r="Q50" s="88">
        <v>180</v>
      </c>
      <c r="R50" s="88" t="s">
        <v>76</v>
      </c>
      <c r="S50" s="89"/>
      <c r="T50" s="88" t="s">
        <v>76</v>
      </c>
      <c r="U50" s="88" t="s">
        <v>76</v>
      </c>
      <c r="V50" s="88" t="s">
        <v>76</v>
      </c>
      <c r="W50" s="88">
        <v>160</v>
      </c>
      <c r="X50" s="88" t="s">
        <v>76</v>
      </c>
      <c r="Y50" s="89"/>
      <c r="Z50" s="88" t="s">
        <v>76</v>
      </c>
      <c r="AA50" s="88" t="s">
        <v>76</v>
      </c>
      <c r="AB50" s="88"/>
      <c r="AC50" s="88"/>
      <c r="AD50" s="88"/>
      <c r="AF50" s="9">
        <f>SUM(B50:AE50)</f>
        <v>560</v>
      </c>
      <c r="AG50" s="6">
        <f>'Facility Data'!D21</f>
        <v>334</v>
      </c>
      <c r="AH50" s="49">
        <f>AF50/AG50</f>
        <v>1.6766467065868262</v>
      </c>
    </row>
    <row r="51" spans="1:34">
      <c r="A51" s="23" t="s">
        <v>55</v>
      </c>
      <c r="B51" s="81">
        <v>120</v>
      </c>
      <c r="C51" s="80" t="s">
        <v>76</v>
      </c>
      <c r="D51" s="80" t="s">
        <v>76</v>
      </c>
      <c r="E51" s="80">
        <v>60</v>
      </c>
      <c r="F51" s="88" t="s">
        <v>76</v>
      </c>
      <c r="G51" s="89"/>
      <c r="H51" s="88">
        <v>0</v>
      </c>
      <c r="I51" s="88" t="s">
        <v>76</v>
      </c>
      <c r="J51" s="88" t="s">
        <v>76</v>
      </c>
      <c r="K51" s="88"/>
      <c r="L51" s="88" t="s">
        <v>76</v>
      </c>
      <c r="M51" s="89"/>
      <c r="N51" s="88">
        <v>400</v>
      </c>
      <c r="O51" s="88" t="s">
        <v>76</v>
      </c>
      <c r="P51" s="88" t="s">
        <v>76</v>
      </c>
      <c r="Q51" s="88">
        <v>120</v>
      </c>
      <c r="R51" s="88" t="s">
        <v>76</v>
      </c>
      <c r="S51" s="89"/>
      <c r="T51" s="88">
        <v>80</v>
      </c>
      <c r="U51" s="88" t="s">
        <v>76</v>
      </c>
      <c r="V51" s="88" t="s">
        <v>76</v>
      </c>
      <c r="W51" s="88">
        <v>40</v>
      </c>
      <c r="X51" s="88" t="s">
        <v>76</v>
      </c>
      <c r="Y51" s="89"/>
      <c r="Z51" s="88">
        <v>340</v>
      </c>
      <c r="AA51" s="88" t="s">
        <v>76</v>
      </c>
      <c r="AB51" s="88"/>
      <c r="AC51" s="88"/>
      <c r="AD51" s="88"/>
      <c r="AF51" s="9">
        <f>SUM(B51:AE51)</f>
        <v>1160</v>
      </c>
      <c r="AG51" s="6">
        <f>'Facility Data'!D38</f>
        <v>695</v>
      </c>
      <c r="AH51" s="49">
        <f>AF51/AG51</f>
        <v>1.6690647482014389</v>
      </c>
    </row>
    <row r="52" spans="1:34">
      <c r="A52" s="23" t="s">
        <v>37</v>
      </c>
      <c r="B52" s="81">
        <v>200</v>
      </c>
      <c r="C52" s="80" t="s">
        <v>76</v>
      </c>
      <c r="D52" s="80" t="s">
        <v>76</v>
      </c>
      <c r="E52" s="80" t="s">
        <v>76</v>
      </c>
      <c r="F52" s="88" t="s">
        <v>76</v>
      </c>
      <c r="G52" s="89"/>
      <c r="H52" s="88">
        <v>160</v>
      </c>
      <c r="I52" s="88" t="s">
        <v>76</v>
      </c>
      <c r="J52" s="88" t="s">
        <v>76</v>
      </c>
      <c r="K52" s="88" t="s">
        <v>76</v>
      </c>
      <c r="L52" s="88" t="s">
        <v>76</v>
      </c>
      <c r="M52" s="89"/>
      <c r="N52" s="88">
        <v>240</v>
      </c>
      <c r="O52" s="88" t="s">
        <v>76</v>
      </c>
      <c r="P52" s="88" t="s">
        <v>76</v>
      </c>
      <c r="Q52" s="88" t="s">
        <v>76</v>
      </c>
      <c r="R52" s="88" t="s">
        <v>76</v>
      </c>
      <c r="S52" s="89"/>
      <c r="T52" s="88">
        <v>180</v>
      </c>
      <c r="U52" s="88" t="s">
        <v>76</v>
      </c>
      <c r="V52" s="88" t="s">
        <v>76</v>
      </c>
      <c r="W52" s="88" t="s">
        <v>76</v>
      </c>
      <c r="X52" s="88" t="s">
        <v>76</v>
      </c>
      <c r="Y52" s="89"/>
      <c r="Z52" s="88">
        <v>360</v>
      </c>
      <c r="AA52" s="88" t="s">
        <v>76</v>
      </c>
      <c r="AB52" s="88"/>
      <c r="AC52" s="88"/>
      <c r="AD52" s="88"/>
      <c r="AF52" s="9">
        <f>SUM(B52:AE52)</f>
        <v>1140</v>
      </c>
      <c r="AG52" s="6">
        <f>'Facility Data'!D5</f>
        <v>691</v>
      </c>
      <c r="AH52" s="49">
        <f>AF52/AG52</f>
        <v>1.6497829232995658</v>
      </c>
    </row>
    <row r="53" spans="1:34">
      <c r="A53" s="23" t="s">
        <v>42</v>
      </c>
      <c r="B53" s="81" t="s">
        <v>76</v>
      </c>
      <c r="C53" s="80" t="s">
        <v>76</v>
      </c>
      <c r="D53" s="80" t="s">
        <v>76</v>
      </c>
      <c r="E53" s="80">
        <v>320</v>
      </c>
      <c r="F53" s="88" t="s">
        <v>76</v>
      </c>
      <c r="G53" s="89"/>
      <c r="H53" s="88" t="s">
        <v>76</v>
      </c>
      <c r="I53" s="88" t="s">
        <v>76</v>
      </c>
      <c r="J53" s="88" t="s">
        <v>76</v>
      </c>
      <c r="K53" s="88">
        <v>240</v>
      </c>
      <c r="L53" s="88" t="s">
        <v>76</v>
      </c>
      <c r="M53" s="89"/>
      <c r="N53" s="88" t="s">
        <v>76</v>
      </c>
      <c r="O53" s="88" t="s">
        <v>76</v>
      </c>
      <c r="P53" s="88" t="s">
        <v>76</v>
      </c>
      <c r="Q53" s="88">
        <v>320</v>
      </c>
      <c r="R53" s="88" t="s">
        <v>76</v>
      </c>
      <c r="S53" s="89"/>
      <c r="T53" s="88" t="s">
        <v>76</v>
      </c>
      <c r="U53" s="88" t="s">
        <v>76</v>
      </c>
      <c r="V53" s="88" t="s">
        <v>76</v>
      </c>
      <c r="W53" s="88">
        <v>260</v>
      </c>
      <c r="X53" s="88" t="s">
        <v>76</v>
      </c>
      <c r="Y53" s="89"/>
      <c r="Z53" s="88" t="s">
        <v>76</v>
      </c>
      <c r="AA53" s="88" t="s">
        <v>76</v>
      </c>
      <c r="AB53" s="88"/>
      <c r="AC53" s="88"/>
      <c r="AD53" s="88"/>
      <c r="AF53" s="9">
        <f>SUM(B53:AE53)</f>
        <v>1140</v>
      </c>
      <c r="AG53" s="6">
        <f>'Facility Data'!D15</f>
        <v>713</v>
      </c>
      <c r="AH53" s="49">
        <f>AF53/AG53</f>
        <v>1.5988779803646564</v>
      </c>
    </row>
    <row r="54" spans="1:34">
      <c r="A54" s="23" t="s">
        <v>20</v>
      </c>
      <c r="B54" s="81" t="s">
        <v>76</v>
      </c>
      <c r="C54" s="80" t="s">
        <v>76</v>
      </c>
      <c r="D54" s="80" t="s">
        <v>76</v>
      </c>
      <c r="E54" s="80">
        <v>200</v>
      </c>
      <c r="F54" s="88" t="s">
        <v>76</v>
      </c>
      <c r="G54" s="89"/>
      <c r="H54" s="88" t="s">
        <v>76</v>
      </c>
      <c r="I54" s="88" t="s">
        <v>76</v>
      </c>
      <c r="J54" s="88" t="s">
        <v>76</v>
      </c>
      <c r="K54" s="88">
        <v>160</v>
      </c>
      <c r="L54" s="88" t="s">
        <v>76</v>
      </c>
      <c r="M54" s="89"/>
      <c r="N54" s="88" t="s">
        <v>76</v>
      </c>
      <c r="O54" s="88" t="s">
        <v>76</v>
      </c>
      <c r="P54" s="88" t="s">
        <v>76</v>
      </c>
      <c r="Q54" s="88">
        <v>140</v>
      </c>
      <c r="R54" s="88" t="s">
        <v>76</v>
      </c>
      <c r="S54" s="89"/>
      <c r="T54" s="88" t="s">
        <v>76</v>
      </c>
      <c r="U54" s="88" t="s">
        <v>76</v>
      </c>
      <c r="V54" s="88" t="s">
        <v>76</v>
      </c>
      <c r="W54" s="88">
        <v>200</v>
      </c>
      <c r="X54" s="88" t="s">
        <v>76</v>
      </c>
      <c r="Y54" s="89"/>
      <c r="Z54" s="88" t="s">
        <v>76</v>
      </c>
      <c r="AA54" s="88" t="s">
        <v>76</v>
      </c>
      <c r="AB54" s="88"/>
      <c r="AC54" s="88"/>
      <c r="AD54" s="88"/>
      <c r="AF54" s="9">
        <f>SUM(B54:AE54)</f>
        <v>700</v>
      </c>
      <c r="AG54" s="6">
        <f>'Facility Data'!D47</f>
        <v>442</v>
      </c>
      <c r="AH54" s="49">
        <f>AF54/AG54</f>
        <v>1.5837104072398189</v>
      </c>
    </row>
    <row r="55" spans="1:34">
      <c r="A55" s="23" t="s">
        <v>51</v>
      </c>
      <c r="B55" s="81" t="s">
        <v>76</v>
      </c>
      <c r="C55" s="80" t="s">
        <v>76</v>
      </c>
      <c r="D55" s="80" t="s">
        <v>76</v>
      </c>
      <c r="E55" s="80">
        <v>140</v>
      </c>
      <c r="F55" s="88" t="s">
        <v>76</v>
      </c>
      <c r="G55" s="89"/>
      <c r="H55" s="88" t="s">
        <v>76</v>
      </c>
      <c r="I55" s="88" t="s">
        <v>76</v>
      </c>
      <c r="J55" s="88" t="s">
        <v>76</v>
      </c>
      <c r="K55" s="88">
        <v>100</v>
      </c>
      <c r="L55" s="88" t="s">
        <v>76</v>
      </c>
      <c r="M55" s="89"/>
      <c r="N55" s="88" t="s">
        <v>76</v>
      </c>
      <c r="O55" s="88" t="s">
        <v>76</v>
      </c>
      <c r="P55" s="88" t="s">
        <v>76</v>
      </c>
      <c r="Q55" s="88">
        <v>180</v>
      </c>
      <c r="R55" s="88" t="s">
        <v>76</v>
      </c>
      <c r="S55" s="89"/>
      <c r="T55" s="88" t="s">
        <v>76</v>
      </c>
      <c r="U55" s="88" t="s">
        <v>76</v>
      </c>
      <c r="V55" s="88" t="s">
        <v>76</v>
      </c>
      <c r="W55" s="88">
        <v>220</v>
      </c>
      <c r="X55" s="88" t="s">
        <v>76</v>
      </c>
      <c r="Y55" s="89"/>
      <c r="Z55" s="88" t="s">
        <v>76</v>
      </c>
      <c r="AA55" s="88" t="s">
        <v>76</v>
      </c>
      <c r="AB55" s="88"/>
      <c r="AC55" s="88"/>
      <c r="AD55" s="88"/>
      <c r="AF55" s="9">
        <f>SUM(B55:AE55)</f>
        <v>640</v>
      </c>
      <c r="AG55" s="6">
        <f>'Facility Data'!D30</f>
        <v>419</v>
      </c>
      <c r="AH55" s="49">
        <f>AF55/AG55</f>
        <v>1.5274463007159904</v>
      </c>
    </row>
    <row r="56" spans="1:34">
      <c r="A56" s="23" t="s">
        <v>58</v>
      </c>
      <c r="B56" s="81" t="s">
        <v>76</v>
      </c>
      <c r="C56" s="80" t="s">
        <v>76</v>
      </c>
      <c r="D56" s="80" t="s">
        <v>76</v>
      </c>
      <c r="E56" s="80">
        <v>160</v>
      </c>
      <c r="F56" s="88" t="s">
        <v>76</v>
      </c>
      <c r="G56" s="89"/>
      <c r="H56" s="88" t="s">
        <v>76</v>
      </c>
      <c r="I56" s="88" t="s">
        <v>76</v>
      </c>
      <c r="J56" s="88" t="s">
        <v>76</v>
      </c>
      <c r="K56" s="88">
        <v>120</v>
      </c>
      <c r="L56" s="88" t="s">
        <v>76</v>
      </c>
      <c r="M56" s="89"/>
      <c r="N56" s="88" t="s">
        <v>76</v>
      </c>
      <c r="O56" s="88" t="s">
        <v>76</v>
      </c>
      <c r="P56" s="88" t="s">
        <v>76</v>
      </c>
      <c r="Q56" s="88">
        <v>140</v>
      </c>
      <c r="R56" s="88" t="s">
        <v>76</v>
      </c>
      <c r="S56" s="89"/>
      <c r="T56" s="88" t="s">
        <v>76</v>
      </c>
      <c r="U56" s="88" t="s">
        <v>76</v>
      </c>
      <c r="V56" s="88" t="s">
        <v>76</v>
      </c>
      <c r="W56" s="88">
        <v>160</v>
      </c>
      <c r="X56" s="88" t="s">
        <v>76</v>
      </c>
      <c r="Y56" s="89"/>
      <c r="Z56" s="88" t="s">
        <v>76</v>
      </c>
      <c r="AA56" s="88" t="s">
        <v>76</v>
      </c>
      <c r="AB56" s="88"/>
      <c r="AC56" s="88"/>
      <c r="AD56" s="88"/>
      <c r="AF56" s="9">
        <f>SUM(B56:AE56)</f>
        <v>580</v>
      </c>
      <c r="AG56" s="6">
        <f>'Facility Data'!D45</f>
        <v>381</v>
      </c>
      <c r="AH56" s="49">
        <f>AF56/AG56</f>
        <v>1.5223097112860893</v>
      </c>
    </row>
    <row r="57" spans="1:34">
      <c r="A57" s="23" t="s">
        <v>53</v>
      </c>
      <c r="B57" s="81" t="s">
        <v>76</v>
      </c>
      <c r="C57" s="80">
        <v>200</v>
      </c>
      <c r="D57" s="80" t="s">
        <v>76</v>
      </c>
      <c r="E57" s="80" t="s">
        <v>76</v>
      </c>
      <c r="F57" s="88" t="s">
        <v>76</v>
      </c>
      <c r="G57" s="89"/>
      <c r="H57" s="88" t="s">
        <v>76</v>
      </c>
      <c r="I57" s="88">
        <v>180</v>
      </c>
      <c r="J57" s="88" t="s">
        <v>76</v>
      </c>
      <c r="K57" s="88" t="s">
        <v>76</v>
      </c>
      <c r="L57" s="88" t="s">
        <v>76</v>
      </c>
      <c r="M57" s="89"/>
      <c r="N57" s="88" t="s">
        <v>76</v>
      </c>
      <c r="O57" s="88">
        <v>180</v>
      </c>
      <c r="P57" s="88" t="s">
        <v>76</v>
      </c>
      <c r="Q57" s="88" t="s">
        <v>76</v>
      </c>
      <c r="R57" s="88" t="s">
        <v>76</v>
      </c>
      <c r="S57" s="89"/>
      <c r="T57" s="88" t="s">
        <v>76</v>
      </c>
      <c r="U57" s="88">
        <v>340</v>
      </c>
      <c r="V57" s="88" t="s">
        <v>76</v>
      </c>
      <c r="W57" s="88" t="s">
        <v>76</v>
      </c>
      <c r="X57" s="88" t="s">
        <v>76</v>
      </c>
      <c r="Y57" s="89"/>
      <c r="Z57" s="88" t="s">
        <v>76</v>
      </c>
      <c r="AA57" s="88">
        <v>360</v>
      </c>
      <c r="AB57" s="88"/>
      <c r="AC57" s="88"/>
      <c r="AD57" s="88"/>
      <c r="AF57" s="9">
        <f>SUM(B57:AE57)</f>
        <v>1260</v>
      </c>
      <c r="AG57" s="6">
        <f>'Facility Data'!D32</f>
        <v>846</v>
      </c>
      <c r="AH57" s="49">
        <f>AF57/AG57</f>
        <v>1.4893617021276595</v>
      </c>
    </row>
    <row r="58" spans="1:34">
      <c r="A58" s="25" t="s">
        <v>25</v>
      </c>
      <c r="B58" s="81">
        <v>160</v>
      </c>
      <c r="C58" s="80" t="s">
        <v>76</v>
      </c>
      <c r="D58" s="80" t="s">
        <v>76</v>
      </c>
      <c r="E58" s="80">
        <v>180</v>
      </c>
      <c r="F58" s="88" t="s">
        <v>76</v>
      </c>
      <c r="G58" s="89"/>
      <c r="H58" s="88">
        <v>200</v>
      </c>
      <c r="I58" s="88" t="s">
        <v>76</v>
      </c>
      <c r="J58" s="88" t="s">
        <v>76</v>
      </c>
      <c r="K58" s="88">
        <v>320</v>
      </c>
      <c r="L58" s="88" t="s">
        <v>76</v>
      </c>
      <c r="M58" s="89"/>
      <c r="N58" s="88">
        <v>140</v>
      </c>
      <c r="O58" s="88" t="s">
        <v>76</v>
      </c>
      <c r="P58" s="88" t="s">
        <v>76</v>
      </c>
      <c r="Q58" s="88">
        <v>100</v>
      </c>
      <c r="R58" s="88" t="s">
        <v>76</v>
      </c>
      <c r="S58" s="89"/>
      <c r="T58" s="88">
        <v>160</v>
      </c>
      <c r="U58" s="88" t="s">
        <v>76</v>
      </c>
      <c r="V58" s="88" t="s">
        <v>76</v>
      </c>
      <c r="W58" s="88">
        <v>180</v>
      </c>
      <c r="X58" s="88" t="s">
        <v>76</v>
      </c>
      <c r="Y58" s="89"/>
      <c r="Z58" s="88">
        <v>200</v>
      </c>
      <c r="AA58" s="88" t="s">
        <v>76</v>
      </c>
      <c r="AB58" s="88"/>
      <c r="AC58" s="88"/>
      <c r="AD58" s="88"/>
      <c r="AF58" s="9">
        <f>SUM(B58:AE58)</f>
        <v>1640</v>
      </c>
      <c r="AG58" s="6">
        <f>'Facility Data'!D57</f>
        <v>1227</v>
      </c>
      <c r="AH58" s="49">
        <f>AF58/AG58</f>
        <v>1.3365933170334148</v>
      </c>
    </row>
    <row r="59" spans="1:34">
      <c r="A59" s="23" t="s">
        <v>46</v>
      </c>
      <c r="B59" s="81" t="s">
        <v>76</v>
      </c>
      <c r="C59" s="80" t="s">
        <v>76</v>
      </c>
      <c r="D59" s="80" t="s">
        <v>76</v>
      </c>
      <c r="E59" s="80">
        <v>120</v>
      </c>
      <c r="F59" s="88" t="s">
        <v>76</v>
      </c>
      <c r="G59" s="89"/>
      <c r="H59" s="88" t="s">
        <v>76</v>
      </c>
      <c r="I59" s="88" t="s">
        <v>76</v>
      </c>
      <c r="J59" s="88" t="s">
        <v>76</v>
      </c>
      <c r="K59" s="88">
        <v>80</v>
      </c>
      <c r="L59" s="88" t="s">
        <v>76</v>
      </c>
      <c r="M59" s="89"/>
      <c r="N59" s="88" t="s">
        <v>76</v>
      </c>
      <c r="O59" s="88" t="s">
        <v>76</v>
      </c>
      <c r="P59" s="88" t="s">
        <v>76</v>
      </c>
      <c r="Q59" s="88">
        <v>60</v>
      </c>
      <c r="R59" s="88" t="s">
        <v>76</v>
      </c>
      <c r="S59" s="89"/>
      <c r="T59" s="88" t="s">
        <v>76</v>
      </c>
      <c r="U59" s="88" t="s">
        <v>76</v>
      </c>
      <c r="V59" s="88" t="s">
        <v>76</v>
      </c>
      <c r="W59" s="88">
        <v>100</v>
      </c>
      <c r="X59" s="88" t="s">
        <v>76</v>
      </c>
      <c r="Y59" s="89"/>
      <c r="Z59" s="88" t="s">
        <v>76</v>
      </c>
      <c r="AA59" s="88" t="s">
        <v>76</v>
      </c>
      <c r="AB59" s="88"/>
      <c r="AC59" s="88"/>
      <c r="AD59" s="88"/>
      <c r="AF59" s="9">
        <f>SUM(B59:AE59)</f>
        <v>360</v>
      </c>
      <c r="AG59" s="6">
        <f>'Facility Data'!D20</f>
        <v>274</v>
      </c>
      <c r="AH59" s="49">
        <f>AF59/AG59</f>
        <v>1.3138686131386861</v>
      </c>
    </row>
    <row r="60" spans="1:34">
      <c r="A60" s="25" t="s">
        <v>7</v>
      </c>
      <c r="B60" s="81">
        <v>80</v>
      </c>
      <c r="C60" s="80" t="s">
        <v>76</v>
      </c>
      <c r="D60" s="80">
        <v>160</v>
      </c>
      <c r="E60" s="80" t="s">
        <v>76</v>
      </c>
      <c r="F60" s="88">
        <v>100</v>
      </c>
      <c r="G60" s="89"/>
      <c r="H60" s="88">
        <v>120</v>
      </c>
      <c r="I60" s="88" t="s">
        <v>76</v>
      </c>
      <c r="J60" s="88">
        <v>100</v>
      </c>
      <c r="K60" s="88" t="s">
        <v>76</v>
      </c>
      <c r="L60" s="88">
        <v>200</v>
      </c>
      <c r="M60" s="89"/>
      <c r="N60" s="88">
        <v>180</v>
      </c>
      <c r="O60" s="88" t="s">
        <v>76</v>
      </c>
      <c r="P60" s="88">
        <v>220</v>
      </c>
      <c r="Q60" s="88" t="s">
        <v>76</v>
      </c>
      <c r="R60" s="88">
        <v>100</v>
      </c>
      <c r="S60" s="89"/>
      <c r="T60" s="88">
        <v>380</v>
      </c>
      <c r="U60" s="88" t="s">
        <v>76</v>
      </c>
      <c r="V60" s="88">
        <v>220</v>
      </c>
      <c r="W60" s="88" t="s">
        <v>76</v>
      </c>
      <c r="X60" s="88">
        <v>120</v>
      </c>
      <c r="Y60" s="89"/>
      <c r="Z60" s="88">
        <v>140</v>
      </c>
      <c r="AA60" s="88" t="s">
        <v>76</v>
      </c>
      <c r="AB60" s="88"/>
      <c r="AC60" s="88"/>
      <c r="AD60" s="88"/>
      <c r="AF60" s="9">
        <f>SUM(B60:AE60)</f>
        <v>2120</v>
      </c>
      <c r="AG60" s="6">
        <f>'Facility Data'!D23</f>
        <v>1646</v>
      </c>
      <c r="AH60" s="49">
        <f>AF60/AG60</f>
        <v>1.2879708383961117</v>
      </c>
    </row>
    <row r="61" spans="1:34">
      <c r="A61" s="23" t="s">
        <v>10</v>
      </c>
      <c r="B61" s="81" t="s">
        <v>76</v>
      </c>
      <c r="C61" s="80" t="s">
        <v>76</v>
      </c>
      <c r="D61" s="80" t="s">
        <v>76</v>
      </c>
      <c r="E61" s="80">
        <v>300</v>
      </c>
      <c r="F61" s="88" t="s">
        <v>76</v>
      </c>
      <c r="G61" s="89"/>
      <c r="H61" s="88" t="s">
        <v>76</v>
      </c>
      <c r="I61" s="88" t="s">
        <v>76</v>
      </c>
      <c r="J61" s="88" t="s">
        <v>76</v>
      </c>
      <c r="K61" s="88">
        <v>160</v>
      </c>
      <c r="L61" s="88" t="s">
        <v>76</v>
      </c>
      <c r="M61" s="89"/>
      <c r="N61" s="88" t="s">
        <v>76</v>
      </c>
      <c r="O61" s="88" t="s">
        <v>76</v>
      </c>
      <c r="P61" s="88" t="s">
        <v>76</v>
      </c>
      <c r="Q61" s="88">
        <v>80</v>
      </c>
      <c r="R61" s="88" t="s">
        <v>76</v>
      </c>
      <c r="S61" s="89"/>
      <c r="T61" s="88" t="s">
        <v>76</v>
      </c>
      <c r="U61" s="88" t="s">
        <v>76</v>
      </c>
      <c r="V61" s="88" t="s">
        <v>76</v>
      </c>
      <c r="W61" s="88">
        <v>120</v>
      </c>
      <c r="X61" s="88" t="s">
        <v>76</v>
      </c>
      <c r="Y61" s="89"/>
      <c r="Z61" s="88" t="s">
        <v>76</v>
      </c>
      <c r="AA61" s="88" t="s">
        <v>76</v>
      </c>
      <c r="AB61" s="88"/>
      <c r="AC61" s="88"/>
      <c r="AD61" s="88"/>
      <c r="AF61" s="9">
        <f>SUM(B61:AE61)</f>
        <v>660</v>
      </c>
      <c r="AG61" s="6">
        <f>'Facility Data'!D27</f>
        <v>541</v>
      </c>
      <c r="AH61" s="49">
        <f>AF61/AG61</f>
        <v>1.2199630314232901</v>
      </c>
    </row>
    <row r="62" spans="1:34">
      <c r="A62" s="23" t="s">
        <v>48</v>
      </c>
      <c r="B62" s="81">
        <v>100</v>
      </c>
      <c r="C62" s="80" t="s">
        <v>76</v>
      </c>
      <c r="D62" s="80" t="s">
        <v>76</v>
      </c>
      <c r="E62" s="80" t="s">
        <v>76</v>
      </c>
      <c r="F62" s="88" t="s">
        <v>76</v>
      </c>
      <c r="G62" s="89"/>
      <c r="H62" s="88">
        <v>140</v>
      </c>
      <c r="I62" s="88" t="s">
        <v>76</v>
      </c>
      <c r="J62" s="88" t="s">
        <v>76</v>
      </c>
      <c r="K62" s="88" t="s">
        <v>76</v>
      </c>
      <c r="L62" s="88" t="s">
        <v>76</v>
      </c>
      <c r="M62" s="89"/>
      <c r="N62" s="88">
        <v>300</v>
      </c>
      <c r="O62" s="88" t="s">
        <v>76</v>
      </c>
      <c r="P62" s="88" t="s">
        <v>76</v>
      </c>
      <c r="Q62" s="88" t="s">
        <v>76</v>
      </c>
      <c r="R62" s="88" t="s">
        <v>76</v>
      </c>
      <c r="S62" s="89"/>
      <c r="T62" s="88">
        <v>80</v>
      </c>
      <c r="U62" s="88" t="s">
        <v>76</v>
      </c>
      <c r="V62" s="88" t="s">
        <v>76</v>
      </c>
      <c r="W62" s="88" t="s">
        <v>76</v>
      </c>
      <c r="X62" s="88" t="s">
        <v>76</v>
      </c>
      <c r="Y62" s="89"/>
      <c r="Z62" s="88">
        <v>80</v>
      </c>
      <c r="AA62" s="88" t="s">
        <v>76</v>
      </c>
      <c r="AB62" s="88"/>
      <c r="AC62" s="88"/>
      <c r="AD62" s="88"/>
      <c r="AF62" s="9">
        <f>SUM(B62:AE62)</f>
        <v>700</v>
      </c>
      <c r="AG62" s="6">
        <f>'Facility Data'!D22</f>
        <v>586</v>
      </c>
      <c r="AH62" s="49">
        <f>AF62/AG62</f>
        <v>1.1945392491467577</v>
      </c>
    </row>
    <row r="63" spans="1:34">
      <c r="A63" s="23" t="s">
        <v>54</v>
      </c>
      <c r="B63" s="81" t="s">
        <v>76</v>
      </c>
      <c r="C63" s="80">
        <v>180</v>
      </c>
      <c r="D63" s="80" t="s">
        <v>76</v>
      </c>
      <c r="E63" s="80" t="s">
        <v>76</v>
      </c>
      <c r="F63" s="88" t="s">
        <v>76</v>
      </c>
      <c r="G63" s="89"/>
      <c r="H63" s="88" t="s">
        <v>76</v>
      </c>
      <c r="I63" s="88">
        <v>240</v>
      </c>
      <c r="J63" s="88" t="s">
        <v>76</v>
      </c>
      <c r="K63" s="88" t="s">
        <v>76</v>
      </c>
      <c r="L63" s="88" t="s">
        <v>76</v>
      </c>
      <c r="M63" s="89"/>
      <c r="N63" s="88" t="s">
        <v>76</v>
      </c>
      <c r="O63" s="88">
        <v>60</v>
      </c>
      <c r="P63" s="88" t="s">
        <v>76</v>
      </c>
      <c r="Q63" s="88" t="s">
        <v>76</v>
      </c>
      <c r="R63" s="88" t="s">
        <v>76</v>
      </c>
      <c r="S63" s="89"/>
      <c r="T63" s="88" t="s">
        <v>76</v>
      </c>
      <c r="U63" s="88">
        <v>220</v>
      </c>
      <c r="V63" s="88" t="s">
        <v>76</v>
      </c>
      <c r="W63" s="88" t="s">
        <v>76</v>
      </c>
      <c r="X63" s="88" t="s">
        <v>76</v>
      </c>
      <c r="Y63" s="89"/>
      <c r="Z63" s="88" t="s">
        <v>76</v>
      </c>
      <c r="AA63" s="88">
        <v>100</v>
      </c>
      <c r="AB63" s="88"/>
      <c r="AC63" s="88"/>
      <c r="AD63" s="88"/>
      <c r="AF63" s="9">
        <f>SUM(B63:AE63)</f>
        <v>800</v>
      </c>
      <c r="AG63" s="6">
        <f>'Facility Data'!D35</f>
        <v>707</v>
      </c>
      <c r="AH63" s="49">
        <f>AF63/AG63</f>
        <v>1.1315417256011315</v>
      </c>
    </row>
    <row r="64" spans="1:34">
      <c r="A64" s="23" t="s">
        <v>60</v>
      </c>
      <c r="B64" s="81" t="s">
        <v>76</v>
      </c>
      <c r="C64" s="80" t="s">
        <v>76</v>
      </c>
      <c r="D64" s="80" t="s">
        <v>76</v>
      </c>
      <c r="E64" s="80" t="s">
        <v>76</v>
      </c>
      <c r="F64" s="88">
        <v>200</v>
      </c>
      <c r="G64" s="89"/>
      <c r="H64" s="88" t="s">
        <v>76</v>
      </c>
      <c r="I64" s="88" t="s">
        <v>76</v>
      </c>
      <c r="J64" s="88" t="s">
        <v>76</v>
      </c>
      <c r="K64" s="88" t="s">
        <v>76</v>
      </c>
      <c r="L64" s="88">
        <v>180</v>
      </c>
      <c r="M64" s="89"/>
      <c r="N64" s="88" t="s">
        <v>76</v>
      </c>
      <c r="O64" s="88" t="s">
        <v>76</v>
      </c>
      <c r="P64" s="88" t="s">
        <v>76</v>
      </c>
      <c r="Q64" s="88" t="s">
        <v>76</v>
      </c>
      <c r="R64" s="88">
        <v>80</v>
      </c>
      <c r="S64" s="89"/>
      <c r="T64" s="88" t="s">
        <v>76</v>
      </c>
      <c r="U64" s="88" t="s">
        <v>76</v>
      </c>
      <c r="V64" s="88" t="s">
        <v>76</v>
      </c>
      <c r="W64" s="88" t="s">
        <v>76</v>
      </c>
      <c r="X64" s="88">
        <v>200</v>
      </c>
      <c r="Y64" s="89"/>
      <c r="Z64" s="88" t="s">
        <v>76</v>
      </c>
      <c r="AA64" s="88" t="s">
        <v>76</v>
      </c>
      <c r="AB64" s="88"/>
      <c r="AC64" s="88"/>
      <c r="AD64" s="88"/>
      <c r="AF64" s="9">
        <f>SUM(B64:AE64)</f>
        <v>660</v>
      </c>
      <c r="AG64" s="6">
        <f>'Facility Data'!D50</f>
        <v>598</v>
      </c>
      <c r="AH64" s="49">
        <f>AF64/AG64</f>
        <v>1.1036789297658862</v>
      </c>
    </row>
    <row r="65" spans="1:34">
      <c r="A65" s="23" t="s">
        <v>38</v>
      </c>
      <c r="B65" s="81" t="s">
        <v>76</v>
      </c>
      <c r="C65" s="80" t="s">
        <v>76</v>
      </c>
      <c r="D65" s="80" t="s">
        <v>76</v>
      </c>
      <c r="E65" s="80">
        <v>100</v>
      </c>
      <c r="F65" s="88" t="s">
        <v>76</v>
      </c>
      <c r="G65" s="89"/>
      <c r="H65" s="88" t="s">
        <v>76</v>
      </c>
      <c r="I65" s="88" t="s">
        <v>76</v>
      </c>
      <c r="J65" s="88" t="s">
        <v>76</v>
      </c>
      <c r="K65" s="88">
        <v>260</v>
      </c>
      <c r="L65" s="88" t="s">
        <v>76</v>
      </c>
      <c r="M65" s="89"/>
      <c r="N65" s="88" t="s">
        <v>76</v>
      </c>
      <c r="O65" s="88" t="s">
        <v>76</v>
      </c>
      <c r="P65" s="88" t="s">
        <v>76</v>
      </c>
      <c r="Q65" s="88">
        <v>180</v>
      </c>
      <c r="R65" s="88" t="s">
        <v>76</v>
      </c>
      <c r="S65" s="89"/>
      <c r="T65" s="88" t="s">
        <v>76</v>
      </c>
      <c r="U65" s="88" t="s">
        <v>76</v>
      </c>
      <c r="V65" s="88" t="s">
        <v>76</v>
      </c>
      <c r="W65" s="88">
        <v>80</v>
      </c>
      <c r="X65" s="88" t="s">
        <v>76</v>
      </c>
      <c r="Y65" s="89"/>
      <c r="Z65" s="88" t="s">
        <v>76</v>
      </c>
      <c r="AA65" s="88" t="s">
        <v>76</v>
      </c>
      <c r="AB65" s="88"/>
      <c r="AC65" s="88"/>
      <c r="AD65" s="88"/>
      <c r="AF65" s="9">
        <f>SUM(B65:AE65)</f>
        <v>620</v>
      </c>
      <c r="AG65" s="6">
        <f>'Facility Data'!D8</f>
        <v>644</v>
      </c>
      <c r="AH65" s="49">
        <f>AF65/AG65</f>
        <v>0.96273291925465843</v>
      </c>
    </row>
    <row r="66" spans="1:34">
      <c r="A66" s="23" t="s">
        <v>40</v>
      </c>
      <c r="B66" s="81" t="s">
        <v>76</v>
      </c>
      <c r="C66" s="80">
        <v>160</v>
      </c>
      <c r="D66" s="80" t="s">
        <v>76</v>
      </c>
      <c r="E66" s="80" t="s">
        <v>76</v>
      </c>
      <c r="F66" s="88" t="s">
        <v>76</v>
      </c>
      <c r="G66" s="89"/>
      <c r="H66" s="88" t="s">
        <v>76</v>
      </c>
      <c r="I66" s="88">
        <v>20</v>
      </c>
      <c r="J66" s="88" t="s">
        <v>76</v>
      </c>
      <c r="K66" s="88" t="s">
        <v>76</v>
      </c>
      <c r="L66" s="88" t="s">
        <v>76</v>
      </c>
      <c r="M66" s="89"/>
      <c r="N66" s="88" t="s">
        <v>76</v>
      </c>
      <c r="O66" s="88">
        <v>120</v>
      </c>
      <c r="P66" s="88" t="s">
        <v>76</v>
      </c>
      <c r="Q66" s="88" t="s">
        <v>76</v>
      </c>
      <c r="R66" s="88" t="s">
        <v>76</v>
      </c>
      <c r="S66" s="89"/>
      <c r="T66" s="88" t="s">
        <v>76</v>
      </c>
      <c r="U66" s="88">
        <v>60</v>
      </c>
      <c r="V66" s="88" t="s">
        <v>76</v>
      </c>
      <c r="W66" s="88" t="s">
        <v>76</v>
      </c>
      <c r="X66" s="88" t="s">
        <v>76</v>
      </c>
      <c r="Y66" s="89"/>
      <c r="Z66" s="88" t="s">
        <v>76</v>
      </c>
      <c r="AA66" s="88">
        <v>240</v>
      </c>
      <c r="AB66" s="88"/>
      <c r="AC66" s="88"/>
      <c r="AD66" s="88"/>
      <c r="AF66" s="9">
        <f>SUM(B66:AE66)</f>
        <v>600</v>
      </c>
      <c r="AG66" s="6">
        <f>'Facility Data'!D12</f>
        <v>740</v>
      </c>
      <c r="AH66" s="49">
        <f>AF66/AG66</f>
        <v>0.81081081081081086</v>
      </c>
    </row>
    <row r="67" spans="1:34">
      <c r="A67" s="24" t="s">
        <v>77</v>
      </c>
      <c r="B67" s="81" t="s">
        <v>76</v>
      </c>
      <c r="C67" s="80" t="s">
        <v>76</v>
      </c>
      <c r="D67" s="80" t="s">
        <v>76</v>
      </c>
      <c r="E67" s="80">
        <v>180</v>
      </c>
      <c r="F67" s="88" t="s">
        <v>76</v>
      </c>
      <c r="G67" s="89"/>
      <c r="H67" s="88" t="s">
        <v>76</v>
      </c>
      <c r="I67" s="88" t="s">
        <v>76</v>
      </c>
      <c r="J67" s="88" t="s">
        <v>76</v>
      </c>
      <c r="K67" s="88">
        <v>160</v>
      </c>
      <c r="L67" s="88" t="s">
        <v>76</v>
      </c>
      <c r="M67" s="89"/>
      <c r="N67" s="88" t="s">
        <v>76</v>
      </c>
      <c r="O67" s="88" t="s">
        <v>76</v>
      </c>
      <c r="P67" s="88" t="s">
        <v>76</v>
      </c>
      <c r="Q67" s="88">
        <v>80</v>
      </c>
      <c r="R67" s="88" t="s">
        <v>76</v>
      </c>
      <c r="S67" s="89"/>
      <c r="T67" s="88" t="s">
        <v>76</v>
      </c>
      <c r="U67" s="88" t="s">
        <v>76</v>
      </c>
      <c r="V67" s="88" t="s">
        <v>76</v>
      </c>
      <c r="W67" s="88">
        <v>120</v>
      </c>
      <c r="X67" s="88" t="s">
        <v>76</v>
      </c>
      <c r="Y67" s="89"/>
      <c r="Z67" s="88" t="s">
        <v>76</v>
      </c>
      <c r="AA67" s="88" t="s">
        <v>76</v>
      </c>
      <c r="AB67" s="88"/>
      <c r="AC67" s="88"/>
      <c r="AD67" s="88"/>
      <c r="AF67" s="9">
        <f>SUM(B67:AE67)</f>
        <v>540</v>
      </c>
      <c r="AG67" s="6">
        <f>'Facility Data'!D55</f>
        <v>900</v>
      </c>
      <c r="AH67" s="49">
        <f>AF67/AG67</f>
        <v>0.6</v>
      </c>
    </row>
    <row r="69" spans="1:34">
      <c r="AF69" s="92">
        <f>SUM(AF6:AF68)</f>
        <v>108246</v>
      </c>
    </row>
  </sheetData>
  <sortState ref="A6:AH67">
    <sortCondition descending="1" ref="AH6:AH67"/>
  </sortState>
  <mergeCells count="1">
    <mergeCell ref="A1:AH1"/>
  </mergeCells>
  <pageMargins left="0.25" right="0.25" top="0.45" bottom="0.31" header="0.3" footer="0.3"/>
  <pageSetup paperSize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38"/>
  <sheetViews>
    <sheetView workbookViewId="0">
      <selection activeCell="K23" sqref="K23"/>
    </sheetView>
  </sheetViews>
  <sheetFormatPr defaultRowHeight="15"/>
  <cols>
    <col min="1" max="1" width="5.42578125" style="31" customWidth="1"/>
    <col min="2" max="2" width="30.140625" customWidth="1"/>
    <col min="3" max="3" width="7.42578125" customWidth="1"/>
    <col min="4" max="4" width="1.85546875" customWidth="1"/>
    <col min="5" max="5" width="29" customWidth="1"/>
    <col min="6" max="6" width="7.28515625" customWidth="1"/>
    <col min="7" max="7" width="1.5703125" customWidth="1"/>
    <col min="8" max="8" width="28" customWidth="1"/>
    <col min="9" max="9" width="7.28515625" customWidth="1"/>
    <col min="10" max="10" width="1.85546875" customWidth="1"/>
    <col min="11" max="11" width="29.42578125" customWidth="1"/>
    <col min="12" max="12" width="7.28515625" customWidth="1"/>
    <col min="13" max="13" width="1.7109375" customWidth="1"/>
    <col min="14" max="14" width="27.28515625" customWidth="1"/>
    <col min="15" max="15" width="7.28515625" customWidth="1"/>
  </cols>
  <sheetData>
    <row r="1" spans="1:11">
      <c r="B1" s="95" t="s">
        <v>89</v>
      </c>
      <c r="C1" s="95"/>
      <c r="D1" s="95"/>
      <c r="E1" s="95"/>
      <c r="F1" s="95"/>
      <c r="G1" s="95"/>
      <c r="H1" s="95"/>
      <c r="I1" s="95"/>
      <c r="J1" s="95"/>
      <c r="K1" s="95"/>
    </row>
    <row r="2" spans="1:11" ht="6.75" customHeight="1"/>
    <row r="3" spans="1:11" s="31" customFormat="1" ht="26.25" customHeight="1">
      <c r="B3" s="31" t="s">
        <v>88</v>
      </c>
      <c r="C3" s="79" t="s">
        <v>94</v>
      </c>
      <c r="E3" s="31" t="s">
        <v>87</v>
      </c>
      <c r="F3" s="79" t="s">
        <v>94</v>
      </c>
      <c r="H3" s="31" t="s">
        <v>86</v>
      </c>
      <c r="I3" s="79" t="s">
        <v>94</v>
      </c>
    </row>
    <row r="4" spans="1:11">
      <c r="A4" s="31">
        <v>1</v>
      </c>
      <c r="B4" s="77" t="s">
        <v>16</v>
      </c>
      <c r="C4" s="56">
        <v>12.994350282485875</v>
      </c>
      <c r="D4" s="51"/>
      <c r="E4" s="53" t="s">
        <v>16</v>
      </c>
      <c r="F4" s="56">
        <v>12.994350282485875</v>
      </c>
      <c r="G4" s="57"/>
      <c r="H4" s="52" t="s">
        <v>41</v>
      </c>
      <c r="I4" s="56">
        <v>10.64327485380117</v>
      </c>
    </row>
    <row r="5" spans="1:11">
      <c r="A5" s="31">
        <v>2</v>
      </c>
      <c r="B5" s="77" t="s">
        <v>6</v>
      </c>
      <c r="C5" s="56">
        <v>6.2809917355371905</v>
      </c>
      <c r="D5" s="51"/>
      <c r="E5" s="53" t="s">
        <v>6</v>
      </c>
      <c r="F5" s="56">
        <v>6.2809917355371905</v>
      </c>
      <c r="G5" s="57"/>
      <c r="H5" s="53" t="s">
        <v>6</v>
      </c>
      <c r="I5" s="56">
        <v>6.115702479338843</v>
      </c>
    </row>
    <row r="6" spans="1:11">
      <c r="A6" s="31">
        <v>3</v>
      </c>
      <c r="B6" s="78" t="s">
        <v>55</v>
      </c>
      <c r="C6" s="56">
        <v>4.6330935251798557</v>
      </c>
      <c r="D6" s="51"/>
      <c r="E6" s="52" t="s">
        <v>55</v>
      </c>
      <c r="F6" s="56">
        <v>4.6330935251798557</v>
      </c>
      <c r="G6" s="57"/>
      <c r="H6" s="52" t="s">
        <v>47</v>
      </c>
      <c r="I6" s="56">
        <v>5.8682634730538918</v>
      </c>
    </row>
    <row r="7" spans="1:11">
      <c r="A7" s="31">
        <v>4</v>
      </c>
      <c r="B7" s="78" t="s">
        <v>68</v>
      </c>
      <c r="C7" s="56">
        <v>3.813229571984436</v>
      </c>
      <c r="D7" s="51"/>
      <c r="E7" s="52" t="s">
        <v>68</v>
      </c>
      <c r="F7" s="56">
        <v>3.813229571984436</v>
      </c>
      <c r="G7" s="57"/>
      <c r="H7" s="52" t="s">
        <v>50</v>
      </c>
      <c r="I7" s="56">
        <v>5.3561253561253563</v>
      </c>
    </row>
    <row r="8" spans="1:11">
      <c r="A8" s="31">
        <v>5</v>
      </c>
      <c r="B8" s="78" t="s">
        <v>50</v>
      </c>
      <c r="C8" s="56">
        <v>3.3903133903133904</v>
      </c>
      <c r="D8" s="51"/>
      <c r="E8" s="52" t="s">
        <v>50</v>
      </c>
      <c r="F8" s="56">
        <v>3.3903133903133904</v>
      </c>
      <c r="G8" s="57"/>
      <c r="H8" s="53" t="s">
        <v>16</v>
      </c>
      <c r="I8" s="56">
        <v>4.7457627118644066</v>
      </c>
    </row>
    <row r="9" spans="1:11">
      <c r="A9" s="31">
        <v>6</v>
      </c>
      <c r="B9" s="54" t="s">
        <v>17</v>
      </c>
      <c r="C9" s="56">
        <v>3.2965686274509802</v>
      </c>
      <c r="D9" s="51"/>
      <c r="E9" s="54" t="s">
        <v>17</v>
      </c>
      <c r="F9" s="56">
        <v>3.2965686274509802</v>
      </c>
      <c r="G9" s="57"/>
      <c r="H9" s="55" t="s">
        <v>23</v>
      </c>
      <c r="I9" s="56">
        <v>4.6746987951807233</v>
      </c>
    </row>
    <row r="10" spans="1:11">
      <c r="A10" s="31">
        <v>7</v>
      </c>
      <c r="B10" s="52" t="s">
        <v>67</v>
      </c>
      <c r="C10" s="56">
        <v>3.192488262910798</v>
      </c>
      <c r="D10" s="51"/>
      <c r="E10" s="52" t="s">
        <v>67</v>
      </c>
      <c r="F10" s="56">
        <v>3.192488262910798</v>
      </c>
      <c r="G10" s="57"/>
      <c r="H10" s="52" t="s">
        <v>45</v>
      </c>
      <c r="I10" s="56">
        <v>4.615384615384615</v>
      </c>
    </row>
    <row r="11" spans="1:11">
      <c r="A11" s="31">
        <v>8</v>
      </c>
      <c r="B11" s="55" t="s">
        <v>9</v>
      </c>
      <c r="C11" s="56">
        <v>3.0415754923413565</v>
      </c>
      <c r="D11" s="51"/>
      <c r="E11" s="55" t="s">
        <v>9</v>
      </c>
      <c r="F11" s="56">
        <v>3.0415754923413565</v>
      </c>
      <c r="G11" s="57"/>
      <c r="H11" s="52" t="s">
        <v>43</v>
      </c>
      <c r="I11" s="56">
        <v>4.4776119402985071</v>
      </c>
    </row>
    <row r="12" spans="1:11">
      <c r="A12" s="31">
        <v>9</v>
      </c>
      <c r="B12" s="52" t="s">
        <v>66</v>
      </c>
      <c r="C12" s="56">
        <v>2.7751196172248802</v>
      </c>
      <c r="D12" s="51"/>
      <c r="E12" s="52" t="s">
        <v>66</v>
      </c>
      <c r="F12" s="56">
        <v>2.7751196172248802</v>
      </c>
      <c r="G12" s="57"/>
      <c r="H12" s="52" t="s">
        <v>36</v>
      </c>
      <c r="I12" s="56">
        <v>4.3902439024390247</v>
      </c>
    </row>
    <row r="13" spans="1:11">
      <c r="A13" s="31">
        <v>10</v>
      </c>
      <c r="B13" s="52" t="s">
        <v>69</v>
      </c>
      <c r="C13" s="56">
        <v>2.7710843373493974</v>
      </c>
      <c r="D13" s="51"/>
      <c r="E13" s="52" t="s">
        <v>69</v>
      </c>
      <c r="F13" s="56">
        <v>2.7710843373493974</v>
      </c>
      <c r="G13" s="57"/>
      <c r="H13" s="52" t="s">
        <v>10</v>
      </c>
      <c r="I13" s="56">
        <v>4.3253234750462104</v>
      </c>
    </row>
    <row r="14" spans="1:11" ht="7.5" customHeight="1"/>
    <row r="15" spans="1:11" ht="26.25" customHeight="1">
      <c r="B15" s="31" t="s">
        <v>90</v>
      </c>
      <c r="C15" s="79" t="s">
        <v>94</v>
      </c>
      <c r="D15" s="31"/>
      <c r="E15" s="31" t="s">
        <v>93</v>
      </c>
      <c r="F15" s="79" t="s">
        <v>94</v>
      </c>
      <c r="H15" s="31" t="s">
        <v>95</v>
      </c>
      <c r="I15" s="79" t="s">
        <v>94</v>
      </c>
    </row>
    <row r="16" spans="1:11">
      <c r="A16" s="31">
        <v>1</v>
      </c>
      <c r="B16" s="53" t="s">
        <v>16</v>
      </c>
      <c r="C16" s="59">
        <v>6.7796610169491522</v>
      </c>
      <c r="E16" s="53" t="s">
        <v>6</v>
      </c>
      <c r="F16" s="59">
        <v>7.1074380165289259</v>
      </c>
      <c r="H16" s="52" t="s">
        <v>67</v>
      </c>
      <c r="I16" s="59">
        <v>13.23943661971831</v>
      </c>
    </row>
    <row r="17" spans="1:9">
      <c r="A17" s="31">
        <v>2</v>
      </c>
      <c r="B17" s="52" t="s">
        <v>67</v>
      </c>
      <c r="C17" s="59">
        <v>5.915492957746479</v>
      </c>
      <c r="E17" s="52" t="s">
        <v>41</v>
      </c>
      <c r="F17" s="59">
        <v>7.0175438596491224</v>
      </c>
      <c r="H17" s="53" t="s">
        <v>6</v>
      </c>
      <c r="I17" s="59">
        <v>7.7685950413223139</v>
      </c>
    </row>
    <row r="18" spans="1:9">
      <c r="A18" s="31">
        <v>3</v>
      </c>
      <c r="B18" s="52" t="s">
        <v>47</v>
      </c>
      <c r="C18" s="59">
        <v>5.1497005988023954</v>
      </c>
      <c r="E18" s="52" t="s">
        <v>66</v>
      </c>
      <c r="F18" s="59">
        <v>5.9330143540669855</v>
      </c>
      <c r="H18" s="52" t="s">
        <v>66</v>
      </c>
      <c r="I18" s="59">
        <v>6.4114832535885169</v>
      </c>
    </row>
    <row r="19" spans="1:9">
      <c r="A19" s="31">
        <v>4</v>
      </c>
      <c r="B19" s="53" t="s">
        <v>6</v>
      </c>
      <c r="C19" s="59">
        <v>5.1239669421487601</v>
      </c>
      <c r="E19" s="52" t="s">
        <v>36</v>
      </c>
      <c r="F19" s="59">
        <v>5.718157181571816</v>
      </c>
      <c r="H19" s="52" t="s">
        <v>41</v>
      </c>
      <c r="I19" s="59">
        <v>5.3801169590643276</v>
      </c>
    </row>
    <row r="20" spans="1:9">
      <c r="A20" s="31">
        <v>5</v>
      </c>
      <c r="B20" s="52" t="s">
        <v>41</v>
      </c>
      <c r="C20" s="59">
        <v>5.0877192982456139</v>
      </c>
      <c r="E20" s="52" t="s">
        <v>20</v>
      </c>
      <c r="F20" s="59">
        <v>5.4751131221719458</v>
      </c>
      <c r="H20" s="52" t="s">
        <v>20</v>
      </c>
      <c r="I20" s="59">
        <v>4.751131221719457</v>
      </c>
    </row>
    <row r="21" spans="1:9">
      <c r="A21" s="31">
        <v>6</v>
      </c>
      <c r="B21" s="52" t="s">
        <v>36</v>
      </c>
      <c r="C21" s="59">
        <v>4.7967479674796749</v>
      </c>
      <c r="E21" s="55" t="s">
        <v>23</v>
      </c>
      <c r="F21" s="59">
        <v>5.4698795180722888</v>
      </c>
      <c r="H21" s="52" t="s">
        <v>57</v>
      </c>
      <c r="I21" s="59">
        <v>4.6891651865008885</v>
      </c>
    </row>
    <row r="22" spans="1:9">
      <c r="A22" s="31">
        <v>7</v>
      </c>
      <c r="B22" s="52" t="s">
        <v>57</v>
      </c>
      <c r="C22" s="59">
        <v>4.6891651865008885</v>
      </c>
      <c r="E22" s="55" t="s">
        <v>4</v>
      </c>
      <c r="F22" s="59">
        <v>5.3752181500872602</v>
      </c>
      <c r="H22" s="52" t="s">
        <v>62</v>
      </c>
      <c r="I22" s="59">
        <v>4.3032786885245899</v>
      </c>
    </row>
    <row r="23" spans="1:9">
      <c r="A23" s="31">
        <v>8</v>
      </c>
      <c r="B23" s="54" t="s">
        <v>17</v>
      </c>
      <c r="C23" s="59">
        <v>4.1544117647058822</v>
      </c>
      <c r="E23" s="52" t="s">
        <v>64</v>
      </c>
      <c r="F23" s="59">
        <v>5.3375196232339093</v>
      </c>
      <c r="H23" s="53" t="s">
        <v>16</v>
      </c>
      <c r="I23" s="59">
        <v>4.2937853107344637</v>
      </c>
    </row>
    <row r="24" spans="1:9">
      <c r="A24" s="31">
        <v>9</v>
      </c>
      <c r="B24" s="52" t="s">
        <v>43</v>
      </c>
      <c r="C24" s="59">
        <v>3.8805970149253732</v>
      </c>
      <c r="E24" s="52" t="s">
        <v>52</v>
      </c>
      <c r="F24" s="59">
        <v>5.0793650793650791</v>
      </c>
      <c r="H24" s="52" t="s">
        <v>60</v>
      </c>
      <c r="I24" s="59">
        <v>4.1471571906354514</v>
      </c>
    </row>
    <row r="25" spans="1:9">
      <c r="A25" s="31">
        <v>10</v>
      </c>
      <c r="B25" s="55" t="s">
        <v>12</v>
      </c>
      <c r="C25" s="59">
        <v>3.6144578313253013</v>
      </c>
      <c r="E25" s="53" t="s">
        <v>16</v>
      </c>
      <c r="F25" s="59">
        <v>4.5197740112994351</v>
      </c>
      <c r="H25" s="52" t="s">
        <v>49</v>
      </c>
      <c r="I25" s="59">
        <v>4.1340782122905031</v>
      </c>
    </row>
    <row r="26" spans="1:9" ht="7.5" customHeight="1"/>
    <row r="27" spans="1:9" ht="27.75" customHeight="1">
      <c r="B27" s="31" t="s">
        <v>101</v>
      </c>
      <c r="C27" s="79" t="s">
        <v>94</v>
      </c>
      <c r="E27" s="31" t="s">
        <v>104</v>
      </c>
      <c r="F27" s="79" t="s">
        <v>94</v>
      </c>
      <c r="H27" s="31" t="s">
        <v>105</v>
      </c>
      <c r="I27" s="79" t="s">
        <v>94</v>
      </c>
    </row>
    <row r="28" spans="1:9">
      <c r="B28" s="53" t="s">
        <v>6</v>
      </c>
      <c r="C28" s="59">
        <v>11.570247933884298</v>
      </c>
      <c r="E28" s="53" t="s">
        <v>6</v>
      </c>
      <c r="F28" s="59">
        <v>12.231404958677686</v>
      </c>
      <c r="H28" s="53"/>
      <c r="I28" s="59"/>
    </row>
    <row r="29" spans="1:9">
      <c r="B29" s="53" t="s">
        <v>16</v>
      </c>
      <c r="C29" s="59">
        <v>7.231638418079096</v>
      </c>
      <c r="E29" s="53" t="s">
        <v>16</v>
      </c>
      <c r="F29" s="59">
        <v>8.0225988700564965</v>
      </c>
      <c r="H29" s="53"/>
      <c r="I29" s="59"/>
    </row>
    <row r="30" spans="1:9">
      <c r="B30" s="52" t="s">
        <v>67</v>
      </c>
      <c r="C30" s="59">
        <v>6.197183098591549</v>
      </c>
      <c r="E30" s="54" t="s">
        <v>1</v>
      </c>
      <c r="F30" s="59">
        <v>6.2205700123915735</v>
      </c>
      <c r="H30" s="52"/>
      <c r="I30" s="59"/>
    </row>
    <row r="31" spans="1:9">
      <c r="B31" s="52" t="s">
        <v>64</v>
      </c>
      <c r="C31" s="59">
        <v>5.4317111459968599</v>
      </c>
      <c r="E31" s="54" t="s">
        <v>22</v>
      </c>
      <c r="F31" s="59">
        <v>5.170913610938471</v>
      </c>
      <c r="H31" s="52"/>
      <c r="I31" s="59"/>
    </row>
    <row r="32" spans="1:9">
      <c r="B32" s="52" t="s">
        <v>57</v>
      </c>
      <c r="C32" s="59">
        <v>4.8667850799289525</v>
      </c>
      <c r="E32" s="52" t="s">
        <v>67</v>
      </c>
      <c r="F32" s="59">
        <v>4.882629107981221</v>
      </c>
      <c r="H32" s="52"/>
      <c r="I32" s="59"/>
    </row>
    <row r="33" spans="2:9">
      <c r="B33" s="52" t="s">
        <v>15</v>
      </c>
      <c r="C33" s="59">
        <v>4.8344370860927155</v>
      </c>
      <c r="E33" s="52" t="s">
        <v>50</v>
      </c>
      <c r="F33" s="59">
        <v>4.3589743589743586</v>
      </c>
      <c r="H33" s="52"/>
      <c r="I33" s="59"/>
    </row>
    <row r="34" spans="2:9">
      <c r="B34" s="52" t="s">
        <v>66</v>
      </c>
      <c r="C34" s="59">
        <v>4.3062200956937797</v>
      </c>
      <c r="E34" s="52" t="s">
        <v>66</v>
      </c>
      <c r="F34" s="59">
        <v>4.3540669856459333</v>
      </c>
      <c r="H34" s="52"/>
      <c r="I34" s="59"/>
    </row>
    <row r="35" spans="2:9">
      <c r="B35" s="52" t="s">
        <v>58</v>
      </c>
      <c r="C35" s="59">
        <v>4.0419947506561682</v>
      </c>
      <c r="E35" s="52" t="s">
        <v>63</v>
      </c>
      <c r="F35" s="59">
        <v>4.120734908136483</v>
      </c>
      <c r="H35" s="52"/>
      <c r="I35" s="59"/>
    </row>
    <row r="36" spans="2:9">
      <c r="B36" s="52" t="s">
        <v>20</v>
      </c>
      <c r="C36" s="59">
        <v>3.8914027149321266</v>
      </c>
      <c r="E36" s="52" t="s">
        <v>69</v>
      </c>
      <c r="F36" s="59">
        <v>3.9759036144578315</v>
      </c>
      <c r="H36" s="52"/>
      <c r="I36" s="59"/>
    </row>
    <row r="37" spans="2:9">
      <c r="B37" s="55" t="s">
        <v>12</v>
      </c>
      <c r="C37" s="59">
        <v>3.5111876075731496</v>
      </c>
      <c r="E37" s="52" t="s">
        <v>59</v>
      </c>
      <c r="F37" s="59">
        <v>3.7187127532777118</v>
      </c>
      <c r="H37" s="55"/>
      <c r="I37" s="59"/>
    </row>
    <row r="38" spans="2:9" ht="9.75" customHeight="1"/>
  </sheetData>
  <mergeCells count="1">
    <mergeCell ref="B1:K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Facility Data</vt:lpstr>
      <vt:lpstr>SEPT (REVISED)</vt:lpstr>
      <vt:lpstr>OCT 12</vt:lpstr>
      <vt:lpstr>NOV 12</vt:lpstr>
      <vt:lpstr>DEC 12</vt:lpstr>
      <vt:lpstr>JAN 13</vt:lpstr>
      <vt:lpstr>FEB 13</vt:lpstr>
      <vt:lpstr>MAR 13</vt:lpstr>
      <vt:lpstr>APR 13</vt:lpstr>
      <vt:lpstr>Monthly "Top Ten" Comparisons</vt:lpstr>
      <vt:lpstr>'APR 13'!Print_Area</vt:lpstr>
      <vt:lpstr>'DEC 12'!Print_Area</vt:lpstr>
      <vt:lpstr>'FEB 13'!Print_Area</vt:lpstr>
      <vt:lpstr>'JAN 13'!Print_Area</vt:lpstr>
      <vt:lpstr>'MAR 13'!Print_Area</vt:lpstr>
      <vt:lpstr>'NOV 12'!Print_Area</vt:lpstr>
      <vt:lpstr>'OCT 12'!Print_Area</vt:lpstr>
      <vt:lpstr>'SEPT (REVISED)'!Print_Area</vt:lpstr>
    </vt:vector>
  </TitlesOfParts>
  <Company>Frederick County Government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Annmarie Creamer</dc:creator>
  <cp:lastModifiedBy>Annmarie Creamer</cp:lastModifiedBy>
  <cp:lastPrinted>2013-02-18T17:43:42Z</cp:lastPrinted>
  <dcterms:created xsi:type="dcterms:W3CDTF">2012-09-05T17:37:43Z</dcterms:created>
  <dcterms:modified xsi:type="dcterms:W3CDTF">2013-05-16T16:26:55Z</dcterms:modified>
</cp:coreProperties>
</file>