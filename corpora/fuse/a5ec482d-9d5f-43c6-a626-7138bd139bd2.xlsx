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aveExternalLinkValues="0" updateLinks="never" codeName="ThisWorkbook" defaultThemeVersion="124226"/>
  <bookViews>
    <workbookView xWindow="240" yWindow="75" windowWidth="15480" windowHeight="9750"/>
  </bookViews>
  <sheets>
    <sheet name="InsHRA-Request" sheetId="1" r:id="rId1"/>
    <sheet name="3Plans-3Opt" sheetId="4" state="hidden" r:id="rId2"/>
    <sheet name="2Plan-3Opt" sheetId="11" state="hidden" r:id="rId3"/>
    <sheet name="2Plans-2Opt" sheetId="7" state="hidden" r:id="rId4"/>
    <sheet name="2PlansTiers" sheetId="5" state="hidden" r:id="rId5"/>
    <sheet name="1Plan-3Opt" sheetId="10" state="hidden" r:id="rId6"/>
    <sheet name="1Plan-2Opt" sheetId="8" state="hidden" r:id="rId7"/>
    <sheet name="1Plan-1Opt" sheetId="9" state="hidden" r:id="rId8"/>
    <sheet name="Example" sheetId="12" r:id="rId9"/>
    <sheet name="3PlansTiers" sheetId="6" state="hidden" r:id="rId10"/>
    <sheet name="BAAG" sheetId="3" state="hidden" r:id="rId11"/>
  </sheets>
  <externalReferences>
    <externalReference r:id="rId12"/>
    <externalReference r:id="rId13"/>
    <externalReference r:id="rId14"/>
  </externalReferences>
  <definedNames>
    <definedName name="_xlnm.Print_Area" localSheetId="10">BAAG!$B$2:$J$26</definedName>
    <definedName name="_xlnm.Print_Area" localSheetId="8">Example!$A$1:$J$77</definedName>
    <definedName name="_xlnm.Print_Area" localSheetId="0">'InsHRA-Request'!$A$2:$J$73</definedName>
  </definedNames>
  <calcPr calcId="145621"/>
</workbook>
</file>

<file path=xl/calcChain.xml><?xml version="1.0" encoding="utf-8"?>
<calcChain xmlns="http://schemas.openxmlformats.org/spreadsheetml/2006/main">
  <c r="B56" i="1" l="1"/>
  <c r="B55" i="1"/>
  <c r="B54" i="1"/>
  <c r="B53" i="1"/>
  <c r="B56" i="12" l="1"/>
  <c r="B55" i="12"/>
  <c r="B54" i="12"/>
  <c r="B53" i="12"/>
  <c r="C7" i="3" l="1"/>
  <c r="I23" i="3"/>
  <c r="H23" i="3"/>
  <c r="H22" i="3"/>
  <c r="H21" i="3"/>
  <c r="G22" i="3"/>
  <c r="G21" i="3"/>
  <c r="H11" i="3"/>
  <c r="H12" i="3"/>
  <c r="H10" i="3"/>
  <c r="G11" i="3"/>
  <c r="G12" i="3"/>
  <c r="G10" i="3"/>
  <c r="E27" i="9"/>
  <c r="E28" i="9"/>
  <c r="E29" i="9"/>
  <c r="E26" i="9"/>
  <c r="D27" i="9"/>
  <c r="D28" i="9"/>
  <c r="D29" i="9"/>
  <c r="D26" i="9"/>
  <c r="E36" i="8"/>
  <c r="E37" i="8"/>
  <c r="E38" i="8"/>
  <c r="E27" i="8"/>
  <c r="E28" i="8"/>
  <c r="E29" i="8"/>
  <c r="E35" i="8"/>
  <c r="E26" i="8"/>
  <c r="D27" i="8"/>
  <c r="D28" i="8"/>
  <c r="D29" i="8"/>
  <c r="D26" i="8"/>
  <c r="E45" i="10"/>
  <c r="E46" i="10"/>
  <c r="E47" i="10"/>
  <c r="E36" i="10"/>
  <c r="E37" i="10"/>
  <c r="E38" i="10"/>
  <c r="E27" i="10"/>
  <c r="E28" i="10"/>
  <c r="E29" i="10"/>
  <c r="E44" i="10"/>
  <c r="E35" i="10"/>
  <c r="E26" i="10"/>
  <c r="B45" i="10"/>
  <c r="B46" i="10"/>
  <c r="B47" i="10"/>
  <c r="B36" i="10"/>
  <c r="B37" i="10"/>
  <c r="B38" i="10"/>
  <c r="B44" i="10"/>
  <c r="B35" i="10"/>
  <c r="B27" i="10"/>
  <c r="B28" i="10"/>
  <c r="B29" i="10"/>
  <c r="B26" i="10"/>
  <c r="B20" i="10"/>
  <c r="B19" i="10"/>
  <c r="B18" i="10"/>
  <c r="B17" i="10"/>
  <c r="D27" i="10"/>
  <c r="D28" i="10"/>
  <c r="D29" i="10"/>
  <c r="D26" i="10"/>
  <c r="H41" i="5"/>
  <c r="H42" i="5"/>
  <c r="H43" i="5"/>
  <c r="H32" i="5"/>
  <c r="H33" i="5"/>
  <c r="H34" i="5"/>
  <c r="H40" i="5"/>
  <c r="H31" i="5"/>
  <c r="E34" i="5"/>
  <c r="E33" i="5"/>
  <c r="E32" i="5"/>
  <c r="E31" i="5"/>
  <c r="B38" i="5"/>
  <c r="B38" i="6"/>
  <c r="B28" i="5"/>
  <c r="B28" i="6"/>
  <c r="B27" i="7"/>
  <c r="E30" i="5"/>
  <c r="I17" i="5"/>
  <c r="E17" i="5"/>
  <c r="I16" i="5"/>
  <c r="E16" i="5"/>
  <c r="I15" i="5"/>
  <c r="E15" i="5"/>
  <c r="I14" i="5"/>
  <c r="E14" i="5"/>
  <c r="I9" i="5"/>
  <c r="H9" i="5"/>
  <c r="H17" i="5" s="1"/>
  <c r="I8" i="5"/>
  <c r="H8" i="5"/>
  <c r="D42" i="5" s="1"/>
  <c r="I7" i="5"/>
  <c r="H7" i="5"/>
  <c r="H15" i="5" s="1"/>
  <c r="I6" i="5"/>
  <c r="H6" i="5"/>
  <c r="I5" i="5"/>
  <c r="I13" i="5" s="1"/>
  <c r="E9" i="5"/>
  <c r="D9" i="5"/>
  <c r="D17" i="5" s="1"/>
  <c r="E8" i="5"/>
  <c r="D8" i="5"/>
  <c r="D33" i="5" s="1"/>
  <c r="E7" i="5"/>
  <c r="D7" i="5"/>
  <c r="D15" i="5" s="1"/>
  <c r="E6" i="5"/>
  <c r="D6" i="5"/>
  <c r="D31" i="5" s="1"/>
  <c r="E5" i="5"/>
  <c r="E13" i="5" s="1"/>
  <c r="H39" i="7"/>
  <c r="H40" i="7"/>
  <c r="H41" i="7"/>
  <c r="H38" i="7"/>
  <c r="H31" i="7"/>
  <c r="H32" i="7"/>
  <c r="H33" i="7"/>
  <c r="H30" i="7"/>
  <c r="E29" i="4"/>
  <c r="E43" i="6"/>
  <c r="E54" i="6" s="1"/>
  <c r="E42" i="6"/>
  <c r="E41" i="6"/>
  <c r="E40" i="6"/>
  <c r="E30" i="6"/>
  <c r="H49" i="11"/>
  <c r="H50" i="11"/>
  <c r="H51" i="11"/>
  <c r="H48" i="11"/>
  <c r="H39" i="11"/>
  <c r="H40" i="11"/>
  <c r="H41" i="11"/>
  <c r="H38" i="11"/>
  <c r="H31" i="11"/>
  <c r="H32" i="11"/>
  <c r="H33" i="11"/>
  <c r="H30" i="11"/>
  <c r="B41" i="10"/>
  <c r="B46" i="11"/>
  <c r="B49" i="6"/>
  <c r="B46" i="4"/>
  <c r="E34" i="6"/>
  <c r="E33" i="6"/>
  <c r="E32" i="6"/>
  <c r="E31" i="6"/>
  <c r="K17" i="6"/>
  <c r="J17" i="6"/>
  <c r="I17" i="6"/>
  <c r="E17" i="6"/>
  <c r="K16" i="6"/>
  <c r="J16" i="6"/>
  <c r="I16" i="6"/>
  <c r="E16" i="6"/>
  <c r="K15" i="6"/>
  <c r="J15" i="6"/>
  <c r="I15" i="6"/>
  <c r="E15" i="6"/>
  <c r="K14" i="6"/>
  <c r="J14" i="6"/>
  <c r="I14" i="6"/>
  <c r="E14" i="6"/>
  <c r="I13" i="6"/>
  <c r="K9" i="6"/>
  <c r="J9" i="6"/>
  <c r="I9" i="6"/>
  <c r="H9" i="6"/>
  <c r="D43" i="6" s="1"/>
  <c r="E9" i="6"/>
  <c r="D9" i="6"/>
  <c r="D17" i="6" s="1"/>
  <c r="K8" i="6"/>
  <c r="J8" i="6"/>
  <c r="I8" i="6"/>
  <c r="H8" i="6"/>
  <c r="H16" i="6" s="1"/>
  <c r="E8" i="6"/>
  <c r="D8" i="6"/>
  <c r="D16" i="6" s="1"/>
  <c r="K7" i="6"/>
  <c r="J7" i="6"/>
  <c r="I7" i="6"/>
  <c r="H7" i="6"/>
  <c r="D41" i="6" s="1"/>
  <c r="E7" i="6"/>
  <c r="D7" i="6"/>
  <c r="D15" i="6" s="1"/>
  <c r="K6" i="6"/>
  <c r="J6" i="6"/>
  <c r="I6" i="6"/>
  <c r="H6" i="6"/>
  <c r="E6" i="6"/>
  <c r="D6" i="6"/>
  <c r="K5" i="6"/>
  <c r="K13" i="6" s="1"/>
  <c r="I5" i="6"/>
  <c r="E5" i="6"/>
  <c r="E13" i="6" s="1"/>
  <c r="J10" i="6" l="1"/>
  <c r="D10" i="6"/>
  <c r="E48" i="10"/>
  <c r="K18" i="6"/>
  <c r="D41" i="5"/>
  <c r="H10" i="6"/>
  <c r="I10" i="5"/>
  <c r="D43" i="5"/>
  <c r="E53" i="6"/>
  <c r="K10" i="6"/>
  <c r="D34" i="5"/>
  <c r="E30" i="10"/>
  <c r="I10" i="6"/>
  <c r="D32" i="5"/>
  <c r="E10" i="5"/>
  <c r="E39" i="10"/>
  <c r="E10" i="6"/>
  <c r="D14" i="6"/>
  <c r="E18" i="6" s="1"/>
  <c r="H14" i="6"/>
  <c r="H15" i="6"/>
  <c r="H17" i="6"/>
  <c r="D14" i="5"/>
  <c r="H14" i="5"/>
  <c r="D16" i="5"/>
  <c r="H16" i="5"/>
  <c r="D40" i="5"/>
  <c r="H10" i="5"/>
  <c r="D10" i="5"/>
  <c r="E52" i="6"/>
  <c r="E51" i="6"/>
  <c r="J18" i="6"/>
  <c r="H51" i="4"/>
  <c r="H50" i="4"/>
  <c r="H49" i="4"/>
  <c r="H48" i="4"/>
  <c r="H41" i="4"/>
  <c r="H40" i="4"/>
  <c r="H39" i="4"/>
  <c r="H38" i="4"/>
  <c r="H33" i="4"/>
  <c r="H32" i="4"/>
  <c r="H31" i="4"/>
  <c r="H30" i="4"/>
  <c r="E51" i="4"/>
  <c r="E50" i="4"/>
  <c r="E49" i="4"/>
  <c r="E48" i="4"/>
  <c r="E33" i="4"/>
  <c r="E32" i="4"/>
  <c r="E31" i="4"/>
  <c r="E30" i="4"/>
  <c r="K6" i="4"/>
  <c r="I17" i="4"/>
  <c r="I16" i="4"/>
  <c r="I15" i="4"/>
  <c r="I14" i="4"/>
  <c r="I9" i="4"/>
  <c r="I8" i="4"/>
  <c r="I7" i="4"/>
  <c r="I6" i="4"/>
  <c r="H9" i="4"/>
  <c r="H8" i="4"/>
  <c r="H7" i="4"/>
  <c r="H6" i="4"/>
  <c r="E17" i="4"/>
  <c r="E16" i="4"/>
  <c r="E15" i="4"/>
  <c r="E14" i="4"/>
  <c r="E9" i="4"/>
  <c r="E8" i="4"/>
  <c r="E7" i="4"/>
  <c r="E6" i="4"/>
  <c r="D8" i="4"/>
  <c r="D9" i="4"/>
  <c r="D7" i="4"/>
  <c r="D6" i="4"/>
  <c r="D30" i="4"/>
  <c r="J10" i="5" l="1"/>
  <c r="H18" i="5"/>
  <c r="H18" i="6"/>
  <c r="H35" i="5"/>
  <c r="I10" i="4"/>
  <c r="E10" i="4"/>
  <c r="D18" i="5"/>
  <c r="D48" i="4"/>
  <c r="H44" i="5"/>
  <c r="E18" i="5"/>
  <c r="D18" i="6"/>
  <c r="I18" i="5"/>
  <c r="I18" i="6"/>
  <c r="L10" i="6"/>
  <c r="H33" i="6"/>
  <c r="H43" i="6"/>
  <c r="L43" i="6" s="1"/>
  <c r="H42" i="6"/>
  <c r="L42" i="6" s="1"/>
  <c r="H41" i="6"/>
  <c r="L41" i="6" s="1"/>
  <c r="H40" i="6"/>
  <c r="L40" i="6" s="1"/>
  <c r="H54" i="6"/>
  <c r="H53" i="6"/>
  <c r="H52" i="6"/>
  <c r="H51" i="6"/>
  <c r="H34" i="6"/>
  <c r="H32" i="6"/>
  <c r="H31" i="6"/>
  <c r="I22" i="3" l="1"/>
  <c r="I21" i="3"/>
  <c r="I17" i="3"/>
  <c r="H17" i="3"/>
  <c r="G17" i="3"/>
  <c r="I13" i="3"/>
  <c r="I19" i="3" s="1"/>
  <c r="H13" i="3"/>
  <c r="G13" i="3"/>
  <c r="I12" i="3"/>
  <c r="I10" i="3"/>
  <c r="I11" i="3"/>
  <c r="I8" i="3"/>
  <c r="H8" i="3"/>
  <c r="G8" i="3"/>
  <c r="G23" i="3"/>
  <c r="F22" i="3"/>
  <c r="F21" i="3"/>
  <c r="E22" i="3"/>
  <c r="E21" i="3"/>
  <c r="D22" i="3"/>
  <c r="D21" i="3"/>
  <c r="F17" i="3"/>
  <c r="E17" i="3"/>
  <c r="F12" i="3"/>
  <c r="F11" i="3"/>
  <c r="F10" i="3"/>
  <c r="F13" i="3"/>
  <c r="E13" i="3"/>
  <c r="D11" i="3"/>
  <c r="D12" i="3"/>
  <c r="E12" i="3"/>
  <c r="E11" i="3"/>
  <c r="E10" i="3"/>
  <c r="D13" i="3"/>
  <c r="D10" i="3"/>
  <c r="F8" i="3"/>
  <c r="E8" i="3"/>
  <c r="H47" i="11"/>
  <c r="B52" i="11"/>
  <c r="B42" i="11"/>
  <c r="H37" i="11"/>
  <c r="B36" i="11"/>
  <c r="B34" i="11"/>
  <c r="E33" i="11"/>
  <c r="E41" i="11" s="1"/>
  <c r="E32" i="11"/>
  <c r="E40" i="11" s="1"/>
  <c r="E31" i="11"/>
  <c r="E39" i="11" s="1"/>
  <c r="E30" i="11"/>
  <c r="E38" i="11" s="1"/>
  <c r="E29" i="11"/>
  <c r="E37" i="11" s="1"/>
  <c r="E47" i="11" s="1"/>
  <c r="B27" i="11"/>
  <c r="B25" i="11"/>
  <c r="I24" i="11"/>
  <c r="J24" i="11" s="1"/>
  <c r="I23" i="11"/>
  <c r="E23" i="11"/>
  <c r="I22" i="11"/>
  <c r="J22" i="11" s="1"/>
  <c r="I21" i="11"/>
  <c r="J21" i="11" s="1"/>
  <c r="I17" i="11"/>
  <c r="E17" i="11"/>
  <c r="I16" i="11"/>
  <c r="E16" i="11"/>
  <c r="I15" i="11"/>
  <c r="E15" i="11"/>
  <c r="I14" i="11"/>
  <c r="E14" i="11"/>
  <c r="I9" i="11"/>
  <c r="H9" i="11"/>
  <c r="H17" i="11" s="1"/>
  <c r="E9" i="11"/>
  <c r="D9" i="11"/>
  <c r="D17" i="11" s="1"/>
  <c r="I8" i="11"/>
  <c r="H8" i="11"/>
  <c r="H16" i="11" s="1"/>
  <c r="E8" i="11"/>
  <c r="D8" i="11"/>
  <c r="I7" i="11"/>
  <c r="H7" i="11"/>
  <c r="H15" i="11" s="1"/>
  <c r="E7" i="11"/>
  <c r="D7" i="11"/>
  <c r="D15" i="11" s="1"/>
  <c r="I6" i="11"/>
  <c r="H6" i="11"/>
  <c r="E6" i="11"/>
  <c r="D6" i="11"/>
  <c r="I5" i="11"/>
  <c r="I13" i="11" s="1"/>
  <c r="E5" i="11"/>
  <c r="E13" i="11" s="1"/>
  <c r="B2" i="11"/>
  <c r="B32" i="10"/>
  <c r="D38" i="10"/>
  <c r="D47" i="10" s="1"/>
  <c r="F47" i="10" s="1"/>
  <c r="D37" i="10"/>
  <c r="D36" i="10"/>
  <c r="D45" i="10" s="1"/>
  <c r="F45" i="10" s="1"/>
  <c r="D35" i="10"/>
  <c r="B23" i="10"/>
  <c r="D20" i="10"/>
  <c r="F20" i="10" s="1"/>
  <c r="D19" i="10"/>
  <c r="F19" i="10" s="1"/>
  <c r="D18" i="10"/>
  <c r="F18" i="10" s="1"/>
  <c r="D17" i="10"/>
  <c r="B14" i="10"/>
  <c r="D11" i="10"/>
  <c r="F11" i="10" s="1"/>
  <c r="B11" i="10"/>
  <c r="D10" i="10"/>
  <c r="F10" i="10" s="1"/>
  <c r="B10" i="10"/>
  <c r="D9" i="10"/>
  <c r="F9" i="10" s="1"/>
  <c r="B9" i="10"/>
  <c r="D8" i="10"/>
  <c r="F8" i="10" s="1"/>
  <c r="B8" i="10"/>
  <c r="B5" i="10"/>
  <c r="B3" i="10"/>
  <c r="D38" i="8"/>
  <c r="D37" i="8"/>
  <c r="F27" i="8"/>
  <c r="F26" i="8"/>
  <c r="B41" i="8"/>
  <c r="B46" i="8"/>
  <c r="F38" i="9"/>
  <c r="F37" i="9"/>
  <c r="B37" i="9"/>
  <c r="F36" i="9"/>
  <c r="F35" i="9"/>
  <c r="B32" i="9"/>
  <c r="F29" i="9"/>
  <c r="F28" i="9"/>
  <c r="F27" i="9"/>
  <c r="F26" i="9"/>
  <c r="B23" i="9"/>
  <c r="D20" i="9"/>
  <c r="F20" i="9" s="1"/>
  <c r="D19" i="9"/>
  <c r="F19" i="9" s="1"/>
  <c r="D18" i="9"/>
  <c r="F18" i="9" s="1"/>
  <c r="D17" i="9"/>
  <c r="F17" i="9" s="1"/>
  <c r="B14" i="9"/>
  <c r="D11" i="9"/>
  <c r="F11" i="9" s="1"/>
  <c r="B11" i="9"/>
  <c r="B20" i="9" s="1"/>
  <c r="B29" i="9" s="1"/>
  <c r="B38" i="9" s="1"/>
  <c r="D10" i="9"/>
  <c r="F10" i="9" s="1"/>
  <c r="B10" i="9"/>
  <c r="B19" i="9" s="1"/>
  <c r="B28" i="9" s="1"/>
  <c r="D9" i="9"/>
  <c r="F9" i="9" s="1"/>
  <c r="B9" i="9"/>
  <c r="B18" i="9" s="1"/>
  <c r="B27" i="9" s="1"/>
  <c r="B36" i="9" s="1"/>
  <c r="D8" i="9"/>
  <c r="F8" i="9" s="1"/>
  <c r="B8" i="9"/>
  <c r="B17" i="9" s="1"/>
  <c r="B26" i="9" s="1"/>
  <c r="B5" i="9"/>
  <c r="B3" i="9"/>
  <c r="D20" i="8"/>
  <c r="F20" i="8" s="1"/>
  <c r="D19" i="8"/>
  <c r="F19" i="8" s="1"/>
  <c r="D18" i="8"/>
  <c r="F18" i="8" s="1"/>
  <c r="D17" i="8"/>
  <c r="F17" i="8" s="1"/>
  <c r="B32" i="8"/>
  <c r="B36" i="7"/>
  <c r="B23" i="8"/>
  <c r="B14" i="8"/>
  <c r="B11" i="8"/>
  <c r="B20" i="8" s="1"/>
  <c r="B29" i="8" s="1"/>
  <c r="B38" i="8" s="1"/>
  <c r="B47" i="8" s="1"/>
  <c r="B10" i="8"/>
  <c r="B19" i="8" s="1"/>
  <c r="B28" i="8" s="1"/>
  <c r="B37" i="8" s="1"/>
  <c r="B9" i="8"/>
  <c r="B8" i="8"/>
  <c r="B17" i="8" s="1"/>
  <c r="B26" i="8" s="1"/>
  <c r="B35" i="8" s="1"/>
  <c r="D11" i="8"/>
  <c r="F11" i="8" s="1"/>
  <c r="D10" i="8"/>
  <c r="F10" i="8" s="1"/>
  <c r="D9" i="8"/>
  <c r="F9" i="8" s="1"/>
  <c r="D8" i="8"/>
  <c r="F8" i="8" s="1"/>
  <c r="B3" i="8"/>
  <c r="B5" i="8"/>
  <c r="D12" i="10" l="1"/>
  <c r="D32" i="11"/>
  <c r="D40" i="11" s="1"/>
  <c r="D50" i="11" s="1"/>
  <c r="D39" i="10"/>
  <c r="J38" i="11"/>
  <c r="E48" i="11"/>
  <c r="J48" i="11" s="1"/>
  <c r="J40" i="11"/>
  <c r="E50" i="11"/>
  <c r="J39" i="11"/>
  <c r="E49" i="11"/>
  <c r="J49" i="11" s="1"/>
  <c r="J41" i="11"/>
  <c r="E51" i="11"/>
  <c r="J51" i="11" s="1"/>
  <c r="F12" i="10"/>
  <c r="F17" i="10"/>
  <c r="F21" i="10" s="1"/>
  <c r="D21" i="10"/>
  <c r="B18" i="8"/>
  <c r="B27" i="8" s="1"/>
  <c r="B36" i="8" s="1"/>
  <c r="B45" i="8" s="1"/>
  <c r="D30" i="9"/>
  <c r="E30" i="9"/>
  <c r="D30" i="11"/>
  <c r="D38" i="11" s="1"/>
  <c r="E10" i="11"/>
  <c r="H10" i="11"/>
  <c r="I10" i="11"/>
  <c r="F30" i="9"/>
  <c r="D12" i="9"/>
  <c r="F29" i="8"/>
  <c r="J33" i="11"/>
  <c r="D47" i="8"/>
  <c r="F47" i="8" s="1"/>
  <c r="F38" i="8"/>
  <c r="D46" i="8"/>
  <c r="F46" i="8" s="1"/>
  <c r="F37" i="8"/>
  <c r="D35" i="8"/>
  <c r="D21" i="9"/>
  <c r="D36" i="8"/>
  <c r="F27" i="10"/>
  <c r="F29" i="10"/>
  <c r="J31" i="11"/>
  <c r="I14" i="3"/>
  <c r="I18" i="3"/>
  <c r="I20" i="3"/>
  <c r="D31" i="11"/>
  <c r="D39" i="11" s="1"/>
  <c r="D49" i="11" s="1"/>
  <c r="D33" i="11"/>
  <c r="D41" i="11" s="1"/>
  <c r="D51" i="11" s="1"/>
  <c r="D14" i="11"/>
  <c r="H14" i="11"/>
  <c r="I18" i="11" s="1"/>
  <c r="D16" i="11"/>
  <c r="J23" i="11"/>
  <c r="D10" i="11"/>
  <c r="J30" i="11"/>
  <c r="J32" i="11"/>
  <c r="B30" i="10"/>
  <c r="D30" i="10"/>
  <c r="F35" i="10"/>
  <c r="D44" i="10"/>
  <c r="F44" i="10" s="1"/>
  <c r="D46" i="10"/>
  <c r="F37" i="10"/>
  <c r="B12" i="10"/>
  <c r="B21" i="10"/>
  <c r="F26" i="10"/>
  <c r="F28" i="10"/>
  <c r="F36" i="10"/>
  <c r="F38" i="10"/>
  <c r="B12" i="9"/>
  <c r="F12" i="9"/>
  <c r="B21" i="9"/>
  <c r="F21" i="9"/>
  <c r="D12" i="8"/>
  <c r="B12" i="8"/>
  <c r="F12" i="8"/>
  <c r="F28" i="8"/>
  <c r="B21" i="8" l="1"/>
  <c r="E18" i="11"/>
  <c r="F21" i="8"/>
  <c r="J10" i="11"/>
  <c r="D21" i="8"/>
  <c r="J18" i="11"/>
  <c r="J42" i="11"/>
  <c r="H42" i="11"/>
  <c r="D48" i="11"/>
  <c r="E42" i="11"/>
  <c r="E34" i="11"/>
  <c r="J34" i="11"/>
  <c r="F30" i="10"/>
  <c r="F52" i="10" s="1"/>
  <c r="F46" i="10"/>
  <c r="F48" i="10" s="1"/>
  <c r="F56" i="10" s="1"/>
  <c r="D48" i="10"/>
  <c r="F39" i="10"/>
  <c r="F54" i="10" s="1"/>
  <c r="D45" i="8"/>
  <c r="F45" i="8" s="1"/>
  <c r="F36" i="8"/>
  <c r="F35" i="8"/>
  <c r="D44" i="8"/>
  <c r="F44" i="8" s="1"/>
  <c r="H18" i="11"/>
  <c r="D34" i="11"/>
  <c r="D18" i="11"/>
  <c r="H34" i="11"/>
  <c r="D42" i="11"/>
  <c r="J50" i="11"/>
  <c r="B39" i="10"/>
  <c r="B35" i="9"/>
  <c r="F41" i="9"/>
  <c r="B30" i="9"/>
  <c r="E30" i="8"/>
  <c r="B30" i="8"/>
  <c r="B44" i="8"/>
  <c r="F30" i="8"/>
  <c r="D30" i="8"/>
  <c r="F52" i="8" l="1"/>
  <c r="J59" i="11"/>
  <c r="H52" i="11"/>
  <c r="J52" i="11"/>
  <c r="J63" i="11" s="1"/>
  <c r="E52" i="11"/>
  <c r="J44" i="11"/>
  <c r="D52" i="11"/>
  <c r="B48" i="8"/>
  <c r="D48" i="8"/>
  <c r="F48" i="8"/>
  <c r="F56" i="8" s="1"/>
  <c r="E48" i="8"/>
  <c r="J61" i="11"/>
  <c r="B48" i="10"/>
  <c r="E39" i="9"/>
  <c r="B39" i="9"/>
  <c r="F39" i="9"/>
  <c r="F43" i="9" s="1"/>
  <c r="D39" i="9"/>
  <c r="F39" i="8"/>
  <c r="F54" i="8" s="1"/>
  <c r="D39" i="8"/>
  <c r="E39" i="8"/>
  <c r="B39" i="8"/>
  <c r="E33" i="7" l="1"/>
  <c r="J33" i="7" s="1"/>
  <c r="E32" i="7"/>
  <c r="E40" i="7" s="1"/>
  <c r="J40" i="7" s="1"/>
  <c r="E31" i="7"/>
  <c r="J31" i="7" s="1"/>
  <c r="E30" i="7"/>
  <c r="E38" i="7" s="1"/>
  <c r="J38" i="7" s="1"/>
  <c r="B36" i="4"/>
  <c r="B27" i="4"/>
  <c r="I17" i="7"/>
  <c r="I16" i="7"/>
  <c r="I15" i="7"/>
  <c r="I14" i="7"/>
  <c r="H9" i="7"/>
  <c r="H17" i="7" s="1"/>
  <c r="H8" i="7"/>
  <c r="H16" i="7" s="1"/>
  <c r="H7" i="7"/>
  <c r="H15" i="7" s="1"/>
  <c r="H6" i="7"/>
  <c r="H14" i="7" s="1"/>
  <c r="I9" i="7"/>
  <c r="I8" i="7"/>
  <c r="I7" i="7"/>
  <c r="I6" i="7"/>
  <c r="E17" i="7"/>
  <c r="E16" i="7"/>
  <c r="E15" i="7"/>
  <c r="E14" i="7"/>
  <c r="E9" i="7"/>
  <c r="E8" i="7"/>
  <c r="E7" i="7"/>
  <c r="E6" i="7"/>
  <c r="D8" i="7"/>
  <c r="D16" i="7" s="1"/>
  <c r="D9" i="7"/>
  <c r="D7" i="7"/>
  <c r="D6" i="7"/>
  <c r="D14" i="7" s="1"/>
  <c r="E29" i="7"/>
  <c r="E37" i="7" s="1"/>
  <c r="I5" i="7"/>
  <c r="I13" i="7" s="1"/>
  <c r="E5" i="7"/>
  <c r="E13" i="7" s="1"/>
  <c r="B2" i="7"/>
  <c r="B42" i="7"/>
  <c r="H37" i="7"/>
  <c r="B34" i="7"/>
  <c r="B25" i="7"/>
  <c r="I24" i="7"/>
  <c r="J24" i="7" s="1"/>
  <c r="I23" i="7"/>
  <c r="E23" i="7"/>
  <c r="I22" i="7"/>
  <c r="J22" i="7" s="1"/>
  <c r="I21" i="7"/>
  <c r="J21" i="7" s="1"/>
  <c r="J32" i="7" l="1"/>
  <c r="J30" i="7"/>
  <c r="J23" i="7"/>
  <c r="D31" i="7"/>
  <c r="D39" i="7" s="1"/>
  <c r="D33" i="7"/>
  <c r="D41" i="7" s="1"/>
  <c r="H18" i="7"/>
  <c r="I18" i="7"/>
  <c r="H10" i="7"/>
  <c r="D30" i="7"/>
  <c r="D32" i="7"/>
  <c r="D40" i="7" s="1"/>
  <c r="E39" i="7"/>
  <c r="J39" i="7" s="1"/>
  <c r="E41" i="7"/>
  <c r="J41" i="7" s="1"/>
  <c r="D10" i="7"/>
  <c r="E10" i="7"/>
  <c r="I10" i="7"/>
  <c r="D15" i="7"/>
  <c r="D17" i="7"/>
  <c r="H34" i="7" l="1"/>
  <c r="J34" i="7"/>
  <c r="J10" i="7"/>
  <c r="E18" i="7"/>
  <c r="J18" i="7" s="1"/>
  <c r="D18" i="7"/>
  <c r="D34" i="7"/>
  <c r="D38" i="7"/>
  <c r="E34" i="7"/>
  <c r="J42" i="7" l="1"/>
  <c r="J44" i="7" s="1"/>
  <c r="H42" i="7"/>
  <c r="E42" i="7"/>
  <c r="J48" i="7"/>
  <c r="D42" i="7"/>
  <c r="J50" i="7" l="1"/>
  <c r="B55" i="6" l="1"/>
  <c r="L54" i="6"/>
  <c r="E50" i="6"/>
  <c r="B44" i="6"/>
  <c r="H39" i="6"/>
  <c r="H50" i="6" s="1"/>
  <c r="B35" i="6"/>
  <c r="E39" i="6"/>
  <c r="B25" i="6"/>
  <c r="I24" i="6"/>
  <c r="L24" i="6" s="1"/>
  <c r="I23" i="6"/>
  <c r="E23" i="6"/>
  <c r="I22" i="6"/>
  <c r="L22" i="6" s="1"/>
  <c r="I21" i="6"/>
  <c r="L21" i="6" s="1"/>
  <c r="D54" i="6"/>
  <c r="D34" i="6"/>
  <c r="D53" i="6"/>
  <c r="D33" i="6"/>
  <c r="D52" i="6"/>
  <c r="D32" i="6"/>
  <c r="D31" i="6"/>
  <c r="B37" i="6"/>
  <c r="B2" i="6"/>
  <c r="E47" i="4"/>
  <c r="J17" i="4"/>
  <c r="J16" i="4"/>
  <c r="J15" i="4"/>
  <c r="J14" i="4"/>
  <c r="J9" i="4"/>
  <c r="J8" i="4"/>
  <c r="J7" i="4"/>
  <c r="J6" i="4"/>
  <c r="K17" i="4"/>
  <c r="K16" i="4"/>
  <c r="K15" i="4"/>
  <c r="K14" i="4"/>
  <c r="K9" i="4"/>
  <c r="K8" i="4"/>
  <c r="K7" i="4"/>
  <c r="B52" i="4"/>
  <c r="L51" i="4"/>
  <c r="K5" i="4"/>
  <c r="K13" i="4" s="1"/>
  <c r="F23" i="3"/>
  <c r="D51" i="4" l="1"/>
  <c r="D33" i="4"/>
  <c r="D49" i="4"/>
  <c r="D31" i="4"/>
  <c r="K10" i="4"/>
  <c r="K18" i="4"/>
  <c r="H35" i="6"/>
  <c r="E35" i="6"/>
  <c r="D50" i="4"/>
  <c r="D32" i="4"/>
  <c r="J10" i="4"/>
  <c r="D40" i="6"/>
  <c r="D42" i="6"/>
  <c r="D51" i="6"/>
  <c r="J18" i="4"/>
  <c r="B27" i="6"/>
  <c r="B48" i="6"/>
  <c r="L33" i="6"/>
  <c r="L23" i="6"/>
  <c r="L31" i="6"/>
  <c r="D35" i="6"/>
  <c r="L51" i="6"/>
  <c r="L52" i="6"/>
  <c r="L32" i="6"/>
  <c r="L34" i="6"/>
  <c r="L35" i="6" l="1"/>
  <c r="H34" i="4"/>
  <c r="L55" i="6"/>
  <c r="E55" i="6"/>
  <c r="H55" i="6"/>
  <c r="H44" i="6"/>
  <c r="L44" i="6"/>
  <c r="E44" i="6"/>
  <c r="E52" i="4"/>
  <c r="H52" i="4"/>
  <c r="L18" i="6"/>
  <c r="L53" i="6"/>
  <c r="D44" i="6"/>
  <c r="E40" i="5"/>
  <c r="E41" i="5"/>
  <c r="J41" i="5" s="1"/>
  <c r="E43" i="5"/>
  <c r="J43" i="5" s="1"/>
  <c r="B27" i="5"/>
  <c r="B37" i="5"/>
  <c r="B44" i="5"/>
  <c r="E42" i="5"/>
  <c r="J42" i="5" s="1"/>
  <c r="H39" i="5"/>
  <c r="E39" i="5"/>
  <c r="B35" i="5"/>
  <c r="B25" i="5"/>
  <c r="I24" i="5"/>
  <c r="J24" i="5" s="1"/>
  <c r="E23" i="5"/>
  <c r="I23" i="5"/>
  <c r="I22" i="5"/>
  <c r="J22" i="5" s="1"/>
  <c r="I21" i="5"/>
  <c r="J21" i="5" s="1"/>
  <c r="B2" i="5"/>
  <c r="L30" i="4"/>
  <c r="L31" i="4"/>
  <c r="L33" i="4"/>
  <c r="D15" i="4"/>
  <c r="D17" i="4"/>
  <c r="H16" i="4"/>
  <c r="D16" i="4"/>
  <c r="D14" i="4"/>
  <c r="H37" i="4"/>
  <c r="H47" i="4" s="1"/>
  <c r="E37" i="4"/>
  <c r="E40" i="4"/>
  <c r="E5" i="4"/>
  <c r="E13" i="4" s="1"/>
  <c r="I5" i="4"/>
  <c r="I13" i="4"/>
  <c r="B2" i="4"/>
  <c r="E23" i="3"/>
  <c r="D23" i="3"/>
  <c r="D17" i="3"/>
  <c r="E19" i="3"/>
  <c r="E20" i="3" s="1"/>
  <c r="E18" i="3" s="1"/>
  <c r="D18" i="3"/>
  <c r="D19" i="3" s="1"/>
  <c r="D20" i="3" s="1"/>
  <c r="B42" i="4"/>
  <c r="B34" i="4"/>
  <c r="B25" i="4"/>
  <c r="I24" i="4"/>
  <c r="L24" i="4" s="1"/>
  <c r="I23" i="4"/>
  <c r="E23" i="4"/>
  <c r="I22" i="4"/>
  <c r="I21" i="4"/>
  <c r="L21" i="4" s="1"/>
  <c r="L22" i="4"/>
  <c r="C4" i="3"/>
  <c r="D8" i="3"/>
  <c r="F14" i="3"/>
  <c r="F19" i="3"/>
  <c r="F20" i="3" s="1"/>
  <c r="F18" i="3" s="1"/>
  <c r="H20" i="3"/>
  <c r="G19" i="3"/>
  <c r="D25" i="3"/>
  <c r="L23" i="4" l="1"/>
  <c r="J23" i="5"/>
  <c r="E18" i="4"/>
  <c r="J40" i="5"/>
  <c r="J44" i="5" s="1"/>
  <c r="E44" i="5"/>
  <c r="L46" i="6"/>
  <c r="L63" i="6"/>
  <c r="L65" i="6" s="1"/>
  <c r="L69" i="6"/>
  <c r="L67" i="6"/>
  <c r="D55" i="6"/>
  <c r="L40" i="4"/>
  <c r="L48" i="4"/>
  <c r="D10" i="4"/>
  <c r="G18" i="3"/>
  <c r="D40" i="4"/>
  <c r="G14" i="3"/>
  <c r="J34" i="5"/>
  <c r="E14" i="3"/>
  <c r="L32" i="4"/>
  <c r="L34" i="4" s="1"/>
  <c r="D39" i="4"/>
  <c r="H14" i="3"/>
  <c r="D14" i="3"/>
  <c r="H18" i="3"/>
  <c r="G20" i="3"/>
  <c r="H19" i="3"/>
  <c r="H15" i="4"/>
  <c r="D41" i="4"/>
  <c r="J33" i="5"/>
  <c r="J31" i="5"/>
  <c r="D38" i="4"/>
  <c r="J32" i="5"/>
  <c r="E41" i="4"/>
  <c r="E39" i="4"/>
  <c r="E38" i="4"/>
  <c r="L38" i="4" s="1"/>
  <c r="H10" i="4"/>
  <c r="H17" i="4"/>
  <c r="H14" i="4"/>
  <c r="D18" i="4"/>
  <c r="J35" i="5" l="1"/>
  <c r="H42" i="4"/>
  <c r="E42" i="4"/>
  <c r="I18" i="4"/>
  <c r="L18" i="4" s="1"/>
  <c r="L62" i="4" s="1"/>
  <c r="L10" i="4"/>
  <c r="L41" i="4"/>
  <c r="L49" i="4"/>
  <c r="L39" i="4"/>
  <c r="E34" i="4"/>
  <c r="D34" i="4"/>
  <c r="D42" i="4"/>
  <c r="L50" i="4"/>
  <c r="J18" i="5"/>
  <c r="D44" i="5"/>
  <c r="H18" i="4"/>
  <c r="E35" i="5"/>
  <c r="D35" i="5"/>
  <c r="L42" i="4" l="1"/>
  <c r="L44" i="4" s="1"/>
  <c r="L52" i="4"/>
  <c r="L66" i="4" s="1"/>
  <c r="D52" i="4"/>
  <c r="J46" i="5"/>
  <c r="J48" i="5"/>
  <c r="J52" i="5" s="1"/>
  <c r="L64" i="4" l="1"/>
</calcChain>
</file>

<file path=xl/sharedStrings.xml><?xml version="1.0" encoding="utf-8"?>
<sst xmlns="http://schemas.openxmlformats.org/spreadsheetml/2006/main" count="659" uniqueCount="126">
  <si>
    <t>Employer Name:</t>
  </si>
  <si>
    <t>Telephone:</t>
  </si>
  <si>
    <t>Employer Address:</t>
  </si>
  <si>
    <t>Employer City:</t>
  </si>
  <si>
    <t>State:</t>
  </si>
  <si>
    <t>Zip Code:</t>
  </si>
  <si>
    <t>Nature of business</t>
  </si>
  <si>
    <t>Effective Date:</t>
  </si>
  <si>
    <t>Agent Name:</t>
  </si>
  <si>
    <t>Notes</t>
  </si>
  <si>
    <t>Alternate Plan</t>
  </si>
  <si>
    <t>Medical Carrier</t>
  </si>
  <si>
    <t>Deductible Amount</t>
  </si>
  <si>
    <t>Drug Co Pays</t>
  </si>
  <si>
    <t>Drug Deductible Amount</t>
  </si>
  <si>
    <t>Renewal Date</t>
  </si>
  <si>
    <t>Employee</t>
  </si>
  <si>
    <t>Employee and Spouse</t>
  </si>
  <si>
    <t>Family</t>
  </si>
  <si>
    <t>Insured HRA Plan Design (please enter the plan design you want quoted)</t>
  </si>
  <si>
    <t>Deductible Amount (Per Person)</t>
  </si>
  <si>
    <t>Deductible Type  (Calendar Year or Plan Year)</t>
  </si>
  <si>
    <t>Co-Insurance %</t>
  </si>
  <si>
    <t>Co-Insurance $ Amount (Excludes Deductible)</t>
  </si>
  <si>
    <t>Benefit Amount</t>
  </si>
  <si>
    <t>Calendar</t>
  </si>
  <si>
    <t>Plan One</t>
  </si>
  <si>
    <t>Plan Two</t>
  </si>
  <si>
    <t>2500dd/10K</t>
  </si>
  <si>
    <t>Census</t>
  </si>
  <si>
    <t>Status</t>
  </si>
  <si>
    <t>Medical</t>
  </si>
  <si>
    <t>Total</t>
  </si>
  <si>
    <t>2 Person</t>
  </si>
  <si>
    <t>Emp/Child</t>
  </si>
  <si>
    <t>Insured HRA</t>
  </si>
  <si>
    <t>Proposed Plan 1: Annual Savings Versus Renewal Plan</t>
  </si>
  <si>
    <t>Proposed Plan 2: Annual Savings Versus Renewal Plan</t>
  </si>
  <si>
    <t xml:space="preserve">Insured HRA Quote for: </t>
  </si>
  <si>
    <t>YOUR BENEFITS AT A GLANCE</t>
  </si>
  <si>
    <t>Office Visits</t>
  </si>
  <si>
    <t>Primary</t>
  </si>
  <si>
    <t>Specialist</t>
  </si>
  <si>
    <t>Chiropractic</t>
  </si>
  <si>
    <t xml:space="preserve">X-Ray </t>
  </si>
  <si>
    <t>Hospital - In &amp; Out-Patient Services</t>
  </si>
  <si>
    <t>Deductible per                                                        Calendar year</t>
  </si>
  <si>
    <t>In Patient Services</t>
  </si>
  <si>
    <t>Out Patient Services</t>
  </si>
  <si>
    <t>MRI's/CT/PET Scans</t>
  </si>
  <si>
    <t>Emergency Room</t>
  </si>
  <si>
    <t>Urgent Care</t>
  </si>
  <si>
    <t>Out of Pocket:</t>
  </si>
  <si>
    <t>Prescription Drugs</t>
  </si>
  <si>
    <t>Covered - Tiered Copays</t>
  </si>
  <si>
    <t>Employee/Child(ren)</t>
  </si>
  <si>
    <t>$ Of Coinsurance</t>
  </si>
  <si>
    <t>Total Dollars OOP</t>
  </si>
  <si>
    <t>%</t>
  </si>
  <si>
    <t>Employee Coinsurance</t>
  </si>
  <si>
    <t>Emergency Room Copay</t>
  </si>
  <si>
    <t>Urgent Care Copay</t>
  </si>
  <si>
    <t>Blood/Lab Tests</t>
  </si>
  <si>
    <r>
      <t xml:space="preserve">Proposed Plan 1: Annual Savings Versus Renewal </t>
    </r>
    <r>
      <rPr>
        <b/>
        <sz val="16"/>
        <color rgb="FFFF0000"/>
        <rFont val="Calibri"/>
        <family val="2"/>
        <scheme val="minor"/>
      </rPr>
      <t>PH</t>
    </r>
    <r>
      <rPr>
        <b/>
        <sz val="16"/>
        <color theme="0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HMO</t>
    </r>
  </si>
  <si>
    <t xml:space="preserve">  Insured HRA 250 Ded 80% to $750</t>
  </si>
  <si>
    <t>4Kdd/10K</t>
  </si>
  <si>
    <t>Proposed Plan Totals</t>
  </si>
  <si>
    <t>Plan Summary</t>
  </si>
  <si>
    <t xml:space="preserve">Proposed Plan 1: Annual Savings Versus Renewal </t>
  </si>
  <si>
    <t xml:space="preserve"> Proposed Plan 2:  Annual Savings Versus Renewal </t>
  </si>
  <si>
    <t>Drug Deductible Amt</t>
  </si>
  <si>
    <t>ER Copay</t>
  </si>
  <si>
    <t>Employee Coins.</t>
  </si>
  <si>
    <t>Current Plan(s)</t>
  </si>
  <si>
    <t>Deductibles are capped at two per family</t>
  </si>
  <si>
    <t>Current Plans</t>
  </si>
  <si>
    <t>Renewal Plans</t>
  </si>
  <si>
    <t>#</t>
  </si>
  <si>
    <t>Plan Totals</t>
  </si>
  <si>
    <t xml:space="preserve">Annual Savings Versus Renewal </t>
  </si>
  <si>
    <t xml:space="preserve">Chiropractic </t>
  </si>
  <si>
    <t>Doctor Office</t>
  </si>
  <si>
    <t>Specialist Office Visit</t>
  </si>
  <si>
    <t>Plan Three</t>
  </si>
  <si>
    <t># Employee</t>
  </si>
  <si>
    <t>Current</t>
  </si>
  <si>
    <t>Renewal</t>
  </si>
  <si>
    <t>Employee/Spouse</t>
  </si>
  <si>
    <t>Rates</t>
  </si>
  <si>
    <t>Special Instructions</t>
  </si>
  <si>
    <t>Proposed Plan 3: Annual Savings Versus Renewal Plan</t>
  </si>
  <si>
    <t>Fax to:</t>
  </si>
  <si>
    <t>Questions:</t>
  </si>
  <si>
    <t>Email To:</t>
  </si>
  <si>
    <t>Are Rates Firm</t>
  </si>
  <si>
    <t>Yes/No</t>
  </si>
  <si>
    <t>Save Premium</t>
  </si>
  <si>
    <t xml:space="preserve">Primary Goal of this Quote is to Save Premium </t>
  </si>
  <si>
    <t>Second Goal is to…</t>
  </si>
  <si>
    <t>Keep the Current Deductible &amp; Coinsurance</t>
  </si>
  <si>
    <t>Increase the Deductible &amp; Coinsurance (increases savings)</t>
  </si>
  <si>
    <t>(Please check one)</t>
  </si>
  <si>
    <t xml:space="preserve">Lower the Deductible and Coinsurance (improves benefits) </t>
  </si>
  <si>
    <t>ABC Manufacturing</t>
  </si>
  <si>
    <t>989-999-999</t>
  </si>
  <si>
    <t>123 Main Street</t>
  </si>
  <si>
    <t>Anytown</t>
  </si>
  <si>
    <t>MI</t>
  </si>
  <si>
    <t>49xxx</t>
  </si>
  <si>
    <t>248-464-6544</t>
  </si>
  <si>
    <t>CIC</t>
  </si>
  <si>
    <t>248-464-6543</t>
  </si>
  <si>
    <t>BCBSM CB 4</t>
  </si>
  <si>
    <t>BCBSM CB 1</t>
  </si>
  <si>
    <t>BCBSM CB 19</t>
  </si>
  <si>
    <t>$10 Copay</t>
  </si>
  <si>
    <t>$20 Copay</t>
  </si>
  <si>
    <t>$40 Copay</t>
  </si>
  <si>
    <t>Tiered Copay</t>
  </si>
  <si>
    <t>$250 Copay</t>
  </si>
  <si>
    <t>$100 Copay</t>
  </si>
  <si>
    <t>$50 Copay</t>
  </si>
  <si>
    <t>email address@company</t>
  </si>
  <si>
    <t>BCBSM CB 15/20</t>
  </si>
  <si>
    <t>Tiered</t>
  </si>
  <si>
    <t>Premium Saver-Insured HRA-Request for Quote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</si>
</sst>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mm/dd/yy;@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Segoe UI"/>
      <family val="2"/>
    </font>
    <font>
      <b/>
      <sz val="9"/>
      <name val="Segoe UI"/>
      <family val="2"/>
    </font>
    <font>
      <sz val="10"/>
      <name val="Segoe UI"/>
      <family val="2"/>
    </font>
    <font>
      <b/>
      <sz val="16"/>
      <color theme="0"/>
      <name val="Segoe UI"/>
      <family val="2"/>
    </font>
    <font>
      <b/>
      <sz val="12"/>
      <color theme="0"/>
      <name val="Segoe UI"/>
      <family val="2"/>
    </font>
    <font>
      <b/>
      <sz val="10"/>
      <color theme="0"/>
      <name val="Segoe UI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i/>
      <sz val="22"/>
      <color theme="0"/>
      <name val="Arial Narrow"/>
      <family val="2"/>
    </font>
    <font>
      <b/>
      <sz val="22"/>
      <color theme="0"/>
      <name val="Arial Narrow"/>
      <family val="2"/>
    </font>
    <font>
      <b/>
      <sz val="18"/>
      <color theme="0"/>
      <name val="Arial Narrow"/>
      <family val="2"/>
    </font>
    <font>
      <b/>
      <sz val="16"/>
      <name val="Arial Narrow"/>
      <family val="2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Arial Narrow"/>
      <family val="2"/>
    </font>
    <font>
      <b/>
      <sz val="14"/>
      <color theme="0"/>
      <name val="Calibri"/>
      <family val="2"/>
      <scheme val="minor"/>
    </font>
    <font>
      <sz val="12"/>
      <name val="Arial Narrow"/>
      <family val="2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6" tint="0.59999389629810485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Segoe UI"/>
      <family val="2"/>
    </font>
    <font>
      <b/>
      <sz val="18"/>
      <name val="Arial Narrow"/>
      <family val="2"/>
    </font>
    <font>
      <b/>
      <sz val="16"/>
      <color theme="0"/>
      <name val="Arial Narrow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Segoe UI"/>
      <family val="2"/>
    </font>
    <font>
      <b/>
      <sz val="24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4" tint="-0.24994659260841701"/>
      </left>
      <right/>
      <top style="thick">
        <color theme="4" tint="-0.24994659260841701"/>
      </top>
      <bottom style="thick">
        <color theme="4" tint="-0.24994659260841701"/>
      </bottom>
      <diagonal/>
    </border>
    <border>
      <left/>
      <right/>
      <top style="thick">
        <color theme="4" tint="-0.24994659260841701"/>
      </top>
      <bottom style="thick">
        <color theme="4" tint="-0.24994659260841701"/>
      </bottom>
      <diagonal/>
    </border>
    <border>
      <left/>
      <right style="thick">
        <color theme="4" tint="-0.24994659260841701"/>
      </right>
      <top style="thick">
        <color theme="4" tint="-0.24994659260841701"/>
      </top>
      <bottom style="thick">
        <color theme="4" tint="-0.24994659260841701"/>
      </bottom>
      <diagonal/>
    </border>
    <border>
      <left style="thick">
        <color theme="4" tint="-0.24994659260841701"/>
      </left>
      <right/>
      <top style="thick">
        <color theme="4" tint="-0.24994659260841701"/>
      </top>
      <bottom/>
      <diagonal/>
    </border>
    <border>
      <left/>
      <right/>
      <top style="thick">
        <color theme="4" tint="-0.24994659260841701"/>
      </top>
      <bottom/>
      <diagonal/>
    </border>
    <border>
      <left/>
      <right style="thick">
        <color theme="4" tint="-0.24994659260841701"/>
      </right>
      <top style="thick">
        <color theme="4" tint="-0.24994659260841701"/>
      </top>
      <bottom/>
      <diagonal/>
    </border>
    <border>
      <left style="thick">
        <color theme="4" tint="-0.24994659260841701"/>
      </left>
      <right/>
      <top/>
      <bottom/>
      <diagonal/>
    </border>
    <border>
      <left/>
      <right style="thick">
        <color theme="4" tint="-0.24994659260841701"/>
      </right>
      <top/>
      <bottom/>
      <diagonal/>
    </border>
    <border>
      <left style="thick">
        <color theme="4" tint="-0.24994659260841701"/>
      </left>
      <right/>
      <top style="thin">
        <color theme="4" tint="-0.24994659260841701"/>
      </top>
      <bottom/>
      <diagonal/>
    </border>
    <border>
      <left/>
      <right/>
      <top style="thin">
        <color theme="4" tint="-0.24994659260841701"/>
      </top>
      <bottom/>
      <diagonal/>
    </border>
    <border>
      <left/>
      <right style="thick">
        <color theme="4" tint="-0.24994659260841701"/>
      </right>
      <top style="thin">
        <color theme="4" tint="-0.24994659260841701"/>
      </top>
      <bottom/>
      <diagonal/>
    </border>
    <border>
      <left style="thick">
        <color theme="4" tint="-0.24994659260841701"/>
      </left>
      <right/>
      <top/>
      <bottom style="medium">
        <color theme="4" tint="-0.24994659260841701"/>
      </bottom>
      <diagonal/>
    </border>
    <border>
      <left/>
      <right/>
      <top/>
      <bottom style="medium">
        <color theme="4" tint="-0.24994659260841701"/>
      </bottom>
      <diagonal/>
    </border>
    <border>
      <left/>
      <right style="thick">
        <color theme="4" tint="-0.24994659260841701"/>
      </right>
      <top/>
      <bottom style="medium">
        <color theme="4" tint="-0.24994659260841701"/>
      </bottom>
      <diagonal/>
    </border>
    <border>
      <left style="thick">
        <color theme="4" tint="-0.24994659260841701"/>
      </left>
      <right/>
      <top/>
      <bottom style="thick">
        <color theme="4" tint="-0.24994659260841701"/>
      </bottom>
      <diagonal/>
    </border>
    <border>
      <left/>
      <right/>
      <top/>
      <bottom style="thick">
        <color theme="4" tint="-0.24994659260841701"/>
      </bottom>
      <diagonal/>
    </border>
    <border>
      <left/>
      <right style="thick">
        <color theme="4" tint="-0.24994659260841701"/>
      </right>
      <top/>
      <bottom style="thick">
        <color theme="4" tint="-0.24994659260841701"/>
      </bottom>
      <diagonal/>
    </border>
    <border>
      <left/>
      <right/>
      <top style="thick">
        <color theme="4" tint="-0.24994659260841701"/>
      </top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/>
      <right/>
      <top style="medium">
        <color theme="4" tint="-0.24994659260841701"/>
      </top>
      <bottom style="thick">
        <color theme="4" tint="-0.24994659260841701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4" tint="-0.499984740745262"/>
      </left>
      <right style="thick">
        <color theme="4" tint="-0.499984740745262"/>
      </right>
      <top/>
      <bottom/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ck">
        <color theme="4" tint="-0.499984740745262"/>
      </left>
      <right/>
      <top/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 style="thick">
        <color theme="3" tint="-0.24994659260841701"/>
      </left>
      <right/>
      <top style="thick">
        <color theme="3" tint="-0.24994659260841701"/>
      </top>
      <bottom/>
      <diagonal/>
    </border>
    <border>
      <left/>
      <right/>
      <top style="thick">
        <color theme="3" tint="-0.24994659260841701"/>
      </top>
      <bottom/>
      <diagonal/>
    </border>
    <border>
      <left/>
      <right style="thick">
        <color theme="3" tint="-0.24994659260841701"/>
      </right>
      <top style="thick">
        <color theme="3" tint="-0.24994659260841701"/>
      </top>
      <bottom/>
      <diagonal/>
    </border>
    <border>
      <left style="thick">
        <color theme="3" tint="-0.24994659260841701"/>
      </left>
      <right/>
      <top/>
      <bottom/>
      <diagonal/>
    </border>
    <border>
      <left/>
      <right style="thick">
        <color theme="3" tint="-0.24994659260841701"/>
      </right>
      <top/>
      <bottom/>
      <diagonal/>
    </border>
    <border>
      <left style="thick">
        <color theme="3" tint="-0.24994659260841701"/>
      </left>
      <right/>
      <top/>
      <bottom style="thick">
        <color theme="3" tint="-0.24994659260841701"/>
      </bottom>
      <diagonal/>
    </border>
    <border>
      <left/>
      <right/>
      <top/>
      <bottom style="thick">
        <color theme="3" tint="-0.24994659260841701"/>
      </bottom>
      <diagonal/>
    </border>
    <border>
      <left/>
      <right style="thick">
        <color theme="3" tint="-0.24994659260841701"/>
      </right>
      <top/>
      <bottom style="thick">
        <color theme="3" tint="-0.24994659260841701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07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right" vertical="center" wrapText="1"/>
    </xf>
    <xf numFmtId="0" fontId="5" fillId="0" borderId="1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13" xfId="0" applyFont="1" applyBorder="1" applyAlignment="1">
      <alignment horizontal="right" vertical="center" wrapText="1"/>
    </xf>
    <xf numFmtId="0" fontId="5" fillId="0" borderId="14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right" vertical="center" wrapText="1"/>
    </xf>
    <xf numFmtId="0" fontId="5" fillId="0" borderId="29" xfId="0" applyFont="1" applyBorder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6" borderId="35" xfId="0" applyFont="1" applyFill="1" applyBorder="1" applyAlignment="1">
      <alignment horizontal="center"/>
    </xf>
    <xf numFmtId="0" fontId="12" fillId="6" borderId="36" xfId="0" applyFont="1" applyFill="1" applyBorder="1" applyAlignment="1">
      <alignment horizontal="center"/>
    </xf>
    <xf numFmtId="0" fontId="12" fillId="6" borderId="37" xfId="0" applyFont="1" applyFill="1" applyBorder="1" applyAlignment="1">
      <alignment horizontal="center"/>
    </xf>
    <xf numFmtId="0" fontId="10" fillId="7" borderId="41" xfId="0" applyFont="1" applyFill="1" applyBorder="1" applyAlignment="1">
      <alignment horizontal="center"/>
    </xf>
    <xf numFmtId="164" fontId="10" fillId="7" borderId="41" xfId="1" applyNumberFormat="1" applyFont="1" applyFill="1" applyBorder="1" applyAlignment="1">
      <alignment horizontal="center"/>
    </xf>
    <xf numFmtId="164" fontId="10" fillId="7" borderId="42" xfId="1" applyNumberFormat="1" applyFont="1" applyFill="1" applyBorder="1" applyAlignment="1">
      <alignment horizontal="center"/>
    </xf>
    <xf numFmtId="8" fontId="13" fillId="0" borderId="0" xfId="0" applyNumberFormat="1" applyFont="1" applyAlignment="1">
      <alignment horizontal="center" vertical="center" wrapText="1"/>
    </xf>
    <xf numFmtId="0" fontId="10" fillId="7" borderId="0" xfId="0" applyFont="1" applyFill="1" applyBorder="1" applyAlignment="1">
      <alignment horizontal="center"/>
    </xf>
    <xf numFmtId="164" fontId="10" fillId="7" borderId="0" xfId="1" applyNumberFormat="1" applyFont="1" applyFill="1" applyBorder="1" applyAlignment="1">
      <alignment horizontal="center"/>
    </xf>
    <xf numFmtId="164" fontId="10" fillId="7" borderId="39" xfId="1" applyNumberFormat="1" applyFont="1" applyFill="1" applyBorder="1" applyAlignment="1">
      <alignment horizontal="center"/>
    </xf>
    <xf numFmtId="0" fontId="10" fillId="7" borderId="44" xfId="0" applyFont="1" applyFill="1" applyBorder="1" applyAlignment="1">
      <alignment horizontal="center"/>
    </xf>
    <xf numFmtId="164" fontId="10" fillId="7" borderId="44" xfId="1" applyNumberFormat="1" applyFont="1" applyFill="1" applyBorder="1" applyAlignment="1">
      <alignment horizontal="center"/>
    </xf>
    <xf numFmtId="164" fontId="10" fillId="7" borderId="45" xfId="1" applyNumberFormat="1" applyFont="1" applyFill="1" applyBorder="1" applyAlignment="1">
      <alignment horizontal="center"/>
    </xf>
    <xf numFmtId="0" fontId="10" fillId="7" borderId="46" xfId="0" applyFont="1" applyFill="1" applyBorder="1" applyAlignment="1">
      <alignment horizontal="center"/>
    </xf>
    <xf numFmtId="0" fontId="10" fillId="7" borderId="47" xfId="0" applyFont="1" applyFill="1" applyBorder="1" applyAlignment="1">
      <alignment horizontal="center"/>
    </xf>
    <xf numFmtId="164" fontId="10" fillId="7" borderId="47" xfId="1" applyNumberFormat="1" applyFont="1" applyFill="1" applyBorder="1" applyAlignment="1">
      <alignment horizontal="center"/>
    </xf>
    <xf numFmtId="164" fontId="11" fillId="7" borderId="48" xfId="1" applyNumberFormat="1" applyFont="1" applyFill="1" applyBorder="1" applyAlignment="1">
      <alignment horizontal="center"/>
    </xf>
    <xf numFmtId="164" fontId="10" fillId="0" borderId="0" xfId="1" applyNumberFormat="1" applyFont="1" applyFill="1" applyBorder="1" applyAlignment="1">
      <alignment horizontal="center"/>
    </xf>
    <xf numFmtId="0" fontId="10" fillId="0" borderId="0" xfId="0" applyFont="1" applyFill="1" applyBorder="1"/>
    <xf numFmtId="8" fontId="13" fillId="0" borderId="0" xfId="0" applyNumberFormat="1" applyFont="1" applyFill="1" applyBorder="1" applyAlignment="1">
      <alignment horizontal="center" vertical="center" wrapText="1"/>
    </xf>
    <xf numFmtId="0" fontId="10" fillId="8" borderId="41" xfId="0" applyFont="1" applyFill="1" applyBorder="1" applyAlignment="1">
      <alignment horizontal="center"/>
    </xf>
    <xf numFmtId="164" fontId="10" fillId="8" borderId="41" xfId="1" applyNumberFormat="1" applyFont="1" applyFill="1" applyBorder="1" applyAlignment="1">
      <alignment horizontal="center"/>
    </xf>
    <xf numFmtId="164" fontId="10" fillId="8" borderId="42" xfId="1" applyNumberFormat="1" applyFont="1" applyFill="1" applyBorder="1" applyAlignment="1">
      <alignment horizontal="center"/>
    </xf>
    <xf numFmtId="0" fontId="10" fillId="8" borderId="0" xfId="0" applyFont="1" applyFill="1" applyBorder="1" applyAlignment="1">
      <alignment horizontal="center"/>
    </xf>
    <xf numFmtId="164" fontId="10" fillId="8" borderId="0" xfId="1" applyNumberFormat="1" applyFont="1" applyFill="1" applyBorder="1" applyAlignment="1">
      <alignment horizontal="center"/>
    </xf>
    <xf numFmtId="164" fontId="10" fillId="8" borderId="39" xfId="1" applyNumberFormat="1" applyFont="1" applyFill="1" applyBorder="1" applyAlignment="1">
      <alignment horizontal="center"/>
    </xf>
    <xf numFmtId="0" fontId="10" fillId="8" borderId="44" xfId="0" applyFont="1" applyFill="1" applyBorder="1" applyAlignment="1">
      <alignment horizontal="center"/>
    </xf>
    <xf numFmtId="164" fontId="10" fillId="8" borderId="44" xfId="1" applyNumberFormat="1" applyFont="1" applyFill="1" applyBorder="1" applyAlignment="1">
      <alignment horizontal="center"/>
    </xf>
    <xf numFmtId="164" fontId="10" fillId="8" borderId="45" xfId="1" applyNumberFormat="1" applyFont="1" applyFill="1" applyBorder="1" applyAlignment="1">
      <alignment horizontal="center"/>
    </xf>
    <xf numFmtId="0" fontId="10" fillId="8" borderId="46" xfId="0" applyFont="1" applyFill="1" applyBorder="1" applyAlignment="1">
      <alignment horizontal="center"/>
    </xf>
    <xf numFmtId="0" fontId="10" fillId="8" borderId="47" xfId="0" applyFont="1" applyFill="1" applyBorder="1" applyAlignment="1">
      <alignment horizontal="center"/>
    </xf>
    <xf numFmtId="164" fontId="10" fillId="8" borderId="47" xfId="1" applyNumberFormat="1" applyFont="1" applyFill="1" applyBorder="1" applyAlignment="1">
      <alignment horizontal="center"/>
    </xf>
    <xf numFmtId="164" fontId="11" fillId="8" borderId="48" xfId="1" applyNumberFormat="1" applyFont="1" applyFill="1" applyBorder="1" applyAlignment="1">
      <alignment horizontal="center"/>
    </xf>
    <xf numFmtId="0" fontId="10" fillId="0" borderId="47" xfId="0" applyFont="1" applyFill="1" applyBorder="1" applyAlignment="1">
      <alignment horizontal="center"/>
    </xf>
    <xf numFmtId="164" fontId="10" fillId="0" borderId="47" xfId="1" applyNumberFormat="1" applyFont="1" applyFill="1" applyBorder="1" applyAlignment="1">
      <alignment horizontal="center"/>
    </xf>
    <xf numFmtId="164" fontId="11" fillId="0" borderId="47" xfId="1" applyNumberFormat="1" applyFont="1" applyFill="1" applyBorder="1" applyAlignment="1">
      <alignment horizontal="center"/>
    </xf>
    <xf numFmtId="0" fontId="10" fillId="6" borderId="40" xfId="0" applyFont="1" applyFill="1" applyBorder="1" applyAlignment="1">
      <alignment horizontal="center"/>
    </xf>
    <xf numFmtId="0" fontId="10" fillId="6" borderId="41" xfId="0" applyFont="1" applyFill="1" applyBorder="1" applyAlignment="1">
      <alignment horizontal="center"/>
    </xf>
    <xf numFmtId="164" fontId="10" fillId="6" borderId="41" xfId="1" applyNumberFormat="1" applyFont="1" applyFill="1" applyBorder="1" applyAlignment="1">
      <alignment horizontal="center"/>
    </xf>
    <xf numFmtId="164" fontId="10" fillId="6" borderId="42" xfId="1" applyNumberFormat="1" applyFont="1" applyFill="1" applyBorder="1" applyAlignment="1">
      <alignment horizontal="center"/>
    </xf>
    <xf numFmtId="0" fontId="10" fillId="6" borderId="38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164" fontId="10" fillId="6" borderId="0" xfId="1" applyNumberFormat="1" applyFont="1" applyFill="1" applyBorder="1" applyAlignment="1">
      <alignment horizontal="center"/>
    </xf>
    <xf numFmtId="164" fontId="10" fillId="6" borderId="39" xfId="1" applyNumberFormat="1" applyFont="1" applyFill="1" applyBorder="1" applyAlignment="1">
      <alignment horizontal="center"/>
    </xf>
    <xf numFmtId="0" fontId="10" fillId="6" borderId="43" xfId="0" applyFont="1" applyFill="1" applyBorder="1" applyAlignment="1">
      <alignment horizontal="center"/>
    </xf>
    <xf numFmtId="0" fontId="10" fillId="6" borderId="44" xfId="0" applyFont="1" applyFill="1" applyBorder="1" applyAlignment="1">
      <alignment horizontal="center"/>
    </xf>
    <xf numFmtId="164" fontId="10" fillId="6" borderId="44" xfId="1" applyNumberFormat="1" applyFont="1" applyFill="1" applyBorder="1" applyAlignment="1">
      <alignment horizontal="center"/>
    </xf>
    <xf numFmtId="164" fontId="10" fillId="6" borderId="45" xfId="1" applyNumberFormat="1" applyFont="1" applyFill="1" applyBorder="1" applyAlignment="1">
      <alignment horizontal="center"/>
    </xf>
    <xf numFmtId="0" fontId="10" fillId="6" borderId="46" xfId="0" applyFont="1" applyFill="1" applyBorder="1" applyAlignment="1">
      <alignment horizontal="center"/>
    </xf>
    <xf numFmtId="0" fontId="10" fillId="6" borderId="47" xfId="0" applyFont="1" applyFill="1" applyBorder="1" applyAlignment="1">
      <alignment horizontal="center"/>
    </xf>
    <xf numFmtId="164" fontId="10" fillId="6" borderId="47" xfId="1" applyNumberFormat="1" applyFont="1" applyFill="1" applyBorder="1" applyAlignment="1">
      <alignment horizontal="center"/>
    </xf>
    <xf numFmtId="164" fontId="11" fillId="6" borderId="48" xfId="1" applyNumberFormat="1" applyFont="1" applyFill="1" applyBorder="1" applyAlignment="1">
      <alignment horizontal="center"/>
    </xf>
    <xf numFmtId="0" fontId="10" fillId="9" borderId="40" xfId="0" applyFont="1" applyFill="1" applyBorder="1" applyAlignment="1">
      <alignment horizontal="center"/>
    </xf>
    <xf numFmtId="0" fontId="10" fillId="9" borderId="41" xfId="0" applyFont="1" applyFill="1" applyBorder="1" applyAlignment="1">
      <alignment horizontal="center"/>
    </xf>
    <xf numFmtId="164" fontId="10" fillId="9" borderId="41" xfId="1" applyNumberFormat="1" applyFont="1" applyFill="1" applyBorder="1" applyAlignment="1">
      <alignment horizontal="center"/>
    </xf>
    <xf numFmtId="164" fontId="10" fillId="9" borderId="42" xfId="1" applyNumberFormat="1" applyFont="1" applyFill="1" applyBorder="1" applyAlignment="1">
      <alignment horizontal="center"/>
    </xf>
    <xf numFmtId="0" fontId="10" fillId="9" borderId="38" xfId="0" applyFont="1" applyFill="1" applyBorder="1" applyAlignment="1">
      <alignment horizontal="center"/>
    </xf>
    <xf numFmtId="0" fontId="10" fillId="9" borderId="0" xfId="0" applyFont="1" applyFill="1" applyBorder="1" applyAlignment="1">
      <alignment horizontal="center"/>
    </xf>
    <xf numFmtId="164" fontId="10" fillId="9" borderId="0" xfId="1" applyNumberFormat="1" applyFont="1" applyFill="1" applyBorder="1" applyAlignment="1">
      <alignment horizontal="center"/>
    </xf>
    <xf numFmtId="164" fontId="10" fillId="9" borderId="39" xfId="1" applyNumberFormat="1" applyFont="1" applyFill="1" applyBorder="1" applyAlignment="1">
      <alignment horizontal="center"/>
    </xf>
    <xf numFmtId="0" fontId="10" fillId="9" borderId="43" xfId="0" applyFont="1" applyFill="1" applyBorder="1" applyAlignment="1">
      <alignment horizontal="center"/>
    </xf>
    <xf numFmtId="0" fontId="10" fillId="9" borderId="44" xfId="0" applyFont="1" applyFill="1" applyBorder="1" applyAlignment="1">
      <alignment horizontal="center"/>
    </xf>
    <xf numFmtId="164" fontId="10" fillId="9" borderId="44" xfId="1" applyNumberFormat="1" applyFont="1" applyFill="1" applyBorder="1" applyAlignment="1">
      <alignment horizontal="center"/>
    </xf>
    <xf numFmtId="164" fontId="10" fillId="9" borderId="45" xfId="1" applyNumberFormat="1" applyFont="1" applyFill="1" applyBorder="1" applyAlignment="1">
      <alignment horizontal="center"/>
    </xf>
    <xf numFmtId="0" fontId="10" fillId="9" borderId="46" xfId="0" applyFont="1" applyFill="1" applyBorder="1" applyAlignment="1">
      <alignment horizontal="center"/>
    </xf>
    <xf numFmtId="0" fontId="10" fillId="9" borderId="47" xfId="0" applyFont="1" applyFill="1" applyBorder="1" applyAlignment="1">
      <alignment horizontal="center"/>
    </xf>
    <xf numFmtId="164" fontId="10" fillId="9" borderId="47" xfId="1" applyNumberFormat="1" applyFont="1" applyFill="1" applyBorder="1" applyAlignment="1">
      <alignment horizontal="center"/>
    </xf>
    <xf numFmtId="164" fontId="11" fillId="9" borderId="48" xfId="1" applyNumberFormat="1" applyFont="1" applyFill="1" applyBorder="1" applyAlignment="1">
      <alignment horizontal="center"/>
    </xf>
    <xf numFmtId="0" fontId="14" fillId="10" borderId="32" xfId="0" applyFont="1" applyFill="1" applyBorder="1"/>
    <xf numFmtId="0" fontId="11" fillId="10" borderId="33" xfId="0" applyFont="1" applyFill="1" applyBorder="1" applyAlignment="1">
      <alignment horizontal="center"/>
    </xf>
    <xf numFmtId="0" fontId="11" fillId="10" borderId="33" xfId="0" applyFont="1" applyFill="1" applyBorder="1"/>
    <xf numFmtId="164" fontId="11" fillId="10" borderId="34" xfId="0" applyNumberFormat="1" applyFont="1" applyFill="1" applyBorder="1" applyAlignment="1">
      <alignment horizontal="center"/>
    </xf>
    <xf numFmtId="0" fontId="11" fillId="0" borderId="47" xfId="0" applyFont="1" applyBorder="1" applyAlignment="1">
      <alignment horizontal="center"/>
    </xf>
    <xf numFmtId="0" fontId="0" fillId="0" borderId="0" xfId="0" applyBorder="1"/>
    <xf numFmtId="0" fontId="20" fillId="0" borderId="0" xfId="0" applyFont="1"/>
    <xf numFmtId="0" fontId="14" fillId="7" borderId="0" xfId="0" applyFont="1" applyFill="1" applyBorder="1" applyAlignment="1">
      <alignment horizontal="center"/>
    </xf>
    <xf numFmtId="0" fontId="26" fillId="7" borderId="0" xfId="0" applyFont="1" applyFill="1" applyBorder="1" applyAlignment="1">
      <alignment horizontal="center" vertical="center"/>
    </xf>
    <xf numFmtId="0" fontId="26" fillId="8" borderId="0" xfId="0" applyFont="1" applyFill="1" applyBorder="1" applyAlignment="1">
      <alignment horizontal="center" vertical="center"/>
    </xf>
    <xf numFmtId="0" fontId="14" fillId="7" borderId="38" xfId="0" applyFont="1" applyFill="1" applyBorder="1" applyAlignment="1">
      <alignment horizontal="left"/>
    </xf>
    <xf numFmtId="0" fontId="14" fillId="8" borderId="38" xfId="0" applyFont="1" applyFill="1" applyBorder="1" applyAlignment="1">
      <alignment horizontal="left"/>
    </xf>
    <xf numFmtId="0" fontId="14" fillId="8" borderId="0" xfId="0" applyFont="1" applyFill="1" applyBorder="1" applyAlignment="1">
      <alignment horizontal="center"/>
    </xf>
    <xf numFmtId="0" fontId="14" fillId="7" borderId="39" xfId="0" applyFont="1" applyFill="1" applyBorder="1" applyAlignment="1">
      <alignment horizontal="center"/>
    </xf>
    <xf numFmtId="0" fontId="14" fillId="8" borderId="39" xfId="0" applyFont="1" applyFill="1" applyBorder="1" applyAlignment="1">
      <alignment horizontal="center"/>
    </xf>
    <xf numFmtId="0" fontId="14" fillId="6" borderId="38" xfId="0" applyFont="1" applyFill="1" applyBorder="1" applyAlignment="1">
      <alignment horizontal="left"/>
    </xf>
    <xf numFmtId="0" fontId="14" fillId="6" borderId="0" xfId="0" applyFont="1" applyFill="1" applyBorder="1" applyAlignment="1">
      <alignment horizontal="center"/>
    </xf>
    <xf numFmtId="0" fontId="14" fillId="6" borderId="39" xfId="0" applyFont="1" applyFill="1" applyBorder="1" applyAlignment="1">
      <alignment horizontal="center"/>
    </xf>
    <xf numFmtId="0" fontId="14" fillId="9" borderId="38" xfId="0" applyFont="1" applyFill="1" applyBorder="1" applyAlignment="1">
      <alignment horizontal="left"/>
    </xf>
    <xf numFmtId="0" fontId="14" fillId="9" borderId="0" xfId="0" applyFont="1" applyFill="1" applyBorder="1" applyAlignment="1">
      <alignment horizontal="center"/>
    </xf>
    <xf numFmtId="0" fontId="14" fillId="9" borderId="39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7" borderId="35" xfId="0" applyFont="1" applyFill="1" applyBorder="1" applyAlignment="1">
      <alignment horizontal="left"/>
    </xf>
    <xf numFmtId="0" fontId="14" fillId="7" borderId="36" xfId="0" applyFont="1" applyFill="1" applyBorder="1" applyAlignment="1">
      <alignment horizontal="center"/>
    </xf>
    <xf numFmtId="0" fontId="31" fillId="13" borderId="49" xfId="0" applyFont="1" applyFill="1" applyBorder="1" applyAlignment="1"/>
    <xf numFmtId="0" fontId="20" fillId="7" borderId="40" xfId="0" applyFont="1" applyFill="1" applyBorder="1" applyAlignment="1">
      <alignment horizontal="center"/>
    </xf>
    <xf numFmtId="0" fontId="20" fillId="7" borderId="41" xfId="0" applyFont="1" applyFill="1" applyBorder="1" applyAlignment="1">
      <alignment horizontal="center"/>
    </xf>
    <xf numFmtId="1" fontId="20" fillId="13" borderId="41" xfId="1" applyNumberFormat="1" applyFont="1" applyFill="1" applyBorder="1" applyAlignment="1">
      <alignment horizontal="center"/>
    </xf>
    <xf numFmtId="164" fontId="20" fillId="13" borderId="41" xfId="1" applyNumberFormat="1" applyFont="1" applyFill="1" applyBorder="1" applyAlignment="1">
      <alignment horizontal="left"/>
    </xf>
    <xf numFmtId="8" fontId="32" fillId="0" borderId="0" xfId="0" applyNumberFormat="1" applyFont="1" applyAlignment="1">
      <alignment horizontal="center" vertical="center" wrapText="1"/>
    </xf>
    <xf numFmtId="0" fontId="20" fillId="7" borderId="38" xfId="0" applyFont="1" applyFill="1" applyBorder="1" applyAlignment="1">
      <alignment horizontal="center"/>
    </xf>
    <xf numFmtId="0" fontId="20" fillId="7" borderId="0" xfId="0" applyFont="1" applyFill="1" applyBorder="1" applyAlignment="1">
      <alignment horizontal="center"/>
    </xf>
    <xf numFmtId="1" fontId="20" fillId="13" borderId="0" xfId="1" applyNumberFormat="1" applyFont="1" applyFill="1" applyBorder="1" applyAlignment="1">
      <alignment horizontal="center"/>
    </xf>
    <xf numFmtId="164" fontId="20" fillId="13" borderId="0" xfId="1" applyNumberFormat="1" applyFont="1" applyFill="1" applyBorder="1" applyAlignment="1">
      <alignment horizontal="left"/>
    </xf>
    <xf numFmtId="0" fontId="20" fillId="7" borderId="43" xfId="0" applyFont="1" applyFill="1" applyBorder="1" applyAlignment="1">
      <alignment horizontal="center"/>
    </xf>
    <xf numFmtId="0" fontId="20" fillId="7" borderId="44" xfId="0" applyFont="1" applyFill="1" applyBorder="1" applyAlignment="1">
      <alignment horizontal="center"/>
    </xf>
    <xf numFmtId="1" fontId="20" fillId="13" borderId="44" xfId="1" applyNumberFormat="1" applyFont="1" applyFill="1" applyBorder="1" applyAlignment="1">
      <alignment horizontal="center"/>
    </xf>
    <xf numFmtId="164" fontId="20" fillId="13" borderId="44" xfId="1" applyNumberFormat="1" applyFont="1" applyFill="1" applyBorder="1" applyAlignment="1">
      <alignment horizontal="left"/>
    </xf>
    <xf numFmtId="164" fontId="20" fillId="7" borderId="44" xfId="1" applyNumberFormat="1" applyFont="1" applyFill="1" applyBorder="1" applyAlignment="1">
      <alignment horizontal="center"/>
    </xf>
    <xf numFmtId="0" fontId="20" fillId="0" borderId="38" xfId="0" applyFont="1" applyBorder="1"/>
    <xf numFmtId="0" fontId="20" fillId="7" borderId="46" xfId="0" applyFont="1" applyFill="1" applyBorder="1" applyAlignment="1">
      <alignment horizontal="center"/>
    </xf>
    <xf numFmtId="0" fontId="20" fillId="7" borderId="47" xfId="0" applyFont="1" applyFill="1" applyBorder="1" applyAlignment="1">
      <alignment horizontal="center"/>
    </xf>
    <xf numFmtId="1" fontId="20" fillId="13" borderId="47" xfId="1" applyNumberFormat="1" applyFont="1" applyFill="1" applyBorder="1" applyAlignment="1">
      <alignment horizontal="center"/>
    </xf>
    <xf numFmtId="164" fontId="20" fillId="13" borderId="47" xfId="1" applyNumberFormat="1" applyFont="1" applyFill="1" applyBorder="1" applyAlignment="1">
      <alignment horizontal="left"/>
    </xf>
    <xf numFmtId="0" fontId="20" fillId="0" borderId="47" xfId="0" applyFont="1" applyFill="1" applyBorder="1" applyAlignment="1">
      <alignment horizontal="center"/>
    </xf>
    <xf numFmtId="164" fontId="20" fillId="0" borderId="47" xfId="1" applyNumberFormat="1" applyFont="1" applyFill="1" applyBorder="1" applyAlignment="1">
      <alignment horizontal="center"/>
    </xf>
    <xf numFmtId="1" fontId="20" fillId="0" borderId="47" xfId="1" applyNumberFormat="1" applyFont="1" applyFill="1" applyBorder="1" applyAlignment="1">
      <alignment horizontal="center"/>
    </xf>
    <xf numFmtId="164" fontId="20" fillId="0" borderId="47" xfId="1" applyNumberFormat="1" applyFont="1" applyFill="1" applyBorder="1" applyAlignment="1">
      <alignment horizontal="left"/>
    </xf>
    <xf numFmtId="164" fontId="14" fillId="0" borderId="47" xfId="1" applyNumberFormat="1" applyFont="1" applyFill="1" applyBorder="1" applyAlignment="1">
      <alignment horizontal="center"/>
    </xf>
    <xf numFmtId="0" fontId="20" fillId="0" borderId="0" xfId="0" applyFont="1" applyFill="1" applyBorder="1"/>
    <xf numFmtId="0" fontId="14" fillId="14" borderId="37" xfId="0" applyFont="1" applyFill="1" applyBorder="1" applyAlignment="1">
      <alignment horizontal="center"/>
    </xf>
    <xf numFmtId="164" fontId="20" fillId="14" borderId="42" xfId="1" applyNumberFormat="1" applyFont="1" applyFill="1" applyBorder="1" applyAlignment="1">
      <alignment horizontal="center"/>
    </xf>
    <xf numFmtId="164" fontId="20" fillId="14" borderId="39" xfId="1" applyNumberFormat="1" applyFont="1" applyFill="1" applyBorder="1" applyAlignment="1">
      <alignment horizontal="center"/>
    </xf>
    <xf numFmtId="164" fontId="20" fillId="14" borderId="45" xfId="1" applyNumberFormat="1" applyFont="1" applyFill="1" applyBorder="1" applyAlignment="1">
      <alignment horizontal="center"/>
    </xf>
    <xf numFmtId="164" fontId="14" fillId="14" borderId="48" xfId="1" applyNumberFormat="1" applyFont="1" applyFill="1" applyBorder="1" applyAlignment="1">
      <alignment horizontal="center"/>
    </xf>
    <xf numFmtId="0" fontId="14" fillId="6" borderId="36" xfId="0" applyFont="1" applyFill="1" applyBorder="1" applyAlignment="1">
      <alignment horizontal="left"/>
    </xf>
    <xf numFmtId="0" fontId="14" fillId="6" borderId="49" xfId="0" applyFont="1" applyFill="1" applyBorder="1" applyAlignment="1"/>
    <xf numFmtId="0" fontId="20" fillId="6" borderId="40" xfId="0" applyFont="1" applyFill="1" applyBorder="1" applyAlignment="1">
      <alignment horizontal="center"/>
    </xf>
    <xf numFmtId="0" fontId="20" fillId="6" borderId="41" xfId="0" applyFont="1" applyFill="1" applyBorder="1" applyAlignment="1">
      <alignment horizontal="center"/>
    </xf>
    <xf numFmtId="164" fontId="20" fillId="6" borderId="41" xfId="1" applyNumberFormat="1" applyFont="1" applyFill="1" applyBorder="1" applyAlignment="1">
      <alignment horizontal="center"/>
    </xf>
    <xf numFmtId="164" fontId="20" fillId="6" borderId="42" xfId="1" applyNumberFormat="1" applyFont="1" applyFill="1" applyBorder="1" applyAlignment="1">
      <alignment horizontal="center"/>
    </xf>
    <xf numFmtId="0" fontId="20" fillId="6" borderId="38" xfId="0" applyFont="1" applyFill="1" applyBorder="1" applyAlignment="1">
      <alignment horizontal="center"/>
    </xf>
    <xf numFmtId="0" fontId="20" fillId="6" borderId="0" xfId="0" applyFont="1" applyFill="1" applyBorder="1" applyAlignment="1">
      <alignment horizontal="center"/>
    </xf>
    <xf numFmtId="164" fontId="20" fillId="6" borderId="0" xfId="1" applyNumberFormat="1" applyFont="1" applyFill="1" applyBorder="1" applyAlignment="1">
      <alignment horizontal="center"/>
    </xf>
    <xf numFmtId="164" fontId="20" fillId="6" borderId="39" xfId="1" applyNumberFormat="1" applyFont="1" applyFill="1" applyBorder="1" applyAlignment="1">
      <alignment horizontal="center"/>
    </xf>
    <xf numFmtId="0" fontId="20" fillId="6" borderId="43" xfId="0" applyFont="1" applyFill="1" applyBorder="1" applyAlignment="1">
      <alignment horizontal="center"/>
    </xf>
    <xf numFmtId="0" fontId="20" fillId="6" borderId="44" xfId="0" applyFont="1" applyFill="1" applyBorder="1" applyAlignment="1">
      <alignment horizontal="center"/>
    </xf>
    <xf numFmtId="164" fontId="20" fillId="6" borderId="44" xfId="1" applyNumberFormat="1" applyFont="1" applyFill="1" applyBorder="1" applyAlignment="1">
      <alignment horizontal="center"/>
    </xf>
    <xf numFmtId="164" fontId="20" fillId="6" borderId="45" xfId="1" applyNumberFormat="1" applyFont="1" applyFill="1" applyBorder="1" applyAlignment="1">
      <alignment horizontal="center"/>
    </xf>
    <xf numFmtId="0" fontId="20" fillId="6" borderId="46" xfId="0" applyFont="1" applyFill="1" applyBorder="1" applyAlignment="1">
      <alignment horizontal="center"/>
    </xf>
    <xf numFmtId="0" fontId="20" fillId="6" borderId="47" xfId="0" applyFont="1" applyFill="1" applyBorder="1" applyAlignment="1">
      <alignment horizontal="center"/>
    </xf>
    <xf numFmtId="164" fontId="20" fillId="6" borderId="47" xfId="1" applyNumberFormat="1" applyFont="1" applyFill="1" applyBorder="1" applyAlignment="1">
      <alignment horizontal="center"/>
    </xf>
    <xf numFmtId="164" fontId="14" fillId="6" borderId="48" xfId="1" applyNumberFormat="1" applyFont="1" applyFill="1" applyBorder="1" applyAlignment="1">
      <alignment horizontal="center"/>
    </xf>
    <xf numFmtId="0" fontId="30" fillId="9" borderId="35" xfId="0" applyFont="1" applyFill="1" applyBorder="1" applyAlignment="1">
      <alignment horizontal="center"/>
    </xf>
    <xf numFmtId="0" fontId="30" fillId="9" borderId="36" xfId="0" applyFont="1" applyFill="1" applyBorder="1" applyAlignment="1">
      <alignment horizontal="center"/>
    </xf>
    <xf numFmtId="0" fontId="33" fillId="9" borderId="36" xfId="0" applyFont="1" applyFill="1" applyBorder="1" applyAlignment="1">
      <alignment horizontal="center"/>
    </xf>
    <xf numFmtId="0" fontId="30" fillId="9" borderId="37" xfId="0" applyFont="1" applyFill="1" applyBorder="1" applyAlignment="1">
      <alignment horizontal="center"/>
    </xf>
    <xf numFmtId="0" fontId="14" fillId="9" borderId="38" xfId="0" applyFont="1" applyFill="1" applyBorder="1" applyAlignment="1">
      <alignment horizontal="center"/>
    </xf>
    <xf numFmtId="0" fontId="20" fillId="9" borderId="40" xfId="0" applyFont="1" applyFill="1" applyBorder="1" applyAlignment="1">
      <alignment horizontal="center"/>
    </xf>
    <xf numFmtId="0" fontId="20" fillId="9" borderId="38" xfId="0" applyFont="1" applyFill="1" applyBorder="1" applyAlignment="1">
      <alignment horizontal="center"/>
    </xf>
    <xf numFmtId="0" fontId="20" fillId="9" borderId="43" xfId="0" applyFont="1" applyFill="1" applyBorder="1" applyAlignment="1">
      <alignment horizontal="center"/>
    </xf>
    <xf numFmtId="0" fontId="20" fillId="9" borderId="46" xfId="0" applyFont="1" applyFill="1" applyBorder="1" applyAlignment="1">
      <alignment horizontal="center"/>
    </xf>
    <xf numFmtId="0" fontId="35" fillId="5" borderId="32" xfId="0" applyFont="1" applyFill="1" applyBorder="1" applyAlignment="1">
      <alignment horizontal="center"/>
    </xf>
    <xf numFmtId="164" fontId="30" fillId="5" borderId="34" xfId="1" applyNumberFormat="1" applyFont="1" applyFill="1" applyBorder="1" applyAlignment="1">
      <alignment horizontal="center"/>
    </xf>
    <xf numFmtId="0" fontId="14" fillId="0" borderId="0" xfId="0" applyFont="1" applyFill="1" applyBorder="1"/>
    <xf numFmtId="0" fontId="14" fillId="0" borderId="0" xfId="0" applyFont="1" applyFill="1" applyBorder="1" applyAlignment="1">
      <alignment horizontal="center"/>
    </xf>
    <xf numFmtId="164" fontId="14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164" fontId="20" fillId="0" borderId="0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Border="1"/>
    <xf numFmtId="0" fontId="2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164" fontId="36" fillId="0" borderId="0" xfId="0" applyNumberFormat="1" applyFont="1" applyBorder="1"/>
    <xf numFmtId="0" fontId="14" fillId="6" borderId="38" xfId="0" applyFont="1" applyFill="1" applyBorder="1" applyAlignment="1">
      <alignment horizontal="center"/>
    </xf>
    <xf numFmtId="0" fontId="14" fillId="6" borderId="0" xfId="0" applyFont="1" applyFill="1" applyBorder="1" applyAlignment="1">
      <alignment horizontal="center" vertical="center"/>
    </xf>
    <xf numFmtId="0" fontId="14" fillId="6" borderId="0" xfId="0" applyFont="1" applyFill="1" applyBorder="1" applyAlignment="1">
      <alignment horizontal="center" wrapText="1"/>
    </xf>
    <xf numFmtId="0" fontId="34" fillId="6" borderId="0" xfId="0" applyFont="1" applyFill="1"/>
    <xf numFmtId="0" fontId="14" fillId="6" borderId="39" xfId="0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/>
    </xf>
    <xf numFmtId="0" fontId="20" fillId="6" borderId="0" xfId="0" applyFont="1" applyFill="1"/>
    <xf numFmtId="1" fontId="20" fillId="6" borderId="0" xfId="0" applyNumberFormat="1" applyFont="1" applyFill="1" applyBorder="1" applyAlignment="1">
      <alignment horizontal="center"/>
    </xf>
    <xf numFmtId="1" fontId="20" fillId="6" borderId="44" xfId="0" applyNumberFormat="1" applyFont="1" applyFill="1" applyBorder="1" applyAlignment="1">
      <alignment horizontal="center"/>
    </xf>
    <xf numFmtId="0" fontId="14" fillId="9" borderId="0" xfId="0" applyFont="1" applyFill="1" applyBorder="1" applyAlignment="1">
      <alignment horizontal="center" vertical="center"/>
    </xf>
    <xf numFmtId="0" fontId="14" fillId="9" borderId="36" xfId="0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wrapText="1"/>
    </xf>
    <xf numFmtId="0" fontId="20" fillId="9" borderId="0" xfId="0" applyFont="1" applyFill="1"/>
    <xf numFmtId="0" fontId="14" fillId="9" borderId="39" xfId="0" applyFont="1" applyFill="1" applyBorder="1" applyAlignment="1">
      <alignment horizontal="center" vertical="center"/>
    </xf>
    <xf numFmtId="0" fontId="20" fillId="9" borderId="41" xfId="0" applyFont="1" applyFill="1" applyBorder="1" applyAlignment="1">
      <alignment horizontal="center"/>
    </xf>
    <xf numFmtId="1" fontId="20" fillId="9" borderId="41" xfId="0" applyNumberFormat="1" applyFont="1" applyFill="1" applyBorder="1" applyAlignment="1">
      <alignment horizontal="center"/>
    </xf>
    <xf numFmtId="164" fontId="20" fillId="9" borderId="41" xfId="1" applyNumberFormat="1" applyFont="1" applyFill="1" applyBorder="1" applyAlignment="1">
      <alignment horizontal="center"/>
    </xf>
    <xf numFmtId="164" fontId="20" fillId="9" borderId="42" xfId="1" applyNumberFormat="1" applyFont="1" applyFill="1" applyBorder="1" applyAlignment="1">
      <alignment horizontal="center"/>
    </xf>
    <xf numFmtId="0" fontId="20" fillId="9" borderId="0" xfId="0" applyFont="1" applyFill="1" applyBorder="1" applyAlignment="1">
      <alignment horizontal="center"/>
    </xf>
    <xf numFmtId="1" fontId="20" fillId="9" borderId="0" xfId="0" applyNumberFormat="1" applyFont="1" applyFill="1" applyBorder="1" applyAlignment="1">
      <alignment horizontal="center"/>
    </xf>
    <xf numFmtId="164" fontId="20" fillId="9" borderId="0" xfId="1" applyNumberFormat="1" applyFont="1" applyFill="1" applyBorder="1" applyAlignment="1">
      <alignment horizontal="center"/>
    </xf>
    <xf numFmtId="164" fontId="20" fillId="9" borderId="39" xfId="1" applyNumberFormat="1" applyFont="1" applyFill="1" applyBorder="1" applyAlignment="1">
      <alignment horizontal="center"/>
    </xf>
    <xf numFmtId="0" fontId="20" fillId="9" borderId="44" xfId="0" applyFont="1" applyFill="1" applyBorder="1" applyAlignment="1">
      <alignment horizontal="center"/>
    </xf>
    <xf numFmtId="1" fontId="20" fillId="9" borderId="44" xfId="0" applyNumberFormat="1" applyFont="1" applyFill="1" applyBorder="1" applyAlignment="1">
      <alignment horizontal="center"/>
    </xf>
    <xf numFmtId="164" fontId="20" fillId="9" borderId="44" xfId="1" applyNumberFormat="1" applyFont="1" applyFill="1" applyBorder="1" applyAlignment="1">
      <alignment horizontal="center"/>
    </xf>
    <xf numFmtId="164" fontId="20" fillId="9" borderId="45" xfId="1" applyNumberFormat="1" applyFont="1" applyFill="1" applyBorder="1" applyAlignment="1">
      <alignment horizontal="center"/>
    </xf>
    <xf numFmtId="0" fontId="20" fillId="9" borderId="47" xfId="0" applyFont="1" applyFill="1" applyBorder="1" applyAlignment="1">
      <alignment horizontal="center"/>
    </xf>
    <xf numFmtId="164" fontId="20" fillId="9" borderId="47" xfId="1" applyNumberFormat="1" applyFont="1" applyFill="1" applyBorder="1" applyAlignment="1">
      <alignment horizontal="center"/>
    </xf>
    <xf numFmtId="164" fontId="14" fillId="9" borderId="48" xfId="1" applyNumberFormat="1" applyFont="1" applyFill="1" applyBorder="1" applyAlignment="1">
      <alignment horizontal="center"/>
    </xf>
    <xf numFmtId="0" fontId="14" fillId="9" borderId="32" xfId="0" applyFont="1" applyFill="1" applyBorder="1"/>
    <xf numFmtId="164" fontId="20" fillId="9" borderId="34" xfId="0" applyNumberFormat="1" applyFont="1" applyFill="1" applyBorder="1" applyAlignment="1">
      <alignment horizontal="center"/>
    </xf>
    <xf numFmtId="0" fontId="14" fillId="6" borderId="32" xfId="0" applyFont="1" applyFill="1" applyBorder="1"/>
    <xf numFmtId="164" fontId="20" fillId="6" borderId="34" xfId="0" applyNumberFormat="1" applyFont="1" applyFill="1" applyBorder="1" applyAlignment="1">
      <alignment horizontal="center"/>
    </xf>
    <xf numFmtId="164" fontId="20" fillId="7" borderId="41" xfId="1" applyNumberFormat="1" applyFont="1" applyFill="1" applyBorder="1" applyAlignment="1">
      <alignment horizontal="center"/>
    </xf>
    <xf numFmtId="164" fontId="20" fillId="7" borderId="0" xfId="1" applyNumberFormat="1" applyFont="1" applyFill="1" applyBorder="1" applyAlignment="1">
      <alignment horizontal="center"/>
    </xf>
    <xf numFmtId="164" fontId="20" fillId="7" borderId="47" xfId="1" applyNumberFormat="1" applyFont="1" applyFill="1" applyBorder="1" applyAlignment="1">
      <alignment horizontal="center"/>
    </xf>
    <xf numFmtId="1" fontId="20" fillId="14" borderId="41" xfId="1" applyNumberFormat="1" applyFont="1" applyFill="1" applyBorder="1" applyAlignment="1">
      <alignment horizontal="center"/>
    </xf>
    <xf numFmtId="164" fontId="20" fillId="14" borderId="41" xfId="1" applyNumberFormat="1" applyFont="1" applyFill="1" applyBorder="1" applyAlignment="1">
      <alignment horizontal="center"/>
    </xf>
    <xf numFmtId="1" fontId="20" fillId="14" borderId="0" xfId="1" applyNumberFormat="1" applyFont="1" applyFill="1" applyBorder="1" applyAlignment="1">
      <alignment horizontal="center"/>
    </xf>
    <xf numFmtId="164" fontId="20" fillId="14" borderId="0" xfId="1" applyNumberFormat="1" applyFont="1" applyFill="1" applyBorder="1" applyAlignment="1">
      <alignment horizontal="center"/>
    </xf>
    <xf numFmtId="1" fontId="20" fillId="14" borderId="44" xfId="1" applyNumberFormat="1" applyFont="1" applyFill="1" applyBorder="1" applyAlignment="1">
      <alignment horizontal="center"/>
    </xf>
    <xf numFmtId="164" fontId="20" fillId="14" borderId="44" xfId="1" applyNumberFormat="1" applyFont="1" applyFill="1" applyBorder="1" applyAlignment="1">
      <alignment horizontal="center"/>
    </xf>
    <xf numFmtId="1" fontId="20" fillId="14" borderId="47" xfId="1" applyNumberFormat="1" applyFont="1" applyFill="1" applyBorder="1" applyAlignment="1">
      <alignment horizontal="center"/>
    </xf>
    <xf numFmtId="164" fontId="20" fillId="14" borderId="47" xfId="1" applyNumberFormat="1" applyFont="1" applyFill="1" applyBorder="1" applyAlignment="1">
      <alignment horizontal="center"/>
    </xf>
    <xf numFmtId="0" fontId="14" fillId="15" borderId="37" xfId="0" applyFont="1" applyFill="1" applyBorder="1" applyAlignment="1">
      <alignment horizontal="center"/>
    </xf>
    <xf numFmtId="1" fontId="20" fillId="15" borderId="41" xfId="1" applyNumberFormat="1" applyFont="1" applyFill="1" applyBorder="1" applyAlignment="1">
      <alignment horizontal="center"/>
    </xf>
    <xf numFmtId="164" fontId="20" fillId="15" borderId="41" xfId="1" applyNumberFormat="1" applyFont="1" applyFill="1" applyBorder="1" applyAlignment="1">
      <alignment horizontal="center"/>
    </xf>
    <xf numFmtId="164" fontId="20" fillId="15" borderId="42" xfId="1" applyNumberFormat="1" applyFont="1" applyFill="1" applyBorder="1" applyAlignment="1">
      <alignment horizontal="center"/>
    </xf>
    <xf numFmtId="1" fontId="20" fillId="15" borderId="0" xfId="1" applyNumberFormat="1" applyFont="1" applyFill="1" applyBorder="1" applyAlignment="1">
      <alignment horizontal="center"/>
    </xf>
    <xf numFmtId="164" fontId="20" fillId="15" borderId="0" xfId="1" applyNumberFormat="1" applyFont="1" applyFill="1" applyBorder="1" applyAlignment="1">
      <alignment horizontal="center"/>
    </xf>
    <xf numFmtId="164" fontId="20" fillId="15" borderId="39" xfId="1" applyNumberFormat="1" applyFont="1" applyFill="1" applyBorder="1" applyAlignment="1">
      <alignment horizontal="center"/>
    </xf>
    <xf numFmtId="1" fontId="20" fillId="15" borderId="44" xfId="1" applyNumberFormat="1" applyFont="1" applyFill="1" applyBorder="1" applyAlignment="1">
      <alignment horizontal="center"/>
    </xf>
    <xf numFmtId="164" fontId="20" fillId="15" borderId="44" xfId="1" applyNumberFormat="1" applyFont="1" applyFill="1" applyBorder="1" applyAlignment="1">
      <alignment horizontal="center"/>
    </xf>
    <xf numFmtId="1" fontId="20" fillId="15" borderId="47" xfId="1" applyNumberFormat="1" applyFont="1" applyFill="1" applyBorder="1" applyAlignment="1">
      <alignment horizontal="center"/>
    </xf>
    <xf numFmtId="164" fontId="20" fillId="15" borderId="47" xfId="1" applyNumberFormat="1" applyFont="1" applyFill="1" applyBorder="1" applyAlignment="1">
      <alignment horizontal="center"/>
    </xf>
    <xf numFmtId="164" fontId="14" fillId="15" borderId="48" xfId="1" applyNumberFormat="1" applyFont="1" applyFill="1" applyBorder="1" applyAlignment="1">
      <alignment horizontal="center"/>
    </xf>
    <xf numFmtId="164" fontId="20" fillId="8" borderId="41" xfId="1" applyNumberFormat="1" applyFont="1" applyFill="1" applyBorder="1" applyAlignment="1">
      <alignment horizontal="center"/>
    </xf>
    <xf numFmtId="164" fontId="20" fillId="8" borderId="0" xfId="1" applyNumberFormat="1" applyFont="1" applyFill="1" applyBorder="1" applyAlignment="1">
      <alignment horizontal="center"/>
    </xf>
    <xf numFmtId="164" fontId="20" fillId="8" borderId="44" xfId="1" applyNumberFormat="1" applyFont="1" applyFill="1" applyBorder="1" applyAlignment="1">
      <alignment horizontal="center"/>
    </xf>
    <xf numFmtId="164" fontId="20" fillId="8" borderId="47" xfId="1" applyNumberFormat="1" applyFont="1" applyFill="1" applyBorder="1" applyAlignment="1">
      <alignment horizontal="center"/>
    </xf>
    <xf numFmtId="0" fontId="14" fillId="8" borderId="35" xfId="0" applyFont="1" applyFill="1" applyBorder="1" applyAlignment="1">
      <alignment horizontal="left"/>
    </xf>
    <xf numFmtId="0" fontId="14" fillId="8" borderId="36" xfId="0" applyFont="1" applyFill="1" applyBorder="1" applyAlignment="1">
      <alignment horizontal="center"/>
    </xf>
    <xf numFmtId="0" fontId="20" fillId="8" borderId="40" xfId="0" applyFont="1" applyFill="1" applyBorder="1" applyAlignment="1">
      <alignment horizontal="center"/>
    </xf>
    <xf numFmtId="0" fontId="20" fillId="8" borderId="41" xfId="0" applyFont="1" applyFill="1" applyBorder="1" applyAlignment="1">
      <alignment horizontal="center"/>
    </xf>
    <xf numFmtId="0" fontId="20" fillId="8" borderId="38" xfId="0" applyFont="1" applyFill="1" applyBorder="1" applyAlignment="1">
      <alignment horizontal="center"/>
    </xf>
    <xf numFmtId="0" fontId="20" fillId="8" borderId="0" xfId="0" applyFont="1" applyFill="1" applyBorder="1" applyAlignment="1">
      <alignment horizontal="center"/>
    </xf>
    <xf numFmtId="0" fontId="20" fillId="8" borderId="43" xfId="0" applyFont="1" applyFill="1" applyBorder="1" applyAlignment="1">
      <alignment horizontal="center"/>
    </xf>
    <xf numFmtId="0" fontId="20" fillId="8" borderId="44" xfId="0" applyFont="1" applyFill="1" applyBorder="1" applyAlignment="1">
      <alignment horizontal="center"/>
    </xf>
    <xf numFmtId="0" fontId="20" fillId="8" borderId="46" xfId="0" applyFont="1" applyFill="1" applyBorder="1" applyAlignment="1">
      <alignment horizontal="center"/>
    </xf>
    <xf numFmtId="0" fontId="20" fillId="8" borderId="47" xfId="0" applyFont="1" applyFill="1" applyBorder="1" applyAlignment="1">
      <alignment horizontal="center"/>
    </xf>
    <xf numFmtId="164" fontId="20" fillId="9" borderId="41" xfId="1" applyNumberFormat="1" applyFont="1" applyFill="1" applyBorder="1" applyAlignment="1">
      <alignment horizontal="center"/>
    </xf>
    <xf numFmtId="164" fontId="20" fillId="9" borderId="0" xfId="1" applyNumberFormat="1" applyFont="1" applyFill="1" applyBorder="1" applyAlignment="1">
      <alignment horizontal="center"/>
    </xf>
    <xf numFmtId="164" fontId="20" fillId="9" borderId="44" xfId="1" applyNumberFormat="1" applyFont="1" applyFill="1" applyBorder="1" applyAlignment="1">
      <alignment horizontal="center"/>
    </xf>
    <xf numFmtId="164" fontId="20" fillId="6" borderId="41" xfId="1" applyNumberFormat="1" applyFont="1" applyFill="1" applyBorder="1" applyAlignment="1">
      <alignment horizontal="center"/>
    </xf>
    <xf numFmtId="164" fontId="20" fillId="6" borderId="0" xfId="1" applyNumberFormat="1" applyFont="1" applyFill="1" applyBorder="1" applyAlignment="1">
      <alignment horizontal="center"/>
    </xf>
    <xf numFmtId="164" fontId="20" fillId="6" borderId="44" xfId="1" applyNumberFormat="1" applyFont="1" applyFill="1" applyBorder="1" applyAlignment="1">
      <alignment horizontal="center"/>
    </xf>
    <xf numFmtId="0" fontId="19" fillId="7" borderId="36" xfId="0" applyFont="1" applyFill="1" applyBorder="1" applyAlignment="1">
      <alignment horizontal="center"/>
    </xf>
    <xf numFmtId="0" fontId="5" fillId="0" borderId="53" xfId="0" applyFont="1" applyBorder="1" applyAlignment="1">
      <alignment vertical="center" wrapText="1"/>
    </xf>
    <xf numFmtId="0" fontId="38" fillId="0" borderId="53" xfId="0" applyFont="1" applyBorder="1" applyAlignment="1">
      <alignment vertical="center" wrapText="1"/>
    </xf>
    <xf numFmtId="0" fontId="5" fillId="0" borderId="52" xfId="0" applyFont="1" applyBorder="1" applyAlignment="1">
      <alignment vertical="center" wrapText="1"/>
    </xf>
    <xf numFmtId="0" fontId="8" fillId="2" borderId="15" xfId="0" applyFont="1" applyFill="1" applyBorder="1" applyAlignment="1">
      <alignment vertical="center" wrapText="1"/>
    </xf>
    <xf numFmtId="0" fontId="19" fillId="15" borderId="49" xfId="0" applyFont="1" applyFill="1" applyBorder="1" applyAlignment="1">
      <alignment horizontal="center"/>
    </xf>
    <xf numFmtId="0" fontId="31" fillId="13" borderId="49" xfId="0" applyFont="1" applyFill="1" applyBorder="1" applyAlignment="1">
      <alignment horizontal="center"/>
    </xf>
    <xf numFmtId="0" fontId="19" fillId="14" borderId="49" xfId="0" applyFont="1" applyFill="1" applyBorder="1" applyAlignment="1">
      <alignment horizontal="center"/>
    </xf>
    <xf numFmtId="0" fontId="19" fillId="15" borderId="49" xfId="0" applyNumberFormat="1" applyFont="1" applyFill="1" applyBorder="1" applyAlignment="1">
      <alignment horizontal="center"/>
    </xf>
    <xf numFmtId="0" fontId="19" fillId="14" borderId="49" xfId="0" applyNumberFormat="1" applyFont="1" applyFill="1" applyBorder="1" applyAlignment="1">
      <alignment horizontal="center"/>
    </xf>
    <xf numFmtId="0" fontId="19" fillId="8" borderId="36" xfId="0" applyFont="1" applyFill="1" applyBorder="1" applyAlignment="1">
      <alignment horizontal="center"/>
    </xf>
    <xf numFmtId="0" fontId="35" fillId="5" borderId="0" xfId="0" applyFont="1" applyFill="1" applyBorder="1" applyAlignment="1">
      <alignment horizontal="center"/>
    </xf>
    <xf numFmtId="0" fontId="30" fillId="5" borderId="0" xfId="0" applyFont="1" applyFill="1" applyBorder="1" applyAlignment="1">
      <alignment horizontal="right"/>
    </xf>
    <xf numFmtId="164" fontId="30" fillId="5" borderId="0" xfId="1" applyNumberFormat="1" applyFont="1" applyFill="1" applyBorder="1" applyAlignment="1">
      <alignment horizontal="center"/>
    </xf>
    <xf numFmtId="0" fontId="20" fillId="0" borderId="0" xfId="0" applyFont="1" applyFill="1"/>
    <xf numFmtId="0" fontId="35" fillId="0" borderId="0" xfId="0" applyFont="1" applyFill="1" applyBorder="1" applyAlignment="1">
      <alignment horizontal="center"/>
    </xf>
    <xf numFmtId="0" fontId="30" fillId="0" borderId="0" xfId="0" applyFont="1" applyFill="1" applyBorder="1" applyAlignment="1">
      <alignment horizontal="right"/>
    </xf>
    <xf numFmtId="164" fontId="30" fillId="0" borderId="0" xfId="1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164" fontId="20" fillId="6" borderId="41" xfId="1" applyNumberFormat="1" applyFont="1" applyFill="1" applyBorder="1" applyAlignment="1">
      <alignment horizontal="center"/>
    </xf>
    <xf numFmtId="164" fontId="20" fillId="6" borderId="0" xfId="1" applyNumberFormat="1" applyFont="1" applyFill="1" applyBorder="1" applyAlignment="1">
      <alignment horizontal="center"/>
    </xf>
    <xf numFmtId="164" fontId="20" fillId="6" borderId="44" xfId="1" applyNumberFormat="1" applyFont="1" applyFill="1" applyBorder="1" applyAlignment="1">
      <alignment horizontal="center"/>
    </xf>
    <xf numFmtId="0" fontId="30" fillId="5" borderId="33" xfId="0" applyFont="1" applyFill="1" applyBorder="1" applyAlignment="1">
      <alignment horizontal="center"/>
    </xf>
    <xf numFmtId="0" fontId="20" fillId="9" borderId="33" xfId="0" applyFont="1" applyFill="1" applyBorder="1" applyAlignment="1">
      <alignment horizontal="center"/>
    </xf>
    <xf numFmtId="0" fontId="30" fillId="5" borderId="33" xfId="0" applyFont="1" applyFill="1" applyBorder="1" applyAlignment="1">
      <alignment horizontal="right"/>
    </xf>
    <xf numFmtId="0" fontId="20" fillId="6" borderId="33" xfId="0" applyFont="1" applyFill="1" applyBorder="1" applyAlignment="1">
      <alignment horizontal="center"/>
    </xf>
    <xf numFmtId="164" fontId="20" fillId="9" borderId="41" xfId="1" applyNumberFormat="1" applyFont="1" applyFill="1" applyBorder="1" applyAlignment="1">
      <alignment horizontal="center"/>
    </xf>
    <xf numFmtId="164" fontId="20" fillId="9" borderId="0" xfId="1" applyNumberFormat="1" applyFont="1" applyFill="1" applyBorder="1" applyAlignment="1">
      <alignment horizontal="center"/>
    </xf>
    <xf numFmtId="164" fontId="20" fillId="9" borderId="44" xfId="1" applyNumberFormat="1" applyFont="1" applyFill="1" applyBorder="1" applyAlignment="1">
      <alignment horizontal="center"/>
    </xf>
    <xf numFmtId="164" fontId="20" fillId="15" borderId="45" xfId="1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vertical="center" wrapText="1"/>
    </xf>
    <xf numFmtId="14" fontId="4" fillId="0" borderId="0" xfId="0" applyNumberFormat="1" applyFont="1" applyFill="1" applyBorder="1" applyAlignment="1">
      <alignment horizontal="center" vertical="center" wrapText="1"/>
    </xf>
    <xf numFmtId="14" fontId="4" fillId="0" borderId="5" xfId="0" applyNumberFormat="1" applyFont="1" applyFill="1" applyBorder="1" applyAlignment="1">
      <alignment horizontal="center" vertical="center" wrapText="1"/>
    </xf>
    <xf numFmtId="14" fontId="4" fillId="0" borderId="4" xfId="0" applyNumberFormat="1" applyFont="1" applyFill="1" applyBorder="1" applyAlignment="1">
      <alignment horizontal="center" vertical="center" wrapText="1"/>
    </xf>
    <xf numFmtId="0" fontId="3" fillId="0" borderId="0" xfId="0" applyFont="1" applyFill="1"/>
    <xf numFmtId="0" fontId="4" fillId="0" borderId="26" xfId="0" applyFont="1" applyBorder="1" applyAlignment="1">
      <alignment vertical="center" wrapText="1"/>
    </xf>
    <xf numFmtId="0" fontId="5" fillId="0" borderId="54" xfId="0" applyFont="1" applyFill="1" applyBorder="1" applyAlignment="1">
      <alignment vertical="center" wrapText="1"/>
    </xf>
    <xf numFmtId="0" fontId="43" fillId="16" borderId="4" xfId="0" applyFont="1" applyFill="1" applyBorder="1" applyAlignment="1">
      <alignment vertical="center" wrapText="1"/>
    </xf>
    <xf numFmtId="14" fontId="9" fillId="16" borderId="0" xfId="0" applyNumberFormat="1" applyFont="1" applyFill="1" applyBorder="1" applyAlignment="1">
      <alignment horizontal="center" vertical="center" wrapText="1"/>
    </xf>
    <xf numFmtId="14" fontId="9" fillId="16" borderId="5" xfId="0" applyNumberFormat="1" applyFont="1" applyFill="1" applyBorder="1" applyAlignment="1">
      <alignment horizontal="center" vertical="center" wrapText="1"/>
    </xf>
    <xf numFmtId="14" fontId="9" fillId="16" borderId="4" xfId="0" applyNumberFormat="1" applyFont="1" applyFill="1" applyBorder="1" applyAlignment="1">
      <alignment horizontal="center" vertical="center" wrapText="1"/>
    </xf>
    <xf numFmtId="0" fontId="4" fillId="0" borderId="54" xfId="0" applyNumberFormat="1" applyFont="1" applyFill="1" applyBorder="1" applyAlignment="1">
      <alignment horizontal="center" vertical="center" wrapText="1"/>
    </xf>
    <xf numFmtId="44" fontId="4" fillId="0" borderId="54" xfId="1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vertical="center" wrapText="1"/>
    </xf>
    <xf numFmtId="0" fontId="19" fillId="15" borderId="36" xfId="0" applyNumberFormat="1" applyFont="1" applyFill="1" applyBorder="1" applyAlignment="1">
      <alignment horizontal="center"/>
    </xf>
    <xf numFmtId="0" fontId="19" fillId="14" borderId="36" xfId="0" applyNumberFormat="1" applyFont="1" applyFill="1" applyBorder="1" applyAlignment="1">
      <alignment horizontal="center"/>
    </xf>
    <xf numFmtId="0" fontId="14" fillId="17" borderId="38" xfId="0" applyFont="1" applyFill="1" applyBorder="1" applyAlignment="1">
      <alignment horizontal="center"/>
    </xf>
    <xf numFmtId="0" fontId="14" fillId="17" borderId="0" xfId="0" applyFont="1" applyFill="1" applyBorder="1" applyAlignment="1">
      <alignment horizontal="center" vertical="center"/>
    </xf>
    <xf numFmtId="0" fontId="14" fillId="17" borderId="36" xfId="0" applyFont="1" applyFill="1" applyBorder="1" applyAlignment="1">
      <alignment horizontal="center" vertical="center"/>
    </xf>
    <xf numFmtId="0" fontId="14" fillId="17" borderId="0" xfId="0" applyFont="1" applyFill="1" applyBorder="1" applyAlignment="1">
      <alignment horizontal="center" wrapText="1"/>
    </xf>
    <xf numFmtId="0" fontId="20" fillId="17" borderId="0" xfId="0" applyFont="1" applyFill="1"/>
    <xf numFmtId="0" fontId="14" fillId="17" borderId="39" xfId="0" applyFont="1" applyFill="1" applyBorder="1" applyAlignment="1">
      <alignment horizontal="center" vertical="center"/>
    </xf>
    <xf numFmtId="0" fontId="20" fillId="17" borderId="40" xfId="0" applyFont="1" applyFill="1" applyBorder="1" applyAlignment="1">
      <alignment horizontal="center"/>
    </xf>
    <xf numFmtId="0" fontId="20" fillId="17" borderId="41" xfId="0" applyFont="1" applyFill="1" applyBorder="1" applyAlignment="1">
      <alignment horizontal="center"/>
    </xf>
    <xf numFmtId="1" fontId="20" fillId="17" borderId="41" xfId="0" applyNumberFormat="1" applyFont="1" applyFill="1" applyBorder="1" applyAlignment="1">
      <alignment horizontal="center"/>
    </xf>
    <xf numFmtId="164" fontId="20" fillId="17" borderId="41" xfId="1" applyNumberFormat="1" applyFont="1" applyFill="1" applyBorder="1" applyAlignment="1">
      <alignment horizontal="center"/>
    </xf>
    <xf numFmtId="164" fontId="20" fillId="17" borderId="42" xfId="1" applyNumberFormat="1" applyFont="1" applyFill="1" applyBorder="1" applyAlignment="1">
      <alignment horizontal="center"/>
    </xf>
    <xf numFmtId="0" fontId="20" fillId="17" borderId="38" xfId="0" applyFont="1" applyFill="1" applyBorder="1" applyAlignment="1">
      <alignment horizontal="center"/>
    </xf>
    <xf numFmtId="0" fontId="20" fillId="17" borderId="0" xfId="0" applyFont="1" applyFill="1" applyBorder="1" applyAlignment="1">
      <alignment horizontal="center"/>
    </xf>
    <xf numFmtId="1" fontId="20" fillId="17" borderId="0" xfId="0" applyNumberFormat="1" applyFont="1" applyFill="1" applyBorder="1" applyAlignment="1">
      <alignment horizontal="center"/>
    </xf>
    <xf numFmtId="164" fontId="20" fillId="17" borderId="0" xfId="1" applyNumberFormat="1" applyFont="1" applyFill="1" applyBorder="1" applyAlignment="1">
      <alignment horizontal="center"/>
    </xf>
    <xf numFmtId="164" fontId="20" fillId="17" borderId="39" xfId="1" applyNumberFormat="1" applyFont="1" applyFill="1" applyBorder="1" applyAlignment="1">
      <alignment horizontal="center"/>
    </xf>
    <xf numFmtId="0" fontId="20" fillId="17" borderId="43" xfId="0" applyFont="1" applyFill="1" applyBorder="1" applyAlignment="1">
      <alignment horizontal="center"/>
    </xf>
    <xf numFmtId="0" fontId="20" fillId="17" borderId="44" xfId="0" applyFont="1" applyFill="1" applyBorder="1" applyAlignment="1">
      <alignment horizontal="center"/>
    </xf>
    <xf numFmtId="1" fontId="20" fillId="17" borderId="44" xfId="0" applyNumberFormat="1" applyFont="1" applyFill="1" applyBorder="1" applyAlignment="1">
      <alignment horizontal="center"/>
    </xf>
    <xf numFmtId="164" fontId="20" fillId="17" borderId="44" xfId="1" applyNumberFormat="1" applyFont="1" applyFill="1" applyBorder="1" applyAlignment="1">
      <alignment horizontal="center"/>
    </xf>
    <xf numFmtId="164" fontId="20" fillId="17" borderId="45" xfId="1" applyNumberFormat="1" applyFont="1" applyFill="1" applyBorder="1" applyAlignment="1">
      <alignment horizontal="center"/>
    </xf>
    <xf numFmtId="0" fontId="20" fillId="17" borderId="46" xfId="0" applyFont="1" applyFill="1" applyBorder="1" applyAlignment="1">
      <alignment horizontal="center"/>
    </xf>
    <xf numFmtId="0" fontId="20" fillId="17" borderId="47" xfId="0" applyFont="1" applyFill="1" applyBorder="1" applyAlignment="1">
      <alignment horizontal="center"/>
    </xf>
    <xf numFmtId="164" fontId="20" fillId="17" borderId="47" xfId="1" applyNumberFormat="1" applyFont="1" applyFill="1" applyBorder="1" applyAlignment="1">
      <alignment horizontal="center"/>
    </xf>
    <xf numFmtId="164" fontId="14" fillId="17" borderId="48" xfId="1" applyNumberFormat="1" applyFont="1" applyFill="1" applyBorder="1" applyAlignment="1">
      <alignment horizontal="center"/>
    </xf>
    <xf numFmtId="0" fontId="14" fillId="17" borderId="32" xfId="0" applyFont="1" applyFill="1" applyBorder="1"/>
    <xf numFmtId="0" fontId="20" fillId="17" borderId="33" xfId="0" applyFont="1" applyFill="1" applyBorder="1" applyAlignment="1">
      <alignment horizontal="center"/>
    </xf>
    <xf numFmtId="164" fontId="20" fillId="17" borderId="34" xfId="0" applyNumberFormat="1" applyFont="1" applyFill="1" applyBorder="1" applyAlignment="1">
      <alignment horizontal="center"/>
    </xf>
    <xf numFmtId="0" fontId="20" fillId="15" borderId="41" xfId="1" applyNumberFormat="1" applyFont="1" applyFill="1" applyBorder="1" applyAlignment="1">
      <alignment horizontal="center"/>
    </xf>
    <xf numFmtId="0" fontId="20" fillId="15" borderId="0" xfId="1" applyNumberFormat="1" applyFont="1" applyFill="1" applyBorder="1" applyAlignment="1">
      <alignment horizontal="center"/>
    </xf>
    <xf numFmtId="0" fontId="20" fillId="15" borderId="44" xfId="1" applyNumberFormat="1" applyFont="1" applyFill="1" applyBorder="1" applyAlignment="1">
      <alignment horizontal="center"/>
    </xf>
    <xf numFmtId="0" fontId="20" fillId="15" borderId="47" xfId="1" applyNumberFormat="1" applyFont="1" applyFill="1" applyBorder="1" applyAlignment="1">
      <alignment horizontal="center"/>
    </xf>
    <xf numFmtId="0" fontId="20" fillId="14" borderId="41" xfId="1" applyNumberFormat="1" applyFont="1" applyFill="1" applyBorder="1" applyAlignment="1">
      <alignment horizontal="center"/>
    </xf>
    <xf numFmtId="0" fontId="20" fillId="14" borderId="0" xfId="1" applyNumberFormat="1" applyFont="1" applyFill="1" applyBorder="1" applyAlignment="1">
      <alignment horizontal="center"/>
    </xf>
    <xf numFmtId="0" fontId="20" fillId="14" borderId="44" xfId="1" applyNumberFormat="1" applyFont="1" applyFill="1" applyBorder="1" applyAlignment="1">
      <alignment horizontal="center"/>
    </xf>
    <xf numFmtId="0" fontId="20" fillId="14" borderId="47" xfId="1" applyNumberFormat="1" applyFont="1" applyFill="1" applyBorder="1" applyAlignment="1">
      <alignment horizontal="center"/>
    </xf>
    <xf numFmtId="164" fontId="20" fillId="0" borderId="0" xfId="1" applyNumberFormat="1" applyFont="1" applyFill="1" applyBorder="1" applyAlignment="1">
      <alignment horizontal="center"/>
    </xf>
    <xf numFmtId="164" fontId="14" fillId="0" borderId="0" xfId="1" applyNumberFormat="1" applyFont="1" applyFill="1" applyBorder="1" applyAlignment="1">
      <alignment horizontal="center"/>
    </xf>
    <xf numFmtId="0" fontId="30" fillId="5" borderId="32" xfId="0" applyFont="1" applyFill="1" applyBorder="1" applyAlignment="1"/>
    <xf numFmtId="0" fontId="30" fillId="5" borderId="33" xfId="0" applyFont="1" applyFill="1" applyBorder="1" applyAlignment="1"/>
    <xf numFmtId="0" fontId="14" fillId="0" borderId="0" xfId="0" applyFont="1" applyFill="1" applyBorder="1" applyAlignment="1">
      <alignment horizontal="right"/>
    </xf>
    <xf numFmtId="164" fontId="30" fillId="5" borderId="34" xfId="0" applyNumberFormat="1" applyFont="1" applyFill="1" applyBorder="1" applyAlignment="1">
      <alignment horizontal="center"/>
    </xf>
    <xf numFmtId="0" fontId="19" fillId="8" borderId="36" xfId="0" applyNumberFormat="1" applyFont="1" applyFill="1" applyBorder="1" applyAlignment="1">
      <alignment horizontal="center"/>
    </xf>
    <xf numFmtId="0" fontId="14" fillId="8" borderId="37" xfId="0" applyFont="1" applyFill="1" applyBorder="1" applyAlignment="1">
      <alignment horizontal="center"/>
    </xf>
    <xf numFmtId="164" fontId="20" fillId="8" borderId="42" xfId="1" applyNumberFormat="1" applyFont="1" applyFill="1" applyBorder="1" applyAlignment="1">
      <alignment horizontal="center"/>
    </xf>
    <xf numFmtId="164" fontId="20" fillId="8" borderId="39" xfId="1" applyNumberFormat="1" applyFont="1" applyFill="1" applyBorder="1" applyAlignment="1">
      <alignment horizontal="center"/>
    </xf>
    <xf numFmtId="164" fontId="20" fillId="8" borderId="45" xfId="1" applyNumberFormat="1" applyFont="1" applyFill="1" applyBorder="1" applyAlignment="1">
      <alignment horizontal="center"/>
    </xf>
    <xf numFmtId="164" fontId="14" fillId="8" borderId="48" xfId="1" applyNumberFormat="1" applyFont="1" applyFill="1" applyBorder="1" applyAlignment="1">
      <alignment horizontal="center"/>
    </xf>
    <xf numFmtId="0" fontId="19" fillId="18" borderId="36" xfId="0" applyNumberFormat="1" applyFont="1" applyFill="1" applyBorder="1" applyAlignment="1">
      <alignment horizontal="center"/>
    </xf>
    <xf numFmtId="0" fontId="14" fillId="18" borderId="37" xfId="0" applyFont="1" applyFill="1" applyBorder="1" applyAlignment="1">
      <alignment horizontal="center"/>
    </xf>
    <xf numFmtId="164" fontId="20" fillId="18" borderId="41" xfId="1" applyNumberFormat="1" applyFont="1" applyFill="1" applyBorder="1" applyAlignment="1">
      <alignment horizontal="center"/>
    </xf>
    <xf numFmtId="164" fontId="20" fillId="18" borderId="42" xfId="1" applyNumberFormat="1" applyFont="1" applyFill="1" applyBorder="1" applyAlignment="1">
      <alignment horizontal="center"/>
    </xf>
    <xf numFmtId="164" fontId="20" fillId="18" borderId="0" xfId="1" applyNumberFormat="1" applyFont="1" applyFill="1" applyBorder="1" applyAlignment="1">
      <alignment horizontal="center"/>
    </xf>
    <xf numFmtId="164" fontId="20" fillId="18" borderId="39" xfId="1" applyNumberFormat="1" applyFont="1" applyFill="1" applyBorder="1" applyAlignment="1">
      <alignment horizontal="center"/>
    </xf>
    <xf numFmtId="164" fontId="20" fillId="18" borderId="44" xfId="1" applyNumberFormat="1" applyFont="1" applyFill="1" applyBorder="1" applyAlignment="1">
      <alignment horizontal="center"/>
    </xf>
    <xf numFmtId="164" fontId="20" fillId="18" borderId="45" xfId="1" applyNumberFormat="1" applyFont="1" applyFill="1" applyBorder="1" applyAlignment="1">
      <alignment horizontal="center"/>
    </xf>
    <xf numFmtId="164" fontId="20" fillId="18" borderId="47" xfId="1" applyNumberFormat="1" applyFont="1" applyFill="1" applyBorder="1" applyAlignment="1">
      <alignment horizontal="center"/>
    </xf>
    <xf numFmtId="164" fontId="14" fillId="18" borderId="48" xfId="1" applyNumberFormat="1" applyFont="1" applyFill="1" applyBorder="1" applyAlignment="1">
      <alignment horizontal="center"/>
    </xf>
    <xf numFmtId="0" fontId="20" fillId="18" borderId="41" xfId="1" applyNumberFormat="1" applyFont="1" applyFill="1" applyBorder="1" applyAlignment="1">
      <alignment horizontal="center"/>
    </xf>
    <xf numFmtId="0" fontId="20" fillId="18" borderId="0" xfId="1" applyNumberFormat="1" applyFont="1" applyFill="1" applyBorder="1" applyAlignment="1">
      <alignment horizontal="center"/>
    </xf>
    <xf numFmtId="0" fontId="20" fillId="18" borderId="44" xfId="1" applyNumberFormat="1" applyFont="1" applyFill="1" applyBorder="1" applyAlignment="1">
      <alignment horizontal="center"/>
    </xf>
    <xf numFmtId="0" fontId="20" fillId="18" borderId="47" xfId="1" applyNumberFormat="1" applyFont="1" applyFill="1" applyBorder="1" applyAlignment="1">
      <alignment horizontal="center"/>
    </xf>
    <xf numFmtId="0" fontId="20" fillId="8" borderId="41" xfId="1" applyNumberFormat="1" applyFont="1" applyFill="1" applyBorder="1" applyAlignment="1">
      <alignment horizontal="center"/>
    </xf>
    <xf numFmtId="0" fontId="20" fillId="8" borderId="0" xfId="1" applyNumberFormat="1" applyFont="1" applyFill="1" applyBorder="1" applyAlignment="1">
      <alignment horizontal="center"/>
    </xf>
    <xf numFmtId="0" fontId="20" fillId="8" borderId="44" xfId="1" applyNumberFormat="1" applyFont="1" applyFill="1" applyBorder="1" applyAlignment="1">
      <alignment horizontal="center"/>
    </xf>
    <xf numFmtId="0" fontId="20" fillId="8" borderId="47" xfId="1" applyNumberFormat="1" applyFont="1" applyFill="1" applyBorder="1" applyAlignment="1">
      <alignment horizontal="center"/>
    </xf>
    <xf numFmtId="0" fontId="3" fillId="0" borderId="0" xfId="0" applyFont="1" applyFill="1" applyBorder="1"/>
    <xf numFmtId="0" fontId="10" fillId="7" borderId="40" xfId="0" applyNumberFormat="1" applyFont="1" applyFill="1" applyBorder="1" applyAlignment="1">
      <alignment horizontal="center"/>
    </xf>
    <xf numFmtId="0" fontId="10" fillId="7" borderId="38" xfId="0" applyNumberFormat="1" applyFont="1" applyFill="1" applyBorder="1" applyAlignment="1">
      <alignment horizontal="center"/>
    </xf>
    <xf numFmtId="0" fontId="10" fillId="7" borderId="43" xfId="0" applyNumberFormat="1" applyFont="1" applyFill="1" applyBorder="1" applyAlignment="1">
      <alignment horizontal="center"/>
    </xf>
    <xf numFmtId="0" fontId="10" fillId="8" borderId="40" xfId="0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0" fillId="8" borderId="43" xfId="0" applyNumberFormat="1" applyFont="1" applyFill="1" applyBorder="1" applyAlignment="1">
      <alignment horizontal="center"/>
    </xf>
    <xf numFmtId="0" fontId="14" fillId="17" borderId="38" xfId="0" applyFont="1" applyFill="1" applyBorder="1" applyAlignment="1">
      <alignment horizontal="left"/>
    </xf>
    <xf numFmtId="0" fontId="14" fillId="17" borderId="0" xfId="0" applyFont="1" applyFill="1" applyBorder="1" applyAlignment="1">
      <alignment horizontal="center"/>
    </xf>
    <xf numFmtId="0" fontId="14" fillId="17" borderId="39" xfId="0" applyFont="1" applyFill="1" applyBorder="1" applyAlignment="1">
      <alignment horizontal="center"/>
    </xf>
    <xf numFmtId="0" fontId="10" fillId="17" borderId="40" xfId="0" applyFont="1" applyFill="1" applyBorder="1" applyAlignment="1">
      <alignment horizontal="center"/>
    </xf>
    <xf numFmtId="0" fontId="10" fillId="17" borderId="41" xfId="0" applyFont="1" applyFill="1" applyBorder="1" applyAlignment="1">
      <alignment horizontal="center"/>
    </xf>
    <xf numFmtId="164" fontId="10" fillId="17" borderId="41" xfId="1" applyNumberFormat="1" applyFont="1" applyFill="1" applyBorder="1" applyAlignment="1">
      <alignment horizontal="center"/>
    </xf>
    <xf numFmtId="164" fontId="10" fillId="17" borderId="42" xfId="1" applyNumberFormat="1" applyFont="1" applyFill="1" applyBorder="1" applyAlignment="1">
      <alignment horizontal="center"/>
    </xf>
    <xf numFmtId="0" fontId="10" fillId="17" borderId="38" xfId="0" applyFont="1" applyFill="1" applyBorder="1" applyAlignment="1">
      <alignment horizontal="center"/>
    </xf>
    <xf numFmtId="0" fontId="10" fillId="17" borderId="0" xfId="0" applyFont="1" applyFill="1" applyBorder="1" applyAlignment="1">
      <alignment horizontal="center"/>
    </xf>
    <xf numFmtId="164" fontId="10" fillId="17" borderId="0" xfId="1" applyNumberFormat="1" applyFont="1" applyFill="1" applyBorder="1" applyAlignment="1">
      <alignment horizontal="center"/>
    </xf>
    <xf numFmtId="164" fontId="10" fillId="17" borderId="39" xfId="1" applyNumberFormat="1" applyFont="1" applyFill="1" applyBorder="1" applyAlignment="1">
      <alignment horizontal="center"/>
    </xf>
    <xf numFmtId="0" fontId="10" fillId="17" borderId="43" xfId="0" applyFont="1" applyFill="1" applyBorder="1" applyAlignment="1">
      <alignment horizontal="center"/>
    </xf>
    <xf numFmtId="0" fontId="10" fillId="17" borderId="44" xfId="0" applyFont="1" applyFill="1" applyBorder="1" applyAlignment="1">
      <alignment horizontal="center"/>
    </xf>
    <xf numFmtId="164" fontId="10" fillId="17" borderId="44" xfId="1" applyNumberFormat="1" applyFont="1" applyFill="1" applyBorder="1" applyAlignment="1">
      <alignment horizontal="center"/>
    </xf>
    <xf numFmtId="164" fontId="10" fillId="17" borderId="45" xfId="1" applyNumberFormat="1" applyFont="1" applyFill="1" applyBorder="1" applyAlignment="1">
      <alignment horizontal="center"/>
    </xf>
    <xf numFmtId="0" fontId="10" fillId="17" borderId="46" xfId="0" applyFont="1" applyFill="1" applyBorder="1" applyAlignment="1">
      <alignment horizontal="center"/>
    </xf>
    <xf numFmtId="0" fontId="10" fillId="17" borderId="47" xfId="0" applyFont="1" applyFill="1" applyBorder="1" applyAlignment="1">
      <alignment horizontal="center"/>
    </xf>
    <xf numFmtId="164" fontId="10" fillId="17" borderId="47" xfId="1" applyNumberFormat="1" applyFont="1" applyFill="1" applyBorder="1" applyAlignment="1">
      <alignment horizontal="center"/>
    </xf>
    <xf numFmtId="164" fontId="11" fillId="17" borderId="48" xfId="1" applyNumberFormat="1" applyFont="1" applyFill="1" applyBorder="1" applyAlignment="1">
      <alignment horizontal="center"/>
    </xf>
    <xf numFmtId="0" fontId="20" fillId="7" borderId="41" xfId="0" applyNumberFormat="1" applyFont="1" applyFill="1" applyBorder="1" applyAlignment="1">
      <alignment horizontal="center"/>
    </xf>
    <xf numFmtId="0" fontId="20" fillId="7" borderId="0" xfId="0" applyNumberFormat="1" applyFont="1" applyFill="1" applyBorder="1" applyAlignment="1">
      <alignment horizontal="center"/>
    </xf>
    <xf numFmtId="0" fontId="20" fillId="7" borderId="44" xfId="0" applyNumberFormat="1" applyFont="1" applyFill="1" applyBorder="1" applyAlignment="1">
      <alignment horizontal="center"/>
    </xf>
    <xf numFmtId="0" fontId="17" fillId="0" borderId="0" xfId="0" applyFont="1" applyFill="1" applyBorder="1" applyAlignment="1" applyProtection="1">
      <alignment horizontal="center"/>
      <protection hidden="1"/>
    </xf>
    <xf numFmtId="14" fontId="39" fillId="0" borderId="0" xfId="0" applyNumberFormat="1" applyFont="1" applyFill="1" applyBorder="1" applyAlignment="1" applyProtection="1">
      <alignment horizontal="center"/>
      <protection hidden="1"/>
    </xf>
    <xf numFmtId="14" fontId="19" fillId="11" borderId="0" xfId="0" applyNumberFormat="1" applyFont="1" applyFill="1" applyBorder="1" applyAlignment="1" applyProtection="1">
      <alignment horizontal="center"/>
      <protection hidden="1"/>
    </xf>
    <xf numFmtId="0" fontId="24" fillId="0" borderId="0" xfId="0" applyFont="1" applyBorder="1" applyAlignment="1">
      <alignment vertical="center"/>
    </xf>
    <xf numFmtId="0" fontId="25" fillId="0" borderId="0" xfId="0" applyFont="1" applyFill="1" applyBorder="1" applyAlignment="1" applyProtection="1">
      <alignment vertical="center"/>
      <protection hidden="1"/>
    </xf>
    <xf numFmtId="0" fontId="25" fillId="0" borderId="0" xfId="0" applyFont="1" applyFill="1" applyBorder="1" applyAlignment="1" applyProtection="1">
      <alignment horizontal="center" vertical="center"/>
      <protection hidden="1"/>
    </xf>
    <xf numFmtId="0" fontId="0" fillId="0" borderId="0" xfId="0" applyBorder="1" applyAlignment="1">
      <alignment vertical="center"/>
    </xf>
    <xf numFmtId="0" fontId="24" fillId="0" borderId="0" xfId="0" applyFont="1" applyBorder="1"/>
    <xf numFmtId="0" fontId="29" fillId="3" borderId="55" xfId="0" applyFont="1" applyFill="1" applyBorder="1" applyAlignment="1" applyProtection="1">
      <alignment horizontal="center" vertical="center" wrapText="1"/>
      <protection hidden="1"/>
    </xf>
    <xf numFmtId="0" fontId="25" fillId="7" borderId="56" xfId="0" applyFont="1" applyFill="1" applyBorder="1" applyAlignment="1" applyProtection="1">
      <alignment horizontal="center" vertical="center"/>
      <protection hidden="1"/>
    </xf>
    <xf numFmtId="0" fontId="25" fillId="15" borderId="56" xfId="0" applyFont="1" applyFill="1" applyBorder="1" applyAlignment="1" applyProtection="1">
      <alignment horizontal="center" vertical="center"/>
      <protection hidden="1"/>
    </xf>
    <xf numFmtId="0" fontId="25" fillId="8" borderId="56" xfId="0" applyFont="1" applyFill="1" applyBorder="1" applyAlignment="1" applyProtection="1">
      <alignment horizontal="center" vertical="center"/>
      <protection hidden="1"/>
    </xf>
    <xf numFmtId="0" fontId="25" fillId="6" borderId="56" xfId="0" applyFont="1" applyFill="1" applyBorder="1" applyAlignment="1" applyProtection="1">
      <alignment horizontal="center" vertical="center"/>
      <protection hidden="1"/>
    </xf>
    <xf numFmtId="0" fontId="25" fillId="9" borderId="56" xfId="0" applyFont="1" applyFill="1" applyBorder="1" applyAlignment="1" applyProtection="1">
      <alignment horizontal="center" vertical="center"/>
      <protection hidden="1"/>
    </xf>
    <xf numFmtId="0" fontId="25" fillId="7" borderId="56" xfId="0" applyFont="1" applyFill="1" applyBorder="1" applyAlignment="1" applyProtection="1">
      <alignment horizontal="center" vertical="center" wrapText="1"/>
      <protection hidden="1"/>
    </xf>
    <xf numFmtId="0" fontId="25" fillId="15" borderId="56" xfId="0" applyFont="1" applyFill="1" applyBorder="1" applyAlignment="1" applyProtection="1">
      <alignment horizontal="center" vertical="center" wrapText="1"/>
      <protection hidden="1"/>
    </xf>
    <xf numFmtId="0" fontId="25" fillId="8" borderId="56" xfId="0" applyFont="1" applyFill="1" applyBorder="1" applyAlignment="1" applyProtection="1">
      <alignment horizontal="center" vertical="center" wrapText="1"/>
      <protection hidden="1"/>
    </xf>
    <xf numFmtId="0" fontId="25" fillId="6" borderId="56" xfId="0" applyFont="1" applyFill="1" applyBorder="1" applyAlignment="1" applyProtection="1">
      <alignment horizontal="center" vertical="center" wrapText="1"/>
      <protection hidden="1"/>
    </xf>
    <xf numFmtId="0" fontId="25" fillId="9" borderId="56" xfId="0" applyFont="1" applyFill="1" applyBorder="1" applyAlignment="1" applyProtection="1">
      <alignment horizontal="center" vertical="center" wrapText="1"/>
      <protection hidden="1"/>
    </xf>
    <xf numFmtId="0" fontId="37" fillId="7" borderId="56" xfId="0" applyFont="1" applyFill="1" applyBorder="1" applyAlignment="1" applyProtection="1">
      <alignment horizontal="center" vertical="center"/>
      <protection hidden="1"/>
    </xf>
    <xf numFmtId="0" fontId="37" fillId="15" borderId="56" xfId="0" applyFont="1" applyFill="1" applyBorder="1" applyAlignment="1" applyProtection="1">
      <alignment horizontal="center" vertical="center" wrapText="1"/>
      <protection hidden="1"/>
    </xf>
    <xf numFmtId="0" fontId="37" fillId="8" borderId="56" xfId="0" applyFont="1" applyFill="1" applyBorder="1" applyAlignment="1" applyProtection="1">
      <alignment horizontal="center" vertical="center" wrapText="1"/>
      <protection hidden="1"/>
    </xf>
    <xf numFmtId="0" fontId="37" fillId="6" borderId="56" xfId="0" applyFont="1" applyFill="1" applyBorder="1" applyAlignment="1" applyProtection="1">
      <alignment horizontal="center" vertical="center" wrapText="1"/>
      <protection hidden="1"/>
    </xf>
    <xf numFmtId="0" fontId="37" fillId="9" borderId="56" xfId="0" applyFont="1" applyFill="1" applyBorder="1" applyAlignment="1" applyProtection="1">
      <alignment horizontal="center" vertical="center" wrapText="1"/>
      <protection hidden="1"/>
    </xf>
    <xf numFmtId="0" fontId="37" fillId="7" borderId="56" xfId="0" applyFont="1" applyFill="1" applyBorder="1" applyAlignment="1" applyProtection="1">
      <alignment horizontal="center" vertical="center" wrapText="1"/>
      <protection hidden="1"/>
    </xf>
    <xf numFmtId="6" fontId="25" fillId="15" borderId="56" xfId="0" applyNumberFormat="1" applyFont="1" applyFill="1" applyBorder="1" applyAlignment="1" applyProtection="1">
      <alignment horizontal="center" vertical="center"/>
      <protection hidden="1"/>
    </xf>
    <xf numFmtId="6" fontId="25" fillId="8" borderId="56" xfId="0" applyNumberFormat="1" applyFont="1" applyFill="1" applyBorder="1" applyAlignment="1" applyProtection="1">
      <alignment horizontal="center" vertical="center"/>
      <protection hidden="1"/>
    </xf>
    <xf numFmtId="164" fontId="20" fillId="17" borderId="0" xfId="1" applyNumberFormat="1" applyFont="1" applyFill="1" applyBorder="1" applyAlignment="1">
      <alignment horizontal="center"/>
    </xf>
    <xf numFmtId="164" fontId="20" fillId="17" borderId="44" xfId="1" applyNumberFormat="1" applyFont="1" applyFill="1" applyBorder="1" applyAlignment="1">
      <alignment horizontal="center"/>
    </xf>
    <xf numFmtId="164" fontId="20" fillId="6" borderId="41" xfId="1" applyNumberFormat="1" applyFont="1" applyFill="1" applyBorder="1" applyAlignment="1">
      <alignment horizontal="center"/>
    </xf>
    <xf numFmtId="164" fontId="20" fillId="6" borderId="0" xfId="1" applyNumberFormat="1" applyFont="1" applyFill="1" applyBorder="1" applyAlignment="1">
      <alignment horizontal="center"/>
    </xf>
    <xf numFmtId="164" fontId="20" fillId="6" borderId="44" xfId="1" applyNumberFormat="1" applyFont="1" applyFill="1" applyBorder="1" applyAlignment="1">
      <alignment horizontal="center"/>
    </xf>
    <xf numFmtId="164" fontId="20" fillId="9" borderId="41" xfId="1" applyNumberFormat="1" applyFont="1" applyFill="1" applyBorder="1" applyAlignment="1">
      <alignment horizontal="center"/>
    </xf>
    <xf numFmtId="164" fontId="20" fillId="9" borderId="0" xfId="1" applyNumberFormat="1" applyFont="1" applyFill="1" applyBorder="1" applyAlignment="1">
      <alignment horizontal="center"/>
    </xf>
    <xf numFmtId="164" fontId="20" fillId="9" borderId="44" xfId="1" applyNumberFormat="1" applyFont="1" applyFill="1" applyBorder="1" applyAlignment="1">
      <alignment horizontal="center"/>
    </xf>
    <xf numFmtId="164" fontId="20" fillId="17" borderId="41" xfId="1" applyNumberFormat="1" applyFont="1" applyFill="1" applyBorder="1" applyAlignment="1">
      <alignment horizontal="center"/>
    </xf>
    <xf numFmtId="0" fontId="14" fillId="0" borderId="47" xfId="0" applyFont="1" applyBorder="1" applyAlignment="1">
      <alignment horizontal="center"/>
    </xf>
    <xf numFmtId="0" fontId="30" fillId="6" borderId="35" xfId="0" applyFont="1" applyFill="1" applyBorder="1" applyAlignment="1">
      <alignment horizontal="center"/>
    </xf>
    <xf numFmtId="0" fontId="30" fillId="6" borderId="36" xfId="0" applyFont="1" applyFill="1" applyBorder="1" applyAlignment="1">
      <alignment horizontal="center"/>
    </xf>
    <xf numFmtId="0" fontId="30" fillId="6" borderId="37" xfId="0" applyFont="1" applyFill="1" applyBorder="1" applyAlignment="1">
      <alignment horizontal="center"/>
    </xf>
    <xf numFmtId="0" fontId="14" fillId="7" borderId="0" xfId="0" applyFont="1" applyFill="1" applyBorder="1" applyAlignment="1">
      <alignment horizontal="center" vertical="center"/>
    </xf>
    <xf numFmtId="0" fontId="20" fillId="7" borderId="40" xfId="0" applyNumberFormat="1" applyFont="1" applyFill="1" applyBorder="1" applyAlignment="1">
      <alignment horizontal="center"/>
    </xf>
    <xf numFmtId="164" fontId="20" fillId="7" borderId="42" xfId="1" applyNumberFormat="1" applyFont="1" applyFill="1" applyBorder="1" applyAlignment="1">
      <alignment horizontal="center"/>
    </xf>
    <xf numFmtId="0" fontId="20" fillId="7" borderId="38" xfId="0" applyNumberFormat="1" applyFont="1" applyFill="1" applyBorder="1" applyAlignment="1">
      <alignment horizontal="center"/>
    </xf>
    <xf numFmtId="164" fontId="20" fillId="7" borderId="39" xfId="1" applyNumberFormat="1" applyFont="1" applyFill="1" applyBorder="1" applyAlignment="1">
      <alignment horizontal="center"/>
    </xf>
    <xf numFmtId="0" fontId="20" fillId="7" borderId="43" xfId="0" applyNumberFormat="1" applyFont="1" applyFill="1" applyBorder="1" applyAlignment="1">
      <alignment horizontal="center"/>
    </xf>
    <xf numFmtId="164" fontId="20" fillId="7" borderId="45" xfId="1" applyNumberFormat="1" applyFont="1" applyFill="1" applyBorder="1" applyAlignment="1">
      <alignment horizontal="center"/>
    </xf>
    <xf numFmtId="164" fontId="14" fillId="7" borderId="48" xfId="1" applyNumberFormat="1" applyFont="1" applyFill="1" applyBorder="1" applyAlignment="1">
      <alignment horizontal="center"/>
    </xf>
    <xf numFmtId="8" fontId="32" fillId="0" borderId="0" xfId="0" applyNumberFormat="1" applyFont="1" applyFill="1" applyBorder="1" applyAlignment="1">
      <alignment horizontal="center" vertical="center" wrapText="1"/>
    </xf>
    <xf numFmtId="0" fontId="14" fillId="8" borderId="0" xfId="0" applyFont="1" applyFill="1" applyBorder="1" applyAlignment="1">
      <alignment horizontal="center" vertical="center"/>
    </xf>
    <xf numFmtId="0" fontId="20" fillId="8" borderId="40" xfId="0" applyNumberFormat="1" applyFont="1" applyFill="1" applyBorder="1" applyAlignment="1">
      <alignment horizontal="center"/>
    </xf>
    <xf numFmtId="0" fontId="20" fillId="8" borderId="38" xfId="0" applyNumberFormat="1" applyFont="1" applyFill="1" applyBorder="1" applyAlignment="1">
      <alignment horizontal="center"/>
    </xf>
    <xf numFmtId="0" fontId="20" fillId="8" borderId="43" xfId="0" applyNumberFormat="1" applyFont="1" applyFill="1" applyBorder="1" applyAlignment="1">
      <alignment horizontal="center"/>
    </xf>
    <xf numFmtId="0" fontId="14" fillId="10" borderId="33" xfId="0" applyFont="1" applyFill="1" applyBorder="1" applyAlignment="1">
      <alignment horizontal="center"/>
    </xf>
    <xf numFmtId="0" fontId="14" fillId="10" borderId="33" xfId="0" applyFont="1" applyFill="1" applyBorder="1"/>
    <xf numFmtId="164" fontId="14" fillId="10" borderId="34" xfId="0" applyNumberFormat="1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12" fillId="6" borderId="36" xfId="0" applyFont="1" applyFill="1" applyBorder="1" applyAlignment="1">
      <alignment horizontal="center" vertical="center"/>
    </xf>
    <xf numFmtId="0" fontId="12" fillId="6" borderId="37" xfId="0" applyFont="1" applyFill="1" applyBorder="1" applyAlignment="1">
      <alignment horizontal="center" vertical="center"/>
    </xf>
    <xf numFmtId="0" fontId="10" fillId="6" borderId="40" xfId="0" applyFont="1" applyFill="1" applyBorder="1" applyAlignment="1">
      <alignment horizontal="center" vertical="center"/>
    </xf>
    <xf numFmtId="0" fontId="10" fillId="6" borderId="41" xfId="0" applyFont="1" applyFill="1" applyBorder="1" applyAlignment="1">
      <alignment horizontal="center" vertical="center"/>
    </xf>
    <xf numFmtId="164" fontId="10" fillId="6" borderId="41" xfId="1" applyNumberFormat="1" applyFont="1" applyFill="1" applyBorder="1" applyAlignment="1">
      <alignment horizontal="center" vertical="center"/>
    </xf>
    <xf numFmtId="164" fontId="10" fillId="6" borderId="42" xfId="1" applyNumberFormat="1" applyFont="1" applyFill="1" applyBorder="1" applyAlignment="1">
      <alignment horizontal="center" vertical="center"/>
    </xf>
    <xf numFmtId="0" fontId="10" fillId="6" borderId="38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164" fontId="10" fillId="6" borderId="0" xfId="1" applyNumberFormat="1" applyFont="1" applyFill="1" applyBorder="1" applyAlignment="1">
      <alignment horizontal="center" vertical="center"/>
    </xf>
    <xf numFmtId="164" fontId="10" fillId="6" borderId="39" xfId="1" applyNumberFormat="1" applyFont="1" applyFill="1" applyBorder="1" applyAlignment="1">
      <alignment horizontal="center" vertical="center"/>
    </xf>
    <xf numFmtId="0" fontId="10" fillId="6" borderId="43" xfId="0" applyFont="1" applyFill="1" applyBorder="1" applyAlignment="1">
      <alignment horizontal="center" vertical="center"/>
    </xf>
    <xf numFmtId="0" fontId="10" fillId="6" borderId="44" xfId="0" applyFont="1" applyFill="1" applyBorder="1" applyAlignment="1">
      <alignment horizontal="center" vertical="center"/>
    </xf>
    <xf numFmtId="164" fontId="10" fillId="6" borderId="44" xfId="1" applyNumberFormat="1" applyFont="1" applyFill="1" applyBorder="1" applyAlignment="1">
      <alignment horizontal="center" vertical="center"/>
    </xf>
    <xf numFmtId="164" fontId="10" fillId="6" borderId="45" xfId="1" applyNumberFormat="1" applyFont="1" applyFill="1" applyBorder="1" applyAlignment="1">
      <alignment horizontal="center" vertical="center"/>
    </xf>
    <xf numFmtId="0" fontId="10" fillId="6" borderId="46" xfId="0" applyFont="1" applyFill="1" applyBorder="1" applyAlignment="1">
      <alignment horizontal="center" vertical="center"/>
    </xf>
    <xf numFmtId="0" fontId="10" fillId="6" borderId="47" xfId="0" applyFont="1" applyFill="1" applyBorder="1" applyAlignment="1">
      <alignment horizontal="center" vertical="center"/>
    </xf>
    <xf numFmtId="164" fontId="10" fillId="6" borderId="47" xfId="1" applyNumberFormat="1" applyFont="1" applyFill="1" applyBorder="1" applyAlignment="1">
      <alignment horizontal="center" vertical="center"/>
    </xf>
    <xf numFmtId="164" fontId="11" fillId="6" borderId="48" xfId="1" applyNumberFormat="1" applyFont="1" applyFill="1" applyBorder="1" applyAlignment="1">
      <alignment horizontal="center" vertical="center"/>
    </xf>
    <xf numFmtId="0" fontId="10" fillId="8" borderId="40" xfId="0" applyNumberFormat="1" applyFont="1" applyFill="1" applyBorder="1" applyAlignment="1">
      <alignment horizontal="center" vertical="center"/>
    </xf>
    <xf numFmtId="0" fontId="10" fillId="8" borderId="41" xfId="0" applyFont="1" applyFill="1" applyBorder="1" applyAlignment="1">
      <alignment horizontal="center" vertical="center"/>
    </xf>
    <xf numFmtId="164" fontId="10" fillId="8" borderId="41" xfId="1" applyNumberFormat="1" applyFont="1" applyFill="1" applyBorder="1" applyAlignment="1">
      <alignment horizontal="center" vertical="center"/>
    </xf>
    <xf numFmtId="164" fontId="10" fillId="8" borderId="42" xfId="1" applyNumberFormat="1" applyFont="1" applyFill="1" applyBorder="1" applyAlignment="1">
      <alignment horizontal="center" vertical="center"/>
    </xf>
    <xf numFmtId="0" fontId="10" fillId="8" borderId="38" xfId="0" applyNumberFormat="1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horizontal="center" vertical="center"/>
    </xf>
    <xf numFmtId="164" fontId="10" fillId="8" borderId="0" xfId="1" applyNumberFormat="1" applyFont="1" applyFill="1" applyBorder="1" applyAlignment="1">
      <alignment horizontal="center" vertical="center"/>
    </xf>
    <xf numFmtId="164" fontId="10" fillId="8" borderId="39" xfId="1" applyNumberFormat="1" applyFont="1" applyFill="1" applyBorder="1" applyAlignment="1">
      <alignment horizontal="center" vertical="center"/>
    </xf>
    <xf numFmtId="0" fontId="10" fillId="8" borderId="43" xfId="0" applyNumberFormat="1" applyFont="1" applyFill="1" applyBorder="1" applyAlignment="1">
      <alignment horizontal="center" vertical="center"/>
    </xf>
    <xf numFmtId="0" fontId="10" fillId="8" borderId="44" xfId="0" applyFont="1" applyFill="1" applyBorder="1" applyAlignment="1">
      <alignment horizontal="center" vertical="center"/>
    </xf>
    <xf numFmtId="164" fontId="10" fillId="8" borderId="44" xfId="1" applyNumberFormat="1" applyFont="1" applyFill="1" applyBorder="1" applyAlignment="1">
      <alignment horizontal="center" vertical="center"/>
    </xf>
    <xf numFmtId="164" fontId="10" fillId="8" borderId="45" xfId="1" applyNumberFormat="1" applyFont="1" applyFill="1" applyBorder="1" applyAlignment="1">
      <alignment horizontal="center" vertical="center"/>
    </xf>
    <xf numFmtId="0" fontId="10" fillId="8" borderId="46" xfId="0" applyFont="1" applyFill="1" applyBorder="1" applyAlignment="1">
      <alignment horizontal="center" vertical="center"/>
    </xf>
    <xf numFmtId="0" fontId="10" fillId="8" borderId="47" xfId="0" applyFont="1" applyFill="1" applyBorder="1" applyAlignment="1">
      <alignment horizontal="center" vertical="center"/>
    </xf>
    <xf numFmtId="164" fontId="10" fillId="8" borderId="47" xfId="1" applyNumberFormat="1" applyFont="1" applyFill="1" applyBorder="1" applyAlignment="1">
      <alignment horizontal="center" vertical="center"/>
    </xf>
    <xf numFmtId="164" fontId="11" fillId="8" borderId="48" xfId="1" applyNumberFormat="1" applyFont="1" applyFill="1" applyBorder="1" applyAlignment="1">
      <alignment horizontal="center" vertical="center"/>
    </xf>
    <xf numFmtId="0" fontId="10" fillId="7" borderId="40" xfId="0" applyNumberFormat="1" applyFont="1" applyFill="1" applyBorder="1" applyAlignment="1">
      <alignment horizontal="center" vertical="center"/>
    </xf>
    <xf numFmtId="0" fontId="10" fillId="7" borderId="41" xfId="0" applyFont="1" applyFill="1" applyBorder="1" applyAlignment="1">
      <alignment horizontal="center" vertical="center"/>
    </xf>
    <xf numFmtId="164" fontId="10" fillId="7" borderId="41" xfId="1" applyNumberFormat="1" applyFont="1" applyFill="1" applyBorder="1" applyAlignment="1">
      <alignment horizontal="center" vertical="center"/>
    </xf>
    <xf numFmtId="164" fontId="10" fillId="7" borderId="42" xfId="1" applyNumberFormat="1" applyFont="1" applyFill="1" applyBorder="1" applyAlignment="1">
      <alignment horizontal="center" vertical="center"/>
    </xf>
    <xf numFmtId="0" fontId="10" fillId="7" borderId="38" xfId="0" applyNumberFormat="1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164" fontId="10" fillId="7" borderId="0" xfId="1" applyNumberFormat="1" applyFont="1" applyFill="1" applyBorder="1" applyAlignment="1">
      <alignment horizontal="center" vertical="center"/>
    </xf>
    <xf numFmtId="164" fontId="10" fillId="7" borderId="39" xfId="1" applyNumberFormat="1" applyFont="1" applyFill="1" applyBorder="1" applyAlignment="1">
      <alignment horizontal="center" vertical="center"/>
    </xf>
    <xf numFmtId="0" fontId="10" fillId="7" borderId="43" xfId="0" applyNumberFormat="1" applyFont="1" applyFill="1" applyBorder="1" applyAlignment="1">
      <alignment horizontal="center" vertical="center"/>
    </xf>
    <xf numFmtId="0" fontId="10" fillId="7" borderId="44" xfId="0" applyFont="1" applyFill="1" applyBorder="1" applyAlignment="1">
      <alignment horizontal="center" vertical="center"/>
    </xf>
    <xf numFmtId="164" fontId="10" fillId="7" borderId="44" xfId="1" applyNumberFormat="1" applyFont="1" applyFill="1" applyBorder="1" applyAlignment="1">
      <alignment horizontal="center" vertical="center"/>
    </xf>
    <xf numFmtId="164" fontId="10" fillId="7" borderId="45" xfId="1" applyNumberFormat="1" applyFont="1" applyFill="1" applyBorder="1" applyAlignment="1">
      <alignment horizontal="center" vertical="center"/>
    </xf>
    <xf numFmtId="0" fontId="10" fillId="7" borderId="46" xfId="0" applyFont="1" applyFill="1" applyBorder="1" applyAlignment="1">
      <alignment horizontal="center" vertical="center"/>
    </xf>
    <xf numFmtId="0" fontId="10" fillId="7" borderId="47" xfId="0" applyFont="1" applyFill="1" applyBorder="1" applyAlignment="1">
      <alignment horizontal="center" vertical="center"/>
    </xf>
    <xf numFmtId="164" fontId="10" fillId="7" borderId="47" xfId="1" applyNumberFormat="1" applyFont="1" applyFill="1" applyBorder="1" applyAlignment="1">
      <alignment horizontal="center" vertical="center"/>
    </xf>
    <xf numFmtId="164" fontId="11" fillId="7" borderId="48" xfId="1" applyNumberFormat="1" applyFont="1" applyFill="1" applyBorder="1" applyAlignment="1">
      <alignment horizontal="center" vertical="center"/>
    </xf>
    <xf numFmtId="0" fontId="45" fillId="0" borderId="0" xfId="0" applyFont="1"/>
    <xf numFmtId="0" fontId="11" fillId="7" borderId="38" xfId="0" applyFont="1" applyFill="1" applyBorder="1" applyAlignment="1">
      <alignment horizontal="left" vertical="center"/>
    </xf>
    <xf numFmtId="0" fontId="11" fillId="7" borderId="0" xfId="0" applyFont="1" applyFill="1" applyBorder="1" applyAlignment="1">
      <alignment horizontal="center" vertical="center"/>
    </xf>
    <xf numFmtId="0" fontId="11" fillId="7" borderId="39" xfId="0" applyFont="1" applyFill="1" applyBorder="1" applyAlignment="1">
      <alignment horizontal="center" vertical="center"/>
    </xf>
    <xf numFmtId="0" fontId="11" fillId="8" borderId="38" xfId="0" applyFont="1" applyFill="1" applyBorder="1" applyAlignment="1">
      <alignment horizontal="left" vertical="center"/>
    </xf>
    <xf numFmtId="0" fontId="11" fillId="8" borderId="0" xfId="0" applyFont="1" applyFill="1" applyBorder="1" applyAlignment="1">
      <alignment horizontal="center" vertical="center"/>
    </xf>
    <xf numFmtId="0" fontId="11" fillId="8" borderId="39" xfId="0" applyFont="1" applyFill="1" applyBorder="1" applyAlignment="1">
      <alignment horizontal="center" vertical="center"/>
    </xf>
    <xf numFmtId="0" fontId="11" fillId="6" borderId="38" xfId="0" applyFont="1" applyFill="1" applyBorder="1" applyAlignment="1">
      <alignment horizontal="left" vertical="center"/>
    </xf>
    <xf numFmtId="0" fontId="11" fillId="6" borderId="0" xfId="0" applyFont="1" applyFill="1" applyBorder="1" applyAlignment="1">
      <alignment horizontal="center" vertical="center"/>
    </xf>
    <xf numFmtId="0" fontId="11" fillId="6" borderId="39" xfId="0" applyFont="1" applyFill="1" applyBorder="1" applyAlignment="1">
      <alignment horizontal="center" vertical="center"/>
    </xf>
    <xf numFmtId="0" fontId="46" fillId="10" borderId="32" xfId="0" applyFont="1" applyFill="1" applyBorder="1"/>
    <xf numFmtId="0" fontId="29" fillId="3" borderId="57" xfId="0" applyFont="1" applyFill="1" applyBorder="1" applyAlignment="1" applyProtection="1">
      <alignment horizontal="center" vertical="center" wrapText="1"/>
      <protection hidden="1"/>
    </xf>
    <xf numFmtId="0" fontId="3" fillId="11" borderId="58" xfId="0" applyFont="1" applyFill="1" applyBorder="1" applyAlignment="1" applyProtection="1">
      <alignment vertical="center"/>
      <protection hidden="1"/>
    </xf>
    <xf numFmtId="0" fontId="25" fillId="17" borderId="59" xfId="0" applyFont="1" applyFill="1" applyBorder="1" applyAlignment="1" applyProtection="1">
      <alignment horizontal="center" vertical="center"/>
      <protection hidden="1"/>
    </xf>
    <xf numFmtId="0" fontId="25" fillId="17" borderId="59" xfId="0" applyFont="1" applyFill="1" applyBorder="1" applyAlignment="1" applyProtection="1">
      <alignment horizontal="center" vertical="center" wrapText="1"/>
      <protection hidden="1"/>
    </xf>
    <xf numFmtId="0" fontId="25" fillId="11" borderId="58" xfId="0" applyFont="1" applyFill="1" applyBorder="1" applyAlignment="1" applyProtection="1">
      <alignment vertical="center" wrapText="1"/>
      <protection hidden="1"/>
    </xf>
    <xf numFmtId="0" fontId="37" fillId="11" borderId="58" xfId="0" applyFont="1" applyFill="1" applyBorder="1" applyAlignment="1" applyProtection="1">
      <alignment vertical="center"/>
      <protection hidden="1"/>
    </xf>
    <xf numFmtId="0" fontId="37" fillId="17" borderId="59" xfId="0" applyFont="1" applyFill="1" applyBorder="1" applyAlignment="1" applyProtection="1">
      <alignment horizontal="center" vertical="center" wrapText="1"/>
      <protection hidden="1"/>
    </xf>
    <xf numFmtId="0" fontId="25" fillId="11" borderId="58" xfId="0" applyFont="1" applyFill="1" applyBorder="1" applyAlignment="1" applyProtection="1">
      <alignment vertical="center"/>
      <protection hidden="1"/>
    </xf>
    <xf numFmtId="0" fontId="25" fillId="11" borderId="58" xfId="0" applyFont="1" applyFill="1" applyBorder="1" applyAlignment="1" applyProtection="1">
      <alignment horizontal="left" vertical="center"/>
      <protection hidden="1"/>
    </xf>
    <xf numFmtId="6" fontId="25" fillId="17" borderId="59" xfId="0" applyNumberFormat="1" applyFont="1" applyFill="1" applyBorder="1" applyAlignment="1" applyProtection="1">
      <alignment horizontal="center" vertical="center"/>
      <protection hidden="1"/>
    </xf>
    <xf numFmtId="0" fontId="37" fillId="11" borderId="60" xfId="0" applyFont="1" applyFill="1" applyBorder="1" applyAlignment="1" applyProtection="1">
      <alignment vertical="center"/>
      <protection hidden="1"/>
    </xf>
    <xf numFmtId="0" fontId="25" fillId="7" borderId="61" xfId="0" applyFont="1" applyFill="1" applyBorder="1" applyAlignment="1" applyProtection="1">
      <alignment horizontal="center" vertical="center"/>
      <protection hidden="1"/>
    </xf>
    <xf numFmtId="0" fontId="25" fillId="15" borderId="61" xfId="0" applyFont="1" applyFill="1" applyBorder="1" applyAlignment="1" applyProtection="1">
      <alignment horizontal="center" vertical="center"/>
      <protection hidden="1"/>
    </xf>
    <xf numFmtId="0" fontId="25" fillId="8" borderId="61" xfId="0" applyFont="1" applyFill="1" applyBorder="1" applyAlignment="1" applyProtection="1">
      <alignment horizontal="center" vertical="center"/>
      <protection hidden="1"/>
    </xf>
    <xf numFmtId="0" fontId="25" fillId="6" borderId="61" xfId="0" applyFont="1" applyFill="1" applyBorder="1" applyAlignment="1" applyProtection="1">
      <alignment horizontal="center" vertical="center"/>
      <protection hidden="1"/>
    </xf>
    <xf numFmtId="0" fontId="25" fillId="9" borderId="61" xfId="0" applyFont="1" applyFill="1" applyBorder="1" applyAlignment="1" applyProtection="1">
      <alignment horizontal="center" vertical="center"/>
      <protection hidden="1"/>
    </xf>
    <xf numFmtId="0" fontId="25" fillId="17" borderId="62" xfId="0" applyFont="1" applyFill="1" applyBorder="1" applyAlignment="1" applyProtection="1">
      <alignment horizontal="center" vertical="center"/>
      <protection hidden="1"/>
    </xf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18" fillId="11" borderId="66" xfId="0" applyFont="1" applyFill="1" applyBorder="1" applyAlignment="1" applyProtection="1">
      <alignment horizontal="center"/>
      <protection hidden="1"/>
    </xf>
    <xf numFmtId="0" fontId="20" fillId="0" borderId="67" xfId="0" applyFont="1" applyBorder="1"/>
    <xf numFmtId="0" fontId="21" fillId="11" borderId="66" xfId="0" applyFont="1" applyFill="1" applyBorder="1" applyProtection="1">
      <protection hidden="1"/>
    </xf>
    <xf numFmtId="0" fontId="23" fillId="11" borderId="66" xfId="0" applyFont="1" applyFill="1" applyBorder="1" applyAlignment="1" applyProtection="1">
      <alignment vertical="center"/>
      <protection hidden="1"/>
    </xf>
    <xf numFmtId="0" fontId="24" fillId="0" borderId="67" xfId="0" applyFont="1" applyBorder="1" applyAlignment="1">
      <alignment vertical="center"/>
    </xf>
    <xf numFmtId="0" fontId="21" fillId="11" borderId="66" xfId="0" applyFont="1" applyFill="1" applyBorder="1" applyAlignment="1" applyProtection="1">
      <alignment vertical="center"/>
      <protection hidden="1"/>
    </xf>
    <xf numFmtId="0" fontId="0" fillId="0" borderId="67" xfId="0" applyBorder="1" applyAlignment="1">
      <alignment vertical="center"/>
    </xf>
    <xf numFmtId="0" fontId="23" fillId="11" borderId="66" xfId="0" applyFont="1" applyFill="1" applyBorder="1" applyProtection="1">
      <protection hidden="1"/>
    </xf>
    <xf numFmtId="0" fontId="24" fillId="0" borderId="67" xfId="0" applyFont="1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42" fillId="3" borderId="0" xfId="0" applyFont="1" applyFill="1" applyBorder="1"/>
    <xf numFmtId="0" fontId="41" fillId="3" borderId="0" xfId="0" applyFont="1" applyFill="1" applyBorder="1"/>
    <xf numFmtId="44" fontId="3" fillId="0" borderId="0" xfId="0" applyNumberFormat="1" applyFont="1" applyFill="1"/>
    <xf numFmtId="0" fontId="5" fillId="0" borderId="26" xfId="0" applyFont="1" applyBorder="1" applyAlignment="1">
      <alignment vertical="center" wrapText="1"/>
    </xf>
    <xf numFmtId="0" fontId="4" fillId="0" borderId="21" xfId="0" applyFont="1" applyBorder="1" applyAlignment="1">
      <alignment horizontal="right" vertical="center" wrapText="1"/>
    </xf>
    <xf numFmtId="14" fontId="9" fillId="0" borderId="15" xfId="0" applyNumberFormat="1" applyFont="1" applyFill="1" applyBorder="1" applyAlignment="1">
      <alignment vertical="center" wrapText="1"/>
    </xf>
    <xf numFmtId="14" fontId="9" fillId="0" borderId="16" xfId="0" applyNumberFormat="1" applyFont="1" applyFill="1" applyBorder="1" applyAlignment="1">
      <alignment vertical="center" wrapText="1"/>
    </xf>
    <xf numFmtId="14" fontId="9" fillId="0" borderId="17" xfId="0" applyNumberFormat="1" applyFont="1" applyFill="1" applyBorder="1" applyAlignment="1">
      <alignment vertical="center" wrapText="1"/>
    </xf>
    <xf numFmtId="0" fontId="42" fillId="3" borderId="0" xfId="0" applyFont="1" applyFill="1" applyBorder="1" applyAlignment="1">
      <alignment readingOrder="1"/>
    </xf>
    <xf numFmtId="0" fontId="41" fillId="3" borderId="0" xfId="0" applyFont="1" applyFill="1" applyBorder="1" applyAlignment="1">
      <alignment horizontal="center" readingOrder="1"/>
    </xf>
    <xf numFmtId="9" fontId="41" fillId="3" borderId="0" xfId="0" applyNumberFormat="1" applyFont="1" applyFill="1" applyBorder="1" applyAlignment="1">
      <alignment horizontal="center" readingOrder="1"/>
    </xf>
    <xf numFmtId="0" fontId="41" fillId="3" borderId="0" xfId="0" applyFont="1" applyFill="1" applyBorder="1" applyAlignment="1">
      <alignment readingOrder="1"/>
    </xf>
    <xf numFmtId="0" fontId="3" fillId="0" borderId="0" xfId="0" applyFont="1" applyBorder="1" applyAlignment="1">
      <alignment readingOrder="1"/>
    </xf>
    <xf numFmtId="0" fontId="3" fillId="0" borderId="0" xfId="0" applyFont="1" applyFill="1" applyBorder="1" applyAlignment="1">
      <alignment readingOrder="1"/>
    </xf>
    <xf numFmtId="14" fontId="4" fillId="0" borderId="54" xfId="0" applyNumberFormat="1" applyFont="1" applyFill="1" applyBorder="1" applyAlignment="1">
      <alignment horizontal="center" wrapText="1" readingOrder="1"/>
    </xf>
    <xf numFmtId="0" fontId="43" fillId="16" borderId="15" xfId="0" applyFont="1" applyFill="1" applyBorder="1" applyAlignment="1">
      <alignment vertical="center" wrapText="1"/>
    </xf>
    <xf numFmtId="0" fontId="4" fillId="0" borderId="21" xfId="0" applyFont="1" applyBorder="1" applyAlignment="1">
      <alignment horizontal="right" vertical="center" wrapText="1"/>
    </xf>
    <xf numFmtId="0" fontId="4" fillId="4" borderId="54" xfId="0" applyNumberFormat="1" applyFont="1" applyFill="1" applyBorder="1" applyAlignment="1">
      <alignment horizontal="center" vertical="center" wrapText="1"/>
    </xf>
    <xf numFmtId="44" fontId="4" fillId="4" borderId="54" xfId="1" applyFont="1" applyFill="1" applyBorder="1" applyAlignment="1">
      <alignment horizontal="center" vertical="center" wrapText="1"/>
    </xf>
    <xf numFmtId="9" fontId="4" fillId="4" borderId="21" xfId="2" applyFont="1" applyFill="1" applyBorder="1" applyAlignment="1">
      <alignment vertical="center" wrapText="1"/>
    </xf>
    <xf numFmtId="1" fontId="4" fillId="4" borderId="23" xfId="2" applyNumberFormat="1" applyFont="1" applyFill="1" applyBorder="1" applyAlignment="1">
      <alignment vertical="center" wrapText="1"/>
    </xf>
    <xf numFmtId="9" fontId="4" fillId="4" borderId="22" xfId="2" applyFont="1" applyFill="1" applyBorder="1" applyAlignment="1">
      <alignment vertical="center" wrapText="1"/>
    </xf>
    <xf numFmtId="1" fontId="4" fillId="4" borderId="54" xfId="0" applyNumberFormat="1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164" fontId="4" fillId="0" borderId="54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4" fontId="4" fillId="4" borderId="21" xfId="0" applyNumberFormat="1" applyFont="1" applyFill="1" applyBorder="1" applyAlignment="1">
      <alignment horizontal="center" vertical="center" wrapText="1"/>
    </xf>
    <xf numFmtId="164" fontId="4" fillId="4" borderId="30" xfId="0" applyNumberFormat="1" applyFont="1" applyFill="1" applyBorder="1" applyAlignment="1">
      <alignment horizontal="center" vertical="center" wrapText="1"/>
    </xf>
    <xf numFmtId="164" fontId="4" fillId="0" borderId="29" xfId="0" applyNumberFormat="1" applyFont="1" applyBorder="1" applyAlignment="1">
      <alignment horizontal="center" vertical="center" wrapText="1"/>
    </xf>
    <xf numFmtId="164" fontId="4" fillId="0" borderId="23" xfId="0" applyNumberFormat="1" applyFont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14" fontId="4" fillId="0" borderId="29" xfId="0" applyNumberFormat="1" applyFont="1" applyBorder="1" applyAlignment="1">
      <alignment horizontal="center" vertical="center" wrapText="1"/>
    </xf>
    <xf numFmtId="14" fontId="4" fillId="0" borderId="30" xfId="0" applyNumberFormat="1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left" vertical="center" wrapText="1"/>
    </xf>
    <xf numFmtId="0" fontId="2" fillId="4" borderId="26" xfId="3" applyFill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71" xfId="0" applyFont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72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164" fontId="4" fillId="4" borderId="23" xfId="0" applyNumberFormat="1" applyFont="1" applyFill="1" applyBorder="1" applyAlignment="1">
      <alignment horizontal="center" vertical="center" wrapText="1"/>
    </xf>
    <xf numFmtId="164" fontId="4" fillId="4" borderId="22" xfId="0" applyNumberFormat="1" applyFont="1" applyFill="1" applyBorder="1" applyAlignment="1">
      <alignment horizontal="center" vertical="center" wrapText="1"/>
    </xf>
    <xf numFmtId="164" fontId="4" fillId="0" borderId="21" xfId="1" applyNumberFormat="1" applyFont="1" applyBorder="1" applyAlignment="1">
      <alignment horizontal="center" vertical="center" wrapText="1"/>
    </xf>
    <xf numFmtId="164" fontId="4" fillId="0" borderId="23" xfId="1" applyNumberFormat="1" applyFont="1" applyBorder="1" applyAlignment="1">
      <alignment horizontal="center" vertical="center" wrapText="1"/>
    </xf>
    <xf numFmtId="164" fontId="4" fillId="0" borderId="22" xfId="1" applyNumberFormat="1" applyFont="1" applyBorder="1" applyAlignment="1">
      <alignment horizontal="center" vertical="center" wrapText="1"/>
    </xf>
    <xf numFmtId="44" fontId="4" fillId="4" borderId="15" xfId="1" applyFont="1" applyFill="1" applyBorder="1" applyAlignment="1">
      <alignment horizontal="center" vertical="center" wrapText="1"/>
    </xf>
    <xf numFmtId="44" fontId="4" fillId="4" borderId="16" xfId="1" applyFont="1" applyFill="1" applyBorder="1" applyAlignment="1">
      <alignment horizontal="center" vertical="center" wrapText="1"/>
    </xf>
    <xf numFmtId="14" fontId="9" fillId="16" borderId="16" xfId="0" applyNumberFormat="1" applyFont="1" applyFill="1" applyBorder="1" applyAlignment="1">
      <alignment horizontal="center" vertical="center" wrapText="1"/>
    </xf>
    <xf numFmtId="14" fontId="4" fillId="4" borderId="24" xfId="0" applyNumberFormat="1" applyFont="1" applyFill="1" applyBorder="1" applyAlignment="1">
      <alignment horizontal="center" vertical="center" wrapText="1"/>
    </xf>
    <xf numFmtId="14" fontId="4" fillId="4" borderId="26" xfId="0" applyNumberFormat="1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164" fontId="4" fillId="4" borderId="21" xfId="1" applyNumberFormat="1" applyFont="1" applyFill="1" applyBorder="1" applyAlignment="1">
      <alignment horizontal="center" vertical="center" wrapText="1"/>
    </xf>
    <xf numFmtId="164" fontId="4" fillId="4" borderId="23" xfId="1" applyNumberFormat="1" applyFont="1" applyFill="1" applyBorder="1" applyAlignment="1">
      <alignment horizontal="center" vertical="center" wrapText="1"/>
    </xf>
    <xf numFmtId="164" fontId="4" fillId="4" borderId="22" xfId="1" applyNumberFormat="1" applyFont="1" applyFill="1" applyBorder="1" applyAlignment="1">
      <alignment horizontal="center" vertical="center" wrapText="1"/>
    </xf>
    <xf numFmtId="14" fontId="4" fillId="0" borderId="24" xfId="0" applyNumberFormat="1" applyFont="1" applyFill="1" applyBorder="1" applyAlignment="1">
      <alignment horizontal="center" vertical="center" wrapText="1"/>
    </xf>
    <xf numFmtId="14" fontId="4" fillId="0" borderId="26" xfId="0" applyNumberFormat="1" applyFont="1" applyFill="1" applyBorder="1" applyAlignment="1">
      <alignment horizontal="center" vertical="center" wrapText="1"/>
    </xf>
    <xf numFmtId="14" fontId="4" fillId="0" borderId="25" xfId="0" applyNumberFormat="1" applyFont="1" applyFill="1" applyBorder="1" applyAlignment="1">
      <alignment horizontal="center" vertical="center" wrapText="1"/>
    </xf>
    <xf numFmtId="49" fontId="4" fillId="0" borderId="21" xfId="1" applyNumberFormat="1" applyFont="1" applyBorder="1" applyAlignment="1">
      <alignment horizontal="center" vertical="center" wrapText="1"/>
    </xf>
    <xf numFmtId="49" fontId="4" fillId="0" borderId="23" xfId="1" applyNumberFormat="1" applyFont="1" applyBorder="1" applyAlignment="1">
      <alignment horizontal="center" vertical="center" wrapText="1"/>
    </xf>
    <xf numFmtId="49" fontId="4" fillId="0" borderId="22" xfId="1" applyNumberFormat="1" applyFont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14" fontId="4" fillId="4" borderId="25" xfId="0" applyNumberFormat="1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164" fontId="4" fillId="0" borderId="21" xfId="0" applyNumberFormat="1" applyFont="1" applyFill="1" applyBorder="1" applyAlignment="1">
      <alignment horizontal="center" vertical="center" wrapText="1"/>
    </xf>
    <xf numFmtId="164" fontId="4" fillId="0" borderId="23" xfId="0" applyNumberFormat="1" applyFont="1" applyFill="1" applyBorder="1" applyAlignment="1">
      <alignment horizontal="center" vertical="center" wrapText="1"/>
    </xf>
    <xf numFmtId="164" fontId="4" fillId="0" borderId="30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vertical="center" wrapText="1"/>
    </xf>
    <xf numFmtId="0" fontId="4" fillId="4" borderId="30" xfId="0" applyFont="1" applyFill="1" applyBorder="1" applyAlignment="1">
      <alignment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14" fontId="4" fillId="0" borderId="15" xfId="0" applyNumberFormat="1" applyFont="1" applyFill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14" fontId="4" fillId="0" borderId="1" xfId="0" applyNumberFormat="1" applyFont="1" applyFill="1" applyBorder="1" applyAlignment="1">
      <alignment horizontal="center" wrapText="1" readingOrder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9" fontId="4" fillId="4" borderId="21" xfId="2" applyNumberFormat="1" applyFont="1" applyFill="1" applyBorder="1" applyAlignment="1">
      <alignment horizontal="center" vertical="center" wrapText="1"/>
    </xf>
    <xf numFmtId="9" fontId="4" fillId="4" borderId="23" xfId="2" applyNumberFormat="1" applyFont="1" applyFill="1" applyBorder="1" applyAlignment="1">
      <alignment horizontal="center" vertical="center" wrapText="1"/>
    </xf>
    <xf numFmtId="9" fontId="4" fillId="4" borderId="22" xfId="2" applyNumberFormat="1" applyFont="1" applyFill="1" applyBorder="1" applyAlignment="1">
      <alignment horizontal="center" vertical="center" wrapText="1"/>
    </xf>
    <xf numFmtId="9" fontId="4" fillId="0" borderId="21" xfId="2" applyNumberFormat="1" applyFont="1" applyFill="1" applyBorder="1" applyAlignment="1">
      <alignment horizontal="center" vertical="center" wrapText="1"/>
    </xf>
    <xf numFmtId="9" fontId="4" fillId="0" borderId="23" xfId="2" applyNumberFormat="1" applyFont="1" applyFill="1" applyBorder="1" applyAlignment="1">
      <alignment horizontal="center" vertical="center" wrapText="1"/>
    </xf>
    <xf numFmtId="9" fontId="4" fillId="0" borderId="22" xfId="2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 readingOrder="1"/>
    </xf>
    <xf numFmtId="14" fontId="8" fillId="0" borderId="2" xfId="0" applyNumberFormat="1" applyFont="1" applyFill="1" applyBorder="1" applyAlignment="1">
      <alignment horizontal="center" vertical="center" wrapText="1" readingOrder="1"/>
    </xf>
    <xf numFmtId="14" fontId="8" fillId="0" borderId="3" xfId="0" applyNumberFormat="1" applyFont="1" applyFill="1" applyBorder="1" applyAlignment="1">
      <alignment horizontal="center" vertical="center" wrapText="1" readingOrder="1"/>
    </xf>
    <xf numFmtId="14" fontId="8" fillId="0" borderId="4" xfId="0" applyNumberFormat="1" applyFont="1" applyFill="1" applyBorder="1" applyAlignment="1">
      <alignment horizontal="center" vertical="center" wrapText="1" readingOrder="1"/>
    </xf>
    <xf numFmtId="14" fontId="8" fillId="0" borderId="0" xfId="0" applyNumberFormat="1" applyFont="1" applyFill="1" applyBorder="1" applyAlignment="1">
      <alignment horizontal="center" vertical="center" wrapText="1" readingOrder="1"/>
    </xf>
    <xf numFmtId="14" fontId="8" fillId="0" borderId="5" xfId="0" applyNumberFormat="1" applyFont="1" applyFill="1" applyBorder="1" applyAlignment="1">
      <alignment horizontal="center" vertical="center" wrapText="1" readingOrder="1"/>
    </xf>
    <xf numFmtId="14" fontId="8" fillId="0" borderId="6" xfId="0" applyNumberFormat="1" applyFont="1" applyFill="1" applyBorder="1" applyAlignment="1">
      <alignment horizontal="center" vertical="center" wrapText="1" readingOrder="1"/>
    </xf>
    <xf numFmtId="14" fontId="8" fillId="0" borderId="7" xfId="0" applyNumberFormat="1" applyFont="1" applyFill="1" applyBorder="1" applyAlignment="1">
      <alignment horizontal="center" vertical="center" wrapText="1" readingOrder="1"/>
    </xf>
    <xf numFmtId="14" fontId="8" fillId="0" borderId="8" xfId="0" applyNumberFormat="1" applyFont="1" applyFill="1" applyBorder="1" applyAlignment="1">
      <alignment horizontal="center" vertical="center" wrapText="1" readingOrder="1"/>
    </xf>
    <xf numFmtId="14" fontId="8" fillId="5" borderId="15" xfId="0" applyNumberFormat="1" applyFont="1" applyFill="1" applyBorder="1" applyAlignment="1">
      <alignment horizontal="center" vertical="center"/>
    </xf>
    <xf numFmtId="14" fontId="8" fillId="5" borderId="16" xfId="0" applyNumberFormat="1" applyFont="1" applyFill="1" applyBorder="1" applyAlignment="1">
      <alignment horizontal="center" vertical="center"/>
    </xf>
    <xf numFmtId="14" fontId="8" fillId="5" borderId="17" xfId="0" applyNumberFormat="1" applyFont="1" applyFill="1" applyBorder="1" applyAlignment="1">
      <alignment horizontal="center" vertical="center"/>
    </xf>
    <xf numFmtId="14" fontId="4" fillId="0" borderId="15" xfId="0" applyNumberFormat="1" applyFont="1" applyFill="1" applyBorder="1" applyAlignment="1">
      <alignment horizontal="center" readingOrder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14" fontId="4" fillId="0" borderId="15" xfId="0" applyNumberFormat="1" applyFont="1" applyFill="1" applyBorder="1" applyAlignment="1">
      <alignment horizontal="center" vertical="center" wrapText="1" readingOrder="1"/>
    </xf>
    <xf numFmtId="14" fontId="4" fillId="0" borderId="16" xfId="0" applyNumberFormat="1" applyFont="1" applyFill="1" applyBorder="1" applyAlignment="1">
      <alignment horizontal="center" vertical="center" wrapText="1" readingOrder="1"/>
    </xf>
    <xf numFmtId="14" fontId="4" fillId="0" borderId="17" xfId="0" applyNumberFormat="1" applyFont="1" applyFill="1" applyBorder="1" applyAlignment="1">
      <alignment horizontal="center" vertical="center" wrapText="1" readingOrder="1"/>
    </xf>
    <xf numFmtId="0" fontId="4" fillId="0" borderId="15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9" fontId="4" fillId="4" borderId="21" xfId="2" applyFont="1" applyFill="1" applyBorder="1" applyAlignment="1">
      <alignment horizontal="center" vertical="center" wrapText="1"/>
    </xf>
    <xf numFmtId="9" fontId="4" fillId="4" borderId="30" xfId="2" applyFont="1" applyFill="1" applyBorder="1" applyAlignment="1">
      <alignment horizontal="center" vertical="center" wrapText="1"/>
    </xf>
    <xf numFmtId="0" fontId="29" fillId="12" borderId="29" xfId="0" applyFont="1" applyFill="1" applyBorder="1" applyAlignment="1">
      <alignment horizontal="center"/>
    </xf>
    <xf numFmtId="0" fontId="29" fillId="12" borderId="22" xfId="0" applyFont="1" applyFill="1" applyBorder="1" applyAlignment="1">
      <alignment horizontal="center"/>
    </xf>
    <xf numFmtId="0" fontId="29" fillId="12" borderId="15" xfId="0" applyFont="1" applyFill="1" applyBorder="1" applyAlignment="1">
      <alignment horizontal="center"/>
    </xf>
    <xf numFmtId="0" fontId="29" fillId="12" borderId="17" xfId="0" applyFont="1" applyFill="1" applyBorder="1" applyAlignment="1">
      <alignment horizontal="center"/>
    </xf>
    <xf numFmtId="164" fontId="4" fillId="4" borderId="24" xfId="0" applyNumberFormat="1" applyFont="1" applyFill="1" applyBorder="1" applyAlignment="1">
      <alignment horizontal="center" vertical="center" wrapText="1"/>
    </xf>
    <xf numFmtId="164" fontId="4" fillId="4" borderId="73" xfId="0" applyNumberFormat="1" applyFont="1" applyFill="1" applyBorder="1" applyAlignment="1">
      <alignment horizontal="center" vertical="center" wrapText="1"/>
    </xf>
    <xf numFmtId="164" fontId="4" fillId="0" borderId="74" xfId="0" applyNumberFormat="1" applyFont="1" applyFill="1" applyBorder="1" applyAlignment="1">
      <alignment horizontal="center" vertical="center" wrapText="1"/>
    </xf>
    <xf numFmtId="164" fontId="4" fillId="0" borderId="25" xfId="0" applyNumberFormat="1" applyFont="1" applyFill="1" applyBorder="1" applyAlignment="1">
      <alignment horizontal="center" vertical="center" wrapText="1"/>
    </xf>
    <xf numFmtId="164" fontId="4" fillId="0" borderId="15" xfId="0" applyNumberFormat="1" applyFont="1" applyFill="1" applyBorder="1" applyAlignment="1">
      <alignment horizontal="center" vertical="center" wrapText="1"/>
    </xf>
    <xf numFmtId="164" fontId="4" fillId="0" borderId="17" xfId="0" applyNumberFormat="1" applyFont="1" applyFill="1" applyBorder="1" applyAlignment="1">
      <alignment horizontal="center" vertical="center" wrapText="1"/>
    </xf>
    <xf numFmtId="164" fontId="4" fillId="4" borderId="18" xfId="1" applyNumberFormat="1" applyFont="1" applyFill="1" applyBorder="1" applyAlignment="1">
      <alignment horizontal="center" vertical="center" wrapText="1"/>
    </xf>
    <xf numFmtId="164" fontId="4" fillId="4" borderId="28" xfId="1" applyNumberFormat="1" applyFont="1" applyFill="1" applyBorder="1" applyAlignment="1">
      <alignment horizontal="center" vertical="center" wrapText="1"/>
    </xf>
    <xf numFmtId="164" fontId="4" fillId="0" borderId="27" xfId="0" applyNumberFormat="1" applyFont="1" applyBorder="1" applyAlignment="1">
      <alignment horizontal="center" vertical="center" wrapText="1"/>
    </xf>
    <xf numFmtId="164" fontId="4" fillId="0" borderId="19" xfId="0" applyNumberFormat="1" applyFont="1" applyBorder="1" applyAlignment="1">
      <alignment horizontal="center" vertical="center" wrapText="1"/>
    </xf>
    <xf numFmtId="164" fontId="4" fillId="0" borderId="15" xfId="1" applyNumberFormat="1" applyFont="1" applyFill="1" applyBorder="1" applyAlignment="1">
      <alignment horizontal="center" vertical="center" wrapText="1"/>
    </xf>
    <xf numFmtId="164" fontId="4" fillId="0" borderId="17" xfId="1" applyNumberFormat="1" applyFont="1" applyFill="1" applyBorder="1" applyAlignment="1">
      <alignment horizontal="center" vertical="center" wrapText="1"/>
    </xf>
    <xf numFmtId="0" fontId="20" fillId="17" borderId="33" xfId="0" applyFont="1" applyFill="1" applyBorder="1" applyAlignment="1">
      <alignment horizontal="center"/>
    </xf>
    <xf numFmtId="0" fontId="20" fillId="9" borderId="33" xfId="0" applyFont="1" applyFill="1" applyBorder="1" applyAlignment="1">
      <alignment horizontal="center"/>
    </xf>
    <xf numFmtId="0" fontId="30" fillId="5" borderId="32" xfId="0" applyFont="1" applyFill="1" applyBorder="1" applyAlignment="1">
      <alignment horizontal="center"/>
    </xf>
    <xf numFmtId="0" fontId="30" fillId="5" borderId="33" xfId="0" applyFont="1" applyFill="1" applyBorder="1" applyAlignment="1">
      <alignment horizontal="center"/>
    </xf>
    <xf numFmtId="0" fontId="30" fillId="5" borderId="34" xfId="0" applyFont="1" applyFill="1" applyBorder="1" applyAlignment="1">
      <alignment horizontal="center"/>
    </xf>
    <xf numFmtId="164" fontId="20" fillId="6" borderId="41" xfId="1" applyNumberFormat="1" applyFont="1" applyFill="1" applyBorder="1" applyAlignment="1">
      <alignment horizontal="center"/>
    </xf>
    <xf numFmtId="164" fontId="20" fillId="6" borderId="0" xfId="1" applyNumberFormat="1" applyFont="1" applyFill="1" applyBorder="1" applyAlignment="1">
      <alignment horizontal="center"/>
    </xf>
    <xf numFmtId="164" fontId="20" fillId="6" borderId="44" xfId="1" applyNumberFormat="1" applyFont="1" applyFill="1" applyBorder="1" applyAlignment="1">
      <alignment horizontal="center"/>
    </xf>
    <xf numFmtId="0" fontId="22" fillId="5" borderId="32" xfId="0" applyFont="1" applyFill="1" applyBorder="1" applyAlignment="1">
      <alignment horizontal="center"/>
    </xf>
    <xf numFmtId="0" fontId="22" fillId="5" borderId="33" xfId="0" applyFont="1" applyFill="1" applyBorder="1" applyAlignment="1">
      <alignment horizontal="center"/>
    </xf>
    <xf numFmtId="0" fontId="22" fillId="5" borderId="34" xfId="0" applyFont="1" applyFill="1" applyBorder="1" applyAlignment="1">
      <alignment horizontal="center"/>
    </xf>
    <xf numFmtId="0" fontId="14" fillId="17" borderId="49" xfId="0" applyFont="1" applyFill="1" applyBorder="1" applyAlignment="1">
      <alignment horizontal="center" wrapText="1"/>
    </xf>
    <xf numFmtId="164" fontId="20" fillId="17" borderId="41" xfId="1" applyNumberFormat="1" applyFont="1" applyFill="1" applyBorder="1" applyAlignment="1">
      <alignment horizontal="center"/>
    </xf>
    <xf numFmtId="0" fontId="30" fillId="5" borderId="33" xfId="0" applyFont="1" applyFill="1" applyBorder="1" applyAlignment="1">
      <alignment horizontal="right"/>
    </xf>
    <xf numFmtId="0" fontId="12" fillId="5" borderId="35" xfId="0" applyFont="1" applyFill="1" applyBorder="1" applyAlignment="1">
      <alignment horizontal="center" vertical="center"/>
    </xf>
    <xf numFmtId="0" fontId="12" fillId="5" borderId="36" xfId="0" applyFont="1" applyFill="1" applyBorder="1" applyAlignment="1">
      <alignment horizontal="center" vertical="center"/>
    </xf>
    <xf numFmtId="0" fontId="12" fillId="5" borderId="37" xfId="0" applyFont="1" applyFill="1" applyBorder="1" applyAlignment="1">
      <alignment horizontal="center" vertical="center"/>
    </xf>
    <xf numFmtId="0" fontId="12" fillId="5" borderId="46" xfId="0" applyFont="1" applyFill="1" applyBorder="1" applyAlignment="1">
      <alignment horizontal="center" vertical="center"/>
    </xf>
    <xf numFmtId="0" fontId="12" fillId="5" borderId="47" xfId="0" applyFont="1" applyFill="1" applyBorder="1" applyAlignment="1">
      <alignment horizontal="center" vertical="center"/>
    </xf>
    <xf numFmtId="0" fontId="12" fillId="5" borderId="48" xfId="0" applyFont="1" applyFill="1" applyBorder="1" applyAlignment="1">
      <alignment horizontal="center" vertical="center"/>
    </xf>
    <xf numFmtId="0" fontId="14" fillId="6" borderId="50" xfId="0" applyFont="1" applyFill="1" applyBorder="1" applyAlignment="1">
      <alignment horizontal="center" wrapText="1"/>
    </xf>
    <xf numFmtId="0" fontId="20" fillId="6" borderId="33" xfId="0" applyFont="1" applyFill="1" applyBorder="1" applyAlignment="1">
      <alignment horizontal="center"/>
    </xf>
    <xf numFmtId="0" fontId="14" fillId="9" borderId="49" xfId="0" applyFont="1" applyFill="1" applyBorder="1" applyAlignment="1">
      <alignment horizontal="center" wrapText="1"/>
    </xf>
    <xf numFmtId="164" fontId="20" fillId="9" borderId="41" xfId="1" applyNumberFormat="1" applyFont="1" applyFill="1" applyBorder="1" applyAlignment="1">
      <alignment horizontal="center"/>
    </xf>
    <xf numFmtId="164" fontId="20" fillId="9" borderId="0" xfId="1" applyNumberFormat="1" applyFont="1" applyFill="1" applyBorder="1" applyAlignment="1">
      <alignment horizontal="center"/>
    </xf>
    <xf numFmtId="164" fontId="20" fillId="9" borderId="44" xfId="1" applyNumberFormat="1" applyFont="1" applyFill="1" applyBorder="1" applyAlignment="1">
      <alignment horizontal="center"/>
    </xf>
    <xf numFmtId="164" fontId="20" fillId="9" borderId="51" xfId="1" applyNumberFormat="1" applyFont="1" applyFill="1" applyBorder="1" applyAlignment="1">
      <alignment horizontal="center"/>
    </xf>
    <xf numFmtId="164" fontId="20" fillId="17" borderId="0" xfId="1" applyNumberFormat="1" applyFont="1" applyFill="1" applyBorder="1" applyAlignment="1">
      <alignment horizontal="center"/>
    </xf>
    <xf numFmtId="164" fontId="20" fillId="17" borderId="44" xfId="1" applyNumberFormat="1" applyFont="1" applyFill="1" applyBorder="1" applyAlignment="1">
      <alignment horizontal="center"/>
    </xf>
    <xf numFmtId="164" fontId="20" fillId="17" borderId="51" xfId="1" applyNumberFormat="1" applyFont="1" applyFill="1" applyBorder="1" applyAlignment="1">
      <alignment horizontal="center"/>
    </xf>
    <xf numFmtId="164" fontId="20" fillId="6" borderId="51" xfId="1" applyNumberFormat="1" applyFont="1" applyFill="1" applyBorder="1" applyAlignment="1">
      <alignment horizontal="center"/>
    </xf>
    <xf numFmtId="0" fontId="22" fillId="5" borderId="35" xfId="0" applyFont="1" applyFill="1" applyBorder="1" applyAlignment="1">
      <alignment horizontal="center" wrapText="1"/>
    </xf>
    <xf numFmtId="0" fontId="22" fillId="5" borderId="36" xfId="0" applyFont="1" applyFill="1" applyBorder="1" applyAlignment="1">
      <alignment horizontal="center" wrapText="1"/>
    </xf>
    <xf numFmtId="0" fontId="22" fillId="5" borderId="37" xfId="0" applyFont="1" applyFill="1" applyBorder="1" applyAlignment="1">
      <alignment horizontal="center" wrapText="1"/>
    </xf>
    <xf numFmtId="0" fontId="22" fillId="5" borderId="46" xfId="0" quotePrefix="1" applyFont="1" applyFill="1" applyBorder="1" applyAlignment="1">
      <alignment horizontal="center" wrapText="1"/>
    </xf>
    <xf numFmtId="0" fontId="22" fillId="5" borderId="47" xfId="0" quotePrefix="1" applyFont="1" applyFill="1" applyBorder="1" applyAlignment="1">
      <alignment horizontal="center" wrapText="1"/>
    </xf>
    <xf numFmtId="0" fontId="22" fillId="5" borderId="48" xfId="0" quotePrefix="1" applyFont="1" applyFill="1" applyBorder="1" applyAlignment="1">
      <alignment horizontal="center" wrapText="1"/>
    </xf>
    <xf numFmtId="0" fontId="22" fillId="5" borderId="46" xfId="0" applyFont="1" applyFill="1" applyBorder="1" applyAlignment="1">
      <alignment horizontal="center"/>
    </xf>
    <xf numFmtId="0" fontId="22" fillId="5" borderId="47" xfId="0" applyFont="1" applyFill="1" applyBorder="1" applyAlignment="1">
      <alignment horizontal="center"/>
    </xf>
    <xf numFmtId="0" fontId="22" fillId="5" borderId="48" xfId="0" applyFont="1" applyFill="1" applyBorder="1" applyAlignment="1">
      <alignment horizontal="center"/>
    </xf>
    <xf numFmtId="0" fontId="22" fillId="5" borderId="35" xfId="0" applyFont="1" applyFill="1" applyBorder="1" applyAlignment="1">
      <alignment horizontal="center"/>
    </xf>
    <xf numFmtId="0" fontId="22" fillId="5" borderId="36" xfId="0" applyFont="1" applyFill="1" applyBorder="1" applyAlignment="1">
      <alignment horizontal="center"/>
    </xf>
    <xf numFmtId="0" fontId="22" fillId="5" borderId="37" xfId="0" applyFont="1" applyFill="1" applyBorder="1" applyAlignment="1">
      <alignment horizontal="center"/>
    </xf>
    <xf numFmtId="0" fontId="14" fillId="9" borderId="50" xfId="0" applyFont="1" applyFill="1" applyBorder="1" applyAlignment="1">
      <alignment horizontal="center" wrapText="1"/>
    </xf>
    <xf numFmtId="0" fontId="30" fillId="5" borderId="32" xfId="0" applyFont="1" applyFill="1" applyBorder="1" applyAlignment="1">
      <alignment horizontal="center" vertical="center"/>
    </xf>
    <xf numFmtId="0" fontId="30" fillId="5" borderId="33" xfId="0" applyFont="1" applyFill="1" applyBorder="1" applyAlignment="1">
      <alignment horizontal="center" vertical="center"/>
    </xf>
    <xf numFmtId="0" fontId="30" fillId="5" borderId="34" xfId="0" applyFont="1" applyFill="1" applyBorder="1" applyAlignment="1">
      <alignment horizontal="center" vertical="center"/>
    </xf>
    <xf numFmtId="0" fontId="30" fillId="5" borderId="35" xfId="0" applyFont="1" applyFill="1" applyBorder="1" applyAlignment="1">
      <alignment horizontal="center"/>
    </xf>
    <xf numFmtId="0" fontId="30" fillId="5" borderId="36" xfId="0" applyFont="1" applyFill="1" applyBorder="1" applyAlignment="1">
      <alignment horizontal="center"/>
    </xf>
    <xf numFmtId="0" fontId="30" fillId="5" borderId="37" xfId="0" applyFont="1" applyFill="1" applyBorder="1" applyAlignment="1">
      <alignment horizontal="center"/>
    </xf>
    <xf numFmtId="0" fontId="30" fillId="5" borderId="46" xfId="0" applyFont="1" applyFill="1" applyBorder="1" applyAlignment="1">
      <alignment horizontal="center"/>
    </xf>
    <xf numFmtId="0" fontId="30" fillId="5" borderId="47" xfId="0" applyFont="1" applyFill="1" applyBorder="1" applyAlignment="1">
      <alignment horizontal="center"/>
    </xf>
    <xf numFmtId="0" fontId="30" fillId="5" borderId="48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30" fillId="5" borderId="32" xfId="0" quotePrefix="1" applyFont="1" applyFill="1" applyBorder="1" applyAlignment="1">
      <alignment horizontal="center"/>
    </xf>
    <xf numFmtId="0" fontId="22" fillId="5" borderId="32" xfId="0" applyFont="1" applyFill="1" applyBorder="1" applyAlignment="1">
      <alignment horizontal="center" vertical="center"/>
    </xf>
    <xf numFmtId="0" fontId="22" fillId="5" borderId="33" xfId="0" applyFont="1" applyFill="1" applyBorder="1" applyAlignment="1">
      <alignment horizontal="center" vertical="center"/>
    </xf>
    <xf numFmtId="0" fontId="22" fillId="5" borderId="34" xfId="0" applyFont="1" applyFill="1" applyBorder="1" applyAlignment="1">
      <alignment horizontal="center" vertical="center"/>
    </xf>
    <xf numFmtId="0" fontId="28" fillId="5" borderId="32" xfId="0" applyFont="1" applyFill="1" applyBorder="1" applyAlignment="1">
      <alignment horizontal="center" vertical="center"/>
    </xf>
    <xf numFmtId="0" fontId="28" fillId="5" borderId="33" xfId="0" applyFont="1" applyFill="1" applyBorder="1" applyAlignment="1">
      <alignment horizontal="center" vertical="center"/>
    </xf>
    <xf numFmtId="0" fontId="28" fillId="5" borderId="34" xfId="0" applyFont="1" applyFill="1" applyBorder="1" applyAlignment="1">
      <alignment horizontal="center" vertical="center"/>
    </xf>
    <xf numFmtId="0" fontId="27" fillId="5" borderId="35" xfId="0" applyFont="1" applyFill="1" applyBorder="1" applyAlignment="1">
      <alignment horizontal="center"/>
    </xf>
    <xf numFmtId="0" fontId="27" fillId="5" borderId="36" xfId="0" applyFont="1" applyFill="1" applyBorder="1" applyAlignment="1">
      <alignment horizontal="center"/>
    </xf>
    <xf numFmtId="0" fontId="27" fillId="5" borderId="37" xfId="0" applyFont="1" applyFill="1" applyBorder="1" applyAlignment="1">
      <alignment horizontal="center"/>
    </xf>
    <xf numFmtId="0" fontId="27" fillId="5" borderId="46" xfId="0" applyFont="1" applyFill="1" applyBorder="1" applyAlignment="1">
      <alignment horizontal="center"/>
    </xf>
    <xf numFmtId="0" fontId="27" fillId="5" borderId="47" xfId="0" applyFont="1" applyFill="1" applyBorder="1" applyAlignment="1">
      <alignment horizontal="center"/>
    </xf>
    <xf numFmtId="0" fontId="27" fillId="5" borderId="48" xfId="0" applyFont="1" applyFill="1" applyBorder="1" applyAlignment="1">
      <alignment horizontal="center"/>
    </xf>
    <xf numFmtId="0" fontId="12" fillId="5" borderId="32" xfId="0" applyFont="1" applyFill="1" applyBorder="1" applyAlignment="1">
      <alignment horizontal="center"/>
    </xf>
    <xf numFmtId="0" fontId="12" fillId="5" borderId="33" xfId="0" applyFont="1" applyFill="1" applyBorder="1" applyAlignment="1">
      <alignment horizontal="center"/>
    </xf>
    <xf numFmtId="0" fontId="12" fillId="5" borderId="34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2" fillId="5" borderId="32" xfId="0" quotePrefix="1" applyFont="1" applyFill="1" applyBorder="1" applyAlignment="1">
      <alignment horizontal="center"/>
    </xf>
    <xf numFmtId="0" fontId="44" fillId="5" borderId="35" xfId="0" applyFont="1" applyFill="1" applyBorder="1" applyAlignment="1">
      <alignment horizontal="center"/>
    </xf>
    <xf numFmtId="0" fontId="44" fillId="5" borderId="36" xfId="0" applyFont="1" applyFill="1" applyBorder="1" applyAlignment="1">
      <alignment horizontal="center"/>
    </xf>
    <xf numFmtId="0" fontId="44" fillId="5" borderId="37" xfId="0" applyFont="1" applyFill="1" applyBorder="1" applyAlignment="1">
      <alignment horizontal="center"/>
    </xf>
    <xf numFmtId="0" fontId="44" fillId="5" borderId="46" xfId="0" applyFont="1" applyFill="1" applyBorder="1" applyAlignment="1">
      <alignment horizontal="center"/>
    </xf>
    <xf numFmtId="0" fontId="44" fillId="5" borderId="47" xfId="0" applyFont="1" applyFill="1" applyBorder="1" applyAlignment="1">
      <alignment horizontal="center"/>
    </xf>
    <xf numFmtId="0" fontId="44" fillId="5" borderId="48" xfId="0" applyFont="1" applyFill="1" applyBorder="1" applyAlignment="1">
      <alignment horizontal="center"/>
    </xf>
    <xf numFmtId="0" fontId="12" fillId="5" borderId="32" xfId="0" applyFont="1" applyFill="1" applyBorder="1" applyAlignment="1">
      <alignment horizontal="center" vertical="center"/>
    </xf>
    <xf numFmtId="0" fontId="12" fillId="5" borderId="33" xfId="0" applyFont="1" applyFill="1" applyBorder="1" applyAlignment="1">
      <alignment horizontal="center" vertical="center"/>
    </xf>
    <xf numFmtId="0" fontId="12" fillId="5" borderId="34" xfId="0" applyFont="1" applyFill="1" applyBorder="1" applyAlignment="1">
      <alignment horizontal="center" vertical="center"/>
    </xf>
    <xf numFmtId="0" fontId="12" fillId="5" borderId="32" xfId="0" quotePrefix="1" applyFont="1" applyFill="1" applyBorder="1" applyAlignment="1">
      <alignment horizontal="center" vertical="center"/>
    </xf>
    <xf numFmtId="0" fontId="0" fillId="0" borderId="69" xfId="0" applyBorder="1" applyAlignment="1">
      <alignment horizontal="center"/>
    </xf>
    <xf numFmtId="0" fontId="22" fillId="5" borderId="0" xfId="0" applyFont="1" applyFill="1" applyBorder="1" applyAlignment="1" applyProtection="1">
      <alignment horizontal="center"/>
      <protection hidden="1"/>
    </xf>
    <xf numFmtId="0" fontId="15" fillId="5" borderId="0" xfId="0" applyFont="1" applyFill="1" applyBorder="1" applyAlignment="1" applyProtection="1">
      <alignment horizontal="center"/>
      <protection hidden="1"/>
    </xf>
    <xf numFmtId="0" fontId="16" fillId="5" borderId="0" xfId="0" applyFont="1" applyFill="1" applyBorder="1" applyAlignment="1" applyProtection="1">
      <alignment horizontal="center"/>
      <protection hidden="1"/>
    </xf>
    <xf numFmtId="0" fontId="17" fillId="5" borderId="0" xfId="0" applyFont="1" applyFill="1" applyBorder="1" applyAlignment="1" applyProtection="1">
      <alignment horizontal="center"/>
      <protection hidden="1"/>
    </xf>
    <xf numFmtId="165" fontId="40" fillId="5" borderId="0" xfId="0" applyNumberFormat="1" applyFont="1" applyFill="1" applyBorder="1" applyAlignment="1" applyProtection="1">
      <alignment horizontal="center"/>
      <protection hidden="1"/>
    </xf>
    <xf numFmtId="0" fontId="22" fillId="5" borderId="0" xfId="0" applyFont="1" applyFill="1" applyBorder="1" applyAlignment="1" applyProtection="1">
      <alignment horizontal="center" vertical="center"/>
      <protection hidden="1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37</xdr:row>
      <xdr:rowOff>0</xdr:rowOff>
    </xdr:from>
    <xdr:to>
      <xdr:col>10</xdr:col>
      <xdr:colOff>9525</xdr:colOff>
      <xdr:row>46</xdr:row>
      <xdr:rowOff>19050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591175"/>
          <a:ext cx="4629150" cy="1819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50</xdr:row>
          <xdr:rowOff>9525</xdr:rowOff>
        </xdr:from>
        <xdr:to>
          <xdr:col>5</xdr:col>
          <xdr:colOff>257175</xdr:colOff>
          <xdr:row>51</xdr:row>
          <xdr:rowOff>19050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51</xdr:row>
          <xdr:rowOff>9525</xdr:rowOff>
        </xdr:from>
        <xdr:to>
          <xdr:col>5</xdr:col>
          <xdr:colOff>257175</xdr:colOff>
          <xdr:row>52</xdr:row>
          <xdr:rowOff>19050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52</xdr:row>
          <xdr:rowOff>9525</xdr:rowOff>
        </xdr:from>
        <xdr:to>
          <xdr:col>5</xdr:col>
          <xdr:colOff>257175</xdr:colOff>
          <xdr:row>53</xdr:row>
          <xdr:rowOff>19050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37</xdr:row>
      <xdr:rowOff>0</xdr:rowOff>
    </xdr:from>
    <xdr:to>
      <xdr:col>10</xdr:col>
      <xdr:colOff>9525</xdr:colOff>
      <xdr:row>46</xdr:row>
      <xdr:rowOff>19050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591175"/>
          <a:ext cx="4629150" cy="1819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50</xdr:row>
          <xdr:rowOff>9525</xdr:rowOff>
        </xdr:from>
        <xdr:to>
          <xdr:col>5</xdr:col>
          <xdr:colOff>257175</xdr:colOff>
          <xdr:row>51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51</xdr:row>
          <xdr:rowOff>9525</xdr:rowOff>
        </xdr:from>
        <xdr:to>
          <xdr:col>5</xdr:col>
          <xdr:colOff>257175</xdr:colOff>
          <xdr:row>52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52</xdr:row>
          <xdr:rowOff>9525</xdr:rowOff>
        </xdr:from>
        <xdr:to>
          <xdr:col>5</xdr:col>
          <xdr:colOff>257175</xdr:colOff>
          <xdr:row>53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ltenbenefitsgroup.com/Users/skip/Documents/CheltenBenefits/Maddin/Maddin%20Summary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ltenbenefitsgroup.com/Users/skip/Documents/CheltenBenefits/Bone-and-Joint/BoneJoint-InsuredHRA-SummaryDraftV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ltenbenefitsgroup.com/Users/skip/Documents/CheltenBenefits/Skidmore%20Studios/2012/Skidmore-Studios-Ins-HRA-Summary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Rates"/>
      <sheetName val="Census"/>
      <sheetName val="Rates"/>
      <sheetName val="Sheet1"/>
      <sheetName val="MaddinV2"/>
      <sheetName val="MAXop1"/>
      <sheetName val="Maxop2"/>
      <sheetName val="Maxop3"/>
      <sheetName val="Maxop4"/>
      <sheetName val="Maxop5"/>
      <sheetName val="Sheet2"/>
      <sheetName val="Sheet3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Rates"/>
      <sheetName val="Census"/>
      <sheetName val="Grp1plan"/>
      <sheetName val="Grp2plan"/>
      <sheetName val="Grp3plan"/>
      <sheetName val="Grp4plan"/>
      <sheetName val="Rates"/>
      <sheetName val="Sheet1"/>
      <sheetName val="BAAG1"/>
      <sheetName val="BAAG2"/>
      <sheetName val="BAAG3"/>
      <sheetName val="BAAG4"/>
      <sheetName val="BAAG5"/>
      <sheetName val="MAXop1"/>
      <sheetName val="Maxop2"/>
      <sheetName val="Maxop3"/>
      <sheetName val="Maxop4"/>
      <sheetName val="Maxop5"/>
      <sheetName val="BAAG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HRA-Request"/>
      <sheetName val="InsuredHRA-Summary"/>
      <sheetName val="BAAG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A1:J79"/>
  <sheetViews>
    <sheetView tabSelected="1" workbookViewId="0">
      <selection activeCell="E15" sqref="E15:G15"/>
    </sheetView>
  </sheetViews>
  <sheetFormatPr defaultRowHeight="15" x14ac:dyDescent="0.25"/>
  <cols>
    <col min="1" max="1" width="21.42578125" style="1" bestFit="1" customWidth="1"/>
    <col min="2" max="2" width="11.28515625" style="1" bestFit="1" customWidth="1"/>
    <col min="3" max="3" width="10.42578125" style="1" customWidth="1"/>
    <col min="4" max="4" width="11.42578125" style="1" customWidth="1"/>
    <col min="5" max="5" width="11.28515625" style="1" bestFit="1" customWidth="1"/>
    <col min="6" max="6" width="10.28515625" style="1" customWidth="1"/>
    <col min="7" max="7" width="11.42578125" style="1" customWidth="1"/>
    <col min="8" max="8" width="13.28515625" style="1" customWidth="1"/>
    <col min="9" max="9" width="11.42578125" style="1" customWidth="1"/>
    <col min="10" max="10" width="11.5703125" style="1" customWidth="1"/>
    <col min="11" max="16384" width="9.140625" style="1"/>
  </cols>
  <sheetData>
    <row r="1" spans="1:10" ht="15.75" thickBot="1" x14ac:dyDescent="0.3"/>
    <row r="2" spans="1:10" ht="27" thickTop="1" thickBot="1" x14ac:dyDescent="0.3">
      <c r="A2" s="597" t="s">
        <v>125</v>
      </c>
      <c r="B2" s="598"/>
      <c r="C2" s="598"/>
      <c r="D2" s="598"/>
      <c r="E2" s="598"/>
      <c r="F2" s="598"/>
      <c r="G2" s="598"/>
      <c r="H2" s="598"/>
      <c r="I2" s="598"/>
      <c r="J2" s="598"/>
    </row>
    <row r="3" spans="1:10" ht="15.75" customHeight="1" thickTop="1" thickBot="1" x14ac:dyDescent="0.3">
      <c r="A3" s="2" t="s">
        <v>0</v>
      </c>
      <c r="B3" s="599"/>
      <c r="C3" s="599"/>
      <c r="D3" s="599"/>
      <c r="E3" s="599"/>
      <c r="F3" s="599"/>
      <c r="G3" s="600"/>
      <c r="H3" s="3" t="s">
        <v>1</v>
      </c>
      <c r="I3" s="599"/>
      <c r="J3" s="601"/>
    </row>
    <row r="4" spans="1:10" ht="15.75" customHeight="1" thickBot="1" x14ac:dyDescent="0.3">
      <c r="A4" s="5" t="s">
        <v>2</v>
      </c>
      <c r="B4" s="602"/>
      <c r="C4" s="602"/>
      <c r="D4" s="602"/>
      <c r="E4" s="602"/>
      <c r="F4" s="602"/>
      <c r="G4" s="602"/>
      <c r="H4" s="602"/>
      <c r="I4" s="602"/>
      <c r="J4" s="603"/>
    </row>
    <row r="5" spans="1:10" ht="15" customHeight="1" thickBot="1" x14ac:dyDescent="0.3">
      <c r="A5" s="5" t="s">
        <v>3</v>
      </c>
      <c r="B5" s="576"/>
      <c r="C5" s="576"/>
      <c r="D5" s="576"/>
      <c r="E5" s="610"/>
      <c r="F5" s="6" t="s">
        <v>4</v>
      </c>
      <c r="G5" s="14"/>
      <c r="H5" s="7" t="s">
        <v>5</v>
      </c>
      <c r="I5" s="608"/>
      <c r="J5" s="609"/>
    </row>
    <row r="6" spans="1:10" ht="18" customHeight="1" thickBot="1" x14ac:dyDescent="0.3">
      <c r="A6" s="5" t="s">
        <v>6</v>
      </c>
      <c r="B6" s="576"/>
      <c r="C6" s="576"/>
      <c r="D6" s="576"/>
      <c r="E6" s="576"/>
      <c r="F6" s="651"/>
      <c r="G6" s="652"/>
      <c r="H6" s="16" t="s">
        <v>7</v>
      </c>
      <c r="I6" s="606"/>
      <c r="J6" s="607"/>
    </row>
    <row r="7" spans="1:10" ht="15" customHeight="1" thickBot="1" x14ac:dyDescent="0.3">
      <c r="A7" s="568" t="s">
        <v>8</v>
      </c>
      <c r="B7" s="656"/>
      <c r="C7" s="656"/>
      <c r="D7" s="656"/>
      <c r="E7" s="656"/>
      <c r="F7" s="656"/>
      <c r="G7" s="657"/>
      <c r="H7" s="16" t="s">
        <v>1</v>
      </c>
      <c r="I7" s="604"/>
      <c r="J7" s="605"/>
    </row>
    <row r="8" spans="1:10" ht="15" customHeight="1" thickBot="1" x14ac:dyDescent="0.3">
      <c r="A8" s="15" t="s">
        <v>93</v>
      </c>
      <c r="B8" s="611"/>
      <c r="C8" s="611"/>
      <c r="D8" s="611"/>
      <c r="E8" s="292" t="s">
        <v>91</v>
      </c>
      <c r="F8" s="612"/>
      <c r="G8" s="612"/>
      <c r="H8" s="555" t="s">
        <v>92</v>
      </c>
      <c r="I8" s="612"/>
      <c r="J8" s="613"/>
    </row>
    <row r="9" spans="1:10" ht="15.75" hidden="1" customHeight="1" thickBot="1" x14ac:dyDescent="0.3">
      <c r="A9" s="12"/>
      <c r="B9" s="13"/>
      <c r="C9" s="13"/>
      <c r="D9" s="13"/>
      <c r="E9" s="13"/>
      <c r="F9" s="13"/>
      <c r="G9" s="13"/>
      <c r="H9" s="13"/>
      <c r="I9" s="13"/>
      <c r="J9" s="13"/>
    </row>
    <row r="10" spans="1:10" ht="18.75" customHeight="1" thickTop="1" thickBot="1" x14ac:dyDescent="0.3">
      <c r="A10" s="261" t="s">
        <v>73</v>
      </c>
      <c r="B10" s="643" t="s">
        <v>26</v>
      </c>
      <c r="C10" s="643"/>
      <c r="D10" s="644"/>
      <c r="E10" s="628" t="s">
        <v>27</v>
      </c>
      <c r="F10" s="629"/>
      <c r="G10" s="645"/>
      <c r="H10" s="628" t="s">
        <v>83</v>
      </c>
      <c r="I10" s="629"/>
      <c r="J10" s="645"/>
    </row>
    <row r="11" spans="1:10" ht="16.5" customHeight="1" thickTop="1" thickBot="1" x14ac:dyDescent="0.3">
      <c r="A11" s="8" t="s">
        <v>11</v>
      </c>
      <c r="B11" s="658"/>
      <c r="C11" s="659"/>
      <c r="D11" s="660"/>
      <c r="E11" s="647"/>
      <c r="F11" s="602"/>
      <c r="G11" s="609"/>
      <c r="H11" s="647"/>
      <c r="I11" s="602"/>
      <c r="J11" s="609"/>
    </row>
    <row r="12" spans="1:10" ht="15.75" customHeight="1" thickBot="1" x14ac:dyDescent="0.3">
      <c r="A12" s="8" t="s">
        <v>12</v>
      </c>
      <c r="B12" s="633"/>
      <c r="C12" s="634"/>
      <c r="D12" s="635"/>
      <c r="E12" s="620"/>
      <c r="F12" s="621"/>
      <c r="G12" s="622"/>
      <c r="H12" s="620"/>
      <c r="I12" s="621"/>
      <c r="J12" s="622"/>
    </row>
    <row r="13" spans="1:10" ht="15.75" customHeight="1" thickBot="1" x14ac:dyDescent="0.3">
      <c r="A13" s="8" t="s">
        <v>59</v>
      </c>
      <c r="B13" s="673">
        <v>0</v>
      </c>
      <c r="C13" s="674"/>
      <c r="D13" s="675"/>
      <c r="E13" s="676">
        <v>0</v>
      </c>
      <c r="F13" s="677"/>
      <c r="G13" s="678"/>
      <c r="H13" s="676">
        <v>0</v>
      </c>
      <c r="I13" s="677"/>
      <c r="J13" s="678"/>
    </row>
    <row r="14" spans="1:10" ht="15.75" customHeight="1" thickBot="1" x14ac:dyDescent="0.3">
      <c r="A14" s="8" t="s">
        <v>56</v>
      </c>
      <c r="B14" s="633"/>
      <c r="C14" s="634"/>
      <c r="D14" s="635"/>
      <c r="E14" s="620"/>
      <c r="F14" s="621"/>
      <c r="G14" s="622"/>
      <c r="H14" s="620"/>
      <c r="I14" s="621"/>
      <c r="J14" s="622"/>
    </row>
    <row r="15" spans="1:10" ht="15.75" customHeight="1" thickBot="1" x14ac:dyDescent="0.3">
      <c r="A15" s="8" t="s">
        <v>57</v>
      </c>
      <c r="B15" s="591"/>
      <c r="C15" s="618"/>
      <c r="D15" s="619"/>
      <c r="E15" s="648"/>
      <c r="F15" s="649"/>
      <c r="G15" s="650"/>
      <c r="H15" s="648"/>
      <c r="I15" s="649"/>
      <c r="J15" s="650"/>
    </row>
    <row r="16" spans="1:10" ht="15.75" customHeight="1" thickBot="1" x14ac:dyDescent="0.3">
      <c r="A16" s="8" t="s">
        <v>81</v>
      </c>
      <c r="B16" s="620"/>
      <c r="C16" s="621"/>
      <c r="D16" s="622"/>
      <c r="E16" s="620"/>
      <c r="F16" s="621"/>
      <c r="G16" s="622"/>
      <c r="H16" s="620"/>
      <c r="I16" s="621"/>
      <c r="J16" s="622"/>
    </row>
    <row r="17" spans="1:10" ht="15.75" customHeight="1" thickBot="1" x14ac:dyDescent="0.3">
      <c r="A17" s="8" t="s">
        <v>82</v>
      </c>
      <c r="B17" s="620"/>
      <c r="C17" s="621"/>
      <c r="D17" s="622"/>
      <c r="E17" s="620"/>
      <c r="F17" s="621"/>
      <c r="G17" s="622"/>
      <c r="H17" s="620"/>
      <c r="I17" s="621"/>
      <c r="J17" s="622"/>
    </row>
    <row r="18" spans="1:10" ht="15.75" customHeight="1" thickBot="1" x14ac:dyDescent="0.3">
      <c r="A18" s="8" t="s">
        <v>80</v>
      </c>
      <c r="B18" s="620"/>
      <c r="C18" s="621"/>
      <c r="D18" s="622"/>
      <c r="E18" s="620"/>
      <c r="F18" s="621"/>
      <c r="G18" s="622"/>
      <c r="H18" s="620"/>
      <c r="I18" s="621"/>
      <c r="J18" s="622"/>
    </row>
    <row r="19" spans="1:10" ht="15.75" customHeight="1" thickBot="1" x14ac:dyDescent="0.3">
      <c r="A19" s="8" t="s">
        <v>13</v>
      </c>
      <c r="B19" s="639"/>
      <c r="C19" s="640"/>
      <c r="D19" s="641"/>
      <c r="E19" s="639"/>
      <c r="F19" s="640"/>
      <c r="G19" s="641"/>
      <c r="H19" s="639"/>
      <c r="I19" s="640"/>
      <c r="J19" s="641"/>
    </row>
    <row r="20" spans="1:10" ht="15.75" customHeight="1" thickBot="1" x14ac:dyDescent="0.3">
      <c r="A20" s="8" t="s">
        <v>60</v>
      </c>
      <c r="B20" s="620"/>
      <c r="C20" s="621"/>
      <c r="D20" s="622"/>
      <c r="E20" s="620"/>
      <c r="F20" s="621"/>
      <c r="G20" s="622"/>
      <c r="H20" s="620"/>
      <c r="I20" s="621"/>
      <c r="J20" s="622"/>
    </row>
    <row r="21" spans="1:10" ht="15.75" customHeight="1" thickBot="1" x14ac:dyDescent="0.3">
      <c r="A21" s="8" t="s">
        <v>61</v>
      </c>
      <c r="B21" s="620"/>
      <c r="C21" s="621"/>
      <c r="D21" s="622"/>
      <c r="E21" s="620"/>
      <c r="F21" s="621"/>
      <c r="G21" s="622"/>
      <c r="H21" s="620"/>
      <c r="I21" s="621"/>
      <c r="J21" s="622"/>
    </row>
    <row r="22" spans="1:10" ht="15.75" hidden="1" customHeight="1" thickBot="1" x14ac:dyDescent="0.3">
      <c r="A22" s="8" t="s">
        <v>14</v>
      </c>
      <c r="B22" s="620">
        <v>0</v>
      </c>
      <c r="C22" s="621"/>
      <c r="D22" s="622"/>
      <c r="E22" s="620">
        <v>0</v>
      </c>
      <c r="F22" s="621"/>
      <c r="G22" s="622"/>
      <c r="H22" s="620">
        <v>0</v>
      </c>
      <c r="I22" s="621"/>
      <c r="J22" s="622"/>
    </row>
    <row r="23" spans="1:10" ht="15.75" customHeight="1" thickBot="1" x14ac:dyDescent="0.3">
      <c r="A23" s="9" t="s">
        <v>15</v>
      </c>
      <c r="B23" s="626"/>
      <c r="C23" s="627"/>
      <c r="D23" s="646"/>
      <c r="E23" s="636"/>
      <c r="F23" s="637"/>
      <c r="G23" s="638"/>
      <c r="H23" s="636"/>
      <c r="I23" s="637"/>
      <c r="J23" s="638"/>
    </row>
    <row r="24" spans="1:10" s="291" customFormat="1" ht="15.75" customHeight="1" thickTop="1" thickBot="1" x14ac:dyDescent="0.3">
      <c r="A24" s="294"/>
      <c r="B24" s="295" t="s">
        <v>84</v>
      </c>
      <c r="C24" s="295" t="s">
        <v>85</v>
      </c>
      <c r="D24" s="296" t="s">
        <v>86</v>
      </c>
      <c r="E24" s="297" t="s">
        <v>84</v>
      </c>
      <c r="F24" s="295" t="s">
        <v>85</v>
      </c>
      <c r="G24" s="295" t="s">
        <v>86</v>
      </c>
      <c r="H24" s="295" t="s">
        <v>84</v>
      </c>
      <c r="I24" s="295" t="s">
        <v>85</v>
      </c>
      <c r="J24" s="296" t="s">
        <v>86</v>
      </c>
    </row>
    <row r="25" spans="1:10" s="291" customFormat="1" ht="15.75" customHeight="1" thickTop="1" thickBot="1" x14ac:dyDescent="0.3">
      <c r="A25" s="293" t="s">
        <v>16</v>
      </c>
      <c r="B25" s="569"/>
      <c r="C25" s="570"/>
      <c r="D25" s="570"/>
      <c r="E25" s="298"/>
      <c r="F25" s="299"/>
      <c r="G25" s="299"/>
      <c r="H25" s="298"/>
      <c r="I25" s="299"/>
      <c r="J25" s="299"/>
    </row>
    <row r="26" spans="1:10" s="291" customFormat="1" ht="15.75" customHeight="1" thickTop="1" thickBot="1" x14ac:dyDescent="0.3">
      <c r="A26" s="293" t="s">
        <v>17</v>
      </c>
      <c r="B26" s="569"/>
      <c r="C26" s="570"/>
      <c r="D26" s="570"/>
      <c r="E26" s="298"/>
      <c r="F26" s="299"/>
      <c r="G26" s="299"/>
      <c r="H26" s="298"/>
      <c r="I26" s="299"/>
      <c r="J26" s="299"/>
    </row>
    <row r="27" spans="1:10" s="291" customFormat="1" ht="15.75" customHeight="1" thickTop="1" thickBot="1" x14ac:dyDescent="0.3">
      <c r="A27" s="293" t="s">
        <v>55</v>
      </c>
      <c r="B27" s="569"/>
      <c r="C27" s="570"/>
      <c r="D27" s="570"/>
      <c r="E27" s="298"/>
      <c r="F27" s="299"/>
      <c r="G27" s="299"/>
      <c r="H27" s="298"/>
      <c r="I27" s="299"/>
      <c r="J27" s="299"/>
    </row>
    <row r="28" spans="1:10" s="291" customFormat="1" ht="15.75" customHeight="1" thickTop="1" thickBot="1" x14ac:dyDescent="0.3">
      <c r="A28" s="293" t="s">
        <v>18</v>
      </c>
      <c r="B28" s="569"/>
      <c r="C28" s="570"/>
      <c r="D28" s="570"/>
      <c r="E28" s="298"/>
      <c r="F28" s="299"/>
      <c r="G28" s="299"/>
      <c r="H28" s="298"/>
      <c r="I28" s="299"/>
      <c r="J28" s="299"/>
    </row>
    <row r="29" spans="1:10" s="291" customFormat="1" ht="15.75" hidden="1" customHeight="1" thickTop="1" x14ac:dyDescent="0.3">
      <c r="A29" s="287"/>
      <c r="B29" s="288"/>
      <c r="C29" s="288"/>
      <c r="D29" s="289"/>
      <c r="E29" s="290"/>
      <c r="F29" s="288"/>
      <c r="G29" s="288"/>
      <c r="H29" s="288"/>
      <c r="I29" s="288"/>
      <c r="J29" s="288"/>
    </row>
    <row r="30" spans="1:10" s="291" customFormat="1" ht="15.75" hidden="1" customHeight="1" x14ac:dyDescent="0.3">
      <c r="A30" s="287"/>
      <c r="B30" s="288"/>
      <c r="C30" s="288"/>
      <c r="D30" s="289"/>
      <c r="E30" s="290"/>
      <c r="F30" s="288"/>
      <c r="G30" s="288"/>
      <c r="H30" s="288"/>
      <c r="I30" s="288"/>
      <c r="J30" s="288"/>
    </row>
    <row r="31" spans="1:10" s="291" customFormat="1" ht="15.75" hidden="1" customHeight="1" x14ac:dyDescent="0.3">
      <c r="A31" s="287"/>
      <c r="B31" s="288"/>
      <c r="C31" s="288"/>
      <c r="D31" s="289"/>
      <c r="E31" s="290"/>
      <c r="F31" s="288"/>
      <c r="G31" s="288"/>
      <c r="H31" s="288"/>
      <c r="I31" s="288"/>
      <c r="J31" s="288"/>
    </row>
    <row r="32" spans="1:10" s="291" customFormat="1" ht="15.75" hidden="1" customHeight="1" x14ac:dyDescent="0.3">
      <c r="A32" s="287"/>
      <c r="B32" s="288"/>
      <c r="C32" s="288"/>
      <c r="D32" s="289"/>
      <c r="E32" s="290"/>
      <c r="F32" s="288"/>
      <c r="G32" s="288"/>
      <c r="H32" s="288"/>
      <c r="I32" s="288"/>
      <c r="J32" s="288"/>
    </row>
    <row r="33" spans="1:10" s="291" customFormat="1" ht="15.75" hidden="1" customHeight="1" x14ac:dyDescent="0.3">
      <c r="A33" s="287"/>
      <c r="B33" s="288"/>
      <c r="C33" s="288"/>
      <c r="D33" s="289"/>
      <c r="E33" s="290"/>
      <c r="F33" s="288"/>
      <c r="G33" s="288"/>
      <c r="H33" s="288"/>
      <c r="I33" s="288"/>
      <c r="J33" s="288"/>
    </row>
    <row r="34" spans="1:10" s="291" customFormat="1" ht="15.75" hidden="1" customHeight="1" x14ac:dyDescent="0.3">
      <c r="A34" s="287"/>
      <c r="B34" s="288"/>
      <c r="C34" s="288"/>
      <c r="D34" s="289"/>
      <c r="E34" s="290"/>
      <c r="F34" s="288"/>
      <c r="G34" s="288"/>
      <c r="H34" s="288"/>
      <c r="I34" s="288"/>
      <c r="J34" s="288"/>
    </row>
    <row r="35" spans="1:10" s="291" customFormat="1" ht="15.75" hidden="1" customHeight="1" x14ac:dyDescent="0.3">
      <c r="A35" s="287"/>
      <c r="B35" s="288"/>
      <c r="C35" s="288"/>
      <c r="D35" s="289"/>
      <c r="E35" s="290"/>
      <c r="F35" s="288"/>
      <c r="G35" s="288"/>
      <c r="H35" s="288"/>
      <c r="I35" s="288"/>
      <c r="J35" s="288"/>
    </row>
    <row r="36" spans="1:10" s="291" customFormat="1" ht="15.75" hidden="1" customHeight="1" thickBot="1" x14ac:dyDescent="0.3">
      <c r="A36" s="287"/>
      <c r="B36" s="288"/>
      <c r="C36" s="288"/>
      <c r="D36" s="289"/>
      <c r="E36" s="290"/>
      <c r="F36" s="288"/>
      <c r="G36" s="288"/>
      <c r="H36" s="288"/>
      <c r="I36" s="288"/>
      <c r="J36" s="288"/>
    </row>
    <row r="37" spans="1:10" s="291" customFormat="1" ht="15.75" customHeight="1" thickTop="1" thickBot="1" x14ac:dyDescent="0.3">
      <c r="A37" s="287"/>
      <c r="B37" s="288"/>
      <c r="C37" s="288"/>
      <c r="D37" s="289"/>
      <c r="E37" s="557" t="s">
        <v>89</v>
      </c>
      <c r="F37" s="558"/>
      <c r="G37" s="558"/>
      <c r="H37" s="558"/>
      <c r="I37" s="558"/>
      <c r="J37" s="559"/>
    </row>
    <row r="38" spans="1:10" s="291" customFormat="1" ht="15.75" customHeight="1" thickTop="1" thickBot="1" x14ac:dyDescent="0.3">
      <c r="A38" s="628" t="s">
        <v>10</v>
      </c>
      <c r="B38" s="629"/>
      <c r="C38" s="629"/>
      <c r="D38" s="629"/>
      <c r="E38" s="679"/>
      <c r="F38" s="680"/>
      <c r="G38" s="680"/>
      <c r="H38" s="680"/>
      <c r="I38" s="680"/>
      <c r="J38" s="681"/>
    </row>
    <row r="39" spans="1:10" s="291" customFormat="1" ht="15.75" customHeight="1" thickBot="1" x14ac:dyDescent="0.3">
      <c r="A39" s="258" t="s">
        <v>11</v>
      </c>
      <c r="B39" s="630"/>
      <c r="C39" s="631"/>
      <c r="D39" s="632"/>
      <c r="E39" s="682"/>
      <c r="F39" s="683"/>
      <c r="G39" s="683"/>
      <c r="H39" s="683"/>
      <c r="I39" s="683"/>
      <c r="J39" s="684"/>
    </row>
    <row r="40" spans="1:10" s="291" customFormat="1" ht="15.75" customHeight="1" thickBot="1" x14ac:dyDescent="0.3">
      <c r="A40" s="259" t="s">
        <v>12</v>
      </c>
      <c r="B40" s="633"/>
      <c r="C40" s="634"/>
      <c r="D40" s="635"/>
      <c r="E40" s="682"/>
      <c r="F40" s="683"/>
      <c r="G40" s="683"/>
      <c r="H40" s="683"/>
      <c r="I40" s="683"/>
      <c r="J40" s="684"/>
    </row>
    <row r="41" spans="1:10" s="291" customFormat="1" ht="15.75" customHeight="1" thickBot="1" x14ac:dyDescent="0.3">
      <c r="A41" s="259" t="s">
        <v>72</v>
      </c>
      <c r="B41" s="571"/>
      <c r="C41" s="572"/>
      <c r="D41" s="573" t="s">
        <v>58</v>
      </c>
      <c r="E41" s="682"/>
      <c r="F41" s="683"/>
      <c r="G41" s="683"/>
      <c r="H41" s="683"/>
      <c r="I41" s="683"/>
      <c r="J41" s="684"/>
    </row>
    <row r="42" spans="1:10" s="291" customFormat="1" ht="15.75" customHeight="1" thickBot="1" x14ac:dyDescent="0.3">
      <c r="A42" s="259" t="s">
        <v>56</v>
      </c>
      <c r="B42" s="633"/>
      <c r="C42" s="634"/>
      <c r="D42" s="635"/>
      <c r="E42" s="682"/>
      <c r="F42" s="683"/>
      <c r="G42" s="683"/>
      <c r="H42" s="683"/>
      <c r="I42" s="683"/>
      <c r="J42" s="684"/>
    </row>
    <row r="43" spans="1:10" s="291" customFormat="1" ht="15.75" customHeight="1" thickBot="1" x14ac:dyDescent="0.3">
      <c r="A43" s="259" t="s">
        <v>57</v>
      </c>
      <c r="B43" s="591"/>
      <c r="C43" s="618"/>
      <c r="D43" s="619"/>
      <c r="E43" s="682"/>
      <c r="F43" s="683"/>
      <c r="G43" s="683"/>
      <c r="H43" s="683"/>
      <c r="I43" s="683"/>
      <c r="J43" s="684"/>
    </row>
    <row r="44" spans="1:10" s="291" customFormat="1" ht="15.75" customHeight="1" thickBot="1" x14ac:dyDescent="0.3">
      <c r="A44" s="259" t="s">
        <v>81</v>
      </c>
      <c r="B44" s="620"/>
      <c r="C44" s="621"/>
      <c r="D44" s="622"/>
      <c r="E44" s="682"/>
      <c r="F44" s="683"/>
      <c r="G44" s="683"/>
      <c r="H44" s="683"/>
      <c r="I44" s="683"/>
      <c r="J44" s="684"/>
    </row>
    <row r="45" spans="1:10" s="291" customFormat="1" ht="15.75" customHeight="1" thickBot="1" x14ac:dyDescent="0.3">
      <c r="A45" s="259" t="s">
        <v>82</v>
      </c>
      <c r="B45" s="620"/>
      <c r="C45" s="621"/>
      <c r="D45" s="622"/>
      <c r="E45" s="682"/>
      <c r="F45" s="683"/>
      <c r="G45" s="683"/>
      <c r="H45" s="683"/>
      <c r="I45" s="683"/>
      <c r="J45" s="684"/>
    </row>
    <row r="46" spans="1:10" s="291" customFormat="1" ht="15.75" customHeight="1" thickBot="1" x14ac:dyDescent="0.3">
      <c r="A46" s="259" t="s">
        <v>80</v>
      </c>
      <c r="B46" s="620"/>
      <c r="C46" s="621"/>
      <c r="D46" s="622"/>
      <c r="E46" s="685"/>
      <c r="F46" s="686"/>
      <c r="G46" s="686"/>
      <c r="H46" s="686"/>
      <c r="I46" s="686"/>
      <c r="J46" s="687"/>
    </row>
    <row r="47" spans="1:10" s="291" customFormat="1" ht="15.75" customHeight="1" thickTop="1" thickBot="1" x14ac:dyDescent="0.3">
      <c r="A47" s="259" t="s">
        <v>13</v>
      </c>
      <c r="B47" s="639"/>
      <c r="C47" s="640"/>
      <c r="D47" s="641"/>
      <c r="E47" s="688" t="s">
        <v>97</v>
      </c>
      <c r="F47" s="689"/>
      <c r="G47" s="689"/>
      <c r="H47" s="689"/>
      <c r="I47" s="689"/>
      <c r="J47" s="690"/>
    </row>
    <row r="48" spans="1:10" s="291" customFormat="1" ht="15.75" customHeight="1" thickTop="1" thickBot="1" x14ac:dyDescent="0.3">
      <c r="A48" s="259" t="s">
        <v>71</v>
      </c>
      <c r="B48" s="620"/>
      <c r="C48" s="621"/>
      <c r="D48" s="621"/>
      <c r="E48" s="691" t="s">
        <v>98</v>
      </c>
      <c r="F48" s="692"/>
      <c r="G48" s="692"/>
      <c r="H48" s="692"/>
      <c r="I48" s="692"/>
      <c r="J48" s="693"/>
    </row>
    <row r="49" spans="1:10" s="291" customFormat="1" ht="15.75" customHeight="1" thickTop="1" thickBot="1" x14ac:dyDescent="0.3">
      <c r="A49" s="259" t="s">
        <v>61</v>
      </c>
      <c r="B49" s="620"/>
      <c r="C49" s="621"/>
      <c r="D49" s="621"/>
      <c r="E49" s="694" t="s">
        <v>101</v>
      </c>
      <c r="F49" s="695"/>
      <c r="G49" s="695"/>
      <c r="H49" s="695"/>
      <c r="I49" s="695"/>
      <c r="J49" s="696"/>
    </row>
    <row r="50" spans="1:10" s="291" customFormat="1" ht="15.75" hidden="1" customHeight="1" thickBot="1" x14ac:dyDescent="0.3">
      <c r="A50" s="259" t="s">
        <v>70</v>
      </c>
      <c r="B50" s="620">
        <v>0</v>
      </c>
      <c r="C50" s="621"/>
      <c r="D50" s="621"/>
      <c r="E50" s="566"/>
      <c r="F50" s="661" t="s">
        <v>96</v>
      </c>
      <c r="G50" s="662"/>
      <c r="H50" s="662"/>
      <c r="I50" s="662"/>
      <c r="J50" s="663"/>
    </row>
    <row r="51" spans="1:10" s="291" customFormat="1" ht="15.75" customHeight="1" thickTop="1" thickBot="1" x14ac:dyDescent="0.3">
      <c r="A51" s="260" t="s">
        <v>15</v>
      </c>
      <c r="B51" s="626"/>
      <c r="C51" s="627"/>
      <c r="D51" s="627"/>
      <c r="E51" s="566"/>
      <c r="F51" s="661" t="s">
        <v>99</v>
      </c>
      <c r="G51" s="662"/>
      <c r="H51" s="662"/>
      <c r="I51" s="662"/>
      <c r="J51" s="663"/>
    </row>
    <row r="52" spans="1:10" s="291" customFormat="1" ht="15.75" customHeight="1" thickTop="1" thickBot="1" x14ac:dyDescent="0.3">
      <c r="A52" s="567"/>
      <c r="B52" s="295" t="s">
        <v>77</v>
      </c>
      <c r="C52" s="625" t="s">
        <v>88</v>
      </c>
      <c r="D52" s="625"/>
      <c r="E52" s="566"/>
      <c r="F52" s="661" t="s">
        <v>100</v>
      </c>
      <c r="G52" s="662"/>
      <c r="H52" s="662"/>
      <c r="I52" s="662"/>
      <c r="J52" s="663"/>
    </row>
    <row r="53" spans="1:10" s="291" customFormat="1" ht="15.75" customHeight="1" thickTop="1" thickBot="1" x14ac:dyDescent="0.3">
      <c r="A53" s="293" t="s">
        <v>16</v>
      </c>
      <c r="B53" s="574">
        <f>B25+E25+H25</f>
        <v>0</v>
      </c>
      <c r="C53" s="623"/>
      <c r="D53" s="624"/>
      <c r="E53" s="566"/>
      <c r="F53" s="661" t="s">
        <v>102</v>
      </c>
      <c r="G53" s="662"/>
      <c r="H53" s="662"/>
      <c r="I53" s="662"/>
      <c r="J53" s="663"/>
    </row>
    <row r="54" spans="1:10" s="291" customFormat="1" ht="15.75" customHeight="1" thickTop="1" thickBot="1" x14ac:dyDescent="0.3">
      <c r="A54" s="293" t="s">
        <v>87</v>
      </c>
      <c r="B54" s="569">
        <f>B26+E26+H26</f>
        <v>0</v>
      </c>
      <c r="C54" s="623"/>
      <c r="D54" s="624"/>
      <c r="E54" s="664"/>
      <c r="F54" s="665"/>
      <c r="G54" s="665"/>
      <c r="H54" s="665"/>
      <c r="I54" s="665"/>
      <c r="J54" s="666"/>
    </row>
    <row r="55" spans="1:10" s="291" customFormat="1" ht="15.75" customHeight="1" thickTop="1" thickBot="1" x14ac:dyDescent="0.3">
      <c r="A55" s="293" t="s">
        <v>55</v>
      </c>
      <c r="B55" s="569">
        <f>B27+E27+H27</f>
        <v>0</v>
      </c>
      <c r="C55" s="623"/>
      <c r="D55" s="624"/>
      <c r="E55" s="667"/>
      <c r="F55" s="668"/>
      <c r="G55" s="668"/>
      <c r="H55" s="668"/>
      <c r="I55" s="668"/>
      <c r="J55" s="669"/>
    </row>
    <row r="56" spans="1:10" s="291" customFormat="1" ht="15.75" customHeight="1" thickTop="1" thickBot="1" x14ac:dyDescent="0.3">
      <c r="A56" s="293" t="s">
        <v>18</v>
      </c>
      <c r="B56" s="569">
        <f>B28+E28+H28</f>
        <v>0</v>
      </c>
      <c r="C56" s="623"/>
      <c r="D56" s="624"/>
      <c r="E56" s="667"/>
      <c r="F56" s="668"/>
      <c r="G56" s="668"/>
      <c r="H56" s="668"/>
      <c r="I56" s="668"/>
      <c r="J56" s="669"/>
    </row>
    <row r="57" spans="1:10" s="291" customFormat="1" ht="15.75" hidden="1" customHeight="1" thickTop="1" x14ac:dyDescent="0.3">
      <c r="A57" s="287"/>
      <c r="B57" s="288"/>
      <c r="C57" s="288"/>
      <c r="D57" s="289"/>
      <c r="E57" s="667"/>
      <c r="F57" s="668"/>
      <c r="G57" s="668"/>
      <c r="H57" s="668"/>
      <c r="I57" s="668"/>
      <c r="J57" s="669"/>
    </row>
    <row r="58" spans="1:10" s="291" customFormat="1" ht="15.75" hidden="1" customHeight="1" x14ac:dyDescent="0.3">
      <c r="A58" s="287"/>
      <c r="B58" s="288"/>
      <c r="C58" s="288"/>
      <c r="D58" s="289"/>
      <c r="E58" s="667"/>
      <c r="F58" s="668"/>
      <c r="G58" s="668"/>
      <c r="H58" s="668"/>
      <c r="I58" s="668"/>
      <c r="J58" s="669"/>
    </row>
    <row r="59" spans="1:10" s="291" customFormat="1" ht="15.75" hidden="1" customHeight="1" x14ac:dyDescent="0.3">
      <c r="A59" s="287"/>
      <c r="B59" s="288"/>
      <c r="C59" s="288"/>
      <c r="D59" s="289"/>
      <c r="E59" s="667"/>
      <c r="F59" s="668"/>
      <c r="G59" s="668"/>
      <c r="H59" s="668"/>
      <c r="I59" s="668"/>
      <c r="J59" s="669"/>
    </row>
    <row r="60" spans="1:10" s="291" customFormat="1" ht="15.75" hidden="1" customHeight="1" x14ac:dyDescent="0.3">
      <c r="A60" s="287"/>
      <c r="B60" s="288"/>
      <c r="C60" s="288"/>
      <c r="D60" s="289"/>
      <c r="E60" s="667"/>
      <c r="F60" s="668"/>
      <c r="G60" s="668"/>
      <c r="H60" s="668"/>
      <c r="I60" s="668"/>
      <c r="J60" s="669"/>
    </row>
    <row r="61" spans="1:10" s="291" customFormat="1" ht="15.75" hidden="1" customHeight="1" x14ac:dyDescent="0.3">
      <c r="A61" s="287"/>
      <c r="B61" s="288"/>
      <c r="C61" s="288"/>
      <c r="D61" s="289"/>
      <c r="E61" s="667"/>
      <c r="F61" s="668"/>
      <c r="G61" s="668"/>
      <c r="H61" s="668"/>
      <c r="I61" s="668"/>
      <c r="J61" s="669"/>
    </row>
    <row r="62" spans="1:10" s="291" customFormat="1" ht="15.75" hidden="1" customHeight="1" x14ac:dyDescent="0.3">
      <c r="A62" s="287"/>
      <c r="B62" s="288"/>
      <c r="C62" s="288"/>
      <c r="D62" s="289"/>
      <c r="E62" s="667"/>
      <c r="F62" s="668"/>
      <c r="G62" s="668"/>
      <c r="H62" s="668"/>
      <c r="I62" s="668"/>
      <c r="J62" s="669"/>
    </row>
    <row r="63" spans="1:10" s="291" customFormat="1" ht="15.75" hidden="1" customHeight="1" thickBot="1" x14ac:dyDescent="0.3">
      <c r="A63" s="287"/>
      <c r="B63" s="288"/>
      <c r="C63" s="288"/>
      <c r="D63" s="289"/>
      <c r="E63" s="667"/>
      <c r="F63" s="668"/>
      <c r="G63" s="668"/>
      <c r="H63" s="668"/>
      <c r="I63" s="668"/>
      <c r="J63" s="669"/>
    </row>
    <row r="64" spans="1:10" ht="15.75" hidden="1" customHeight="1" thickTop="1" x14ac:dyDescent="0.3">
      <c r="A64" s="10" t="s">
        <v>9</v>
      </c>
      <c r="B64" s="11"/>
      <c r="C64" s="11"/>
      <c r="D64" s="4"/>
      <c r="E64" s="667"/>
      <c r="F64" s="668"/>
      <c r="G64" s="668"/>
      <c r="H64" s="668"/>
      <c r="I64" s="668"/>
      <c r="J64" s="669"/>
    </row>
    <row r="65" spans="1:10" ht="15" hidden="1" customHeight="1" thickBot="1" x14ac:dyDescent="0.3">
      <c r="A65" s="588"/>
      <c r="B65" s="589"/>
      <c r="C65" s="589"/>
      <c r="D65" s="590"/>
      <c r="E65" s="667"/>
      <c r="F65" s="668"/>
      <c r="G65" s="668"/>
      <c r="H65" s="668"/>
      <c r="I65" s="668"/>
      <c r="J65" s="669"/>
    </row>
    <row r="66" spans="1:10" ht="15" customHeight="1" thickTop="1" thickBot="1" x14ac:dyDescent="0.3">
      <c r="A66" s="293" t="s">
        <v>94</v>
      </c>
      <c r="B66" s="697" t="s">
        <v>95</v>
      </c>
      <c r="C66" s="698"/>
      <c r="D66" s="699"/>
      <c r="E66" s="670"/>
      <c r="F66" s="671"/>
      <c r="G66" s="671"/>
      <c r="H66" s="671"/>
      <c r="I66" s="671"/>
      <c r="J66" s="672"/>
    </row>
    <row r="67" spans="1:10" ht="16.5" customHeight="1" thickTop="1" thickBot="1" x14ac:dyDescent="0.3">
      <c r="A67" s="653" t="s">
        <v>19</v>
      </c>
      <c r="B67" s="654"/>
      <c r="C67" s="654"/>
      <c r="D67" s="654"/>
      <c r="E67" s="654"/>
      <c r="F67" s="654"/>
      <c r="G67" s="654"/>
      <c r="H67" s="654"/>
      <c r="I67" s="654"/>
      <c r="J67" s="655"/>
    </row>
    <row r="68" spans="1:10" ht="16.5" customHeight="1" thickTop="1" thickBot="1" x14ac:dyDescent="0.3">
      <c r="A68" s="300"/>
      <c r="B68" s="301"/>
      <c r="C68" s="595"/>
      <c r="D68" s="596"/>
      <c r="E68" s="614" t="s">
        <v>26</v>
      </c>
      <c r="F68" s="615"/>
      <c r="G68" s="616" t="s">
        <v>27</v>
      </c>
      <c r="H68" s="617"/>
      <c r="I68" s="642" t="s">
        <v>83</v>
      </c>
      <c r="J68" s="596"/>
    </row>
    <row r="69" spans="1:10" ht="28.5" customHeight="1" thickTop="1" thickBot="1" x14ac:dyDescent="0.3">
      <c r="A69" s="583" t="s">
        <v>20</v>
      </c>
      <c r="B69" s="584"/>
      <c r="C69" s="585"/>
      <c r="D69" s="586"/>
      <c r="E69" s="712"/>
      <c r="F69" s="713"/>
      <c r="G69" s="714"/>
      <c r="H69" s="715"/>
      <c r="I69" s="716"/>
      <c r="J69" s="717"/>
    </row>
    <row r="70" spans="1:10" ht="16.5" customHeight="1" thickTop="1" thickBot="1" x14ac:dyDescent="0.3">
      <c r="A70" s="575" t="s">
        <v>21</v>
      </c>
      <c r="B70" s="576"/>
      <c r="C70" s="577"/>
      <c r="D70" s="578"/>
      <c r="E70" s="630" t="s">
        <v>25</v>
      </c>
      <c r="F70" s="605"/>
      <c r="G70" s="608" t="s">
        <v>25</v>
      </c>
      <c r="H70" s="603"/>
      <c r="I70" s="642" t="s">
        <v>25</v>
      </c>
      <c r="J70" s="596"/>
    </row>
    <row r="71" spans="1:10" ht="16.5" thickTop="1" thickBot="1" x14ac:dyDescent="0.3">
      <c r="A71" s="575" t="s">
        <v>22</v>
      </c>
      <c r="B71" s="576"/>
      <c r="C71" s="577"/>
      <c r="D71" s="578"/>
      <c r="E71" s="700" t="s">
        <v>58</v>
      </c>
      <c r="F71" s="701"/>
      <c r="G71" s="702" t="s">
        <v>58</v>
      </c>
      <c r="H71" s="703"/>
      <c r="I71" s="704" t="s">
        <v>58</v>
      </c>
      <c r="J71" s="705"/>
    </row>
    <row r="72" spans="1:10" ht="16.5" customHeight="1" thickTop="1" thickBot="1" x14ac:dyDescent="0.3">
      <c r="A72" s="575" t="s">
        <v>23</v>
      </c>
      <c r="B72" s="576"/>
      <c r="C72" s="577"/>
      <c r="D72" s="578"/>
      <c r="E72" s="591"/>
      <c r="F72" s="592"/>
      <c r="G72" s="593"/>
      <c r="H72" s="594"/>
      <c r="I72" s="587"/>
      <c r="J72" s="587"/>
    </row>
    <row r="73" spans="1:10" ht="16.5" thickTop="1" thickBot="1" x14ac:dyDescent="0.3">
      <c r="A73" s="579" t="s">
        <v>24</v>
      </c>
      <c r="B73" s="580"/>
      <c r="C73" s="581"/>
      <c r="D73" s="582"/>
      <c r="E73" s="706"/>
      <c r="F73" s="707"/>
      <c r="G73" s="708"/>
      <c r="H73" s="709"/>
      <c r="I73" s="710"/>
      <c r="J73" s="711"/>
    </row>
    <row r="74" spans="1:10" s="552" customFormat="1" ht="15.75" thickTop="1" x14ac:dyDescent="0.25">
      <c r="A74" s="560"/>
      <c r="B74" s="560"/>
      <c r="C74" s="561"/>
      <c r="D74" s="561"/>
      <c r="E74" s="562"/>
      <c r="F74" s="562"/>
      <c r="G74" s="562"/>
      <c r="H74" s="562"/>
      <c r="I74" s="562"/>
      <c r="J74" s="562"/>
    </row>
    <row r="75" spans="1:10" s="552" customFormat="1" x14ac:dyDescent="0.25">
      <c r="A75" s="560"/>
      <c r="B75" s="560"/>
      <c r="C75" s="563"/>
      <c r="D75" s="563"/>
      <c r="E75" s="563"/>
      <c r="F75" s="563"/>
      <c r="G75" s="563"/>
      <c r="H75" s="563"/>
      <c r="I75" s="560"/>
      <c r="J75" s="560"/>
    </row>
    <row r="76" spans="1:10" s="552" customFormat="1" x14ac:dyDescent="0.25">
      <c r="A76" s="560"/>
      <c r="B76" s="560"/>
      <c r="C76" s="563"/>
      <c r="D76" s="563"/>
      <c r="E76" s="563"/>
      <c r="F76" s="563"/>
      <c r="G76" s="563"/>
      <c r="H76" s="563"/>
      <c r="I76" s="560"/>
      <c r="J76" s="560"/>
    </row>
    <row r="77" spans="1:10" s="552" customFormat="1" x14ac:dyDescent="0.25">
      <c r="A77" s="560"/>
      <c r="B77" s="560"/>
      <c r="C77" s="563"/>
      <c r="D77" s="563"/>
      <c r="E77" s="563"/>
      <c r="F77" s="563"/>
      <c r="G77" s="563"/>
      <c r="H77" s="563"/>
      <c r="I77" s="560"/>
      <c r="J77" s="560"/>
    </row>
    <row r="78" spans="1:10" s="552" customFormat="1" x14ac:dyDescent="0.25">
      <c r="A78" s="560"/>
      <c r="B78" s="560"/>
      <c r="C78" s="563"/>
      <c r="D78" s="563"/>
      <c r="E78" s="563"/>
      <c r="F78" s="563"/>
      <c r="G78" s="563"/>
      <c r="H78" s="563"/>
      <c r="I78" s="560"/>
      <c r="J78" s="560"/>
    </row>
    <row r="79" spans="1:10" x14ac:dyDescent="0.25">
      <c r="A79" s="564"/>
      <c r="B79" s="564"/>
      <c r="C79" s="564"/>
      <c r="D79" s="564"/>
      <c r="E79" s="564"/>
      <c r="F79" s="564"/>
      <c r="G79" s="564"/>
      <c r="H79" s="564"/>
      <c r="I79" s="565"/>
      <c r="J79" s="565"/>
    </row>
  </sheetData>
  <mergeCells count="109">
    <mergeCell ref="E38:J46"/>
    <mergeCell ref="E47:J47"/>
    <mergeCell ref="E48:J48"/>
    <mergeCell ref="E49:J49"/>
    <mergeCell ref="F50:J50"/>
    <mergeCell ref="B66:D66"/>
    <mergeCell ref="E71:F71"/>
    <mergeCell ref="G71:H71"/>
    <mergeCell ref="I71:J71"/>
    <mergeCell ref="E69:F69"/>
    <mergeCell ref="G69:H69"/>
    <mergeCell ref="I69:J69"/>
    <mergeCell ref="E70:F70"/>
    <mergeCell ref="G70:H70"/>
    <mergeCell ref="I70:J70"/>
    <mergeCell ref="B48:D48"/>
    <mergeCell ref="B6:G6"/>
    <mergeCell ref="A67:J67"/>
    <mergeCell ref="H12:J12"/>
    <mergeCell ref="B7:G7"/>
    <mergeCell ref="H21:J21"/>
    <mergeCell ref="H23:J23"/>
    <mergeCell ref="B11:D11"/>
    <mergeCell ref="H11:J11"/>
    <mergeCell ref="H14:J14"/>
    <mergeCell ref="H15:J15"/>
    <mergeCell ref="H16:J16"/>
    <mergeCell ref="H17:J17"/>
    <mergeCell ref="B49:D49"/>
    <mergeCell ref="B45:D45"/>
    <mergeCell ref="B12:D12"/>
    <mergeCell ref="B14:D14"/>
    <mergeCell ref="F51:J51"/>
    <mergeCell ref="F52:J52"/>
    <mergeCell ref="F53:J53"/>
    <mergeCell ref="E54:J66"/>
    <mergeCell ref="B13:D13"/>
    <mergeCell ref="E13:G13"/>
    <mergeCell ref="H13:J13"/>
    <mergeCell ref="B16:D16"/>
    <mergeCell ref="B22:D22"/>
    <mergeCell ref="B19:D19"/>
    <mergeCell ref="B10:D10"/>
    <mergeCell ref="E10:G10"/>
    <mergeCell ref="E14:G14"/>
    <mergeCell ref="H10:J10"/>
    <mergeCell ref="B20:D20"/>
    <mergeCell ref="B21:D21"/>
    <mergeCell ref="B15:D15"/>
    <mergeCell ref="E12:G12"/>
    <mergeCell ref="E11:G11"/>
    <mergeCell ref="H19:J19"/>
    <mergeCell ref="H20:J20"/>
    <mergeCell ref="E16:G16"/>
    <mergeCell ref="E15:G15"/>
    <mergeCell ref="E18:G18"/>
    <mergeCell ref="E17:G17"/>
    <mergeCell ref="B17:D17"/>
    <mergeCell ref="B43:D43"/>
    <mergeCell ref="H18:J18"/>
    <mergeCell ref="B18:D18"/>
    <mergeCell ref="B46:D46"/>
    <mergeCell ref="H22:J22"/>
    <mergeCell ref="C56:D56"/>
    <mergeCell ref="C55:D55"/>
    <mergeCell ref="C54:D54"/>
    <mergeCell ref="C53:D53"/>
    <mergeCell ref="C52:D52"/>
    <mergeCell ref="B50:D50"/>
    <mergeCell ref="B51:D51"/>
    <mergeCell ref="A38:D38"/>
    <mergeCell ref="B39:D39"/>
    <mergeCell ref="B40:D40"/>
    <mergeCell ref="B42:D42"/>
    <mergeCell ref="E23:G23"/>
    <mergeCell ref="E22:G22"/>
    <mergeCell ref="E21:G21"/>
    <mergeCell ref="E20:G20"/>
    <mergeCell ref="E19:G19"/>
    <mergeCell ref="B23:D23"/>
    <mergeCell ref="B44:D44"/>
    <mergeCell ref="B47:D47"/>
    <mergeCell ref="A2:J2"/>
    <mergeCell ref="B3:G3"/>
    <mergeCell ref="I3:J3"/>
    <mergeCell ref="B4:J4"/>
    <mergeCell ref="I7:J7"/>
    <mergeCell ref="I6:J6"/>
    <mergeCell ref="I5:J5"/>
    <mergeCell ref="B5:E5"/>
    <mergeCell ref="B8:D8"/>
    <mergeCell ref="F8:G8"/>
    <mergeCell ref="I8:J8"/>
    <mergeCell ref="A71:D71"/>
    <mergeCell ref="A72:D72"/>
    <mergeCell ref="A73:D73"/>
    <mergeCell ref="A69:D69"/>
    <mergeCell ref="A70:D70"/>
    <mergeCell ref="I72:J72"/>
    <mergeCell ref="A65:D65"/>
    <mergeCell ref="E72:F72"/>
    <mergeCell ref="G72:H72"/>
    <mergeCell ref="C68:D68"/>
    <mergeCell ref="E68:F68"/>
    <mergeCell ref="G68:H68"/>
    <mergeCell ref="I68:J68"/>
    <mergeCell ref="E73:F73"/>
    <mergeCell ref="G73:H73"/>
    <mergeCell ref="I73:J73"/>
  </mergeCells>
  <pageMargins left="0.05" right="0.05" top="0.55000000000000004" bottom="0.05" header="0.3" footer="0.3"/>
  <pageSetup scale="8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5" r:id="rId4" name="Check Box 7">
              <controlPr defaultSize="0" autoFill="0" autoLine="0" autoPict="0">
                <anchor moveWithCells="1">
                  <from>
                    <xdr:col>4</xdr:col>
                    <xdr:colOff>228600</xdr:colOff>
                    <xdr:row>50</xdr:row>
                    <xdr:rowOff>9525</xdr:rowOff>
                  </from>
                  <to>
                    <xdr:col>5</xdr:col>
                    <xdr:colOff>257175</xdr:colOff>
                    <xdr:row>51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5" name="Check Box 8">
              <controlPr defaultSize="0" autoFill="0" autoLine="0" autoPict="0">
                <anchor moveWithCells="1">
                  <from>
                    <xdr:col>4</xdr:col>
                    <xdr:colOff>228600</xdr:colOff>
                    <xdr:row>51</xdr:row>
                    <xdr:rowOff>9525</xdr:rowOff>
                  </from>
                  <to>
                    <xdr:col>5</xdr:col>
                    <xdr:colOff>257175</xdr:colOff>
                    <xdr:row>52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6" name="Check Box 9">
              <controlPr defaultSize="0" autoFill="0" autoLine="0" autoPict="0">
                <anchor moveWithCells="1">
                  <from>
                    <xdr:col>4</xdr:col>
                    <xdr:colOff>228600</xdr:colOff>
                    <xdr:row>52</xdr:row>
                    <xdr:rowOff>9525</xdr:rowOff>
                  </from>
                  <to>
                    <xdr:col>5</xdr:col>
                    <xdr:colOff>257175</xdr:colOff>
                    <xdr:row>53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B1:N67"/>
  <sheetViews>
    <sheetView topLeftCell="A29" workbookViewId="0">
      <selection activeCell="C66" sqref="C66:I66"/>
    </sheetView>
  </sheetViews>
  <sheetFormatPr defaultRowHeight="21" x14ac:dyDescent="0.35"/>
  <cols>
    <col min="1" max="1" width="1" style="93" customWidth="1"/>
    <col min="2" max="2" width="0.5703125" style="93" customWidth="1"/>
    <col min="3" max="3" width="15.42578125" style="176" customWidth="1"/>
    <col min="4" max="4" width="5" style="93" customWidth="1"/>
    <col min="5" max="5" width="21.28515625" style="93" customWidth="1"/>
    <col min="6" max="6" width="8.140625" style="93" hidden="1" customWidth="1"/>
    <col min="7" max="7" width="8.85546875" style="93" hidden="1" customWidth="1"/>
    <col min="8" max="8" width="4.5703125" style="93" customWidth="1"/>
    <col min="9" max="9" width="21.42578125" style="93" customWidth="1"/>
    <col min="10" max="10" width="4.5703125" style="93" customWidth="1"/>
    <col min="11" max="11" width="21.42578125" style="93" customWidth="1"/>
    <col min="12" max="12" width="19.28515625" style="93" customWidth="1"/>
    <col min="13" max="13" width="1" style="93" customWidth="1"/>
    <col min="14" max="16384" width="9.140625" style="93"/>
  </cols>
  <sheetData>
    <row r="1" spans="2:14" ht="24" thickTop="1" x14ac:dyDescent="0.35">
      <c r="B1" s="732" t="s">
        <v>38</v>
      </c>
      <c r="C1" s="733"/>
      <c r="D1" s="733"/>
      <c r="E1" s="733"/>
      <c r="F1" s="733"/>
      <c r="G1" s="733"/>
      <c r="H1" s="733"/>
      <c r="I1" s="733"/>
      <c r="J1" s="733"/>
      <c r="K1" s="733"/>
      <c r="L1" s="734"/>
    </row>
    <row r="2" spans="2:14" ht="21.75" customHeight="1" thickBot="1" x14ac:dyDescent="0.4">
      <c r="B2" s="735">
        <f>'InsHRA-Request'!B3:J3</f>
        <v>0</v>
      </c>
      <c r="C2" s="736"/>
      <c r="D2" s="736"/>
      <c r="E2" s="736"/>
      <c r="F2" s="736"/>
      <c r="G2" s="736"/>
      <c r="H2" s="736"/>
      <c r="I2" s="736"/>
      <c r="J2" s="736"/>
      <c r="K2" s="736"/>
      <c r="L2" s="737"/>
    </row>
    <row r="3" spans="2:14" ht="6" customHeight="1" thickTop="1" thickBot="1" x14ac:dyDescent="0.4"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2:14" ht="22.5" thickTop="1" thickBot="1" x14ac:dyDescent="0.4">
      <c r="B4" s="720" t="s">
        <v>75</v>
      </c>
      <c r="C4" s="721"/>
      <c r="D4" s="721"/>
      <c r="E4" s="721"/>
      <c r="F4" s="721"/>
      <c r="G4" s="721"/>
      <c r="H4" s="721"/>
      <c r="I4" s="721"/>
      <c r="J4" s="721"/>
      <c r="K4" s="721"/>
      <c r="L4" s="722"/>
    </row>
    <row r="5" spans="2:14" ht="21.75" thickTop="1" x14ac:dyDescent="0.35">
      <c r="B5" s="109"/>
      <c r="C5" s="110" t="s">
        <v>30</v>
      </c>
      <c r="D5" s="110" t="s">
        <v>77</v>
      </c>
      <c r="E5" s="257">
        <f>'InsHRA-Request'!B11</f>
        <v>0</v>
      </c>
      <c r="F5" s="111"/>
      <c r="G5" s="111"/>
      <c r="H5" s="262" t="s">
        <v>77</v>
      </c>
      <c r="I5" s="265">
        <f>'InsHRA-Request'!E11</f>
        <v>0</v>
      </c>
      <c r="J5" s="302" t="s">
        <v>77</v>
      </c>
      <c r="K5" s="352">
        <f>'InsHRA-Request'!H11</f>
        <v>0</v>
      </c>
      <c r="L5" s="353" t="s">
        <v>32</v>
      </c>
    </row>
    <row r="6" spans="2:14" x14ac:dyDescent="0.35">
      <c r="B6" s="112"/>
      <c r="C6" s="113" t="s">
        <v>16</v>
      </c>
      <c r="D6" s="396">
        <f>'InsHRA-Request'!B25</f>
        <v>0</v>
      </c>
      <c r="E6" s="214">
        <f>'InsHRA-Request'!C25</f>
        <v>0</v>
      </c>
      <c r="F6" s="114"/>
      <c r="G6" s="115"/>
      <c r="H6" s="226">
        <f>'InsHRA-Request'!E25</f>
        <v>0</v>
      </c>
      <c r="I6" s="227">
        <f>'InsHRA-Request'!F25</f>
        <v>0</v>
      </c>
      <c r="J6" s="332">
        <f>'InsHRA-Request'!H25</f>
        <v>0</v>
      </c>
      <c r="K6" s="354">
        <f>'InsHRA-Request'!I25</f>
        <v>0</v>
      </c>
      <c r="L6" s="355"/>
      <c r="N6" s="116"/>
    </row>
    <row r="7" spans="2:14" x14ac:dyDescent="0.35">
      <c r="B7" s="117"/>
      <c r="C7" s="118" t="s">
        <v>33</v>
      </c>
      <c r="D7" s="397">
        <f>'InsHRA-Request'!B26</f>
        <v>0</v>
      </c>
      <c r="E7" s="215">
        <f>'InsHRA-Request'!C26</f>
        <v>0</v>
      </c>
      <c r="F7" s="119"/>
      <c r="G7" s="120"/>
      <c r="H7" s="229">
        <f>'InsHRA-Request'!E26</f>
        <v>0</v>
      </c>
      <c r="I7" s="230">
        <f>'InsHRA-Request'!F26</f>
        <v>0</v>
      </c>
      <c r="J7" s="333">
        <f>'InsHRA-Request'!H26</f>
        <v>0</v>
      </c>
      <c r="K7" s="356">
        <f>'InsHRA-Request'!I26</f>
        <v>0</v>
      </c>
      <c r="L7" s="357"/>
      <c r="N7" s="116"/>
    </row>
    <row r="8" spans="2:14" hidden="1" x14ac:dyDescent="0.35">
      <c r="B8" s="117"/>
      <c r="C8" s="118" t="s">
        <v>34</v>
      </c>
      <c r="D8" s="397">
        <f>'InsHRA-Request'!B27</f>
        <v>0</v>
      </c>
      <c r="E8" s="215">
        <f>'InsHRA-Request'!C27</f>
        <v>0</v>
      </c>
      <c r="F8" s="119"/>
      <c r="G8" s="120"/>
      <c r="H8" s="229">
        <f>'InsHRA-Request'!E27</f>
        <v>0</v>
      </c>
      <c r="I8" s="230">
        <f>'InsHRA-Request'!F27</f>
        <v>0</v>
      </c>
      <c r="J8" s="333">
        <f>'InsHRA-Request'!H27</f>
        <v>0</v>
      </c>
      <c r="K8" s="356">
        <f>'InsHRA-Request'!I27</f>
        <v>0</v>
      </c>
      <c r="L8" s="357"/>
      <c r="N8" s="116"/>
    </row>
    <row r="9" spans="2:14" ht="21.75" thickBot="1" x14ac:dyDescent="0.4">
      <c r="B9" s="121"/>
      <c r="C9" s="122" t="s">
        <v>18</v>
      </c>
      <c r="D9" s="398">
        <f>'InsHRA-Request'!B28</f>
        <v>0</v>
      </c>
      <c r="E9" s="125">
        <f>'InsHRA-Request'!C28</f>
        <v>0</v>
      </c>
      <c r="F9" s="123"/>
      <c r="G9" s="124"/>
      <c r="H9" s="232">
        <f>'InsHRA-Request'!E28</f>
        <v>0</v>
      </c>
      <c r="I9" s="233">
        <f>'InsHRA-Request'!F28</f>
        <v>0</v>
      </c>
      <c r="J9" s="334">
        <f>'InsHRA-Request'!H28</f>
        <v>0</v>
      </c>
      <c r="K9" s="358">
        <f>'InsHRA-Request'!I28</f>
        <v>0</v>
      </c>
      <c r="L9" s="359"/>
      <c r="M9" s="126"/>
      <c r="N9" s="116"/>
    </row>
    <row r="10" spans="2:14" ht="21.75" thickBot="1" x14ac:dyDescent="0.4">
      <c r="B10" s="127"/>
      <c r="C10" s="128"/>
      <c r="D10" s="128">
        <f>SUM(D6:D9)</f>
        <v>0</v>
      </c>
      <c r="E10" s="216">
        <f>(D6*E6)+(D7*E7)+(D9*E9)+(D8*E8)</f>
        <v>0</v>
      </c>
      <c r="F10" s="129"/>
      <c r="G10" s="130"/>
      <c r="H10" s="234">
        <f>SUM(H6:H9)</f>
        <v>0</v>
      </c>
      <c r="I10" s="235">
        <f>(H6*I6)+(H7*I7)+(H9*I9)+(H8*I8)</f>
        <v>0</v>
      </c>
      <c r="J10" s="335">
        <f>SUM(J6:J9)</f>
        <v>0</v>
      </c>
      <c r="K10" s="360">
        <f>(J6*K6)+(J7*K7)+(J9*K9)+(J8*K8)</f>
        <v>0</v>
      </c>
      <c r="L10" s="361">
        <f>I10+E10+K10</f>
        <v>0</v>
      </c>
    </row>
    <row r="11" spans="2:14" s="136" customFormat="1" ht="6" customHeight="1" thickTop="1" thickBot="1" x14ac:dyDescent="0.4">
      <c r="B11" s="131"/>
      <c r="C11" s="131"/>
      <c r="D11" s="131"/>
      <c r="E11" s="132"/>
      <c r="F11" s="133"/>
      <c r="G11" s="134"/>
      <c r="H11" s="133"/>
      <c r="I11" s="132"/>
      <c r="J11" s="132"/>
      <c r="K11" s="132"/>
      <c r="L11" s="135"/>
    </row>
    <row r="12" spans="2:14" ht="22.5" thickTop="1" thickBot="1" x14ac:dyDescent="0.4">
      <c r="B12" s="720" t="s">
        <v>76</v>
      </c>
      <c r="C12" s="721"/>
      <c r="D12" s="721"/>
      <c r="E12" s="721"/>
      <c r="F12" s="721"/>
      <c r="G12" s="721"/>
      <c r="H12" s="721"/>
      <c r="I12" s="721"/>
      <c r="J12" s="721"/>
      <c r="K12" s="721"/>
      <c r="L12" s="722"/>
    </row>
    <row r="13" spans="2:14" ht="21.75" thickTop="1" x14ac:dyDescent="0.35">
      <c r="B13" s="241"/>
      <c r="C13" s="242" t="s">
        <v>30</v>
      </c>
      <c r="D13" s="242" t="s">
        <v>77</v>
      </c>
      <c r="E13" s="267">
        <f>E5</f>
        <v>0</v>
      </c>
      <c r="F13" s="263"/>
      <c r="G13" s="263"/>
      <c r="H13" s="264" t="s">
        <v>77</v>
      </c>
      <c r="I13" s="266">
        <f>'InsHRA-Request'!E11</f>
        <v>0</v>
      </c>
      <c r="J13" s="303" t="s">
        <v>77</v>
      </c>
      <c r="K13" s="346">
        <f>K5</f>
        <v>0</v>
      </c>
      <c r="L13" s="347" t="s">
        <v>32</v>
      </c>
    </row>
    <row r="14" spans="2:14" x14ac:dyDescent="0.35">
      <c r="B14" s="243"/>
      <c r="C14" s="244" t="s">
        <v>16</v>
      </c>
      <c r="D14" s="244">
        <f>D6</f>
        <v>0</v>
      </c>
      <c r="E14" s="237">
        <f>'InsHRA-Request'!D25</f>
        <v>0</v>
      </c>
      <c r="F14" s="114"/>
      <c r="G14" s="115"/>
      <c r="H14" s="217">
        <f>H6</f>
        <v>0</v>
      </c>
      <c r="I14" s="218">
        <f>'InsHRA-Request'!G25</f>
        <v>0</v>
      </c>
      <c r="J14" s="336">
        <f>'InsHRA-Request'!H25</f>
        <v>0</v>
      </c>
      <c r="K14" s="237">
        <f>'InsHRA-Request'!J25</f>
        <v>0</v>
      </c>
      <c r="L14" s="348"/>
      <c r="N14" s="116"/>
    </row>
    <row r="15" spans="2:14" x14ac:dyDescent="0.35">
      <c r="B15" s="245"/>
      <c r="C15" s="246" t="s">
        <v>33</v>
      </c>
      <c r="D15" s="246">
        <f>D7</f>
        <v>0</v>
      </c>
      <c r="E15" s="238">
        <f>'InsHRA-Request'!D26</f>
        <v>0</v>
      </c>
      <c r="F15" s="119"/>
      <c r="G15" s="120"/>
      <c r="H15" s="219">
        <f>H7</f>
        <v>0</v>
      </c>
      <c r="I15" s="220">
        <f>'InsHRA-Request'!G26</f>
        <v>0</v>
      </c>
      <c r="J15" s="337">
        <f>'InsHRA-Request'!H26</f>
        <v>0</v>
      </c>
      <c r="K15" s="238">
        <f>'InsHRA-Request'!J26</f>
        <v>0</v>
      </c>
      <c r="L15" s="349"/>
      <c r="N15" s="116"/>
    </row>
    <row r="16" spans="2:14" hidden="1" x14ac:dyDescent="0.35">
      <c r="B16" s="245"/>
      <c r="C16" s="246" t="s">
        <v>34</v>
      </c>
      <c r="D16" s="246">
        <f>D8</f>
        <v>0</v>
      </c>
      <c r="E16" s="238">
        <f>'InsHRA-Request'!D27</f>
        <v>0</v>
      </c>
      <c r="F16" s="119"/>
      <c r="G16" s="120"/>
      <c r="H16" s="219">
        <f>H8</f>
        <v>0</v>
      </c>
      <c r="I16" s="220">
        <f>'InsHRA-Request'!G27</f>
        <v>0</v>
      </c>
      <c r="J16" s="337">
        <f>'InsHRA-Request'!H27</f>
        <v>0</v>
      </c>
      <c r="K16" s="238">
        <f>'InsHRA-Request'!J27</f>
        <v>0</v>
      </c>
      <c r="L16" s="349"/>
      <c r="N16" s="116"/>
    </row>
    <row r="17" spans="2:14" ht="21.75" thickBot="1" x14ac:dyDescent="0.4">
      <c r="B17" s="247"/>
      <c r="C17" s="248" t="s">
        <v>18</v>
      </c>
      <c r="D17" s="248">
        <f>D9</f>
        <v>0</v>
      </c>
      <c r="E17" s="239">
        <f>'InsHRA-Request'!D28</f>
        <v>0</v>
      </c>
      <c r="F17" s="123"/>
      <c r="G17" s="124"/>
      <c r="H17" s="221">
        <f>H9</f>
        <v>0</v>
      </c>
      <c r="I17" s="222">
        <f>'InsHRA-Request'!G28</f>
        <v>0</v>
      </c>
      <c r="J17" s="338">
        <f>'InsHRA-Request'!H28</f>
        <v>0</v>
      </c>
      <c r="K17" s="239">
        <f>'InsHRA-Request'!J28</f>
        <v>0</v>
      </c>
      <c r="L17" s="350"/>
      <c r="N17" s="116"/>
    </row>
    <row r="18" spans="2:14" ht="21.75" thickBot="1" x14ac:dyDescent="0.4">
      <c r="B18" s="249"/>
      <c r="C18" s="250"/>
      <c r="D18" s="250">
        <f>SUM(D14:D17)</f>
        <v>0</v>
      </c>
      <c r="E18" s="240">
        <f>(D14*E14)+(D15*E15)+(D17*E17)+(D16*E16)</f>
        <v>0</v>
      </c>
      <c r="F18" s="129"/>
      <c r="G18" s="130"/>
      <c r="H18" s="223">
        <f>SUM(H14:H17)</f>
        <v>0</v>
      </c>
      <c r="I18" s="224">
        <f>(H14*I14)+(H15*I15)+(H17*I17)+(H16*I16)</f>
        <v>0</v>
      </c>
      <c r="J18" s="339">
        <f>SUM(J14:J17)</f>
        <v>0</v>
      </c>
      <c r="K18" s="240">
        <f>(J14*K14)+(J15*K15)+(J17*K17)+(J16*K16)</f>
        <v>0</v>
      </c>
      <c r="L18" s="351">
        <f>I18+E18+K18</f>
        <v>0</v>
      </c>
    </row>
    <row r="19" spans="2:14" ht="22.5" hidden="1" thickTop="1" thickBot="1" x14ac:dyDescent="0.4">
      <c r="B19" s="720" t="s">
        <v>63</v>
      </c>
      <c r="C19" s="721"/>
      <c r="D19" s="721"/>
      <c r="E19" s="721"/>
      <c r="F19" s="721"/>
      <c r="G19" s="721"/>
      <c r="H19" s="721"/>
      <c r="I19" s="721"/>
      <c r="J19" s="721"/>
      <c r="K19" s="721"/>
      <c r="L19" s="722"/>
    </row>
    <row r="20" spans="2:14" ht="21.75" hidden="1" thickTop="1" x14ac:dyDescent="0.35">
      <c r="B20" s="102"/>
      <c r="C20" s="103" t="s">
        <v>30</v>
      </c>
      <c r="D20" s="142" t="s">
        <v>29</v>
      </c>
      <c r="E20" s="103" t="s">
        <v>31</v>
      </c>
      <c r="F20" s="103"/>
      <c r="G20" s="143" t="s">
        <v>64</v>
      </c>
      <c r="H20" s="143"/>
      <c r="I20" s="103"/>
      <c r="J20" s="103"/>
      <c r="K20" s="103"/>
      <c r="L20" s="104" t="s">
        <v>32</v>
      </c>
    </row>
    <row r="21" spans="2:14" ht="21.75" hidden="1" thickTop="1" x14ac:dyDescent="0.35">
      <c r="B21" s="144"/>
      <c r="C21" s="145" t="s">
        <v>16</v>
      </c>
      <c r="D21" s="145"/>
      <c r="E21" s="146">
        <v>247.46</v>
      </c>
      <c r="F21" s="146"/>
      <c r="G21" s="146">
        <v>137.81</v>
      </c>
      <c r="H21" s="146"/>
      <c r="I21" s="146" t="str">
        <f>[1]TransRates!$W$29</f>
        <v/>
      </c>
      <c r="J21" s="276"/>
      <c r="K21" s="276"/>
      <c r="L21" s="147">
        <f>SUM(E21:I21)</f>
        <v>385.27</v>
      </c>
      <c r="N21" s="116"/>
    </row>
    <row r="22" spans="2:14" ht="21.75" hidden="1" thickTop="1" x14ac:dyDescent="0.35">
      <c r="B22" s="148"/>
      <c r="C22" s="149" t="s">
        <v>33</v>
      </c>
      <c r="D22" s="149"/>
      <c r="E22" s="150">
        <v>593.89</v>
      </c>
      <c r="F22" s="150"/>
      <c r="G22" s="150">
        <v>263.48</v>
      </c>
      <c r="H22" s="150"/>
      <c r="I22" s="150" t="str">
        <f>[1]TransRates!$W$30</f>
        <v/>
      </c>
      <c r="J22" s="277"/>
      <c r="K22" s="277"/>
      <c r="L22" s="151">
        <f>SUM(E22:I22)</f>
        <v>857.37</v>
      </c>
      <c r="N22" s="116"/>
    </row>
    <row r="23" spans="2:14" ht="21.75" hidden="1" thickTop="1" x14ac:dyDescent="0.35">
      <c r="B23" s="148"/>
      <c r="C23" s="149" t="s">
        <v>34</v>
      </c>
      <c r="D23" s="149"/>
      <c r="E23" s="150">
        <f>[1]Census!O17</f>
        <v>0</v>
      </c>
      <c r="F23" s="150"/>
      <c r="G23" s="150">
        <v>0</v>
      </c>
      <c r="H23" s="150"/>
      <c r="I23" s="150" t="str">
        <f>[1]TransRates!$W$31</f>
        <v/>
      </c>
      <c r="J23" s="277"/>
      <c r="K23" s="277"/>
      <c r="L23" s="151">
        <f>SUM(E23:I23)</f>
        <v>0</v>
      </c>
      <c r="N23" s="116"/>
    </row>
    <row r="24" spans="2:14" ht="22.5" hidden="1" thickTop="1" thickBot="1" x14ac:dyDescent="0.4">
      <c r="B24" s="152"/>
      <c r="C24" s="153" t="s">
        <v>18</v>
      </c>
      <c r="D24" s="153"/>
      <c r="E24" s="154">
        <v>742.37</v>
      </c>
      <c r="F24" s="154"/>
      <c r="G24" s="154">
        <v>373.27</v>
      </c>
      <c r="H24" s="154"/>
      <c r="I24" s="154" t="str">
        <f>[1]TransRates!$W$32</f>
        <v/>
      </c>
      <c r="J24" s="278"/>
      <c r="K24" s="278"/>
      <c r="L24" s="155">
        <f>SUM(E24:I24)</f>
        <v>1115.6399999999999</v>
      </c>
      <c r="N24" s="116"/>
    </row>
    <row r="25" spans="2:14" ht="22.5" hidden="1" thickTop="1" thickBot="1" x14ac:dyDescent="0.4">
      <c r="B25" s="156">
        <f>SUM(B21:B24)</f>
        <v>0</v>
      </c>
      <c r="C25" s="157"/>
      <c r="D25" s="157"/>
      <c r="E25" s="158"/>
      <c r="F25" s="158"/>
      <c r="G25" s="158"/>
      <c r="H25" s="158"/>
      <c r="I25" s="158"/>
      <c r="J25" s="158"/>
      <c r="K25" s="158"/>
      <c r="L25" s="159"/>
    </row>
    <row r="26" spans="2:14" s="136" customFormat="1" ht="6" customHeight="1" thickTop="1" thickBot="1" x14ac:dyDescent="0.4">
      <c r="B26" s="131"/>
      <c r="C26" s="131"/>
      <c r="D26" s="131"/>
      <c r="E26" s="132"/>
      <c r="F26" s="132"/>
      <c r="G26" s="132"/>
      <c r="H26" s="132"/>
      <c r="I26" s="132"/>
      <c r="J26" s="132"/>
      <c r="K26" s="132"/>
      <c r="L26" s="135"/>
    </row>
    <row r="27" spans="2:14" ht="22.5" thickTop="1" thickBot="1" x14ac:dyDescent="0.4">
      <c r="B27" s="726" t="str">
        <f>"Proposed Plan 1: "&amp;'InsHRA-Request'!B39&amp;" &amp; Insured HRA ($"&amp;'InsHRA-Request'!C69&amp;" deductible / $"&amp;'InsHRA-Request'!C72&amp;" coinsurance)"</f>
        <v>Proposed Plan 1:  &amp; Insured HRA ($ deductible / $ coinsurance)</v>
      </c>
      <c r="C27" s="727"/>
      <c r="D27" s="727"/>
      <c r="E27" s="727"/>
      <c r="F27" s="727"/>
      <c r="G27" s="727"/>
      <c r="H27" s="727"/>
      <c r="I27" s="727"/>
      <c r="J27" s="727"/>
      <c r="K27" s="727"/>
      <c r="L27" s="728"/>
    </row>
    <row r="28" spans="2:14" ht="2.25" customHeight="1" thickTop="1" x14ac:dyDescent="0.35">
      <c r="B28" s="160"/>
      <c r="C28" s="161"/>
      <c r="D28" s="160"/>
      <c r="E28" s="161"/>
      <c r="F28" s="161"/>
      <c r="G28" s="162" t="s">
        <v>65</v>
      </c>
      <c r="H28" s="162"/>
      <c r="I28" s="161"/>
      <c r="J28" s="161"/>
      <c r="K28" s="161"/>
      <c r="L28" s="163"/>
    </row>
    <row r="29" spans="2:14" x14ac:dyDescent="0.35">
      <c r="B29" s="181"/>
      <c r="C29" s="182" t="s">
        <v>30</v>
      </c>
      <c r="D29" s="182" t="s">
        <v>77</v>
      </c>
      <c r="E29" s="183">
        <f>'InsHRA-Request'!B39</f>
        <v>0</v>
      </c>
      <c r="F29" s="184"/>
      <c r="G29" s="184"/>
      <c r="H29" s="738" t="s">
        <v>35</v>
      </c>
      <c r="I29" s="738"/>
      <c r="J29" s="183"/>
      <c r="K29" s="183"/>
      <c r="L29" s="185" t="s">
        <v>32</v>
      </c>
    </row>
    <row r="30" spans="2:14" x14ac:dyDescent="0.35">
      <c r="B30" s="144">
        <v>12</v>
      </c>
      <c r="C30" s="145" t="s">
        <v>16</v>
      </c>
      <c r="D30" s="186">
        <f>'InsHRA-Request'!B53</f>
        <v>0</v>
      </c>
      <c r="E30" s="146">
        <f>'InsHRA-Request'!C53</f>
        <v>0</v>
      </c>
      <c r="F30" s="187"/>
      <c r="G30" s="187"/>
      <c r="H30" s="723">
        <f>'InsHRA-Request'!D75</f>
        <v>0</v>
      </c>
      <c r="I30" s="723"/>
      <c r="J30" s="276"/>
      <c r="K30" s="276"/>
      <c r="L30" s="147">
        <f>H30+E30</f>
        <v>0</v>
      </c>
      <c r="N30" s="116"/>
    </row>
    <row r="31" spans="2:14" x14ac:dyDescent="0.35">
      <c r="B31" s="148">
        <v>0</v>
      </c>
      <c r="C31" s="149" t="s">
        <v>33</v>
      </c>
      <c r="D31" s="188">
        <f>'InsHRA-Request'!B54</f>
        <v>0</v>
      </c>
      <c r="E31" s="150">
        <f>'InsHRA-Request'!C54</f>
        <v>0</v>
      </c>
      <c r="F31" s="187"/>
      <c r="G31" s="187"/>
      <c r="H31" s="724">
        <f>'InsHRA-Request'!D76</f>
        <v>0</v>
      </c>
      <c r="I31" s="724"/>
      <c r="J31" s="277"/>
      <c r="K31" s="277"/>
      <c r="L31" s="151">
        <f>H31+E31</f>
        <v>0</v>
      </c>
      <c r="N31" s="116"/>
    </row>
    <row r="32" spans="2:14" hidden="1" x14ac:dyDescent="0.35">
      <c r="B32" s="148"/>
      <c r="C32" s="149" t="s">
        <v>34</v>
      </c>
      <c r="D32" s="188">
        <f>'InsHRA-Request'!B55</f>
        <v>0</v>
      </c>
      <c r="E32" s="255">
        <f>'InsHRA-Request'!C55</f>
        <v>0</v>
      </c>
      <c r="F32" s="187"/>
      <c r="G32" s="187"/>
      <c r="H32" s="724">
        <f>'InsHRA-Request'!D77</f>
        <v>0</v>
      </c>
      <c r="I32" s="724"/>
      <c r="J32" s="277"/>
      <c r="K32" s="277"/>
      <c r="L32" s="151">
        <f>H32+E32</f>
        <v>0</v>
      </c>
      <c r="N32" s="116"/>
    </row>
    <row r="33" spans="2:14" ht="21.75" thickBot="1" x14ac:dyDescent="0.4">
      <c r="B33" s="152">
        <v>1</v>
      </c>
      <c r="C33" s="153" t="s">
        <v>18</v>
      </c>
      <c r="D33" s="189">
        <f>'InsHRA-Request'!B56</f>
        <v>0</v>
      </c>
      <c r="E33" s="154">
        <f>'InsHRA-Request'!C56</f>
        <v>0</v>
      </c>
      <c r="F33" s="187"/>
      <c r="G33" s="187"/>
      <c r="H33" s="725">
        <f>'InsHRA-Request'!D78</f>
        <v>0</v>
      </c>
      <c r="I33" s="725"/>
      <c r="J33" s="278"/>
      <c r="K33" s="278"/>
      <c r="L33" s="155">
        <f>H33+E33</f>
        <v>0</v>
      </c>
      <c r="N33" s="116"/>
    </row>
    <row r="34" spans="2:14" ht="21.75" thickBot="1" x14ac:dyDescent="0.4">
      <c r="B34" s="156">
        <f>SUM(B30:B33)</f>
        <v>13</v>
      </c>
      <c r="C34" s="157"/>
      <c r="D34" s="157">
        <f>SUM(D30:D33)</f>
        <v>0</v>
      </c>
      <c r="E34" s="158">
        <f>(D30*E30)+(D31*E31)+(D33*E33)+(D32*E32)</f>
        <v>0</v>
      </c>
      <c r="F34" s="187"/>
      <c r="G34" s="187"/>
      <c r="H34" s="748">
        <f>(D30*H30)+(D31*H31)+(D33*H33)+(D32*H32)</f>
        <v>0</v>
      </c>
      <c r="I34" s="748"/>
      <c r="J34" s="158"/>
      <c r="K34" s="158"/>
      <c r="L34" s="159">
        <f>(D30*L30)+(D31*L31)+(D33*L33)+(D32*L32)</f>
        <v>0</v>
      </c>
    </row>
    <row r="35" spans="2:14" s="136" customFormat="1" ht="6" customHeight="1" thickTop="1" thickBot="1" x14ac:dyDescent="0.4">
      <c r="B35" s="131"/>
      <c r="C35" s="131"/>
      <c r="D35" s="131"/>
      <c r="E35" s="132"/>
      <c r="H35" s="132"/>
      <c r="I35" s="132"/>
      <c r="J35" s="132"/>
      <c r="K35" s="132"/>
      <c r="L35" s="135"/>
    </row>
    <row r="36" spans="2:14" ht="22.5" thickTop="1" thickBot="1" x14ac:dyDescent="0.4">
      <c r="B36" s="726" t="str">
        <f>"Proposed Plan 2: "&amp;'InsHRA-Request'!B39&amp;" &amp; Insured HRA ($"&amp;'InsHRA-Request'!E69&amp;" deductible / $"&amp;'InsHRA-Request'!E72&amp;" coinsurance)"</f>
        <v>Proposed Plan 2:  &amp; Insured HRA ($ deductible / $ coinsurance)</v>
      </c>
      <c r="C36" s="727"/>
      <c r="D36" s="727"/>
      <c r="E36" s="727"/>
      <c r="F36" s="727"/>
      <c r="G36" s="727"/>
      <c r="H36" s="727"/>
      <c r="I36" s="727"/>
      <c r="J36" s="727"/>
      <c r="K36" s="727"/>
      <c r="L36" s="728"/>
    </row>
    <row r="37" spans="2:14" ht="21.75" thickTop="1" x14ac:dyDescent="0.35">
      <c r="B37" s="164"/>
      <c r="C37" s="190" t="s">
        <v>30</v>
      </c>
      <c r="D37" s="191" t="s">
        <v>77</v>
      </c>
      <c r="E37" s="192">
        <f>E29</f>
        <v>0</v>
      </c>
      <c r="F37" s="193"/>
      <c r="G37" s="193"/>
      <c r="H37" s="740" t="str">
        <f>H29</f>
        <v>Insured HRA</v>
      </c>
      <c r="I37" s="740"/>
      <c r="J37" s="192"/>
      <c r="K37" s="192"/>
      <c r="L37" s="194" t="s">
        <v>32</v>
      </c>
    </row>
    <row r="38" spans="2:14" x14ac:dyDescent="0.35">
      <c r="B38" s="165">
        <v>28</v>
      </c>
      <c r="C38" s="195" t="s">
        <v>16</v>
      </c>
      <c r="D38" s="196">
        <f>D30</f>
        <v>0</v>
      </c>
      <c r="E38" s="197">
        <f>E30</f>
        <v>0</v>
      </c>
      <c r="F38" s="193"/>
      <c r="G38" s="193"/>
      <c r="H38" s="741">
        <f>'InsHRA-Request'!F75</f>
        <v>0</v>
      </c>
      <c r="I38" s="741"/>
      <c r="J38" s="283"/>
      <c r="K38" s="283"/>
      <c r="L38" s="198">
        <f>H38+E38</f>
        <v>0</v>
      </c>
      <c r="N38" s="116"/>
    </row>
    <row r="39" spans="2:14" x14ac:dyDescent="0.35">
      <c r="B39" s="166">
        <v>10</v>
      </c>
      <c r="C39" s="199" t="s">
        <v>33</v>
      </c>
      <c r="D39" s="200">
        <f>D31</f>
        <v>0</v>
      </c>
      <c r="E39" s="201">
        <f>E31</f>
        <v>0</v>
      </c>
      <c r="F39" s="193"/>
      <c r="G39" s="193"/>
      <c r="H39" s="742">
        <f>'InsHRA-Request'!F76</f>
        <v>0</v>
      </c>
      <c r="I39" s="742"/>
      <c r="J39" s="284"/>
      <c r="K39" s="284"/>
      <c r="L39" s="202">
        <f>H39+E39</f>
        <v>0</v>
      </c>
      <c r="N39" s="116"/>
    </row>
    <row r="40" spans="2:14" hidden="1" x14ac:dyDescent="0.35">
      <c r="B40" s="166"/>
      <c r="C40" s="199" t="s">
        <v>34</v>
      </c>
      <c r="D40" s="200">
        <f>D32</f>
        <v>0</v>
      </c>
      <c r="E40" s="252">
        <f>E32</f>
        <v>0</v>
      </c>
      <c r="F40" s="193"/>
      <c r="G40" s="193"/>
      <c r="H40" s="742">
        <f>'InsHRA-Request'!F77</f>
        <v>0</v>
      </c>
      <c r="I40" s="742"/>
      <c r="J40" s="284"/>
      <c r="K40" s="284"/>
      <c r="L40" s="202">
        <f>H40+E40</f>
        <v>0</v>
      </c>
      <c r="N40" s="116"/>
    </row>
    <row r="41" spans="2:14" ht="21.75" thickBot="1" x14ac:dyDescent="0.4">
      <c r="B41" s="167">
        <v>30</v>
      </c>
      <c r="C41" s="203" t="s">
        <v>18</v>
      </c>
      <c r="D41" s="204">
        <f>D33</f>
        <v>0</v>
      </c>
      <c r="E41" s="205">
        <f>E33</f>
        <v>0</v>
      </c>
      <c r="F41" s="193"/>
      <c r="G41" s="193"/>
      <c r="H41" s="743">
        <f>'InsHRA-Request'!F78</f>
        <v>0</v>
      </c>
      <c r="I41" s="743"/>
      <c r="J41" s="285"/>
      <c r="K41" s="285"/>
      <c r="L41" s="206">
        <f>H41+E41</f>
        <v>0</v>
      </c>
      <c r="N41" s="116"/>
    </row>
    <row r="42" spans="2:14" ht="21.75" thickBot="1" x14ac:dyDescent="0.4">
      <c r="B42" s="168">
        <f>SUM(B38:B41)</f>
        <v>68</v>
      </c>
      <c r="C42" s="207"/>
      <c r="D42" s="207">
        <f>SUM(D38:D41)</f>
        <v>0</v>
      </c>
      <c r="E42" s="208">
        <f>(D38*E38)+(D39*E39)+(D41*E41)+(D40*E40)</f>
        <v>0</v>
      </c>
      <c r="F42" s="208"/>
      <c r="G42" s="208"/>
      <c r="H42" s="744">
        <f>(D38*H38)+(D39*H39)+(D41*H41)+(D40*H40)</f>
        <v>0</v>
      </c>
      <c r="I42" s="744"/>
      <c r="J42" s="208"/>
      <c r="K42" s="208"/>
      <c r="L42" s="209">
        <f>(D38*L38)+(D39*L39)+(D41*L41)+(D40*L40)</f>
        <v>0</v>
      </c>
    </row>
    <row r="43" spans="2:14" s="136" customFormat="1" ht="7.5" hidden="1" customHeight="1" x14ac:dyDescent="0.35">
      <c r="B43" s="131"/>
      <c r="C43" s="131"/>
      <c r="D43" s="131"/>
      <c r="E43" s="132"/>
      <c r="F43" s="132"/>
      <c r="G43" s="132"/>
      <c r="H43" s="132"/>
      <c r="I43" s="132"/>
      <c r="J43" s="132"/>
      <c r="K43" s="132"/>
      <c r="L43" s="135"/>
    </row>
    <row r="44" spans="2:14" ht="22.5" hidden="1" thickTop="1" thickBot="1" x14ac:dyDescent="0.4">
      <c r="B44" s="169"/>
      <c r="C44" s="731" t="s">
        <v>66</v>
      </c>
      <c r="D44" s="731"/>
      <c r="E44" s="731"/>
      <c r="F44" s="731"/>
      <c r="G44" s="731"/>
      <c r="H44" s="731"/>
      <c r="I44" s="731"/>
      <c r="J44" s="281"/>
      <c r="K44" s="281"/>
      <c r="L44" s="170">
        <f>L42+L34</f>
        <v>0</v>
      </c>
    </row>
    <row r="45" spans="2:14" s="271" customFormat="1" ht="6" customHeight="1" thickTop="1" thickBot="1" x14ac:dyDescent="0.4">
      <c r="B45" s="272"/>
      <c r="C45" s="273"/>
      <c r="D45" s="273"/>
      <c r="E45" s="273"/>
      <c r="F45" s="273"/>
      <c r="G45" s="273"/>
      <c r="H45" s="273"/>
      <c r="I45" s="273"/>
      <c r="J45" s="273"/>
      <c r="K45" s="273"/>
      <c r="L45" s="274"/>
    </row>
    <row r="46" spans="2:14" ht="22.5" thickTop="1" thickBot="1" x14ac:dyDescent="0.4">
      <c r="B46" s="726" t="str">
        <f>"Proposed Plan 3: "&amp;'InsHRA-Request'!B39&amp;" &amp; Insured HRA ($"&amp;'InsHRA-Request'!G69&amp;" deductible / $"&amp;'InsHRA-Request'!G72&amp;" coinsurance)"</f>
        <v>Proposed Plan 3:  &amp; Insured HRA ($ deductible / $ coinsurance)</v>
      </c>
      <c r="C46" s="727"/>
      <c r="D46" s="727"/>
      <c r="E46" s="727"/>
      <c r="F46" s="727"/>
      <c r="G46" s="727"/>
      <c r="H46" s="727"/>
      <c r="I46" s="727"/>
      <c r="J46" s="727"/>
      <c r="K46" s="727"/>
      <c r="L46" s="728"/>
    </row>
    <row r="47" spans="2:14" ht="21.75" thickTop="1" x14ac:dyDescent="0.35">
      <c r="B47" s="304"/>
      <c r="C47" s="305" t="s">
        <v>30</v>
      </c>
      <c r="D47" s="306" t="s">
        <v>77</v>
      </c>
      <c r="E47" s="307">
        <f>'InsHRA-Request'!B39</f>
        <v>0</v>
      </c>
      <c r="F47" s="308"/>
      <c r="G47" s="308"/>
      <c r="H47" s="729" t="str">
        <f>H37</f>
        <v>Insured HRA</v>
      </c>
      <c r="I47" s="729"/>
      <c r="J47" s="307"/>
      <c r="K47" s="307"/>
      <c r="L47" s="309" t="s">
        <v>32</v>
      </c>
    </row>
    <row r="48" spans="2:14" x14ac:dyDescent="0.35">
      <c r="B48" s="310">
        <v>28</v>
      </c>
      <c r="C48" s="311" t="s">
        <v>16</v>
      </c>
      <c r="D48" s="312">
        <f>'InsHRA-Request'!B53</f>
        <v>0</v>
      </c>
      <c r="E48" s="313">
        <f>'InsHRA-Request'!C53</f>
        <v>0</v>
      </c>
      <c r="F48" s="308"/>
      <c r="G48" s="308"/>
      <c r="H48" s="730">
        <f>'InsHRA-Request'!H75</f>
        <v>0</v>
      </c>
      <c r="I48" s="730"/>
      <c r="J48" s="313"/>
      <c r="K48" s="313"/>
      <c r="L48" s="314">
        <f>H48+E48</f>
        <v>0</v>
      </c>
      <c r="N48" s="116"/>
    </row>
    <row r="49" spans="2:14" x14ac:dyDescent="0.35">
      <c r="B49" s="315">
        <v>10</v>
      </c>
      <c r="C49" s="316" t="s">
        <v>33</v>
      </c>
      <c r="D49" s="317">
        <f>'InsHRA-Request'!B54</f>
        <v>0</v>
      </c>
      <c r="E49" s="318">
        <f>'InsHRA-Request'!C54</f>
        <v>0</v>
      </c>
      <c r="F49" s="308"/>
      <c r="G49" s="308"/>
      <c r="H49" s="745">
        <f>'InsHRA-Request'!H76</f>
        <v>0</v>
      </c>
      <c r="I49" s="745"/>
      <c r="J49" s="318"/>
      <c r="K49" s="318"/>
      <c r="L49" s="319">
        <f>H49+E49</f>
        <v>0</v>
      </c>
      <c r="N49" s="116"/>
    </row>
    <row r="50" spans="2:14" hidden="1" x14ac:dyDescent="0.35">
      <c r="B50" s="315"/>
      <c r="C50" s="316" t="s">
        <v>34</v>
      </c>
      <c r="D50" s="317">
        <f>'InsHRA-Request'!B55</f>
        <v>0</v>
      </c>
      <c r="E50" s="318">
        <f>'InsHRA-Request'!C55</f>
        <v>0</v>
      </c>
      <c r="F50" s="308"/>
      <c r="G50" s="308"/>
      <c r="H50" s="745">
        <f>'InsHRA-Request'!H77</f>
        <v>0</v>
      </c>
      <c r="I50" s="745"/>
      <c r="J50" s="318"/>
      <c r="K50" s="318"/>
      <c r="L50" s="319">
        <f>H50+E50</f>
        <v>0</v>
      </c>
      <c r="N50" s="116"/>
    </row>
    <row r="51" spans="2:14" ht="21.75" thickBot="1" x14ac:dyDescent="0.4">
      <c r="B51" s="320">
        <v>30</v>
      </c>
      <c r="C51" s="321" t="s">
        <v>18</v>
      </c>
      <c r="D51" s="322">
        <f>'InsHRA-Request'!B56</f>
        <v>0</v>
      </c>
      <c r="E51" s="323">
        <f>'InsHRA-Request'!C56</f>
        <v>0</v>
      </c>
      <c r="F51" s="308"/>
      <c r="G51" s="308"/>
      <c r="H51" s="746">
        <f>'InsHRA-Request'!H78</f>
        <v>0</v>
      </c>
      <c r="I51" s="746"/>
      <c r="J51" s="323"/>
      <c r="K51" s="323"/>
      <c r="L51" s="324">
        <f>H51+E51</f>
        <v>0</v>
      </c>
      <c r="N51" s="116"/>
    </row>
    <row r="52" spans="2:14" ht="21.75" thickBot="1" x14ac:dyDescent="0.4">
      <c r="B52" s="325">
        <f>SUM(B48:B51)</f>
        <v>68</v>
      </c>
      <c r="C52" s="326"/>
      <c r="D52" s="326">
        <f>SUM(D48:D51)</f>
        <v>0</v>
      </c>
      <c r="E52" s="327">
        <f>(D48*E48)+(D49*E49)+(D51*E51)+(D50*E50)</f>
        <v>0</v>
      </c>
      <c r="F52" s="327"/>
      <c r="G52" s="327"/>
      <c r="H52" s="747">
        <f>(D48*H48)+(D49*H49)+(D51*H51)+(D50*H50)</f>
        <v>0</v>
      </c>
      <c r="I52" s="747"/>
      <c r="J52" s="327"/>
      <c r="K52" s="327"/>
      <c r="L52" s="328">
        <f>(D48*L48)+(D49*L49)+(D51*L51)+(D50*L50)</f>
        <v>0</v>
      </c>
    </row>
    <row r="53" spans="2:14" s="271" customFormat="1" ht="21.75" hidden="1" thickTop="1" x14ac:dyDescent="0.35">
      <c r="B53" s="272"/>
      <c r="C53" s="273"/>
      <c r="D53" s="273"/>
      <c r="E53" s="273"/>
      <c r="F53" s="273"/>
      <c r="G53" s="273"/>
      <c r="H53" s="273"/>
      <c r="I53" s="273"/>
      <c r="J53" s="273"/>
      <c r="K53" s="273"/>
      <c r="L53" s="274"/>
    </row>
    <row r="54" spans="2:14" s="271" customFormat="1" hidden="1" x14ac:dyDescent="0.35">
      <c r="B54" s="272"/>
      <c r="C54" s="273"/>
      <c r="D54" s="273"/>
      <c r="E54" s="273"/>
      <c r="F54" s="273"/>
      <c r="G54" s="273"/>
      <c r="H54" s="273"/>
      <c r="I54" s="273"/>
      <c r="J54" s="273"/>
      <c r="K54" s="273"/>
      <c r="L54" s="274"/>
    </row>
    <row r="55" spans="2:14" s="271" customFormat="1" hidden="1" x14ac:dyDescent="0.35">
      <c r="B55" s="272"/>
      <c r="C55" s="273"/>
      <c r="D55" s="273"/>
      <c r="E55" s="273"/>
      <c r="F55" s="273"/>
      <c r="G55" s="273"/>
      <c r="H55" s="273"/>
      <c r="I55" s="273"/>
      <c r="J55" s="273"/>
      <c r="K55" s="273"/>
      <c r="L55" s="274"/>
    </row>
    <row r="56" spans="2:14" s="271" customFormat="1" hidden="1" x14ac:dyDescent="0.35">
      <c r="B56" s="272"/>
      <c r="C56" s="273"/>
      <c r="D56" s="273"/>
      <c r="E56" s="273"/>
      <c r="F56" s="273"/>
      <c r="G56" s="273"/>
      <c r="H56" s="273"/>
      <c r="I56" s="273"/>
      <c r="J56" s="273"/>
      <c r="K56" s="273"/>
      <c r="L56" s="274"/>
    </row>
    <row r="57" spans="2:14" s="271" customFormat="1" hidden="1" x14ac:dyDescent="0.35">
      <c r="B57" s="272"/>
      <c r="C57" s="273"/>
      <c r="D57" s="273"/>
      <c r="E57" s="273"/>
      <c r="F57" s="273"/>
      <c r="G57" s="273"/>
      <c r="H57" s="273"/>
      <c r="I57" s="273"/>
      <c r="J57" s="273"/>
      <c r="K57" s="273"/>
      <c r="L57" s="274"/>
    </row>
    <row r="58" spans="2:14" s="271" customFormat="1" hidden="1" x14ac:dyDescent="0.35">
      <c r="B58" s="272"/>
      <c r="C58" s="273"/>
      <c r="D58" s="273"/>
      <c r="E58" s="273"/>
      <c r="F58" s="273"/>
      <c r="G58" s="273"/>
      <c r="H58" s="273"/>
      <c r="I58" s="273"/>
      <c r="J58" s="273"/>
      <c r="K58" s="273"/>
      <c r="L58" s="274"/>
    </row>
    <row r="59" spans="2:14" s="136" customFormat="1" ht="12" customHeight="1" thickTop="1" thickBot="1" x14ac:dyDescent="0.4">
      <c r="B59" s="171"/>
      <c r="C59" s="172"/>
      <c r="D59" s="171"/>
      <c r="E59" s="171"/>
      <c r="F59" s="171"/>
      <c r="G59" s="171"/>
      <c r="H59" s="171"/>
      <c r="I59" s="171"/>
      <c r="J59" s="171"/>
      <c r="K59" s="171"/>
      <c r="L59" s="173"/>
    </row>
    <row r="60" spans="2:14" s="136" customFormat="1" ht="22.5" thickTop="1" thickBot="1" x14ac:dyDescent="0.4">
      <c r="B60" s="720" t="s">
        <v>67</v>
      </c>
      <c r="C60" s="721"/>
      <c r="D60" s="721"/>
      <c r="E60" s="721"/>
      <c r="F60" s="721"/>
      <c r="G60" s="721"/>
      <c r="H60" s="721"/>
      <c r="I60" s="721"/>
      <c r="J60" s="721"/>
      <c r="K60" s="721"/>
      <c r="L60" s="722"/>
    </row>
    <row r="61" spans="2:14" s="136" customFormat="1" ht="6" customHeight="1" thickTop="1" thickBot="1" x14ac:dyDescent="0.4">
      <c r="B61" s="171"/>
      <c r="C61" s="172"/>
      <c r="D61" s="171"/>
      <c r="E61" s="171"/>
      <c r="F61" s="171"/>
      <c r="G61" s="171"/>
      <c r="H61" s="171"/>
      <c r="I61" s="171"/>
      <c r="J61" s="171"/>
      <c r="K61" s="171"/>
      <c r="L61" s="173"/>
    </row>
    <row r="62" spans="2:14" ht="22.5" thickTop="1" thickBot="1" x14ac:dyDescent="0.4">
      <c r="B62" s="212"/>
      <c r="C62" s="739" t="s">
        <v>68</v>
      </c>
      <c r="D62" s="739"/>
      <c r="E62" s="739"/>
      <c r="F62" s="739"/>
      <c r="G62" s="739"/>
      <c r="H62" s="739"/>
      <c r="I62" s="739"/>
      <c r="J62" s="282"/>
      <c r="K62" s="282"/>
      <c r="L62" s="213">
        <f>12*(L18-L34)</f>
        <v>0</v>
      </c>
    </row>
    <row r="63" spans="2:14" s="136" customFormat="1" ht="6" customHeight="1" thickTop="1" thickBot="1" x14ac:dyDescent="0.4">
      <c r="B63" s="171"/>
      <c r="C63" s="174"/>
      <c r="L63" s="175"/>
    </row>
    <row r="64" spans="2:14" ht="22.5" thickTop="1" thickBot="1" x14ac:dyDescent="0.4">
      <c r="B64" s="210"/>
      <c r="C64" s="719" t="s">
        <v>69</v>
      </c>
      <c r="D64" s="719"/>
      <c r="E64" s="719"/>
      <c r="F64" s="719"/>
      <c r="G64" s="719"/>
      <c r="H64" s="719"/>
      <c r="I64" s="719"/>
      <c r="J64" s="280"/>
      <c r="K64" s="280"/>
      <c r="L64" s="211">
        <f>12*(L18-L42)</f>
        <v>0</v>
      </c>
    </row>
    <row r="65" spans="2:12" s="177" customFormat="1" ht="6" customHeight="1" thickTop="1" thickBot="1" x14ac:dyDescent="0.4">
      <c r="C65" s="178"/>
    </row>
    <row r="66" spans="2:12" ht="22.5" thickTop="1" thickBot="1" x14ac:dyDescent="0.4">
      <c r="B66" s="329"/>
      <c r="C66" s="718" t="s">
        <v>69</v>
      </c>
      <c r="D66" s="718"/>
      <c r="E66" s="718"/>
      <c r="F66" s="718"/>
      <c r="G66" s="718"/>
      <c r="H66" s="718"/>
      <c r="I66" s="718"/>
      <c r="J66" s="330"/>
      <c r="K66" s="330"/>
      <c r="L66" s="331">
        <f>12*(L18-L52)</f>
        <v>0</v>
      </c>
    </row>
    <row r="67" spans="2:12" s="177" customFormat="1" ht="21.75" thickTop="1" x14ac:dyDescent="0.35">
      <c r="C67" s="178"/>
      <c r="I67" s="179"/>
      <c r="J67" s="179"/>
      <c r="K67" s="179"/>
      <c r="L67" s="180"/>
    </row>
  </sheetData>
  <mergeCells count="31">
    <mergeCell ref="B27:L27"/>
    <mergeCell ref="H29:I29"/>
    <mergeCell ref="H32:I32"/>
    <mergeCell ref="C62:I62"/>
    <mergeCell ref="B36:L36"/>
    <mergeCell ref="H37:I37"/>
    <mergeCell ref="H38:I38"/>
    <mergeCell ref="H39:I39"/>
    <mergeCell ref="H41:I41"/>
    <mergeCell ref="H42:I42"/>
    <mergeCell ref="H49:I49"/>
    <mergeCell ref="H50:I50"/>
    <mergeCell ref="H51:I51"/>
    <mergeCell ref="H52:I52"/>
    <mergeCell ref="H34:I34"/>
    <mergeCell ref="H40:I40"/>
    <mergeCell ref="B1:L1"/>
    <mergeCell ref="B2:L2"/>
    <mergeCell ref="B4:L4"/>
    <mergeCell ref="B12:L12"/>
    <mergeCell ref="B19:L19"/>
    <mergeCell ref="C66:I66"/>
    <mergeCell ref="C64:I64"/>
    <mergeCell ref="B60:L60"/>
    <mergeCell ref="H30:I30"/>
    <mergeCell ref="H31:I31"/>
    <mergeCell ref="H33:I33"/>
    <mergeCell ref="B46:L46"/>
    <mergeCell ref="H47:I47"/>
    <mergeCell ref="H48:I48"/>
    <mergeCell ref="C44:I44"/>
  </mergeCells>
  <pageMargins left="0.05" right="0.05" top="0.05" bottom="0.05" header="0.3" footer="0.3"/>
  <pageSetup scale="84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[1]Sheet1!#REF!</xm:f>
          </x14:formula1>
          <xm:sqref>G28:H28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B1:L64"/>
  <sheetViews>
    <sheetView workbookViewId="0">
      <selection activeCell="A50" activeCellId="4" sqref="A8:XFD8 A16:XFD16 A32:XFD32 A40:XFD40 A50:XFD50"/>
    </sheetView>
  </sheetViews>
  <sheetFormatPr defaultRowHeight="21" x14ac:dyDescent="0.35"/>
  <cols>
    <col min="1" max="1" width="2.140625" style="93" customWidth="1"/>
    <col min="2" max="2" width="0.5703125" style="93" customWidth="1"/>
    <col min="3" max="3" width="17.7109375" style="176" customWidth="1"/>
    <col min="4" max="4" width="9.85546875" style="93" customWidth="1"/>
    <col min="5" max="5" width="25.7109375" style="93" customWidth="1"/>
    <col min="6" max="6" width="8.140625" style="93" hidden="1" customWidth="1"/>
    <col min="7" max="7" width="8.85546875" style="93" hidden="1" customWidth="1"/>
    <col min="8" max="8" width="9.85546875" style="93" customWidth="1"/>
    <col min="9" max="9" width="25.7109375" style="93" customWidth="1"/>
    <col min="10" max="10" width="19.28515625" style="93" customWidth="1"/>
    <col min="11" max="11" width="1" style="93" customWidth="1"/>
    <col min="12" max="16384" width="9.140625" style="93"/>
  </cols>
  <sheetData>
    <row r="1" spans="2:12" ht="24" thickTop="1" x14ac:dyDescent="0.35">
      <c r="B1" s="732" t="s">
        <v>38</v>
      </c>
      <c r="C1" s="733"/>
      <c r="D1" s="733"/>
      <c r="E1" s="733"/>
      <c r="F1" s="733"/>
      <c r="G1" s="733"/>
      <c r="H1" s="733"/>
      <c r="I1" s="733"/>
      <c r="J1" s="734"/>
    </row>
    <row r="2" spans="2:12" ht="21.75" customHeight="1" thickBot="1" x14ac:dyDescent="0.4">
      <c r="B2" s="735">
        <f>'InsHRA-Request'!B3</f>
        <v>0</v>
      </c>
      <c r="C2" s="736"/>
      <c r="D2" s="736"/>
      <c r="E2" s="736"/>
      <c r="F2" s="736"/>
      <c r="G2" s="736"/>
      <c r="H2" s="736"/>
      <c r="I2" s="736"/>
      <c r="J2" s="737"/>
    </row>
    <row r="3" spans="2:12" ht="6" customHeight="1" thickTop="1" thickBot="1" x14ac:dyDescent="0.4">
      <c r="B3" s="108"/>
      <c r="C3" s="108"/>
      <c r="D3" s="108"/>
      <c r="E3" s="108"/>
      <c r="F3" s="108"/>
      <c r="G3" s="108"/>
      <c r="H3" s="108"/>
      <c r="I3" s="108"/>
      <c r="J3" s="108"/>
    </row>
    <row r="4" spans="2:12" ht="22.5" thickTop="1" thickBot="1" x14ac:dyDescent="0.4">
      <c r="B4" s="720" t="s">
        <v>75</v>
      </c>
      <c r="C4" s="721"/>
      <c r="D4" s="721"/>
      <c r="E4" s="721"/>
      <c r="F4" s="721"/>
      <c r="G4" s="721"/>
      <c r="H4" s="721"/>
      <c r="I4" s="721"/>
      <c r="J4" s="722"/>
    </row>
    <row r="5" spans="2:12" ht="21.75" thickTop="1" x14ac:dyDescent="0.35">
      <c r="B5" s="109"/>
      <c r="C5" s="110" t="s">
        <v>30</v>
      </c>
      <c r="D5" s="110" t="s">
        <v>77</v>
      </c>
      <c r="E5" s="257">
        <f>'InsHRA-Request'!B11</f>
        <v>0</v>
      </c>
      <c r="F5" s="111"/>
      <c r="G5" s="111"/>
      <c r="H5" s="262" t="s">
        <v>77</v>
      </c>
      <c r="I5" s="265">
        <f>'InsHRA-Request'!E11</f>
        <v>0</v>
      </c>
      <c r="J5" s="225" t="s">
        <v>32</v>
      </c>
    </row>
    <row r="6" spans="2:12" x14ac:dyDescent="0.35">
      <c r="B6" s="112"/>
      <c r="C6" s="113" t="s">
        <v>16</v>
      </c>
      <c r="D6" s="396">
        <f>'InsHRA-Request'!B25</f>
        <v>0</v>
      </c>
      <c r="E6" s="214">
        <f>'InsHRA-Request'!C25</f>
        <v>0</v>
      </c>
      <c r="F6" s="114"/>
      <c r="G6" s="115"/>
      <c r="H6" s="226">
        <f>'InsHRA-Request'!E25</f>
        <v>0</v>
      </c>
      <c r="I6" s="227">
        <f>'InsHRA-Request'!F25</f>
        <v>0</v>
      </c>
      <c r="J6" s="228"/>
      <c r="L6" s="116"/>
    </row>
    <row r="7" spans="2:12" x14ac:dyDescent="0.35">
      <c r="B7" s="117"/>
      <c r="C7" s="118" t="s">
        <v>33</v>
      </c>
      <c r="D7" s="397">
        <f>'InsHRA-Request'!B26</f>
        <v>0</v>
      </c>
      <c r="E7" s="215">
        <f>'InsHRA-Request'!C26</f>
        <v>0</v>
      </c>
      <c r="F7" s="119"/>
      <c r="G7" s="120"/>
      <c r="H7" s="229">
        <f>'InsHRA-Request'!E26</f>
        <v>0</v>
      </c>
      <c r="I7" s="230">
        <f>'InsHRA-Request'!F26</f>
        <v>0</v>
      </c>
      <c r="J7" s="231"/>
      <c r="L7" s="116"/>
    </row>
    <row r="8" spans="2:12" hidden="1" x14ac:dyDescent="0.35">
      <c r="B8" s="117"/>
      <c r="C8" s="118" t="s">
        <v>34</v>
      </c>
      <c r="D8" s="397">
        <f>'InsHRA-Request'!B27</f>
        <v>0</v>
      </c>
      <c r="E8" s="215">
        <f>'InsHRA-Request'!C27</f>
        <v>0</v>
      </c>
      <c r="F8" s="119"/>
      <c r="G8" s="120"/>
      <c r="H8" s="229">
        <f>'InsHRA-Request'!E27</f>
        <v>0</v>
      </c>
      <c r="I8" s="230">
        <f>'InsHRA-Request'!F27</f>
        <v>0</v>
      </c>
      <c r="J8" s="231"/>
      <c r="L8" s="116"/>
    </row>
    <row r="9" spans="2:12" ht="21.75" thickBot="1" x14ac:dyDescent="0.4">
      <c r="B9" s="121"/>
      <c r="C9" s="122" t="s">
        <v>18</v>
      </c>
      <c r="D9" s="398">
        <f>'InsHRA-Request'!B28</f>
        <v>0</v>
      </c>
      <c r="E9" s="125">
        <f>'InsHRA-Request'!C28</f>
        <v>0</v>
      </c>
      <c r="F9" s="123"/>
      <c r="G9" s="124"/>
      <c r="H9" s="232">
        <f>'InsHRA-Request'!E28</f>
        <v>0</v>
      </c>
      <c r="I9" s="233">
        <f>'InsHRA-Request'!F28</f>
        <v>0</v>
      </c>
      <c r="J9" s="286"/>
      <c r="K9" s="126"/>
      <c r="L9" s="116"/>
    </row>
    <row r="10" spans="2:12" ht="21.75" thickBot="1" x14ac:dyDescent="0.4">
      <c r="B10" s="127"/>
      <c r="C10" s="128"/>
      <c r="D10" s="128">
        <f>SUM(D6:D9)</f>
        <v>0</v>
      </c>
      <c r="E10" s="216">
        <f>(D6*E6)+(D7*E7)+(D9*E9)+(D8*E8)</f>
        <v>0</v>
      </c>
      <c r="F10" s="129"/>
      <c r="G10" s="130"/>
      <c r="H10" s="234">
        <f>SUM(H6:H9)</f>
        <v>0</v>
      </c>
      <c r="I10" s="235">
        <f>(H6*I6)+(H7*I7)+(H9*I9)+(H8*I8)</f>
        <v>0</v>
      </c>
      <c r="J10" s="236">
        <f>I10+E10</f>
        <v>0</v>
      </c>
    </row>
    <row r="11" spans="2:12" s="136" customFormat="1" ht="6" customHeight="1" thickTop="1" thickBot="1" x14ac:dyDescent="0.4">
      <c r="B11" s="131"/>
      <c r="C11" s="131"/>
      <c r="D11" s="131"/>
      <c r="E11" s="132"/>
      <c r="F11" s="133"/>
      <c r="G11" s="134"/>
      <c r="H11" s="133"/>
      <c r="I11" s="132"/>
      <c r="J11" s="135"/>
    </row>
    <row r="12" spans="2:12" ht="22.5" thickTop="1" thickBot="1" x14ac:dyDescent="0.4">
      <c r="B12" s="720" t="s">
        <v>76</v>
      </c>
      <c r="C12" s="721"/>
      <c r="D12" s="721"/>
      <c r="E12" s="721"/>
      <c r="F12" s="721"/>
      <c r="G12" s="721"/>
      <c r="H12" s="721"/>
      <c r="I12" s="721"/>
      <c r="J12" s="722"/>
    </row>
    <row r="13" spans="2:12" ht="21.75" thickTop="1" x14ac:dyDescent="0.35">
      <c r="B13" s="241"/>
      <c r="C13" s="242" t="s">
        <v>30</v>
      </c>
      <c r="D13" s="242" t="s">
        <v>77</v>
      </c>
      <c r="E13" s="267">
        <f>E5</f>
        <v>0</v>
      </c>
      <c r="F13" s="263"/>
      <c r="G13" s="263"/>
      <c r="H13" s="264" t="s">
        <v>77</v>
      </c>
      <c r="I13" s="266">
        <f>I5</f>
        <v>0</v>
      </c>
      <c r="J13" s="137" t="s">
        <v>32</v>
      </c>
    </row>
    <row r="14" spans="2:12" x14ac:dyDescent="0.35">
      <c r="B14" s="243"/>
      <c r="C14" s="244" t="s">
        <v>16</v>
      </c>
      <c r="D14" s="244">
        <f>D6</f>
        <v>0</v>
      </c>
      <c r="E14" s="237">
        <f>'InsHRA-Request'!D25</f>
        <v>0</v>
      </c>
      <c r="F14" s="114"/>
      <c r="G14" s="115"/>
      <c r="H14" s="217">
        <f>H6</f>
        <v>0</v>
      </c>
      <c r="I14" s="218">
        <f>'InsHRA-Request'!G25</f>
        <v>0</v>
      </c>
      <c r="J14" s="138"/>
      <c r="L14" s="116"/>
    </row>
    <row r="15" spans="2:12" x14ac:dyDescent="0.35">
      <c r="B15" s="245"/>
      <c r="C15" s="246" t="s">
        <v>33</v>
      </c>
      <c r="D15" s="246">
        <f>D7</f>
        <v>0</v>
      </c>
      <c r="E15" s="238">
        <f>'InsHRA-Request'!D26</f>
        <v>0</v>
      </c>
      <c r="F15" s="119"/>
      <c r="G15" s="120"/>
      <c r="H15" s="219">
        <f>H7</f>
        <v>0</v>
      </c>
      <c r="I15" s="220">
        <f>'InsHRA-Request'!G26</f>
        <v>0</v>
      </c>
      <c r="J15" s="139"/>
      <c r="L15" s="116"/>
    </row>
    <row r="16" spans="2:12" hidden="1" x14ac:dyDescent="0.35">
      <c r="B16" s="245"/>
      <c r="C16" s="246" t="s">
        <v>34</v>
      </c>
      <c r="D16" s="246">
        <f>D8</f>
        <v>0</v>
      </c>
      <c r="E16" s="238">
        <f>'InsHRA-Request'!D27</f>
        <v>0</v>
      </c>
      <c r="F16" s="119"/>
      <c r="G16" s="120"/>
      <c r="H16" s="219">
        <f>H8</f>
        <v>0</v>
      </c>
      <c r="I16" s="220">
        <f>'InsHRA-Request'!G27</f>
        <v>0</v>
      </c>
      <c r="J16" s="139"/>
      <c r="L16" s="116"/>
    </row>
    <row r="17" spans="2:12" ht="21.75" thickBot="1" x14ac:dyDescent="0.4">
      <c r="B17" s="247"/>
      <c r="C17" s="248" t="s">
        <v>18</v>
      </c>
      <c r="D17" s="248">
        <f>D9</f>
        <v>0</v>
      </c>
      <c r="E17" s="239">
        <f>'InsHRA-Request'!D28</f>
        <v>0</v>
      </c>
      <c r="F17" s="123"/>
      <c r="G17" s="124"/>
      <c r="H17" s="221">
        <f>H9</f>
        <v>0</v>
      </c>
      <c r="I17" s="222">
        <f>'InsHRA-Request'!G28</f>
        <v>0</v>
      </c>
      <c r="J17" s="140"/>
      <c r="L17" s="116"/>
    </row>
    <row r="18" spans="2:12" ht="21.75" thickBot="1" x14ac:dyDescent="0.4">
      <c r="B18" s="249"/>
      <c r="C18" s="250"/>
      <c r="D18" s="250">
        <f>SUM(D14:D17)</f>
        <v>0</v>
      </c>
      <c r="E18" s="240">
        <f>(D14*E14)+(D15*E15)+(D17*E17)+(D16*E16)</f>
        <v>0</v>
      </c>
      <c r="F18" s="129"/>
      <c r="G18" s="130"/>
      <c r="H18" s="223">
        <f>SUM(H14:H17)</f>
        <v>0</v>
      </c>
      <c r="I18" s="224">
        <f>(H14*I14)+(H15*I15)+(H17*I17)+(H16*I16)</f>
        <v>0</v>
      </c>
      <c r="J18" s="141">
        <f>I18+E18</f>
        <v>0</v>
      </c>
    </row>
    <row r="19" spans="2:12" ht="22.5" hidden="1" thickTop="1" thickBot="1" x14ac:dyDescent="0.4">
      <c r="B19" s="720" t="s">
        <v>63</v>
      </c>
      <c r="C19" s="721"/>
      <c r="D19" s="721"/>
      <c r="E19" s="721"/>
      <c r="F19" s="721"/>
      <c r="G19" s="721"/>
      <c r="H19" s="721"/>
      <c r="I19" s="721"/>
      <c r="J19" s="722"/>
    </row>
    <row r="20" spans="2:12" ht="21.75" hidden="1" thickTop="1" x14ac:dyDescent="0.35">
      <c r="B20" s="102"/>
      <c r="C20" s="103" t="s">
        <v>30</v>
      </c>
      <c r="D20" s="142" t="s">
        <v>29</v>
      </c>
      <c r="E20" s="103" t="s">
        <v>31</v>
      </c>
      <c r="F20" s="103"/>
      <c r="G20" s="143" t="s">
        <v>64</v>
      </c>
      <c r="H20" s="143"/>
      <c r="I20" s="103"/>
      <c r="J20" s="104" t="s">
        <v>32</v>
      </c>
    </row>
    <row r="21" spans="2:12" ht="21.75" hidden="1" thickTop="1" x14ac:dyDescent="0.35">
      <c r="B21" s="144"/>
      <c r="C21" s="145" t="s">
        <v>16</v>
      </c>
      <c r="D21" s="145"/>
      <c r="E21" s="276">
        <v>247.46</v>
      </c>
      <c r="F21" s="276"/>
      <c r="G21" s="276">
        <v>137.81</v>
      </c>
      <c r="H21" s="276"/>
      <c r="I21" s="276" t="str">
        <f>[1]TransRates!$W$29</f>
        <v/>
      </c>
      <c r="J21" s="147">
        <f>SUM(E21:I21)</f>
        <v>385.27</v>
      </c>
      <c r="L21" s="116"/>
    </row>
    <row r="22" spans="2:12" ht="21.75" hidden="1" thickTop="1" x14ac:dyDescent="0.35">
      <c r="B22" s="148"/>
      <c r="C22" s="149" t="s">
        <v>33</v>
      </c>
      <c r="D22" s="149"/>
      <c r="E22" s="277">
        <v>593.89</v>
      </c>
      <c r="F22" s="277"/>
      <c r="G22" s="277">
        <v>263.48</v>
      </c>
      <c r="H22" s="277"/>
      <c r="I22" s="277" t="str">
        <f>[1]TransRates!$W$30</f>
        <v/>
      </c>
      <c r="J22" s="151">
        <f>SUM(E22:I22)</f>
        <v>857.37</v>
      </c>
      <c r="L22" s="116"/>
    </row>
    <row r="23" spans="2:12" ht="21.75" hidden="1" thickTop="1" x14ac:dyDescent="0.35">
      <c r="B23" s="148"/>
      <c r="C23" s="149" t="s">
        <v>34</v>
      </c>
      <c r="D23" s="149"/>
      <c r="E23" s="277">
        <f>[1]Census!O17</f>
        <v>0</v>
      </c>
      <c r="F23" s="277"/>
      <c r="G23" s="277">
        <v>0</v>
      </c>
      <c r="H23" s="277"/>
      <c r="I23" s="277" t="str">
        <f>[1]TransRates!$W$31</f>
        <v/>
      </c>
      <c r="J23" s="151">
        <f>SUM(E23:I23)</f>
        <v>0</v>
      </c>
      <c r="L23" s="116"/>
    </row>
    <row r="24" spans="2:12" ht="22.5" hidden="1" thickTop="1" thickBot="1" x14ac:dyDescent="0.4">
      <c r="B24" s="152"/>
      <c r="C24" s="153" t="s">
        <v>18</v>
      </c>
      <c r="D24" s="153"/>
      <c r="E24" s="278">
        <v>742.37</v>
      </c>
      <c r="F24" s="278"/>
      <c r="G24" s="278">
        <v>373.27</v>
      </c>
      <c r="H24" s="278"/>
      <c r="I24" s="278" t="str">
        <f>[1]TransRates!$W$32</f>
        <v/>
      </c>
      <c r="J24" s="155">
        <f>SUM(E24:I24)</f>
        <v>1115.6399999999999</v>
      </c>
      <c r="L24" s="116"/>
    </row>
    <row r="25" spans="2:12" ht="22.5" hidden="1" thickTop="1" thickBot="1" x14ac:dyDescent="0.4">
      <c r="B25" s="156">
        <f>SUM(B21:B24)</f>
        <v>0</v>
      </c>
      <c r="C25" s="157"/>
      <c r="D25" s="157"/>
      <c r="E25" s="158"/>
      <c r="F25" s="158"/>
      <c r="G25" s="158"/>
      <c r="H25" s="158"/>
      <c r="I25" s="158"/>
      <c r="J25" s="159"/>
    </row>
    <row r="26" spans="2:12" s="136" customFormat="1" ht="6" customHeight="1" thickTop="1" thickBot="1" x14ac:dyDescent="0.4">
      <c r="B26" s="131"/>
      <c r="C26" s="131"/>
      <c r="D26" s="131"/>
      <c r="E26" s="132"/>
      <c r="F26" s="132"/>
      <c r="G26" s="132"/>
      <c r="H26" s="132"/>
      <c r="I26" s="132"/>
      <c r="J26" s="135"/>
    </row>
    <row r="27" spans="2:12" ht="22.5" thickTop="1" thickBot="1" x14ac:dyDescent="0.4">
      <c r="B27" s="726" t="str">
        <f>"Proposed Plan 1: "&amp;'InsHRA-Request'!B39&amp;" &amp; Insured HRA ($"&amp;'InsHRA-Request'!C69&amp;" deductible / $"&amp;'InsHRA-Request'!C72&amp;" coinsurance)"</f>
        <v>Proposed Plan 1:  &amp; Insured HRA ($ deductible / $ coinsurance)</v>
      </c>
      <c r="C27" s="727"/>
      <c r="D27" s="727"/>
      <c r="E27" s="727"/>
      <c r="F27" s="727"/>
      <c r="G27" s="727"/>
      <c r="H27" s="727"/>
      <c r="I27" s="727"/>
      <c r="J27" s="728"/>
    </row>
    <row r="28" spans="2:12" ht="2.25" customHeight="1" thickTop="1" x14ac:dyDescent="0.35">
      <c r="B28" s="160"/>
      <c r="C28" s="161"/>
      <c r="D28" s="160"/>
      <c r="E28" s="161"/>
      <c r="F28" s="161"/>
      <c r="G28" s="162" t="s">
        <v>65</v>
      </c>
      <c r="H28" s="162"/>
      <c r="I28" s="161"/>
      <c r="J28" s="163"/>
    </row>
    <row r="29" spans="2:12" x14ac:dyDescent="0.35">
      <c r="B29" s="181"/>
      <c r="C29" s="182" t="s">
        <v>30</v>
      </c>
      <c r="D29" s="182" t="s">
        <v>29</v>
      </c>
      <c r="E29" s="183">
        <f>'InsHRA-Request'!B39</f>
        <v>0</v>
      </c>
      <c r="F29" s="184"/>
      <c r="G29" s="184"/>
      <c r="H29" s="738" t="s">
        <v>35</v>
      </c>
      <c r="I29" s="738"/>
      <c r="J29" s="185" t="s">
        <v>32</v>
      </c>
    </row>
    <row r="30" spans="2:12" x14ac:dyDescent="0.35">
      <c r="B30" s="144">
        <v>12</v>
      </c>
      <c r="C30" s="145" t="s">
        <v>16</v>
      </c>
      <c r="D30" s="186">
        <f>D6+H6</f>
        <v>0</v>
      </c>
      <c r="E30" s="276">
        <f>'InsHRA-Request'!C53</f>
        <v>0</v>
      </c>
      <c r="F30" s="187"/>
      <c r="G30" s="187"/>
      <c r="H30" s="723">
        <f>'InsHRA-Request'!D75</f>
        <v>0</v>
      </c>
      <c r="I30" s="723"/>
      <c r="J30" s="147">
        <f>H30+E30</f>
        <v>0</v>
      </c>
      <c r="L30" s="116"/>
    </row>
    <row r="31" spans="2:12" x14ac:dyDescent="0.35">
      <c r="B31" s="148">
        <v>0</v>
      </c>
      <c r="C31" s="149" t="s">
        <v>33</v>
      </c>
      <c r="D31" s="188">
        <f>D7+H7</f>
        <v>0</v>
      </c>
      <c r="E31" s="277">
        <f>'InsHRA-Request'!C54</f>
        <v>0</v>
      </c>
      <c r="F31" s="187"/>
      <c r="G31" s="187"/>
      <c r="H31" s="724">
        <f>'InsHRA-Request'!D76</f>
        <v>0</v>
      </c>
      <c r="I31" s="724"/>
      <c r="J31" s="151">
        <f>H31+E31</f>
        <v>0</v>
      </c>
      <c r="L31" s="116"/>
    </row>
    <row r="32" spans="2:12" hidden="1" x14ac:dyDescent="0.35">
      <c r="B32" s="148"/>
      <c r="C32" s="149" t="s">
        <v>34</v>
      </c>
      <c r="D32" s="188">
        <f>D8+H8</f>
        <v>0</v>
      </c>
      <c r="E32" s="277">
        <f>'InsHRA-Request'!C55</f>
        <v>0</v>
      </c>
      <c r="F32" s="187"/>
      <c r="G32" s="187"/>
      <c r="H32" s="724">
        <f>'InsHRA-Request'!D77</f>
        <v>0</v>
      </c>
      <c r="I32" s="724"/>
      <c r="J32" s="151">
        <f>H32+E32</f>
        <v>0</v>
      </c>
      <c r="L32" s="116"/>
    </row>
    <row r="33" spans="2:12" ht="21.75" thickBot="1" x14ac:dyDescent="0.4">
      <c r="B33" s="152">
        <v>1</v>
      </c>
      <c r="C33" s="153" t="s">
        <v>18</v>
      </c>
      <c r="D33" s="189">
        <f>D9+H9</f>
        <v>0</v>
      </c>
      <c r="E33" s="278">
        <f>'InsHRA-Request'!C56</f>
        <v>0</v>
      </c>
      <c r="F33" s="187"/>
      <c r="G33" s="187"/>
      <c r="H33" s="725">
        <f>'InsHRA-Request'!D78</f>
        <v>0</v>
      </c>
      <c r="I33" s="725"/>
      <c r="J33" s="155">
        <f>H33+E33</f>
        <v>0</v>
      </c>
      <c r="L33" s="116"/>
    </row>
    <row r="34" spans="2:12" ht="21.75" thickBot="1" x14ac:dyDescent="0.4">
      <c r="B34" s="156">
        <f>SUM(B30:B33)</f>
        <v>13</v>
      </c>
      <c r="C34" s="157"/>
      <c r="D34" s="157">
        <f>SUM(D30:D33)</f>
        <v>0</v>
      </c>
      <c r="E34" s="158">
        <f>(D30*E30)+(D31*E31)+(D33*E33)+(D32*E32)</f>
        <v>0</v>
      </c>
      <c r="F34" s="187"/>
      <c r="G34" s="187"/>
      <c r="H34" s="748">
        <f>(D30*H30)+(D31*H31)+(D33*H33)+(D32*H32)</f>
        <v>0</v>
      </c>
      <c r="I34" s="748"/>
      <c r="J34" s="159">
        <f>(D30*J30)+(D31*J31)+(D33*J33)+(D32*J32)</f>
        <v>0</v>
      </c>
    </row>
    <row r="35" spans="2:12" s="136" customFormat="1" ht="6" customHeight="1" thickTop="1" thickBot="1" x14ac:dyDescent="0.4">
      <c r="B35" s="131"/>
      <c r="C35" s="131"/>
      <c r="D35" s="131"/>
      <c r="E35" s="132"/>
      <c r="H35" s="132"/>
      <c r="I35" s="132"/>
      <c r="J35" s="135"/>
    </row>
    <row r="36" spans="2:12" ht="22.5" thickTop="1" thickBot="1" x14ac:dyDescent="0.4">
      <c r="B36" s="726" t="str">
        <f>"Proposed Plan 2: "&amp;'InsHRA-Request'!B39&amp;" &amp; Insured HRA ($"&amp;'InsHRA-Request'!E69&amp;" deductible / $"&amp;'InsHRA-Request'!E72&amp;" coinsurance)"</f>
        <v>Proposed Plan 2:  &amp; Insured HRA ($ deductible / $ coinsurance)</v>
      </c>
      <c r="C36" s="727"/>
      <c r="D36" s="727"/>
      <c r="E36" s="727"/>
      <c r="F36" s="727"/>
      <c r="G36" s="727"/>
      <c r="H36" s="727"/>
      <c r="I36" s="727"/>
      <c r="J36" s="728"/>
    </row>
    <row r="37" spans="2:12" ht="21.75" thickTop="1" x14ac:dyDescent="0.35">
      <c r="B37" s="164"/>
      <c r="C37" s="190" t="s">
        <v>30</v>
      </c>
      <c r="D37" s="191" t="s">
        <v>77</v>
      </c>
      <c r="E37" s="192">
        <f>E29</f>
        <v>0</v>
      </c>
      <c r="F37" s="193"/>
      <c r="G37" s="193"/>
      <c r="H37" s="740" t="str">
        <f>H29</f>
        <v>Insured HRA</v>
      </c>
      <c r="I37" s="740"/>
      <c r="J37" s="194" t="s">
        <v>32</v>
      </c>
    </row>
    <row r="38" spans="2:12" x14ac:dyDescent="0.35">
      <c r="B38" s="165">
        <v>28</v>
      </c>
      <c r="C38" s="195" t="s">
        <v>16</v>
      </c>
      <c r="D38" s="196">
        <f>D30</f>
        <v>0</v>
      </c>
      <c r="E38" s="283">
        <f>E30</f>
        <v>0</v>
      </c>
      <c r="F38" s="193"/>
      <c r="G38" s="193"/>
      <c r="H38" s="741">
        <f>'InsHRA-Request'!F75</f>
        <v>0</v>
      </c>
      <c r="I38" s="741"/>
      <c r="J38" s="198">
        <f>H38+E38</f>
        <v>0</v>
      </c>
      <c r="L38" s="116"/>
    </row>
    <row r="39" spans="2:12" x14ac:dyDescent="0.35">
      <c r="B39" s="166">
        <v>10</v>
      </c>
      <c r="C39" s="199" t="s">
        <v>33</v>
      </c>
      <c r="D39" s="200">
        <f>D31</f>
        <v>0</v>
      </c>
      <c r="E39" s="284">
        <f>E31</f>
        <v>0</v>
      </c>
      <c r="F39" s="193"/>
      <c r="G39" s="193"/>
      <c r="H39" s="742">
        <f>'InsHRA-Request'!F76</f>
        <v>0</v>
      </c>
      <c r="I39" s="742"/>
      <c r="J39" s="202">
        <f>H39+E39</f>
        <v>0</v>
      </c>
      <c r="L39" s="116"/>
    </row>
    <row r="40" spans="2:12" hidden="1" x14ac:dyDescent="0.35">
      <c r="B40" s="166"/>
      <c r="C40" s="199" t="s">
        <v>34</v>
      </c>
      <c r="D40" s="200">
        <f>D32</f>
        <v>0</v>
      </c>
      <c r="E40" s="284">
        <f>E32</f>
        <v>0</v>
      </c>
      <c r="F40" s="193"/>
      <c r="G40" s="193"/>
      <c r="H40" s="742">
        <f>'InsHRA-Request'!F77</f>
        <v>0</v>
      </c>
      <c r="I40" s="742"/>
      <c r="J40" s="202">
        <f>H40+E40</f>
        <v>0</v>
      </c>
      <c r="L40" s="116"/>
    </row>
    <row r="41" spans="2:12" ht="21.75" thickBot="1" x14ac:dyDescent="0.4">
      <c r="B41" s="167">
        <v>30</v>
      </c>
      <c r="C41" s="203" t="s">
        <v>18</v>
      </c>
      <c r="D41" s="204">
        <f>D33</f>
        <v>0</v>
      </c>
      <c r="E41" s="285">
        <f>E33</f>
        <v>0</v>
      </c>
      <c r="F41" s="193"/>
      <c r="G41" s="193"/>
      <c r="H41" s="743">
        <f>'InsHRA-Request'!F78</f>
        <v>0</v>
      </c>
      <c r="I41" s="743"/>
      <c r="J41" s="206">
        <f>H41+E41</f>
        <v>0</v>
      </c>
      <c r="L41" s="116"/>
    </row>
    <row r="42" spans="2:12" ht="21.75" thickBot="1" x14ac:dyDescent="0.4">
      <c r="B42" s="168">
        <f>SUM(B38:B41)</f>
        <v>68</v>
      </c>
      <c r="C42" s="207"/>
      <c r="D42" s="207">
        <f>SUM(D38:D41)</f>
        <v>0</v>
      </c>
      <c r="E42" s="208">
        <f>(D38*E38)+(D39*E39)+(D41*E41)+(D40*E40)</f>
        <v>0</v>
      </c>
      <c r="F42" s="208"/>
      <c r="G42" s="208"/>
      <c r="H42" s="744">
        <f>(D38*H38)+(D39*H39)+(D41*H41)+(D40*H40)</f>
        <v>0</v>
      </c>
      <c r="I42" s="744"/>
      <c r="J42" s="209">
        <f>(D38*J38)+(D39*J39)+(D41*J41)+(D40*J40)</f>
        <v>0</v>
      </c>
    </row>
    <row r="43" spans="2:12" s="136" customFormat="1" ht="7.5" hidden="1" customHeight="1" x14ac:dyDescent="0.35">
      <c r="B43" s="131"/>
      <c r="C43" s="131"/>
      <c r="D43" s="131"/>
      <c r="E43" s="132"/>
      <c r="F43" s="132"/>
      <c r="G43" s="132"/>
      <c r="H43" s="132"/>
      <c r="I43" s="132"/>
      <c r="J43" s="135"/>
    </row>
    <row r="44" spans="2:12" ht="22.5" hidden="1" thickTop="1" thickBot="1" x14ac:dyDescent="0.4">
      <c r="B44" s="169"/>
      <c r="C44" s="731" t="s">
        <v>66</v>
      </c>
      <c r="D44" s="731"/>
      <c r="E44" s="731"/>
      <c r="F44" s="731"/>
      <c r="G44" s="731"/>
      <c r="H44" s="731"/>
      <c r="I44" s="731"/>
      <c r="J44" s="170">
        <f>J42+J34</f>
        <v>0</v>
      </c>
    </row>
    <row r="45" spans="2:12" s="271" customFormat="1" ht="6" customHeight="1" thickTop="1" thickBot="1" x14ac:dyDescent="0.4">
      <c r="B45" s="272"/>
      <c r="C45" s="273"/>
      <c r="D45" s="273"/>
      <c r="E45" s="273"/>
      <c r="F45" s="273"/>
      <c r="G45" s="273"/>
      <c r="H45" s="273"/>
      <c r="I45" s="273"/>
      <c r="J45" s="274"/>
    </row>
    <row r="46" spans="2:12" ht="22.5" thickTop="1" thickBot="1" x14ac:dyDescent="0.4">
      <c r="B46" s="726" t="str">
        <f>"Proposed Plan 3: "&amp;'InsHRA-Request'!B39&amp;" &amp; Insured HRA ($"&amp;'InsHRA-Request'!G69&amp;" deductible / $"&amp;'InsHRA-Request'!G72&amp;" coinsurance)"</f>
        <v>Proposed Plan 3:  &amp; Insured HRA ($ deductible / $ coinsurance)</v>
      </c>
      <c r="C46" s="727"/>
      <c r="D46" s="727"/>
      <c r="E46" s="727"/>
      <c r="F46" s="727"/>
      <c r="G46" s="727"/>
      <c r="H46" s="727"/>
      <c r="I46" s="727"/>
      <c r="J46" s="728"/>
    </row>
    <row r="47" spans="2:12" ht="21.75" thickTop="1" x14ac:dyDescent="0.35">
      <c r="B47" s="304"/>
      <c r="C47" s="305" t="s">
        <v>30</v>
      </c>
      <c r="D47" s="306" t="s">
        <v>77</v>
      </c>
      <c r="E47" s="307">
        <f>E37</f>
        <v>0</v>
      </c>
      <c r="F47" s="308"/>
      <c r="G47" s="308"/>
      <c r="H47" s="729" t="str">
        <f>H37</f>
        <v>Insured HRA</v>
      </c>
      <c r="I47" s="729"/>
      <c r="J47" s="309" t="s">
        <v>32</v>
      </c>
    </row>
    <row r="48" spans="2:12" x14ac:dyDescent="0.35">
      <c r="B48" s="310">
        <v>28</v>
      </c>
      <c r="C48" s="311" t="s">
        <v>16</v>
      </c>
      <c r="D48" s="312">
        <f>D38</f>
        <v>0</v>
      </c>
      <c r="E48" s="313">
        <f>E38</f>
        <v>0</v>
      </c>
      <c r="F48" s="308"/>
      <c r="G48" s="308"/>
      <c r="H48" s="730">
        <f>'InsHRA-Request'!H75</f>
        <v>0</v>
      </c>
      <c r="I48" s="730"/>
      <c r="J48" s="314">
        <f>H48+E48</f>
        <v>0</v>
      </c>
      <c r="L48" s="116"/>
    </row>
    <row r="49" spans="2:12" x14ac:dyDescent="0.35">
      <c r="B49" s="315">
        <v>10</v>
      </c>
      <c r="C49" s="316" t="s">
        <v>33</v>
      </c>
      <c r="D49" s="317">
        <f>D39</f>
        <v>0</v>
      </c>
      <c r="E49" s="318">
        <f>E39</f>
        <v>0</v>
      </c>
      <c r="F49" s="308"/>
      <c r="G49" s="308"/>
      <c r="H49" s="745">
        <f>'InsHRA-Request'!H76</f>
        <v>0</v>
      </c>
      <c r="I49" s="745"/>
      <c r="J49" s="319">
        <f>H49+E49</f>
        <v>0</v>
      </c>
      <c r="L49" s="116"/>
    </row>
    <row r="50" spans="2:12" hidden="1" x14ac:dyDescent="0.35">
      <c r="B50" s="315"/>
      <c r="C50" s="316" t="s">
        <v>34</v>
      </c>
      <c r="D50" s="317">
        <f>D40</f>
        <v>0</v>
      </c>
      <c r="E50" s="318">
        <f>E40</f>
        <v>0</v>
      </c>
      <c r="F50" s="308"/>
      <c r="G50" s="308"/>
      <c r="H50" s="745">
        <f>'InsHRA-Request'!H77</f>
        <v>0</v>
      </c>
      <c r="I50" s="745"/>
      <c r="J50" s="319">
        <f>H50+E50</f>
        <v>0</v>
      </c>
      <c r="L50" s="116"/>
    </row>
    <row r="51" spans="2:12" ht="21.75" thickBot="1" x14ac:dyDescent="0.4">
      <c r="B51" s="320">
        <v>30</v>
      </c>
      <c r="C51" s="321" t="s">
        <v>18</v>
      </c>
      <c r="D51" s="322">
        <f>D41</f>
        <v>0</v>
      </c>
      <c r="E51" s="323">
        <f>E41</f>
        <v>0</v>
      </c>
      <c r="F51" s="308"/>
      <c r="G51" s="308"/>
      <c r="H51" s="746">
        <f>'InsHRA-Request'!H78</f>
        <v>0</v>
      </c>
      <c r="I51" s="746"/>
      <c r="J51" s="324">
        <f>H51+E51</f>
        <v>0</v>
      </c>
      <c r="L51" s="116"/>
    </row>
    <row r="52" spans="2:12" ht="21.75" thickBot="1" x14ac:dyDescent="0.4">
      <c r="B52" s="325">
        <f>SUM(B48:B51)</f>
        <v>68</v>
      </c>
      <c r="C52" s="326"/>
      <c r="D52" s="326">
        <f>SUM(D48:D51)</f>
        <v>0</v>
      </c>
      <c r="E52" s="327">
        <f>(D48*E48)+(D49*E49)+(D51*E51)+(D50*E50)</f>
        <v>0</v>
      </c>
      <c r="F52" s="327"/>
      <c r="G52" s="327"/>
      <c r="H52" s="747">
        <f>(D48*H48)+(D49*H49)+(D51*H51)+(D50*H50)</f>
        <v>0</v>
      </c>
      <c r="I52" s="747"/>
      <c r="J52" s="328">
        <f>(D48*J48)+(D49*J49)+(D51*J51)+(D50*J50)</f>
        <v>0</v>
      </c>
    </row>
    <row r="53" spans="2:12" ht="21.75" hidden="1" thickTop="1" x14ac:dyDescent="0.35">
      <c r="B53" s="268"/>
      <c r="C53" s="269"/>
      <c r="D53" s="269"/>
      <c r="E53" s="269"/>
      <c r="F53" s="269"/>
      <c r="G53" s="269"/>
      <c r="H53" s="269"/>
      <c r="I53" s="269"/>
      <c r="J53" s="270"/>
    </row>
    <row r="54" spans="2:12" hidden="1" x14ac:dyDescent="0.35">
      <c r="B54" s="268"/>
      <c r="C54" s="269"/>
      <c r="D54" s="269"/>
      <c r="E54" s="269"/>
      <c r="F54" s="269"/>
      <c r="G54" s="269"/>
      <c r="H54" s="269"/>
      <c r="I54" s="269"/>
      <c r="J54" s="270"/>
    </row>
    <row r="55" spans="2:12" hidden="1" x14ac:dyDescent="0.35">
      <c r="B55" s="268"/>
      <c r="C55" s="269"/>
      <c r="D55" s="269"/>
      <c r="E55" s="269"/>
      <c r="F55" s="269"/>
      <c r="G55" s="269"/>
      <c r="H55" s="269"/>
      <c r="I55" s="269"/>
      <c r="J55" s="270"/>
    </row>
    <row r="56" spans="2:12" s="136" customFormat="1" ht="12" customHeight="1" thickTop="1" thickBot="1" x14ac:dyDescent="0.4">
      <c r="B56" s="171"/>
      <c r="C56" s="172"/>
      <c r="D56" s="171"/>
      <c r="E56" s="171"/>
      <c r="F56" s="171"/>
      <c r="G56" s="171"/>
      <c r="H56" s="171"/>
      <c r="I56" s="171"/>
      <c r="J56" s="173"/>
    </row>
    <row r="57" spans="2:12" s="136" customFormat="1" ht="22.5" thickTop="1" thickBot="1" x14ac:dyDescent="0.4">
      <c r="B57" s="720" t="s">
        <v>67</v>
      </c>
      <c r="C57" s="721"/>
      <c r="D57" s="721"/>
      <c r="E57" s="721"/>
      <c r="F57" s="721"/>
      <c r="G57" s="721"/>
      <c r="H57" s="721"/>
      <c r="I57" s="721"/>
      <c r="J57" s="722"/>
    </row>
    <row r="58" spans="2:12" s="136" customFormat="1" ht="6" customHeight="1" thickTop="1" thickBot="1" x14ac:dyDescent="0.4">
      <c r="B58" s="171"/>
      <c r="C58" s="172"/>
      <c r="D58" s="171"/>
      <c r="E58" s="171"/>
      <c r="F58" s="171"/>
      <c r="G58" s="171"/>
      <c r="H58" s="171"/>
      <c r="I58" s="171"/>
      <c r="J58" s="173"/>
    </row>
    <row r="59" spans="2:12" ht="22.5" thickTop="1" thickBot="1" x14ac:dyDescent="0.4">
      <c r="B59" s="212"/>
      <c r="C59" s="739" t="s">
        <v>68</v>
      </c>
      <c r="D59" s="739"/>
      <c r="E59" s="739"/>
      <c r="F59" s="739"/>
      <c r="G59" s="739"/>
      <c r="H59" s="739"/>
      <c r="I59" s="739"/>
      <c r="J59" s="213">
        <f>12*(J18-J34)</f>
        <v>0</v>
      </c>
    </row>
    <row r="60" spans="2:12" s="136" customFormat="1" ht="6" customHeight="1" thickTop="1" thickBot="1" x14ac:dyDescent="0.4">
      <c r="B60" s="171"/>
      <c r="C60" s="174"/>
      <c r="J60" s="175"/>
    </row>
    <row r="61" spans="2:12" ht="22.5" thickTop="1" thickBot="1" x14ac:dyDescent="0.4">
      <c r="B61" s="210"/>
      <c r="C61" s="719" t="s">
        <v>69</v>
      </c>
      <c r="D61" s="719"/>
      <c r="E61" s="719"/>
      <c r="F61" s="719"/>
      <c r="G61" s="719"/>
      <c r="H61" s="719"/>
      <c r="I61" s="719"/>
      <c r="J61" s="211">
        <f>12*(J18-J42)</f>
        <v>0</v>
      </c>
    </row>
    <row r="62" spans="2:12" s="177" customFormat="1" ht="6" customHeight="1" thickTop="1" thickBot="1" x14ac:dyDescent="0.4">
      <c r="C62" s="178"/>
    </row>
    <row r="63" spans="2:12" ht="22.5" thickTop="1" thickBot="1" x14ac:dyDescent="0.4">
      <c r="B63" s="329"/>
      <c r="C63" s="718" t="s">
        <v>69</v>
      </c>
      <c r="D63" s="718"/>
      <c r="E63" s="718"/>
      <c r="F63" s="718"/>
      <c r="G63" s="718"/>
      <c r="H63" s="718"/>
      <c r="I63" s="718"/>
      <c r="J63" s="331">
        <f>12*(J18-J52)</f>
        <v>0</v>
      </c>
    </row>
    <row r="64" spans="2:12" s="177" customFormat="1" ht="21.75" thickTop="1" x14ac:dyDescent="0.35">
      <c r="C64" s="178"/>
      <c r="I64" s="179"/>
      <c r="J64" s="180"/>
    </row>
  </sheetData>
  <mergeCells count="31">
    <mergeCell ref="B27:J27"/>
    <mergeCell ref="B1:J1"/>
    <mergeCell ref="B2:J2"/>
    <mergeCell ref="B4:J4"/>
    <mergeCell ref="B12:J12"/>
    <mergeCell ref="B19:J19"/>
    <mergeCell ref="H41:I41"/>
    <mergeCell ref="H29:I29"/>
    <mergeCell ref="H30:I30"/>
    <mergeCell ref="H31:I31"/>
    <mergeCell ref="H32:I32"/>
    <mergeCell ref="H33:I33"/>
    <mergeCell ref="H34:I34"/>
    <mergeCell ref="B36:J36"/>
    <mergeCell ref="H37:I37"/>
    <mergeCell ref="H38:I38"/>
    <mergeCell ref="H39:I39"/>
    <mergeCell ref="H40:I40"/>
    <mergeCell ref="H51:I51"/>
    <mergeCell ref="H52:I52"/>
    <mergeCell ref="C63:I63"/>
    <mergeCell ref="H42:I42"/>
    <mergeCell ref="C44:I44"/>
    <mergeCell ref="B57:J57"/>
    <mergeCell ref="C59:I59"/>
    <mergeCell ref="C61:I61"/>
    <mergeCell ref="B46:J46"/>
    <mergeCell ref="H47:I47"/>
    <mergeCell ref="H48:I48"/>
    <mergeCell ref="H49:I49"/>
    <mergeCell ref="H50:I50"/>
  </mergeCells>
  <pageMargins left="0.55000000000000004" right="0.05" top="0.05" bottom="0.05" header="0.3" footer="0.3"/>
  <pageSetup scale="84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[1]Sheet1!#REF!</xm:f>
          </x14:formula1>
          <xm:sqref>G28:H28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B1:L53"/>
  <sheetViews>
    <sheetView topLeftCell="A13" workbookViewId="0">
      <selection activeCell="A40" activeCellId="3" sqref="A8:XFD8 A16:XFD16 A32:XFD32 A40:XFD40"/>
    </sheetView>
  </sheetViews>
  <sheetFormatPr defaultRowHeight="21" x14ac:dyDescent="0.35"/>
  <cols>
    <col min="1" max="1" width="2.140625" style="93" customWidth="1"/>
    <col min="2" max="2" width="0.5703125" style="93" customWidth="1"/>
    <col min="3" max="3" width="15.42578125" style="176" customWidth="1"/>
    <col min="4" max="4" width="9.85546875" style="93" customWidth="1"/>
    <col min="5" max="5" width="21.28515625" style="93" customWidth="1"/>
    <col min="6" max="6" width="8.140625" style="93" hidden="1" customWidth="1"/>
    <col min="7" max="7" width="8.85546875" style="93" hidden="1" customWidth="1"/>
    <col min="8" max="8" width="9.85546875" style="93" customWidth="1"/>
    <col min="9" max="9" width="21.42578125" style="93" customWidth="1"/>
    <col min="10" max="10" width="19.28515625" style="93" customWidth="1"/>
    <col min="11" max="11" width="1" style="93" customWidth="1"/>
    <col min="12" max="16384" width="9.140625" style="93"/>
  </cols>
  <sheetData>
    <row r="1" spans="2:12" ht="24" thickTop="1" x14ac:dyDescent="0.35">
      <c r="B1" s="732" t="s">
        <v>38</v>
      </c>
      <c r="C1" s="733"/>
      <c r="D1" s="733"/>
      <c r="E1" s="733"/>
      <c r="F1" s="733"/>
      <c r="G1" s="733"/>
      <c r="H1" s="733"/>
      <c r="I1" s="733"/>
      <c r="J1" s="734"/>
    </row>
    <row r="2" spans="2:12" ht="21.75" customHeight="1" thickBot="1" x14ac:dyDescent="0.4">
      <c r="B2" s="735">
        <f>'InsHRA-Request'!B3</f>
        <v>0</v>
      </c>
      <c r="C2" s="736"/>
      <c r="D2" s="736"/>
      <c r="E2" s="736"/>
      <c r="F2" s="736"/>
      <c r="G2" s="736"/>
      <c r="H2" s="736"/>
      <c r="I2" s="736"/>
      <c r="J2" s="737"/>
    </row>
    <row r="3" spans="2:12" ht="6" customHeight="1" thickTop="1" thickBot="1" x14ac:dyDescent="0.4">
      <c r="B3" s="108"/>
      <c r="C3" s="108"/>
      <c r="D3" s="108"/>
      <c r="E3" s="108"/>
      <c r="F3" s="108"/>
      <c r="G3" s="108"/>
      <c r="H3" s="108"/>
      <c r="I3" s="108"/>
      <c r="J3" s="108"/>
    </row>
    <row r="4" spans="2:12" ht="22.5" thickTop="1" thickBot="1" x14ac:dyDescent="0.4">
      <c r="B4" s="720" t="s">
        <v>75</v>
      </c>
      <c r="C4" s="721"/>
      <c r="D4" s="721"/>
      <c r="E4" s="721"/>
      <c r="F4" s="721"/>
      <c r="G4" s="721"/>
      <c r="H4" s="721"/>
      <c r="I4" s="721"/>
      <c r="J4" s="722"/>
    </row>
    <row r="5" spans="2:12" ht="21.75" thickTop="1" x14ac:dyDescent="0.35">
      <c r="B5" s="109"/>
      <c r="C5" s="110" t="s">
        <v>30</v>
      </c>
      <c r="D5" s="110" t="s">
        <v>77</v>
      </c>
      <c r="E5" s="257">
        <f>'InsHRA-Request'!B11</f>
        <v>0</v>
      </c>
      <c r="F5" s="111"/>
      <c r="G5" s="111"/>
      <c r="H5" s="262" t="s">
        <v>77</v>
      </c>
      <c r="I5" s="265">
        <f>'InsHRA-Request'!E11</f>
        <v>0</v>
      </c>
      <c r="J5" s="225" t="s">
        <v>32</v>
      </c>
    </row>
    <row r="6" spans="2:12" x14ac:dyDescent="0.35">
      <c r="B6" s="112"/>
      <c r="C6" s="113" t="s">
        <v>16</v>
      </c>
      <c r="D6" s="396">
        <f>'InsHRA-Request'!B25</f>
        <v>0</v>
      </c>
      <c r="E6" s="214">
        <f>'InsHRA-Request'!C25</f>
        <v>0</v>
      </c>
      <c r="F6" s="114"/>
      <c r="G6" s="115"/>
      <c r="H6" s="226">
        <f>'InsHRA-Request'!E25</f>
        <v>0</v>
      </c>
      <c r="I6" s="227">
        <f>'InsHRA-Request'!F25</f>
        <v>0</v>
      </c>
      <c r="J6" s="228"/>
      <c r="L6" s="116"/>
    </row>
    <row r="7" spans="2:12" x14ac:dyDescent="0.35">
      <c r="B7" s="117"/>
      <c r="C7" s="118" t="s">
        <v>33</v>
      </c>
      <c r="D7" s="397">
        <f>'InsHRA-Request'!B26</f>
        <v>0</v>
      </c>
      <c r="E7" s="215">
        <f>'InsHRA-Request'!C26</f>
        <v>0</v>
      </c>
      <c r="F7" s="119"/>
      <c r="G7" s="120"/>
      <c r="H7" s="229">
        <f>'InsHRA-Request'!E26</f>
        <v>0</v>
      </c>
      <c r="I7" s="230">
        <f>'InsHRA-Request'!F26</f>
        <v>0</v>
      </c>
      <c r="J7" s="231"/>
      <c r="L7" s="116"/>
    </row>
    <row r="8" spans="2:12" hidden="1" x14ac:dyDescent="0.35">
      <c r="B8" s="117"/>
      <c r="C8" s="118" t="s">
        <v>34</v>
      </c>
      <c r="D8" s="397">
        <f>'InsHRA-Request'!B27</f>
        <v>0</v>
      </c>
      <c r="E8" s="215">
        <f>'InsHRA-Request'!C27</f>
        <v>0</v>
      </c>
      <c r="F8" s="119"/>
      <c r="G8" s="120"/>
      <c r="H8" s="229">
        <f>'InsHRA-Request'!E27</f>
        <v>0</v>
      </c>
      <c r="I8" s="230">
        <f>'InsHRA-Request'!F27</f>
        <v>0</v>
      </c>
      <c r="J8" s="231"/>
      <c r="L8" s="116"/>
    </row>
    <row r="9" spans="2:12" ht="21.75" thickBot="1" x14ac:dyDescent="0.4">
      <c r="B9" s="121"/>
      <c r="C9" s="122" t="s">
        <v>18</v>
      </c>
      <c r="D9" s="398">
        <f>'InsHRA-Request'!B28</f>
        <v>0</v>
      </c>
      <c r="E9" s="125">
        <f>'InsHRA-Request'!C28</f>
        <v>0</v>
      </c>
      <c r="F9" s="123"/>
      <c r="G9" s="124"/>
      <c r="H9" s="232">
        <f>'InsHRA-Request'!E28</f>
        <v>0</v>
      </c>
      <c r="I9" s="233">
        <f>'InsHRA-Request'!F28</f>
        <v>0</v>
      </c>
      <c r="J9" s="286"/>
      <c r="K9" s="126"/>
      <c r="L9" s="116"/>
    </row>
    <row r="10" spans="2:12" ht="21.75" thickBot="1" x14ac:dyDescent="0.4">
      <c r="B10" s="127"/>
      <c r="C10" s="128"/>
      <c r="D10" s="128">
        <f>SUM(D6:D9)</f>
        <v>0</v>
      </c>
      <c r="E10" s="216">
        <f>(D6*E6)+(D7*E7)+(D9*E9)+(D8*E8)</f>
        <v>0</v>
      </c>
      <c r="F10" s="129"/>
      <c r="G10" s="130"/>
      <c r="H10" s="234">
        <f>SUM(H6:H9)</f>
        <v>0</v>
      </c>
      <c r="I10" s="235">
        <f>(H6*I6)+(H7*I7)+(H9*I9)+(H8*I8)</f>
        <v>0</v>
      </c>
      <c r="J10" s="236">
        <f>I10+E10</f>
        <v>0</v>
      </c>
    </row>
    <row r="11" spans="2:12" s="136" customFormat="1" ht="6" customHeight="1" thickTop="1" thickBot="1" x14ac:dyDescent="0.4">
      <c r="B11" s="131"/>
      <c r="C11" s="131"/>
      <c r="D11" s="131"/>
      <c r="E11" s="132"/>
      <c r="F11" s="133"/>
      <c r="G11" s="134"/>
      <c r="H11" s="133"/>
      <c r="I11" s="132"/>
      <c r="J11" s="135"/>
    </row>
    <row r="12" spans="2:12" ht="22.5" thickTop="1" thickBot="1" x14ac:dyDescent="0.4">
      <c r="B12" s="720" t="s">
        <v>76</v>
      </c>
      <c r="C12" s="721"/>
      <c r="D12" s="721"/>
      <c r="E12" s="721"/>
      <c r="F12" s="721"/>
      <c r="G12" s="721"/>
      <c r="H12" s="721"/>
      <c r="I12" s="721"/>
      <c r="J12" s="722"/>
    </row>
    <row r="13" spans="2:12" ht="21.75" thickTop="1" x14ac:dyDescent="0.35">
      <c r="B13" s="241"/>
      <c r="C13" s="242" t="s">
        <v>30</v>
      </c>
      <c r="D13" s="242" t="s">
        <v>77</v>
      </c>
      <c r="E13" s="267">
        <f>E5</f>
        <v>0</v>
      </c>
      <c r="F13" s="263"/>
      <c r="G13" s="263"/>
      <c r="H13" s="264" t="s">
        <v>77</v>
      </c>
      <c r="I13" s="266">
        <f>I5</f>
        <v>0</v>
      </c>
      <c r="J13" s="137" t="s">
        <v>32</v>
      </c>
    </row>
    <row r="14" spans="2:12" x14ac:dyDescent="0.35">
      <c r="B14" s="243"/>
      <c r="C14" s="244" t="s">
        <v>16</v>
      </c>
      <c r="D14" s="244">
        <f>D6</f>
        <v>0</v>
      </c>
      <c r="E14" s="237">
        <f>'InsHRA-Request'!D25</f>
        <v>0</v>
      </c>
      <c r="F14" s="114"/>
      <c r="G14" s="115"/>
      <c r="H14" s="217">
        <f>H6</f>
        <v>0</v>
      </c>
      <c r="I14" s="218">
        <f>'InsHRA-Request'!G25</f>
        <v>0</v>
      </c>
      <c r="J14" s="138"/>
      <c r="L14" s="116"/>
    </row>
    <row r="15" spans="2:12" x14ac:dyDescent="0.35">
      <c r="B15" s="245"/>
      <c r="C15" s="246" t="s">
        <v>33</v>
      </c>
      <c r="D15" s="246">
        <f>D7</f>
        <v>0</v>
      </c>
      <c r="E15" s="238">
        <f>'InsHRA-Request'!D26</f>
        <v>0</v>
      </c>
      <c r="F15" s="119"/>
      <c r="G15" s="120"/>
      <c r="H15" s="219">
        <f>H7</f>
        <v>0</v>
      </c>
      <c r="I15" s="220">
        <f>'InsHRA-Request'!G26</f>
        <v>0</v>
      </c>
      <c r="J15" s="139"/>
      <c r="L15" s="116"/>
    </row>
    <row r="16" spans="2:12" hidden="1" x14ac:dyDescent="0.35">
      <c r="B16" s="245"/>
      <c r="C16" s="246" t="s">
        <v>34</v>
      </c>
      <c r="D16" s="246">
        <f>D8</f>
        <v>0</v>
      </c>
      <c r="E16" s="238">
        <f>'InsHRA-Request'!D27</f>
        <v>0</v>
      </c>
      <c r="F16" s="119"/>
      <c r="G16" s="120"/>
      <c r="H16" s="219">
        <f>H8</f>
        <v>0</v>
      </c>
      <c r="I16" s="220">
        <f>'InsHRA-Request'!G27</f>
        <v>0</v>
      </c>
      <c r="J16" s="139"/>
      <c r="L16" s="116"/>
    </row>
    <row r="17" spans="2:12" ht="21.75" thickBot="1" x14ac:dyDescent="0.4">
      <c r="B17" s="247"/>
      <c r="C17" s="248" t="s">
        <v>18</v>
      </c>
      <c r="D17" s="248">
        <f>D9</f>
        <v>0</v>
      </c>
      <c r="E17" s="239">
        <f>'InsHRA-Request'!D28</f>
        <v>0</v>
      </c>
      <c r="F17" s="123"/>
      <c r="G17" s="124"/>
      <c r="H17" s="221">
        <f>H9</f>
        <v>0</v>
      </c>
      <c r="I17" s="222">
        <f>'InsHRA-Request'!G28</f>
        <v>0</v>
      </c>
      <c r="J17" s="140"/>
      <c r="L17" s="116"/>
    </row>
    <row r="18" spans="2:12" ht="21.75" thickBot="1" x14ac:dyDescent="0.4">
      <c r="B18" s="249"/>
      <c r="C18" s="250"/>
      <c r="D18" s="250">
        <f>SUM(D14:D17)</f>
        <v>0</v>
      </c>
      <c r="E18" s="240">
        <f>(D14*E14)+(D15*E15)+(D17*E17)+(D16*E16)</f>
        <v>0</v>
      </c>
      <c r="F18" s="129"/>
      <c r="G18" s="130"/>
      <c r="H18" s="223">
        <f>SUM(H14:H17)</f>
        <v>0</v>
      </c>
      <c r="I18" s="224">
        <f>(H14*I14)+(H15*I15)+(H17*I17)+(H16*I16)</f>
        <v>0</v>
      </c>
      <c r="J18" s="141">
        <f>I18+E18</f>
        <v>0</v>
      </c>
    </row>
    <row r="19" spans="2:12" ht="22.5" hidden="1" thickTop="1" thickBot="1" x14ac:dyDescent="0.4">
      <c r="B19" s="720" t="s">
        <v>63</v>
      </c>
      <c r="C19" s="721"/>
      <c r="D19" s="721"/>
      <c r="E19" s="721"/>
      <c r="F19" s="721"/>
      <c r="G19" s="721"/>
      <c r="H19" s="721"/>
      <c r="I19" s="721"/>
      <c r="J19" s="722"/>
    </row>
    <row r="20" spans="2:12" ht="21.75" hidden="1" thickTop="1" x14ac:dyDescent="0.35">
      <c r="B20" s="102"/>
      <c r="C20" s="103" t="s">
        <v>30</v>
      </c>
      <c r="D20" s="142" t="s">
        <v>29</v>
      </c>
      <c r="E20" s="103" t="s">
        <v>31</v>
      </c>
      <c r="F20" s="103"/>
      <c r="G20" s="143" t="s">
        <v>64</v>
      </c>
      <c r="H20" s="143"/>
      <c r="I20" s="103"/>
      <c r="J20" s="104" t="s">
        <v>32</v>
      </c>
    </row>
    <row r="21" spans="2:12" ht="21.75" hidden="1" thickTop="1" x14ac:dyDescent="0.35">
      <c r="B21" s="144"/>
      <c r="C21" s="145" t="s">
        <v>16</v>
      </c>
      <c r="D21" s="145"/>
      <c r="E21" s="276">
        <v>247.46</v>
      </c>
      <c r="F21" s="276"/>
      <c r="G21" s="276">
        <v>137.81</v>
      </c>
      <c r="H21" s="276"/>
      <c r="I21" s="276" t="str">
        <f>[1]TransRates!$W$29</f>
        <v/>
      </c>
      <c r="J21" s="147">
        <f>SUM(E21:I21)</f>
        <v>385.27</v>
      </c>
      <c r="L21" s="116"/>
    </row>
    <row r="22" spans="2:12" ht="21.75" hidden="1" thickTop="1" x14ac:dyDescent="0.35">
      <c r="B22" s="148"/>
      <c r="C22" s="149" t="s">
        <v>33</v>
      </c>
      <c r="D22" s="149"/>
      <c r="E22" s="277">
        <v>593.89</v>
      </c>
      <c r="F22" s="277"/>
      <c r="G22" s="277">
        <v>263.48</v>
      </c>
      <c r="H22" s="277"/>
      <c r="I22" s="277" t="str">
        <f>[1]TransRates!$W$30</f>
        <v/>
      </c>
      <c r="J22" s="151">
        <f>SUM(E22:I22)</f>
        <v>857.37</v>
      </c>
      <c r="L22" s="116"/>
    </row>
    <row r="23" spans="2:12" ht="21.75" hidden="1" thickTop="1" x14ac:dyDescent="0.35">
      <c r="B23" s="148"/>
      <c r="C23" s="149" t="s">
        <v>34</v>
      </c>
      <c r="D23" s="149"/>
      <c r="E23" s="277">
        <f>[1]Census!O17</f>
        <v>0</v>
      </c>
      <c r="F23" s="277"/>
      <c r="G23" s="277">
        <v>0</v>
      </c>
      <c r="H23" s="277"/>
      <c r="I23" s="277" t="str">
        <f>[1]TransRates!$W$31</f>
        <v/>
      </c>
      <c r="J23" s="151">
        <f>SUM(E23:I23)</f>
        <v>0</v>
      </c>
      <c r="L23" s="116"/>
    </row>
    <row r="24" spans="2:12" ht="22.5" hidden="1" thickTop="1" thickBot="1" x14ac:dyDescent="0.4">
      <c r="B24" s="152"/>
      <c r="C24" s="153" t="s">
        <v>18</v>
      </c>
      <c r="D24" s="153"/>
      <c r="E24" s="278">
        <v>742.37</v>
      </c>
      <c r="F24" s="278"/>
      <c r="G24" s="278">
        <v>373.27</v>
      </c>
      <c r="H24" s="278"/>
      <c r="I24" s="278" t="str">
        <f>[1]TransRates!$W$32</f>
        <v/>
      </c>
      <c r="J24" s="155">
        <f>SUM(E24:I24)</f>
        <v>1115.6399999999999</v>
      </c>
      <c r="L24" s="116"/>
    </row>
    <row r="25" spans="2:12" ht="22.5" hidden="1" thickTop="1" thickBot="1" x14ac:dyDescent="0.4">
      <c r="B25" s="156">
        <f>SUM(B21:B24)</f>
        <v>0</v>
      </c>
      <c r="C25" s="157"/>
      <c r="D25" s="157"/>
      <c r="E25" s="158"/>
      <c r="F25" s="158"/>
      <c r="G25" s="158"/>
      <c r="H25" s="158"/>
      <c r="I25" s="158"/>
      <c r="J25" s="159"/>
    </row>
    <row r="26" spans="2:12" s="136" customFormat="1" ht="6" customHeight="1" thickTop="1" thickBot="1" x14ac:dyDescent="0.4">
      <c r="B26" s="131"/>
      <c r="C26" s="131"/>
      <c r="D26" s="131"/>
      <c r="E26" s="132"/>
      <c r="F26" s="132"/>
      <c r="G26" s="132"/>
      <c r="H26" s="132"/>
      <c r="I26" s="132"/>
      <c r="J26" s="135"/>
    </row>
    <row r="27" spans="2:12" ht="22.5" thickTop="1" thickBot="1" x14ac:dyDescent="0.4">
      <c r="B27" s="726" t="str">
        <f>"Proposed Plan 1: "&amp;'InsHRA-Request'!B39&amp;" &amp; Insured HRA ($"&amp;'InsHRA-Request'!C69&amp;" deductible / $"&amp;'InsHRA-Request'!C72&amp;" coinsurance)"</f>
        <v>Proposed Plan 1:  &amp; Insured HRA ($ deductible / $ coinsurance)</v>
      </c>
      <c r="C27" s="727"/>
      <c r="D27" s="727"/>
      <c r="E27" s="727"/>
      <c r="F27" s="727"/>
      <c r="G27" s="727"/>
      <c r="H27" s="727"/>
      <c r="I27" s="727"/>
      <c r="J27" s="728"/>
    </row>
    <row r="28" spans="2:12" ht="2.25" customHeight="1" thickTop="1" x14ac:dyDescent="0.35">
      <c r="B28" s="160"/>
      <c r="C28" s="161"/>
      <c r="D28" s="160"/>
      <c r="E28" s="161"/>
      <c r="F28" s="161"/>
      <c r="G28" s="162" t="s">
        <v>65</v>
      </c>
      <c r="H28" s="162"/>
      <c r="I28" s="161"/>
      <c r="J28" s="163"/>
    </row>
    <row r="29" spans="2:12" x14ac:dyDescent="0.35">
      <c r="B29" s="181"/>
      <c r="C29" s="182" t="s">
        <v>30</v>
      </c>
      <c r="D29" s="182" t="s">
        <v>29</v>
      </c>
      <c r="E29" s="183">
        <f>'InsHRA-Request'!B39</f>
        <v>0</v>
      </c>
      <c r="F29" s="184"/>
      <c r="G29" s="184"/>
      <c r="H29" s="738" t="s">
        <v>35</v>
      </c>
      <c r="I29" s="738"/>
      <c r="J29" s="185" t="s">
        <v>32</v>
      </c>
    </row>
    <row r="30" spans="2:12" x14ac:dyDescent="0.35">
      <c r="B30" s="144">
        <v>12</v>
      </c>
      <c r="C30" s="145" t="s">
        <v>16</v>
      </c>
      <c r="D30" s="186">
        <f>D6+H6</f>
        <v>0</v>
      </c>
      <c r="E30" s="276">
        <f>'InsHRA-Request'!C53</f>
        <v>0</v>
      </c>
      <c r="F30" s="187"/>
      <c r="G30" s="187"/>
      <c r="H30" s="723">
        <f>'InsHRA-Request'!D75</f>
        <v>0</v>
      </c>
      <c r="I30" s="723"/>
      <c r="J30" s="147">
        <f>H30+E30</f>
        <v>0</v>
      </c>
      <c r="L30" s="116"/>
    </row>
    <row r="31" spans="2:12" x14ac:dyDescent="0.35">
      <c r="B31" s="148">
        <v>0</v>
      </c>
      <c r="C31" s="149" t="s">
        <v>33</v>
      </c>
      <c r="D31" s="188">
        <f>D7+H7</f>
        <v>0</v>
      </c>
      <c r="E31" s="277">
        <f>'InsHRA-Request'!C54</f>
        <v>0</v>
      </c>
      <c r="F31" s="187"/>
      <c r="G31" s="187"/>
      <c r="H31" s="724">
        <f>'InsHRA-Request'!D76</f>
        <v>0</v>
      </c>
      <c r="I31" s="724"/>
      <c r="J31" s="151">
        <f>H31+E31</f>
        <v>0</v>
      </c>
      <c r="L31" s="116"/>
    </row>
    <row r="32" spans="2:12" hidden="1" x14ac:dyDescent="0.35">
      <c r="B32" s="148"/>
      <c r="C32" s="149" t="s">
        <v>34</v>
      </c>
      <c r="D32" s="188">
        <f>D8+H8</f>
        <v>0</v>
      </c>
      <c r="E32" s="277">
        <f>'InsHRA-Request'!C55</f>
        <v>0</v>
      </c>
      <c r="F32" s="187"/>
      <c r="G32" s="187"/>
      <c r="H32" s="724">
        <f>'InsHRA-Request'!D77</f>
        <v>0</v>
      </c>
      <c r="I32" s="724"/>
      <c r="J32" s="151">
        <f>H32+E32</f>
        <v>0</v>
      </c>
      <c r="L32" s="116"/>
    </row>
    <row r="33" spans="2:12" ht="21.75" thickBot="1" x14ac:dyDescent="0.4">
      <c r="B33" s="152">
        <v>1</v>
      </c>
      <c r="C33" s="153" t="s">
        <v>18</v>
      </c>
      <c r="D33" s="189">
        <f>D9+H9</f>
        <v>0</v>
      </c>
      <c r="E33" s="278">
        <f>'InsHRA-Request'!C56</f>
        <v>0</v>
      </c>
      <c r="F33" s="187"/>
      <c r="G33" s="187"/>
      <c r="H33" s="725">
        <f>'InsHRA-Request'!D78</f>
        <v>0</v>
      </c>
      <c r="I33" s="725"/>
      <c r="J33" s="155">
        <f>H33+E33</f>
        <v>0</v>
      </c>
      <c r="L33" s="116"/>
    </row>
    <row r="34" spans="2:12" ht="21.75" thickBot="1" x14ac:dyDescent="0.4">
      <c r="B34" s="156">
        <f>SUM(B30:B33)</f>
        <v>13</v>
      </c>
      <c r="C34" s="157"/>
      <c r="D34" s="157">
        <f>SUM(D30:D33)</f>
        <v>0</v>
      </c>
      <c r="E34" s="158">
        <f>(D30*E30)+(D31*E31)+(D33*E33)+(D32*E32)</f>
        <v>0</v>
      </c>
      <c r="F34" s="187"/>
      <c r="G34" s="187"/>
      <c r="H34" s="748">
        <f>(D30*H30)+(D31*H31)+(D33*H33)+(D32*H32)</f>
        <v>0</v>
      </c>
      <c r="I34" s="748"/>
      <c r="J34" s="159">
        <f>(D30*J30)+(D31*J31)+(D33*J33)+(D32*J32)</f>
        <v>0</v>
      </c>
    </row>
    <row r="35" spans="2:12" s="136" customFormat="1" ht="6" customHeight="1" thickTop="1" thickBot="1" x14ac:dyDescent="0.4">
      <c r="B35" s="131"/>
      <c r="C35" s="131"/>
      <c r="D35" s="131"/>
      <c r="E35" s="132"/>
      <c r="H35" s="132"/>
      <c r="I35" s="132"/>
      <c r="J35" s="135"/>
    </row>
    <row r="36" spans="2:12" ht="22.5" thickTop="1" thickBot="1" x14ac:dyDescent="0.4">
      <c r="B36" s="726" t="str">
        <f>"Proposed Plan 2: "&amp;'InsHRA-Request'!B39&amp;" &amp; Insured HRA ($"&amp;'InsHRA-Request'!E69&amp;" deductible / $"&amp;'InsHRA-Request'!E72&amp;" coinsurance)"</f>
        <v>Proposed Plan 2:  &amp; Insured HRA ($ deductible / $ coinsurance)</v>
      </c>
      <c r="C36" s="727"/>
      <c r="D36" s="727"/>
      <c r="E36" s="727"/>
      <c r="F36" s="727"/>
      <c r="G36" s="727"/>
      <c r="H36" s="727"/>
      <c r="I36" s="727"/>
      <c r="J36" s="728"/>
    </row>
    <row r="37" spans="2:12" ht="21.75" thickTop="1" x14ac:dyDescent="0.35">
      <c r="B37" s="164"/>
      <c r="C37" s="190" t="s">
        <v>30</v>
      </c>
      <c r="D37" s="191" t="s">
        <v>29</v>
      </c>
      <c r="E37" s="192">
        <f>E29</f>
        <v>0</v>
      </c>
      <c r="F37" s="193"/>
      <c r="G37" s="193"/>
      <c r="H37" s="740" t="str">
        <f>H29</f>
        <v>Insured HRA</v>
      </c>
      <c r="I37" s="740"/>
      <c r="J37" s="194" t="s">
        <v>32</v>
      </c>
    </row>
    <row r="38" spans="2:12" x14ac:dyDescent="0.35">
      <c r="B38" s="165">
        <v>28</v>
      </c>
      <c r="C38" s="195" t="s">
        <v>16</v>
      </c>
      <c r="D38" s="196">
        <f>D30</f>
        <v>0</v>
      </c>
      <c r="E38" s="283">
        <f>E30</f>
        <v>0</v>
      </c>
      <c r="F38" s="193"/>
      <c r="G38" s="193"/>
      <c r="H38" s="741">
        <f>'InsHRA-Request'!F75</f>
        <v>0</v>
      </c>
      <c r="I38" s="741"/>
      <c r="J38" s="198">
        <f>H38+E38</f>
        <v>0</v>
      </c>
      <c r="L38" s="116"/>
    </row>
    <row r="39" spans="2:12" x14ac:dyDescent="0.35">
      <c r="B39" s="166">
        <v>10</v>
      </c>
      <c r="C39" s="199" t="s">
        <v>33</v>
      </c>
      <c r="D39" s="200">
        <f>D31</f>
        <v>0</v>
      </c>
      <c r="E39" s="284">
        <f>E31</f>
        <v>0</v>
      </c>
      <c r="F39" s="193"/>
      <c r="G39" s="193"/>
      <c r="H39" s="742">
        <f>'InsHRA-Request'!F76</f>
        <v>0</v>
      </c>
      <c r="I39" s="742"/>
      <c r="J39" s="202">
        <f>H39+E39</f>
        <v>0</v>
      </c>
      <c r="L39" s="116"/>
    </row>
    <row r="40" spans="2:12" hidden="1" x14ac:dyDescent="0.35">
      <c r="B40" s="166"/>
      <c r="C40" s="199" t="s">
        <v>34</v>
      </c>
      <c r="D40" s="200">
        <f>D32</f>
        <v>0</v>
      </c>
      <c r="E40" s="284">
        <f>E32</f>
        <v>0</v>
      </c>
      <c r="F40" s="193"/>
      <c r="G40" s="193"/>
      <c r="H40" s="742">
        <f>'InsHRA-Request'!F77</f>
        <v>0</v>
      </c>
      <c r="I40" s="742"/>
      <c r="J40" s="202">
        <f>H40+E40</f>
        <v>0</v>
      </c>
      <c r="L40" s="116"/>
    </row>
    <row r="41" spans="2:12" ht="21.75" thickBot="1" x14ac:dyDescent="0.4">
      <c r="B41" s="167">
        <v>30</v>
      </c>
      <c r="C41" s="203" t="s">
        <v>18</v>
      </c>
      <c r="D41" s="204">
        <f>D33</f>
        <v>0</v>
      </c>
      <c r="E41" s="285">
        <f>E33</f>
        <v>0</v>
      </c>
      <c r="F41" s="193"/>
      <c r="G41" s="193"/>
      <c r="H41" s="743">
        <f>'InsHRA-Request'!F78</f>
        <v>0</v>
      </c>
      <c r="I41" s="743"/>
      <c r="J41" s="206">
        <f>H41+E41</f>
        <v>0</v>
      </c>
      <c r="L41" s="116"/>
    </row>
    <row r="42" spans="2:12" ht="21.75" thickBot="1" x14ac:dyDescent="0.4">
      <c r="B42" s="168">
        <f>SUM(B38:B41)</f>
        <v>68</v>
      </c>
      <c r="C42" s="207"/>
      <c r="D42" s="207">
        <f>SUM(D38:D41)</f>
        <v>0</v>
      </c>
      <c r="E42" s="208">
        <f>(D38*E38)+(D39*E39)+(D41*E41)+(D40*E40)</f>
        <v>0</v>
      </c>
      <c r="F42" s="208"/>
      <c r="G42" s="208"/>
      <c r="H42" s="744">
        <f>(D38*H38)+(D39*H39)+(D41*H41)+(D40*H40)</f>
        <v>0</v>
      </c>
      <c r="I42" s="744"/>
      <c r="J42" s="209">
        <f>(D38*J38)+(D39*J39)+(D41*J41)+(D40*J40)</f>
        <v>0</v>
      </c>
    </row>
    <row r="43" spans="2:12" s="136" customFormat="1" ht="7.5" hidden="1" customHeight="1" x14ac:dyDescent="0.35">
      <c r="B43" s="131"/>
      <c r="C43" s="131"/>
      <c r="D43" s="131"/>
      <c r="E43" s="132"/>
      <c r="F43" s="132"/>
      <c r="G43" s="132"/>
      <c r="H43" s="132"/>
      <c r="I43" s="132"/>
      <c r="J43" s="135"/>
    </row>
    <row r="44" spans="2:12" ht="22.5" hidden="1" thickTop="1" thickBot="1" x14ac:dyDescent="0.4">
      <c r="B44" s="169"/>
      <c r="C44" s="731" t="s">
        <v>66</v>
      </c>
      <c r="D44" s="731"/>
      <c r="E44" s="731"/>
      <c r="F44" s="731"/>
      <c r="G44" s="731"/>
      <c r="H44" s="731"/>
      <c r="I44" s="731"/>
      <c r="J44" s="170">
        <f>J42+J34</f>
        <v>0</v>
      </c>
    </row>
    <row r="45" spans="2:12" s="136" customFormat="1" ht="12" customHeight="1" thickTop="1" thickBot="1" x14ac:dyDescent="0.4">
      <c r="B45" s="171"/>
      <c r="C45" s="172"/>
      <c r="D45" s="171"/>
      <c r="E45" s="171"/>
      <c r="F45" s="171"/>
      <c r="G45" s="171"/>
      <c r="H45" s="171"/>
      <c r="I45" s="171"/>
      <c r="J45" s="173"/>
    </row>
    <row r="46" spans="2:12" s="136" customFormat="1" ht="22.5" thickTop="1" thickBot="1" x14ac:dyDescent="0.4">
      <c r="B46" s="720" t="s">
        <v>67</v>
      </c>
      <c r="C46" s="721"/>
      <c r="D46" s="721"/>
      <c r="E46" s="721"/>
      <c r="F46" s="721"/>
      <c r="G46" s="721"/>
      <c r="H46" s="721"/>
      <c r="I46" s="721"/>
      <c r="J46" s="722"/>
    </row>
    <row r="47" spans="2:12" s="136" customFormat="1" ht="6" customHeight="1" thickTop="1" thickBot="1" x14ac:dyDescent="0.4">
      <c r="B47" s="171"/>
      <c r="C47" s="172"/>
      <c r="D47" s="171"/>
      <c r="E47" s="171"/>
      <c r="F47" s="171"/>
      <c r="G47" s="171"/>
      <c r="H47" s="171"/>
      <c r="I47" s="171"/>
      <c r="J47" s="173"/>
    </row>
    <row r="48" spans="2:12" ht="22.5" thickTop="1" thickBot="1" x14ac:dyDescent="0.4">
      <c r="B48" s="212"/>
      <c r="C48" s="739" t="s">
        <v>68</v>
      </c>
      <c r="D48" s="739"/>
      <c r="E48" s="739"/>
      <c r="F48" s="739"/>
      <c r="G48" s="739"/>
      <c r="H48" s="739"/>
      <c r="I48" s="739"/>
      <c r="J48" s="213">
        <f>12*(J18-J34)</f>
        <v>0</v>
      </c>
    </row>
    <row r="49" spans="2:10" s="136" customFormat="1" ht="6" customHeight="1" thickTop="1" thickBot="1" x14ac:dyDescent="0.4">
      <c r="B49" s="171"/>
      <c r="C49" s="174"/>
      <c r="J49" s="175"/>
    </row>
    <row r="50" spans="2:10" ht="22.5" thickTop="1" thickBot="1" x14ac:dyDescent="0.4">
      <c r="B50" s="210"/>
      <c r="C50" s="719" t="s">
        <v>69</v>
      </c>
      <c r="D50" s="719"/>
      <c r="E50" s="719"/>
      <c r="F50" s="719"/>
      <c r="G50" s="719"/>
      <c r="H50" s="719"/>
      <c r="I50" s="719"/>
      <c r="J50" s="211">
        <f>12*(J18-J42)</f>
        <v>0</v>
      </c>
    </row>
    <row r="51" spans="2:10" s="177" customFormat="1" ht="21.75" thickTop="1" x14ac:dyDescent="0.35">
      <c r="C51" s="178"/>
    </row>
    <row r="52" spans="2:10" s="177" customFormat="1" x14ac:dyDescent="0.35">
      <c r="C52" s="178"/>
    </row>
    <row r="53" spans="2:10" s="177" customFormat="1" x14ac:dyDescent="0.35">
      <c r="C53" s="178"/>
      <c r="I53" s="179"/>
      <c r="J53" s="180"/>
    </row>
  </sheetData>
  <mergeCells count="23">
    <mergeCell ref="B27:J27"/>
    <mergeCell ref="B1:J1"/>
    <mergeCell ref="B2:J2"/>
    <mergeCell ref="B4:J4"/>
    <mergeCell ref="B12:J12"/>
    <mergeCell ref="B19:J19"/>
    <mergeCell ref="H41:I41"/>
    <mergeCell ref="H29:I29"/>
    <mergeCell ref="H30:I30"/>
    <mergeCell ref="H31:I31"/>
    <mergeCell ref="H32:I32"/>
    <mergeCell ref="H33:I33"/>
    <mergeCell ref="H34:I34"/>
    <mergeCell ref="B36:J36"/>
    <mergeCell ref="H37:I37"/>
    <mergeCell ref="H38:I38"/>
    <mergeCell ref="H39:I39"/>
    <mergeCell ref="H40:I40"/>
    <mergeCell ref="H42:I42"/>
    <mergeCell ref="C44:I44"/>
    <mergeCell ref="B46:J46"/>
    <mergeCell ref="C48:I48"/>
    <mergeCell ref="C50:I50"/>
  </mergeCells>
  <pageMargins left="0.05" right="0.05" top="0.05" bottom="0.0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[1]Sheet1!#REF!</xm:f>
          </x14:formula1>
          <xm:sqref>G28:H28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B1:L54"/>
  <sheetViews>
    <sheetView topLeftCell="A17" workbookViewId="0">
      <selection activeCell="A42" activeCellId="3" sqref="A8:XFD8 A16:XFD16 A33:XFD33 A42:XFD42"/>
    </sheetView>
  </sheetViews>
  <sheetFormatPr defaultRowHeight="21" x14ac:dyDescent="0.35"/>
  <cols>
    <col min="1" max="1" width="2.140625" style="93" customWidth="1"/>
    <col min="2" max="2" width="0.5703125" style="93" customWidth="1"/>
    <col min="3" max="3" width="15.42578125" style="176" customWidth="1"/>
    <col min="4" max="4" width="9.85546875" style="93" customWidth="1"/>
    <col min="5" max="5" width="24.7109375" style="93" customWidth="1"/>
    <col min="6" max="6" width="8.140625" style="93" hidden="1" customWidth="1"/>
    <col min="7" max="7" width="8.85546875" style="93" hidden="1" customWidth="1"/>
    <col min="8" max="8" width="9.85546875" style="93" customWidth="1"/>
    <col min="9" max="9" width="21.42578125" style="93" customWidth="1"/>
    <col min="10" max="10" width="24.7109375" style="93" customWidth="1"/>
    <col min="11" max="11" width="1" style="93" customWidth="1"/>
    <col min="12" max="16384" width="9.140625" style="93"/>
  </cols>
  <sheetData>
    <row r="1" spans="2:12" ht="24" thickTop="1" x14ac:dyDescent="0.35">
      <c r="B1" s="732" t="s">
        <v>38</v>
      </c>
      <c r="C1" s="733"/>
      <c r="D1" s="733"/>
      <c r="E1" s="733"/>
      <c r="F1" s="733"/>
      <c r="G1" s="733"/>
      <c r="H1" s="733"/>
      <c r="I1" s="733"/>
      <c r="J1" s="734"/>
    </row>
    <row r="2" spans="2:12" ht="21.75" customHeight="1" thickBot="1" x14ac:dyDescent="0.4">
      <c r="B2" s="735">
        <f>'InsHRA-Request'!B3:J3</f>
        <v>0</v>
      </c>
      <c r="C2" s="736"/>
      <c r="D2" s="736"/>
      <c r="E2" s="736"/>
      <c r="F2" s="736"/>
      <c r="G2" s="736"/>
      <c r="H2" s="736"/>
      <c r="I2" s="736"/>
      <c r="J2" s="737"/>
    </row>
    <row r="3" spans="2:12" ht="12" customHeight="1" thickTop="1" thickBot="1" x14ac:dyDescent="0.4">
      <c r="B3" s="108"/>
      <c r="C3" s="108"/>
      <c r="D3" s="108"/>
      <c r="E3" s="108"/>
      <c r="F3" s="108"/>
      <c r="G3" s="108"/>
      <c r="H3" s="108"/>
      <c r="I3" s="108"/>
      <c r="J3" s="108"/>
    </row>
    <row r="4" spans="2:12" ht="22.5" thickTop="1" thickBot="1" x14ac:dyDescent="0.4">
      <c r="B4" s="720" t="s">
        <v>75</v>
      </c>
      <c r="C4" s="721"/>
      <c r="D4" s="721"/>
      <c r="E4" s="721"/>
      <c r="F4" s="721"/>
      <c r="G4" s="721"/>
      <c r="H4" s="721"/>
      <c r="I4" s="721"/>
      <c r="J4" s="722"/>
    </row>
    <row r="5" spans="2:12" ht="21.75" thickTop="1" x14ac:dyDescent="0.35">
      <c r="B5" s="109"/>
      <c r="C5" s="110" t="s">
        <v>30</v>
      </c>
      <c r="D5" s="110" t="s">
        <v>77</v>
      </c>
      <c r="E5" s="257">
        <f>'InsHRA-Request'!B11</f>
        <v>0</v>
      </c>
      <c r="F5" s="111"/>
      <c r="G5" s="111"/>
      <c r="H5" s="262" t="s">
        <v>77</v>
      </c>
      <c r="I5" s="265">
        <f>'InsHRA-Request'!E11</f>
        <v>0</v>
      </c>
      <c r="J5" s="225" t="s">
        <v>32</v>
      </c>
    </row>
    <row r="6" spans="2:12" x14ac:dyDescent="0.35">
      <c r="B6" s="112"/>
      <c r="C6" s="113" t="s">
        <v>16</v>
      </c>
      <c r="D6" s="113">
        <f>'InsHRA-Request'!B25</f>
        <v>0</v>
      </c>
      <c r="E6" s="214">
        <f>'InsHRA-Request'!C25</f>
        <v>0</v>
      </c>
      <c r="F6" s="114"/>
      <c r="G6" s="115"/>
      <c r="H6" s="226">
        <f>'InsHRA-Request'!E25</f>
        <v>0</v>
      </c>
      <c r="I6" s="227">
        <f>'InsHRA-Request'!F25</f>
        <v>0</v>
      </c>
      <c r="J6" s="228"/>
      <c r="L6" s="116"/>
    </row>
    <row r="7" spans="2:12" x14ac:dyDescent="0.35">
      <c r="B7" s="117"/>
      <c r="C7" s="118" t="s">
        <v>33</v>
      </c>
      <c r="D7" s="118">
        <f>'InsHRA-Request'!B26</f>
        <v>0</v>
      </c>
      <c r="E7" s="215">
        <f>'InsHRA-Request'!C26</f>
        <v>0</v>
      </c>
      <c r="F7" s="119"/>
      <c r="G7" s="120"/>
      <c r="H7" s="229">
        <f>'InsHRA-Request'!E26</f>
        <v>0</v>
      </c>
      <c r="I7" s="230">
        <f>'InsHRA-Request'!F26</f>
        <v>0</v>
      </c>
      <c r="J7" s="231"/>
      <c r="L7" s="116"/>
    </row>
    <row r="8" spans="2:12" hidden="1" x14ac:dyDescent="0.35">
      <c r="B8" s="117"/>
      <c r="C8" s="118" t="s">
        <v>34</v>
      </c>
      <c r="D8" s="118">
        <f>'InsHRA-Request'!B27</f>
        <v>0</v>
      </c>
      <c r="E8" s="215">
        <f>'InsHRA-Request'!C27</f>
        <v>0</v>
      </c>
      <c r="F8" s="119"/>
      <c r="G8" s="120"/>
      <c r="H8" s="229">
        <f>'InsHRA-Request'!E27</f>
        <v>0</v>
      </c>
      <c r="I8" s="230">
        <f>'InsHRA-Request'!F27</f>
        <v>0</v>
      </c>
      <c r="J8" s="231"/>
      <c r="L8" s="116"/>
    </row>
    <row r="9" spans="2:12" ht="21.75" thickBot="1" x14ac:dyDescent="0.4">
      <c r="B9" s="121"/>
      <c r="C9" s="122" t="s">
        <v>18</v>
      </c>
      <c r="D9" s="122">
        <f>'InsHRA-Request'!B28</f>
        <v>0</v>
      </c>
      <c r="E9" s="125">
        <f>'InsHRA-Request'!C28</f>
        <v>0</v>
      </c>
      <c r="F9" s="123"/>
      <c r="G9" s="124"/>
      <c r="H9" s="232">
        <f>'InsHRA-Request'!E28</f>
        <v>0</v>
      </c>
      <c r="I9" s="233">
        <f>'InsHRA-Request'!F28</f>
        <v>0</v>
      </c>
      <c r="J9" s="286"/>
      <c r="K9" s="126"/>
      <c r="L9" s="116"/>
    </row>
    <row r="10" spans="2:12" ht="21.75" thickBot="1" x14ac:dyDescent="0.4">
      <c r="B10" s="127"/>
      <c r="C10" s="128"/>
      <c r="D10" s="128">
        <f>SUM(D6:D9)</f>
        <v>0</v>
      </c>
      <c r="E10" s="216">
        <f>(D6*E6)+(D7*E7)+(D9*E9)+(D8*E8)</f>
        <v>0</v>
      </c>
      <c r="F10" s="129"/>
      <c r="G10" s="130"/>
      <c r="H10" s="234">
        <f>SUM(H6:H9)</f>
        <v>0</v>
      </c>
      <c r="I10" s="235">
        <f>(H6*I6)+(H7*I7)+(H9*I9)+(H8*I8)</f>
        <v>0</v>
      </c>
      <c r="J10" s="236">
        <f>I10+E10</f>
        <v>0</v>
      </c>
    </row>
    <row r="11" spans="2:12" s="136" customFormat="1" ht="6" customHeight="1" thickTop="1" thickBot="1" x14ac:dyDescent="0.4">
      <c r="B11" s="131"/>
      <c r="C11" s="131"/>
      <c r="D11" s="131"/>
      <c r="E11" s="132"/>
      <c r="F11" s="133"/>
      <c r="G11" s="134"/>
      <c r="H11" s="133"/>
      <c r="I11" s="132"/>
      <c r="J11" s="135"/>
    </row>
    <row r="12" spans="2:12" ht="22.5" thickTop="1" thickBot="1" x14ac:dyDescent="0.4">
      <c r="B12" s="720" t="s">
        <v>76</v>
      </c>
      <c r="C12" s="721"/>
      <c r="D12" s="721"/>
      <c r="E12" s="721"/>
      <c r="F12" s="721"/>
      <c r="G12" s="721"/>
      <c r="H12" s="721"/>
      <c r="I12" s="721"/>
      <c r="J12" s="722"/>
    </row>
    <row r="13" spans="2:12" ht="21.75" thickTop="1" x14ac:dyDescent="0.35">
      <c r="B13" s="241"/>
      <c r="C13" s="242" t="s">
        <v>30</v>
      </c>
      <c r="D13" s="242" t="s">
        <v>77</v>
      </c>
      <c r="E13" s="267">
        <f>E5</f>
        <v>0</v>
      </c>
      <c r="F13" s="263"/>
      <c r="G13" s="263"/>
      <c r="H13" s="264" t="s">
        <v>77</v>
      </c>
      <c r="I13" s="266">
        <f>I5</f>
        <v>0</v>
      </c>
      <c r="J13" s="137" t="s">
        <v>32</v>
      </c>
    </row>
    <row r="14" spans="2:12" x14ac:dyDescent="0.35">
      <c r="B14" s="243"/>
      <c r="C14" s="244" t="s">
        <v>16</v>
      </c>
      <c r="D14" s="244">
        <f>D6</f>
        <v>0</v>
      </c>
      <c r="E14" s="237">
        <f>'InsHRA-Request'!D25</f>
        <v>0</v>
      </c>
      <c r="F14" s="114"/>
      <c r="G14" s="115"/>
      <c r="H14" s="217">
        <f>H6</f>
        <v>0</v>
      </c>
      <c r="I14" s="218">
        <f>'InsHRA-Request'!G25</f>
        <v>0</v>
      </c>
      <c r="J14" s="138"/>
      <c r="L14" s="116"/>
    </row>
    <row r="15" spans="2:12" x14ac:dyDescent="0.35">
      <c r="B15" s="245"/>
      <c r="C15" s="246" t="s">
        <v>33</v>
      </c>
      <c r="D15" s="246">
        <f>D7</f>
        <v>0</v>
      </c>
      <c r="E15" s="238">
        <f>'InsHRA-Request'!D26</f>
        <v>0</v>
      </c>
      <c r="F15" s="119"/>
      <c r="G15" s="120"/>
      <c r="H15" s="219">
        <f>H7</f>
        <v>0</v>
      </c>
      <c r="I15" s="220">
        <f>'InsHRA-Request'!G26</f>
        <v>0</v>
      </c>
      <c r="J15" s="139"/>
      <c r="L15" s="116"/>
    </row>
    <row r="16" spans="2:12" hidden="1" x14ac:dyDescent="0.35">
      <c r="B16" s="245"/>
      <c r="C16" s="246" t="s">
        <v>34</v>
      </c>
      <c r="D16" s="246">
        <f>D8</f>
        <v>0</v>
      </c>
      <c r="E16" s="238">
        <f>'InsHRA-Request'!D27</f>
        <v>0</v>
      </c>
      <c r="F16" s="119"/>
      <c r="G16" s="120"/>
      <c r="H16" s="219">
        <f>H8</f>
        <v>0</v>
      </c>
      <c r="I16" s="220">
        <f>'InsHRA-Request'!G27</f>
        <v>0</v>
      </c>
      <c r="J16" s="139"/>
      <c r="L16" s="116"/>
    </row>
    <row r="17" spans="2:12" ht="21.75" thickBot="1" x14ac:dyDescent="0.4">
      <c r="B17" s="247"/>
      <c r="C17" s="248" t="s">
        <v>18</v>
      </c>
      <c r="D17" s="248">
        <f>D9</f>
        <v>0</v>
      </c>
      <c r="E17" s="239">
        <f>'InsHRA-Request'!D28</f>
        <v>0</v>
      </c>
      <c r="F17" s="123"/>
      <c r="G17" s="124"/>
      <c r="H17" s="221">
        <f>H9</f>
        <v>0</v>
      </c>
      <c r="I17" s="222">
        <f>'InsHRA-Request'!G28</f>
        <v>0</v>
      </c>
      <c r="J17" s="140"/>
      <c r="L17" s="116"/>
    </row>
    <row r="18" spans="2:12" ht="21.75" thickBot="1" x14ac:dyDescent="0.4">
      <c r="B18" s="249"/>
      <c r="C18" s="250"/>
      <c r="D18" s="250">
        <f>SUM(D14:D17)</f>
        <v>0</v>
      </c>
      <c r="E18" s="240">
        <f>(D14*E14)+(D15*E15)+(D17*E17)+(D16*E16)</f>
        <v>0</v>
      </c>
      <c r="F18" s="129"/>
      <c r="G18" s="130"/>
      <c r="H18" s="223">
        <f>SUM(H14:H17)</f>
        <v>0</v>
      </c>
      <c r="I18" s="224">
        <f>(H14*I14)+(H15*I15)+(H17*I17)+(H16*I16)</f>
        <v>0</v>
      </c>
      <c r="J18" s="141">
        <f>I18+E18</f>
        <v>0</v>
      </c>
    </row>
    <row r="19" spans="2:12" ht="22.5" hidden="1" thickTop="1" thickBot="1" x14ac:dyDescent="0.4">
      <c r="B19" s="720" t="s">
        <v>63</v>
      </c>
      <c r="C19" s="721"/>
      <c r="D19" s="721"/>
      <c r="E19" s="721"/>
      <c r="F19" s="721"/>
      <c r="G19" s="721"/>
      <c r="H19" s="721"/>
      <c r="I19" s="721"/>
      <c r="J19" s="722"/>
    </row>
    <row r="20" spans="2:12" ht="21.75" hidden="1" thickTop="1" x14ac:dyDescent="0.35">
      <c r="B20" s="102"/>
      <c r="C20" s="103" t="s">
        <v>30</v>
      </c>
      <c r="D20" s="142" t="s">
        <v>29</v>
      </c>
      <c r="E20" s="103" t="s">
        <v>31</v>
      </c>
      <c r="F20" s="103"/>
      <c r="G20" s="143" t="s">
        <v>64</v>
      </c>
      <c r="H20" s="143"/>
      <c r="I20" s="103"/>
      <c r="J20" s="104" t="s">
        <v>32</v>
      </c>
    </row>
    <row r="21" spans="2:12" ht="21.75" hidden="1" thickTop="1" x14ac:dyDescent="0.35">
      <c r="B21" s="144"/>
      <c r="C21" s="145" t="s">
        <v>16</v>
      </c>
      <c r="D21" s="145"/>
      <c r="E21" s="254">
        <v>247.46</v>
      </c>
      <c r="F21" s="254"/>
      <c r="G21" s="254">
        <v>137.81</v>
      </c>
      <c r="H21" s="254"/>
      <c r="I21" s="254" t="str">
        <f>[1]TransRates!$W$29</f>
        <v/>
      </c>
      <c r="J21" s="147">
        <f>SUM(E21:I21)</f>
        <v>385.27</v>
      </c>
      <c r="L21" s="116"/>
    </row>
    <row r="22" spans="2:12" ht="21.75" hidden="1" thickTop="1" x14ac:dyDescent="0.35">
      <c r="B22" s="148"/>
      <c r="C22" s="149" t="s">
        <v>33</v>
      </c>
      <c r="D22" s="149"/>
      <c r="E22" s="255">
        <v>593.89</v>
      </c>
      <c r="F22" s="255"/>
      <c r="G22" s="255">
        <v>263.48</v>
      </c>
      <c r="H22" s="255"/>
      <c r="I22" s="255" t="str">
        <f>[1]TransRates!$W$30</f>
        <v/>
      </c>
      <c r="J22" s="151">
        <f>SUM(E22:I22)</f>
        <v>857.37</v>
      </c>
      <c r="L22" s="116"/>
    </row>
    <row r="23" spans="2:12" ht="21.75" hidden="1" thickTop="1" x14ac:dyDescent="0.35">
      <c r="B23" s="148"/>
      <c r="C23" s="149" t="s">
        <v>34</v>
      </c>
      <c r="D23" s="149"/>
      <c r="E23" s="255">
        <f>[1]Census!O17</f>
        <v>0</v>
      </c>
      <c r="F23" s="255"/>
      <c r="G23" s="255">
        <v>0</v>
      </c>
      <c r="H23" s="255"/>
      <c r="I23" s="255" t="str">
        <f>[1]TransRates!$W$31</f>
        <v/>
      </c>
      <c r="J23" s="151">
        <f>SUM(E23:I23)</f>
        <v>0</v>
      </c>
      <c r="L23" s="116"/>
    </row>
    <row r="24" spans="2:12" ht="22.5" hidden="1" thickTop="1" thickBot="1" x14ac:dyDescent="0.4">
      <c r="B24" s="152"/>
      <c r="C24" s="153" t="s">
        <v>18</v>
      </c>
      <c r="D24" s="153"/>
      <c r="E24" s="256">
        <v>742.37</v>
      </c>
      <c r="F24" s="256"/>
      <c r="G24" s="256">
        <v>373.27</v>
      </c>
      <c r="H24" s="256"/>
      <c r="I24" s="256" t="str">
        <f>[1]TransRates!$W$32</f>
        <v/>
      </c>
      <c r="J24" s="155">
        <f>SUM(E24:I24)</f>
        <v>1115.6399999999999</v>
      </c>
      <c r="L24" s="116"/>
    </row>
    <row r="25" spans="2:12" ht="22.5" hidden="1" thickTop="1" thickBot="1" x14ac:dyDescent="0.4">
      <c r="B25" s="156">
        <f>SUM(B21:B24)</f>
        <v>0</v>
      </c>
      <c r="C25" s="157"/>
      <c r="D25" s="157"/>
      <c r="E25" s="158"/>
      <c r="F25" s="158"/>
      <c r="G25" s="158"/>
      <c r="H25" s="158"/>
      <c r="I25" s="158"/>
      <c r="J25" s="159"/>
    </row>
    <row r="26" spans="2:12" s="136" customFormat="1" ht="6" customHeight="1" thickTop="1" thickBot="1" x14ac:dyDescent="0.4">
      <c r="B26" s="131"/>
      <c r="C26" s="131"/>
      <c r="D26" s="131"/>
      <c r="E26" s="132"/>
      <c r="F26" s="132"/>
      <c r="G26" s="132"/>
      <c r="H26" s="132"/>
      <c r="I26" s="132"/>
      <c r="J26" s="135"/>
    </row>
    <row r="27" spans="2:12" ht="21.75" thickTop="1" x14ac:dyDescent="0.35">
      <c r="B27" s="749" t="str">
        <f>"Proposed Plan 1: Move "&amp;E13&amp;" Employees to:"</f>
        <v>Proposed Plan 1: Move 0 Employees to:</v>
      </c>
      <c r="C27" s="750"/>
      <c r="D27" s="750"/>
      <c r="E27" s="750"/>
      <c r="F27" s="750"/>
      <c r="G27" s="750"/>
      <c r="H27" s="750"/>
      <c r="I27" s="750"/>
      <c r="J27" s="751"/>
    </row>
    <row r="28" spans="2:12" ht="21.75" thickBot="1" x14ac:dyDescent="0.4">
      <c r="B28" s="752" t="str">
        <f>'InsHRA-Request'!B39&amp;" &amp; Insured HRA ($"&amp;'InsHRA-Request'!C69&amp;" deductible / $"&amp;'InsHRA-Request'!C72&amp;" coinsurance)"</f>
        <v xml:space="preserve"> &amp; Insured HRA ($ deductible / $ coinsurance)</v>
      </c>
      <c r="C28" s="753"/>
      <c r="D28" s="753"/>
      <c r="E28" s="753"/>
      <c r="F28" s="753"/>
      <c r="G28" s="753"/>
      <c r="H28" s="753"/>
      <c r="I28" s="753"/>
      <c r="J28" s="754"/>
    </row>
    <row r="29" spans="2:12" ht="23.25" hidden="1" customHeight="1" thickTop="1" x14ac:dyDescent="0.35">
      <c r="B29" s="160"/>
      <c r="C29" s="161"/>
      <c r="D29" s="160"/>
      <c r="E29" s="161"/>
      <c r="F29" s="161"/>
      <c r="G29" s="162" t="s">
        <v>65</v>
      </c>
      <c r="H29" s="162"/>
      <c r="I29" s="161"/>
      <c r="J29" s="163"/>
    </row>
    <row r="30" spans="2:12" ht="21.75" thickTop="1" x14ac:dyDescent="0.35">
      <c r="B30" s="181"/>
      <c r="C30" s="182" t="s">
        <v>30</v>
      </c>
      <c r="D30" s="182" t="s">
        <v>29</v>
      </c>
      <c r="E30" s="183">
        <f>'InsHRA-Request'!B39</f>
        <v>0</v>
      </c>
      <c r="F30" s="184"/>
      <c r="G30" s="184"/>
      <c r="H30" s="738" t="s">
        <v>35</v>
      </c>
      <c r="I30" s="738"/>
      <c r="J30" s="185" t="s">
        <v>32</v>
      </c>
    </row>
    <row r="31" spans="2:12" x14ac:dyDescent="0.35">
      <c r="B31" s="144">
        <v>12</v>
      </c>
      <c r="C31" s="145" t="s">
        <v>16</v>
      </c>
      <c r="D31" s="186">
        <f>D6</f>
        <v>0</v>
      </c>
      <c r="E31" s="428">
        <f>'InsHRA-Request'!C53</f>
        <v>0</v>
      </c>
      <c r="F31" s="187"/>
      <c r="G31" s="187"/>
      <c r="H31" s="723">
        <f>'InsHRA-Request'!D75</f>
        <v>0</v>
      </c>
      <c r="I31" s="723"/>
      <c r="J31" s="147">
        <f>H31+E31</f>
        <v>0</v>
      </c>
      <c r="L31" s="116"/>
    </row>
    <row r="32" spans="2:12" x14ac:dyDescent="0.35">
      <c r="B32" s="148">
        <v>0</v>
      </c>
      <c r="C32" s="149" t="s">
        <v>33</v>
      </c>
      <c r="D32" s="188">
        <f>D7</f>
        <v>0</v>
      </c>
      <c r="E32" s="429">
        <f>'InsHRA-Request'!C54</f>
        <v>0</v>
      </c>
      <c r="F32" s="187"/>
      <c r="G32" s="187"/>
      <c r="H32" s="724">
        <f>'InsHRA-Request'!D76</f>
        <v>0</v>
      </c>
      <c r="I32" s="724"/>
      <c r="J32" s="151">
        <f>H32+E32</f>
        <v>0</v>
      </c>
      <c r="L32" s="116"/>
    </row>
    <row r="33" spans="2:12" hidden="1" x14ac:dyDescent="0.35">
      <c r="B33" s="148"/>
      <c r="C33" s="149" t="s">
        <v>34</v>
      </c>
      <c r="D33" s="188">
        <f>D8</f>
        <v>0</v>
      </c>
      <c r="E33" s="429">
        <f>'InsHRA-Request'!C55</f>
        <v>0</v>
      </c>
      <c r="F33" s="187"/>
      <c r="G33" s="187"/>
      <c r="H33" s="724">
        <f>'InsHRA-Request'!D77</f>
        <v>0</v>
      </c>
      <c r="I33" s="724"/>
      <c r="J33" s="151">
        <f>H33+E33</f>
        <v>0</v>
      </c>
      <c r="L33" s="116"/>
    </row>
    <row r="34" spans="2:12" ht="21.75" thickBot="1" x14ac:dyDescent="0.4">
      <c r="B34" s="152">
        <v>1</v>
      </c>
      <c r="C34" s="153" t="s">
        <v>18</v>
      </c>
      <c r="D34" s="189">
        <f>D9</f>
        <v>0</v>
      </c>
      <c r="E34" s="430">
        <f>'InsHRA-Request'!C56</f>
        <v>0</v>
      </c>
      <c r="F34" s="187"/>
      <c r="G34" s="187"/>
      <c r="H34" s="725">
        <f>'InsHRA-Request'!D78</f>
        <v>0</v>
      </c>
      <c r="I34" s="725"/>
      <c r="J34" s="155">
        <f>H34+E34</f>
        <v>0</v>
      </c>
      <c r="L34" s="116"/>
    </row>
    <row r="35" spans="2:12" ht="21.75" thickBot="1" x14ac:dyDescent="0.4">
      <c r="B35" s="156">
        <f>SUM(B31:B34)</f>
        <v>13</v>
      </c>
      <c r="C35" s="157"/>
      <c r="D35" s="157">
        <f>SUM(D31:D34)</f>
        <v>0</v>
      </c>
      <c r="E35" s="158">
        <f>(D31*E31)+(D32*E32)+(D34*E34)+(D33*E33)</f>
        <v>0</v>
      </c>
      <c r="F35" s="187"/>
      <c r="G35" s="187"/>
      <c r="H35" s="748">
        <f>(D31*H31)+(D32*H32)+(D34*H34)+(D33*H33)</f>
        <v>0</v>
      </c>
      <c r="I35" s="748"/>
      <c r="J35" s="159">
        <f>(D31*J31)+(D32*J32)+(D34*J34)+(D33*J33)</f>
        <v>0</v>
      </c>
    </row>
    <row r="36" spans="2:12" s="136" customFormat="1" ht="6" customHeight="1" thickTop="1" thickBot="1" x14ac:dyDescent="0.4">
      <c r="B36" s="131"/>
      <c r="C36" s="131"/>
      <c r="D36" s="131"/>
      <c r="E36" s="132"/>
      <c r="H36" s="132"/>
      <c r="I36" s="132"/>
      <c r="J36" s="135"/>
    </row>
    <row r="37" spans="2:12" ht="21.75" thickTop="1" x14ac:dyDescent="0.35">
      <c r="B37" s="758" t="str">
        <f>"Proposed Plan 2: Move "&amp;I13&amp;" Employees to:"</f>
        <v>Proposed Plan 2: Move 0 Employees to:</v>
      </c>
      <c r="C37" s="759"/>
      <c r="D37" s="759"/>
      <c r="E37" s="759"/>
      <c r="F37" s="759"/>
      <c r="G37" s="759"/>
      <c r="H37" s="759"/>
      <c r="I37" s="759"/>
      <c r="J37" s="760"/>
    </row>
    <row r="38" spans="2:12" ht="21.75" thickBot="1" x14ac:dyDescent="0.4">
      <c r="B38" s="755" t="str">
        <f>'InsHRA-Request'!B39&amp;" &amp; Insured HRA ($"&amp;'InsHRA-Request'!E69&amp;" deductible / $"&amp;'InsHRA-Request'!E72&amp;" coinsurance)"</f>
        <v xml:space="preserve"> &amp; Insured HRA ($ deductible / $ coinsurance)</v>
      </c>
      <c r="C38" s="756"/>
      <c r="D38" s="756"/>
      <c r="E38" s="756"/>
      <c r="F38" s="756"/>
      <c r="G38" s="756"/>
      <c r="H38" s="756"/>
      <c r="I38" s="756"/>
      <c r="J38" s="757"/>
    </row>
    <row r="39" spans="2:12" ht="21.75" thickTop="1" x14ac:dyDescent="0.35">
      <c r="B39" s="164"/>
      <c r="C39" s="190" t="s">
        <v>30</v>
      </c>
      <c r="D39" s="190" t="s">
        <v>29</v>
      </c>
      <c r="E39" s="192">
        <f>E30</f>
        <v>0</v>
      </c>
      <c r="F39" s="193"/>
      <c r="G39" s="193"/>
      <c r="H39" s="761" t="str">
        <f>H30</f>
        <v>Insured HRA</v>
      </c>
      <c r="I39" s="761"/>
      <c r="J39" s="194" t="s">
        <v>32</v>
      </c>
    </row>
    <row r="40" spans="2:12" x14ac:dyDescent="0.35">
      <c r="B40" s="165">
        <v>28</v>
      </c>
      <c r="C40" s="195" t="s">
        <v>16</v>
      </c>
      <c r="D40" s="196">
        <f>H6</f>
        <v>0</v>
      </c>
      <c r="E40" s="251">
        <f>E31</f>
        <v>0</v>
      </c>
      <c r="F40" s="193"/>
      <c r="G40" s="193"/>
      <c r="H40" s="741">
        <f>'InsHRA-Request'!F75</f>
        <v>0</v>
      </c>
      <c r="I40" s="741"/>
      <c r="J40" s="198">
        <f>H40+E40</f>
        <v>0</v>
      </c>
      <c r="L40" s="116"/>
    </row>
    <row r="41" spans="2:12" x14ac:dyDescent="0.35">
      <c r="B41" s="166">
        <v>10</v>
      </c>
      <c r="C41" s="199" t="s">
        <v>33</v>
      </c>
      <c r="D41" s="200">
        <f>H7</f>
        <v>0</v>
      </c>
      <c r="E41" s="252">
        <f>E32</f>
        <v>0</v>
      </c>
      <c r="F41" s="193"/>
      <c r="G41" s="193"/>
      <c r="H41" s="742">
        <f>'InsHRA-Request'!F76</f>
        <v>0</v>
      </c>
      <c r="I41" s="742"/>
      <c r="J41" s="202">
        <f>H41+E41</f>
        <v>0</v>
      </c>
      <c r="L41" s="116"/>
    </row>
    <row r="42" spans="2:12" hidden="1" x14ac:dyDescent="0.35">
      <c r="B42" s="166"/>
      <c r="C42" s="199" t="s">
        <v>34</v>
      </c>
      <c r="D42" s="200">
        <f>H8</f>
        <v>0</v>
      </c>
      <c r="E42" s="252">
        <f>E33</f>
        <v>0</v>
      </c>
      <c r="F42" s="193"/>
      <c r="G42" s="193"/>
      <c r="H42" s="742">
        <f>'InsHRA-Request'!F77</f>
        <v>0</v>
      </c>
      <c r="I42" s="742"/>
      <c r="J42" s="202">
        <f>H42+E42</f>
        <v>0</v>
      </c>
      <c r="L42" s="116"/>
    </row>
    <row r="43" spans="2:12" ht="21.75" thickBot="1" x14ac:dyDescent="0.4">
      <c r="B43" s="167">
        <v>30</v>
      </c>
      <c r="C43" s="203" t="s">
        <v>18</v>
      </c>
      <c r="D43" s="204">
        <f>H9</f>
        <v>0</v>
      </c>
      <c r="E43" s="253">
        <f>E34</f>
        <v>0</v>
      </c>
      <c r="F43" s="193"/>
      <c r="G43" s="193"/>
      <c r="H43" s="743">
        <f>'InsHRA-Request'!F78</f>
        <v>0</v>
      </c>
      <c r="I43" s="743"/>
      <c r="J43" s="206">
        <f>H43+E43</f>
        <v>0</v>
      </c>
      <c r="L43" s="116"/>
    </row>
    <row r="44" spans="2:12" ht="21.75" thickBot="1" x14ac:dyDescent="0.4">
      <c r="B44" s="168">
        <f>SUM(B40:B43)</f>
        <v>68</v>
      </c>
      <c r="C44" s="207"/>
      <c r="D44" s="207">
        <f>SUM(D40:D43)</f>
        <v>0</v>
      </c>
      <c r="E44" s="208">
        <f>(D40*E40)+(D41*E41)+(D43*E43)+(D42*E42)</f>
        <v>0</v>
      </c>
      <c r="F44" s="208"/>
      <c r="G44" s="208"/>
      <c r="H44" s="744">
        <f>(D40*H40)+(D41*H41)+(D43*H43)+(D42*H42)</f>
        <v>0</v>
      </c>
      <c r="I44" s="744"/>
      <c r="J44" s="209">
        <f>(D40*J40)+(D41*J41)+(D43*J43)+(D42*J42)</f>
        <v>0</v>
      </c>
    </row>
    <row r="45" spans="2:12" s="136" customFormat="1" ht="7.5" hidden="1" customHeight="1" x14ac:dyDescent="0.35">
      <c r="B45" s="131"/>
      <c r="C45" s="131"/>
      <c r="D45" s="131"/>
      <c r="E45" s="132"/>
      <c r="F45" s="132"/>
      <c r="G45" s="132"/>
      <c r="H45" s="132"/>
      <c r="I45" s="132"/>
      <c r="J45" s="135"/>
    </row>
    <row r="46" spans="2:12" ht="22.5" hidden="1" thickTop="1" thickBot="1" x14ac:dyDescent="0.4">
      <c r="B46" s="169"/>
      <c r="C46" s="731" t="s">
        <v>66</v>
      </c>
      <c r="D46" s="731"/>
      <c r="E46" s="731"/>
      <c r="F46" s="731"/>
      <c r="G46" s="731"/>
      <c r="H46" s="731"/>
      <c r="I46" s="731"/>
      <c r="J46" s="170">
        <f>J44+J35</f>
        <v>0</v>
      </c>
    </row>
    <row r="47" spans="2:12" s="271" customFormat="1" ht="6" customHeight="1" thickTop="1" x14ac:dyDescent="0.35">
      <c r="B47" s="272"/>
      <c r="C47" s="273"/>
      <c r="D47" s="273"/>
      <c r="E47" s="273"/>
      <c r="F47" s="273"/>
      <c r="G47" s="273"/>
      <c r="H47" s="273"/>
      <c r="I47" s="273"/>
      <c r="J47" s="274"/>
    </row>
    <row r="48" spans="2:12" x14ac:dyDescent="0.35">
      <c r="B48" s="268"/>
      <c r="C48" s="269"/>
      <c r="D48" s="269"/>
      <c r="E48" s="269"/>
      <c r="F48" s="269"/>
      <c r="G48" s="269"/>
      <c r="H48" s="269"/>
      <c r="I48" s="269" t="s">
        <v>78</v>
      </c>
      <c r="J48" s="270">
        <f>J44+J35</f>
        <v>0</v>
      </c>
    </row>
    <row r="49" spans="2:10" s="136" customFormat="1" ht="12" customHeight="1" thickBot="1" x14ac:dyDescent="0.4">
      <c r="B49" s="171"/>
      <c r="C49" s="172"/>
      <c r="D49" s="171"/>
      <c r="E49" s="171"/>
      <c r="F49" s="171"/>
      <c r="G49" s="171"/>
      <c r="H49" s="171"/>
      <c r="I49" s="171"/>
      <c r="J49" s="173"/>
    </row>
    <row r="50" spans="2:10" s="136" customFormat="1" ht="22.5" thickTop="1" thickBot="1" x14ac:dyDescent="0.4">
      <c r="B50" s="726" t="s">
        <v>67</v>
      </c>
      <c r="C50" s="727"/>
      <c r="D50" s="727"/>
      <c r="E50" s="727"/>
      <c r="F50" s="727"/>
      <c r="G50" s="727"/>
      <c r="H50" s="727"/>
      <c r="I50" s="727"/>
      <c r="J50" s="728"/>
    </row>
    <row r="51" spans="2:10" s="136" customFormat="1" ht="6" customHeight="1" thickTop="1" thickBot="1" x14ac:dyDescent="0.4">
      <c r="B51" s="171"/>
      <c r="C51" s="172"/>
      <c r="D51" s="171"/>
      <c r="E51" s="171"/>
      <c r="F51" s="171"/>
      <c r="G51" s="171"/>
      <c r="H51" s="171"/>
      <c r="I51" s="171"/>
      <c r="J51" s="173"/>
    </row>
    <row r="52" spans="2:10" ht="22.5" thickTop="1" thickBot="1" x14ac:dyDescent="0.4">
      <c r="B52" s="212"/>
      <c r="C52" s="739" t="s">
        <v>79</v>
      </c>
      <c r="D52" s="739"/>
      <c r="E52" s="739"/>
      <c r="F52" s="739"/>
      <c r="G52" s="739"/>
      <c r="H52" s="739"/>
      <c r="I52" s="739"/>
      <c r="J52" s="213">
        <f>12*(J18-J48)</f>
        <v>0</v>
      </c>
    </row>
    <row r="53" spans="2:10" s="177" customFormat="1" ht="21.75" thickTop="1" x14ac:dyDescent="0.35">
      <c r="C53" s="178"/>
    </row>
    <row r="54" spans="2:10" s="177" customFormat="1" x14ac:dyDescent="0.35">
      <c r="C54" s="178"/>
      <c r="I54" s="179"/>
      <c r="J54" s="180"/>
    </row>
  </sheetData>
  <mergeCells count="24">
    <mergeCell ref="H42:I42"/>
    <mergeCell ref="C46:I46"/>
    <mergeCell ref="B50:J50"/>
    <mergeCell ref="C52:I52"/>
    <mergeCell ref="B28:J28"/>
    <mergeCell ref="B38:J38"/>
    <mergeCell ref="B37:J37"/>
    <mergeCell ref="H39:I39"/>
    <mergeCell ref="H40:I40"/>
    <mergeCell ref="H41:I41"/>
    <mergeCell ref="H43:I43"/>
    <mergeCell ref="H44:I44"/>
    <mergeCell ref="H30:I30"/>
    <mergeCell ref="H31:I31"/>
    <mergeCell ref="H32:I32"/>
    <mergeCell ref="H33:I33"/>
    <mergeCell ref="H34:I34"/>
    <mergeCell ref="H35:I35"/>
    <mergeCell ref="B1:J1"/>
    <mergeCell ref="B2:J2"/>
    <mergeCell ref="B4:J4"/>
    <mergeCell ref="B12:J12"/>
    <mergeCell ref="B19:J19"/>
    <mergeCell ref="B27:J27"/>
  </mergeCells>
  <pageMargins left="0.05" right="0.05" top="0.05" bottom="0.05" header="0.3" footer="0.3"/>
  <pageSetup scale="95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[1]Sheet1!#REF!</xm:f>
          </x14:formula1>
          <xm:sqref>G29:H29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H57"/>
  <sheetViews>
    <sheetView topLeftCell="A41" workbookViewId="0">
      <selection activeCell="D60" sqref="D60"/>
    </sheetView>
  </sheetViews>
  <sheetFormatPr defaultColWidth="16.28515625" defaultRowHeight="21" x14ac:dyDescent="0.35"/>
  <cols>
    <col min="1" max="1" width="1" style="93" customWidth="1"/>
    <col min="2" max="2" width="11.140625" style="93" customWidth="1"/>
    <col min="3" max="3" width="25.7109375" style="176" customWidth="1"/>
    <col min="4" max="5" width="25.7109375" style="93" customWidth="1"/>
    <col min="6" max="6" width="26.7109375" style="93" customWidth="1"/>
    <col min="7" max="7" width="1" style="93" customWidth="1"/>
    <col min="8" max="16384" width="16.28515625" style="93"/>
  </cols>
  <sheetData>
    <row r="1" spans="2:8" ht="7.5" customHeight="1" thickBot="1" x14ac:dyDescent="0.4"/>
    <row r="2" spans="2:8" ht="21.75" thickTop="1" x14ac:dyDescent="0.35">
      <c r="B2" s="765" t="s">
        <v>38</v>
      </c>
      <c r="C2" s="766"/>
      <c r="D2" s="766"/>
      <c r="E2" s="766"/>
      <c r="F2" s="767"/>
    </row>
    <row r="3" spans="2:8" ht="21.75" thickBot="1" x14ac:dyDescent="0.4">
      <c r="B3" s="768">
        <f>'InsHRA-Request'!B3:G3</f>
        <v>0</v>
      </c>
      <c r="C3" s="769"/>
      <c r="D3" s="769"/>
      <c r="E3" s="769"/>
      <c r="F3" s="770"/>
    </row>
    <row r="4" spans="2:8" ht="7.5" customHeight="1" thickTop="1" thickBot="1" x14ac:dyDescent="0.4">
      <c r="B4" s="435"/>
      <c r="C4" s="435"/>
      <c r="D4" s="435"/>
      <c r="E4" s="435"/>
      <c r="F4" s="435"/>
    </row>
    <row r="5" spans="2:8" ht="22.5" thickTop="1" thickBot="1" x14ac:dyDescent="0.4">
      <c r="B5" s="720" t="str">
        <f>"Current Plan: "&amp;'InsHRA-Request'!B11:D11</f>
        <v xml:space="preserve">Current Plan: </v>
      </c>
      <c r="C5" s="721"/>
      <c r="D5" s="721"/>
      <c r="E5" s="721"/>
      <c r="F5" s="722"/>
    </row>
    <row r="6" spans="2:8" ht="21.75" hidden="1" thickTop="1" x14ac:dyDescent="0.35">
      <c r="B6" s="436"/>
      <c r="C6" s="437"/>
      <c r="D6" s="437"/>
      <c r="E6" s="437" t="s">
        <v>28</v>
      </c>
      <c r="F6" s="438"/>
    </row>
    <row r="7" spans="2:8" ht="21.75" thickTop="1" x14ac:dyDescent="0.35">
      <c r="B7" s="97" t="s">
        <v>29</v>
      </c>
      <c r="C7" s="94" t="s">
        <v>30</v>
      </c>
      <c r="D7" s="94" t="s">
        <v>31</v>
      </c>
      <c r="E7" s="439"/>
      <c r="F7" s="100" t="s">
        <v>32</v>
      </c>
    </row>
    <row r="8" spans="2:8" x14ac:dyDescent="0.35">
      <c r="B8" s="440">
        <f>'InsHRA-Request'!B25</f>
        <v>0</v>
      </c>
      <c r="C8" s="113" t="s">
        <v>16</v>
      </c>
      <c r="D8" s="214">
        <f>'InsHRA-Request'!C25</f>
        <v>0</v>
      </c>
      <c r="E8" s="214"/>
      <c r="F8" s="441">
        <f>SUM(D8:E8)</f>
        <v>0</v>
      </c>
      <c r="H8" s="116"/>
    </row>
    <row r="9" spans="2:8" x14ac:dyDescent="0.35">
      <c r="B9" s="442">
        <f>'InsHRA-Request'!B26</f>
        <v>0</v>
      </c>
      <c r="C9" s="118" t="s">
        <v>33</v>
      </c>
      <c r="D9" s="215">
        <f>'InsHRA-Request'!C26</f>
        <v>0</v>
      </c>
      <c r="E9" s="215"/>
      <c r="F9" s="443">
        <f>SUM(D9:E9)</f>
        <v>0</v>
      </c>
      <c r="H9" s="116"/>
    </row>
    <row r="10" spans="2:8" hidden="1" x14ac:dyDescent="0.35">
      <c r="B10" s="442">
        <f>'InsHRA-Request'!B27</f>
        <v>0</v>
      </c>
      <c r="C10" s="118" t="s">
        <v>34</v>
      </c>
      <c r="D10" s="215">
        <f>'InsHRA-Request'!C27</f>
        <v>0</v>
      </c>
      <c r="E10" s="215"/>
      <c r="F10" s="443">
        <f>SUM(D10:E10)</f>
        <v>0</v>
      </c>
      <c r="H10" s="116"/>
    </row>
    <row r="11" spans="2:8" ht="21.75" thickBot="1" x14ac:dyDescent="0.4">
      <c r="B11" s="444">
        <f>'InsHRA-Request'!B28</f>
        <v>0</v>
      </c>
      <c r="C11" s="122" t="s">
        <v>18</v>
      </c>
      <c r="D11" s="125">
        <f>'InsHRA-Request'!C28</f>
        <v>0</v>
      </c>
      <c r="E11" s="125"/>
      <c r="F11" s="445">
        <f>SUM(D11:E11)</f>
        <v>0</v>
      </c>
      <c r="H11" s="116"/>
    </row>
    <row r="12" spans="2:8" ht="21.75" thickBot="1" x14ac:dyDescent="0.4">
      <c r="B12" s="127">
        <f>SUM(B8:B11)</f>
        <v>0</v>
      </c>
      <c r="C12" s="128"/>
      <c r="D12" s="216">
        <f>(B8*D8)+(B9*D9)+(B11*D11)+(B10*D10)</f>
        <v>0</v>
      </c>
      <c r="E12" s="216"/>
      <c r="F12" s="446">
        <f>(B8*F8)+(B9*F9)+(B10*F10)+(B11*F11)</f>
        <v>0</v>
      </c>
    </row>
    <row r="13" spans="2:8" s="136" customFormat="1" ht="9.9499999999999993" customHeight="1" thickTop="1" thickBot="1" x14ac:dyDescent="0.4">
      <c r="B13" s="174"/>
      <c r="C13" s="771"/>
      <c r="D13" s="771"/>
      <c r="E13" s="340"/>
      <c r="F13" s="340"/>
      <c r="H13" s="447"/>
    </row>
    <row r="14" spans="2:8" ht="22.5" thickTop="1" thickBot="1" x14ac:dyDescent="0.4">
      <c r="B14" s="772" t="str">
        <f>"Renewal Plan: "&amp;'InsHRA-Request'!B11:D11</f>
        <v xml:space="preserve">Renewal Plan: </v>
      </c>
      <c r="C14" s="721"/>
      <c r="D14" s="721"/>
      <c r="E14" s="721"/>
      <c r="F14" s="722"/>
    </row>
    <row r="15" spans="2:8" ht="21.75" hidden="1" thickTop="1" x14ac:dyDescent="0.35">
      <c r="B15" s="436"/>
      <c r="C15" s="437"/>
      <c r="D15" s="437"/>
      <c r="E15" s="437" t="s">
        <v>28</v>
      </c>
      <c r="F15" s="438"/>
    </row>
    <row r="16" spans="2:8" ht="21.75" thickTop="1" x14ac:dyDescent="0.35">
      <c r="B16" s="98" t="s">
        <v>29</v>
      </c>
      <c r="C16" s="99" t="s">
        <v>30</v>
      </c>
      <c r="D16" s="99" t="s">
        <v>31</v>
      </c>
      <c r="E16" s="448"/>
      <c r="F16" s="101" t="s">
        <v>32</v>
      </c>
    </row>
    <row r="17" spans="2:8" x14ac:dyDescent="0.35">
      <c r="B17" s="449">
        <f>'InsHRA-Request'!B25</f>
        <v>0</v>
      </c>
      <c r="C17" s="244" t="s">
        <v>16</v>
      </c>
      <c r="D17" s="237">
        <f>'InsHRA-Request'!D25</f>
        <v>0</v>
      </c>
      <c r="E17" s="237"/>
      <c r="F17" s="348">
        <f>SUM(D17:E17)</f>
        <v>0</v>
      </c>
      <c r="H17" s="116"/>
    </row>
    <row r="18" spans="2:8" x14ac:dyDescent="0.35">
      <c r="B18" s="450">
        <f>'InsHRA-Request'!B26</f>
        <v>0</v>
      </c>
      <c r="C18" s="246" t="s">
        <v>33</v>
      </c>
      <c r="D18" s="238">
        <f>'InsHRA-Request'!D26</f>
        <v>0</v>
      </c>
      <c r="E18" s="238"/>
      <c r="F18" s="349">
        <f>SUM(D18:E18)</f>
        <v>0</v>
      </c>
      <c r="H18" s="116"/>
    </row>
    <row r="19" spans="2:8" hidden="1" x14ac:dyDescent="0.35">
      <c r="B19" s="450">
        <f>'InsHRA-Request'!B27</f>
        <v>0</v>
      </c>
      <c r="C19" s="246" t="s">
        <v>34</v>
      </c>
      <c r="D19" s="238">
        <f>'InsHRA-Request'!D27</f>
        <v>0</v>
      </c>
      <c r="E19" s="238"/>
      <c r="F19" s="349">
        <f>SUM(D19:E19)</f>
        <v>0</v>
      </c>
      <c r="H19" s="116"/>
    </row>
    <row r="20" spans="2:8" ht="21.75" thickBot="1" x14ac:dyDescent="0.4">
      <c r="B20" s="451">
        <f>'InsHRA-Request'!B28</f>
        <v>0</v>
      </c>
      <c r="C20" s="248" t="s">
        <v>18</v>
      </c>
      <c r="D20" s="239">
        <f>'InsHRA-Request'!D28</f>
        <v>0</v>
      </c>
      <c r="E20" s="239"/>
      <c r="F20" s="350">
        <f>SUM(D20:E20)</f>
        <v>0</v>
      </c>
      <c r="H20" s="116"/>
    </row>
    <row r="21" spans="2:8" ht="21.75" thickBot="1" x14ac:dyDescent="0.4">
      <c r="B21" s="249">
        <f>SUM(B17:B20)</f>
        <v>0</v>
      </c>
      <c r="C21" s="250"/>
      <c r="D21" s="240">
        <f>(B17*D17)+(B18*D18)+(B20*D20)+(B19*D19)</f>
        <v>0</v>
      </c>
      <c r="E21" s="240"/>
      <c r="F21" s="351">
        <f>(B17*F17)+(B18*F18)+(B19*F19)+(B20*F20)</f>
        <v>0</v>
      </c>
    </row>
    <row r="22" spans="2:8" s="136" customFormat="1" ht="9.9499999999999993" customHeight="1" thickTop="1" thickBot="1" x14ac:dyDescent="0.4">
      <c r="B22" s="131"/>
      <c r="C22" s="131"/>
      <c r="D22" s="132"/>
      <c r="E22" s="135"/>
      <c r="F22" s="135"/>
    </row>
    <row r="23" spans="2:8" ht="22.5" thickTop="1" thickBot="1" x14ac:dyDescent="0.4">
      <c r="B23" s="762" t="str">
        <f>"Proposed Plan 1: "&amp;'InsHRA-Request'!B39&amp;" &amp; Insured HRA ($"&amp;'InsHRA-Request'!C69&amp;" deductible / $"&amp;'InsHRA-Request'!C72&amp;" coinsurance)"</f>
        <v>Proposed Plan 1:  &amp; Insured HRA ($ deductible / $ coinsurance)</v>
      </c>
      <c r="C23" s="763"/>
      <c r="D23" s="763"/>
      <c r="E23" s="763"/>
      <c r="F23" s="764"/>
    </row>
    <row r="24" spans="2:8" ht="21.75" hidden="1" customHeight="1" x14ac:dyDescent="0.35">
      <c r="B24" s="436"/>
      <c r="C24" s="437"/>
      <c r="D24" s="437"/>
      <c r="E24" s="437" t="s">
        <v>28</v>
      </c>
      <c r="F24" s="438"/>
    </row>
    <row r="25" spans="2:8" ht="21.75" thickTop="1" x14ac:dyDescent="0.35">
      <c r="B25" s="102" t="s">
        <v>29</v>
      </c>
      <c r="C25" s="103" t="s">
        <v>30</v>
      </c>
      <c r="D25" s="103" t="s">
        <v>31</v>
      </c>
      <c r="E25" s="103" t="s">
        <v>35</v>
      </c>
      <c r="F25" s="104" t="s">
        <v>32</v>
      </c>
    </row>
    <row r="26" spans="2:8" x14ac:dyDescent="0.35">
      <c r="B26" s="144">
        <f>'InsHRA-Request'!B25</f>
        <v>0</v>
      </c>
      <c r="C26" s="145" t="s">
        <v>16</v>
      </c>
      <c r="D26" s="428">
        <f>'InsHRA-Request'!C53</f>
        <v>0</v>
      </c>
      <c r="E26" s="428">
        <f>'InsHRA-Request'!D75</f>
        <v>0</v>
      </c>
      <c r="F26" s="147">
        <f>SUM(D26:E26)</f>
        <v>0</v>
      </c>
      <c r="H26" s="116"/>
    </row>
    <row r="27" spans="2:8" x14ac:dyDescent="0.35">
      <c r="B27" s="148">
        <f>'InsHRA-Request'!B26</f>
        <v>0</v>
      </c>
      <c r="C27" s="149" t="s">
        <v>33</v>
      </c>
      <c r="D27" s="429">
        <f>'InsHRA-Request'!C54</f>
        <v>0</v>
      </c>
      <c r="E27" s="429">
        <f>'InsHRA-Request'!D76</f>
        <v>0</v>
      </c>
      <c r="F27" s="151">
        <f>SUM(D27:E27)</f>
        <v>0</v>
      </c>
      <c r="H27" s="116"/>
    </row>
    <row r="28" spans="2:8" hidden="1" x14ac:dyDescent="0.35">
      <c r="B28" s="148">
        <f>'InsHRA-Request'!B27</f>
        <v>0</v>
      </c>
      <c r="C28" s="149" t="s">
        <v>34</v>
      </c>
      <c r="D28" s="429">
        <f>'InsHRA-Request'!C55</f>
        <v>0</v>
      </c>
      <c r="E28" s="429">
        <f>'InsHRA-Request'!D77</f>
        <v>0</v>
      </c>
      <c r="F28" s="151">
        <f>SUM(D28:E28)</f>
        <v>0</v>
      </c>
      <c r="H28" s="116"/>
    </row>
    <row r="29" spans="2:8" ht="21.75" thickBot="1" x14ac:dyDescent="0.4">
      <c r="B29" s="152">
        <f>'InsHRA-Request'!B28</f>
        <v>0</v>
      </c>
      <c r="C29" s="153" t="s">
        <v>18</v>
      </c>
      <c r="D29" s="430">
        <f>'InsHRA-Request'!C56</f>
        <v>0</v>
      </c>
      <c r="E29" s="430">
        <f>'InsHRA-Request'!D78</f>
        <v>0</v>
      </c>
      <c r="F29" s="155">
        <f>SUM(D29:E29)</f>
        <v>0</v>
      </c>
      <c r="H29" s="116"/>
    </row>
    <row r="30" spans="2:8" ht="21.75" thickBot="1" x14ac:dyDescent="0.4">
      <c r="B30" s="156">
        <f>SUM(B26:B29)</f>
        <v>0</v>
      </c>
      <c r="C30" s="157"/>
      <c r="D30" s="158">
        <f>(B26*D26)+(B27*D27)+(B29*D29)+(B28*D28)</f>
        <v>0</v>
      </c>
      <c r="E30" s="158">
        <f>(B26*E26)+(B27*E27)+(B29*E29)+(B28*E28)</f>
        <v>0</v>
      </c>
      <c r="F30" s="159">
        <f>(B26*F26)+(B27*F27)+(B28*F28)+(B29*F29)</f>
        <v>0</v>
      </c>
    </row>
    <row r="31" spans="2:8" s="136" customFormat="1" ht="9.9499999999999993" customHeight="1" thickTop="1" thickBot="1" x14ac:dyDescent="0.4">
      <c r="B31" s="131"/>
      <c r="C31" s="131"/>
      <c r="D31" s="132"/>
      <c r="E31" s="132"/>
      <c r="F31" s="135"/>
    </row>
    <row r="32" spans="2:8" ht="22.5" thickTop="1" thickBot="1" x14ac:dyDescent="0.4">
      <c r="B32" s="762" t="str">
        <f>"Proposed Plan 2: "&amp;'InsHRA-Request'!B39&amp;" &amp; Insured HRA ($"&amp;'InsHRA-Request'!E69&amp;" deductible / $"&amp;'InsHRA-Request'!E72&amp;" coinsurance)"</f>
        <v>Proposed Plan 2:  &amp; Insured HRA ($ deductible / $ coinsurance)</v>
      </c>
      <c r="C32" s="763"/>
      <c r="D32" s="763"/>
      <c r="E32" s="763"/>
      <c r="F32" s="764"/>
    </row>
    <row r="33" spans="2:8" ht="21.75" hidden="1" customHeight="1" x14ac:dyDescent="0.35">
      <c r="B33" s="436"/>
      <c r="C33" s="437"/>
      <c r="D33" s="437"/>
      <c r="E33" s="437" t="s">
        <v>28</v>
      </c>
      <c r="F33" s="438"/>
    </row>
    <row r="34" spans="2:8" ht="21.75" thickTop="1" x14ac:dyDescent="0.35">
      <c r="B34" s="105" t="s">
        <v>29</v>
      </c>
      <c r="C34" s="106" t="s">
        <v>30</v>
      </c>
      <c r="D34" s="106" t="s">
        <v>31</v>
      </c>
      <c r="E34" s="106" t="s">
        <v>35</v>
      </c>
      <c r="F34" s="107" t="s">
        <v>32</v>
      </c>
    </row>
    <row r="35" spans="2:8" x14ac:dyDescent="0.35">
      <c r="B35" s="165">
        <f>'InsHRA-Request'!B25</f>
        <v>0</v>
      </c>
      <c r="C35" s="195" t="s">
        <v>16</v>
      </c>
      <c r="D35" s="431">
        <f>D26</f>
        <v>0</v>
      </c>
      <c r="E35" s="431">
        <f>'InsHRA-Request'!F75</f>
        <v>0</v>
      </c>
      <c r="F35" s="198">
        <f>SUM(D35:E35)</f>
        <v>0</v>
      </c>
      <c r="H35" s="116"/>
    </row>
    <row r="36" spans="2:8" x14ac:dyDescent="0.35">
      <c r="B36" s="166">
        <f>'InsHRA-Request'!B26</f>
        <v>0</v>
      </c>
      <c r="C36" s="199" t="s">
        <v>33</v>
      </c>
      <c r="D36" s="432">
        <f>D27</f>
        <v>0</v>
      </c>
      <c r="E36" s="432">
        <f>'InsHRA-Request'!F76</f>
        <v>0</v>
      </c>
      <c r="F36" s="202">
        <f>SUM(D36:E36)</f>
        <v>0</v>
      </c>
      <c r="H36" s="116"/>
    </row>
    <row r="37" spans="2:8" hidden="1" x14ac:dyDescent="0.35">
      <c r="B37" s="166">
        <f>'InsHRA-Request'!B27</f>
        <v>0</v>
      </c>
      <c r="C37" s="199" t="s">
        <v>34</v>
      </c>
      <c r="D37" s="432">
        <f>D28</f>
        <v>0</v>
      </c>
      <c r="E37" s="432">
        <f>'InsHRA-Request'!F77</f>
        <v>0</v>
      </c>
      <c r="F37" s="202">
        <f>SUM(D37:E37)</f>
        <v>0</v>
      </c>
      <c r="H37" s="116"/>
    </row>
    <row r="38" spans="2:8" ht="21.75" thickBot="1" x14ac:dyDescent="0.4">
      <c r="B38" s="167">
        <f>'InsHRA-Request'!B28</f>
        <v>0</v>
      </c>
      <c r="C38" s="203" t="s">
        <v>18</v>
      </c>
      <c r="D38" s="433">
        <f>D29</f>
        <v>0</v>
      </c>
      <c r="E38" s="433">
        <f>'InsHRA-Request'!F78</f>
        <v>0</v>
      </c>
      <c r="F38" s="206">
        <f>SUM(D38:E38)</f>
        <v>0</v>
      </c>
      <c r="H38" s="116"/>
    </row>
    <row r="39" spans="2:8" ht="21.75" thickBot="1" x14ac:dyDescent="0.4">
      <c r="B39" s="168">
        <f>SUM(B35:B38)</f>
        <v>0</v>
      </c>
      <c r="C39" s="207"/>
      <c r="D39" s="208">
        <f>(B35*D35)+(B36*D36)+(B38*D38)+(B37*D37)</f>
        <v>0</v>
      </c>
      <c r="E39" s="208">
        <f>(B35*E35)+(B36*E36)+(B38*E38)+(B37*E37)</f>
        <v>0</v>
      </c>
      <c r="F39" s="209">
        <f>(B35*F35)+(B36*F36)+(B37*F37)+(B38*F38)</f>
        <v>0</v>
      </c>
    </row>
    <row r="40" spans="2:8" s="136" customFormat="1" ht="10.5" customHeight="1" thickTop="1" thickBot="1" x14ac:dyDescent="0.4">
      <c r="B40" s="131"/>
      <c r="C40" s="131"/>
      <c r="D40" s="132"/>
      <c r="E40" s="132"/>
      <c r="F40" s="135"/>
    </row>
    <row r="41" spans="2:8" ht="22.5" thickTop="1" thickBot="1" x14ac:dyDescent="0.4">
      <c r="B41" s="762" t="str">
        <f>"Proposed Plan 3: "&amp;'InsHRA-Request'!B39&amp;" &amp; Insured HRA ($"&amp;'InsHRA-Request'!G69&amp;" deductible / $"&amp;'InsHRA-Request'!G72&amp;" coinsurance)"</f>
        <v>Proposed Plan 3:  &amp; Insured HRA ($ deductible / $ coinsurance)</v>
      </c>
      <c r="C41" s="763"/>
      <c r="D41" s="763"/>
      <c r="E41" s="763"/>
      <c r="F41" s="764"/>
    </row>
    <row r="42" spans="2:8" ht="21.75" hidden="1" customHeight="1" x14ac:dyDescent="0.35">
      <c r="B42" s="436"/>
      <c r="C42" s="437"/>
      <c r="D42" s="437"/>
      <c r="E42" s="437" t="s">
        <v>28</v>
      </c>
      <c r="F42" s="438"/>
    </row>
    <row r="43" spans="2:8" ht="21.75" thickTop="1" x14ac:dyDescent="0.35">
      <c r="B43" s="377" t="s">
        <v>29</v>
      </c>
      <c r="C43" s="378" t="s">
        <v>30</v>
      </c>
      <c r="D43" s="378" t="s">
        <v>31</v>
      </c>
      <c r="E43" s="378" t="s">
        <v>35</v>
      </c>
      <c r="F43" s="379" t="s">
        <v>32</v>
      </c>
    </row>
    <row r="44" spans="2:8" x14ac:dyDescent="0.35">
      <c r="B44" s="310">
        <f>'InsHRA-Request'!B25</f>
        <v>0</v>
      </c>
      <c r="C44" s="311" t="s">
        <v>16</v>
      </c>
      <c r="D44" s="434">
        <f>D35</f>
        <v>0</v>
      </c>
      <c r="E44" s="434">
        <f>'InsHRA-Request'!H75</f>
        <v>0</v>
      </c>
      <c r="F44" s="314">
        <f>SUM(D44:E44)</f>
        <v>0</v>
      </c>
      <c r="H44" s="116"/>
    </row>
    <row r="45" spans="2:8" x14ac:dyDescent="0.35">
      <c r="B45" s="315">
        <f>'InsHRA-Request'!B26</f>
        <v>0</v>
      </c>
      <c r="C45" s="316" t="s">
        <v>33</v>
      </c>
      <c r="D45" s="426">
        <f>D36</f>
        <v>0</v>
      </c>
      <c r="E45" s="426">
        <f>'InsHRA-Request'!H76</f>
        <v>0</v>
      </c>
      <c r="F45" s="319">
        <f>SUM(D45:E45)</f>
        <v>0</v>
      </c>
      <c r="H45" s="116"/>
    </row>
    <row r="46" spans="2:8" hidden="1" x14ac:dyDescent="0.35">
      <c r="B46" s="315">
        <f>'InsHRA-Request'!B27</f>
        <v>0</v>
      </c>
      <c r="C46" s="316" t="s">
        <v>34</v>
      </c>
      <c r="D46" s="426">
        <f>D37</f>
        <v>0</v>
      </c>
      <c r="E46" s="426">
        <f>'InsHRA-Request'!H77</f>
        <v>0</v>
      </c>
      <c r="F46" s="319">
        <f>SUM(D46:E46)</f>
        <v>0</v>
      </c>
      <c r="H46" s="116"/>
    </row>
    <row r="47" spans="2:8" ht="21.75" thickBot="1" x14ac:dyDescent="0.4">
      <c r="B47" s="320">
        <f>'InsHRA-Request'!B28</f>
        <v>0</v>
      </c>
      <c r="C47" s="321" t="s">
        <v>18</v>
      </c>
      <c r="D47" s="427">
        <f>D38</f>
        <v>0</v>
      </c>
      <c r="E47" s="427">
        <f>'InsHRA-Request'!H78</f>
        <v>0</v>
      </c>
      <c r="F47" s="324">
        <f>SUM(D47:E47)</f>
        <v>0</v>
      </c>
      <c r="H47" s="116"/>
    </row>
    <row r="48" spans="2:8" ht="21.75" thickBot="1" x14ac:dyDescent="0.4">
      <c r="B48" s="325">
        <f>SUM(B44:B47)</f>
        <v>0</v>
      </c>
      <c r="C48" s="326"/>
      <c r="D48" s="327">
        <f>(B44*D44)+(B45*D45)+(B47*D47)+(B46*D46)</f>
        <v>0</v>
      </c>
      <c r="E48" s="327">
        <f>(B44*E44)+(B45*E45)+(B47*E47)+(B46*E46)</f>
        <v>0</v>
      </c>
      <c r="F48" s="328">
        <f>(B44*F44)+(B45*F45)+(B46*F46)+(B47*F47)</f>
        <v>0</v>
      </c>
    </row>
    <row r="49" spans="2:6" s="136" customFormat="1" ht="15" hidden="1" customHeight="1" x14ac:dyDescent="0.35">
      <c r="B49" s="131"/>
      <c r="C49" s="131"/>
      <c r="D49" s="132"/>
      <c r="E49" s="132"/>
      <c r="F49" s="135"/>
    </row>
    <row r="50" spans="2:6" s="136" customFormat="1" ht="10.5" hidden="1" customHeight="1" x14ac:dyDescent="0.35">
      <c r="B50" s="131"/>
      <c r="C50" s="131"/>
      <c r="D50" s="132"/>
      <c r="E50" s="132"/>
      <c r="F50" s="135"/>
    </row>
    <row r="51" spans="2:6" s="136" customFormat="1" ht="10.5" customHeight="1" thickTop="1" thickBot="1" x14ac:dyDescent="0.4">
      <c r="B51" s="131"/>
      <c r="C51" s="131"/>
      <c r="D51" s="132"/>
      <c r="E51" s="132"/>
      <c r="F51" s="135"/>
    </row>
    <row r="52" spans="2:6" ht="22.5" thickTop="1" thickBot="1" x14ac:dyDescent="0.4">
      <c r="B52" s="87" t="s">
        <v>36</v>
      </c>
      <c r="C52" s="452"/>
      <c r="D52" s="453"/>
      <c r="E52" s="453"/>
      <c r="F52" s="454">
        <f>12*(F21-F30)</f>
        <v>0</v>
      </c>
    </row>
    <row r="53" spans="2:6" ht="6.75" customHeight="1" thickTop="1" thickBot="1" x14ac:dyDescent="0.4"/>
    <row r="54" spans="2:6" ht="22.5" thickTop="1" thickBot="1" x14ac:dyDescent="0.4">
      <c r="B54" s="87" t="s">
        <v>37</v>
      </c>
      <c r="C54" s="452"/>
      <c r="D54" s="453"/>
      <c r="E54" s="453"/>
      <c r="F54" s="454">
        <f>12*(F21-F39)</f>
        <v>0</v>
      </c>
    </row>
    <row r="55" spans="2:6" ht="7.5" customHeight="1" thickTop="1" thickBot="1" x14ac:dyDescent="0.4"/>
    <row r="56" spans="2:6" ht="22.5" thickTop="1" thickBot="1" x14ac:dyDescent="0.4">
      <c r="B56" s="87" t="s">
        <v>90</v>
      </c>
      <c r="C56" s="452"/>
      <c r="D56" s="453"/>
      <c r="E56" s="453"/>
      <c r="F56" s="454">
        <f>12*(F21-F48)</f>
        <v>0</v>
      </c>
    </row>
    <row r="57" spans="2:6" ht="21.75" thickTop="1" x14ac:dyDescent="0.35"/>
  </sheetData>
  <mergeCells count="8">
    <mergeCell ref="B32:F32"/>
    <mergeCell ref="B41:F41"/>
    <mergeCell ref="B2:F2"/>
    <mergeCell ref="B3:F3"/>
    <mergeCell ref="B5:F5"/>
    <mergeCell ref="C13:D13"/>
    <mergeCell ref="B14:F14"/>
    <mergeCell ref="B23:F23"/>
  </mergeCells>
  <pageMargins left="0.3" right="0.05" top="0.05" bottom="0.05" header="0.3" footer="0.3"/>
  <pageSetup scale="88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[2]Sheet1!#REF!</xm:f>
          </x14:formula1>
          <xm:sqref>E24 E6 E15 E33 E42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H58"/>
  <sheetViews>
    <sheetView workbookViewId="0">
      <selection activeCell="A37" sqref="A37:XFD37"/>
    </sheetView>
  </sheetViews>
  <sheetFormatPr defaultColWidth="16.28515625" defaultRowHeight="23.25" x14ac:dyDescent="0.35"/>
  <cols>
    <col min="1" max="1" width="1" style="17" customWidth="1"/>
    <col min="2" max="2" width="14.85546875" style="17" customWidth="1"/>
    <col min="3" max="3" width="23.5703125" style="18" customWidth="1"/>
    <col min="4" max="4" width="19.85546875" style="17" customWidth="1"/>
    <col min="5" max="5" width="22.7109375" style="17" customWidth="1"/>
    <col min="6" max="6" width="26.7109375" style="17" customWidth="1"/>
    <col min="7" max="7" width="1" style="17" customWidth="1"/>
    <col min="8" max="16384" width="16.28515625" style="17"/>
  </cols>
  <sheetData>
    <row r="1" spans="2:8" ht="7.5" customHeight="1" thickBot="1" x14ac:dyDescent="0.4"/>
    <row r="2" spans="2:8" ht="27" thickTop="1" x14ac:dyDescent="0.4">
      <c r="B2" s="779" t="s">
        <v>38</v>
      </c>
      <c r="C2" s="780"/>
      <c r="D2" s="780"/>
      <c r="E2" s="780"/>
      <c r="F2" s="781"/>
    </row>
    <row r="3" spans="2:8" ht="27" thickBot="1" x14ac:dyDescent="0.45">
      <c r="B3" s="782">
        <f>'InsHRA-Request'!B3:G3</f>
        <v>0</v>
      </c>
      <c r="C3" s="783"/>
      <c r="D3" s="783"/>
      <c r="E3" s="783"/>
      <c r="F3" s="784"/>
    </row>
    <row r="4" spans="2:8" ht="7.5" customHeight="1" thickTop="1" thickBot="1" x14ac:dyDescent="0.4">
      <c r="B4" s="91"/>
      <c r="C4" s="91"/>
      <c r="D4" s="91"/>
      <c r="E4" s="91"/>
      <c r="F4" s="91"/>
    </row>
    <row r="5" spans="2:8" ht="24.75" thickTop="1" thickBot="1" x14ac:dyDescent="0.4">
      <c r="B5" s="785" t="str">
        <f>"Current Plan: "&amp;'InsHRA-Request'!B11:D11</f>
        <v xml:space="preserve">Current Plan: </v>
      </c>
      <c r="C5" s="786"/>
      <c r="D5" s="786"/>
      <c r="E5" s="786"/>
      <c r="F5" s="787"/>
    </row>
    <row r="6" spans="2:8" ht="24" hidden="1" thickTop="1" x14ac:dyDescent="0.35">
      <c r="B6" s="19"/>
      <c r="C6" s="20"/>
      <c r="D6" s="20"/>
      <c r="E6" s="20" t="s">
        <v>28</v>
      </c>
      <c r="F6" s="21"/>
    </row>
    <row r="7" spans="2:8" ht="24" thickTop="1" x14ac:dyDescent="0.35">
      <c r="B7" s="97" t="s">
        <v>29</v>
      </c>
      <c r="C7" s="94" t="s">
        <v>30</v>
      </c>
      <c r="D7" s="94" t="s">
        <v>31</v>
      </c>
      <c r="E7" s="95"/>
      <c r="F7" s="100" t="s">
        <v>32</v>
      </c>
    </row>
    <row r="8" spans="2:8" x14ac:dyDescent="0.35">
      <c r="B8" s="371">
        <f>'InsHRA-Request'!B25</f>
        <v>0</v>
      </c>
      <c r="C8" s="22" t="s">
        <v>16</v>
      </c>
      <c r="D8" s="23">
        <f>'InsHRA-Request'!C25</f>
        <v>0</v>
      </c>
      <c r="E8" s="23"/>
      <c r="F8" s="24">
        <f>SUM(D8:E8)</f>
        <v>0</v>
      </c>
      <c r="H8" s="25"/>
    </row>
    <row r="9" spans="2:8" x14ac:dyDescent="0.35">
      <c r="B9" s="372">
        <f>'InsHRA-Request'!B26</f>
        <v>0</v>
      </c>
      <c r="C9" s="26" t="s">
        <v>33</v>
      </c>
      <c r="D9" s="27">
        <f>'InsHRA-Request'!C26</f>
        <v>0</v>
      </c>
      <c r="E9" s="27"/>
      <c r="F9" s="28">
        <f>SUM(D9:E9)</f>
        <v>0</v>
      </c>
      <c r="H9" s="25"/>
    </row>
    <row r="10" spans="2:8" hidden="1" x14ac:dyDescent="0.35">
      <c r="B10" s="372">
        <f>'InsHRA-Request'!B27</f>
        <v>0</v>
      </c>
      <c r="C10" s="26" t="s">
        <v>34</v>
      </c>
      <c r="D10" s="27">
        <f>'InsHRA-Request'!C27</f>
        <v>0</v>
      </c>
      <c r="E10" s="27"/>
      <c r="F10" s="28">
        <f>SUM(D10:E10)</f>
        <v>0</v>
      </c>
      <c r="H10" s="25"/>
    </row>
    <row r="11" spans="2:8" ht="24" thickBot="1" x14ac:dyDescent="0.4">
      <c r="B11" s="373">
        <f>'InsHRA-Request'!B28</f>
        <v>0</v>
      </c>
      <c r="C11" s="29" t="s">
        <v>18</v>
      </c>
      <c r="D11" s="30">
        <f>'InsHRA-Request'!C28</f>
        <v>0</v>
      </c>
      <c r="E11" s="30"/>
      <c r="F11" s="31">
        <f>SUM(D11:E11)</f>
        <v>0</v>
      </c>
      <c r="H11" s="25"/>
    </row>
    <row r="12" spans="2:8" ht="24" thickBot="1" x14ac:dyDescent="0.4">
      <c r="B12" s="32">
        <f>SUM(B8:B11)</f>
        <v>0</v>
      </c>
      <c r="C12" s="33"/>
      <c r="D12" s="34">
        <f>(B8*D8)+(B9*D9)+(B11*D11)+(B10*D10)</f>
        <v>0</v>
      </c>
      <c r="E12" s="34"/>
      <c r="F12" s="35">
        <f>(B8*F8)+(B9*F9)+(B10*F10)+(B11*F11)</f>
        <v>0</v>
      </c>
    </row>
    <row r="13" spans="2:8" s="37" customFormat="1" ht="9.9499999999999993" customHeight="1" thickTop="1" thickBot="1" x14ac:dyDescent="0.4">
      <c r="B13" s="275"/>
      <c r="C13" s="788"/>
      <c r="D13" s="788"/>
      <c r="E13" s="36"/>
      <c r="F13" s="36"/>
      <c r="H13" s="38"/>
    </row>
    <row r="14" spans="2:8" ht="24.75" thickTop="1" thickBot="1" x14ac:dyDescent="0.4">
      <c r="B14" s="789" t="str">
        <f>"Renewal Plan: "&amp;'InsHRA-Request'!B11:D11</f>
        <v xml:space="preserve">Renewal Plan: </v>
      </c>
      <c r="C14" s="786"/>
      <c r="D14" s="786"/>
      <c r="E14" s="786"/>
      <c r="F14" s="787"/>
    </row>
    <row r="15" spans="2:8" ht="24" hidden="1" thickTop="1" x14ac:dyDescent="0.35">
      <c r="B15" s="19"/>
      <c r="C15" s="20"/>
      <c r="D15" s="20"/>
      <c r="E15" s="20" t="s">
        <v>28</v>
      </c>
      <c r="F15" s="21"/>
    </row>
    <row r="16" spans="2:8" ht="24" thickTop="1" x14ac:dyDescent="0.35">
      <c r="B16" s="98" t="s">
        <v>29</v>
      </c>
      <c r="C16" s="99" t="s">
        <v>30</v>
      </c>
      <c r="D16" s="99" t="s">
        <v>31</v>
      </c>
      <c r="E16" s="96"/>
      <c r="F16" s="101" t="s">
        <v>32</v>
      </c>
    </row>
    <row r="17" spans="2:8" x14ac:dyDescent="0.35">
      <c r="B17" s="374">
        <f>B8</f>
        <v>0</v>
      </c>
      <c r="C17" s="39" t="s">
        <v>16</v>
      </c>
      <c r="D17" s="40">
        <f>'InsHRA-Request'!D25</f>
        <v>0</v>
      </c>
      <c r="E17" s="40"/>
      <c r="F17" s="41">
        <f>SUM(D17:E17)</f>
        <v>0</v>
      </c>
      <c r="H17" s="25"/>
    </row>
    <row r="18" spans="2:8" x14ac:dyDescent="0.35">
      <c r="B18" s="375">
        <f>B9</f>
        <v>0</v>
      </c>
      <c r="C18" s="42" t="s">
        <v>33</v>
      </c>
      <c r="D18" s="43">
        <f>'InsHRA-Request'!D26</f>
        <v>0</v>
      </c>
      <c r="E18" s="43"/>
      <c r="F18" s="44">
        <f>SUM(D18:E18)</f>
        <v>0</v>
      </c>
      <c r="H18" s="25"/>
    </row>
    <row r="19" spans="2:8" hidden="1" x14ac:dyDescent="0.35">
      <c r="B19" s="375">
        <f>B10</f>
        <v>0</v>
      </c>
      <c r="C19" s="42" t="s">
        <v>34</v>
      </c>
      <c r="D19" s="43">
        <f>'InsHRA-Request'!D27</f>
        <v>0</v>
      </c>
      <c r="E19" s="43"/>
      <c r="F19" s="44">
        <f>SUM(D19:E19)</f>
        <v>0</v>
      </c>
      <c r="H19" s="25"/>
    </row>
    <row r="20" spans="2:8" ht="24" thickBot="1" x14ac:dyDescent="0.4">
      <c r="B20" s="376">
        <f>B11</f>
        <v>0</v>
      </c>
      <c r="C20" s="45" t="s">
        <v>18</v>
      </c>
      <c r="D20" s="46">
        <f>'InsHRA-Request'!D28</f>
        <v>0</v>
      </c>
      <c r="E20" s="46"/>
      <c r="F20" s="47">
        <f>SUM(D20:E20)</f>
        <v>0</v>
      </c>
      <c r="H20" s="25"/>
    </row>
    <row r="21" spans="2:8" ht="24" thickBot="1" x14ac:dyDescent="0.4">
      <c r="B21" s="48">
        <f>SUM(B17:B20)</f>
        <v>0</v>
      </c>
      <c r="C21" s="49"/>
      <c r="D21" s="50">
        <f>(B17*D17)+(B18*D18)+(B20*D20)+(B19*D19)</f>
        <v>0</v>
      </c>
      <c r="E21" s="50"/>
      <c r="F21" s="51">
        <f>(B17*F17)+(B18*F18)+(B19*F19)+(B20*F20)</f>
        <v>0</v>
      </c>
    </row>
    <row r="22" spans="2:8" s="37" customFormat="1" ht="9.9499999999999993" customHeight="1" thickTop="1" thickBot="1" x14ac:dyDescent="0.4">
      <c r="B22" s="52"/>
      <c r="C22" s="52"/>
      <c r="D22" s="53"/>
      <c r="E22" s="54"/>
      <c r="F22" s="54"/>
    </row>
    <row r="23" spans="2:8" ht="24.75" thickTop="1" thickBot="1" x14ac:dyDescent="0.4">
      <c r="B23" s="773" t="str">
        <f>"Proposed Plan 1: "&amp;'InsHRA-Request'!B39&amp;" &amp; Insured HRA ($"&amp;'InsHRA-Request'!C69&amp;" deductible / $"&amp;'InsHRA-Request'!C72&amp;" coinsurance)"</f>
        <v>Proposed Plan 1:  &amp; Insured HRA ($ deductible / $ coinsurance)</v>
      </c>
      <c r="C23" s="774"/>
      <c r="D23" s="774"/>
      <c r="E23" s="774"/>
      <c r="F23" s="775"/>
    </row>
    <row r="24" spans="2:8" ht="21.75" hidden="1" customHeight="1" x14ac:dyDescent="0.35">
      <c r="B24" s="19"/>
      <c r="C24" s="20"/>
      <c r="D24" s="20"/>
      <c r="E24" s="20" t="s">
        <v>28</v>
      </c>
      <c r="F24" s="21"/>
    </row>
    <row r="25" spans="2:8" ht="24" thickTop="1" x14ac:dyDescent="0.35">
      <c r="B25" s="102" t="s">
        <v>29</v>
      </c>
      <c r="C25" s="103" t="s">
        <v>30</v>
      </c>
      <c r="D25" s="103" t="s">
        <v>31</v>
      </c>
      <c r="E25" s="103" t="s">
        <v>35</v>
      </c>
      <c r="F25" s="104" t="s">
        <v>32</v>
      </c>
    </row>
    <row r="26" spans="2:8" x14ac:dyDescent="0.35">
      <c r="B26" s="55">
        <f>B17</f>
        <v>0</v>
      </c>
      <c r="C26" s="56" t="s">
        <v>16</v>
      </c>
      <c r="D26" s="57">
        <f>'InsHRA-Request'!C53</f>
        <v>0</v>
      </c>
      <c r="E26" s="57">
        <f>'InsHRA-Request'!D75</f>
        <v>0</v>
      </c>
      <c r="F26" s="58">
        <f>SUM(D26:E26)</f>
        <v>0</v>
      </c>
      <c r="H26" s="25"/>
    </row>
    <row r="27" spans="2:8" x14ac:dyDescent="0.35">
      <c r="B27" s="59">
        <f>B18</f>
        <v>0</v>
      </c>
      <c r="C27" s="60" t="s">
        <v>33</v>
      </c>
      <c r="D27" s="61">
        <f>'InsHRA-Request'!C54</f>
        <v>0</v>
      </c>
      <c r="E27" s="61">
        <f>'InsHRA-Request'!D76</f>
        <v>0</v>
      </c>
      <c r="F27" s="62">
        <f>SUM(D27:E27)</f>
        <v>0</v>
      </c>
      <c r="H27" s="25"/>
    </row>
    <row r="28" spans="2:8" hidden="1" x14ac:dyDescent="0.35">
      <c r="B28" s="59">
        <f>B19</f>
        <v>0</v>
      </c>
      <c r="C28" s="60" t="s">
        <v>34</v>
      </c>
      <c r="D28" s="61">
        <f>'InsHRA-Request'!C55</f>
        <v>0</v>
      </c>
      <c r="E28" s="61">
        <f>'InsHRA-Request'!D77</f>
        <v>0</v>
      </c>
      <c r="F28" s="62">
        <f>SUM(D28:E28)</f>
        <v>0</v>
      </c>
      <c r="H28" s="25"/>
    </row>
    <row r="29" spans="2:8" ht="24" thickBot="1" x14ac:dyDescent="0.4">
      <c r="B29" s="63">
        <f>B20</f>
        <v>0</v>
      </c>
      <c r="C29" s="64" t="s">
        <v>18</v>
      </c>
      <c r="D29" s="65">
        <f>'InsHRA-Request'!C56</f>
        <v>0</v>
      </c>
      <c r="E29" s="65">
        <f>'InsHRA-Request'!D78</f>
        <v>0</v>
      </c>
      <c r="F29" s="66">
        <f>SUM(D29:E29)</f>
        <v>0</v>
      </c>
      <c r="H29" s="25"/>
    </row>
    <row r="30" spans="2:8" ht="24" thickBot="1" x14ac:dyDescent="0.4">
      <c r="B30" s="67">
        <f>SUM(B26:B29)</f>
        <v>0</v>
      </c>
      <c r="C30" s="68"/>
      <c r="D30" s="69">
        <f>(B26*D26)+(B27*D27)+(B29*D29)+(B28*D28)</f>
        <v>0</v>
      </c>
      <c r="E30" s="69">
        <f>(B26*E26)+(B27*E27)+(B29*E29)+(B28*E28)</f>
        <v>0</v>
      </c>
      <c r="F30" s="70">
        <f>(B26*F26)+(B27*F27)+(B28*F28)+(B29*F29)</f>
        <v>0</v>
      </c>
    </row>
    <row r="31" spans="2:8" s="37" customFormat="1" ht="9.9499999999999993" customHeight="1" thickTop="1" thickBot="1" x14ac:dyDescent="0.4">
      <c r="B31" s="52"/>
      <c r="C31" s="52"/>
      <c r="D31" s="53"/>
      <c r="E31" s="53"/>
      <c r="F31" s="54"/>
    </row>
    <row r="32" spans="2:8" ht="24.75" thickTop="1" thickBot="1" x14ac:dyDescent="0.4">
      <c r="B32" s="773" t="str">
        <f>"Proposed Plan 2: "&amp;'InsHRA-Request'!B39&amp;" &amp; Insured HRA ($"&amp;'InsHRA-Request'!E69&amp;" deductible / $"&amp;'InsHRA-Request'!E72&amp;" coinsurance)"</f>
        <v>Proposed Plan 2:  &amp; Insured HRA ($ deductible / $ coinsurance)</v>
      </c>
      <c r="C32" s="774"/>
      <c r="D32" s="774"/>
      <c r="E32" s="774"/>
      <c r="F32" s="775"/>
    </row>
    <row r="33" spans="2:8" ht="21.75" hidden="1" customHeight="1" x14ac:dyDescent="0.35">
      <c r="B33" s="19"/>
      <c r="C33" s="20"/>
      <c r="D33" s="20"/>
      <c r="E33" s="20" t="s">
        <v>28</v>
      </c>
      <c r="F33" s="21"/>
    </row>
    <row r="34" spans="2:8" ht="24" thickTop="1" x14ac:dyDescent="0.35">
      <c r="B34" s="105" t="s">
        <v>29</v>
      </c>
      <c r="C34" s="106" t="s">
        <v>30</v>
      </c>
      <c r="D34" s="106" t="s">
        <v>31</v>
      </c>
      <c r="E34" s="106" t="s">
        <v>35</v>
      </c>
      <c r="F34" s="107" t="s">
        <v>32</v>
      </c>
    </row>
    <row r="35" spans="2:8" x14ac:dyDescent="0.35">
      <c r="B35" s="71">
        <f>B26</f>
        <v>0</v>
      </c>
      <c r="C35" s="72" t="s">
        <v>16</v>
      </c>
      <c r="D35" s="73">
        <f>D26</f>
        <v>0</v>
      </c>
      <c r="E35" s="73">
        <f>'InsHRA-Request'!F75</f>
        <v>0</v>
      </c>
      <c r="F35" s="74">
        <f>SUM(D35:E35)</f>
        <v>0</v>
      </c>
      <c r="H35" s="25"/>
    </row>
    <row r="36" spans="2:8" x14ac:dyDescent="0.35">
      <c r="B36" s="75">
        <f>B27</f>
        <v>0</v>
      </c>
      <c r="C36" s="76" t="s">
        <v>33</v>
      </c>
      <c r="D36" s="77">
        <f>D27</f>
        <v>0</v>
      </c>
      <c r="E36" s="77">
        <f>'InsHRA-Request'!F76</f>
        <v>0</v>
      </c>
      <c r="F36" s="78">
        <f>SUM(D36:E36)</f>
        <v>0</v>
      </c>
      <c r="H36" s="25"/>
    </row>
    <row r="37" spans="2:8" hidden="1" x14ac:dyDescent="0.35">
      <c r="B37" s="75">
        <f>B28</f>
        <v>0</v>
      </c>
      <c r="C37" s="76" t="s">
        <v>34</v>
      </c>
      <c r="D37" s="77">
        <f>D28</f>
        <v>0</v>
      </c>
      <c r="E37" s="77">
        <f>'InsHRA-Request'!F77</f>
        <v>0</v>
      </c>
      <c r="F37" s="78">
        <f>SUM(D37:E37)</f>
        <v>0</v>
      </c>
      <c r="H37" s="25"/>
    </row>
    <row r="38" spans="2:8" ht="24" thickBot="1" x14ac:dyDescent="0.4">
      <c r="B38" s="79">
        <f>B29</f>
        <v>0</v>
      </c>
      <c r="C38" s="80" t="s">
        <v>18</v>
      </c>
      <c r="D38" s="81">
        <f>D29</f>
        <v>0</v>
      </c>
      <c r="E38" s="81">
        <f>'InsHRA-Request'!F78</f>
        <v>0</v>
      </c>
      <c r="F38" s="82">
        <f>SUM(D38:E38)</f>
        <v>0</v>
      </c>
      <c r="H38" s="25"/>
    </row>
    <row r="39" spans="2:8" ht="24" thickBot="1" x14ac:dyDescent="0.4">
      <c r="B39" s="83">
        <f>SUM(B35:B38)</f>
        <v>0</v>
      </c>
      <c r="C39" s="84"/>
      <c r="D39" s="85">
        <f>(B35*D35)+(B36*D36)+(B38*D38)+(B37*D37)</f>
        <v>0</v>
      </c>
      <c r="E39" s="85">
        <f>(B35*E35)+(B36*E36)+(B38*E38)+(B37*E37)</f>
        <v>0</v>
      </c>
      <c r="F39" s="86">
        <f>(B35*F35)+(B36*F36)+(B37*F37)+(B38*F38)</f>
        <v>0</v>
      </c>
    </row>
    <row r="40" spans="2:8" s="37" customFormat="1" ht="10.5" customHeight="1" thickTop="1" thickBot="1" x14ac:dyDescent="0.4">
      <c r="B40" s="52"/>
      <c r="C40" s="52"/>
      <c r="D40" s="53"/>
      <c r="E40" s="53"/>
      <c r="F40" s="54"/>
    </row>
    <row r="41" spans="2:8" ht="24.75" hidden="1" thickTop="1" thickBot="1" x14ac:dyDescent="0.4">
      <c r="B41" s="776" t="str">
        <f>"Proposed Plan 3: "&amp;'InsHRA-Request'!B39&amp;" &amp; Insured HRA ($"&amp;'InsHRA-Request'!G69&amp;" deductible / $"&amp;'InsHRA-Request'!G69&amp;" coinsurance)"</f>
        <v>Proposed Plan 3:  &amp; Insured HRA ($ deductible / $ coinsurance)</v>
      </c>
      <c r="C41" s="777"/>
      <c r="D41" s="777"/>
      <c r="E41" s="777"/>
      <c r="F41" s="778"/>
    </row>
    <row r="42" spans="2:8" ht="21.75" hidden="1" customHeight="1" thickTop="1" thickBot="1" x14ac:dyDescent="0.35">
      <c r="B42" s="19"/>
      <c r="C42" s="20"/>
      <c r="D42" s="20"/>
      <c r="E42" s="20" t="s">
        <v>28</v>
      </c>
      <c r="F42" s="21"/>
    </row>
    <row r="43" spans="2:8" ht="24" hidden="1" thickTop="1" x14ac:dyDescent="0.35">
      <c r="B43" s="377" t="s">
        <v>29</v>
      </c>
      <c r="C43" s="378" t="s">
        <v>30</v>
      </c>
      <c r="D43" s="378" t="s">
        <v>31</v>
      </c>
      <c r="E43" s="378" t="s">
        <v>35</v>
      </c>
      <c r="F43" s="379" t="s">
        <v>32</v>
      </c>
    </row>
    <row r="44" spans="2:8" hidden="1" x14ac:dyDescent="0.35">
      <c r="B44" s="380">
        <f>B35</f>
        <v>0</v>
      </c>
      <c r="C44" s="381" t="s">
        <v>16</v>
      </c>
      <c r="D44" s="382">
        <f>D35</f>
        <v>0</v>
      </c>
      <c r="E44" s="382"/>
      <c r="F44" s="383">
        <f>SUM(D44:E44)</f>
        <v>0</v>
      </c>
      <c r="H44" s="25"/>
    </row>
    <row r="45" spans="2:8" hidden="1" x14ac:dyDescent="0.35">
      <c r="B45" s="384">
        <f>B36</f>
        <v>0</v>
      </c>
      <c r="C45" s="385" t="s">
        <v>33</v>
      </c>
      <c r="D45" s="386">
        <f>D36</f>
        <v>0</v>
      </c>
      <c r="E45" s="386"/>
      <c r="F45" s="387">
        <f>SUM(D45:E45)</f>
        <v>0</v>
      </c>
      <c r="H45" s="25"/>
    </row>
    <row r="46" spans="2:8" hidden="1" x14ac:dyDescent="0.35">
      <c r="B46" s="384">
        <f>'[3]InsHRA-Request'!B42</f>
        <v>0</v>
      </c>
      <c r="C46" s="385" t="s">
        <v>34</v>
      </c>
      <c r="D46" s="386">
        <f>D37</f>
        <v>0</v>
      </c>
      <c r="E46" s="386"/>
      <c r="F46" s="387">
        <f>SUM(D46:E46)</f>
        <v>0</v>
      </c>
      <c r="H46" s="25"/>
    </row>
    <row r="47" spans="2:8" ht="24" hidden="1" thickBot="1" x14ac:dyDescent="0.4">
      <c r="B47" s="388">
        <f>B38</f>
        <v>0</v>
      </c>
      <c r="C47" s="389" t="s">
        <v>18</v>
      </c>
      <c r="D47" s="390">
        <f>D38</f>
        <v>0</v>
      </c>
      <c r="E47" s="390"/>
      <c r="F47" s="391">
        <f>SUM(D47:E47)</f>
        <v>0</v>
      </c>
      <c r="H47" s="25"/>
    </row>
    <row r="48" spans="2:8" ht="24" hidden="1" thickBot="1" x14ac:dyDescent="0.4">
      <c r="B48" s="392">
        <f>SUM(B44:B47)</f>
        <v>0</v>
      </c>
      <c r="C48" s="393"/>
      <c r="D48" s="394">
        <f>(B44*D44)+(B45*D45)+(B47*D47)+(B46*D46)</f>
        <v>0</v>
      </c>
      <c r="E48" s="394">
        <f>(B44*E44)+(B45*E45)+(B47*E47)+(B46*E46)</f>
        <v>0</v>
      </c>
      <c r="F48" s="395">
        <f>(B44*F44)+(B45*F45)+(B46*F46)+(B47*F47)</f>
        <v>0</v>
      </c>
    </row>
    <row r="49" spans="2:6" s="37" customFormat="1" ht="15" hidden="1" customHeight="1" thickTop="1" thickBot="1" x14ac:dyDescent="0.4">
      <c r="B49" s="52"/>
      <c r="C49" s="52"/>
      <c r="D49" s="53"/>
      <c r="E49" s="53"/>
      <c r="F49" s="54"/>
    </row>
    <row r="50" spans="2:6" s="37" customFormat="1" ht="10.5" hidden="1" customHeight="1" thickTop="1" thickBot="1" x14ac:dyDescent="0.4">
      <c r="B50" s="52"/>
      <c r="C50" s="52"/>
      <c r="D50" s="53"/>
      <c r="E50" s="53"/>
      <c r="F50" s="54"/>
    </row>
    <row r="51" spans="2:6" s="37" customFormat="1" ht="10.5" hidden="1" customHeight="1" thickTop="1" thickBot="1" x14ac:dyDescent="0.4">
      <c r="B51" s="52"/>
      <c r="C51" s="52"/>
      <c r="D51" s="53"/>
      <c r="E51" s="53"/>
      <c r="F51" s="54"/>
    </row>
    <row r="52" spans="2:6" ht="24.75" thickTop="1" thickBot="1" x14ac:dyDescent="0.4">
      <c r="B52" s="87" t="s">
        <v>36</v>
      </c>
      <c r="C52" s="88"/>
      <c r="D52" s="89"/>
      <c r="E52" s="89"/>
      <c r="F52" s="90">
        <f>12*(F21-F30)</f>
        <v>0</v>
      </c>
    </row>
    <row r="53" spans="2:6" ht="6.75" customHeight="1" thickTop="1" thickBot="1" x14ac:dyDescent="0.4"/>
    <row r="54" spans="2:6" ht="24.75" thickTop="1" thickBot="1" x14ac:dyDescent="0.4">
      <c r="B54" s="87" t="s">
        <v>37</v>
      </c>
      <c r="C54" s="88"/>
      <c r="D54" s="89"/>
      <c r="E54" s="89"/>
      <c r="F54" s="90">
        <f>12*(F21-F39)</f>
        <v>0</v>
      </c>
    </row>
    <row r="55" spans="2:6" ht="7.5" hidden="1" customHeight="1" thickTop="1" thickBot="1" x14ac:dyDescent="0.4"/>
    <row r="56" spans="2:6" ht="24.75" hidden="1" thickTop="1" thickBot="1" x14ac:dyDescent="0.4">
      <c r="B56" s="87" t="s">
        <v>90</v>
      </c>
      <c r="C56" s="88"/>
      <c r="D56" s="89"/>
      <c r="E56" s="89"/>
      <c r="F56" s="90">
        <f>12*(F21-F48)</f>
        <v>0</v>
      </c>
    </row>
    <row r="57" spans="2:6" ht="24" hidden="1" thickTop="1" x14ac:dyDescent="0.35"/>
    <row r="58" spans="2:6" ht="24" thickTop="1" x14ac:dyDescent="0.35"/>
  </sheetData>
  <mergeCells count="8">
    <mergeCell ref="B32:F32"/>
    <mergeCell ref="B41:F41"/>
    <mergeCell ref="B2:F2"/>
    <mergeCell ref="B3:F3"/>
    <mergeCell ref="B5:F5"/>
    <mergeCell ref="C13:D13"/>
    <mergeCell ref="B14:F14"/>
    <mergeCell ref="B23:F23"/>
  </mergeCells>
  <pageMargins left="0.05" right="0.05" top="0.05" bottom="0.05" header="0.3" footer="0.3"/>
  <pageSetup scale="95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[2]Sheet1!#REF!</xm:f>
          </x14:formula1>
          <xm:sqref>E24 E6 E15 E33 E42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H45"/>
  <sheetViews>
    <sheetView workbookViewId="0">
      <selection activeCell="F25" sqref="F25"/>
    </sheetView>
  </sheetViews>
  <sheetFormatPr defaultColWidth="16.28515625" defaultRowHeight="23.25" x14ac:dyDescent="0.35"/>
  <cols>
    <col min="1" max="1" width="1" style="17" customWidth="1"/>
    <col min="2" max="2" width="11.140625" style="17" customWidth="1"/>
    <col min="3" max="3" width="20.7109375" style="18" customWidth="1"/>
    <col min="4" max="4" width="19.85546875" style="17" customWidth="1"/>
    <col min="5" max="5" width="22.7109375" style="17" customWidth="1"/>
    <col min="6" max="6" width="26.7109375" style="17" customWidth="1"/>
    <col min="7" max="7" width="1" style="17" customWidth="1"/>
    <col min="8" max="16384" width="16.28515625" style="17"/>
  </cols>
  <sheetData>
    <row r="1" spans="2:8" ht="24" thickBot="1" x14ac:dyDescent="0.4"/>
    <row r="2" spans="2:8" s="507" customFormat="1" ht="32.25" thickTop="1" x14ac:dyDescent="0.5">
      <c r="B2" s="790" t="s">
        <v>38</v>
      </c>
      <c r="C2" s="791"/>
      <c r="D2" s="791"/>
      <c r="E2" s="791"/>
      <c r="F2" s="792"/>
    </row>
    <row r="3" spans="2:8" s="507" customFormat="1" ht="32.25" thickBot="1" x14ac:dyDescent="0.55000000000000004">
      <c r="B3" s="793">
        <f>'InsHRA-Request'!B3:G3</f>
        <v>0</v>
      </c>
      <c r="C3" s="794"/>
      <c r="D3" s="794"/>
      <c r="E3" s="794"/>
      <c r="F3" s="795"/>
    </row>
    <row r="4" spans="2:8" ht="24.75" thickTop="1" thickBot="1" x14ac:dyDescent="0.4">
      <c r="B4" s="91"/>
      <c r="C4" s="91"/>
      <c r="D4" s="91"/>
      <c r="E4" s="91"/>
      <c r="F4" s="91"/>
    </row>
    <row r="5" spans="2:8" s="455" customFormat="1" ht="27.95" customHeight="1" thickTop="1" thickBot="1" x14ac:dyDescent="0.3">
      <c r="B5" s="796" t="str">
        <f>"Current Plan: "&amp;'InsHRA-Request'!B11:D11</f>
        <v xml:space="preserve">Current Plan: </v>
      </c>
      <c r="C5" s="797"/>
      <c r="D5" s="797"/>
      <c r="E5" s="797"/>
      <c r="F5" s="798"/>
    </row>
    <row r="6" spans="2:8" s="455" customFormat="1" ht="27.95" hidden="1" customHeight="1" thickTop="1" x14ac:dyDescent="0.25">
      <c r="B6" s="456"/>
      <c r="C6" s="457"/>
      <c r="D6" s="457"/>
      <c r="E6" s="457" t="s">
        <v>28</v>
      </c>
      <c r="F6" s="458"/>
    </row>
    <row r="7" spans="2:8" s="455" customFormat="1" ht="27.95" customHeight="1" thickTop="1" x14ac:dyDescent="0.25">
      <c r="B7" s="508" t="s">
        <v>29</v>
      </c>
      <c r="C7" s="509" t="s">
        <v>30</v>
      </c>
      <c r="D7" s="509" t="s">
        <v>31</v>
      </c>
      <c r="E7" s="509"/>
      <c r="F7" s="510" t="s">
        <v>32</v>
      </c>
    </row>
    <row r="8" spans="2:8" s="455" customFormat="1" ht="27.95" customHeight="1" x14ac:dyDescent="0.25">
      <c r="B8" s="491">
        <f>'InsHRA-Request'!B25</f>
        <v>0</v>
      </c>
      <c r="C8" s="492" t="s">
        <v>16</v>
      </c>
      <c r="D8" s="493">
        <f>'InsHRA-Request'!C25</f>
        <v>0</v>
      </c>
      <c r="E8" s="493"/>
      <c r="F8" s="494">
        <f>SUM(D8:E8)</f>
        <v>0</v>
      </c>
      <c r="H8" s="25"/>
    </row>
    <row r="9" spans="2:8" s="455" customFormat="1" ht="27.95" customHeight="1" x14ac:dyDescent="0.25">
      <c r="B9" s="495">
        <f>'InsHRA-Request'!B26</f>
        <v>0</v>
      </c>
      <c r="C9" s="496" t="s">
        <v>33</v>
      </c>
      <c r="D9" s="497">
        <f>'InsHRA-Request'!C26</f>
        <v>0</v>
      </c>
      <c r="E9" s="497"/>
      <c r="F9" s="498">
        <f>SUM(D9:E9)</f>
        <v>0</v>
      </c>
      <c r="H9" s="25"/>
    </row>
    <row r="10" spans="2:8" s="455" customFormat="1" ht="27.95" hidden="1" customHeight="1" x14ac:dyDescent="0.25">
      <c r="B10" s="495">
        <f>'InsHRA-Request'!B27</f>
        <v>0</v>
      </c>
      <c r="C10" s="496" t="s">
        <v>34</v>
      </c>
      <c r="D10" s="497">
        <f>'InsHRA-Request'!C27</f>
        <v>0</v>
      </c>
      <c r="E10" s="497"/>
      <c r="F10" s="498">
        <f>SUM(D10:E10)</f>
        <v>0</v>
      </c>
      <c r="H10" s="25"/>
    </row>
    <row r="11" spans="2:8" s="455" customFormat="1" ht="27.95" customHeight="1" thickBot="1" x14ac:dyDescent="0.3">
      <c r="B11" s="499">
        <f>'InsHRA-Request'!B28</f>
        <v>0</v>
      </c>
      <c r="C11" s="500" t="s">
        <v>18</v>
      </c>
      <c r="D11" s="501">
        <f>'InsHRA-Request'!C28</f>
        <v>0</v>
      </c>
      <c r="E11" s="501"/>
      <c r="F11" s="502">
        <f>SUM(D11:E11)</f>
        <v>0</v>
      </c>
      <c r="H11" s="25"/>
    </row>
    <row r="12" spans="2:8" s="455" customFormat="1" ht="27.95" customHeight="1" thickBot="1" x14ac:dyDescent="0.3">
      <c r="B12" s="503">
        <f>SUM(B8:B11)</f>
        <v>0</v>
      </c>
      <c r="C12" s="504"/>
      <c r="D12" s="505">
        <f>(B8*D8)+(B9*D9)+(B11*D11)+(B10*D10)</f>
        <v>0</v>
      </c>
      <c r="E12" s="505"/>
      <c r="F12" s="506">
        <f>(B8*F8)+(B9*F9)+(B10*F10)+(B11*F11)</f>
        <v>0</v>
      </c>
    </row>
    <row r="13" spans="2:8" s="37" customFormat="1" ht="9.9499999999999993" customHeight="1" thickTop="1" thickBot="1" x14ac:dyDescent="0.4">
      <c r="B13" s="275"/>
      <c r="C13" s="788"/>
      <c r="D13" s="788"/>
      <c r="E13" s="36"/>
      <c r="F13" s="36"/>
      <c r="H13" s="38"/>
    </row>
    <row r="14" spans="2:8" s="455" customFormat="1" ht="27.95" customHeight="1" thickTop="1" thickBot="1" x14ac:dyDescent="0.3">
      <c r="B14" s="799" t="str">
        <f>"Renewal Plan: "&amp;'InsHRA-Request'!B11:D11</f>
        <v xml:space="preserve">Renewal Plan: </v>
      </c>
      <c r="C14" s="797"/>
      <c r="D14" s="797"/>
      <c r="E14" s="797"/>
      <c r="F14" s="798"/>
    </row>
    <row r="15" spans="2:8" s="455" customFormat="1" ht="27.95" hidden="1" customHeight="1" thickTop="1" x14ac:dyDescent="0.25">
      <c r="B15" s="456"/>
      <c r="C15" s="457"/>
      <c r="D15" s="457"/>
      <c r="E15" s="457" t="s">
        <v>28</v>
      </c>
      <c r="F15" s="458"/>
    </row>
    <row r="16" spans="2:8" s="455" customFormat="1" ht="27.95" customHeight="1" thickTop="1" x14ac:dyDescent="0.25">
      <c r="B16" s="511" t="s">
        <v>29</v>
      </c>
      <c r="C16" s="512" t="s">
        <v>30</v>
      </c>
      <c r="D16" s="512" t="s">
        <v>31</v>
      </c>
      <c r="E16" s="512"/>
      <c r="F16" s="513" t="s">
        <v>32</v>
      </c>
    </row>
    <row r="17" spans="2:8" s="455" customFormat="1" ht="27.95" customHeight="1" x14ac:dyDescent="0.25">
      <c r="B17" s="475">
        <f>B8</f>
        <v>0</v>
      </c>
      <c r="C17" s="476" t="s">
        <v>16</v>
      </c>
      <c r="D17" s="477">
        <f>'InsHRA-Request'!D25</f>
        <v>0</v>
      </c>
      <c r="E17" s="477"/>
      <c r="F17" s="478">
        <f>SUM(D17:E17)</f>
        <v>0</v>
      </c>
      <c r="H17" s="25"/>
    </row>
    <row r="18" spans="2:8" s="455" customFormat="1" ht="27.95" customHeight="1" x14ac:dyDescent="0.25">
      <c r="B18" s="479">
        <f>B9</f>
        <v>0</v>
      </c>
      <c r="C18" s="480" t="s">
        <v>33</v>
      </c>
      <c r="D18" s="481">
        <f>'InsHRA-Request'!D26</f>
        <v>0</v>
      </c>
      <c r="E18" s="481"/>
      <c r="F18" s="482">
        <f>SUM(D18:E18)</f>
        <v>0</v>
      </c>
      <c r="H18" s="25"/>
    </row>
    <row r="19" spans="2:8" s="455" customFormat="1" ht="27.95" hidden="1" customHeight="1" x14ac:dyDescent="0.25">
      <c r="B19" s="479">
        <f>B10</f>
        <v>0</v>
      </c>
      <c r="C19" s="480" t="s">
        <v>34</v>
      </c>
      <c r="D19" s="481">
        <f>'InsHRA-Request'!D27</f>
        <v>0</v>
      </c>
      <c r="E19" s="481"/>
      <c r="F19" s="482">
        <f>SUM(D19:E19)</f>
        <v>0</v>
      </c>
      <c r="H19" s="25"/>
    </row>
    <row r="20" spans="2:8" s="455" customFormat="1" ht="27.95" customHeight="1" thickBot="1" x14ac:dyDescent="0.3">
      <c r="B20" s="483">
        <f>B11</f>
        <v>0</v>
      </c>
      <c r="C20" s="484" t="s">
        <v>18</v>
      </c>
      <c r="D20" s="485">
        <f>'InsHRA-Request'!D28</f>
        <v>0</v>
      </c>
      <c r="E20" s="485"/>
      <c r="F20" s="486">
        <f>SUM(D20:E20)</f>
        <v>0</v>
      </c>
      <c r="H20" s="25"/>
    </row>
    <row r="21" spans="2:8" s="455" customFormat="1" ht="27.95" customHeight="1" thickBot="1" x14ac:dyDescent="0.3">
      <c r="B21" s="487">
        <f>SUM(B17:B20)</f>
        <v>0</v>
      </c>
      <c r="C21" s="488"/>
      <c r="D21" s="489">
        <f>(B17*D17)+(B18*D18)+(B20*D20)+(B19*D19)</f>
        <v>0</v>
      </c>
      <c r="E21" s="489"/>
      <c r="F21" s="490">
        <f>(B17*F17)+(B18*F18)+(B19*F19)+(B20*F20)</f>
        <v>0</v>
      </c>
    </row>
    <row r="22" spans="2:8" s="37" customFormat="1" ht="9.9499999999999993" customHeight="1" thickTop="1" thickBot="1" x14ac:dyDescent="0.4">
      <c r="B22" s="52"/>
      <c r="C22" s="52"/>
      <c r="D22" s="53"/>
      <c r="E22" s="54"/>
      <c r="F22" s="54"/>
    </row>
    <row r="23" spans="2:8" s="455" customFormat="1" ht="27.95" customHeight="1" thickTop="1" thickBot="1" x14ac:dyDescent="0.3">
      <c r="B23" s="773" t="str">
        <f>"Proposed Plan 1: "&amp;'InsHRA-Request'!B39&amp;" &amp; Insured HRA ($"&amp;'InsHRA-Request'!C69&amp;" deductible / $"&amp;'InsHRA-Request'!C72&amp;" coinsurance)"</f>
        <v>Proposed Plan 1:  &amp; Insured HRA ($ deductible / $ coinsurance)</v>
      </c>
      <c r="C23" s="774"/>
      <c r="D23" s="774"/>
      <c r="E23" s="774"/>
      <c r="F23" s="775"/>
    </row>
    <row r="24" spans="2:8" s="455" customFormat="1" ht="27.95" hidden="1" customHeight="1" thickTop="1" x14ac:dyDescent="0.25">
      <c r="B24" s="456"/>
      <c r="C24" s="457"/>
      <c r="D24" s="457"/>
      <c r="E24" s="457" t="s">
        <v>28</v>
      </c>
      <c r="F24" s="458"/>
    </row>
    <row r="25" spans="2:8" s="455" customFormat="1" ht="27.95" customHeight="1" thickTop="1" x14ac:dyDescent="0.25">
      <c r="B25" s="514" t="s">
        <v>29</v>
      </c>
      <c r="C25" s="515" t="s">
        <v>30</v>
      </c>
      <c r="D25" s="515" t="s">
        <v>31</v>
      </c>
      <c r="E25" s="515" t="s">
        <v>35</v>
      </c>
      <c r="F25" s="516" t="s">
        <v>32</v>
      </c>
    </row>
    <row r="26" spans="2:8" s="455" customFormat="1" ht="27.95" customHeight="1" x14ac:dyDescent="0.25">
      <c r="B26" s="459">
        <f>B17</f>
        <v>0</v>
      </c>
      <c r="C26" s="460" t="s">
        <v>16</v>
      </c>
      <c r="D26" s="461">
        <f>'InsHRA-Request'!C53</f>
        <v>0</v>
      </c>
      <c r="E26" s="461">
        <f>'InsHRA-Request'!D75</f>
        <v>0</v>
      </c>
      <c r="F26" s="462">
        <f>SUM(D26:E26)</f>
        <v>0</v>
      </c>
      <c r="H26" s="25"/>
    </row>
    <row r="27" spans="2:8" s="455" customFormat="1" ht="27.95" customHeight="1" x14ac:dyDescent="0.25">
      <c r="B27" s="463">
        <f>B18</f>
        <v>0</v>
      </c>
      <c r="C27" s="464" t="s">
        <v>33</v>
      </c>
      <c r="D27" s="465">
        <f>'InsHRA-Request'!C54</f>
        <v>0</v>
      </c>
      <c r="E27" s="465">
        <f>'InsHRA-Request'!D76</f>
        <v>0</v>
      </c>
      <c r="F27" s="466">
        <f>SUM(D27:E27)</f>
        <v>0</v>
      </c>
      <c r="H27" s="25"/>
    </row>
    <row r="28" spans="2:8" s="455" customFormat="1" ht="27.95" hidden="1" customHeight="1" x14ac:dyDescent="0.25">
      <c r="B28" s="463">
        <f>B19</f>
        <v>0</v>
      </c>
      <c r="C28" s="464" t="s">
        <v>34</v>
      </c>
      <c r="D28" s="465">
        <f>'InsHRA-Request'!C55</f>
        <v>0</v>
      </c>
      <c r="E28" s="465">
        <f>'InsHRA-Request'!D77</f>
        <v>0</v>
      </c>
      <c r="F28" s="466">
        <f>SUM(D28:E28)</f>
        <v>0</v>
      </c>
      <c r="H28" s="25"/>
    </row>
    <row r="29" spans="2:8" s="455" customFormat="1" ht="27.95" customHeight="1" thickBot="1" x14ac:dyDescent="0.3">
      <c r="B29" s="467">
        <f>B20</f>
        <v>0</v>
      </c>
      <c r="C29" s="468" t="s">
        <v>18</v>
      </c>
      <c r="D29" s="469">
        <f>'InsHRA-Request'!C56</f>
        <v>0</v>
      </c>
      <c r="E29" s="469">
        <f>'InsHRA-Request'!D78</f>
        <v>0</v>
      </c>
      <c r="F29" s="470">
        <f>SUM(D29:E29)</f>
        <v>0</v>
      </c>
      <c r="H29" s="25"/>
    </row>
    <row r="30" spans="2:8" s="455" customFormat="1" ht="27.95" customHeight="1" thickBot="1" x14ac:dyDescent="0.3">
      <c r="B30" s="471">
        <f>SUM(B26:B29)</f>
        <v>0</v>
      </c>
      <c r="C30" s="472"/>
      <c r="D30" s="473">
        <f>(B26*D26)+(B27*D27)+(B29*D29)+(B28*D28)</f>
        <v>0</v>
      </c>
      <c r="E30" s="473">
        <f>(B26*E26)+(B27*E27)+(B29*E29)+(B28*E28)</f>
        <v>0</v>
      </c>
      <c r="F30" s="474">
        <f>(B26*F26)+(B27*F27)+(B28*F28)+(B29*F29)</f>
        <v>0</v>
      </c>
    </row>
    <row r="31" spans="2:8" s="37" customFormat="1" ht="9.9499999999999993" hidden="1" customHeight="1" thickTop="1" thickBot="1" x14ac:dyDescent="0.4">
      <c r="B31" s="52"/>
      <c r="C31" s="52"/>
      <c r="D31" s="53"/>
      <c r="E31" s="53"/>
      <c r="F31" s="54"/>
    </row>
    <row r="32" spans="2:8" ht="24.75" hidden="1" thickTop="1" thickBot="1" x14ac:dyDescent="0.4">
      <c r="B32" s="776" t="str">
        <f>"Proposed Plan 2: "&amp;'InsHRA-Request'!B39&amp;" &amp; Insured HRA ($"&amp;'InsHRA-Request'!E69&amp;" deductible / $"&amp;'InsHRA-Request'!E72&amp;" coinsurance)"</f>
        <v>Proposed Plan 2:  &amp; Insured HRA ($ deductible / $ coinsurance)</v>
      </c>
      <c r="C32" s="777"/>
      <c r="D32" s="777"/>
      <c r="E32" s="777"/>
      <c r="F32" s="778"/>
    </row>
    <row r="33" spans="2:8" ht="21.75" hidden="1" customHeight="1" x14ac:dyDescent="0.35">
      <c r="B33" s="19"/>
      <c r="C33" s="20"/>
      <c r="D33" s="20"/>
      <c r="E33" s="20" t="s">
        <v>28</v>
      </c>
      <c r="F33" s="21"/>
    </row>
    <row r="34" spans="2:8" ht="24" hidden="1" thickTop="1" x14ac:dyDescent="0.35">
      <c r="B34" s="105" t="s">
        <v>29</v>
      </c>
      <c r="C34" s="106" t="s">
        <v>30</v>
      </c>
      <c r="D34" s="106" t="s">
        <v>31</v>
      </c>
      <c r="E34" s="106" t="s">
        <v>35</v>
      </c>
      <c r="F34" s="107" t="s">
        <v>32</v>
      </c>
    </row>
    <row r="35" spans="2:8" hidden="1" x14ac:dyDescent="0.35">
      <c r="B35" s="71">
        <f>B26</f>
        <v>0</v>
      </c>
      <c r="C35" s="72" t="s">
        <v>16</v>
      </c>
      <c r="D35" s="73"/>
      <c r="E35" s="73"/>
      <c r="F35" s="74">
        <f>SUM(D35:E35)</f>
        <v>0</v>
      </c>
      <c r="H35" s="25"/>
    </row>
    <row r="36" spans="2:8" hidden="1" x14ac:dyDescent="0.35">
      <c r="B36" s="75">
        <f>B27</f>
        <v>0</v>
      </c>
      <c r="C36" s="76" t="s">
        <v>33</v>
      </c>
      <c r="D36" s="77"/>
      <c r="E36" s="77"/>
      <c r="F36" s="78">
        <f>SUM(D36:E36)</f>
        <v>0</v>
      </c>
      <c r="H36" s="25"/>
    </row>
    <row r="37" spans="2:8" hidden="1" x14ac:dyDescent="0.35">
      <c r="B37" s="75">
        <f>'[3]InsHRA-Request'!B33</f>
        <v>1</v>
      </c>
      <c r="C37" s="76" t="s">
        <v>34</v>
      </c>
      <c r="D37" s="77"/>
      <c r="E37" s="77"/>
      <c r="F37" s="78">
        <f>SUM(D37:E37)</f>
        <v>0</v>
      </c>
      <c r="H37" s="25"/>
    </row>
    <row r="38" spans="2:8" ht="24" hidden="1" thickBot="1" x14ac:dyDescent="0.4">
      <c r="B38" s="79">
        <f>B29</f>
        <v>0</v>
      </c>
      <c r="C38" s="80" t="s">
        <v>18</v>
      </c>
      <c r="D38" s="81"/>
      <c r="E38" s="81"/>
      <c r="F38" s="82">
        <f>SUM(D38:E38)</f>
        <v>0</v>
      </c>
      <c r="H38" s="25"/>
    </row>
    <row r="39" spans="2:8" ht="24" hidden="1" thickBot="1" x14ac:dyDescent="0.4">
      <c r="B39" s="83">
        <f>SUM(B35:B38)</f>
        <v>1</v>
      </c>
      <c r="C39" s="84"/>
      <c r="D39" s="85">
        <f>(B35*D35)+(B36*D36)+(B38*D38)+(B37*D37)</f>
        <v>0</v>
      </c>
      <c r="E39" s="85">
        <f>(B35*E35)+(B36*E36)+(B38*E38)+(B37*E37)</f>
        <v>0</v>
      </c>
      <c r="F39" s="86">
        <f>(B35*F35)+(B36*F36)+(B37*F37)+(B38*F38)</f>
        <v>0</v>
      </c>
    </row>
    <row r="40" spans="2:8" s="37" customFormat="1" ht="10.5" customHeight="1" thickTop="1" thickBot="1" x14ac:dyDescent="0.4">
      <c r="B40" s="52"/>
      <c r="C40" s="52"/>
      <c r="D40" s="53"/>
      <c r="E40" s="53"/>
      <c r="F40" s="54"/>
    </row>
    <row r="41" spans="2:8" ht="24.75" thickTop="1" thickBot="1" x14ac:dyDescent="0.4">
      <c r="B41" s="517" t="s">
        <v>36</v>
      </c>
      <c r="C41" s="88"/>
      <c r="D41" s="89"/>
      <c r="E41" s="89"/>
      <c r="F41" s="90">
        <f>12*(F21-F30)</f>
        <v>0</v>
      </c>
    </row>
    <row r="42" spans="2:8" ht="6.75" hidden="1" customHeight="1" thickTop="1" thickBot="1" x14ac:dyDescent="0.4"/>
    <row r="43" spans="2:8" ht="24.75" hidden="1" thickTop="1" thickBot="1" x14ac:dyDescent="0.4">
      <c r="B43" s="87" t="s">
        <v>37</v>
      </c>
      <c r="C43" s="88"/>
      <c r="D43" s="89"/>
      <c r="E43" s="89"/>
      <c r="F43" s="90">
        <f>12*(F21-F39)</f>
        <v>0</v>
      </c>
    </row>
    <row r="44" spans="2:8" ht="7.5" hidden="1" customHeight="1" thickTop="1" x14ac:dyDescent="0.35"/>
    <row r="45" spans="2:8" ht="24" thickTop="1" x14ac:dyDescent="0.35"/>
  </sheetData>
  <mergeCells count="7">
    <mergeCell ref="B32:F32"/>
    <mergeCell ref="B2:F2"/>
    <mergeCell ref="B3:F3"/>
    <mergeCell ref="B5:F5"/>
    <mergeCell ref="C13:D13"/>
    <mergeCell ref="B14:F14"/>
    <mergeCell ref="B23:F23"/>
  </mergeCells>
  <pageMargins left="0.05" right="0.05" top="0.05" bottom="0.0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[2]Sheet1!#REF!</xm:f>
          </x14:formula1>
          <xm:sqref>E24 E6 E15 E33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M78"/>
  <sheetViews>
    <sheetView zoomScaleNormal="100" workbookViewId="0">
      <selection activeCell="L15" sqref="L15"/>
    </sheetView>
  </sheetViews>
  <sheetFormatPr defaultRowHeight="15" x14ac:dyDescent="0.25"/>
  <cols>
    <col min="1" max="1" width="21.42578125" style="1" bestFit="1" customWidth="1"/>
    <col min="2" max="2" width="11.28515625" style="1" bestFit="1" customWidth="1"/>
    <col min="3" max="3" width="10.42578125" style="1" customWidth="1"/>
    <col min="4" max="4" width="11.42578125" style="1" customWidth="1"/>
    <col min="5" max="5" width="11.28515625" style="1" bestFit="1" customWidth="1"/>
    <col min="6" max="6" width="10.28515625" style="1" customWidth="1"/>
    <col min="7" max="7" width="11.42578125" style="1" customWidth="1"/>
    <col min="8" max="8" width="13.28515625" style="1" customWidth="1"/>
    <col min="9" max="9" width="11.42578125" style="1" customWidth="1"/>
    <col min="10" max="10" width="11.5703125" style="1" customWidth="1"/>
    <col min="11" max="11" width="9.140625" style="1"/>
    <col min="12" max="13" width="10.5703125" style="1" bestFit="1" customWidth="1"/>
    <col min="14" max="16384" width="9.140625" style="1"/>
  </cols>
  <sheetData>
    <row r="1" spans="1:10" ht="15.75" thickBot="1" x14ac:dyDescent="0.3"/>
    <row r="2" spans="1:10" ht="27" thickTop="1" thickBot="1" x14ac:dyDescent="0.3">
      <c r="A2" s="597" t="s">
        <v>125</v>
      </c>
      <c r="B2" s="598"/>
      <c r="C2" s="598"/>
      <c r="D2" s="598"/>
      <c r="E2" s="598"/>
      <c r="F2" s="598"/>
      <c r="G2" s="598"/>
      <c r="H2" s="598"/>
      <c r="I2" s="598"/>
      <c r="J2" s="598"/>
    </row>
    <row r="3" spans="1:10" ht="15.75" customHeight="1" thickTop="1" thickBot="1" x14ac:dyDescent="0.3">
      <c r="A3" s="2" t="s">
        <v>0</v>
      </c>
      <c r="B3" s="599" t="s">
        <v>103</v>
      </c>
      <c r="C3" s="599"/>
      <c r="D3" s="599"/>
      <c r="E3" s="599"/>
      <c r="F3" s="599"/>
      <c r="G3" s="600"/>
      <c r="H3" s="3" t="s">
        <v>1</v>
      </c>
      <c r="I3" s="599" t="s">
        <v>104</v>
      </c>
      <c r="J3" s="601"/>
    </row>
    <row r="4" spans="1:10" ht="15.75" customHeight="1" thickBot="1" x14ac:dyDescent="0.3">
      <c r="A4" s="5" t="s">
        <v>2</v>
      </c>
      <c r="B4" s="602" t="s">
        <v>105</v>
      </c>
      <c r="C4" s="602"/>
      <c r="D4" s="602"/>
      <c r="E4" s="602"/>
      <c r="F4" s="602"/>
      <c r="G4" s="602"/>
      <c r="H4" s="602"/>
      <c r="I4" s="602"/>
      <c r="J4" s="603"/>
    </row>
    <row r="5" spans="1:10" ht="15" customHeight="1" thickBot="1" x14ac:dyDescent="0.3">
      <c r="A5" s="5" t="s">
        <v>3</v>
      </c>
      <c r="B5" s="576" t="s">
        <v>106</v>
      </c>
      <c r="C5" s="576"/>
      <c r="D5" s="576"/>
      <c r="E5" s="610"/>
      <c r="F5" s="6" t="s">
        <v>4</v>
      </c>
      <c r="G5" s="14" t="s">
        <v>107</v>
      </c>
      <c r="H5" s="7" t="s">
        <v>5</v>
      </c>
      <c r="I5" s="608" t="s">
        <v>108</v>
      </c>
      <c r="J5" s="609"/>
    </row>
    <row r="6" spans="1:10" ht="18" customHeight="1" thickBot="1" x14ac:dyDescent="0.3">
      <c r="A6" s="5" t="s">
        <v>6</v>
      </c>
      <c r="B6" s="576"/>
      <c r="C6" s="576"/>
      <c r="D6" s="576"/>
      <c r="E6" s="576"/>
      <c r="F6" s="651"/>
      <c r="G6" s="652"/>
      <c r="H6" s="16" t="s">
        <v>7</v>
      </c>
      <c r="I6" s="606">
        <v>41275</v>
      </c>
      <c r="J6" s="607"/>
    </row>
    <row r="7" spans="1:10" ht="15" customHeight="1" thickBot="1" x14ac:dyDescent="0.3">
      <c r="A7" s="556" t="s">
        <v>8</v>
      </c>
      <c r="B7" s="656" t="s">
        <v>110</v>
      </c>
      <c r="C7" s="656"/>
      <c r="D7" s="656"/>
      <c r="E7" s="656"/>
      <c r="F7" s="656"/>
      <c r="G7" s="657"/>
      <c r="H7" s="16" t="s">
        <v>1</v>
      </c>
      <c r="I7" s="604" t="s">
        <v>109</v>
      </c>
      <c r="J7" s="605"/>
    </row>
    <row r="8" spans="1:10" ht="15" customHeight="1" thickBot="1" x14ac:dyDescent="0.3">
      <c r="A8" s="15" t="s">
        <v>93</v>
      </c>
      <c r="B8" s="611" t="s">
        <v>122</v>
      </c>
      <c r="C8" s="611"/>
      <c r="D8" s="611"/>
      <c r="E8" s="292" t="s">
        <v>91</v>
      </c>
      <c r="F8" s="612" t="s">
        <v>111</v>
      </c>
      <c r="G8" s="612"/>
      <c r="H8" s="555" t="s">
        <v>92</v>
      </c>
      <c r="I8" s="612" t="s">
        <v>109</v>
      </c>
      <c r="J8" s="613"/>
    </row>
    <row r="9" spans="1:10" ht="15.75" hidden="1" customHeight="1" x14ac:dyDescent="0.3">
      <c r="A9" s="12"/>
      <c r="B9" s="13"/>
      <c r="C9" s="13"/>
      <c r="D9" s="13"/>
      <c r="E9" s="13"/>
      <c r="F9" s="13"/>
      <c r="G9" s="13"/>
      <c r="H9" s="13"/>
      <c r="I9" s="13"/>
      <c r="J9" s="13"/>
    </row>
    <row r="10" spans="1:10" ht="18.75" customHeight="1" thickTop="1" thickBot="1" x14ac:dyDescent="0.3">
      <c r="A10" s="261" t="s">
        <v>73</v>
      </c>
      <c r="B10" s="643" t="s">
        <v>26</v>
      </c>
      <c r="C10" s="643"/>
      <c r="D10" s="644"/>
      <c r="E10" s="628" t="s">
        <v>27</v>
      </c>
      <c r="F10" s="629"/>
      <c r="G10" s="645"/>
      <c r="H10" s="628" t="s">
        <v>83</v>
      </c>
      <c r="I10" s="629"/>
      <c r="J10" s="645"/>
    </row>
    <row r="11" spans="1:10" ht="16.5" customHeight="1" thickTop="1" thickBot="1" x14ac:dyDescent="0.3">
      <c r="A11" s="8" t="s">
        <v>11</v>
      </c>
      <c r="B11" s="658" t="s">
        <v>113</v>
      </c>
      <c r="C11" s="659"/>
      <c r="D11" s="660"/>
      <c r="E11" s="647" t="s">
        <v>112</v>
      </c>
      <c r="F11" s="602"/>
      <c r="G11" s="609"/>
      <c r="H11" s="647" t="s">
        <v>114</v>
      </c>
      <c r="I11" s="602"/>
      <c r="J11" s="609"/>
    </row>
    <row r="12" spans="1:10" ht="15.75" customHeight="1" thickBot="1" x14ac:dyDescent="0.3">
      <c r="A12" s="8" t="s">
        <v>12</v>
      </c>
      <c r="B12" s="633">
        <v>0</v>
      </c>
      <c r="C12" s="634"/>
      <c r="D12" s="635"/>
      <c r="E12" s="620">
        <v>500</v>
      </c>
      <c r="F12" s="621"/>
      <c r="G12" s="622"/>
      <c r="H12" s="620">
        <v>1000</v>
      </c>
      <c r="I12" s="621"/>
      <c r="J12" s="622"/>
    </row>
    <row r="13" spans="1:10" ht="15.75" customHeight="1" thickBot="1" x14ac:dyDescent="0.3">
      <c r="A13" s="8" t="s">
        <v>59</v>
      </c>
      <c r="B13" s="673">
        <v>0</v>
      </c>
      <c r="C13" s="674"/>
      <c r="D13" s="675"/>
      <c r="E13" s="676">
        <v>0.2</v>
      </c>
      <c r="F13" s="677"/>
      <c r="G13" s="678"/>
      <c r="H13" s="676">
        <v>0.2</v>
      </c>
      <c r="I13" s="677"/>
      <c r="J13" s="678"/>
    </row>
    <row r="14" spans="1:10" ht="15.75" customHeight="1" thickBot="1" x14ac:dyDescent="0.3">
      <c r="A14" s="8" t="s">
        <v>56</v>
      </c>
      <c r="B14" s="633">
        <v>0</v>
      </c>
      <c r="C14" s="634"/>
      <c r="D14" s="635"/>
      <c r="E14" s="620">
        <v>1500</v>
      </c>
      <c r="F14" s="621"/>
      <c r="G14" s="622"/>
      <c r="H14" s="620">
        <v>3000</v>
      </c>
      <c r="I14" s="621"/>
      <c r="J14" s="622"/>
    </row>
    <row r="15" spans="1:10" ht="15.75" customHeight="1" thickBot="1" x14ac:dyDescent="0.3">
      <c r="A15" s="8" t="s">
        <v>57</v>
      </c>
      <c r="B15" s="591">
        <v>0</v>
      </c>
      <c r="C15" s="618"/>
      <c r="D15" s="619"/>
      <c r="E15" s="648">
        <v>2000</v>
      </c>
      <c r="F15" s="649"/>
      <c r="G15" s="650"/>
      <c r="H15" s="648">
        <v>4000</v>
      </c>
      <c r="I15" s="649"/>
      <c r="J15" s="650"/>
    </row>
    <row r="16" spans="1:10" ht="15.75" customHeight="1" thickBot="1" x14ac:dyDescent="0.3">
      <c r="A16" s="8" t="s">
        <v>81</v>
      </c>
      <c r="B16" s="620" t="s">
        <v>115</v>
      </c>
      <c r="C16" s="621"/>
      <c r="D16" s="622"/>
      <c r="E16" s="620" t="s">
        <v>116</v>
      </c>
      <c r="F16" s="621"/>
      <c r="G16" s="622"/>
      <c r="H16" s="620" t="s">
        <v>117</v>
      </c>
      <c r="I16" s="621"/>
      <c r="J16" s="622"/>
    </row>
    <row r="17" spans="1:13" ht="15.75" customHeight="1" thickBot="1" x14ac:dyDescent="0.3">
      <c r="A17" s="8" t="s">
        <v>82</v>
      </c>
      <c r="B17" s="620" t="s">
        <v>115</v>
      </c>
      <c r="C17" s="621"/>
      <c r="D17" s="622"/>
      <c r="E17" s="620" t="s">
        <v>116</v>
      </c>
      <c r="F17" s="621"/>
      <c r="G17" s="622"/>
      <c r="H17" s="620" t="s">
        <v>117</v>
      </c>
      <c r="I17" s="621"/>
      <c r="J17" s="622"/>
    </row>
    <row r="18" spans="1:13" ht="15.75" customHeight="1" thickBot="1" x14ac:dyDescent="0.3">
      <c r="A18" s="8" t="s">
        <v>80</v>
      </c>
      <c r="B18" s="620" t="s">
        <v>115</v>
      </c>
      <c r="C18" s="621"/>
      <c r="D18" s="622"/>
      <c r="E18" s="620" t="s">
        <v>116</v>
      </c>
      <c r="F18" s="621"/>
      <c r="G18" s="622"/>
      <c r="H18" s="620" t="s">
        <v>117</v>
      </c>
      <c r="I18" s="621"/>
      <c r="J18" s="622"/>
    </row>
    <row r="19" spans="1:13" ht="15.75" customHeight="1" thickBot="1" x14ac:dyDescent="0.3">
      <c r="A19" s="8" t="s">
        <v>13</v>
      </c>
      <c r="B19" s="639" t="s">
        <v>118</v>
      </c>
      <c r="C19" s="640"/>
      <c r="D19" s="641"/>
      <c r="E19" s="639" t="s">
        <v>118</v>
      </c>
      <c r="F19" s="640"/>
      <c r="G19" s="641"/>
      <c r="H19" s="639" t="s">
        <v>118</v>
      </c>
      <c r="I19" s="640"/>
      <c r="J19" s="641"/>
    </row>
    <row r="20" spans="1:13" ht="15.75" customHeight="1" thickBot="1" x14ac:dyDescent="0.3">
      <c r="A20" s="8" t="s">
        <v>60</v>
      </c>
      <c r="B20" s="620" t="s">
        <v>121</v>
      </c>
      <c r="C20" s="621"/>
      <c r="D20" s="622"/>
      <c r="E20" s="620" t="s">
        <v>120</v>
      </c>
      <c r="F20" s="621"/>
      <c r="G20" s="622"/>
      <c r="H20" s="620" t="s">
        <v>119</v>
      </c>
      <c r="I20" s="621"/>
      <c r="J20" s="622"/>
    </row>
    <row r="21" spans="1:13" ht="15.75" customHeight="1" thickBot="1" x14ac:dyDescent="0.3">
      <c r="A21" s="8" t="s">
        <v>61</v>
      </c>
      <c r="B21" s="620" t="s">
        <v>115</v>
      </c>
      <c r="C21" s="621"/>
      <c r="D21" s="622"/>
      <c r="E21" s="620" t="s">
        <v>116</v>
      </c>
      <c r="F21" s="621"/>
      <c r="G21" s="622"/>
      <c r="H21" s="620" t="s">
        <v>117</v>
      </c>
      <c r="I21" s="621"/>
      <c r="J21" s="622"/>
    </row>
    <row r="22" spans="1:13" ht="15.75" hidden="1" customHeight="1" x14ac:dyDescent="0.3">
      <c r="A22" s="8" t="s">
        <v>14</v>
      </c>
      <c r="B22" s="620">
        <v>0</v>
      </c>
      <c r="C22" s="621"/>
      <c r="D22" s="622"/>
      <c r="E22" s="620">
        <v>0</v>
      </c>
      <c r="F22" s="621"/>
      <c r="G22" s="622"/>
      <c r="H22" s="620">
        <v>0</v>
      </c>
      <c r="I22" s="621"/>
      <c r="J22" s="622"/>
    </row>
    <row r="23" spans="1:13" ht="15.75" customHeight="1" thickBot="1" x14ac:dyDescent="0.3">
      <c r="A23" s="9" t="s">
        <v>15</v>
      </c>
      <c r="B23" s="626">
        <v>41275</v>
      </c>
      <c r="C23" s="627"/>
      <c r="D23" s="646"/>
      <c r="E23" s="636">
        <v>41275</v>
      </c>
      <c r="F23" s="637"/>
      <c r="G23" s="638"/>
      <c r="H23" s="636">
        <v>41275</v>
      </c>
      <c r="I23" s="637"/>
      <c r="J23" s="638"/>
    </row>
    <row r="24" spans="1:13" s="291" customFormat="1" ht="15.75" customHeight="1" thickTop="1" thickBot="1" x14ac:dyDescent="0.3">
      <c r="A24" s="294"/>
      <c r="B24" s="295" t="s">
        <v>84</v>
      </c>
      <c r="C24" s="295" t="s">
        <v>85</v>
      </c>
      <c r="D24" s="296" t="s">
        <v>86</v>
      </c>
      <c r="E24" s="297" t="s">
        <v>84</v>
      </c>
      <c r="F24" s="295" t="s">
        <v>85</v>
      </c>
      <c r="G24" s="295" t="s">
        <v>86</v>
      </c>
      <c r="H24" s="295" t="s">
        <v>84</v>
      </c>
      <c r="I24" s="295" t="s">
        <v>85</v>
      </c>
      <c r="J24" s="296" t="s">
        <v>86</v>
      </c>
    </row>
    <row r="25" spans="1:13" s="291" customFormat="1" ht="15.75" customHeight="1" thickTop="1" thickBot="1" x14ac:dyDescent="0.3">
      <c r="A25" s="293" t="s">
        <v>16</v>
      </c>
      <c r="B25" s="569">
        <v>11</v>
      </c>
      <c r="C25" s="570">
        <v>650</v>
      </c>
      <c r="D25" s="570">
        <v>780</v>
      </c>
      <c r="E25" s="298">
        <v>20</v>
      </c>
      <c r="F25" s="299">
        <v>400</v>
      </c>
      <c r="G25" s="299">
        <v>480</v>
      </c>
      <c r="H25" s="298">
        <v>6</v>
      </c>
      <c r="I25" s="299">
        <v>350</v>
      </c>
      <c r="J25" s="299">
        <v>400</v>
      </c>
      <c r="L25" s="554"/>
      <c r="M25" s="554"/>
    </row>
    <row r="26" spans="1:13" s="291" customFormat="1" ht="15.75" customHeight="1" thickTop="1" thickBot="1" x14ac:dyDescent="0.3">
      <c r="A26" s="293" t="s">
        <v>17</v>
      </c>
      <c r="B26" s="569">
        <v>10</v>
      </c>
      <c r="C26" s="570">
        <v>1300</v>
      </c>
      <c r="D26" s="570">
        <v>1560</v>
      </c>
      <c r="E26" s="298">
        <v>10</v>
      </c>
      <c r="F26" s="299">
        <v>800</v>
      </c>
      <c r="G26" s="299">
        <v>960</v>
      </c>
      <c r="H26" s="298">
        <v>5</v>
      </c>
      <c r="I26" s="299">
        <v>850</v>
      </c>
      <c r="J26" s="299">
        <v>970</v>
      </c>
      <c r="L26" s="554"/>
      <c r="M26" s="554"/>
    </row>
    <row r="27" spans="1:13" s="291" customFormat="1" ht="15.75" customHeight="1" thickTop="1" thickBot="1" x14ac:dyDescent="0.3">
      <c r="A27" s="293" t="s">
        <v>55</v>
      </c>
      <c r="B27" s="569">
        <v>0</v>
      </c>
      <c r="C27" s="570"/>
      <c r="D27" s="570"/>
      <c r="E27" s="298"/>
      <c r="F27" s="299"/>
      <c r="G27" s="299"/>
      <c r="H27" s="298"/>
      <c r="I27" s="299"/>
      <c r="J27" s="299"/>
      <c r="L27" s="554"/>
      <c r="M27" s="554"/>
    </row>
    <row r="28" spans="1:13" s="291" customFormat="1" ht="15.75" customHeight="1" thickTop="1" thickBot="1" x14ac:dyDescent="0.3">
      <c r="A28" s="293" t="s">
        <v>18</v>
      </c>
      <c r="B28" s="569">
        <v>20</v>
      </c>
      <c r="C28" s="570">
        <v>1950</v>
      </c>
      <c r="D28" s="570">
        <v>2340</v>
      </c>
      <c r="E28" s="298">
        <v>35</v>
      </c>
      <c r="F28" s="299">
        <v>1200</v>
      </c>
      <c r="G28" s="299">
        <v>1440</v>
      </c>
      <c r="H28" s="298">
        <v>1</v>
      </c>
      <c r="I28" s="299">
        <v>1000</v>
      </c>
      <c r="J28" s="299">
        <v>1180</v>
      </c>
      <c r="L28" s="554"/>
      <c r="M28" s="554"/>
    </row>
    <row r="29" spans="1:13" s="291" customFormat="1" ht="15.75" hidden="1" customHeight="1" x14ac:dyDescent="0.3">
      <c r="A29" s="287"/>
      <c r="B29" s="288"/>
      <c r="C29" s="288"/>
      <c r="D29" s="289"/>
      <c r="E29" s="290"/>
      <c r="F29" s="288"/>
      <c r="G29" s="288"/>
      <c r="H29" s="288"/>
      <c r="I29" s="288"/>
      <c r="J29" s="288"/>
    </row>
    <row r="30" spans="1:13" s="291" customFormat="1" ht="15.75" hidden="1" customHeight="1" x14ac:dyDescent="0.3">
      <c r="A30" s="287"/>
      <c r="B30" s="288"/>
      <c r="C30" s="288"/>
      <c r="D30" s="289"/>
      <c r="E30" s="290"/>
      <c r="F30" s="288"/>
      <c r="G30" s="288"/>
      <c r="H30" s="288"/>
      <c r="I30" s="288"/>
      <c r="J30" s="288"/>
    </row>
    <row r="31" spans="1:13" s="291" customFormat="1" ht="15.75" hidden="1" customHeight="1" x14ac:dyDescent="0.3">
      <c r="A31" s="287"/>
      <c r="B31" s="288"/>
      <c r="C31" s="288"/>
      <c r="D31" s="289"/>
      <c r="E31" s="290"/>
      <c r="F31" s="288"/>
      <c r="G31" s="288"/>
      <c r="H31" s="288"/>
      <c r="I31" s="288"/>
      <c r="J31" s="288"/>
    </row>
    <row r="32" spans="1:13" s="291" customFormat="1" ht="15.75" hidden="1" customHeight="1" x14ac:dyDescent="0.3">
      <c r="A32" s="287"/>
      <c r="B32" s="288"/>
      <c r="C32" s="288"/>
      <c r="D32" s="289"/>
      <c r="E32" s="290"/>
      <c r="F32" s="288"/>
      <c r="G32" s="288"/>
      <c r="H32" s="288"/>
      <c r="I32" s="288"/>
      <c r="J32" s="288"/>
    </row>
    <row r="33" spans="1:10" s="291" customFormat="1" ht="15.75" hidden="1" customHeight="1" x14ac:dyDescent="0.3">
      <c r="A33" s="287"/>
      <c r="B33" s="288"/>
      <c r="C33" s="288"/>
      <c r="D33" s="289"/>
      <c r="E33" s="290"/>
      <c r="F33" s="288"/>
      <c r="G33" s="288"/>
      <c r="H33" s="288"/>
      <c r="I33" s="288"/>
      <c r="J33" s="288"/>
    </row>
    <row r="34" spans="1:10" s="291" customFormat="1" ht="15.75" hidden="1" customHeight="1" x14ac:dyDescent="0.3">
      <c r="A34" s="287"/>
      <c r="B34" s="288"/>
      <c r="C34" s="288"/>
      <c r="D34" s="289"/>
      <c r="E34" s="290"/>
      <c r="F34" s="288"/>
      <c r="G34" s="288"/>
      <c r="H34" s="288"/>
      <c r="I34" s="288"/>
      <c r="J34" s="288"/>
    </row>
    <row r="35" spans="1:10" s="291" customFormat="1" ht="15.75" hidden="1" customHeight="1" x14ac:dyDescent="0.3">
      <c r="A35" s="287"/>
      <c r="B35" s="288"/>
      <c r="C35" s="288"/>
      <c r="D35" s="289"/>
      <c r="E35" s="290"/>
      <c r="F35" s="288"/>
      <c r="G35" s="288"/>
      <c r="H35" s="288"/>
      <c r="I35" s="288"/>
      <c r="J35" s="288"/>
    </row>
    <row r="36" spans="1:10" s="291" customFormat="1" ht="15.75" hidden="1" customHeight="1" x14ac:dyDescent="0.3">
      <c r="A36" s="287"/>
      <c r="B36" s="288"/>
      <c r="C36" s="288"/>
      <c r="D36" s="289"/>
      <c r="E36" s="290"/>
      <c r="F36" s="288"/>
      <c r="G36" s="288"/>
      <c r="H36" s="288"/>
      <c r="I36" s="288"/>
      <c r="J36" s="288"/>
    </row>
    <row r="37" spans="1:10" s="291" customFormat="1" ht="15.75" customHeight="1" thickTop="1" thickBot="1" x14ac:dyDescent="0.3">
      <c r="A37" s="287"/>
      <c r="B37" s="288"/>
      <c r="C37" s="288"/>
      <c r="D37" s="289"/>
      <c r="E37" s="557" t="s">
        <v>89</v>
      </c>
      <c r="F37" s="558"/>
      <c r="G37" s="558"/>
      <c r="H37" s="558"/>
      <c r="I37" s="558"/>
      <c r="J37" s="559"/>
    </row>
    <row r="38" spans="1:10" s="291" customFormat="1" ht="15.75" customHeight="1" thickTop="1" thickBot="1" x14ac:dyDescent="0.3">
      <c r="A38" s="628" t="s">
        <v>10</v>
      </c>
      <c r="B38" s="629"/>
      <c r="C38" s="629"/>
      <c r="D38" s="629"/>
      <c r="E38" s="679"/>
      <c r="F38" s="680"/>
      <c r="G38" s="680"/>
      <c r="H38" s="680"/>
      <c r="I38" s="680"/>
      <c r="J38" s="681"/>
    </row>
    <row r="39" spans="1:10" s="291" customFormat="1" ht="15.75" customHeight="1" thickBot="1" x14ac:dyDescent="0.3">
      <c r="A39" s="258" t="s">
        <v>11</v>
      </c>
      <c r="B39" s="630" t="s">
        <v>123</v>
      </c>
      <c r="C39" s="631"/>
      <c r="D39" s="632"/>
      <c r="E39" s="682"/>
      <c r="F39" s="683"/>
      <c r="G39" s="683"/>
      <c r="H39" s="683"/>
      <c r="I39" s="683"/>
      <c r="J39" s="684"/>
    </row>
    <row r="40" spans="1:10" s="291" customFormat="1" ht="15.75" customHeight="1" thickBot="1" x14ac:dyDescent="0.3">
      <c r="A40" s="259" t="s">
        <v>12</v>
      </c>
      <c r="B40" s="633">
        <v>5000</v>
      </c>
      <c r="C40" s="634"/>
      <c r="D40" s="635"/>
      <c r="E40" s="682"/>
      <c r="F40" s="683"/>
      <c r="G40" s="683"/>
      <c r="H40" s="683"/>
      <c r="I40" s="683"/>
      <c r="J40" s="684"/>
    </row>
    <row r="41" spans="1:10" s="291" customFormat="1" ht="15.75" customHeight="1" thickBot="1" x14ac:dyDescent="0.3">
      <c r="A41" s="259" t="s">
        <v>72</v>
      </c>
      <c r="B41" s="571"/>
      <c r="C41" s="572">
        <v>20</v>
      </c>
      <c r="D41" s="573" t="s">
        <v>58</v>
      </c>
      <c r="E41" s="682"/>
      <c r="F41" s="683"/>
      <c r="G41" s="683"/>
      <c r="H41" s="683"/>
      <c r="I41" s="683"/>
      <c r="J41" s="684"/>
    </row>
    <row r="42" spans="1:10" s="291" customFormat="1" ht="15.75" customHeight="1" thickBot="1" x14ac:dyDescent="0.3">
      <c r="A42" s="259" t="s">
        <v>56</v>
      </c>
      <c r="B42" s="633">
        <v>2500</v>
      </c>
      <c r="C42" s="634"/>
      <c r="D42" s="635"/>
      <c r="E42" s="682"/>
      <c r="F42" s="683"/>
      <c r="G42" s="683"/>
      <c r="H42" s="683"/>
      <c r="I42" s="683"/>
      <c r="J42" s="684"/>
    </row>
    <row r="43" spans="1:10" s="291" customFormat="1" ht="15.75" customHeight="1" thickBot="1" x14ac:dyDescent="0.3">
      <c r="A43" s="259" t="s">
        <v>57</v>
      </c>
      <c r="B43" s="591">
        <v>7500</v>
      </c>
      <c r="C43" s="618"/>
      <c r="D43" s="619"/>
      <c r="E43" s="682"/>
      <c r="F43" s="683"/>
      <c r="G43" s="683"/>
      <c r="H43" s="683"/>
      <c r="I43" s="683"/>
      <c r="J43" s="684"/>
    </row>
    <row r="44" spans="1:10" s="291" customFormat="1" ht="15.75" customHeight="1" thickBot="1" x14ac:dyDescent="0.3">
      <c r="A44" s="259" t="s">
        <v>81</v>
      </c>
      <c r="B44" s="620" t="s">
        <v>116</v>
      </c>
      <c r="C44" s="621"/>
      <c r="D44" s="622"/>
      <c r="E44" s="682"/>
      <c r="F44" s="683"/>
      <c r="G44" s="683"/>
      <c r="H44" s="683"/>
      <c r="I44" s="683"/>
      <c r="J44" s="684"/>
    </row>
    <row r="45" spans="1:10" s="291" customFormat="1" ht="15.75" customHeight="1" thickBot="1" x14ac:dyDescent="0.3">
      <c r="A45" s="259" t="s">
        <v>82</v>
      </c>
      <c r="B45" s="620" t="s">
        <v>116</v>
      </c>
      <c r="C45" s="621"/>
      <c r="D45" s="622"/>
      <c r="E45" s="682"/>
      <c r="F45" s="683"/>
      <c r="G45" s="683"/>
      <c r="H45" s="683"/>
      <c r="I45" s="683"/>
      <c r="J45" s="684"/>
    </row>
    <row r="46" spans="1:10" s="291" customFormat="1" ht="15.75" customHeight="1" thickBot="1" x14ac:dyDescent="0.3">
      <c r="A46" s="259" t="s">
        <v>80</v>
      </c>
      <c r="B46" s="620" t="s">
        <v>116</v>
      </c>
      <c r="C46" s="621"/>
      <c r="D46" s="622"/>
      <c r="E46" s="685"/>
      <c r="F46" s="686"/>
      <c r="G46" s="686"/>
      <c r="H46" s="686"/>
      <c r="I46" s="686"/>
      <c r="J46" s="687"/>
    </row>
    <row r="47" spans="1:10" s="291" customFormat="1" ht="15.75" customHeight="1" thickTop="1" thickBot="1" x14ac:dyDescent="0.3">
      <c r="A47" s="259" t="s">
        <v>13</v>
      </c>
      <c r="B47" s="639" t="s">
        <v>124</v>
      </c>
      <c r="C47" s="640"/>
      <c r="D47" s="641"/>
      <c r="E47" s="688" t="s">
        <v>97</v>
      </c>
      <c r="F47" s="689"/>
      <c r="G47" s="689"/>
      <c r="H47" s="689"/>
      <c r="I47" s="689"/>
      <c r="J47" s="690"/>
    </row>
    <row r="48" spans="1:10" s="291" customFormat="1" ht="15.75" customHeight="1" thickTop="1" thickBot="1" x14ac:dyDescent="0.3">
      <c r="A48" s="259" t="s">
        <v>71</v>
      </c>
      <c r="B48" s="620" t="s">
        <v>120</v>
      </c>
      <c r="C48" s="621"/>
      <c r="D48" s="621"/>
      <c r="E48" s="691" t="s">
        <v>98</v>
      </c>
      <c r="F48" s="692"/>
      <c r="G48" s="692"/>
      <c r="H48" s="692"/>
      <c r="I48" s="692"/>
      <c r="J48" s="693"/>
    </row>
    <row r="49" spans="1:10" s="291" customFormat="1" ht="15.75" customHeight="1" thickTop="1" thickBot="1" x14ac:dyDescent="0.3">
      <c r="A49" s="259" t="s">
        <v>61</v>
      </c>
      <c r="B49" s="620" t="s">
        <v>116</v>
      </c>
      <c r="C49" s="621"/>
      <c r="D49" s="621"/>
      <c r="E49" s="694" t="s">
        <v>101</v>
      </c>
      <c r="F49" s="695"/>
      <c r="G49" s="695"/>
      <c r="H49" s="695"/>
      <c r="I49" s="695"/>
      <c r="J49" s="696"/>
    </row>
    <row r="50" spans="1:10" s="291" customFormat="1" ht="15.75" hidden="1" customHeight="1" x14ac:dyDescent="0.3">
      <c r="A50" s="259" t="s">
        <v>70</v>
      </c>
      <c r="B50" s="620">
        <v>0</v>
      </c>
      <c r="C50" s="621"/>
      <c r="D50" s="621"/>
      <c r="E50" s="566"/>
      <c r="F50" s="661" t="s">
        <v>96</v>
      </c>
      <c r="G50" s="662"/>
      <c r="H50" s="662"/>
      <c r="I50" s="662"/>
      <c r="J50" s="663"/>
    </row>
    <row r="51" spans="1:10" s="291" customFormat="1" ht="15.75" customHeight="1" thickTop="1" thickBot="1" x14ac:dyDescent="0.3">
      <c r="A51" s="260" t="s">
        <v>15</v>
      </c>
      <c r="B51" s="626">
        <v>41275</v>
      </c>
      <c r="C51" s="627"/>
      <c r="D51" s="627"/>
      <c r="E51" s="566"/>
      <c r="F51" s="661" t="s">
        <v>99</v>
      </c>
      <c r="G51" s="662"/>
      <c r="H51" s="662"/>
      <c r="I51" s="662"/>
      <c r="J51" s="663"/>
    </row>
    <row r="52" spans="1:10" s="291" customFormat="1" ht="15.75" customHeight="1" thickTop="1" thickBot="1" x14ac:dyDescent="0.3">
      <c r="A52" s="567"/>
      <c r="B52" s="295" t="s">
        <v>77</v>
      </c>
      <c r="C52" s="625" t="s">
        <v>88</v>
      </c>
      <c r="D52" s="625"/>
      <c r="E52" s="566"/>
      <c r="F52" s="661" t="s">
        <v>100</v>
      </c>
      <c r="G52" s="662"/>
      <c r="H52" s="662"/>
      <c r="I52" s="662"/>
      <c r="J52" s="663"/>
    </row>
    <row r="53" spans="1:10" s="291" customFormat="1" ht="15.75" customHeight="1" thickTop="1" thickBot="1" x14ac:dyDescent="0.3">
      <c r="A53" s="293" t="s">
        <v>16</v>
      </c>
      <c r="B53" s="574">
        <f>B25+E25+H25</f>
        <v>37</v>
      </c>
      <c r="C53" s="623">
        <v>276.01</v>
      </c>
      <c r="D53" s="624"/>
      <c r="E53" s="566"/>
      <c r="F53" s="661" t="s">
        <v>102</v>
      </c>
      <c r="G53" s="662"/>
      <c r="H53" s="662"/>
      <c r="I53" s="662"/>
      <c r="J53" s="663"/>
    </row>
    <row r="54" spans="1:10" s="291" customFormat="1" ht="15.75" customHeight="1" thickTop="1" thickBot="1" x14ac:dyDescent="0.3">
      <c r="A54" s="293" t="s">
        <v>87</v>
      </c>
      <c r="B54" s="569">
        <f>B26+E26+H26</f>
        <v>25</v>
      </c>
      <c r="C54" s="623">
        <v>662.42</v>
      </c>
      <c r="D54" s="624"/>
      <c r="E54" s="664"/>
      <c r="F54" s="665"/>
      <c r="G54" s="665"/>
      <c r="H54" s="665"/>
      <c r="I54" s="665"/>
      <c r="J54" s="666"/>
    </row>
    <row r="55" spans="1:10" s="291" customFormat="1" ht="15.75" hidden="1" customHeight="1" x14ac:dyDescent="0.25">
      <c r="A55" s="293" t="s">
        <v>55</v>
      </c>
      <c r="B55" s="569">
        <f>B27+E27+H27</f>
        <v>0</v>
      </c>
      <c r="C55" s="623"/>
      <c r="D55" s="624"/>
      <c r="E55" s="667"/>
      <c r="F55" s="668"/>
      <c r="G55" s="668"/>
      <c r="H55" s="668"/>
      <c r="I55" s="668"/>
      <c r="J55" s="669"/>
    </row>
    <row r="56" spans="1:10" s="291" customFormat="1" ht="15.75" customHeight="1" thickTop="1" thickBot="1" x14ac:dyDescent="0.3">
      <c r="A56" s="293" t="s">
        <v>18</v>
      </c>
      <c r="B56" s="569">
        <f>B28+E28+H28</f>
        <v>56</v>
      </c>
      <c r="C56" s="623">
        <v>828.02</v>
      </c>
      <c r="D56" s="624"/>
      <c r="E56" s="667"/>
      <c r="F56" s="668"/>
      <c r="G56" s="668"/>
      <c r="H56" s="668"/>
      <c r="I56" s="668"/>
      <c r="J56" s="669"/>
    </row>
    <row r="57" spans="1:10" s="291" customFormat="1" ht="15.75" hidden="1" customHeight="1" x14ac:dyDescent="0.25">
      <c r="A57" s="287"/>
      <c r="B57" s="288"/>
      <c r="C57" s="288"/>
      <c r="D57" s="289"/>
      <c r="E57" s="667"/>
      <c r="F57" s="668"/>
      <c r="G57" s="668"/>
      <c r="H57" s="668"/>
      <c r="I57" s="668"/>
      <c r="J57" s="669"/>
    </row>
    <row r="58" spans="1:10" s="291" customFormat="1" ht="15.75" hidden="1" customHeight="1" x14ac:dyDescent="0.25">
      <c r="A58" s="287"/>
      <c r="B58" s="288"/>
      <c r="C58" s="288"/>
      <c r="D58" s="289"/>
      <c r="E58" s="667"/>
      <c r="F58" s="668"/>
      <c r="G58" s="668"/>
      <c r="H58" s="668"/>
      <c r="I58" s="668"/>
      <c r="J58" s="669"/>
    </row>
    <row r="59" spans="1:10" s="291" customFormat="1" ht="15.75" hidden="1" customHeight="1" x14ac:dyDescent="0.25">
      <c r="A59" s="287"/>
      <c r="B59" s="288"/>
      <c r="C59" s="288"/>
      <c r="D59" s="289"/>
      <c r="E59" s="667"/>
      <c r="F59" s="668"/>
      <c r="G59" s="668"/>
      <c r="H59" s="668"/>
      <c r="I59" s="668"/>
      <c r="J59" s="669"/>
    </row>
    <row r="60" spans="1:10" s="291" customFormat="1" ht="15.75" hidden="1" customHeight="1" x14ac:dyDescent="0.25">
      <c r="A60" s="287"/>
      <c r="B60" s="288"/>
      <c r="C60" s="288"/>
      <c r="D60" s="289"/>
      <c r="E60" s="667"/>
      <c r="F60" s="668"/>
      <c r="G60" s="668"/>
      <c r="H60" s="668"/>
      <c r="I60" s="668"/>
      <c r="J60" s="669"/>
    </row>
    <row r="61" spans="1:10" s="291" customFormat="1" ht="15.75" hidden="1" customHeight="1" x14ac:dyDescent="0.25">
      <c r="A61" s="287"/>
      <c r="B61" s="288"/>
      <c r="C61" s="288"/>
      <c r="D61" s="289"/>
      <c r="E61" s="667"/>
      <c r="F61" s="668"/>
      <c r="G61" s="668"/>
      <c r="H61" s="668"/>
      <c r="I61" s="668"/>
      <c r="J61" s="669"/>
    </row>
    <row r="62" spans="1:10" s="291" customFormat="1" ht="15.75" hidden="1" customHeight="1" x14ac:dyDescent="0.25">
      <c r="A62" s="287"/>
      <c r="B62" s="288"/>
      <c r="C62" s="288"/>
      <c r="D62" s="289"/>
      <c r="E62" s="667"/>
      <c r="F62" s="668"/>
      <c r="G62" s="668"/>
      <c r="H62" s="668"/>
      <c r="I62" s="668"/>
      <c r="J62" s="669"/>
    </row>
    <row r="63" spans="1:10" s="291" customFormat="1" ht="15.75" hidden="1" customHeight="1" x14ac:dyDescent="0.25">
      <c r="A63" s="287"/>
      <c r="B63" s="288"/>
      <c r="C63" s="288"/>
      <c r="D63" s="289"/>
      <c r="E63" s="667"/>
      <c r="F63" s="668"/>
      <c r="G63" s="668"/>
      <c r="H63" s="668"/>
      <c r="I63" s="668"/>
      <c r="J63" s="669"/>
    </row>
    <row r="64" spans="1:10" ht="15.75" hidden="1" customHeight="1" x14ac:dyDescent="0.25">
      <c r="A64" s="10" t="s">
        <v>9</v>
      </c>
      <c r="B64" s="11"/>
      <c r="C64" s="11"/>
      <c r="D64" s="4"/>
      <c r="E64" s="667"/>
      <c r="F64" s="668"/>
      <c r="G64" s="668"/>
      <c r="H64" s="668"/>
      <c r="I64" s="668"/>
      <c r="J64" s="669"/>
    </row>
    <row r="65" spans="1:10" ht="15" hidden="1" customHeight="1" x14ac:dyDescent="0.25">
      <c r="A65" s="588"/>
      <c r="B65" s="589"/>
      <c r="C65" s="589"/>
      <c r="D65" s="590"/>
      <c r="E65" s="667"/>
      <c r="F65" s="668"/>
      <c r="G65" s="668"/>
      <c r="H65" s="668"/>
      <c r="I65" s="668"/>
      <c r="J65" s="669"/>
    </row>
    <row r="66" spans="1:10" ht="16.5" customHeight="1" thickTop="1" thickBot="1" x14ac:dyDescent="0.3">
      <c r="A66" s="293" t="s">
        <v>94</v>
      </c>
      <c r="B66" s="697" t="s">
        <v>95</v>
      </c>
      <c r="C66" s="698"/>
      <c r="D66" s="699"/>
      <c r="E66" s="670"/>
      <c r="F66" s="671"/>
      <c r="G66" s="671"/>
      <c r="H66" s="671"/>
      <c r="I66" s="671"/>
      <c r="J66" s="672"/>
    </row>
    <row r="67" spans="1:10" ht="16.5" customHeight="1" thickTop="1" thickBot="1" x14ac:dyDescent="0.3">
      <c r="A67" s="653" t="s">
        <v>19</v>
      </c>
      <c r="B67" s="654"/>
      <c r="C67" s="654"/>
      <c r="D67" s="654"/>
      <c r="E67" s="654"/>
      <c r="F67" s="654"/>
      <c r="G67" s="654"/>
      <c r="H67" s="654"/>
      <c r="I67" s="654"/>
      <c r="J67" s="655"/>
    </row>
    <row r="68" spans="1:10" ht="28.5" customHeight="1" thickTop="1" thickBot="1" x14ac:dyDescent="0.3">
      <c r="A68" s="300"/>
      <c r="B68" s="301"/>
      <c r="C68" s="595"/>
      <c r="D68" s="596"/>
      <c r="E68" s="614" t="s">
        <v>26</v>
      </c>
      <c r="F68" s="615"/>
      <c r="G68" s="616" t="s">
        <v>27</v>
      </c>
      <c r="H68" s="617"/>
      <c r="I68" s="642" t="s">
        <v>83</v>
      </c>
      <c r="J68" s="596"/>
    </row>
    <row r="69" spans="1:10" ht="16.5" thickTop="1" thickBot="1" x14ac:dyDescent="0.3">
      <c r="A69" s="583" t="s">
        <v>20</v>
      </c>
      <c r="B69" s="584"/>
      <c r="C69" s="585"/>
      <c r="D69" s="586"/>
      <c r="E69" s="712">
        <v>250</v>
      </c>
      <c r="F69" s="713"/>
      <c r="G69" s="714">
        <v>500</v>
      </c>
      <c r="H69" s="715"/>
      <c r="I69" s="716">
        <v>1000</v>
      </c>
      <c r="J69" s="717"/>
    </row>
    <row r="70" spans="1:10" ht="16.5" customHeight="1" thickTop="1" thickBot="1" x14ac:dyDescent="0.3">
      <c r="A70" s="575" t="s">
        <v>21</v>
      </c>
      <c r="B70" s="576"/>
      <c r="C70" s="577"/>
      <c r="D70" s="578"/>
      <c r="E70" s="630" t="s">
        <v>25</v>
      </c>
      <c r="F70" s="605"/>
      <c r="G70" s="608" t="s">
        <v>25</v>
      </c>
      <c r="H70" s="603"/>
      <c r="I70" s="642" t="s">
        <v>25</v>
      </c>
      <c r="J70" s="596"/>
    </row>
    <row r="71" spans="1:10" ht="16.5" thickTop="1" thickBot="1" x14ac:dyDescent="0.3">
      <c r="A71" s="575" t="s">
        <v>22</v>
      </c>
      <c r="B71" s="576"/>
      <c r="C71" s="577"/>
      <c r="D71" s="578"/>
      <c r="E71" s="700">
        <v>0</v>
      </c>
      <c r="F71" s="701"/>
      <c r="G71" s="702">
        <v>20</v>
      </c>
      <c r="H71" s="703"/>
      <c r="I71" s="704">
        <v>20</v>
      </c>
      <c r="J71" s="705"/>
    </row>
    <row r="72" spans="1:10" ht="16.5" customHeight="1" thickTop="1" thickBot="1" x14ac:dyDescent="0.3">
      <c r="A72" s="575" t="s">
        <v>23</v>
      </c>
      <c r="B72" s="576"/>
      <c r="C72" s="577"/>
      <c r="D72" s="578"/>
      <c r="E72" s="591">
        <v>0</v>
      </c>
      <c r="F72" s="592"/>
      <c r="G72" s="593">
        <v>1500</v>
      </c>
      <c r="H72" s="594"/>
      <c r="I72" s="587">
        <v>3000</v>
      </c>
      <c r="J72" s="587"/>
    </row>
    <row r="73" spans="1:10" s="552" customFormat="1" ht="16.5" thickTop="1" thickBot="1" x14ac:dyDescent="0.3">
      <c r="A73" s="579" t="s">
        <v>24</v>
      </c>
      <c r="B73" s="580"/>
      <c r="C73" s="581"/>
      <c r="D73" s="582"/>
      <c r="E73" s="706">
        <v>7250</v>
      </c>
      <c r="F73" s="707"/>
      <c r="G73" s="708">
        <v>5500</v>
      </c>
      <c r="H73" s="709"/>
      <c r="I73" s="710">
        <v>3500</v>
      </c>
      <c r="J73" s="711"/>
    </row>
    <row r="74" spans="1:10" s="552" customFormat="1" ht="15.75" thickTop="1" x14ac:dyDescent="0.25">
      <c r="C74" s="553"/>
      <c r="D74" s="553"/>
      <c r="E74" s="553"/>
      <c r="F74" s="553"/>
      <c r="G74" s="553"/>
      <c r="H74" s="553"/>
    </row>
    <row r="75" spans="1:10" s="552" customFormat="1" x14ac:dyDescent="0.25">
      <c r="C75" s="553"/>
      <c r="D75" s="553"/>
      <c r="E75" s="553"/>
      <c r="F75" s="553"/>
      <c r="G75" s="553"/>
      <c r="H75" s="553"/>
    </row>
    <row r="76" spans="1:10" s="552" customFormat="1" x14ac:dyDescent="0.25">
      <c r="C76" s="553"/>
      <c r="D76" s="553"/>
      <c r="E76" s="553"/>
      <c r="F76" s="553"/>
      <c r="G76" s="553"/>
      <c r="H76" s="553"/>
    </row>
    <row r="77" spans="1:10" s="552" customFormat="1" x14ac:dyDescent="0.25">
      <c r="C77" s="553"/>
      <c r="D77" s="553"/>
      <c r="E77" s="553"/>
      <c r="F77" s="553"/>
      <c r="G77" s="553"/>
      <c r="H77" s="553"/>
    </row>
    <row r="78" spans="1:10" x14ac:dyDescent="0.25">
      <c r="I78" s="370"/>
      <c r="J78" s="370"/>
    </row>
  </sheetData>
  <mergeCells count="109">
    <mergeCell ref="I73:J73"/>
    <mergeCell ref="B13:D13"/>
    <mergeCell ref="E13:G13"/>
    <mergeCell ref="H13:J13"/>
    <mergeCell ref="E73:F73"/>
    <mergeCell ref="G69:H69"/>
    <mergeCell ref="G70:H70"/>
    <mergeCell ref="G71:H71"/>
    <mergeCell ref="G73:H73"/>
    <mergeCell ref="B15:D15"/>
    <mergeCell ref="E15:G15"/>
    <mergeCell ref="H15:J15"/>
    <mergeCell ref="B19:D19"/>
    <mergeCell ref="E19:G19"/>
    <mergeCell ref="H19:J19"/>
    <mergeCell ref="E22:G22"/>
    <mergeCell ref="H22:J22"/>
    <mergeCell ref="B23:D23"/>
    <mergeCell ref="E23:G23"/>
    <mergeCell ref="H23:J23"/>
    <mergeCell ref="E20:G20"/>
    <mergeCell ref="H20:J20"/>
    <mergeCell ref="B21:D21"/>
    <mergeCell ref="E21:G21"/>
    <mergeCell ref="I6:J6"/>
    <mergeCell ref="B5:E5"/>
    <mergeCell ref="B7:G7"/>
    <mergeCell ref="I7:J7"/>
    <mergeCell ref="B6:G6"/>
    <mergeCell ref="A2:J2"/>
    <mergeCell ref="B3:G3"/>
    <mergeCell ref="I3:J3"/>
    <mergeCell ref="B4:J4"/>
    <mergeCell ref="I5:J5"/>
    <mergeCell ref="F8:G8"/>
    <mergeCell ref="I8:J8"/>
    <mergeCell ref="H10:J10"/>
    <mergeCell ref="B11:D11"/>
    <mergeCell ref="E11:G11"/>
    <mergeCell ref="H11:J11"/>
    <mergeCell ref="B8:D8"/>
    <mergeCell ref="B10:D10"/>
    <mergeCell ref="E10:G10"/>
    <mergeCell ref="B12:D12"/>
    <mergeCell ref="E12:G12"/>
    <mergeCell ref="H12:J12"/>
    <mergeCell ref="B14:D14"/>
    <mergeCell ref="E14:G14"/>
    <mergeCell ref="H14:J14"/>
    <mergeCell ref="B18:D18"/>
    <mergeCell ref="E18:G18"/>
    <mergeCell ref="H18:J18"/>
    <mergeCell ref="B16:D16"/>
    <mergeCell ref="E16:G16"/>
    <mergeCell ref="H16:J16"/>
    <mergeCell ref="B17:D17"/>
    <mergeCell ref="E17:G17"/>
    <mergeCell ref="H17:J17"/>
    <mergeCell ref="H21:J21"/>
    <mergeCell ref="A38:D38"/>
    <mergeCell ref="B39:D39"/>
    <mergeCell ref="B40:D40"/>
    <mergeCell ref="B42:D42"/>
    <mergeCell ref="B20:D20"/>
    <mergeCell ref="B22:D22"/>
    <mergeCell ref="B43:D43"/>
    <mergeCell ref="B44:D44"/>
    <mergeCell ref="B45:D45"/>
    <mergeCell ref="B46:D46"/>
    <mergeCell ref="B49:D49"/>
    <mergeCell ref="B47:D47"/>
    <mergeCell ref="B48:D48"/>
    <mergeCell ref="A72:D72"/>
    <mergeCell ref="A73:D73"/>
    <mergeCell ref="C52:D52"/>
    <mergeCell ref="C53:D53"/>
    <mergeCell ref="C54:D54"/>
    <mergeCell ref="C55:D55"/>
    <mergeCell ref="A67:J67"/>
    <mergeCell ref="A69:D69"/>
    <mergeCell ref="A70:D70"/>
    <mergeCell ref="A71:D71"/>
    <mergeCell ref="B66:D66"/>
    <mergeCell ref="C56:D56"/>
    <mergeCell ref="A65:D65"/>
    <mergeCell ref="E54:J66"/>
    <mergeCell ref="E69:F69"/>
    <mergeCell ref="E70:F70"/>
    <mergeCell ref="E38:J46"/>
    <mergeCell ref="E48:J48"/>
    <mergeCell ref="E72:F72"/>
    <mergeCell ref="E47:J47"/>
    <mergeCell ref="F50:J50"/>
    <mergeCell ref="F51:J51"/>
    <mergeCell ref="F52:J52"/>
    <mergeCell ref="F53:J53"/>
    <mergeCell ref="B51:D51"/>
    <mergeCell ref="B50:D50"/>
    <mergeCell ref="G72:H72"/>
    <mergeCell ref="I72:J72"/>
    <mergeCell ref="E49:J49"/>
    <mergeCell ref="E71:F71"/>
    <mergeCell ref="I69:J69"/>
    <mergeCell ref="I70:J70"/>
    <mergeCell ref="I71:J71"/>
    <mergeCell ref="C68:D68"/>
    <mergeCell ref="E68:F68"/>
    <mergeCell ref="G68:H68"/>
    <mergeCell ref="I68:J68"/>
  </mergeCells>
  <printOptions horizontalCentered="1" verticalCentered="1"/>
  <pageMargins left="0.05" right="0.05" top="0.05" bottom="0.05" header="0.3" footer="0.3"/>
  <pageSetup scale="8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4" name="Check Box 9">
              <controlPr defaultSize="0" autoFill="0" autoLine="0" autoPict="0">
                <anchor moveWithCells="1">
                  <from>
                    <xdr:col>4</xdr:col>
                    <xdr:colOff>228600</xdr:colOff>
                    <xdr:row>50</xdr:row>
                    <xdr:rowOff>9525</xdr:rowOff>
                  </from>
                  <to>
                    <xdr:col>5</xdr:col>
                    <xdr:colOff>257175</xdr:colOff>
                    <xdr:row>51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5" name="Check Box 12">
              <controlPr defaultSize="0" autoFill="0" autoLine="0" autoPict="0">
                <anchor moveWithCells="1">
                  <from>
                    <xdr:col>4</xdr:col>
                    <xdr:colOff>228600</xdr:colOff>
                    <xdr:row>51</xdr:row>
                    <xdr:rowOff>9525</xdr:rowOff>
                  </from>
                  <to>
                    <xdr:col>5</xdr:col>
                    <xdr:colOff>257175</xdr:colOff>
                    <xdr:row>52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6" name="Check Box 13">
              <controlPr defaultSize="0" autoFill="0" autoLine="0" autoPict="0">
                <anchor moveWithCells="1">
                  <from>
                    <xdr:col>4</xdr:col>
                    <xdr:colOff>228600</xdr:colOff>
                    <xdr:row>52</xdr:row>
                    <xdr:rowOff>9525</xdr:rowOff>
                  </from>
                  <to>
                    <xdr:col>5</xdr:col>
                    <xdr:colOff>257175</xdr:colOff>
                    <xdr:row>53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B1:N71"/>
  <sheetViews>
    <sheetView workbookViewId="0">
      <selection activeCell="A16" sqref="A16:XFD16"/>
    </sheetView>
  </sheetViews>
  <sheetFormatPr defaultRowHeight="21" x14ac:dyDescent="0.35"/>
  <cols>
    <col min="1" max="1" width="1" style="93" customWidth="1"/>
    <col min="2" max="2" width="0.5703125" style="93" customWidth="1"/>
    <col min="3" max="3" width="15.42578125" style="176" customWidth="1"/>
    <col min="4" max="4" width="4.5703125" style="93" customWidth="1"/>
    <col min="5" max="5" width="21.28515625" style="93" customWidth="1"/>
    <col min="6" max="6" width="8.140625" style="93" hidden="1" customWidth="1"/>
    <col min="7" max="7" width="8.85546875" style="93" hidden="1" customWidth="1"/>
    <col min="8" max="8" width="4.5703125" style="93" customWidth="1"/>
    <col min="9" max="9" width="21.42578125" style="93" customWidth="1"/>
    <col min="10" max="10" width="4.5703125" style="93" customWidth="1"/>
    <col min="11" max="11" width="21.42578125" style="93" customWidth="1"/>
    <col min="12" max="12" width="19.28515625" style="93" customWidth="1"/>
    <col min="13" max="13" width="1" style="93" customWidth="1"/>
    <col min="14" max="16384" width="9.140625" style="93"/>
  </cols>
  <sheetData>
    <row r="1" spans="2:14" ht="24" thickTop="1" x14ac:dyDescent="0.35">
      <c r="B1" s="732" t="s">
        <v>38</v>
      </c>
      <c r="C1" s="733"/>
      <c r="D1" s="733"/>
      <c r="E1" s="733"/>
      <c r="F1" s="733"/>
      <c r="G1" s="733"/>
      <c r="H1" s="733"/>
      <c r="I1" s="733"/>
      <c r="J1" s="733"/>
      <c r="K1" s="733"/>
      <c r="L1" s="734"/>
    </row>
    <row r="2" spans="2:14" ht="21.75" customHeight="1" thickBot="1" x14ac:dyDescent="0.4">
      <c r="B2" s="735">
        <f>'InsHRA-Request'!B3:J3</f>
        <v>0</v>
      </c>
      <c r="C2" s="736"/>
      <c r="D2" s="736"/>
      <c r="E2" s="736"/>
      <c r="F2" s="736"/>
      <c r="G2" s="736"/>
      <c r="H2" s="736"/>
      <c r="I2" s="736"/>
      <c r="J2" s="736"/>
      <c r="K2" s="736"/>
      <c r="L2" s="737"/>
    </row>
    <row r="3" spans="2:14" ht="6" customHeight="1" thickTop="1" thickBot="1" x14ac:dyDescent="0.4"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2:14" ht="22.5" thickTop="1" thickBot="1" x14ac:dyDescent="0.4">
      <c r="B4" s="720" t="s">
        <v>75</v>
      </c>
      <c r="C4" s="721"/>
      <c r="D4" s="721"/>
      <c r="E4" s="721"/>
      <c r="F4" s="721"/>
      <c r="G4" s="721"/>
      <c r="H4" s="721"/>
      <c r="I4" s="721"/>
      <c r="J4" s="721"/>
      <c r="K4" s="721"/>
      <c r="L4" s="722"/>
    </row>
    <row r="5" spans="2:14" ht="21.75" thickTop="1" x14ac:dyDescent="0.35">
      <c r="B5" s="109"/>
      <c r="C5" s="110" t="s">
        <v>30</v>
      </c>
      <c r="D5" s="110" t="s">
        <v>77</v>
      </c>
      <c r="E5" s="257">
        <f>'InsHRA-Request'!B11</f>
        <v>0</v>
      </c>
      <c r="F5" s="111"/>
      <c r="G5" s="111"/>
      <c r="H5" s="262" t="s">
        <v>77</v>
      </c>
      <c r="I5" s="265">
        <f>'InsHRA-Request'!E11</f>
        <v>0</v>
      </c>
      <c r="J5" s="352" t="s">
        <v>77</v>
      </c>
      <c r="K5" s="352">
        <f>'InsHRA-Request'!H11</f>
        <v>0</v>
      </c>
      <c r="L5" s="225" t="s">
        <v>32</v>
      </c>
    </row>
    <row r="6" spans="2:14" x14ac:dyDescent="0.35">
      <c r="B6" s="112"/>
      <c r="C6" s="113" t="s">
        <v>16</v>
      </c>
      <c r="D6" s="113">
        <f>'InsHRA-Request'!B25</f>
        <v>0</v>
      </c>
      <c r="E6" s="214">
        <f>'InsHRA-Request'!C25</f>
        <v>0</v>
      </c>
      <c r="F6" s="114"/>
      <c r="G6" s="115"/>
      <c r="H6" s="226">
        <f>'InsHRA-Request'!E25</f>
        <v>0</v>
      </c>
      <c r="I6" s="227">
        <f>'InsHRA-Request'!F25</f>
        <v>0</v>
      </c>
      <c r="J6" s="362">
        <f>'InsHRA-Request'!H25</f>
        <v>0</v>
      </c>
      <c r="K6" s="354">
        <f>'InsHRA-Request'!I25</f>
        <v>0</v>
      </c>
      <c r="L6" s="228"/>
      <c r="N6" s="116"/>
    </row>
    <row r="7" spans="2:14" x14ac:dyDescent="0.35">
      <c r="B7" s="117"/>
      <c r="C7" s="118" t="s">
        <v>33</v>
      </c>
      <c r="D7" s="118">
        <f>'InsHRA-Request'!B26</f>
        <v>0</v>
      </c>
      <c r="E7" s="215">
        <f>'InsHRA-Request'!C26</f>
        <v>0</v>
      </c>
      <c r="F7" s="119"/>
      <c r="G7" s="120"/>
      <c r="H7" s="229">
        <f>'InsHRA-Request'!E26</f>
        <v>0</v>
      </c>
      <c r="I7" s="230">
        <f>'InsHRA-Request'!F26</f>
        <v>0</v>
      </c>
      <c r="J7" s="363">
        <f>'InsHRA-Request'!H26</f>
        <v>0</v>
      </c>
      <c r="K7" s="356">
        <f>'InsHRA-Request'!I26</f>
        <v>0</v>
      </c>
      <c r="L7" s="231"/>
      <c r="N7" s="116"/>
    </row>
    <row r="8" spans="2:14" hidden="1" x14ac:dyDescent="0.35">
      <c r="B8" s="117"/>
      <c r="C8" s="118" t="s">
        <v>34</v>
      </c>
      <c r="D8" s="118">
        <f>'InsHRA-Request'!B27</f>
        <v>0</v>
      </c>
      <c r="E8" s="215">
        <f>'InsHRA-Request'!C27</f>
        <v>0</v>
      </c>
      <c r="F8" s="119"/>
      <c r="G8" s="120"/>
      <c r="H8" s="229">
        <f>'InsHRA-Request'!E27</f>
        <v>0</v>
      </c>
      <c r="I8" s="230">
        <f>'InsHRA-Request'!F27</f>
        <v>0</v>
      </c>
      <c r="J8" s="363">
        <f>'InsHRA-Request'!H27</f>
        <v>0</v>
      </c>
      <c r="K8" s="356">
        <f>'InsHRA-Request'!I27</f>
        <v>0</v>
      </c>
      <c r="L8" s="231"/>
      <c r="N8" s="116"/>
    </row>
    <row r="9" spans="2:14" ht="21.75" thickBot="1" x14ac:dyDescent="0.4">
      <c r="B9" s="121"/>
      <c r="C9" s="122" t="s">
        <v>18</v>
      </c>
      <c r="D9" s="122">
        <f>'InsHRA-Request'!B28</f>
        <v>0</v>
      </c>
      <c r="E9" s="125">
        <f>'InsHRA-Request'!C28</f>
        <v>0</v>
      </c>
      <c r="F9" s="123"/>
      <c r="G9" s="124"/>
      <c r="H9" s="232">
        <f>'InsHRA-Request'!E28</f>
        <v>0</v>
      </c>
      <c r="I9" s="233">
        <f>'InsHRA-Request'!F28</f>
        <v>0</v>
      </c>
      <c r="J9" s="364">
        <f>'InsHRA-Request'!H28</f>
        <v>0</v>
      </c>
      <c r="K9" s="358">
        <f>'InsHRA-Request'!I28</f>
        <v>0</v>
      </c>
      <c r="L9" s="286"/>
      <c r="M9" s="126"/>
      <c r="N9" s="116"/>
    </row>
    <row r="10" spans="2:14" ht="21.75" thickBot="1" x14ac:dyDescent="0.4">
      <c r="B10" s="127"/>
      <c r="C10" s="128"/>
      <c r="D10" s="128">
        <f>SUM(D6:D9)</f>
        <v>0</v>
      </c>
      <c r="E10" s="216">
        <f>(D6*E6)+(D7*E7)+(D9*E9)+(D8*E8)</f>
        <v>0</v>
      </c>
      <c r="F10" s="129"/>
      <c r="G10" s="130"/>
      <c r="H10" s="234">
        <f>SUM(H6:H9)</f>
        <v>0</v>
      </c>
      <c r="I10" s="235">
        <f>(H6*I6)+(H7*I7)+(H9*I9)+(H8*I8)</f>
        <v>0</v>
      </c>
      <c r="J10" s="365">
        <f>SUM(J6:J9)</f>
        <v>0</v>
      </c>
      <c r="K10" s="360">
        <f>(J6*K6)+(J7*K7)+(J9*K9)+(J8*K8)</f>
        <v>0</v>
      </c>
      <c r="L10" s="236">
        <f>I10+E10+K10</f>
        <v>0</v>
      </c>
    </row>
    <row r="11" spans="2:14" s="136" customFormat="1" ht="6" customHeight="1" thickTop="1" thickBot="1" x14ac:dyDescent="0.4">
      <c r="B11" s="131"/>
      <c r="C11" s="131"/>
      <c r="D11" s="131"/>
      <c r="E11" s="132"/>
      <c r="F11" s="133"/>
      <c r="G11" s="134"/>
      <c r="H11" s="133"/>
      <c r="I11" s="132"/>
      <c r="J11" s="132"/>
      <c r="K11" s="132"/>
      <c r="L11" s="135"/>
    </row>
    <row r="12" spans="2:14" ht="22.5" thickTop="1" thickBot="1" x14ac:dyDescent="0.4">
      <c r="B12" s="720" t="s">
        <v>76</v>
      </c>
      <c r="C12" s="721"/>
      <c r="D12" s="721"/>
      <c r="E12" s="721"/>
      <c r="F12" s="721"/>
      <c r="G12" s="721"/>
      <c r="H12" s="721"/>
      <c r="I12" s="721"/>
      <c r="J12" s="721"/>
      <c r="K12" s="721"/>
      <c r="L12" s="722"/>
    </row>
    <row r="13" spans="2:14" ht="21.75" thickTop="1" x14ac:dyDescent="0.35">
      <c r="B13" s="241"/>
      <c r="C13" s="242" t="s">
        <v>30</v>
      </c>
      <c r="D13" s="242" t="s">
        <v>77</v>
      </c>
      <c r="E13" s="267">
        <f>E5</f>
        <v>0</v>
      </c>
      <c r="F13" s="263"/>
      <c r="G13" s="263"/>
      <c r="H13" s="264" t="s">
        <v>77</v>
      </c>
      <c r="I13" s="266">
        <f>'InsHRA-Request'!E11</f>
        <v>0</v>
      </c>
      <c r="J13" s="346" t="s">
        <v>77</v>
      </c>
      <c r="K13" s="346">
        <f>K5</f>
        <v>0</v>
      </c>
      <c r="L13" s="137" t="s">
        <v>32</v>
      </c>
    </row>
    <row r="14" spans="2:14" x14ac:dyDescent="0.35">
      <c r="B14" s="243"/>
      <c r="C14" s="244" t="s">
        <v>16</v>
      </c>
      <c r="D14" s="244">
        <f>D6</f>
        <v>0</v>
      </c>
      <c r="E14" s="237">
        <f>'InsHRA-Request'!D25</f>
        <v>0</v>
      </c>
      <c r="F14" s="114"/>
      <c r="G14" s="115"/>
      <c r="H14" s="217">
        <f>H6</f>
        <v>0</v>
      </c>
      <c r="I14" s="218">
        <f>'InsHRA-Request'!G25</f>
        <v>0</v>
      </c>
      <c r="J14" s="366">
        <f>'InsHRA-Request'!H25</f>
        <v>0</v>
      </c>
      <c r="K14" s="237">
        <f>'InsHRA-Request'!J25</f>
        <v>0</v>
      </c>
      <c r="L14" s="138"/>
      <c r="N14" s="116"/>
    </row>
    <row r="15" spans="2:14" x14ac:dyDescent="0.35">
      <c r="B15" s="245"/>
      <c r="C15" s="246" t="s">
        <v>33</v>
      </c>
      <c r="D15" s="246">
        <f>D7</f>
        <v>0</v>
      </c>
      <c r="E15" s="238">
        <f>'InsHRA-Request'!D26</f>
        <v>0</v>
      </c>
      <c r="F15" s="119"/>
      <c r="G15" s="120"/>
      <c r="H15" s="219">
        <f>H7</f>
        <v>0</v>
      </c>
      <c r="I15" s="220">
        <f>'InsHRA-Request'!G26</f>
        <v>0</v>
      </c>
      <c r="J15" s="367">
        <f>'InsHRA-Request'!H26</f>
        <v>0</v>
      </c>
      <c r="K15" s="238">
        <f>'InsHRA-Request'!J26</f>
        <v>0</v>
      </c>
      <c r="L15" s="139"/>
      <c r="N15" s="116"/>
    </row>
    <row r="16" spans="2:14" hidden="1" x14ac:dyDescent="0.35">
      <c r="B16" s="245"/>
      <c r="C16" s="246" t="s">
        <v>34</v>
      </c>
      <c r="D16" s="246">
        <f>D8</f>
        <v>0</v>
      </c>
      <c r="E16" s="238">
        <f>'InsHRA-Request'!D27</f>
        <v>0</v>
      </c>
      <c r="F16" s="119"/>
      <c r="G16" s="120"/>
      <c r="H16" s="219">
        <f>H8</f>
        <v>0</v>
      </c>
      <c r="I16" s="220">
        <f>'InsHRA-Request'!G27</f>
        <v>0</v>
      </c>
      <c r="J16" s="367">
        <f>'InsHRA-Request'!H27</f>
        <v>0</v>
      </c>
      <c r="K16" s="238">
        <f>'InsHRA-Request'!J27</f>
        <v>0</v>
      </c>
      <c r="L16" s="139"/>
      <c r="N16" s="116"/>
    </row>
    <row r="17" spans="2:14" ht="21.75" thickBot="1" x14ac:dyDescent="0.4">
      <c r="B17" s="247"/>
      <c r="C17" s="248" t="s">
        <v>18</v>
      </c>
      <c r="D17" s="248">
        <f>D9</f>
        <v>0</v>
      </c>
      <c r="E17" s="239">
        <f>'InsHRA-Request'!D28</f>
        <v>0</v>
      </c>
      <c r="F17" s="123"/>
      <c r="G17" s="124"/>
      <c r="H17" s="221">
        <f>H9</f>
        <v>0</v>
      </c>
      <c r="I17" s="222">
        <f>'InsHRA-Request'!G28</f>
        <v>0</v>
      </c>
      <c r="J17" s="368">
        <f>'InsHRA-Request'!H28</f>
        <v>0</v>
      </c>
      <c r="K17" s="239">
        <f>'InsHRA-Request'!J28</f>
        <v>0</v>
      </c>
      <c r="L17" s="140"/>
      <c r="N17" s="116"/>
    </row>
    <row r="18" spans="2:14" ht="21.75" thickBot="1" x14ac:dyDescent="0.4">
      <c r="B18" s="249"/>
      <c r="C18" s="250"/>
      <c r="D18" s="250">
        <f>SUM(D14:D17)</f>
        <v>0</v>
      </c>
      <c r="E18" s="240">
        <f>(D14*E14)+(D15*E15)+(D17*E17)+(D16*E16)</f>
        <v>0</v>
      </c>
      <c r="F18" s="129"/>
      <c r="G18" s="130"/>
      <c r="H18" s="223">
        <f>SUM(H14:H17)</f>
        <v>0</v>
      </c>
      <c r="I18" s="224">
        <f>(H14*I14)+(H15*I15)+(H17*I17)+(H16*I16)</f>
        <v>0</v>
      </c>
      <c r="J18" s="369">
        <f>SUM(J14:J17)</f>
        <v>0</v>
      </c>
      <c r="K18" s="240">
        <f>(J14*K14)+(J15*K15)+(J17*K17)+(J16*K16)</f>
        <v>0</v>
      </c>
      <c r="L18" s="141">
        <f>I18+E18+K18</f>
        <v>0</v>
      </c>
    </row>
    <row r="19" spans="2:14" ht="22.5" hidden="1" thickTop="1" thickBot="1" x14ac:dyDescent="0.4">
      <c r="B19" s="720" t="s">
        <v>63</v>
      </c>
      <c r="C19" s="721"/>
      <c r="D19" s="721"/>
      <c r="E19" s="721"/>
      <c r="F19" s="721"/>
      <c r="G19" s="721"/>
      <c r="H19" s="721"/>
      <c r="I19" s="721"/>
      <c r="J19" s="721"/>
      <c r="K19" s="721"/>
      <c r="L19" s="722"/>
    </row>
    <row r="20" spans="2:14" ht="21.75" hidden="1" thickTop="1" x14ac:dyDescent="0.35">
      <c r="B20" s="102"/>
      <c r="C20" s="103" t="s">
        <v>30</v>
      </c>
      <c r="D20" s="142" t="s">
        <v>29</v>
      </c>
      <c r="E20" s="103" t="s">
        <v>31</v>
      </c>
      <c r="F20" s="103"/>
      <c r="G20" s="143" t="s">
        <v>64</v>
      </c>
      <c r="H20" s="143"/>
      <c r="I20" s="103"/>
      <c r="J20" s="103"/>
      <c r="K20" s="103"/>
      <c r="L20" s="104" t="s">
        <v>32</v>
      </c>
    </row>
    <row r="21" spans="2:14" ht="21.75" hidden="1" thickTop="1" x14ac:dyDescent="0.35">
      <c r="B21" s="144"/>
      <c r="C21" s="145" t="s">
        <v>16</v>
      </c>
      <c r="D21" s="145"/>
      <c r="E21" s="276">
        <v>247.46</v>
      </c>
      <c r="F21" s="276"/>
      <c r="G21" s="276">
        <v>137.81</v>
      </c>
      <c r="H21" s="276"/>
      <c r="I21" s="276" t="str">
        <f>[1]TransRates!$W$29</f>
        <v/>
      </c>
      <c r="J21" s="276"/>
      <c r="K21" s="276"/>
      <c r="L21" s="147">
        <f>SUM(E21:I21)</f>
        <v>385.27</v>
      </c>
      <c r="N21" s="116"/>
    </row>
    <row r="22" spans="2:14" ht="21.75" hidden="1" thickTop="1" x14ac:dyDescent="0.35">
      <c r="B22" s="148"/>
      <c r="C22" s="149" t="s">
        <v>33</v>
      </c>
      <c r="D22" s="149"/>
      <c r="E22" s="277">
        <v>593.89</v>
      </c>
      <c r="F22" s="277"/>
      <c r="G22" s="277">
        <v>263.48</v>
      </c>
      <c r="H22" s="277"/>
      <c r="I22" s="277" t="str">
        <f>[1]TransRates!$W$30</f>
        <v/>
      </c>
      <c r="J22" s="277"/>
      <c r="K22" s="277"/>
      <c r="L22" s="151">
        <f>SUM(E22:I22)</f>
        <v>857.37</v>
      </c>
      <c r="N22" s="116"/>
    </row>
    <row r="23" spans="2:14" ht="21.75" hidden="1" thickTop="1" x14ac:dyDescent="0.35">
      <c r="B23" s="148"/>
      <c r="C23" s="149" t="s">
        <v>34</v>
      </c>
      <c r="D23" s="149"/>
      <c r="E23" s="277">
        <f>[1]Census!O17</f>
        <v>0</v>
      </c>
      <c r="F23" s="277"/>
      <c r="G23" s="277">
        <v>0</v>
      </c>
      <c r="H23" s="277"/>
      <c r="I23" s="277" t="str">
        <f>[1]TransRates!$W$31</f>
        <v/>
      </c>
      <c r="J23" s="277"/>
      <c r="K23" s="277"/>
      <c r="L23" s="151">
        <f>SUM(E23:I23)</f>
        <v>0</v>
      </c>
      <c r="N23" s="116"/>
    </row>
    <row r="24" spans="2:14" ht="22.5" hidden="1" thickTop="1" thickBot="1" x14ac:dyDescent="0.4">
      <c r="B24" s="152"/>
      <c r="C24" s="153" t="s">
        <v>18</v>
      </c>
      <c r="D24" s="153"/>
      <c r="E24" s="278">
        <v>742.37</v>
      </c>
      <c r="F24" s="278"/>
      <c r="G24" s="278">
        <v>373.27</v>
      </c>
      <c r="H24" s="278"/>
      <c r="I24" s="278" t="str">
        <f>[1]TransRates!$W$32</f>
        <v/>
      </c>
      <c r="J24" s="278"/>
      <c r="K24" s="278"/>
      <c r="L24" s="155">
        <f>SUM(E24:I24)</f>
        <v>1115.6399999999999</v>
      </c>
      <c r="N24" s="116"/>
    </row>
    <row r="25" spans="2:14" ht="22.5" hidden="1" thickTop="1" thickBot="1" x14ac:dyDescent="0.4">
      <c r="B25" s="156">
        <f>SUM(B21:B24)</f>
        <v>0</v>
      </c>
      <c r="C25" s="157"/>
      <c r="D25" s="157"/>
      <c r="E25" s="158"/>
      <c r="F25" s="158"/>
      <c r="G25" s="158"/>
      <c r="H25" s="158"/>
      <c r="I25" s="158"/>
      <c r="J25" s="158"/>
      <c r="K25" s="158"/>
      <c r="L25" s="159"/>
    </row>
    <row r="26" spans="2:14" s="136" customFormat="1" ht="6" customHeight="1" thickTop="1" thickBot="1" x14ac:dyDescent="0.4">
      <c r="B26" s="174"/>
      <c r="C26" s="174"/>
      <c r="D26" s="174"/>
      <c r="E26" s="340"/>
      <c r="F26" s="340"/>
      <c r="G26" s="340"/>
      <c r="H26" s="340"/>
      <c r="I26" s="340"/>
      <c r="J26" s="340"/>
      <c r="K26" s="340"/>
      <c r="L26" s="341"/>
    </row>
    <row r="27" spans="2:14" s="136" customFormat="1" ht="21.95" customHeight="1" thickTop="1" x14ac:dyDescent="0.35">
      <c r="B27" s="758" t="str">
        <f>"Proposed Plan 1: Move "&amp;E5&amp;" Employees to:"</f>
        <v>Proposed Plan 1: Move 0 Employees to:</v>
      </c>
      <c r="C27" s="759"/>
      <c r="D27" s="759"/>
      <c r="E27" s="759"/>
      <c r="F27" s="759"/>
      <c r="G27" s="759"/>
      <c r="H27" s="759"/>
      <c r="I27" s="759"/>
      <c r="J27" s="759"/>
      <c r="K27" s="759"/>
      <c r="L27" s="760"/>
    </row>
    <row r="28" spans="2:14" ht="21.75" thickBot="1" x14ac:dyDescent="0.4">
      <c r="B28" s="755" t="str">
        <f>"Proposed Plan 1: "&amp;'InsHRA-Request'!B39&amp;" &amp; Insured HRA ($"&amp;'InsHRA-Request'!C69&amp;" deductible / $"&amp;'InsHRA-Request'!C72&amp;" coinsurance)"</f>
        <v>Proposed Plan 1:  &amp; Insured HRA ($ deductible / $ coinsurance)</v>
      </c>
      <c r="C28" s="756"/>
      <c r="D28" s="756"/>
      <c r="E28" s="756"/>
      <c r="F28" s="756"/>
      <c r="G28" s="756"/>
      <c r="H28" s="756"/>
      <c r="I28" s="756"/>
      <c r="J28" s="756"/>
      <c r="K28" s="756"/>
      <c r="L28" s="757"/>
    </row>
    <row r="29" spans="2:14" ht="2.25" customHeight="1" thickTop="1" x14ac:dyDescent="0.35">
      <c r="B29" s="160"/>
      <c r="C29" s="161"/>
      <c r="D29" s="160"/>
      <c r="E29" s="161"/>
      <c r="F29" s="161"/>
      <c r="G29" s="162" t="s">
        <v>65</v>
      </c>
      <c r="H29" s="162"/>
      <c r="I29" s="161"/>
      <c r="J29" s="161"/>
      <c r="K29" s="161"/>
      <c r="L29" s="163"/>
    </row>
    <row r="30" spans="2:14" x14ac:dyDescent="0.35">
      <c r="B30" s="181"/>
      <c r="C30" s="182" t="s">
        <v>30</v>
      </c>
      <c r="D30" s="182" t="s">
        <v>77</v>
      </c>
      <c r="E30" s="183">
        <f>'InsHRA-Request'!B39</f>
        <v>0</v>
      </c>
      <c r="F30" s="184"/>
      <c r="G30" s="184"/>
      <c r="H30" s="738" t="s">
        <v>35</v>
      </c>
      <c r="I30" s="738"/>
      <c r="J30" s="183"/>
      <c r="K30" s="183"/>
      <c r="L30" s="185" t="s">
        <v>32</v>
      </c>
    </row>
    <row r="31" spans="2:14" x14ac:dyDescent="0.35">
      <c r="B31" s="144">
        <v>12</v>
      </c>
      <c r="C31" s="145" t="s">
        <v>16</v>
      </c>
      <c r="D31" s="186">
        <f>D6</f>
        <v>0</v>
      </c>
      <c r="E31" s="276">
        <f>'InsHRA-Request'!C53</f>
        <v>0</v>
      </c>
      <c r="F31" s="187"/>
      <c r="G31" s="187"/>
      <c r="H31" s="723">
        <f>'InsHRA-Request'!D75</f>
        <v>0</v>
      </c>
      <c r="I31" s="723"/>
      <c r="J31" s="276"/>
      <c r="K31" s="276"/>
      <c r="L31" s="147">
        <f>H31+E31</f>
        <v>0</v>
      </c>
      <c r="N31" s="116"/>
    </row>
    <row r="32" spans="2:14" x14ac:dyDescent="0.35">
      <c r="B32" s="148">
        <v>0</v>
      </c>
      <c r="C32" s="149" t="s">
        <v>33</v>
      </c>
      <c r="D32" s="188">
        <f>D7</f>
        <v>0</v>
      </c>
      <c r="E32" s="277">
        <f>'InsHRA-Request'!C54</f>
        <v>0</v>
      </c>
      <c r="F32" s="187"/>
      <c r="G32" s="187"/>
      <c r="H32" s="724">
        <f>'InsHRA-Request'!D76</f>
        <v>0</v>
      </c>
      <c r="I32" s="724"/>
      <c r="J32" s="277"/>
      <c r="K32" s="277"/>
      <c r="L32" s="151">
        <f>H32+E32</f>
        <v>0</v>
      </c>
      <c r="N32" s="116"/>
    </row>
    <row r="33" spans="2:14" hidden="1" x14ac:dyDescent="0.35">
      <c r="B33" s="148"/>
      <c r="C33" s="149" t="s">
        <v>34</v>
      </c>
      <c r="D33" s="188">
        <f>D8</f>
        <v>0</v>
      </c>
      <c r="E33" s="277">
        <f>'InsHRA-Request'!C55</f>
        <v>0</v>
      </c>
      <c r="F33" s="187"/>
      <c r="G33" s="187"/>
      <c r="H33" s="724">
        <f>'InsHRA-Request'!D77</f>
        <v>0</v>
      </c>
      <c r="I33" s="724"/>
      <c r="J33" s="277"/>
      <c r="K33" s="277"/>
      <c r="L33" s="151">
        <f>H33+E33</f>
        <v>0</v>
      </c>
      <c r="N33" s="116"/>
    </row>
    <row r="34" spans="2:14" ht="21.75" thickBot="1" x14ac:dyDescent="0.4">
      <c r="B34" s="152">
        <v>1</v>
      </c>
      <c r="C34" s="153" t="s">
        <v>18</v>
      </c>
      <c r="D34" s="189">
        <f>D9</f>
        <v>0</v>
      </c>
      <c r="E34" s="278">
        <f>'InsHRA-Request'!C56</f>
        <v>0</v>
      </c>
      <c r="F34" s="187"/>
      <c r="G34" s="187"/>
      <c r="H34" s="725">
        <f>'InsHRA-Request'!D78</f>
        <v>0</v>
      </c>
      <c r="I34" s="725"/>
      <c r="J34" s="278"/>
      <c r="K34" s="278"/>
      <c r="L34" s="155">
        <f>H34+E34</f>
        <v>0</v>
      </c>
      <c r="N34" s="116"/>
    </row>
    <row r="35" spans="2:14" ht="21.75" thickBot="1" x14ac:dyDescent="0.4">
      <c r="B35" s="156">
        <f>SUM(B31:B34)</f>
        <v>13</v>
      </c>
      <c r="C35" s="157"/>
      <c r="D35" s="157">
        <f>SUM(D31:D34)</f>
        <v>0</v>
      </c>
      <c r="E35" s="158">
        <f>(D31*E31)+(D32*E32)+(D34*E34)+(D33*E33)</f>
        <v>0</v>
      </c>
      <c r="F35" s="187"/>
      <c r="G35" s="187"/>
      <c r="H35" s="748">
        <f>(D31*H31)+(D32*H32)+(D34*H34)+(D33*H33)</f>
        <v>0</v>
      </c>
      <c r="I35" s="748"/>
      <c r="J35" s="158"/>
      <c r="K35" s="158"/>
      <c r="L35" s="159">
        <f>(D31*L31)+(D32*L32)+(D34*L34)+(D33*L33)</f>
        <v>0</v>
      </c>
    </row>
    <row r="36" spans="2:14" s="136" customFormat="1" ht="6" customHeight="1" thickTop="1" thickBot="1" x14ac:dyDescent="0.4">
      <c r="B36" s="174"/>
      <c r="C36" s="174"/>
      <c r="D36" s="174"/>
      <c r="E36" s="340"/>
      <c r="H36" s="340"/>
      <c r="I36" s="340"/>
      <c r="J36" s="340"/>
      <c r="K36" s="340"/>
      <c r="L36" s="341"/>
    </row>
    <row r="37" spans="2:14" s="136" customFormat="1" ht="21.95" customHeight="1" thickTop="1" x14ac:dyDescent="0.35">
      <c r="B37" s="758" t="str">
        <f>"Proposed Plan 2: Move "&amp;I5&amp;" Employees to:"</f>
        <v>Proposed Plan 2: Move 0 Employees to:</v>
      </c>
      <c r="C37" s="759"/>
      <c r="D37" s="759"/>
      <c r="E37" s="759"/>
      <c r="F37" s="759"/>
      <c r="G37" s="759"/>
      <c r="H37" s="759"/>
      <c r="I37" s="759"/>
      <c r="J37" s="759"/>
      <c r="K37" s="759"/>
      <c r="L37" s="760"/>
    </row>
    <row r="38" spans="2:14" ht="21.75" thickBot="1" x14ac:dyDescent="0.4">
      <c r="B38" s="755" t="str">
        <f>"Proposed Plan 2: "&amp;'InsHRA-Request'!B39&amp;" &amp; Insured HRA ($"&amp;'InsHRA-Request'!E69&amp;" deductible / $"&amp;'InsHRA-Request'!E72&amp;" coinsurance)"</f>
        <v>Proposed Plan 2:  &amp; Insured HRA ($ deductible / $ coinsurance)</v>
      </c>
      <c r="C38" s="756"/>
      <c r="D38" s="756"/>
      <c r="E38" s="756"/>
      <c r="F38" s="756"/>
      <c r="G38" s="756"/>
      <c r="H38" s="756"/>
      <c r="I38" s="756"/>
      <c r="J38" s="756"/>
      <c r="K38" s="756"/>
      <c r="L38" s="757"/>
    </row>
    <row r="39" spans="2:14" ht="21.75" thickTop="1" x14ac:dyDescent="0.35">
      <c r="B39" s="164"/>
      <c r="C39" s="190" t="s">
        <v>30</v>
      </c>
      <c r="D39" s="191" t="s">
        <v>77</v>
      </c>
      <c r="E39" s="192">
        <f>E30</f>
        <v>0</v>
      </c>
      <c r="F39" s="193"/>
      <c r="G39" s="193"/>
      <c r="H39" s="740" t="str">
        <f>H30</f>
        <v>Insured HRA</v>
      </c>
      <c r="I39" s="740"/>
      <c r="J39" s="192"/>
      <c r="K39" s="192"/>
      <c r="L39" s="194" t="s">
        <v>32</v>
      </c>
    </row>
    <row r="40" spans="2:14" x14ac:dyDescent="0.35">
      <c r="B40" s="165">
        <v>28</v>
      </c>
      <c r="C40" s="195" t="s">
        <v>16</v>
      </c>
      <c r="D40" s="196">
        <f>H6</f>
        <v>0</v>
      </c>
      <c r="E40" s="431">
        <f>'InsHRA-Request'!C53</f>
        <v>0</v>
      </c>
      <c r="F40" s="193"/>
      <c r="G40" s="193"/>
      <c r="H40" s="741">
        <f>'InsHRA-Request'!F75</f>
        <v>0</v>
      </c>
      <c r="I40" s="741"/>
      <c r="J40" s="283"/>
      <c r="K40" s="283"/>
      <c r="L40" s="198">
        <f>H40+E40</f>
        <v>0</v>
      </c>
      <c r="N40" s="116"/>
    </row>
    <row r="41" spans="2:14" x14ac:dyDescent="0.35">
      <c r="B41" s="166">
        <v>10</v>
      </c>
      <c r="C41" s="199" t="s">
        <v>33</v>
      </c>
      <c r="D41" s="200">
        <f>H7</f>
        <v>0</v>
      </c>
      <c r="E41" s="432">
        <f>'InsHRA-Request'!C54</f>
        <v>0</v>
      </c>
      <c r="F41" s="193"/>
      <c r="G41" s="193"/>
      <c r="H41" s="742">
        <f>'InsHRA-Request'!F76</f>
        <v>0</v>
      </c>
      <c r="I41" s="742"/>
      <c r="J41" s="284"/>
      <c r="K41" s="284"/>
      <c r="L41" s="202">
        <f>H41+E41</f>
        <v>0</v>
      </c>
      <c r="N41" s="116"/>
    </row>
    <row r="42" spans="2:14" hidden="1" x14ac:dyDescent="0.35">
      <c r="B42" s="166"/>
      <c r="C42" s="199" t="s">
        <v>34</v>
      </c>
      <c r="D42" s="200">
        <f>H8</f>
        <v>0</v>
      </c>
      <c r="E42" s="432">
        <f>'InsHRA-Request'!C55</f>
        <v>0</v>
      </c>
      <c r="F42" s="193"/>
      <c r="G42" s="193"/>
      <c r="H42" s="742">
        <f>'InsHRA-Request'!F77</f>
        <v>0</v>
      </c>
      <c r="I42" s="742"/>
      <c r="J42" s="284"/>
      <c r="K42" s="284"/>
      <c r="L42" s="202">
        <f>H42+E42</f>
        <v>0</v>
      </c>
      <c r="N42" s="116"/>
    </row>
    <row r="43" spans="2:14" ht="21.75" thickBot="1" x14ac:dyDescent="0.4">
      <c r="B43" s="167">
        <v>30</v>
      </c>
      <c r="C43" s="203" t="s">
        <v>18</v>
      </c>
      <c r="D43" s="204">
        <f>H9</f>
        <v>0</v>
      </c>
      <c r="E43" s="433">
        <f>'InsHRA-Request'!C56</f>
        <v>0</v>
      </c>
      <c r="F43" s="193"/>
      <c r="G43" s="193"/>
      <c r="H43" s="743">
        <f>'InsHRA-Request'!F78</f>
        <v>0</v>
      </c>
      <c r="I43" s="743"/>
      <c r="J43" s="285"/>
      <c r="K43" s="285"/>
      <c r="L43" s="206">
        <f>H43+E43</f>
        <v>0</v>
      </c>
      <c r="N43" s="116"/>
    </row>
    <row r="44" spans="2:14" ht="21.75" thickBot="1" x14ac:dyDescent="0.4">
      <c r="B44" s="168">
        <f>SUM(B40:B43)</f>
        <v>68</v>
      </c>
      <c r="C44" s="207"/>
      <c r="D44" s="207">
        <f>SUM(D40:D43)</f>
        <v>0</v>
      </c>
      <c r="E44" s="208">
        <f>(D40*E40)+(D41*E41)+(D43*E43)+(D42*E42)</f>
        <v>0</v>
      </c>
      <c r="F44" s="208"/>
      <c r="G44" s="208"/>
      <c r="H44" s="744">
        <f>(D40*H40)+(D41*H41)+(D43*H43)+(D42*H42)</f>
        <v>0</v>
      </c>
      <c r="I44" s="744"/>
      <c r="J44" s="208"/>
      <c r="K44" s="208"/>
      <c r="L44" s="209">
        <f>(D40*L40)+(D41*L41)+(D43*L43)+(D42*L42)</f>
        <v>0</v>
      </c>
    </row>
    <row r="45" spans="2:14" s="136" customFormat="1" ht="7.5" hidden="1" customHeight="1" x14ac:dyDescent="0.35">
      <c r="B45" s="131"/>
      <c r="C45" s="131"/>
      <c r="D45" s="131"/>
      <c r="E45" s="132"/>
      <c r="F45" s="132"/>
      <c r="G45" s="132"/>
      <c r="H45" s="132"/>
      <c r="I45" s="132"/>
      <c r="J45" s="132"/>
      <c r="K45" s="132"/>
      <c r="L45" s="135"/>
    </row>
    <row r="46" spans="2:14" ht="22.5" hidden="1" thickTop="1" thickBot="1" x14ac:dyDescent="0.4">
      <c r="B46" s="169"/>
      <c r="C46" s="731" t="s">
        <v>66</v>
      </c>
      <c r="D46" s="731"/>
      <c r="E46" s="731"/>
      <c r="F46" s="731"/>
      <c r="G46" s="731"/>
      <c r="H46" s="731"/>
      <c r="I46" s="731"/>
      <c r="J46" s="281"/>
      <c r="K46" s="281"/>
      <c r="L46" s="170">
        <f>L44+L35</f>
        <v>0</v>
      </c>
    </row>
    <row r="47" spans="2:14" s="271" customFormat="1" ht="6" customHeight="1" thickTop="1" thickBot="1" x14ac:dyDescent="0.4">
      <c r="B47" s="272"/>
      <c r="C47" s="273"/>
      <c r="D47" s="273"/>
      <c r="E47" s="273"/>
      <c r="F47" s="273"/>
      <c r="G47" s="273"/>
      <c r="H47" s="273"/>
      <c r="I47" s="273"/>
      <c r="J47" s="273"/>
      <c r="K47" s="273"/>
      <c r="L47" s="274"/>
    </row>
    <row r="48" spans="2:14" s="271" customFormat="1" ht="21.95" customHeight="1" thickTop="1" x14ac:dyDescent="0.35">
      <c r="B48" s="758" t="str">
        <f>"Proposed Plan 3: Move "&amp;K5&amp;" Employees to:"</f>
        <v>Proposed Plan 3: Move 0 Employees to:</v>
      </c>
      <c r="C48" s="759"/>
      <c r="D48" s="759"/>
      <c r="E48" s="759"/>
      <c r="F48" s="759"/>
      <c r="G48" s="759"/>
      <c r="H48" s="759"/>
      <c r="I48" s="759"/>
      <c r="J48" s="759"/>
      <c r="K48" s="759"/>
      <c r="L48" s="760"/>
    </row>
    <row r="49" spans="2:14" ht="21.75" thickBot="1" x14ac:dyDescent="0.4">
      <c r="B49" s="755" t="str">
        <f>"Proposed Plan 3: "&amp;'InsHRA-Request'!B39&amp;" &amp; Insured HRA ($"&amp;'InsHRA-Request'!G69&amp;" deductible / $"&amp;'InsHRA-Request'!G72&amp;" coinsurance)"</f>
        <v>Proposed Plan 3:  &amp; Insured HRA ($ deductible / $ coinsurance)</v>
      </c>
      <c r="C49" s="756"/>
      <c r="D49" s="756"/>
      <c r="E49" s="756"/>
      <c r="F49" s="756"/>
      <c r="G49" s="756"/>
      <c r="H49" s="756"/>
      <c r="I49" s="756"/>
      <c r="J49" s="756"/>
      <c r="K49" s="756"/>
      <c r="L49" s="757"/>
    </row>
    <row r="50" spans="2:14" ht="21.75" thickTop="1" x14ac:dyDescent="0.35">
      <c r="B50" s="304"/>
      <c r="C50" s="305" t="s">
        <v>30</v>
      </c>
      <c r="D50" s="306" t="s">
        <v>77</v>
      </c>
      <c r="E50" s="307">
        <f>'InsHRA-Request'!B39</f>
        <v>0</v>
      </c>
      <c r="F50" s="308"/>
      <c r="G50" s="308"/>
      <c r="H50" s="729" t="str">
        <f>H39</f>
        <v>Insured HRA</v>
      </c>
      <c r="I50" s="729"/>
      <c r="J50" s="307"/>
      <c r="K50" s="307"/>
      <c r="L50" s="309" t="s">
        <v>32</v>
      </c>
    </row>
    <row r="51" spans="2:14" x14ac:dyDescent="0.35">
      <c r="B51" s="310">
        <v>28</v>
      </c>
      <c r="C51" s="311" t="s">
        <v>16</v>
      </c>
      <c r="D51" s="312">
        <f>J6</f>
        <v>0</v>
      </c>
      <c r="E51" s="313">
        <f>E40</f>
        <v>0</v>
      </c>
      <c r="F51" s="308"/>
      <c r="G51" s="308"/>
      <c r="H51" s="730">
        <f>'InsHRA-Request'!H75</f>
        <v>0</v>
      </c>
      <c r="I51" s="730"/>
      <c r="J51" s="313"/>
      <c r="K51" s="313"/>
      <c r="L51" s="314">
        <f>H51+E51</f>
        <v>0</v>
      </c>
      <c r="N51" s="116"/>
    </row>
    <row r="52" spans="2:14" x14ac:dyDescent="0.35">
      <c r="B52" s="315">
        <v>10</v>
      </c>
      <c r="C52" s="316" t="s">
        <v>33</v>
      </c>
      <c r="D52" s="317">
        <f>J7</f>
        <v>0</v>
      </c>
      <c r="E52" s="318">
        <f>E41</f>
        <v>0</v>
      </c>
      <c r="F52" s="308"/>
      <c r="G52" s="308"/>
      <c r="H52" s="745">
        <f>'InsHRA-Request'!H76</f>
        <v>0</v>
      </c>
      <c r="I52" s="745"/>
      <c r="J52" s="318"/>
      <c r="K52" s="318"/>
      <c r="L52" s="319">
        <f>H52+E52</f>
        <v>0</v>
      </c>
      <c r="N52" s="116"/>
    </row>
    <row r="53" spans="2:14" hidden="1" x14ac:dyDescent="0.35">
      <c r="B53" s="315"/>
      <c r="C53" s="316" t="s">
        <v>34</v>
      </c>
      <c r="D53" s="317">
        <f>J8</f>
        <v>0</v>
      </c>
      <c r="E53" s="318">
        <f>E42</f>
        <v>0</v>
      </c>
      <c r="F53" s="308"/>
      <c r="G53" s="308"/>
      <c r="H53" s="745">
        <f>'InsHRA-Request'!H77</f>
        <v>0</v>
      </c>
      <c r="I53" s="745"/>
      <c r="J53" s="318"/>
      <c r="K53" s="318"/>
      <c r="L53" s="319">
        <f>H53+E53</f>
        <v>0</v>
      </c>
      <c r="N53" s="116"/>
    </row>
    <row r="54" spans="2:14" ht="21.75" thickBot="1" x14ac:dyDescent="0.4">
      <c r="B54" s="320">
        <v>30</v>
      </c>
      <c r="C54" s="321" t="s">
        <v>18</v>
      </c>
      <c r="D54" s="322">
        <f>J17</f>
        <v>0</v>
      </c>
      <c r="E54" s="323">
        <f>E43</f>
        <v>0</v>
      </c>
      <c r="F54" s="308"/>
      <c r="G54" s="308"/>
      <c r="H54" s="746">
        <f>'InsHRA-Request'!H78</f>
        <v>0</v>
      </c>
      <c r="I54" s="746"/>
      <c r="J54" s="323"/>
      <c r="K54" s="323"/>
      <c r="L54" s="324">
        <f>H54+E54</f>
        <v>0</v>
      </c>
      <c r="N54" s="116"/>
    </row>
    <row r="55" spans="2:14" ht="21.75" thickBot="1" x14ac:dyDescent="0.4">
      <c r="B55" s="325">
        <f>SUM(B51:B54)</f>
        <v>68</v>
      </c>
      <c r="C55" s="326"/>
      <c r="D55" s="326">
        <f>SUM(D51:D54)</f>
        <v>0</v>
      </c>
      <c r="E55" s="327">
        <f>(D51*E51)+(D52*E52)+(D54*E54)+(D53*E53)</f>
        <v>0</v>
      </c>
      <c r="F55" s="327"/>
      <c r="G55" s="327"/>
      <c r="H55" s="747">
        <f>(D51*H51)+(D52*H52)+(D54*H54)+(D53*H53)</f>
        <v>0</v>
      </c>
      <c r="I55" s="747"/>
      <c r="J55" s="327"/>
      <c r="K55" s="327"/>
      <c r="L55" s="328">
        <f>(D51*L51)+(D52*L52)+(D54*L54)</f>
        <v>0</v>
      </c>
    </row>
    <row r="56" spans="2:14" s="271" customFormat="1" ht="21.75" hidden="1" thickTop="1" x14ac:dyDescent="0.35">
      <c r="B56" s="272"/>
      <c r="C56" s="273"/>
      <c r="D56" s="273"/>
      <c r="E56" s="273"/>
      <c r="F56" s="273"/>
      <c r="G56" s="273"/>
      <c r="H56" s="273"/>
      <c r="I56" s="273"/>
      <c r="J56" s="273"/>
      <c r="K56" s="273"/>
      <c r="L56" s="274"/>
    </row>
    <row r="57" spans="2:14" s="271" customFormat="1" ht="21.75" hidden="1" thickTop="1" x14ac:dyDescent="0.35">
      <c r="B57" s="272"/>
      <c r="C57" s="273"/>
      <c r="D57" s="273"/>
      <c r="E57" s="273"/>
      <c r="F57" s="273"/>
      <c r="G57" s="273"/>
      <c r="H57" s="273"/>
      <c r="I57" s="273"/>
      <c r="J57" s="273"/>
      <c r="K57" s="273"/>
      <c r="L57" s="274"/>
    </row>
    <row r="58" spans="2:14" s="271" customFormat="1" ht="21.75" hidden="1" thickTop="1" x14ac:dyDescent="0.35">
      <c r="B58" s="272"/>
      <c r="C58" s="273"/>
      <c r="D58" s="273"/>
      <c r="E58" s="273"/>
      <c r="F58" s="273"/>
      <c r="G58" s="273"/>
      <c r="H58" s="273"/>
      <c r="I58" s="273"/>
      <c r="J58" s="273"/>
      <c r="K58" s="273"/>
      <c r="L58" s="274"/>
    </row>
    <row r="59" spans="2:14" s="271" customFormat="1" ht="21.75" hidden="1" thickTop="1" x14ac:dyDescent="0.35">
      <c r="B59" s="272"/>
      <c r="C59" s="273"/>
      <c r="D59" s="273"/>
      <c r="E59" s="273"/>
      <c r="F59" s="273"/>
      <c r="G59" s="273"/>
      <c r="H59" s="273"/>
      <c r="I59" s="273"/>
      <c r="J59" s="273"/>
      <c r="K59" s="273"/>
      <c r="L59" s="274"/>
    </row>
    <row r="60" spans="2:14" s="271" customFormat="1" ht="21.75" hidden="1" thickTop="1" x14ac:dyDescent="0.35">
      <c r="B60" s="272"/>
      <c r="C60" s="273"/>
      <c r="D60" s="273"/>
      <c r="E60" s="273"/>
      <c r="F60" s="273"/>
      <c r="G60" s="273"/>
      <c r="H60" s="273"/>
      <c r="I60" s="273"/>
      <c r="J60" s="273"/>
      <c r="K60" s="273"/>
      <c r="L60" s="274"/>
    </row>
    <row r="61" spans="2:14" s="271" customFormat="1" ht="21.75" hidden="1" thickTop="1" x14ac:dyDescent="0.35">
      <c r="B61" s="272"/>
      <c r="C61" s="273"/>
      <c r="D61" s="273"/>
      <c r="E61" s="273"/>
      <c r="F61" s="273"/>
      <c r="G61" s="273"/>
      <c r="H61" s="273"/>
      <c r="I61" s="273"/>
      <c r="J61" s="273"/>
      <c r="K61" s="273"/>
      <c r="L61" s="274"/>
    </row>
    <row r="62" spans="2:14" s="136" customFormat="1" ht="12" customHeight="1" thickTop="1" thickBot="1" x14ac:dyDescent="0.4">
      <c r="B62" s="171"/>
      <c r="C62" s="172"/>
      <c r="D62" s="171"/>
      <c r="E62" s="171"/>
      <c r="F62" s="171"/>
      <c r="G62" s="171"/>
      <c r="H62" s="171"/>
      <c r="I62" s="171"/>
      <c r="J62" s="171"/>
      <c r="K62" s="171"/>
      <c r="L62" s="173"/>
    </row>
    <row r="63" spans="2:14" s="136" customFormat="1" ht="22.5" thickTop="1" thickBot="1" x14ac:dyDescent="0.4">
      <c r="B63" s="342"/>
      <c r="C63" s="343"/>
      <c r="D63" s="343"/>
      <c r="E63" s="343"/>
      <c r="F63" s="343"/>
      <c r="G63" s="343"/>
      <c r="H63" s="343"/>
      <c r="I63" s="343"/>
      <c r="J63" s="343"/>
      <c r="K63" s="279" t="s">
        <v>78</v>
      </c>
      <c r="L63" s="345">
        <f>L55+L44+L35</f>
        <v>0</v>
      </c>
    </row>
    <row r="64" spans="2:14" s="136" customFormat="1" ht="6" customHeight="1" thickTop="1" thickBot="1" x14ac:dyDescent="0.4">
      <c r="B64" s="344"/>
      <c r="C64" s="172"/>
      <c r="D64" s="171"/>
      <c r="E64" s="171"/>
      <c r="F64" s="171"/>
      <c r="G64" s="171"/>
      <c r="H64" s="171"/>
      <c r="I64" s="171"/>
      <c r="J64" s="171"/>
      <c r="K64" s="171"/>
      <c r="L64" s="173"/>
    </row>
    <row r="65" spans="2:12" ht="22.5" thickTop="1" thickBot="1" x14ac:dyDescent="0.4">
      <c r="B65" s="212"/>
      <c r="C65" s="739" t="s">
        <v>79</v>
      </c>
      <c r="D65" s="739"/>
      <c r="E65" s="739"/>
      <c r="F65" s="739"/>
      <c r="G65" s="739"/>
      <c r="H65" s="739"/>
      <c r="I65" s="739"/>
      <c r="J65" s="282"/>
      <c r="K65" s="282"/>
      <c r="L65" s="213">
        <f>12*(L18-L63)</f>
        <v>0</v>
      </c>
    </row>
    <row r="66" spans="2:12" s="136" customFormat="1" ht="6" hidden="1" customHeight="1" thickTop="1" thickBot="1" x14ac:dyDescent="0.4">
      <c r="B66" s="171"/>
      <c r="C66" s="174"/>
      <c r="L66" s="175"/>
    </row>
    <row r="67" spans="2:12" ht="22.5" hidden="1" thickTop="1" thickBot="1" x14ac:dyDescent="0.4">
      <c r="B67" s="210"/>
      <c r="C67" s="719" t="s">
        <v>69</v>
      </c>
      <c r="D67" s="719"/>
      <c r="E67" s="719"/>
      <c r="F67" s="719"/>
      <c r="G67" s="719"/>
      <c r="H67" s="719"/>
      <c r="I67" s="719"/>
      <c r="J67" s="280"/>
      <c r="K67" s="280"/>
      <c r="L67" s="211">
        <f>12*(L18-L44)</f>
        <v>0</v>
      </c>
    </row>
    <row r="68" spans="2:12" s="177" customFormat="1" ht="6" hidden="1" customHeight="1" thickTop="1" thickBot="1" x14ac:dyDescent="0.4">
      <c r="C68" s="178"/>
    </row>
    <row r="69" spans="2:12" ht="22.5" hidden="1" thickTop="1" thickBot="1" x14ac:dyDescent="0.4">
      <c r="B69" s="329"/>
      <c r="C69" s="718" t="s">
        <v>69</v>
      </c>
      <c r="D69" s="718"/>
      <c r="E69" s="718"/>
      <c r="F69" s="718"/>
      <c r="G69" s="718"/>
      <c r="H69" s="718"/>
      <c r="I69" s="718"/>
      <c r="J69" s="330"/>
      <c r="K69" s="330"/>
      <c r="L69" s="331">
        <f>12*(L18-L55)</f>
        <v>0</v>
      </c>
    </row>
    <row r="70" spans="2:12" s="177" customFormat="1" ht="21.75" hidden="1" thickTop="1" x14ac:dyDescent="0.35">
      <c r="C70" s="178"/>
      <c r="I70" s="179"/>
      <c r="J70" s="179"/>
      <c r="K70" s="179"/>
      <c r="L70" s="180"/>
    </row>
    <row r="71" spans="2:12" ht="21.75" thickTop="1" x14ac:dyDescent="0.35"/>
  </sheetData>
  <mergeCells count="33">
    <mergeCell ref="H35:I35"/>
    <mergeCell ref="B1:L1"/>
    <mergeCell ref="B2:L2"/>
    <mergeCell ref="B4:L4"/>
    <mergeCell ref="B12:L12"/>
    <mergeCell ref="B19:L19"/>
    <mergeCell ref="B28:L28"/>
    <mergeCell ref="H30:I30"/>
    <mergeCell ref="H31:I31"/>
    <mergeCell ref="H32:I32"/>
    <mergeCell ref="H33:I33"/>
    <mergeCell ref="H34:I34"/>
    <mergeCell ref="H39:I39"/>
    <mergeCell ref="H40:I40"/>
    <mergeCell ref="H41:I41"/>
    <mergeCell ref="H42:I42"/>
    <mergeCell ref="H43:I43"/>
    <mergeCell ref="C69:I69"/>
    <mergeCell ref="B27:L27"/>
    <mergeCell ref="B37:L37"/>
    <mergeCell ref="B48:L48"/>
    <mergeCell ref="H53:I53"/>
    <mergeCell ref="H54:I54"/>
    <mergeCell ref="H55:I55"/>
    <mergeCell ref="C65:I65"/>
    <mergeCell ref="C67:I67"/>
    <mergeCell ref="H44:I44"/>
    <mergeCell ref="C46:I46"/>
    <mergeCell ref="B49:L49"/>
    <mergeCell ref="H50:I50"/>
    <mergeCell ref="H51:I51"/>
    <mergeCell ref="H52:I52"/>
    <mergeCell ref="B38:L38"/>
  </mergeCells>
  <pageMargins left="0.05" right="0.05" top="0.05" bottom="0.05" header="0.3" footer="0.3"/>
  <pageSetup scale="90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[1]Sheet1!#REF!</xm:f>
          </x14:formula1>
          <xm:sqref>G29:H29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B1:J27"/>
  <sheetViews>
    <sheetView workbookViewId="0">
      <selection activeCell="G17" sqref="G17"/>
    </sheetView>
  </sheetViews>
  <sheetFormatPr defaultRowHeight="15" x14ac:dyDescent="0.25"/>
  <cols>
    <col min="1" max="1" width="0.5703125" style="92" customWidth="1"/>
    <col min="2" max="2" width="0.140625" style="92" customWidth="1"/>
    <col min="3" max="3" width="16" style="92" customWidth="1"/>
    <col min="4" max="9" width="20.28515625" style="92" customWidth="1"/>
    <col min="10" max="10" width="0.140625" style="92" customWidth="1"/>
    <col min="11" max="16384" width="9.140625" style="92"/>
  </cols>
  <sheetData>
    <row r="1" spans="2:10" ht="17.25" customHeight="1" thickBot="1" x14ac:dyDescent="0.3"/>
    <row r="2" spans="2:10" ht="0.95" customHeight="1" thickTop="1" x14ac:dyDescent="0.25">
      <c r="B2" s="535"/>
      <c r="C2" s="536"/>
      <c r="D2" s="536"/>
      <c r="E2" s="536"/>
      <c r="F2" s="536"/>
      <c r="G2" s="536"/>
      <c r="H2" s="536"/>
      <c r="I2" s="536"/>
      <c r="J2" s="537"/>
    </row>
    <row r="3" spans="2:10" ht="27" x14ac:dyDescent="0.35">
      <c r="B3" s="538"/>
      <c r="C3" s="802" t="s">
        <v>39</v>
      </c>
      <c r="D3" s="802"/>
      <c r="E3" s="802"/>
      <c r="F3" s="802"/>
      <c r="G3" s="802"/>
      <c r="H3" s="802"/>
      <c r="I3" s="802"/>
      <c r="J3" s="539"/>
    </row>
    <row r="4" spans="2:10" ht="27" x14ac:dyDescent="0.35">
      <c r="B4" s="538"/>
      <c r="C4" s="803">
        <f>'InsHRA-Request'!B3</f>
        <v>0</v>
      </c>
      <c r="D4" s="803"/>
      <c r="E4" s="803"/>
      <c r="F4" s="803"/>
      <c r="G4" s="803"/>
      <c r="H4" s="803"/>
      <c r="I4" s="803"/>
      <c r="J4" s="539"/>
    </row>
    <row r="5" spans="2:10" ht="23.25" x14ac:dyDescent="0.35">
      <c r="B5" s="538"/>
      <c r="C5" s="399"/>
      <c r="D5" s="399"/>
      <c r="E5" s="399"/>
      <c r="F5" s="399"/>
      <c r="G5" s="399"/>
      <c r="H5" s="400"/>
      <c r="I5" s="400"/>
      <c r="J5" s="539"/>
    </row>
    <row r="6" spans="2:10" ht="23.25" x14ac:dyDescent="0.35">
      <c r="B6" s="538"/>
      <c r="C6" s="804" t="s">
        <v>7</v>
      </c>
      <c r="D6" s="804"/>
      <c r="E6" s="804"/>
      <c r="F6" s="804"/>
      <c r="G6" s="804"/>
      <c r="H6" s="804"/>
      <c r="I6" s="804"/>
      <c r="J6" s="539"/>
    </row>
    <row r="7" spans="2:10" ht="20.25" x14ac:dyDescent="0.3">
      <c r="B7" s="538"/>
      <c r="C7" s="805">
        <f>'InsHRA-Request'!I6</f>
        <v>0</v>
      </c>
      <c r="D7" s="805"/>
      <c r="E7" s="805"/>
      <c r="F7" s="805"/>
      <c r="G7" s="805"/>
      <c r="H7" s="805"/>
      <c r="I7" s="805"/>
      <c r="J7" s="539"/>
    </row>
    <row r="8" spans="2:10" s="177" customFormat="1" ht="45" x14ac:dyDescent="0.35">
      <c r="B8" s="540"/>
      <c r="C8" s="401"/>
      <c r="D8" s="407">
        <f>'InsHRA-Request'!B11</f>
        <v>0</v>
      </c>
      <c r="E8" s="407">
        <f>'InsHRA-Request'!E11</f>
        <v>0</v>
      </c>
      <c r="F8" s="407">
        <f>'InsHRA-Request'!H11</f>
        <v>0</v>
      </c>
      <c r="G8" s="407" t="str">
        <f>'InsHRA-Request'!B39&amp;" &amp; Insured HRA to $"&amp;'InsHRA-Request'!C69&amp;"/"&amp;IF('InsHRA-Request'!C71=0,"100%",100-'InsHRA-Request'!C71&amp;"%")</f>
        <v xml:space="preserve"> &amp; Insured HRA to $/100%</v>
      </c>
      <c r="H8" s="407" t="e">
        <f>'InsHRA-Request'!B39&amp;" &amp; Insured HRA to $"&amp;'InsHRA-Request'!E69&amp;"/"&amp;IF('InsHRA-Request'!#REF!=0,"100%",100-'InsHRA-Request'!#REF!&amp;"%")</f>
        <v>#REF!</v>
      </c>
      <c r="I8" s="518" t="e">
        <f>'InsHRA-Request'!B39&amp;" &amp; Insured HRA to $"&amp;'InsHRA-Request'!G69&amp;"/"&amp;IF('InsHRA-Request'!#REF!=0,"100%",100-'InsHRA-Request'!#REF!&amp;"%")</f>
        <v>#REF!</v>
      </c>
      <c r="J8" s="541"/>
    </row>
    <row r="9" spans="2:10" ht="19.5" thickBot="1" x14ac:dyDescent="0.35">
      <c r="B9" s="542"/>
      <c r="C9" s="801" t="s">
        <v>40</v>
      </c>
      <c r="D9" s="801"/>
      <c r="E9" s="801"/>
      <c r="F9" s="801"/>
      <c r="G9" s="801"/>
      <c r="H9" s="801"/>
      <c r="I9" s="801"/>
      <c r="J9" s="539"/>
    </row>
    <row r="10" spans="2:10" s="402" customFormat="1" ht="26.1" customHeight="1" thickBot="1" x14ac:dyDescent="0.3">
      <c r="B10" s="543"/>
      <c r="C10" s="519" t="s">
        <v>41</v>
      </c>
      <c r="D10" s="408">
        <f>'InsHRA-Request'!B16</f>
        <v>0</v>
      </c>
      <c r="E10" s="409">
        <f>'InsHRA-Request'!E16</f>
        <v>0</v>
      </c>
      <c r="F10" s="410">
        <f>'InsHRA-Request'!H16</f>
        <v>0</v>
      </c>
      <c r="G10" s="411">
        <f>'InsHRA-Request'!B44</f>
        <v>0</v>
      </c>
      <c r="H10" s="412">
        <f>'InsHRA-Request'!B44</f>
        <v>0</v>
      </c>
      <c r="I10" s="520">
        <f>'InsHRA-Request'!B44</f>
        <v>0</v>
      </c>
      <c r="J10" s="544"/>
    </row>
    <row r="11" spans="2:10" s="402" customFormat="1" ht="26.1" customHeight="1" thickBot="1" x14ac:dyDescent="0.3">
      <c r="B11" s="543"/>
      <c r="C11" s="519" t="s">
        <v>42</v>
      </c>
      <c r="D11" s="408">
        <f>'InsHRA-Request'!B17</f>
        <v>0</v>
      </c>
      <c r="E11" s="409">
        <f>'InsHRA-Request'!E17</f>
        <v>0</v>
      </c>
      <c r="F11" s="410">
        <f>'InsHRA-Request'!H17</f>
        <v>0</v>
      </c>
      <c r="G11" s="411">
        <f>'InsHRA-Request'!B45</f>
        <v>0</v>
      </c>
      <c r="H11" s="412">
        <f>'InsHRA-Request'!B45</f>
        <v>0</v>
      </c>
      <c r="I11" s="520">
        <f>'InsHRA-Request'!B45</f>
        <v>0</v>
      </c>
      <c r="J11" s="544"/>
    </row>
    <row r="12" spans="2:10" s="402" customFormat="1" ht="26.1" customHeight="1" thickBot="1" x14ac:dyDescent="0.3">
      <c r="B12" s="543"/>
      <c r="C12" s="519" t="s">
        <v>43</v>
      </c>
      <c r="D12" s="408">
        <f>'InsHRA-Request'!B18</f>
        <v>0</v>
      </c>
      <c r="E12" s="409">
        <f>'InsHRA-Request'!E18</f>
        <v>0</v>
      </c>
      <c r="F12" s="410">
        <f>'InsHRA-Request'!H18</f>
        <v>0</v>
      </c>
      <c r="G12" s="411">
        <f>'InsHRA-Request'!B46</f>
        <v>0</v>
      </c>
      <c r="H12" s="412">
        <f>'InsHRA-Request'!B46</f>
        <v>0</v>
      </c>
      <c r="I12" s="520">
        <f>'InsHRA-Request'!B46</f>
        <v>0</v>
      </c>
      <c r="J12" s="544"/>
    </row>
    <row r="13" spans="2:10" s="402" customFormat="1" ht="26.1" customHeight="1" thickBot="1" x14ac:dyDescent="0.3">
      <c r="B13" s="543"/>
      <c r="C13" s="519" t="s">
        <v>44</v>
      </c>
      <c r="D13" s="413" t="str">
        <f>100-'InsHRA-Request'!B13&amp;"% After Deductible"</f>
        <v>100% After Deductible</v>
      </c>
      <c r="E13" s="414" t="str">
        <f>100-'InsHRA-Request'!E13&amp;"% After Deductible"</f>
        <v>100% After Deductible</v>
      </c>
      <c r="F13" s="415" t="str">
        <f>100-'InsHRA-Request'!H13&amp;"% After Deductible"</f>
        <v>100% After Deductible</v>
      </c>
      <c r="G13" s="416" t="str">
        <f>100-'InsHRA-Request'!C71&amp;"% after deductible"</f>
        <v>100% after deductible</v>
      </c>
      <c r="H13" s="417" t="e">
        <f>100-'InsHRA-Request'!#REF!&amp;"% After Deductible"</f>
        <v>#REF!</v>
      </c>
      <c r="I13" s="521" t="e">
        <f>100-'InsHRA-Request'!#REF!&amp;"% After Deductible"</f>
        <v>#REF!</v>
      </c>
      <c r="J13" s="544"/>
    </row>
    <row r="14" spans="2:10" s="402" customFormat="1" ht="26.1" customHeight="1" thickBot="1" x14ac:dyDescent="0.3">
      <c r="B14" s="543"/>
      <c r="C14" s="519" t="s">
        <v>62</v>
      </c>
      <c r="D14" s="408" t="str">
        <f t="shared" ref="D14:I14" si="0">D13</f>
        <v>100% After Deductible</v>
      </c>
      <c r="E14" s="414" t="str">
        <f t="shared" si="0"/>
        <v>100% After Deductible</v>
      </c>
      <c r="F14" s="415" t="str">
        <f t="shared" si="0"/>
        <v>100% After Deductible</v>
      </c>
      <c r="G14" s="416" t="str">
        <f t="shared" si="0"/>
        <v>100% after deductible</v>
      </c>
      <c r="H14" s="417" t="e">
        <f t="shared" si="0"/>
        <v>#REF!</v>
      </c>
      <c r="I14" s="521" t="e">
        <f t="shared" si="0"/>
        <v>#REF!</v>
      </c>
      <c r="J14" s="544"/>
    </row>
    <row r="15" spans="2:10" s="405" customFormat="1" x14ac:dyDescent="0.25">
      <c r="B15" s="545"/>
      <c r="C15" s="403"/>
      <c r="D15" s="404"/>
      <c r="E15" s="404"/>
      <c r="F15" s="404"/>
      <c r="G15" s="404"/>
      <c r="H15" s="404"/>
      <c r="I15" s="404"/>
      <c r="J15" s="546"/>
    </row>
    <row r="16" spans="2:10" ht="19.5" thickBot="1" x14ac:dyDescent="0.35">
      <c r="B16" s="542"/>
      <c r="C16" s="801" t="s">
        <v>45</v>
      </c>
      <c r="D16" s="801"/>
      <c r="E16" s="801"/>
      <c r="F16" s="801"/>
      <c r="G16" s="801"/>
      <c r="H16" s="801"/>
      <c r="I16" s="801"/>
      <c r="J16" s="539"/>
    </row>
    <row r="17" spans="2:10" s="406" customFormat="1" ht="131.25" customHeight="1" thickBot="1" x14ac:dyDescent="0.3">
      <c r="B17" s="547"/>
      <c r="C17" s="522" t="s">
        <v>46</v>
      </c>
      <c r="D17" s="413" t="str">
        <f>"$"&amp;'InsHRA-Request'!B12&amp;" Per Person"</f>
        <v>$ Per Person</v>
      </c>
      <c r="E17" s="414" t="str">
        <f>"$"&amp;'InsHRA-Request'!E12&amp;" Per Person"</f>
        <v>$ Per Person</v>
      </c>
      <c r="F17" s="415" t="str">
        <f>"$"&amp;'InsHRA-Request'!H12&amp;" Per Person"</f>
        <v>$ Per Person</v>
      </c>
      <c r="G17" s="416" t="str">
        <f>"$"&amp;'InsHRA-Request'!B40&amp;" per person.  Employee pays a $"&amp;'InsHRA-Request'!C69&amp;" deductible per person"&amp;IF('InsHRA-Request'!C71=0,".  Insured HRA covers remaining deductible &amp; coinsurance"," and $"&amp;'InsHRA-Request'!C72&amp;" coinsurance, then Insured HRA Covers remaining deductible &amp; coinsurance")</f>
        <v>$ per person.  Employee pays a $ deductible per person.  Insured HRA covers remaining deductible &amp; coinsurance</v>
      </c>
      <c r="H17" s="417" t="e">
        <f>"$"&amp;'InsHRA-Request'!B40&amp;" per person.  Employee pays a $"&amp;'InsHRA-Request'!E69&amp;" deductible per person"&amp;IF('InsHRA-Request'!#REF!=0,".  Insured HRA covers remaining deductible &amp; coinsurance"," and $"&amp;'InsHRA-Request'!E72&amp;" coinsurance, then Insured HRA Covers remaining deductible &amp; coinsurance")</f>
        <v>#REF!</v>
      </c>
      <c r="I17" s="521" t="e">
        <f>"$"&amp;'InsHRA-Request'!B40&amp;" per person.  Employee pays a $"&amp;'InsHRA-Request'!G69&amp;" deductible per person"&amp;IF('InsHRA-Request'!#REF!=0,".  Insured HRA covers remaining deductible &amp; coinsurance"," and $"&amp;'InsHRA-Request'!G72&amp;" coinsurance, then Insured HRA Covers remaining deductible &amp; coinsurance")</f>
        <v>#REF!</v>
      </c>
      <c r="J17" s="548"/>
    </row>
    <row r="18" spans="2:10" s="406" customFormat="1" ht="26.1" customHeight="1" thickBot="1" x14ac:dyDescent="0.3">
      <c r="B18" s="547"/>
      <c r="C18" s="523" t="s">
        <v>47</v>
      </c>
      <c r="D18" s="418" t="str">
        <f>D13</f>
        <v>100% After Deductible</v>
      </c>
      <c r="E18" s="419" t="str">
        <f>E20</f>
        <v>100% After Deductible</v>
      </c>
      <c r="F18" s="420" t="str">
        <f>F20</f>
        <v>100% After Deductible</v>
      </c>
      <c r="G18" s="421" t="str">
        <f>G13</f>
        <v>100% after deductible</v>
      </c>
      <c r="H18" s="422" t="e">
        <f>H13</f>
        <v>#REF!</v>
      </c>
      <c r="I18" s="524" t="e">
        <f>I13</f>
        <v>#REF!</v>
      </c>
      <c r="J18" s="548"/>
    </row>
    <row r="19" spans="2:10" s="406" customFormat="1" ht="26.1" customHeight="1" thickBot="1" x14ac:dyDescent="0.3">
      <c r="B19" s="547"/>
      <c r="C19" s="523" t="s">
        <v>48</v>
      </c>
      <c r="D19" s="423" t="str">
        <f>D18</f>
        <v>100% After Deductible</v>
      </c>
      <c r="E19" s="419" t="str">
        <f>E13</f>
        <v>100% After Deductible</v>
      </c>
      <c r="F19" s="420" t="str">
        <f>F13</f>
        <v>100% After Deductible</v>
      </c>
      <c r="G19" s="421" t="str">
        <f>G13</f>
        <v>100% after deductible</v>
      </c>
      <c r="H19" s="422" t="e">
        <f>H13</f>
        <v>#REF!</v>
      </c>
      <c r="I19" s="524" t="e">
        <f>I13</f>
        <v>#REF!</v>
      </c>
      <c r="J19" s="548"/>
    </row>
    <row r="20" spans="2:10" s="406" customFormat="1" ht="26.1" customHeight="1" thickBot="1" x14ac:dyDescent="0.3">
      <c r="B20" s="543"/>
      <c r="C20" s="525" t="s">
        <v>49</v>
      </c>
      <c r="D20" s="413" t="str">
        <f>D19</f>
        <v>100% After Deductible</v>
      </c>
      <c r="E20" s="414" t="str">
        <f>E19</f>
        <v>100% After Deductible</v>
      </c>
      <c r="F20" s="415" t="str">
        <f>F19</f>
        <v>100% After Deductible</v>
      </c>
      <c r="G20" s="416" t="str">
        <f>G13</f>
        <v>100% after deductible</v>
      </c>
      <c r="H20" s="417" t="e">
        <f>H13</f>
        <v>#REF!</v>
      </c>
      <c r="I20" s="521" t="e">
        <f>I13</f>
        <v>#REF!</v>
      </c>
      <c r="J20" s="548"/>
    </row>
    <row r="21" spans="2:10" s="406" customFormat="1" ht="26.1" customHeight="1" thickBot="1" x14ac:dyDescent="0.3">
      <c r="B21" s="543"/>
      <c r="C21" s="526" t="s">
        <v>50</v>
      </c>
      <c r="D21" s="413">
        <f>'InsHRA-Request'!B20</f>
        <v>0</v>
      </c>
      <c r="E21" s="409">
        <f>'InsHRA-Request'!E20</f>
        <v>0</v>
      </c>
      <c r="F21" s="410">
        <f>'InsHRA-Request'!H20</f>
        <v>0</v>
      </c>
      <c r="G21" s="411">
        <f>'InsHRA-Request'!B48</f>
        <v>0</v>
      </c>
      <c r="H21" s="412">
        <f>'InsHRA-Request'!B48</f>
        <v>0</v>
      </c>
      <c r="I21" s="520">
        <f>'InsHRA-Request'!B48</f>
        <v>0</v>
      </c>
      <c r="J21" s="548"/>
    </row>
    <row r="22" spans="2:10" s="402" customFormat="1" ht="26.1" customHeight="1" thickBot="1" x14ac:dyDescent="0.3">
      <c r="B22" s="543"/>
      <c r="C22" s="525" t="s">
        <v>51</v>
      </c>
      <c r="D22" s="413">
        <f>'InsHRA-Request'!B21</f>
        <v>0</v>
      </c>
      <c r="E22" s="424">
        <f>'InsHRA-Request'!E21</f>
        <v>0</v>
      </c>
      <c r="F22" s="425">
        <f>'InsHRA-Request'!H21</f>
        <v>0</v>
      </c>
      <c r="G22" s="411">
        <f>'InsHRA-Request'!B49</f>
        <v>0</v>
      </c>
      <c r="H22" s="412">
        <f>'InsHRA-Request'!B49</f>
        <v>0</v>
      </c>
      <c r="I22" s="527">
        <f>'InsHRA-Request'!B49</f>
        <v>0</v>
      </c>
      <c r="J22" s="544"/>
    </row>
    <row r="23" spans="2:10" s="406" customFormat="1" ht="26.1" customHeight="1" thickBot="1" x14ac:dyDescent="0.3">
      <c r="B23" s="547"/>
      <c r="C23" s="523" t="s">
        <v>52</v>
      </c>
      <c r="D23" s="423" t="str">
        <f>"$"&amp;'InsHRA-Request'!B15&amp;" Per Person"</f>
        <v>$ Per Person</v>
      </c>
      <c r="E23" s="419" t="str">
        <f>"$"&amp;'InsHRA-Request'!E15&amp;" Per Person"</f>
        <v>$ Per Person</v>
      </c>
      <c r="F23" s="420" t="str">
        <f>"$"&amp;'InsHRA-Request'!H15 &amp; " Per Person"</f>
        <v>$ Per Person</v>
      </c>
      <c r="G23" s="421" t="str">
        <f>"$"&amp;'InsHRA-Request'!C69+'InsHRA-Request'!C72&amp;" Per Person"</f>
        <v>$0 Per Person</v>
      </c>
      <c r="H23" s="422" t="str">
        <f>"$"&amp;'InsHRA-Request'!E69+'InsHRA-Request'!E72&amp;" Per Person"</f>
        <v>$0 Per Person</v>
      </c>
      <c r="I23" s="524" t="str">
        <f>"$"&amp;'InsHRA-Request'!G69+'InsHRA-Request'!G72&amp;" Per Person"</f>
        <v>$0 Per Person</v>
      </c>
      <c r="J23" s="548"/>
    </row>
    <row r="24" spans="2:10" s="406" customFormat="1" ht="26.1" customHeight="1" thickBot="1" x14ac:dyDescent="0.3">
      <c r="B24" s="547"/>
      <c r="C24" s="806" t="s">
        <v>74</v>
      </c>
      <c r="D24" s="806"/>
      <c r="E24" s="806"/>
      <c r="F24" s="806"/>
      <c r="G24" s="806"/>
      <c r="H24" s="806"/>
      <c r="I24" s="806"/>
      <c r="J24" s="548"/>
    </row>
    <row r="25" spans="2:10" s="406" customFormat="1" ht="26.1" customHeight="1" x14ac:dyDescent="0.25">
      <c r="B25" s="547"/>
      <c r="C25" s="528" t="s">
        <v>53</v>
      </c>
      <c r="D25" s="529" t="str">
        <f>E25</f>
        <v>Covered - Tiered Copays</v>
      </c>
      <c r="E25" s="530" t="s">
        <v>54</v>
      </c>
      <c r="F25" s="531" t="s">
        <v>54</v>
      </c>
      <c r="G25" s="532" t="s">
        <v>54</v>
      </c>
      <c r="H25" s="533" t="s">
        <v>54</v>
      </c>
      <c r="I25" s="534" t="s">
        <v>54</v>
      </c>
      <c r="J25" s="548"/>
    </row>
    <row r="26" spans="2:10" ht="0.95" customHeight="1" thickBot="1" x14ac:dyDescent="0.3">
      <c r="B26" s="549"/>
      <c r="C26" s="800"/>
      <c r="D26" s="800"/>
      <c r="E26" s="800"/>
      <c r="F26" s="550"/>
      <c r="G26" s="550"/>
      <c r="H26" s="550"/>
      <c r="I26" s="550"/>
      <c r="J26" s="551"/>
    </row>
    <row r="27" spans="2:10" ht="15.75" thickTop="1" x14ac:dyDescent="0.25"/>
  </sheetData>
  <mergeCells count="8">
    <mergeCell ref="C26:E26"/>
    <mergeCell ref="C9:I9"/>
    <mergeCell ref="C16:I16"/>
    <mergeCell ref="C3:I3"/>
    <mergeCell ref="C4:I4"/>
    <mergeCell ref="C6:I6"/>
    <mergeCell ref="C7:I7"/>
    <mergeCell ref="C24:I24"/>
  </mergeCells>
  <pageMargins left="0.3" right="0.05" top="0.8" bottom="0.05" header="0.3" footer="0.3"/>
  <pageSetup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InsHRA-Request</vt:lpstr>
      <vt:lpstr>3Plans-3Opt</vt:lpstr>
      <vt:lpstr>2Plan-3Opt</vt:lpstr>
      <vt:lpstr>2Plans-2Opt</vt:lpstr>
      <vt:lpstr>2PlansTiers</vt:lpstr>
      <vt:lpstr>1Plan-3Opt</vt:lpstr>
      <vt:lpstr>1Plan-2Opt</vt:lpstr>
      <vt:lpstr>1Plan-1Opt</vt:lpstr>
      <vt:lpstr>Example</vt:lpstr>
      <vt:lpstr>3PlansTiers</vt:lpstr>
      <vt:lpstr>BAAG</vt:lpstr>
      <vt:lpstr>BAAG!Print_Area</vt:lpstr>
      <vt:lpstr>Example!Print_Area</vt:lpstr>
      <vt:lpstr>'InsHRA-Request'!Print_Area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Remy</dc:creator>
  <cp:lastModifiedBy>Jason Peets</cp:lastModifiedBy>
  <cp:lastPrinted>2013-03-27T13:39:03Z</cp:lastPrinted>
  <dcterms:created xsi:type="dcterms:W3CDTF">2011-08-22T00:25:37Z</dcterms:created>
  <dcterms:modified xsi:type="dcterms:W3CDTF">2013-04-08T18:03:05Z</dcterms:modified>
</cp:coreProperties>
</file>