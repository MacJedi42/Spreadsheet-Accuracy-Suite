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95" windowHeight="7425"/>
  </bookViews>
  <sheets>
    <sheet name="4.1.1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aaa98">'[1]344.13'!#REF!</definedName>
    <definedName name="___aaa99">'[2]344.13'!#REF!</definedName>
    <definedName name="___dga11">#REF!</definedName>
    <definedName name="___dga12">#REF!</definedName>
    <definedName name="___r">'[2]333.02'!#REF!</definedName>
    <definedName name="___TA1">#REF!</definedName>
    <definedName name="___TA2">#REF!</definedName>
    <definedName name="___TA3">#REF!</definedName>
    <definedName name="___TA4">#REF!</definedName>
    <definedName name="___TE1">#REF!</definedName>
    <definedName name="___TE2">#REF!</definedName>
    <definedName name="___TE3">#REF!</definedName>
    <definedName name="___TE4">#REF!</definedName>
    <definedName name="___TO1">#REF!</definedName>
    <definedName name="___TO2">#REF!</definedName>
    <definedName name="___TO3">#REF!</definedName>
    <definedName name="___TO4">#REF!</definedName>
    <definedName name="___uh1">#REF!</definedName>
    <definedName name="___uh2">#REF!</definedName>
    <definedName name="___uh3">#REF!</definedName>
    <definedName name="__aaa98">'[1]344.13'!#REF!</definedName>
    <definedName name="__aaa99">'[1]344.13'!#REF!</definedName>
    <definedName name="__dga11">#REF!</definedName>
    <definedName name="__dga12">#REF!</definedName>
    <definedName name="__f">#REF!</definedName>
    <definedName name="__fc">'[4]1.03'!$H$12</definedName>
    <definedName name="__r">'[1]333.02'!#REF!</definedName>
    <definedName name="__TA1">#REF!</definedName>
    <definedName name="__TA2">#REF!</definedName>
    <definedName name="__TA3">#REF!</definedName>
    <definedName name="__TA4">#REF!</definedName>
    <definedName name="__TE1">#REF!</definedName>
    <definedName name="__TE2">#REF!</definedName>
    <definedName name="__TE3">#REF!</definedName>
    <definedName name="__TE4">#REF!</definedName>
    <definedName name="__TO1">#REF!</definedName>
    <definedName name="__TO2">#REF!</definedName>
    <definedName name="__TO3">#REF!</definedName>
    <definedName name="__TO4">#REF!</definedName>
    <definedName name="__uh1">#REF!</definedName>
    <definedName name="__uh2">#REF!</definedName>
    <definedName name="__uh3">#REF!</definedName>
    <definedName name="_aaa98">'[5]344.13'!#REF!</definedName>
    <definedName name="_aaa99">'[5]344.13'!#REF!</definedName>
    <definedName name="_dga11">#REF!</definedName>
    <definedName name="_dga12">#REF!</definedName>
    <definedName name="_f">#REF!</definedName>
    <definedName name="_fc">'[4]1.03'!$H$12</definedName>
    <definedName name="_r">'[5]333.02'!#REF!</definedName>
    <definedName name="_TA1">#REF!</definedName>
    <definedName name="_TA2">#REF!</definedName>
    <definedName name="_TA3">#REF!</definedName>
    <definedName name="_TA4">#REF!</definedName>
    <definedName name="_TE1">#REF!</definedName>
    <definedName name="_TE2">#REF!</definedName>
    <definedName name="_TE3">#REF!</definedName>
    <definedName name="_TE4">#REF!</definedName>
    <definedName name="_TO1">#REF!</definedName>
    <definedName name="_TO2">#REF!</definedName>
    <definedName name="_TO3">#REF!</definedName>
    <definedName name="_TO4">#REF!</definedName>
    <definedName name="_uh1">#REF!</definedName>
    <definedName name="_uh2">#REF!</definedName>
    <definedName name="_uh3">#REF!</definedName>
    <definedName name="a">'[1]333.09'!$D$10</definedName>
    <definedName name="aa">'[1]333.05'!#REF!</definedName>
    <definedName name="aaa">'[1]333.06'!$N$9</definedName>
    <definedName name="aaaa">#REF!</definedName>
    <definedName name="ab">'[1]333.03'!$F$12</definedName>
    <definedName name="AC">'[6]6.03'!$L$20</definedName>
    <definedName name="ai">'[1]333.09'!$F$10</definedName>
    <definedName name="ap">'[1]331-04'!#REF!</definedName>
    <definedName name="AS">'[1]333.02'!$D$7</definedName>
    <definedName name="asd">#REF!</definedName>
    <definedName name="asdf">#REF!</definedName>
    <definedName name="asdfac">#REF!</definedName>
    <definedName name="asew">#REF!</definedName>
    <definedName name="b">'[1]333.09'!#REF!</definedName>
    <definedName name="_xlnm.Database">#REF!</definedName>
    <definedName name="bb">'[1]333.05'!#REF!</definedName>
    <definedName name="bbb">#REF!</definedName>
    <definedName name="BVB">#REF!</definedName>
    <definedName name="cb">'[7]2'!$H$13</definedName>
    <definedName name="cc">'[6]8.03'!$E$9</definedName>
    <definedName name="ccentral">#REF!</definedName>
    <definedName name="ccentral2">#REF!</definedName>
    <definedName name="ccuu">#REF!</definedName>
    <definedName name="cerw">'[7]6'!$I$13</definedName>
    <definedName name="cibao">#REF!</definedName>
    <definedName name="cibao2">#REF!</definedName>
    <definedName name="coccident">#REF!</definedName>
    <definedName name="coccident2">#REF!</definedName>
    <definedName name="coriental">#REF!</definedName>
    <definedName name="coriental2">#REF!</definedName>
    <definedName name="csuroeste">#REF!</definedName>
    <definedName name="csuroeste2">#REF!</definedName>
    <definedName name="cu">#REF!</definedName>
    <definedName name="cuuuu">#REF!</definedName>
    <definedName name="cvc">'[4]6.03'!$D$8</definedName>
    <definedName name="d">'[1]333.09'!#REF!</definedName>
    <definedName name="dd">'[1]333.05'!$B$9</definedName>
    <definedName name="dddd">'[1]333.06'!$J$7</definedName>
    <definedName name="dfhd">'[7]2'!$B$13</definedName>
    <definedName name="dgii11">#REF!</definedName>
    <definedName name="dgii12">#REF!</definedName>
    <definedName name="di">'[1]333.02'!#REF!</definedName>
    <definedName name="ds">'[1]333.08'!$D$7</definedName>
    <definedName name="dsd">#REF!</definedName>
    <definedName name="e">#REF!</definedName>
    <definedName name="ecewt">'[7]5'!$B$13</definedName>
    <definedName name="ed">'[1]333.02'!$F$11</definedName>
    <definedName name="ee">'[1]333.06'!#REF!</definedName>
    <definedName name="eee">#REF!</definedName>
    <definedName name="eeee">#REF!</definedName>
    <definedName name="enriq">#REF!</definedName>
    <definedName name="enriq2">#REF!</definedName>
    <definedName name="er">#REF!</definedName>
    <definedName name="err">#REF!</definedName>
    <definedName name="errr">#REF!</definedName>
    <definedName name="ertetr">#REF!</definedName>
    <definedName name="este">#REF!</definedName>
    <definedName name="este2">#REF!</definedName>
    <definedName name="ff">'[1]333.03'!$D$12</definedName>
    <definedName name="fff">'[1]333.06'!#REF!</definedName>
    <definedName name="ffff">'[6]5.03'!$B$10</definedName>
    <definedName name="fg">#REF!</definedName>
    <definedName name="fge">'[7]10'!$F$12</definedName>
    <definedName name="fgf">#REF!</definedName>
    <definedName name="fr">#REF!</definedName>
    <definedName name="ft">'[1]333.08'!$F$7</definedName>
    <definedName name="g">'[1]333.02'!$B$11</definedName>
    <definedName name="gbfhhs">#REF!</definedName>
    <definedName name="gdgfds">'[4]4.03'!$B$10</definedName>
    <definedName name="gdsert">'[4]1.03'!$B$11</definedName>
    <definedName name="geb">'[7]8'!$P$13</definedName>
    <definedName name="gf">#REF!</definedName>
    <definedName name="gfdgdgdgdg">'[1]333.10'!#REF!</definedName>
    <definedName name="gg">#REF!</definedName>
    <definedName name="ggg">#REF!</definedName>
    <definedName name="gt">'[1]343-01'!#REF!</definedName>
    <definedName name="gtdfgh">'[4]1.03'!#REF!</definedName>
    <definedName name="h">'[1]333.03'!$B$12</definedName>
    <definedName name="HatoMayor">'[1]343-05'!#REF!</definedName>
    <definedName name="HatoMayor2">'[1]343-05'!#REF!</definedName>
    <definedName name="hh">#REF!</definedName>
    <definedName name="hhh">#REF!</definedName>
    <definedName name="hhhh">#REF!</definedName>
    <definedName name="hhhhhhhhhhh">'[4]6.03'!$G$8</definedName>
    <definedName name="hhyt">'[7]1'!#REF!</definedName>
    <definedName name="huyhj">'[8]8.03'!$I$8</definedName>
    <definedName name="hyr">'[7]1'!#REF!</definedName>
    <definedName name="i">'[1]333.09'!$J$10</definedName>
    <definedName name="ii">'[1]333.08'!$H$7</definedName>
    <definedName name="iii">'[6]18.03'!$J$11</definedName>
    <definedName name="iiii">'[6]18.03'!$B$11</definedName>
    <definedName name="iiiii">'[6]18.03'!$H$11</definedName>
    <definedName name="iiiiii">'[6]30.03'!$B$9</definedName>
    <definedName name="ik">'[7]3'!$B$14</definedName>
    <definedName name="io">'[1]333.08'!$B$7</definedName>
    <definedName name="iou">'[7]1'!$B$14</definedName>
    <definedName name="jj">'[1]333.04'!#REF!</definedName>
    <definedName name="jjj">'[1]333.06'!#REF!</definedName>
    <definedName name="juan">'[9]3.20-02'!$J$9</definedName>
    <definedName name="juil">'[5]333.02'!#REF!</definedName>
    <definedName name="jul">'[1]333.02'!#REF!</definedName>
    <definedName name="JULIO4">'[1]333-11'!$C$8</definedName>
    <definedName name="jygjyuihjggf">#REF!</definedName>
    <definedName name="k">'[1]333.04'!$B$11</definedName>
    <definedName name="kjkl">'[8]8.03'!$H$8</definedName>
    <definedName name="kk">'[1]333.06'!#REF!</definedName>
    <definedName name="kkk">#REF!</definedName>
    <definedName name="kkkk">'[6]11.03'!$J$11</definedName>
    <definedName name="kkkkk">'[6]12.03'!$B$10</definedName>
    <definedName name="kkkkkk">'[6]13.03'!$B$10</definedName>
    <definedName name="kkkkkkk">'[6]13.03'!$D$10</definedName>
    <definedName name="kl">'[6]15.03'!$D$9</definedName>
    <definedName name="klk">'[6]16.03'!$C$9</definedName>
    <definedName name="kll">'[6]17.03'!$C$9</definedName>
    <definedName name="klm">'[5]333.09'!#REF!</definedName>
    <definedName name="l">'[1]333.03'!#REF!</definedName>
    <definedName name="leo">#REF!</definedName>
    <definedName name="lili">#REF!</definedName>
    <definedName name="lk">'[1]333.06'!$H$9</definedName>
    <definedName name="lkjh">#REF!</definedName>
    <definedName name="lkl">'[6]16.03'!$E$9</definedName>
    <definedName name="ll">'[1]333.03'!#REF!</definedName>
    <definedName name="llk">'[6]17.03'!$E$9</definedName>
    <definedName name="lll">'[1]333.06'!$B$9</definedName>
    <definedName name="llll">'[6]10.03'!$H$11</definedName>
    <definedName name="lllll">'[6]14.03'!$D$20</definedName>
    <definedName name="llllll">'[6]14.03'!$H$20</definedName>
    <definedName name="lllllll">'[6]14.03'!$L$20</definedName>
    <definedName name="llllllll">'[6]14.03'!$P$20</definedName>
    <definedName name="lo">'[7]3'!$D$14</definedName>
    <definedName name="m">'[1]333.06'!#REF!</definedName>
    <definedName name="mali">'[1]333.07'!#REF!</definedName>
    <definedName name="mbnihfs">#REF!</definedName>
    <definedName name="mm">'[1]333.06'!#REF!</definedName>
    <definedName name="mmm">'[1]333.06'!#REF!</definedName>
    <definedName name="mmmm">'[4]2.03'!$J$11</definedName>
    <definedName name="mmmmm">'[1]333.06'!#REF!</definedName>
    <definedName name="mmmnmnb">'[4]2.03'!$H$11</definedName>
    <definedName name="mmnb">'[4]2.03'!$B$11</definedName>
    <definedName name="mnb">#REF!</definedName>
    <definedName name="mnbv">#REF!</definedName>
    <definedName name="mnm">'[4]5.03'!$D$21</definedName>
    <definedName name="mnmnb">'[4]2.03'!$D$11</definedName>
    <definedName name="MonseñorNouel">'[1]343-05'!#REF!</definedName>
    <definedName name="MonseñorNouel2">'[1]343-05'!#REF!</definedName>
    <definedName name="MonteCristi">'[1]343-05'!#REF!</definedName>
    <definedName name="MonteCristi2">'[1]343-05'!#REF!</definedName>
    <definedName name="MontePlata">'[1]343-05'!#REF!</definedName>
    <definedName name="MontePlata2">'[1]343-05'!#REF!</definedName>
    <definedName name="monto337021">#REF!</definedName>
    <definedName name="monto337022">#REF!</definedName>
    <definedName name="n">#REF!</definedName>
    <definedName name="nb">'[1]333.10'!#REF!</definedName>
    <definedName name="nmbnvmvbh">'[4]2.03'!$J$13</definedName>
    <definedName name="nn">#REF!</definedName>
    <definedName name="nngvb">'[4]1.03'!$H$11</definedName>
    <definedName name="nnn">#REF!</definedName>
    <definedName name="nnnnnnnnnnh">'[4]1.03'!#REF!</definedName>
    <definedName name="ñ">'[6]25.03'!$G$9</definedName>
    <definedName name="ññ">'[6]31.03'!$D$9</definedName>
    <definedName name="o">'[1]333.04'!$D$11</definedName>
    <definedName name="ol">'[7]3'!$H$14</definedName>
    <definedName name="oo">'[1]333.09'!$H$10</definedName>
    <definedName name="ooo">'[1]333.06'!#REF!</definedName>
    <definedName name="oooo">'[6]29.03'!$D$9</definedName>
    <definedName name="ooooooo">'[6]18.03'!#REF!</definedName>
    <definedName name="op">'[7]1'!$C$14</definedName>
    <definedName name="oppo">'[7]1'!$G$14</definedName>
    <definedName name="p">'[1]333.08'!$J$7</definedName>
    <definedName name="pablo">#REF!</definedName>
    <definedName name="pablo1">#REF!</definedName>
    <definedName name="Pedernales">'[1]343-05'!#REF!</definedName>
    <definedName name="Pedernales2">'[1]343-05'!#REF!</definedName>
    <definedName name="Peravia">'[1]343-05'!#REF!</definedName>
    <definedName name="Peravia2">'[1]343-05'!#REF!</definedName>
    <definedName name="PIO">'[1]333-11'!$E$8</definedName>
    <definedName name="PJ">'[1]331-04'!#REF!</definedName>
    <definedName name="PL">'[1]331-04'!#REF!</definedName>
    <definedName name="po">'[7]3'!$J$14</definedName>
    <definedName name="poiu">#REF!</definedName>
    <definedName name="poko">'[4]1.03'!$D$11</definedName>
    <definedName name="polok">#REF!</definedName>
    <definedName name="pop">'[1]333.04'!#REF!</definedName>
    <definedName name="popop">'[1]333.04'!#REF!</definedName>
    <definedName name="popp">'[1]333.04'!#REF!</definedName>
    <definedName name="pp">'[1]333.06'!$D$9</definedName>
    <definedName name="ppp">'[1]333.04'!#REF!</definedName>
    <definedName name="pppp">'[6]31.03'!$B$9</definedName>
    <definedName name="pr">'[1]331-04'!$D$7</definedName>
    <definedName name="PuertoPlata">'[1]343-05'!#REF!</definedName>
    <definedName name="PuertoPlata2">'[1]343-05'!#REF!</definedName>
    <definedName name="py">#REF!</definedName>
    <definedName name="q">#REF!</definedName>
    <definedName name="qq">#REF!</definedName>
    <definedName name="qqq">#REF!</definedName>
    <definedName name="qqqq">#REF!</definedName>
    <definedName name="qwe">#REF!</definedName>
    <definedName name="re">#REF!</definedName>
    <definedName name="redfred">'[4]1.03'!$J$11</definedName>
    <definedName name="rere">'[4]3.03'!$D$10</definedName>
    <definedName name="res">#REF!</definedName>
    <definedName name="rey">'[7]8'!$B$13</definedName>
    <definedName name="rr">'[1]333.05'!$D$9</definedName>
    <definedName name="rrr">'[1]333.06'!$L$9</definedName>
    <definedName name="rrrr">#REF!</definedName>
    <definedName name="rrrrr">#REF!</definedName>
    <definedName name="rrrrrr">#REF!</definedName>
    <definedName name="rtvg">'[7]5'!$D$13</definedName>
    <definedName name="rtyh">'[7]1'!#REF!</definedName>
    <definedName name="s">'[1]333.09'!$B$10</definedName>
    <definedName name="Salcedo">'[1]343-05'!#REF!</definedName>
    <definedName name="Salcedo2">'[1]343-05'!#REF!</definedName>
    <definedName name="Samaná">'[1]343-05'!#REF!</definedName>
    <definedName name="Samaná2">'[1]343-05'!#REF!</definedName>
    <definedName name="SánchezRamírez">'[1]343-05'!#REF!</definedName>
    <definedName name="SánchezRamírez2">'[1]343-05'!#REF!</definedName>
    <definedName name="SanCristóbal">'[1]343-05'!#REF!</definedName>
    <definedName name="SanCristóbal2">'[1]343-05'!#REF!</definedName>
    <definedName name="SanJuan">'[1]343-05'!#REF!</definedName>
    <definedName name="SanJuan2">'[1]343-05'!#REF!</definedName>
    <definedName name="SanPedroMacorís">'[1]343-05'!#REF!</definedName>
    <definedName name="SanPedroMacorís2">'[1]343-05'!#REF!</definedName>
    <definedName name="Santiago">'[1]343-05'!#REF!</definedName>
    <definedName name="Santiago2">'[1]343-05'!#REF!</definedName>
    <definedName name="SantiagoRodríguez">'[1]343-05'!#REF!</definedName>
    <definedName name="SantiagoRodríguez2">'[1]343-05'!#REF!</definedName>
    <definedName name="sd">#REF!</definedName>
    <definedName name="sdfg">'[7]2'!$D$13</definedName>
    <definedName name="sdfgr">'[4]1.03'!#REF!</definedName>
    <definedName name="sdsd">#REF!</definedName>
    <definedName name="sfdg">'[7]2'!$F$13</definedName>
    <definedName name="ss">'[1]343-01'!#REF!</definedName>
    <definedName name="sss">'[1]333.02'!#REF!</definedName>
    <definedName name="ssss">#REF!</definedName>
    <definedName name="sssssd">#REF!</definedName>
    <definedName name="ssssss">#REF!</definedName>
    <definedName name="t">'[1]333.02'!#REF!</definedName>
    <definedName name="tesnac11">#REF!</definedName>
    <definedName name="tesnac12">#REF!</definedName>
    <definedName name="tita">#REF!</definedName>
    <definedName name="total">#REF!</definedName>
    <definedName name="total2">#REF!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u">'[1]333.03'!#REF!</definedName>
    <definedName name="uiyt">'[7]1'!$F$14</definedName>
    <definedName name="utyu">'[7]6'!$B$13</definedName>
    <definedName name="uu">'[1]333.04'!#REF!</definedName>
    <definedName name="uuuuu">'[1]333.04'!#REF!</definedName>
    <definedName name="v">#REF!</definedName>
    <definedName name="valdesia">#REF!</definedName>
    <definedName name="valdesia2">#REF!</definedName>
    <definedName name="valle">#REF!</definedName>
    <definedName name="valle2">#REF!</definedName>
    <definedName name="Valverde">'[1]343-05'!#REF!</definedName>
    <definedName name="Valverde2">'[1]343-05'!#REF!</definedName>
    <definedName name="VBV">#REF!</definedName>
    <definedName name="vd">'[6]8.03'!$C$9</definedName>
    <definedName name="vfc">#REF!</definedName>
    <definedName name="vfdx">'[4]3.03'!$B$10</definedName>
    <definedName name="vfv">'[1]333.07'!#REF!</definedName>
    <definedName name="vfxv">'[1]333.07'!#REF!</definedName>
    <definedName name="vv">#REF!</definedName>
    <definedName name="vvv">#REF!</definedName>
    <definedName name="vwt">'[7]6'!$P$13</definedName>
    <definedName name="w">#REF!</definedName>
    <definedName name="ww">#REF!</definedName>
    <definedName name="x">'[6]24.03'!$D$20</definedName>
    <definedName name="xx">'[6]27.03'!$B$9</definedName>
    <definedName name="xxx">'[6]27.03'!$D$9</definedName>
    <definedName name="xxxx">'[6]28.03'!$B$9</definedName>
    <definedName name="xzcxz">'[4]1.03'!$B$12</definedName>
    <definedName name="y">'[1]333.02'!$D$11</definedName>
    <definedName name="yt">'[10]331-16'!#REF!</definedName>
    <definedName name="yu">#REF!</definedName>
    <definedName name="yuma">#REF!</definedName>
    <definedName name="yuma2">#REF!</definedName>
    <definedName name="yuyu">#REF!</definedName>
    <definedName name="yy">'[6]22.03'!$D$10</definedName>
    <definedName name="yyy">'[6]19.03'!$B$11</definedName>
    <definedName name="yyyy">'[6]19.03'!$D$11</definedName>
    <definedName name="yyyyy">'[6]19.03'!$H$11</definedName>
    <definedName name="yyyyyy">'[6]19.03'!$J$11</definedName>
    <definedName name="z">'[1]333.03'!#REF!</definedName>
    <definedName name="zas">'[6]26.03'!$D$9</definedName>
    <definedName name="zsz">'[6]25.03'!$D$9</definedName>
    <definedName name="zx">'[6]24.03'!$L$20</definedName>
    <definedName name="zxc">#REF!</definedName>
    <definedName name="zxcv">'[4]5.03'!$P$21</definedName>
    <definedName name="zxcx">'[6]28.03'!$D$9</definedName>
    <definedName name="zxz">'[6]24.03'!$P$20</definedName>
    <definedName name="zxzx">'[6]26.03'!$B$9</definedName>
  </definedNames>
  <calcPr calcId="125725"/>
</workbook>
</file>

<file path=xl/calcChain.xml><?xml version="1.0" encoding="utf-8"?>
<calcChain xmlns="http://schemas.openxmlformats.org/spreadsheetml/2006/main">
  <c r="B7" i="1"/>
  <c r="C7"/>
  <c r="D7"/>
  <c r="E7"/>
  <c r="F7"/>
  <c r="G9"/>
  <c r="G10"/>
  <c r="G7" s="1"/>
  <c r="G11"/>
</calcChain>
</file>

<file path=xl/sharedStrings.xml><?xml version="1.0" encoding="utf-8"?>
<sst xmlns="http://schemas.openxmlformats.org/spreadsheetml/2006/main" count="16" uniqueCount="16">
  <si>
    <t xml:space="preserve">                 Encuesta Nacional de Ingresos y Gastos de los Hogares 2007</t>
  </si>
  <si>
    <t xml:space="preserve">                 Encuesta de Hogar de Propósitos Múltiples 2005-2006-2007, 2009-2010</t>
  </si>
  <si>
    <t>Fuente: Censo Nacional de Población y Vivienda 2002</t>
  </si>
  <si>
    <t>No tiene</t>
  </si>
  <si>
    <t>Letrina</t>
  </si>
  <si>
    <t>Inodoro</t>
  </si>
  <si>
    <t xml:space="preserve"> Total</t>
  </si>
  <si>
    <t>ENHOGAR 2009-2010</t>
  </si>
  <si>
    <t>ENIGH 2007</t>
  </si>
  <si>
    <t>ENHOGAR 2007</t>
  </si>
  <si>
    <t>ENHOGAR 2006</t>
  </si>
  <si>
    <t>ENHOGAR 2005</t>
  </si>
  <si>
    <t>CENSO 2002</t>
  </si>
  <si>
    <t>Categorías</t>
  </si>
  <si>
    <t>REPUBLICA DOMINICANA: Porcentaje de viviendas a nivel nacional por año, según tipo servicio sanitario, 2002-2010</t>
  </si>
  <si>
    <t>Cuadro 4.1.10</t>
  </si>
</sst>
</file>

<file path=xl/styles.xml><?xml version="1.0" encoding="utf-8"?>
<styleSheet xmlns="http://schemas.openxmlformats.org/spreadsheetml/2006/main">
  <numFmts count="24">
    <numFmt numFmtId="41" formatCode="_(* #,##0_);_(* \(#,##0\);_(* &quot;-&quot;_);_(@_)"/>
    <numFmt numFmtId="44" formatCode="_(&quot;RD$&quot;* #,##0.00_);_(&quot;RD$&quot;* \(#,##0.00\);_(&quot;RD$&quot;* &quot;-&quot;??_);_(@_)"/>
    <numFmt numFmtId="43" formatCode="_(* #,##0.00_);_(* \(#,##0.00\);_(* &quot;-&quot;??_);_(@_)"/>
    <numFmt numFmtId="164" formatCode="#,##0.0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m\-d\-yy"/>
    <numFmt numFmtId="171" formatCode="* _(#,##0.0_)\ _P_-;* \(#,##0.0\)\ _P_-;_-* &quot;-&quot;??\ _P_-;_-@_-"/>
    <numFmt numFmtId="172" formatCode="_(* #,##0.00_);_(* \(#,##0.00\);_(* \-??_);_(@_)"/>
    <numFmt numFmtId="173" formatCode="&quot;$&quot;#,##0_);[Red]\(&quot;$&quot;#,##0\)"/>
    <numFmt numFmtId="174" formatCode="_-[$€-2]* #,##0.00_-;\-[$€-2]* #,##0.00_-;_-[$€-2]* &quot;-&quot;??_-"/>
    <numFmt numFmtId="175" formatCode="_-* #,##0.0_-;\-* #,##0.0_-;_-* &quot;-&quot;_-;_-@_-"/>
    <numFmt numFmtId="176" formatCode="_-* #,##0\ _P_t_s_-;\-* #,##0\ _P_t_s_-;_-* &quot;-&quot;\ _P_t_s_-;_-@_-"/>
    <numFmt numFmtId="177" formatCode="0.0_);\(0.0\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0.00_)"/>
    <numFmt numFmtId="181" formatCode="[&gt;=0.05]#,##0.0;[&lt;=-0.05]\-#,##0.0;?0.0"/>
    <numFmt numFmtId="182" formatCode="[Black]#,##0.0;[Black]\-#,##0.0;;"/>
    <numFmt numFmtId="183" formatCode="[Black][&gt;0.05]#,##0.0;[Black][&lt;-0.05]\-#,##0.0;;"/>
    <numFmt numFmtId="184" formatCode="[Black][&gt;0.5]#,##0;[Black][&lt;-0.5]\-#,##0;;"/>
  </numFmts>
  <fonts count="59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Franklin Gothic Book"/>
      <family val="2"/>
    </font>
    <font>
      <sz val="10"/>
      <name val="Arial"/>
      <family val="2"/>
    </font>
    <font>
      <sz val="8"/>
      <name val="Franklin Gothic Book"/>
      <family val="2"/>
    </font>
    <font>
      <sz val="8"/>
      <name val="Franklin Gothic Demi"/>
      <family val="2"/>
    </font>
    <font>
      <b/>
      <sz val="8"/>
      <name val="Franklin Gothic Book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11"/>
      <color indexed="20"/>
      <name val="Calibri"/>
      <family val="2"/>
    </font>
    <font>
      <sz val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MS Sans Serif"/>
      <family val="2"/>
    </font>
    <font>
      <sz val="11"/>
      <name val="??"/>
      <family val="3"/>
    </font>
    <font>
      <i/>
      <sz val="11"/>
      <color indexed="23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8"/>
      <color indexed="8"/>
      <name val="Helv"/>
    </font>
    <font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8"/>
      <name val="Helv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sz val="11"/>
      <color indexed="17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6">
    <xf numFmtId="0" fontId="0" fillId="0" borderId="0"/>
    <xf numFmtId="0" fontId="19" fillId="0" borderId="0" applyNumberFormat="0" applyFill="0" applyBorder="0" applyAlignment="0" applyProtection="0"/>
    <xf numFmtId="0" fontId="19" fillId="0" borderId="0"/>
    <xf numFmtId="165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9" fontId="23" fillId="0" borderId="0" applyFont="0" applyFill="0" applyBorder="0" applyAlignment="0" applyProtection="0"/>
    <xf numFmtId="0" fontId="25" fillId="44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4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51" borderId="0" applyNumberFormat="0" applyBorder="0" applyAlignment="0" applyProtection="0"/>
    <xf numFmtId="170" fontId="26" fillId="52" borderId="12">
      <alignment horizontal="center" vertical="center"/>
    </xf>
    <xf numFmtId="0" fontId="27" fillId="0" borderId="13">
      <protection hidden="1"/>
    </xf>
    <xf numFmtId="0" fontId="28" fillId="53" borderId="13" applyNumberFormat="0" applyFont="0" applyBorder="0" applyAlignment="0" applyProtection="0">
      <protection hidden="1"/>
    </xf>
    <xf numFmtId="0" fontId="27" fillId="0" borderId="13">
      <protection hidden="1"/>
    </xf>
    <xf numFmtId="0" fontId="29" fillId="35" borderId="0" applyNumberFormat="0" applyBorder="0" applyAlignment="0" applyProtection="0"/>
    <xf numFmtId="171" fontId="30" fillId="0" borderId="14" applyBorder="0">
      <alignment horizontal="center"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1" fillId="53" borderId="15" applyNumberFormat="0" applyAlignment="0" applyProtection="0"/>
    <xf numFmtId="0" fontId="31" fillId="53" borderId="15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32" fillId="0" borderId="16" applyNumberFormat="0" applyFill="0" applyAlignment="0" applyProtection="0"/>
    <xf numFmtId="0" fontId="33" fillId="54" borderId="17" applyNumberFormat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51" borderId="0" applyNumberFormat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2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5" fillId="0" borderId="0" applyNumberFormat="0" applyFill="0" applyBorder="0" applyProtection="0">
      <alignment vertical="center"/>
    </xf>
    <xf numFmtId="44" fontId="19" fillId="0" borderId="0" applyFont="0" applyFill="0" applyBorder="0" applyAlignment="0" applyProtection="0"/>
    <xf numFmtId="173" fontId="36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24" fillId="55" borderId="18">
      <alignment horizontal="center" textRotation="44"/>
    </xf>
    <xf numFmtId="174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75" fontId="19" fillId="0" borderId="0">
      <protection locked="0"/>
    </xf>
    <xf numFmtId="38" fontId="38" fillId="56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176" fontId="19" fillId="0" borderId="0">
      <protection locked="0"/>
    </xf>
    <xf numFmtId="176" fontId="19" fillId="0" borderId="0">
      <protection locked="0"/>
    </xf>
    <xf numFmtId="0" fontId="43" fillId="0" borderId="22" applyNumberFormat="0" applyFill="0" applyAlignment="0" applyProtection="0"/>
    <xf numFmtId="164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0" fontId="38" fillId="57" borderId="23" applyNumberFormat="0" applyBorder="0" applyAlignment="0" applyProtection="0"/>
    <xf numFmtId="0" fontId="44" fillId="0" borderId="13">
      <alignment horizontal="left"/>
      <protection locked="0"/>
    </xf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4" fontId="19" fillId="0" borderId="0" applyFont="0" applyFill="0" applyBorder="0" applyAlignment="0" applyProtection="0"/>
    <xf numFmtId="17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6" fillId="58" borderId="0" applyNumberFormat="0" applyBorder="0" applyAlignment="0" applyProtection="0"/>
    <xf numFmtId="37" fontId="47" fillId="0" borderId="0"/>
    <xf numFmtId="180" fontId="48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0"/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3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34" fillId="0" borderId="0"/>
    <xf numFmtId="0" fontId="19" fillId="0" borderId="0"/>
    <xf numFmtId="0" fontId="34" fillId="0" borderId="0"/>
    <xf numFmtId="0" fontId="19" fillId="0" borderId="0"/>
    <xf numFmtId="0" fontId="34" fillId="0" borderId="0"/>
    <xf numFmtId="0" fontId="19" fillId="0" borderId="0"/>
    <xf numFmtId="0" fontId="34" fillId="0" borderId="0"/>
    <xf numFmtId="0" fontId="34" fillId="0" borderId="0"/>
    <xf numFmtId="0" fontId="19" fillId="0" borderId="0"/>
    <xf numFmtId="0" fontId="34" fillId="0" borderId="0"/>
    <xf numFmtId="0" fontId="19" fillId="0" borderId="0"/>
    <xf numFmtId="0" fontId="34" fillId="0" borderId="0"/>
    <xf numFmtId="0" fontId="19" fillId="0" borderId="0"/>
    <xf numFmtId="0" fontId="3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81" fontId="45" fillId="0" borderId="0" applyFill="0" applyBorder="0" applyAlignment="0" applyProtection="0">
      <alignment horizontal="right"/>
    </xf>
    <xf numFmtId="0" fontId="19" fillId="59" borderId="24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50" fillId="53" borderId="25" applyNumberFormat="0" applyAlignment="0" applyProtection="0"/>
    <xf numFmtId="10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2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3" fillId="0" borderId="0"/>
    <xf numFmtId="0" fontId="51" fillId="0" borderId="13" applyNumberFormat="0" applyFill="0" applyBorder="0" applyAlignment="0" applyProtection="0">
      <protection hidden="1"/>
    </xf>
    <xf numFmtId="0" fontId="52" fillId="60" borderId="26" applyNumberFormat="0" applyFont="0" applyBorder="0" applyAlignment="0">
      <alignment horizontal="left" wrapText="1"/>
    </xf>
    <xf numFmtId="0" fontId="52" fillId="60" borderId="26" applyNumberFormat="0" applyFont="0" applyBorder="0" applyAlignment="0">
      <alignment horizontal="left" wrapText="1"/>
    </xf>
    <xf numFmtId="0" fontId="52" fillId="60" borderId="26" applyNumberFormat="0" applyFont="0" applyBorder="0" applyAlignment="0">
      <alignment horizontal="left" wrapText="1"/>
    </xf>
    <xf numFmtId="0" fontId="52" fillId="60" borderId="26" applyNumberFormat="0" applyFont="0" applyBorder="0" applyAlignment="0">
      <alignment horizontal="left" wrapText="1"/>
    </xf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9" fillId="61" borderId="0" applyNumberFormat="0" applyBorder="0" applyAlignment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5" fillId="53" borderId="13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6" fillId="0" borderId="27" applyNumberFormat="0" applyFill="0" applyAlignment="0" applyProtection="0"/>
    <xf numFmtId="37" fontId="38" fillId="62" borderId="0" applyNumberFormat="0" applyBorder="0" applyAlignment="0" applyProtection="0"/>
    <xf numFmtId="37" fontId="38" fillId="0" borderId="0"/>
    <xf numFmtId="0" fontId="38" fillId="63" borderId="0" applyNumberFormat="0" applyBorder="0" applyAlignment="0" applyProtection="0"/>
    <xf numFmtId="3" fontId="57" fillId="0" borderId="22" applyProtection="0"/>
    <xf numFmtId="0" fontId="29" fillId="35" borderId="0" applyNumberFormat="0" applyBorder="0" applyAlignment="0" applyProtection="0"/>
    <xf numFmtId="0" fontId="58" fillId="36" borderId="0" applyNumberFormat="0" applyBorder="0" applyAlignment="0" applyProtection="0"/>
  </cellStyleXfs>
  <cellXfs count="29">
    <xf numFmtId="0" fontId="0" fillId="0" borderId="0" xfId="0"/>
    <xf numFmtId="0" fontId="0" fillId="33" borderId="0" xfId="0" applyFill="1"/>
    <xf numFmtId="0" fontId="18" fillId="33" borderId="0" xfId="0" applyFont="1" applyFill="1"/>
    <xf numFmtId="0" fontId="18" fillId="33" borderId="0" xfId="0" applyFont="1" applyFill="1" applyAlignment="1">
      <alignment horizontal="left"/>
    </xf>
    <xf numFmtId="0" fontId="18" fillId="33" borderId="0" xfId="1" applyFont="1" applyFill="1" applyBorder="1" applyAlignment="1">
      <alignment horizontal="left"/>
    </xf>
    <xf numFmtId="0" fontId="0" fillId="33" borderId="10" xfId="0" applyFill="1" applyBorder="1"/>
    <xf numFmtId="0" fontId="20" fillId="33" borderId="10" xfId="2" applyFont="1" applyFill="1" applyBorder="1"/>
    <xf numFmtId="164" fontId="20" fillId="33" borderId="10" xfId="2" applyNumberFormat="1" applyFont="1" applyFill="1" applyBorder="1"/>
    <xf numFmtId="3" fontId="20" fillId="33" borderId="10" xfId="2" applyNumberFormat="1" applyFont="1" applyFill="1" applyBorder="1"/>
    <xf numFmtId="0" fontId="20" fillId="33" borderId="10" xfId="2" applyFont="1" applyFill="1" applyBorder="1" applyAlignment="1">
      <alignment horizontal="left"/>
    </xf>
    <xf numFmtId="2" fontId="20" fillId="33" borderId="0" xfId="2" applyNumberFormat="1" applyFont="1" applyFill="1" applyBorder="1" applyAlignment="1">
      <alignment horizontal="right" indent="1"/>
    </xf>
    <xf numFmtId="2" fontId="20" fillId="33" borderId="0" xfId="2" applyNumberFormat="1" applyFont="1" applyFill="1" applyBorder="1" applyAlignment="1">
      <alignment horizontal="right" indent="3"/>
    </xf>
    <xf numFmtId="0" fontId="20" fillId="33" borderId="0" xfId="2" applyFont="1" applyFill="1" applyBorder="1" applyAlignment="1">
      <alignment horizontal="left"/>
    </xf>
    <xf numFmtId="2" fontId="20" fillId="33" borderId="0" xfId="2" applyNumberFormat="1" applyFont="1" applyFill="1" applyAlignment="1">
      <alignment horizontal="right" indent="1"/>
    </xf>
    <xf numFmtId="2" fontId="20" fillId="33" borderId="0" xfId="2" applyNumberFormat="1" applyFont="1" applyFill="1" applyAlignment="1">
      <alignment horizontal="right" indent="3"/>
    </xf>
    <xf numFmtId="0" fontId="20" fillId="33" borderId="0" xfId="2" applyFont="1" applyFill="1" applyAlignment="1">
      <alignment horizontal="left"/>
    </xf>
    <xf numFmtId="0" fontId="0" fillId="33" borderId="0" xfId="0" applyFill="1" applyAlignment="1">
      <alignment horizontal="right" indent="1"/>
    </xf>
    <xf numFmtId="0" fontId="20" fillId="33" borderId="0" xfId="2" applyFont="1" applyFill="1" applyAlignment="1">
      <alignment horizontal="right" indent="3"/>
    </xf>
    <xf numFmtId="0" fontId="21" fillId="33" borderId="0" xfId="0" applyFont="1" applyFill="1" applyAlignment="1">
      <alignment horizontal="right" indent="1"/>
    </xf>
    <xf numFmtId="0" fontId="21" fillId="33" borderId="0" xfId="0" applyFont="1" applyFill="1" applyAlignment="1">
      <alignment horizontal="right" indent="3"/>
    </xf>
    <xf numFmtId="0" fontId="21" fillId="33" borderId="0" xfId="2" applyFont="1" applyFill="1" applyBorder="1" applyAlignment="1">
      <alignment horizontal="left"/>
    </xf>
    <xf numFmtId="0" fontId="20" fillId="33" borderId="0" xfId="2" applyFont="1" applyFill="1"/>
    <xf numFmtId="0" fontId="21" fillId="33" borderId="11" xfId="2" applyFont="1" applyFill="1" applyBorder="1" applyAlignment="1">
      <alignment horizontal="center" vertical="center" wrapText="1"/>
    </xf>
    <xf numFmtId="0" fontId="21" fillId="33" borderId="11" xfId="2" applyFont="1" applyFill="1" applyBorder="1" applyAlignment="1">
      <alignment horizontal="center" vertical="center"/>
    </xf>
    <xf numFmtId="0" fontId="21" fillId="33" borderId="11" xfId="2" applyFont="1" applyFill="1" applyBorder="1" applyAlignment="1">
      <alignment horizontal="left" vertical="center"/>
    </xf>
    <xf numFmtId="0" fontId="22" fillId="33" borderId="0" xfId="2" applyFont="1" applyFill="1" applyAlignment="1">
      <alignment horizontal="center"/>
    </xf>
    <xf numFmtId="0" fontId="22" fillId="33" borderId="0" xfId="2" applyFont="1" applyFill="1" applyAlignment="1">
      <alignment horizontal="left"/>
    </xf>
    <xf numFmtId="0" fontId="20" fillId="33" borderId="0" xfId="2" applyFont="1" applyFill="1" applyAlignment="1">
      <alignment horizontal="center"/>
    </xf>
    <xf numFmtId="0" fontId="21" fillId="33" borderId="0" xfId="1" applyFont="1" applyFill="1" applyBorder="1" applyAlignment="1">
      <alignment horizontal="center"/>
    </xf>
  </cellXfs>
  <cellStyles count="536">
    <cellStyle name="1 indent" xfId="3"/>
    <cellStyle name="2 indents" xfId="4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Colore 1" xfId="11"/>
    <cellStyle name="20% - Colore 2" xfId="12"/>
    <cellStyle name="20% - Colore 3" xfId="13"/>
    <cellStyle name="20% - Colore 4" xfId="14"/>
    <cellStyle name="20% - Colore 5" xfId="15"/>
    <cellStyle name="20% - Colore 6" xfId="16"/>
    <cellStyle name="20% - Énfasis1 2" xfId="17"/>
    <cellStyle name="20% - Énfasis1 3" xfId="18"/>
    <cellStyle name="20% - Énfasis1 4" xfId="19"/>
    <cellStyle name="20% - Énfasis2 2" xfId="20"/>
    <cellStyle name="20% - Énfasis2 3" xfId="21"/>
    <cellStyle name="20% - Énfasis2 4" xfId="22"/>
    <cellStyle name="20% - Énfasis3 2" xfId="23"/>
    <cellStyle name="20% - Énfasis3 3" xfId="24"/>
    <cellStyle name="20% - Énfasis3 4" xfId="25"/>
    <cellStyle name="20% - Énfasis4 2" xfId="26"/>
    <cellStyle name="20% - Énfasis4 3" xfId="27"/>
    <cellStyle name="20% - Énfasis4 4" xfId="28"/>
    <cellStyle name="20% - Énfasis5 2" xfId="29"/>
    <cellStyle name="20% - Énfasis5 3" xfId="30"/>
    <cellStyle name="20% - Énfasis5 4" xfId="31"/>
    <cellStyle name="20% - Énfasis6 2" xfId="32"/>
    <cellStyle name="20% - Énfasis6 3" xfId="33"/>
    <cellStyle name="20% - Énfasis6 4" xfId="34"/>
    <cellStyle name="3 indents" xfId="35"/>
    <cellStyle name="4 indents" xfId="36"/>
    <cellStyle name="40% - Accent1" xfId="37"/>
    <cellStyle name="40% - Accent2" xfId="38"/>
    <cellStyle name="40% - Accent3" xfId="39"/>
    <cellStyle name="40% - Accent4" xfId="40"/>
    <cellStyle name="40% - Accent5" xfId="41"/>
    <cellStyle name="40% - Accent6" xfId="42"/>
    <cellStyle name="40% - Colore 1" xfId="43"/>
    <cellStyle name="40% - Colore 2" xfId="44"/>
    <cellStyle name="40% - Colore 3" xfId="45"/>
    <cellStyle name="40% - Colore 4" xfId="46"/>
    <cellStyle name="40% - Colore 5" xfId="47"/>
    <cellStyle name="40% - Colore 6" xfId="48"/>
    <cellStyle name="40% - Énfasis1 2" xfId="49"/>
    <cellStyle name="40% - Énfasis1 3" xfId="50"/>
    <cellStyle name="40% - Énfasis1 4" xfId="51"/>
    <cellStyle name="40% - Énfasis2 2" xfId="52"/>
    <cellStyle name="40% - Énfasis2 3" xfId="53"/>
    <cellStyle name="40% - Énfasis2 4" xfId="54"/>
    <cellStyle name="40% - Énfasis3 2" xfId="55"/>
    <cellStyle name="40% - Énfasis3 3" xfId="56"/>
    <cellStyle name="40% - Énfasis3 4" xfId="57"/>
    <cellStyle name="40% - Énfasis4 2" xfId="58"/>
    <cellStyle name="40% - Énfasis4 3" xfId="59"/>
    <cellStyle name="40% - Énfasis4 4" xfId="60"/>
    <cellStyle name="40% - Énfasis5 2" xfId="61"/>
    <cellStyle name="40% - Énfasis5 3" xfId="62"/>
    <cellStyle name="40% - Énfasis5 4" xfId="63"/>
    <cellStyle name="40% - Énfasis6 2" xfId="64"/>
    <cellStyle name="40% - Énfasis6 3" xfId="65"/>
    <cellStyle name="40% - Énfasis6 4" xfId="66"/>
    <cellStyle name="5 indents" xfId="67"/>
    <cellStyle name="60% - Accent1" xfId="68"/>
    <cellStyle name="60% - Accent2" xfId="69"/>
    <cellStyle name="60% - Accent3" xfId="70"/>
    <cellStyle name="60% - Accent4" xfId="71"/>
    <cellStyle name="60% - Accent5" xfId="72"/>
    <cellStyle name="60% - Accent6" xfId="73"/>
    <cellStyle name="60% - Colore 1" xfId="74"/>
    <cellStyle name="60% - Colore 2" xfId="75"/>
    <cellStyle name="60% - Colore 3" xfId="76"/>
    <cellStyle name="60% - Colore 4" xfId="77"/>
    <cellStyle name="60% - Colore 5" xfId="78"/>
    <cellStyle name="60% - Colore 6" xfId="79"/>
    <cellStyle name="60% - Énfasis1 2" xfId="80"/>
    <cellStyle name="60% - Énfasis1 3" xfId="81"/>
    <cellStyle name="60% - Énfasis1 4" xfId="82"/>
    <cellStyle name="60% - Énfasis2 2" xfId="83"/>
    <cellStyle name="60% - Énfasis2 3" xfId="84"/>
    <cellStyle name="60% - Énfasis2 4" xfId="85"/>
    <cellStyle name="60% - Énfasis3 2" xfId="86"/>
    <cellStyle name="60% - Énfasis3 3" xfId="87"/>
    <cellStyle name="60% - Énfasis3 4" xfId="88"/>
    <cellStyle name="60% - Énfasis4 2" xfId="89"/>
    <cellStyle name="60% - Énfasis4 3" xfId="90"/>
    <cellStyle name="60% - Énfasis4 4" xfId="91"/>
    <cellStyle name="60% - Énfasis5 2" xfId="92"/>
    <cellStyle name="60% - Énfasis5 3" xfId="93"/>
    <cellStyle name="60% - Énfasis5 4" xfId="94"/>
    <cellStyle name="60% - Énfasis6 2" xfId="95"/>
    <cellStyle name="60% - Énfasis6 3" xfId="96"/>
    <cellStyle name="60% - Énfasis6 4" xfId="97"/>
    <cellStyle name="Accent1" xfId="98"/>
    <cellStyle name="Accent2" xfId="99"/>
    <cellStyle name="Accent3" xfId="100"/>
    <cellStyle name="Accent4" xfId="101"/>
    <cellStyle name="Accent5" xfId="102"/>
    <cellStyle name="Accent6" xfId="103"/>
    <cellStyle name="Actual Date" xfId="104"/>
    <cellStyle name="Array" xfId="105"/>
    <cellStyle name="Array Enter" xfId="106"/>
    <cellStyle name="Array_3.22-10" xfId="107"/>
    <cellStyle name="Bad" xfId="108"/>
    <cellStyle name="base paren" xfId="109"/>
    <cellStyle name="Buena 2" xfId="110"/>
    <cellStyle name="Buena 3" xfId="111"/>
    <cellStyle name="Buena 4" xfId="112"/>
    <cellStyle name="Calcolo" xfId="113"/>
    <cellStyle name="Calculation" xfId="114"/>
    <cellStyle name="Cálculo 2" xfId="115"/>
    <cellStyle name="Cálculo 3" xfId="116"/>
    <cellStyle name="Cálculo 4" xfId="117"/>
    <cellStyle name="Celda de comprobación 2" xfId="118"/>
    <cellStyle name="Celda de comprobación 3" xfId="119"/>
    <cellStyle name="Celda de comprobación 4" xfId="120"/>
    <cellStyle name="Celda vinculada 2" xfId="121"/>
    <cellStyle name="Celda vinculada 3" xfId="122"/>
    <cellStyle name="Celda vinculada 4" xfId="123"/>
    <cellStyle name="Cella collegata" xfId="124"/>
    <cellStyle name="Cella da controllare" xfId="125"/>
    <cellStyle name="Colore 1" xfId="126"/>
    <cellStyle name="Colore 2" xfId="127"/>
    <cellStyle name="Colore 3" xfId="128"/>
    <cellStyle name="Colore 4" xfId="129"/>
    <cellStyle name="Colore 5" xfId="130"/>
    <cellStyle name="Colore 6" xfId="131"/>
    <cellStyle name="Comma [0] 2" xfId="132"/>
    <cellStyle name="Comma 10" xfId="133"/>
    <cellStyle name="Comma 11" xfId="134"/>
    <cellStyle name="Comma 12" xfId="135"/>
    <cellStyle name="Comma 13" xfId="136"/>
    <cellStyle name="Comma 14" xfId="137"/>
    <cellStyle name="Comma 15" xfId="138"/>
    <cellStyle name="Comma 16" xfId="139"/>
    <cellStyle name="Comma 17" xfId="140"/>
    <cellStyle name="Comma 18" xfId="141"/>
    <cellStyle name="Comma 19" xfId="142"/>
    <cellStyle name="Comma 2" xfId="143"/>
    <cellStyle name="Comma 2 2" xfId="144"/>
    <cellStyle name="Comma 2 2 2" xfId="145"/>
    <cellStyle name="Comma 2 2 2 2" xfId="146"/>
    <cellStyle name="Comma 2 2 2 2 2" xfId="147"/>
    <cellStyle name="Comma 2 2 2 2 2 2" xfId="148"/>
    <cellStyle name="Comma 2 2 2 2 2 2 2" xfId="149"/>
    <cellStyle name="Comma 2 2 2 2 2 2 2 2" xfId="150"/>
    <cellStyle name="Comma 2 2 2 2 2 2 2 2 2" xfId="151"/>
    <cellStyle name="Comma 2 2 2 2 2 2 2 2 2 2" xfId="152"/>
    <cellStyle name="Comma 2 2 2 2 2 2 2 2 2 2 2" xfId="153"/>
    <cellStyle name="Comma 2 2 2 2 2 2 2 2 2 2 2 2" xfId="154"/>
    <cellStyle name="Comma 2 2 2 2 2 2 2 2 2 3" xfId="155"/>
    <cellStyle name="Comma 2 2 2 2 2 2 2 2 3" xfId="156"/>
    <cellStyle name="Comma 2 2 2 2 2 2 2 2 3 2" xfId="157"/>
    <cellStyle name="Comma 2 2 2 2 2 2 2 3" xfId="158"/>
    <cellStyle name="Comma 2 2 2 2 2 2 2 3 2" xfId="159"/>
    <cellStyle name="Comma 2 2 2 2 2 2 2 3 2 2" xfId="160"/>
    <cellStyle name="Comma 2 2 2 2 2 2 2 4" xfId="161"/>
    <cellStyle name="Comma 2 2 2 2 2 2 3" xfId="162"/>
    <cellStyle name="Comma 2 2 2 2 2 2 3 2" xfId="163"/>
    <cellStyle name="Comma 2 2 2 2 2 2 3 2 2" xfId="164"/>
    <cellStyle name="Comma 2 2 2 2 2 2 3 2 2 2" xfId="165"/>
    <cellStyle name="Comma 2 2 2 2 2 2 3 3" xfId="166"/>
    <cellStyle name="Comma 2 2 2 2 2 2 4" xfId="167"/>
    <cellStyle name="Comma 2 2 2 2 2 2 4 2" xfId="168"/>
    <cellStyle name="Comma 2 2 2 2 2 3" xfId="169"/>
    <cellStyle name="Comma 2 2 2 2 2 3 2" xfId="170"/>
    <cellStyle name="Comma 2 2 2 2 2 3 2 2" xfId="171"/>
    <cellStyle name="Comma 2 2 2 2 2 3 2 2 2" xfId="172"/>
    <cellStyle name="Comma 2 2 2 2 2 3 2 2 2 2" xfId="173"/>
    <cellStyle name="Comma 2 2 2 2 2 3 2 3" xfId="174"/>
    <cellStyle name="Comma 2 2 2 2 2 3 3" xfId="175"/>
    <cellStyle name="Comma 2 2 2 2 2 3 3 2" xfId="176"/>
    <cellStyle name="Comma 2 2 2 2 2 4" xfId="177"/>
    <cellStyle name="Comma 2 2 2 2 2 4 2" xfId="178"/>
    <cellStyle name="Comma 2 2 2 2 2 4 2 2" xfId="179"/>
    <cellStyle name="Comma 2 2 2 2 2 5" xfId="180"/>
    <cellStyle name="Comma 2 2 2 2 3" xfId="181"/>
    <cellStyle name="Comma 2 2 2 2 3 2" xfId="182"/>
    <cellStyle name="Comma 2 2 2 2 3 2 2" xfId="183"/>
    <cellStyle name="Comma 2 2 2 2 3 2 2 2" xfId="184"/>
    <cellStyle name="Comma 2 2 2 2 3 2 2 2 2" xfId="185"/>
    <cellStyle name="Comma 2 2 2 2 3 2 2 2 2 2" xfId="186"/>
    <cellStyle name="Comma 2 2 2 2 3 2 2 3" xfId="187"/>
    <cellStyle name="Comma 2 2 2 2 3 2 3" xfId="188"/>
    <cellStyle name="Comma 2 2 2 2 3 2 3 2" xfId="189"/>
    <cellStyle name="Comma 2 2 2 2 3 3" xfId="190"/>
    <cellStyle name="Comma 2 2 2 2 3 3 2" xfId="191"/>
    <cellStyle name="Comma 2 2 2 2 3 3 2 2" xfId="192"/>
    <cellStyle name="Comma 2 2 2 2 3 4" xfId="193"/>
    <cellStyle name="Comma 2 2 2 2 4" xfId="194"/>
    <cellStyle name="Comma 2 2 2 2 4 2" xfId="195"/>
    <cellStyle name="Comma 2 2 2 2 4 2 2" xfId="196"/>
    <cellStyle name="Comma 2 2 2 2 4 2 2 2" xfId="197"/>
    <cellStyle name="Comma 2 2 2 2 4 3" xfId="198"/>
    <cellStyle name="Comma 2 2 2 2 5" xfId="199"/>
    <cellStyle name="Comma 2 2 2 2 5 2" xfId="200"/>
    <cellStyle name="Comma 2 2 2 3" xfId="201"/>
    <cellStyle name="Comma 2 2 2 3 2" xfId="202"/>
    <cellStyle name="Comma 2 2 2 3 2 2" xfId="203"/>
    <cellStyle name="Comma 2 2 2 3 2 2 2" xfId="204"/>
    <cellStyle name="Comma 2 2 2 3 2 2 2 2" xfId="205"/>
    <cellStyle name="Comma 2 2 2 3 2 2 2 2 2" xfId="206"/>
    <cellStyle name="Comma 2 2 2 3 2 2 2 2 2 2" xfId="207"/>
    <cellStyle name="Comma 2 2 2 3 2 2 2 3" xfId="208"/>
    <cellStyle name="Comma 2 2 2 3 2 2 3" xfId="209"/>
    <cellStyle name="Comma 2 2 2 3 2 2 3 2" xfId="210"/>
    <cellStyle name="Comma 2 2 2 3 2 3" xfId="211"/>
    <cellStyle name="Comma 2 2 2 3 2 3 2" xfId="212"/>
    <cellStyle name="Comma 2 2 2 3 2 3 2 2" xfId="213"/>
    <cellStyle name="Comma 2 2 2 3 2 4" xfId="214"/>
    <cellStyle name="Comma 2 2 2 3 3" xfId="215"/>
    <cellStyle name="Comma 2 2 2 3 3 2" xfId="216"/>
    <cellStyle name="Comma 2 2 2 3 3 2 2" xfId="217"/>
    <cellStyle name="Comma 2 2 2 3 3 2 2 2" xfId="218"/>
    <cellStyle name="Comma 2 2 2 3 3 3" xfId="219"/>
    <cellStyle name="Comma 2 2 2 3 4" xfId="220"/>
    <cellStyle name="Comma 2 2 2 3 4 2" xfId="221"/>
    <cellStyle name="Comma 2 2 2 4" xfId="222"/>
    <cellStyle name="Comma 2 2 2 4 2" xfId="223"/>
    <cellStyle name="Comma 2 2 2 4 2 2" xfId="224"/>
    <cellStyle name="Comma 2 2 2 4 2 2 2" xfId="225"/>
    <cellStyle name="Comma 2 2 2 4 2 2 2 2" xfId="226"/>
    <cellStyle name="Comma 2 2 2 4 2 3" xfId="227"/>
    <cellStyle name="Comma 2 2 2 4 3" xfId="228"/>
    <cellStyle name="Comma 2 2 2 4 3 2" xfId="229"/>
    <cellStyle name="Comma 2 2 2 5" xfId="230"/>
    <cellStyle name="Comma 2 2 2 5 2" xfId="231"/>
    <cellStyle name="Comma 2 2 2 5 2 2" xfId="232"/>
    <cellStyle name="Comma 2 2 2 6" xfId="233"/>
    <cellStyle name="Comma 2 2 3" xfId="234"/>
    <cellStyle name="Comma 2 2 3 2" xfId="235"/>
    <cellStyle name="Comma 2 2 3 2 2" xfId="236"/>
    <cellStyle name="Comma 2 2 3 2 2 2" xfId="237"/>
    <cellStyle name="Comma 2 2 3 2 2 2 2" xfId="238"/>
    <cellStyle name="Comma 2 2 3 2 2 2 2 2" xfId="239"/>
    <cellStyle name="Comma 2 2 3 2 2 2 2 2 2" xfId="240"/>
    <cellStyle name="Comma 2 2 3 2 2 2 2 2 2 2" xfId="241"/>
    <cellStyle name="Comma 2 2 3 2 2 2 2 3" xfId="242"/>
    <cellStyle name="Comma 2 2 3 2 2 2 3" xfId="243"/>
    <cellStyle name="Comma 2 2 3 2 2 2 3 2" xfId="244"/>
    <cellStyle name="Comma 2 2 3 2 2 3" xfId="245"/>
    <cellStyle name="Comma 2 2 3 2 2 3 2" xfId="246"/>
    <cellStyle name="Comma 2 2 3 2 2 3 2 2" xfId="247"/>
    <cellStyle name="Comma 2 2 3 2 2 4" xfId="248"/>
    <cellStyle name="Comma 2 2 3 2 3" xfId="249"/>
    <cellStyle name="Comma 2 2 3 2 3 2" xfId="250"/>
    <cellStyle name="Comma 2 2 3 2 3 2 2" xfId="251"/>
    <cellStyle name="Comma 2 2 3 2 3 2 2 2" xfId="252"/>
    <cellStyle name="Comma 2 2 3 2 3 3" xfId="253"/>
    <cellStyle name="Comma 2 2 3 2 4" xfId="254"/>
    <cellStyle name="Comma 2 2 3 2 4 2" xfId="255"/>
    <cellStyle name="Comma 2 2 3 3" xfId="256"/>
    <cellStyle name="Comma 2 2 3 3 2" xfId="257"/>
    <cellStyle name="Comma 2 2 3 3 2 2" xfId="258"/>
    <cellStyle name="Comma 2 2 3 3 2 2 2" xfId="259"/>
    <cellStyle name="Comma 2 2 3 3 2 2 2 2" xfId="260"/>
    <cellStyle name="Comma 2 2 3 3 2 3" xfId="261"/>
    <cellStyle name="Comma 2 2 3 3 3" xfId="262"/>
    <cellStyle name="Comma 2 2 3 3 3 2" xfId="263"/>
    <cellStyle name="Comma 2 2 3 4" xfId="264"/>
    <cellStyle name="Comma 2 2 3 4 2" xfId="265"/>
    <cellStyle name="Comma 2 2 3 4 2 2" xfId="266"/>
    <cellStyle name="Comma 2 2 3 5" xfId="267"/>
    <cellStyle name="Comma 2 2 4" xfId="268"/>
    <cellStyle name="Comma 2 2 4 2" xfId="269"/>
    <cellStyle name="Comma 2 2 4 2 2" xfId="270"/>
    <cellStyle name="Comma 2 2 4 2 2 2" xfId="271"/>
    <cellStyle name="Comma 2 2 4 2 2 2 2" xfId="272"/>
    <cellStyle name="Comma 2 2 4 2 2 2 2 2" xfId="273"/>
    <cellStyle name="Comma 2 2 4 2 2 3" xfId="274"/>
    <cellStyle name="Comma 2 2 4 2 3" xfId="275"/>
    <cellStyle name="Comma 2 2 4 2 3 2" xfId="276"/>
    <cellStyle name="Comma 2 2 4 3" xfId="277"/>
    <cellStyle name="Comma 2 2 4 3 2" xfId="278"/>
    <cellStyle name="Comma 2 2 4 3 2 2" xfId="279"/>
    <cellStyle name="Comma 2 2 4 4" xfId="280"/>
    <cellStyle name="Comma 2 2 5" xfId="281"/>
    <cellStyle name="Comma 2 2 5 2" xfId="282"/>
    <cellStyle name="Comma 2 2 5 2 2" xfId="283"/>
    <cellStyle name="Comma 2 2 5 2 2 2" xfId="284"/>
    <cellStyle name="Comma 2 2 5 3" xfId="285"/>
    <cellStyle name="Comma 2 2 6" xfId="286"/>
    <cellStyle name="Comma 2 2 6 2" xfId="287"/>
    <cellStyle name="Comma 2 2 7" xfId="288"/>
    <cellStyle name="Comma 2 3" xfId="289"/>
    <cellStyle name="Comma 2 4" xfId="290"/>
    <cellStyle name="Comma 2 4 2" xfId="291"/>
    <cellStyle name="Comma 2 4 3" xfId="292"/>
    <cellStyle name="Comma 2 4 4" xfId="293"/>
    <cellStyle name="Comma 2 4 5" xfId="294"/>
    <cellStyle name="Comma 2 5" xfId="295"/>
    <cellStyle name="Comma 2 6" xfId="296"/>
    <cellStyle name="Comma 2 7" xfId="297"/>
    <cellStyle name="Comma 2_3.24-07" xfId="298"/>
    <cellStyle name="Comma 20" xfId="299"/>
    <cellStyle name="Comma 21" xfId="300"/>
    <cellStyle name="Comma 22" xfId="301"/>
    <cellStyle name="Comma 22 2" xfId="302"/>
    <cellStyle name="Comma 23" xfId="303"/>
    <cellStyle name="Comma 24" xfId="304"/>
    <cellStyle name="Comma 24 2" xfId="305"/>
    <cellStyle name="Comma 25" xfId="306"/>
    <cellStyle name="Comma 26" xfId="307"/>
    <cellStyle name="Comma 26 2" xfId="308"/>
    <cellStyle name="Comma 29" xfId="309"/>
    <cellStyle name="Comma 3" xfId="310"/>
    <cellStyle name="Comma 3 2" xfId="311"/>
    <cellStyle name="Comma 3 3" xfId="312"/>
    <cellStyle name="Comma 3 4" xfId="313"/>
    <cellStyle name="Comma 3 5" xfId="314"/>
    <cellStyle name="Comma 3 6" xfId="315"/>
    <cellStyle name="Comma 4" xfId="316"/>
    <cellStyle name="Comma 5" xfId="317"/>
    <cellStyle name="Comma 6" xfId="318"/>
    <cellStyle name="Comma 7" xfId="319"/>
    <cellStyle name="Comma 8" xfId="320"/>
    <cellStyle name="Comma 9" xfId="321"/>
    <cellStyle name="Comma_331-11 98-99" xfId="322"/>
    <cellStyle name="Currency 2" xfId="323"/>
    <cellStyle name="Date" xfId="324"/>
    <cellStyle name="Encabezado 4 2" xfId="325"/>
    <cellStyle name="Encabezado 4 3" xfId="326"/>
    <cellStyle name="Encabezado 4 4" xfId="327"/>
    <cellStyle name="Énfasis1 2" xfId="328"/>
    <cellStyle name="Énfasis1 3" xfId="329"/>
    <cellStyle name="Énfasis1 4" xfId="330"/>
    <cellStyle name="Énfasis2 2" xfId="331"/>
    <cellStyle name="Énfasis2 3" xfId="332"/>
    <cellStyle name="Énfasis2 4" xfId="333"/>
    <cellStyle name="Énfasis3 2" xfId="334"/>
    <cellStyle name="Énfasis3 3" xfId="335"/>
    <cellStyle name="Énfasis3 4" xfId="336"/>
    <cellStyle name="Énfasis4 2" xfId="337"/>
    <cellStyle name="Énfasis4 3" xfId="338"/>
    <cellStyle name="Énfasis4 4" xfId="339"/>
    <cellStyle name="Énfasis5 2" xfId="340"/>
    <cellStyle name="Énfasis5 3" xfId="341"/>
    <cellStyle name="Énfasis5 4" xfId="342"/>
    <cellStyle name="Énfasis6 2" xfId="343"/>
    <cellStyle name="Énfasis6 3" xfId="344"/>
    <cellStyle name="Énfasis6 4" xfId="345"/>
    <cellStyle name="Entrada 2" xfId="346"/>
    <cellStyle name="Entrada 3" xfId="347"/>
    <cellStyle name="Entrada 4" xfId="348"/>
    <cellStyle name="Estilo 1" xfId="349"/>
    <cellStyle name="Euro" xfId="350"/>
    <cellStyle name="Explanatory Text" xfId="351"/>
    <cellStyle name="Fixed" xfId="352"/>
    <cellStyle name="Grey" xfId="353"/>
    <cellStyle name="HEADER" xfId="354"/>
    <cellStyle name="Heading 1" xfId="355"/>
    <cellStyle name="Heading 2" xfId="356"/>
    <cellStyle name="Heading 3" xfId="357"/>
    <cellStyle name="Heading1" xfId="358"/>
    <cellStyle name="Heading2" xfId="359"/>
    <cellStyle name="HIGHLIGHT" xfId="360"/>
    <cellStyle name="imf-one decimal" xfId="361"/>
    <cellStyle name="imf-zero decimal" xfId="362"/>
    <cellStyle name="Incorrecto 2" xfId="363"/>
    <cellStyle name="Incorrecto 3" xfId="364"/>
    <cellStyle name="Incorrecto 4" xfId="365"/>
    <cellStyle name="Input [yellow]" xfId="366"/>
    <cellStyle name="MacroCode" xfId="367"/>
    <cellStyle name="Millares [0] 2" xfId="368"/>
    <cellStyle name="Millares 2" xfId="369"/>
    <cellStyle name="Millares 2 2" xfId="370"/>
    <cellStyle name="Millares 3" xfId="371"/>
    <cellStyle name="Millares 4" xfId="372"/>
    <cellStyle name="Millares 5" xfId="373"/>
    <cellStyle name="Milliers [0]_Encours - Apr rééch" xfId="374"/>
    <cellStyle name="Milliers_Encours - Apr rééch" xfId="375"/>
    <cellStyle name="Moneda 2" xfId="376"/>
    <cellStyle name="Monétaire [0]_Encours - Apr rééch" xfId="377"/>
    <cellStyle name="Monétaire_Encours - Apr rééch" xfId="378"/>
    <cellStyle name="Neutral 2" xfId="379"/>
    <cellStyle name="Neutral 3" xfId="380"/>
    <cellStyle name="Neutral 4" xfId="381"/>
    <cellStyle name="Neutrale" xfId="382"/>
    <cellStyle name="no dec" xfId="383"/>
    <cellStyle name="Normal" xfId="0" builtinId="0"/>
    <cellStyle name="Normal - Style1" xfId="384"/>
    <cellStyle name="Normal 10" xfId="385"/>
    <cellStyle name="Normal 10 2" xfId="386"/>
    <cellStyle name="Normal 10 2 2" xfId="387"/>
    <cellStyle name="Normal 10 3" xfId="388"/>
    <cellStyle name="Normal 10_3.21-01" xfId="389"/>
    <cellStyle name="Normal 11" xfId="390"/>
    <cellStyle name="Normal 11 2" xfId="391"/>
    <cellStyle name="Normal 11_3.21-01" xfId="392"/>
    <cellStyle name="Normal 12" xfId="393"/>
    <cellStyle name="Normal 12 2" xfId="394"/>
    <cellStyle name="Normal 12_3.21-01" xfId="395"/>
    <cellStyle name="Normal 13" xfId="396"/>
    <cellStyle name="Normal 13 2" xfId="397"/>
    <cellStyle name="Normal 13_3.21-01" xfId="398"/>
    <cellStyle name="Normal 14" xfId="399"/>
    <cellStyle name="Normal 14 2" xfId="400"/>
    <cellStyle name="Normal 14_3.21-01" xfId="401"/>
    <cellStyle name="Normal 15" xfId="402"/>
    <cellStyle name="Normal 15 2" xfId="403"/>
    <cellStyle name="Normal 15_3.21-01" xfId="404"/>
    <cellStyle name="Normal 16" xfId="405"/>
    <cellStyle name="Normal 16 2" xfId="406"/>
    <cellStyle name="Normal 16_3.21-01" xfId="407"/>
    <cellStyle name="Normal 17" xfId="408"/>
    <cellStyle name="Normal 17 2" xfId="409"/>
    <cellStyle name="Normal 17_3.21-01" xfId="410"/>
    <cellStyle name="Normal 18" xfId="411"/>
    <cellStyle name="Normal 18 2" xfId="412"/>
    <cellStyle name="Normal 18_3.21-01" xfId="413"/>
    <cellStyle name="Normal 19" xfId="414"/>
    <cellStyle name="Normal 19 2" xfId="415"/>
    <cellStyle name="Normal 19_3.21-01" xfId="416"/>
    <cellStyle name="Normal 2" xfId="417"/>
    <cellStyle name="Normal 2 2" xfId="418"/>
    <cellStyle name="Normal 2 2 2" xfId="419"/>
    <cellStyle name="Normal 2 2 3" xfId="420"/>
    <cellStyle name="Normal 2 2 4" xfId="421"/>
    <cellStyle name="Normal 2 2 5" xfId="422"/>
    <cellStyle name="Normal 2 2 6" xfId="423"/>
    <cellStyle name="Normal 2 2_3.22-08" xfId="424"/>
    <cellStyle name="Normal 2_20080915_InffBCRDFiscalSPNF_ene-ago2008 (2)" xfId="425"/>
    <cellStyle name="Normal 20" xfId="426"/>
    <cellStyle name="Normal 20 2" xfId="427"/>
    <cellStyle name="Normal 21" xfId="428"/>
    <cellStyle name="Normal 21 2" xfId="429"/>
    <cellStyle name="Normal 21 3" xfId="430"/>
    <cellStyle name="Normal 21_homicidio 2010" xfId="431"/>
    <cellStyle name="Normal 3" xfId="432"/>
    <cellStyle name="Normal 3 2" xfId="433"/>
    <cellStyle name="Normal 3 3" xfId="434"/>
    <cellStyle name="Normal 3 4" xfId="435"/>
    <cellStyle name="Normal 3_3.10-070 Número de vuelos charter internacionales por aeropuerto, según mes, 2007-2008" xfId="436"/>
    <cellStyle name="Normal 4" xfId="437"/>
    <cellStyle name="Normal 4 2" xfId="438"/>
    <cellStyle name="Normal 4_3.21-01" xfId="439"/>
    <cellStyle name="Normal 5" xfId="440"/>
    <cellStyle name="Normal 5 2" xfId="441"/>
    <cellStyle name="Normal 5 3" xfId="442"/>
    <cellStyle name="Normal 5 4" xfId="443"/>
    <cellStyle name="Normal 6" xfId="444"/>
    <cellStyle name="Normal 6 2" xfId="445"/>
    <cellStyle name="Normal 6 3" xfId="446"/>
    <cellStyle name="Normal 7" xfId="447"/>
    <cellStyle name="Normal 7 2" xfId="448"/>
    <cellStyle name="Normal 7 3" xfId="449"/>
    <cellStyle name="Normal 7 4" xfId="450"/>
    <cellStyle name="Normal 8" xfId="451"/>
    <cellStyle name="Normal 8 2" xfId="452"/>
    <cellStyle name="Normal 8 3" xfId="453"/>
    <cellStyle name="Normal 9" xfId="454"/>
    <cellStyle name="Normal 9 2" xfId="455"/>
    <cellStyle name="Normal 9 3" xfId="456"/>
    <cellStyle name="Normal 9_3.21-01" xfId="457"/>
    <cellStyle name="Normal Table" xfId="458"/>
    <cellStyle name="Normal_cuadros de solidaridad" xfId="2"/>
    <cellStyle name="Normal_vivienda orleidys " xfId="1"/>
    <cellStyle name="Nota" xfId="459"/>
    <cellStyle name="Notas 2" xfId="460"/>
    <cellStyle name="Notas 3" xfId="461"/>
    <cellStyle name="Notas 4" xfId="462"/>
    <cellStyle name="Output" xfId="463"/>
    <cellStyle name="Percent [2]" xfId="464"/>
    <cellStyle name="Percent 2" xfId="465"/>
    <cellStyle name="Percent 3" xfId="466"/>
    <cellStyle name="percentage difference" xfId="467"/>
    <cellStyle name="percentage difference one decimal" xfId="468"/>
    <cellStyle name="percentage difference zero decimal" xfId="469"/>
    <cellStyle name="percentage difference_3.24-07" xfId="470"/>
    <cellStyle name="Percentuale 2" xfId="471"/>
    <cellStyle name="Porcentual 2" xfId="472"/>
    <cellStyle name="Porcentual 3" xfId="473"/>
    <cellStyle name="Porcentual 4" xfId="474"/>
    <cellStyle name="Publication" xfId="475"/>
    <cellStyle name="Red Text" xfId="476"/>
    <cellStyle name="s" xfId="477"/>
    <cellStyle name="s_3.10-070 Número de vuelos charter internacionales por aeropuerto, según mes, 2007-2008" xfId="478"/>
    <cellStyle name="s_3.10-081 Movimiento de pasajeros embarcados en vuelos charters internacionales por aeropuerto, según mes, 2007-2008" xfId="479"/>
    <cellStyle name="s_3.10-082 Movimiento de pasajeros desembarcados en vuelos charters internacionales por aeropuerto, según mes, 2007-2008" xfId="480"/>
    <cellStyle name="s_Sheet5" xfId="481"/>
    <cellStyle name="s_Sheet5_3.22-08" xfId="482"/>
    <cellStyle name="s_Sheet5_3.22-08_RD en Cifras 2010. Precios" xfId="483"/>
    <cellStyle name="s_Sheet5_3.22-08_RD en Cifras 2010. Precios_homicidio 2010" xfId="484"/>
    <cellStyle name="s_Sheet5_3.24-07" xfId="485"/>
    <cellStyle name="s_Sheet5_3.24-07_3.21-01" xfId="486"/>
    <cellStyle name="s_Sheet5_3.24-07_3.21-01_homicidio 2010" xfId="487"/>
    <cellStyle name="s_Sheet5_3.24-07_homicidio 2010" xfId="488"/>
    <cellStyle name="s_Sheet5_Dominicana en Cifras 2010" xfId="489"/>
    <cellStyle name="s_Sheet5_RD en Cifras 2010. Precios" xfId="490"/>
    <cellStyle name="s_Sheet5_RD en Cifras 2010. Precios_homicidio 2010" xfId="491"/>
    <cellStyle name="s_Sheet5_RD en Cifras 2010_Comercio Exterior" xfId="492"/>
    <cellStyle name="s_Sheet5_RD en Cifras 2010_Comercio Exterior_RD en Cifras 2010. Precios" xfId="493"/>
    <cellStyle name="s_Sheet5_RD en Cifras 2010_Comercio Exterior_RD en Cifras 2010. Precios_homicidio 2010" xfId="494"/>
    <cellStyle name="Salida 2" xfId="495"/>
    <cellStyle name="Salida 3" xfId="496"/>
    <cellStyle name="Salida 4" xfId="497"/>
    <cellStyle name="Testo avviso" xfId="498"/>
    <cellStyle name="Testo descrittivo" xfId="499"/>
    <cellStyle name="Texto de advertencia 2" xfId="500"/>
    <cellStyle name="Texto de advertencia 3" xfId="501"/>
    <cellStyle name="Texto de advertencia 4" xfId="502"/>
    <cellStyle name="Texto explicativo 2" xfId="503"/>
    <cellStyle name="Texto explicativo 3" xfId="504"/>
    <cellStyle name="Texto explicativo 4" xfId="505"/>
    <cellStyle name="Title" xfId="506"/>
    <cellStyle name="Titolo" xfId="507"/>
    <cellStyle name="Titolo 1" xfId="508"/>
    <cellStyle name="Titolo 2" xfId="509"/>
    <cellStyle name="Titolo 3" xfId="510"/>
    <cellStyle name="Titolo 4" xfId="511"/>
    <cellStyle name="Titolo_3.21-01" xfId="512"/>
    <cellStyle name="Título 1 2" xfId="513"/>
    <cellStyle name="Título 1 3" xfId="514"/>
    <cellStyle name="Título 1 4" xfId="515"/>
    <cellStyle name="Título 2 2" xfId="516"/>
    <cellStyle name="Título 2 3" xfId="517"/>
    <cellStyle name="Título 2 4" xfId="518"/>
    <cellStyle name="Título 3 2" xfId="519"/>
    <cellStyle name="Título 3 3" xfId="520"/>
    <cellStyle name="Título 3 4" xfId="521"/>
    <cellStyle name="Título 4" xfId="522"/>
    <cellStyle name="Título 5" xfId="523"/>
    <cellStyle name="Título 6" xfId="524"/>
    <cellStyle name="TopGrey" xfId="525"/>
    <cellStyle name="Total 2" xfId="526"/>
    <cellStyle name="Total 3" xfId="527"/>
    <cellStyle name="Total 4" xfId="528"/>
    <cellStyle name="Totale" xfId="529"/>
    <cellStyle name="Unprot" xfId="530"/>
    <cellStyle name="Unprot$" xfId="531"/>
    <cellStyle name="Unprot_3.10-03 Número de buques en comercio exterior por trimestre, según puerto, 2007-2008" xfId="532"/>
    <cellStyle name="Unprotect" xfId="533"/>
    <cellStyle name="Valore non valido" xfId="534"/>
    <cellStyle name="Valore valido" xfId="5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ina.silfa/AppData/Local/Microsoft/Windows/Temporary%20Internet%20Files/Low/Content.IE5/C2WQB4H0/Documents%20and%20Settings/pedro.alvarez/Configuraci&#243;n%20local/Archivos%20temporales%20de%20Internet/OLK6/Documents%20and%20Settings/neuta.ramos/Configuraci&#24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ACIONES\DOMINICANA%20EN%20CIFRAS\dominicana%20en%20cifras%20todas%20las%20seri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CIONES/DOMINICANA%20EN%20CIFRAS/Republica%20Dominicana%20en%20Cifras%202012%20ult/Estadisticas%20Demograficas%20RD%20en%20Cifra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ci.almonte\Desktop\Documents%20and%20Settings\jose.actis\Mis%20documentos\dominicana%20en%20cifras%20cd%20interactivo%20de%20economicasxl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verca.gomez/My%20Documents/Downloads/RD%20en%20Cifras%2020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11">
          <cell r="B11">
            <v>4909</v>
          </cell>
          <cell r="D11">
            <v>4386</v>
          </cell>
          <cell r="F11">
            <v>3975</v>
          </cell>
        </row>
      </sheetData>
      <sheetData sheetId="46" refreshError="1">
        <row r="12">
          <cell r="B12">
            <v>4909</v>
          </cell>
          <cell r="D12">
            <v>4386</v>
          </cell>
          <cell r="F12">
            <v>3975</v>
          </cell>
        </row>
      </sheetData>
      <sheetData sheetId="47" refreshError="1">
        <row r="11">
          <cell r="B11">
            <v>1956630</v>
          </cell>
          <cell r="D11">
            <v>2144109</v>
          </cell>
        </row>
      </sheetData>
      <sheetData sheetId="48" refreshError="1">
        <row r="9">
          <cell r="B9">
            <v>14255915</v>
          </cell>
          <cell r="D9">
            <v>12730344</v>
          </cell>
        </row>
      </sheetData>
      <sheetData sheetId="49" refreshError="1">
        <row r="9">
          <cell r="B9">
            <v>1956630</v>
          </cell>
          <cell r="D9">
            <v>2144109</v>
          </cell>
          <cell r="H9">
            <v>2796032</v>
          </cell>
          <cell r="L9">
            <v>14255915</v>
          </cell>
          <cell r="N9">
            <v>12730344</v>
          </cell>
        </row>
      </sheetData>
      <sheetData sheetId="50"/>
      <sheetData sheetId="51" refreshError="1">
        <row r="7">
          <cell r="B7">
            <v>20394</v>
          </cell>
          <cell r="D7">
            <v>18535</v>
          </cell>
          <cell r="F7">
            <v>15375</v>
          </cell>
          <cell r="H7">
            <v>12323</v>
          </cell>
          <cell r="J7">
            <v>14683</v>
          </cell>
        </row>
      </sheetData>
      <sheetData sheetId="52" refreshError="1">
        <row r="10">
          <cell r="B10">
            <v>44629</v>
          </cell>
          <cell r="D10">
            <v>46927</v>
          </cell>
          <cell r="F10">
            <v>53483</v>
          </cell>
          <cell r="H10">
            <v>54605</v>
          </cell>
          <cell r="J10">
            <v>54918.6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>
        <row r="8">
          <cell r="C8">
            <v>3270013</v>
          </cell>
          <cell r="E8">
            <v>3214051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101"/>
      <sheetName val="1.2.01"/>
      <sheetName val="1.2.02"/>
      <sheetName val="1.2.03"/>
      <sheetName val="1.2.04"/>
      <sheetName val="1.2.05"/>
      <sheetName val="1.2.06"/>
      <sheetName val="1.2.07"/>
      <sheetName val="1.2.08"/>
      <sheetName val="2.1.01"/>
      <sheetName val="2.102"/>
      <sheetName val="2.1.03"/>
      <sheetName val="2.1.04"/>
      <sheetName val="2.1.05"/>
      <sheetName val="2.1.06"/>
      <sheetName val="2.1.07"/>
      <sheetName val="2.1.08"/>
      <sheetName val="2.1.09"/>
      <sheetName val="2.1.10"/>
      <sheetName val="2.1.11"/>
      <sheetName val="2.1.12"/>
      <sheetName val="2.1.13"/>
      <sheetName val="2.2.01"/>
      <sheetName val="2.2.02"/>
      <sheetName val="2.2.03"/>
      <sheetName val="2.2.04"/>
      <sheetName val="2.2.05"/>
      <sheetName val="2.206"/>
      <sheetName val="2.2.07"/>
      <sheetName val="2.2.08"/>
      <sheetName val="2.2.09"/>
      <sheetName val="2.2.10"/>
      <sheetName val="2.2.11"/>
      <sheetName val="2.2.12"/>
      <sheetName val="2.2.13"/>
      <sheetName val="2.2.14"/>
      <sheetName val="4.1.03"/>
      <sheetName val="4.1.04"/>
      <sheetName val="4.1.05"/>
      <sheetName val="4.1.06"/>
      <sheetName val="4.1.07"/>
      <sheetName val="4.1.08"/>
      <sheetName val="4.1.09"/>
      <sheetName val="4.1.11"/>
      <sheetName val="4.1.12"/>
      <sheetName val="4.1.13"/>
      <sheetName val="4.1.14"/>
      <sheetName val="4.1.15"/>
      <sheetName val="4.2-01"/>
      <sheetName val="4.2-02"/>
      <sheetName val="4.2-03"/>
      <sheetName val="4.2-04"/>
      <sheetName val="4.2-05"/>
      <sheetName val="4.2-06"/>
      <sheetName val="4.2-07"/>
      <sheetName val="4.2-08"/>
      <sheetName val="4.2-9"/>
      <sheetName val="4.2-10"/>
      <sheetName val="4.3.01"/>
      <sheetName val="4.3.02"/>
      <sheetName val="4.3.03"/>
      <sheetName val="4.3.04"/>
      <sheetName val="4.4.01"/>
      <sheetName val="4.4.02"/>
      <sheetName val="4.4.03"/>
      <sheetName val="4.4.04"/>
      <sheetName val="4.4.05"/>
      <sheetName val="4.4.06"/>
      <sheetName val="4.5.01"/>
      <sheetName val="4.5.02"/>
      <sheetName val="4.5.03"/>
      <sheetName val="4.5.04"/>
      <sheetName val="4.5.05"/>
      <sheetName val="4.5.06"/>
      <sheetName val="4.5.07"/>
      <sheetName val="4.5.08"/>
      <sheetName val="4.5.09"/>
      <sheetName val="4.5.10"/>
      <sheetName val="4.5.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,7-01"/>
      <sheetName val="4.7-02"/>
      <sheetName val="4.7-03"/>
      <sheetName val="5.1-01"/>
      <sheetName val="5.1-02"/>
      <sheetName val="5.1-03"/>
      <sheetName val="5.1-04"/>
      <sheetName val="5.1.05"/>
      <sheetName val="5.1.06"/>
      <sheetName val="5.1.07"/>
      <sheetName val="5.1.08"/>
      <sheetName val="5.1.09"/>
      <sheetName val="5.1-10"/>
      <sheetName val="5.1.11"/>
      <sheetName val="5.1.12"/>
      <sheetName val="5.1-13"/>
      <sheetName val="5.1-14"/>
      <sheetName val="5.1.15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H11">
            <v>14013298</v>
          </cell>
        </row>
      </sheetData>
      <sheetData sheetId="14" refreshError="1"/>
      <sheetData sheetId="15" refreshError="1">
        <row r="11"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.1-01"/>
      <sheetName val="1.1.02"/>
      <sheetName val="1.1.03"/>
      <sheetName val="1.1.04"/>
      <sheetName val="1.2-01"/>
      <sheetName val="1.2-02"/>
      <sheetName val="1.2-03"/>
      <sheetName val="1.2-04"/>
      <sheetName val="2.1-01"/>
      <sheetName val="2.1-02"/>
      <sheetName val="2.1-03"/>
      <sheetName val="2.1-04"/>
      <sheetName val="2.1-05"/>
      <sheetName val="2.1-06"/>
      <sheetName val="2.1-07"/>
      <sheetName val="2.1-08"/>
      <sheetName val="2.1-09"/>
      <sheetName val="2.1-10"/>
      <sheetName val="2.1-11"/>
      <sheetName val="2.1-12"/>
      <sheetName val="2.1-13"/>
      <sheetName val="2.1.14"/>
      <sheetName val="2.1.15"/>
      <sheetName val="2.1.16"/>
      <sheetName val="2.1.17"/>
      <sheetName val="2.1.18"/>
      <sheetName val="2.1.19"/>
      <sheetName val="2.1.20"/>
      <sheetName val="2.1-21"/>
      <sheetName val="2.1.22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6-05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1-03"/>
      <sheetName val="3.11-04"/>
      <sheetName val="3.11-05"/>
      <sheetName val="3.11-06"/>
      <sheetName val="3.11-07"/>
      <sheetName val="3.11-08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3.24-1"/>
      <sheetName val="3.24-02"/>
      <sheetName val="3.24-3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09"/>
      <sheetName val="4.1-10"/>
      <sheetName val="4.1-11"/>
      <sheetName val="4.1-12"/>
      <sheetName val="4.1-13"/>
      <sheetName val="4.1-14"/>
      <sheetName val="4.1-15"/>
      <sheetName val="4.2-01"/>
      <sheetName val="4.2-02"/>
      <sheetName val="4.2.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5-01"/>
      <sheetName val="4.5-02"/>
      <sheetName val="4.5-03"/>
      <sheetName val="4.5-04"/>
      <sheetName val="4.5-05"/>
      <sheetName val="4.5-06"/>
      <sheetName val="4.5-07"/>
      <sheetName val="4.5-08"/>
      <sheetName val="4.5-09"/>
      <sheetName val="4.5-10"/>
      <sheetName val="4.5-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01"/>
      <sheetName val="4.7-02"/>
      <sheetName val="4.7-0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J9">
            <v>331126.8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6"/>
  <sheetViews>
    <sheetView tabSelected="1" workbookViewId="0"/>
  </sheetViews>
  <sheetFormatPr baseColWidth="10" defaultRowHeight="12.75"/>
  <cols>
    <col min="1" max="1" width="18.7109375" style="1" customWidth="1"/>
    <col min="2" max="6" width="13.7109375" style="1" customWidth="1"/>
    <col min="7" max="7" width="8.42578125" style="1" customWidth="1"/>
    <col min="8" max="16384" width="11.42578125" style="1"/>
  </cols>
  <sheetData>
    <row r="2" spans="1:7" ht="13.5">
      <c r="A2" s="28" t="s">
        <v>15</v>
      </c>
      <c r="B2" s="28"/>
      <c r="C2" s="28"/>
      <c r="D2" s="28"/>
      <c r="E2" s="28"/>
      <c r="F2" s="28"/>
      <c r="G2" s="28"/>
    </row>
    <row r="3" spans="1:7" ht="13.5">
      <c r="A3" s="27" t="s">
        <v>14</v>
      </c>
      <c r="B3" s="27"/>
      <c r="C3" s="27"/>
      <c r="D3" s="27"/>
      <c r="E3" s="27"/>
      <c r="F3" s="27"/>
      <c r="G3" s="27"/>
    </row>
    <row r="4" spans="1:7" ht="13.5">
      <c r="A4" s="26"/>
      <c r="B4" s="25"/>
      <c r="C4" s="21"/>
      <c r="D4" s="21"/>
      <c r="E4" s="21"/>
    </row>
    <row r="5" spans="1:7" ht="25.5">
      <c r="A5" s="24" t="s">
        <v>13</v>
      </c>
      <c r="B5" s="23" t="s">
        <v>12</v>
      </c>
      <c r="C5" s="23" t="s">
        <v>11</v>
      </c>
      <c r="D5" s="23" t="s">
        <v>10</v>
      </c>
      <c r="E5" s="23" t="s">
        <v>9</v>
      </c>
      <c r="F5" s="23" t="s">
        <v>8</v>
      </c>
      <c r="G5" s="22" t="s">
        <v>7</v>
      </c>
    </row>
    <row r="6" spans="1:7" ht="5.0999999999999996" customHeight="1">
      <c r="A6" s="15"/>
      <c r="B6" s="21"/>
      <c r="C6" s="21"/>
      <c r="D6" s="21"/>
      <c r="E6" s="21"/>
    </row>
    <row r="7" spans="1:7" ht="13.5">
      <c r="A7" s="20" t="s">
        <v>6</v>
      </c>
      <c r="B7" s="19">
        <f>SUM(B9:B11)</f>
        <v>99.999999999999986</v>
      </c>
      <c r="C7" s="19">
        <f>SUM(C9:C11)</f>
        <v>100</v>
      </c>
      <c r="D7" s="19">
        <f>SUM(D9:D11)</f>
        <v>99.999999999999986</v>
      </c>
      <c r="E7" s="19">
        <f>SUM(E9:E11)</f>
        <v>100.00000000000001</v>
      </c>
      <c r="F7" s="19">
        <f>SUM(F9:F11)</f>
        <v>100.00000000000001</v>
      </c>
      <c r="G7" s="18">
        <f>SUM(G9:G11)</f>
        <v>99.999999999999986</v>
      </c>
    </row>
    <row r="8" spans="1:7" ht="5.0999999999999996" customHeight="1">
      <c r="A8" s="15"/>
      <c r="B8" s="17"/>
      <c r="C8" s="17"/>
      <c r="D8" s="17"/>
      <c r="E8" s="17"/>
      <c r="F8" s="17"/>
      <c r="G8" s="16"/>
    </row>
    <row r="9" spans="1:7" ht="13.5">
      <c r="A9" s="15" t="s">
        <v>5</v>
      </c>
      <c r="B9" s="14">
        <v>54.21378327030861</v>
      </c>
      <c r="C9" s="14">
        <v>56.644955224456815</v>
      </c>
      <c r="D9" s="14">
        <v>63.343870237934588</v>
      </c>
      <c r="E9" s="14">
        <v>66.054479236907653</v>
      </c>
      <c r="F9" s="14">
        <v>61.926739397895901</v>
      </c>
      <c r="G9" s="13">
        <f>58.1+6.5</f>
        <v>64.599999999999994</v>
      </c>
    </row>
    <row r="10" spans="1:7" ht="13.5">
      <c r="A10" s="12" t="s">
        <v>4</v>
      </c>
      <c r="B10" s="11">
        <v>38.014301811246717</v>
      </c>
      <c r="C10" s="11">
        <v>38.796468664008785</v>
      </c>
      <c r="D10" s="11">
        <v>32.647232593525004</v>
      </c>
      <c r="E10" s="11">
        <v>30.649021404236965</v>
      </c>
      <c r="F10" s="11">
        <v>32.312760501669722</v>
      </c>
      <c r="G10" s="10">
        <f>20.3+6.6+2.7+1</f>
        <v>30.599999999999998</v>
      </c>
    </row>
    <row r="11" spans="1:7" ht="13.5">
      <c r="A11" s="12" t="s">
        <v>3</v>
      </c>
      <c r="B11" s="11">
        <v>7.7719149184446694</v>
      </c>
      <c r="C11" s="11">
        <v>4.558576111534399</v>
      </c>
      <c r="D11" s="11">
        <v>4.0088971685404067</v>
      </c>
      <c r="E11" s="11">
        <v>3.2964993588553932</v>
      </c>
      <c r="F11" s="11">
        <v>5.7605001004343785</v>
      </c>
      <c r="G11" s="10">
        <f>0.1+4.7</f>
        <v>4.8</v>
      </c>
    </row>
    <row r="12" spans="1:7" ht="5.0999999999999996" customHeight="1">
      <c r="A12" s="9"/>
      <c r="B12" s="8"/>
      <c r="C12" s="7"/>
      <c r="D12" s="6"/>
      <c r="E12" s="6"/>
      <c r="F12" s="5"/>
      <c r="G12" s="5"/>
    </row>
    <row r="13" spans="1:7" ht="5.0999999999999996" customHeight="1"/>
    <row r="14" spans="1:7">
      <c r="A14" s="4" t="s">
        <v>2</v>
      </c>
      <c r="B14" s="4"/>
      <c r="C14" s="4"/>
      <c r="D14" s="4"/>
      <c r="E14" s="4"/>
      <c r="F14" s="4"/>
    </row>
    <row r="15" spans="1:7">
      <c r="A15" s="3" t="s">
        <v>1</v>
      </c>
      <c r="B15" s="3"/>
      <c r="C15" s="3"/>
      <c r="D15" s="3"/>
      <c r="E15" s="3"/>
      <c r="F15" s="3"/>
    </row>
    <row r="16" spans="1:7">
      <c r="A16" s="2" t="s">
        <v>0</v>
      </c>
      <c r="B16" s="2"/>
      <c r="C16" s="2"/>
      <c r="D16" s="2"/>
      <c r="E16" s="2"/>
      <c r="F16" s="2"/>
    </row>
  </sheetData>
  <mergeCells count="4">
    <mergeCell ref="A2:G2"/>
    <mergeCell ref="A3:G3"/>
    <mergeCell ref="A14:F14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4.1.10</vt:lpstr>
    </vt:vector>
  </TitlesOfParts>
  <Company>Oficina Nacional de Estadísticas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neuta.ramos</dc:creator>
  <cp:lastModifiedBy>neuta.ramos</cp:lastModifiedBy>
  <dcterms:created xsi:type="dcterms:W3CDTF">2012-07-11T13:46:21Z</dcterms:created>
  <dcterms:modified xsi:type="dcterms:W3CDTF">2012-07-11T13:46:49Z</dcterms:modified>
</cp:coreProperties>
</file>