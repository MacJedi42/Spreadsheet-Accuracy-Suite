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80" windowWidth="20130" windowHeight="7965"/>
  </bookViews>
  <sheets>
    <sheet name="2000-2013-Cash Receipts" sheetId="4" r:id="rId1"/>
  </sheets>
  <definedNames>
    <definedName name="_xlnm.Print_Area" localSheetId="0">'2000-2013-Cash Receipts'!$A$1:$P$49</definedName>
  </definedNames>
  <calcPr calcId="145621"/>
</workbook>
</file>

<file path=xl/calcChain.xml><?xml version="1.0" encoding="utf-8"?>
<calcChain xmlns="http://schemas.openxmlformats.org/spreadsheetml/2006/main">
  <c r="P38" i="4" l="1"/>
  <c r="P37" i="4"/>
  <c r="M45" i="4" l="1"/>
  <c r="P45" i="4" s="1"/>
  <c r="P44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P39" i="4"/>
  <c r="P36" i="4"/>
  <c r="P35" i="4"/>
  <c r="P34" i="4"/>
  <c r="P33" i="4"/>
  <c r="P32" i="4"/>
  <c r="P31" i="4"/>
  <c r="P30" i="4"/>
  <c r="P29" i="4"/>
  <c r="P28" i="4"/>
  <c r="P27" i="4"/>
  <c r="N25" i="4"/>
  <c r="M25" i="4"/>
  <c r="M42" i="4" s="1"/>
  <c r="L25" i="4"/>
  <c r="K25" i="4"/>
  <c r="K42" i="4" s="1"/>
  <c r="K47" i="4" s="1"/>
  <c r="J25" i="4"/>
  <c r="J42" i="4" s="1"/>
  <c r="J47" i="4" s="1"/>
  <c r="I25" i="4"/>
  <c r="I42" i="4" s="1"/>
  <c r="I47" i="4" s="1"/>
  <c r="H25" i="4"/>
  <c r="H42" i="4" s="1"/>
  <c r="H47" i="4" s="1"/>
  <c r="G25" i="4"/>
  <c r="G42" i="4" s="1"/>
  <c r="G47" i="4" s="1"/>
  <c r="F25" i="4"/>
  <c r="F42" i="4" s="1"/>
  <c r="F47" i="4" s="1"/>
  <c r="E25" i="4"/>
  <c r="E42" i="4" s="1"/>
  <c r="E47" i="4" s="1"/>
  <c r="D25" i="4"/>
  <c r="D42" i="4" s="1"/>
  <c r="D47" i="4" s="1"/>
  <c r="C25" i="4"/>
  <c r="C42" i="4" s="1"/>
  <c r="C47" i="4" s="1"/>
  <c r="B25" i="4"/>
  <c r="B42" i="4" s="1"/>
  <c r="B47" i="4" s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O10" i="4"/>
  <c r="O25" i="4" s="1"/>
  <c r="P9" i="4"/>
  <c r="L42" i="4" l="1"/>
  <c r="L47" i="4" s="1"/>
  <c r="M47" i="4"/>
  <c r="N42" i="4"/>
  <c r="N47" i="4" s="1"/>
  <c r="P40" i="4"/>
  <c r="O40" i="4"/>
  <c r="O42" i="4" s="1"/>
  <c r="O47" i="4" s="1"/>
  <c r="P10" i="4"/>
  <c r="P25" i="4" s="1"/>
  <c r="P42" i="4" l="1"/>
  <c r="P47" i="4" s="1"/>
</calcChain>
</file>

<file path=xl/sharedStrings.xml><?xml version="1.0" encoding="utf-8"?>
<sst xmlns="http://schemas.openxmlformats.org/spreadsheetml/2006/main" count="41" uniqueCount="41">
  <si>
    <t>GAVI Alliance</t>
  </si>
  <si>
    <t xml:space="preserve">millions US$ </t>
  </si>
  <si>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</si>
  <si>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</si>
  <si>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</si>
  <si>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</si>
  <si>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</si>
  <si>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</si>
  <si>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</si>
  <si>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</si>
  <si>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Japan</t>
  </si>
  <si>
    <t>Luxembourg</t>
  </si>
  <si>
    <t>Netherlands</t>
  </si>
  <si>
    <t xml:space="preserve">Norway </t>
  </si>
  <si>
    <t>Republic of Korea</t>
  </si>
  <si>
    <t>Spain</t>
  </si>
  <si>
    <t xml:space="preserve">Sweden </t>
  </si>
  <si>
    <t>United Kingdom</t>
  </si>
  <si>
    <t>United States</t>
  </si>
  <si>
    <t>Donor Governments and EC</t>
  </si>
  <si>
    <t>Anglo Amercian plc</t>
  </si>
  <si>
    <t>Absolute Return for Kids (ARK)</t>
  </si>
  <si>
    <t>Bill &amp; Melinda Gates Foundation</t>
  </si>
  <si>
    <t>Comic Relief</t>
  </si>
  <si>
    <t>His Highness Sheikh Mohammed bin Zayed Al Nahyan</t>
  </si>
  <si>
    <t>"la Caixa" Foundation</t>
  </si>
  <si>
    <t>LDS Charities</t>
  </si>
  <si>
    <t>JP Morgan</t>
  </si>
  <si>
    <t>The Children’s Investment Fund Foundation (UK)</t>
  </si>
  <si>
    <t>Other private</t>
  </si>
  <si>
    <t>Private Contributions</t>
  </si>
  <si>
    <t>Sub-total</t>
  </si>
  <si>
    <t>IFFIm to GFA transfers</t>
  </si>
  <si>
    <t>AMC funds</t>
  </si>
  <si>
    <t>Total contributions</t>
  </si>
  <si>
    <t>Donations recorded on a cash basis</t>
  </si>
  <si>
    <t>Cash received 2000-2013</t>
  </si>
  <si>
    <t>as of 30 June 2013</t>
  </si>
  <si>
    <t>Statoil</t>
  </si>
  <si>
    <t>Dutch Postcode Lottery</t>
  </si>
  <si>
    <t>Prudential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</si>
</sst>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,##0.0"/>
    <numFmt numFmtId="165" formatCode="_-* #,##0.00\ _€_-;\-* #,##0.00\ _€_-;_-* &quot;-&quot;??\ _€_-;_-@_-"/>
    <numFmt numFmtId="166" formatCode="_-* #,##0_-;\-* #,##0_-;_-* &quot;-&quot;??_-;_-@_-"/>
    <numFmt numFmtId="167" formatCode="#,##0.0000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3" fontId="8" fillId="0" borderId="0" xfId="0" applyNumberFormat="1" applyFont="1"/>
    <xf numFmtId="3" fontId="0" fillId="0" borderId="0" xfId="0" applyNumberFormat="1"/>
    <xf numFmtId="3" fontId="8" fillId="0" borderId="1" xfId="0" applyNumberFormat="1" applyFont="1" applyBorder="1"/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Fill="1" applyBorder="1" applyAlignment="1">
      <alignment horizontal="right" vertical="center"/>
    </xf>
    <xf numFmtId="164" fontId="10" fillId="0" borderId="4" xfId="1" applyNumberFormat="1" applyFont="1" applyFill="1" applyBorder="1" applyAlignment="1">
      <alignment horizontal="right" vertical="center"/>
    </xf>
    <xf numFmtId="164" fontId="10" fillId="0" borderId="4" xfId="0" applyNumberFormat="1" applyFont="1" applyFill="1" applyBorder="1"/>
    <xf numFmtId="164" fontId="11" fillId="0" borderId="4" xfId="0" applyNumberFormat="1" applyFont="1" applyBorder="1" applyAlignment="1">
      <alignment horizontal="right" vertical="center"/>
    </xf>
    <xf numFmtId="164" fontId="12" fillId="0" borderId="0" xfId="0" applyNumberFormat="1" applyFont="1"/>
    <xf numFmtId="3" fontId="2" fillId="0" borderId="3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Fill="1" applyBorder="1"/>
    <xf numFmtId="164" fontId="10" fillId="0" borderId="6" xfId="0" applyNumberFormat="1" applyFont="1" applyFill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10" fillId="0" borderId="8" xfId="0" applyNumberFormat="1" applyFont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right" vertical="center"/>
    </xf>
    <xf numFmtId="164" fontId="0" fillId="0" borderId="0" xfId="0" applyNumberFormat="1"/>
    <xf numFmtId="3" fontId="2" fillId="0" borderId="3" xfId="0" applyNumberFormat="1" applyFont="1" applyFill="1" applyBorder="1" applyAlignment="1">
      <alignment horizontal="left" vertical="center"/>
    </xf>
    <xf numFmtId="164" fontId="10" fillId="0" borderId="3" xfId="1" applyNumberFormat="1" applyFont="1" applyFill="1" applyBorder="1" applyAlignment="1">
      <alignment horizontal="right" vertical="center"/>
    </xf>
    <xf numFmtId="164" fontId="10" fillId="0" borderId="7" xfId="0" applyNumberFormat="1" applyFont="1" applyFill="1" applyBorder="1" applyAlignment="1">
      <alignment horizontal="right" vertical="center"/>
    </xf>
    <xf numFmtId="164" fontId="10" fillId="0" borderId="8" xfId="2" applyNumberFormat="1" applyFont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/>
    <xf numFmtId="164" fontId="10" fillId="0" borderId="6" xfId="0" applyNumberFormat="1" applyFont="1" applyBorder="1"/>
    <xf numFmtId="3" fontId="2" fillId="0" borderId="9" xfId="0" applyNumberFormat="1" applyFont="1" applyBorder="1" applyAlignment="1">
      <alignment horizontal="left" vertical="center"/>
    </xf>
    <xf numFmtId="164" fontId="10" fillId="0" borderId="9" xfId="0" applyNumberFormat="1" applyFont="1" applyBorder="1" applyAlignment="1">
      <alignment horizontal="right" vertical="center"/>
    </xf>
    <xf numFmtId="164" fontId="10" fillId="0" borderId="10" xfId="0" applyNumberFormat="1" applyFont="1" applyBorder="1" applyAlignment="1">
      <alignment horizontal="right" vertical="center"/>
    </xf>
    <xf numFmtId="164" fontId="10" fillId="0" borderId="11" xfId="0" applyNumberFormat="1" applyFont="1" applyBorder="1" applyAlignment="1">
      <alignment horizontal="right" vertical="center"/>
    </xf>
    <xf numFmtId="164" fontId="10" fillId="0" borderId="12" xfId="0" applyNumberFormat="1" applyFont="1" applyFill="1" applyBorder="1" applyAlignment="1">
      <alignment horizontal="right" vertical="center"/>
    </xf>
    <xf numFmtId="164" fontId="10" fillId="0" borderId="12" xfId="1" applyNumberFormat="1" applyFont="1" applyFill="1" applyBorder="1" applyAlignment="1">
      <alignment horizontal="right" vertical="center"/>
    </xf>
    <xf numFmtId="164" fontId="10" fillId="0" borderId="12" xfId="0" applyNumberFormat="1" applyFont="1" applyFill="1" applyBorder="1"/>
    <xf numFmtId="164" fontId="10" fillId="0" borderId="9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right" vertical="center"/>
    </xf>
    <xf numFmtId="164" fontId="11" fillId="8" borderId="13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 wrapText="1"/>
    </xf>
    <xf numFmtId="164" fontId="11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/>
    <xf numFmtId="3" fontId="2" fillId="0" borderId="4" xfId="0" applyNumberFormat="1" applyFont="1" applyBorder="1" applyAlignment="1">
      <alignment horizontal="left" vertical="center"/>
    </xf>
    <xf numFmtId="164" fontId="10" fillId="0" borderId="2" xfId="2" applyNumberFormat="1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vertical="center"/>
    </xf>
    <xf numFmtId="164" fontId="2" fillId="7" borderId="3" xfId="1" applyNumberFormat="1" applyFont="1" applyFill="1" applyBorder="1" applyAlignment="1">
      <alignment vertical="center"/>
    </xf>
    <xf numFmtId="164" fontId="2" fillId="7" borderId="3" xfId="0" applyNumberFormat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left" vertical="center" wrapText="1"/>
    </xf>
    <xf numFmtId="164" fontId="11" fillId="8" borderId="1" xfId="2" applyNumberFormat="1" applyFont="1" applyFill="1" applyBorder="1" applyAlignment="1">
      <alignment vertical="center"/>
    </xf>
    <xf numFmtId="164" fontId="11" fillId="8" borderId="1" xfId="0" applyNumberFormat="1" applyFont="1" applyFill="1" applyBorder="1" applyAlignment="1">
      <alignment vertical="center"/>
    </xf>
    <xf numFmtId="164" fontId="11" fillId="0" borderId="0" xfId="2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left" vertical="center"/>
    </xf>
    <xf numFmtId="164" fontId="15" fillId="9" borderId="1" xfId="2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/>
    </xf>
    <xf numFmtId="0" fontId="0" fillId="0" borderId="0" xfId="0" applyFill="1"/>
    <xf numFmtId="3" fontId="9" fillId="8" borderId="1" xfId="0" applyNumberFormat="1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3" fontId="9" fillId="9" borderId="1" xfId="0" applyNumberFormat="1" applyFont="1" applyFill="1" applyBorder="1" applyAlignment="1">
      <alignment horizontal="left" vertical="center"/>
    </xf>
    <xf numFmtId="164" fontId="11" fillId="9" borderId="1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0" applyFont="1"/>
    <xf numFmtId="0" fontId="9" fillId="0" borderId="0" xfId="0" applyFont="1"/>
    <xf numFmtId="164" fontId="0" fillId="7" borderId="3" xfId="1" applyNumberFormat="1" applyFont="1" applyFill="1" applyBorder="1" applyAlignment="1">
      <alignment vertical="center"/>
    </xf>
    <xf numFmtId="167" fontId="2" fillId="7" borderId="3" xfId="1" applyNumberFormat="1" applyFont="1" applyFill="1" applyBorder="1" applyAlignment="1">
      <alignment vertical="center"/>
    </xf>
    <xf numFmtId="3" fontId="0" fillId="0" borderId="3" xfId="0" applyNumberFormat="1" applyFont="1" applyBorder="1" applyAlignment="1">
      <alignment horizontal="left" vertical="center" wrapText="1"/>
    </xf>
  </cellXfs>
  <cellStyles count="5">
    <cellStyle name="Comma" xfId="1" builtinId="3"/>
    <cellStyle name="Comma 2" xfId="3"/>
    <cellStyle name="Comma_Sheet1" xfId="2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7"/>
  <sheetViews>
    <sheetView showGridLines="0" tabSelected="1" zoomScale="90" zoomScaleNormal="90" zoomScaleSheetLayoutView="110" workbookViewId="0"/>
  </sheetViews>
  <sheetFormatPr defaultColWidth="10.28515625" defaultRowHeight="12.75" x14ac:dyDescent="0.2"/>
  <cols>
    <col min="1" max="1" width="29.28515625" customWidth="1"/>
    <col min="2" max="12" width="7.7109375" customWidth="1"/>
    <col min="13" max="15" width="9.42578125" customWidth="1"/>
    <col min="16" max="16" width="13.85546875" customWidth="1"/>
    <col min="18" max="18" width="20" customWidth="1"/>
    <col min="19" max="19" width="15.5703125" bestFit="1" customWidth="1"/>
    <col min="21" max="21" width="12.85546875" customWidth="1"/>
    <col min="23" max="23" width="12.7109375" bestFit="1" customWidth="1"/>
    <col min="25" max="25" width="15.5703125" bestFit="1" customWidth="1"/>
    <col min="26" max="26" width="13.28515625" bestFit="1" customWidth="1"/>
    <col min="27" max="27" width="12.7109375" bestFit="1" customWidth="1"/>
  </cols>
  <sheetData>
    <row r="1" spans="1:17" x14ac:dyDescent="0.2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  <c r="M1" s="3"/>
      <c r="N1" s="4"/>
      <c r="O1" s="4"/>
      <c r="P1" s="5"/>
    </row>
    <row r="2" spans="1:17" ht="23.25" x14ac:dyDescent="0.35">
      <c r="A2" s="6" t="s">
        <v>0</v>
      </c>
      <c r="B2" s="6"/>
    </row>
    <row r="3" spans="1:17" ht="9" customHeight="1" x14ac:dyDescent="0.35">
      <c r="A3" s="7"/>
      <c r="B3" s="6"/>
    </row>
    <row r="4" spans="1:17" ht="21" x14ac:dyDescent="0.35">
      <c r="A4" s="8" t="s">
        <v>36</v>
      </c>
      <c r="M4" s="9"/>
      <c r="N4" s="9"/>
      <c r="O4" s="9"/>
    </row>
    <row r="5" spans="1:17" ht="15.75" x14ac:dyDescent="0.25">
      <c r="A5" s="10" t="s">
        <v>37</v>
      </c>
      <c r="M5" s="9"/>
      <c r="N5" s="9"/>
      <c r="O5" s="9"/>
    </row>
    <row r="6" spans="1:17" ht="15.75" x14ac:dyDescent="0.25">
      <c r="A6" s="11" t="s">
        <v>1</v>
      </c>
      <c r="B6" s="12"/>
      <c r="C6" s="12"/>
      <c r="D6" s="12"/>
      <c r="E6" s="12"/>
      <c r="F6" s="12"/>
      <c r="G6" s="12"/>
      <c r="H6" s="12"/>
      <c r="I6" s="12"/>
    </row>
    <row r="7" spans="1:17" ht="16.5" customHeight="1" thickBot="1" x14ac:dyDescent="0.3">
      <c r="A7" s="11"/>
      <c r="C7" s="12"/>
      <c r="D7" s="12"/>
      <c r="E7" s="12"/>
      <c r="F7" s="12"/>
      <c r="G7" s="12"/>
      <c r="H7" s="12"/>
      <c r="I7" s="12"/>
    </row>
    <row r="8" spans="1:17" ht="16.5" thickBot="1" x14ac:dyDescent="0.3">
      <c r="A8" s="13"/>
      <c r="B8" s="14">
        <v>2000</v>
      </c>
      <c r="C8" s="14">
        <v>2001</v>
      </c>
      <c r="D8" s="14">
        <v>2002</v>
      </c>
      <c r="E8" s="14">
        <v>2003</v>
      </c>
      <c r="F8" s="14">
        <v>2004</v>
      </c>
      <c r="G8" s="15">
        <v>2005</v>
      </c>
      <c r="H8" s="16">
        <v>2006</v>
      </c>
      <c r="I8" s="15">
        <v>2007</v>
      </c>
      <c r="J8" s="16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7" t="s">
        <v>2</v>
      </c>
    </row>
    <row r="9" spans="1:17" ht="13.5" thickBot="1" x14ac:dyDescent="0.25">
      <c r="A9" s="18" t="s">
        <v>3</v>
      </c>
      <c r="B9" s="19"/>
      <c r="C9" s="19"/>
      <c r="D9" s="19"/>
      <c r="E9" s="19"/>
      <c r="F9" s="19"/>
      <c r="G9" s="20"/>
      <c r="H9" s="21">
        <v>5</v>
      </c>
      <c r="I9" s="22">
        <v>5</v>
      </c>
      <c r="J9" s="23">
        <v>5</v>
      </c>
      <c r="K9" s="21">
        <v>5</v>
      </c>
      <c r="L9" s="21">
        <v>8.6</v>
      </c>
      <c r="M9" s="21">
        <v>48.844000000000001</v>
      </c>
      <c r="N9" s="21">
        <v>56.485500000000002</v>
      </c>
      <c r="O9" s="21">
        <v>41.161999999999999</v>
      </c>
      <c r="P9" s="24">
        <f>SUM(B9:O9)</f>
        <v>175.09150000000002</v>
      </c>
      <c r="Q9" s="25"/>
    </row>
    <row r="10" spans="1:17" ht="13.5" thickBot="1" x14ac:dyDescent="0.25">
      <c r="A10" s="26" t="s">
        <v>4</v>
      </c>
      <c r="B10" s="19"/>
      <c r="C10" s="19"/>
      <c r="D10" s="19">
        <v>1.88035602</v>
      </c>
      <c r="E10" s="19">
        <v>4.7554213499999998</v>
      </c>
      <c r="F10" s="19">
        <v>9.0627342500000001</v>
      </c>
      <c r="G10" s="27">
        <v>130.86864059999999</v>
      </c>
      <c r="H10" s="28">
        <v>5.1903114199999996</v>
      </c>
      <c r="I10" s="28"/>
      <c r="J10" s="29"/>
      <c r="K10" s="28"/>
      <c r="L10" s="28"/>
      <c r="M10" s="28">
        <v>20.736000000000001</v>
      </c>
      <c r="N10" s="30">
        <v>15.128593039999998</v>
      </c>
      <c r="O10" s="30">
        <f>9.86096046+19.69667126</f>
        <v>29.557631719999996</v>
      </c>
      <c r="P10" s="24">
        <f t="shared" ref="P10:P24" si="0">SUM(B10:O10)</f>
        <v>217.17968839999997</v>
      </c>
      <c r="Q10" s="25"/>
    </row>
    <row r="11" spans="1:17" ht="13.5" thickBot="1" x14ac:dyDescent="0.25">
      <c r="A11" s="26" t="s">
        <v>5</v>
      </c>
      <c r="B11" s="19"/>
      <c r="C11" s="31">
        <v>1.1474074299999999</v>
      </c>
      <c r="D11" s="19"/>
      <c r="E11" s="19"/>
      <c r="F11" s="31">
        <v>3.3388792199999999</v>
      </c>
      <c r="G11" s="32">
        <v>3.4161073900000001</v>
      </c>
      <c r="H11" s="28">
        <v>4.4112623400000004</v>
      </c>
      <c r="I11" s="28">
        <v>4.7375400000000001</v>
      </c>
      <c r="J11" s="29"/>
      <c r="K11" s="28">
        <v>9.0983955899999991</v>
      </c>
      <c r="L11" s="28">
        <v>1.807207</v>
      </c>
      <c r="M11" s="28">
        <v>8.798</v>
      </c>
      <c r="N11" s="30">
        <v>4.3516250000000003</v>
      </c>
      <c r="O11" s="30"/>
      <c r="P11" s="24">
        <f t="shared" si="0"/>
        <v>41.106423970000002</v>
      </c>
      <c r="Q11" s="25"/>
    </row>
    <row r="12" spans="1:17" ht="13.5" thickBot="1" x14ac:dyDescent="0.25">
      <c r="A12" s="26" t="s">
        <v>6</v>
      </c>
      <c r="B12" s="19"/>
      <c r="C12" s="19"/>
      <c r="D12" s="19"/>
      <c r="E12" s="31">
        <v>1.26</v>
      </c>
      <c r="F12" s="19"/>
      <c r="G12" s="32"/>
      <c r="H12" s="28"/>
      <c r="I12" s="28">
        <v>4.84964</v>
      </c>
      <c r="J12" s="29">
        <v>23.129114000000001</v>
      </c>
      <c r="K12" s="28">
        <v>28.630130000000001</v>
      </c>
      <c r="L12" s="28"/>
      <c r="M12" s="33"/>
      <c r="N12" s="30">
        <v>12.54732252</v>
      </c>
      <c r="O12" s="30"/>
      <c r="P12" s="24">
        <f t="shared" si="0"/>
        <v>70.416206520000003</v>
      </c>
      <c r="Q12" s="34"/>
    </row>
    <row r="13" spans="1:17" ht="13.5" thickBot="1" x14ac:dyDescent="0.25">
      <c r="A13" s="26" t="s">
        <v>7</v>
      </c>
      <c r="B13" s="19"/>
      <c r="C13" s="19"/>
      <c r="D13" s="19"/>
      <c r="E13" s="19"/>
      <c r="F13" s="31">
        <v>6.0291139200000003</v>
      </c>
      <c r="G13" s="32"/>
      <c r="H13" s="28">
        <v>12.63</v>
      </c>
      <c r="I13" s="28"/>
      <c r="J13" s="29"/>
      <c r="K13" s="28"/>
      <c r="L13" s="28"/>
      <c r="M13" s="28">
        <v>34.5</v>
      </c>
      <c r="N13" s="30">
        <v>20.102150000000002</v>
      </c>
      <c r="O13" s="30"/>
      <c r="P13" s="24">
        <f t="shared" si="0"/>
        <v>73.261263920000005</v>
      </c>
      <c r="Q13" s="25"/>
    </row>
    <row r="14" spans="1:17" ht="13.5" thickBot="1" x14ac:dyDescent="0.25">
      <c r="A14" s="35" t="s">
        <v>8</v>
      </c>
      <c r="B14" s="19"/>
      <c r="C14" s="19"/>
      <c r="D14" s="19"/>
      <c r="E14" s="19"/>
      <c r="F14" s="19"/>
      <c r="G14" s="32"/>
      <c r="H14" s="28">
        <v>5.2603999999999997</v>
      </c>
      <c r="I14" s="28">
        <v>5.9480000000000004</v>
      </c>
      <c r="J14" s="29"/>
      <c r="K14" s="28">
        <v>5.7213799999999999</v>
      </c>
      <c r="L14" s="28">
        <v>5.13598</v>
      </c>
      <c r="M14" s="28">
        <v>8.5</v>
      </c>
      <c r="N14" s="30">
        <v>34.692483279999998</v>
      </c>
      <c r="O14" s="30">
        <v>24.373702999999999</v>
      </c>
      <c r="P14" s="24">
        <f t="shared" si="0"/>
        <v>89.631946279999994</v>
      </c>
      <c r="Q14" s="25"/>
    </row>
    <row r="15" spans="1:17" ht="13.5" thickBot="1" x14ac:dyDescent="0.25">
      <c r="A15" s="26" t="s">
        <v>9</v>
      </c>
      <c r="B15" s="19"/>
      <c r="C15" s="19"/>
      <c r="D15" s="31">
        <v>0.51075000000000004</v>
      </c>
      <c r="E15" s="31">
        <v>0.62375000000000003</v>
      </c>
      <c r="F15" s="31">
        <v>0.65</v>
      </c>
      <c r="G15" s="32">
        <v>0.83145999999999998</v>
      </c>
      <c r="H15" s="28">
        <v>7.9020000000000001</v>
      </c>
      <c r="I15" s="36">
        <v>8.3111999999999995</v>
      </c>
      <c r="J15" s="29">
        <v>3.8413200000000001</v>
      </c>
      <c r="K15" s="28">
        <v>3.54</v>
      </c>
      <c r="L15" s="28">
        <v>3.6308630000000002</v>
      </c>
      <c r="M15" s="28">
        <v>4.9130000000000003</v>
      </c>
      <c r="N15" s="30">
        <v>3.4915850000000002</v>
      </c>
      <c r="O15" s="30"/>
      <c r="P15" s="24">
        <f t="shared" si="0"/>
        <v>38.245928000000006</v>
      </c>
      <c r="Q15" s="25"/>
    </row>
    <row r="16" spans="1:17" ht="13.5" thickBot="1" x14ac:dyDescent="0.25">
      <c r="A16" s="26" t="s">
        <v>10</v>
      </c>
      <c r="B16" s="19"/>
      <c r="C16" s="19"/>
      <c r="D16" s="31"/>
      <c r="E16" s="31"/>
      <c r="F16" s="31"/>
      <c r="G16" s="32"/>
      <c r="H16" s="28"/>
      <c r="I16" s="36"/>
      <c r="J16" s="29"/>
      <c r="K16" s="28"/>
      <c r="L16" s="28"/>
      <c r="M16" s="28">
        <v>9.3480000000000008</v>
      </c>
      <c r="N16" s="30">
        <v>9.0673919999999999</v>
      </c>
      <c r="O16" s="30"/>
      <c r="P16" s="24">
        <f t="shared" si="0"/>
        <v>18.415392000000001</v>
      </c>
      <c r="Q16" s="34"/>
    </row>
    <row r="17" spans="1:22" ht="13.5" thickBot="1" x14ac:dyDescent="0.25">
      <c r="A17" s="26" t="s">
        <v>11</v>
      </c>
      <c r="B17" s="19"/>
      <c r="C17" s="19"/>
      <c r="D17" s="31"/>
      <c r="E17" s="31"/>
      <c r="F17" s="37"/>
      <c r="G17" s="38">
        <v>0.64515</v>
      </c>
      <c r="H17" s="28">
        <v>1.318775</v>
      </c>
      <c r="I17" s="36">
        <v>0.81184000000000001</v>
      </c>
      <c r="J17" s="29">
        <v>1.4229000000000001</v>
      </c>
      <c r="K17" s="28">
        <v>1.1912400000000001</v>
      </c>
      <c r="L17" s="28">
        <v>1.1004400000000001</v>
      </c>
      <c r="M17" s="28">
        <v>1.1859999999999999</v>
      </c>
      <c r="N17" s="30">
        <v>1.0752701</v>
      </c>
      <c r="O17" s="30">
        <v>1.0590259</v>
      </c>
      <c r="P17" s="24">
        <f t="shared" si="0"/>
        <v>9.8106410000000004</v>
      </c>
      <c r="Q17" s="25"/>
    </row>
    <row r="18" spans="1:22" ht="13.5" thickBot="1" x14ac:dyDescent="0.25">
      <c r="A18" s="26" t="s">
        <v>12</v>
      </c>
      <c r="B18" s="19"/>
      <c r="C18" s="19">
        <v>24.060334619999999</v>
      </c>
      <c r="D18" s="19">
        <v>13.375171870000001</v>
      </c>
      <c r="E18" s="19">
        <v>16.492641949999999</v>
      </c>
      <c r="F18" s="31">
        <v>17.329866450000001</v>
      </c>
      <c r="G18" s="32">
        <v>15.85941435</v>
      </c>
      <c r="H18" s="28"/>
      <c r="I18" s="36">
        <v>33.547469</v>
      </c>
      <c r="J18" s="29">
        <v>38.885300999999998</v>
      </c>
      <c r="K18" s="28">
        <v>31.20579</v>
      </c>
      <c r="L18" s="28">
        <v>25.1113845</v>
      </c>
      <c r="M18" s="28">
        <v>26.3</v>
      </c>
      <c r="N18" s="30">
        <v>14.2065</v>
      </c>
      <c r="O18" s="30"/>
      <c r="P18" s="24">
        <f t="shared" si="0"/>
        <v>256.37387374000002</v>
      </c>
      <c r="Q18" s="34"/>
    </row>
    <row r="19" spans="1:22" ht="13.5" thickBot="1" x14ac:dyDescent="0.25">
      <c r="A19" s="26" t="s">
        <v>13</v>
      </c>
      <c r="B19" s="19"/>
      <c r="C19" s="31">
        <v>17.894689750000001</v>
      </c>
      <c r="D19" s="31">
        <v>21.325656089999999</v>
      </c>
      <c r="E19" s="31">
        <v>21.791086740000001</v>
      </c>
      <c r="F19" s="31">
        <v>40.92459264</v>
      </c>
      <c r="G19" s="32">
        <v>39.53459411</v>
      </c>
      <c r="H19" s="28">
        <v>67.379313700000012</v>
      </c>
      <c r="I19" s="39">
        <v>86.156761000000003</v>
      </c>
      <c r="J19" s="29">
        <v>65.449483259999994</v>
      </c>
      <c r="K19" s="28">
        <v>82.800324709999998</v>
      </c>
      <c r="L19" s="28">
        <v>76.483608000000004</v>
      </c>
      <c r="M19" s="28">
        <v>79.2</v>
      </c>
      <c r="N19" s="30">
        <v>106.8762334</v>
      </c>
      <c r="O19" s="30"/>
      <c r="P19" s="24">
        <f t="shared" si="0"/>
        <v>705.81634340000005</v>
      </c>
      <c r="Q19" s="25"/>
    </row>
    <row r="20" spans="1:22" ht="13.5" thickBot="1" x14ac:dyDescent="0.25">
      <c r="A20" s="35" t="s">
        <v>14</v>
      </c>
      <c r="B20" s="19"/>
      <c r="C20" s="31"/>
      <c r="D20" s="31"/>
      <c r="E20" s="31"/>
      <c r="F20" s="31"/>
      <c r="G20" s="32"/>
      <c r="H20" s="28"/>
      <c r="I20" s="28"/>
      <c r="J20" s="29"/>
      <c r="K20" s="28"/>
      <c r="L20" s="28">
        <v>0.4</v>
      </c>
      <c r="M20" s="28">
        <v>0.3</v>
      </c>
      <c r="N20" s="30">
        <v>0.3</v>
      </c>
      <c r="O20" s="30"/>
      <c r="P20" s="24">
        <f t="shared" si="0"/>
        <v>1</v>
      </c>
      <c r="Q20" s="25"/>
    </row>
    <row r="21" spans="1:22" ht="13.5" thickBot="1" x14ac:dyDescent="0.25">
      <c r="A21" s="26" t="s">
        <v>15</v>
      </c>
      <c r="B21" s="19"/>
      <c r="C21" s="19"/>
      <c r="D21" s="19"/>
      <c r="E21" s="19"/>
      <c r="F21" s="19"/>
      <c r="G21" s="32"/>
      <c r="H21" s="19"/>
      <c r="I21" s="19"/>
      <c r="J21" s="29">
        <v>40.536200000000001</v>
      </c>
      <c r="K21" s="28"/>
      <c r="L21" s="28"/>
      <c r="M21" s="28">
        <v>2.6659999999999999</v>
      </c>
      <c r="N21" s="30">
        <v>0</v>
      </c>
      <c r="O21" s="30"/>
      <c r="P21" s="24">
        <f t="shared" si="0"/>
        <v>43.202199999999998</v>
      </c>
      <c r="Q21" s="34"/>
    </row>
    <row r="22" spans="1:22" ht="13.5" thickBot="1" x14ac:dyDescent="0.25">
      <c r="A22" s="26" t="s">
        <v>16</v>
      </c>
      <c r="B22" s="19"/>
      <c r="C22" s="31">
        <v>1.8921325899999999</v>
      </c>
      <c r="D22" s="31">
        <v>1.1147999799999999</v>
      </c>
      <c r="E22" s="31">
        <v>2.38518169</v>
      </c>
      <c r="F22" s="31">
        <v>4.9314298799999996</v>
      </c>
      <c r="G22" s="32">
        <v>12.66340061</v>
      </c>
      <c r="H22" s="28">
        <v>14.593975029999999</v>
      </c>
      <c r="I22" s="28">
        <v>15.514976000000001</v>
      </c>
      <c r="J22" s="29">
        <v>19.151976000000001</v>
      </c>
      <c r="K22" s="28">
        <v>13.80099952</v>
      </c>
      <c r="L22" s="28">
        <v>36.487497500000003</v>
      </c>
      <c r="M22" s="28">
        <v>92.7</v>
      </c>
      <c r="N22" s="30">
        <v>0</v>
      </c>
      <c r="O22" s="30"/>
      <c r="P22" s="24">
        <f t="shared" si="0"/>
        <v>215.23636880000004</v>
      </c>
      <c r="Q22" s="34"/>
    </row>
    <row r="23" spans="1:22" ht="13.5" thickBot="1" x14ac:dyDescent="0.25">
      <c r="A23" s="26" t="s">
        <v>17</v>
      </c>
      <c r="B23" s="19">
        <v>4.4634</v>
      </c>
      <c r="C23" s="19"/>
      <c r="D23" s="31">
        <v>15.048249999999999</v>
      </c>
      <c r="E23" s="19">
        <v>5.60595</v>
      </c>
      <c r="F23" s="31">
        <v>18.491534999999999</v>
      </c>
      <c r="G23" s="32">
        <v>6.6251490000000004</v>
      </c>
      <c r="H23" s="28">
        <v>23.214072000000002</v>
      </c>
      <c r="I23" s="36">
        <v>48.113951999999998</v>
      </c>
      <c r="J23" s="29"/>
      <c r="K23" s="28"/>
      <c r="L23" s="40">
        <v>15.883044</v>
      </c>
      <c r="M23" s="40">
        <v>85.1</v>
      </c>
      <c r="N23" s="41">
        <v>206.88</v>
      </c>
      <c r="O23" s="41"/>
      <c r="P23" s="24">
        <f t="shared" si="0"/>
        <v>429.42535199999998</v>
      </c>
      <c r="Q23" s="25"/>
    </row>
    <row r="24" spans="1:22" ht="13.5" thickBot="1" x14ac:dyDescent="0.25">
      <c r="A24" s="42" t="s">
        <v>18</v>
      </c>
      <c r="B24" s="43"/>
      <c r="C24" s="44">
        <v>48.091999999999999</v>
      </c>
      <c r="D24" s="44">
        <v>53</v>
      </c>
      <c r="E24" s="44">
        <v>58</v>
      </c>
      <c r="F24" s="44">
        <v>59.64</v>
      </c>
      <c r="G24" s="45">
        <v>64.48</v>
      </c>
      <c r="H24" s="46">
        <v>69.3</v>
      </c>
      <c r="I24" s="47">
        <v>69.3</v>
      </c>
      <c r="J24" s="48">
        <v>71.912999999999997</v>
      </c>
      <c r="K24" s="46">
        <v>75</v>
      </c>
      <c r="L24" s="46">
        <v>78</v>
      </c>
      <c r="M24" s="46">
        <v>89.8</v>
      </c>
      <c r="N24" s="49">
        <v>130</v>
      </c>
      <c r="O24" s="49"/>
      <c r="P24" s="24">
        <f t="shared" si="0"/>
        <v>866.52499999999998</v>
      </c>
      <c r="Q24" s="25"/>
    </row>
    <row r="25" spans="1:22" ht="13.5" thickBot="1" x14ac:dyDescent="0.25">
      <c r="A25" s="50" t="s">
        <v>19</v>
      </c>
      <c r="B25" s="51">
        <f t="shared" ref="B25:P25" si="1">SUM(B9:B24)</f>
        <v>4.4634</v>
      </c>
      <c r="C25" s="51">
        <f>SUM(C9:C24)</f>
        <v>93.086564390000007</v>
      </c>
      <c r="D25" s="51">
        <f t="shared" si="1"/>
        <v>106.25498396</v>
      </c>
      <c r="E25" s="51">
        <f t="shared" si="1"/>
        <v>110.91403173</v>
      </c>
      <c r="F25" s="51">
        <f t="shared" si="1"/>
        <v>160.39815135999999</v>
      </c>
      <c r="G25" s="51">
        <f t="shared" si="1"/>
        <v>274.92391606000001</v>
      </c>
      <c r="H25" s="51">
        <f t="shared" si="1"/>
        <v>216.20010949000005</v>
      </c>
      <c r="I25" s="51">
        <f t="shared" si="1"/>
        <v>282.29137800000001</v>
      </c>
      <c r="J25" s="51">
        <f t="shared" si="1"/>
        <v>269.32929425999998</v>
      </c>
      <c r="K25" s="51">
        <f t="shared" si="1"/>
        <v>255.98825982</v>
      </c>
      <c r="L25" s="51">
        <f t="shared" si="1"/>
        <v>252.64002400000001</v>
      </c>
      <c r="M25" s="51">
        <f t="shared" si="1"/>
        <v>512.89099999999996</v>
      </c>
      <c r="N25" s="51">
        <f t="shared" si="1"/>
        <v>615.20465434000005</v>
      </c>
      <c r="O25" s="51">
        <f t="shared" si="1"/>
        <v>96.152360619999996</v>
      </c>
      <c r="P25" s="52">
        <f t="shared" si="1"/>
        <v>3250.7381280300001</v>
      </c>
      <c r="Q25" s="34"/>
    </row>
    <row r="26" spans="1:22" s="55" customFormat="1" ht="13.5" thickBot="1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34"/>
      <c r="R26"/>
      <c r="S26"/>
      <c r="T26"/>
      <c r="U26"/>
      <c r="V26"/>
    </row>
    <row r="27" spans="1:22" s="55" customFormat="1" ht="13.5" thickBot="1" x14ac:dyDescent="0.25">
      <c r="A27" s="56" t="s">
        <v>20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>
        <v>1</v>
      </c>
      <c r="N27" s="57">
        <v>1</v>
      </c>
      <c r="O27" s="57"/>
      <c r="P27" s="58">
        <f t="shared" ref="P27:P38" si="2">SUM(B27:O27)</f>
        <v>2</v>
      </c>
      <c r="Q27" s="25"/>
      <c r="R27"/>
      <c r="S27"/>
      <c r="T27"/>
      <c r="U27"/>
      <c r="V27"/>
    </row>
    <row r="28" spans="1:22" s="55" customFormat="1" ht="13.5" thickBot="1" x14ac:dyDescent="0.25">
      <c r="A28" s="59" t="s">
        <v>21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2"/>
      <c r="N28" s="62">
        <v>1.6104000000000001</v>
      </c>
      <c r="O28" s="82"/>
      <c r="P28" s="58">
        <f t="shared" si="2"/>
        <v>1.6104000000000001</v>
      </c>
      <c r="Q28" s="25"/>
      <c r="R28"/>
      <c r="S28"/>
      <c r="T28"/>
      <c r="U28"/>
      <c r="V28"/>
    </row>
    <row r="29" spans="1:22" s="55" customFormat="1" ht="13.5" thickBot="1" x14ac:dyDescent="0.25">
      <c r="A29" s="60" t="s">
        <v>22</v>
      </c>
      <c r="B29" s="61">
        <v>325</v>
      </c>
      <c r="C29" s="61">
        <v>425</v>
      </c>
      <c r="D29" s="61"/>
      <c r="E29" s="61">
        <v>3.5</v>
      </c>
      <c r="F29" s="61">
        <v>5</v>
      </c>
      <c r="G29" s="61">
        <v>154.33799999999999</v>
      </c>
      <c r="H29" s="61"/>
      <c r="I29" s="61">
        <v>75</v>
      </c>
      <c r="J29" s="61">
        <v>75</v>
      </c>
      <c r="K29" s="61">
        <v>75</v>
      </c>
      <c r="L29" s="61">
        <v>75</v>
      </c>
      <c r="M29" s="62">
        <v>264.10000000000002</v>
      </c>
      <c r="N29" s="62">
        <v>268.8</v>
      </c>
      <c r="O29" s="82">
        <v>192.54599999999999</v>
      </c>
      <c r="P29" s="58">
        <f t="shared" si="2"/>
        <v>1938.2840000000001</v>
      </c>
      <c r="Q29" s="25"/>
      <c r="R29"/>
      <c r="S29"/>
      <c r="T29"/>
      <c r="U29"/>
      <c r="V29"/>
    </row>
    <row r="30" spans="1:22" s="55" customFormat="1" ht="13.5" thickBot="1" x14ac:dyDescent="0.25">
      <c r="A30" s="60" t="s">
        <v>23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2"/>
      <c r="N30" s="62">
        <v>3.2</v>
      </c>
      <c r="O30" s="62">
        <v>6.7903000000000002</v>
      </c>
      <c r="P30" s="58">
        <f t="shared" si="2"/>
        <v>9.9903000000000013</v>
      </c>
      <c r="Q30" s="25"/>
      <c r="R30"/>
      <c r="S30"/>
      <c r="T30"/>
      <c r="U30"/>
      <c r="V30"/>
    </row>
    <row r="31" spans="1:22" s="55" customFormat="1" ht="13.5" thickBot="1" x14ac:dyDescent="0.25">
      <c r="A31" s="84" t="s">
        <v>39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2"/>
      <c r="N31" s="62"/>
      <c r="O31" s="62">
        <v>3.181</v>
      </c>
      <c r="P31" s="58">
        <f t="shared" si="2"/>
        <v>3.181</v>
      </c>
      <c r="Q31" s="25"/>
      <c r="R31"/>
      <c r="S31"/>
      <c r="T31"/>
      <c r="U31"/>
      <c r="V31"/>
    </row>
    <row r="32" spans="1:22" s="55" customFormat="1" ht="26.25" thickBot="1" x14ac:dyDescent="0.25">
      <c r="A32" s="60" t="s">
        <v>24</v>
      </c>
      <c r="B32" s="61"/>
      <c r="C32" s="61"/>
      <c r="D32" s="61"/>
      <c r="E32" s="61"/>
      <c r="F32" s="61"/>
      <c r="G32" s="61"/>
      <c r="H32" s="61"/>
      <c r="I32" s="63"/>
      <c r="J32" s="62"/>
      <c r="K32" s="62"/>
      <c r="L32" s="62"/>
      <c r="M32" s="62">
        <v>14.1</v>
      </c>
      <c r="N32" s="62">
        <v>8.8254854999999992</v>
      </c>
      <c r="O32" s="62"/>
      <c r="P32" s="58">
        <f t="shared" si="2"/>
        <v>22.925485500000001</v>
      </c>
      <c r="Q32" s="34"/>
      <c r="R32"/>
      <c r="S32"/>
      <c r="T32"/>
      <c r="U32"/>
      <c r="V32"/>
    </row>
    <row r="33" spans="1:22" ht="13.5" thickBot="1" x14ac:dyDescent="0.25">
      <c r="A33" s="26" t="s">
        <v>25</v>
      </c>
      <c r="B33" s="61"/>
      <c r="C33" s="61"/>
      <c r="D33" s="61"/>
      <c r="E33" s="61"/>
      <c r="F33" s="61"/>
      <c r="G33" s="61"/>
      <c r="H33" s="61"/>
      <c r="I33" s="63"/>
      <c r="J33" s="62">
        <v>5.8</v>
      </c>
      <c r="K33" s="62">
        <v>5.9</v>
      </c>
      <c r="L33" s="62">
        <v>4</v>
      </c>
      <c r="M33" s="64">
        <v>3.1</v>
      </c>
      <c r="N33" s="34">
        <v>2.841215</v>
      </c>
      <c r="O33" s="62">
        <v>1.3667027300000001</v>
      </c>
      <c r="P33" s="58">
        <f t="shared" si="2"/>
        <v>23.007917730000003</v>
      </c>
      <c r="Q33" s="25"/>
    </row>
    <row r="34" spans="1:22" ht="13.5" thickBot="1" x14ac:dyDescent="0.25">
      <c r="A34" s="65" t="s">
        <v>26</v>
      </c>
      <c r="B34" s="61"/>
      <c r="C34" s="61"/>
      <c r="D34" s="61"/>
      <c r="E34" s="61"/>
      <c r="F34" s="61"/>
      <c r="G34" s="61"/>
      <c r="H34" s="61"/>
      <c r="I34" s="63"/>
      <c r="J34" s="62"/>
      <c r="K34" s="62"/>
      <c r="L34" s="62"/>
      <c r="M34" s="64"/>
      <c r="N34" s="64">
        <v>1.5</v>
      </c>
      <c r="O34" s="64">
        <v>1.5</v>
      </c>
      <c r="P34" s="58">
        <f t="shared" si="2"/>
        <v>3</v>
      </c>
      <c r="Q34" s="25"/>
    </row>
    <row r="35" spans="1:22" ht="13.5" thickBot="1" x14ac:dyDescent="0.25">
      <c r="A35" s="65" t="s">
        <v>27</v>
      </c>
      <c r="B35" s="61"/>
      <c r="C35" s="61"/>
      <c r="D35" s="61"/>
      <c r="E35" s="61"/>
      <c r="F35" s="61"/>
      <c r="G35" s="61"/>
      <c r="H35" s="61"/>
      <c r="I35" s="63"/>
      <c r="J35" s="62"/>
      <c r="K35" s="62"/>
      <c r="L35" s="62"/>
      <c r="M35" s="64">
        <v>2.3610000000000002</v>
      </c>
      <c r="N35" s="64"/>
      <c r="O35" s="64"/>
      <c r="P35" s="58">
        <f t="shared" si="2"/>
        <v>2.3610000000000002</v>
      </c>
      <c r="Q35" s="34"/>
    </row>
    <row r="36" spans="1:22" ht="26.25" thickBot="1" x14ac:dyDescent="0.25">
      <c r="A36" s="66" t="s">
        <v>28</v>
      </c>
      <c r="B36" s="61"/>
      <c r="C36" s="61"/>
      <c r="D36" s="61"/>
      <c r="E36" s="61"/>
      <c r="F36" s="61"/>
      <c r="G36" s="61"/>
      <c r="H36" s="61"/>
      <c r="I36" s="63"/>
      <c r="J36" s="62"/>
      <c r="K36" s="62"/>
      <c r="L36" s="62"/>
      <c r="M36" s="64"/>
      <c r="N36" s="64">
        <v>4.3</v>
      </c>
      <c r="O36" s="64">
        <v>2.2000000000000002</v>
      </c>
      <c r="P36" s="58">
        <f t="shared" si="2"/>
        <v>6.5</v>
      </c>
      <c r="Q36" s="25"/>
    </row>
    <row r="37" spans="1:22" ht="13.5" thickBot="1" x14ac:dyDescent="0.25">
      <c r="A37" s="83" t="s">
        <v>40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>
        <v>0.191525</v>
      </c>
      <c r="P37" s="58">
        <f t="shared" si="2"/>
        <v>0.191525</v>
      </c>
      <c r="Q37" s="25"/>
    </row>
    <row r="38" spans="1:22" ht="13.5" thickBot="1" x14ac:dyDescent="0.25">
      <c r="A38" s="83" t="s">
        <v>38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>
        <v>0.15031973000000001</v>
      </c>
      <c r="P38" s="58">
        <f t="shared" si="2"/>
        <v>0.15031973000000001</v>
      </c>
      <c r="Q38" s="25"/>
    </row>
    <row r="39" spans="1:22" ht="13.5" thickBot="1" x14ac:dyDescent="0.25">
      <c r="A39" s="83" t="s">
        <v>29</v>
      </c>
      <c r="B39" s="62">
        <v>0.02</v>
      </c>
      <c r="C39" s="62"/>
      <c r="D39" s="62">
        <v>1.6303609999999999</v>
      </c>
      <c r="E39" s="62">
        <v>2.5808469999999999</v>
      </c>
      <c r="F39" s="62">
        <v>1.805051</v>
      </c>
      <c r="G39" s="62">
        <v>0.47348000000000001</v>
      </c>
      <c r="H39" s="62">
        <v>1.904352</v>
      </c>
      <c r="I39" s="62">
        <v>1.1000000000000001</v>
      </c>
      <c r="J39" s="62">
        <v>0.8</v>
      </c>
      <c r="K39" s="62">
        <v>1</v>
      </c>
      <c r="L39" s="62">
        <v>1</v>
      </c>
      <c r="M39" s="62">
        <v>0.82699999999999996</v>
      </c>
      <c r="N39" s="62">
        <v>0.8</v>
      </c>
      <c r="O39" s="62">
        <v>0.62200140999999998</v>
      </c>
      <c r="P39" s="58">
        <f>SUM(B39:O39)</f>
        <v>14.563092409999999</v>
      </c>
      <c r="Q39" s="25"/>
    </row>
    <row r="40" spans="1:22" ht="13.5" thickBot="1" x14ac:dyDescent="0.25">
      <c r="A40" s="50" t="s">
        <v>30</v>
      </c>
      <c r="B40" s="67">
        <f t="shared" ref="B40:P40" si="3">SUM(B27:B39)</f>
        <v>325.02</v>
      </c>
      <c r="C40" s="67">
        <f t="shared" si="3"/>
        <v>425</v>
      </c>
      <c r="D40" s="67">
        <f t="shared" si="3"/>
        <v>1.6303609999999999</v>
      </c>
      <c r="E40" s="67">
        <f t="shared" si="3"/>
        <v>6.0808470000000003</v>
      </c>
      <c r="F40" s="67">
        <f t="shared" si="3"/>
        <v>6.8050509999999997</v>
      </c>
      <c r="G40" s="67">
        <f t="shared" si="3"/>
        <v>154.81147999999999</v>
      </c>
      <c r="H40" s="67">
        <f t="shared" si="3"/>
        <v>1.904352</v>
      </c>
      <c r="I40" s="67">
        <f t="shared" si="3"/>
        <v>76.099999999999994</v>
      </c>
      <c r="J40" s="67">
        <f t="shared" si="3"/>
        <v>81.599999999999994</v>
      </c>
      <c r="K40" s="67">
        <f t="shared" si="3"/>
        <v>81.900000000000006</v>
      </c>
      <c r="L40" s="67">
        <f t="shared" si="3"/>
        <v>80</v>
      </c>
      <c r="M40" s="67">
        <f t="shared" si="3"/>
        <v>285.48800000000006</v>
      </c>
      <c r="N40" s="67">
        <f t="shared" si="3"/>
        <v>292.87710050000004</v>
      </c>
      <c r="O40" s="67">
        <f t="shared" si="3"/>
        <v>208.54784887000002</v>
      </c>
      <c r="P40" s="68">
        <f t="shared" si="3"/>
        <v>2027.7650403700002</v>
      </c>
      <c r="Q40" s="34"/>
    </row>
    <row r="41" spans="1:22" s="55" customFormat="1" ht="13.5" thickBot="1" x14ac:dyDescent="0.25">
      <c r="A41" s="53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54"/>
      <c r="Q41" s="34"/>
      <c r="R41"/>
      <c r="S41"/>
      <c r="T41"/>
      <c r="U41"/>
      <c r="V41"/>
    </row>
    <row r="42" spans="1:22" ht="13.5" thickBot="1" x14ac:dyDescent="0.25">
      <c r="A42" s="70" t="s">
        <v>31</v>
      </c>
      <c r="B42" s="71">
        <f t="shared" ref="B42:P42" si="4">B25+B40</f>
        <v>329.48339999999996</v>
      </c>
      <c r="C42" s="71">
        <f t="shared" si="4"/>
        <v>518.08656439000004</v>
      </c>
      <c r="D42" s="71">
        <f t="shared" si="4"/>
        <v>107.88534496</v>
      </c>
      <c r="E42" s="71">
        <f t="shared" si="4"/>
        <v>116.99487873000001</v>
      </c>
      <c r="F42" s="71">
        <f t="shared" si="4"/>
        <v>167.20320235999998</v>
      </c>
      <c r="G42" s="71">
        <f t="shared" si="4"/>
        <v>429.73539605999997</v>
      </c>
      <c r="H42" s="71">
        <f t="shared" si="4"/>
        <v>218.10446149000003</v>
      </c>
      <c r="I42" s="71">
        <f t="shared" si="4"/>
        <v>358.39137800000003</v>
      </c>
      <c r="J42" s="71">
        <f t="shared" si="4"/>
        <v>350.92929426000001</v>
      </c>
      <c r="K42" s="71">
        <f t="shared" si="4"/>
        <v>337.88825982000003</v>
      </c>
      <c r="L42" s="71">
        <f t="shared" si="4"/>
        <v>332.64002400000004</v>
      </c>
      <c r="M42" s="71">
        <f t="shared" si="4"/>
        <v>798.37900000000002</v>
      </c>
      <c r="N42" s="71">
        <f t="shared" si="4"/>
        <v>908.08175484000003</v>
      </c>
      <c r="O42" s="71">
        <f t="shared" si="4"/>
        <v>304.70020949000002</v>
      </c>
      <c r="P42" s="72">
        <f t="shared" si="4"/>
        <v>5278.5031684000005</v>
      </c>
      <c r="Q42" s="34"/>
    </row>
    <row r="43" spans="1:22" s="74" customFormat="1" ht="13.5" thickBot="1" x14ac:dyDescent="0.25">
      <c r="A43" s="73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34"/>
      <c r="R43"/>
      <c r="S43"/>
      <c r="T43"/>
      <c r="U43"/>
      <c r="V43"/>
    </row>
    <row r="44" spans="1:22" ht="13.5" thickBot="1" x14ac:dyDescent="0.25">
      <c r="A44" s="75" t="s">
        <v>32</v>
      </c>
      <c r="B44" s="51"/>
      <c r="C44" s="51"/>
      <c r="D44" s="51"/>
      <c r="E44" s="51"/>
      <c r="F44" s="51"/>
      <c r="G44" s="51"/>
      <c r="H44" s="51">
        <v>524.74928499999999</v>
      </c>
      <c r="I44" s="51">
        <v>428.268866</v>
      </c>
      <c r="J44" s="51">
        <v>272.63813299999998</v>
      </c>
      <c r="K44" s="51">
        <v>330.02699999999999</v>
      </c>
      <c r="L44" s="51">
        <v>320</v>
      </c>
      <c r="M44" s="51">
        <v>300</v>
      </c>
      <c r="N44" s="51">
        <v>100</v>
      </c>
      <c r="O44" s="51">
        <v>100</v>
      </c>
      <c r="P44" s="76">
        <f>SUM(B44:O44)</f>
        <v>2375.6832839999997</v>
      </c>
      <c r="Q44" s="25"/>
    </row>
    <row r="45" spans="1:22" ht="13.5" thickBot="1" x14ac:dyDescent="0.25">
      <c r="A45" s="75" t="s">
        <v>33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>
        <v>42.877049999999997</v>
      </c>
      <c r="M45" s="51">
        <f>128165700/1000000</f>
        <v>128.16569999999999</v>
      </c>
      <c r="N45" s="51">
        <v>223.5</v>
      </c>
      <c r="O45" s="51">
        <v>120</v>
      </c>
      <c r="P45" s="52">
        <f>SUM(B45:O45)</f>
        <v>514.54274999999996</v>
      </c>
      <c r="Q45" s="25"/>
    </row>
    <row r="46" spans="1:22" s="55" customFormat="1" ht="13.5" thickBot="1" x14ac:dyDescent="0.25">
      <c r="A46" s="73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34"/>
      <c r="R46"/>
      <c r="S46"/>
      <c r="T46"/>
      <c r="U46"/>
      <c r="V46"/>
    </row>
    <row r="47" spans="1:22" ht="13.5" thickBot="1" x14ac:dyDescent="0.25">
      <c r="A47" s="77" t="s">
        <v>34</v>
      </c>
      <c r="B47" s="78">
        <f t="shared" ref="B47:N47" si="5">SUM(B42:B45)</f>
        <v>329.48339999999996</v>
      </c>
      <c r="C47" s="78">
        <f t="shared" si="5"/>
        <v>518.08656439000004</v>
      </c>
      <c r="D47" s="78">
        <f t="shared" si="5"/>
        <v>107.88534496</v>
      </c>
      <c r="E47" s="78">
        <f t="shared" si="5"/>
        <v>116.99487873000001</v>
      </c>
      <c r="F47" s="78">
        <f t="shared" si="5"/>
        <v>167.20320235999998</v>
      </c>
      <c r="G47" s="78">
        <f t="shared" si="5"/>
        <v>429.73539605999997</v>
      </c>
      <c r="H47" s="78">
        <f t="shared" si="5"/>
        <v>742.85374649000005</v>
      </c>
      <c r="I47" s="78">
        <f t="shared" si="5"/>
        <v>786.66024400000003</v>
      </c>
      <c r="J47" s="78">
        <f t="shared" si="5"/>
        <v>623.56742725999993</v>
      </c>
      <c r="K47" s="78">
        <f t="shared" si="5"/>
        <v>667.91525982000007</v>
      </c>
      <c r="L47" s="78">
        <f t="shared" si="5"/>
        <v>695.51707400000009</v>
      </c>
      <c r="M47" s="78">
        <f t="shared" si="5"/>
        <v>1226.5446999999999</v>
      </c>
      <c r="N47" s="78">
        <f t="shared" si="5"/>
        <v>1231.58175484</v>
      </c>
      <c r="O47" s="78">
        <f>SUM(O42:O45)</f>
        <v>524.70020949000002</v>
      </c>
      <c r="P47" s="78">
        <f>SUM(P42:P45)</f>
        <v>8168.7292023999998</v>
      </c>
      <c r="Q47" s="34"/>
    </row>
    <row r="48" spans="1:22" x14ac:dyDescent="0.2"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</row>
    <row r="49" spans="1:15" x14ac:dyDescent="0.2">
      <c r="A49" s="80" t="s">
        <v>35</v>
      </c>
      <c r="C49" s="12"/>
      <c r="D49" s="12"/>
      <c r="F49" s="12"/>
      <c r="G49" s="12"/>
      <c r="H49" s="81"/>
    </row>
    <row r="50" spans="1:15" x14ac:dyDescent="0.2">
      <c r="K50" s="12"/>
      <c r="L50" s="12"/>
      <c r="M50" s="12"/>
      <c r="N50" s="12"/>
      <c r="O50" s="12"/>
    </row>
    <row r="51" spans="1:15" ht="18.75" customHeight="1" x14ac:dyDescent="0.2"/>
    <row r="53" spans="1:15" ht="14.25" customHeight="1" x14ac:dyDescent="0.2"/>
    <row r="59" spans="1:15" ht="21.75" customHeight="1" x14ac:dyDescent="0.2"/>
    <row r="67" ht="18" customHeight="1" x14ac:dyDescent="0.2"/>
  </sheetData>
  <pageMargins left="0.7" right="0.7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2000-2013-Cash Receipts</vt:lpstr>
      <vt:lpstr>'2000-2013-Cash Receipts'!Print_Area</vt:lpstr>
    </vt:vector>
  </TitlesOfParts>
  <Company>Gavi Alliance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 Alliance</dc:creator>
  <cp:lastModifiedBy>Gavi Alliance</cp:lastModifiedBy>
  <dcterms:created xsi:type="dcterms:W3CDTF">2013-01-25T10:21:26Z</dcterms:created>
  <dcterms:modified xsi:type="dcterms:W3CDTF">2013-07-30T18:55:09Z</dcterms:modified>
</cp:coreProperties>
</file>