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75" windowWidth="19320" windowHeight="12210"/>
  </bookViews>
  <sheets>
    <sheet name="Ark1" sheetId="1" r:id="rId1"/>
    <sheet name="Ark2" sheetId="2" r:id="rId2"/>
    <sheet name="Ark3" sheetId="3" r:id="rId3"/>
  </sheets>
  <calcPr calcId="145621"/>
</workbook>
</file>

<file path=xl/calcChain.xml><?xml version="1.0" encoding="utf-8"?>
<calcChain xmlns="http://schemas.openxmlformats.org/spreadsheetml/2006/main">
  <c r="D106" i="1"/>
  <c r="D103"/>
  <c r="D97"/>
  <c r="D100"/>
  <c r="D96"/>
  <c r="D101"/>
  <c r="D99"/>
  <c r="D86"/>
  <c r="D95"/>
  <c r="D94"/>
  <c r="D93"/>
  <c r="D91"/>
  <c r="D90"/>
  <c r="D76"/>
  <c r="D58"/>
  <c r="D98"/>
  <c r="D81"/>
  <c r="D89"/>
  <c r="D79"/>
  <c r="D92"/>
  <c r="D85"/>
  <c r="D70"/>
  <c r="D75"/>
  <c r="D59"/>
  <c r="D84"/>
  <c r="D67"/>
  <c r="D88"/>
  <c r="D80"/>
  <c r="D69"/>
  <c r="D63"/>
  <c r="D87"/>
  <c r="D66"/>
  <c r="D72"/>
  <c r="D74"/>
  <c r="D35"/>
  <c r="D83"/>
  <c r="D65"/>
  <c r="D54"/>
  <c r="D57"/>
  <c r="D78"/>
  <c r="D68"/>
  <c r="D46"/>
  <c r="D82"/>
  <c r="D47"/>
  <c r="D51"/>
  <c r="G106"/>
  <c r="G103"/>
  <c r="G97"/>
  <c r="G100"/>
  <c r="G96"/>
  <c r="G101"/>
  <c r="G99"/>
  <c r="G86"/>
  <c r="G95"/>
  <c r="G94"/>
  <c r="G93"/>
  <c r="G91"/>
  <c r="G90"/>
  <c r="G76"/>
  <c r="G58"/>
  <c r="G98"/>
  <c r="G81"/>
  <c r="G89"/>
  <c r="G79"/>
  <c r="G92"/>
  <c r="G85"/>
  <c r="G70"/>
  <c r="G75"/>
  <c r="G59"/>
  <c r="G84"/>
  <c r="G67"/>
  <c r="G88"/>
  <c r="G80"/>
  <c r="G69"/>
  <c r="G63"/>
  <c r="G87"/>
  <c r="G66"/>
  <c r="G72"/>
  <c r="G74"/>
  <c r="G35"/>
  <c r="G83"/>
  <c r="G65"/>
  <c r="G54"/>
  <c r="G57"/>
  <c r="G78"/>
  <c r="G68"/>
  <c r="G46"/>
  <c r="G82"/>
  <c r="G47"/>
  <c r="G51"/>
  <c r="K106"/>
  <c r="K103"/>
  <c r="K97"/>
  <c r="K100"/>
  <c r="K96"/>
  <c r="K101"/>
  <c r="K99"/>
  <c r="K86"/>
  <c r="K95"/>
  <c r="K94"/>
  <c r="K93"/>
  <c r="K91"/>
  <c r="K90"/>
  <c r="K76"/>
  <c r="K58"/>
  <c r="K98"/>
  <c r="K81"/>
  <c r="K89"/>
  <c r="K79"/>
  <c r="K92"/>
  <c r="K85"/>
  <c r="K70"/>
  <c r="K75"/>
  <c r="K59"/>
  <c r="K84"/>
  <c r="K67"/>
  <c r="K88"/>
  <c r="K80"/>
  <c r="K69"/>
  <c r="K63"/>
  <c r="K87"/>
  <c r="K66"/>
  <c r="K72"/>
  <c r="K74"/>
  <c r="K35"/>
  <c r="K83"/>
  <c r="K65"/>
  <c r="K54"/>
  <c r="K57"/>
  <c r="K78"/>
  <c r="K68"/>
  <c r="K46"/>
  <c r="K82"/>
  <c r="K47"/>
  <c r="K51"/>
  <c r="K73"/>
  <c r="K62"/>
  <c r="K60"/>
  <c r="K64"/>
  <c r="K61"/>
  <c r="K77"/>
  <c r="S106"/>
  <c r="S103"/>
  <c r="S97"/>
  <c r="S100"/>
  <c r="S96"/>
  <c r="S101"/>
  <c r="S99"/>
  <c r="S86"/>
  <c r="S95"/>
  <c r="S94"/>
  <c r="S93"/>
  <c r="S91"/>
  <c r="S90"/>
  <c r="S76"/>
  <c r="S58"/>
  <c r="S98"/>
  <c r="S81"/>
  <c r="S89"/>
  <c r="S79"/>
  <c r="S92"/>
  <c r="S85"/>
  <c r="S70"/>
  <c r="S75"/>
  <c r="S59"/>
  <c r="S84"/>
  <c r="S67"/>
  <c r="S88"/>
  <c r="S80"/>
  <c r="S69"/>
  <c r="S63"/>
  <c r="S87"/>
  <c r="S66"/>
  <c r="S72"/>
  <c r="S74"/>
  <c r="S35"/>
  <c r="S83"/>
  <c r="S65"/>
  <c r="S54"/>
  <c r="S57"/>
  <c r="S78"/>
  <c r="S68"/>
  <c r="S46"/>
  <c r="S82"/>
  <c r="S47"/>
  <c r="S51"/>
  <c r="S73"/>
  <c r="S62"/>
  <c r="S60"/>
  <c r="S64"/>
  <c r="S61"/>
  <c r="S77"/>
  <c r="S50"/>
  <c r="S71"/>
  <c r="S56"/>
  <c r="S53"/>
  <c r="S45"/>
  <c r="S52"/>
  <c r="S48"/>
  <c r="S55"/>
  <c r="S49"/>
  <c r="S27"/>
  <c r="S12"/>
  <c r="S40"/>
  <c r="S37"/>
  <c r="S20"/>
  <c r="S44"/>
  <c r="S14"/>
  <c r="S6"/>
  <c r="S5"/>
  <c r="S29"/>
  <c r="S31"/>
  <c r="S17"/>
  <c r="S39"/>
  <c r="S38"/>
  <c r="S8"/>
  <c r="S32"/>
  <c r="S109"/>
  <c r="S11"/>
  <c r="S23"/>
  <c r="S15"/>
  <c r="S34"/>
  <c r="S24"/>
  <c r="S108"/>
  <c r="S107"/>
  <c r="S26"/>
  <c r="S13"/>
  <c r="S10"/>
  <c r="S9"/>
  <c r="S105"/>
  <c r="S102"/>
  <c r="S104"/>
  <c r="S25"/>
  <c r="S36"/>
  <c r="S21"/>
  <c r="S18"/>
  <c r="S30"/>
  <c r="S19"/>
  <c r="S28"/>
  <c r="W106"/>
  <c r="W103"/>
  <c r="W97"/>
  <c r="W100"/>
  <c r="W96"/>
  <c r="W101"/>
  <c r="W99"/>
  <c r="W86"/>
  <c r="W95"/>
  <c r="W94"/>
  <c r="W93"/>
  <c r="W91"/>
  <c r="W90"/>
  <c r="W76"/>
  <c r="W58"/>
  <c r="W98"/>
  <c r="W81"/>
  <c r="W89"/>
  <c r="W79"/>
  <c r="W92"/>
  <c r="W85"/>
  <c r="W70"/>
  <c r="W75"/>
  <c r="W59"/>
  <c r="W84"/>
  <c r="W67"/>
  <c r="W88"/>
  <c r="W80"/>
  <c r="W69"/>
  <c r="W63"/>
  <c r="W87"/>
  <c r="W66"/>
  <c r="W72"/>
  <c r="W74"/>
  <c r="W35"/>
  <c r="W83"/>
  <c r="W65"/>
  <c r="W54"/>
  <c r="W57"/>
  <c r="W78"/>
  <c r="W68"/>
  <c r="W46"/>
  <c r="W82"/>
  <c r="W47"/>
  <c r="W51"/>
  <c r="W73"/>
  <c r="W62"/>
  <c r="W60"/>
  <c r="W64"/>
  <c r="W61"/>
  <c r="W77"/>
  <c r="W50"/>
  <c r="W71"/>
  <c r="W56"/>
  <c r="W53"/>
  <c r="W45"/>
  <c r="W52"/>
  <c r="W48"/>
  <c r="W55"/>
  <c r="W49"/>
  <c r="W27"/>
  <c r="W12"/>
  <c r="W40"/>
  <c r="W37"/>
  <c r="W20"/>
  <c r="W44"/>
  <c r="W14"/>
  <c r="W6"/>
  <c r="W5"/>
  <c r="W29"/>
  <c r="W31"/>
  <c r="W17"/>
  <c r="W39"/>
  <c r="W38"/>
  <c r="W8"/>
  <c r="W32"/>
  <c r="W109"/>
  <c r="W11"/>
  <c r="W23"/>
  <c r="W15"/>
  <c r="W34"/>
  <c r="W24"/>
  <c r="W108"/>
  <c r="W107"/>
  <c r="W26"/>
  <c r="W13"/>
  <c r="W10"/>
  <c r="W9"/>
  <c r="W105"/>
  <c r="W102"/>
  <c r="W104"/>
  <c r="W25"/>
  <c r="W36"/>
  <c r="W21"/>
  <c r="W18"/>
  <c r="W30"/>
  <c r="W19"/>
  <c r="W28"/>
  <c r="O106"/>
  <c r="O103"/>
  <c r="O97"/>
  <c r="O100"/>
  <c r="O96"/>
  <c r="O101"/>
  <c r="O99"/>
  <c r="O86"/>
  <c r="O95"/>
  <c r="O94"/>
  <c r="O93"/>
  <c r="O91"/>
  <c r="O90"/>
  <c r="O76"/>
  <c r="O58"/>
  <c r="O98"/>
  <c r="O81"/>
  <c r="O89"/>
  <c r="O79"/>
  <c r="O92"/>
  <c r="O85"/>
  <c r="O70"/>
  <c r="O75"/>
  <c r="O59"/>
  <c r="O84"/>
  <c r="O67"/>
  <c r="O88"/>
  <c r="O80"/>
  <c r="O69"/>
  <c r="O63"/>
  <c r="O87"/>
  <c r="O66"/>
  <c r="O72"/>
  <c r="O74"/>
  <c r="O35"/>
  <c r="O83"/>
  <c r="O65"/>
  <c r="O54"/>
  <c r="O57"/>
  <c r="O78"/>
  <c r="O68"/>
  <c r="O46"/>
  <c r="O82"/>
  <c r="O47"/>
  <c r="O51"/>
  <c r="O73"/>
  <c r="O62"/>
  <c r="O60"/>
  <c r="O64"/>
  <c r="O61"/>
  <c r="O77"/>
  <c r="O50"/>
  <c r="O71"/>
  <c r="O56"/>
  <c r="O53"/>
  <c r="O45"/>
  <c r="O52"/>
  <c r="O48"/>
  <c r="O55"/>
  <c r="O49"/>
  <c r="O27"/>
  <c r="O12"/>
  <c r="O40"/>
  <c r="O37"/>
  <c r="O20"/>
  <c r="O44"/>
  <c r="O14"/>
  <c r="O6"/>
  <c r="O5"/>
  <c r="O29"/>
  <c r="O31"/>
  <c r="O17"/>
  <c r="O39"/>
  <c r="O38"/>
  <c r="O8"/>
  <c r="O32"/>
  <c r="O109"/>
  <c r="O11"/>
  <c r="O23"/>
  <c r="O15"/>
  <c r="O34"/>
  <c r="O24"/>
  <c r="O108"/>
  <c r="O107"/>
  <c r="O26"/>
  <c r="O13"/>
  <c r="O10"/>
  <c r="O9"/>
  <c r="O105"/>
  <c r="O102"/>
  <c r="O104"/>
  <c r="O25"/>
  <c r="O36"/>
  <c r="O21"/>
  <c r="O18"/>
  <c r="O30"/>
  <c r="O19"/>
  <c r="O28"/>
  <c r="O7"/>
  <c r="K50"/>
  <c r="K71"/>
  <c r="K56"/>
  <c r="K53"/>
  <c r="K45"/>
  <c r="K52"/>
  <c r="K48"/>
  <c r="K55"/>
  <c r="K49"/>
  <c r="K27"/>
  <c r="K12"/>
  <c r="K40"/>
  <c r="K37"/>
  <c r="K20"/>
  <c r="K44"/>
  <c r="K14"/>
  <c r="K6"/>
  <c r="K5"/>
  <c r="K29"/>
  <c r="K31"/>
  <c r="K17"/>
  <c r="K39"/>
  <c r="K38"/>
  <c r="K8"/>
  <c r="K32"/>
  <c r="K109"/>
  <c r="K11"/>
  <c r="K23"/>
  <c r="K15"/>
  <c r="K34"/>
  <c r="K24"/>
  <c r="K108"/>
  <c r="K107"/>
  <c r="K26"/>
  <c r="K13"/>
  <c r="K10"/>
  <c r="K9"/>
  <c r="K105"/>
  <c r="K102"/>
  <c r="G73"/>
  <c r="G62"/>
  <c r="G60"/>
  <c r="G64"/>
  <c r="G61"/>
  <c r="G77"/>
  <c r="G50"/>
  <c r="G71"/>
  <c r="G56"/>
  <c r="G53"/>
  <c r="G45"/>
  <c r="G52"/>
  <c r="G48"/>
  <c r="G55"/>
  <c r="G49"/>
  <c r="G27"/>
  <c r="G12"/>
  <c r="G40"/>
  <c r="G37"/>
  <c r="G20"/>
  <c r="G44"/>
  <c r="G14"/>
  <c r="G6"/>
  <c r="G5"/>
  <c r="G29"/>
  <c r="G31"/>
  <c r="G17"/>
  <c r="G39"/>
  <c r="G38"/>
  <c r="G8"/>
  <c r="G32"/>
  <c r="G109"/>
  <c r="G11"/>
  <c r="G23"/>
  <c r="G15"/>
  <c r="G34"/>
  <c r="G24"/>
  <c r="G108"/>
  <c r="G107"/>
  <c r="G26"/>
  <c r="G13"/>
  <c r="X68"/>
  <c r="X58"/>
  <c r="X96"/>
  <c r="X46"/>
  <c r="X63"/>
  <c r="X98"/>
  <c r="X94"/>
  <c r="X80"/>
  <c r="X103"/>
  <c r="X75"/>
  <c r="X106"/>
  <c r="X100"/>
  <c r="X99"/>
  <c r="X93"/>
  <c r="X79"/>
  <c r="X92"/>
  <c r="X88"/>
  <c r="X87"/>
  <c r="X74"/>
  <c r="X35"/>
  <c r="X57"/>
  <c r="X82"/>
  <c r="X51"/>
  <c r="X97"/>
  <c r="X101"/>
  <c r="X86"/>
  <c r="X95"/>
  <c r="X91"/>
  <c r="X90"/>
  <c r="X76"/>
  <c r="X81"/>
  <c r="X89"/>
  <c r="X85"/>
  <c r="X70"/>
  <c r="X59"/>
  <c r="X84"/>
  <c r="X67"/>
  <c r="X69"/>
  <c r="X66"/>
  <c r="X72"/>
  <c r="X83"/>
  <c r="X65"/>
  <c r="X54"/>
  <c r="X78"/>
  <c r="X47"/>
  <c r="W7"/>
  <c r="G10"/>
  <c r="G9"/>
  <c r="G18"/>
  <c r="G33"/>
  <c r="G41"/>
  <c r="K104"/>
  <c r="K25"/>
  <c r="K36"/>
  <c r="K21"/>
  <c r="K18"/>
  <c r="K30"/>
  <c r="K19"/>
  <c r="K28"/>
  <c r="K7"/>
  <c r="G105"/>
  <c r="G102"/>
  <c r="G104"/>
  <c r="G25"/>
  <c r="G36"/>
  <c r="G21"/>
  <c r="G30"/>
  <c r="G19"/>
  <c r="G28"/>
  <c r="G7"/>
  <c r="D73"/>
  <c r="X73"/>
  <c r="D62"/>
  <c r="X62"/>
  <c r="D60"/>
  <c r="X60"/>
  <c r="D64"/>
  <c r="X64"/>
  <c r="D61"/>
  <c r="X61"/>
  <c r="D77"/>
  <c r="X77"/>
  <c r="D50"/>
  <c r="X50"/>
  <c r="D71"/>
  <c r="X71"/>
  <c r="D56"/>
  <c r="X56"/>
  <c r="D53"/>
  <c r="X53"/>
  <c r="D45"/>
  <c r="X45"/>
  <c r="D52"/>
  <c r="X52"/>
  <c r="D48"/>
  <c r="X48"/>
  <c r="D55"/>
  <c r="X55"/>
  <c r="D49"/>
  <c r="X49"/>
  <c r="D27"/>
  <c r="X27"/>
  <c r="D12"/>
  <c r="X12"/>
  <c r="D40"/>
  <c r="X40"/>
  <c r="D37"/>
  <c r="X37"/>
  <c r="D20"/>
  <c r="X20"/>
  <c r="D44"/>
  <c r="X44"/>
  <c r="D14"/>
  <c r="X14"/>
  <c r="D6"/>
  <c r="X6"/>
  <c r="D5"/>
  <c r="X5"/>
  <c r="D29"/>
  <c r="X29"/>
  <c r="D31"/>
  <c r="X31"/>
  <c r="D17"/>
  <c r="X17"/>
  <c r="D39"/>
  <c r="X39"/>
  <c r="D38"/>
  <c r="X38"/>
  <c r="D8"/>
  <c r="X8"/>
  <c r="D32"/>
  <c r="X32"/>
  <c r="D109"/>
  <c r="X109"/>
  <c r="D11"/>
  <c r="X11"/>
  <c r="D23"/>
  <c r="X23"/>
  <c r="D15"/>
  <c r="X15"/>
  <c r="D34"/>
  <c r="X34"/>
  <c r="D24"/>
  <c r="X24"/>
  <c r="D108"/>
  <c r="X108"/>
  <c r="D107"/>
  <c r="X107"/>
  <c r="D26"/>
  <c r="X26"/>
  <c r="D13"/>
  <c r="X13"/>
  <c r="D10"/>
  <c r="D9"/>
  <c r="D105"/>
  <c r="D102"/>
  <c r="X102"/>
  <c r="D104"/>
  <c r="D25"/>
  <c r="D36"/>
  <c r="D21"/>
  <c r="D18"/>
  <c r="D30"/>
  <c r="D19"/>
  <c r="D28"/>
  <c r="D7"/>
  <c r="S16"/>
  <c r="S42"/>
  <c r="S4"/>
  <c r="S43"/>
  <c r="S3"/>
  <c r="S33"/>
  <c r="W16"/>
  <c r="G42"/>
  <c r="O22"/>
  <c r="K33"/>
  <c r="X28"/>
  <c r="X18"/>
  <c r="X10"/>
  <c r="X19"/>
  <c r="X9"/>
  <c r="X105"/>
  <c r="X104"/>
  <c r="X25"/>
  <c r="X36"/>
  <c r="X21"/>
  <c r="X30"/>
  <c r="S7"/>
  <c r="X7"/>
  <c r="O16"/>
  <c r="K16"/>
  <c r="G16"/>
  <c r="X16"/>
  <c r="D16"/>
  <c r="W42"/>
  <c r="O42"/>
  <c r="K42"/>
  <c r="D42"/>
  <c r="W4"/>
  <c r="O4"/>
  <c r="K4"/>
  <c r="G4"/>
  <c r="D4"/>
  <c r="W43"/>
  <c r="O43"/>
  <c r="K43"/>
  <c r="G43"/>
  <c r="D43"/>
  <c r="W3"/>
  <c r="O3"/>
  <c r="K3"/>
  <c r="G3"/>
  <c r="D3"/>
  <c r="X3"/>
  <c r="K41"/>
  <c r="D41"/>
  <c r="X41"/>
  <c r="K22"/>
  <c r="G22"/>
  <c r="D22"/>
  <c r="W33"/>
  <c r="O33"/>
  <c r="D33"/>
  <c r="X33"/>
  <c r="X42"/>
  <c r="X43"/>
  <c r="X22"/>
  <c r="X4"/>
</calcChain>
</file>

<file path=xl/comments1.xml><?xml version="1.0" encoding="utf-8"?>
<comments xmlns="http://schemas.openxmlformats.org/spreadsheetml/2006/main">
  <authors>
    <author>Michael Slot Bundgaard</author>
  </authors>
  <commentList>
    <comment ref="I11" authorId="0">
      <text>
        <r>
          <rPr>
            <b/>
            <sz val="11"/>
            <color indexed="81"/>
            <rFont val="Tahoma"/>
            <family val="2"/>
          </rPr>
          <t>Michael Slot Bundgaard:</t>
        </r>
        <r>
          <rPr>
            <sz val="11"/>
            <color indexed="81"/>
            <rFont val="Tahoma"/>
            <family val="2"/>
          </rPr>
          <t xml:space="preserve">
KCO kan det sættes lig Odense?</t>
        </r>
      </text>
    </comment>
  </commentList>
</comments>
</file>

<file path=xl/sharedStrings.xml><?xml version="1.0" encoding="utf-8"?>
<sst xmlns="http://schemas.openxmlformats.org/spreadsheetml/2006/main" count="133" uniqueCount="118">
  <si>
    <t>Klub</t>
  </si>
  <si>
    <t>Klub point</t>
  </si>
  <si>
    <t>Sum</t>
  </si>
  <si>
    <t>resultat</t>
  </si>
  <si>
    <t>Vi ror Danmark rundt</t>
  </si>
  <si>
    <t>Holsterbro</t>
  </si>
  <si>
    <t>Skolekaproningen</t>
  </si>
  <si>
    <t>DM kort bane</t>
  </si>
  <si>
    <t>DM langdistance</t>
  </si>
  <si>
    <t>Aarhus</t>
  </si>
  <si>
    <t>Ark</t>
  </si>
  <si>
    <t>Bagsværd</t>
  </si>
  <si>
    <t>Deltagere</t>
  </si>
  <si>
    <t>Inde DM</t>
  </si>
  <si>
    <t>Klubpoint</t>
  </si>
  <si>
    <t>Assens</t>
  </si>
  <si>
    <t>Dragør</t>
  </si>
  <si>
    <t>DSR</t>
  </si>
  <si>
    <t>Fredensborg</t>
  </si>
  <si>
    <t>Fredericia</t>
  </si>
  <si>
    <t>Furesø</t>
  </si>
  <si>
    <t>Haderslev</t>
  </si>
  <si>
    <t>Hadsund</t>
  </si>
  <si>
    <t>Helsingør</t>
  </si>
  <si>
    <t>Holte</t>
  </si>
  <si>
    <t>Horsens</t>
  </si>
  <si>
    <t>Humlebæk</t>
  </si>
  <si>
    <t>Hvidovre</t>
  </si>
  <si>
    <t>Kalundborg</t>
  </si>
  <si>
    <t>Kerteminde</t>
  </si>
  <si>
    <t>Kvik</t>
  </si>
  <si>
    <t>København</t>
  </si>
  <si>
    <t>Lyngby</t>
  </si>
  <si>
    <t>Lyngby Dame</t>
  </si>
  <si>
    <t>Maribo</t>
  </si>
  <si>
    <t>Middelfart</t>
  </si>
  <si>
    <t>Nordslevigsk</t>
  </si>
  <si>
    <t>Nyborg</t>
  </si>
  <si>
    <t>Næstved</t>
  </si>
  <si>
    <t>Odder</t>
  </si>
  <si>
    <t>Odense</t>
  </si>
  <si>
    <t>Præstø</t>
  </si>
  <si>
    <t>Ribe</t>
  </si>
  <si>
    <t>Roskilde</t>
  </si>
  <si>
    <t>Rungsted</t>
  </si>
  <si>
    <t>Rønne</t>
  </si>
  <si>
    <t>Silkeborg</t>
  </si>
  <si>
    <t>Skanderborg</t>
  </si>
  <si>
    <t>Skjold</t>
  </si>
  <si>
    <t>Skovshoved</t>
  </si>
  <si>
    <t>Sorø</t>
  </si>
  <si>
    <t>Stevns</t>
  </si>
  <si>
    <t>Tissø</t>
  </si>
  <si>
    <t xml:space="preserve">Vejle </t>
  </si>
  <si>
    <t>Viborg</t>
  </si>
  <si>
    <t xml:space="preserve">Viking </t>
  </si>
  <si>
    <t>Ægir</t>
  </si>
  <si>
    <t xml:space="preserve">Aalborg Dame </t>
  </si>
  <si>
    <t>Skelskør</t>
  </si>
  <si>
    <t xml:space="preserve">Aalborg  </t>
  </si>
  <si>
    <t>Randers</t>
  </si>
  <si>
    <t>Kolding Dame</t>
  </si>
  <si>
    <t>Aahus Studenter</t>
  </si>
  <si>
    <t xml:space="preserve">Kolding  </t>
  </si>
  <si>
    <t>Hellerup</t>
  </si>
  <si>
    <t>Marstral</t>
  </si>
  <si>
    <t>ARA</t>
  </si>
  <si>
    <t>Augustenborg</t>
  </si>
  <si>
    <t>Varde</t>
  </si>
  <si>
    <t>Svendborg</t>
  </si>
  <si>
    <t>Hobro</t>
  </si>
  <si>
    <t>Gefion</t>
  </si>
  <si>
    <t>Tange</t>
  </si>
  <si>
    <t>Thisted</t>
  </si>
  <si>
    <t>Øresund</t>
  </si>
  <si>
    <t>Ishøj</t>
  </si>
  <si>
    <t>Holbæk</t>
  </si>
  <si>
    <t>Gjøl</t>
  </si>
  <si>
    <t>Sønderborg</t>
  </si>
  <si>
    <t>Birkerød</t>
  </si>
  <si>
    <t>Nakskov</t>
  </si>
  <si>
    <t>Nibe</t>
  </si>
  <si>
    <t>Slesvig</t>
  </si>
  <si>
    <t>Lemvig</t>
  </si>
  <si>
    <t>Hellerup Dame</t>
  </si>
  <si>
    <t>Graasten</t>
  </si>
  <si>
    <t>SAS</t>
  </si>
  <si>
    <t>Saxkjøbing</t>
  </si>
  <si>
    <t>Fredericia Dame</t>
  </si>
  <si>
    <t>Greve</t>
  </si>
  <si>
    <t>Sæby</t>
  </si>
  <si>
    <t>Nykøbing Sj</t>
  </si>
  <si>
    <t>Strib</t>
  </si>
  <si>
    <t>Ringsted</t>
  </si>
  <si>
    <t>Risskov</t>
  </si>
  <si>
    <t>Grenå</t>
  </si>
  <si>
    <t>Nivå</t>
  </si>
  <si>
    <t>Nakskov Skibsværk</t>
  </si>
  <si>
    <t>Hvalpsund</t>
  </si>
  <si>
    <t>Samsø</t>
  </si>
  <si>
    <t>Nordborg</t>
  </si>
  <si>
    <t>Skive</t>
  </si>
  <si>
    <t>Struer</t>
  </si>
  <si>
    <t>Herning</t>
  </si>
  <si>
    <t>Esbjerg</t>
  </si>
  <si>
    <t>Kollund</t>
  </si>
  <si>
    <t>Køge</t>
  </si>
  <si>
    <t>Bogense</t>
  </si>
  <si>
    <t>Rudkøbing</t>
  </si>
  <si>
    <t>Gilleeje</t>
  </si>
  <si>
    <t>Jels</t>
  </si>
  <si>
    <t>Nykøbing Mors</t>
  </si>
  <si>
    <t>Munkebo</t>
  </si>
  <si>
    <t>Faaborg</t>
  </si>
  <si>
    <t>Fanø</t>
  </si>
  <si>
    <t>Læsø</t>
  </si>
  <si>
    <t>Frederikssund</t>
  </si>
  <si>
    <t>Aabenraa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</si>
</sst>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indexed="8"/>
      <name val="Calibri"/>
      <family val="2"/>
    </font>
    <font>
      <sz val="11"/>
      <color indexed="81"/>
      <name val="Tahoma"/>
      <family val="2"/>
    </font>
    <font>
      <b/>
      <sz val="11"/>
      <color indexed="81"/>
      <name val="Tahoma"/>
      <family val="2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C7CE"/>
      </patternFill>
    </fill>
    <fill>
      <patternFill patternType="solid">
        <fgColor rgb="FFC6EFCE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5" fillId="4" borderId="0" applyNumberFormat="0" applyBorder="0" applyAlignment="0" applyProtection="0"/>
    <xf numFmtId="0" fontId="6" fillId="5" borderId="0" applyNumberFormat="0" applyBorder="0" applyAlignment="0" applyProtection="0"/>
    <xf numFmtId="0" fontId="7" fillId="0" borderId="0" applyNumberFormat="0" applyFill="0" applyBorder="0" applyAlignment="0" applyProtection="0"/>
  </cellStyleXfs>
  <cellXfs count="26">
    <xf numFmtId="0" fontId="0" fillId="0" borderId="0" xfId="0"/>
    <xf numFmtId="0" fontId="0" fillId="2" borderId="0" xfId="0" applyFill="1"/>
    <xf numFmtId="0" fontId="6" fillId="2" borderId="0" xfId="2" applyFill="1"/>
    <xf numFmtId="0" fontId="0" fillId="3" borderId="0" xfId="0" applyFill="1"/>
    <xf numFmtId="0" fontId="5" fillId="3" borderId="0" xfId="1" applyFill="1"/>
    <xf numFmtId="0" fontId="1" fillId="2" borderId="0" xfId="3" applyFont="1" applyFill="1"/>
    <xf numFmtId="0" fontId="0" fillId="0" borderId="1" xfId="0" applyBorder="1"/>
    <xf numFmtId="0" fontId="0" fillId="0" borderId="2" xfId="0" applyBorder="1"/>
    <xf numFmtId="0" fontId="6" fillId="2" borderId="2" xfId="2" applyFill="1" applyBorder="1"/>
    <xf numFmtId="0" fontId="0" fillId="2" borderId="2" xfId="0" applyFill="1" applyBorder="1"/>
    <xf numFmtId="0" fontId="0" fillId="0" borderId="3" xfId="0" applyBorder="1"/>
    <xf numFmtId="0" fontId="0" fillId="0" borderId="0" xfId="0" applyBorder="1"/>
    <xf numFmtId="0" fontId="6" fillId="2" borderId="0" xfId="2" applyFill="1" applyBorder="1"/>
    <xf numFmtId="0" fontId="0" fillId="2" borderId="0" xfId="0" applyFill="1" applyBorder="1"/>
    <xf numFmtId="0" fontId="1" fillId="2" borderId="0" xfId="3" applyFont="1" applyFill="1" applyBorder="1"/>
    <xf numFmtId="0" fontId="2" fillId="0" borderId="3" xfId="0" applyFont="1" applyBorder="1"/>
    <xf numFmtId="0" fontId="0" fillId="0" borderId="4" xfId="0" applyBorder="1"/>
    <xf numFmtId="0" fontId="0" fillId="0" borderId="5" xfId="0" applyBorder="1"/>
    <xf numFmtId="0" fontId="0" fillId="2" borderId="5" xfId="0" applyFill="1" applyBorder="1"/>
    <xf numFmtId="0" fontId="1" fillId="2" borderId="5" xfId="3" applyFont="1" applyFill="1" applyBorder="1"/>
    <xf numFmtId="0" fontId="6" fillId="2" borderId="5" xfId="2" applyFill="1" applyBorder="1"/>
    <xf numFmtId="0" fontId="5" fillId="3" borderId="6" xfId="1" applyFill="1" applyBorder="1"/>
    <xf numFmtId="0" fontId="5" fillId="3" borderId="7" xfId="1" applyFill="1" applyBorder="1"/>
    <xf numFmtId="0" fontId="5" fillId="3" borderId="8" xfId="1" applyFill="1" applyBorder="1"/>
    <xf numFmtId="0" fontId="0" fillId="0" borderId="0" xfId="0" applyFill="1" applyBorder="1"/>
    <xf numFmtId="0" fontId="1" fillId="0" borderId="0" xfId="0" applyFont="1" applyFill="1" applyBorder="1"/>
  </cellXfs>
  <cellStyles count="4">
    <cellStyle name="Bad" xfId="1" builtinId="27"/>
    <cellStyle name="Good" xfId="2" builtinId="26"/>
    <cellStyle name="Normal" xfId="0" builtinId="0"/>
    <cellStyle name="Warning Text" xfId="3" builtinId="1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400050</xdr:colOff>
      <xdr:row>19</xdr:row>
      <xdr:rowOff>76200</xdr:rowOff>
    </xdr:from>
    <xdr:to>
      <xdr:col>26</xdr:col>
      <xdr:colOff>504825</xdr:colOff>
      <xdr:row>26</xdr:row>
      <xdr:rowOff>66675</xdr:rowOff>
    </xdr:to>
    <xdr:sp macro="" textlink="">
      <xdr:nvSpPr>
        <xdr:cNvPr id="1026" name="Billede 1"/>
        <xdr:cNvSpPr>
          <a:spLocks noChangeAspect="1"/>
        </xdr:cNvSpPr>
      </xdr:nvSpPr>
      <xdr:spPr bwMode="auto">
        <a:xfrm>
          <a:off x="13725525" y="3705225"/>
          <a:ext cx="1323975" cy="1323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10"/>
  <sheetViews>
    <sheetView tabSelected="1" topLeftCell="A4" zoomScale="82" zoomScaleNormal="82" workbookViewId="0">
      <selection activeCell="G28" sqref="G28:G29"/>
    </sheetView>
  </sheetViews>
  <sheetFormatPr defaultRowHeight="15"/>
  <cols>
    <col min="1" max="2" width="16.7109375" customWidth="1"/>
    <col min="3" max="3" width="13.140625" customWidth="1"/>
    <col min="4" max="4" width="6.42578125" style="1" customWidth="1"/>
    <col min="7" max="7" width="8.85546875" style="1" customWidth="1"/>
    <col min="8" max="8" width="9.140625" hidden="1" customWidth="1"/>
    <col min="11" max="11" width="9.140625" style="1"/>
    <col min="12" max="12" width="9.140625" hidden="1" customWidth="1"/>
    <col min="15" max="15" width="9" style="1" customWidth="1"/>
    <col min="16" max="16" width="6.7109375" hidden="1" customWidth="1"/>
    <col min="19" max="19" width="9.140625" style="1"/>
    <col min="20" max="20" width="9.140625" hidden="1" customWidth="1"/>
    <col min="23" max="23" width="10.140625" style="1" customWidth="1"/>
    <col min="24" max="24" width="9.140625" style="3"/>
  </cols>
  <sheetData>
    <row r="1" spans="1:24">
      <c r="A1" t="s">
        <v>0</v>
      </c>
      <c r="B1" t="s">
        <v>13</v>
      </c>
      <c r="E1" t="s">
        <v>4</v>
      </c>
      <c r="I1" t="s">
        <v>5</v>
      </c>
      <c r="M1" t="s">
        <v>6</v>
      </c>
      <c r="Q1" t="s">
        <v>7</v>
      </c>
      <c r="U1" t="s">
        <v>8</v>
      </c>
      <c r="X1" s="3" t="s">
        <v>3</v>
      </c>
    </row>
    <row r="2" spans="1:24" ht="15.75" thickBot="1">
      <c r="B2" t="s">
        <v>12</v>
      </c>
      <c r="C2" t="s">
        <v>14</v>
      </c>
      <c r="D2" s="2" t="s">
        <v>2</v>
      </c>
      <c r="E2" t="s">
        <v>12</v>
      </c>
      <c r="F2" t="s">
        <v>1</v>
      </c>
      <c r="G2" s="2" t="s">
        <v>2</v>
      </c>
      <c r="I2" t="s">
        <v>12</v>
      </c>
      <c r="J2" t="s">
        <v>14</v>
      </c>
      <c r="K2" s="2" t="s">
        <v>2</v>
      </c>
      <c r="M2" t="s">
        <v>12</v>
      </c>
      <c r="N2" t="s">
        <v>14</v>
      </c>
      <c r="O2" s="2" t="s">
        <v>2</v>
      </c>
      <c r="Q2" t="s">
        <v>12</v>
      </c>
      <c r="R2" t="s">
        <v>14</v>
      </c>
      <c r="S2" s="1" t="s">
        <v>2</v>
      </c>
      <c r="U2" t="s">
        <v>12</v>
      </c>
      <c r="V2" t="s">
        <v>14</v>
      </c>
      <c r="W2" s="1" t="s">
        <v>2</v>
      </c>
      <c r="X2" s="4"/>
    </row>
    <row r="3" spans="1:24">
      <c r="A3" t="s">
        <v>11</v>
      </c>
      <c r="B3" s="6">
        <v>93</v>
      </c>
      <c r="C3" s="7">
        <v>50</v>
      </c>
      <c r="D3" s="8">
        <f t="shared" ref="D3:D34" si="0">SUM(B3:C3)</f>
        <v>143</v>
      </c>
      <c r="E3" s="7">
        <v>46</v>
      </c>
      <c r="F3" s="7">
        <v>50</v>
      </c>
      <c r="G3" s="8">
        <f>SUM(E3+F3)</f>
        <v>96</v>
      </c>
      <c r="H3" s="7"/>
      <c r="I3" s="7">
        <v>18</v>
      </c>
      <c r="J3" s="7">
        <v>50</v>
      </c>
      <c r="K3" s="8">
        <f>SUM(I3+J3)</f>
        <v>68</v>
      </c>
      <c r="L3" s="7"/>
      <c r="M3" s="7">
        <v>0</v>
      </c>
      <c r="N3" s="7">
        <v>0</v>
      </c>
      <c r="O3" s="8">
        <f t="shared" ref="O3:O21" si="1">SUM(M3+N3)</f>
        <v>0</v>
      </c>
      <c r="P3" s="7"/>
      <c r="Q3" s="7">
        <v>0</v>
      </c>
      <c r="R3" s="7">
        <v>0</v>
      </c>
      <c r="S3" s="9">
        <f>SUM(Q3:R3)</f>
        <v>0</v>
      </c>
      <c r="T3" s="7"/>
      <c r="U3" s="7">
        <v>0</v>
      </c>
      <c r="V3" s="7">
        <v>0</v>
      </c>
      <c r="W3" s="9">
        <f>SUM(U3+V3)</f>
        <v>0</v>
      </c>
      <c r="X3" s="21">
        <f t="shared" ref="X3:X32" si="2">SUM(D3+G3+K3+O3+S3+W3)</f>
        <v>307</v>
      </c>
    </row>
    <row r="4" spans="1:24">
      <c r="A4" t="s">
        <v>17</v>
      </c>
      <c r="B4" s="10">
        <v>55</v>
      </c>
      <c r="C4" s="11">
        <v>50</v>
      </c>
      <c r="D4" s="12">
        <f t="shared" si="0"/>
        <v>105</v>
      </c>
      <c r="E4" s="11">
        <v>98</v>
      </c>
      <c r="F4" s="11">
        <v>50</v>
      </c>
      <c r="G4" s="12">
        <f>SUM(E4+F4)</f>
        <v>148</v>
      </c>
      <c r="H4" s="11"/>
      <c r="I4" s="11">
        <v>2</v>
      </c>
      <c r="J4" s="11">
        <v>50</v>
      </c>
      <c r="K4" s="12">
        <f>SUM(I4+J4)</f>
        <v>52</v>
      </c>
      <c r="L4" s="11"/>
      <c r="M4" s="11">
        <v>0</v>
      </c>
      <c r="N4" s="11">
        <v>0</v>
      </c>
      <c r="O4" s="12">
        <f t="shared" si="1"/>
        <v>0</v>
      </c>
      <c r="P4" s="11"/>
      <c r="Q4" s="11">
        <v>0</v>
      </c>
      <c r="R4" s="11">
        <v>0</v>
      </c>
      <c r="S4" s="13">
        <f>SUM(Q4:R4)</f>
        <v>0</v>
      </c>
      <c r="T4" s="11"/>
      <c r="U4" s="11">
        <v>0</v>
      </c>
      <c r="V4" s="11">
        <v>0</v>
      </c>
      <c r="W4" s="13">
        <f>SUM(U4+V4)</f>
        <v>0</v>
      </c>
      <c r="X4" s="22">
        <f t="shared" si="2"/>
        <v>305</v>
      </c>
    </row>
    <row r="5" spans="1:24">
      <c r="A5" t="s">
        <v>49</v>
      </c>
      <c r="B5" s="10">
        <v>38</v>
      </c>
      <c r="C5" s="11">
        <v>50</v>
      </c>
      <c r="D5" s="13">
        <f t="shared" si="0"/>
        <v>88</v>
      </c>
      <c r="E5" s="11">
        <v>157</v>
      </c>
      <c r="F5" s="11">
        <v>50</v>
      </c>
      <c r="G5" s="14">
        <f t="shared" ref="G5:G15" si="3">SUM(E5:F5)</f>
        <v>207</v>
      </c>
      <c r="H5" s="11"/>
      <c r="I5" s="11"/>
      <c r="J5" s="11"/>
      <c r="K5" s="13">
        <f t="shared" ref="K5:K15" si="4">SUM(I5:J5)</f>
        <v>0</v>
      </c>
      <c r="L5" s="11"/>
      <c r="M5" s="11"/>
      <c r="N5" s="11"/>
      <c r="O5" s="12">
        <f t="shared" si="1"/>
        <v>0</v>
      </c>
      <c r="P5" s="11"/>
      <c r="Q5" s="11"/>
      <c r="R5" s="11"/>
      <c r="S5" s="13">
        <f t="shared" ref="S5:S15" si="5">SUM(Q4+R4)</f>
        <v>0</v>
      </c>
      <c r="T5" s="11"/>
      <c r="U5" s="11"/>
      <c r="V5" s="11"/>
      <c r="W5" s="13">
        <f t="shared" ref="W5:W21" si="6">SUM(U5:V5)</f>
        <v>0</v>
      </c>
      <c r="X5" s="22">
        <f t="shared" si="2"/>
        <v>295</v>
      </c>
    </row>
    <row r="6" spans="1:24">
      <c r="A6" t="s">
        <v>50</v>
      </c>
      <c r="B6" s="10">
        <v>34</v>
      </c>
      <c r="C6" s="11">
        <v>50</v>
      </c>
      <c r="D6" s="13">
        <f t="shared" si="0"/>
        <v>84</v>
      </c>
      <c r="E6" s="11">
        <v>41</v>
      </c>
      <c r="F6" s="11">
        <v>50</v>
      </c>
      <c r="G6" s="14">
        <f t="shared" si="3"/>
        <v>91</v>
      </c>
      <c r="H6" s="11"/>
      <c r="I6" s="11">
        <v>29</v>
      </c>
      <c r="J6" s="11">
        <v>50</v>
      </c>
      <c r="K6" s="13">
        <f t="shared" si="4"/>
        <v>79</v>
      </c>
      <c r="L6" s="11"/>
      <c r="M6" s="11"/>
      <c r="N6" s="11"/>
      <c r="O6" s="12">
        <f t="shared" si="1"/>
        <v>0</v>
      </c>
      <c r="P6" s="11"/>
      <c r="Q6" s="11"/>
      <c r="R6" s="11"/>
      <c r="S6" s="13">
        <f t="shared" si="5"/>
        <v>0</v>
      </c>
      <c r="T6" s="11"/>
      <c r="U6" s="11"/>
      <c r="V6" s="11"/>
      <c r="W6" s="13">
        <f t="shared" si="6"/>
        <v>0</v>
      </c>
      <c r="X6" s="22">
        <f t="shared" si="2"/>
        <v>254</v>
      </c>
    </row>
    <row r="7" spans="1:24">
      <c r="A7" t="s">
        <v>20</v>
      </c>
      <c r="B7" s="10">
        <v>22</v>
      </c>
      <c r="C7" s="11">
        <v>50</v>
      </c>
      <c r="D7" s="12">
        <f t="shared" si="0"/>
        <v>72</v>
      </c>
      <c r="E7" s="11">
        <v>55</v>
      </c>
      <c r="F7" s="11">
        <v>50</v>
      </c>
      <c r="G7" s="12">
        <f t="shared" si="3"/>
        <v>105</v>
      </c>
      <c r="H7" s="11"/>
      <c r="I7" s="11">
        <v>16</v>
      </c>
      <c r="J7" s="11">
        <v>50</v>
      </c>
      <c r="K7" s="13">
        <f t="shared" si="4"/>
        <v>66</v>
      </c>
      <c r="L7" s="11"/>
      <c r="M7" s="11"/>
      <c r="N7" s="11"/>
      <c r="O7" s="12">
        <f t="shared" si="1"/>
        <v>0</v>
      </c>
      <c r="P7" s="11"/>
      <c r="Q7" s="11"/>
      <c r="R7" s="11"/>
      <c r="S7" s="13">
        <f t="shared" si="5"/>
        <v>0</v>
      </c>
      <c r="T7" s="11"/>
      <c r="U7" s="11"/>
      <c r="V7" s="11"/>
      <c r="W7" s="13">
        <f t="shared" si="6"/>
        <v>0</v>
      </c>
      <c r="X7" s="22">
        <f t="shared" si="2"/>
        <v>243</v>
      </c>
    </row>
    <row r="8" spans="1:24">
      <c r="A8" t="s">
        <v>43</v>
      </c>
      <c r="B8" s="10">
        <v>21</v>
      </c>
      <c r="C8" s="11">
        <v>50</v>
      </c>
      <c r="D8" s="13">
        <f t="shared" si="0"/>
        <v>71</v>
      </c>
      <c r="E8" s="11">
        <v>54</v>
      </c>
      <c r="F8" s="11">
        <v>50</v>
      </c>
      <c r="G8" s="14">
        <f t="shared" si="3"/>
        <v>104</v>
      </c>
      <c r="H8" s="11"/>
      <c r="I8" s="11">
        <v>15</v>
      </c>
      <c r="J8" s="11">
        <v>50</v>
      </c>
      <c r="K8" s="13">
        <f t="shared" si="4"/>
        <v>65</v>
      </c>
      <c r="L8" s="11"/>
      <c r="M8" s="11"/>
      <c r="N8" s="11"/>
      <c r="O8" s="12">
        <f t="shared" si="1"/>
        <v>0</v>
      </c>
      <c r="P8" s="11"/>
      <c r="Q8" s="11"/>
      <c r="R8" s="11"/>
      <c r="S8" s="13">
        <f t="shared" si="5"/>
        <v>0</v>
      </c>
      <c r="T8" s="11"/>
      <c r="U8" s="11"/>
      <c r="V8" s="11"/>
      <c r="W8" s="13">
        <f t="shared" si="6"/>
        <v>0</v>
      </c>
      <c r="X8" s="22">
        <f t="shared" si="2"/>
        <v>240</v>
      </c>
    </row>
    <row r="9" spans="1:24">
      <c r="A9" t="s">
        <v>30</v>
      </c>
      <c r="B9" s="10">
        <v>28</v>
      </c>
      <c r="C9" s="11">
        <v>50</v>
      </c>
      <c r="D9" s="13">
        <f t="shared" si="0"/>
        <v>78</v>
      </c>
      <c r="E9" s="11">
        <v>42</v>
      </c>
      <c r="F9" s="11">
        <v>50</v>
      </c>
      <c r="G9" s="14">
        <f t="shared" si="3"/>
        <v>92</v>
      </c>
      <c r="H9" s="11"/>
      <c r="I9" s="11">
        <v>5</v>
      </c>
      <c r="J9" s="11">
        <v>50</v>
      </c>
      <c r="K9" s="13">
        <f t="shared" si="4"/>
        <v>55</v>
      </c>
      <c r="L9" s="11"/>
      <c r="M9" s="11"/>
      <c r="N9" s="11"/>
      <c r="O9" s="12">
        <f t="shared" si="1"/>
        <v>0</v>
      </c>
      <c r="P9" s="11"/>
      <c r="Q9" s="11"/>
      <c r="R9" s="11"/>
      <c r="S9" s="13">
        <f t="shared" si="5"/>
        <v>0</v>
      </c>
      <c r="T9" s="11"/>
      <c r="U9" s="11"/>
      <c r="V9" s="11"/>
      <c r="W9" s="13">
        <f t="shared" si="6"/>
        <v>0</v>
      </c>
      <c r="X9" s="22">
        <f t="shared" si="2"/>
        <v>225</v>
      </c>
    </row>
    <row r="10" spans="1:24">
      <c r="A10" t="s">
        <v>31</v>
      </c>
      <c r="B10" s="10">
        <v>6</v>
      </c>
      <c r="C10" s="11">
        <v>50</v>
      </c>
      <c r="D10" s="13">
        <f t="shared" si="0"/>
        <v>56</v>
      </c>
      <c r="E10" s="11">
        <v>52</v>
      </c>
      <c r="F10" s="11">
        <v>50</v>
      </c>
      <c r="G10" s="14">
        <f t="shared" si="3"/>
        <v>102</v>
      </c>
      <c r="H10" s="11"/>
      <c r="I10" s="11">
        <v>10</v>
      </c>
      <c r="J10" s="11">
        <v>50</v>
      </c>
      <c r="K10" s="13">
        <f t="shared" si="4"/>
        <v>60</v>
      </c>
      <c r="L10" s="11"/>
      <c r="M10" s="11"/>
      <c r="N10" s="11"/>
      <c r="O10" s="12">
        <f t="shared" si="1"/>
        <v>0</v>
      </c>
      <c r="P10" s="11"/>
      <c r="Q10" s="11"/>
      <c r="R10" s="11"/>
      <c r="S10" s="13">
        <f t="shared" si="5"/>
        <v>0</v>
      </c>
      <c r="T10" s="11"/>
      <c r="U10" s="11"/>
      <c r="V10" s="11"/>
      <c r="W10" s="13">
        <f t="shared" si="6"/>
        <v>0</v>
      </c>
      <c r="X10" s="22">
        <f t="shared" si="2"/>
        <v>218</v>
      </c>
    </row>
    <row r="11" spans="1:24">
      <c r="A11" t="s">
        <v>40</v>
      </c>
      <c r="B11" s="10">
        <v>13</v>
      </c>
      <c r="C11" s="11">
        <v>50</v>
      </c>
      <c r="D11" s="13">
        <f t="shared" si="0"/>
        <v>63</v>
      </c>
      <c r="E11" s="11">
        <v>40</v>
      </c>
      <c r="F11" s="11">
        <v>50</v>
      </c>
      <c r="G11" s="14">
        <f t="shared" si="3"/>
        <v>90</v>
      </c>
      <c r="H11" s="11"/>
      <c r="I11" s="24">
        <v>10</v>
      </c>
      <c r="J11" s="24">
        <v>50</v>
      </c>
      <c r="K11" s="13">
        <f t="shared" si="4"/>
        <v>60</v>
      </c>
      <c r="L11" s="11"/>
      <c r="M11" s="11"/>
      <c r="N11" s="11"/>
      <c r="O11" s="12">
        <f t="shared" si="1"/>
        <v>0</v>
      </c>
      <c r="P11" s="11"/>
      <c r="Q11" s="11"/>
      <c r="R11" s="11"/>
      <c r="S11" s="13">
        <f t="shared" si="5"/>
        <v>0</v>
      </c>
      <c r="T11" s="11"/>
      <c r="U11" s="11"/>
      <c r="V11" s="11"/>
      <c r="W11" s="13">
        <f t="shared" si="6"/>
        <v>0</v>
      </c>
      <c r="X11" s="22">
        <f t="shared" si="2"/>
        <v>213</v>
      </c>
    </row>
    <row r="12" spans="1:24">
      <c r="A12" t="s">
        <v>56</v>
      </c>
      <c r="B12" s="10">
        <v>21</v>
      </c>
      <c r="C12" s="11">
        <v>50</v>
      </c>
      <c r="D12" s="13">
        <f t="shared" si="0"/>
        <v>71</v>
      </c>
      <c r="E12" s="11">
        <v>31</v>
      </c>
      <c r="F12" s="11">
        <v>50</v>
      </c>
      <c r="G12" s="14">
        <f t="shared" si="3"/>
        <v>81</v>
      </c>
      <c r="H12" s="11"/>
      <c r="I12" s="11">
        <v>8</v>
      </c>
      <c r="J12" s="11">
        <v>50</v>
      </c>
      <c r="K12" s="13">
        <f t="shared" si="4"/>
        <v>58</v>
      </c>
      <c r="L12" s="11"/>
      <c r="M12" s="11"/>
      <c r="N12" s="11"/>
      <c r="O12" s="12">
        <f t="shared" si="1"/>
        <v>0</v>
      </c>
      <c r="P12" s="11"/>
      <c r="Q12" s="11"/>
      <c r="R12" s="11"/>
      <c r="S12" s="13">
        <f t="shared" si="5"/>
        <v>0</v>
      </c>
      <c r="T12" s="11"/>
      <c r="U12" s="11"/>
      <c r="V12" s="11"/>
      <c r="W12" s="13">
        <f t="shared" si="6"/>
        <v>0</v>
      </c>
      <c r="X12" s="22">
        <f t="shared" si="2"/>
        <v>210</v>
      </c>
    </row>
    <row r="13" spans="1:24">
      <c r="A13" t="s">
        <v>32</v>
      </c>
      <c r="B13" s="10">
        <v>27</v>
      </c>
      <c r="C13" s="11">
        <v>50</v>
      </c>
      <c r="D13" s="13">
        <f t="shared" si="0"/>
        <v>77</v>
      </c>
      <c r="E13" s="11">
        <v>20</v>
      </c>
      <c r="F13" s="11">
        <v>50</v>
      </c>
      <c r="G13" s="14">
        <f t="shared" si="3"/>
        <v>70</v>
      </c>
      <c r="H13" s="11"/>
      <c r="I13" s="11">
        <v>12</v>
      </c>
      <c r="J13" s="11">
        <v>50</v>
      </c>
      <c r="K13" s="13">
        <f t="shared" si="4"/>
        <v>62</v>
      </c>
      <c r="L13" s="11"/>
      <c r="M13" s="11"/>
      <c r="N13" s="11"/>
      <c r="O13" s="12">
        <f t="shared" si="1"/>
        <v>0</v>
      </c>
      <c r="P13" s="11"/>
      <c r="Q13" s="11"/>
      <c r="R13" s="11"/>
      <c r="S13" s="13">
        <f t="shared" si="5"/>
        <v>0</v>
      </c>
      <c r="T13" s="11"/>
      <c r="U13" s="11"/>
      <c r="V13" s="11"/>
      <c r="W13" s="13">
        <f t="shared" si="6"/>
        <v>0</v>
      </c>
      <c r="X13" s="22">
        <f t="shared" si="2"/>
        <v>209</v>
      </c>
    </row>
    <row r="14" spans="1:24">
      <c r="A14" t="s">
        <v>51</v>
      </c>
      <c r="B14" s="10">
        <v>13</v>
      </c>
      <c r="C14" s="11">
        <v>50</v>
      </c>
      <c r="D14" s="13">
        <f t="shared" si="0"/>
        <v>63</v>
      </c>
      <c r="E14" s="11">
        <v>32</v>
      </c>
      <c r="F14" s="11">
        <v>50</v>
      </c>
      <c r="G14" s="14">
        <f t="shared" si="3"/>
        <v>82</v>
      </c>
      <c r="H14" s="11"/>
      <c r="I14" s="11">
        <v>3</v>
      </c>
      <c r="J14" s="11">
        <v>50</v>
      </c>
      <c r="K14" s="13">
        <f t="shared" si="4"/>
        <v>53</v>
      </c>
      <c r="L14" s="11"/>
      <c r="M14" s="11"/>
      <c r="N14" s="11"/>
      <c r="O14" s="12">
        <f t="shared" si="1"/>
        <v>0</v>
      </c>
      <c r="P14" s="11"/>
      <c r="Q14" s="11"/>
      <c r="R14" s="11"/>
      <c r="S14" s="13">
        <f t="shared" si="5"/>
        <v>0</v>
      </c>
      <c r="T14" s="11"/>
      <c r="U14" s="11"/>
      <c r="V14" s="11"/>
      <c r="W14" s="13">
        <f t="shared" si="6"/>
        <v>0</v>
      </c>
      <c r="X14" s="22">
        <f t="shared" si="2"/>
        <v>198</v>
      </c>
    </row>
    <row r="15" spans="1:24">
      <c r="A15" t="s">
        <v>38</v>
      </c>
      <c r="B15" s="10">
        <v>6</v>
      </c>
      <c r="C15" s="11">
        <v>50</v>
      </c>
      <c r="D15" s="13">
        <f t="shared" si="0"/>
        <v>56</v>
      </c>
      <c r="E15" s="11">
        <v>36</v>
      </c>
      <c r="F15" s="11">
        <v>50</v>
      </c>
      <c r="G15" s="14">
        <f t="shared" si="3"/>
        <v>86</v>
      </c>
      <c r="H15" s="11"/>
      <c r="I15" s="11">
        <v>3</v>
      </c>
      <c r="J15" s="11">
        <v>50</v>
      </c>
      <c r="K15" s="13">
        <f t="shared" si="4"/>
        <v>53</v>
      </c>
      <c r="L15" s="11"/>
      <c r="M15" s="11"/>
      <c r="N15" s="11"/>
      <c r="O15" s="12">
        <f t="shared" si="1"/>
        <v>0</v>
      </c>
      <c r="P15" s="11"/>
      <c r="Q15" s="11"/>
      <c r="R15" s="11"/>
      <c r="S15" s="13">
        <f t="shared" si="5"/>
        <v>0</v>
      </c>
      <c r="T15" s="11"/>
      <c r="U15" s="11"/>
      <c r="V15" s="11"/>
      <c r="W15" s="13">
        <f t="shared" si="6"/>
        <v>0</v>
      </c>
      <c r="X15" s="22">
        <f t="shared" si="2"/>
        <v>195</v>
      </c>
    </row>
    <row r="16" spans="1:24">
      <c r="A16" t="s">
        <v>19</v>
      </c>
      <c r="B16" s="10">
        <v>5</v>
      </c>
      <c r="C16" s="11">
        <v>50</v>
      </c>
      <c r="D16" s="12">
        <f t="shared" si="0"/>
        <v>55</v>
      </c>
      <c r="E16" s="11">
        <v>30</v>
      </c>
      <c r="F16" s="11">
        <v>50</v>
      </c>
      <c r="G16" s="12">
        <f>SUM(E16+F16)</f>
        <v>80</v>
      </c>
      <c r="H16" s="11"/>
      <c r="I16" s="11">
        <v>4</v>
      </c>
      <c r="J16" s="11">
        <v>50</v>
      </c>
      <c r="K16" s="12">
        <f>SUM(I16+J16)</f>
        <v>54</v>
      </c>
      <c r="L16" s="11"/>
      <c r="M16" s="11">
        <v>0</v>
      </c>
      <c r="N16" s="11">
        <v>0</v>
      </c>
      <c r="O16" s="12">
        <f t="shared" si="1"/>
        <v>0</v>
      </c>
      <c r="P16" s="11"/>
      <c r="Q16" s="11">
        <v>0</v>
      </c>
      <c r="R16" s="11">
        <v>0</v>
      </c>
      <c r="S16" s="13">
        <f>SUM(Q16:R16)</f>
        <v>0</v>
      </c>
      <c r="T16" s="11"/>
      <c r="U16" s="11">
        <v>0</v>
      </c>
      <c r="V16" s="11">
        <v>0</v>
      </c>
      <c r="W16" s="13">
        <f t="shared" si="6"/>
        <v>0</v>
      </c>
      <c r="X16" s="22">
        <f t="shared" si="2"/>
        <v>189</v>
      </c>
    </row>
    <row r="17" spans="1:24">
      <c r="A17" t="s">
        <v>46</v>
      </c>
      <c r="B17" s="10">
        <v>5</v>
      </c>
      <c r="C17" s="11">
        <v>50</v>
      </c>
      <c r="D17" s="13">
        <f t="shared" si="0"/>
        <v>55</v>
      </c>
      <c r="E17" s="11">
        <v>29</v>
      </c>
      <c r="F17" s="11">
        <v>50</v>
      </c>
      <c r="G17" s="14">
        <f>SUM(E17:F17)</f>
        <v>79</v>
      </c>
      <c r="H17" s="11"/>
      <c r="I17" s="11">
        <v>2</v>
      </c>
      <c r="J17" s="11">
        <v>50</v>
      </c>
      <c r="K17" s="13">
        <f>SUM(I17:J17)</f>
        <v>52</v>
      </c>
      <c r="L17" s="11"/>
      <c r="M17" s="11"/>
      <c r="N17" s="11"/>
      <c r="O17" s="12">
        <f t="shared" si="1"/>
        <v>0</v>
      </c>
      <c r="P17" s="11"/>
      <c r="Q17" s="11"/>
      <c r="R17" s="11"/>
      <c r="S17" s="13">
        <f>SUM(Q16+R16)</f>
        <v>0</v>
      </c>
      <c r="T17" s="11"/>
      <c r="U17" s="11"/>
      <c r="V17" s="11"/>
      <c r="W17" s="13">
        <f t="shared" si="6"/>
        <v>0</v>
      </c>
      <c r="X17" s="22">
        <f t="shared" si="2"/>
        <v>186</v>
      </c>
    </row>
    <row r="18" spans="1:24">
      <c r="A18" t="s">
        <v>5</v>
      </c>
      <c r="B18" s="10">
        <v>45</v>
      </c>
      <c r="C18" s="11">
        <v>50</v>
      </c>
      <c r="D18" s="13">
        <f t="shared" si="0"/>
        <v>95</v>
      </c>
      <c r="E18" s="11">
        <v>0</v>
      </c>
      <c r="F18" s="11">
        <v>0</v>
      </c>
      <c r="G18" s="14">
        <f>SUM(E18:F18)</f>
        <v>0</v>
      </c>
      <c r="H18" s="11"/>
      <c r="I18" s="11">
        <v>32</v>
      </c>
      <c r="J18" s="11">
        <v>50</v>
      </c>
      <c r="K18" s="13">
        <f>SUM(I18:J18)</f>
        <v>82</v>
      </c>
      <c r="L18" s="11"/>
      <c r="M18" s="11"/>
      <c r="N18" s="11"/>
      <c r="O18" s="12">
        <f t="shared" si="1"/>
        <v>0</v>
      </c>
      <c r="P18" s="11"/>
      <c r="Q18" s="11"/>
      <c r="R18" s="11"/>
      <c r="S18" s="13">
        <f>SUM(Q17+R17)</f>
        <v>0</v>
      </c>
      <c r="T18" s="11"/>
      <c r="U18" s="11"/>
      <c r="V18" s="11"/>
      <c r="W18" s="13">
        <f t="shared" si="6"/>
        <v>0</v>
      </c>
      <c r="X18" s="22">
        <f t="shared" si="2"/>
        <v>177</v>
      </c>
    </row>
    <row r="19" spans="1:24">
      <c r="A19" t="s">
        <v>22</v>
      </c>
      <c r="B19" s="10">
        <v>37</v>
      </c>
      <c r="C19" s="11">
        <v>50</v>
      </c>
      <c r="D19" s="13">
        <f t="shared" si="0"/>
        <v>87</v>
      </c>
      <c r="E19" s="11">
        <v>38</v>
      </c>
      <c r="F19" s="11">
        <v>50</v>
      </c>
      <c r="G19" s="13">
        <f>SUM(E19:F19)</f>
        <v>88</v>
      </c>
      <c r="H19" s="11"/>
      <c r="I19" s="11"/>
      <c r="J19" s="11"/>
      <c r="K19" s="13">
        <f>SUM(I19:J19)</f>
        <v>0</v>
      </c>
      <c r="L19" s="11"/>
      <c r="M19" s="11"/>
      <c r="N19" s="11"/>
      <c r="O19" s="12">
        <f t="shared" si="1"/>
        <v>0</v>
      </c>
      <c r="P19" s="11"/>
      <c r="Q19" s="11"/>
      <c r="R19" s="11"/>
      <c r="S19" s="13">
        <f>SUM(Q18+R18)</f>
        <v>0</v>
      </c>
      <c r="T19" s="11"/>
      <c r="U19" s="11"/>
      <c r="V19" s="11"/>
      <c r="W19" s="13">
        <f t="shared" si="6"/>
        <v>0</v>
      </c>
      <c r="X19" s="22">
        <f t="shared" si="2"/>
        <v>175</v>
      </c>
    </row>
    <row r="20" spans="1:24">
      <c r="A20" t="s">
        <v>53</v>
      </c>
      <c r="B20" s="10">
        <v>2</v>
      </c>
      <c r="C20" s="11">
        <v>50</v>
      </c>
      <c r="D20" s="13">
        <f t="shared" si="0"/>
        <v>52</v>
      </c>
      <c r="E20" s="11">
        <v>13</v>
      </c>
      <c r="F20" s="11">
        <v>50</v>
      </c>
      <c r="G20" s="14">
        <f>SUM(E20:F20)</f>
        <v>63</v>
      </c>
      <c r="H20" s="11"/>
      <c r="I20" s="11">
        <v>4</v>
      </c>
      <c r="J20" s="11">
        <v>50</v>
      </c>
      <c r="K20" s="13">
        <f>SUM(I20:J20)</f>
        <v>54</v>
      </c>
      <c r="L20" s="11"/>
      <c r="M20" s="11"/>
      <c r="N20" s="11"/>
      <c r="O20" s="12">
        <f t="shared" si="1"/>
        <v>0</v>
      </c>
      <c r="P20" s="11"/>
      <c r="Q20" s="11"/>
      <c r="R20" s="11"/>
      <c r="S20" s="13">
        <f>SUM(Q19+R19)</f>
        <v>0</v>
      </c>
      <c r="T20" s="11"/>
      <c r="U20" s="11"/>
      <c r="V20" s="11"/>
      <c r="W20" s="13">
        <f t="shared" si="6"/>
        <v>0</v>
      </c>
      <c r="X20" s="22">
        <f t="shared" si="2"/>
        <v>169</v>
      </c>
    </row>
    <row r="21" spans="1:24">
      <c r="A21" t="s">
        <v>24</v>
      </c>
      <c r="B21" s="10">
        <v>9</v>
      </c>
      <c r="C21" s="11">
        <v>50</v>
      </c>
      <c r="D21" s="13">
        <f t="shared" si="0"/>
        <v>59</v>
      </c>
      <c r="E21" s="11">
        <v>53</v>
      </c>
      <c r="F21" s="11">
        <v>50</v>
      </c>
      <c r="G21" s="14">
        <f>SUM(E21:F21)</f>
        <v>103</v>
      </c>
      <c r="H21" s="11"/>
      <c r="I21" s="11"/>
      <c r="J21" s="11"/>
      <c r="K21" s="13">
        <f>SUM(I21:J21)</f>
        <v>0</v>
      </c>
      <c r="L21" s="11"/>
      <c r="M21" s="11"/>
      <c r="N21" s="11"/>
      <c r="O21" s="12">
        <f t="shared" si="1"/>
        <v>0</v>
      </c>
      <c r="P21" s="11"/>
      <c r="Q21" s="11"/>
      <c r="R21" s="11"/>
      <c r="S21" s="13">
        <f>SUM(Q20+R20)</f>
        <v>0</v>
      </c>
      <c r="T21" s="11"/>
      <c r="U21" s="11"/>
      <c r="V21" s="11"/>
      <c r="W21" s="13">
        <f t="shared" si="6"/>
        <v>0</v>
      </c>
      <c r="X21" s="22">
        <f t="shared" si="2"/>
        <v>162</v>
      </c>
    </row>
    <row r="22" spans="1:24">
      <c r="A22" t="s">
        <v>10</v>
      </c>
      <c r="B22" s="10">
        <v>3</v>
      </c>
      <c r="C22" s="11">
        <v>50</v>
      </c>
      <c r="D22" s="12">
        <f t="shared" si="0"/>
        <v>53</v>
      </c>
      <c r="E22" s="11">
        <v>47</v>
      </c>
      <c r="F22" s="11">
        <v>50</v>
      </c>
      <c r="G22" s="12">
        <f>SUM(E22+F22)</f>
        <v>97</v>
      </c>
      <c r="H22" s="11"/>
      <c r="I22" s="11">
        <v>0</v>
      </c>
      <c r="J22" s="11">
        <v>0</v>
      </c>
      <c r="K22" s="12">
        <f>SUM(I22+J22)</f>
        <v>0</v>
      </c>
      <c r="L22" s="11"/>
      <c r="M22" s="11">
        <v>0</v>
      </c>
      <c r="N22" s="11">
        <v>0</v>
      </c>
      <c r="O22" s="12">
        <f>SUM(M22:N22)</f>
        <v>0</v>
      </c>
      <c r="P22" s="11"/>
      <c r="Q22" s="11">
        <v>0</v>
      </c>
      <c r="R22" s="11">
        <v>0</v>
      </c>
      <c r="S22" s="13">
        <v>0</v>
      </c>
      <c r="T22" s="11"/>
      <c r="U22" s="11">
        <v>0</v>
      </c>
      <c r="V22" s="11">
        <v>0</v>
      </c>
      <c r="W22" s="13">
        <v>0</v>
      </c>
      <c r="X22" s="22">
        <f t="shared" si="2"/>
        <v>150</v>
      </c>
    </row>
    <row r="23" spans="1:24">
      <c r="A23" t="s">
        <v>39</v>
      </c>
      <c r="B23" s="10">
        <v>38</v>
      </c>
      <c r="C23" s="11">
        <v>50</v>
      </c>
      <c r="D23" s="13">
        <f t="shared" si="0"/>
        <v>88</v>
      </c>
      <c r="E23" s="11">
        <v>0</v>
      </c>
      <c r="F23" s="11">
        <v>0</v>
      </c>
      <c r="G23" s="14">
        <f t="shared" ref="G23:G42" si="7">SUM(E23:F23)</f>
        <v>0</v>
      </c>
      <c r="H23" s="11"/>
      <c r="I23" s="11">
        <v>10</v>
      </c>
      <c r="J23" s="11">
        <v>50</v>
      </c>
      <c r="K23" s="13">
        <f t="shared" ref="K23:K40" si="8">SUM(I23:J23)</f>
        <v>60</v>
      </c>
      <c r="L23" s="11"/>
      <c r="M23" s="11"/>
      <c r="N23" s="11"/>
      <c r="O23" s="12">
        <f t="shared" ref="O23:O40" si="9">SUM(M23+N23)</f>
        <v>0</v>
      </c>
      <c r="P23" s="11"/>
      <c r="Q23" s="11"/>
      <c r="R23" s="11"/>
      <c r="S23" s="13">
        <f t="shared" ref="S23:S32" si="10">SUM(Q22+R22)</f>
        <v>0</v>
      </c>
      <c r="T23" s="11"/>
      <c r="U23" s="11"/>
      <c r="V23" s="11"/>
      <c r="W23" s="13">
        <f t="shared" ref="W23:W32" si="11">SUM(U23:V23)</f>
        <v>0</v>
      </c>
      <c r="X23" s="22">
        <f t="shared" si="2"/>
        <v>148</v>
      </c>
    </row>
    <row r="24" spans="1:24">
      <c r="A24" t="s">
        <v>36</v>
      </c>
      <c r="B24" s="10">
        <v>33</v>
      </c>
      <c r="C24" s="11">
        <v>50</v>
      </c>
      <c r="D24" s="13">
        <f t="shared" si="0"/>
        <v>83</v>
      </c>
      <c r="E24" s="11">
        <v>0</v>
      </c>
      <c r="F24" s="11">
        <v>0</v>
      </c>
      <c r="G24" s="14">
        <f t="shared" si="7"/>
        <v>0</v>
      </c>
      <c r="H24" s="11"/>
      <c r="I24" s="11">
        <v>8</v>
      </c>
      <c r="J24" s="11">
        <v>50</v>
      </c>
      <c r="K24" s="13">
        <f t="shared" si="8"/>
        <v>58</v>
      </c>
      <c r="L24" s="11"/>
      <c r="M24" s="11"/>
      <c r="N24" s="11"/>
      <c r="O24" s="12">
        <f t="shared" si="9"/>
        <v>0</v>
      </c>
      <c r="P24" s="11"/>
      <c r="Q24" s="11"/>
      <c r="R24" s="11"/>
      <c r="S24" s="13">
        <f t="shared" si="10"/>
        <v>0</v>
      </c>
      <c r="T24" s="11"/>
      <c r="U24" s="11"/>
      <c r="V24" s="11"/>
      <c r="W24" s="13">
        <f t="shared" si="11"/>
        <v>0</v>
      </c>
      <c r="X24" s="22">
        <f t="shared" si="2"/>
        <v>141</v>
      </c>
    </row>
    <row r="25" spans="1:24">
      <c r="A25" t="s">
        <v>26</v>
      </c>
      <c r="B25" s="10">
        <v>7</v>
      </c>
      <c r="C25" s="11">
        <v>50</v>
      </c>
      <c r="D25" s="13">
        <f t="shared" si="0"/>
        <v>57</v>
      </c>
      <c r="E25" s="11">
        <v>32</v>
      </c>
      <c r="F25" s="11">
        <v>50</v>
      </c>
      <c r="G25" s="14">
        <f t="shared" si="7"/>
        <v>82</v>
      </c>
      <c r="H25" s="11"/>
      <c r="I25" s="11"/>
      <c r="J25" s="11"/>
      <c r="K25" s="13">
        <f t="shared" si="8"/>
        <v>0</v>
      </c>
      <c r="L25" s="11"/>
      <c r="M25" s="11"/>
      <c r="N25" s="11"/>
      <c r="O25" s="12">
        <f t="shared" si="9"/>
        <v>0</v>
      </c>
      <c r="P25" s="11"/>
      <c r="Q25" s="11"/>
      <c r="R25" s="11"/>
      <c r="S25" s="13">
        <f t="shared" si="10"/>
        <v>0</v>
      </c>
      <c r="T25" s="11"/>
      <c r="U25" s="11"/>
      <c r="V25" s="11"/>
      <c r="W25" s="13">
        <f t="shared" si="11"/>
        <v>0</v>
      </c>
      <c r="X25" s="22">
        <f t="shared" si="2"/>
        <v>139</v>
      </c>
    </row>
    <row r="26" spans="1:24">
      <c r="A26" t="s">
        <v>33</v>
      </c>
      <c r="B26" s="10">
        <v>9</v>
      </c>
      <c r="C26" s="11">
        <v>50</v>
      </c>
      <c r="D26" s="13">
        <f t="shared" si="0"/>
        <v>59</v>
      </c>
      <c r="E26" s="11">
        <v>28</v>
      </c>
      <c r="F26" s="11">
        <v>50</v>
      </c>
      <c r="G26" s="14">
        <f t="shared" si="7"/>
        <v>78</v>
      </c>
      <c r="H26" s="11"/>
      <c r="I26" s="11"/>
      <c r="J26" s="11"/>
      <c r="K26" s="13">
        <f t="shared" si="8"/>
        <v>0</v>
      </c>
      <c r="L26" s="11"/>
      <c r="M26" s="11"/>
      <c r="N26" s="11"/>
      <c r="O26" s="12">
        <f t="shared" si="9"/>
        <v>0</v>
      </c>
      <c r="P26" s="11"/>
      <c r="Q26" s="11"/>
      <c r="R26" s="11"/>
      <c r="S26" s="13">
        <f t="shared" si="10"/>
        <v>0</v>
      </c>
      <c r="T26" s="11"/>
      <c r="U26" s="11"/>
      <c r="V26" s="11"/>
      <c r="W26" s="13">
        <f t="shared" si="11"/>
        <v>0</v>
      </c>
      <c r="X26" s="22">
        <f t="shared" si="2"/>
        <v>137</v>
      </c>
    </row>
    <row r="27" spans="1:24">
      <c r="A27" t="s">
        <v>57</v>
      </c>
      <c r="B27" s="10">
        <v>0</v>
      </c>
      <c r="C27" s="11">
        <v>0</v>
      </c>
      <c r="D27" s="13">
        <f t="shared" si="0"/>
        <v>0</v>
      </c>
      <c r="E27" s="11">
        <v>85</v>
      </c>
      <c r="F27" s="11">
        <v>50</v>
      </c>
      <c r="G27" s="14">
        <f t="shared" si="7"/>
        <v>135</v>
      </c>
      <c r="H27" s="11"/>
      <c r="I27" s="11"/>
      <c r="J27" s="11"/>
      <c r="K27" s="13">
        <f t="shared" si="8"/>
        <v>0</v>
      </c>
      <c r="L27" s="11"/>
      <c r="M27" s="11"/>
      <c r="N27" s="11"/>
      <c r="O27" s="12">
        <f t="shared" si="9"/>
        <v>0</v>
      </c>
      <c r="P27" s="11"/>
      <c r="Q27" s="11"/>
      <c r="R27" s="11"/>
      <c r="S27" s="13">
        <f t="shared" si="10"/>
        <v>0</v>
      </c>
      <c r="T27" s="11"/>
      <c r="U27" s="11"/>
      <c r="V27" s="11"/>
      <c r="W27" s="13">
        <f t="shared" si="11"/>
        <v>0</v>
      </c>
      <c r="X27" s="22">
        <f t="shared" si="2"/>
        <v>135</v>
      </c>
    </row>
    <row r="28" spans="1:24">
      <c r="A28" t="s">
        <v>21</v>
      </c>
      <c r="B28" s="10">
        <v>3</v>
      </c>
      <c r="C28" s="11">
        <v>50</v>
      </c>
      <c r="D28" s="13">
        <f t="shared" si="0"/>
        <v>53</v>
      </c>
      <c r="E28" s="11">
        <v>0</v>
      </c>
      <c r="F28" s="11">
        <v>0</v>
      </c>
      <c r="G28" s="13">
        <f t="shared" si="7"/>
        <v>0</v>
      </c>
      <c r="H28" s="11"/>
      <c r="I28" s="11">
        <v>29</v>
      </c>
      <c r="J28" s="11">
        <v>50</v>
      </c>
      <c r="K28" s="13">
        <f t="shared" si="8"/>
        <v>79</v>
      </c>
      <c r="L28" s="11"/>
      <c r="M28" s="11"/>
      <c r="N28" s="11"/>
      <c r="O28" s="12">
        <f t="shared" si="9"/>
        <v>0</v>
      </c>
      <c r="P28" s="11"/>
      <c r="Q28" s="11"/>
      <c r="R28" s="11"/>
      <c r="S28" s="13">
        <f t="shared" si="10"/>
        <v>0</v>
      </c>
      <c r="T28" s="11"/>
      <c r="U28" s="11"/>
      <c r="V28" s="11"/>
      <c r="W28" s="13">
        <f t="shared" si="11"/>
        <v>0</v>
      </c>
      <c r="X28" s="22">
        <f t="shared" si="2"/>
        <v>132</v>
      </c>
    </row>
    <row r="29" spans="1:24">
      <c r="A29" t="s">
        <v>48</v>
      </c>
      <c r="B29" s="10">
        <v>1</v>
      </c>
      <c r="C29" s="11">
        <v>50</v>
      </c>
      <c r="D29" s="13">
        <f t="shared" si="0"/>
        <v>51</v>
      </c>
      <c r="E29" s="11">
        <v>27</v>
      </c>
      <c r="F29" s="11">
        <v>50</v>
      </c>
      <c r="G29" s="14">
        <f t="shared" si="7"/>
        <v>77</v>
      </c>
      <c r="H29" s="11"/>
      <c r="I29" s="11"/>
      <c r="J29" s="11"/>
      <c r="K29" s="13">
        <f t="shared" si="8"/>
        <v>0</v>
      </c>
      <c r="L29" s="11"/>
      <c r="M29" s="11"/>
      <c r="N29" s="11"/>
      <c r="O29" s="12">
        <f t="shared" si="9"/>
        <v>0</v>
      </c>
      <c r="P29" s="11"/>
      <c r="Q29" s="11"/>
      <c r="R29" s="11"/>
      <c r="S29" s="13">
        <f t="shared" si="10"/>
        <v>0</v>
      </c>
      <c r="T29" s="11"/>
      <c r="U29" s="11"/>
      <c r="V29" s="11"/>
      <c r="W29" s="13">
        <f t="shared" si="11"/>
        <v>0</v>
      </c>
      <c r="X29" s="22">
        <f t="shared" si="2"/>
        <v>128</v>
      </c>
    </row>
    <row r="30" spans="1:24">
      <c r="A30" t="s">
        <v>23</v>
      </c>
      <c r="B30" s="10">
        <v>2</v>
      </c>
      <c r="C30" s="11">
        <v>50</v>
      </c>
      <c r="D30" s="13">
        <f t="shared" si="0"/>
        <v>52</v>
      </c>
      <c r="E30" s="11">
        <v>24</v>
      </c>
      <c r="F30" s="11">
        <v>50</v>
      </c>
      <c r="G30" s="13">
        <f t="shared" si="7"/>
        <v>74</v>
      </c>
      <c r="H30" s="11"/>
      <c r="I30" s="11"/>
      <c r="J30" s="11"/>
      <c r="K30" s="13">
        <f t="shared" si="8"/>
        <v>0</v>
      </c>
      <c r="L30" s="11"/>
      <c r="M30" s="11"/>
      <c r="N30" s="11"/>
      <c r="O30" s="12">
        <f t="shared" si="9"/>
        <v>0</v>
      </c>
      <c r="P30" s="11"/>
      <c r="Q30" s="11"/>
      <c r="R30" s="11"/>
      <c r="S30" s="13">
        <f t="shared" si="10"/>
        <v>0</v>
      </c>
      <c r="T30" s="11"/>
      <c r="U30" s="11"/>
      <c r="V30" s="11"/>
      <c r="W30" s="13">
        <f t="shared" si="11"/>
        <v>0</v>
      </c>
      <c r="X30" s="22">
        <f t="shared" si="2"/>
        <v>126</v>
      </c>
    </row>
    <row r="31" spans="1:24">
      <c r="A31" t="s">
        <v>47</v>
      </c>
      <c r="B31" s="10">
        <v>1</v>
      </c>
      <c r="C31" s="11">
        <v>50</v>
      </c>
      <c r="D31" s="13">
        <f t="shared" si="0"/>
        <v>51</v>
      </c>
      <c r="E31" s="11">
        <v>23</v>
      </c>
      <c r="F31" s="11">
        <v>50</v>
      </c>
      <c r="G31" s="14">
        <f t="shared" si="7"/>
        <v>73</v>
      </c>
      <c r="H31" s="11"/>
      <c r="I31" s="11"/>
      <c r="J31" s="11"/>
      <c r="K31" s="13">
        <f t="shared" si="8"/>
        <v>0</v>
      </c>
      <c r="L31" s="11"/>
      <c r="M31" s="11"/>
      <c r="N31" s="11"/>
      <c r="O31" s="12">
        <f t="shared" si="9"/>
        <v>0</v>
      </c>
      <c r="P31" s="11"/>
      <c r="Q31" s="11"/>
      <c r="R31" s="11"/>
      <c r="S31" s="13">
        <f t="shared" si="10"/>
        <v>0</v>
      </c>
      <c r="T31" s="11"/>
      <c r="U31" s="11"/>
      <c r="V31" s="11"/>
      <c r="W31" s="13">
        <f t="shared" si="11"/>
        <v>0</v>
      </c>
      <c r="X31" s="22">
        <f t="shared" si="2"/>
        <v>124</v>
      </c>
    </row>
    <row r="32" spans="1:24">
      <c r="A32" t="s">
        <v>42</v>
      </c>
      <c r="B32" s="10">
        <v>16</v>
      </c>
      <c r="C32" s="11">
        <v>50</v>
      </c>
      <c r="D32" s="13">
        <f t="shared" si="0"/>
        <v>66</v>
      </c>
      <c r="E32" s="11">
        <v>0</v>
      </c>
      <c r="F32" s="11">
        <v>0</v>
      </c>
      <c r="G32" s="14">
        <f t="shared" si="7"/>
        <v>0</v>
      </c>
      <c r="H32" s="11"/>
      <c r="I32" s="11">
        <v>7</v>
      </c>
      <c r="J32" s="11">
        <v>50</v>
      </c>
      <c r="K32" s="13">
        <f t="shared" si="8"/>
        <v>57</v>
      </c>
      <c r="L32" s="11"/>
      <c r="M32" s="11"/>
      <c r="N32" s="11"/>
      <c r="O32" s="12">
        <f t="shared" si="9"/>
        <v>0</v>
      </c>
      <c r="P32" s="11"/>
      <c r="Q32" s="11"/>
      <c r="R32" s="11"/>
      <c r="S32" s="13">
        <f t="shared" si="10"/>
        <v>0</v>
      </c>
      <c r="T32" s="11"/>
      <c r="U32" s="11"/>
      <c r="V32" s="11"/>
      <c r="W32" s="13">
        <f t="shared" si="11"/>
        <v>0</v>
      </c>
      <c r="X32" s="22">
        <f t="shared" si="2"/>
        <v>123</v>
      </c>
    </row>
    <row r="33" spans="1:24">
      <c r="A33" t="s">
        <v>9</v>
      </c>
      <c r="B33" s="10">
        <v>13</v>
      </c>
      <c r="C33" s="11">
        <v>50</v>
      </c>
      <c r="D33" s="12">
        <f t="shared" si="0"/>
        <v>63</v>
      </c>
      <c r="E33" s="11">
        <v>0</v>
      </c>
      <c r="F33" s="11">
        <v>0</v>
      </c>
      <c r="G33" s="12">
        <f t="shared" si="7"/>
        <v>0</v>
      </c>
      <c r="H33" s="11"/>
      <c r="I33" s="11">
        <v>9</v>
      </c>
      <c r="J33" s="11">
        <v>50</v>
      </c>
      <c r="K33" s="12">
        <f t="shared" si="8"/>
        <v>59</v>
      </c>
      <c r="L33" s="11"/>
      <c r="M33" s="11">
        <v>0</v>
      </c>
      <c r="N33" s="11">
        <v>0</v>
      </c>
      <c r="O33" s="12">
        <f t="shared" si="9"/>
        <v>0</v>
      </c>
      <c r="P33" s="11"/>
      <c r="Q33" s="11">
        <v>0</v>
      </c>
      <c r="R33" s="11">
        <v>0</v>
      </c>
      <c r="S33" s="13">
        <f>SUM(Q33:R33)</f>
        <v>0</v>
      </c>
      <c r="T33" s="11"/>
      <c r="U33" s="11">
        <v>0</v>
      </c>
      <c r="V33" s="11">
        <v>0</v>
      </c>
      <c r="W33" s="13">
        <f>SUM(U33+V33)</f>
        <v>0</v>
      </c>
      <c r="X33" s="22">
        <f>SUM(D33+K33+G33+O33+S34+W33)</f>
        <v>122</v>
      </c>
    </row>
    <row r="34" spans="1:24">
      <c r="A34" t="s">
        <v>37</v>
      </c>
      <c r="B34" s="15">
        <v>5</v>
      </c>
      <c r="C34" s="11">
        <v>50</v>
      </c>
      <c r="D34" s="13">
        <f t="shared" si="0"/>
        <v>55</v>
      </c>
      <c r="E34" s="11">
        <v>15</v>
      </c>
      <c r="F34" s="11">
        <v>50</v>
      </c>
      <c r="G34" s="14">
        <f t="shared" si="7"/>
        <v>65</v>
      </c>
      <c r="H34" s="11"/>
      <c r="I34" s="11"/>
      <c r="J34" s="11"/>
      <c r="K34" s="13">
        <f t="shared" si="8"/>
        <v>0</v>
      </c>
      <c r="L34" s="11"/>
      <c r="M34" s="11"/>
      <c r="N34" s="11"/>
      <c r="O34" s="12">
        <f t="shared" si="9"/>
        <v>0</v>
      </c>
      <c r="P34" s="11"/>
      <c r="Q34" s="11"/>
      <c r="R34" s="11"/>
      <c r="S34" s="13">
        <f t="shared" ref="S34:S40" si="12">SUM(Q33+R33)</f>
        <v>0</v>
      </c>
      <c r="T34" s="11"/>
      <c r="U34" s="11"/>
      <c r="V34" s="11"/>
      <c r="W34" s="13">
        <f t="shared" ref="W34:W40" si="13">SUM(U34:V34)</f>
        <v>0</v>
      </c>
      <c r="X34" s="22">
        <f t="shared" ref="X34:X65" si="14">SUM(D34+G34+K34+O34+S34+W34)</f>
        <v>120</v>
      </c>
    </row>
    <row r="35" spans="1:24">
      <c r="A35" t="s">
        <v>83</v>
      </c>
      <c r="B35" s="10">
        <v>0</v>
      </c>
      <c r="C35" s="11">
        <v>0</v>
      </c>
      <c r="D35" s="13">
        <f t="shared" ref="D35:D66" si="15">SUM(B35:C35)</f>
        <v>0</v>
      </c>
      <c r="E35" s="11">
        <v>18</v>
      </c>
      <c r="F35" s="11">
        <v>50</v>
      </c>
      <c r="G35" s="14">
        <f t="shared" si="7"/>
        <v>68</v>
      </c>
      <c r="H35" s="11"/>
      <c r="I35" s="11">
        <v>2</v>
      </c>
      <c r="J35" s="11">
        <v>50</v>
      </c>
      <c r="K35" s="13">
        <f t="shared" si="8"/>
        <v>52</v>
      </c>
      <c r="L35" s="11"/>
      <c r="M35" s="11"/>
      <c r="N35" s="11"/>
      <c r="O35" s="12">
        <f t="shared" si="9"/>
        <v>0</v>
      </c>
      <c r="P35" s="11"/>
      <c r="Q35" s="11"/>
      <c r="R35" s="11"/>
      <c r="S35" s="13">
        <f t="shared" si="12"/>
        <v>0</v>
      </c>
      <c r="T35" s="11"/>
      <c r="U35" s="11"/>
      <c r="V35" s="11"/>
      <c r="W35" s="13">
        <f t="shared" si="13"/>
        <v>0</v>
      </c>
      <c r="X35" s="22">
        <f t="shared" si="14"/>
        <v>120</v>
      </c>
    </row>
    <row r="36" spans="1:24">
      <c r="A36" t="s">
        <v>25</v>
      </c>
      <c r="B36" s="10">
        <v>3</v>
      </c>
      <c r="C36" s="11">
        <v>50</v>
      </c>
      <c r="D36" s="13">
        <f t="shared" si="15"/>
        <v>53</v>
      </c>
      <c r="E36" s="11">
        <v>14</v>
      </c>
      <c r="F36" s="11">
        <v>50</v>
      </c>
      <c r="G36" s="14">
        <f t="shared" si="7"/>
        <v>64</v>
      </c>
      <c r="H36" s="11"/>
      <c r="I36" s="11"/>
      <c r="J36" s="11"/>
      <c r="K36" s="13">
        <f t="shared" si="8"/>
        <v>0</v>
      </c>
      <c r="L36" s="11"/>
      <c r="M36" s="11"/>
      <c r="N36" s="11"/>
      <c r="O36" s="12">
        <f t="shared" si="9"/>
        <v>0</v>
      </c>
      <c r="P36" s="11"/>
      <c r="Q36" s="11"/>
      <c r="R36" s="11"/>
      <c r="S36" s="13">
        <f t="shared" si="12"/>
        <v>0</v>
      </c>
      <c r="T36" s="11"/>
      <c r="U36" s="11"/>
      <c r="V36" s="11"/>
      <c r="W36" s="13">
        <f t="shared" si="13"/>
        <v>0</v>
      </c>
      <c r="X36" s="22">
        <f t="shared" si="14"/>
        <v>117</v>
      </c>
    </row>
    <row r="37" spans="1:24">
      <c r="A37" t="s">
        <v>54</v>
      </c>
      <c r="B37" s="10">
        <v>1</v>
      </c>
      <c r="C37" s="11">
        <v>50</v>
      </c>
      <c r="D37" s="13">
        <f t="shared" si="15"/>
        <v>51</v>
      </c>
      <c r="E37" s="11">
        <v>15</v>
      </c>
      <c r="F37" s="11">
        <v>50</v>
      </c>
      <c r="G37" s="14">
        <f t="shared" si="7"/>
        <v>65</v>
      </c>
      <c r="H37" s="11"/>
      <c r="I37" s="11"/>
      <c r="J37" s="11"/>
      <c r="K37" s="13">
        <f t="shared" si="8"/>
        <v>0</v>
      </c>
      <c r="L37" s="11"/>
      <c r="M37" s="11"/>
      <c r="N37" s="11"/>
      <c r="O37" s="12">
        <f t="shared" si="9"/>
        <v>0</v>
      </c>
      <c r="P37" s="11"/>
      <c r="Q37" s="11"/>
      <c r="R37" s="11"/>
      <c r="S37" s="13">
        <f t="shared" si="12"/>
        <v>0</v>
      </c>
      <c r="T37" s="11"/>
      <c r="U37" s="11"/>
      <c r="V37" s="11"/>
      <c r="W37" s="13">
        <f t="shared" si="13"/>
        <v>0</v>
      </c>
      <c r="X37" s="22">
        <f t="shared" si="14"/>
        <v>116</v>
      </c>
    </row>
    <row r="38" spans="1:24">
      <c r="A38" t="s">
        <v>44</v>
      </c>
      <c r="B38" s="10">
        <v>7</v>
      </c>
      <c r="C38" s="11">
        <v>50</v>
      </c>
      <c r="D38" s="13">
        <f t="shared" si="15"/>
        <v>57</v>
      </c>
      <c r="E38" s="11">
        <v>8</v>
      </c>
      <c r="F38" s="11">
        <v>50</v>
      </c>
      <c r="G38" s="14">
        <f t="shared" si="7"/>
        <v>58</v>
      </c>
      <c r="H38" s="11"/>
      <c r="I38" s="11"/>
      <c r="J38" s="11"/>
      <c r="K38" s="13">
        <f t="shared" si="8"/>
        <v>0</v>
      </c>
      <c r="L38" s="11"/>
      <c r="M38" s="11"/>
      <c r="N38" s="11"/>
      <c r="O38" s="12">
        <f t="shared" si="9"/>
        <v>0</v>
      </c>
      <c r="P38" s="11"/>
      <c r="Q38" s="11"/>
      <c r="R38" s="11"/>
      <c r="S38" s="13">
        <f t="shared" si="12"/>
        <v>0</v>
      </c>
      <c r="T38" s="11"/>
      <c r="U38" s="11"/>
      <c r="V38" s="11"/>
      <c r="W38" s="13">
        <f t="shared" si="13"/>
        <v>0</v>
      </c>
      <c r="X38" s="22">
        <f t="shared" si="14"/>
        <v>115</v>
      </c>
    </row>
    <row r="39" spans="1:24">
      <c r="A39" t="s">
        <v>45</v>
      </c>
      <c r="B39" s="10">
        <v>1</v>
      </c>
      <c r="C39" s="11">
        <v>50</v>
      </c>
      <c r="D39" s="13">
        <f t="shared" si="15"/>
        <v>51</v>
      </c>
      <c r="E39" s="11">
        <v>11</v>
      </c>
      <c r="F39" s="11">
        <v>50</v>
      </c>
      <c r="G39" s="14">
        <f t="shared" si="7"/>
        <v>61</v>
      </c>
      <c r="H39" s="11"/>
      <c r="I39" s="11"/>
      <c r="J39" s="11"/>
      <c r="K39" s="13">
        <f t="shared" si="8"/>
        <v>0</v>
      </c>
      <c r="L39" s="11"/>
      <c r="M39" s="11"/>
      <c r="N39" s="11"/>
      <c r="O39" s="12">
        <f t="shared" si="9"/>
        <v>0</v>
      </c>
      <c r="P39" s="11"/>
      <c r="Q39" s="11"/>
      <c r="R39" s="11"/>
      <c r="S39" s="13">
        <f t="shared" si="12"/>
        <v>0</v>
      </c>
      <c r="T39" s="11"/>
      <c r="U39" s="11"/>
      <c r="V39" s="11"/>
      <c r="W39" s="13">
        <f t="shared" si="13"/>
        <v>0</v>
      </c>
      <c r="X39" s="22">
        <f t="shared" si="14"/>
        <v>112</v>
      </c>
    </row>
    <row r="40" spans="1:24">
      <c r="A40" t="s">
        <v>55</v>
      </c>
      <c r="B40" s="10">
        <v>7</v>
      </c>
      <c r="C40" s="11">
        <v>50</v>
      </c>
      <c r="D40" s="13">
        <f t="shared" si="15"/>
        <v>57</v>
      </c>
      <c r="E40" s="11">
        <v>0</v>
      </c>
      <c r="F40" s="11">
        <v>0</v>
      </c>
      <c r="G40" s="14">
        <f t="shared" si="7"/>
        <v>0</v>
      </c>
      <c r="H40" s="11"/>
      <c r="I40" s="11">
        <v>5</v>
      </c>
      <c r="J40" s="11">
        <v>50</v>
      </c>
      <c r="K40" s="13">
        <f t="shared" si="8"/>
        <v>55</v>
      </c>
      <c r="L40" s="11"/>
      <c r="M40" s="11"/>
      <c r="N40" s="11"/>
      <c r="O40" s="12">
        <f t="shared" si="9"/>
        <v>0</v>
      </c>
      <c r="P40" s="11"/>
      <c r="Q40" s="11"/>
      <c r="R40" s="11"/>
      <c r="S40" s="13">
        <f t="shared" si="12"/>
        <v>0</v>
      </c>
      <c r="T40" s="11"/>
      <c r="U40" s="11"/>
      <c r="V40" s="11"/>
      <c r="W40" s="13">
        <f t="shared" si="13"/>
        <v>0</v>
      </c>
      <c r="X40" s="22">
        <f t="shared" si="14"/>
        <v>112</v>
      </c>
    </row>
    <row r="41" spans="1:24">
      <c r="A41" t="s">
        <v>15</v>
      </c>
      <c r="B41" s="10">
        <v>1</v>
      </c>
      <c r="C41" s="11">
        <v>50</v>
      </c>
      <c r="D41" s="12">
        <f t="shared" si="15"/>
        <v>51</v>
      </c>
      <c r="E41" s="11">
        <v>8</v>
      </c>
      <c r="F41" s="11">
        <v>50</v>
      </c>
      <c r="G41" s="12">
        <f t="shared" si="7"/>
        <v>58</v>
      </c>
      <c r="H41" s="11"/>
      <c r="I41" s="11">
        <v>0</v>
      </c>
      <c r="J41" s="11">
        <v>0</v>
      </c>
      <c r="K41" s="12">
        <f>SUM(I41+J41)</f>
        <v>0</v>
      </c>
      <c r="L41" s="11"/>
      <c r="M41" s="11">
        <v>0</v>
      </c>
      <c r="N41" s="11">
        <v>0</v>
      </c>
      <c r="O41" s="12">
        <v>0</v>
      </c>
      <c r="P41" s="11"/>
      <c r="Q41" s="11">
        <v>0</v>
      </c>
      <c r="R41" s="11">
        <v>0</v>
      </c>
      <c r="S41" s="13">
        <v>0</v>
      </c>
      <c r="T41" s="11"/>
      <c r="U41" s="11">
        <v>0</v>
      </c>
      <c r="V41" s="11">
        <v>0</v>
      </c>
      <c r="W41" s="13">
        <v>0</v>
      </c>
      <c r="X41" s="22">
        <f t="shared" si="14"/>
        <v>109</v>
      </c>
    </row>
    <row r="42" spans="1:24">
      <c r="A42" t="s">
        <v>18</v>
      </c>
      <c r="B42" s="10">
        <v>9</v>
      </c>
      <c r="C42" s="11">
        <v>50</v>
      </c>
      <c r="D42" s="12">
        <f t="shared" si="15"/>
        <v>59</v>
      </c>
      <c r="E42" s="11">
        <v>0</v>
      </c>
      <c r="F42" s="24">
        <v>50</v>
      </c>
      <c r="G42" s="12">
        <f t="shared" si="7"/>
        <v>50</v>
      </c>
      <c r="H42" s="11"/>
      <c r="I42" s="11">
        <v>0</v>
      </c>
      <c r="J42" s="11">
        <v>0</v>
      </c>
      <c r="K42" s="12">
        <f>SUM(I42+J42)</f>
        <v>0</v>
      </c>
      <c r="L42" s="11"/>
      <c r="M42" s="11">
        <v>0</v>
      </c>
      <c r="N42" s="11">
        <v>0</v>
      </c>
      <c r="O42" s="12">
        <f t="shared" ref="O42:O73" si="16">SUM(M42+N42)</f>
        <v>0</v>
      </c>
      <c r="P42" s="11"/>
      <c r="Q42" s="11">
        <v>0</v>
      </c>
      <c r="R42" s="11">
        <v>0</v>
      </c>
      <c r="S42" s="13">
        <f>SUM(Q42:R42)</f>
        <v>0</v>
      </c>
      <c r="T42" s="11"/>
      <c r="U42" s="11">
        <v>0</v>
      </c>
      <c r="V42" s="11">
        <v>0</v>
      </c>
      <c r="W42" s="13">
        <f>SUM(U42+V42)</f>
        <v>0</v>
      </c>
      <c r="X42" s="22">
        <f t="shared" si="14"/>
        <v>109</v>
      </c>
    </row>
    <row r="43" spans="1:24">
      <c r="A43" t="s">
        <v>16</v>
      </c>
      <c r="B43" s="10">
        <v>2</v>
      </c>
      <c r="C43" s="11">
        <v>50</v>
      </c>
      <c r="D43" s="12">
        <f t="shared" si="15"/>
        <v>52</v>
      </c>
      <c r="E43" s="11">
        <v>6</v>
      </c>
      <c r="F43" s="24">
        <v>50</v>
      </c>
      <c r="G43" s="12">
        <f>SUM(E43+F43)</f>
        <v>56</v>
      </c>
      <c r="H43" s="11"/>
      <c r="I43" s="11">
        <v>0</v>
      </c>
      <c r="J43" s="11">
        <v>0</v>
      </c>
      <c r="K43" s="12">
        <f>SUM(I43+J43)</f>
        <v>0</v>
      </c>
      <c r="L43" s="11"/>
      <c r="M43" s="11">
        <v>0</v>
      </c>
      <c r="N43" s="11">
        <v>0</v>
      </c>
      <c r="O43" s="12">
        <f t="shared" si="16"/>
        <v>0</v>
      </c>
      <c r="P43" s="11"/>
      <c r="Q43" s="11">
        <v>0</v>
      </c>
      <c r="R43" s="11">
        <v>0</v>
      </c>
      <c r="S43" s="13">
        <f>SUM(Q43:R43)</f>
        <v>0</v>
      </c>
      <c r="T43" s="11"/>
      <c r="U43" s="11">
        <v>0</v>
      </c>
      <c r="V43" s="11">
        <v>0</v>
      </c>
      <c r="W43" s="13">
        <f>SUM(U43+V43)</f>
        <v>0</v>
      </c>
      <c r="X43" s="22">
        <f t="shared" si="14"/>
        <v>108</v>
      </c>
    </row>
    <row r="44" spans="1:24">
      <c r="A44" t="s">
        <v>52</v>
      </c>
      <c r="B44" s="10">
        <v>4</v>
      </c>
      <c r="C44" s="11">
        <v>50</v>
      </c>
      <c r="D44" s="13">
        <f t="shared" si="15"/>
        <v>54</v>
      </c>
      <c r="E44" s="11">
        <v>0</v>
      </c>
      <c r="F44" s="25">
        <v>50</v>
      </c>
      <c r="G44" s="14">
        <f t="shared" ref="G44:G75" si="17">SUM(E44:F44)</f>
        <v>50</v>
      </c>
      <c r="H44" s="11"/>
      <c r="I44" s="11"/>
      <c r="J44" s="11"/>
      <c r="K44" s="13">
        <f t="shared" ref="K44:K75" si="18">SUM(I44:J44)</f>
        <v>0</v>
      </c>
      <c r="L44" s="11"/>
      <c r="M44" s="11"/>
      <c r="N44" s="11"/>
      <c r="O44" s="12">
        <f t="shared" si="16"/>
        <v>0</v>
      </c>
      <c r="P44" s="11"/>
      <c r="Q44" s="11"/>
      <c r="R44" s="11"/>
      <c r="S44" s="13">
        <f t="shared" ref="S44:S75" si="19">SUM(Q43+R43)</f>
        <v>0</v>
      </c>
      <c r="T44" s="11"/>
      <c r="U44" s="11"/>
      <c r="V44" s="11"/>
      <c r="W44" s="13">
        <f t="shared" ref="W44:W75" si="20">SUM(U44:V44)</f>
        <v>0</v>
      </c>
      <c r="X44" s="22">
        <f t="shared" si="14"/>
        <v>104</v>
      </c>
    </row>
    <row r="45" spans="1:24">
      <c r="A45" t="s">
        <v>62</v>
      </c>
      <c r="B45" s="10">
        <v>0</v>
      </c>
      <c r="C45" s="11">
        <v>0</v>
      </c>
      <c r="D45" s="13">
        <f t="shared" si="15"/>
        <v>0</v>
      </c>
      <c r="E45" s="11">
        <v>50</v>
      </c>
      <c r="F45" s="11">
        <v>50</v>
      </c>
      <c r="G45" s="14">
        <f t="shared" si="17"/>
        <v>100</v>
      </c>
      <c r="H45" s="11"/>
      <c r="I45" s="11"/>
      <c r="J45" s="11"/>
      <c r="K45" s="13">
        <f t="shared" si="18"/>
        <v>0</v>
      </c>
      <c r="L45" s="11"/>
      <c r="M45" s="11"/>
      <c r="N45" s="11"/>
      <c r="O45" s="12">
        <f t="shared" si="16"/>
        <v>0</v>
      </c>
      <c r="P45" s="11"/>
      <c r="Q45" s="11"/>
      <c r="R45" s="11"/>
      <c r="S45" s="13">
        <f t="shared" si="19"/>
        <v>0</v>
      </c>
      <c r="T45" s="11"/>
      <c r="U45" s="11"/>
      <c r="V45" s="11"/>
      <c r="W45" s="13">
        <f t="shared" si="20"/>
        <v>0</v>
      </c>
      <c r="X45" s="22">
        <f t="shared" si="14"/>
        <v>100</v>
      </c>
    </row>
    <row r="46" spans="1:24">
      <c r="A46" t="s">
        <v>76</v>
      </c>
      <c r="B46" s="10">
        <v>0</v>
      </c>
      <c r="C46" s="11">
        <v>0</v>
      </c>
      <c r="D46" s="13">
        <f t="shared" si="15"/>
        <v>0</v>
      </c>
      <c r="E46" s="11">
        <v>45</v>
      </c>
      <c r="F46" s="11">
        <v>50</v>
      </c>
      <c r="G46" s="14">
        <f t="shared" si="17"/>
        <v>95</v>
      </c>
      <c r="H46" s="11"/>
      <c r="I46" s="11"/>
      <c r="J46" s="11"/>
      <c r="K46" s="13">
        <f t="shared" si="18"/>
        <v>0</v>
      </c>
      <c r="L46" s="11"/>
      <c r="M46" s="11"/>
      <c r="N46" s="11"/>
      <c r="O46" s="12">
        <f t="shared" si="16"/>
        <v>0</v>
      </c>
      <c r="P46" s="11"/>
      <c r="Q46" s="11"/>
      <c r="R46" s="11"/>
      <c r="S46" s="13">
        <f t="shared" si="19"/>
        <v>0</v>
      </c>
      <c r="T46" s="11"/>
      <c r="U46" s="11"/>
      <c r="V46" s="11"/>
      <c r="W46" s="13">
        <f t="shared" si="20"/>
        <v>0</v>
      </c>
      <c r="X46" s="22">
        <f t="shared" si="14"/>
        <v>95</v>
      </c>
    </row>
    <row r="47" spans="1:24">
      <c r="A47" t="s">
        <v>74</v>
      </c>
      <c r="B47" s="10">
        <v>0</v>
      </c>
      <c r="C47" s="11">
        <v>0</v>
      </c>
      <c r="D47" s="13">
        <f t="shared" si="15"/>
        <v>0</v>
      </c>
      <c r="E47" s="11">
        <v>41</v>
      </c>
      <c r="F47" s="11">
        <v>50</v>
      </c>
      <c r="G47" s="14">
        <f t="shared" si="17"/>
        <v>91</v>
      </c>
      <c r="H47" s="11"/>
      <c r="I47" s="11"/>
      <c r="J47" s="11"/>
      <c r="K47" s="13">
        <f t="shared" si="18"/>
        <v>0</v>
      </c>
      <c r="L47" s="11"/>
      <c r="M47" s="11"/>
      <c r="N47" s="11"/>
      <c r="O47" s="12">
        <f t="shared" si="16"/>
        <v>0</v>
      </c>
      <c r="P47" s="11"/>
      <c r="Q47" s="11"/>
      <c r="R47" s="11"/>
      <c r="S47" s="13">
        <f t="shared" si="19"/>
        <v>0</v>
      </c>
      <c r="T47" s="11"/>
      <c r="U47" s="11"/>
      <c r="V47" s="11"/>
      <c r="W47" s="13">
        <f t="shared" si="20"/>
        <v>0</v>
      </c>
      <c r="X47" s="22">
        <f t="shared" si="14"/>
        <v>91</v>
      </c>
    </row>
    <row r="48" spans="1:24">
      <c r="A48" t="s">
        <v>60</v>
      </c>
      <c r="B48" s="10">
        <v>0</v>
      </c>
      <c r="C48" s="11">
        <v>0</v>
      </c>
      <c r="D48" s="13">
        <f t="shared" si="15"/>
        <v>0</v>
      </c>
      <c r="E48" s="11">
        <v>40</v>
      </c>
      <c r="F48" s="11">
        <v>50</v>
      </c>
      <c r="G48" s="14">
        <f t="shared" si="17"/>
        <v>90</v>
      </c>
      <c r="H48" s="11"/>
      <c r="I48" s="11"/>
      <c r="J48" s="11"/>
      <c r="K48" s="13">
        <f t="shared" si="18"/>
        <v>0</v>
      </c>
      <c r="L48" s="11"/>
      <c r="M48" s="11"/>
      <c r="N48" s="11"/>
      <c r="O48" s="12">
        <f t="shared" si="16"/>
        <v>0</v>
      </c>
      <c r="P48" s="11"/>
      <c r="Q48" s="11"/>
      <c r="R48" s="11"/>
      <c r="S48" s="13">
        <f t="shared" si="19"/>
        <v>0</v>
      </c>
      <c r="T48" s="11"/>
      <c r="U48" s="11"/>
      <c r="V48" s="11"/>
      <c r="W48" s="13">
        <f t="shared" si="20"/>
        <v>0</v>
      </c>
      <c r="X48" s="22">
        <f t="shared" si="14"/>
        <v>90</v>
      </c>
    </row>
    <row r="49" spans="1:24">
      <c r="A49" t="s">
        <v>58</v>
      </c>
      <c r="B49" s="10">
        <v>0</v>
      </c>
      <c r="C49" s="11">
        <v>0</v>
      </c>
      <c r="D49" s="13">
        <f t="shared" si="15"/>
        <v>0</v>
      </c>
      <c r="E49" s="11">
        <v>39</v>
      </c>
      <c r="F49" s="11">
        <v>50</v>
      </c>
      <c r="G49" s="14">
        <f t="shared" si="17"/>
        <v>89</v>
      </c>
      <c r="H49" s="11"/>
      <c r="I49" s="11"/>
      <c r="J49" s="11"/>
      <c r="K49" s="13">
        <f t="shared" si="18"/>
        <v>0</v>
      </c>
      <c r="L49" s="11"/>
      <c r="M49" s="11"/>
      <c r="N49" s="11"/>
      <c r="O49" s="12">
        <f t="shared" si="16"/>
        <v>0</v>
      </c>
      <c r="P49" s="11"/>
      <c r="Q49" s="11"/>
      <c r="R49" s="11"/>
      <c r="S49" s="13">
        <f t="shared" si="19"/>
        <v>0</v>
      </c>
      <c r="T49" s="11"/>
      <c r="U49" s="11"/>
      <c r="V49" s="11"/>
      <c r="W49" s="13">
        <f t="shared" si="20"/>
        <v>0</v>
      </c>
      <c r="X49" s="22">
        <f t="shared" si="14"/>
        <v>89</v>
      </c>
    </row>
    <row r="50" spans="1:24">
      <c r="A50" t="s">
        <v>66</v>
      </c>
      <c r="B50" s="10">
        <v>0</v>
      </c>
      <c r="C50" s="11">
        <v>0</v>
      </c>
      <c r="D50" s="13">
        <f t="shared" si="15"/>
        <v>0</v>
      </c>
      <c r="E50" s="11">
        <v>37</v>
      </c>
      <c r="F50" s="11">
        <v>50</v>
      </c>
      <c r="G50" s="14">
        <f t="shared" si="17"/>
        <v>87</v>
      </c>
      <c r="H50" s="11"/>
      <c r="I50" s="11"/>
      <c r="J50" s="11"/>
      <c r="K50" s="13">
        <f t="shared" si="18"/>
        <v>0</v>
      </c>
      <c r="L50" s="11"/>
      <c r="M50" s="11"/>
      <c r="N50" s="11"/>
      <c r="O50" s="12">
        <f t="shared" si="16"/>
        <v>0</v>
      </c>
      <c r="P50" s="11"/>
      <c r="Q50" s="11"/>
      <c r="R50" s="11"/>
      <c r="S50" s="13">
        <f t="shared" si="19"/>
        <v>0</v>
      </c>
      <c r="T50" s="11"/>
      <c r="U50" s="11"/>
      <c r="V50" s="11"/>
      <c r="W50" s="13">
        <f t="shared" si="20"/>
        <v>0</v>
      </c>
      <c r="X50" s="22">
        <f t="shared" si="14"/>
        <v>87</v>
      </c>
    </row>
    <row r="51" spans="1:24">
      <c r="A51" t="s">
        <v>73</v>
      </c>
      <c r="B51" s="10">
        <v>0</v>
      </c>
      <c r="C51" s="11">
        <v>0</v>
      </c>
      <c r="D51" s="13">
        <f t="shared" si="15"/>
        <v>0</v>
      </c>
      <c r="E51" s="11">
        <v>37</v>
      </c>
      <c r="F51" s="11">
        <v>50</v>
      </c>
      <c r="G51" s="14">
        <f t="shared" si="17"/>
        <v>87</v>
      </c>
      <c r="H51" s="11"/>
      <c r="I51" s="11"/>
      <c r="J51" s="11"/>
      <c r="K51" s="13">
        <f t="shared" si="18"/>
        <v>0</v>
      </c>
      <c r="L51" s="11"/>
      <c r="M51" s="11"/>
      <c r="N51" s="11"/>
      <c r="O51" s="12">
        <f t="shared" si="16"/>
        <v>0</v>
      </c>
      <c r="P51" s="11"/>
      <c r="Q51" s="11"/>
      <c r="R51" s="11"/>
      <c r="S51" s="13">
        <f t="shared" si="19"/>
        <v>0</v>
      </c>
      <c r="T51" s="11"/>
      <c r="U51" s="11"/>
      <c r="V51" s="11"/>
      <c r="W51" s="13">
        <f t="shared" si="20"/>
        <v>0</v>
      </c>
      <c r="X51" s="22">
        <f t="shared" si="14"/>
        <v>87</v>
      </c>
    </row>
    <row r="52" spans="1:24">
      <c r="A52" t="s">
        <v>61</v>
      </c>
      <c r="B52" s="10">
        <v>0</v>
      </c>
      <c r="C52" s="11">
        <v>0</v>
      </c>
      <c r="D52" s="13">
        <f t="shared" si="15"/>
        <v>0</v>
      </c>
      <c r="E52" s="11">
        <v>34</v>
      </c>
      <c r="F52" s="11">
        <v>50</v>
      </c>
      <c r="G52" s="14">
        <f t="shared" si="17"/>
        <v>84</v>
      </c>
      <c r="H52" s="11"/>
      <c r="I52" s="11"/>
      <c r="J52" s="11"/>
      <c r="K52" s="13">
        <f t="shared" si="18"/>
        <v>0</v>
      </c>
      <c r="L52" s="11"/>
      <c r="M52" s="11"/>
      <c r="N52" s="11"/>
      <c r="O52" s="12">
        <f t="shared" si="16"/>
        <v>0</v>
      </c>
      <c r="P52" s="11"/>
      <c r="Q52" s="11"/>
      <c r="R52" s="11"/>
      <c r="S52" s="13">
        <f t="shared" si="19"/>
        <v>0</v>
      </c>
      <c r="T52" s="11"/>
      <c r="U52" s="11"/>
      <c r="V52" s="11"/>
      <c r="W52" s="13">
        <f t="shared" si="20"/>
        <v>0</v>
      </c>
      <c r="X52" s="22">
        <f t="shared" si="14"/>
        <v>84</v>
      </c>
    </row>
    <row r="53" spans="1:24">
      <c r="A53" t="s">
        <v>63</v>
      </c>
      <c r="B53" s="10">
        <v>0</v>
      </c>
      <c r="C53" s="11">
        <v>0</v>
      </c>
      <c r="D53" s="13">
        <f t="shared" si="15"/>
        <v>0</v>
      </c>
      <c r="E53" s="11">
        <v>34</v>
      </c>
      <c r="F53" s="11">
        <v>50</v>
      </c>
      <c r="G53" s="14">
        <f t="shared" si="17"/>
        <v>84</v>
      </c>
      <c r="H53" s="11"/>
      <c r="I53" s="11"/>
      <c r="J53" s="11"/>
      <c r="K53" s="13">
        <f t="shared" si="18"/>
        <v>0</v>
      </c>
      <c r="L53" s="11"/>
      <c r="M53" s="11"/>
      <c r="N53" s="11"/>
      <c r="O53" s="12">
        <f t="shared" si="16"/>
        <v>0</v>
      </c>
      <c r="P53" s="11"/>
      <c r="Q53" s="11"/>
      <c r="R53" s="11"/>
      <c r="S53" s="13">
        <f t="shared" si="19"/>
        <v>0</v>
      </c>
      <c r="T53" s="11"/>
      <c r="U53" s="11"/>
      <c r="V53" s="11"/>
      <c r="W53" s="13">
        <f t="shared" si="20"/>
        <v>0</v>
      </c>
      <c r="X53" s="22">
        <f t="shared" si="14"/>
        <v>84</v>
      </c>
    </row>
    <row r="54" spans="1:24">
      <c r="A54" t="s">
        <v>80</v>
      </c>
      <c r="B54" s="10">
        <v>0</v>
      </c>
      <c r="C54" s="11">
        <v>0</v>
      </c>
      <c r="D54" s="13">
        <f t="shared" si="15"/>
        <v>0</v>
      </c>
      <c r="E54" s="11">
        <v>29</v>
      </c>
      <c r="F54" s="11">
        <v>50</v>
      </c>
      <c r="G54" s="14">
        <f t="shared" si="17"/>
        <v>79</v>
      </c>
      <c r="H54" s="11"/>
      <c r="I54" s="11"/>
      <c r="J54" s="11"/>
      <c r="K54" s="13">
        <f t="shared" si="18"/>
        <v>0</v>
      </c>
      <c r="L54" s="11"/>
      <c r="M54" s="11"/>
      <c r="N54" s="11"/>
      <c r="O54" s="12">
        <f t="shared" si="16"/>
        <v>0</v>
      </c>
      <c r="P54" s="11"/>
      <c r="Q54" s="11"/>
      <c r="R54" s="11"/>
      <c r="S54" s="13">
        <f t="shared" si="19"/>
        <v>0</v>
      </c>
      <c r="T54" s="11"/>
      <c r="U54" s="11"/>
      <c r="V54" s="11"/>
      <c r="W54" s="13">
        <f t="shared" si="20"/>
        <v>0</v>
      </c>
      <c r="X54" s="22">
        <f t="shared" si="14"/>
        <v>79</v>
      </c>
    </row>
    <row r="55" spans="1:24">
      <c r="A55" t="s">
        <v>59</v>
      </c>
      <c r="B55" s="10">
        <v>0</v>
      </c>
      <c r="C55" s="11">
        <v>0</v>
      </c>
      <c r="D55" s="13">
        <f t="shared" si="15"/>
        <v>0</v>
      </c>
      <c r="E55" s="11">
        <v>26</v>
      </c>
      <c r="F55" s="11">
        <v>50</v>
      </c>
      <c r="G55" s="14">
        <f t="shared" si="17"/>
        <v>76</v>
      </c>
      <c r="H55" s="11"/>
      <c r="I55" s="11"/>
      <c r="J55" s="11"/>
      <c r="K55" s="13">
        <f t="shared" si="18"/>
        <v>0</v>
      </c>
      <c r="L55" s="11"/>
      <c r="M55" s="11"/>
      <c r="N55" s="11"/>
      <c r="O55" s="12">
        <f t="shared" si="16"/>
        <v>0</v>
      </c>
      <c r="P55" s="11"/>
      <c r="Q55" s="11"/>
      <c r="R55" s="11"/>
      <c r="S55" s="13">
        <f t="shared" si="19"/>
        <v>0</v>
      </c>
      <c r="T55" s="11"/>
      <c r="U55" s="11"/>
      <c r="V55" s="11"/>
      <c r="W55" s="13">
        <f t="shared" si="20"/>
        <v>0</v>
      </c>
      <c r="X55" s="22">
        <f t="shared" si="14"/>
        <v>76</v>
      </c>
    </row>
    <row r="56" spans="1:24">
      <c r="A56" t="s">
        <v>64</v>
      </c>
      <c r="B56" s="10">
        <v>0</v>
      </c>
      <c r="C56" s="11">
        <v>0</v>
      </c>
      <c r="D56" s="13">
        <f t="shared" si="15"/>
        <v>0</v>
      </c>
      <c r="E56" s="11">
        <v>26</v>
      </c>
      <c r="F56" s="11">
        <v>50</v>
      </c>
      <c r="G56" s="14">
        <f t="shared" si="17"/>
        <v>76</v>
      </c>
      <c r="H56" s="11"/>
      <c r="I56" s="11"/>
      <c r="J56" s="11"/>
      <c r="K56" s="13">
        <f t="shared" si="18"/>
        <v>0</v>
      </c>
      <c r="L56" s="11"/>
      <c r="M56" s="11"/>
      <c r="N56" s="11"/>
      <c r="O56" s="12">
        <f t="shared" si="16"/>
        <v>0</v>
      </c>
      <c r="P56" s="11"/>
      <c r="Q56" s="11"/>
      <c r="R56" s="11"/>
      <c r="S56" s="13">
        <f t="shared" si="19"/>
        <v>0</v>
      </c>
      <c r="T56" s="11"/>
      <c r="U56" s="11"/>
      <c r="V56" s="11"/>
      <c r="W56" s="13">
        <f t="shared" si="20"/>
        <v>0</v>
      </c>
      <c r="X56" s="22">
        <f t="shared" si="14"/>
        <v>76</v>
      </c>
    </row>
    <row r="57" spans="1:24">
      <c r="A57" t="s">
        <v>79</v>
      </c>
      <c r="B57" s="10">
        <v>0</v>
      </c>
      <c r="C57" s="11">
        <v>0</v>
      </c>
      <c r="D57" s="13">
        <f t="shared" si="15"/>
        <v>0</v>
      </c>
      <c r="E57" s="11">
        <v>26</v>
      </c>
      <c r="F57" s="11">
        <v>50</v>
      </c>
      <c r="G57" s="14">
        <f t="shared" si="17"/>
        <v>76</v>
      </c>
      <c r="H57" s="11"/>
      <c r="I57" s="11"/>
      <c r="J57" s="11"/>
      <c r="K57" s="13">
        <f t="shared" si="18"/>
        <v>0</v>
      </c>
      <c r="L57" s="11"/>
      <c r="M57" s="11"/>
      <c r="N57" s="11"/>
      <c r="O57" s="12">
        <f t="shared" si="16"/>
        <v>0</v>
      </c>
      <c r="P57" s="11"/>
      <c r="Q57" s="11"/>
      <c r="R57" s="11"/>
      <c r="S57" s="13">
        <f t="shared" si="19"/>
        <v>0</v>
      </c>
      <c r="T57" s="11"/>
      <c r="U57" s="11"/>
      <c r="V57" s="11"/>
      <c r="W57" s="13">
        <f t="shared" si="20"/>
        <v>0</v>
      </c>
      <c r="X57" s="22">
        <f t="shared" si="14"/>
        <v>76</v>
      </c>
    </row>
    <row r="58" spans="1:24">
      <c r="A58" t="s">
        <v>103</v>
      </c>
      <c r="B58" s="10">
        <v>0</v>
      </c>
      <c r="C58" s="11">
        <v>0</v>
      </c>
      <c r="D58" s="13">
        <f t="shared" si="15"/>
        <v>0</v>
      </c>
      <c r="E58" s="11">
        <v>24</v>
      </c>
      <c r="F58" s="11">
        <v>50</v>
      </c>
      <c r="G58" s="14">
        <f t="shared" si="17"/>
        <v>74</v>
      </c>
      <c r="H58" s="11"/>
      <c r="I58" s="11"/>
      <c r="J58" s="11"/>
      <c r="K58" s="13">
        <f t="shared" si="18"/>
        <v>0</v>
      </c>
      <c r="L58" s="11"/>
      <c r="M58" s="11"/>
      <c r="N58" s="11"/>
      <c r="O58" s="12">
        <f t="shared" si="16"/>
        <v>0</v>
      </c>
      <c r="P58" s="11"/>
      <c r="Q58" s="11"/>
      <c r="R58" s="11"/>
      <c r="S58" s="13">
        <f t="shared" si="19"/>
        <v>0</v>
      </c>
      <c r="T58" s="11"/>
      <c r="U58" s="11"/>
      <c r="V58" s="11"/>
      <c r="W58" s="13">
        <f t="shared" si="20"/>
        <v>0</v>
      </c>
      <c r="X58" s="22">
        <f t="shared" si="14"/>
        <v>74</v>
      </c>
    </row>
    <row r="59" spans="1:24">
      <c r="A59" t="s">
        <v>94</v>
      </c>
      <c r="B59" s="10">
        <v>0</v>
      </c>
      <c r="C59" s="11">
        <v>0</v>
      </c>
      <c r="D59" s="13">
        <f t="shared" si="15"/>
        <v>0</v>
      </c>
      <c r="E59" s="11">
        <v>23</v>
      </c>
      <c r="F59" s="11">
        <v>50</v>
      </c>
      <c r="G59" s="14">
        <f t="shared" si="17"/>
        <v>73</v>
      </c>
      <c r="H59" s="11"/>
      <c r="I59" s="11"/>
      <c r="J59" s="11"/>
      <c r="K59" s="13">
        <f t="shared" si="18"/>
        <v>0</v>
      </c>
      <c r="L59" s="11"/>
      <c r="M59" s="11"/>
      <c r="N59" s="11"/>
      <c r="O59" s="12">
        <f t="shared" si="16"/>
        <v>0</v>
      </c>
      <c r="P59" s="11"/>
      <c r="Q59" s="11"/>
      <c r="R59" s="11"/>
      <c r="S59" s="13">
        <f t="shared" si="19"/>
        <v>0</v>
      </c>
      <c r="T59" s="11"/>
      <c r="U59" s="11"/>
      <c r="V59" s="11"/>
      <c r="W59" s="13">
        <f t="shared" si="20"/>
        <v>0</v>
      </c>
      <c r="X59" s="22">
        <f t="shared" si="14"/>
        <v>73</v>
      </c>
    </row>
    <row r="60" spans="1:24">
      <c r="A60" t="s">
        <v>70</v>
      </c>
      <c r="B60" s="10">
        <v>0</v>
      </c>
      <c r="C60" s="11">
        <v>0</v>
      </c>
      <c r="D60" s="13">
        <f t="shared" si="15"/>
        <v>0</v>
      </c>
      <c r="E60" s="11">
        <v>22</v>
      </c>
      <c r="F60" s="11">
        <v>50</v>
      </c>
      <c r="G60" s="14">
        <f t="shared" si="17"/>
        <v>72</v>
      </c>
      <c r="H60" s="11"/>
      <c r="I60" s="11"/>
      <c r="J60" s="11"/>
      <c r="K60" s="13">
        <f t="shared" si="18"/>
        <v>0</v>
      </c>
      <c r="L60" s="11"/>
      <c r="M60" s="11"/>
      <c r="N60" s="11"/>
      <c r="O60" s="12">
        <f t="shared" si="16"/>
        <v>0</v>
      </c>
      <c r="P60" s="11"/>
      <c r="Q60" s="11"/>
      <c r="R60" s="11"/>
      <c r="S60" s="13">
        <f t="shared" si="19"/>
        <v>0</v>
      </c>
      <c r="T60" s="11"/>
      <c r="U60" s="11"/>
      <c r="V60" s="11"/>
      <c r="W60" s="13">
        <f t="shared" si="20"/>
        <v>0</v>
      </c>
      <c r="X60" s="22">
        <f t="shared" si="14"/>
        <v>72</v>
      </c>
    </row>
    <row r="61" spans="1:24">
      <c r="A61" t="s">
        <v>68</v>
      </c>
      <c r="B61" s="10">
        <v>0</v>
      </c>
      <c r="C61" s="11">
        <v>0</v>
      </c>
      <c r="D61" s="13">
        <f t="shared" si="15"/>
        <v>0</v>
      </c>
      <c r="E61" s="11">
        <v>21</v>
      </c>
      <c r="F61" s="11">
        <v>50</v>
      </c>
      <c r="G61" s="14">
        <f t="shared" si="17"/>
        <v>71</v>
      </c>
      <c r="H61" s="11"/>
      <c r="I61" s="11"/>
      <c r="J61" s="11"/>
      <c r="K61" s="13">
        <f t="shared" si="18"/>
        <v>0</v>
      </c>
      <c r="L61" s="11"/>
      <c r="M61" s="11"/>
      <c r="N61" s="11"/>
      <c r="O61" s="12">
        <f t="shared" si="16"/>
        <v>0</v>
      </c>
      <c r="P61" s="11"/>
      <c r="Q61" s="11"/>
      <c r="R61" s="11"/>
      <c r="S61" s="13">
        <f t="shared" si="19"/>
        <v>0</v>
      </c>
      <c r="T61" s="11"/>
      <c r="U61" s="11"/>
      <c r="V61" s="11"/>
      <c r="W61" s="13">
        <f t="shared" si="20"/>
        <v>0</v>
      </c>
      <c r="X61" s="22">
        <f t="shared" si="14"/>
        <v>71</v>
      </c>
    </row>
    <row r="62" spans="1:24">
      <c r="A62" t="s">
        <v>71</v>
      </c>
      <c r="B62" s="10">
        <v>0</v>
      </c>
      <c r="C62" s="11">
        <v>0</v>
      </c>
      <c r="D62" s="13">
        <f t="shared" si="15"/>
        <v>0</v>
      </c>
      <c r="E62" s="11">
        <v>21</v>
      </c>
      <c r="F62" s="11">
        <v>50</v>
      </c>
      <c r="G62" s="14">
        <f t="shared" si="17"/>
        <v>71</v>
      </c>
      <c r="H62" s="11"/>
      <c r="I62" s="11"/>
      <c r="J62" s="11"/>
      <c r="K62" s="13">
        <f t="shared" si="18"/>
        <v>0</v>
      </c>
      <c r="L62" s="11"/>
      <c r="M62" s="11"/>
      <c r="N62" s="11"/>
      <c r="O62" s="12">
        <f t="shared" si="16"/>
        <v>0</v>
      </c>
      <c r="P62" s="11"/>
      <c r="Q62" s="11"/>
      <c r="R62" s="11"/>
      <c r="S62" s="13">
        <f t="shared" si="19"/>
        <v>0</v>
      </c>
      <c r="T62" s="11"/>
      <c r="U62" s="11"/>
      <c r="V62" s="11"/>
      <c r="W62" s="13">
        <f t="shared" si="20"/>
        <v>0</v>
      </c>
      <c r="X62" s="22">
        <f t="shared" si="14"/>
        <v>71</v>
      </c>
    </row>
    <row r="63" spans="1:24">
      <c r="A63" t="s">
        <v>88</v>
      </c>
      <c r="B63" s="10">
        <v>0</v>
      </c>
      <c r="C63" s="11">
        <v>0</v>
      </c>
      <c r="D63" s="13">
        <f t="shared" si="15"/>
        <v>0</v>
      </c>
      <c r="E63" s="11">
        <v>21</v>
      </c>
      <c r="F63" s="11">
        <v>50</v>
      </c>
      <c r="G63" s="14">
        <f t="shared" si="17"/>
        <v>71</v>
      </c>
      <c r="H63" s="11"/>
      <c r="I63" s="11"/>
      <c r="J63" s="11"/>
      <c r="K63" s="13">
        <f t="shared" si="18"/>
        <v>0</v>
      </c>
      <c r="L63" s="11"/>
      <c r="M63" s="11"/>
      <c r="N63" s="11"/>
      <c r="O63" s="12">
        <f t="shared" si="16"/>
        <v>0</v>
      </c>
      <c r="P63" s="11"/>
      <c r="Q63" s="11"/>
      <c r="R63" s="11"/>
      <c r="S63" s="13">
        <f t="shared" si="19"/>
        <v>0</v>
      </c>
      <c r="T63" s="11"/>
      <c r="U63" s="11"/>
      <c r="V63" s="11"/>
      <c r="W63" s="13">
        <f t="shared" si="20"/>
        <v>0</v>
      </c>
      <c r="X63" s="22">
        <f t="shared" si="14"/>
        <v>71</v>
      </c>
    </row>
    <row r="64" spans="1:24">
      <c r="A64" t="s">
        <v>69</v>
      </c>
      <c r="B64" s="10">
        <v>0</v>
      </c>
      <c r="C64" s="11">
        <v>0</v>
      </c>
      <c r="D64" s="13">
        <f t="shared" si="15"/>
        <v>0</v>
      </c>
      <c r="E64" s="11">
        <v>20</v>
      </c>
      <c r="F64" s="11">
        <v>50</v>
      </c>
      <c r="G64" s="14">
        <f t="shared" si="17"/>
        <v>70</v>
      </c>
      <c r="H64" s="11"/>
      <c r="I64" s="11"/>
      <c r="J64" s="11"/>
      <c r="K64" s="13">
        <f t="shared" si="18"/>
        <v>0</v>
      </c>
      <c r="L64" s="11"/>
      <c r="M64" s="11"/>
      <c r="N64" s="11"/>
      <c r="O64" s="12">
        <f t="shared" si="16"/>
        <v>0</v>
      </c>
      <c r="P64" s="11"/>
      <c r="Q64" s="11"/>
      <c r="R64" s="11"/>
      <c r="S64" s="13">
        <f t="shared" si="19"/>
        <v>0</v>
      </c>
      <c r="T64" s="11"/>
      <c r="U64" s="11"/>
      <c r="V64" s="11"/>
      <c r="W64" s="13">
        <f t="shared" si="20"/>
        <v>0</v>
      </c>
      <c r="X64" s="22">
        <f t="shared" si="14"/>
        <v>70</v>
      </c>
    </row>
    <row r="65" spans="1:24">
      <c r="A65" t="s">
        <v>81</v>
      </c>
      <c r="B65" s="10">
        <v>0</v>
      </c>
      <c r="C65" s="11">
        <v>0</v>
      </c>
      <c r="D65" s="13">
        <f t="shared" si="15"/>
        <v>0</v>
      </c>
      <c r="E65" s="11">
        <v>19</v>
      </c>
      <c r="F65" s="11">
        <v>50</v>
      </c>
      <c r="G65" s="14">
        <f t="shared" si="17"/>
        <v>69</v>
      </c>
      <c r="H65" s="11"/>
      <c r="I65" s="11"/>
      <c r="J65" s="11"/>
      <c r="K65" s="13">
        <f t="shared" si="18"/>
        <v>0</v>
      </c>
      <c r="L65" s="11"/>
      <c r="M65" s="11"/>
      <c r="N65" s="11"/>
      <c r="O65" s="12">
        <f t="shared" si="16"/>
        <v>0</v>
      </c>
      <c r="P65" s="11"/>
      <c r="Q65" s="11"/>
      <c r="R65" s="11"/>
      <c r="S65" s="13">
        <f t="shared" si="19"/>
        <v>0</v>
      </c>
      <c r="T65" s="11"/>
      <c r="U65" s="11"/>
      <c r="V65" s="11"/>
      <c r="W65" s="13">
        <f t="shared" si="20"/>
        <v>0</v>
      </c>
      <c r="X65" s="22">
        <f t="shared" si="14"/>
        <v>69</v>
      </c>
    </row>
    <row r="66" spans="1:24">
      <c r="A66" t="s">
        <v>86</v>
      </c>
      <c r="B66" s="10">
        <v>0</v>
      </c>
      <c r="C66" s="11">
        <v>0</v>
      </c>
      <c r="D66" s="13">
        <f t="shared" si="15"/>
        <v>0</v>
      </c>
      <c r="E66" s="11">
        <v>18</v>
      </c>
      <c r="F66" s="11">
        <v>50</v>
      </c>
      <c r="G66" s="14">
        <f t="shared" si="17"/>
        <v>68</v>
      </c>
      <c r="H66" s="11"/>
      <c r="I66" s="11"/>
      <c r="J66" s="11"/>
      <c r="K66" s="13">
        <f t="shared" si="18"/>
        <v>0</v>
      </c>
      <c r="L66" s="11"/>
      <c r="M66" s="11"/>
      <c r="N66" s="11"/>
      <c r="O66" s="12">
        <f t="shared" si="16"/>
        <v>0</v>
      </c>
      <c r="P66" s="11"/>
      <c r="Q66" s="11"/>
      <c r="R66" s="11"/>
      <c r="S66" s="13">
        <f t="shared" si="19"/>
        <v>0</v>
      </c>
      <c r="T66" s="11"/>
      <c r="U66" s="11"/>
      <c r="V66" s="11"/>
      <c r="W66" s="13">
        <f t="shared" si="20"/>
        <v>0</v>
      </c>
      <c r="X66" s="22">
        <f t="shared" ref="X66:X97" si="21">SUM(D66+G66+K66+O66+S66+W66)</f>
        <v>68</v>
      </c>
    </row>
    <row r="67" spans="1:24">
      <c r="A67" t="s">
        <v>92</v>
      </c>
      <c r="B67" s="10">
        <v>0</v>
      </c>
      <c r="C67" s="11">
        <v>0</v>
      </c>
      <c r="D67" s="13">
        <f t="shared" ref="D67:D98" si="22">SUM(B67:C67)</f>
        <v>0</v>
      </c>
      <c r="E67" s="11">
        <v>18</v>
      </c>
      <c r="F67" s="11">
        <v>50</v>
      </c>
      <c r="G67" s="14">
        <f t="shared" si="17"/>
        <v>68</v>
      </c>
      <c r="H67" s="11"/>
      <c r="I67" s="11"/>
      <c r="J67" s="11"/>
      <c r="K67" s="13">
        <f t="shared" si="18"/>
        <v>0</v>
      </c>
      <c r="L67" s="11"/>
      <c r="M67" s="11"/>
      <c r="N67" s="11"/>
      <c r="O67" s="12">
        <f t="shared" si="16"/>
        <v>0</v>
      </c>
      <c r="P67" s="11"/>
      <c r="Q67" s="11"/>
      <c r="R67" s="11"/>
      <c r="S67" s="13">
        <f t="shared" si="19"/>
        <v>0</v>
      </c>
      <c r="T67" s="11"/>
      <c r="U67" s="11"/>
      <c r="V67" s="11"/>
      <c r="W67" s="13">
        <f t="shared" si="20"/>
        <v>0</v>
      </c>
      <c r="X67" s="22">
        <f t="shared" si="21"/>
        <v>68</v>
      </c>
    </row>
    <row r="68" spans="1:24">
      <c r="A68" t="s">
        <v>77</v>
      </c>
      <c r="B68" s="10">
        <v>0</v>
      </c>
      <c r="C68" s="11">
        <v>0</v>
      </c>
      <c r="D68" s="13">
        <f t="shared" si="22"/>
        <v>0</v>
      </c>
      <c r="E68" s="11">
        <v>17</v>
      </c>
      <c r="F68" s="11">
        <v>50</v>
      </c>
      <c r="G68" s="14">
        <f t="shared" si="17"/>
        <v>67</v>
      </c>
      <c r="H68" s="11"/>
      <c r="I68" s="11"/>
      <c r="J68" s="11"/>
      <c r="K68" s="13">
        <f t="shared" si="18"/>
        <v>0</v>
      </c>
      <c r="L68" s="11"/>
      <c r="M68" s="11"/>
      <c r="N68" s="11"/>
      <c r="O68" s="12">
        <f t="shared" si="16"/>
        <v>0</v>
      </c>
      <c r="P68" s="11"/>
      <c r="Q68" s="11"/>
      <c r="R68" s="11"/>
      <c r="S68" s="13">
        <f t="shared" si="19"/>
        <v>0</v>
      </c>
      <c r="T68" s="11"/>
      <c r="U68" s="11"/>
      <c r="V68" s="11"/>
      <c r="W68" s="13">
        <f t="shared" si="20"/>
        <v>0</v>
      </c>
      <c r="X68" s="22">
        <f t="shared" si="21"/>
        <v>67</v>
      </c>
    </row>
    <row r="69" spans="1:24">
      <c r="A69" t="s">
        <v>89</v>
      </c>
      <c r="B69" s="10">
        <v>0</v>
      </c>
      <c r="C69" s="11">
        <v>0</v>
      </c>
      <c r="D69" s="13">
        <f t="shared" si="22"/>
        <v>0</v>
      </c>
      <c r="E69" s="11">
        <v>17</v>
      </c>
      <c r="F69" s="11">
        <v>50</v>
      </c>
      <c r="G69" s="14">
        <f t="shared" si="17"/>
        <v>67</v>
      </c>
      <c r="H69" s="11"/>
      <c r="I69" s="11"/>
      <c r="J69" s="11"/>
      <c r="K69" s="13">
        <f t="shared" si="18"/>
        <v>0</v>
      </c>
      <c r="L69" s="11"/>
      <c r="M69" s="11"/>
      <c r="N69" s="11"/>
      <c r="O69" s="12">
        <f t="shared" si="16"/>
        <v>0</v>
      </c>
      <c r="P69" s="11"/>
      <c r="Q69" s="11"/>
      <c r="R69" s="11"/>
      <c r="S69" s="13">
        <f t="shared" si="19"/>
        <v>0</v>
      </c>
      <c r="T69" s="11"/>
      <c r="U69" s="11"/>
      <c r="V69" s="11"/>
      <c r="W69" s="13">
        <f t="shared" si="20"/>
        <v>0</v>
      </c>
      <c r="X69" s="22">
        <f t="shared" si="21"/>
        <v>67</v>
      </c>
    </row>
    <row r="70" spans="1:24">
      <c r="A70" t="s">
        <v>96</v>
      </c>
      <c r="B70" s="10">
        <v>0</v>
      </c>
      <c r="C70" s="11">
        <v>0</v>
      </c>
      <c r="D70" s="13">
        <f t="shared" si="22"/>
        <v>0</v>
      </c>
      <c r="E70" s="11">
        <v>16</v>
      </c>
      <c r="F70" s="11">
        <v>50</v>
      </c>
      <c r="G70" s="14">
        <f t="shared" si="17"/>
        <v>66</v>
      </c>
      <c r="H70" s="11"/>
      <c r="I70" s="11"/>
      <c r="J70" s="11"/>
      <c r="K70" s="13">
        <f t="shared" si="18"/>
        <v>0</v>
      </c>
      <c r="L70" s="11"/>
      <c r="M70" s="11"/>
      <c r="N70" s="11"/>
      <c r="O70" s="12">
        <f t="shared" si="16"/>
        <v>0</v>
      </c>
      <c r="P70" s="11"/>
      <c r="Q70" s="11"/>
      <c r="R70" s="11"/>
      <c r="S70" s="13">
        <f t="shared" si="19"/>
        <v>0</v>
      </c>
      <c r="T70" s="11"/>
      <c r="U70" s="11"/>
      <c r="V70" s="11"/>
      <c r="W70" s="13">
        <f t="shared" si="20"/>
        <v>0</v>
      </c>
      <c r="X70" s="22">
        <f t="shared" si="21"/>
        <v>66</v>
      </c>
    </row>
    <row r="71" spans="1:24">
      <c r="A71" t="s">
        <v>65</v>
      </c>
      <c r="B71" s="10">
        <v>0</v>
      </c>
      <c r="C71" s="11">
        <v>0</v>
      </c>
      <c r="D71" s="13">
        <f t="shared" si="22"/>
        <v>0</v>
      </c>
      <c r="E71" s="11">
        <v>15</v>
      </c>
      <c r="F71" s="11">
        <v>50</v>
      </c>
      <c r="G71" s="14">
        <f t="shared" si="17"/>
        <v>65</v>
      </c>
      <c r="H71" s="11"/>
      <c r="I71" s="11"/>
      <c r="J71" s="11"/>
      <c r="K71" s="13">
        <f t="shared" si="18"/>
        <v>0</v>
      </c>
      <c r="L71" s="11"/>
      <c r="M71" s="11"/>
      <c r="N71" s="11"/>
      <c r="O71" s="12">
        <f t="shared" si="16"/>
        <v>0</v>
      </c>
      <c r="P71" s="11"/>
      <c r="Q71" s="11"/>
      <c r="R71" s="11"/>
      <c r="S71" s="13">
        <f t="shared" si="19"/>
        <v>0</v>
      </c>
      <c r="T71" s="11"/>
      <c r="U71" s="11"/>
      <c r="V71" s="11"/>
      <c r="W71" s="13">
        <f t="shared" si="20"/>
        <v>0</v>
      </c>
      <c r="X71" s="22">
        <f t="shared" si="21"/>
        <v>65</v>
      </c>
    </row>
    <row r="72" spans="1:24">
      <c r="A72" t="s">
        <v>85</v>
      </c>
      <c r="B72" s="10">
        <v>0</v>
      </c>
      <c r="C72" s="11">
        <v>0</v>
      </c>
      <c r="D72" s="13">
        <f t="shared" si="22"/>
        <v>0</v>
      </c>
      <c r="E72" s="11">
        <v>14</v>
      </c>
      <c r="F72" s="11">
        <v>50</v>
      </c>
      <c r="G72" s="14">
        <f t="shared" si="17"/>
        <v>64</v>
      </c>
      <c r="H72" s="11"/>
      <c r="I72" s="11"/>
      <c r="J72" s="11"/>
      <c r="K72" s="13">
        <f t="shared" si="18"/>
        <v>0</v>
      </c>
      <c r="L72" s="11"/>
      <c r="M72" s="11"/>
      <c r="N72" s="11"/>
      <c r="O72" s="12">
        <f t="shared" si="16"/>
        <v>0</v>
      </c>
      <c r="P72" s="11"/>
      <c r="Q72" s="11"/>
      <c r="R72" s="11"/>
      <c r="S72" s="13">
        <f t="shared" si="19"/>
        <v>0</v>
      </c>
      <c r="T72" s="11"/>
      <c r="U72" s="11"/>
      <c r="V72" s="11"/>
      <c r="W72" s="13">
        <f t="shared" si="20"/>
        <v>0</v>
      </c>
      <c r="X72" s="22">
        <f t="shared" si="21"/>
        <v>64</v>
      </c>
    </row>
    <row r="73" spans="1:24">
      <c r="A73" t="s">
        <v>72</v>
      </c>
      <c r="B73" s="10">
        <v>0</v>
      </c>
      <c r="C73" s="11">
        <v>0</v>
      </c>
      <c r="D73" s="13">
        <f t="shared" si="22"/>
        <v>0</v>
      </c>
      <c r="E73" s="11">
        <v>13</v>
      </c>
      <c r="F73" s="11">
        <v>50</v>
      </c>
      <c r="G73" s="14">
        <f t="shared" si="17"/>
        <v>63</v>
      </c>
      <c r="H73" s="11"/>
      <c r="I73" s="11"/>
      <c r="J73" s="11"/>
      <c r="K73" s="13">
        <f t="shared" si="18"/>
        <v>0</v>
      </c>
      <c r="L73" s="11"/>
      <c r="M73" s="11"/>
      <c r="N73" s="11"/>
      <c r="O73" s="12">
        <f t="shared" si="16"/>
        <v>0</v>
      </c>
      <c r="P73" s="11"/>
      <c r="Q73" s="11"/>
      <c r="R73" s="11"/>
      <c r="S73" s="13">
        <f t="shared" si="19"/>
        <v>0</v>
      </c>
      <c r="T73" s="11"/>
      <c r="U73" s="11"/>
      <c r="V73" s="11"/>
      <c r="W73" s="13">
        <f t="shared" si="20"/>
        <v>0</v>
      </c>
      <c r="X73" s="22">
        <f t="shared" si="21"/>
        <v>63</v>
      </c>
    </row>
    <row r="74" spans="1:24">
      <c r="A74" t="s">
        <v>84</v>
      </c>
      <c r="B74" s="10">
        <v>0</v>
      </c>
      <c r="C74" s="11">
        <v>0</v>
      </c>
      <c r="D74" s="13">
        <f t="shared" si="22"/>
        <v>0</v>
      </c>
      <c r="E74" s="11">
        <v>13</v>
      </c>
      <c r="F74" s="11">
        <v>50</v>
      </c>
      <c r="G74" s="14">
        <f t="shared" si="17"/>
        <v>63</v>
      </c>
      <c r="H74" s="11"/>
      <c r="I74" s="11"/>
      <c r="J74" s="11"/>
      <c r="K74" s="13">
        <f t="shared" si="18"/>
        <v>0</v>
      </c>
      <c r="L74" s="11"/>
      <c r="M74" s="11"/>
      <c r="N74" s="11"/>
      <c r="O74" s="12">
        <f t="shared" ref="O74:O105" si="23">SUM(M74+N74)</f>
        <v>0</v>
      </c>
      <c r="P74" s="11"/>
      <c r="Q74" s="11"/>
      <c r="R74" s="11"/>
      <c r="S74" s="13">
        <f t="shared" si="19"/>
        <v>0</v>
      </c>
      <c r="T74" s="11"/>
      <c r="U74" s="11"/>
      <c r="V74" s="11"/>
      <c r="W74" s="13">
        <f t="shared" si="20"/>
        <v>0</v>
      </c>
      <c r="X74" s="22">
        <f t="shared" si="21"/>
        <v>63</v>
      </c>
    </row>
    <row r="75" spans="1:24">
      <c r="A75" t="s">
        <v>95</v>
      </c>
      <c r="B75" s="10">
        <v>0</v>
      </c>
      <c r="C75" s="11">
        <v>0</v>
      </c>
      <c r="D75" s="13">
        <f t="shared" si="22"/>
        <v>0</v>
      </c>
      <c r="E75" s="11">
        <v>13</v>
      </c>
      <c r="F75" s="11">
        <v>50</v>
      </c>
      <c r="G75" s="14">
        <f t="shared" si="17"/>
        <v>63</v>
      </c>
      <c r="H75" s="11"/>
      <c r="I75" s="11"/>
      <c r="J75" s="11"/>
      <c r="K75" s="13">
        <f t="shared" si="18"/>
        <v>0</v>
      </c>
      <c r="L75" s="11"/>
      <c r="M75" s="11"/>
      <c r="N75" s="11"/>
      <c r="O75" s="12">
        <f t="shared" si="23"/>
        <v>0</v>
      </c>
      <c r="P75" s="11"/>
      <c r="Q75" s="11"/>
      <c r="R75" s="11"/>
      <c r="S75" s="13">
        <f t="shared" si="19"/>
        <v>0</v>
      </c>
      <c r="T75" s="11"/>
      <c r="U75" s="11"/>
      <c r="V75" s="11"/>
      <c r="W75" s="13">
        <f t="shared" si="20"/>
        <v>0</v>
      </c>
      <c r="X75" s="22">
        <f t="shared" si="21"/>
        <v>63</v>
      </c>
    </row>
    <row r="76" spans="1:24">
      <c r="A76" t="s">
        <v>104</v>
      </c>
      <c r="B76" s="10">
        <v>0</v>
      </c>
      <c r="C76" s="11">
        <v>0</v>
      </c>
      <c r="D76" s="13">
        <f t="shared" si="22"/>
        <v>0</v>
      </c>
      <c r="E76" s="11">
        <v>13</v>
      </c>
      <c r="F76" s="11">
        <v>50</v>
      </c>
      <c r="G76" s="14">
        <f t="shared" ref="G76:G107" si="24">SUM(E76:F76)</f>
        <v>63</v>
      </c>
      <c r="H76" s="11"/>
      <c r="I76" s="11"/>
      <c r="J76" s="11"/>
      <c r="K76" s="13">
        <f t="shared" ref="K76:K107" si="25">SUM(I76:J76)</f>
        <v>0</v>
      </c>
      <c r="L76" s="11"/>
      <c r="M76" s="11"/>
      <c r="N76" s="11"/>
      <c r="O76" s="12">
        <f t="shared" si="23"/>
        <v>0</v>
      </c>
      <c r="P76" s="11"/>
      <c r="Q76" s="11"/>
      <c r="R76" s="11"/>
      <c r="S76" s="13">
        <f t="shared" ref="S76:S109" si="26">SUM(Q75+R75)</f>
        <v>0</v>
      </c>
      <c r="T76" s="11"/>
      <c r="U76" s="11"/>
      <c r="V76" s="11"/>
      <c r="W76" s="13">
        <f t="shared" ref="W76:W107" si="27">SUM(U76:V76)</f>
        <v>0</v>
      </c>
      <c r="X76" s="22">
        <f t="shared" si="21"/>
        <v>63</v>
      </c>
    </row>
    <row r="77" spans="1:24">
      <c r="A77" t="s">
        <v>67</v>
      </c>
      <c r="B77" s="10">
        <v>0</v>
      </c>
      <c r="C77" s="11">
        <v>0</v>
      </c>
      <c r="D77" s="13">
        <f t="shared" si="22"/>
        <v>0</v>
      </c>
      <c r="E77" s="11">
        <v>12</v>
      </c>
      <c r="F77" s="11">
        <v>50</v>
      </c>
      <c r="G77" s="14">
        <f t="shared" si="24"/>
        <v>62</v>
      </c>
      <c r="H77" s="11"/>
      <c r="I77" s="11"/>
      <c r="J77" s="11"/>
      <c r="K77" s="13">
        <f t="shared" si="25"/>
        <v>0</v>
      </c>
      <c r="L77" s="11"/>
      <c r="M77" s="11"/>
      <c r="N77" s="11"/>
      <c r="O77" s="12">
        <f t="shared" si="23"/>
        <v>0</v>
      </c>
      <c r="P77" s="11"/>
      <c r="Q77" s="11"/>
      <c r="R77" s="11"/>
      <c r="S77" s="13">
        <f t="shared" si="26"/>
        <v>0</v>
      </c>
      <c r="T77" s="11"/>
      <c r="U77" s="11"/>
      <c r="V77" s="11"/>
      <c r="W77" s="13">
        <f t="shared" si="27"/>
        <v>0</v>
      </c>
      <c r="X77" s="22">
        <f t="shared" si="21"/>
        <v>62</v>
      </c>
    </row>
    <row r="78" spans="1:24">
      <c r="A78" t="s">
        <v>78</v>
      </c>
      <c r="B78" s="10">
        <v>0</v>
      </c>
      <c r="C78" s="11">
        <v>0</v>
      </c>
      <c r="D78" s="13">
        <f t="shared" si="22"/>
        <v>0</v>
      </c>
      <c r="E78" s="11">
        <v>12</v>
      </c>
      <c r="F78" s="11">
        <v>50</v>
      </c>
      <c r="G78" s="14">
        <f t="shared" si="24"/>
        <v>62</v>
      </c>
      <c r="H78" s="11"/>
      <c r="I78" s="11"/>
      <c r="J78" s="11"/>
      <c r="K78" s="13">
        <f t="shared" si="25"/>
        <v>0</v>
      </c>
      <c r="L78" s="11"/>
      <c r="M78" s="11"/>
      <c r="N78" s="11"/>
      <c r="O78" s="12">
        <f t="shared" si="23"/>
        <v>0</v>
      </c>
      <c r="P78" s="11"/>
      <c r="Q78" s="11"/>
      <c r="R78" s="11"/>
      <c r="S78" s="13">
        <f t="shared" si="26"/>
        <v>0</v>
      </c>
      <c r="T78" s="11"/>
      <c r="U78" s="11"/>
      <c r="V78" s="11"/>
      <c r="W78" s="13">
        <f t="shared" si="27"/>
        <v>0</v>
      </c>
      <c r="X78" s="22">
        <f t="shared" si="21"/>
        <v>62</v>
      </c>
    </row>
    <row r="79" spans="1:24">
      <c r="A79" t="s">
        <v>99</v>
      </c>
      <c r="B79" s="10">
        <v>0</v>
      </c>
      <c r="C79" s="11">
        <v>0</v>
      </c>
      <c r="D79" s="13">
        <f t="shared" si="22"/>
        <v>0</v>
      </c>
      <c r="E79" s="11">
        <v>11</v>
      </c>
      <c r="F79" s="11">
        <v>50</v>
      </c>
      <c r="G79" s="14">
        <f t="shared" si="24"/>
        <v>61</v>
      </c>
      <c r="H79" s="11"/>
      <c r="I79" s="11"/>
      <c r="J79" s="11"/>
      <c r="K79" s="13">
        <f t="shared" si="25"/>
        <v>0</v>
      </c>
      <c r="L79" s="11"/>
      <c r="M79" s="11"/>
      <c r="N79" s="11"/>
      <c r="O79" s="12">
        <f t="shared" si="23"/>
        <v>0</v>
      </c>
      <c r="P79" s="11"/>
      <c r="Q79" s="11"/>
      <c r="R79" s="11"/>
      <c r="S79" s="13">
        <f t="shared" si="26"/>
        <v>0</v>
      </c>
      <c r="T79" s="11"/>
      <c r="U79" s="11"/>
      <c r="V79" s="11"/>
      <c r="W79" s="13">
        <f t="shared" si="27"/>
        <v>0</v>
      </c>
      <c r="X79" s="22">
        <f t="shared" si="21"/>
        <v>61</v>
      </c>
    </row>
    <row r="80" spans="1:24">
      <c r="A80" t="s">
        <v>90</v>
      </c>
      <c r="B80" s="10">
        <v>0</v>
      </c>
      <c r="C80" s="11">
        <v>0</v>
      </c>
      <c r="D80" s="13">
        <f t="shared" si="22"/>
        <v>0</v>
      </c>
      <c r="E80" s="11">
        <v>10</v>
      </c>
      <c r="F80" s="11">
        <v>50</v>
      </c>
      <c r="G80" s="14">
        <f t="shared" si="24"/>
        <v>60</v>
      </c>
      <c r="H80" s="11"/>
      <c r="I80" s="11"/>
      <c r="J80" s="11"/>
      <c r="K80" s="13">
        <f t="shared" si="25"/>
        <v>0</v>
      </c>
      <c r="L80" s="11"/>
      <c r="M80" s="11"/>
      <c r="N80" s="11"/>
      <c r="O80" s="12">
        <f t="shared" si="23"/>
        <v>0</v>
      </c>
      <c r="P80" s="11"/>
      <c r="Q80" s="11"/>
      <c r="R80" s="11"/>
      <c r="S80" s="13">
        <f t="shared" si="26"/>
        <v>0</v>
      </c>
      <c r="T80" s="11"/>
      <c r="U80" s="11"/>
      <c r="V80" s="11"/>
      <c r="W80" s="13">
        <f t="shared" si="27"/>
        <v>0</v>
      </c>
      <c r="X80" s="22">
        <f t="shared" si="21"/>
        <v>60</v>
      </c>
    </row>
    <row r="81" spans="1:24">
      <c r="A81" t="s">
        <v>101</v>
      </c>
      <c r="B81" s="10">
        <v>0</v>
      </c>
      <c r="C81" s="11">
        <v>0</v>
      </c>
      <c r="D81" s="13">
        <f t="shared" si="22"/>
        <v>0</v>
      </c>
      <c r="E81" s="11">
        <v>10</v>
      </c>
      <c r="F81" s="11">
        <v>50</v>
      </c>
      <c r="G81" s="14">
        <f t="shared" si="24"/>
        <v>60</v>
      </c>
      <c r="H81" s="11"/>
      <c r="I81" s="11"/>
      <c r="J81" s="11"/>
      <c r="K81" s="13">
        <f t="shared" si="25"/>
        <v>0</v>
      </c>
      <c r="L81" s="11"/>
      <c r="M81" s="11"/>
      <c r="N81" s="11"/>
      <c r="O81" s="12">
        <f t="shared" si="23"/>
        <v>0</v>
      </c>
      <c r="P81" s="11"/>
      <c r="Q81" s="11"/>
      <c r="R81" s="11"/>
      <c r="S81" s="13">
        <f t="shared" si="26"/>
        <v>0</v>
      </c>
      <c r="T81" s="11"/>
      <c r="U81" s="11"/>
      <c r="V81" s="11"/>
      <c r="W81" s="13">
        <f t="shared" si="27"/>
        <v>0</v>
      </c>
      <c r="X81" s="22">
        <f t="shared" si="21"/>
        <v>60</v>
      </c>
    </row>
    <row r="82" spans="1:24">
      <c r="A82" t="s">
        <v>75</v>
      </c>
      <c r="B82" s="10">
        <v>0</v>
      </c>
      <c r="C82" s="11">
        <v>0</v>
      </c>
      <c r="D82" s="13">
        <f t="shared" si="22"/>
        <v>0</v>
      </c>
      <c r="E82" s="11">
        <v>9</v>
      </c>
      <c r="F82" s="11">
        <v>50</v>
      </c>
      <c r="G82" s="14">
        <f t="shared" si="24"/>
        <v>59</v>
      </c>
      <c r="H82" s="11"/>
      <c r="I82" s="11"/>
      <c r="J82" s="11"/>
      <c r="K82" s="13">
        <f t="shared" si="25"/>
        <v>0</v>
      </c>
      <c r="L82" s="11"/>
      <c r="M82" s="11"/>
      <c r="N82" s="11"/>
      <c r="O82" s="12">
        <f t="shared" si="23"/>
        <v>0</v>
      </c>
      <c r="P82" s="11"/>
      <c r="Q82" s="11"/>
      <c r="R82" s="11"/>
      <c r="S82" s="13">
        <f t="shared" si="26"/>
        <v>0</v>
      </c>
      <c r="T82" s="11"/>
      <c r="U82" s="11"/>
      <c r="V82" s="11"/>
      <c r="W82" s="13">
        <f t="shared" si="27"/>
        <v>0</v>
      </c>
      <c r="X82" s="22">
        <f t="shared" si="21"/>
        <v>59</v>
      </c>
    </row>
    <row r="83" spans="1:24">
      <c r="A83" t="s">
        <v>82</v>
      </c>
      <c r="B83" s="10">
        <v>0</v>
      </c>
      <c r="C83" s="11">
        <v>0</v>
      </c>
      <c r="D83" s="13">
        <f t="shared" si="22"/>
        <v>0</v>
      </c>
      <c r="E83" s="11">
        <v>9</v>
      </c>
      <c r="F83" s="11">
        <v>50</v>
      </c>
      <c r="G83" s="14">
        <f t="shared" si="24"/>
        <v>59</v>
      </c>
      <c r="H83" s="11"/>
      <c r="I83" s="11"/>
      <c r="J83" s="11"/>
      <c r="K83" s="13">
        <f t="shared" si="25"/>
        <v>0</v>
      </c>
      <c r="L83" s="11"/>
      <c r="M83" s="11"/>
      <c r="N83" s="11"/>
      <c r="O83" s="12">
        <f t="shared" si="23"/>
        <v>0</v>
      </c>
      <c r="P83" s="11"/>
      <c r="Q83" s="11"/>
      <c r="R83" s="11"/>
      <c r="S83" s="13">
        <f t="shared" si="26"/>
        <v>0</v>
      </c>
      <c r="T83" s="11"/>
      <c r="U83" s="11"/>
      <c r="V83" s="11"/>
      <c r="W83" s="13">
        <f t="shared" si="27"/>
        <v>0</v>
      </c>
      <c r="X83" s="22">
        <f t="shared" si="21"/>
        <v>59</v>
      </c>
    </row>
    <row r="84" spans="1:24">
      <c r="A84" t="s">
        <v>93</v>
      </c>
      <c r="B84" s="10">
        <v>0</v>
      </c>
      <c r="C84" s="11">
        <v>0</v>
      </c>
      <c r="D84" s="13">
        <f t="shared" si="22"/>
        <v>0</v>
      </c>
      <c r="E84" s="11">
        <v>9</v>
      </c>
      <c r="F84" s="11">
        <v>50</v>
      </c>
      <c r="G84" s="14">
        <f t="shared" si="24"/>
        <v>59</v>
      </c>
      <c r="H84" s="11"/>
      <c r="I84" s="11"/>
      <c r="J84" s="11"/>
      <c r="K84" s="13">
        <f t="shared" si="25"/>
        <v>0</v>
      </c>
      <c r="L84" s="11"/>
      <c r="M84" s="11"/>
      <c r="N84" s="11"/>
      <c r="O84" s="12">
        <f t="shared" si="23"/>
        <v>0</v>
      </c>
      <c r="P84" s="11"/>
      <c r="Q84" s="11"/>
      <c r="R84" s="11"/>
      <c r="S84" s="13">
        <f t="shared" si="26"/>
        <v>0</v>
      </c>
      <c r="T84" s="11"/>
      <c r="U84" s="11"/>
      <c r="V84" s="11"/>
      <c r="W84" s="13">
        <f t="shared" si="27"/>
        <v>0</v>
      </c>
      <c r="X84" s="22">
        <f t="shared" si="21"/>
        <v>59</v>
      </c>
    </row>
    <row r="85" spans="1:24">
      <c r="A85" t="s">
        <v>97</v>
      </c>
      <c r="B85" s="10">
        <v>0</v>
      </c>
      <c r="C85" s="11">
        <v>0</v>
      </c>
      <c r="D85" s="13">
        <f t="shared" si="22"/>
        <v>0</v>
      </c>
      <c r="E85" s="11">
        <v>9</v>
      </c>
      <c r="F85" s="11">
        <v>50</v>
      </c>
      <c r="G85" s="14">
        <f t="shared" si="24"/>
        <v>59</v>
      </c>
      <c r="H85" s="11"/>
      <c r="I85" s="11"/>
      <c r="J85" s="11"/>
      <c r="K85" s="13">
        <f t="shared" si="25"/>
        <v>0</v>
      </c>
      <c r="L85" s="11"/>
      <c r="M85" s="11"/>
      <c r="N85" s="11"/>
      <c r="O85" s="12">
        <f t="shared" si="23"/>
        <v>0</v>
      </c>
      <c r="P85" s="11"/>
      <c r="Q85" s="11"/>
      <c r="R85" s="11"/>
      <c r="S85" s="13">
        <f t="shared" si="26"/>
        <v>0</v>
      </c>
      <c r="T85" s="11"/>
      <c r="U85" s="11"/>
      <c r="V85" s="11"/>
      <c r="W85" s="13">
        <f t="shared" si="27"/>
        <v>0</v>
      </c>
      <c r="X85" s="22">
        <f t="shared" si="21"/>
        <v>59</v>
      </c>
    </row>
    <row r="86" spans="1:24">
      <c r="A86" t="s">
        <v>110</v>
      </c>
      <c r="B86" s="10">
        <v>0</v>
      </c>
      <c r="C86" s="11">
        <v>0</v>
      </c>
      <c r="D86" s="13">
        <f t="shared" si="22"/>
        <v>0</v>
      </c>
      <c r="E86" s="11">
        <v>9</v>
      </c>
      <c r="F86" s="11">
        <v>50</v>
      </c>
      <c r="G86" s="14">
        <f t="shared" si="24"/>
        <v>59</v>
      </c>
      <c r="H86" s="11"/>
      <c r="I86" s="11"/>
      <c r="J86" s="11"/>
      <c r="K86" s="13">
        <f t="shared" si="25"/>
        <v>0</v>
      </c>
      <c r="L86" s="11"/>
      <c r="M86" s="11"/>
      <c r="N86" s="11"/>
      <c r="O86" s="12">
        <f t="shared" si="23"/>
        <v>0</v>
      </c>
      <c r="P86" s="11"/>
      <c r="Q86" s="11"/>
      <c r="R86" s="11"/>
      <c r="S86" s="13">
        <f t="shared" si="26"/>
        <v>0</v>
      </c>
      <c r="T86" s="11"/>
      <c r="U86" s="11"/>
      <c r="V86" s="11"/>
      <c r="W86" s="13">
        <f t="shared" si="27"/>
        <v>0</v>
      </c>
      <c r="X86" s="22">
        <f t="shared" si="21"/>
        <v>59</v>
      </c>
    </row>
    <row r="87" spans="1:24">
      <c r="A87" t="s">
        <v>87</v>
      </c>
      <c r="B87" s="10">
        <v>0</v>
      </c>
      <c r="C87" s="11">
        <v>0</v>
      </c>
      <c r="D87" s="13">
        <f t="shared" si="22"/>
        <v>0</v>
      </c>
      <c r="E87" s="11">
        <v>8</v>
      </c>
      <c r="F87" s="11">
        <v>50</v>
      </c>
      <c r="G87" s="14">
        <f t="shared" si="24"/>
        <v>58</v>
      </c>
      <c r="H87" s="11"/>
      <c r="I87" s="11"/>
      <c r="J87" s="11"/>
      <c r="K87" s="13">
        <f t="shared" si="25"/>
        <v>0</v>
      </c>
      <c r="L87" s="11"/>
      <c r="M87" s="11"/>
      <c r="N87" s="11"/>
      <c r="O87" s="12">
        <f t="shared" si="23"/>
        <v>0</v>
      </c>
      <c r="P87" s="11"/>
      <c r="Q87" s="11"/>
      <c r="R87" s="11"/>
      <c r="S87" s="13">
        <f t="shared" si="26"/>
        <v>0</v>
      </c>
      <c r="T87" s="11"/>
      <c r="U87" s="11"/>
      <c r="V87" s="11"/>
      <c r="W87" s="13">
        <f t="shared" si="27"/>
        <v>0</v>
      </c>
      <c r="X87" s="22">
        <f t="shared" si="21"/>
        <v>58</v>
      </c>
    </row>
    <row r="88" spans="1:24">
      <c r="A88" t="s">
        <v>91</v>
      </c>
      <c r="B88" s="10">
        <v>0</v>
      </c>
      <c r="C88" s="11">
        <v>0</v>
      </c>
      <c r="D88" s="13">
        <f t="shared" si="22"/>
        <v>0</v>
      </c>
      <c r="E88" s="11">
        <v>8</v>
      </c>
      <c r="F88" s="11">
        <v>50</v>
      </c>
      <c r="G88" s="14">
        <f t="shared" si="24"/>
        <v>58</v>
      </c>
      <c r="H88" s="11"/>
      <c r="I88" s="11"/>
      <c r="J88" s="11"/>
      <c r="K88" s="13">
        <f t="shared" si="25"/>
        <v>0</v>
      </c>
      <c r="L88" s="11"/>
      <c r="M88" s="11"/>
      <c r="N88" s="11"/>
      <c r="O88" s="12">
        <f t="shared" si="23"/>
        <v>0</v>
      </c>
      <c r="P88" s="11"/>
      <c r="Q88" s="11"/>
      <c r="R88" s="11"/>
      <c r="S88" s="13">
        <f t="shared" si="26"/>
        <v>0</v>
      </c>
      <c r="T88" s="11"/>
      <c r="U88" s="11"/>
      <c r="V88" s="11"/>
      <c r="W88" s="13">
        <f t="shared" si="27"/>
        <v>0</v>
      </c>
      <c r="X88" s="22">
        <f t="shared" si="21"/>
        <v>58</v>
      </c>
    </row>
    <row r="89" spans="1:24">
      <c r="A89" t="s">
        <v>100</v>
      </c>
      <c r="B89" s="10">
        <v>0</v>
      </c>
      <c r="C89" s="11">
        <v>0</v>
      </c>
      <c r="D89" s="13">
        <f t="shared" si="22"/>
        <v>0</v>
      </c>
      <c r="E89" s="11">
        <v>8</v>
      </c>
      <c r="F89" s="11">
        <v>50</v>
      </c>
      <c r="G89" s="14">
        <f t="shared" si="24"/>
        <v>58</v>
      </c>
      <c r="H89" s="11"/>
      <c r="I89" s="11"/>
      <c r="J89" s="11"/>
      <c r="K89" s="13">
        <f t="shared" si="25"/>
        <v>0</v>
      </c>
      <c r="L89" s="11"/>
      <c r="M89" s="11"/>
      <c r="N89" s="11"/>
      <c r="O89" s="12">
        <f t="shared" si="23"/>
        <v>0</v>
      </c>
      <c r="P89" s="11"/>
      <c r="Q89" s="11"/>
      <c r="R89" s="11"/>
      <c r="S89" s="13">
        <f t="shared" si="26"/>
        <v>0</v>
      </c>
      <c r="T89" s="11"/>
      <c r="U89" s="11"/>
      <c r="V89" s="11"/>
      <c r="W89" s="13">
        <f t="shared" si="27"/>
        <v>0</v>
      </c>
      <c r="X89" s="22">
        <f t="shared" si="21"/>
        <v>58</v>
      </c>
    </row>
    <row r="90" spans="1:24">
      <c r="A90" t="s">
        <v>105</v>
      </c>
      <c r="B90" s="10">
        <v>0</v>
      </c>
      <c r="C90" s="11">
        <v>0</v>
      </c>
      <c r="D90" s="13">
        <f t="shared" si="22"/>
        <v>0</v>
      </c>
      <c r="E90" s="11">
        <v>8</v>
      </c>
      <c r="F90" s="11">
        <v>50</v>
      </c>
      <c r="G90" s="14">
        <f t="shared" si="24"/>
        <v>58</v>
      </c>
      <c r="H90" s="11"/>
      <c r="I90" s="11"/>
      <c r="J90" s="11"/>
      <c r="K90" s="13">
        <f t="shared" si="25"/>
        <v>0</v>
      </c>
      <c r="L90" s="11"/>
      <c r="M90" s="11"/>
      <c r="N90" s="11"/>
      <c r="O90" s="12">
        <f t="shared" si="23"/>
        <v>0</v>
      </c>
      <c r="P90" s="11"/>
      <c r="Q90" s="11"/>
      <c r="R90" s="11"/>
      <c r="S90" s="13">
        <f t="shared" si="26"/>
        <v>0</v>
      </c>
      <c r="T90" s="11"/>
      <c r="U90" s="11"/>
      <c r="V90" s="11"/>
      <c r="W90" s="13">
        <f t="shared" si="27"/>
        <v>0</v>
      </c>
      <c r="X90" s="22">
        <f t="shared" si="21"/>
        <v>58</v>
      </c>
    </row>
    <row r="91" spans="1:24">
      <c r="A91" t="s">
        <v>106</v>
      </c>
      <c r="B91" s="10">
        <v>0</v>
      </c>
      <c r="C91" s="11">
        <v>0</v>
      </c>
      <c r="D91" s="13">
        <f t="shared" si="22"/>
        <v>0</v>
      </c>
      <c r="E91" s="11">
        <v>8</v>
      </c>
      <c r="F91" s="11">
        <v>50</v>
      </c>
      <c r="G91" s="14">
        <f t="shared" si="24"/>
        <v>58</v>
      </c>
      <c r="H91" s="11"/>
      <c r="I91" s="11"/>
      <c r="J91" s="11"/>
      <c r="K91" s="13">
        <f t="shared" si="25"/>
        <v>0</v>
      </c>
      <c r="L91" s="11"/>
      <c r="M91" s="11"/>
      <c r="N91" s="11"/>
      <c r="O91" s="12">
        <f t="shared" si="23"/>
        <v>0</v>
      </c>
      <c r="P91" s="11"/>
      <c r="Q91" s="11"/>
      <c r="R91" s="11"/>
      <c r="S91" s="13">
        <f t="shared" si="26"/>
        <v>0</v>
      </c>
      <c r="T91" s="11"/>
      <c r="U91" s="11"/>
      <c r="V91" s="11"/>
      <c r="W91" s="13">
        <f t="shared" si="27"/>
        <v>0</v>
      </c>
      <c r="X91" s="22">
        <f t="shared" si="21"/>
        <v>58</v>
      </c>
    </row>
    <row r="92" spans="1:24">
      <c r="A92" t="s">
        <v>98</v>
      </c>
      <c r="B92" s="10">
        <v>0</v>
      </c>
      <c r="C92" s="11">
        <v>0</v>
      </c>
      <c r="D92" s="13">
        <f t="shared" si="22"/>
        <v>0</v>
      </c>
      <c r="E92" s="11">
        <v>6</v>
      </c>
      <c r="F92" s="11">
        <v>50</v>
      </c>
      <c r="G92" s="14">
        <f t="shared" si="24"/>
        <v>56</v>
      </c>
      <c r="H92" s="11"/>
      <c r="I92" s="11"/>
      <c r="J92" s="11"/>
      <c r="K92" s="13">
        <f t="shared" si="25"/>
        <v>0</v>
      </c>
      <c r="L92" s="11"/>
      <c r="M92" s="11"/>
      <c r="N92" s="11"/>
      <c r="O92" s="12">
        <f t="shared" si="23"/>
        <v>0</v>
      </c>
      <c r="P92" s="11"/>
      <c r="Q92" s="11"/>
      <c r="R92" s="11"/>
      <c r="S92" s="13">
        <f t="shared" si="26"/>
        <v>0</v>
      </c>
      <c r="T92" s="11"/>
      <c r="U92" s="11"/>
      <c r="V92" s="11"/>
      <c r="W92" s="13">
        <f t="shared" si="27"/>
        <v>0</v>
      </c>
      <c r="X92" s="22">
        <f t="shared" si="21"/>
        <v>56</v>
      </c>
    </row>
    <row r="93" spans="1:24">
      <c r="A93" t="s">
        <v>107</v>
      </c>
      <c r="B93" s="10">
        <v>0</v>
      </c>
      <c r="C93" s="11">
        <v>0</v>
      </c>
      <c r="D93" s="13">
        <f t="shared" si="22"/>
        <v>0</v>
      </c>
      <c r="E93" s="11">
        <v>6</v>
      </c>
      <c r="F93" s="11">
        <v>50</v>
      </c>
      <c r="G93" s="14">
        <f t="shared" si="24"/>
        <v>56</v>
      </c>
      <c r="H93" s="11"/>
      <c r="I93" s="11"/>
      <c r="J93" s="11"/>
      <c r="K93" s="13">
        <f t="shared" si="25"/>
        <v>0</v>
      </c>
      <c r="L93" s="11"/>
      <c r="M93" s="11"/>
      <c r="N93" s="11"/>
      <c r="O93" s="12">
        <f t="shared" si="23"/>
        <v>0</v>
      </c>
      <c r="P93" s="11"/>
      <c r="Q93" s="11"/>
      <c r="R93" s="11"/>
      <c r="S93" s="13">
        <f t="shared" si="26"/>
        <v>0</v>
      </c>
      <c r="T93" s="11"/>
      <c r="U93" s="11"/>
      <c r="V93" s="11"/>
      <c r="W93" s="13">
        <f t="shared" si="27"/>
        <v>0</v>
      </c>
      <c r="X93" s="22">
        <f t="shared" si="21"/>
        <v>56</v>
      </c>
    </row>
    <row r="94" spans="1:24">
      <c r="A94" t="s">
        <v>108</v>
      </c>
      <c r="B94" s="10">
        <v>0</v>
      </c>
      <c r="C94" s="11">
        <v>0</v>
      </c>
      <c r="D94" s="13">
        <f t="shared" si="22"/>
        <v>0</v>
      </c>
      <c r="E94" s="11">
        <v>6</v>
      </c>
      <c r="F94" s="11">
        <v>50</v>
      </c>
      <c r="G94" s="14">
        <f t="shared" si="24"/>
        <v>56</v>
      </c>
      <c r="H94" s="11"/>
      <c r="I94" s="11"/>
      <c r="J94" s="11"/>
      <c r="K94" s="13">
        <f t="shared" si="25"/>
        <v>0</v>
      </c>
      <c r="L94" s="11"/>
      <c r="M94" s="11"/>
      <c r="N94" s="11"/>
      <c r="O94" s="12">
        <f t="shared" si="23"/>
        <v>0</v>
      </c>
      <c r="P94" s="11"/>
      <c r="Q94" s="11"/>
      <c r="R94" s="11"/>
      <c r="S94" s="13">
        <f t="shared" si="26"/>
        <v>0</v>
      </c>
      <c r="T94" s="11"/>
      <c r="U94" s="11"/>
      <c r="V94" s="11"/>
      <c r="W94" s="13">
        <f t="shared" si="27"/>
        <v>0</v>
      </c>
      <c r="X94" s="22">
        <f t="shared" si="21"/>
        <v>56</v>
      </c>
    </row>
    <row r="95" spans="1:24">
      <c r="A95" t="s">
        <v>109</v>
      </c>
      <c r="B95" s="10">
        <v>0</v>
      </c>
      <c r="C95" s="11">
        <v>0</v>
      </c>
      <c r="D95" s="13">
        <f t="shared" si="22"/>
        <v>0</v>
      </c>
      <c r="E95" s="11">
        <v>6</v>
      </c>
      <c r="F95" s="11">
        <v>50</v>
      </c>
      <c r="G95" s="14">
        <f t="shared" si="24"/>
        <v>56</v>
      </c>
      <c r="H95" s="11"/>
      <c r="I95" s="11"/>
      <c r="J95" s="11"/>
      <c r="K95" s="13">
        <f t="shared" si="25"/>
        <v>0</v>
      </c>
      <c r="L95" s="11"/>
      <c r="M95" s="11"/>
      <c r="N95" s="11"/>
      <c r="O95" s="12">
        <f t="shared" si="23"/>
        <v>0</v>
      </c>
      <c r="P95" s="11"/>
      <c r="Q95" s="11"/>
      <c r="R95" s="11"/>
      <c r="S95" s="13">
        <f t="shared" si="26"/>
        <v>0</v>
      </c>
      <c r="T95" s="11"/>
      <c r="U95" s="11"/>
      <c r="V95" s="11"/>
      <c r="W95" s="13">
        <f t="shared" si="27"/>
        <v>0</v>
      </c>
      <c r="X95" s="22">
        <f t="shared" si="21"/>
        <v>56</v>
      </c>
    </row>
    <row r="96" spans="1:24">
      <c r="A96" t="s">
        <v>113</v>
      </c>
      <c r="B96" s="10">
        <v>0</v>
      </c>
      <c r="C96" s="11">
        <v>0</v>
      </c>
      <c r="D96" s="13">
        <f t="shared" si="22"/>
        <v>0</v>
      </c>
      <c r="E96" s="11">
        <v>6</v>
      </c>
      <c r="F96" s="11">
        <v>50</v>
      </c>
      <c r="G96" s="14">
        <f t="shared" si="24"/>
        <v>56</v>
      </c>
      <c r="H96" s="11"/>
      <c r="I96" s="11"/>
      <c r="J96" s="11"/>
      <c r="K96" s="13">
        <f t="shared" si="25"/>
        <v>0</v>
      </c>
      <c r="L96" s="11"/>
      <c r="M96" s="11"/>
      <c r="N96" s="11"/>
      <c r="O96" s="12">
        <f t="shared" si="23"/>
        <v>0</v>
      </c>
      <c r="P96" s="11"/>
      <c r="Q96" s="11"/>
      <c r="R96" s="11"/>
      <c r="S96" s="13">
        <f t="shared" si="26"/>
        <v>0</v>
      </c>
      <c r="T96" s="11"/>
      <c r="U96" s="11"/>
      <c r="V96" s="11"/>
      <c r="W96" s="13">
        <f t="shared" si="27"/>
        <v>0</v>
      </c>
      <c r="X96" s="22">
        <f t="shared" si="21"/>
        <v>56</v>
      </c>
    </row>
    <row r="97" spans="1:24">
      <c r="A97" t="s">
        <v>115</v>
      </c>
      <c r="B97" s="10">
        <v>0</v>
      </c>
      <c r="C97" s="11">
        <v>0</v>
      </c>
      <c r="D97" s="13">
        <f t="shared" si="22"/>
        <v>0</v>
      </c>
      <c r="E97" s="11">
        <v>6</v>
      </c>
      <c r="F97" s="11">
        <v>50</v>
      </c>
      <c r="G97" s="14">
        <f t="shared" si="24"/>
        <v>56</v>
      </c>
      <c r="H97" s="11"/>
      <c r="I97" s="11"/>
      <c r="J97" s="11"/>
      <c r="K97" s="13">
        <f t="shared" si="25"/>
        <v>0</v>
      </c>
      <c r="L97" s="11"/>
      <c r="M97" s="11"/>
      <c r="N97" s="11"/>
      <c r="O97" s="12">
        <f t="shared" si="23"/>
        <v>0</v>
      </c>
      <c r="P97" s="11"/>
      <c r="Q97" s="11"/>
      <c r="R97" s="11"/>
      <c r="S97" s="13">
        <f t="shared" si="26"/>
        <v>0</v>
      </c>
      <c r="T97" s="11"/>
      <c r="U97" s="11"/>
      <c r="V97" s="11"/>
      <c r="W97" s="13">
        <f t="shared" si="27"/>
        <v>0</v>
      </c>
      <c r="X97" s="22">
        <f t="shared" si="21"/>
        <v>56</v>
      </c>
    </row>
    <row r="98" spans="1:24">
      <c r="A98" t="s">
        <v>102</v>
      </c>
      <c r="B98" s="10">
        <v>0</v>
      </c>
      <c r="C98" s="11">
        <v>0</v>
      </c>
      <c r="D98" s="13">
        <f t="shared" si="22"/>
        <v>0</v>
      </c>
      <c r="E98" s="11">
        <v>5</v>
      </c>
      <c r="F98" s="11">
        <v>50</v>
      </c>
      <c r="G98" s="14">
        <f t="shared" si="24"/>
        <v>55</v>
      </c>
      <c r="H98" s="11"/>
      <c r="I98" s="11"/>
      <c r="J98" s="11"/>
      <c r="K98" s="13">
        <f t="shared" si="25"/>
        <v>0</v>
      </c>
      <c r="L98" s="11"/>
      <c r="M98" s="11"/>
      <c r="N98" s="11"/>
      <c r="O98" s="12">
        <f t="shared" si="23"/>
        <v>0</v>
      </c>
      <c r="P98" s="11"/>
      <c r="Q98" s="11"/>
      <c r="R98" s="11"/>
      <c r="S98" s="13">
        <f t="shared" si="26"/>
        <v>0</v>
      </c>
      <c r="T98" s="11"/>
      <c r="U98" s="11"/>
      <c r="V98" s="11"/>
      <c r="W98" s="13">
        <f t="shared" si="27"/>
        <v>0</v>
      </c>
      <c r="X98" s="22">
        <f t="shared" ref="X98:X109" si="28">SUM(D98+G98+K98+O98+S98+W98)</f>
        <v>55</v>
      </c>
    </row>
    <row r="99" spans="1:24">
      <c r="A99" t="s">
        <v>111</v>
      </c>
      <c r="B99" s="10">
        <v>0</v>
      </c>
      <c r="C99" s="11">
        <v>0</v>
      </c>
      <c r="D99" s="13">
        <f t="shared" ref="D99:D109" si="29">SUM(B99:C99)</f>
        <v>0</v>
      </c>
      <c r="E99" s="11">
        <v>5</v>
      </c>
      <c r="F99" s="11">
        <v>50</v>
      </c>
      <c r="G99" s="14">
        <f t="shared" si="24"/>
        <v>55</v>
      </c>
      <c r="H99" s="11"/>
      <c r="I99" s="11"/>
      <c r="J99" s="11"/>
      <c r="K99" s="13">
        <f t="shared" si="25"/>
        <v>0</v>
      </c>
      <c r="L99" s="11"/>
      <c r="M99" s="11"/>
      <c r="N99" s="11"/>
      <c r="O99" s="12">
        <f t="shared" si="23"/>
        <v>0</v>
      </c>
      <c r="P99" s="11"/>
      <c r="Q99" s="11"/>
      <c r="R99" s="11"/>
      <c r="S99" s="13">
        <f t="shared" si="26"/>
        <v>0</v>
      </c>
      <c r="T99" s="11"/>
      <c r="U99" s="11"/>
      <c r="V99" s="11"/>
      <c r="W99" s="13">
        <f t="shared" si="27"/>
        <v>0</v>
      </c>
      <c r="X99" s="22">
        <f t="shared" si="28"/>
        <v>55</v>
      </c>
    </row>
    <row r="100" spans="1:24">
      <c r="A100" t="s">
        <v>114</v>
      </c>
      <c r="B100" s="10">
        <v>0</v>
      </c>
      <c r="C100" s="11">
        <v>0</v>
      </c>
      <c r="D100" s="13">
        <f t="shared" si="29"/>
        <v>0</v>
      </c>
      <c r="E100" s="11">
        <v>5</v>
      </c>
      <c r="F100" s="11">
        <v>50</v>
      </c>
      <c r="G100" s="14">
        <f t="shared" si="24"/>
        <v>55</v>
      </c>
      <c r="H100" s="11"/>
      <c r="I100" s="11"/>
      <c r="J100" s="11"/>
      <c r="K100" s="13">
        <f t="shared" si="25"/>
        <v>0</v>
      </c>
      <c r="L100" s="11"/>
      <c r="M100" s="11"/>
      <c r="N100" s="11"/>
      <c r="O100" s="12">
        <f t="shared" si="23"/>
        <v>0</v>
      </c>
      <c r="P100" s="11"/>
      <c r="Q100" s="11"/>
      <c r="R100" s="11"/>
      <c r="S100" s="13">
        <f t="shared" si="26"/>
        <v>0</v>
      </c>
      <c r="T100" s="11"/>
      <c r="U100" s="11"/>
      <c r="V100" s="11"/>
      <c r="W100" s="13">
        <f t="shared" si="27"/>
        <v>0</v>
      </c>
      <c r="X100" s="22">
        <f t="shared" si="28"/>
        <v>55</v>
      </c>
    </row>
    <row r="101" spans="1:24">
      <c r="A101" t="s">
        <v>112</v>
      </c>
      <c r="B101" s="10">
        <v>0</v>
      </c>
      <c r="C101" s="11">
        <v>0</v>
      </c>
      <c r="D101" s="13">
        <f t="shared" si="29"/>
        <v>0</v>
      </c>
      <c r="E101" s="11">
        <v>4</v>
      </c>
      <c r="F101" s="11">
        <v>50</v>
      </c>
      <c r="G101" s="14">
        <f t="shared" si="24"/>
        <v>54</v>
      </c>
      <c r="H101" s="11"/>
      <c r="I101" s="11"/>
      <c r="J101" s="11"/>
      <c r="K101" s="13">
        <f t="shared" si="25"/>
        <v>0</v>
      </c>
      <c r="L101" s="11"/>
      <c r="M101" s="11"/>
      <c r="N101" s="11"/>
      <c r="O101" s="12">
        <f t="shared" si="23"/>
        <v>0</v>
      </c>
      <c r="P101" s="11"/>
      <c r="Q101" s="11"/>
      <c r="R101" s="11"/>
      <c r="S101" s="13">
        <f t="shared" si="26"/>
        <v>0</v>
      </c>
      <c r="T101" s="11"/>
      <c r="U101" s="11"/>
      <c r="V101" s="11"/>
      <c r="W101" s="13">
        <f t="shared" si="27"/>
        <v>0</v>
      </c>
      <c r="X101" s="22">
        <f t="shared" si="28"/>
        <v>54</v>
      </c>
    </row>
    <row r="102" spans="1:24">
      <c r="A102" t="s">
        <v>28</v>
      </c>
      <c r="B102" s="10">
        <v>3</v>
      </c>
      <c r="C102" s="11">
        <v>50</v>
      </c>
      <c r="D102" s="13">
        <f t="shared" si="29"/>
        <v>53</v>
      </c>
      <c r="E102" s="11">
        <v>0</v>
      </c>
      <c r="F102" s="11">
        <v>0</v>
      </c>
      <c r="G102" s="14">
        <f t="shared" si="24"/>
        <v>0</v>
      </c>
      <c r="H102" s="11"/>
      <c r="I102" s="11"/>
      <c r="J102" s="11"/>
      <c r="K102" s="13">
        <f t="shared" si="25"/>
        <v>0</v>
      </c>
      <c r="L102" s="11"/>
      <c r="M102" s="11"/>
      <c r="N102" s="11"/>
      <c r="O102" s="12">
        <f t="shared" si="23"/>
        <v>0</v>
      </c>
      <c r="P102" s="11"/>
      <c r="Q102" s="11"/>
      <c r="R102" s="11"/>
      <c r="S102" s="13">
        <f t="shared" si="26"/>
        <v>0</v>
      </c>
      <c r="T102" s="11"/>
      <c r="U102" s="11"/>
      <c r="V102" s="11"/>
      <c r="W102" s="13">
        <f t="shared" si="27"/>
        <v>0</v>
      </c>
      <c r="X102" s="22">
        <f t="shared" si="28"/>
        <v>53</v>
      </c>
    </row>
    <row r="103" spans="1:24">
      <c r="A103" t="s">
        <v>117</v>
      </c>
      <c r="B103" s="10">
        <v>0</v>
      </c>
      <c r="C103" s="11">
        <v>0</v>
      </c>
      <c r="D103" s="13">
        <f t="shared" si="29"/>
        <v>0</v>
      </c>
      <c r="E103" s="11">
        <v>3</v>
      </c>
      <c r="F103" s="11">
        <v>50</v>
      </c>
      <c r="G103" s="14">
        <f t="shared" si="24"/>
        <v>53</v>
      </c>
      <c r="H103" s="11"/>
      <c r="I103" s="11"/>
      <c r="J103" s="11"/>
      <c r="K103" s="13">
        <f t="shared" si="25"/>
        <v>0</v>
      </c>
      <c r="L103" s="11"/>
      <c r="M103" s="11"/>
      <c r="N103" s="11"/>
      <c r="O103" s="12">
        <f t="shared" si="23"/>
        <v>0</v>
      </c>
      <c r="P103" s="11"/>
      <c r="Q103" s="11"/>
      <c r="R103" s="11"/>
      <c r="S103" s="13">
        <f t="shared" si="26"/>
        <v>0</v>
      </c>
      <c r="T103" s="11"/>
      <c r="U103" s="11"/>
      <c r="V103" s="11"/>
      <c r="W103" s="13">
        <f t="shared" si="27"/>
        <v>0</v>
      </c>
      <c r="X103" s="22">
        <f t="shared" si="28"/>
        <v>53</v>
      </c>
    </row>
    <row r="104" spans="1:24">
      <c r="A104" t="s">
        <v>27</v>
      </c>
      <c r="B104" s="10">
        <v>2</v>
      </c>
      <c r="C104" s="11">
        <v>50</v>
      </c>
      <c r="D104" s="13">
        <f t="shared" si="29"/>
        <v>52</v>
      </c>
      <c r="E104" s="11">
        <v>0</v>
      </c>
      <c r="F104" s="11">
        <v>0</v>
      </c>
      <c r="G104" s="14">
        <f t="shared" si="24"/>
        <v>0</v>
      </c>
      <c r="H104" s="11"/>
      <c r="I104" s="11"/>
      <c r="J104" s="11"/>
      <c r="K104" s="13">
        <f t="shared" si="25"/>
        <v>0</v>
      </c>
      <c r="L104" s="11"/>
      <c r="M104" s="11"/>
      <c r="N104" s="11"/>
      <c r="O104" s="12">
        <f t="shared" si="23"/>
        <v>0</v>
      </c>
      <c r="P104" s="11"/>
      <c r="Q104" s="11"/>
      <c r="R104" s="11"/>
      <c r="S104" s="13">
        <f t="shared" si="26"/>
        <v>0</v>
      </c>
      <c r="T104" s="11"/>
      <c r="U104" s="11"/>
      <c r="V104" s="11"/>
      <c r="W104" s="13">
        <f t="shared" si="27"/>
        <v>0</v>
      </c>
      <c r="X104" s="22">
        <f t="shared" si="28"/>
        <v>52</v>
      </c>
    </row>
    <row r="105" spans="1:24">
      <c r="A105" t="s">
        <v>29</v>
      </c>
      <c r="B105" s="10">
        <v>2</v>
      </c>
      <c r="C105" s="11">
        <v>50</v>
      </c>
      <c r="D105" s="13">
        <f t="shared" si="29"/>
        <v>52</v>
      </c>
      <c r="E105" s="11">
        <v>0</v>
      </c>
      <c r="F105" s="11">
        <v>0</v>
      </c>
      <c r="G105" s="14">
        <f t="shared" si="24"/>
        <v>0</v>
      </c>
      <c r="H105" s="11"/>
      <c r="I105" s="11"/>
      <c r="J105" s="11"/>
      <c r="K105" s="13">
        <f t="shared" si="25"/>
        <v>0</v>
      </c>
      <c r="L105" s="11"/>
      <c r="M105" s="11"/>
      <c r="N105" s="11"/>
      <c r="O105" s="12">
        <f t="shared" si="23"/>
        <v>0</v>
      </c>
      <c r="P105" s="11"/>
      <c r="Q105" s="11"/>
      <c r="R105" s="11"/>
      <c r="S105" s="13">
        <f t="shared" si="26"/>
        <v>0</v>
      </c>
      <c r="T105" s="11"/>
      <c r="U105" s="11"/>
      <c r="V105" s="11"/>
      <c r="W105" s="13">
        <f t="shared" si="27"/>
        <v>0</v>
      </c>
      <c r="X105" s="22">
        <f t="shared" si="28"/>
        <v>52</v>
      </c>
    </row>
    <row r="106" spans="1:24">
      <c r="A106" t="s">
        <v>116</v>
      </c>
      <c r="B106" s="10">
        <v>0</v>
      </c>
      <c r="C106" s="11">
        <v>0</v>
      </c>
      <c r="D106" s="13">
        <f t="shared" si="29"/>
        <v>0</v>
      </c>
      <c r="E106" s="11">
        <v>2</v>
      </c>
      <c r="F106" s="11">
        <v>50</v>
      </c>
      <c r="G106" s="14">
        <f t="shared" si="24"/>
        <v>52</v>
      </c>
      <c r="H106" s="11"/>
      <c r="I106" s="11"/>
      <c r="J106" s="11"/>
      <c r="K106" s="13">
        <f t="shared" si="25"/>
        <v>0</v>
      </c>
      <c r="L106" s="11"/>
      <c r="M106" s="11"/>
      <c r="N106" s="11"/>
      <c r="O106" s="12">
        <f>SUM(M106+N106)</f>
        <v>0</v>
      </c>
      <c r="P106" s="11"/>
      <c r="Q106" s="11"/>
      <c r="R106" s="11"/>
      <c r="S106" s="13">
        <f t="shared" si="26"/>
        <v>0</v>
      </c>
      <c r="T106" s="11"/>
      <c r="U106" s="11"/>
      <c r="V106" s="11"/>
      <c r="W106" s="13">
        <f t="shared" si="27"/>
        <v>0</v>
      </c>
      <c r="X106" s="22">
        <f t="shared" si="28"/>
        <v>52</v>
      </c>
    </row>
    <row r="107" spans="1:24">
      <c r="A107" t="s">
        <v>34</v>
      </c>
      <c r="B107" s="10">
        <v>1</v>
      </c>
      <c r="C107" s="11">
        <v>50</v>
      </c>
      <c r="D107" s="13">
        <f t="shared" si="29"/>
        <v>51</v>
      </c>
      <c r="E107" s="11">
        <v>0</v>
      </c>
      <c r="F107" s="11">
        <v>0</v>
      </c>
      <c r="G107" s="14">
        <f t="shared" si="24"/>
        <v>0</v>
      </c>
      <c r="H107" s="11"/>
      <c r="I107" s="11"/>
      <c r="J107" s="11"/>
      <c r="K107" s="13">
        <f t="shared" si="25"/>
        <v>0</v>
      </c>
      <c r="L107" s="11"/>
      <c r="M107" s="11"/>
      <c r="N107" s="11"/>
      <c r="O107" s="12">
        <f>SUM(M107+N107)</f>
        <v>0</v>
      </c>
      <c r="P107" s="11"/>
      <c r="Q107" s="11"/>
      <c r="R107" s="11"/>
      <c r="S107" s="13">
        <f t="shared" si="26"/>
        <v>0</v>
      </c>
      <c r="T107" s="11"/>
      <c r="U107" s="11"/>
      <c r="V107" s="11"/>
      <c r="W107" s="13">
        <f t="shared" si="27"/>
        <v>0</v>
      </c>
      <c r="X107" s="22">
        <f t="shared" si="28"/>
        <v>51</v>
      </c>
    </row>
    <row r="108" spans="1:24">
      <c r="A108" t="s">
        <v>35</v>
      </c>
      <c r="B108" s="10">
        <v>1</v>
      </c>
      <c r="C108" s="11">
        <v>50</v>
      </c>
      <c r="D108" s="13">
        <f t="shared" si="29"/>
        <v>51</v>
      </c>
      <c r="E108" s="11">
        <v>0</v>
      </c>
      <c r="F108" s="11">
        <v>0</v>
      </c>
      <c r="G108" s="14">
        <f>SUM(E108:F108)</f>
        <v>0</v>
      </c>
      <c r="H108" s="11"/>
      <c r="I108" s="11"/>
      <c r="J108" s="11"/>
      <c r="K108" s="13">
        <f>SUM(I108:J108)</f>
        <v>0</v>
      </c>
      <c r="L108" s="11"/>
      <c r="M108" s="11"/>
      <c r="N108" s="11"/>
      <c r="O108" s="12">
        <f>SUM(M108+N108)</f>
        <v>0</v>
      </c>
      <c r="P108" s="11"/>
      <c r="Q108" s="11"/>
      <c r="R108" s="11"/>
      <c r="S108" s="13">
        <f t="shared" si="26"/>
        <v>0</v>
      </c>
      <c r="T108" s="11"/>
      <c r="U108" s="11"/>
      <c r="V108" s="11"/>
      <c r="W108" s="13">
        <f>SUM(U108:V108)</f>
        <v>0</v>
      </c>
      <c r="X108" s="22">
        <f t="shared" si="28"/>
        <v>51</v>
      </c>
    </row>
    <row r="109" spans="1:24" ht="15.75" thickBot="1">
      <c r="A109" t="s">
        <v>41</v>
      </c>
      <c r="B109" s="16">
        <v>1</v>
      </c>
      <c r="C109" s="17">
        <v>50</v>
      </c>
      <c r="D109" s="18">
        <f t="shared" si="29"/>
        <v>51</v>
      </c>
      <c r="E109" s="17">
        <v>0</v>
      </c>
      <c r="F109" s="17">
        <v>0</v>
      </c>
      <c r="G109" s="19">
        <f>SUM(E109:F109)</f>
        <v>0</v>
      </c>
      <c r="H109" s="17"/>
      <c r="I109" s="17"/>
      <c r="J109" s="17"/>
      <c r="K109" s="18">
        <f>SUM(I109:J109)</f>
        <v>0</v>
      </c>
      <c r="L109" s="17"/>
      <c r="M109" s="17"/>
      <c r="N109" s="17"/>
      <c r="O109" s="20">
        <f>SUM(M109+N109)</f>
        <v>0</v>
      </c>
      <c r="P109" s="17"/>
      <c r="Q109" s="17"/>
      <c r="R109" s="17"/>
      <c r="S109" s="18">
        <f t="shared" si="26"/>
        <v>0</v>
      </c>
      <c r="T109" s="17"/>
      <c r="U109" s="17"/>
      <c r="V109" s="17"/>
      <c r="W109" s="18">
        <f>SUM(U109:V109)</f>
        <v>0</v>
      </c>
      <c r="X109" s="23">
        <f t="shared" si="28"/>
        <v>51</v>
      </c>
    </row>
    <row r="110" spans="1:24">
      <c r="G110" s="5"/>
      <c r="O110" s="2"/>
      <c r="X110" s="4"/>
    </row>
  </sheetData>
  <phoneticPr fontId="0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Company>administrator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</dc:creator>
  <cp:lastModifiedBy>akg</cp:lastModifiedBy>
  <dcterms:created xsi:type="dcterms:W3CDTF">2012-02-07T10:32:04Z</dcterms:created>
  <dcterms:modified xsi:type="dcterms:W3CDTF">2012-08-20T11:43:36Z</dcterms:modified>
</cp:coreProperties>
</file>