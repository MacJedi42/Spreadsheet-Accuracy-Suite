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848" yWindow="4668" windowWidth="17016" windowHeight="4656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E13" i="1"/>
  <c r="D13" i="1"/>
  <c r="C13" i="1"/>
  <c r="B13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B7" i="1"/>
  <c r="E6" i="1"/>
  <c r="D6" i="1"/>
  <c r="C6" i="1"/>
  <c r="B6" i="1"/>
  <c r="D5" i="1"/>
  <c r="B5" i="1"/>
  <c r="AZ626" i="3"/>
  <c r="BE626" i="3" s="1"/>
  <c r="BA626" i="3"/>
  <c r="BF626" i="3" s="1"/>
  <c r="BB626" i="3"/>
  <c r="BC626" i="3"/>
  <c r="BD626" i="3"/>
  <c r="BG626" i="3"/>
  <c r="BH626" i="3"/>
  <c r="BI626" i="3"/>
  <c r="BJ626" i="3"/>
  <c r="AP626" i="3"/>
  <c r="AQ626" i="3"/>
  <c r="AR626" i="3"/>
  <c r="AS626" i="3"/>
  <c r="AT626" i="3"/>
  <c r="AU626" i="3"/>
  <c r="AV626" i="3"/>
  <c r="AW626" i="3"/>
  <c r="AX626" i="3"/>
  <c r="AJ626" i="3"/>
  <c r="AM626" i="3" s="1"/>
  <c r="AK626" i="3"/>
  <c r="AL626" i="3"/>
  <c r="AI626" i="3"/>
  <c r="Y626" i="3"/>
  <c r="Z626" i="3"/>
  <c r="AC626" i="3" s="1"/>
  <c r="AA626" i="3"/>
  <c r="AB626" i="3"/>
  <c r="O626" i="3"/>
  <c r="P626" i="3" s="1"/>
  <c r="Q626" i="3"/>
  <c r="F626" i="3"/>
  <c r="I626" i="3" s="1"/>
  <c r="G626" i="3"/>
  <c r="H626" i="3"/>
  <c r="E626" i="3"/>
  <c r="A626" i="3"/>
  <c r="AN626" i="3" l="1"/>
  <c r="AD626" i="3"/>
  <c r="S626" i="3"/>
  <c r="T626" i="3"/>
  <c r="R626" i="3"/>
  <c r="J626" i="3"/>
  <c r="C7" i="1"/>
  <c r="AZ625" i="3"/>
  <c r="BE625" i="3" s="1"/>
  <c r="BA625" i="3"/>
  <c r="BF625" i="3" s="1"/>
  <c r="BB625" i="3"/>
  <c r="BG625" i="3" s="1"/>
  <c r="BC625" i="3"/>
  <c r="BH625" i="3" s="1"/>
  <c r="BD625" i="3"/>
  <c r="BI625" i="3"/>
  <c r="BJ625" i="3"/>
  <c r="AT625" i="3"/>
  <c r="AU625" i="3"/>
  <c r="AV625" i="3"/>
  <c r="AW625" i="3"/>
  <c r="AX625" i="3"/>
  <c r="AJ625" i="3"/>
  <c r="AN625" i="3" s="1"/>
  <c r="AK625" i="3"/>
  <c r="AL625" i="3"/>
  <c r="AI625" i="3"/>
  <c r="AS625" i="3"/>
  <c r="AR625" i="3"/>
  <c r="AQ625" i="3"/>
  <c r="AP625" i="3"/>
  <c r="Y625" i="3"/>
  <c r="Z625" i="3" s="1"/>
  <c r="AA625" i="3"/>
  <c r="O625" i="3"/>
  <c r="P625" i="3"/>
  <c r="S625" i="3" s="1"/>
  <c r="Q625" i="3"/>
  <c r="R625" i="3"/>
  <c r="F625" i="3"/>
  <c r="G625" i="3"/>
  <c r="H625" i="3"/>
  <c r="I625" i="3"/>
  <c r="J625" i="3"/>
  <c r="E625" i="3"/>
  <c r="A625" i="3"/>
  <c r="AM625" i="3" l="1"/>
  <c r="AC625" i="3"/>
  <c r="AD625" i="3"/>
  <c r="AB625" i="3"/>
  <c r="T625" i="3"/>
  <c r="AZ624" i="3"/>
  <c r="BA624" i="3"/>
  <c r="BF624" i="3" s="1"/>
  <c r="BB624" i="3"/>
  <c r="BG624" i="3" s="1"/>
  <c r="BC624" i="3"/>
  <c r="BH624" i="3" s="1"/>
  <c r="BD624" i="3"/>
  <c r="BI624" i="3" s="1"/>
  <c r="BE624" i="3"/>
  <c r="BJ624" i="3"/>
  <c r="AP624" i="3"/>
  <c r="AQ624" i="3"/>
  <c r="AR624" i="3"/>
  <c r="AS624" i="3"/>
  <c r="AV624" i="3" s="1"/>
  <c r="AT624" i="3"/>
  <c r="AW624" i="3" s="1"/>
  <c r="AU624" i="3"/>
  <c r="AI624" i="3"/>
  <c r="AJ624" i="3"/>
  <c r="AM624" i="3" s="1"/>
  <c r="AK624" i="3"/>
  <c r="AL624" i="3"/>
  <c r="Y624" i="3"/>
  <c r="Z624" i="3"/>
  <c r="AA624" i="3"/>
  <c r="AB624" i="3"/>
  <c r="AC624" i="3"/>
  <c r="AD624" i="3"/>
  <c r="O624" i="3"/>
  <c r="P624" i="3"/>
  <c r="Q624" i="3"/>
  <c r="T624" i="3" s="1"/>
  <c r="R624" i="3"/>
  <c r="S624" i="3"/>
  <c r="E624" i="3"/>
  <c r="F624" i="3" s="1"/>
  <c r="G624" i="3"/>
  <c r="H624" i="3"/>
  <c r="A624" i="3"/>
  <c r="AX624" i="3" l="1"/>
  <c r="AN624" i="3"/>
  <c r="J624" i="3"/>
  <c r="I624" i="3"/>
  <c r="AN622" i="3"/>
  <c r="AN623" i="3"/>
  <c r="AM622" i="3"/>
  <c r="AL623" i="3"/>
  <c r="AM623" i="3"/>
  <c r="AK623" i="3"/>
  <c r="AK622" i="3"/>
  <c r="AJ623" i="3"/>
  <c r="AJ622" i="3"/>
  <c r="BJ623" i="3"/>
  <c r="BG623" i="3"/>
  <c r="BF623" i="3"/>
  <c r="BE623" i="3"/>
  <c r="BD623" i="3"/>
  <c r="BI623" i="3" s="1"/>
  <c r="BC623" i="3"/>
  <c r="BH623" i="3" s="1"/>
  <c r="AV623" i="3"/>
  <c r="AU623" i="3"/>
  <c r="AT623" i="3"/>
  <c r="AX623" i="3" s="1"/>
  <c r="AS623" i="3"/>
  <c r="AQ623" i="3"/>
  <c r="AI623" i="3"/>
  <c r="AR623" i="3"/>
  <c r="AP623" i="3"/>
  <c r="AB623" i="3"/>
  <c r="AA623" i="3"/>
  <c r="Z623" i="3"/>
  <c r="AD623" i="3" s="1"/>
  <c r="Y623" i="3"/>
  <c r="BB623" i="3"/>
  <c r="R623" i="3"/>
  <c r="Q623" i="3"/>
  <c r="P623" i="3"/>
  <c r="S623" i="3" s="1"/>
  <c r="O623" i="3"/>
  <c r="BA623" i="3"/>
  <c r="H623" i="3"/>
  <c r="G623" i="3"/>
  <c r="F623" i="3"/>
  <c r="J623" i="3" s="1"/>
  <c r="E623" i="3"/>
  <c r="AZ623" i="3" s="1"/>
  <c r="A623" i="3"/>
  <c r="AW623" i="3" l="1"/>
  <c r="AC623" i="3"/>
  <c r="T623" i="3"/>
  <c r="I623" i="3"/>
  <c r="AZ622" i="3"/>
  <c r="BA622" i="3"/>
  <c r="BF622" i="3" s="1"/>
  <c r="BB622" i="3"/>
  <c r="BG622" i="3" s="1"/>
  <c r="BC622" i="3"/>
  <c r="BH622" i="3" s="1"/>
  <c r="BD622" i="3"/>
  <c r="BI622" i="3" s="1"/>
  <c r="BE622" i="3"/>
  <c r="BJ622" i="3"/>
  <c r="AP622" i="3"/>
  <c r="AQ622" i="3"/>
  <c r="AR622" i="3"/>
  <c r="AS622" i="3"/>
  <c r="AV622" i="3" s="1"/>
  <c r="AT622" i="3"/>
  <c r="AW622" i="3" s="1"/>
  <c r="AU622" i="3"/>
  <c r="AL620" i="3"/>
  <c r="AI622" i="3"/>
  <c r="Y622" i="3"/>
  <c r="Z622" i="3"/>
  <c r="AD622" i="3" s="1"/>
  <c r="AA622" i="3"/>
  <c r="AB622" i="3"/>
  <c r="AC622" i="3"/>
  <c r="O622" i="3"/>
  <c r="P622" i="3" s="1"/>
  <c r="Q622" i="3"/>
  <c r="R622" i="3"/>
  <c r="E622" i="3"/>
  <c r="F622" i="3"/>
  <c r="G622" i="3"/>
  <c r="J622" i="3" s="1"/>
  <c r="H622" i="3"/>
  <c r="I622" i="3"/>
  <c r="A622" i="3"/>
  <c r="AX622" i="3" l="1"/>
  <c r="S622" i="3"/>
  <c r="T622" i="3"/>
  <c r="AZ621" i="3"/>
  <c r="BE621" i="3" s="1"/>
  <c r="BA621" i="3"/>
  <c r="BB621" i="3"/>
  <c r="BG621" i="3" s="1"/>
  <c r="BC621" i="3"/>
  <c r="BH621" i="3" s="1"/>
  <c r="BD621" i="3"/>
  <c r="BI621" i="3" s="1"/>
  <c r="BF621" i="3"/>
  <c r="BJ621" i="3"/>
  <c r="AP621" i="3"/>
  <c r="AQ621" i="3"/>
  <c r="AR621" i="3"/>
  <c r="AS621" i="3"/>
  <c r="AV621" i="3" s="1"/>
  <c r="AT621" i="3"/>
  <c r="AW621" i="3" s="1"/>
  <c r="AU621" i="3"/>
  <c r="AI621" i="3"/>
  <c r="AJ621" i="3" s="1"/>
  <c r="AK621" i="3"/>
  <c r="Y621" i="3"/>
  <c r="Z621" i="3"/>
  <c r="AA621" i="3"/>
  <c r="AD621" i="3" s="1"/>
  <c r="AB621" i="3"/>
  <c r="AC621" i="3"/>
  <c r="O621" i="3"/>
  <c r="P621" i="3"/>
  <c r="T621" i="3" s="1"/>
  <c r="Q621" i="3"/>
  <c r="R621" i="3"/>
  <c r="S621" i="3"/>
  <c r="E621" i="3"/>
  <c r="F621" i="3"/>
  <c r="J621" i="3" s="1"/>
  <c r="G621" i="3"/>
  <c r="H621" i="3"/>
  <c r="A621" i="3"/>
  <c r="AX621" i="3" l="1"/>
  <c r="AN621" i="3"/>
  <c r="AM621" i="3"/>
  <c r="I621" i="3"/>
  <c r="F13" i="1"/>
  <c r="AZ620" i="3"/>
  <c r="BA620" i="3"/>
  <c r="BF620" i="3" s="1"/>
  <c r="BB620" i="3"/>
  <c r="BG620" i="3" s="1"/>
  <c r="BC620" i="3"/>
  <c r="BH620" i="3" s="1"/>
  <c r="BD620" i="3"/>
  <c r="BI620" i="3" s="1"/>
  <c r="BE620" i="3"/>
  <c r="BJ620" i="3"/>
  <c r="AP620" i="3"/>
  <c r="AQ620" i="3"/>
  <c r="AR620" i="3"/>
  <c r="AS620" i="3"/>
  <c r="AV620" i="3" s="1"/>
  <c r="AT620" i="3"/>
  <c r="AW620" i="3" s="1"/>
  <c r="AU620" i="3"/>
  <c r="AJ620" i="3"/>
  <c r="AK620" i="3"/>
  <c r="AM620" i="3"/>
  <c r="AN620" i="3"/>
  <c r="AI620" i="3"/>
  <c r="Y620" i="3"/>
  <c r="Z620" i="3"/>
  <c r="AA620" i="3"/>
  <c r="AD620" i="3" s="1"/>
  <c r="AB620" i="3"/>
  <c r="AC620" i="3"/>
  <c r="O620" i="3"/>
  <c r="P620" i="3"/>
  <c r="Q620" i="3"/>
  <c r="T620" i="3" s="1"/>
  <c r="R620" i="3"/>
  <c r="S620" i="3"/>
  <c r="E620" i="3"/>
  <c r="F620" i="3" s="1"/>
  <c r="G620" i="3"/>
  <c r="A620" i="3"/>
  <c r="AX620" i="3" l="1"/>
  <c r="J620" i="3"/>
  <c r="I620" i="3"/>
  <c r="H620" i="3"/>
  <c r="AZ619" i="3"/>
  <c r="BE619" i="3" s="1"/>
  <c r="BA619" i="3"/>
  <c r="BB619" i="3"/>
  <c r="BC619" i="3"/>
  <c r="BD619" i="3"/>
  <c r="BI619" i="3" s="1"/>
  <c r="BF619" i="3"/>
  <c r="BG619" i="3"/>
  <c r="BH619" i="3"/>
  <c r="BJ619" i="3"/>
  <c r="AP619" i="3"/>
  <c r="AQ619" i="3"/>
  <c r="AR619" i="3"/>
  <c r="AS619" i="3"/>
  <c r="AT619" i="3" s="1"/>
  <c r="AU619" i="3"/>
  <c r="AV619" i="3"/>
  <c r="AI619" i="3"/>
  <c r="AJ619" i="3" s="1"/>
  <c r="AK619" i="3"/>
  <c r="Y619" i="3"/>
  <c r="Z619" i="3"/>
  <c r="AA619" i="3"/>
  <c r="AB619" i="3"/>
  <c r="AC619" i="3"/>
  <c r="AD619" i="3"/>
  <c r="O619" i="3"/>
  <c r="R619" i="3" s="1"/>
  <c r="P619" i="3"/>
  <c r="S619" i="3" s="1"/>
  <c r="Q619" i="3"/>
  <c r="E619" i="3"/>
  <c r="F619" i="3"/>
  <c r="I619" i="3" s="1"/>
  <c r="G619" i="3"/>
  <c r="J619" i="3" s="1"/>
  <c r="H619" i="3"/>
  <c r="A619" i="3"/>
  <c r="AW619" i="3" l="1"/>
  <c r="AX619" i="3"/>
  <c r="AM619" i="3"/>
  <c r="AN619" i="3"/>
  <c r="T619" i="3"/>
  <c r="AZ618" i="3"/>
  <c r="BE618" i="3" s="1"/>
  <c r="BA618" i="3"/>
  <c r="BF618" i="3" s="1"/>
  <c r="BB618" i="3"/>
  <c r="BG618" i="3" s="1"/>
  <c r="BC618" i="3"/>
  <c r="BH618" i="3" s="1"/>
  <c r="BD618" i="3"/>
  <c r="BI618" i="3" s="1"/>
  <c r="BJ618" i="3"/>
  <c r="AP618" i="3"/>
  <c r="AQ618" i="3"/>
  <c r="AR618" i="3"/>
  <c r="AS618" i="3"/>
  <c r="AT618" i="3" s="1"/>
  <c r="AU618" i="3"/>
  <c r="AI618" i="3"/>
  <c r="AJ618" i="3"/>
  <c r="AM618" i="3" s="1"/>
  <c r="AK618" i="3"/>
  <c r="Y618" i="3"/>
  <c r="AB618" i="3" s="1"/>
  <c r="Z618" i="3"/>
  <c r="AC618" i="3" s="1"/>
  <c r="AA618" i="3"/>
  <c r="O618" i="3"/>
  <c r="P618" i="3"/>
  <c r="S618" i="3" s="1"/>
  <c r="Q618" i="3"/>
  <c r="R618" i="3"/>
  <c r="E618" i="3"/>
  <c r="H618" i="3" s="1"/>
  <c r="F618" i="3"/>
  <c r="J618" i="3" s="1"/>
  <c r="G618" i="3"/>
  <c r="A618" i="3"/>
  <c r="AW618" i="3" l="1"/>
  <c r="AX618" i="3"/>
  <c r="AV618" i="3"/>
  <c r="AN618" i="3"/>
  <c r="AD618" i="3"/>
  <c r="T618" i="3"/>
  <c r="I618" i="3"/>
  <c r="AZ617" i="3"/>
  <c r="BE617" i="3" s="1"/>
  <c r="BA617" i="3"/>
  <c r="BF617" i="3" s="1"/>
  <c r="BB617" i="3"/>
  <c r="BC617" i="3"/>
  <c r="BD617" i="3"/>
  <c r="BG617" i="3"/>
  <c r="BH617" i="3"/>
  <c r="BI617" i="3"/>
  <c r="BJ617" i="3"/>
  <c r="AR617" i="3"/>
  <c r="AS617" i="3"/>
  <c r="AT617" i="3" s="1"/>
  <c r="AU617" i="3"/>
  <c r="AI617" i="3"/>
  <c r="AJ617" i="3"/>
  <c r="AM617" i="3" s="1"/>
  <c r="AK617" i="3"/>
  <c r="AN617" i="3" s="1"/>
  <c r="AL617" i="3"/>
  <c r="AQ617" i="3"/>
  <c r="AP617" i="3"/>
  <c r="Z617" i="3"/>
  <c r="AC617" i="3" s="1"/>
  <c r="AA617" i="3"/>
  <c r="AB617" i="3"/>
  <c r="Y617" i="3"/>
  <c r="O617" i="3"/>
  <c r="P617" i="3" s="1"/>
  <c r="Q617" i="3"/>
  <c r="F617" i="3"/>
  <c r="I617" i="3" s="1"/>
  <c r="G617" i="3"/>
  <c r="H617" i="3"/>
  <c r="E617" i="3"/>
  <c r="A617" i="3"/>
  <c r="AW617" i="3" l="1"/>
  <c r="AX617" i="3"/>
  <c r="AV617" i="3"/>
  <c r="AD617" i="3"/>
  <c r="S617" i="3"/>
  <c r="T617" i="3"/>
  <c r="R617" i="3"/>
  <c r="J617" i="3"/>
  <c r="BA616" i="3"/>
  <c r="BB616" i="3"/>
  <c r="AP616" i="3"/>
  <c r="AQ616" i="3"/>
  <c r="AR616" i="3"/>
  <c r="AI616" i="3"/>
  <c r="BC616" i="3" s="1"/>
  <c r="Y616" i="3"/>
  <c r="O616" i="3"/>
  <c r="E616" i="3"/>
  <c r="AZ616" i="3" s="1"/>
  <c r="AS616" i="3" l="1"/>
  <c r="AZ615" i="3"/>
  <c r="BC615" i="3"/>
  <c r="AI615" i="3"/>
  <c r="AR615" i="3"/>
  <c r="AQ615" i="3"/>
  <c r="AP615" i="3"/>
  <c r="Y615" i="3"/>
  <c r="BB615" i="3" s="1"/>
  <c r="O615" i="3"/>
  <c r="AS615" i="3" s="1"/>
  <c r="E615" i="3"/>
  <c r="BD615" i="3" l="1"/>
  <c r="BD616" i="3"/>
  <c r="BA615" i="3"/>
  <c r="AZ614" i="3"/>
  <c r="BA614" i="3"/>
  <c r="BB614" i="3"/>
  <c r="AP614" i="3"/>
  <c r="AQ614" i="3"/>
  <c r="AR614" i="3"/>
  <c r="AI614" i="3"/>
  <c r="BC614" i="3" s="1"/>
  <c r="Y614" i="3"/>
  <c r="O614" i="3"/>
  <c r="E614" i="3"/>
  <c r="AS614" i="3" l="1"/>
  <c r="AI613" i="3"/>
  <c r="AR613" i="3"/>
  <c r="AQ613" i="3"/>
  <c r="AP613" i="3"/>
  <c r="Y613" i="3"/>
  <c r="Z616" i="3" s="1"/>
  <c r="O613" i="3"/>
  <c r="P616" i="3" s="1"/>
  <c r="E613" i="3"/>
  <c r="F616" i="3" s="1"/>
  <c r="BD614" i="3" l="1"/>
  <c r="BC613" i="3"/>
  <c r="AJ616" i="3"/>
  <c r="BB613" i="3"/>
  <c r="BA613" i="3"/>
  <c r="AZ613" i="3"/>
  <c r="AS613" i="3"/>
  <c r="AT616" i="3" s="1"/>
  <c r="AI612" i="3"/>
  <c r="AR612" i="3"/>
  <c r="AQ612" i="3"/>
  <c r="AP612" i="3"/>
  <c r="Y612" i="3"/>
  <c r="O612" i="3"/>
  <c r="E612" i="3"/>
  <c r="AZ612" i="3" l="1"/>
  <c r="F615" i="3"/>
  <c r="BA612" i="3"/>
  <c r="P615" i="3"/>
  <c r="BB612" i="3"/>
  <c r="Z615" i="3"/>
  <c r="BC612" i="3"/>
  <c r="AJ615" i="3"/>
  <c r="BD613" i="3"/>
  <c r="AS612" i="3"/>
  <c r="AT615" i="3" s="1"/>
  <c r="AP611" i="3"/>
  <c r="AQ611" i="3"/>
  <c r="AR611" i="3"/>
  <c r="AI611" i="3"/>
  <c r="AJ614" i="3" s="1"/>
  <c r="Y611" i="3"/>
  <c r="O611" i="3"/>
  <c r="E611" i="3"/>
  <c r="AZ611" i="3" l="1"/>
  <c r="F614" i="3"/>
  <c r="BA611" i="3"/>
  <c r="P614" i="3"/>
  <c r="BB611" i="3"/>
  <c r="Z614" i="3"/>
  <c r="BD612" i="3"/>
  <c r="AS611" i="3"/>
  <c r="AT614" i="3" s="1"/>
  <c r="BC611" i="3"/>
  <c r="AP610" i="3"/>
  <c r="AQ610" i="3"/>
  <c r="AR610" i="3"/>
  <c r="AI610" i="3"/>
  <c r="AJ613" i="3" s="1"/>
  <c r="Y610" i="3"/>
  <c r="Z613" i="3" s="1"/>
  <c r="O610" i="3"/>
  <c r="P613" i="3" s="1"/>
  <c r="E610" i="3"/>
  <c r="F613" i="3" s="1"/>
  <c r="BC610" i="3" l="1"/>
  <c r="AZ610" i="3"/>
  <c r="AS610" i="3"/>
  <c r="BB610" i="3"/>
  <c r="BA610" i="3"/>
  <c r="BD611" i="3"/>
  <c r="AR609" i="3"/>
  <c r="AI609" i="3"/>
  <c r="AJ612" i="3" s="1"/>
  <c r="AQ609" i="3"/>
  <c r="AP609" i="3"/>
  <c r="Y609" i="3"/>
  <c r="Z612" i="3" s="1"/>
  <c r="O609" i="3"/>
  <c r="E609" i="3"/>
  <c r="F612" i="3" s="1"/>
  <c r="BB609" i="3" l="1"/>
  <c r="AT613" i="3"/>
  <c r="BD610" i="3"/>
  <c r="P612" i="3"/>
  <c r="BA609" i="3"/>
  <c r="BC609" i="3"/>
  <c r="AZ609" i="3"/>
  <c r="AS609" i="3"/>
  <c r="AZ608" i="3"/>
  <c r="AP608" i="3"/>
  <c r="AQ608" i="3"/>
  <c r="AR608" i="3"/>
  <c r="AI608" i="3"/>
  <c r="AJ611" i="3" s="1"/>
  <c r="Y608" i="3"/>
  <c r="Z611" i="3" s="1"/>
  <c r="O608" i="3"/>
  <c r="E608" i="3"/>
  <c r="F611" i="3" s="1"/>
  <c r="P611" i="3" l="1"/>
  <c r="AS608" i="3"/>
  <c r="AT612" i="3"/>
  <c r="BD609" i="3"/>
  <c r="BC608" i="3"/>
  <c r="BB608" i="3"/>
  <c r="BA608" i="3"/>
  <c r="BA607" i="3"/>
  <c r="AP607" i="3"/>
  <c r="AQ607" i="3"/>
  <c r="AR607" i="3"/>
  <c r="AI607" i="3"/>
  <c r="AJ610" i="3" s="1"/>
  <c r="Y607" i="3"/>
  <c r="Z610" i="3" s="1"/>
  <c r="O607" i="3"/>
  <c r="P610" i="3" s="1"/>
  <c r="E607" i="3"/>
  <c r="F610" i="3" s="1"/>
  <c r="AZ607" i="3" l="1"/>
  <c r="BC607" i="3"/>
  <c r="AS607" i="3"/>
  <c r="BB607" i="3"/>
  <c r="AT611" i="3"/>
  <c r="BD608" i="3"/>
  <c r="BC606" i="3"/>
  <c r="AR606" i="3"/>
  <c r="AI606" i="3"/>
  <c r="AQ606" i="3"/>
  <c r="AP606" i="3"/>
  <c r="Y606" i="3"/>
  <c r="Z609" i="3" s="1"/>
  <c r="O606" i="3"/>
  <c r="P609" i="3" s="1"/>
  <c r="E606" i="3"/>
  <c r="F609" i="3" s="1"/>
  <c r="BB606" i="3" l="1"/>
  <c r="AT610" i="3"/>
  <c r="BD607" i="3"/>
  <c r="AJ609" i="3"/>
  <c r="AS606" i="3"/>
  <c r="BA606" i="3"/>
  <c r="AZ606" i="3"/>
  <c r="AZ605" i="3"/>
  <c r="AP605" i="3"/>
  <c r="AQ605" i="3"/>
  <c r="AR605" i="3"/>
  <c r="AI605" i="3"/>
  <c r="AJ608" i="3" s="1"/>
  <c r="Y605" i="3"/>
  <c r="Z608" i="3" s="1"/>
  <c r="O605" i="3"/>
  <c r="E605" i="3"/>
  <c r="F608" i="3" s="1"/>
  <c r="P608" i="3" l="1"/>
  <c r="AT609" i="3"/>
  <c r="BD606" i="3"/>
  <c r="AS605" i="3"/>
  <c r="BC605" i="3"/>
  <c r="BB605" i="3"/>
  <c r="BA605" i="3"/>
  <c r="AP604" i="3"/>
  <c r="AQ604" i="3"/>
  <c r="AR604" i="3"/>
  <c r="AI604" i="3"/>
  <c r="AJ607" i="3" s="1"/>
  <c r="Y604" i="3"/>
  <c r="Z607" i="3" s="1"/>
  <c r="O604" i="3"/>
  <c r="P607" i="3" s="1"/>
  <c r="E604" i="3"/>
  <c r="F607" i="3" s="1"/>
  <c r="E602" i="3"/>
  <c r="O602" i="3"/>
  <c r="Y602" i="3"/>
  <c r="Z605" i="3" s="1"/>
  <c r="AI602" i="3"/>
  <c r="AP602" i="3"/>
  <c r="AQ602" i="3"/>
  <c r="AR602" i="3"/>
  <c r="E603" i="3"/>
  <c r="F606" i="3" s="1"/>
  <c r="O603" i="3"/>
  <c r="Y603" i="3"/>
  <c r="AI603" i="3"/>
  <c r="AP603" i="3"/>
  <c r="AQ603" i="3"/>
  <c r="AR603" i="3"/>
  <c r="BC604" i="3" l="1"/>
  <c r="AZ604" i="3"/>
  <c r="AJ605" i="3"/>
  <c r="AS604" i="3"/>
  <c r="BB604" i="3"/>
  <c r="P606" i="3"/>
  <c r="BA604" i="3"/>
  <c r="AJ606" i="3"/>
  <c r="AT608" i="3"/>
  <c r="BD605" i="3"/>
  <c r="AS603" i="3"/>
  <c r="BD603" i="3" s="1"/>
  <c r="Z606" i="3"/>
  <c r="P605" i="3"/>
  <c r="F605" i="3"/>
  <c r="AS602" i="3"/>
  <c r="AZ603" i="3"/>
  <c r="BA603" i="3"/>
  <c r="BB603" i="3"/>
  <c r="BC603" i="3"/>
  <c r="AT606" i="3" l="1"/>
  <c r="AT607" i="3"/>
  <c r="BD604" i="3"/>
  <c r="AT605" i="3"/>
  <c r="AZ602" i="3"/>
  <c r="BA602" i="3"/>
  <c r="BB602" i="3"/>
  <c r="BC602" i="3"/>
  <c r="BD602" i="3"/>
  <c r="AI601" i="3" l="1"/>
  <c r="BC601" i="3" s="1"/>
  <c r="AR601" i="3"/>
  <c r="AQ601" i="3"/>
  <c r="AP601" i="3"/>
  <c r="Y601" i="3"/>
  <c r="O601" i="3"/>
  <c r="BA601" i="3" s="1"/>
  <c r="E601" i="3"/>
  <c r="F604" i="3" s="1"/>
  <c r="AZ601" i="3" l="1"/>
  <c r="P604" i="3"/>
  <c r="Z604" i="3"/>
  <c r="BB601" i="3"/>
  <c r="AS601" i="3"/>
  <c r="AJ604" i="3"/>
  <c r="AP600" i="3"/>
  <c r="AQ600" i="3"/>
  <c r="AR600" i="3"/>
  <c r="AI600" i="3"/>
  <c r="AJ603" i="3" s="1"/>
  <c r="Y600" i="3"/>
  <c r="BB600" i="3" s="1"/>
  <c r="O600" i="3"/>
  <c r="E600" i="3"/>
  <c r="AS600" i="3" l="1"/>
  <c r="BD600" i="3" s="1"/>
  <c r="AZ600" i="3"/>
  <c r="F603" i="3"/>
  <c r="BC600" i="3"/>
  <c r="P603" i="3"/>
  <c r="BA600" i="3"/>
  <c r="AT604" i="3"/>
  <c r="BD601" i="3"/>
  <c r="Z603" i="3"/>
  <c r="AT603" i="3"/>
  <c r="AR599" i="3"/>
  <c r="AI599" i="3"/>
  <c r="AQ599" i="3"/>
  <c r="AP599" i="3"/>
  <c r="Y599" i="3"/>
  <c r="Z602" i="3" s="1"/>
  <c r="O599" i="3"/>
  <c r="P602" i="3" s="1"/>
  <c r="E599" i="3"/>
  <c r="F602" i="3" s="1"/>
  <c r="BB599" i="3" l="1"/>
  <c r="AZ599" i="3"/>
  <c r="AJ602" i="3"/>
  <c r="BC599" i="3"/>
  <c r="AS599" i="3"/>
  <c r="BA599" i="3"/>
  <c r="AP598" i="3"/>
  <c r="AQ598" i="3"/>
  <c r="AR598" i="3"/>
  <c r="AI598" i="3"/>
  <c r="AJ601" i="3" s="1"/>
  <c r="Y598" i="3"/>
  <c r="Z601" i="3" s="1"/>
  <c r="O598" i="3"/>
  <c r="P601" i="3" s="1"/>
  <c r="E598" i="3"/>
  <c r="F601" i="3" s="1"/>
  <c r="AZ598" i="3" l="1"/>
  <c r="BA598" i="3"/>
  <c r="BC598" i="3"/>
  <c r="AT602" i="3"/>
  <c r="BD599" i="3"/>
  <c r="AS598" i="3"/>
  <c r="BB598" i="3"/>
  <c r="AR597" i="3"/>
  <c r="AI597" i="3"/>
  <c r="AJ600" i="3" s="1"/>
  <c r="AQ597" i="3"/>
  <c r="AP597" i="3"/>
  <c r="Y597" i="3"/>
  <c r="O597" i="3"/>
  <c r="P600" i="3" s="1"/>
  <c r="E597" i="3"/>
  <c r="F600" i="3" s="1"/>
  <c r="BC597" i="3" l="1"/>
  <c r="Z600" i="3"/>
  <c r="BB597" i="3"/>
  <c r="AZ597" i="3"/>
  <c r="AS597" i="3"/>
  <c r="BA597" i="3"/>
  <c r="AT601" i="3"/>
  <c r="BD598" i="3"/>
  <c r="AZ596" i="3"/>
  <c r="AP596" i="3"/>
  <c r="AQ596" i="3"/>
  <c r="AR596" i="3"/>
  <c r="AI596" i="3"/>
  <c r="AJ599" i="3" s="1"/>
  <c r="Y596" i="3"/>
  <c r="Z599" i="3" s="1"/>
  <c r="O596" i="3"/>
  <c r="BA596" i="3" s="1"/>
  <c r="E596" i="3"/>
  <c r="F599" i="3" s="1"/>
  <c r="BC596" i="3" l="1"/>
  <c r="AT600" i="3"/>
  <c r="BD597" i="3"/>
  <c r="P599" i="3"/>
  <c r="BB596" i="3"/>
  <c r="AS596" i="3"/>
  <c r="AI595" i="3"/>
  <c r="AR595" i="3"/>
  <c r="AQ595" i="3"/>
  <c r="AP595" i="3"/>
  <c r="Y595" i="3"/>
  <c r="Z598" i="3" s="1"/>
  <c r="O595" i="3"/>
  <c r="E595" i="3"/>
  <c r="AZ595" i="3" s="1"/>
  <c r="BB595" i="3" l="1"/>
  <c r="AS595" i="3"/>
  <c r="AJ598" i="3"/>
  <c r="BC595" i="3"/>
  <c r="P598" i="3"/>
  <c r="BA595" i="3"/>
  <c r="AT599" i="3"/>
  <c r="BD596" i="3"/>
  <c r="F598" i="3"/>
  <c r="BB594" i="3"/>
  <c r="AR594" i="3"/>
  <c r="AI594" i="3"/>
  <c r="AJ597" i="3" s="1"/>
  <c r="AQ594" i="3"/>
  <c r="AP594" i="3"/>
  <c r="Y594" i="3"/>
  <c r="Z597" i="3" s="1"/>
  <c r="O594" i="3"/>
  <c r="P597" i="3" s="1"/>
  <c r="E594" i="3"/>
  <c r="F597" i="3" s="1"/>
  <c r="AS594" i="3" l="1"/>
  <c r="AT597" i="3" s="1"/>
  <c r="BA594" i="3"/>
  <c r="BC594" i="3"/>
  <c r="AZ594" i="3"/>
  <c r="AT598" i="3"/>
  <c r="BD595" i="3"/>
  <c r="BA593" i="3"/>
  <c r="AI593" i="3"/>
  <c r="AJ596" i="3" s="1"/>
  <c r="AR593" i="3"/>
  <c r="AQ593" i="3"/>
  <c r="AP593" i="3"/>
  <c r="Y593" i="3"/>
  <c r="Z596" i="3" s="1"/>
  <c r="O593" i="3"/>
  <c r="P596" i="3" s="1"/>
  <c r="E593" i="3"/>
  <c r="AZ593" i="3" s="1"/>
  <c r="BD594" i="3" l="1"/>
  <c r="BC593" i="3"/>
  <c r="F596" i="3"/>
  <c r="BB593" i="3"/>
  <c r="AS593" i="3"/>
  <c r="AP592" i="3"/>
  <c r="AQ592" i="3"/>
  <c r="AR592" i="3"/>
  <c r="AI592" i="3"/>
  <c r="AJ595" i="3" s="1"/>
  <c r="Y592" i="3"/>
  <c r="O592" i="3"/>
  <c r="E592" i="3"/>
  <c r="AZ592" i="3" s="1"/>
  <c r="P595" i="3" l="1"/>
  <c r="F595" i="3"/>
  <c r="AT596" i="3"/>
  <c r="BD593" i="3"/>
  <c r="Z595" i="3"/>
  <c r="AS592" i="3"/>
  <c r="BC592" i="3"/>
  <c r="BB592" i="3"/>
  <c r="BA592" i="3"/>
  <c r="AR591" i="3"/>
  <c r="AI591" i="3"/>
  <c r="AJ594" i="3" s="1"/>
  <c r="AQ591" i="3"/>
  <c r="AP591" i="3"/>
  <c r="Y591" i="3"/>
  <c r="Z594" i="3" s="1"/>
  <c r="O591" i="3"/>
  <c r="P594" i="3" s="1"/>
  <c r="E591" i="3"/>
  <c r="BA591" i="3" l="1"/>
  <c r="AZ591" i="3"/>
  <c r="F594" i="3"/>
  <c r="AT595" i="3"/>
  <c r="BD592" i="3"/>
  <c r="BC591" i="3"/>
  <c r="AS591" i="3"/>
  <c r="AT594" i="3" s="1"/>
  <c r="BB591" i="3"/>
  <c r="AR590" i="3"/>
  <c r="AI590" i="3"/>
  <c r="AJ593" i="3" s="1"/>
  <c r="AQ590" i="3"/>
  <c r="AP590" i="3"/>
  <c r="Y590" i="3"/>
  <c r="Z593" i="3" s="1"/>
  <c r="O590" i="3"/>
  <c r="P593" i="3" s="1"/>
  <c r="E590" i="3"/>
  <c r="AZ590" i="3" l="1"/>
  <c r="F593" i="3"/>
  <c r="BB590" i="3"/>
  <c r="BD591" i="3"/>
  <c r="BC590" i="3"/>
  <c r="BA590" i="3"/>
  <c r="AS590" i="3"/>
  <c r="AT593" i="3" s="1"/>
  <c r="AI589" i="3"/>
  <c r="AJ592" i="3" s="1"/>
  <c r="AR589" i="3"/>
  <c r="AQ589" i="3"/>
  <c r="AP589" i="3"/>
  <c r="Y589" i="3"/>
  <c r="Z592" i="3" s="1"/>
  <c r="O589" i="3"/>
  <c r="P592" i="3" s="1"/>
  <c r="E589" i="3"/>
  <c r="F592" i="3" s="1"/>
  <c r="BC589" i="3" l="1"/>
  <c r="BD590" i="3"/>
  <c r="BB589" i="3"/>
  <c r="BA589" i="3"/>
  <c r="AS589" i="3"/>
  <c r="AT592" i="3" s="1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AI587" i="3"/>
  <c r="AJ590" i="3" s="1"/>
  <c r="AR587" i="3"/>
  <c r="AQ587" i="3"/>
  <c r="AP587" i="3"/>
  <c r="Y587" i="3"/>
  <c r="Z590" i="3" s="1"/>
  <c r="O587" i="3"/>
  <c r="E587" i="3"/>
  <c r="F590" i="3" s="1"/>
  <c r="BC587" i="3" l="1"/>
  <c r="BB587" i="3"/>
  <c r="P590" i="3"/>
  <c r="AS587" i="3"/>
  <c r="BA587" i="3"/>
  <c r="AZ587" i="3"/>
  <c r="AP586" i="3"/>
  <c r="AQ586" i="3"/>
  <c r="AR586" i="3"/>
  <c r="AI586" i="3"/>
  <c r="Y586" i="3"/>
  <c r="Z589" i="3" s="1"/>
  <c r="O586" i="3"/>
  <c r="P589" i="3" s="1"/>
  <c r="E586" i="3"/>
  <c r="F589" i="3" s="1"/>
  <c r="BA586" i="3" l="1"/>
  <c r="AZ586" i="3"/>
  <c r="AJ589" i="3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J592" i="3" s="1"/>
  <c r="BJ593" i="3" s="1"/>
  <c r="BJ594" i="3" s="1"/>
  <c r="BJ595" i="3" s="1"/>
  <c r="BJ596" i="3" s="1"/>
  <c r="BJ597" i="3" s="1"/>
  <c r="BJ598" i="3" s="1"/>
  <c r="BJ599" i="3" s="1"/>
  <c r="BJ600" i="3" s="1"/>
  <c r="BJ601" i="3" s="1"/>
  <c r="BJ602" i="3" s="1"/>
  <c r="BJ603" i="3" s="1"/>
  <c r="BJ604" i="3" s="1"/>
  <c r="BJ605" i="3" s="1"/>
  <c r="BJ606" i="3" s="1"/>
  <c r="BJ607" i="3" s="1"/>
  <c r="BJ608" i="3" s="1"/>
  <c r="BJ609" i="3" s="1"/>
  <c r="BJ610" i="3" s="1"/>
  <c r="BJ611" i="3" s="1"/>
  <c r="BJ612" i="3" s="1"/>
  <c r="BJ613" i="3" s="1"/>
  <c r="BJ614" i="3" s="1"/>
  <c r="BJ615" i="3" s="1"/>
  <c r="BJ616" i="3" s="1"/>
  <c r="AP585" i="3"/>
  <c r="AQ585" i="3"/>
  <c r="AR585" i="3"/>
  <c r="AI585" i="3"/>
  <c r="Y585" i="3"/>
  <c r="Z588" i="3" s="1"/>
  <c r="O585" i="3"/>
  <c r="P588" i="3" s="1"/>
  <c r="E585" i="3"/>
  <c r="F588" i="3" s="1"/>
  <c r="BB585" i="3" l="1"/>
  <c r="AJ588" i="3"/>
  <c r="AZ585" i="3"/>
  <c r="BC585" i="3"/>
  <c r="AT589" i="3"/>
  <c r="BD586" i="3"/>
  <c r="BA585" i="3"/>
  <c r="AS585" i="3"/>
  <c r="BD585" i="3" s="1"/>
  <c r="AQ584" i="3"/>
  <c r="AR584" i="3"/>
  <c r="AI584" i="3"/>
  <c r="AP584" i="3"/>
  <c r="Y584" i="3"/>
  <c r="Z587" i="3" s="1"/>
  <c r="O584" i="3"/>
  <c r="BA584" i="3" s="1"/>
  <c r="BF584" i="3" s="1"/>
  <c r="BF585" i="3" s="1"/>
  <c r="BF586" i="3" s="1"/>
  <c r="BF587" i="3" s="1"/>
  <c r="BF588" i="3" s="1"/>
  <c r="BF589" i="3" s="1"/>
  <c r="BF590" i="3" s="1"/>
  <c r="BF591" i="3" s="1"/>
  <c r="BF592" i="3" s="1"/>
  <c r="BF593" i="3" s="1"/>
  <c r="BF594" i="3" s="1"/>
  <c r="BF595" i="3" s="1"/>
  <c r="BF596" i="3" s="1"/>
  <c r="BF597" i="3" s="1"/>
  <c r="BF598" i="3" s="1"/>
  <c r="BF599" i="3" s="1"/>
  <c r="BF600" i="3" s="1"/>
  <c r="BF601" i="3" s="1"/>
  <c r="BF602" i="3" s="1"/>
  <c r="BF603" i="3" s="1"/>
  <c r="BF604" i="3" s="1"/>
  <c r="BF605" i="3" s="1"/>
  <c r="BF606" i="3" s="1"/>
  <c r="BF607" i="3" s="1"/>
  <c r="BF608" i="3" s="1"/>
  <c r="BF609" i="3" s="1"/>
  <c r="BF610" i="3" s="1"/>
  <c r="BF611" i="3" s="1"/>
  <c r="BF612" i="3" s="1"/>
  <c r="BF613" i="3" s="1"/>
  <c r="BF614" i="3" s="1"/>
  <c r="BF615" i="3" s="1"/>
  <c r="E584" i="3"/>
  <c r="F587" i="3" s="1"/>
  <c r="BF616" i="3" l="1"/>
  <c r="AS584" i="3"/>
  <c r="AT587" i="3" s="1"/>
  <c r="BB584" i="3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E592" i="3" s="1"/>
  <c r="BE593" i="3" s="1"/>
  <c r="BE594" i="3" s="1"/>
  <c r="BE595" i="3" s="1"/>
  <c r="BE596" i="3" s="1"/>
  <c r="BE597" i="3" s="1"/>
  <c r="BE598" i="3" s="1"/>
  <c r="BE599" i="3" s="1"/>
  <c r="BE600" i="3" s="1"/>
  <c r="BE601" i="3" s="1"/>
  <c r="BE602" i="3" s="1"/>
  <c r="BE603" i="3" s="1"/>
  <c r="BE604" i="3" s="1"/>
  <c r="BE605" i="3" s="1"/>
  <c r="BE606" i="3" s="1"/>
  <c r="BE607" i="3" s="1"/>
  <c r="BE608" i="3" s="1"/>
  <c r="BE609" i="3" s="1"/>
  <c r="BE610" i="3" s="1"/>
  <c r="BE611" i="3" s="1"/>
  <c r="BE612" i="3" s="1"/>
  <c r="BE613" i="3" s="1"/>
  <c r="BE614" i="3" s="1"/>
  <c r="BE615" i="3" s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BI592" i="3" s="1"/>
  <c r="BI593" i="3" s="1"/>
  <c r="BI594" i="3" s="1"/>
  <c r="BI595" i="3" s="1"/>
  <c r="BI596" i="3" s="1"/>
  <c r="BI597" i="3" s="1"/>
  <c r="BI598" i="3" s="1"/>
  <c r="BI599" i="3" s="1"/>
  <c r="BI600" i="3" s="1"/>
  <c r="BI601" i="3" s="1"/>
  <c r="BI602" i="3" s="1"/>
  <c r="BI603" i="3" s="1"/>
  <c r="BI604" i="3" s="1"/>
  <c r="BI605" i="3" s="1"/>
  <c r="BI606" i="3" s="1"/>
  <c r="BI607" i="3" s="1"/>
  <c r="BI608" i="3" s="1"/>
  <c r="BI609" i="3" s="1"/>
  <c r="BI610" i="3" s="1"/>
  <c r="BI611" i="3" s="1"/>
  <c r="BI612" i="3" s="1"/>
  <c r="BI613" i="3" s="1"/>
  <c r="BI614" i="3" s="1"/>
  <c r="BI615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BH592" i="3" s="1"/>
  <c r="BH593" i="3" s="1"/>
  <c r="BH594" i="3" s="1"/>
  <c r="BH595" i="3" s="1"/>
  <c r="BH596" i="3" s="1"/>
  <c r="BH597" i="3" s="1"/>
  <c r="BH598" i="3" s="1"/>
  <c r="BH599" i="3" s="1"/>
  <c r="BH600" i="3" s="1"/>
  <c r="BH601" i="3" s="1"/>
  <c r="BH602" i="3" s="1"/>
  <c r="BH603" i="3" s="1"/>
  <c r="BH604" i="3" s="1"/>
  <c r="BH605" i="3" s="1"/>
  <c r="BH606" i="3" s="1"/>
  <c r="BH607" i="3" s="1"/>
  <c r="BH608" i="3" s="1"/>
  <c r="BH609" i="3" s="1"/>
  <c r="BH610" i="3" s="1"/>
  <c r="BH611" i="3" s="1"/>
  <c r="BH612" i="3" s="1"/>
  <c r="BH613" i="3" s="1"/>
  <c r="BH614" i="3" s="1"/>
  <c r="BH615" i="3" s="1"/>
  <c r="AT588" i="3"/>
  <c r="AP583" i="3"/>
  <c r="AQ583" i="3"/>
  <c r="AR583" i="3"/>
  <c r="AI583" i="3"/>
  <c r="AJ586" i="3" s="1"/>
  <c r="Y583" i="3"/>
  <c r="O583" i="3"/>
  <c r="P586" i="3" s="1"/>
  <c r="E583" i="3"/>
  <c r="BI616" i="3" l="1"/>
  <c r="BG616" i="3"/>
  <c r="BE616" i="3"/>
  <c r="BH616" i="3"/>
  <c r="BA583" i="3"/>
  <c r="F586" i="3"/>
  <c r="AZ583" i="3"/>
  <c r="Z586" i="3"/>
  <c r="AS583" i="3"/>
  <c r="BC583" i="3"/>
  <c r="BB583" i="3"/>
  <c r="AT586" i="3" l="1"/>
  <c r="BD583" i="3"/>
  <c r="F6" i="1"/>
  <c r="F7" i="1"/>
  <c r="F8" i="1"/>
  <c r="F9" i="1"/>
  <c r="F5" i="1"/>
  <c r="AP582" i="3"/>
  <c r="AQ582" i="3"/>
  <c r="AR582" i="3"/>
  <c r="AI582" i="3"/>
  <c r="AJ585" i="3" s="1"/>
  <c r="Y582" i="3"/>
  <c r="Z585" i="3" s="1"/>
  <c r="O582" i="3"/>
  <c r="E582" i="3"/>
  <c r="F585" i="3" s="1"/>
  <c r="AZ582" i="3" l="1"/>
  <c r="AS582" i="3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AQ578" i="3"/>
  <c r="AI578" i="3"/>
  <c r="AR578" i="3"/>
  <c r="AP578" i="3"/>
  <c r="Y578" i="3"/>
  <c r="Z581" i="3" s="1"/>
  <c r="O578" i="3"/>
  <c r="P581" i="3" s="1"/>
  <c r="E578" i="3"/>
  <c r="F581" i="3" s="1"/>
  <c r="BA578" i="3" l="1"/>
  <c r="BC578" i="3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AP576" i="3"/>
  <c r="AQ576" i="3"/>
  <c r="AR576" i="3"/>
  <c r="AI576" i="3"/>
  <c r="AJ579" i="3" s="1"/>
  <c r="Y576" i="3"/>
  <c r="BB576" i="3" s="1"/>
  <c r="O576" i="3"/>
  <c r="E576" i="3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AJ578" i="3" s="1"/>
  <c r="Y575" i="3"/>
  <c r="Z578" i="3" s="1"/>
  <c r="O575" i="3"/>
  <c r="P578" i="3" s="1"/>
  <c r="E575" i="3"/>
  <c r="BB575" i="3" l="1"/>
  <c r="BA575" i="3"/>
  <c r="AT579" i="3"/>
  <c r="BD576" i="3"/>
  <c r="F578" i="3"/>
  <c r="BC575" i="3"/>
  <c r="AS575" i="3"/>
  <c r="AT578" i="3" s="1"/>
  <c r="AZ575" i="3"/>
  <c r="AQ574" i="3"/>
  <c r="AR574" i="3"/>
  <c r="AI574" i="3"/>
  <c r="BC574" i="3" s="1"/>
  <c r="AP574" i="3"/>
  <c r="Y574" i="3"/>
  <c r="Z577" i="3" s="1"/>
  <c r="O574" i="3"/>
  <c r="P577" i="3" s="1"/>
  <c r="E574" i="3"/>
  <c r="F577" i="3" s="1"/>
  <c r="BA574" i="3" l="1"/>
  <c r="BB574" i="3"/>
  <c r="AS574" i="3"/>
  <c r="AZ574" i="3"/>
  <c r="AJ577" i="3"/>
  <c r="BD575" i="3"/>
  <c r="AQ573" i="3"/>
  <c r="AR573" i="3"/>
  <c r="AI573" i="3"/>
  <c r="AJ576" i="3" s="1"/>
  <c r="AP573" i="3"/>
  <c r="Y573" i="3"/>
  <c r="Z576" i="3" s="1"/>
  <c r="O573" i="3"/>
  <c r="P576" i="3" s="1"/>
  <c r="E573" i="3"/>
  <c r="AZ573" i="3" s="1"/>
  <c r="AR572" i="3"/>
  <c r="AI572" i="3"/>
  <c r="AQ572" i="3"/>
  <c r="AP572" i="3"/>
  <c r="Y572" i="3"/>
  <c r="O572" i="3"/>
  <c r="E572" i="3"/>
  <c r="AR571" i="3"/>
  <c r="AI571" i="3"/>
  <c r="AQ571" i="3"/>
  <c r="AP571" i="3"/>
  <c r="Y571" i="3"/>
  <c r="O571" i="3"/>
  <c r="BA571" i="3" s="1"/>
  <c r="E571" i="3"/>
  <c r="AJ575" i="3" l="1"/>
  <c r="P575" i="3"/>
  <c r="AJ574" i="3"/>
  <c r="BA573" i="3"/>
  <c r="Z574" i="3"/>
  <c r="BA572" i="3"/>
  <c r="F575" i="3"/>
  <c r="AZ572" i="3"/>
  <c r="BB573" i="3"/>
  <c r="AS572" i="3"/>
  <c r="AS573" i="3"/>
  <c r="P574" i="3"/>
  <c r="AT577" i="3"/>
  <c r="BD574" i="3"/>
  <c r="BC571" i="3"/>
  <c r="BB571" i="3"/>
  <c r="F576" i="3"/>
  <c r="F574" i="3"/>
  <c r="Z575" i="3"/>
  <c r="AZ571" i="3"/>
  <c r="BC572" i="3"/>
  <c r="AS571" i="3"/>
  <c r="BB572" i="3"/>
  <c r="BC573" i="3"/>
  <c r="AI570" i="3"/>
  <c r="AJ573" i="3" s="1"/>
  <c r="AR570" i="3"/>
  <c r="AQ570" i="3"/>
  <c r="AP570" i="3"/>
  <c r="Y570" i="3"/>
  <c r="Z573" i="3" s="1"/>
  <c r="O570" i="3"/>
  <c r="P573" i="3" s="1"/>
  <c r="E570" i="3"/>
  <c r="AZ570" i="3" s="1"/>
  <c r="F573" i="3" l="1"/>
  <c r="BD572" i="3"/>
  <c r="AT575" i="3"/>
  <c r="AT574" i="3"/>
  <c r="BD571" i="3"/>
  <c r="AT576" i="3"/>
  <c r="BD573" i="3"/>
  <c r="BC570" i="3"/>
  <c r="AS570" i="3"/>
  <c r="BB570" i="3"/>
  <c r="BA570" i="3"/>
  <c r="BA569" i="3"/>
  <c r="AI569" i="3"/>
  <c r="BC569" i="3" s="1"/>
  <c r="AR569" i="3"/>
  <c r="AQ569" i="3"/>
  <c r="AP569" i="3"/>
  <c r="Y569" i="3"/>
  <c r="Z572" i="3" s="1"/>
  <c r="O569" i="3"/>
  <c r="E569" i="3"/>
  <c r="F572" i="3" s="1"/>
  <c r="AZ569" i="3" l="1"/>
  <c r="P572" i="3"/>
  <c r="AS569" i="3"/>
  <c r="AJ572" i="3"/>
  <c r="AT573" i="3"/>
  <c r="BD570" i="3"/>
  <c r="BB569" i="3"/>
  <c r="AP568" i="3"/>
  <c r="AQ568" i="3"/>
  <c r="AR568" i="3"/>
  <c r="AI568" i="3"/>
  <c r="AJ571" i="3" s="1"/>
  <c r="Y568" i="3"/>
  <c r="Z571" i="3" s="1"/>
  <c r="O568" i="3"/>
  <c r="E568" i="3"/>
  <c r="BC568" i="3" l="1"/>
  <c r="F571" i="3"/>
  <c r="AS568" i="3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Z570" i="3" s="1"/>
  <c r="O567" i="3"/>
  <c r="E567" i="3"/>
  <c r="BB567" i="3" l="1"/>
  <c r="P570" i="3"/>
  <c r="BA567" i="3"/>
  <c r="AS567" i="3"/>
  <c r="AZ567" i="3"/>
  <c r="AT571" i="3"/>
  <c r="BD568" i="3"/>
  <c r="AJ570" i="3"/>
  <c r="F570" i="3"/>
  <c r="AT570" i="3" l="1"/>
  <c r="BD567" i="3"/>
  <c r="AI566" i="3" l="1"/>
  <c r="AJ569" i="3" s="1"/>
  <c r="AR566" i="3"/>
  <c r="AQ566" i="3"/>
  <c r="AP566" i="3"/>
  <c r="Y566" i="3"/>
  <c r="Z569" i="3" s="1"/>
  <c r="O566" i="3"/>
  <c r="P569" i="3" s="1"/>
  <c r="E566" i="3"/>
  <c r="F569" i="3" s="1"/>
  <c r="BC566" i="3" l="1"/>
  <c r="BB566" i="3"/>
  <c r="BA566" i="3"/>
  <c r="AZ566" i="3"/>
  <c r="AS566" i="3"/>
  <c r="AT569" i="3" l="1"/>
  <c r="BD566" i="3"/>
  <c r="AR565" i="3" l="1"/>
  <c r="AP565" i="3"/>
  <c r="AI565" i="3"/>
  <c r="AQ565" i="3"/>
  <c r="Y565" i="3"/>
  <c r="Z568" i="3" s="1"/>
  <c r="O565" i="3"/>
  <c r="P568" i="3" s="1"/>
  <c r="E565" i="3"/>
  <c r="AZ565" i="3" l="1"/>
  <c r="F568" i="3"/>
  <c r="BA565" i="3"/>
  <c r="BB565" i="3"/>
  <c r="AJ568" i="3"/>
  <c r="BC565" i="3"/>
  <c r="AS565" i="3"/>
  <c r="AT568" i="3" s="1"/>
  <c r="AI564" i="3"/>
  <c r="AR564" i="3"/>
  <c r="AQ564" i="3"/>
  <c r="AP564" i="3"/>
  <c r="Y564" i="3"/>
  <c r="O564" i="3"/>
  <c r="E564" i="3"/>
  <c r="F567" i="3" l="1"/>
  <c r="H616" i="3"/>
  <c r="AJ567" i="3"/>
  <c r="P567" i="3"/>
  <c r="R616" i="3"/>
  <c r="Z567" i="3"/>
  <c r="AB616" i="3"/>
  <c r="AZ564" i="3"/>
  <c r="BC564" i="3"/>
  <c r="BB564" i="3"/>
  <c r="BA564" i="3"/>
  <c r="AS564" i="3"/>
  <c r="AV616" i="3" s="1"/>
  <c r="BD565" i="3"/>
  <c r="AI563" i="3"/>
  <c r="AR563" i="3"/>
  <c r="AQ563" i="3"/>
  <c r="AP563" i="3"/>
  <c r="Y563" i="3"/>
  <c r="O563" i="3"/>
  <c r="E563" i="3"/>
  <c r="AJ566" i="3" l="1"/>
  <c r="AL615" i="3"/>
  <c r="BA563" i="3"/>
  <c r="R615" i="3"/>
  <c r="F566" i="3"/>
  <c r="H615" i="3"/>
  <c r="Z566" i="3"/>
  <c r="AB615" i="3"/>
  <c r="AZ563" i="3"/>
  <c r="BC563" i="3"/>
  <c r="P566" i="3"/>
  <c r="AS563" i="3"/>
  <c r="AV615" i="3" s="1"/>
  <c r="BB563" i="3"/>
  <c r="AT567" i="3"/>
  <c r="BD564" i="3"/>
  <c r="AT566" i="3" l="1"/>
  <c r="BD563" i="3"/>
  <c r="AI562" i="3"/>
  <c r="AR562" i="3"/>
  <c r="AQ562" i="3"/>
  <c r="AP562" i="3"/>
  <c r="Y562" i="3"/>
  <c r="O562" i="3"/>
  <c r="E562" i="3"/>
  <c r="Z565" i="3" l="1"/>
  <c r="AB614" i="3"/>
  <c r="P565" i="3"/>
  <c r="R614" i="3"/>
  <c r="F565" i="3"/>
  <c r="H614" i="3"/>
  <c r="BB562" i="3"/>
  <c r="AS562" i="3"/>
  <c r="AV614" i="3" s="1"/>
  <c r="BC562" i="3"/>
  <c r="AJ565" i="3"/>
  <c r="BA562" i="3"/>
  <c r="AZ562" i="3"/>
  <c r="AP561" i="3"/>
  <c r="AQ561" i="3"/>
  <c r="AR561" i="3"/>
  <c r="AI561" i="3"/>
  <c r="AL613" i="3" s="1"/>
  <c r="Y561" i="3"/>
  <c r="O561" i="3"/>
  <c r="E561" i="3"/>
  <c r="F564" i="3" l="1"/>
  <c r="H613" i="3"/>
  <c r="P564" i="3"/>
  <c r="R613" i="3"/>
  <c r="Z564" i="3"/>
  <c r="AB613" i="3"/>
  <c r="BB561" i="3"/>
  <c r="BA561" i="3"/>
  <c r="BC561" i="3"/>
  <c r="AJ564" i="3"/>
  <c r="BD562" i="3"/>
  <c r="AT565" i="3"/>
  <c r="AS561" i="3"/>
  <c r="AZ561" i="3"/>
  <c r="AI560" i="3"/>
  <c r="AJ563" i="3" s="1"/>
  <c r="AR560" i="3"/>
  <c r="AQ560" i="3"/>
  <c r="AP560" i="3"/>
  <c r="Y560" i="3"/>
  <c r="O560" i="3"/>
  <c r="E560" i="3"/>
  <c r="H612" i="3" s="1"/>
  <c r="AM615" i="3" l="1"/>
  <c r="AC616" i="3"/>
  <c r="S616" i="3"/>
  <c r="AM616" i="3"/>
  <c r="I616" i="3"/>
  <c r="AT564" i="3"/>
  <c r="AV613" i="3"/>
  <c r="P563" i="3"/>
  <c r="R612" i="3"/>
  <c r="Z563" i="3"/>
  <c r="AB612" i="3"/>
  <c r="BA560" i="3"/>
  <c r="AZ560" i="3"/>
  <c r="F563" i="3"/>
  <c r="AS560" i="3"/>
  <c r="AV612" i="3" s="1"/>
  <c r="BB560" i="3"/>
  <c r="BD561" i="3"/>
  <c r="BC560" i="3"/>
  <c r="AC615" i="3" l="1"/>
  <c r="AW616" i="3"/>
  <c r="S615" i="3"/>
  <c r="I615" i="3"/>
  <c r="BD560" i="3"/>
  <c r="AT563" i="3"/>
  <c r="AP559" i="3"/>
  <c r="AQ559" i="3"/>
  <c r="AR559" i="3"/>
  <c r="AI559" i="3"/>
  <c r="Y559" i="3"/>
  <c r="O559" i="3"/>
  <c r="R611" i="3" s="1"/>
  <c r="E559" i="3"/>
  <c r="H611" i="3" s="1"/>
  <c r="AW615" i="3" l="1"/>
  <c r="AJ562" i="3"/>
  <c r="AL611" i="3"/>
  <c r="Z562" i="3"/>
  <c r="AB611" i="3"/>
  <c r="BB559" i="3"/>
  <c r="BA559" i="3"/>
  <c r="P562" i="3"/>
  <c r="AS559" i="3"/>
  <c r="AV611" i="3" s="1"/>
  <c r="F562" i="3"/>
  <c r="AZ559" i="3"/>
  <c r="BC559" i="3"/>
  <c r="AP558" i="3"/>
  <c r="AQ558" i="3"/>
  <c r="AR558" i="3"/>
  <c r="AI558" i="3"/>
  <c r="AJ561" i="3" s="1"/>
  <c r="Y558" i="3"/>
  <c r="O558" i="3"/>
  <c r="E558" i="3"/>
  <c r="H610" i="3" s="1"/>
  <c r="AC614" i="3" l="1"/>
  <c r="I614" i="3"/>
  <c r="AM614" i="3"/>
  <c r="S614" i="3"/>
  <c r="AM613" i="3"/>
  <c r="Z561" i="3"/>
  <c r="AB610" i="3"/>
  <c r="P561" i="3"/>
  <c r="R610" i="3"/>
  <c r="BC558" i="3"/>
  <c r="BB558" i="3"/>
  <c r="BD559" i="3"/>
  <c r="AT562" i="3"/>
  <c r="AZ558" i="3"/>
  <c r="F561" i="3"/>
  <c r="BA558" i="3"/>
  <c r="AS558" i="3"/>
  <c r="AP557" i="3"/>
  <c r="AQ557" i="3"/>
  <c r="AR557" i="3"/>
  <c r="AI557" i="3"/>
  <c r="AJ560" i="3" s="1"/>
  <c r="Y557" i="3"/>
  <c r="AB609" i="3" s="1"/>
  <c r="O557" i="3"/>
  <c r="E557" i="3"/>
  <c r="AW614" i="3" l="1"/>
  <c r="S613" i="3"/>
  <c r="P560" i="3"/>
  <c r="R609" i="3"/>
  <c r="AC613" i="3"/>
  <c r="AT561" i="3"/>
  <c r="AV610" i="3"/>
  <c r="F560" i="3"/>
  <c r="H609" i="3"/>
  <c r="I613" i="3"/>
  <c r="AM612" i="3"/>
  <c r="Z560" i="3"/>
  <c r="BC557" i="3"/>
  <c r="BB557" i="3"/>
  <c r="BA557" i="3"/>
  <c r="BD558" i="3"/>
  <c r="AS557" i="3"/>
  <c r="AV609" i="3" s="1"/>
  <c r="AZ557" i="3"/>
  <c r="AW613" i="3" l="1"/>
  <c r="AC612" i="3"/>
  <c r="S612" i="3"/>
  <c r="I612" i="3"/>
  <c r="AT560" i="3"/>
  <c r="BD557" i="3"/>
  <c r="AW612" i="3" l="1"/>
  <c r="AR556" i="3"/>
  <c r="AQ556" i="3"/>
  <c r="AP556" i="3"/>
  <c r="AI556" i="3"/>
  <c r="AJ559" i="3" s="1"/>
  <c r="Y556" i="3"/>
  <c r="AB608" i="3" s="1"/>
  <c r="O556" i="3"/>
  <c r="R608" i="3" s="1"/>
  <c r="E556" i="3"/>
  <c r="AM611" i="3" l="1"/>
  <c r="F559" i="3"/>
  <c r="H608" i="3"/>
  <c r="BB556" i="3"/>
  <c r="Z559" i="3"/>
  <c r="BA556" i="3"/>
  <c r="P559" i="3"/>
  <c r="AZ556" i="3"/>
  <c r="AS556" i="3"/>
  <c r="BC556" i="3"/>
  <c r="AP555" i="3"/>
  <c r="AQ555" i="3"/>
  <c r="AR555" i="3"/>
  <c r="AI555" i="3"/>
  <c r="Y555" i="3"/>
  <c r="AB607" i="3" s="1"/>
  <c r="O555" i="3"/>
  <c r="BA555" i="3" s="1"/>
  <c r="E555" i="3"/>
  <c r="H607" i="3" s="1"/>
  <c r="S611" i="3" l="1"/>
  <c r="AC611" i="3"/>
  <c r="AT559" i="3"/>
  <c r="AV608" i="3"/>
  <c r="I611" i="3"/>
  <c r="P558" i="3"/>
  <c r="R607" i="3"/>
  <c r="BB555" i="3"/>
  <c r="Z558" i="3"/>
  <c r="AS555" i="3"/>
  <c r="F558" i="3"/>
  <c r="BC555" i="3"/>
  <c r="AJ558" i="3"/>
  <c r="AZ555" i="3"/>
  <c r="BD556" i="3"/>
  <c r="AP554" i="3"/>
  <c r="AQ554" i="3"/>
  <c r="AR554" i="3"/>
  <c r="AI554" i="3"/>
  <c r="Y554" i="3"/>
  <c r="O554" i="3"/>
  <c r="E554" i="3"/>
  <c r="H606" i="3" s="1"/>
  <c r="P557" i="3" l="1"/>
  <c r="R606" i="3"/>
  <c r="Z557" i="3"/>
  <c r="AB606" i="3"/>
  <c r="I610" i="3"/>
  <c r="AT558" i="3"/>
  <c r="AV607" i="3"/>
  <c r="AJ557" i="3"/>
  <c r="AL606" i="3"/>
  <c r="AW611" i="3"/>
  <c r="AC610" i="3"/>
  <c r="S610" i="3"/>
  <c r="BD555" i="3"/>
  <c r="BB554" i="3"/>
  <c r="BC554" i="3"/>
  <c r="BA554" i="3"/>
  <c r="AZ554" i="3"/>
  <c r="F557" i="3"/>
  <c r="AS554" i="3"/>
  <c r="AP553" i="3"/>
  <c r="AQ553" i="3"/>
  <c r="AR553" i="3"/>
  <c r="AI553" i="3"/>
  <c r="Y553" i="3"/>
  <c r="O553" i="3"/>
  <c r="R605" i="3" s="1"/>
  <c r="E553" i="3"/>
  <c r="AT557" i="3" l="1"/>
  <c r="AV606" i="3"/>
  <c r="AW610" i="3"/>
  <c r="Z556" i="3"/>
  <c r="AB605" i="3"/>
  <c r="AJ556" i="3"/>
  <c r="AL605" i="3"/>
  <c r="F556" i="3"/>
  <c r="H605" i="3"/>
  <c r="I609" i="3"/>
  <c r="AM609" i="3"/>
  <c r="S609" i="3"/>
  <c r="AC609" i="3"/>
  <c r="P556" i="3"/>
  <c r="BB553" i="3"/>
  <c r="BA553" i="3"/>
  <c r="BC553" i="3"/>
  <c r="AZ553" i="3"/>
  <c r="BD554" i="3"/>
  <c r="AS553" i="3"/>
  <c r="AV605" i="3" s="1"/>
  <c r="AP552" i="3"/>
  <c r="AQ552" i="3"/>
  <c r="AR552" i="3"/>
  <c r="AI552" i="3"/>
  <c r="Y552" i="3"/>
  <c r="AB604" i="3" s="1"/>
  <c r="O552" i="3"/>
  <c r="BA552" i="3" s="1"/>
  <c r="E552" i="3"/>
  <c r="P555" i="3" l="1"/>
  <c r="R604" i="3"/>
  <c r="AM608" i="3"/>
  <c r="AC608" i="3"/>
  <c r="AJ555" i="3"/>
  <c r="AL604" i="3"/>
  <c r="S608" i="3"/>
  <c r="F555" i="3"/>
  <c r="H604" i="3"/>
  <c r="I608" i="3"/>
  <c r="AW609" i="3"/>
  <c r="BC552" i="3"/>
  <c r="Z555" i="3"/>
  <c r="BB552" i="3"/>
  <c r="AT556" i="3"/>
  <c r="BD553" i="3"/>
  <c r="AS552" i="3"/>
  <c r="AV604" i="3" s="1"/>
  <c r="AZ552" i="3"/>
  <c r="AP551" i="3"/>
  <c r="AQ551" i="3"/>
  <c r="AR551" i="3"/>
  <c r="AI551" i="3"/>
  <c r="Y551" i="3"/>
  <c r="O551" i="3"/>
  <c r="E551" i="3"/>
  <c r="Z554" i="3" l="1"/>
  <c r="AB603" i="3"/>
  <c r="P554" i="3"/>
  <c r="R603" i="3"/>
  <c r="AM607" i="3"/>
  <c r="F554" i="3"/>
  <c r="H603" i="3"/>
  <c r="AC607" i="3"/>
  <c r="AW608" i="3"/>
  <c r="AJ554" i="3"/>
  <c r="AL603" i="3"/>
  <c r="I607" i="3"/>
  <c r="S607" i="3"/>
  <c r="BA551" i="3"/>
  <c r="BB551" i="3"/>
  <c r="BC551" i="3"/>
  <c r="AS551" i="3"/>
  <c r="AV603" i="3" s="1"/>
  <c r="AZ551" i="3"/>
  <c r="AT555" i="3"/>
  <c r="BD552" i="3"/>
  <c r="AP550" i="3"/>
  <c r="AQ550" i="3"/>
  <c r="AR550" i="3"/>
  <c r="AI550" i="3"/>
  <c r="Y550" i="3"/>
  <c r="AB602" i="3" s="1"/>
  <c r="O550" i="3"/>
  <c r="E550" i="3"/>
  <c r="AM606" i="3" l="1"/>
  <c r="F553" i="3"/>
  <c r="H602" i="3"/>
  <c r="AW607" i="3"/>
  <c r="AJ553" i="3"/>
  <c r="AL602" i="3"/>
  <c r="P553" i="3"/>
  <c r="R602" i="3"/>
  <c r="I606" i="3"/>
  <c r="S606" i="3"/>
  <c r="AC606" i="3"/>
  <c r="BA550" i="3"/>
  <c r="Z553" i="3"/>
  <c r="AT554" i="3"/>
  <c r="BD551" i="3"/>
  <c r="AS550" i="3"/>
  <c r="AV602" i="3" s="1"/>
  <c r="BC550" i="3"/>
  <c r="BB550" i="3"/>
  <c r="AZ550" i="3"/>
  <c r="AR549" i="3"/>
  <c r="AQ549" i="3"/>
  <c r="AP549" i="3"/>
  <c r="AR548" i="3"/>
  <c r="AQ548" i="3"/>
  <c r="AP548" i="3"/>
  <c r="AI549" i="3"/>
  <c r="Y549" i="3"/>
  <c r="O549" i="3"/>
  <c r="E549" i="3"/>
  <c r="H601" i="3" s="1"/>
  <c r="Z552" i="3" l="1"/>
  <c r="AB601" i="3"/>
  <c r="AM605" i="3"/>
  <c r="AJ552" i="3"/>
  <c r="AL601" i="3"/>
  <c r="AC605" i="3"/>
  <c r="AW606" i="3"/>
  <c r="I605" i="3"/>
  <c r="P552" i="3"/>
  <c r="R601" i="3"/>
  <c r="S605" i="3"/>
  <c r="BB549" i="3"/>
  <c r="BA549" i="3"/>
  <c r="AT553" i="3"/>
  <c r="BD550" i="3"/>
  <c r="AZ549" i="3"/>
  <c r="F552" i="3"/>
  <c r="BC549" i="3"/>
  <c r="AS549" i="3"/>
  <c r="AT552" i="3" l="1"/>
  <c r="AV601" i="3"/>
  <c r="I604" i="3"/>
  <c r="S604" i="3"/>
  <c r="AM604" i="3"/>
  <c r="AW605" i="3"/>
  <c r="AC604" i="3"/>
  <c r="BD549" i="3"/>
  <c r="AI548" i="3"/>
  <c r="AJ551" i="3" s="1"/>
  <c r="Y548" i="3"/>
  <c r="O548" i="3"/>
  <c r="E548" i="3"/>
  <c r="P551" i="3" l="1"/>
  <c r="R600" i="3"/>
  <c r="BB548" i="3"/>
  <c r="AB600" i="3"/>
  <c r="AM603" i="3"/>
  <c r="F551" i="3"/>
  <c r="H600" i="3"/>
  <c r="AW604" i="3"/>
  <c r="BA548" i="3"/>
  <c r="Z551" i="3"/>
  <c r="BC548" i="3"/>
  <c r="AZ548" i="3"/>
  <c r="AS548" i="3"/>
  <c r="I603" i="3" l="1"/>
  <c r="AT551" i="3"/>
  <c r="AV600" i="3"/>
  <c r="AC603" i="3"/>
  <c r="S603" i="3"/>
  <c r="BD548" i="3"/>
  <c r="AP547" i="3"/>
  <c r="AQ547" i="3"/>
  <c r="AR547" i="3"/>
  <c r="AI547" i="3"/>
  <c r="AL599" i="3" s="1"/>
  <c r="Y547" i="3"/>
  <c r="AB599" i="3" s="1"/>
  <c r="O547" i="3"/>
  <c r="E547" i="3"/>
  <c r="F550" i="3" l="1"/>
  <c r="H599" i="3"/>
  <c r="P550" i="3"/>
  <c r="R599" i="3"/>
  <c r="AW603" i="3"/>
  <c r="BA547" i="3"/>
  <c r="AZ547" i="3"/>
  <c r="BB547" i="3"/>
  <c r="Z550" i="3"/>
  <c r="BC547" i="3"/>
  <c r="AJ550" i="3"/>
  <c r="AS547" i="3"/>
  <c r="AP546" i="3"/>
  <c r="AQ546" i="3"/>
  <c r="AR546" i="3"/>
  <c r="AI546" i="3"/>
  <c r="Y546" i="3"/>
  <c r="O546" i="3"/>
  <c r="E546" i="3"/>
  <c r="AC602" i="3" l="1"/>
  <c r="AT550" i="3"/>
  <c r="AV599" i="3"/>
  <c r="F549" i="3"/>
  <c r="H598" i="3"/>
  <c r="AM602" i="3"/>
  <c r="BA546" i="3"/>
  <c r="R598" i="3"/>
  <c r="S602" i="3"/>
  <c r="Z549" i="3"/>
  <c r="AB598" i="3"/>
  <c r="I602" i="3"/>
  <c r="P549" i="3"/>
  <c r="AJ549" i="3"/>
  <c r="BC546" i="3"/>
  <c r="AS546" i="3"/>
  <c r="AV598" i="3" s="1"/>
  <c r="BB546" i="3"/>
  <c r="BD547" i="3"/>
  <c r="AZ546" i="3"/>
  <c r="AP545" i="3"/>
  <c r="AQ545" i="3"/>
  <c r="AR545" i="3"/>
  <c r="AI545" i="3"/>
  <c r="Y545" i="3"/>
  <c r="O545" i="3"/>
  <c r="E545" i="3"/>
  <c r="AC601" i="3" l="1"/>
  <c r="BB545" i="3"/>
  <c r="AB597" i="3"/>
  <c r="I601" i="3"/>
  <c r="P548" i="3"/>
  <c r="R597" i="3"/>
  <c r="F548" i="3"/>
  <c r="H597" i="3"/>
  <c r="AM601" i="3"/>
  <c r="AJ548" i="3"/>
  <c r="AL597" i="3"/>
  <c r="AW602" i="3"/>
  <c r="S601" i="3"/>
  <c r="BC545" i="3"/>
  <c r="BA545" i="3"/>
  <c r="AT549" i="3"/>
  <c r="BD546" i="3"/>
  <c r="Z548" i="3"/>
  <c r="AZ545" i="3"/>
  <c r="AS545" i="3"/>
  <c r="AV597" i="3" s="1"/>
  <c r="AP544" i="3"/>
  <c r="AQ544" i="3"/>
  <c r="AR544" i="3"/>
  <c r="AI544" i="3"/>
  <c r="Y544" i="3"/>
  <c r="O544" i="3"/>
  <c r="E544" i="3"/>
  <c r="H596" i="3" s="1"/>
  <c r="AM600" i="3" l="1"/>
  <c r="AC600" i="3"/>
  <c r="S600" i="3"/>
  <c r="AJ547" i="3"/>
  <c r="AL596" i="3"/>
  <c r="P547" i="3"/>
  <c r="R596" i="3"/>
  <c r="BB544" i="3"/>
  <c r="AB596" i="3"/>
  <c r="AW601" i="3"/>
  <c r="I600" i="3"/>
  <c r="Z547" i="3"/>
  <c r="BC544" i="3"/>
  <c r="BA544" i="3"/>
  <c r="AZ544" i="3"/>
  <c r="F547" i="3"/>
  <c r="BD545" i="3"/>
  <c r="AT548" i="3"/>
  <c r="AS544" i="3"/>
  <c r="AP543" i="3"/>
  <c r="AQ543" i="3"/>
  <c r="AR543" i="3"/>
  <c r="AI543" i="3"/>
  <c r="AL595" i="3" s="1"/>
  <c r="Y543" i="3"/>
  <c r="O543" i="3"/>
  <c r="E543" i="3"/>
  <c r="H595" i="3" s="1"/>
  <c r="Z546" i="3" l="1"/>
  <c r="AB595" i="3"/>
  <c r="AT547" i="3"/>
  <c r="AV596" i="3"/>
  <c r="AW600" i="3"/>
  <c r="AM599" i="3"/>
  <c r="P546" i="3"/>
  <c r="R595" i="3"/>
  <c r="I599" i="3"/>
  <c r="AC599" i="3"/>
  <c r="S599" i="3"/>
  <c r="BB543" i="3"/>
  <c r="BA543" i="3"/>
  <c r="AS543" i="3"/>
  <c r="F546" i="3"/>
  <c r="BC543" i="3"/>
  <c r="AJ546" i="3"/>
  <c r="AZ543" i="3"/>
  <c r="BD544" i="3"/>
  <c r="AM598" i="3" l="1"/>
  <c r="I598" i="3"/>
  <c r="AT546" i="3"/>
  <c r="AV595" i="3"/>
  <c r="AW599" i="3"/>
  <c r="S598" i="3"/>
  <c r="AC598" i="3"/>
  <c r="BD543" i="3"/>
  <c r="AW598" i="3" l="1"/>
  <c r="AI542" i="3"/>
  <c r="AL594" i="3" s="1"/>
  <c r="AR542" i="3"/>
  <c r="AQ542" i="3"/>
  <c r="AP542" i="3"/>
  <c r="Y542" i="3"/>
  <c r="AB594" i="3" s="1"/>
  <c r="O542" i="3"/>
  <c r="R594" i="3" s="1"/>
  <c r="E542" i="3"/>
  <c r="H594" i="3" s="1"/>
  <c r="Z545" i="3" l="1"/>
  <c r="BB542" i="3"/>
  <c r="AJ545" i="3"/>
  <c r="BC542" i="3"/>
  <c r="BA542" i="3"/>
  <c r="P545" i="3"/>
  <c r="AZ542" i="3"/>
  <c r="F545" i="3"/>
  <c r="AS542" i="3"/>
  <c r="I597" i="3" l="1"/>
  <c r="AM597" i="3"/>
  <c r="S597" i="3"/>
  <c r="AT545" i="3"/>
  <c r="AV594" i="3"/>
  <c r="AC597" i="3"/>
  <c r="BD542" i="3"/>
  <c r="AP541" i="3"/>
  <c r="AQ541" i="3"/>
  <c r="AR541" i="3"/>
  <c r="AI541" i="3"/>
  <c r="Y541" i="3"/>
  <c r="O541" i="3"/>
  <c r="E541" i="3"/>
  <c r="AW597" i="3" l="1"/>
  <c r="F544" i="3"/>
  <c r="H593" i="3"/>
  <c r="Z544" i="3"/>
  <c r="AB593" i="3"/>
  <c r="AJ544" i="3"/>
  <c r="AL593" i="3"/>
  <c r="P544" i="3"/>
  <c r="R593" i="3"/>
  <c r="BB541" i="3"/>
  <c r="BC541" i="3"/>
  <c r="BA541" i="3"/>
  <c r="AZ541" i="3"/>
  <c r="AS541" i="3"/>
  <c r="AI540" i="3"/>
  <c r="AR540" i="3"/>
  <c r="AQ540" i="3"/>
  <c r="AP540" i="3"/>
  <c r="Y540" i="3"/>
  <c r="AB592" i="3" s="1"/>
  <c r="O540" i="3"/>
  <c r="E540" i="3"/>
  <c r="AC596" i="3" l="1"/>
  <c r="P543" i="3"/>
  <c r="R592" i="3"/>
  <c r="AT544" i="3"/>
  <c r="AV593" i="3"/>
  <c r="AM596" i="3"/>
  <c r="F543" i="3"/>
  <c r="H592" i="3"/>
  <c r="I596" i="3"/>
  <c r="S596" i="3"/>
  <c r="BC540" i="3"/>
  <c r="AJ543" i="3"/>
  <c r="BB540" i="3"/>
  <c r="Z543" i="3"/>
  <c r="BA540" i="3"/>
  <c r="AS540" i="3"/>
  <c r="AV592" i="3" s="1"/>
  <c r="BD541" i="3"/>
  <c r="AZ540" i="3"/>
  <c r="AI539" i="3"/>
  <c r="AR539" i="3"/>
  <c r="AQ539" i="3"/>
  <c r="AP539" i="3"/>
  <c r="Y539" i="3"/>
  <c r="O539" i="3"/>
  <c r="E539" i="3"/>
  <c r="AM595" i="3" l="1"/>
  <c r="AW596" i="3"/>
  <c r="AC595" i="3"/>
  <c r="S595" i="3"/>
  <c r="I595" i="3"/>
  <c r="BA539" i="3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I594" i="3" l="1"/>
  <c r="S594" i="3"/>
  <c r="AW595" i="3"/>
  <c r="AC594" i="3"/>
  <c r="AM594" i="3"/>
  <c r="Z541" i="3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AM593" i="3" l="1"/>
  <c r="AW594" i="3"/>
  <c r="I593" i="3"/>
  <c r="S593" i="3"/>
  <c r="AC593" i="3"/>
  <c r="BD538" i="3"/>
  <c r="AT541" i="3"/>
  <c r="AP537" i="3"/>
  <c r="AQ537" i="3"/>
  <c r="AR537" i="3"/>
  <c r="AI537" i="3"/>
  <c r="Y537" i="3"/>
  <c r="O537" i="3"/>
  <c r="E537" i="3"/>
  <c r="AW593" i="3" l="1"/>
  <c r="Z540" i="3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S592" i="3" l="1"/>
  <c r="AM592" i="3"/>
  <c r="AC592" i="3"/>
  <c r="I592" i="3"/>
  <c r="AT540" i="3"/>
  <c r="BD537" i="3"/>
  <c r="AI536" i="3"/>
  <c r="AR536" i="3"/>
  <c r="AQ536" i="3"/>
  <c r="AP536" i="3"/>
  <c r="Y536" i="3"/>
  <c r="O536" i="3"/>
  <c r="E536" i="3"/>
  <c r="AW592" i="3" l="1"/>
  <c r="P539" i="3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BF562" i="3" l="1"/>
  <c r="BF563" i="3" s="1"/>
  <c r="BE562" i="3"/>
  <c r="BE563" i="3" s="1"/>
  <c r="BG562" i="3"/>
  <c r="BG563" i="3" s="1"/>
  <c r="I586" i="3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AW587" i="3"/>
  <c r="BH540" i="3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Z533" i="3"/>
  <c r="P533" i="3"/>
  <c r="BB530" i="3"/>
  <c r="AP529" i="3"/>
  <c r="AQ529" i="3"/>
  <c r="AR529" i="3"/>
  <c r="AI529" i="3"/>
  <c r="Y529" i="3"/>
  <c r="O529" i="3"/>
  <c r="E529" i="3"/>
  <c r="BG564" i="3" l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D19" i="1" s="1"/>
  <c r="BE564" i="3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E576" i="3" s="1"/>
  <c r="BE577" i="3" s="1"/>
  <c r="BE578" i="3" s="1"/>
  <c r="BE579" i="3" s="1"/>
  <c r="BE580" i="3" s="1"/>
  <c r="BE581" i="3" s="1"/>
  <c r="BE582" i="3" s="1"/>
  <c r="BE583" i="3" s="1"/>
  <c r="B19" i="1" s="1"/>
  <c r="BF564" i="3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F576" i="3" s="1"/>
  <c r="BF577" i="3" s="1"/>
  <c r="BF578" i="3" s="1"/>
  <c r="BF579" i="3" s="1"/>
  <c r="BF580" i="3" s="1"/>
  <c r="BF581" i="3" s="1"/>
  <c r="BF582" i="3" s="1"/>
  <c r="BF583" i="3" s="1"/>
  <c r="C19" i="1" s="1"/>
  <c r="BI562" i="3"/>
  <c r="BI563" i="3" s="1"/>
  <c r="S585" i="3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AT533" i="3"/>
  <c r="BD530" i="3"/>
  <c r="AS529" i="3"/>
  <c r="AV581" i="3" s="1"/>
  <c r="AJ532" i="3"/>
  <c r="AZ529" i="3"/>
  <c r="BI564" i="3" l="1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I576" i="3" s="1"/>
  <c r="BI577" i="3" s="1"/>
  <c r="BI578" i="3" s="1"/>
  <c r="BI579" i="3" s="1"/>
  <c r="BI580" i="3" s="1"/>
  <c r="BI581" i="3" s="1"/>
  <c r="BI582" i="3" s="1"/>
  <c r="BI583" i="3" s="1"/>
  <c r="F19" i="1" s="1"/>
  <c r="BH562" i="3"/>
  <c r="BH563" i="3" s="1"/>
  <c r="AW585" i="3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BH564" i="3" l="1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BH576" i="3" s="1"/>
  <c r="BH577" i="3" s="1"/>
  <c r="BH578" i="3" s="1"/>
  <c r="BH579" i="3" s="1"/>
  <c r="BH580" i="3" s="1"/>
  <c r="BH581" i="3" s="1"/>
  <c r="BH582" i="3" s="1"/>
  <c r="BH583" i="3" s="1"/>
  <c r="E19" i="1" s="1"/>
  <c r="AM583" i="3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S583" i="3" l="1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AI525" i="3"/>
  <c r="AJ528" i="3" s="1"/>
  <c r="AR525" i="3"/>
  <c r="AQ525" i="3"/>
  <c r="AP525" i="3"/>
  <c r="Y525" i="3"/>
  <c r="BB525" i="3" s="1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J501" i="3"/>
  <c r="BC498" i="3"/>
  <c r="BB497" i="3"/>
  <c r="BC497" i="3"/>
  <c r="BA497" i="3"/>
  <c r="AZ497" i="3"/>
  <c r="AS497" i="3"/>
  <c r="AV549" i="3" s="1"/>
  <c r="AT501" i="3" l="1"/>
  <c r="BD498" i="3"/>
  <c r="S552" i="3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A616" i="3" s="1"/>
  <c r="AD616" i="3" s="1"/>
  <c r="AZ457" i="3"/>
  <c r="F460" i="3"/>
  <c r="G616" i="3" s="1"/>
  <c r="J616" i="3" s="1"/>
  <c r="BA457" i="3"/>
  <c r="P460" i="3"/>
  <c r="Q616" i="3" s="1"/>
  <c r="T616" i="3" s="1"/>
  <c r="AS457" i="3"/>
  <c r="AV509" i="3" s="1"/>
  <c r="AJ460" i="3"/>
  <c r="AK616" i="3" s="1"/>
  <c r="AN616" i="3" s="1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K615" i="3" s="1"/>
  <c r="AN615" i="3" s="1"/>
  <c r="AL508" i="3"/>
  <c r="I512" i="3"/>
  <c r="AC512" i="3"/>
  <c r="F459" i="3"/>
  <c r="G615" i="3" s="1"/>
  <c r="J615" i="3" s="1"/>
  <c r="H508" i="3"/>
  <c r="P459" i="3"/>
  <c r="Q615" i="3" s="1"/>
  <c r="T615" i="3" s="1"/>
  <c r="R508" i="3"/>
  <c r="AM512" i="3"/>
  <c r="AW513" i="3"/>
  <c r="BC456" i="3"/>
  <c r="AZ456" i="3"/>
  <c r="BA456" i="3"/>
  <c r="BB456" i="3"/>
  <c r="Z459" i="3"/>
  <c r="AA615" i="3" s="1"/>
  <c r="AD615" i="3" s="1"/>
  <c r="AS456" i="3"/>
  <c r="AV508" i="3" s="1"/>
  <c r="BD457" i="3"/>
  <c r="AT460" i="3"/>
  <c r="AU616" i="3" s="1"/>
  <c r="AX616" i="3" s="1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A614" i="3" s="1"/>
  <c r="AD614" i="3" s="1"/>
  <c r="AB507" i="3"/>
  <c r="BB455" i="3"/>
  <c r="AZ455" i="3"/>
  <c r="F458" i="3"/>
  <c r="G614" i="3" s="1"/>
  <c r="J614" i="3" s="1"/>
  <c r="AS455" i="3"/>
  <c r="AV507" i="3" s="1"/>
  <c r="AJ458" i="3"/>
  <c r="AK614" i="3" s="1"/>
  <c r="AN614" i="3" s="1"/>
  <c r="BA455" i="3"/>
  <c r="P458" i="3"/>
  <c r="Q614" i="3" s="1"/>
  <c r="T614" i="3" s="1"/>
  <c r="BD456" i="3"/>
  <c r="AT459" i="3"/>
  <c r="AU615" i="3" s="1"/>
  <c r="AX615" i="3" s="1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G613" i="3" s="1"/>
  <c r="J613" i="3" s="1"/>
  <c r="H506" i="3"/>
  <c r="AZ454" i="3"/>
  <c r="BB454" i="3"/>
  <c r="Z457" i="3"/>
  <c r="AA613" i="3" s="1"/>
  <c r="AD613" i="3" s="1"/>
  <c r="AS454" i="3"/>
  <c r="AV506" i="3" s="1"/>
  <c r="AJ457" i="3"/>
  <c r="AK613" i="3" s="1"/>
  <c r="AN613" i="3" s="1"/>
  <c r="BD455" i="3"/>
  <c r="AT458" i="3"/>
  <c r="AU614" i="3" s="1"/>
  <c r="AX614" i="3" s="1"/>
  <c r="BA454" i="3"/>
  <c r="P457" i="3"/>
  <c r="Q613" i="3" s="1"/>
  <c r="T613" i="3" s="1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G612" i="3" s="1"/>
  <c r="J612" i="3" s="1"/>
  <c r="BB453" i="3"/>
  <c r="Z456" i="3"/>
  <c r="AA612" i="3" s="1"/>
  <c r="AD612" i="3" s="1"/>
  <c r="BC453" i="3"/>
  <c r="BD454" i="3"/>
  <c r="AT457" i="3"/>
  <c r="AU613" i="3" s="1"/>
  <c r="AX613" i="3" s="1"/>
  <c r="BA453" i="3"/>
  <c r="P456" i="3"/>
  <c r="Q612" i="3" s="1"/>
  <c r="T612" i="3" s="1"/>
  <c r="AS453" i="3"/>
  <c r="AV505" i="3" s="1"/>
  <c r="AJ456" i="3"/>
  <c r="AK612" i="3" s="1"/>
  <c r="AN612" i="3" s="1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G611" i="3" s="1"/>
  <c r="J611" i="3" s="1"/>
  <c r="H504" i="3"/>
  <c r="P455" i="3"/>
  <c r="Q611" i="3" s="1"/>
  <c r="T611" i="3" s="1"/>
  <c r="R504" i="3"/>
  <c r="AZ452" i="3"/>
  <c r="BA452" i="3"/>
  <c r="BB452" i="3"/>
  <c r="Z455" i="3"/>
  <c r="AA611" i="3" s="1"/>
  <c r="AD611" i="3" s="1"/>
  <c r="AS452" i="3"/>
  <c r="AV504" i="3" s="1"/>
  <c r="AJ455" i="3"/>
  <c r="AK611" i="3" s="1"/>
  <c r="AN611" i="3" s="1"/>
  <c r="BD453" i="3"/>
  <c r="AT456" i="3"/>
  <c r="AU612" i="3" s="1"/>
  <c r="AX612" i="3" s="1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K610" i="3" s="1"/>
  <c r="AN610" i="3" s="1"/>
  <c r="AM507" i="3"/>
  <c r="AC507" i="3"/>
  <c r="BC451" i="3"/>
  <c r="S507" i="3"/>
  <c r="I507" i="3"/>
  <c r="AZ451" i="3"/>
  <c r="F454" i="3"/>
  <c r="G610" i="3" s="1"/>
  <c r="J610" i="3" s="1"/>
  <c r="BA451" i="3"/>
  <c r="P454" i="3"/>
  <c r="Q610" i="3" s="1"/>
  <c r="T610" i="3" s="1"/>
  <c r="BB451" i="3"/>
  <c r="Z454" i="3"/>
  <c r="AA610" i="3" s="1"/>
  <c r="AD610" i="3" s="1"/>
  <c r="AS451" i="3"/>
  <c r="AV503" i="3" s="1"/>
  <c r="BD452" i="3"/>
  <c r="AT455" i="3"/>
  <c r="AU611" i="3" s="1"/>
  <c r="AX611" i="3" s="1"/>
  <c r="AI450" i="3"/>
  <c r="AR450" i="3"/>
  <c r="AQ450" i="3"/>
  <c r="AP450" i="3"/>
  <c r="Y450" i="3"/>
  <c r="AB502" i="3" s="1"/>
  <c r="O450" i="3"/>
  <c r="E450" i="3"/>
  <c r="H502" i="3" s="1"/>
  <c r="AW507" i="3" l="1"/>
  <c r="P453" i="3"/>
  <c r="Q609" i="3" s="1"/>
  <c r="T609" i="3" s="1"/>
  <c r="R502" i="3"/>
  <c r="BC450" i="3"/>
  <c r="AL502" i="3"/>
  <c r="AC506" i="3"/>
  <c r="S506" i="3"/>
  <c r="I506" i="3"/>
  <c r="AM506" i="3"/>
  <c r="AZ450" i="3"/>
  <c r="F453" i="3"/>
  <c r="G609" i="3" s="1"/>
  <c r="J609" i="3" s="1"/>
  <c r="BA450" i="3"/>
  <c r="BB450" i="3"/>
  <c r="Z453" i="3"/>
  <c r="AA609" i="3" s="1"/>
  <c r="AD609" i="3" s="1"/>
  <c r="BD451" i="3"/>
  <c r="AT454" i="3"/>
  <c r="AU610" i="3" s="1"/>
  <c r="AX610" i="3" s="1"/>
  <c r="AS450" i="3"/>
  <c r="AV502" i="3" s="1"/>
  <c r="AJ453" i="3"/>
  <c r="AK609" i="3" s="1"/>
  <c r="AN609" i="3" s="1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A608" i="3" s="1"/>
  <c r="AD608" i="3" s="1"/>
  <c r="AB501" i="3"/>
  <c r="AM505" i="3"/>
  <c r="AW506" i="3"/>
  <c r="AC505" i="3"/>
  <c r="S505" i="3"/>
  <c r="AZ449" i="3"/>
  <c r="F452" i="3"/>
  <c r="G608" i="3" s="1"/>
  <c r="J608" i="3" s="1"/>
  <c r="BB449" i="3"/>
  <c r="AS449" i="3"/>
  <c r="AV501" i="3" s="1"/>
  <c r="AJ452" i="3"/>
  <c r="AK608" i="3" s="1"/>
  <c r="AN608" i="3" s="1"/>
  <c r="BA449" i="3"/>
  <c r="P452" i="3"/>
  <c r="Q608" i="3" s="1"/>
  <c r="T608" i="3" s="1"/>
  <c r="BD450" i="3"/>
  <c r="AT453" i="3"/>
  <c r="AU609" i="3" s="1"/>
  <c r="AX609" i="3" s="1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G607" i="3" s="1"/>
  <c r="J607" i="3" s="1"/>
  <c r="H500" i="3"/>
  <c r="AJ451" i="3"/>
  <c r="AK607" i="3" s="1"/>
  <c r="AN607" i="3" s="1"/>
  <c r="I504" i="3"/>
  <c r="AW505" i="3"/>
  <c r="S504" i="3"/>
  <c r="AM504" i="3"/>
  <c r="AC504" i="3"/>
  <c r="AZ448" i="3"/>
  <c r="BA448" i="3"/>
  <c r="P451" i="3"/>
  <c r="Q607" i="3" s="1"/>
  <c r="T607" i="3" s="1"/>
  <c r="BB448" i="3"/>
  <c r="Z451" i="3"/>
  <c r="AA607" i="3" s="1"/>
  <c r="AD607" i="3" s="1"/>
  <c r="AS448" i="3"/>
  <c r="AV500" i="3" s="1"/>
  <c r="BD449" i="3"/>
  <c r="AT452" i="3"/>
  <c r="AU608" i="3" s="1"/>
  <c r="AX608" i="3" s="1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K604" i="3" s="1"/>
  <c r="AN604" i="3" s="1"/>
  <c r="AL497" i="3"/>
  <c r="P449" i="3"/>
  <c r="Q605" i="3" s="1"/>
  <c r="T605" i="3" s="1"/>
  <c r="R498" i="3"/>
  <c r="BC447" i="3"/>
  <c r="AL499" i="3"/>
  <c r="AC503" i="3"/>
  <c r="S503" i="3"/>
  <c r="AM503" i="3"/>
  <c r="I503" i="3"/>
  <c r="AJ449" i="3"/>
  <c r="AK605" i="3" s="1"/>
  <c r="AN605" i="3" s="1"/>
  <c r="Z447" i="3"/>
  <c r="AA603" i="3" s="1"/>
  <c r="AD603" i="3" s="1"/>
  <c r="BC446" i="3"/>
  <c r="BB445" i="3"/>
  <c r="Z448" i="3"/>
  <c r="AA604" i="3" s="1"/>
  <c r="AD604" i="3" s="1"/>
  <c r="AS446" i="3"/>
  <c r="F449" i="3"/>
  <c r="G605" i="3" s="1"/>
  <c r="J605" i="3" s="1"/>
  <c r="AZ447" i="3"/>
  <c r="F450" i="3"/>
  <c r="G606" i="3" s="1"/>
  <c r="J606" i="3" s="1"/>
  <c r="P447" i="3"/>
  <c r="Q603" i="3" s="1"/>
  <c r="T603" i="3" s="1"/>
  <c r="AJ447" i="3"/>
  <c r="AK603" i="3" s="1"/>
  <c r="AN603" i="3" s="1"/>
  <c r="AJ450" i="3"/>
  <c r="AK606" i="3" s="1"/>
  <c r="AN606" i="3" s="1"/>
  <c r="BA445" i="3"/>
  <c r="P448" i="3"/>
  <c r="Q604" i="3" s="1"/>
  <c r="T604" i="3" s="1"/>
  <c r="AZ446" i="3"/>
  <c r="BA446" i="3"/>
  <c r="BB446" i="3"/>
  <c r="Z449" i="3"/>
  <c r="AA605" i="3" s="1"/>
  <c r="AD605" i="3" s="1"/>
  <c r="BA447" i="3"/>
  <c r="P450" i="3"/>
  <c r="Q606" i="3" s="1"/>
  <c r="T606" i="3" s="1"/>
  <c r="BB447" i="3"/>
  <c r="Z450" i="3"/>
  <c r="AA606" i="3" s="1"/>
  <c r="AD606" i="3" s="1"/>
  <c r="AS447" i="3"/>
  <c r="AV499" i="3" s="1"/>
  <c r="BD448" i="3"/>
  <c r="AT451" i="3"/>
  <c r="AU607" i="3" s="1"/>
  <c r="AX607" i="3" s="1"/>
  <c r="AZ445" i="3"/>
  <c r="F448" i="3"/>
  <c r="G604" i="3" s="1"/>
  <c r="J604" i="3" s="1"/>
  <c r="F447" i="3"/>
  <c r="G603" i="3" s="1"/>
  <c r="J603" i="3" s="1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K598" i="3" s="1"/>
  <c r="AN598" i="3" s="1"/>
  <c r="AL491" i="3"/>
  <c r="AJ444" i="3"/>
  <c r="AK600" i="3" s="1"/>
  <c r="AN600" i="3" s="1"/>
  <c r="AL493" i="3"/>
  <c r="F446" i="3"/>
  <c r="G602" i="3" s="1"/>
  <c r="J602" i="3" s="1"/>
  <c r="H495" i="3"/>
  <c r="Z446" i="3"/>
  <c r="AA602" i="3" s="1"/>
  <c r="AD602" i="3" s="1"/>
  <c r="AB495" i="3"/>
  <c r="AJ446" i="3"/>
  <c r="AK602" i="3" s="1"/>
  <c r="AN602" i="3" s="1"/>
  <c r="AL495" i="3"/>
  <c r="AT447" i="3"/>
  <c r="AU603" i="3" s="1"/>
  <c r="AX603" i="3" s="1"/>
  <c r="AV496" i="3"/>
  <c r="I500" i="3"/>
  <c r="AW503" i="3"/>
  <c r="AM499" i="3"/>
  <c r="I502" i="3"/>
  <c r="I501" i="3"/>
  <c r="AC500" i="3"/>
  <c r="AM501" i="3"/>
  <c r="S501" i="3"/>
  <c r="AM500" i="3"/>
  <c r="F442" i="3"/>
  <c r="G598" i="3" s="1"/>
  <c r="J598" i="3" s="1"/>
  <c r="H491" i="3"/>
  <c r="Z442" i="3"/>
  <c r="AA598" i="3" s="1"/>
  <c r="AD598" i="3" s="1"/>
  <c r="AB491" i="3"/>
  <c r="P446" i="3"/>
  <c r="Q602" i="3" s="1"/>
  <c r="T602" i="3" s="1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AK599" i="3" s="1"/>
  <c r="AN599" i="3" s="1"/>
  <c r="F445" i="3"/>
  <c r="G601" i="3" s="1"/>
  <c r="J601" i="3" s="1"/>
  <c r="Z445" i="3"/>
  <c r="AA601" i="3" s="1"/>
  <c r="AD601" i="3" s="1"/>
  <c r="AJ445" i="3"/>
  <c r="AK601" i="3" s="1"/>
  <c r="AN601" i="3" s="1"/>
  <c r="AT448" i="3"/>
  <c r="AU604" i="3" s="1"/>
  <c r="AX604" i="3" s="1"/>
  <c r="F443" i="3"/>
  <c r="G599" i="3" s="1"/>
  <c r="J599" i="3" s="1"/>
  <c r="Z443" i="3"/>
  <c r="AA599" i="3" s="1"/>
  <c r="AD599" i="3" s="1"/>
  <c r="BC440" i="3"/>
  <c r="F444" i="3"/>
  <c r="G600" i="3" s="1"/>
  <c r="J600" i="3" s="1"/>
  <c r="BC441" i="3"/>
  <c r="AZ442" i="3"/>
  <c r="P445" i="3"/>
  <c r="Q601" i="3" s="1"/>
  <c r="T601" i="3" s="1"/>
  <c r="BC443" i="3"/>
  <c r="AZ439" i="3"/>
  <c r="BC442" i="3"/>
  <c r="BD447" i="3"/>
  <c r="AT450" i="3"/>
  <c r="AU606" i="3" s="1"/>
  <c r="AX606" i="3" s="1"/>
  <c r="AT449" i="3"/>
  <c r="AU605" i="3" s="1"/>
  <c r="AX605" i="3" s="1"/>
  <c r="BA439" i="3"/>
  <c r="P442" i="3"/>
  <c r="Q598" i="3" s="1"/>
  <c r="T598" i="3" s="1"/>
  <c r="BC439" i="3"/>
  <c r="BB439" i="3"/>
  <c r="AS439" i="3"/>
  <c r="AV491" i="3" s="1"/>
  <c r="BA440" i="3"/>
  <c r="P443" i="3"/>
  <c r="Q599" i="3" s="1"/>
  <c r="T599" i="3" s="1"/>
  <c r="BB440" i="3"/>
  <c r="AZ441" i="3"/>
  <c r="BB441" i="3"/>
  <c r="Z444" i="3"/>
  <c r="AA600" i="3" s="1"/>
  <c r="AD600" i="3" s="1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Q600" i="3" s="1"/>
  <c r="T600" i="3" s="1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Q596" i="3" s="1"/>
  <c r="T596" i="3" s="1"/>
  <c r="R489" i="3"/>
  <c r="F441" i="3"/>
  <c r="G597" i="3" s="1"/>
  <c r="J597" i="3" s="1"/>
  <c r="H490" i="3"/>
  <c r="Z441" i="3"/>
  <c r="AA597" i="3" s="1"/>
  <c r="AD597" i="3" s="1"/>
  <c r="AB490" i="3"/>
  <c r="AJ441" i="3"/>
  <c r="AK597" i="3" s="1"/>
  <c r="AN597" i="3" s="1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G596" i="3" s="1"/>
  <c r="J596" i="3" s="1"/>
  <c r="AJ440" i="3"/>
  <c r="AK596" i="3" s="1"/>
  <c r="AN596" i="3" s="1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Q592" i="3" s="1"/>
  <c r="T592" i="3" s="1"/>
  <c r="R485" i="3"/>
  <c r="F437" i="3"/>
  <c r="G593" i="3" s="1"/>
  <c r="J593" i="3" s="1"/>
  <c r="H486" i="3"/>
  <c r="BB434" i="3"/>
  <c r="AB486" i="3"/>
  <c r="AJ437" i="3"/>
  <c r="AK593" i="3" s="1"/>
  <c r="AN593" i="3" s="1"/>
  <c r="AL486" i="3"/>
  <c r="BA435" i="3"/>
  <c r="R487" i="3"/>
  <c r="AJ439" i="3"/>
  <c r="AK595" i="3" s="1"/>
  <c r="AN595" i="3" s="1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U601" i="3" s="1"/>
  <c r="AX601" i="3" s="1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G592" i="3" s="1"/>
  <c r="J592" i="3" s="1"/>
  <c r="AS436" i="3"/>
  <c r="AV488" i="3" s="1"/>
  <c r="P439" i="3"/>
  <c r="Q595" i="3" s="1"/>
  <c r="T595" i="3" s="1"/>
  <c r="AJ436" i="3"/>
  <c r="AK592" i="3" s="1"/>
  <c r="AN592" i="3" s="1"/>
  <c r="BA437" i="3"/>
  <c r="BB437" i="3"/>
  <c r="Z440" i="3"/>
  <c r="AA596" i="3" s="1"/>
  <c r="AD596" i="3" s="1"/>
  <c r="Z437" i="3"/>
  <c r="AA593" i="3" s="1"/>
  <c r="AD593" i="3" s="1"/>
  <c r="BA438" i="3"/>
  <c r="P441" i="3"/>
  <c r="Q597" i="3" s="1"/>
  <c r="T597" i="3" s="1"/>
  <c r="P438" i="3"/>
  <c r="Q594" i="3" s="1"/>
  <c r="T594" i="3" s="1"/>
  <c r="Z438" i="3"/>
  <c r="AA594" i="3" s="1"/>
  <c r="AD594" i="3" s="1"/>
  <c r="AJ438" i="3"/>
  <c r="AK594" i="3" s="1"/>
  <c r="AN594" i="3" s="1"/>
  <c r="BB431" i="3"/>
  <c r="BA432" i="3"/>
  <c r="AS432" i="3"/>
  <c r="BA433" i="3"/>
  <c r="AZ434" i="3"/>
  <c r="AZ436" i="3"/>
  <c r="F439" i="3"/>
  <c r="G595" i="3" s="1"/>
  <c r="J595" i="3" s="1"/>
  <c r="BA436" i="3"/>
  <c r="BB436" i="3"/>
  <c r="Z439" i="3"/>
  <c r="AA595" i="3" s="1"/>
  <c r="AD595" i="3" s="1"/>
  <c r="Z436" i="3"/>
  <c r="AA592" i="3" s="1"/>
  <c r="AD592" i="3" s="1"/>
  <c r="F438" i="3"/>
  <c r="G594" i="3" s="1"/>
  <c r="J594" i="3" s="1"/>
  <c r="BB438" i="3"/>
  <c r="AS438" i="3"/>
  <c r="AV490" i="3" s="1"/>
  <c r="BD441" i="3"/>
  <c r="AT444" i="3"/>
  <c r="AU600" i="3" s="1"/>
  <c r="AX600" i="3" s="1"/>
  <c r="BD440" i="3"/>
  <c r="AT443" i="3"/>
  <c r="AU599" i="3" s="1"/>
  <c r="AX599" i="3" s="1"/>
  <c r="BD443" i="3"/>
  <c r="AT446" i="3"/>
  <c r="AU602" i="3" s="1"/>
  <c r="AX602" i="3" s="1"/>
  <c r="BD442" i="3"/>
  <c r="AT442" i="3"/>
  <c r="AU598" i="3" s="1"/>
  <c r="AX598" i="3" s="1"/>
  <c r="BD439" i="3"/>
  <c r="BA430" i="3"/>
  <c r="AS430" i="3"/>
  <c r="AV482" i="3" s="1"/>
  <c r="BA431" i="3"/>
  <c r="AS431" i="3"/>
  <c r="AV483" i="3" s="1"/>
  <c r="BA434" i="3"/>
  <c r="P437" i="3"/>
  <c r="Q593" i="3" s="1"/>
  <c r="T593" i="3" s="1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U596" i="3" s="1"/>
  <c r="AX596" i="3" s="1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U592" i="3" s="1"/>
  <c r="AX592" i="3" s="1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U594" i="3" s="1"/>
  <c r="AX594" i="3" s="1"/>
  <c r="AT439" i="3"/>
  <c r="AU595" i="3" s="1"/>
  <c r="AX595" i="3" s="1"/>
  <c r="BD438" i="3"/>
  <c r="AT441" i="3"/>
  <c r="AU597" i="3" s="1"/>
  <c r="AX597" i="3" s="1"/>
  <c r="BD437" i="3"/>
  <c r="AT435" i="3"/>
  <c r="AU591" i="3" s="1"/>
  <c r="AX591" i="3" s="1"/>
  <c r="BD434" i="3"/>
  <c r="AT437" i="3"/>
  <c r="AU593" i="3" s="1"/>
  <c r="AX593" i="3" s="1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AZ141" i="3" s="1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BA124" i="3" s="1"/>
  <c r="Y124" i="3"/>
  <c r="BB124" i="3" s="1"/>
  <c r="AI124" i="3"/>
  <c r="BC124" i="3" s="1"/>
  <c r="AR283" i="3"/>
  <c r="AQ283" i="3"/>
  <c r="AP283" i="3"/>
  <c r="E175" i="3"/>
  <c r="O175" i="3"/>
  <c r="BA175" i="3" s="1"/>
  <c r="Y175" i="3"/>
  <c r="BB175" i="3" s="1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AZ121" i="3" s="1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BB119" i="3" s="1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BA107" i="3" s="1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BA90" i="3" s="1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BC74" i="3" s="1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H320" i="3" l="1"/>
  <c r="R306" i="3"/>
  <c r="AL319" i="3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BD196" i="3" s="1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S150" i="3" s="1"/>
  <c r="AS149" i="3"/>
  <c r="P152" i="3"/>
  <c r="AS151" i="3"/>
  <c r="P154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V70" i="3" l="1"/>
  <c r="AC88" i="3"/>
  <c r="S154" i="3"/>
  <c r="AV77" i="3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J231" i="3" s="1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T175" i="3" s="1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T254" i="3" s="1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77" i="3" l="1"/>
  <c r="AW65" i="3"/>
  <c r="AW309" i="3"/>
  <c r="AW126" i="3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<sst xmlns="http://schemas.openxmlformats.org/spreadsheetml/2006/main" count="183" uniqueCount="64">
  <si>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</si>
  <si>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</si>
  <si>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</si>
  <si>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</si>
  <si>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</si>
  <si>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</si>
  <si>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</si>
  <si>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</si>
  <si>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</si>
  <si>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</si>
  <si>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</si>
  <si>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</si>
  <si>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</si>
  <si>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</si>
  <si>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</si>
  <si>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</si>
  <si>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</si>
  <si>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</si>
  <si>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</si>
  <si>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</si>
  <si>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</si>
  <si>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</si>
  <si>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</si>
  <si>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</si>
  <si>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</si>
  <si>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</si>
  <si>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</si>
  <si>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</si>
  <si>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</si>
  <si>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</si>
  <si>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</si>
  <si>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</si>
  <si>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</si>
  <si>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</si>
  <si>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</si>
  <si>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</si>
  <si>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</si>
  <si>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</si>
  <si>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</si>
  <si>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</si>
  <si>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</si>
  <si>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</si>
  <si>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</si>
  <si>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</si>
  <si>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</si>
  <si>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</si>
  <si>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</si>
  <si>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</si>
  <si>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</si>
  <si>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</si>
  <si>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</si>
  <si>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</si>
  <si>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</si>
  <si>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</si>
  <si>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</si>
  <si>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</si>
  <si>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</si>
  <si>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</si>
  <si>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</si>
  <si>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</si>
  <si>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</si>
  <si>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</si>
  <si>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</si>
  <si>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10/25/2014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</si>
</sst>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42"/>
  <sheetViews>
    <sheetView topLeftCell="A3" workbookViewId="0">
      <pane xSplit="1" ySplit="6" topLeftCell="AZ622" activePane="bottomRight" state="frozen"/>
      <selection activeCell="A3" sqref="A3"/>
      <selection pane="topRight" activeCell="B3" sqref="B3"/>
      <selection pane="bottomLeft" activeCell="A8" sqref="A8"/>
      <selection pane="bottomRight" activeCell="AZ625" sqref="AZ625:BJ626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78" t="s">
        <v>31</v>
      </c>
      <c r="C6" s="78"/>
      <c r="D6" s="78"/>
      <c r="E6" s="78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78" t="s">
        <v>35</v>
      </c>
      <c r="M6" s="78"/>
      <c r="N6" s="78"/>
      <c r="O6" s="78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78" t="s">
        <v>34</v>
      </c>
      <c r="W6" s="78"/>
      <c r="X6" s="78"/>
      <c r="Y6" s="78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78" t="s">
        <v>33</v>
      </c>
      <c r="AG6" s="78"/>
      <c r="AH6" s="78"/>
      <c r="AI6" s="78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78" t="s">
        <v>36</v>
      </c>
      <c r="AQ6" s="78"/>
      <c r="AR6" s="78"/>
      <c r="AS6" s="78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25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25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25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25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25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25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25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25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1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25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25">
      <c r="A590" s="48">
        <f t="shared" ref="A590:A626" si="8958"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9">AVERAGE(E587,E588,E589,E590)</f>
        <v>252158.5</v>
      </c>
      <c r="G590" s="71">
        <f t="shared" ref="G590" si="8960">AVERAGE(F538,F486,F434)</f>
        <v>259777</v>
      </c>
      <c r="H590" s="64">
        <f t="shared" ref="H590" si="8961">((E590/E538)-1)*100</f>
        <v>125.78639356254571</v>
      </c>
      <c r="I590" s="64">
        <f t="shared" ref="I590" si="8962">((F590/F538)-1)*100</f>
        <v>184.53422702165955</v>
      </c>
      <c r="J590" s="64">
        <f t="shared" ref="J590" si="8963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4">SUM(L590:N590)</f>
        <v>18327</v>
      </c>
      <c r="P590" s="71">
        <f t="shared" ref="P590" si="8965">AVERAGE(O587,O588,O589,O590)</f>
        <v>13056.75</v>
      </c>
      <c r="Q590" s="71">
        <f t="shared" ref="Q590" si="8966">AVERAGE(P538,P486,P434)</f>
        <v>39004.416666666664</v>
      </c>
      <c r="R590" s="64">
        <f t="shared" ref="R590" si="8967">((O590/O538)-1)*100</f>
        <v>-82.791549295774644</v>
      </c>
      <c r="S590" s="73">
        <f t="shared" ref="S590" si="8968">((P590/P538)-1)*100</f>
        <v>-82.352762290927515</v>
      </c>
      <c r="T590" s="64">
        <f t="shared" ref="T590" si="8969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70">SUM(V590:X590)</f>
        <v>239927</v>
      </c>
      <c r="Z590" s="71">
        <f t="shared" ref="Z590" si="8971">AVERAGE(Y587,Y588,Y589,Y590)</f>
        <v>377925.5</v>
      </c>
      <c r="AA590" s="71">
        <f t="shared" ref="AA590" si="8972">AVERAGE(Z538,Z486,Z434)</f>
        <v>270677</v>
      </c>
      <c r="AB590" s="64">
        <f t="shared" ref="AB590" si="8973">((Y590/Y538)-1)*100</f>
        <v>21.452507744953131</v>
      </c>
      <c r="AC590" s="64">
        <f t="shared" ref="AC590" si="8974">((Z590/Z538)-1)*100</f>
        <v>26.342929878387665</v>
      </c>
      <c r="AD590" s="64">
        <f t="shared" ref="AD590" si="8975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6">SUM(AF590:AH590)</f>
        <v>1400</v>
      </c>
      <c r="AJ590" s="71">
        <f t="shared" ref="AJ590" si="8977">AVERAGE(AI587,AI588,AI589,AI590)</f>
        <v>1575</v>
      </c>
      <c r="AK590" s="71">
        <f t="shared" ref="AK590" si="8978">AVERAGE(AJ538,AJ486,AJ434)</f>
        <v>6726.666666666667</v>
      </c>
      <c r="AL590" s="64">
        <f t="shared" ref="AL590" si="8979">((AI590/AI538)-1)*100</f>
        <v>-79.166666666666657</v>
      </c>
      <c r="AM590" s="64">
        <f t="shared" ref="AM590" si="8980">((AJ590/AJ538)-1)*100</f>
        <v>-73.271107339838764</v>
      </c>
      <c r="AN590" s="64">
        <f t="shared" ref="AN590" si="8981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2">SUM(D590,N590,X590,AH590)</f>
        <v>63800</v>
      </c>
      <c r="AS590" s="60">
        <f t="shared" ref="AS590" si="8983">SUM(E590,O590,Y590,AI590)</f>
        <v>568304</v>
      </c>
      <c r="AT590" s="64">
        <f t="shared" ref="AT590" si="8984">AVERAGE(AS587,AS588,AS589,AS590)</f>
        <v>644715.75</v>
      </c>
      <c r="AU590" s="71">
        <f t="shared" ref="AU590" si="8985">AVERAGE(AT538,AT486,AT434)</f>
        <v>576185.08333333337</v>
      </c>
      <c r="AV590" s="64">
        <f t="shared" ref="AV590" si="8986">((AS590/AS538)-1)*100</f>
        <v>27.004389140675976</v>
      </c>
      <c r="AW590" s="64">
        <f t="shared" ref="AW590" si="8987">((AT590/AT538)-1)*100</f>
        <v>37.869290403220937</v>
      </c>
      <c r="AX590" s="64">
        <f t="shared" ref="AX590" si="8988">((AT590/AU590)-1)*100</f>
        <v>11.893863386779202</v>
      </c>
      <c r="AZ590" s="71">
        <f t="shared" ref="AZ590" si="8989">+E590/1000</f>
        <v>308.64999999999998</v>
      </c>
      <c r="BA590" s="53">
        <f t="shared" ref="BA590" si="8990">+O590/1000</f>
        <v>18.327000000000002</v>
      </c>
      <c r="BB590" s="53">
        <f t="shared" ref="BB590" si="8991">+Y590/1000</f>
        <v>239.92699999999999</v>
      </c>
      <c r="BC590" s="53">
        <f t="shared" ref="BC590" si="8992">+AI590/1000</f>
        <v>1.4</v>
      </c>
      <c r="BD590" s="53">
        <f t="shared" ref="BD590" si="8993">+AS590/1000</f>
        <v>568.30399999999997</v>
      </c>
      <c r="BE590" s="64">
        <f t="shared" si="8805"/>
        <v>1524.5279999999998</v>
      </c>
      <c r="BF590" s="64">
        <f t="shared" ref="BF590" si="8994">BF589+BA590</f>
        <v>124.81700000000001</v>
      </c>
      <c r="BG590" s="64">
        <f t="shared" ref="BG590" si="8995">BG589+BB590</f>
        <v>2425.9210000000003</v>
      </c>
      <c r="BH590" s="64">
        <f t="shared" ref="BH590" si="8996">BH589+BC590</f>
        <v>33.1</v>
      </c>
      <c r="BI590" s="64">
        <f t="shared" ref="BI590" si="8997">BI589+BD590</f>
        <v>4108.366</v>
      </c>
      <c r="BJ590" s="64">
        <f t="shared" si="8807"/>
        <v>7</v>
      </c>
    </row>
    <row r="591" spans="1:62" x14ac:dyDescent="0.25">
      <c r="A591" s="48">
        <f t="shared" si="8958"/>
        <v>41692</v>
      </c>
      <c r="B591" s="64">
        <v>65772</v>
      </c>
      <c r="C591" s="64">
        <v>231950</v>
      </c>
      <c r="D591" s="53">
        <v>2800</v>
      </c>
      <c r="E591" s="64">
        <f t="shared" ref="E591" si="8998">SUM(B591:D591)</f>
        <v>300522</v>
      </c>
      <c r="F591" s="64">
        <f t="shared" ref="F591" si="8999">AVERAGE(E588,E589,E590,E591)</f>
        <v>272264.5</v>
      </c>
      <c r="G591" s="71">
        <f t="shared" ref="G591" si="9000">AVERAGE(F539,F487,F435)</f>
        <v>259518.41666666666</v>
      </c>
      <c r="H591" s="64">
        <f t="shared" ref="H591" si="9001">((E591/E539)-1)*100</f>
        <v>168.29686370088649</v>
      </c>
      <c r="I591" s="64">
        <f t="shared" ref="I591" si="9002">((F591/F539)-1)*100</f>
        <v>167.9788482690571</v>
      </c>
      <c r="J591" s="64">
        <f t="shared" ref="J591" si="9003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4">SUM(L591:N591)</f>
        <v>17750</v>
      </c>
      <c r="P591" s="71">
        <f t="shared" ref="P591" si="9005">AVERAGE(O588,O589,O590,O591)</f>
        <v>14144.25</v>
      </c>
      <c r="Q591" s="71">
        <f t="shared" ref="Q591" si="9006">AVERAGE(P539,P487,P435)</f>
        <v>44511.083333333336</v>
      </c>
      <c r="R591" s="64">
        <f t="shared" ref="R591" si="9007">((O591/O539)-1)*100</f>
        <v>-85.372888339513793</v>
      </c>
      <c r="S591" s="73">
        <f t="shared" ref="S591" si="9008">((P591/P539)-1)*100</f>
        <v>-84.321186088402385</v>
      </c>
      <c r="T591" s="64">
        <f t="shared" ref="T591" si="9009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10">SUM(V591:X591)</f>
        <v>148400</v>
      </c>
      <c r="Z591" s="71">
        <f t="shared" ref="Z591" si="9011">AVERAGE(Y588,Y589,Y590,Y591)</f>
        <v>292056.75</v>
      </c>
      <c r="AA591" s="71">
        <f t="shared" ref="AA591" si="9012">AVERAGE(Z539,Z487,Z435)</f>
        <v>249273.41666666666</v>
      </c>
      <c r="AB591" s="64">
        <f t="shared" ref="AB591" si="9013">((Y591/Y539)-1)*100</f>
        <v>-19.726507562152452</v>
      </c>
      <c r="AC591" s="64">
        <f t="shared" ref="AC591" si="9014">((Z591/Z539)-1)*100</f>
        <v>16.886169189870092</v>
      </c>
      <c r="AD591" s="64">
        <f t="shared" ref="AD591" si="9015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3" si="9016">SUM(AF591:AH591)</f>
        <v>1400</v>
      </c>
      <c r="AJ591" s="71">
        <f t="shared" ref="AJ591" si="9017">AVERAGE(AI588,AI589,AI590,AI591)</f>
        <v>1925</v>
      </c>
      <c r="AK591" s="71">
        <f t="shared" ref="AK591" si="9018">AVERAGE(AJ539,AJ487,AJ435)</f>
        <v>7176.666666666667</v>
      </c>
      <c r="AL591" s="64">
        <f t="shared" ref="AL591" si="9019">((AI591/AI539)-1)*100</f>
        <v>-59.420289855072461</v>
      </c>
      <c r="AM591" s="64">
        <f t="shared" ref="AM591" si="9020">((AJ591/AJ539)-1)*100</f>
        <v>-71.502590673575128</v>
      </c>
      <c r="AN591" s="64">
        <f t="shared" ref="AN591" si="9021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" si="9022">SUM(D591,N591,X591,AH591)</f>
        <v>44800</v>
      </c>
      <c r="AS591" s="60">
        <f t="shared" ref="AS591" si="9023">SUM(E591,O591,Y591,AI591)</f>
        <v>468072</v>
      </c>
      <c r="AT591" s="64">
        <f t="shared" ref="AT591" si="9024">AVERAGE(AS588,AS589,AS590,AS591)</f>
        <v>580390.5</v>
      </c>
      <c r="AU591" s="71">
        <f t="shared" ref="AU591" si="9025">AVERAGE(AT539,AT487,AT435)</f>
        <v>560479.58333333337</v>
      </c>
      <c r="AV591" s="64">
        <f t="shared" ref="AV591" si="9026">((AS591/AS539)-1)*100</f>
        <v>11.001970693347317</v>
      </c>
      <c r="AW591" s="64">
        <f t="shared" ref="AW591" si="9027">((AT591/AT539)-1)*100</f>
        <v>29.426935247563168</v>
      </c>
      <c r="AX591" s="64">
        <f t="shared" ref="AX591" si="9028">((AT591/AU591)-1)*100</f>
        <v>3.552478494979372</v>
      </c>
      <c r="AZ591" s="71">
        <f t="shared" ref="AZ591" si="9029">+E591/1000</f>
        <v>300.52199999999999</v>
      </c>
      <c r="BA591" s="53">
        <f t="shared" ref="BA591" si="9030">+O591/1000</f>
        <v>17.75</v>
      </c>
      <c r="BB591" s="53">
        <f t="shared" ref="BB591" si="9031">+Y591/1000</f>
        <v>148.4</v>
      </c>
      <c r="BC591" s="53">
        <f t="shared" ref="BC591" si="9032">+AI591/1000</f>
        <v>1.4</v>
      </c>
      <c r="BD591" s="53">
        <f t="shared" ref="BD591" si="9033">+AS591/1000</f>
        <v>468.072</v>
      </c>
      <c r="BE591" s="64">
        <f t="shared" ref="BE591" si="9034">BE590+AZ591</f>
        <v>1825.0499999999997</v>
      </c>
      <c r="BF591" s="64">
        <f t="shared" ref="BF591" si="9035">BF590+BA591</f>
        <v>142.56700000000001</v>
      </c>
      <c r="BG591" s="64">
        <f t="shared" ref="BG591" si="9036">BG590+BB591</f>
        <v>2574.3210000000004</v>
      </c>
      <c r="BH591" s="64">
        <f t="shared" ref="BH591" si="9037">BH590+BC591</f>
        <v>34.5</v>
      </c>
      <c r="BI591" s="64">
        <f t="shared" ref="BI591" si="9038">BI590+BD591</f>
        <v>4576.4380000000001</v>
      </c>
      <c r="BJ591" s="64">
        <f t="shared" ref="BJ591:BJ614" si="9039">BJ590+1</f>
        <v>8</v>
      </c>
    </row>
    <row r="592" spans="1:62" x14ac:dyDescent="0.25">
      <c r="A592" s="48">
        <f t="shared" si="8958"/>
        <v>41699</v>
      </c>
      <c r="B592" s="64">
        <v>97316</v>
      </c>
      <c r="C592" s="64">
        <v>232650</v>
      </c>
      <c r="D592" s="53">
        <v>2800</v>
      </c>
      <c r="E592" s="64">
        <f t="shared" ref="E592" si="9040">SUM(B592:D592)</f>
        <v>332766</v>
      </c>
      <c r="F592" s="64">
        <f t="shared" ref="F592" si="9041">AVERAGE(E589,E590,E591,E592)</f>
        <v>298147</v>
      </c>
      <c r="G592" s="71">
        <f t="shared" ref="G592" si="9042">AVERAGE(F540,F488,F436)</f>
        <v>252070.58333333334</v>
      </c>
      <c r="H592" s="64">
        <f t="shared" ref="H592" si="9043">((E592/E540)-1)*100</f>
        <v>167.92753623188409</v>
      </c>
      <c r="I592" s="64">
        <f t="shared" ref="I592" si="9044">((F592/F540)-1)*100</f>
        <v>171.13700900540417</v>
      </c>
      <c r="J592" s="64">
        <f t="shared" ref="J592" si="9045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6">SUM(L592:N592)</f>
        <v>37500</v>
      </c>
      <c r="P592" s="71">
        <f t="shared" ref="P592" si="9047">AVERAGE(O589,O590,O591,O592)</f>
        <v>21631.75</v>
      </c>
      <c r="Q592" s="71">
        <f t="shared" ref="Q592" si="9048">AVERAGE(P540,P488,P436)</f>
        <v>52506.916666666664</v>
      </c>
      <c r="R592" s="64">
        <f t="shared" ref="R592" si="9049">((O592/O540)-1)*100</f>
        <v>-67.134092900964063</v>
      </c>
      <c r="S592" s="73">
        <f t="shared" ref="S592" si="9050">((P592/P540)-1)*100</f>
        <v>-80.104161876293404</v>
      </c>
      <c r="T592" s="64">
        <f t="shared" ref="T592" si="9051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2">SUM(V592:X592)</f>
        <v>264798</v>
      </c>
      <c r="Z592" s="71">
        <f t="shared" ref="Z592" si="9053">AVERAGE(Y589,Y590,Y591,Y592)</f>
        <v>263256.25</v>
      </c>
      <c r="AA592" s="71">
        <f t="shared" ref="AA592" si="9054">AVERAGE(Z540,Z488,Z436)</f>
        <v>220247.08333333334</v>
      </c>
      <c r="AB592" s="64">
        <f t="shared" ref="AB592" si="9055">((Y592/Y540)-1)*100</f>
        <v>166.16074300418143</v>
      </c>
      <c r="AC592" s="64">
        <f t="shared" ref="AC592" si="9056">((Z592/Z540)-1)*100</f>
        <v>31.227716430242225</v>
      </c>
      <c r="AD592" s="64">
        <f t="shared" ref="AD592" si="9057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6"/>
        <v>4550</v>
      </c>
      <c r="AJ592" s="71">
        <f t="shared" ref="AJ592" si="9058">AVERAGE(AI589,AI590,AI591,AI592)</f>
        <v>2187.5</v>
      </c>
      <c r="AK592" s="71">
        <f t="shared" ref="AK592" si="9059">AVERAGE(AJ540,AJ488,AJ436)</f>
        <v>7522.5</v>
      </c>
      <c r="AL592" s="64"/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:AP595" si="9062">SUM(B592,L592,V592,AF592)</f>
        <v>197206</v>
      </c>
      <c r="AQ592" s="60">
        <f t="shared" ref="AQ592:AQ595" si="9063">SUM(C592,M592,W592,AG592)</f>
        <v>380808</v>
      </c>
      <c r="AR592" s="60">
        <f t="shared" ref="AR592:AR593" si="9064">SUM(D592,N592,X592,AH592)</f>
        <v>61600</v>
      </c>
      <c r="AS592" s="60">
        <f t="shared" ref="AS592:AS593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9"/>
        <v>9</v>
      </c>
    </row>
    <row r="593" spans="1:62" x14ac:dyDescent="0.25">
      <c r="A593" s="48">
        <f t="shared" si="8958"/>
        <v>41706</v>
      </c>
      <c r="B593" s="64">
        <v>105291</v>
      </c>
      <c r="C593" s="64">
        <v>217350</v>
      </c>
      <c r="D593" s="53">
        <v>7000</v>
      </c>
      <c r="E593" s="64">
        <f t="shared" ref="E593" si="9081">SUM(B593:D593)</f>
        <v>329641</v>
      </c>
      <c r="F593" s="64">
        <f t="shared" ref="F593" si="9082">AVERAGE(E590,E591,E592,E593)</f>
        <v>317894.75</v>
      </c>
      <c r="G593" s="71">
        <f t="shared" ref="G593" si="9083">AVERAGE(F541,F489,F437)</f>
        <v>262201.41666666669</v>
      </c>
      <c r="H593" s="64">
        <f t="shared" ref="H593" si="9084">((E593/E541)-1)*100</f>
        <v>51.139364706745404</v>
      </c>
      <c r="I593" s="64">
        <f t="shared" ref="I593" si="9085">((F593/F541)-1)*100</f>
        <v>115.15173049753389</v>
      </c>
      <c r="J593" s="64">
        <f t="shared" ref="J593" si="9086">((F593/G593)-1)*100</f>
        <v>21.240668353876792</v>
      </c>
      <c r="L593" s="53">
        <v>0</v>
      </c>
      <c r="M593" s="53">
        <v>7150</v>
      </c>
      <c r="N593" s="53">
        <v>21000</v>
      </c>
      <c r="O593" s="53">
        <f t="shared" ref="O593" si="9087">SUM(L593:N593)</f>
        <v>28150</v>
      </c>
      <c r="P593" s="71">
        <f t="shared" ref="P593" si="9088">AVERAGE(O590,O591,O592,O593)</f>
        <v>25431.75</v>
      </c>
      <c r="Q593" s="71">
        <f t="shared" ref="Q593" si="9089">AVERAGE(P541,P489,P437)</f>
        <v>59979.25</v>
      </c>
      <c r="R593" s="64">
        <f t="shared" ref="R593" si="9090">((O593/O541)-1)*100</f>
        <v>-82.250945775535939</v>
      </c>
      <c r="S593" s="73">
        <f t="shared" ref="S593" si="9091">((P593/P541)-1)*100</f>
        <v>-79.676955349115971</v>
      </c>
      <c r="T593" s="64">
        <f t="shared" ref="T593" si="9092">((P593/Q593)-1)*100</f>
        <v>-57.599086350696282</v>
      </c>
      <c r="V593" s="64">
        <v>87348</v>
      </c>
      <c r="W593" s="64">
        <v>53300</v>
      </c>
      <c r="X593" s="64">
        <v>23800</v>
      </c>
      <c r="Y593" s="64">
        <f t="shared" ref="Y593" si="9093">SUM(V593:X593)</f>
        <v>164448</v>
      </c>
      <c r="Z593" s="71">
        <f t="shared" ref="Z593" si="9094">AVERAGE(Y590,Y591,Y592,Y593)</f>
        <v>204393.25</v>
      </c>
      <c r="AA593" s="71">
        <f t="shared" ref="AA593" si="9095">AVERAGE(Z541,Z489,Z437)</f>
        <v>197148.75</v>
      </c>
      <c r="AB593" s="64">
        <f t="shared" ref="AB593" si="9096">((Y593/Y541)-1)*100</f>
        <v>-8.6963039459000306</v>
      </c>
      <c r="AC593" s="64">
        <f t="shared" ref="AC593" si="9097">((Z593/Z541)-1)*100</f>
        <v>23.497654886973862</v>
      </c>
      <c r="AD593" s="64">
        <f t="shared" ref="AD593" si="9098">((Z593/AA593)-1)*100</f>
        <v>3.6746365371324918</v>
      </c>
      <c r="AF593" s="53">
        <v>0</v>
      </c>
      <c r="AG593" s="53">
        <v>0</v>
      </c>
      <c r="AH593" s="53">
        <v>0</v>
      </c>
      <c r="AI593" s="53">
        <f t="shared" si="9016"/>
        <v>0</v>
      </c>
      <c r="AJ593" s="71">
        <f t="shared" ref="AJ593" si="9099">AVERAGE(AI590,AI591,AI592,AI593)</f>
        <v>1837.5</v>
      </c>
      <c r="AK593" s="71">
        <f t="shared" ref="AK593" si="9100">AVERAGE(AJ541,AJ489,AJ437)</f>
        <v>7485</v>
      </c>
      <c r="AL593" s="64">
        <f t="shared" ref="AL593" si="9101">((AI593/AI541)-1)*100</f>
        <v>-100</v>
      </c>
      <c r="AM593" s="64">
        <f t="shared" ref="AM593" si="9102">((AJ593/AJ541)-1)*100</f>
        <v>-46.232626188734457</v>
      </c>
      <c r="AN593" s="64">
        <f t="shared" ref="AN593" si="9103">((AJ593/AK593)-1)*100</f>
        <v>-75.450901803607223</v>
      </c>
      <c r="AP593" s="60">
        <f t="shared" si="9062"/>
        <v>192639</v>
      </c>
      <c r="AQ593" s="60">
        <f t="shared" si="9063"/>
        <v>277800</v>
      </c>
      <c r="AR593" s="60">
        <f t="shared" si="9064"/>
        <v>51800</v>
      </c>
      <c r="AS593" s="60">
        <f t="shared" si="9065"/>
        <v>522239</v>
      </c>
      <c r="AT593" s="64">
        <f t="shared" ref="AT593" si="9104">AVERAGE(AS590,AS591,AS592,AS593)</f>
        <v>549557.25</v>
      </c>
      <c r="AU593" s="71">
        <f t="shared" ref="AU593" si="9105">AVERAGE(AT541,AT489,AT437)</f>
        <v>526814.41666666663</v>
      </c>
      <c r="AV593" s="64">
        <f t="shared" ref="AV593" si="9106">((AS593/AS541)-1)*100</f>
        <v>-6.7954632661984764</v>
      </c>
      <c r="AW593" s="64">
        <f t="shared" ref="AW593" si="9107">((AT593/AT541)-1)*100</f>
        <v>24.386985429339369</v>
      </c>
      <c r="AX593" s="64">
        <f t="shared" ref="AX593" si="9108">((AT593/AU593)-1)*100</f>
        <v>4.3170483976568086</v>
      </c>
      <c r="AZ593" s="71">
        <f t="shared" ref="AZ593" si="9109">+E593/1000</f>
        <v>329.64100000000002</v>
      </c>
      <c r="BA593" s="53">
        <f t="shared" ref="BA593" si="9110">+O593/1000</f>
        <v>28.15</v>
      </c>
      <c r="BB593" s="53">
        <f t="shared" ref="BB593" si="9111">+Y593/1000</f>
        <v>164.44800000000001</v>
      </c>
      <c r="BC593" s="53">
        <f t="shared" ref="BC593" si="9112">+AI593/1000</f>
        <v>0</v>
      </c>
      <c r="BD593" s="53">
        <f t="shared" ref="BD593" si="9113">+AS593/1000</f>
        <v>522.23900000000003</v>
      </c>
      <c r="BE593" s="64">
        <f t="shared" ref="BE593" si="9114">BE592+AZ593</f>
        <v>2487.4569999999999</v>
      </c>
      <c r="BF593" s="64">
        <f t="shared" ref="BF593" si="9115">BF592+BA593</f>
        <v>208.21700000000001</v>
      </c>
      <c r="BG593" s="64">
        <f t="shared" ref="BG593" si="9116">BG592+BB593</f>
        <v>3003.5670000000005</v>
      </c>
      <c r="BH593" s="64">
        <f t="shared" ref="BH593" si="9117">BH592+BC593</f>
        <v>39.049999999999997</v>
      </c>
      <c r="BI593" s="64">
        <f t="shared" ref="BI593" si="9118">BI592+BD593</f>
        <v>5738.2909999999993</v>
      </c>
      <c r="BJ593" s="64">
        <f t="shared" si="9039"/>
        <v>10</v>
      </c>
    </row>
    <row r="594" spans="1:62" x14ac:dyDescent="0.25">
      <c r="A594" s="48">
        <f t="shared" si="8958"/>
        <v>41713</v>
      </c>
      <c r="B594" s="64">
        <v>261200</v>
      </c>
      <c r="C594" s="64">
        <v>271036</v>
      </c>
      <c r="D594" s="53">
        <v>2800</v>
      </c>
      <c r="E594" s="64">
        <f t="shared" ref="E594" si="9119">SUM(B594:D594)</f>
        <v>535036</v>
      </c>
      <c r="F594" s="64">
        <f t="shared" ref="F594" si="9120">AVERAGE(E591,E592,E593,E594)</f>
        <v>374491.25</v>
      </c>
      <c r="G594" s="71">
        <f t="shared" ref="G594" si="9121">AVERAGE(F542,F490,F438)</f>
        <v>250942.5</v>
      </c>
      <c r="H594" s="64">
        <f t="shared" ref="H594" si="9122">((E594/E542)-1)*100</f>
        <v>209.84786624738675</v>
      </c>
      <c r="I594" s="64">
        <f t="shared" ref="I594" si="9123">((F594/F542)-1)*100</f>
        <v>138.91293668818741</v>
      </c>
      <c r="J594" s="64">
        <f t="shared" ref="J594" si="9124">((F594/G594)-1)*100</f>
        <v>49.233888241330192</v>
      </c>
      <c r="L594" s="53">
        <v>0</v>
      </c>
      <c r="M594" s="53">
        <v>10300</v>
      </c>
      <c r="N594" s="53">
        <v>36400</v>
      </c>
      <c r="O594" s="53">
        <f t="shared" ref="O594" si="9125">SUM(L594:N594)</f>
        <v>46700</v>
      </c>
      <c r="P594" s="71">
        <f t="shared" ref="P594" si="9126">AVERAGE(O591,O592,O593,O594)</f>
        <v>32525</v>
      </c>
      <c r="Q594" s="71">
        <f t="shared" ref="Q594" si="9127">AVERAGE(P542,P490,P438)</f>
        <v>60453.833333333336</v>
      </c>
      <c r="R594" s="64">
        <f t="shared" ref="R594" si="9128">((O594/O542)-1)*100</f>
        <v>-59.671848013816927</v>
      </c>
      <c r="S594" s="73">
        <f t="shared" ref="S594" si="9129">((P594/P542)-1)*100</f>
        <v>-74.482690987545368</v>
      </c>
      <c r="T594" s="64">
        <f t="shared" ref="T594" si="9130">((P594/Q594)-1)*100</f>
        <v>-46.198614369642954</v>
      </c>
      <c r="V594" s="64">
        <v>69348</v>
      </c>
      <c r="W594" s="64">
        <v>89140</v>
      </c>
      <c r="X594" s="64">
        <v>15400</v>
      </c>
      <c r="Y594" s="64">
        <f t="shared" ref="Y594" si="9131">SUM(V594:X594)</f>
        <v>173888</v>
      </c>
      <c r="Z594" s="71">
        <f t="shared" ref="Z594" si="9132">AVERAGE(Y591,Y592,Y593,Y594)</f>
        <v>187883.5</v>
      </c>
      <c r="AA594" s="71">
        <f t="shared" ref="AA594" si="9133">AVERAGE(Z542,Z490,Z438)</f>
        <v>176523.41666666666</v>
      </c>
      <c r="AB594" s="64">
        <f t="shared" ref="AB594" si="9134">((Y594/Y542)-1)*100</f>
        <v>13.950196592398424</v>
      </c>
      <c r="AC594" s="64">
        <f t="shared" ref="AC594" si="9135">((Z594/Z542)-1)*100</f>
        <v>21.79131277478783</v>
      </c>
      <c r="AD594" s="64">
        <f t="shared" ref="AD594" si="9136">((Z594/AA594)-1)*100</f>
        <v>6.4354540308863672</v>
      </c>
      <c r="AF594" s="53">
        <v>0</v>
      </c>
      <c r="AG594" s="53">
        <v>0</v>
      </c>
      <c r="AH594" s="53">
        <v>1400</v>
      </c>
      <c r="AI594" s="53">
        <f t="shared" ref="AI594:AI595" si="9137">SUM(AF594:AH594)</f>
        <v>1400</v>
      </c>
      <c r="AJ594" s="71">
        <f t="shared" ref="AJ594" si="9138">AVERAGE(AI591,AI592,AI593,AI594)</f>
        <v>1837.5</v>
      </c>
      <c r="AK594" s="71">
        <f t="shared" ref="AK594" si="9139">AVERAGE(AJ542,AJ490,AJ438)</f>
        <v>6329.166666666667</v>
      </c>
      <c r="AL594" s="64">
        <f t="shared" ref="AL594" si="9140">((AI594/AI542)-1)*100</f>
        <v>-19.999999999999996</v>
      </c>
      <c r="AM594" s="64">
        <f t="shared" ref="AM594" si="9141">((AJ594/AJ542)-1)*100</f>
        <v>-15.517241379310342</v>
      </c>
      <c r="AN594" s="64">
        <f t="shared" ref="AN594" si="9142">((AJ594/AK594)-1)*100</f>
        <v>-70.967741935483872</v>
      </c>
      <c r="AP594" s="60">
        <f t="shared" si="9062"/>
        <v>330548</v>
      </c>
      <c r="AQ594" s="60">
        <f t="shared" si="9063"/>
        <v>370476</v>
      </c>
      <c r="AR594" s="60">
        <f t="shared" ref="AR594:AR595" si="9143">SUM(D594,N594,X594,AH594)</f>
        <v>56000</v>
      </c>
      <c r="AS594" s="60">
        <f t="shared" ref="AS594:AS595" si="9144">SUM(E594,O594,Y594,AI594)</f>
        <v>757024</v>
      </c>
      <c r="AT594" s="64">
        <f t="shared" ref="AT594" si="9145">AVERAGE(AS591,AS592,AS593,AS594)</f>
        <v>596737.25</v>
      </c>
      <c r="AU594" s="71">
        <f t="shared" ref="AU594" si="9146">AVERAGE(AT542,AT490,AT438)</f>
        <v>494248.91666666669</v>
      </c>
      <c r="AV594" s="64">
        <f t="shared" ref="AV594" si="9147">((AS594/AS542)-1)*100</f>
        <v>70.952539027656385</v>
      </c>
      <c r="AW594" s="64">
        <f t="shared" ref="AW594" si="9148">((AT594/AT542)-1)*100</f>
        <v>35.421355501985971</v>
      </c>
      <c r="AX594" s="64">
        <f t="shared" ref="AX594" si="9149">((AT594/AU594)-1)*100</f>
        <v>20.736177637887245</v>
      </c>
      <c r="AZ594" s="71">
        <f t="shared" ref="AZ594" si="9150">+E594/1000</f>
        <v>535.03599999999994</v>
      </c>
      <c r="BA594" s="53">
        <f t="shared" ref="BA594" si="9151">+O594/1000</f>
        <v>46.7</v>
      </c>
      <c r="BB594" s="53">
        <f t="shared" ref="BB594" si="9152">+Y594/1000</f>
        <v>173.88800000000001</v>
      </c>
      <c r="BC594" s="53">
        <f t="shared" ref="BC594" si="9153">+AI594/1000</f>
        <v>1.4</v>
      </c>
      <c r="BD594" s="53">
        <f t="shared" ref="BD594" si="9154">+AS594/1000</f>
        <v>757.024</v>
      </c>
      <c r="BE594" s="64">
        <f t="shared" ref="BE594" si="9155">BE593+AZ594</f>
        <v>3022.4929999999999</v>
      </c>
      <c r="BF594" s="64">
        <f t="shared" ref="BF594" si="9156">BF593+BA594</f>
        <v>254.91700000000003</v>
      </c>
      <c r="BG594" s="64">
        <f t="shared" ref="BG594" si="9157">BG593+BB594</f>
        <v>3177.4550000000004</v>
      </c>
      <c r="BH594" s="64">
        <f t="shared" ref="BH594" si="9158">BH593+BC594</f>
        <v>40.449999999999996</v>
      </c>
      <c r="BI594" s="64">
        <f t="shared" ref="BI594" si="9159">BI593+BD594</f>
        <v>6495.3149999999996</v>
      </c>
      <c r="BJ594" s="64">
        <f t="shared" si="9039"/>
        <v>11</v>
      </c>
    </row>
    <row r="595" spans="1:62" x14ac:dyDescent="0.25">
      <c r="A595" s="48">
        <f t="shared" si="8958"/>
        <v>41720</v>
      </c>
      <c r="B595" s="64">
        <v>166200</v>
      </c>
      <c r="C595" s="64">
        <v>299300</v>
      </c>
      <c r="D595" s="53">
        <v>15400</v>
      </c>
      <c r="E595" s="64">
        <f t="shared" ref="E595" si="9160">SUM(B595:D595)</f>
        <v>480900</v>
      </c>
      <c r="F595" s="64">
        <f t="shared" ref="F595" si="9161">AVERAGE(E592,E593,E594,E595)</f>
        <v>419585.75</v>
      </c>
      <c r="G595" s="71">
        <f t="shared" ref="G595" si="9162">AVERAGE(F543,F491,F439)</f>
        <v>283885.16666666669</v>
      </c>
      <c r="H595" s="64">
        <f t="shared" ref="H595" si="9163">((E595/E543)-1)*100</f>
        <v>229.15811088295689</v>
      </c>
      <c r="I595" s="64">
        <f t="shared" ref="I595" si="9164">((F595/F543)-1)*100</f>
        <v>153.87857161225327</v>
      </c>
      <c r="J595" s="64">
        <f t="shared" ref="J595" si="9165">((F595/G595)-1)*100</f>
        <v>47.801223616826285</v>
      </c>
      <c r="L595" s="53">
        <v>0</v>
      </c>
      <c r="M595" s="53">
        <v>28100</v>
      </c>
      <c r="N595" s="53">
        <v>29400</v>
      </c>
      <c r="O595" s="53">
        <f t="shared" ref="O595" si="9166">SUM(L595:N595)</f>
        <v>57500</v>
      </c>
      <c r="P595" s="71">
        <f t="shared" ref="P595" si="9167">AVERAGE(O592,O593,O594,O595)</f>
        <v>42462.5</v>
      </c>
      <c r="Q595" s="71">
        <f t="shared" ref="Q595" si="9168">AVERAGE(P543,P491,P439)</f>
        <v>62288.833333333336</v>
      </c>
      <c r="R595" s="64">
        <f t="shared" ref="R595" si="9169">((O595/O543)-1)*100</f>
        <v>-49.605609114811564</v>
      </c>
      <c r="S595" s="73">
        <f t="shared" ref="S595" si="9170">((P595/P543)-1)*100</f>
        <v>-66.205730202944693</v>
      </c>
      <c r="T595" s="64">
        <f t="shared" ref="T595" si="9171">((P595/Q595)-1)*100</f>
        <v>-31.82967519592864</v>
      </c>
      <c r="V595" s="64">
        <v>51050</v>
      </c>
      <c r="W595" s="64">
        <v>47500</v>
      </c>
      <c r="X595" s="64">
        <v>9800</v>
      </c>
      <c r="Y595" s="64">
        <f t="shared" ref="Y595" si="9172">SUM(V595:X595)</f>
        <v>108350</v>
      </c>
      <c r="Z595" s="71">
        <f t="shared" ref="Z595" si="9173">AVERAGE(Y592,Y593,Y594,Y595)</f>
        <v>177871</v>
      </c>
      <c r="AA595" s="71">
        <f t="shared" ref="AA595" si="9174">AVERAGE(Z543,Z491,Z439)</f>
        <v>164117.25</v>
      </c>
      <c r="AB595" s="64">
        <f t="shared" ref="AB595" si="9175">((Y595/Y543)-1)*100</f>
        <v>2.1350803600886037</v>
      </c>
      <c r="AC595" s="64">
        <f t="shared" ref="AC595" si="9176">((Z595/Z543)-1)*100</f>
        <v>32.176323279161181</v>
      </c>
      <c r="AD595" s="64">
        <f t="shared" ref="AD595" si="9177">((Z595/AA595)-1)*100</f>
        <v>8.3804414222149006</v>
      </c>
      <c r="AF595" s="53">
        <v>0</v>
      </c>
      <c r="AG595" s="53">
        <v>0</v>
      </c>
      <c r="AH595" s="53">
        <v>0</v>
      </c>
      <c r="AI595" s="53">
        <f t="shared" si="9137"/>
        <v>0</v>
      </c>
      <c r="AJ595" s="71">
        <f t="shared" ref="AJ595" si="9178">AVERAGE(AI592,AI593,AI594,AI595)</f>
        <v>1487.5</v>
      </c>
      <c r="AK595" s="71">
        <f t="shared" ref="AK595" si="9179">AVERAGE(AJ543,AJ491,AJ439)</f>
        <v>8187.5</v>
      </c>
      <c r="AL595" s="64">
        <f t="shared" ref="AL595" si="9180">((AI595/AI543)-1)*100</f>
        <v>-100</v>
      </c>
      <c r="AM595" s="64">
        <f t="shared" ref="AM595" si="9181">((AJ595/AJ543)-1)*100</f>
        <v>-40.796019900497512</v>
      </c>
      <c r="AN595" s="64">
        <f t="shared" ref="AN595" si="9182">((AJ595/AK595)-1)*100</f>
        <v>-81.832061068702288</v>
      </c>
      <c r="AP595" s="60">
        <f t="shared" si="9062"/>
        <v>217250</v>
      </c>
      <c r="AQ595" s="60">
        <f t="shared" si="9063"/>
        <v>374900</v>
      </c>
      <c r="AR595" s="60">
        <f t="shared" si="9143"/>
        <v>54600</v>
      </c>
      <c r="AS595" s="60">
        <f t="shared" si="9144"/>
        <v>646750</v>
      </c>
      <c r="AT595" s="64">
        <f t="shared" ref="AT595" si="9183">AVERAGE(AS592,AS593,AS594,AS595)</f>
        <v>641406.75</v>
      </c>
      <c r="AU595" s="71">
        <f t="shared" ref="AU595" si="9184">AVERAGE(AT543,AT491,AT439)</f>
        <v>518478.75</v>
      </c>
      <c r="AV595" s="64">
        <f t="shared" ref="AV595" si="9185">((AS595/AS543)-1)*100</f>
        <v>74.286214748642493</v>
      </c>
      <c r="AW595" s="64">
        <f t="shared" ref="AW595" si="9186">((AT595/AT543)-1)*100</f>
        <v>49.860077160538907</v>
      </c>
      <c r="AX595" s="64">
        <f t="shared" ref="AX595" si="9187">((AT595/AU595)-1)*100</f>
        <v>23.709361280476781</v>
      </c>
      <c r="AZ595" s="71">
        <f t="shared" ref="AZ595" si="9188">+E595/1000</f>
        <v>480.9</v>
      </c>
      <c r="BA595" s="53">
        <f t="shared" ref="BA595" si="9189">+O595/1000</f>
        <v>57.5</v>
      </c>
      <c r="BB595" s="53">
        <f t="shared" ref="BB595" si="9190">+Y595/1000</f>
        <v>108.35</v>
      </c>
      <c r="BC595" s="53">
        <f t="shared" ref="BC595" si="9191">+AI595/1000</f>
        <v>0</v>
      </c>
      <c r="BD595" s="53">
        <f t="shared" ref="BD595" si="9192">+AS595/1000</f>
        <v>646.75</v>
      </c>
      <c r="BE595" s="64">
        <f t="shared" ref="BE595" si="9193">BE594+AZ595</f>
        <v>3503.393</v>
      </c>
      <c r="BF595" s="64">
        <f t="shared" ref="BF595" si="9194">BF594+BA595</f>
        <v>312.41700000000003</v>
      </c>
      <c r="BG595" s="64">
        <f t="shared" ref="BG595" si="9195">BG594+BB595</f>
        <v>3285.8050000000003</v>
      </c>
      <c r="BH595" s="64">
        <f t="shared" ref="BH595" si="9196">BH594+BC595</f>
        <v>40.449999999999996</v>
      </c>
      <c r="BI595" s="64">
        <f t="shared" ref="BI595" si="9197">BI594+BD595</f>
        <v>7142.0649999999996</v>
      </c>
      <c r="BJ595" s="64">
        <f t="shared" si="9039"/>
        <v>12</v>
      </c>
    </row>
    <row r="596" spans="1:62" x14ac:dyDescent="0.25">
      <c r="A596" s="48">
        <f t="shared" si="8958"/>
        <v>41727</v>
      </c>
      <c r="B596" s="64">
        <v>277316</v>
      </c>
      <c r="C596" s="64">
        <v>306400</v>
      </c>
      <c r="D596" s="53">
        <v>4700</v>
      </c>
      <c r="E596" s="64">
        <f t="shared" ref="E596" si="9198">SUM(B596:D596)</f>
        <v>588416</v>
      </c>
      <c r="F596" s="64">
        <f t="shared" ref="F596" si="9199">AVERAGE(E593,E594,E595,E596)</f>
        <v>483498.25</v>
      </c>
      <c r="G596" s="71">
        <f t="shared" ref="G596" si="9200">AVERAGE(F544,F492,F440)</f>
        <v>327343</v>
      </c>
      <c r="H596" s="64">
        <f t="shared" ref="H596" si="9201">((E596/E544)-1)*100</f>
        <v>203.64059508635771</v>
      </c>
      <c r="I596" s="64">
        <f t="shared" ref="I596" si="9202">((F596/F544)-1)*100</f>
        <v>164.68833998478104</v>
      </c>
      <c r="J596" s="64">
        <f t="shared" ref="J596" si="9203">((F596/G596)-1)*100</f>
        <v>47.703861087605361</v>
      </c>
      <c r="L596" s="53">
        <v>15000</v>
      </c>
      <c r="M596" s="53">
        <v>22800</v>
      </c>
      <c r="N596" s="53">
        <v>28000</v>
      </c>
      <c r="O596" s="53">
        <f t="shared" ref="O596" si="9204">SUM(L596:N596)</f>
        <v>65800</v>
      </c>
      <c r="P596" s="71">
        <f t="shared" ref="P596" si="9205">AVERAGE(O593,O594,O595,O596)</f>
        <v>49537.5</v>
      </c>
      <c r="Q596" s="71">
        <f t="shared" ref="Q596" si="9206">AVERAGE(P544,P492,P440)</f>
        <v>62416.583333333336</v>
      </c>
      <c r="R596" s="64">
        <f t="shared" ref="R596" si="9207">((O596/O544)-1)*100</f>
        <v>-22.769953051643189</v>
      </c>
      <c r="S596" s="73">
        <f t="shared" ref="S596" si="9208">((P596/P544)-1)*100</f>
        <v>-58.169727675744141</v>
      </c>
      <c r="T596" s="64">
        <f t="shared" ref="T596" si="9209">((P596/Q596)-1)*100</f>
        <v>-20.63407294268751</v>
      </c>
      <c r="V596" s="64">
        <v>86400</v>
      </c>
      <c r="W596" s="64">
        <v>50550</v>
      </c>
      <c r="X596" s="64">
        <v>4200</v>
      </c>
      <c r="Y596" s="64">
        <f t="shared" ref="Y596" si="9210">SUM(V596:X596)</f>
        <v>141150</v>
      </c>
      <c r="Z596" s="71">
        <f t="shared" ref="Z596" si="9211">AVERAGE(Y593,Y594,Y595,Y596)</f>
        <v>146959</v>
      </c>
      <c r="AA596" s="71">
        <f t="shared" ref="AA596" si="9212">AVERAGE(Z544,Z492,Z440)</f>
        <v>166599.33333333334</v>
      </c>
      <c r="AB596" s="64">
        <f t="shared" ref="AB596" si="9213">((Y596/Y544)-1)*100</f>
        <v>130.31361159155438</v>
      </c>
      <c r="AC596" s="64">
        <f t="shared" ref="AC596" si="9214">((Z596/Z544)-1)*100</f>
        <v>17.547922140768925</v>
      </c>
      <c r="AD596" s="64">
        <f t="shared" ref="AD596" si="9215">((Z596/AA596)-1)*100</f>
        <v>-11.788962740947351</v>
      </c>
      <c r="AF596" s="53">
        <v>9500</v>
      </c>
      <c r="AG596" s="53">
        <v>0</v>
      </c>
      <c r="AH596" s="53">
        <v>1400</v>
      </c>
      <c r="AI596" s="53">
        <f t="shared" ref="AI596" si="9216">SUM(AF596:AH596)</f>
        <v>10900</v>
      </c>
      <c r="AJ596" s="71">
        <f t="shared" ref="AJ596" si="9217">AVERAGE(AI593,AI594,AI595,AI596)</f>
        <v>3075</v>
      </c>
      <c r="AK596" s="71">
        <f t="shared" ref="AK596" si="9218">AVERAGE(AJ544,AJ492,AJ440)</f>
        <v>9912.5</v>
      </c>
      <c r="AL596" s="64">
        <f t="shared" ref="AL596" si="9219">((AI596/AI544)-1)*100</f>
        <v>-47.596153846153847</v>
      </c>
      <c r="AM596" s="64">
        <f t="shared" ref="AM596" si="9220">((AJ596/AJ544)-1)*100</f>
        <v>-60.129659643435971</v>
      </c>
      <c r="AN596" s="64">
        <f t="shared" ref="AN596" si="9221">((AJ596/AK596)-1)*100</f>
        <v>-68.978562421185373</v>
      </c>
      <c r="AP596" s="60">
        <f t="shared" ref="AP596:AP597" si="9222">SUM(B596,L596,V596,AF596)</f>
        <v>388216</v>
      </c>
      <c r="AQ596" s="60">
        <f t="shared" ref="AQ596:AQ597" si="9223">SUM(C596,M596,W596,AG596)</f>
        <v>379750</v>
      </c>
      <c r="AR596" s="60">
        <f t="shared" ref="AR596" si="9224">SUM(D596,N596,X596,AH596)</f>
        <v>38300</v>
      </c>
      <c r="AS596" s="60">
        <f t="shared" ref="AS596" si="9225">SUM(E596,O596,Y596,AI596)</f>
        <v>806266</v>
      </c>
      <c r="AT596" s="64">
        <f t="shared" ref="AT596" si="9226">AVERAGE(AS593,AS594,AS595,AS596)</f>
        <v>683069.75</v>
      </c>
      <c r="AU596" s="71">
        <f t="shared" ref="AU596" si="9227">AVERAGE(AT544,AT492,AT440)</f>
        <v>566271.41666666663</v>
      </c>
      <c r="AV596" s="64">
        <f t="shared" ref="AV596" si="9228">((AS596/AS544)-1)*100</f>
        <v>123.29722798436879</v>
      </c>
      <c r="AW596" s="64">
        <f t="shared" ref="AW596" si="9229">((AT596/AT544)-1)*100</f>
        <v>57.452832363280116</v>
      </c>
      <c r="AX596" s="64">
        <f t="shared" ref="AX596" si="9230">((AT596/AU596)-1)*100</f>
        <v>20.625857123579006</v>
      </c>
      <c r="AZ596" s="71">
        <f t="shared" ref="AZ596" si="9231">+E596/1000</f>
        <v>588.41600000000005</v>
      </c>
      <c r="BA596" s="53">
        <f t="shared" ref="BA596" si="9232">+O596/1000</f>
        <v>65.8</v>
      </c>
      <c r="BB596" s="53">
        <f t="shared" ref="BB596" si="9233">+Y596/1000</f>
        <v>141.15</v>
      </c>
      <c r="BC596" s="53">
        <f t="shared" ref="BC596" si="9234">+AI596/1000</f>
        <v>10.9</v>
      </c>
      <c r="BD596" s="53">
        <f t="shared" ref="BD596" si="9235">+AS596/1000</f>
        <v>806.26599999999996</v>
      </c>
      <c r="BE596" s="64">
        <f t="shared" ref="BE596" si="9236">BE595+AZ596</f>
        <v>4091.8090000000002</v>
      </c>
      <c r="BF596" s="64">
        <f t="shared" ref="BF596" si="9237">BF595+BA596</f>
        <v>378.21700000000004</v>
      </c>
      <c r="BG596" s="64">
        <f t="shared" ref="BG596" si="9238">BG595+BB596</f>
        <v>3426.9550000000004</v>
      </c>
      <c r="BH596" s="64">
        <f t="shared" ref="BH596" si="9239">BH595+BC596</f>
        <v>51.349999999999994</v>
      </c>
      <c r="BI596" s="64">
        <f t="shared" ref="BI596" si="9240">BI595+BD596</f>
        <v>7948.3309999999992</v>
      </c>
      <c r="BJ596" s="64">
        <f t="shared" si="9039"/>
        <v>13</v>
      </c>
    </row>
    <row r="597" spans="1:62" x14ac:dyDescent="0.25">
      <c r="A597" s="48">
        <f t="shared" si="8958"/>
        <v>41734</v>
      </c>
      <c r="B597" s="64">
        <v>299500</v>
      </c>
      <c r="C597" s="64">
        <v>186450</v>
      </c>
      <c r="D597" s="53">
        <v>5600</v>
      </c>
      <c r="E597" s="64">
        <f t="shared" ref="E597" si="9241">SUM(B597:D597)</f>
        <v>491550</v>
      </c>
      <c r="F597" s="64">
        <f t="shared" ref="F597" si="9242">AVERAGE(E594,E595,E596,E597)</f>
        <v>523975.5</v>
      </c>
      <c r="G597" s="71">
        <f t="shared" ref="G597" si="9243">AVERAGE(F545,F493,F441)</f>
        <v>329807.41666666669</v>
      </c>
      <c r="H597" s="64">
        <f t="shared" ref="H597" si="9244">((E597/E545)-1)*100</f>
        <v>245.91836734693877</v>
      </c>
      <c r="I597" s="64">
        <f t="shared" ref="I597" si="9245">((F597/F545)-1)*100</f>
        <v>220.1492674104579</v>
      </c>
      <c r="J597" s="64">
        <f t="shared" ref="J597" si="9246">((F597/G597)-1)*100</f>
        <v>58.873170681172773</v>
      </c>
      <c r="L597" s="53">
        <v>18700</v>
      </c>
      <c r="M597" s="53">
        <v>19200</v>
      </c>
      <c r="N597" s="53">
        <v>28000</v>
      </c>
      <c r="O597" s="53">
        <f t="shared" ref="O597" si="9247">SUM(L597:N597)</f>
        <v>65900</v>
      </c>
      <c r="P597" s="71">
        <f t="shared" ref="P597" si="9248">AVERAGE(O594,O595,O596,O597)</f>
        <v>58975</v>
      </c>
      <c r="Q597" s="71">
        <f t="shared" ref="Q597" si="9249">AVERAGE(P545,P493,P441)</f>
        <v>53919.25</v>
      </c>
      <c r="R597" s="64">
        <f t="shared" ref="R597" si="9250">((O597/O545)-1)*100</f>
        <v>29.342492639842988</v>
      </c>
      <c r="S597" s="73">
        <f t="shared" ref="S597" si="9251">((P597/P545)-1)*100</f>
        <v>-35.555252014752078</v>
      </c>
      <c r="T597" s="64">
        <f t="shared" ref="T597" si="9252">((P597/Q597)-1)*100</f>
        <v>9.376521372237189</v>
      </c>
      <c r="V597" s="64">
        <v>47100</v>
      </c>
      <c r="W597" s="64">
        <v>25900</v>
      </c>
      <c r="X597" s="64">
        <v>2800</v>
      </c>
      <c r="Y597" s="64">
        <f t="shared" ref="Y597:Y598" si="9253">SUM(V597:X597)</f>
        <v>75800</v>
      </c>
      <c r="Z597" s="71">
        <f t="shared" ref="Z597" si="9254">AVERAGE(Y594,Y595,Y596,Y597)</f>
        <v>124797</v>
      </c>
      <c r="AA597" s="71">
        <f t="shared" ref="AA597" si="9255">AVERAGE(Z545,Z493,Z441)</f>
        <v>145603.58333333334</v>
      </c>
      <c r="AB597" s="64">
        <f t="shared" ref="AB597" si="9256">((Y597/Y545)-1)*100</f>
        <v>-13.073394495412849</v>
      </c>
      <c r="AC597" s="64">
        <f t="shared" ref="AC597" si="9257">((Z597/Z545)-1)*100</f>
        <v>22.599104553123862</v>
      </c>
      <c r="AD597" s="64">
        <f t="shared" ref="AD597" si="9258">((Z597/AA597)-1)*100</f>
        <v>-14.289884120296959</v>
      </c>
      <c r="AF597" s="53">
        <v>0</v>
      </c>
      <c r="AG597" s="53">
        <v>0</v>
      </c>
      <c r="AH597" s="53">
        <v>1400</v>
      </c>
      <c r="AI597" s="53">
        <f t="shared" ref="AI597" si="9259">SUM(AF597:AH597)</f>
        <v>1400</v>
      </c>
      <c r="AJ597" s="71">
        <f t="shared" ref="AJ597" si="9260">AVERAGE(AI594,AI595,AI596,AI597)</f>
        <v>3425</v>
      </c>
      <c r="AK597" s="71">
        <f t="shared" ref="AK597" si="9261">AVERAGE(AJ545,AJ493,AJ441)</f>
        <v>9383.3333333333339</v>
      </c>
      <c r="AL597" s="64">
        <f t="shared" ref="AL597:AL601" si="9262">((AI597/AI545)-1)*100</f>
        <v>-82.389937106918239</v>
      </c>
      <c r="AM597" s="64">
        <f t="shared" ref="AM597" si="9263">((AJ597/AJ545)-1)*100</f>
        <v>-61.189801699716703</v>
      </c>
      <c r="AN597" s="64">
        <f t="shared" ref="AN597" si="9264">((AJ597/AK597)-1)*100</f>
        <v>-63.499111900532853</v>
      </c>
      <c r="AP597" s="60">
        <f t="shared" si="9222"/>
        <v>365300</v>
      </c>
      <c r="AQ597" s="60">
        <f t="shared" si="9223"/>
        <v>231550</v>
      </c>
      <c r="AR597" s="60">
        <f t="shared" ref="AR597" si="9265">SUM(D597,N597,X597,AH597)</f>
        <v>37800</v>
      </c>
      <c r="AS597" s="60">
        <f t="shared" ref="AS597" si="9266">SUM(E597,O597,Y597,AI597)</f>
        <v>634650</v>
      </c>
      <c r="AT597" s="64">
        <f t="shared" ref="AT597" si="9267">AVERAGE(AS594,AS595,AS596,AS597)</f>
        <v>711172.5</v>
      </c>
      <c r="AU597" s="71">
        <f t="shared" ref="AU597" si="9268">AVERAGE(AT545,AT493,AT441)</f>
        <v>538713.58333333337</v>
      </c>
      <c r="AV597" s="64">
        <f t="shared" ref="AV597" si="9269">((AS597/AS545)-1)*100</f>
        <v>120.21165857043718</v>
      </c>
      <c r="AW597" s="64">
        <f t="shared" ref="AW597" si="9270">((AT597/AT545)-1)*100</f>
        <v>94.417657370735753</v>
      </c>
      <c r="AX597" s="64">
        <f t="shared" ref="AX597" si="9271">((AT597/AU597)-1)*100</f>
        <v>32.013099725379732</v>
      </c>
      <c r="AZ597" s="71">
        <f t="shared" ref="AZ597" si="9272">+E597/1000</f>
        <v>491.55</v>
      </c>
      <c r="BA597" s="53">
        <f t="shared" ref="BA597" si="9273">+O597/1000</f>
        <v>65.900000000000006</v>
      </c>
      <c r="BB597" s="53">
        <f t="shared" ref="BB597" si="9274">+Y597/1000</f>
        <v>75.8</v>
      </c>
      <c r="BC597" s="53">
        <f t="shared" ref="BC597" si="9275">+AI597/1000</f>
        <v>1.4</v>
      </c>
      <c r="BD597" s="53">
        <f t="shared" ref="BD597" si="9276">+AS597/1000</f>
        <v>634.65</v>
      </c>
      <c r="BE597" s="64">
        <f t="shared" ref="BE597" si="9277">BE596+AZ597</f>
        <v>4583.3590000000004</v>
      </c>
      <c r="BF597" s="64">
        <f t="shared" ref="BF597" si="9278">BF596+BA597</f>
        <v>444.11700000000008</v>
      </c>
      <c r="BG597" s="64">
        <f t="shared" ref="BG597" si="9279">BG596+BB597</f>
        <v>3502.7550000000006</v>
      </c>
      <c r="BH597" s="64">
        <f t="shared" ref="BH597" si="9280">BH596+BC597</f>
        <v>52.749999999999993</v>
      </c>
      <c r="BI597" s="64">
        <f t="shared" ref="BI597" si="9281">BI596+BD597</f>
        <v>8582.9809999999998</v>
      </c>
      <c r="BJ597" s="64">
        <f t="shared" si="9039"/>
        <v>14</v>
      </c>
    </row>
    <row r="598" spans="1:62" x14ac:dyDescent="0.25">
      <c r="A598" s="48">
        <f t="shared" si="8958"/>
        <v>41741</v>
      </c>
      <c r="B598" s="64">
        <v>277400</v>
      </c>
      <c r="C598" s="64">
        <v>203450</v>
      </c>
      <c r="D598" s="53">
        <v>4200</v>
      </c>
      <c r="E598" s="64">
        <f t="shared" ref="E598:E599" si="9282">SUM(B598:D598)</f>
        <v>485050</v>
      </c>
      <c r="F598" s="64">
        <f t="shared" ref="F598" si="9283">AVERAGE(E595,E596,E597,E598)</f>
        <v>511479</v>
      </c>
      <c r="G598" s="71">
        <f t="shared" ref="G598" si="9284">AVERAGE(F546,F494,F442)</f>
        <v>335809.16666666669</v>
      </c>
      <c r="H598" s="64">
        <f t="shared" ref="H598" si="9285">((E598/E546)-1)*100</f>
        <v>184.32004689331771</v>
      </c>
      <c r="I598" s="64">
        <f t="shared" ref="I598" si="9286">((F598/F546)-1)*100</f>
        <v>213.50854368842772</v>
      </c>
      <c r="J598" s="64">
        <f t="shared" ref="J598" si="9287">((F598/G598)-1)*100</f>
        <v>52.312399651587825</v>
      </c>
      <c r="L598" s="53">
        <v>17644</v>
      </c>
      <c r="M598" s="53">
        <v>21150</v>
      </c>
      <c r="N598" s="53">
        <v>21000</v>
      </c>
      <c r="O598" s="53">
        <f t="shared" ref="O598" si="9288">SUM(L598:N598)</f>
        <v>59794</v>
      </c>
      <c r="P598" s="71">
        <f t="shared" ref="P598" si="9289">AVERAGE(O595,O596,O597,O598)</f>
        <v>62248.5</v>
      </c>
      <c r="Q598" s="71">
        <f t="shared" ref="Q598" si="9290">AVERAGE(P546,P494,P442)</f>
        <v>53634.916666666664</v>
      </c>
      <c r="R598" s="64">
        <f t="shared" ref="R598" si="9291">((O598/O546)-1)*100</f>
        <v>-29.279716144293321</v>
      </c>
      <c r="S598" s="73">
        <f t="shared" ref="S598" si="9292">((P598/P546)-1)*100</f>
        <v>-25.62903225806452</v>
      </c>
      <c r="T598" s="64">
        <f t="shared" ref="T598" si="9293">((P598/Q598)-1)*100</f>
        <v>16.059656411634847</v>
      </c>
      <c r="V598" s="64">
        <v>125276</v>
      </c>
      <c r="W598" s="64">
        <v>31950</v>
      </c>
      <c r="X598" s="53">
        <v>0</v>
      </c>
      <c r="Y598" s="64">
        <f t="shared" si="9253"/>
        <v>157226</v>
      </c>
      <c r="Z598" s="71">
        <f t="shared" ref="Z598" si="9294">AVERAGE(Y595,Y596,Y597,Y598)</f>
        <v>120631.5</v>
      </c>
      <c r="AA598" s="71">
        <f t="shared" ref="AA598" si="9295">AVERAGE(Z546,Z494,Z442)</f>
        <v>135198.08333333334</v>
      </c>
      <c r="AB598" s="64">
        <f t="shared" ref="AB598" si="9296">((Y598/Y546)-1)*100</f>
        <v>90.692540933899338</v>
      </c>
      <c r="AC598" s="64">
        <f t="shared" ref="AC598" si="9297">((Z598/Z546)-1)*100</f>
        <v>43.173867503805411</v>
      </c>
      <c r="AD598" s="64">
        <f t="shared" ref="AD598" si="9298">((Z598/AA598)-1)*100</f>
        <v>-10.774252840122866</v>
      </c>
      <c r="AF598" s="53">
        <v>3200</v>
      </c>
      <c r="AG598" s="53">
        <v>0</v>
      </c>
      <c r="AH598" s="53">
        <v>2800</v>
      </c>
      <c r="AI598" s="53">
        <f t="shared" ref="AI598" si="9299">SUM(AF598:AH598)</f>
        <v>6000</v>
      </c>
      <c r="AJ598" s="71">
        <f t="shared" ref="AJ598" si="9300">AVERAGE(AI595,AI596,AI597,AI598)</f>
        <v>4575</v>
      </c>
      <c r="AK598" s="71">
        <f t="shared" ref="AK598" si="9301">AVERAGE(AJ546,AJ494,AJ442)</f>
        <v>9029.1666666666661</v>
      </c>
      <c r="AL598" s="64"/>
      <c r="AM598" s="64">
        <f t="shared" ref="AM598" si="9302">((AJ598/AJ546)-1)*100</f>
        <v>-45.45454545454546</v>
      </c>
      <c r="AN598" s="64">
        <f t="shared" ref="AN598" si="9303">((AJ598/AK598)-1)*100</f>
        <v>-49.330872173511764</v>
      </c>
      <c r="AP598" s="60">
        <f t="shared" ref="AP598:AP599" si="9304">SUM(B598,L598,V598,AF598)</f>
        <v>423520</v>
      </c>
      <c r="AQ598" s="60">
        <f t="shared" ref="AQ598:AQ599" si="9305">SUM(C598,M598,W598,AG598)</f>
        <v>256550</v>
      </c>
      <c r="AR598" s="60">
        <f t="shared" ref="AR598" si="9306">SUM(D598,N598,X598,AH598)</f>
        <v>28000</v>
      </c>
      <c r="AS598" s="60">
        <f t="shared" ref="AS598" si="9307">SUM(E598,O598,Y598,AI598)</f>
        <v>708070</v>
      </c>
      <c r="AT598" s="64">
        <f t="shared" ref="AT598" si="9308">AVERAGE(AS595,AS596,AS597,AS598)</f>
        <v>698934</v>
      </c>
      <c r="AU598" s="71">
        <f t="shared" ref="AU598" si="9309">AVERAGE(AT546,AT494,AT442)</f>
        <v>533671.33333333337</v>
      </c>
      <c r="AV598" s="64">
        <f t="shared" ref="AV598" si="9310">((AS598/AS546)-1)*100</f>
        <v>109.73637440758294</v>
      </c>
      <c r="AW598" s="64">
        <f t="shared" ref="AW598" si="9311">((AT598/AT546)-1)*100</f>
        <v>105.87794320590179</v>
      </c>
      <c r="AX598" s="64">
        <f t="shared" ref="AX598" si="9312">((AT598/AU598)-1)*100</f>
        <v>30.96712458479438</v>
      </c>
      <c r="AZ598" s="71">
        <f t="shared" ref="AZ598" si="9313">+E598/1000</f>
        <v>485.05</v>
      </c>
      <c r="BA598" s="53">
        <f t="shared" ref="BA598" si="9314">+O598/1000</f>
        <v>59.793999999999997</v>
      </c>
      <c r="BB598" s="53">
        <f t="shared" ref="BB598" si="9315">+Y598/1000</f>
        <v>157.226</v>
      </c>
      <c r="BC598" s="53">
        <f t="shared" ref="BC598" si="9316">+AI598/1000</f>
        <v>6</v>
      </c>
      <c r="BD598" s="53">
        <f t="shared" ref="BD598" si="9317">+AS598/1000</f>
        <v>708.07</v>
      </c>
      <c r="BE598" s="64">
        <f t="shared" ref="BE598" si="9318">BE597+AZ598</f>
        <v>5068.4090000000006</v>
      </c>
      <c r="BF598" s="64">
        <f t="shared" ref="BF598" si="9319">BF597+BA598</f>
        <v>503.91100000000006</v>
      </c>
      <c r="BG598" s="64">
        <f t="shared" ref="BG598" si="9320">BG597+BB598</f>
        <v>3659.9810000000007</v>
      </c>
      <c r="BH598" s="64">
        <f t="shared" ref="BH598" si="9321">BH597+BC598</f>
        <v>58.749999999999993</v>
      </c>
      <c r="BI598" s="64">
        <f t="shared" ref="BI598" si="9322">BI597+BD598</f>
        <v>9291.0509999999995</v>
      </c>
      <c r="BJ598" s="64">
        <f t="shared" si="9039"/>
        <v>15</v>
      </c>
    </row>
    <row r="599" spans="1:62" x14ac:dyDescent="0.25">
      <c r="A599" s="48">
        <f t="shared" si="8958"/>
        <v>41748</v>
      </c>
      <c r="B599" s="64">
        <v>332238</v>
      </c>
      <c r="C599" s="64">
        <v>158521</v>
      </c>
      <c r="D599" s="53">
        <v>0</v>
      </c>
      <c r="E599" s="64">
        <f t="shared" si="9282"/>
        <v>490759</v>
      </c>
      <c r="F599" s="64">
        <f t="shared" ref="F599" si="9323">AVERAGE(E596,E597,E598,E599)</f>
        <v>513943.75</v>
      </c>
      <c r="G599" s="71">
        <f t="shared" ref="G599" si="9324">AVERAGE(F547,F495,F443)</f>
        <v>314964.41666666669</v>
      </c>
      <c r="H599" s="64">
        <f t="shared" ref="H599" si="9325">((E599/E547)-1)*100</f>
        <v>324.78555539205922</v>
      </c>
      <c r="I599" s="64">
        <f t="shared" ref="I599" si="9326">((F599/F547)-1)*100</f>
        <v>230.50088582645517</v>
      </c>
      <c r="J599" s="64">
        <f t="shared" ref="J599" si="9327">((F599/G599)-1)*100</f>
        <v>63.175178783423405</v>
      </c>
      <c r="L599" s="53">
        <v>1600</v>
      </c>
      <c r="M599" s="53">
        <v>13750</v>
      </c>
      <c r="N599" s="53">
        <v>33600</v>
      </c>
      <c r="O599" s="53">
        <f t="shared" ref="O599" si="9328">SUM(L599:N599)</f>
        <v>48950</v>
      </c>
      <c r="P599" s="71">
        <f t="shared" ref="P599" si="9329">AVERAGE(O596,O597,O598,O599)</f>
        <v>60111</v>
      </c>
      <c r="Q599" s="71">
        <f t="shared" ref="Q599" si="9330">AVERAGE(P547,P495,P443)</f>
        <v>50585.333333333336</v>
      </c>
      <c r="R599" s="64">
        <f t="shared" ref="R599" si="9331">((O599/O547)-1)*100</f>
        <v>-19.423868312757197</v>
      </c>
      <c r="S599" s="73">
        <f t="shared" ref="S599" si="9332">((P599/P547)-1)*100</f>
        <v>-14.569550541836918</v>
      </c>
      <c r="T599" s="64">
        <f t="shared" ref="T599" si="9333">((P599/Q599)-1)*100</f>
        <v>18.830886422942083</v>
      </c>
      <c r="V599" s="64">
        <v>106100</v>
      </c>
      <c r="W599" s="64">
        <v>21036</v>
      </c>
      <c r="X599" s="64">
        <v>4200</v>
      </c>
      <c r="Y599" s="64">
        <f t="shared" ref="Y599" si="9334">SUM(V599:X599)</f>
        <v>131336</v>
      </c>
      <c r="Z599" s="71">
        <f t="shared" ref="Z599" si="9335">AVERAGE(Y596,Y597,Y598,Y599)</f>
        <v>126378</v>
      </c>
      <c r="AA599" s="71">
        <f t="shared" ref="AA599" si="9336">AVERAGE(Z547,Z495,Z443)</f>
        <v>126481</v>
      </c>
      <c r="AB599" s="64">
        <f t="shared" ref="AB599" si="9337">((Y599/Y547)-1)*100</f>
        <v>133.41153053245182</v>
      </c>
      <c r="AC599" s="64">
        <f t="shared" ref="AC599" si="9338">((Z599/Z547)-1)*100</f>
        <v>76.011476163284627</v>
      </c>
      <c r="AD599" s="64">
        <f t="shared" ref="AD599" si="9339">((Z599/AA599)-1)*100</f>
        <v>-8.143515626852782E-2</v>
      </c>
      <c r="AF599" s="53">
        <v>0</v>
      </c>
      <c r="AG599" s="53">
        <v>0</v>
      </c>
      <c r="AH599" s="53">
        <v>1400</v>
      </c>
      <c r="AI599" s="53">
        <f t="shared" ref="AI599:AI603" si="9340">SUM(AF599:AH599)</f>
        <v>1400</v>
      </c>
      <c r="AJ599" s="71">
        <f t="shared" ref="AJ599" si="9341">AVERAGE(AI596,AI597,AI598,AI599)</f>
        <v>4925</v>
      </c>
      <c r="AK599" s="71">
        <f t="shared" ref="AK599" si="9342">AVERAGE(AJ547,AJ495,AJ443)</f>
        <v>7266.666666666667</v>
      </c>
      <c r="AL599" s="64">
        <f t="shared" si="9262"/>
        <v>-73.333333333333343</v>
      </c>
      <c r="AM599" s="64">
        <f t="shared" ref="AM599" si="9343">((AJ599/AJ547)-1)*100</f>
        <v>-42.058823529411761</v>
      </c>
      <c r="AN599" s="64">
        <f t="shared" ref="AN599" si="9344">((AJ599/AK599)-1)*100</f>
        <v>-32.22477064220184</v>
      </c>
      <c r="AP599" s="60">
        <f t="shared" si="9304"/>
        <v>439938</v>
      </c>
      <c r="AQ599" s="60">
        <f t="shared" si="9305"/>
        <v>193307</v>
      </c>
      <c r="AR599" s="60">
        <f t="shared" ref="AR599" si="9345">SUM(D599,N599,X599,AH599)</f>
        <v>39200</v>
      </c>
      <c r="AS599" s="60">
        <f t="shared" ref="AS599" si="9346">SUM(E599,O599,Y599,AI599)</f>
        <v>672445</v>
      </c>
      <c r="AT599" s="64">
        <f t="shared" ref="AT599" si="9347">AVERAGE(AS596,AS597,AS598,AS599)</f>
        <v>705357.75</v>
      </c>
      <c r="AU599" s="71">
        <f t="shared" ref="AU599" si="9348">AVERAGE(AT547,AT495,AT443)</f>
        <v>499297.41666666669</v>
      </c>
      <c r="AV599" s="64">
        <f t="shared" ref="AV599" si="9349">((AS599/AS547)-1)*100</f>
        <v>182.77873329997183</v>
      </c>
      <c r="AW599" s="64">
        <f t="shared" ref="AW599" si="9350">((AT599/AT547)-1)*100</f>
        <v>130.38258407149016</v>
      </c>
      <c r="AX599" s="64">
        <f t="shared" ref="AX599" si="9351">((AT599/AU599)-1)*100</f>
        <v>41.270057976466589</v>
      </c>
      <c r="AZ599" s="71">
        <f t="shared" ref="AZ599" si="9352">+E599/1000</f>
        <v>490.75900000000001</v>
      </c>
      <c r="BA599" s="53">
        <f t="shared" ref="BA599" si="9353">+O599/1000</f>
        <v>48.95</v>
      </c>
      <c r="BB599" s="53">
        <f t="shared" ref="BB599" si="9354">+Y599/1000</f>
        <v>131.33600000000001</v>
      </c>
      <c r="BC599" s="53">
        <f t="shared" ref="BC599" si="9355">+AI599/1000</f>
        <v>1.4</v>
      </c>
      <c r="BD599" s="53">
        <f t="shared" ref="BD599" si="9356">+AS599/1000</f>
        <v>672.44500000000005</v>
      </c>
      <c r="BE599" s="64">
        <f t="shared" ref="BE599" si="9357">BE598+AZ599</f>
        <v>5559.1680000000006</v>
      </c>
      <c r="BF599" s="64">
        <f t="shared" ref="BF599" si="9358">BF598+BA599</f>
        <v>552.8610000000001</v>
      </c>
      <c r="BG599" s="64">
        <f t="shared" ref="BG599" si="9359">BG598+BB599</f>
        <v>3791.3170000000009</v>
      </c>
      <c r="BH599" s="64">
        <f t="shared" ref="BH599" si="9360">BH598+BC599</f>
        <v>60.149999999999991</v>
      </c>
      <c r="BI599" s="64">
        <f t="shared" ref="BI599" si="9361">BI598+BD599</f>
        <v>9963.4959999999992</v>
      </c>
      <c r="BJ599" s="64">
        <f t="shared" si="9039"/>
        <v>16</v>
      </c>
    </row>
    <row r="600" spans="1:62" x14ac:dyDescent="0.25">
      <c r="A600" s="48">
        <f t="shared" si="8958"/>
        <v>41755</v>
      </c>
      <c r="B600" s="64">
        <v>321473</v>
      </c>
      <c r="C600" s="64">
        <v>171558</v>
      </c>
      <c r="D600" s="53">
        <v>4200</v>
      </c>
      <c r="E600" s="64">
        <f t="shared" ref="E600:E617" si="9362">SUM(B600:D600)</f>
        <v>497231</v>
      </c>
      <c r="F600" s="64">
        <f t="shared" ref="F600" si="9363">AVERAGE(E597,E598,E599,E600)</f>
        <v>491147.5</v>
      </c>
      <c r="G600" s="71">
        <f t="shared" ref="G600" si="9364">AVERAGE(F548,F496,F444)</f>
        <v>269769</v>
      </c>
      <c r="H600" s="64">
        <f t="shared" ref="H600" si="9365">((E600/E548)-1)*100</f>
        <v>1093.8319327731092</v>
      </c>
      <c r="I600" s="64">
        <f t="shared" ref="I600" si="9366">((F600/F548)-1)*100</f>
        <v>318.10373264720215</v>
      </c>
      <c r="J600" s="64">
        <f t="shared" ref="J600" si="9367">((F600/G600)-1)*100</f>
        <v>82.06224584737312</v>
      </c>
      <c r="L600" s="53">
        <v>9124</v>
      </c>
      <c r="M600" s="53">
        <v>0</v>
      </c>
      <c r="N600" s="53">
        <v>18200</v>
      </c>
      <c r="O600" s="53">
        <f t="shared" ref="O600" si="9368">SUM(L600:N600)</f>
        <v>27324</v>
      </c>
      <c r="P600" s="71">
        <f t="shared" ref="P600" si="9369">AVERAGE(O597,O598,O599,O600)</f>
        <v>50492</v>
      </c>
      <c r="Q600" s="71">
        <f t="shared" ref="Q600" si="9370">AVERAGE(P548,P496,P444)</f>
        <v>44315.916666666664</v>
      </c>
      <c r="R600" s="64">
        <f t="shared" ref="R600" si="9371">((O600/O548)-1)*100</f>
        <v>-36.233372228704788</v>
      </c>
      <c r="S600" s="73">
        <f t="shared" ref="S600" si="9372">((P600/P548)-1)*100</f>
        <v>-15.529903805938938</v>
      </c>
      <c r="T600" s="64">
        <f t="shared" ref="T600" si="9373">((P600/Q600)-1)*100</f>
        <v>13.936490087271135</v>
      </c>
      <c r="V600" s="64">
        <v>69600</v>
      </c>
      <c r="W600" s="64">
        <v>20850</v>
      </c>
      <c r="X600" s="64">
        <v>2800</v>
      </c>
      <c r="Y600" s="64">
        <f t="shared" ref="Y600" si="9374">SUM(V600:X600)</f>
        <v>93250</v>
      </c>
      <c r="Z600" s="71">
        <f t="shared" ref="Z600" si="9375">AVERAGE(Y597,Y598,Y599,Y600)</f>
        <v>114403</v>
      </c>
      <c r="AA600" s="71">
        <f t="shared" ref="AA600" si="9376">AVERAGE(Z548,Z496,Z444)</f>
        <v>109021.91666666667</v>
      </c>
      <c r="AB600" s="64">
        <f t="shared" ref="AB600" si="9377">((Y600/Y548)-1)*100</f>
        <v>176.50931087652708</v>
      </c>
      <c r="AC600" s="64">
        <f t="shared" ref="AC600" si="9378">((Z600/Z548)-1)*100</f>
        <v>76.247294351453164</v>
      </c>
      <c r="AD600" s="64">
        <f t="shared" ref="AD600" si="9379">((Z600/AA600)-1)*100</f>
        <v>4.9357812611072749</v>
      </c>
      <c r="AF600" s="53">
        <v>6000</v>
      </c>
      <c r="AG600" s="53">
        <v>0</v>
      </c>
      <c r="AH600" s="53">
        <v>0</v>
      </c>
      <c r="AI600" s="53">
        <f t="shared" si="9340"/>
        <v>6000</v>
      </c>
      <c r="AJ600" s="71">
        <f t="shared" ref="AJ600" si="9380">AVERAGE(AI597,AI598,AI599,AI600)</f>
        <v>3700</v>
      </c>
      <c r="AK600" s="71">
        <f t="shared" ref="AK600" si="9381">AVERAGE(AJ548,AJ496,AJ444)</f>
        <v>5154.166666666667</v>
      </c>
      <c r="AL600" s="64"/>
      <c r="AM600" s="64">
        <f t="shared" ref="AM600" si="9382">((AJ600/AJ548)-1)*100</f>
        <v>12.12121212121211</v>
      </c>
      <c r="AN600" s="64">
        <f t="shared" ref="AN600" si="9383">((AJ600/AK600)-1)*100</f>
        <v>-28.213419563459986</v>
      </c>
      <c r="AP600" s="60">
        <f t="shared" ref="AP600:AP601" si="9384">SUM(B600,L600,V600,AF600)</f>
        <v>406197</v>
      </c>
      <c r="AQ600" s="60">
        <f t="shared" ref="AQ600:AQ601" si="9385">SUM(C600,M600,W600,AG600)</f>
        <v>192408</v>
      </c>
      <c r="AR600" s="60">
        <f t="shared" ref="AR600:AR601" si="9386">SUM(D600,N600,X600,AH600)</f>
        <v>25200</v>
      </c>
      <c r="AS600" s="60">
        <f t="shared" ref="AS600:AS601" si="9387">SUM(E600,O600,Y600,AI600)</f>
        <v>623805</v>
      </c>
      <c r="AT600" s="64">
        <f t="shared" ref="AT600" si="9388">AVERAGE(AS597,AS598,AS599,AS600)</f>
        <v>659742.5</v>
      </c>
      <c r="AU600" s="71">
        <f t="shared" ref="AU600" si="9389">AVERAGE(AT548,AT496,AT444)</f>
        <v>428261</v>
      </c>
      <c r="AV600" s="64">
        <f t="shared" ref="AV600" si="9390">((AS600/AS548)-1)*100</f>
        <v>427.64667072675604</v>
      </c>
      <c r="AW600" s="64">
        <f t="shared" ref="AW600" si="9391">((AT600/AT548)-1)*100</f>
        <v>168.78266245545274</v>
      </c>
      <c r="AX600" s="64">
        <f t="shared" ref="AX600" si="9392">((AT600/AU600)-1)*100</f>
        <v>54.05150130411127</v>
      </c>
      <c r="AZ600" s="71">
        <f t="shared" ref="AZ600" si="9393">+E600/1000</f>
        <v>497.23099999999999</v>
      </c>
      <c r="BA600" s="53">
        <f t="shared" ref="BA600" si="9394">+O600/1000</f>
        <v>27.324000000000002</v>
      </c>
      <c r="BB600" s="53">
        <f t="shared" ref="BB600" si="9395">+Y600/1000</f>
        <v>93.25</v>
      </c>
      <c r="BC600" s="53">
        <f t="shared" ref="BC600" si="9396">+AI600/1000</f>
        <v>6</v>
      </c>
      <c r="BD600" s="53">
        <f t="shared" ref="BD600" si="9397">+AS600/1000</f>
        <v>623.80499999999995</v>
      </c>
      <c r="BE600" s="64">
        <f t="shared" ref="BE600" si="9398">BE599+AZ600</f>
        <v>6056.3990000000003</v>
      </c>
      <c r="BF600" s="64">
        <f t="shared" ref="BF600" si="9399">BF599+BA600</f>
        <v>580.18500000000006</v>
      </c>
      <c r="BG600" s="64">
        <f t="shared" ref="BG600" si="9400">BG599+BB600</f>
        <v>3884.5670000000009</v>
      </c>
      <c r="BH600" s="64">
        <f t="shared" ref="BH600" si="9401">BH599+BC600</f>
        <v>66.149999999999991</v>
      </c>
      <c r="BI600" s="64">
        <f t="shared" ref="BI600" si="9402">BI599+BD600</f>
        <v>10587.300999999999</v>
      </c>
      <c r="BJ600" s="64">
        <f t="shared" si="9039"/>
        <v>17</v>
      </c>
    </row>
    <row r="601" spans="1:62" x14ac:dyDescent="0.25">
      <c r="A601" s="48">
        <f t="shared" si="8958"/>
        <v>41762</v>
      </c>
      <c r="B601" s="64">
        <v>495600</v>
      </c>
      <c r="C601" s="64">
        <v>135150</v>
      </c>
      <c r="D601" s="53">
        <v>0</v>
      </c>
      <c r="E601" s="64">
        <f t="shared" si="9362"/>
        <v>630750</v>
      </c>
      <c r="F601" s="64">
        <f t="shared" ref="F601" si="9403">AVERAGE(E598,E599,E600,E601)</f>
        <v>525947.5</v>
      </c>
      <c r="G601" s="71">
        <f t="shared" ref="G601" si="9404">AVERAGE(F549,F497,F445)</f>
        <v>270528.66666666669</v>
      </c>
      <c r="H601" s="64">
        <f t="shared" ref="H601" si="9405">((E601/E549)-1)*100</f>
        <v>117.2221055132916</v>
      </c>
      <c r="I601" s="64">
        <f t="shared" ref="I601" si="9406">((F601/F549)-1)*100</f>
        <v>240.33538676571459</v>
      </c>
      <c r="J601" s="64">
        <f t="shared" ref="J601" si="9407">((F601/G601)-1)*100</f>
        <v>94.414701584305291</v>
      </c>
      <c r="L601" s="53">
        <v>16000</v>
      </c>
      <c r="M601" s="53">
        <v>5250</v>
      </c>
      <c r="N601" s="53">
        <v>40400</v>
      </c>
      <c r="O601" s="53">
        <f t="shared" ref="O601" si="9408">SUM(L601:N601)</f>
        <v>61650</v>
      </c>
      <c r="P601" s="71">
        <f t="shared" ref="P601" si="9409">AVERAGE(O598,O599,O600,O601)</f>
        <v>49429.5</v>
      </c>
      <c r="Q601" s="71">
        <f t="shared" ref="Q601" si="9410">AVERAGE(P549,P497,P445)</f>
        <v>42129.333333333336</v>
      </c>
      <c r="R601" s="64">
        <f t="shared" ref="R601" si="9411">((O601/O549)-1)*100</f>
        <v>6.2729482339556331</v>
      </c>
      <c r="S601" s="73">
        <f t="shared" ref="S601" si="9412">((P601/P549)-1)*100</f>
        <v>-19.679396817529991</v>
      </c>
      <c r="T601" s="64">
        <f t="shared" ref="T601" si="9413">((P601/Q601)-1)*100</f>
        <v>17.327989999050541</v>
      </c>
      <c r="V601" s="64">
        <v>70600</v>
      </c>
      <c r="W601" s="64">
        <v>20900</v>
      </c>
      <c r="X601" s="64">
        <v>4200</v>
      </c>
      <c r="Y601" s="64">
        <f t="shared" ref="Y601" si="9414">SUM(V601:X601)</f>
        <v>95700</v>
      </c>
      <c r="Z601" s="71">
        <f t="shared" ref="Z601" si="9415">AVERAGE(Y598,Y599,Y600,Y601)</f>
        <v>119378</v>
      </c>
      <c r="AA601" s="71">
        <f t="shared" ref="AA601" si="9416">AVERAGE(Z549,Z497,Z445)</f>
        <v>105372.91666666667</v>
      </c>
      <c r="AB601" s="64">
        <f t="shared" ref="AB601" si="9417">((Y601/Y549)-1)*100</f>
        <v>-5.3094017770565767</v>
      </c>
      <c r="AC601" s="64">
        <f t="shared" ref="AC601" si="9418">((Z601/Z549)-1)*100</f>
        <v>74.58794623923248</v>
      </c>
      <c r="AD601" s="64">
        <f t="shared" ref="AD601" si="9419">((Z601/AA601)-1)*100</f>
        <v>13.290970560904714</v>
      </c>
      <c r="AF601" s="53">
        <v>0</v>
      </c>
      <c r="AG601" s="53">
        <v>0</v>
      </c>
      <c r="AH601" s="53">
        <v>0</v>
      </c>
      <c r="AI601" s="53">
        <f t="shared" si="9340"/>
        <v>0</v>
      </c>
      <c r="AJ601" s="71">
        <f t="shared" ref="AJ601" si="9420">AVERAGE(AI598,AI599,AI600,AI601)</f>
        <v>3350</v>
      </c>
      <c r="AK601" s="71">
        <f t="shared" ref="AK601" si="9421">AVERAGE(AJ549,AJ497,AJ445)</f>
        <v>5208.333333333333</v>
      </c>
      <c r="AL601" s="64">
        <f t="shared" si="9262"/>
        <v>-100</v>
      </c>
      <c r="AM601" s="64">
        <f t="shared" ref="AM601" si="9422">((AJ601/AJ549)-1)*100</f>
        <v>-25.761772853185594</v>
      </c>
      <c r="AN601" s="64">
        <f t="shared" ref="AN601" si="9423">((AJ601/AK601)-1)*100</f>
        <v>-35.68</v>
      </c>
      <c r="AP601" s="60">
        <f t="shared" si="9384"/>
        <v>582200</v>
      </c>
      <c r="AQ601" s="60">
        <f t="shared" si="9385"/>
        <v>161300</v>
      </c>
      <c r="AR601" s="60">
        <f t="shared" si="9386"/>
        <v>44600</v>
      </c>
      <c r="AS601" s="60">
        <f t="shared" si="9387"/>
        <v>788100</v>
      </c>
      <c r="AT601" s="64">
        <f t="shared" ref="AT601" si="9424">AVERAGE(AS598,AS599,AS600,AS601)</f>
        <v>698105</v>
      </c>
      <c r="AU601" s="71">
        <f t="shared" ref="AU601" si="9425">AVERAGE(AT549,AT497,AT445)</f>
        <v>423239.25</v>
      </c>
      <c r="AV601" s="64">
        <f t="shared" ref="AV601" si="9426">((AS601/AS549)-1)*100</f>
        <v>70.492895588515253</v>
      </c>
      <c r="AW601" s="64">
        <f t="shared" ref="AW601" si="9427">((AT601/AT549)-1)*100</f>
        <v>141.58578249648968</v>
      </c>
      <c r="AX601" s="64">
        <f t="shared" ref="AX601" si="9428">((AT601/AU601)-1)*100</f>
        <v>64.943350598981553</v>
      </c>
      <c r="AZ601" s="71">
        <f t="shared" ref="AZ601" si="9429">+E601/1000</f>
        <v>630.75</v>
      </c>
      <c r="BA601" s="53">
        <f t="shared" ref="BA601" si="9430">+O601/1000</f>
        <v>61.65</v>
      </c>
      <c r="BB601" s="53">
        <f t="shared" ref="BB601" si="9431">+Y601/1000</f>
        <v>95.7</v>
      </c>
      <c r="BC601" s="53">
        <f t="shared" ref="BC601" si="9432">+AI601/1000</f>
        <v>0</v>
      </c>
      <c r="BD601" s="53">
        <f t="shared" ref="BD601" si="9433">+AS601/1000</f>
        <v>788.1</v>
      </c>
      <c r="BE601" s="64">
        <f t="shared" ref="BE601" si="9434">BE600+AZ601</f>
        <v>6687.1490000000003</v>
      </c>
      <c r="BF601" s="64">
        <f t="shared" ref="BF601" si="9435">BF600+BA601</f>
        <v>641.83500000000004</v>
      </c>
      <c r="BG601" s="64">
        <f t="shared" ref="BG601" si="9436">BG600+BB601</f>
        <v>3980.2670000000007</v>
      </c>
      <c r="BH601" s="64">
        <f t="shared" ref="BH601" si="9437">BH600+BC601</f>
        <v>66.149999999999991</v>
      </c>
      <c r="BI601" s="64">
        <f t="shared" ref="BI601" si="9438">BI600+BD601</f>
        <v>11375.401</v>
      </c>
      <c r="BJ601" s="64">
        <f t="shared" si="9039"/>
        <v>18</v>
      </c>
    </row>
    <row r="602" spans="1:62" x14ac:dyDescent="0.25">
      <c r="A602" s="48">
        <f t="shared" si="8958"/>
        <v>41769</v>
      </c>
      <c r="B602" s="64">
        <v>430300</v>
      </c>
      <c r="C602" s="64">
        <v>117250</v>
      </c>
      <c r="D602" s="53">
        <v>0</v>
      </c>
      <c r="E602" s="64">
        <f t="shared" si="9362"/>
        <v>547550</v>
      </c>
      <c r="F602" s="64">
        <f t="shared" ref="F602" si="9439">AVERAGE(E599,E600,E601,E602)</f>
        <v>541572.5</v>
      </c>
      <c r="G602" s="71">
        <f t="shared" ref="G602" si="9440">AVERAGE(F550,F498,F446)</f>
        <v>277717.16666666669</v>
      </c>
      <c r="H602" s="64">
        <f t="shared" ref="H602" si="9441">((E602/E550)-1)*100</f>
        <v>171.1099888099977</v>
      </c>
      <c r="I602" s="64">
        <f t="shared" ref="I602" si="9442">((F602/F550)-1)*100</f>
        <v>233.52270452858889</v>
      </c>
      <c r="J602" s="64">
        <f t="shared" ref="J602" si="9443">((F602/G602)-1)*100</f>
        <v>95.008650887623673</v>
      </c>
      <c r="L602" s="53">
        <v>9300</v>
      </c>
      <c r="M602" s="53">
        <v>1750</v>
      </c>
      <c r="N602" s="53">
        <v>25600</v>
      </c>
      <c r="O602" s="53">
        <f t="shared" ref="O602" si="9444">SUM(L602:N602)</f>
        <v>36650</v>
      </c>
      <c r="P602" s="71">
        <f t="shared" ref="P602" si="9445">AVERAGE(O599,O600,O601,O602)</f>
        <v>43643.5</v>
      </c>
      <c r="Q602" s="71">
        <f t="shared" ref="Q602" si="9446">AVERAGE(P550,P498,P446)</f>
        <v>36233.333333333336</v>
      </c>
      <c r="R602" s="64">
        <f t="shared" ref="R602" si="9447">((O602/O550)-1)*100</f>
        <v>-10.900957845091652</v>
      </c>
      <c r="S602" s="73">
        <f t="shared" ref="S602" si="9448">((P602/P550)-1)*100</f>
        <v>-13.894793952995144</v>
      </c>
      <c r="T602" s="64">
        <f t="shared" ref="T602" si="9449">((P602/Q602)-1)*100</f>
        <v>20.451241950321975</v>
      </c>
      <c r="V602" s="64">
        <v>101500</v>
      </c>
      <c r="W602" s="64">
        <v>23117</v>
      </c>
      <c r="X602" s="64">
        <v>2800</v>
      </c>
      <c r="Y602" s="64">
        <f t="shared" ref="Y602" si="9450">SUM(V602:X602)</f>
        <v>127417</v>
      </c>
      <c r="Z602" s="71">
        <f t="shared" ref="Z602" si="9451">AVERAGE(Y599,Y600,Y601,Y602)</f>
        <v>111925.75</v>
      </c>
      <c r="AA602" s="71">
        <f t="shared" ref="AA602" si="9452">AVERAGE(Z550,Z498,Z446)</f>
        <v>103914.08333333333</v>
      </c>
      <c r="AB602" s="64">
        <f t="shared" ref="AB602" si="9453">((Y602/Y550)-1)*100</f>
        <v>81.769807983109359</v>
      </c>
      <c r="AC602" s="64">
        <f t="shared" ref="AC602" si="9454">((Z602/Z550)-1)*100</f>
        <v>71.431251818836245</v>
      </c>
      <c r="AD602" s="64">
        <f t="shared" ref="AD602" si="9455">((Z602/AA602)-1)*100</f>
        <v>7.7098949532827143</v>
      </c>
      <c r="AF602" s="53">
        <v>1600</v>
      </c>
      <c r="AG602" s="53">
        <v>0</v>
      </c>
      <c r="AH602" s="53">
        <v>0</v>
      </c>
      <c r="AI602" s="53">
        <f t="shared" si="9340"/>
        <v>1600</v>
      </c>
      <c r="AJ602" s="71">
        <f t="shared" ref="AJ602" si="9456">AVERAGE(AI599,AI600,AI601,AI602)</f>
        <v>2250</v>
      </c>
      <c r="AK602" s="71">
        <f t="shared" ref="AK602" si="9457">AVERAGE(AJ550,AJ498,AJ446)</f>
        <v>5012.5</v>
      </c>
      <c r="AL602" s="64">
        <f t="shared" ref="AL602" si="9458">((AI602/AI550)-1)*100</f>
        <v>-8.5714285714285747</v>
      </c>
      <c r="AM602" s="64">
        <f t="shared" ref="AM602" si="9459">((AJ602/AJ550)-1)*100</f>
        <v>-54.54545454545454</v>
      </c>
      <c r="AN602" s="64">
        <f t="shared" ref="AN602" si="9460">((AJ602/AK602)-1)*100</f>
        <v>-55.112219451371573</v>
      </c>
      <c r="AP602" s="60">
        <f t="shared" ref="AP602:AP603" si="9461">SUM(B602,L602,V602,AF602)</f>
        <v>542700</v>
      </c>
      <c r="AQ602" s="60">
        <f t="shared" ref="AQ602:AQ603" si="9462">SUM(C602,M602,W602,AG602)</f>
        <v>142117</v>
      </c>
      <c r="AR602" s="60">
        <f t="shared" ref="AR602:AR603" si="9463">SUM(D602,N602,X602,AH602)</f>
        <v>28400</v>
      </c>
      <c r="AS602" s="60">
        <f t="shared" ref="AS602:AS603" si="9464">SUM(E602,O602,Y602,AI602)</f>
        <v>713217</v>
      </c>
      <c r="AT602" s="64">
        <f t="shared" ref="AT602:AT603" si="9465">AVERAGE(AS599,AS600,AS601,AS602)</f>
        <v>699391.75</v>
      </c>
      <c r="AU602" s="71">
        <f t="shared" ref="AU602:AU603" si="9466">AVERAGE(AT550,AT498,AT446)</f>
        <v>422877.08333333331</v>
      </c>
      <c r="AV602" s="64">
        <f t="shared" ref="AV602:AV603" si="9467">((AS602/AS550)-1)*100</f>
        <v>126.45547836468242</v>
      </c>
      <c r="AW602" s="64">
        <f t="shared" ref="AW602:AW603" si="9468">((AT602/AT550)-1)*100</f>
        <v>146.86905178963642</v>
      </c>
      <c r="AX602" s="64">
        <f t="shared" ref="AX602:AX603" si="9469">((AT602/AU602)-1)*100</f>
        <v>65.388898468329558</v>
      </c>
      <c r="AZ602" s="71">
        <f t="shared" ref="AZ602" si="9470">+E602/1000</f>
        <v>547.54999999999995</v>
      </c>
      <c r="BA602" s="53">
        <f t="shared" ref="BA602" si="9471">+O602/1000</f>
        <v>36.65</v>
      </c>
      <c r="BB602" s="53">
        <f t="shared" ref="BB602" si="9472">+Y602/1000</f>
        <v>127.417</v>
      </c>
      <c r="BC602" s="53">
        <f t="shared" ref="BC602" si="9473">+AI602/1000</f>
        <v>1.6</v>
      </c>
      <c r="BD602" s="53">
        <f t="shared" ref="BD602" si="9474">+AS602/1000</f>
        <v>713.21699999999998</v>
      </c>
      <c r="BE602" s="64">
        <f t="shared" ref="BE602" si="9475">BE601+AZ602</f>
        <v>7234.6990000000005</v>
      </c>
      <c r="BF602" s="64">
        <f t="shared" ref="BF602" si="9476">BF601+BA602</f>
        <v>678.48500000000001</v>
      </c>
      <c r="BG602" s="64">
        <f t="shared" ref="BG602" si="9477">BG601+BB602</f>
        <v>4107.6840000000011</v>
      </c>
      <c r="BH602" s="64">
        <f t="shared" ref="BH602" si="9478">BH601+BC602</f>
        <v>67.749999999999986</v>
      </c>
      <c r="BI602" s="64">
        <f t="shared" ref="BI602" si="9479">BI601+BD602</f>
        <v>12088.618</v>
      </c>
      <c r="BJ602" s="64">
        <f t="shared" si="9039"/>
        <v>19</v>
      </c>
    </row>
    <row r="603" spans="1:62" x14ac:dyDescent="0.25">
      <c r="A603" s="48">
        <f t="shared" si="8958"/>
        <v>41776</v>
      </c>
      <c r="B603" s="64">
        <v>440000</v>
      </c>
      <c r="C603" s="64">
        <v>110696</v>
      </c>
      <c r="D603" s="53">
        <v>0</v>
      </c>
      <c r="E603" s="64">
        <f t="shared" si="9362"/>
        <v>550696</v>
      </c>
      <c r="F603" s="64">
        <f t="shared" ref="F603" si="9480">AVERAGE(E600,E601,E602,E603)</f>
        <v>556556.75</v>
      </c>
      <c r="G603" s="71">
        <f t="shared" ref="G603" si="9481">AVERAGE(F551,F499,F447)</f>
        <v>312221.75</v>
      </c>
      <c r="H603" s="64">
        <f t="shared" ref="H603" si="9482">((E603/E551)-1)*100</f>
        <v>123.04505081025034</v>
      </c>
      <c r="I603" s="64">
        <f t="shared" ref="I603" si="9483">((F603/F551)-1)*100</f>
        <v>185.08988507925613</v>
      </c>
      <c r="J603" s="64">
        <f t="shared" ref="J603" si="9484">((F603/G603)-1)*100</f>
        <v>78.256879925886011</v>
      </c>
      <c r="L603" s="53">
        <v>4800</v>
      </c>
      <c r="M603" s="53">
        <v>3500</v>
      </c>
      <c r="N603" s="53">
        <v>60200</v>
      </c>
      <c r="O603" s="53">
        <f t="shared" ref="O603" si="9485">SUM(L603:N603)</f>
        <v>68500</v>
      </c>
      <c r="P603" s="71">
        <f t="shared" ref="P603" si="9486">AVERAGE(O600,O601,O602,O603)</f>
        <v>48531</v>
      </c>
      <c r="Q603" s="71">
        <f t="shared" ref="Q603" si="9487">AVERAGE(P551,P499,P447)</f>
        <v>35214.083333333336</v>
      </c>
      <c r="R603" s="64">
        <f t="shared" ref="R603" si="9488">((O603/O551)-1)*100</f>
        <v>30.540839272782705</v>
      </c>
      <c r="S603" s="73">
        <f t="shared" ref="S603" si="9489">((P603/P551)-1)*100</f>
        <v>-0.17740616756398708</v>
      </c>
      <c r="T603" s="64">
        <f t="shared" ref="T603" si="9490">((P603/Q603)-1)*100</f>
        <v>37.81701923236205</v>
      </c>
      <c r="V603" s="64">
        <v>73200</v>
      </c>
      <c r="W603" s="64">
        <v>10536</v>
      </c>
      <c r="X603" s="64">
        <v>1400</v>
      </c>
      <c r="Y603" s="64">
        <f t="shared" ref="Y603:Y607" si="9491">SUM(V603:X603)</f>
        <v>85136</v>
      </c>
      <c r="Z603" s="71">
        <f t="shared" ref="Z603" si="9492">AVERAGE(Y600,Y601,Y602,Y603)</f>
        <v>100375.75</v>
      </c>
      <c r="AA603" s="71">
        <f t="shared" ref="AA603" si="9493">AVERAGE(Z551,Z499,Z447)</f>
        <v>102035.91666666667</v>
      </c>
      <c r="AB603" s="64">
        <f t="shared" ref="AB603" si="9494">((Y603/Y551)-1)*100</f>
        <v>3.0752094532422891</v>
      </c>
      <c r="AC603" s="64">
        <f t="shared" ref="AC603" si="9495">((Z603/Z551)-1)*100</f>
        <v>39.66098982899917</v>
      </c>
      <c r="AD603" s="64">
        <f t="shared" ref="AD603" si="9496">((Z603/AA603)-1)*100</f>
        <v>-1.6270414584407034</v>
      </c>
      <c r="AF603" s="53">
        <v>1600</v>
      </c>
      <c r="AG603" s="53">
        <v>0</v>
      </c>
      <c r="AH603" s="53">
        <v>0</v>
      </c>
      <c r="AI603" s="53">
        <f t="shared" si="9340"/>
        <v>1600</v>
      </c>
      <c r="AJ603" s="71">
        <f t="shared" ref="AJ603" si="9497">AVERAGE(AI600,AI601,AI602,AI603)</f>
        <v>2300</v>
      </c>
      <c r="AK603" s="71">
        <f t="shared" ref="AK603" si="9498">AVERAGE(AJ551,AJ499,AJ447)</f>
        <v>5233.333333333333</v>
      </c>
      <c r="AL603" s="64">
        <f t="shared" ref="AL603" si="9499">((AI603/AI551)-1)*100</f>
        <v>-8.5714285714285747</v>
      </c>
      <c r="AM603" s="64">
        <f t="shared" ref="AM603" si="9500">((AJ603/AJ551)-1)*100</f>
        <v>-43.558282208588963</v>
      </c>
      <c r="AN603" s="64">
        <f t="shared" ref="AN603" si="9501">((AJ603/AK603)-1)*100</f>
        <v>-56.050955414012741</v>
      </c>
      <c r="AP603" s="60">
        <f t="shared" si="9461"/>
        <v>519600</v>
      </c>
      <c r="AQ603" s="60">
        <f t="shared" si="9462"/>
        <v>124732</v>
      </c>
      <c r="AR603" s="60">
        <f t="shared" si="9463"/>
        <v>61600</v>
      </c>
      <c r="AS603" s="60">
        <f t="shared" si="9464"/>
        <v>705932</v>
      </c>
      <c r="AT603" s="64">
        <f t="shared" si="9465"/>
        <v>707763.5</v>
      </c>
      <c r="AU603" s="71">
        <f t="shared" si="9466"/>
        <v>454705.08333333331</v>
      </c>
      <c r="AV603" s="64">
        <f t="shared" si="9467"/>
        <v>83.971083006053917</v>
      </c>
      <c r="AW603" s="64">
        <f t="shared" si="9468"/>
        <v>121.32496937393044</v>
      </c>
      <c r="AX603" s="64">
        <f t="shared" si="9469"/>
        <v>55.65330715274974</v>
      </c>
      <c r="AZ603" s="71">
        <f t="shared" ref="AZ603" si="9502">+E603/1000</f>
        <v>550.69600000000003</v>
      </c>
      <c r="BA603" s="53">
        <f t="shared" ref="BA603" si="9503">+O603/1000</f>
        <v>68.5</v>
      </c>
      <c r="BB603" s="53">
        <f t="shared" ref="BB603" si="9504">+Y603/1000</f>
        <v>85.135999999999996</v>
      </c>
      <c r="BC603" s="53">
        <f t="shared" ref="BC603" si="9505">+AI603/1000</f>
        <v>1.6</v>
      </c>
      <c r="BD603" s="53">
        <f t="shared" ref="BD603" si="9506">+AS603/1000</f>
        <v>705.93200000000002</v>
      </c>
      <c r="BE603" s="64">
        <f t="shared" ref="BE603" si="9507">BE602+AZ603</f>
        <v>7785.3950000000004</v>
      </c>
      <c r="BF603" s="64">
        <f t="shared" ref="BF603" si="9508">BF602+BA603</f>
        <v>746.98500000000001</v>
      </c>
      <c r="BG603" s="64">
        <f t="shared" ref="BG603" si="9509">BG602+BB603</f>
        <v>4192.8200000000015</v>
      </c>
      <c r="BH603" s="64">
        <f t="shared" ref="BH603" si="9510">BH602+BC603</f>
        <v>69.34999999999998</v>
      </c>
      <c r="BI603" s="64">
        <f t="shared" ref="BI603" si="9511">BI602+BD603</f>
        <v>12794.550000000001</v>
      </c>
      <c r="BJ603" s="64">
        <f t="shared" si="9039"/>
        <v>20</v>
      </c>
    </row>
    <row r="604" spans="1:62" x14ac:dyDescent="0.25">
      <c r="A604" s="48">
        <f t="shared" si="8958"/>
        <v>41783</v>
      </c>
      <c r="B604" s="64">
        <v>458112</v>
      </c>
      <c r="C604" s="64">
        <v>110704</v>
      </c>
      <c r="D604" s="53">
        <v>0</v>
      </c>
      <c r="E604" s="64">
        <f t="shared" si="9362"/>
        <v>568816</v>
      </c>
      <c r="F604" s="64">
        <f t="shared" ref="F604" si="9512">AVERAGE(E601,E602,E603,E604)</f>
        <v>574453</v>
      </c>
      <c r="G604" s="71">
        <f t="shared" ref="G604" si="9513">AVERAGE(F552,F500,F448)</f>
        <v>355310</v>
      </c>
      <c r="H604" s="64">
        <f t="shared" ref="H604" si="9514">((E604/E552)-1)*100</f>
        <v>126.44129332239906</v>
      </c>
      <c r="I604" s="64">
        <f t="shared" ref="I604" si="9515">((F604/F552)-1)*100</f>
        <v>132.00051694509679</v>
      </c>
      <c r="J604" s="64">
        <f t="shared" ref="J604" si="9516">((F604/G604)-1)*100</f>
        <v>61.676564127100278</v>
      </c>
      <c r="L604" s="53">
        <v>20500</v>
      </c>
      <c r="M604" s="53">
        <v>0</v>
      </c>
      <c r="N604" s="53">
        <v>8400</v>
      </c>
      <c r="O604" s="53">
        <f t="shared" ref="O604" si="9517">SUM(L604:N604)</f>
        <v>28900</v>
      </c>
      <c r="P604" s="71">
        <f t="shared" ref="P604" si="9518">AVERAGE(O601,O602,O603,O604)</f>
        <v>48925</v>
      </c>
      <c r="Q604" s="71">
        <f t="shared" ref="Q604" si="9519">AVERAGE(P552,P500,P448)</f>
        <v>41578.416666666664</v>
      </c>
      <c r="R604" s="64">
        <f t="shared" ref="R604" si="9520">((O604/O552)-1)*100</f>
        <v>-64.019820223600007</v>
      </c>
      <c r="S604" s="73">
        <f t="shared" ref="S604" si="9521">((P604/P552)-1)*100</f>
        <v>-15.62509431277782</v>
      </c>
      <c r="T604" s="64">
        <f t="shared" ref="T604" si="9522">((P604/Q604)-1)*100</f>
        <v>17.669223415193393</v>
      </c>
      <c r="V604" s="64">
        <v>52700</v>
      </c>
      <c r="W604" s="64">
        <v>5250</v>
      </c>
      <c r="X604" s="53">
        <v>0</v>
      </c>
      <c r="Y604" s="64">
        <f t="shared" si="9491"/>
        <v>57950</v>
      </c>
      <c r="Z604" s="71">
        <f t="shared" ref="Z604" si="9523">AVERAGE(Y601,Y602,Y603,Y604)</f>
        <v>91550.75</v>
      </c>
      <c r="AA604" s="71">
        <f t="shared" ref="AA604" si="9524">AVERAGE(Z552,Z500,Z448)</f>
        <v>104512.75</v>
      </c>
      <c r="AB604" s="64">
        <f t="shared" ref="AB604" si="9525">((Y604/Y552)-1)*100</f>
        <v>-35.242714106919358</v>
      </c>
      <c r="AC604" s="64">
        <f t="shared" ref="AC604" si="9526">((Z604/Z552)-1)*100</f>
        <v>6.6875844870181389</v>
      </c>
      <c r="AD604" s="64">
        <f t="shared" ref="AD604" si="9527">((Z604/AA604)-1)*100</f>
        <v>-12.402314550138616</v>
      </c>
      <c r="AF604" s="53">
        <v>6100</v>
      </c>
      <c r="AG604" s="53">
        <v>0</v>
      </c>
      <c r="AH604" s="53">
        <v>1400</v>
      </c>
      <c r="AI604" s="53">
        <f t="shared" ref="AI604:AI605" si="9528">SUM(AF604:AH604)</f>
        <v>7500</v>
      </c>
      <c r="AJ604" s="71">
        <f t="shared" ref="AJ604" si="9529">AVERAGE(AI601,AI602,AI603,AI604)</f>
        <v>2675</v>
      </c>
      <c r="AK604" s="71">
        <f t="shared" ref="AK604" si="9530">AVERAGE(AJ552,AJ500,AJ448)</f>
        <v>4362.833333333333</v>
      </c>
      <c r="AL604" s="64">
        <f t="shared" ref="AL604" si="9531">((AI604/AI552)-1)*100</f>
        <v>99.786893979754936</v>
      </c>
      <c r="AM604" s="64">
        <f t="shared" ref="AM604" si="9532">((AJ604/AJ552)-1)*100</f>
        <v>-46.644061035204942</v>
      </c>
      <c r="AN604" s="64">
        <f t="shared" ref="AN604" si="9533">((AJ604/AK604)-1)*100</f>
        <v>-38.686633304045536</v>
      </c>
      <c r="AP604" s="60">
        <f t="shared" ref="AP604" si="9534">SUM(B604,L604,V604,AF604)</f>
        <v>537412</v>
      </c>
      <c r="AQ604" s="60">
        <f t="shared" ref="AQ604" si="9535">SUM(C604,M604,W604,AG604)</f>
        <v>115954</v>
      </c>
      <c r="AR604" s="60">
        <f t="shared" ref="AR604" si="9536">SUM(D604,N604,X604,AH604)</f>
        <v>9800</v>
      </c>
      <c r="AS604" s="60">
        <f t="shared" ref="AS604" si="9537">SUM(E604,O604,Y604,AI604)</f>
        <v>663166</v>
      </c>
      <c r="AT604" s="64">
        <f t="shared" ref="AT604" si="9538">AVERAGE(AS601,AS602,AS603,AS604)</f>
        <v>717603.75</v>
      </c>
      <c r="AU604" s="71">
        <f t="shared" ref="AU604" si="9539">AVERAGE(AT552,AT500,AT448)</f>
        <v>505764</v>
      </c>
      <c r="AV604" s="64">
        <f t="shared" ref="AV604" si="9540">((AS604/AS552)-1)*100</f>
        <v>56.126489657737743</v>
      </c>
      <c r="AW604" s="64">
        <f t="shared" ref="AW604" si="9541">((AT604/AT552)-1)*100</f>
        <v>81.02141861173493</v>
      </c>
      <c r="AX604" s="64">
        <f t="shared" ref="AX604" si="9542">((AT604/AU604)-1)*100</f>
        <v>41.885098583529071</v>
      </c>
      <c r="AZ604" s="71">
        <f t="shared" ref="AZ604" si="9543">+E604/1000</f>
        <v>568.81600000000003</v>
      </c>
      <c r="BA604" s="53">
        <f t="shared" ref="BA604" si="9544">+O604/1000</f>
        <v>28.9</v>
      </c>
      <c r="BB604" s="53">
        <f t="shared" ref="BB604" si="9545">+Y604/1000</f>
        <v>57.95</v>
      </c>
      <c r="BC604" s="53">
        <f t="shared" ref="BC604" si="9546">+AI604/1000</f>
        <v>7.5</v>
      </c>
      <c r="BD604" s="53">
        <f t="shared" ref="BD604" si="9547">+AS604/1000</f>
        <v>663.16600000000005</v>
      </c>
      <c r="BE604" s="64">
        <f t="shared" ref="BE604" si="9548">BE603+AZ604</f>
        <v>8354.2110000000011</v>
      </c>
      <c r="BF604" s="64">
        <f t="shared" ref="BF604" si="9549">BF603+BA604</f>
        <v>775.88499999999999</v>
      </c>
      <c r="BG604" s="64">
        <f t="shared" ref="BG604" si="9550">BG603+BB604</f>
        <v>4250.7700000000013</v>
      </c>
      <c r="BH604" s="64">
        <f t="shared" ref="BH604" si="9551">BH603+BC604</f>
        <v>76.84999999999998</v>
      </c>
      <c r="BI604" s="64">
        <f t="shared" ref="BI604" si="9552">BI603+BD604</f>
        <v>13457.716</v>
      </c>
      <c r="BJ604" s="64">
        <f t="shared" si="9039"/>
        <v>21</v>
      </c>
    </row>
    <row r="605" spans="1:62" x14ac:dyDescent="0.25">
      <c r="A605" s="48">
        <f t="shared" si="8958"/>
        <v>41790</v>
      </c>
      <c r="B605" s="64">
        <v>541100</v>
      </c>
      <c r="C605" s="64">
        <v>137852</v>
      </c>
      <c r="D605" s="53">
        <v>0</v>
      </c>
      <c r="E605" s="64">
        <f t="shared" si="9362"/>
        <v>678952</v>
      </c>
      <c r="F605" s="64">
        <f t="shared" ref="F605" si="9553">AVERAGE(E602,E603,E604,E605)</f>
        <v>586503.5</v>
      </c>
      <c r="G605" s="71">
        <f t="shared" ref="G605" si="9554">AVERAGE(F553,F501,F449)</f>
        <v>371890.08333333331</v>
      </c>
      <c r="H605" s="64">
        <f t="shared" ref="H605" si="9555">((E605/E553)-1)*100</f>
        <v>224.35923772578957</v>
      </c>
      <c r="I605" s="64">
        <f t="shared" ref="I605" si="9556">((F605/F553)-1)*100</f>
        <v>157.97836777422961</v>
      </c>
      <c r="J605" s="64">
        <f t="shared" ref="J605" si="9557">((F605/G605)-1)*100</f>
        <v>57.708830185263068</v>
      </c>
      <c r="L605" s="53">
        <v>15600</v>
      </c>
      <c r="M605" s="53">
        <v>10426</v>
      </c>
      <c r="N605" s="53">
        <v>25200</v>
      </c>
      <c r="O605" s="53">
        <f t="shared" ref="O605" si="9558">SUM(L605:N605)</f>
        <v>51226</v>
      </c>
      <c r="P605" s="71">
        <f t="shared" ref="P605" si="9559">AVERAGE(O602,O603,O604,O605)</f>
        <v>46319</v>
      </c>
      <c r="Q605" s="71">
        <f t="shared" ref="Q605" si="9560">AVERAGE(P553,P501,P449)</f>
        <v>43424.583333333336</v>
      </c>
      <c r="R605" s="64">
        <f t="shared" ref="R605" si="9561">((O605/O553)-1)*100</f>
        <v>52.349512253152518</v>
      </c>
      <c r="S605" s="73">
        <f t="shared" ref="S605" si="9562">((P605/P553)-1)*100</f>
        <v>-10.733592221783251</v>
      </c>
      <c r="T605" s="64">
        <f t="shared" ref="T605" si="9563">((P605/Q605)-1)*100</f>
        <v>6.665387309415749</v>
      </c>
      <c r="V605" s="64">
        <v>83800</v>
      </c>
      <c r="W605" s="64">
        <v>20950</v>
      </c>
      <c r="X605" s="53">
        <v>0</v>
      </c>
      <c r="Y605" s="64">
        <f t="shared" si="9491"/>
        <v>104750</v>
      </c>
      <c r="Z605" s="71">
        <f t="shared" ref="Z605" si="9564">AVERAGE(Y602,Y603,Y604,Y605)</f>
        <v>93813.25</v>
      </c>
      <c r="AA605" s="71">
        <f t="shared" ref="AA605" si="9565">AVERAGE(Z553,Z501,Z449)</f>
        <v>101066.91666666667</v>
      </c>
      <c r="AB605" s="64">
        <f t="shared" ref="AB605" si="9566">((Y605/Y553)-1)*100</f>
        <v>22.384362841887583</v>
      </c>
      <c r="AC605" s="64">
        <f t="shared" ref="AC605" si="9567">((Z605/Z553)-1)*100</f>
        <v>14.485634875355814</v>
      </c>
      <c r="AD605" s="64">
        <f t="shared" ref="AD605" si="9568">((Z605/AA605)-1)*100</f>
        <v>-7.1770930645785107</v>
      </c>
      <c r="AF605" s="53">
        <v>10600</v>
      </c>
      <c r="AG605" s="53">
        <v>0</v>
      </c>
      <c r="AH605" s="53">
        <v>8400</v>
      </c>
      <c r="AI605" s="53">
        <f t="shared" si="9528"/>
        <v>19000</v>
      </c>
      <c r="AJ605" s="71">
        <f t="shared" ref="AJ605" si="9569">AVERAGE(AI602,AI603,AI604,AI605)</f>
        <v>7425</v>
      </c>
      <c r="AK605" s="71">
        <f t="shared" ref="AK605" si="9570">AVERAGE(AJ553,AJ501,AJ449)</f>
        <v>2885.1666666666665</v>
      </c>
      <c r="AL605" s="64">
        <f t="shared" ref="AL605" si="9571">((AI605/AI553)-1)*100</f>
        <v>974.66063348416276</v>
      </c>
      <c r="AM605" s="64">
        <f t="shared" ref="AM605" si="9572">((AJ605/AJ553)-1)*100</f>
        <v>229.19530037685658</v>
      </c>
      <c r="AN605" s="64">
        <f t="shared" ref="AN605" si="9573">((AJ605/AK605)-1)*100</f>
        <v>157.35081739934148</v>
      </c>
      <c r="AP605" s="60">
        <f t="shared" ref="AP605:AP606" si="9574">SUM(B605,L605,V605,AF605)</f>
        <v>651100</v>
      </c>
      <c r="AQ605" s="60">
        <f t="shared" ref="AQ605:AQ606" si="9575">SUM(C605,M605,W605,AG605)</f>
        <v>169228</v>
      </c>
      <c r="AR605" s="60">
        <f t="shared" ref="AR605" si="9576">SUM(D605,N605,X605,AH605)</f>
        <v>33600</v>
      </c>
      <c r="AS605" s="60">
        <f t="shared" ref="AS605" si="9577">SUM(E605,O605,Y605,AI605)</f>
        <v>853928</v>
      </c>
      <c r="AT605" s="64">
        <f t="shared" ref="AT605" si="9578">AVERAGE(AS602,AS603,AS604,AS605)</f>
        <v>734060.75</v>
      </c>
      <c r="AU605" s="71">
        <f t="shared" ref="AU605" si="9579">AVERAGE(AT553,AT501,AT449)</f>
        <v>519266.75</v>
      </c>
      <c r="AV605" s="64">
        <f t="shared" ref="AV605" si="9580">((AS605/AS553)-1)*100</f>
        <v>158.5279015694633</v>
      </c>
      <c r="AW605" s="64">
        <f t="shared" ref="AW605" si="9581">((AT605/AT553)-1)*100</f>
        <v>101.97952443811897</v>
      </c>
      <c r="AX605" s="64">
        <f t="shared" ref="AX605" si="9582">((AT605/AU605)-1)*100</f>
        <v>41.364866901260285</v>
      </c>
      <c r="AZ605" s="71">
        <f t="shared" ref="AZ605" si="9583">+E605/1000</f>
        <v>678.952</v>
      </c>
      <c r="BA605" s="53">
        <f t="shared" ref="BA605" si="9584">+O605/1000</f>
        <v>51.225999999999999</v>
      </c>
      <c r="BB605" s="53">
        <f t="shared" ref="BB605" si="9585">+Y605/1000</f>
        <v>104.75</v>
      </c>
      <c r="BC605" s="53">
        <f t="shared" ref="BC605" si="9586">+AI605/1000</f>
        <v>19</v>
      </c>
      <c r="BD605" s="53">
        <f t="shared" ref="BD605" si="9587">+AS605/1000</f>
        <v>853.928</v>
      </c>
      <c r="BE605" s="64">
        <f t="shared" ref="BE605" si="9588">BE604+AZ605</f>
        <v>9033.1630000000005</v>
      </c>
      <c r="BF605" s="64">
        <f t="shared" ref="BF605" si="9589">BF604+BA605</f>
        <v>827.11099999999999</v>
      </c>
      <c r="BG605" s="64">
        <f t="shared" ref="BG605" si="9590">BG604+BB605</f>
        <v>4355.5200000000013</v>
      </c>
      <c r="BH605" s="64">
        <f t="shared" ref="BH605" si="9591">BH604+BC605</f>
        <v>95.84999999999998</v>
      </c>
      <c r="BI605" s="64">
        <f t="shared" ref="BI605" si="9592">BI604+BD605</f>
        <v>14311.644</v>
      </c>
      <c r="BJ605" s="64">
        <f t="shared" si="9039"/>
        <v>22</v>
      </c>
    </row>
    <row r="606" spans="1:62" x14ac:dyDescent="0.25">
      <c r="A606" s="48">
        <f t="shared" si="8958"/>
        <v>41797</v>
      </c>
      <c r="B606" s="64">
        <v>440276</v>
      </c>
      <c r="C606" s="64">
        <v>202100</v>
      </c>
      <c r="D606" s="53">
        <v>0</v>
      </c>
      <c r="E606" s="64">
        <f t="shared" si="9362"/>
        <v>642376</v>
      </c>
      <c r="F606" s="64">
        <f t="shared" ref="F606" si="9593">AVERAGE(E603,E604,E605,E606)</f>
        <v>610210</v>
      </c>
      <c r="G606" s="71">
        <f t="shared" ref="G606" si="9594">AVERAGE(F554,F502,F450)</f>
        <v>367190.75</v>
      </c>
      <c r="H606" s="64">
        <f t="shared" ref="H606" si="9595">((E606/E554)-1)*100</f>
        <v>977.08920187793422</v>
      </c>
      <c r="I606" s="64">
        <f t="shared" ref="I606" si="9596">((F606/F554)-1)*100</f>
        <v>218.20801034602337</v>
      </c>
      <c r="J606" s="64">
        <f t="shared" ref="J606" si="9597">((F606/G606)-1)*100</f>
        <v>66.1833801641245</v>
      </c>
      <c r="L606" s="53">
        <v>6300</v>
      </c>
      <c r="M606" s="53">
        <v>0</v>
      </c>
      <c r="N606" s="53">
        <v>21000</v>
      </c>
      <c r="O606" s="53">
        <f t="shared" ref="O606" si="9598">SUM(L606:N606)</f>
        <v>27300</v>
      </c>
      <c r="P606" s="71">
        <f t="shared" ref="P606" si="9599">AVERAGE(O603,O604,O605,O606)</f>
        <v>43981.5</v>
      </c>
      <c r="Q606" s="71">
        <f t="shared" ref="Q606" si="9600">AVERAGE(P554,P502,P450)</f>
        <v>45192.583333333336</v>
      </c>
      <c r="R606" s="64">
        <f t="shared" ref="R606" si="9601">((O606/O554)-1)*100</f>
        <v>2.0560747663551426</v>
      </c>
      <c r="S606" s="73">
        <f t="shared" ref="S606" si="9602">((P606/P554)-1)*100</f>
        <v>-8.9268519956514965</v>
      </c>
      <c r="T606" s="64">
        <f t="shared" ref="T606" si="9603">((P606/Q606)-1)*100</f>
        <v>-2.6798276265832754</v>
      </c>
      <c r="V606" s="64">
        <v>109624</v>
      </c>
      <c r="W606" s="64">
        <v>10600</v>
      </c>
      <c r="X606" s="53">
        <v>0</v>
      </c>
      <c r="Y606" s="64">
        <f t="shared" si="9491"/>
        <v>120224</v>
      </c>
      <c r="Z606" s="71">
        <f t="shared" ref="Z606" si="9604">AVERAGE(Y603,Y604,Y605,Y606)</f>
        <v>92015</v>
      </c>
      <c r="AA606" s="71">
        <f t="shared" ref="AA606" si="9605">AVERAGE(Z554,Z502,Z450)</f>
        <v>97756.666666666672</v>
      </c>
      <c r="AB606" s="64">
        <f t="shared" ref="AB606" si="9606">((Y606/Y554)-1)*100</f>
        <v>116.81514878268709</v>
      </c>
      <c r="AC606" s="64">
        <f t="shared" ref="AC606" si="9607">((Z606/Z554)-1)*100</f>
        <v>17.544111776447103</v>
      </c>
      <c r="AD606" s="64">
        <f t="shared" ref="AD606" si="9608">((Z606/AA606)-1)*100</f>
        <v>-5.8734272172400903</v>
      </c>
      <c r="AF606" s="53">
        <v>0</v>
      </c>
      <c r="AG606" s="53">
        <v>0</v>
      </c>
      <c r="AH606" s="53">
        <v>2800</v>
      </c>
      <c r="AI606" s="53">
        <f t="shared" ref="AI606" si="9609">SUM(AF606:AH606)</f>
        <v>2800</v>
      </c>
      <c r="AJ606" s="71">
        <f t="shared" ref="AJ606" si="9610">AVERAGE(AI603,AI604,AI605,AI606)</f>
        <v>7725</v>
      </c>
      <c r="AK606" s="71">
        <f t="shared" ref="AK606" si="9611">AVERAGE(AJ554,AJ502,AJ450)</f>
        <v>3531</v>
      </c>
      <c r="AL606" s="64">
        <f t="shared" ref="AL606:AL615" si="9612">((AI606/AI554)-1)*100</f>
        <v>-41.666666666666664</v>
      </c>
      <c r="AM606" s="64">
        <f t="shared" ref="AM606" si="9613">((AJ606/AJ554)-1)*100</f>
        <v>155.96421471172962</v>
      </c>
      <c r="AN606" s="64">
        <f t="shared" ref="AN606" si="9614">((AJ606/AK606)-1)*100</f>
        <v>118.77655055225146</v>
      </c>
      <c r="AP606" s="60">
        <f t="shared" si="9574"/>
        <v>556200</v>
      </c>
      <c r="AQ606" s="60">
        <f t="shared" si="9575"/>
        <v>212700</v>
      </c>
      <c r="AR606" s="60">
        <f t="shared" ref="AR606" si="9615">SUM(D606,N606,X606,AH606)</f>
        <v>23800</v>
      </c>
      <c r="AS606" s="60">
        <f t="shared" ref="AS606" si="9616">SUM(E606,O606,Y606,AI606)</f>
        <v>792700</v>
      </c>
      <c r="AT606" s="64">
        <f t="shared" ref="AT606" si="9617">AVERAGE(AS603,AS604,AS605,AS606)</f>
        <v>753931.5</v>
      </c>
      <c r="AU606" s="71">
        <f t="shared" ref="AU606" si="9618">AVERAGE(AT554,AT502,AT450)</f>
        <v>513671</v>
      </c>
      <c r="AV606" s="64">
        <f t="shared" ref="AV606" si="9619">((AS606/AS554)-1)*100</f>
        <v>440.57555919258044</v>
      </c>
      <c r="AW606" s="64">
        <f t="shared" ref="AW606" si="9620">((AT606/AT554)-1)*100</f>
        <v>134.60925374876012</v>
      </c>
      <c r="AX606" s="64">
        <f t="shared" ref="AX606" si="9621">((AT606/AU606)-1)*100</f>
        <v>46.773226442606266</v>
      </c>
      <c r="AZ606" s="71">
        <f t="shared" ref="AZ606" si="9622">+E606/1000</f>
        <v>642.37599999999998</v>
      </c>
      <c r="BA606" s="53">
        <f t="shared" ref="BA606" si="9623">+O606/1000</f>
        <v>27.3</v>
      </c>
      <c r="BB606" s="53">
        <f t="shared" ref="BB606" si="9624">+Y606/1000</f>
        <v>120.224</v>
      </c>
      <c r="BC606" s="53">
        <f t="shared" ref="BC606" si="9625">+AI606/1000</f>
        <v>2.8</v>
      </c>
      <c r="BD606" s="53">
        <f t="shared" ref="BD606" si="9626">+AS606/1000</f>
        <v>792.7</v>
      </c>
      <c r="BE606" s="64">
        <f t="shared" ref="BE606" si="9627">BE605+AZ606</f>
        <v>9675.5390000000007</v>
      </c>
      <c r="BF606" s="64">
        <f t="shared" ref="BF606" si="9628">BF605+BA606</f>
        <v>854.41099999999994</v>
      </c>
      <c r="BG606" s="64">
        <f t="shared" ref="BG606" si="9629">BG605+BB606</f>
        <v>4475.7440000000015</v>
      </c>
      <c r="BH606" s="64">
        <f t="shared" ref="BH606" si="9630">BH605+BC606</f>
        <v>98.649999999999977</v>
      </c>
      <c r="BI606" s="64">
        <f t="shared" ref="BI606" si="9631">BI605+BD606</f>
        <v>15104.344000000001</v>
      </c>
      <c r="BJ606" s="64">
        <f t="shared" si="9039"/>
        <v>23</v>
      </c>
    </row>
    <row r="607" spans="1:62" x14ac:dyDescent="0.25">
      <c r="A607" s="48">
        <f t="shared" si="8958"/>
        <v>41804</v>
      </c>
      <c r="B607" s="64">
        <v>469016</v>
      </c>
      <c r="C607" s="64">
        <v>88086</v>
      </c>
      <c r="D607" s="53">
        <v>0</v>
      </c>
      <c r="E607" s="64">
        <f t="shared" si="9362"/>
        <v>557102</v>
      </c>
      <c r="F607" s="64">
        <f t="shared" ref="F607" si="9632">AVERAGE(E604,E605,E606,E607)</f>
        <v>611811.5</v>
      </c>
      <c r="G607" s="71">
        <f t="shared" ref="G607" si="9633">AVERAGE(F555,F503,F451)</f>
        <v>326276.33333333331</v>
      </c>
      <c r="H607" s="64">
        <f t="shared" ref="H607" si="9634">((E607/E555)-1)*100</f>
        <v>126.4642276422764</v>
      </c>
      <c r="I607" s="64">
        <f t="shared" ref="I607" si="9635">((F607/F555)-1)*100</f>
        <v>219.41750994245322</v>
      </c>
      <c r="J607" s="64">
        <f t="shared" ref="J607" si="9636">((F607/G607)-1)*100</f>
        <v>87.513293946133615</v>
      </c>
      <c r="L607" s="53">
        <v>11100</v>
      </c>
      <c r="M607" s="53">
        <v>0</v>
      </c>
      <c r="N607" s="53">
        <v>16800</v>
      </c>
      <c r="O607" s="53">
        <f t="shared" ref="O607" si="9637">SUM(L607:N607)</f>
        <v>27900</v>
      </c>
      <c r="P607" s="71">
        <f t="shared" ref="P607" si="9638">AVERAGE(O604,O605,O606,O607)</f>
        <v>33831.5</v>
      </c>
      <c r="Q607" s="71">
        <f t="shared" ref="Q607" si="9639">AVERAGE(P555,P503,P451)</f>
        <v>45323.916666666664</v>
      </c>
      <c r="R607" s="64">
        <f t="shared" ref="R607" si="9640">((O607/O555)-1)*100</f>
        <v>-40.064446831364123</v>
      </c>
      <c r="S607" s="73">
        <f t="shared" ref="S607" si="9641">((P607/P555)-1)*100</f>
        <v>-27.728229174454999</v>
      </c>
      <c r="T607" s="64">
        <f t="shared" ref="T607" si="9642">((P607/Q607)-1)*100</f>
        <v>-25.35618611954321</v>
      </c>
      <c r="V607" s="64">
        <v>57800</v>
      </c>
      <c r="W607" s="64">
        <v>3500</v>
      </c>
      <c r="X607" s="53">
        <v>0</v>
      </c>
      <c r="Y607" s="64">
        <f t="shared" si="9491"/>
        <v>61300</v>
      </c>
      <c r="Z607" s="71">
        <f t="shared" ref="Z607" si="9643">AVERAGE(Y604,Y605,Y606,Y607)</f>
        <v>86056</v>
      </c>
      <c r="AA607" s="71">
        <f t="shared" ref="AA607" si="9644">AVERAGE(Z555,Z503,Z451)</f>
        <v>99093</v>
      </c>
      <c r="AB607" s="64">
        <f t="shared" ref="AB607" si="9645">((Y607/Y555)-1)*100</f>
        <v>-28.486432254602299</v>
      </c>
      <c r="AC607" s="64">
        <f t="shared" ref="AC607" si="9646">((Z607/Z555)-1)*100</f>
        <v>8.8465661334336865</v>
      </c>
      <c r="AD607" s="64">
        <f t="shared" ref="AD607" si="9647">((Z607/AA607)-1)*100</f>
        <v>-13.156327893998565</v>
      </c>
      <c r="AF607" s="53">
        <v>1500</v>
      </c>
      <c r="AG607" s="53">
        <v>1750</v>
      </c>
      <c r="AH607" s="53">
        <v>2800</v>
      </c>
      <c r="AI607" s="53">
        <f t="shared" ref="AI607" si="9648">SUM(AF607:AH607)</f>
        <v>6050</v>
      </c>
      <c r="AJ607" s="71">
        <f t="shared" ref="AJ607" si="9649">AVERAGE(AI604,AI605,AI606,AI607)</f>
        <v>8837.5</v>
      </c>
      <c r="AK607" s="71">
        <f t="shared" ref="AK607" si="9650">AVERAGE(AJ555,AJ503,AJ451)</f>
        <v>2206</v>
      </c>
      <c r="AL607" s="64"/>
      <c r="AM607" s="64">
        <f t="shared" ref="AM607" si="9651">((AJ607/AJ555)-1)*100</f>
        <v>242.47238907188532</v>
      </c>
      <c r="AN607" s="64">
        <f t="shared" ref="AN607" si="9652">((AJ607/AK607)-1)*100</f>
        <v>300.61196736174071</v>
      </c>
      <c r="AP607" s="60">
        <f t="shared" ref="AP607" si="9653">SUM(B607,L607,V607,AF607)</f>
        <v>539416</v>
      </c>
      <c r="AQ607" s="60">
        <f t="shared" ref="AQ607" si="9654">SUM(C607,M607,W607,AG607)</f>
        <v>93336</v>
      </c>
      <c r="AR607" s="60">
        <f t="shared" ref="AR607" si="9655">SUM(D607,N607,X607,AH607)</f>
        <v>19600</v>
      </c>
      <c r="AS607" s="60">
        <f t="shared" ref="AS607" si="9656">SUM(E607,O607,Y607,AI607)</f>
        <v>652352</v>
      </c>
      <c r="AT607" s="64">
        <f t="shared" ref="AT607" si="9657">AVERAGE(AS604,AS605,AS606,AS607)</f>
        <v>740536.5</v>
      </c>
      <c r="AU607" s="71">
        <f t="shared" ref="AU607" si="9658">AVERAGE(AT555,AT503,AT451)</f>
        <v>472899.25</v>
      </c>
      <c r="AV607" s="64">
        <f t="shared" ref="AV607" si="9659">((AS607/AS555)-1)*100</f>
        <v>72.457622637918078</v>
      </c>
      <c r="AW607" s="64">
        <f t="shared" ref="AW607" si="9660">((AT607/AT555)-1)*100</f>
        <v>131.4223570166269</v>
      </c>
      <c r="AX607" s="64">
        <f t="shared" ref="AX607" si="9661">((AT607/AU607)-1)*100</f>
        <v>56.594982969416854</v>
      </c>
      <c r="AZ607" s="71">
        <f t="shared" ref="AZ607" si="9662">+E607/1000</f>
        <v>557.10199999999998</v>
      </c>
      <c r="BA607" s="53">
        <f t="shared" ref="BA607" si="9663">+O607/1000</f>
        <v>27.9</v>
      </c>
      <c r="BB607" s="53">
        <f t="shared" ref="BB607" si="9664">+Y607/1000</f>
        <v>61.3</v>
      </c>
      <c r="BC607" s="53">
        <f t="shared" ref="BC607" si="9665">+AI607/1000</f>
        <v>6.05</v>
      </c>
      <c r="BD607" s="53">
        <f t="shared" ref="BD607" si="9666">+AS607/1000</f>
        <v>652.35199999999998</v>
      </c>
      <c r="BE607" s="64">
        <f t="shared" ref="BE607" si="9667">BE606+AZ607</f>
        <v>10232.641000000001</v>
      </c>
      <c r="BF607" s="64">
        <f t="shared" ref="BF607" si="9668">BF606+BA607</f>
        <v>882.31099999999992</v>
      </c>
      <c r="BG607" s="64">
        <f t="shared" ref="BG607" si="9669">BG606+BB607</f>
        <v>4537.0440000000017</v>
      </c>
      <c r="BH607" s="64">
        <f t="shared" ref="BH607" si="9670">BH606+BC607</f>
        <v>104.69999999999997</v>
      </c>
      <c r="BI607" s="64">
        <f t="shared" ref="BI607" si="9671">BI606+BD607</f>
        <v>15756.696000000002</v>
      </c>
      <c r="BJ607" s="64">
        <f t="shared" si="9039"/>
        <v>24</v>
      </c>
    </row>
    <row r="608" spans="1:62" x14ac:dyDescent="0.25">
      <c r="A608" s="48">
        <f t="shared" si="8958"/>
        <v>41811</v>
      </c>
      <c r="B608" s="64">
        <v>649260</v>
      </c>
      <c r="C608" s="64">
        <v>80018</v>
      </c>
      <c r="D608" s="53">
        <v>0</v>
      </c>
      <c r="E608" s="64">
        <f t="shared" si="9362"/>
        <v>729278</v>
      </c>
      <c r="F608" s="64">
        <f t="shared" ref="F608" si="9672">AVERAGE(E605,E606,E607,E608)</f>
        <v>651927</v>
      </c>
      <c r="G608" s="71">
        <f t="shared" ref="G608" si="9673">AVERAGE(F556,F504,F452)</f>
        <v>311248.33333333331</v>
      </c>
      <c r="H608" s="64">
        <f t="shared" ref="H608" si="9674">((E608/E556)-1)*100</f>
        <v>139.30369155045116</v>
      </c>
      <c r="I608" s="64">
        <f t="shared" ref="I608" si="9675">((F608/F556)-1)*100</f>
        <v>218.12529049872452</v>
      </c>
      <c r="J608" s="64">
        <f t="shared" ref="J608" si="9676">((F608/G608)-1)*100</f>
        <v>109.45557941407986</v>
      </c>
      <c r="L608" s="53">
        <v>12600</v>
      </c>
      <c r="M608" s="53">
        <v>0</v>
      </c>
      <c r="N608" s="53">
        <v>23800</v>
      </c>
      <c r="O608" s="53">
        <f t="shared" ref="O608" si="9677">SUM(L608:N608)</f>
        <v>36400</v>
      </c>
      <c r="P608" s="71">
        <f t="shared" ref="P608" si="9678">AVERAGE(O605,O606,O607,O608)</f>
        <v>35706.5</v>
      </c>
      <c r="Q608" s="71">
        <f t="shared" ref="Q608" si="9679">AVERAGE(P556,P504,P452)</f>
        <v>45997.5</v>
      </c>
      <c r="R608" s="64">
        <f t="shared" ref="R608" si="9680">((O608/O556)-1)*100</f>
        <v>-62.856763844529027</v>
      </c>
      <c r="S608" s="73">
        <f t="shared" ref="S608" si="9681">((P608/P556)-1)*100</f>
        <v>-30.302601464940494</v>
      </c>
      <c r="T608" s="64">
        <f t="shared" ref="T608" si="9682">((P608/Q608)-1)*100</f>
        <v>-22.372955051904995</v>
      </c>
      <c r="V608" s="64">
        <v>38100</v>
      </c>
      <c r="W608" s="64">
        <v>8672</v>
      </c>
      <c r="X608" s="53">
        <v>1400</v>
      </c>
      <c r="Y608" s="64">
        <f t="shared" ref="Y608:Y612" si="9683">SUM(V608:X608)</f>
        <v>48172</v>
      </c>
      <c r="Z608" s="71">
        <f t="shared" ref="Z608" si="9684">AVERAGE(Y605,Y606,Y607,Y608)</f>
        <v>83611.5</v>
      </c>
      <c r="AA608" s="71">
        <f t="shared" ref="AA608" si="9685">AVERAGE(Z556,Z504,Z452)</f>
        <v>108982.5</v>
      </c>
      <c r="AB608" s="64">
        <f t="shared" ref="AB608" si="9686">((Y608/Y556)-1)*100</f>
        <v>-45.537591859807804</v>
      </c>
      <c r="AC608" s="64">
        <f t="shared" ref="AC608" si="9687">((Z608/Z556)-1)*100</f>
        <v>6.1029348781284742</v>
      </c>
      <c r="AD608" s="64">
        <f t="shared" ref="AD608" si="9688">((Z608/AA608)-1)*100</f>
        <v>-23.279884385107696</v>
      </c>
      <c r="AF608" s="53">
        <v>1500</v>
      </c>
      <c r="AG608" s="53">
        <v>1750</v>
      </c>
      <c r="AH608" s="53">
        <v>2800</v>
      </c>
      <c r="AI608" s="53">
        <f t="shared" ref="AI608" si="9689">SUM(AF608:AH608)</f>
        <v>6050</v>
      </c>
      <c r="AJ608" s="71">
        <f t="shared" ref="AJ608" si="9690">AVERAGE(AI605,AI606,AI607,AI608)</f>
        <v>8475</v>
      </c>
      <c r="AK608" s="71">
        <f t="shared" ref="AK608" si="9691">AVERAGE(AJ556,AJ504,AJ452)</f>
        <v>4268.166666666667</v>
      </c>
      <c r="AL608" s="64"/>
      <c r="AM608" s="64">
        <f t="shared" ref="AM608" si="9692">((AJ608/AJ556)-1)*100</f>
        <v>416.13885505481119</v>
      </c>
      <c r="AN608" s="64">
        <f t="shared" ref="AN608" si="9693">((AJ608/AK608)-1)*100</f>
        <v>98.563005193486646</v>
      </c>
      <c r="AP608" s="60">
        <f t="shared" ref="AP608:AP609" si="9694">SUM(B608,L608,V608,AF608)</f>
        <v>701460</v>
      </c>
      <c r="AQ608" s="60">
        <f t="shared" ref="AQ608:AQ609" si="9695">SUM(C608,M608,W608,AG608)</f>
        <v>90440</v>
      </c>
      <c r="AR608" s="60">
        <f t="shared" ref="AR608" si="9696">SUM(D608,N608,X608,AH608)</f>
        <v>28000</v>
      </c>
      <c r="AS608" s="60">
        <f t="shared" ref="AS608" si="9697">SUM(E608,O608,Y608,AI608)</f>
        <v>819900</v>
      </c>
      <c r="AT608" s="64">
        <f t="shared" ref="AT608" si="9698">AVERAGE(AS605,AS606,AS607,AS608)</f>
        <v>779720</v>
      </c>
      <c r="AU608" s="71">
        <f t="shared" ref="AU608" si="9699">AVERAGE(AT556,AT504,AT452)</f>
        <v>470496.5</v>
      </c>
      <c r="AV608" s="64">
        <f t="shared" ref="AV608" si="9700">((AS608/AS556)-1)*100</f>
        <v>66.91809225995982</v>
      </c>
      <c r="AW608" s="64">
        <f t="shared" ref="AW608" si="9701">((AT608/AT556)-1)*100</f>
        <v>131.64397795324012</v>
      </c>
      <c r="AX608" s="64">
        <f t="shared" ref="AX608" si="9702">((AT608/AU608)-1)*100</f>
        <v>65.722805589414591</v>
      </c>
      <c r="AZ608" s="71">
        <f t="shared" ref="AZ608" si="9703">+E608/1000</f>
        <v>729.27800000000002</v>
      </c>
      <c r="BA608" s="53">
        <f t="shared" ref="BA608" si="9704">+O608/1000</f>
        <v>36.4</v>
      </c>
      <c r="BB608" s="53">
        <f t="shared" ref="BB608" si="9705">+Y608/1000</f>
        <v>48.171999999999997</v>
      </c>
      <c r="BC608" s="53">
        <f t="shared" ref="BC608" si="9706">+AI608/1000</f>
        <v>6.05</v>
      </c>
      <c r="BD608" s="53">
        <f t="shared" ref="BD608" si="9707">+AS608/1000</f>
        <v>819.9</v>
      </c>
      <c r="BE608" s="64">
        <f t="shared" ref="BE608" si="9708">BE607+AZ608</f>
        <v>10961.919000000002</v>
      </c>
      <c r="BF608" s="64">
        <f t="shared" ref="BF608" si="9709">BF607+BA608</f>
        <v>918.7109999999999</v>
      </c>
      <c r="BG608" s="64">
        <f t="shared" ref="BG608" si="9710">BG607+BB608</f>
        <v>4585.2160000000013</v>
      </c>
      <c r="BH608" s="64">
        <f t="shared" ref="BH608" si="9711">BH607+BC608</f>
        <v>110.74999999999997</v>
      </c>
      <c r="BI608" s="64">
        <f t="shared" ref="BI608" si="9712">BI607+BD608</f>
        <v>16576.596000000001</v>
      </c>
      <c r="BJ608" s="64">
        <f t="shared" si="9039"/>
        <v>25</v>
      </c>
    </row>
    <row r="609" spans="1:62" x14ac:dyDescent="0.25">
      <c r="A609" s="48">
        <f t="shared" si="8958"/>
        <v>41818</v>
      </c>
      <c r="B609" s="64">
        <v>445036</v>
      </c>
      <c r="C609" s="64">
        <v>153905</v>
      </c>
      <c r="D609" s="53">
        <v>0</v>
      </c>
      <c r="E609" s="64">
        <f t="shared" si="9362"/>
        <v>598941</v>
      </c>
      <c r="F609" s="64">
        <f t="shared" ref="F609" si="9713">AVERAGE(E606,E607,E608,E609)</f>
        <v>631924.25</v>
      </c>
      <c r="G609" s="71">
        <f t="shared" ref="G609" si="9714">AVERAGE(F557,F505,F453)</f>
        <v>309054.83333333331</v>
      </c>
      <c r="H609" s="64">
        <f t="shared" ref="H609" si="9715">((E609/E557)-1)*100</f>
        <v>123.02774157512566</v>
      </c>
      <c r="I609" s="64">
        <f t="shared" ref="I609" si="9716">((F609/F557)-1)*100</f>
        <v>187.58470430291032</v>
      </c>
      <c r="J609" s="64">
        <f t="shared" ref="J609" si="9717">((F609/G609)-1)*100</f>
        <v>104.46994573239161</v>
      </c>
      <c r="L609" s="53">
        <v>0</v>
      </c>
      <c r="M609" s="53">
        <v>6350</v>
      </c>
      <c r="N609" s="53">
        <v>57300</v>
      </c>
      <c r="O609" s="53">
        <f t="shared" ref="O609" si="9718">SUM(L609:N609)</f>
        <v>63650</v>
      </c>
      <c r="P609" s="71">
        <f t="shared" ref="P609" si="9719">AVERAGE(O606,O607,O608,O609)</f>
        <v>38812.5</v>
      </c>
      <c r="Q609" s="71">
        <f t="shared" ref="Q609" si="9720">AVERAGE(P557,P505,P453)</f>
        <v>53992.5</v>
      </c>
      <c r="R609" s="64">
        <f t="shared" ref="R609" si="9721">((O609/O557)-1)*100</f>
        <v>-8.9517651770898876</v>
      </c>
      <c r="S609" s="73">
        <f t="shared" ref="S609" si="9722">((P609/P557)-1)*100</f>
        <v>-35.636196296127395</v>
      </c>
      <c r="T609" s="64">
        <f t="shared" ref="T609" si="9723">((P609/Q609)-1)*100</f>
        <v>-28.115015974440894</v>
      </c>
      <c r="V609" s="64">
        <v>82448</v>
      </c>
      <c r="W609" s="53">
        <v>0</v>
      </c>
      <c r="X609" s="53">
        <v>0</v>
      </c>
      <c r="Y609" s="64">
        <f t="shared" si="9683"/>
        <v>82448</v>
      </c>
      <c r="Z609" s="71">
        <f t="shared" ref="Z609" si="9724">AVERAGE(Y606,Y607,Y608,Y609)</f>
        <v>78036</v>
      </c>
      <c r="AA609" s="71">
        <f t="shared" ref="AA609" si="9725">AVERAGE(Z557,Z505,Z453)</f>
        <v>113731.41666666667</v>
      </c>
      <c r="AB609" s="64">
        <f t="shared" ref="AB609" si="9726">((Y609/Y557)-1)*100</f>
        <v>20.398954423984005</v>
      </c>
      <c r="AC609" s="64">
        <f t="shared" ref="AC609" si="9727">((Z609/Z557)-1)*100</f>
        <v>4.7122245443597111</v>
      </c>
      <c r="AD609" s="64">
        <f t="shared" ref="AD609" si="9728">((Z609/AA609)-1)*100</f>
        <v>-31.38571356346128</v>
      </c>
      <c r="AF609" s="53">
        <v>0</v>
      </c>
      <c r="AG609" s="53">
        <v>0</v>
      </c>
      <c r="AH609" s="53">
        <v>1400</v>
      </c>
      <c r="AI609" s="53">
        <f t="shared" ref="AI609:AI610" si="9729">SUM(AF609:AH609)</f>
        <v>1400</v>
      </c>
      <c r="AJ609" s="71">
        <f t="shared" ref="AJ609" si="9730">AVERAGE(AI606,AI607,AI608,AI609)</f>
        <v>4075</v>
      </c>
      <c r="AK609" s="71">
        <f t="shared" ref="AK609" si="9731">AVERAGE(AJ557,AJ505,AJ453)</f>
        <v>4320.833333333333</v>
      </c>
      <c r="AL609" s="64"/>
      <c r="AM609" s="64">
        <f t="shared" ref="AM609:AM611" si="9732">((AJ609/AJ557)-1)*100</f>
        <v>239.58333333333334</v>
      </c>
      <c r="AN609" s="64">
        <f t="shared" ref="AN609" si="9733">((AJ609/AK609)-1)*100</f>
        <v>-5.6894889103182189</v>
      </c>
      <c r="AP609" s="60">
        <f t="shared" si="9694"/>
        <v>527484</v>
      </c>
      <c r="AQ609" s="60">
        <f t="shared" si="9695"/>
        <v>160255</v>
      </c>
      <c r="AR609" s="60">
        <f t="shared" ref="AR609" si="9734">SUM(D609,N609,X609,AH609)</f>
        <v>58700</v>
      </c>
      <c r="AS609" s="60">
        <f t="shared" ref="AS609" si="9735">SUM(E609,O609,Y609,AI609)</f>
        <v>746439</v>
      </c>
      <c r="AT609" s="64">
        <f t="shared" ref="AT609" si="9736">AVERAGE(AS606,AS607,AS608,AS609)</f>
        <v>752847.75</v>
      </c>
      <c r="AU609" s="71">
        <f t="shared" ref="AU609" si="9737">AVERAGE(AT557,AT505,AT453)</f>
        <v>481099.58333333331</v>
      </c>
      <c r="AV609" s="64">
        <f t="shared" ref="AV609" si="9738">((AS609/AS557)-1)*100</f>
        <v>83.428638831072121</v>
      </c>
      <c r="AW609" s="64">
        <f t="shared" ref="AW609" si="9739">((AT609/AT557)-1)*100</f>
        <v>111.61615522780744</v>
      </c>
      <c r="AX609" s="64">
        <f t="shared" ref="AX609" si="9740">((AT609/AU609)-1)*100</f>
        <v>56.484806073586633</v>
      </c>
      <c r="AZ609" s="71">
        <f t="shared" ref="AZ609" si="9741">+E609/1000</f>
        <v>598.94100000000003</v>
      </c>
      <c r="BA609" s="53">
        <f t="shared" ref="BA609" si="9742">+O609/1000</f>
        <v>63.65</v>
      </c>
      <c r="BB609" s="53">
        <f t="shared" ref="BB609" si="9743">+Y609/1000</f>
        <v>82.447999999999993</v>
      </c>
      <c r="BC609" s="53">
        <f t="shared" ref="BC609" si="9744">+AI609/1000</f>
        <v>1.4</v>
      </c>
      <c r="BD609" s="53">
        <f t="shared" ref="BD609" si="9745">+AS609/1000</f>
        <v>746.43899999999996</v>
      </c>
      <c r="BE609" s="64">
        <f t="shared" ref="BE609" si="9746">BE608+AZ609</f>
        <v>11560.860000000002</v>
      </c>
      <c r="BF609" s="64">
        <f t="shared" ref="BF609" si="9747">BF608+BA609</f>
        <v>982.36099999999988</v>
      </c>
      <c r="BG609" s="64">
        <f t="shared" ref="BG609" si="9748">BG608+BB609</f>
        <v>4667.6640000000016</v>
      </c>
      <c r="BH609" s="64">
        <f t="shared" ref="BH609" si="9749">BH608+BC609</f>
        <v>112.14999999999998</v>
      </c>
      <c r="BI609" s="64">
        <f t="shared" ref="BI609" si="9750">BI608+BD609</f>
        <v>17323.035</v>
      </c>
      <c r="BJ609" s="64">
        <f t="shared" si="9039"/>
        <v>26</v>
      </c>
    </row>
    <row r="610" spans="1:62" x14ac:dyDescent="0.25">
      <c r="A610" s="48">
        <f t="shared" si="8958"/>
        <v>41825</v>
      </c>
      <c r="B610" s="64">
        <v>435148</v>
      </c>
      <c r="C610" s="64">
        <v>104000</v>
      </c>
      <c r="D610" s="53">
        <v>0</v>
      </c>
      <c r="E610" s="64">
        <f t="shared" si="9362"/>
        <v>539148</v>
      </c>
      <c r="F610" s="64">
        <f t="shared" ref="F610" si="9751">AVERAGE(E607,E608,E609,E610)</f>
        <v>606117.25</v>
      </c>
      <c r="G610" s="71">
        <f t="shared" ref="G610" si="9752">AVERAGE(F558,F506,F454)</f>
        <v>310935.66666666669</v>
      </c>
      <c r="H610" s="64">
        <f t="shared" ref="H610" si="9753">((E610/E558)-1)*100</f>
        <v>257.52519893899205</v>
      </c>
      <c r="I610" s="64">
        <f t="shared" ref="I610" si="9754">((F610/F558)-1)*100</f>
        <v>149.91949283579012</v>
      </c>
      <c r="J610" s="64">
        <f t="shared" ref="J610" si="9755">((F610/G610)-1)*100</f>
        <v>94.933330260171701</v>
      </c>
      <c r="L610" s="53">
        <v>1600</v>
      </c>
      <c r="M610" s="53">
        <v>77489</v>
      </c>
      <c r="N610" s="53">
        <v>26600</v>
      </c>
      <c r="O610" s="53">
        <f t="shared" ref="O610" si="9756">SUM(L610:N610)</f>
        <v>105689</v>
      </c>
      <c r="P610" s="71">
        <f t="shared" ref="P610" si="9757">AVERAGE(O607,O608,O609,O610)</f>
        <v>58409.75</v>
      </c>
      <c r="Q610" s="71">
        <f t="shared" ref="Q610" si="9758">AVERAGE(P558,P506,P454)</f>
        <v>69894.583333333328</v>
      </c>
      <c r="R610" s="64">
        <f t="shared" ref="R610" si="9759">((O610/O558)-1)*100</f>
        <v>-33.065864471184291</v>
      </c>
      <c r="S610" s="73">
        <f t="shared" ref="S610" si="9760">((P610/P558)-1)*100</f>
        <v>-37.254033091898364</v>
      </c>
      <c r="T610" s="64">
        <f t="shared" ref="T610" si="9761">((P610/Q610)-1)*100</f>
        <v>-16.431650044412116</v>
      </c>
      <c r="V610" s="64">
        <v>28000</v>
      </c>
      <c r="W610" s="53">
        <v>15750</v>
      </c>
      <c r="X610" s="53">
        <v>0</v>
      </c>
      <c r="Y610" s="64">
        <f t="shared" si="9683"/>
        <v>43750</v>
      </c>
      <c r="Z610" s="71">
        <f t="shared" ref="Z610" si="9762">AVERAGE(Y607,Y608,Y609,Y610)</f>
        <v>58917.5</v>
      </c>
      <c r="AA610" s="71">
        <f t="shared" ref="AA610" si="9763">AVERAGE(Z558,Z506,Z454)</f>
        <v>122962.75</v>
      </c>
      <c r="AB610" s="64">
        <f t="shared" ref="AB610" si="9764">((Y610/Y558)-1)*100</f>
        <v>-35.040831477357095</v>
      </c>
      <c r="AC610" s="64">
        <f t="shared" ref="AC610" si="9765">((Z610/Z558)-1)*100</f>
        <v>-23.976683645325604</v>
      </c>
      <c r="AD610" s="64">
        <f t="shared" ref="AD610" si="9766">((Z610/AA610)-1)*100</f>
        <v>-52.085082677477537</v>
      </c>
      <c r="AF610" s="53">
        <v>4700</v>
      </c>
      <c r="AG610" s="53">
        <v>0</v>
      </c>
      <c r="AH610" s="53">
        <v>0</v>
      </c>
      <c r="AI610" s="53">
        <f t="shared" si="9729"/>
        <v>4700</v>
      </c>
      <c r="AJ610" s="71">
        <f t="shared" ref="AJ610" si="9767">AVERAGE(AI607,AI608,AI609,AI610)</f>
        <v>4550</v>
      </c>
      <c r="AK610" s="71">
        <f t="shared" ref="AK610" si="9768">AVERAGE(AJ558,AJ506,AJ454)</f>
        <v>3729.1666666666665</v>
      </c>
      <c r="AL610" s="64"/>
      <c r="AM610" s="64"/>
      <c r="AN610" s="64">
        <f t="shared" ref="AN610" si="9769">((AJ610/AK610)-1)*100</f>
        <v>22.011173184357546</v>
      </c>
      <c r="AP610" s="60">
        <f t="shared" ref="AP610" si="9770">SUM(B610,L610,V610,AF610)</f>
        <v>469448</v>
      </c>
      <c r="AQ610" s="60">
        <f t="shared" ref="AQ610" si="9771">SUM(C610,M610,W610,AG610)</f>
        <v>197239</v>
      </c>
      <c r="AR610" s="60">
        <f t="shared" ref="AR610" si="9772">SUM(D610,N610,X610,AH610)</f>
        <v>26600</v>
      </c>
      <c r="AS610" s="60">
        <f t="shared" ref="AS610" si="9773">SUM(E610,O610,Y610,AI610)</f>
        <v>693287</v>
      </c>
      <c r="AT610" s="64">
        <f t="shared" ref="AT610" si="9774">AVERAGE(AS607,AS608,AS609,AS610)</f>
        <v>727994.5</v>
      </c>
      <c r="AU610" s="71">
        <f t="shared" ref="AU610" si="9775">AVERAGE(AT558,AT506,AT454)</f>
        <v>507522.16666666669</v>
      </c>
      <c r="AV610" s="64">
        <f t="shared" ref="AV610" si="9776">((AS610/AS558)-1)*100</f>
        <v>84.360324424943499</v>
      </c>
      <c r="AW610" s="64">
        <f t="shared" ref="AW610" si="9777">((AT610/AT558)-1)*100</f>
        <v>76.221425830915706</v>
      </c>
      <c r="AX610" s="64">
        <f t="shared" ref="AX610" si="9778">((AT610/AU610)-1)*100</f>
        <v>43.440926882339781</v>
      </c>
      <c r="AZ610" s="71">
        <f t="shared" ref="AZ610" si="9779">+E610/1000</f>
        <v>539.14800000000002</v>
      </c>
      <c r="BA610" s="53">
        <f t="shared" ref="BA610" si="9780">+O610/1000</f>
        <v>105.68899999999999</v>
      </c>
      <c r="BB610" s="53">
        <f t="shared" ref="BB610" si="9781">+Y610/1000</f>
        <v>43.75</v>
      </c>
      <c r="BC610" s="53">
        <f t="shared" ref="BC610" si="9782">+AI610/1000</f>
        <v>4.7</v>
      </c>
      <c r="BD610" s="53">
        <f t="shared" ref="BD610" si="9783">+AS610/1000</f>
        <v>693.28700000000003</v>
      </c>
      <c r="BE610" s="64">
        <f t="shared" ref="BE610" si="9784">BE609+AZ610</f>
        <v>12100.008000000002</v>
      </c>
      <c r="BF610" s="64">
        <f t="shared" ref="BF610" si="9785">BF609+BA610</f>
        <v>1088.05</v>
      </c>
      <c r="BG610" s="64">
        <f t="shared" ref="BG610" si="9786">BG609+BB610</f>
        <v>4711.4140000000016</v>
      </c>
      <c r="BH610" s="64">
        <f t="shared" ref="BH610" si="9787">BH609+BC610</f>
        <v>116.84999999999998</v>
      </c>
      <c r="BI610" s="64">
        <f t="shared" ref="BI610" si="9788">BI609+BD610</f>
        <v>18016.322</v>
      </c>
      <c r="BJ610" s="64">
        <f t="shared" si="9039"/>
        <v>27</v>
      </c>
    </row>
    <row r="611" spans="1:62" x14ac:dyDescent="0.25">
      <c r="A611" s="48">
        <f t="shared" si="8958"/>
        <v>41832</v>
      </c>
      <c r="B611" s="64">
        <v>212040</v>
      </c>
      <c r="C611" s="64">
        <v>110100</v>
      </c>
      <c r="D611" s="53">
        <v>0</v>
      </c>
      <c r="E611" s="64">
        <f t="shared" si="9362"/>
        <v>322140</v>
      </c>
      <c r="F611" s="64">
        <f t="shared" ref="F611" si="9789">AVERAGE(E608,E609,E610,E611)</f>
        <v>547376.75</v>
      </c>
      <c r="G611" s="71">
        <f t="shared" ref="G611" si="9790">AVERAGE(F559,F507,F455)</f>
        <v>334021.58333333331</v>
      </c>
      <c r="H611" s="64">
        <f t="shared" ref="H611" si="9791">((E611/E559)-1)*100</f>
        <v>12.675760755508914</v>
      </c>
      <c r="I611" s="64">
        <f t="shared" ref="I611" si="9792">((F611/F559)-1)*100</f>
        <v>116.7828712871287</v>
      </c>
      <c r="J611" s="64">
        <f t="shared" ref="J611" si="9793">((F611/G611)-1)*100</f>
        <v>63.874664785883354</v>
      </c>
      <c r="L611" s="53">
        <v>0</v>
      </c>
      <c r="M611" s="53">
        <v>70860</v>
      </c>
      <c r="N611" s="53">
        <v>58800</v>
      </c>
      <c r="O611" s="53">
        <f t="shared" ref="O611" si="9794">SUM(L611:N611)</f>
        <v>129660</v>
      </c>
      <c r="P611" s="71">
        <f t="shared" ref="P611" si="9795">AVERAGE(O608,O609,O610,O611)</f>
        <v>83849.75</v>
      </c>
      <c r="Q611" s="71">
        <f t="shared" ref="Q611" si="9796">AVERAGE(P559,P507,P455)</f>
        <v>81251.416666666672</v>
      </c>
      <c r="R611" s="64">
        <f t="shared" ref="R611" si="9797">((O611/O559)-1)*100</f>
        <v>-33.873254521159943</v>
      </c>
      <c r="S611" s="73">
        <f t="shared" ref="S611" si="9798">((P611/P559)-1)*100</f>
        <v>-35.733159604127351</v>
      </c>
      <c r="T611" s="64">
        <f t="shared" ref="T611" si="9799">((P611/Q611)-1)*100</f>
        <v>3.1978929598150518</v>
      </c>
      <c r="V611" s="64">
        <v>23848</v>
      </c>
      <c r="W611" s="53">
        <v>10500</v>
      </c>
      <c r="X611" s="53">
        <v>0</v>
      </c>
      <c r="Y611" s="64">
        <f t="shared" si="9683"/>
        <v>34348</v>
      </c>
      <c r="Z611" s="71">
        <f t="shared" ref="Z611" si="9800">AVERAGE(Y608,Y609,Y610,Y611)</f>
        <v>52179.5</v>
      </c>
      <c r="AA611" s="71">
        <f t="shared" ref="AA611" si="9801">AVERAGE(Z559,Z507,Z455)</f>
        <v>134666.08333333334</v>
      </c>
      <c r="AB611" s="64">
        <f t="shared" ref="AB611" si="9802">((Y611/Y559)-1)*100</f>
        <v>-72.927044580364466</v>
      </c>
      <c r="AC611" s="64">
        <f t="shared" ref="AC611" si="9803">((Z611/Z559)-1)*100</f>
        <v>-40.56175263633024</v>
      </c>
      <c r="AD611" s="64">
        <f t="shared" ref="AD611" si="9804">((Z611/AA611)-1)*100</f>
        <v>-61.252678693533944</v>
      </c>
      <c r="AF611" s="53">
        <v>0</v>
      </c>
      <c r="AG611" s="53">
        <v>3500</v>
      </c>
      <c r="AH611" s="53">
        <v>1400</v>
      </c>
      <c r="AI611" s="53">
        <f t="shared" ref="AI611:AI616" si="9805">SUM(AF611:AH611)</f>
        <v>4900</v>
      </c>
      <c r="AJ611" s="71">
        <f t="shared" ref="AJ611" si="9806">AVERAGE(AI608,AI609,AI610,AI611)</f>
        <v>4262.5</v>
      </c>
      <c r="AK611" s="71">
        <f t="shared" ref="AK611" si="9807">AVERAGE(AJ559,AJ507,AJ455)</f>
        <v>5408.333333333333</v>
      </c>
      <c r="AL611" s="64">
        <f t="shared" si="9612"/>
        <v>206.25</v>
      </c>
      <c r="AM611" s="64">
        <f t="shared" si="9732"/>
        <v>965.625</v>
      </c>
      <c r="AN611" s="64">
        <f t="shared" ref="AN611" si="9808">((AJ611/AK611)-1)*100</f>
        <v>-21.1864406779661</v>
      </c>
      <c r="AP611" s="60">
        <f t="shared" ref="AP611:AP613" si="9809">SUM(B611,L611,V611,AF611)</f>
        <v>235888</v>
      </c>
      <c r="AQ611" s="60">
        <f t="shared" ref="AQ611:AQ613" si="9810">SUM(C611,M611,W611,AG611)</f>
        <v>194960</v>
      </c>
      <c r="AR611" s="60">
        <f t="shared" ref="AR611:AR613" si="9811">SUM(D611,N611,X611,AH611)</f>
        <v>60200</v>
      </c>
      <c r="AS611" s="60">
        <f t="shared" ref="AS611:AS613" si="9812">SUM(E611,O611,Y611,AI611)</f>
        <v>491048</v>
      </c>
      <c r="AT611" s="64">
        <f t="shared" ref="AT611" si="9813">AVERAGE(AS608,AS609,AS610,AS611)</f>
        <v>687668.5</v>
      </c>
      <c r="AU611" s="71">
        <f t="shared" ref="AU611" si="9814">AVERAGE(AT559,AT507,AT455)</f>
        <v>555347.41666666663</v>
      </c>
      <c r="AV611" s="64">
        <f t="shared" ref="AV611" si="9815">((AS611/AS559)-1)*100</f>
        <v>-19.559669096568111</v>
      </c>
      <c r="AW611" s="64">
        <f t="shared" ref="AW611" si="9816">((AT611/AT559)-1)*100</f>
        <v>45.952534070239558</v>
      </c>
      <c r="AX611" s="64">
        <f t="shared" ref="AX611" si="9817">((AT611/AU611)-1)*100</f>
        <v>23.826721681277906</v>
      </c>
      <c r="AZ611" s="71">
        <f t="shared" ref="AZ611" si="9818">+E611/1000</f>
        <v>322.14</v>
      </c>
      <c r="BA611" s="53">
        <f t="shared" ref="BA611" si="9819">+O611/1000</f>
        <v>129.66</v>
      </c>
      <c r="BB611" s="53">
        <f t="shared" ref="BB611" si="9820">+Y611/1000</f>
        <v>34.347999999999999</v>
      </c>
      <c r="BC611" s="53">
        <f t="shared" ref="BC611" si="9821">+AI611/1000</f>
        <v>4.9000000000000004</v>
      </c>
      <c r="BD611" s="53">
        <f t="shared" ref="BD611" si="9822">+AS611/1000</f>
        <v>491.048</v>
      </c>
      <c r="BE611" s="64">
        <f t="shared" ref="BE611" si="9823">BE610+AZ611</f>
        <v>12422.148000000001</v>
      </c>
      <c r="BF611" s="64">
        <f t="shared" ref="BF611" si="9824">BF610+BA611</f>
        <v>1217.71</v>
      </c>
      <c r="BG611" s="64">
        <f t="shared" ref="BG611" si="9825">BG610+BB611</f>
        <v>4745.7620000000015</v>
      </c>
      <c r="BH611" s="64">
        <f t="shared" ref="BH611" si="9826">BH610+BC611</f>
        <v>121.74999999999999</v>
      </c>
      <c r="BI611" s="64">
        <f t="shared" ref="BI611" si="9827">BI610+BD611</f>
        <v>18507.37</v>
      </c>
      <c r="BJ611" s="64">
        <f t="shared" si="9039"/>
        <v>28</v>
      </c>
    </row>
    <row r="612" spans="1:62" x14ac:dyDescent="0.25">
      <c r="A612" s="48">
        <f t="shared" si="8958"/>
        <v>41839</v>
      </c>
      <c r="B612" s="64">
        <v>215546</v>
      </c>
      <c r="C612" s="64">
        <v>69550</v>
      </c>
      <c r="D612" s="53">
        <v>0</v>
      </c>
      <c r="E612" s="64">
        <f t="shared" si="9362"/>
        <v>285096</v>
      </c>
      <c r="F612" s="64">
        <f t="shared" ref="F612" si="9828">AVERAGE(E609,E610,E611,E612)</f>
        <v>436331.25</v>
      </c>
      <c r="G612" s="71">
        <f t="shared" ref="G612" si="9829">AVERAGE(F560,F508,F456)</f>
        <v>332014.5</v>
      </c>
      <c r="H612" s="64">
        <f t="shared" ref="H612" si="9830">((E612/E560)-1)*100</f>
        <v>94.273253833049409</v>
      </c>
      <c r="I612" s="64">
        <f t="shared" ref="I612" si="9831">((F612/F560)-1)*100</f>
        <v>104.85035211267606</v>
      </c>
      <c r="J612" s="64">
        <f t="shared" ref="J612" si="9832">((F612/G612)-1)*100</f>
        <v>31.419335601306564</v>
      </c>
      <c r="L612" s="53">
        <v>0</v>
      </c>
      <c r="M612" s="53">
        <v>41922</v>
      </c>
      <c r="N612" s="53">
        <v>35000</v>
      </c>
      <c r="O612" s="53">
        <f t="shared" ref="O612" si="9833">SUM(L612:N612)</f>
        <v>76922</v>
      </c>
      <c r="P612" s="71">
        <f t="shared" ref="P612" si="9834">AVERAGE(O609,O610,O611,O612)</f>
        <v>93980.25</v>
      </c>
      <c r="Q612" s="71">
        <f t="shared" ref="Q612" si="9835">AVERAGE(P560,P508,P456)</f>
        <v>81864.833333333328</v>
      </c>
      <c r="R612" s="64">
        <f t="shared" ref="R612" si="9836">((O612/O560)-1)*100</f>
        <v>-34.948582639875511</v>
      </c>
      <c r="S612" s="73">
        <f t="shared" ref="S612" si="9837">((P612/P560)-1)*100</f>
        <v>-30.659025259437701</v>
      </c>
      <c r="T612" s="64">
        <f t="shared" ref="T612" si="9838">((P612/Q612)-1)*100</f>
        <v>14.799293143779702</v>
      </c>
      <c r="V612" s="64">
        <v>51316</v>
      </c>
      <c r="W612" s="53">
        <v>9900</v>
      </c>
      <c r="X612" s="53">
        <v>0</v>
      </c>
      <c r="Y612" s="64">
        <f t="shared" si="9683"/>
        <v>61216</v>
      </c>
      <c r="Z612" s="71">
        <f t="shared" ref="Z612" si="9839">AVERAGE(Y609,Y610,Y611,Y612)</f>
        <v>55440.5</v>
      </c>
      <c r="AA612" s="71">
        <f t="shared" ref="AA612" si="9840">AVERAGE(Z560,Z508,Z456)</f>
        <v>134777.5</v>
      </c>
      <c r="AB612" s="64">
        <f t="shared" ref="AB612" si="9841">((Y612/Y560)-1)*100</f>
        <v>-23.288220551378448</v>
      </c>
      <c r="AC612" s="64">
        <f t="shared" ref="AC612" si="9842">((Z612/Z560)-1)*100</f>
        <v>-35.252159847708477</v>
      </c>
      <c r="AD612" s="64">
        <f t="shared" ref="AD612" si="9843">((Z612/AA612)-1)*100</f>
        <v>-58.865166663575152</v>
      </c>
      <c r="AF612" s="53">
        <v>0</v>
      </c>
      <c r="AG612" s="53">
        <v>0</v>
      </c>
      <c r="AH612" s="53">
        <v>0</v>
      </c>
      <c r="AI612" s="53">
        <f t="shared" si="9805"/>
        <v>0</v>
      </c>
      <c r="AJ612" s="71">
        <f t="shared" ref="AJ612" si="9844">AVERAGE(AI609,AI610,AI611,AI612)</f>
        <v>2750</v>
      </c>
      <c r="AK612" s="71">
        <f t="shared" ref="AK612" si="9845">AVERAGE(AJ560,AJ508,AJ456)</f>
        <v>5454.166666666667</v>
      </c>
      <c r="AL612" s="64"/>
      <c r="AM612" s="64">
        <f t="shared" ref="AM612" si="9846">((AJ612/AJ560)-1)*100</f>
        <v>587.5</v>
      </c>
      <c r="AN612" s="64">
        <f t="shared" ref="AN612" si="9847">((AJ612/AK612)-1)*100</f>
        <v>-49.579831932773111</v>
      </c>
      <c r="AP612" s="60">
        <f t="shared" si="9809"/>
        <v>266862</v>
      </c>
      <c r="AQ612" s="60">
        <f t="shared" si="9810"/>
        <v>121372</v>
      </c>
      <c r="AR612" s="60">
        <f t="shared" si="9811"/>
        <v>35000</v>
      </c>
      <c r="AS612" s="60">
        <f t="shared" si="9812"/>
        <v>423234</v>
      </c>
      <c r="AT612" s="64">
        <f t="shared" ref="AT612" si="9848">AVERAGE(AS609,AS610,AS611,AS612)</f>
        <v>588502</v>
      </c>
      <c r="AU612" s="71">
        <f t="shared" ref="AU612" si="9849">AVERAGE(AT560,AT508,AT456)</f>
        <v>554111</v>
      </c>
      <c r="AV612" s="64">
        <f t="shared" ref="AV612" si="9850">((AS612/AS560)-1)*100</f>
        <v>22.748391812017466</v>
      </c>
      <c r="AW612" s="64">
        <f t="shared" ref="AW612" si="9851">((AT612/AT560)-1)*100</f>
        <v>35.425187043178852</v>
      </c>
      <c r="AX612" s="64">
        <f t="shared" ref="AX612" si="9852">((AT612/AU612)-1)*100</f>
        <v>6.2065181885939902</v>
      </c>
      <c r="AZ612" s="71">
        <f t="shared" ref="AZ612" si="9853">+E612/1000</f>
        <v>285.096</v>
      </c>
      <c r="BA612" s="53">
        <f t="shared" ref="BA612" si="9854">+O612/1000</f>
        <v>76.921999999999997</v>
      </c>
      <c r="BB612" s="53">
        <f t="shared" ref="BB612" si="9855">+Y612/1000</f>
        <v>61.216000000000001</v>
      </c>
      <c r="BC612" s="53">
        <f t="shared" ref="BC612" si="9856">+AI612/1000</f>
        <v>0</v>
      </c>
      <c r="BD612" s="53">
        <f t="shared" ref="BD612" si="9857">+AS612/1000</f>
        <v>423.23399999999998</v>
      </c>
      <c r="BE612" s="64">
        <f t="shared" ref="BE612" si="9858">BE611+AZ612</f>
        <v>12707.244000000001</v>
      </c>
      <c r="BF612" s="64">
        <f t="shared" ref="BF612" si="9859">BF611+BA612</f>
        <v>1294.6320000000001</v>
      </c>
      <c r="BG612" s="64">
        <f t="shared" ref="BG612" si="9860">BG611+BB612</f>
        <v>4806.9780000000019</v>
      </c>
      <c r="BH612" s="64">
        <f t="shared" ref="BH612" si="9861">BH611+BC612</f>
        <v>121.74999999999999</v>
      </c>
      <c r="BI612" s="64">
        <f t="shared" ref="BI612" si="9862">BI611+BD612</f>
        <v>18930.603999999999</v>
      </c>
      <c r="BJ612" s="64">
        <f t="shared" si="9039"/>
        <v>29</v>
      </c>
    </row>
    <row r="613" spans="1:62" x14ac:dyDescent="0.25">
      <c r="A613" s="48">
        <f t="shared" si="8958"/>
        <v>41846</v>
      </c>
      <c r="B613" s="64">
        <v>485400</v>
      </c>
      <c r="C613" s="64">
        <v>86050</v>
      </c>
      <c r="D613" s="53">
        <v>0</v>
      </c>
      <c r="E613" s="64">
        <f t="shared" si="9362"/>
        <v>571450</v>
      </c>
      <c r="F613" s="64">
        <f t="shared" ref="F613" si="9863">AVERAGE(E610,E611,E612,E613)</f>
        <v>429458.5</v>
      </c>
      <c r="G613" s="71">
        <f t="shared" ref="G613" si="9864">AVERAGE(F561,F509,F457)</f>
        <v>339727</v>
      </c>
      <c r="H613" s="64">
        <f t="shared" ref="H613" si="9865">((E613/E561)-1)*100</f>
        <v>200.32689356513694</v>
      </c>
      <c r="I613" s="64">
        <f t="shared" ref="I613" si="9866">((F613/F561)-1)*100</f>
        <v>122.02097383311403</v>
      </c>
      <c r="J613" s="64">
        <f t="shared" ref="J613" si="9867">((F613/G613)-1)*100</f>
        <v>26.412825592313837</v>
      </c>
      <c r="L613" s="53">
        <v>0</v>
      </c>
      <c r="M613" s="53">
        <v>70201</v>
      </c>
      <c r="N613" s="53">
        <v>46200</v>
      </c>
      <c r="O613" s="53">
        <f t="shared" ref="O613" si="9868">SUM(L613:N613)</f>
        <v>116401</v>
      </c>
      <c r="P613" s="71">
        <f t="shared" ref="P613" si="9869">AVERAGE(O610,O611,O612,O613)</f>
        <v>107168</v>
      </c>
      <c r="Q613" s="71">
        <f t="shared" ref="Q613" si="9870">AVERAGE(P561,P509,P457)</f>
        <v>86695.833333333328</v>
      </c>
      <c r="R613" s="64">
        <f t="shared" ref="R613" si="9871">((O613/O561)-1)*100</f>
        <v>-29.275198532047664</v>
      </c>
      <c r="S613" s="73">
        <f t="shared" ref="S613" si="9872">((P613/P561)-1)*100</f>
        <v>-32.684368468410462</v>
      </c>
      <c r="T613" s="64">
        <f t="shared" ref="T613" si="9873">((P613/Q613)-1)*100</f>
        <v>23.613783822751966</v>
      </c>
      <c r="V613" s="64">
        <v>94700</v>
      </c>
      <c r="W613" s="53">
        <v>1750</v>
      </c>
      <c r="X613" s="53">
        <v>1400</v>
      </c>
      <c r="Y613" s="64">
        <f t="shared" ref="Y613:Y617" si="9874">SUM(V613:X613)</f>
        <v>97850</v>
      </c>
      <c r="Z613" s="71">
        <f t="shared" ref="Z613" si="9875">AVERAGE(Y610,Y611,Y612,Y613)</f>
        <v>59291</v>
      </c>
      <c r="AA613" s="71">
        <f t="shared" ref="AA613" si="9876">AVERAGE(Z561,Z509,Z457)</f>
        <v>148139.58333333334</v>
      </c>
      <c r="AB613" s="64">
        <f t="shared" ref="AB613" si="9877">((Y613/Y561)-1)*100</f>
        <v>36.201664764343988</v>
      </c>
      <c r="AC613" s="64">
        <f t="shared" ref="AC613" si="9878">((Z613/Z561)-1)*100</f>
        <v>-31.42853838502996</v>
      </c>
      <c r="AD613" s="64">
        <f t="shared" ref="AD613" si="9879">((Z613/AA613)-1)*100</f>
        <v>-59.976261127596445</v>
      </c>
      <c r="AF613" s="53">
        <v>0</v>
      </c>
      <c r="AG613" s="53">
        <v>0</v>
      </c>
      <c r="AH613" s="53">
        <v>0</v>
      </c>
      <c r="AI613" s="53">
        <f t="shared" si="9805"/>
        <v>0</v>
      </c>
      <c r="AJ613" s="71">
        <f t="shared" ref="AJ613" si="9880">AVERAGE(AI610,AI611,AI612,AI613)</f>
        <v>2400</v>
      </c>
      <c r="AK613" s="71">
        <f t="shared" ref="AK613" si="9881">AVERAGE(AJ561,AJ509,AJ457)</f>
        <v>8984.0833333333339</v>
      </c>
      <c r="AL613" s="64">
        <f t="shared" si="9612"/>
        <v>-100</v>
      </c>
      <c r="AM613" s="64">
        <f t="shared" ref="AM613" si="9882">((AJ613/AJ561)-1)*100</f>
        <v>-40.186915887850475</v>
      </c>
      <c r="AN613" s="64">
        <f t="shared" ref="AN613" si="9883">((AJ613/AK613)-1)*100</f>
        <v>-73.286089287536299</v>
      </c>
      <c r="AP613" s="60">
        <f t="shared" si="9809"/>
        <v>580100</v>
      </c>
      <c r="AQ613" s="60">
        <f t="shared" si="9810"/>
        <v>158001</v>
      </c>
      <c r="AR613" s="60">
        <f t="shared" si="9811"/>
        <v>47600</v>
      </c>
      <c r="AS613" s="60">
        <f t="shared" si="9812"/>
        <v>785701</v>
      </c>
      <c r="AT613" s="64">
        <f t="shared" ref="AT613" si="9884">AVERAGE(AS610,AS611,AS612,AS613)</f>
        <v>598317.5</v>
      </c>
      <c r="AU613" s="71">
        <f t="shared" ref="AU613" si="9885">AVERAGE(AT561,AT509,AT457)</f>
        <v>583546.5</v>
      </c>
      <c r="AV613" s="64">
        <f t="shared" ref="AV613" si="9886">((AS613/AS561)-1)*100</f>
        <v>78.102509118193097</v>
      </c>
      <c r="AW613" s="64">
        <f t="shared" ref="AW613" si="9887">((AT613/AT561)-1)*100</f>
        <v>35.026170005455739</v>
      </c>
      <c r="AX613" s="64">
        <f t="shared" ref="AX613" si="9888">((AT613/AU613)-1)*100</f>
        <v>2.53124643880136</v>
      </c>
      <c r="AZ613" s="71">
        <f t="shared" ref="AZ613" si="9889">+E613/1000</f>
        <v>571.45000000000005</v>
      </c>
      <c r="BA613" s="53">
        <f t="shared" ref="BA613" si="9890">+O613/1000</f>
        <v>116.401</v>
      </c>
      <c r="BB613" s="53">
        <f t="shared" ref="BB613" si="9891">+Y613/1000</f>
        <v>97.85</v>
      </c>
      <c r="BC613" s="53">
        <f t="shared" ref="BC613" si="9892">+AI613/1000</f>
        <v>0</v>
      </c>
      <c r="BD613" s="53">
        <f t="shared" ref="BD613" si="9893">+AS613/1000</f>
        <v>785.70100000000002</v>
      </c>
      <c r="BE613" s="64">
        <f t="shared" ref="BE613" si="9894">BE612+AZ613</f>
        <v>13278.694000000001</v>
      </c>
      <c r="BF613" s="64">
        <f t="shared" ref="BF613" si="9895">BF612+BA613</f>
        <v>1411.0330000000001</v>
      </c>
      <c r="BG613" s="64">
        <f t="shared" ref="BG613" si="9896">BG612+BB613</f>
        <v>4904.8280000000022</v>
      </c>
      <c r="BH613" s="64">
        <f t="shared" ref="BH613" si="9897">BH612+BC613</f>
        <v>121.74999999999999</v>
      </c>
      <c r="BI613" s="64">
        <f t="shared" ref="BI613" si="9898">BI612+BD613</f>
        <v>19716.305</v>
      </c>
      <c r="BJ613" s="64">
        <f t="shared" si="9039"/>
        <v>30</v>
      </c>
    </row>
    <row r="614" spans="1:62" x14ac:dyDescent="0.25">
      <c r="A614" s="48">
        <f t="shared" si="8958"/>
        <v>41853</v>
      </c>
      <c r="B614" s="64">
        <v>482820</v>
      </c>
      <c r="C614" s="64">
        <v>115264</v>
      </c>
      <c r="D614" s="53">
        <v>0</v>
      </c>
      <c r="E614" s="64">
        <f t="shared" si="9362"/>
        <v>598084</v>
      </c>
      <c r="F614" s="64">
        <f t="shared" ref="F614" si="9899">AVERAGE(E611,E612,E613,E614)</f>
        <v>444192.5</v>
      </c>
      <c r="G614" s="71">
        <f t="shared" ref="G614" si="9900">AVERAGE(F562,F510,F458)</f>
        <v>343161.75</v>
      </c>
      <c r="H614" s="64">
        <f t="shared" ref="H614" si="9901">((E614/E562)-1)*100</f>
        <v>303.15739804516346</v>
      </c>
      <c r="I614" s="64">
        <f t="shared" ref="I614" si="9902">((F614/F562)-1)*100</f>
        <v>130.36759862876585</v>
      </c>
      <c r="J614" s="64">
        <f t="shared" ref="J614" si="9903">((F614/G614)-1)*100</f>
        <v>29.441145465658678</v>
      </c>
      <c r="L614" s="53">
        <v>4700</v>
      </c>
      <c r="M614" s="53">
        <v>38689</v>
      </c>
      <c r="N614" s="53">
        <v>49000</v>
      </c>
      <c r="O614" s="53">
        <f t="shared" ref="O614" si="9904">SUM(L614:N614)</f>
        <v>92389</v>
      </c>
      <c r="P614" s="71">
        <f t="shared" ref="P614" si="9905">AVERAGE(O611,O612,O613,O614)</f>
        <v>103843</v>
      </c>
      <c r="Q614" s="71">
        <f t="shared" ref="Q614" si="9906">AVERAGE(P562,P510,P458)</f>
        <v>80076.666666666672</v>
      </c>
      <c r="R614" s="64">
        <f t="shared" ref="R614" si="9907">((O614/O562)-1)*100</f>
        <v>-36.717695811500391</v>
      </c>
      <c r="S614" s="73">
        <f t="shared" ref="S614" si="9908">((P614/P562)-1)*100</f>
        <v>-33.53027024951033</v>
      </c>
      <c r="T614" s="64">
        <f t="shared" ref="T614" si="9909">((P614/Q614)-1)*100</f>
        <v>29.679473837572324</v>
      </c>
      <c r="V614" s="64">
        <v>67500</v>
      </c>
      <c r="W614" s="53">
        <v>14000</v>
      </c>
      <c r="X614" s="53">
        <v>0</v>
      </c>
      <c r="Y614" s="64">
        <f t="shared" si="9874"/>
        <v>81500</v>
      </c>
      <c r="Z614" s="71">
        <f t="shared" ref="Z614" si="9910">AVERAGE(Y611,Y612,Y613,Y614)</f>
        <v>68728.5</v>
      </c>
      <c r="AA614" s="71">
        <f t="shared" ref="AA614" si="9911">AVERAGE(Z562,Z510,Z458)</f>
        <v>159953.58333333334</v>
      </c>
      <c r="AB614" s="64">
        <f t="shared" ref="AB614" si="9912">((Y614/Y562)-1)*100</f>
        <v>-6.8571428571428612</v>
      </c>
      <c r="AC614" s="64">
        <f t="shared" ref="AC614" si="9913">((Z614/Z562)-1)*100</f>
        <v>-24.889758315255705</v>
      </c>
      <c r="AD614" s="64">
        <f t="shared" ref="AD614" si="9914">((Z614/AA614)-1)*100</f>
        <v>-57.032222368676756</v>
      </c>
      <c r="AF614" s="53">
        <v>6400</v>
      </c>
      <c r="AG614" s="53">
        <v>0</v>
      </c>
      <c r="AH614" s="53">
        <v>0</v>
      </c>
      <c r="AI614" s="53">
        <f t="shared" si="9805"/>
        <v>6400</v>
      </c>
      <c r="AJ614" s="71">
        <f t="shared" ref="AJ614" si="9915">AVERAGE(AI611,AI612,AI613,AI614)</f>
        <v>2825</v>
      </c>
      <c r="AK614" s="71">
        <f t="shared" ref="AK614" si="9916">AVERAGE(AJ562,AJ510,AJ458)</f>
        <v>9584.0833333333339</v>
      </c>
      <c r="AL614" s="64"/>
      <c r="AM614" s="64">
        <f t="shared" ref="AM614" si="9917">((AJ614/AJ562)-1)*100</f>
        <v>-29.595015576323991</v>
      </c>
      <c r="AN614" s="64">
        <f t="shared" ref="AN614" si="9918">((AJ614/AK614)-1)*100</f>
        <v>-70.524045944230451</v>
      </c>
      <c r="AP614" s="60">
        <f t="shared" ref="AP614:AP615" si="9919">SUM(B614,L614,V614,AF614)</f>
        <v>561420</v>
      </c>
      <c r="AQ614" s="60">
        <f t="shared" ref="AQ614:AQ615" si="9920">SUM(C614,M614,W614,AG614)</f>
        <v>167953</v>
      </c>
      <c r="AR614" s="60">
        <f t="shared" ref="AR614:AR615" si="9921">SUM(D614,N614,X614,AH614)</f>
        <v>49000</v>
      </c>
      <c r="AS614" s="60">
        <f t="shared" ref="AS614:AS615" si="9922">SUM(E614,O614,Y614,AI614)</f>
        <v>778373</v>
      </c>
      <c r="AT614" s="64">
        <f t="shared" ref="AT614" si="9923">AVERAGE(AS611,AS612,AS613,AS614)</f>
        <v>619589</v>
      </c>
      <c r="AU614" s="71">
        <f t="shared" ref="AU614" si="9924">AVERAGE(AT562,AT510,AT458)</f>
        <v>592776.08333333337</v>
      </c>
      <c r="AV614" s="64">
        <f t="shared" ref="AV614" si="9925">((AS614/AS562)-1)*100</f>
        <v>103.84527753407795</v>
      </c>
      <c r="AW614" s="64">
        <f t="shared" ref="AW614" si="9926">((AT614/AT562)-1)*100</f>
        <v>39.370974961816273</v>
      </c>
      <c r="AX614" s="64">
        <f t="shared" ref="AX614" si="9927">((AT614/AU614)-1)*100</f>
        <v>4.5232790965334946</v>
      </c>
      <c r="AZ614" s="71">
        <f t="shared" ref="AZ614" si="9928">+E614/1000</f>
        <v>598.08399999999995</v>
      </c>
      <c r="BA614" s="53">
        <f t="shared" ref="BA614" si="9929">+O614/1000</f>
        <v>92.388999999999996</v>
      </c>
      <c r="BB614" s="53">
        <f t="shared" ref="BB614" si="9930">+Y614/1000</f>
        <v>81.5</v>
      </c>
      <c r="BC614" s="53">
        <f t="shared" ref="BC614" si="9931">+AI614/1000</f>
        <v>6.4</v>
      </c>
      <c r="BD614" s="53">
        <f t="shared" ref="BD614" si="9932">+AS614/1000</f>
        <v>778.37300000000005</v>
      </c>
      <c r="BE614" s="64">
        <f t="shared" ref="BE614" si="9933">BE613+AZ614</f>
        <v>13876.778000000002</v>
      </c>
      <c r="BF614" s="64">
        <f t="shared" ref="BF614" si="9934">BF613+BA614</f>
        <v>1503.422</v>
      </c>
      <c r="BG614" s="64">
        <f t="shared" ref="BG614" si="9935">BG613+BB614</f>
        <v>4986.3280000000022</v>
      </c>
      <c r="BH614" s="64">
        <f t="shared" ref="BH614" si="9936">BH613+BC614</f>
        <v>128.14999999999998</v>
      </c>
      <c r="BI614" s="64">
        <f t="shared" ref="BI614" si="9937">BI613+BD614</f>
        <v>20494.678</v>
      </c>
      <c r="BJ614" s="64">
        <f t="shared" si="9039"/>
        <v>31</v>
      </c>
    </row>
    <row r="615" spans="1:62" x14ac:dyDescent="0.25">
      <c r="A615" s="48">
        <f t="shared" si="8958"/>
        <v>41860</v>
      </c>
      <c r="B615" s="64">
        <v>441300</v>
      </c>
      <c r="C615" s="64">
        <v>145712</v>
      </c>
      <c r="D615" s="53">
        <v>0</v>
      </c>
      <c r="E615" s="64">
        <f t="shared" si="9362"/>
        <v>587012</v>
      </c>
      <c r="F615" s="64">
        <f t="shared" ref="F615" si="9938">AVERAGE(E612,E613,E614,E615)</f>
        <v>510410.5</v>
      </c>
      <c r="G615" s="71">
        <f t="shared" ref="G615" si="9939">AVERAGE(F563,F511,F459)</f>
        <v>316120.33333333331</v>
      </c>
      <c r="H615" s="64">
        <f t="shared" ref="H615" si="9940">((E615/E563)-1)*100</f>
        <v>433.36604335895618</v>
      </c>
      <c r="I615" s="64">
        <f t="shared" ref="I615" si="9941">((F615/F563)-1)*100</f>
        <v>242.88300634495178</v>
      </c>
      <c r="J615" s="64">
        <f t="shared" ref="J615" si="9942">((F615/G615)-1)*100</f>
        <v>61.460825571696851</v>
      </c>
      <c r="L615" s="53">
        <v>3600</v>
      </c>
      <c r="M615" s="53">
        <v>64140</v>
      </c>
      <c r="N615" s="53">
        <v>26600</v>
      </c>
      <c r="O615" s="53">
        <f t="shared" ref="O615" si="9943">SUM(L615:N615)</f>
        <v>94340</v>
      </c>
      <c r="P615" s="71">
        <f t="shared" ref="P615" si="9944">AVERAGE(O612,O613,O614,O615)</f>
        <v>95013</v>
      </c>
      <c r="Q615" s="71">
        <f t="shared" ref="Q615" si="9945">AVERAGE(P563,P511,P459)</f>
        <v>84065.166666666672</v>
      </c>
      <c r="R615" s="64">
        <f t="shared" ref="R615" si="9946">((O615/O563)-1)*100</f>
        <v>-57.412038750801301</v>
      </c>
      <c r="S615" s="73">
        <f t="shared" ref="S615" si="9947">((P615/P563)-1)*100</f>
        <v>-41.561389049487651</v>
      </c>
      <c r="T615" s="64">
        <f t="shared" ref="T615" si="9948">((P615/Q615)-1)*100</f>
        <v>13.023031735300595</v>
      </c>
      <c r="V615" s="64">
        <v>70700</v>
      </c>
      <c r="W615" s="53">
        <v>7000</v>
      </c>
      <c r="X615" s="53">
        <v>0</v>
      </c>
      <c r="Y615" s="64">
        <f t="shared" si="9874"/>
        <v>77700</v>
      </c>
      <c r="Z615" s="71">
        <f t="shared" ref="Z615" si="9949">AVERAGE(Y612,Y613,Y614,Y615)</f>
        <v>79566.5</v>
      </c>
      <c r="AA615" s="71">
        <f t="shared" ref="AA615" si="9950">AVERAGE(Z563,Z511,Z459)</f>
        <v>162342.91666666666</v>
      </c>
      <c r="AB615" s="64">
        <f t="shared" ref="AB615" si="9951">((Y615/Y563)-1)*100</f>
        <v>-17.755149564959673</v>
      </c>
      <c r="AC615" s="64">
        <f t="shared" ref="AC615" si="9952">((Z615/Z563)-1)*100</f>
        <v>-4.601098268668169</v>
      </c>
      <c r="AD615" s="64">
        <f t="shared" ref="AD615" si="9953">((Z615/AA615)-1)*100</f>
        <v>-50.988622334923761</v>
      </c>
      <c r="AF615" s="53">
        <v>0</v>
      </c>
      <c r="AG615" s="53">
        <v>0</v>
      </c>
      <c r="AH615" s="53">
        <v>0</v>
      </c>
      <c r="AI615" s="53">
        <f t="shared" si="9805"/>
        <v>0</v>
      </c>
      <c r="AJ615" s="71">
        <f t="shared" ref="AJ615" si="9954">AVERAGE(AI612,AI613,AI614,AI615)</f>
        <v>1600</v>
      </c>
      <c r="AK615" s="71">
        <f t="shared" ref="AK615" si="9955">AVERAGE(AJ563,AJ511,AJ459)</f>
        <v>8550.75</v>
      </c>
      <c r="AL615" s="64">
        <f t="shared" si="9612"/>
        <v>-100</v>
      </c>
      <c r="AM615" s="64">
        <f t="shared" ref="AM615" si="9956">((AJ615/AJ563)-1)*100</f>
        <v>-59.874608150470223</v>
      </c>
      <c r="AN615" s="64">
        <f t="shared" ref="AN615" si="9957">((AJ615/AK615)-1)*100</f>
        <v>-81.288191094348448</v>
      </c>
      <c r="AP615" s="60">
        <f t="shared" si="9919"/>
        <v>515600</v>
      </c>
      <c r="AQ615" s="60">
        <f t="shared" si="9920"/>
        <v>216852</v>
      </c>
      <c r="AR615" s="60">
        <f t="shared" si="9921"/>
        <v>26600</v>
      </c>
      <c r="AS615" s="60">
        <f t="shared" si="9922"/>
        <v>759052</v>
      </c>
      <c r="AT615" s="64">
        <f t="shared" ref="AT615" si="9958">AVERAGE(AS612,AS613,AS614,AS615)</f>
        <v>686590</v>
      </c>
      <c r="AU615" s="71">
        <f t="shared" ref="AU615" si="9959">AVERAGE(AT563,AT511,AT459)</f>
        <v>571079.16666666663</v>
      </c>
      <c r="AV615" s="64">
        <f t="shared" ref="AV615" si="9960">((AS615/AS563)-1)*100</f>
        <v>77.535259034031114</v>
      </c>
      <c r="AW615" s="64">
        <f t="shared" ref="AW615" si="9961">((AT615/AT563)-1)*100</f>
        <v>72.148451995306345</v>
      </c>
      <c r="AX615" s="64">
        <f t="shared" ref="AX615" si="9962">((AT615/AU615)-1)*100</f>
        <v>20.226763656527492</v>
      </c>
      <c r="AZ615" s="71">
        <f t="shared" ref="AZ615:AZ620" si="9963">+E615/1000</f>
        <v>587.01199999999994</v>
      </c>
      <c r="BA615" s="53">
        <f t="shared" ref="BA615:BA620" si="9964">+O615/1000</f>
        <v>94.34</v>
      </c>
      <c r="BB615" s="53">
        <f t="shared" ref="BB615:BB620" si="9965">+Y615/1000</f>
        <v>77.7</v>
      </c>
      <c r="BC615" s="53">
        <f t="shared" ref="BC615:BC620" si="9966">+AI615/1000</f>
        <v>0</v>
      </c>
      <c r="BD615" s="53">
        <f t="shared" ref="BD615:BD620" si="9967">+AS615/1000</f>
        <v>759.05200000000002</v>
      </c>
      <c r="BE615" s="64">
        <f>BE614+AZ615</f>
        <v>14463.790000000003</v>
      </c>
      <c r="BF615" s="64">
        <f>BF614+BA615</f>
        <v>1597.7619999999999</v>
      </c>
      <c r="BG615" s="64">
        <f>BG614+BB615</f>
        <v>5064.0280000000021</v>
      </c>
      <c r="BH615" s="64">
        <f>BH614+BC615</f>
        <v>128.14999999999998</v>
      </c>
      <c r="BI615" s="64">
        <f>BI614+BD615</f>
        <v>21253.73</v>
      </c>
      <c r="BJ615" s="64">
        <f t="shared" ref="BJ615:BJ620" si="9968">BJ614+1</f>
        <v>32</v>
      </c>
    </row>
    <row r="616" spans="1:62" x14ac:dyDescent="0.25">
      <c r="A616" s="48">
        <f t="shared" si="8958"/>
        <v>41867</v>
      </c>
      <c r="B616" s="64">
        <v>287600</v>
      </c>
      <c r="C616" s="64">
        <v>133600</v>
      </c>
      <c r="D616" s="53">
        <v>0</v>
      </c>
      <c r="E616" s="64">
        <f t="shared" si="9362"/>
        <v>421200</v>
      </c>
      <c r="F616" s="64">
        <f t="shared" ref="F616" si="9969">AVERAGE(E613,E614,E615,E616)</f>
        <v>544436.5</v>
      </c>
      <c r="G616" s="71">
        <f t="shared" ref="G616" si="9970">AVERAGE(F564,F512,F460)</f>
        <v>305576.08333333331</v>
      </c>
      <c r="H616" s="64">
        <f t="shared" ref="H616" si="9971">((E616/E564)-1)*100</f>
        <v>563.0564825892576</v>
      </c>
      <c r="I616" s="64">
        <f t="shared" ref="I616" si="9972">((F616/F564)-1)*100</f>
        <v>325.16829100677853</v>
      </c>
      <c r="J616" s="64">
        <f t="shared" ref="J616" si="9973">((F616/G616)-1)*100</f>
        <v>78.167248582117992</v>
      </c>
      <c r="L616" s="53">
        <v>1600</v>
      </c>
      <c r="M616" s="53">
        <v>67800</v>
      </c>
      <c r="N616" s="53">
        <v>39200</v>
      </c>
      <c r="O616" s="53">
        <f t="shared" ref="O616" si="9974">SUM(L616:N616)</f>
        <v>108600</v>
      </c>
      <c r="P616" s="71">
        <f t="shared" ref="P616" si="9975">AVERAGE(O613,O614,O615,O616)</f>
        <v>102932.5</v>
      </c>
      <c r="Q616" s="71">
        <f t="shared" ref="Q616" si="9976">AVERAGE(P564,P512,P460)</f>
        <v>92856.5</v>
      </c>
      <c r="R616" s="64">
        <f t="shared" ref="R616" si="9977">((O616/O564)-1)*100</f>
        <v>-52.630614755170946</v>
      </c>
      <c r="S616" s="73">
        <f t="shared" ref="S616" si="9978">((P616/P564)-1)*100</f>
        <v>-45.921629509376672</v>
      </c>
      <c r="T616" s="64">
        <f t="shared" ref="T616" si="9979">((P616/Q616)-1)*100</f>
        <v>10.851152046437251</v>
      </c>
      <c r="V616" s="64">
        <v>20500</v>
      </c>
      <c r="W616" s="53">
        <v>5250</v>
      </c>
      <c r="X616" s="53">
        <v>0</v>
      </c>
      <c r="Y616" s="64">
        <f t="shared" si="9874"/>
        <v>25750</v>
      </c>
      <c r="Z616" s="71">
        <f t="shared" ref="Z616" si="9980">AVERAGE(Y613,Y614,Y615,Y616)</f>
        <v>70700</v>
      </c>
      <c r="AA616" s="71">
        <f t="shared" ref="AA616" si="9981">AVERAGE(Z564,Z512,Z460)</f>
        <v>150459.91666666666</v>
      </c>
      <c r="AB616" s="64">
        <f t="shared" ref="AB616" si="9982">((Y616/Y564)-1)*100</f>
        <v>-18.300653594771244</v>
      </c>
      <c r="AC616" s="64">
        <f t="shared" ref="AC616" si="9983">((Z616/Z564)-1)*100</f>
        <v>-0.88808203719150658</v>
      </c>
      <c r="AD616" s="64">
        <f t="shared" ref="AD616" si="9984">((Z616/AA616)-1)*100</f>
        <v>-53.010740955924575</v>
      </c>
      <c r="AF616" s="53">
        <v>3200</v>
      </c>
      <c r="AG616" s="53">
        <v>0</v>
      </c>
      <c r="AH616" s="53">
        <v>0</v>
      </c>
      <c r="AI616" s="53">
        <f t="shared" si="9805"/>
        <v>3200</v>
      </c>
      <c r="AJ616" s="71">
        <f t="shared" ref="AJ616" si="9985">AVERAGE(AI613,AI614,AI615,AI616)</f>
        <v>2400</v>
      </c>
      <c r="AK616" s="71">
        <f t="shared" ref="AK616" si="9986">AVERAGE(AJ564,AJ512,AJ460)</f>
        <v>6379.916666666667</v>
      </c>
      <c r="AL616" s="64"/>
      <c r="AM616" s="64">
        <f t="shared" ref="AM616" si="9987">((AJ616/AJ564)-1)*100</f>
        <v>-39.811912225705328</v>
      </c>
      <c r="AN616" s="64">
        <f t="shared" ref="AN616" si="9988">((AJ616/AK616)-1)*100</f>
        <v>-62.381953787275179</v>
      </c>
      <c r="AP616" s="60">
        <f t="shared" ref="AP616:AP617" si="9989">SUM(B616,L616,V616,AF616)</f>
        <v>312900</v>
      </c>
      <c r="AQ616" s="60">
        <f t="shared" ref="AQ616:AQ617" si="9990">SUM(C616,M616,W616,AG616)</f>
        <v>206650</v>
      </c>
      <c r="AR616" s="60">
        <f t="shared" ref="AR616" si="9991">SUM(D616,N616,X616,AH616)</f>
        <v>39200</v>
      </c>
      <c r="AS616" s="60">
        <f t="shared" ref="AS616" si="9992">SUM(E616,O616,Y616,AI616)</f>
        <v>558750</v>
      </c>
      <c r="AT616" s="64">
        <f t="shared" ref="AT616" si="9993">AVERAGE(AS613,AS614,AS615,AS616)</f>
        <v>720469</v>
      </c>
      <c r="AU616" s="71">
        <f t="shared" ref="AU616" si="9994">AVERAGE(AT564,AT512,AT460)</f>
        <v>555272.41666666663</v>
      </c>
      <c r="AV616" s="64">
        <f t="shared" ref="AV616" si="9995">((AS616/AS564)-1)*100</f>
        <v>72.292046968276665</v>
      </c>
      <c r="AW616" s="64">
        <f t="shared" ref="AW616" si="9996">((AT616/AT564)-1)*100</f>
        <v>82.99368193796235</v>
      </c>
      <c r="AX616" s="64">
        <f t="shared" ref="AX616" si="9997">((AT616/AU616)-1)*100</f>
        <v>29.750547366465319</v>
      </c>
      <c r="AZ616" s="71">
        <f t="shared" si="9963"/>
        <v>421.2</v>
      </c>
      <c r="BA616" s="53">
        <f t="shared" si="9964"/>
        <v>108.6</v>
      </c>
      <c r="BB616" s="53">
        <f t="shared" si="9965"/>
        <v>25.75</v>
      </c>
      <c r="BC616" s="53">
        <f t="shared" si="9966"/>
        <v>3.2</v>
      </c>
      <c r="BD616" s="53">
        <f t="shared" si="9967"/>
        <v>558.75</v>
      </c>
      <c r="BE616" s="64">
        <f t="shared" ref="BE616" si="9998">BE615+AZ616</f>
        <v>14884.990000000003</v>
      </c>
      <c r="BF616" s="64">
        <f t="shared" ref="BF616" si="9999">BF615+BA616</f>
        <v>1706.3619999999999</v>
      </c>
      <c r="BG616" s="64">
        <f t="shared" ref="BG616" si="10000">BG615+BB616</f>
        <v>5089.7780000000021</v>
      </c>
      <c r="BH616" s="64">
        <f t="shared" ref="BH616" si="10001">BH615+BC616</f>
        <v>131.34999999999997</v>
      </c>
      <c r="BI616" s="64">
        <f t="shared" ref="BI616" si="10002">BI615+BD616</f>
        <v>21812.48</v>
      </c>
      <c r="BJ616" s="64">
        <f t="shared" si="9968"/>
        <v>33</v>
      </c>
    </row>
    <row r="617" spans="1:62" x14ac:dyDescent="0.25">
      <c r="A617" s="48">
        <f t="shared" si="8958"/>
        <v>41874</v>
      </c>
      <c r="B617" s="64">
        <v>430500</v>
      </c>
      <c r="C617" s="64">
        <v>41850</v>
      </c>
      <c r="D617" s="53">
        <v>0</v>
      </c>
      <c r="E617" s="64">
        <f t="shared" si="9362"/>
        <v>472350</v>
      </c>
      <c r="F617" s="64">
        <f t="shared" ref="F617" si="10003">AVERAGE(E614,E615,E616,E617)</f>
        <v>519661.5</v>
      </c>
      <c r="G617" s="71">
        <f t="shared" ref="G617" si="10004">AVERAGE(F565,F513,F461)</f>
        <v>249989.5</v>
      </c>
      <c r="H617" s="64">
        <f t="shared" ref="H617" si="10005">((E617/E565)-1)*100</f>
        <v>1349.0152770108596</v>
      </c>
      <c r="I617" s="64">
        <f t="shared" ref="I617" si="10006">((F617/F565)-1)*100</f>
        <v>486.31032634755877</v>
      </c>
      <c r="J617" s="64">
        <f t="shared" ref="J617" si="10007">((F617/G617)-1)*100</f>
        <v>107.87333067988855</v>
      </c>
      <c r="L617" s="53">
        <v>4700</v>
      </c>
      <c r="M617" s="53">
        <v>62150</v>
      </c>
      <c r="N617" s="53">
        <v>5600</v>
      </c>
      <c r="O617" s="53">
        <f t="shared" ref="O617" si="10008">SUM(L617:N617)</f>
        <v>72450</v>
      </c>
      <c r="P617" s="71">
        <f t="shared" ref="P617" si="10009">AVERAGE(O614,O615,O616,O617)</f>
        <v>91944.75</v>
      </c>
      <c r="Q617" s="71">
        <f t="shared" ref="Q617" si="10010">AVERAGE(P565,P513,P461)</f>
        <v>90870.916666666672</v>
      </c>
      <c r="R617" s="64">
        <f t="shared" ref="R617" si="10011">((O617/O565)-1)*100</f>
        <v>-59.96131528046422</v>
      </c>
      <c r="S617" s="73">
        <f t="shared" ref="S617" si="10012">((P617/P565)-1)*100</f>
        <v>-52.710919669549007</v>
      </c>
      <c r="T617" s="64">
        <f t="shared" ref="T617" si="10013">((P617/Q617)-1)*100</f>
        <v>1.1817128876033811</v>
      </c>
      <c r="V617" s="64">
        <v>50100</v>
      </c>
      <c r="W617" s="53">
        <v>1750</v>
      </c>
      <c r="X617" s="53">
        <v>0</v>
      </c>
      <c r="Y617" s="64">
        <f t="shared" si="9874"/>
        <v>51850</v>
      </c>
      <c r="Z617" s="71">
        <f t="shared" ref="Z617" si="10014">AVERAGE(Y614,Y615,Y616,Y617)</f>
        <v>59200</v>
      </c>
      <c r="AA617" s="71">
        <f t="shared" ref="AA617" si="10015">AVERAGE(Z565,Z513,Z461)</f>
        <v>127263.75</v>
      </c>
      <c r="AB617" s="64">
        <f t="shared" ref="AB617" si="10016">((Y617/Y565)-1)*100</f>
        <v>52.05278592375366</v>
      </c>
      <c r="AC617" s="64">
        <f t="shared" ref="AC617" si="10017">((Z617/Z565)-1)*100</f>
        <v>-4.3587838056156958</v>
      </c>
      <c r="AD617" s="64">
        <f t="shared" ref="AD617" si="10018">((Z617/AA617)-1)*100</f>
        <v>-53.482433135908693</v>
      </c>
      <c r="AF617" s="53">
        <v>0</v>
      </c>
      <c r="AG617" s="53">
        <v>0</v>
      </c>
      <c r="AH617" s="53">
        <v>2800</v>
      </c>
      <c r="AI617" s="53">
        <f t="shared" ref="AI617" si="10019">SUM(AF617:AH617)</f>
        <v>2800</v>
      </c>
      <c r="AJ617" s="71">
        <f t="shared" ref="AJ617" si="10020">AVERAGE(AI614,AI615,AI616,AI617)</f>
        <v>3100</v>
      </c>
      <c r="AK617" s="71">
        <f t="shared" ref="AK617" si="10021">AVERAGE(AJ565,AJ513,AJ461)</f>
        <v>4187.5</v>
      </c>
      <c r="AL617" s="64">
        <f t="shared" ref="AL617:AM623" si="10022">((AI617/AI565)-1)*100</f>
        <v>-46.666666666666664</v>
      </c>
      <c r="AM617" s="64">
        <f t="shared" ref="AM617" si="10023">((AJ617/AJ565)-1)*100</f>
        <v>83.703703703703695</v>
      </c>
      <c r="AN617" s="64">
        <f t="shared" ref="AN617" si="10024">((AJ617/AK617)-1)*100</f>
        <v>-25.970149253731346</v>
      </c>
      <c r="AP617" s="60">
        <f t="shared" si="9989"/>
        <v>485300</v>
      </c>
      <c r="AQ617" s="60">
        <f t="shared" si="9990"/>
        <v>105750</v>
      </c>
      <c r="AR617" s="60">
        <f t="shared" ref="AR617" si="10025">SUM(D617,N617,X617,AH617)</f>
        <v>8400</v>
      </c>
      <c r="AS617" s="60">
        <f t="shared" ref="AS617" si="10026">SUM(E617,O617,Y617,AI617)</f>
        <v>599450</v>
      </c>
      <c r="AT617" s="64">
        <f t="shared" ref="AT617" si="10027">AVERAGE(AS614,AS615,AS616,AS617)</f>
        <v>673906.25</v>
      </c>
      <c r="AU617" s="71">
        <f t="shared" ref="AU617" si="10028">AVERAGE(AT565,AT513,AT461)</f>
        <v>472311.66666666669</v>
      </c>
      <c r="AV617" s="64">
        <f t="shared" ref="AV617" si="10029">((AS617/AS565)-1)*100</f>
        <v>137.03232133112954</v>
      </c>
      <c r="AW617" s="64">
        <f t="shared" ref="AW617" si="10030">((AT617/AT565)-1)*100</f>
        <v>94.405800676043583</v>
      </c>
      <c r="AX617" s="64">
        <f t="shared" ref="AX617" si="10031">((AT617/AU617)-1)*100</f>
        <v>42.682533073147312</v>
      </c>
      <c r="AZ617" s="71">
        <f t="shared" si="9963"/>
        <v>472.35</v>
      </c>
      <c r="BA617" s="53">
        <f t="shared" si="9964"/>
        <v>72.45</v>
      </c>
      <c r="BB617" s="53">
        <f t="shared" si="9965"/>
        <v>51.85</v>
      </c>
      <c r="BC617" s="53">
        <f t="shared" si="9966"/>
        <v>2.8</v>
      </c>
      <c r="BD617" s="53">
        <f t="shared" si="9967"/>
        <v>599.45000000000005</v>
      </c>
      <c r="BE617" s="64">
        <f t="shared" ref="BE617" si="10032">BE616+AZ617</f>
        <v>15357.340000000004</v>
      </c>
      <c r="BF617" s="64">
        <f t="shared" ref="BF617" si="10033">BF616+BA617</f>
        <v>1778.8119999999999</v>
      </c>
      <c r="BG617" s="64">
        <f t="shared" ref="BG617" si="10034">BG616+BB617</f>
        <v>5141.6280000000024</v>
      </c>
      <c r="BH617" s="64">
        <f t="shared" ref="BH617" si="10035">BH616+BC617</f>
        <v>134.14999999999998</v>
      </c>
      <c r="BI617" s="64">
        <f t="shared" ref="BI617" si="10036">BI616+BD617</f>
        <v>22411.93</v>
      </c>
      <c r="BJ617" s="64">
        <f t="shared" si="9968"/>
        <v>34</v>
      </c>
    </row>
    <row r="618" spans="1:62" x14ac:dyDescent="0.25">
      <c r="A618" s="48">
        <f t="shared" si="8958"/>
        <v>41881</v>
      </c>
      <c r="B618" s="64">
        <v>446415</v>
      </c>
      <c r="C618" s="64">
        <v>71600</v>
      </c>
      <c r="D618" s="53">
        <v>5600</v>
      </c>
      <c r="E618" s="64">
        <f t="shared" ref="E618" si="10037">SUM(B618:D618)</f>
        <v>523615</v>
      </c>
      <c r="F618" s="64">
        <f t="shared" ref="F618" si="10038">AVERAGE(E615,E616,E617,E618)</f>
        <v>501044.25</v>
      </c>
      <c r="G618" s="71">
        <f t="shared" ref="G618" si="10039">AVERAGE(F566,F514,F462)</f>
        <v>206067.33333333334</v>
      </c>
      <c r="H618" s="64">
        <f t="shared" ref="H618" si="10040">((E618/E566)-1)*100</f>
        <v>882.83467227269318</v>
      </c>
      <c r="I618" s="64">
        <f t="shared" ref="I618" si="10041">((F618/F566)-1)*100</f>
        <v>672.45351813024172</v>
      </c>
      <c r="J618" s="64">
        <f t="shared" ref="J618" si="10042">((F618/G618)-1)*100</f>
        <v>143.14588920773468</v>
      </c>
      <c r="L618" s="53">
        <v>21900</v>
      </c>
      <c r="M618" s="53">
        <v>44404</v>
      </c>
      <c r="N618" s="53">
        <v>50400</v>
      </c>
      <c r="O618" s="53">
        <f t="shared" ref="O618" si="10043">SUM(L618:N618)</f>
        <v>116704</v>
      </c>
      <c r="P618" s="71">
        <f t="shared" ref="P618" si="10044">AVERAGE(O615,O616,O617,O618)</f>
        <v>98023.5</v>
      </c>
      <c r="Q618" s="71">
        <f t="shared" ref="Q618" si="10045">AVERAGE(P566,P514,P462)</f>
        <v>82763.583333333328</v>
      </c>
      <c r="R618" s="64">
        <f t="shared" ref="R618" si="10046">((O618/O566)-1)*100</f>
        <v>116.31881371640409</v>
      </c>
      <c r="S618" s="73">
        <f t="shared" ref="S618" si="10047">((P618/P566)-1)*100</f>
        <v>-42.816765838291914</v>
      </c>
      <c r="T618" s="64">
        <f t="shared" ref="T618" si="10048">((P618/Q618)-1)*100</f>
        <v>18.437960334809091</v>
      </c>
      <c r="V618" s="64">
        <v>43500</v>
      </c>
      <c r="W618" s="53">
        <v>16500</v>
      </c>
      <c r="X618" s="53">
        <v>5600</v>
      </c>
      <c r="Y618" s="64">
        <f t="shared" ref="Y618" si="10049">SUM(V618:X618)</f>
        <v>65600</v>
      </c>
      <c r="Z618" s="71">
        <f t="shared" ref="Z618" si="10050">AVERAGE(Y615,Y616,Y617,Y618)</f>
        <v>55225</v>
      </c>
      <c r="AA618" s="71">
        <f t="shared" ref="AA618" si="10051">AVERAGE(Z566,Z514,Z462)</f>
        <v>97929.083333333328</v>
      </c>
      <c r="AB618" s="64">
        <f t="shared" ref="AB618" si="10052">((Y618/Y566)-1)*100</f>
        <v>104.5652987401771</v>
      </c>
      <c r="AC618" s="64">
        <f t="shared" ref="AC618" si="10053">((Z618/Z566)-1)*100</f>
        <v>14.956286427976684</v>
      </c>
      <c r="AD618" s="64">
        <f t="shared" ref="AD618" si="10054">((Z618/AA618)-1)*100</f>
        <v>-43.607151093180519</v>
      </c>
      <c r="AF618" s="53">
        <v>1600</v>
      </c>
      <c r="AG618" s="53">
        <v>3500</v>
      </c>
      <c r="AH618" s="53">
        <v>4200</v>
      </c>
      <c r="AI618" s="53">
        <f t="shared" ref="AI618" si="10055">SUM(AF618:AH618)</f>
        <v>9300</v>
      </c>
      <c r="AJ618" s="71">
        <f t="shared" ref="AJ618" si="10056">AVERAGE(AI615,AI616,AI617,AI618)</f>
        <v>3825</v>
      </c>
      <c r="AK618" s="71">
        <f t="shared" ref="AK618" si="10057">AVERAGE(AJ566,AJ514,AJ462)</f>
        <v>4212.5</v>
      </c>
      <c r="AL618" s="64"/>
      <c r="AM618" s="64">
        <f t="shared" ref="AM618" si="10058">((AJ618/AJ566)-1)*100</f>
        <v>126.66666666666666</v>
      </c>
      <c r="AN618" s="64">
        <f t="shared" ref="AN618" si="10059">((AJ618/AK618)-1)*100</f>
        <v>-9.1988130563798176</v>
      </c>
      <c r="AP618" s="60">
        <f t="shared" ref="AP618" si="10060">SUM(B618,L618,V618,AF618)</f>
        <v>513415</v>
      </c>
      <c r="AQ618" s="60">
        <f t="shared" ref="AQ618" si="10061">SUM(C618,M618,W618,AG618)</f>
        <v>136004</v>
      </c>
      <c r="AR618" s="60">
        <f t="shared" ref="AR618" si="10062">SUM(D618,N618,X618,AH618)</f>
        <v>65800</v>
      </c>
      <c r="AS618" s="60">
        <f t="shared" ref="AS618" si="10063">SUM(E618,O618,Y618,AI618)</f>
        <v>715219</v>
      </c>
      <c r="AT618" s="64">
        <f t="shared" ref="AT618" si="10064">AVERAGE(AS615,AS616,AS617,AS618)</f>
        <v>658117.75</v>
      </c>
      <c r="AU618" s="71">
        <f t="shared" ref="AU618" si="10065">AVERAGE(AT566,AT514,AT462)</f>
        <v>390972.5</v>
      </c>
      <c r="AV618" s="64">
        <f t="shared" ref="AV618" si="10066">((AS618/AS566)-1)*100</f>
        <v>413.46001981420591</v>
      </c>
      <c r="AW618" s="64">
        <f t="shared" ref="AW618" si="10067">((AT618/AT566)-1)*100</f>
        <v>130.10184905152414</v>
      </c>
      <c r="AX618" s="64">
        <f t="shared" ref="AX618" si="10068">((AT618/AU618)-1)*100</f>
        <v>68.328399056199601</v>
      </c>
      <c r="AZ618" s="71">
        <f t="shared" si="9963"/>
        <v>523.61500000000001</v>
      </c>
      <c r="BA618" s="53">
        <f t="shared" si="9964"/>
        <v>116.70399999999999</v>
      </c>
      <c r="BB618" s="53">
        <f t="shared" si="9965"/>
        <v>65.599999999999994</v>
      </c>
      <c r="BC618" s="53">
        <f t="shared" si="9966"/>
        <v>9.3000000000000007</v>
      </c>
      <c r="BD618" s="53">
        <f t="shared" si="9967"/>
        <v>715.21900000000005</v>
      </c>
      <c r="BE618" s="64">
        <f t="shared" ref="BE618" si="10069">BE617+AZ618</f>
        <v>15880.955000000004</v>
      </c>
      <c r="BF618" s="64">
        <f t="shared" ref="BF618" si="10070">BF617+BA618</f>
        <v>1895.5159999999998</v>
      </c>
      <c r="BG618" s="64">
        <f t="shared" ref="BG618" si="10071">BG617+BB618</f>
        <v>5207.2280000000028</v>
      </c>
      <c r="BH618" s="64">
        <f t="shared" ref="BH618" si="10072">BH617+BC618</f>
        <v>143.44999999999999</v>
      </c>
      <c r="BI618" s="64">
        <f t="shared" ref="BI618" si="10073">BI617+BD618</f>
        <v>23127.149000000001</v>
      </c>
      <c r="BJ618" s="64">
        <f t="shared" si="9968"/>
        <v>35</v>
      </c>
    </row>
    <row r="619" spans="1:62" x14ac:dyDescent="0.25">
      <c r="A619" s="48">
        <f t="shared" si="8958"/>
        <v>41888</v>
      </c>
      <c r="B619" s="64">
        <v>188900</v>
      </c>
      <c r="C619" s="64">
        <v>45100</v>
      </c>
      <c r="D619" s="53">
        <v>1400</v>
      </c>
      <c r="E619" s="64">
        <f t="shared" ref="E619" si="10074">SUM(B619:D619)</f>
        <v>235400</v>
      </c>
      <c r="F619" s="64">
        <f t="shared" ref="F619" si="10075">AVERAGE(E616,E617,E618,E619)</f>
        <v>413141.25</v>
      </c>
      <c r="G619" s="71">
        <f t="shared" ref="G619" si="10076">AVERAGE(F567,F515,F463)</f>
        <v>174707.25</v>
      </c>
      <c r="H619" s="64">
        <f t="shared" ref="H619" si="10077">((E619/E567)-1)*100</f>
        <v>337.14020427112354</v>
      </c>
      <c r="I619" s="64">
        <f t="shared" ref="I619" si="10078">((F619/F567)-1)*100</f>
        <v>713.07811146973154</v>
      </c>
      <c r="J619" s="64">
        <f t="shared" ref="J619" si="10079">((F619/G619)-1)*100</f>
        <v>136.476305362256</v>
      </c>
      <c r="L619" s="53">
        <v>12700</v>
      </c>
      <c r="M619" s="53">
        <v>11754</v>
      </c>
      <c r="N619" s="53">
        <v>8400</v>
      </c>
      <c r="O619" s="53">
        <f t="shared" ref="O619" si="10080">SUM(L619:N619)</f>
        <v>32854</v>
      </c>
      <c r="P619" s="71">
        <f t="shared" ref="P619" si="10081">AVERAGE(O616,O617,O618,O619)</f>
        <v>82652</v>
      </c>
      <c r="Q619" s="71">
        <f t="shared" ref="Q619" si="10082">AVERAGE(P567,P515,P463)</f>
        <v>72892.083333333328</v>
      </c>
      <c r="R619" s="64">
        <f t="shared" ref="R619" si="10083">((O619/O567)-1)*100</f>
        <v>-78.876915955148647</v>
      </c>
      <c r="S619" s="73">
        <f t="shared" ref="S619" si="10084">((P619/P567)-1)*100</f>
        <v>-46.650142488760657</v>
      </c>
      <c r="T619" s="64">
        <f t="shared" ref="T619" si="10085">((P619/Q619)-1)*100</f>
        <v>13.389542760130556</v>
      </c>
      <c r="V619" s="64">
        <v>6300</v>
      </c>
      <c r="W619" s="53">
        <v>1750</v>
      </c>
      <c r="X619" s="53">
        <v>4200</v>
      </c>
      <c r="Y619" s="64">
        <f t="shared" ref="Y619" si="10086">SUM(V619:X619)</f>
        <v>12250</v>
      </c>
      <c r="Z619" s="71">
        <f t="shared" ref="Z619" si="10087">AVERAGE(Y616,Y617,Y618,Y619)</f>
        <v>38862.5</v>
      </c>
      <c r="AA619" s="71">
        <f t="shared" ref="AA619" si="10088">AVERAGE(Z567,Z515,Z463)</f>
        <v>68464.583333333328</v>
      </c>
      <c r="AB619" s="64">
        <f t="shared" ref="AB619" si="10089">((Y619/Y567)-1)*100</f>
        <v>-69.975490196078425</v>
      </c>
      <c r="AC619" s="64">
        <f t="shared" ref="AC619" si="10090">((Z619/Z567)-1)*100</f>
        <v>12.249613679361083</v>
      </c>
      <c r="AD619" s="64">
        <f t="shared" ref="AD619" si="10091">((Z619/AA619)-1)*100</f>
        <v>-43.237075130085501</v>
      </c>
      <c r="AF619" s="53">
        <v>1600</v>
      </c>
      <c r="AG619" s="53">
        <v>1750</v>
      </c>
      <c r="AH619" s="53">
        <v>0</v>
      </c>
      <c r="AI619" s="53">
        <f t="shared" ref="AI619:AI620" si="10092">SUM(AF619:AH619)</f>
        <v>3350</v>
      </c>
      <c r="AJ619" s="71">
        <f t="shared" ref="AJ619" si="10093">AVERAGE(AI616,AI617,AI618,AI619)</f>
        <v>4662.5</v>
      </c>
      <c r="AK619" s="71">
        <f t="shared" ref="AK619" si="10094">AVERAGE(AJ567,AJ515,AJ463)</f>
        <v>4194.25</v>
      </c>
      <c r="AL619" s="64"/>
      <c r="AM619" s="64">
        <f t="shared" ref="AM619" si="10095">((AJ619/AJ567)-1)*100</f>
        <v>255.23809523809521</v>
      </c>
      <c r="AN619" s="64">
        <f t="shared" ref="AN619" si="10096">((AJ619/AK619)-1)*100</f>
        <v>11.164093699707944</v>
      </c>
      <c r="AP619" s="60">
        <f t="shared" ref="AP619" si="10097">SUM(B619,L619,V619,AF619)</f>
        <v>209500</v>
      </c>
      <c r="AQ619" s="60">
        <f t="shared" ref="AQ619" si="10098">SUM(C619,M619,W619,AG619)</f>
        <v>60354</v>
      </c>
      <c r="AR619" s="60">
        <f t="shared" ref="AR619" si="10099">SUM(D619,N619,X619,AH619)</f>
        <v>14000</v>
      </c>
      <c r="AS619" s="60">
        <f t="shared" ref="AS619" si="10100">SUM(E619,O619,Y619,AI619)</f>
        <v>283854</v>
      </c>
      <c r="AT619" s="64">
        <f t="shared" ref="AT619" si="10101">AVERAGE(AS616,AS617,AS618,AS619)</f>
        <v>539318.25</v>
      </c>
      <c r="AU619" s="71">
        <f t="shared" ref="AU619" si="10102">AVERAGE(AT567,AT515,AT463)</f>
        <v>320258.16666666669</v>
      </c>
      <c r="AV619" s="64">
        <f t="shared" ref="AV619" si="10103">((AS619/AS567)-1)*100</f>
        <v>13.457187852237929</v>
      </c>
      <c r="AW619" s="64">
        <f t="shared" ref="AW619" si="10104">((AT619/AT567)-1)*100</f>
        <v>123.16263259272438</v>
      </c>
      <c r="AX619" s="64">
        <f t="shared" ref="AX619" si="10105">((AT619/AU619)-1)*100</f>
        <v>68.401092035644155</v>
      </c>
      <c r="AZ619" s="71">
        <f t="shared" si="9963"/>
        <v>235.4</v>
      </c>
      <c r="BA619" s="53">
        <f t="shared" si="9964"/>
        <v>32.853999999999999</v>
      </c>
      <c r="BB619" s="53">
        <f t="shared" si="9965"/>
        <v>12.25</v>
      </c>
      <c r="BC619" s="53">
        <f t="shared" si="9966"/>
        <v>3.35</v>
      </c>
      <c r="BD619" s="53">
        <f t="shared" si="9967"/>
        <v>283.85399999999998</v>
      </c>
      <c r="BE619" s="64">
        <f t="shared" ref="BE619" si="10106">BE618+AZ619</f>
        <v>16116.355000000003</v>
      </c>
      <c r="BF619" s="64">
        <f t="shared" ref="BF619" si="10107">BF618+BA619</f>
        <v>1928.37</v>
      </c>
      <c r="BG619" s="64">
        <f t="shared" ref="BG619" si="10108">BG618+BB619</f>
        <v>5219.4780000000028</v>
      </c>
      <c r="BH619" s="64">
        <f t="shared" ref="BH619" si="10109">BH618+BC619</f>
        <v>146.79999999999998</v>
      </c>
      <c r="BI619" s="64">
        <f t="shared" ref="BI619" si="10110">BI618+BD619</f>
        <v>23411.003000000001</v>
      </c>
      <c r="BJ619" s="64">
        <f t="shared" si="9968"/>
        <v>36</v>
      </c>
    </row>
    <row r="620" spans="1:62" x14ac:dyDescent="0.25">
      <c r="A620" s="48">
        <f t="shared" si="8958"/>
        <v>41895</v>
      </c>
      <c r="B620" s="64">
        <v>132700</v>
      </c>
      <c r="C620" s="64">
        <v>54000</v>
      </c>
      <c r="D620" s="53">
        <v>1400</v>
      </c>
      <c r="E620" s="64">
        <f t="shared" ref="E620" si="10111">SUM(B620:D620)</f>
        <v>188100</v>
      </c>
      <c r="F620" s="64">
        <f t="shared" ref="F620" si="10112">AVERAGE(E617,E618,E619,E620)</f>
        <v>354866.25</v>
      </c>
      <c r="G620" s="71">
        <f t="shared" ref="G620" si="10113">AVERAGE(F568,F516,F464)</f>
        <v>139915.58333333334</v>
      </c>
      <c r="H620" s="64">
        <f t="shared" ref="H620" si="10114">((E620/E568)-1)*100</f>
        <v>143.65284974093265</v>
      </c>
      <c r="I620" s="64">
        <f t="shared" ref="I620" si="10115">((F620/F568)-1)*100</f>
        <v>554.36051335951765</v>
      </c>
      <c r="J620" s="64">
        <f t="shared" ref="J620" si="10116">((F620/G620)-1)*100</f>
        <v>153.62882499983618</v>
      </c>
      <c r="L620" s="53">
        <v>14100</v>
      </c>
      <c r="M620" s="53">
        <v>8700</v>
      </c>
      <c r="N620" s="53">
        <v>1400</v>
      </c>
      <c r="O620" s="53">
        <f t="shared" ref="O620" si="10117">SUM(L620:N620)</f>
        <v>24200</v>
      </c>
      <c r="P620" s="71">
        <f t="shared" ref="P620" si="10118">AVERAGE(O617,O618,O619,O620)</f>
        <v>61552</v>
      </c>
      <c r="Q620" s="71">
        <f t="shared" ref="Q620" si="10119">AVERAGE(P568,P516,P464)</f>
        <v>61018.333333333336</v>
      </c>
      <c r="R620" s="64">
        <f t="shared" ref="R620" si="10120">((O620/O568)-1)*100</f>
        <v>-75.064399793920657</v>
      </c>
      <c r="S620" s="73">
        <f t="shared" ref="S620" si="10121">((P620/P568)-1)*100</f>
        <v>-49.49434445296891</v>
      </c>
      <c r="T620" s="64">
        <f t="shared" ref="T620" si="10122">((P620/Q620)-1)*100</f>
        <v>0.87460052989538628</v>
      </c>
      <c r="V620" s="64">
        <v>4500</v>
      </c>
      <c r="W620" s="53">
        <v>8450</v>
      </c>
      <c r="X620" s="53">
        <v>15400</v>
      </c>
      <c r="Y620" s="64">
        <f t="shared" ref="Y620" si="10123">SUM(V620:X620)</f>
        <v>28350</v>
      </c>
      <c r="Z620" s="71">
        <f t="shared" ref="Z620" si="10124">AVERAGE(Y617,Y618,Y619,Y620)</f>
        <v>39512.5</v>
      </c>
      <c r="AA620" s="71">
        <f t="shared" ref="AA620" si="10125">AVERAGE(Z568,Z516,Z464)</f>
        <v>64575.416666666664</v>
      </c>
      <c r="AB620" s="64">
        <f t="shared" ref="AB620" si="10126">((Y620/Y568)-1)*100</f>
        <v>-25.590551181102363</v>
      </c>
      <c r="AC620" s="64">
        <f t="shared" ref="AC620" si="10127">((Z620/Z568)-1)*100</f>
        <v>8.9489067196073524</v>
      </c>
      <c r="AD620" s="64">
        <f t="shared" ref="AD620" si="10128">((Z620/AA620)-1)*100</f>
        <v>-38.811854356340447</v>
      </c>
      <c r="AF620" s="53">
        <v>8000</v>
      </c>
      <c r="AG620" s="53">
        <v>0</v>
      </c>
      <c r="AH620" s="53">
        <v>0</v>
      </c>
      <c r="AI620" s="53">
        <f t="shared" si="10092"/>
        <v>8000</v>
      </c>
      <c r="AJ620" s="71">
        <f t="shared" ref="AJ620" si="10129">AVERAGE(AI617,AI618,AI619,AI620)</f>
        <v>5862.5</v>
      </c>
      <c r="AK620" s="71">
        <f t="shared" ref="AK620" si="10130">AVERAGE(AJ568,AJ516,AJ464)</f>
        <v>4473.416666666667</v>
      </c>
      <c r="AL620" s="64">
        <f t="shared" si="10022"/>
        <v>150</v>
      </c>
      <c r="AM620" s="64">
        <f t="shared" ref="AM620:AM622" si="10131">((AJ620/AJ568)-1)*100</f>
        <v>177.51479289940829</v>
      </c>
      <c r="AN620" s="64">
        <f t="shared" ref="AN620" si="10132">((AJ620/AK620)-1)*100</f>
        <v>31.051955067901105</v>
      </c>
      <c r="AP620" s="60">
        <f t="shared" ref="AP620" si="10133">SUM(B620,L620,V620,AF620)</f>
        <v>159300</v>
      </c>
      <c r="AQ620" s="60">
        <f t="shared" ref="AQ620" si="10134">SUM(C620,M620,W620,AG620)</f>
        <v>71150</v>
      </c>
      <c r="AR620" s="60">
        <f t="shared" ref="AR620" si="10135">SUM(D620,N620,X620,AH620)</f>
        <v>18200</v>
      </c>
      <c r="AS620" s="60">
        <f t="shared" ref="AS620" si="10136">SUM(E620,O620,Y620,AI620)</f>
        <v>248650</v>
      </c>
      <c r="AT620" s="64">
        <f t="shared" ref="AT620" si="10137">AVERAGE(AS617,AS618,AS619,AS620)</f>
        <v>461793.25</v>
      </c>
      <c r="AU620" s="71">
        <f t="shared" ref="AU620" si="10138">AVERAGE(AT568,AT516,AT464)</f>
        <v>269982.75</v>
      </c>
      <c r="AV620" s="64">
        <f t="shared" ref="AV620" si="10139">((AS620/AS568)-1)*100</f>
        <v>15.356065877986547</v>
      </c>
      <c r="AW620" s="64">
        <f t="shared" ref="AW620" si="10140">((AT620/AT568)-1)*100</f>
        <v>115.30629609943959</v>
      </c>
      <c r="AX620" s="64">
        <f t="shared" ref="AX620" si="10141">((AT620/AU620)-1)*100</f>
        <v>71.045464941741642</v>
      </c>
      <c r="AZ620" s="71">
        <f t="shared" si="9963"/>
        <v>188.1</v>
      </c>
      <c r="BA620" s="53">
        <f t="shared" si="9964"/>
        <v>24.2</v>
      </c>
      <c r="BB620" s="53">
        <f t="shared" si="9965"/>
        <v>28.35</v>
      </c>
      <c r="BC620" s="53">
        <f t="shared" si="9966"/>
        <v>8</v>
      </c>
      <c r="BD620" s="53">
        <f t="shared" si="9967"/>
        <v>248.65</v>
      </c>
      <c r="BE620" s="64">
        <f t="shared" ref="BE620" si="10142">BE619+AZ620</f>
        <v>16304.455000000004</v>
      </c>
      <c r="BF620" s="64">
        <f t="shared" ref="BF620" si="10143">BF619+BA620</f>
        <v>1952.57</v>
      </c>
      <c r="BG620" s="64">
        <f t="shared" ref="BG620" si="10144">BG619+BB620</f>
        <v>5247.8280000000032</v>
      </c>
      <c r="BH620" s="64">
        <f t="shared" ref="BH620" si="10145">BH619+BC620</f>
        <v>154.79999999999998</v>
      </c>
      <c r="BI620" s="64">
        <f t="shared" ref="BI620" si="10146">BI619+BD620</f>
        <v>23659.653000000002</v>
      </c>
      <c r="BJ620" s="64">
        <f t="shared" si="9968"/>
        <v>37</v>
      </c>
    </row>
    <row r="621" spans="1:62" x14ac:dyDescent="0.25">
      <c r="A621" s="48">
        <f t="shared" si="8958"/>
        <v>41902</v>
      </c>
      <c r="B621" s="64">
        <v>129800</v>
      </c>
      <c r="C621" s="64">
        <v>112413</v>
      </c>
      <c r="D621" s="53">
        <v>2800</v>
      </c>
      <c r="E621" s="64">
        <f t="shared" ref="E621" si="10147">SUM(B621:D621)</f>
        <v>245013</v>
      </c>
      <c r="F621" s="64">
        <f t="shared" ref="F621" si="10148">AVERAGE(E618,E619,E620,E621)</f>
        <v>298032</v>
      </c>
      <c r="G621" s="71">
        <f t="shared" ref="G621" si="10149">AVERAGE(F569,F517,F465)</f>
        <v>139484.83333333334</v>
      </c>
      <c r="H621" s="64">
        <f t="shared" ref="H621" si="10150">((E621/E569)-1)*100</f>
        <v>77.867876588021787</v>
      </c>
      <c r="I621" s="64">
        <f t="shared" ref="I621" si="10151">((F621/F569)-1)*100</f>
        <v>270.13872502142351</v>
      </c>
      <c r="J621" s="64">
        <f t="shared" ref="J621" si="10152">((F621/G621)-1)*100</f>
        <v>113.66624089357384</v>
      </c>
      <c r="L621" s="53">
        <v>6300</v>
      </c>
      <c r="M621" s="53">
        <v>0</v>
      </c>
      <c r="N621" s="53">
        <v>44800</v>
      </c>
      <c r="O621" s="53">
        <f t="shared" ref="O621" si="10153">SUM(L621:N621)</f>
        <v>51100</v>
      </c>
      <c r="P621" s="71">
        <f t="shared" ref="P621" si="10154">AVERAGE(O618,O619,O620,O621)</f>
        <v>56214.5</v>
      </c>
      <c r="Q621" s="71">
        <f t="shared" ref="Q621" si="10155">AVERAGE(P569,P517,P465)</f>
        <v>53329.5</v>
      </c>
      <c r="R621" s="64">
        <f t="shared" ref="R621" si="10156">((O621/O569)-1)*100</f>
        <v>-53.162236480293302</v>
      </c>
      <c r="S621" s="73">
        <f t="shared" ref="S621" si="10157">((P621/P569)-1)*100</f>
        <v>-45.900258880366472</v>
      </c>
      <c r="T621" s="64">
        <f t="shared" ref="T621" si="10158">((P621/Q621)-1)*100</f>
        <v>5.4097638267750492</v>
      </c>
      <c r="V621" s="64">
        <v>1600</v>
      </c>
      <c r="W621" s="53">
        <v>5250</v>
      </c>
      <c r="X621" s="53">
        <v>30800</v>
      </c>
      <c r="Y621" s="64">
        <f t="shared" ref="Y621" si="10159">SUM(V621:X621)</f>
        <v>37650</v>
      </c>
      <c r="Z621" s="71">
        <f t="shared" ref="Z621" si="10160">AVERAGE(Y618,Y619,Y620,Y621)</f>
        <v>35962.5</v>
      </c>
      <c r="AA621" s="71">
        <f t="shared" ref="AA621" si="10161">AVERAGE(Z569,Z517,Z465)</f>
        <v>56402.583333333336</v>
      </c>
      <c r="AB621" s="64">
        <f t="shared" ref="AB621" si="10162">((Y621/Y569)-1)*100</f>
        <v>3.292181069958855</v>
      </c>
      <c r="AC621" s="64">
        <f t="shared" ref="AC621" si="10163">((Z621/Z569)-1)*100</f>
        <v>-2.4203285894531246</v>
      </c>
      <c r="AD621" s="64">
        <f t="shared" ref="AD621" si="10164">((Z621/AA621)-1)*100</f>
        <v>-36.239622594118771</v>
      </c>
      <c r="AF621" s="53">
        <v>0</v>
      </c>
      <c r="AG621" s="53">
        <v>7000</v>
      </c>
      <c r="AH621" s="53">
        <v>2800</v>
      </c>
      <c r="AI621" s="53">
        <f t="shared" ref="AI621" si="10165">SUM(AF621:AH621)</f>
        <v>9800</v>
      </c>
      <c r="AJ621" s="71">
        <f t="shared" ref="AJ621:AJ623" si="10166">AVERAGE(AI618,AI619,AI620,AI621)</f>
        <v>7612.5</v>
      </c>
      <c r="AK621" s="71">
        <f t="shared" ref="AK621:AK623" si="10167">AVERAGE(AJ569,AJ517,AJ465)</f>
        <v>3044.25</v>
      </c>
      <c r="AL621" s="64"/>
      <c r="AM621" s="64">
        <f t="shared" ref="AM621" si="10168">((AJ621/AJ569)-1)*100</f>
        <v>851.5625</v>
      </c>
      <c r="AN621" s="64">
        <f t="shared" ref="AN621:AN623" si="10169">((AJ621/AK621)-1)*100</f>
        <v>150.06159152500618</v>
      </c>
      <c r="AP621" s="60">
        <f t="shared" ref="AP621" si="10170">SUM(B621,L621,V621,AF621)</f>
        <v>137700</v>
      </c>
      <c r="AQ621" s="60">
        <f t="shared" ref="AQ621" si="10171">SUM(C621,M621,W621,AG621)</f>
        <v>124663</v>
      </c>
      <c r="AR621" s="60">
        <f t="shared" ref="AR621" si="10172">SUM(D621,N621,X621,AH621)</f>
        <v>81200</v>
      </c>
      <c r="AS621" s="60">
        <f t="shared" ref="AS621" si="10173">SUM(E621,O621,Y621,AI621)</f>
        <v>343563</v>
      </c>
      <c r="AT621" s="64">
        <f t="shared" ref="AT621" si="10174">AVERAGE(AS618,AS619,AS620,AS621)</f>
        <v>397821.5</v>
      </c>
      <c r="AU621" s="71">
        <f t="shared" ref="AU621" si="10175">AVERAGE(AT569,AT517,AT465)</f>
        <v>252261.16666666666</v>
      </c>
      <c r="AV621" s="64">
        <f t="shared" ref="AV621" si="10176">((AS621/AS569)-1)*100</f>
        <v>21.271796681962574</v>
      </c>
      <c r="AW621" s="64">
        <f t="shared" ref="AW621" si="10177">((AT621/AT569)-1)*100</f>
        <v>79.132304436414387</v>
      </c>
      <c r="AX621" s="64">
        <f t="shared" ref="AX621" si="10178">((AT621/AU621)-1)*100</f>
        <v>57.702235844201155</v>
      </c>
      <c r="AZ621" s="71">
        <f t="shared" ref="AZ621" si="10179">+E621/1000</f>
        <v>245.01300000000001</v>
      </c>
      <c r="BA621" s="53">
        <f t="shared" ref="BA621" si="10180">+O621/1000</f>
        <v>51.1</v>
      </c>
      <c r="BB621" s="53">
        <f t="shared" ref="BB621" si="10181">+Y621/1000</f>
        <v>37.65</v>
      </c>
      <c r="BC621" s="53">
        <f t="shared" ref="BC621" si="10182">+AI621/1000</f>
        <v>9.8000000000000007</v>
      </c>
      <c r="BD621" s="53">
        <f t="shared" ref="BD621" si="10183">+AS621/1000</f>
        <v>343.56299999999999</v>
      </c>
      <c r="BE621" s="64">
        <f t="shared" ref="BE621" si="10184">BE620+AZ621</f>
        <v>16549.468000000004</v>
      </c>
      <c r="BF621" s="64">
        <f t="shared" ref="BF621" si="10185">BF620+BA621</f>
        <v>2003.6699999999998</v>
      </c>
      <c r="BG621" s="64">
        <f t="shared" ref="BG621" si="10186">BG620+BB621</f>
        <v>5285.4780000000028</v>
      </c>
      <c r="BH621" s="64">
        <f t="shared" ref="BH621" si="10187">BH620+BC621</f>
        <v>164.6</v>
      </c>
      <c r="BI621" s="64">
        <f t="shared" ref="BI621" si="10188">BI620+BD621</f>
        <v>24003.216</v>
      </c>
      <c r="BJ621" s="64">
        <f t="shared" ref="BJ621:BJ626" si="10189">BJ620+1</f>
        <v>38</v>
      </c>
    </row>
    <row r="622" spans="1:62" x14ac:dyDescent="0.25">
      <c r="A622" s="48">
        <f t="shared" si="8958"/>
        <v>41909</v>
      </c>
      <c r="B622" s="64">
        <v>90400</v>
      </c>
      <c r="C622" s="64">
        <v>190600</v>
      </c>
      <c r="D622" s="53">
        <v>1400</v>
      </c>
      <c r="E622" s="64">
        <f t="shared" ref="E622:E623" si="10190">SUM(B622:D622)</f>
        <v>282400</v>
      </c>
      <c r="F622" s="64">
        <f t="shared" ref="F622" si="10191">AVERAGE(E619,E620,E621,E622)</f>
        <v>237728.25</v>
      </c>
      <c r="G622" s="71">
        <f t="shared" ref="G622" si="10192">AVERAGE(F570,F518,F466)</f>
        <v>164187.5</v>
      </c>
      <c r="H622" s="64">
        <f t="shared" ref="H622" si="10193">((E622/E570)-1)*100</f>
        <v>56.998788040517255</v>
      </c>
      <c r="I622" s="64">
        <f t="shared" ref="I622" si="10194">((F622/F570)-1)*100</f>
        <v>111.93851214913279</v>
      </c>
      <c r="J622" s="64">
        <f t="shared" ref="J622" si="10195">((F622/G622)-1)*100</f>
        <v>44.790711838599172</v>
      </c>
      <c r="L622" s="53">
        <v>6100</v>
      </c>
      <c r="M622" s="53">
        <v>3250</v>
      </c>
      <c r="N622" s="53">
        <v>8400</v>
      </c>
      <c r="O622" s="53">
        <f t="shared" ref="O622:O623" si="10196">SUM(L622:N622)</f>
        <v>17750</v>
      </c>
      <c r="P622" s="71">
        <f t="shared" ref="P622" si="10197">AVERAGE(O619,O620,O621,O622)</f>
        <v>31476</v>
      </c>
      <c r="Q622" s="71">
        <f t="shared" ref="Q622" si="10198">AVERAGE(P570,P518,P466)</f>
        <v>55436.083333333336</v>
      </c>
      <c r="R622" s="64">
        <f t="shared" ref="R622" si="10199">((O622/O570)-1)*100</f>
        <v>-73.9545121056493</v>
      </c>
      <c r="S622" s="73">
        <f t="shared" ref="S622" si="10200">((P622/P570)-1)*100</f>
        <v>-70.708828483421584</v>
      </c>
      <c r="T622" s="64">
        <f t="shared" ref="T622" si="10201">((P622/Q622)-1)*100</f>
        <v>-43.221096969031905</v>
      </c>
      <c r="V622" s="64">
        <v>4600</v>
      </c>
      <c r="W622" s="53">
        <v>5250</v>
      </c>
      <c r="X622" s="53">
        <v>41700</v>
      </c>
      <c r="Y622" s="64">
        <f t="shared" ref="Y622:Y623" si="10202">SUM(V622:X622)</f>
        <v>51550</v>
      </c>
      <c r="Z622" s="71">
        <f t="shared" ref="Z622" si="10203">AVERAGE(Y619,Y620,Y621,Y622)</f>
        <v>32450</v>
      </c>
      <c r="AA622" s="71">
        <f t="shared" ref="AA622" si="10204">AVERAGE(Z570,Z518,Z466)</f>
        <v>57804.25</v>
      </c>
      <c r="AB622" s="64">
        <f t="shared" ref="AB622" si="10205">((Y622/Y570)-1)*100</f>
        <v>85.76576576576575</v>
      </c>
      <c r="AC622" s="64">
        <f t="shared" ref="AC622" si="10206">((Z622/Z570)-1)*100</f>
        <v>-9.2941998602375957</v>
      </c>
      <c r="AD622" s="64">
        <f t="shared" ref="AD622" si="10207">((Z622/AA622)-1)*100</f>
        <v>-43.862259262943468</v>
      </c>
      <c r="AF622" s="53">
        <v>1500</v>
      </c>
      <c r="AG622" s="53">
        <v>0</v>
      </c>
      <c r="AH622" s="53">
        <v>8400</v>
      </c>
      <c r="AI622" s="53">
        <f t="shared" ref="AI622:AI623" si="10208">SUM(AF622:AH622)</f>
        <v>9900</v>
      </c>
      <c r="AJ622" s="71">
        <f t="shared" si="10166"/>
        <v>7762.5</v>
      </c>
      <c r="AK622" s="71">
        <f t="shared" si="10167"/>
        <v>2027.5833333333333</v>
      </c>
      <c r="AL622" s="64"/>
      <c r="AM622" s="64">
        <f t="shared" si="10131"/>
        <v>870.3125</v>
      </c>
      <c r="AN622" s="64">
        <f t="shared" si="10169"/>
        <v>282.84493033578559</v>
      </c>
      <c r="AP622" s="60">
        <f t="shared" ref="AP622:AS623" si="10209">SUM(B622,L622,V622,AF622)</f>
        <v>102600</v>
      </c>
      <c r="AQ622" s="60">
        <f t="shared" ref="AQ622" si="10210">SUM(C622,M622,W622,AG622)</f>
        <v>199100</v>
      </c>
      <c r="AR622" s="60">
        <f t="shared" ref="AR622:AR623" si="10211">SUM(D622,N622,X622,AH622)</f>
        <v>59900</v>
      </c>
      <c r="AS622" s="60">
        <f t="shared" ref="AS622" si="10212">SUM(E622,O622,Y622,AI622)</f>
        <v>361600</v>
      </c>
      <c r="AT622" s="64">
        <f t="shared" ref="AT622" si="10213">AVERAGE(AS619,AS620,AS621,AS622)</f>
        <v>309416.75</v>
      </c>
      <c r="AU622" s="71">
        <f t="shared" ref="AU622" si="10214">AVERAGE(AT570,AT518,AT466)</f>
        <v>279455.41666666669</v>
      </c>
      <c r="AV622" s="64">
        <f t="shared" ref="AV622" si="10215">((AS622/AS570)-1)*100</f>
        <v>31.121860654013787</v>
      </c>
      <c r="AW622" s="64">
        <f t="shared" ref="AW622" si="10216">((AT622/AT570)-1)*100</f>
        <v>20.770386705828404</v>
      </c>
      <c r="AX622" s="64">
        <f t="shared" ref="AX622" si="10217">((AT622/AU622)-1)*100</f>
        <v>10.721328536304986</v>
      </c>
      <c r="AZ622" s="71">
        <f t="shared" ref="AZ622:AZ623" si="10218">+E622/1000</f>
        <v>282.39999999999998</v>
      </c>
      <c r="BA622" s="53">
        <f t="shared" ref="BA622:BA623" si="10219">+O622/1000</f>
        <v>17.75</v>
      </c>
      <c r="BB622" s="53">
        <f t="shared" ref="BB622:BB623" si="10220">+Y622/1000</f>
        <v>51.55</v>
      </c>
      <c r="BC622" s="53">
        <f t="shared" ref="BC622" si="10221">+AI622/1000</f>
        <v>9.9</v>
      </c>
      <c r="BD622" s="53">
        <f t="shared" ref="BD622" si="10222">+AS622/1000</f>
        <v>361.6</v>
      </c>
      <c r="BE622" s="64">
        <f t="shared" ref="BE622" si="10223">BE621+AZ622</f>
        <v>16831.868000000006</v>
      </c>
      <c r="BF622" s="64">
        <f t="shared" ref="BF622" si="10224">BF621+BA622</f>
        <v>2021.4199999999998</v>
      </c>
      <c r="BG622" s="64">
        <f t="shared" ref="BG622" si="10225">BG621+BB622</f>
        <v>5337.028000000003</v>
      </c>
      <c r="BH622" s="64">
        <f t="shared" ref="BH622" si="10226">BH621+BC622</f>
        <v>174.5</v>
      </c>
      <c r="BI622" s="64">
        <f t="shared" ref="BI622" si="10227">BI621+BD622</f>
        <v>24364.815999999999</v>
      </c>
      <c r="BJ622" s="64">
        <f t="shared" si="10189"/>
        <v>39</v>
      </c>
    </row>
    <row r="623" spans="1:62" x14ac:dyDescent="0.25">
      <c r="A623" s="48">
        <f t="shared" si="8958"/>
        <v>41916</v>
      </c>
      <c r="B623" s="64">
        <v>166096</v>
      </c>
      <c r="C623" s="64">
        <v>165254</v>
      </c>
      <c r="D623" s="53">
        <v>2800</v>
      </c>
      <c r="E623" s="64">
        <f t="shared" si="10190"/>
        <v>334150</v>
      </c>
      <c r="F623" s="64">
        <f t="shared" ref="F623" si="10228">AVERAGE(E620,E621,E622,E623)</f>
        <v>262415.75</v>
      </c>
      <c r="G623" s="71">
        <f t="shared" ref="G623" si="10229">AVERAGE(F571,F519,F467)</f>
        <v>187025.25</v>
      </c>
      <c r="H623" s="64">
        <f t="shared" ref="H623" si="10230">((E623/E571)-1)*100</f>
        <v>43.627767032022355</v>
      </c>
      <c r="I623" s="64">
        <f t="shared" ref="I623" si="10231">((F623/F571)-1)*100</f>
        <v>67.28390339679413</v>
      </c>
      <c r="J623" s="64">
        <f t="shared" ref="J623" si="10232">((F623/G623)-1)*100</f>
        <v>40.310332428375318</v>
      </c>
      <c r="L623" s="53">
        <v>7800</v>
      </c>
      <c r="M623" s="53">
        <v>1600</v>
      </c>
      <c r="N623" s="53">
        <v>22400</v>
      </c>
      <c r="O623" s="53">
        <f t="shared" si="10196"/>
        <v>31800</v>
      </c>
      <c r="P623" s="71">
        <f t="shared" ref="P623" si="10233">AVERAGE(O620,O621,O622,O623)</f>
        <v>31212.5</v>
      </c>
      <c r="Q623" s="71">
        <f t="shared" ref="Q623" si="10234">AVERAGE(P571,P519,P467)</f>
        <v>46300.083333333336</v>
      </c>
      <c r="R623" s="64">
        <f t="shared" ref="R623" si="10235">((O623/O571)-1)*100</f>
        <v>-51.37614678899083</v>
      </c>
      <c r="S623" s="73">
        <f t="shared" ref="S623" si="10236">((P623/P571)-1)*100</f>
        <v>-63.246982631733886</v>
      </c>
      <c r="T623" s="64">
        <f t="shared" ref="T623" si="10237">((P623/Q623)-1)*100</f>
        <v>-32.586514423120192</v>
      </c>
      <c r="V623" s="64">
        <v>65000</v>
      </c>
      <c r="W623" s="53">
        <v>23000</v>
      </c>
      <c r="X623" s="53">
        <v>44800</v>
      </c>
      <c r="Y623" s="64">
        <f t="shared" si="10202"/>
        <v>132800</v>
      </c>
      <c r="Z623" s="71">
        <f t="shared" ref="Z623" si="10238">AVERAGE(Y620,Y621,Y622,Y623)</f>
        <v>62587.5</v>
      </c>
      <c r="AA623" s="71">
        <f t="shared" ref="AA623" si="10239">AVERAGE(Z571,Z519,Z467)</f>
        <v>69460.833333333328</v>
      </c>
      <c r="AB623" s="64">
        <f t="shared" ref="AB623" si="10240">((Y623/Y571)-1)*100</f>
        <v>89.714285714285722</v>
      </c>
      <c r="AC623" s="64">
        <f t="shared" ref="AC623" si="10241">((Z623/Z571)-1)*100</f>
        <v>45.298897272199646</v>
      </c>
      <c r="AD623" s="64">
        <f t="shared" ref="AD623" si="10242">((Z623/AA623)-1)*100</f>
        <v>-9.8952647175266524</v>
      </c>
      <c r="AF623" s="53">
        <v>4700</v>
      </c>
      <c r="AG623" s="53"/>
      <c r="AH623" s="53">
        <v>7000</v>
      </c>
      <c r="AI623" s="53">
        <f t="shared" si="10208"/>
        <v>11700</v>
      </c>
      <c r="AJ623" s="71">
        <f t="shared" si="10166"/>
        <v>9850</v>
      </c>
      <c r="AK623" s="71">
        <f t="shared" si="10167"/>
        <v>1400</v>
      </c>
      <c r="AL623" s="64">
        <f t="shared" si="10022"/>
        <v>735.71428571428578</v>
      </c>
      <c r="AM623" s="64">
        <f t="shared" si="10022"/>
        <v>756.52173913043475</v>
      </c>
      <c r="AN623" s="64">
        <f t="shared" si="10169"/>
        <v>603.57142857142856</v>
      </c>
      <c r="AP623" s="60">
        <f t="shared" si="10209"/>
        <v>243596</v>
      </c>
      <c r="AQ623" s="60">
        <f t="shared" si="10209"/>
        <v>189854</v>
      </c>
      <c r="AR623" s="60">
        <f t="shared" si="10211"/>
        <v>77000</v>
      </c>
      <c r="AS623" s="60">
        <f t="shared" si="10209"/>
        <v>510450</v>
      </c>
      <c r="AT623" s="64">
        <f t="shared" ref="AT623" si="10243">AVERAGE(AS620,AS621,AS622,AS623)</f>
        <v>366065.75</v>
      </c>
      <c r="AU623" s="71">
        <f t="shared" ref="AU623" si="10244">AVERAGE(AT571,AT519,AT467)</f>
        <v>304186.16666666669</v>
      </c>
      <c r="AV623" s="64">
        <f t="shared" ref="AV623" si="10245">((AS623/AS571)-1)*100</f>
        <v>38.164839626471789</v>
      </c>
      <c r="AW623" s="64">
        <f t="shared" ref="AW623" si="10246">((AT623/AT571)-1)*100</f>
        <v>27.986738620054297</v>
      </c>
      <c r="AX623" s="64">
        <f t="shared" ref="AX623" si="10247">((AT623/AU623)-1)*100</f>
        <v>20.342668442625865</v>
      </c>
      <c r="AZ623" s="71">
        <f t="shared" si="10218"/>
        <v>334.15</v>
      </c>
      <c r="BA623" s="53">
        <f t="shared" si="10219"/>
        <v>31.8</v>
      </c>
      <c r="BB623" s="53">
        <f t="shared" si="10220"/>
        <v>132.80000000000001</v>
      </c>
      <c r="BC623" s="53">
        <f t="shared" ref="BC623" si="10248">+AI623/1000</f>
        <v>11.7</v>
      </c>
      <c r="BD623" s="53">
        <f t="shared" ref="BD623" si="10249">+AS623/1000</f>
        <v>510.45</v>
      </c>
      <c r="BE623" s="64">
        <f t="shared" ref="BE623" si="10250">BE622+AZ623</f>
        <v>17166.018000000007</v>
      </c>
      <c r="BF623" s="64">
        <f t="shared" ref="BF623" si="10251">BF622+BA623</f>
        <v>2053.2199999999998</v>
      </c>
      <c r="BG623" s="64">
        <f t="shared" ref="BG623" si="10252">BG622+BB623</f>
        <v>5469.8280000000032</v>
      </c>
      <c r="BH623" s="64">
        <f t="shared" ref="BH623" si="10253">BH622+BC623</f>
        <v>186.2</v>
      </c>
      <c r="BI623" s="64">
        <f t="shared" ref="BI623" si="10254">BI622+BD623</f>
        <v>24875.266</v>
      </c>
      <c r="BJ623" s="64">
        <f t="shared" si="10189"/>
        <v>40</v>
      </c>
    </row>
    <row r="624" spans="1:62" x14ac:dyDescent="0.25">
      <c r="A624" s="48">
        <f t="shared" si="8958"/>
        <v>41923</v>
      </c>
      <c r="B624" s="64">
        <v>127200</v>
      </c>
      <c r="C624" s="64">
        <v>163540</v>
      </c>
      <c r="D624" s="53">
        <v>1400</v>
      </c>
      <c r="E624" s="64">
        <f t="shared" ref="E624:E626" si="10255">SUM(B624:D624)</f>
        <v>292140</v>
      </c>
      <c r="F624" s="64">
        <f t="shared" ref="F624" si="10256">AVERAGE(E621,E622,E623,E624)</f>
        <v>288425.75</v>
      </c>
      <c r="G624" s="71">
        <f t="shared" ref="G624" si="10257">AVERAGE(F572,F520,F468)</f>
        <v>209871.5</v>
      </c>
      <c r="H624" s="64">
        <f t="shared" ref="H624" si="10258">((E624/E572)-1)*100</f>
        <v>37.552734669278287</v>
      </c>
      <c r="I624" s="64">
        <f t="shared" ref="I624" si="10259">((F624/F572)-1)*100</f>
        <v>51.273965525832033</v>
      </c>
      <c r="J624" s="64">
        <f t="shared" ref="J624" si="10260">((F624/G624)-1)*100</f>
        <v>37.42968911929443</v>
      </c>
      <c r="L624" s="53">
        <v>9300</v>
      </c>
      <c r="M624" s="53">
        <v>5090</v>
      </c>
      <c r="N624" s="53">
        <v>5600</v>
      </c>
      <c r="O624" s="53">
        <f t="shared" ref="O624" si="10261">SUM(L624:N624)</f>
        <v>19990</v>
      </c>
      <c r="P624" s="71">
        <f t="shared" ref="P624" si="10262">AVERAGE(O621,O622,O623,O624)</f>
        <v>30160</v>
      </c>
      <c r="Q624" s="71">
        <f t="shared" ref="Q624" si="10263">AVERAGE(P572,P520,P468)</f>
        <v>41482.666666666664</v>
      </c>
      <c r="R624" s="64">
        <f t="shared" ref="R624" si="10264">((O624/O572)-1)*100</f>
        <v>-38.015503875968989</v>
      </c>
      <c r="S624" s="73">
        <f t="shared" ref="S624" si="10265">((P624/P572)-1)*100</f>
        <v>-56.114950891233171</v>
      </c>
      <c r="T624" s="64">
        <f t="shared" ref="T624" si="10266">((P624/Q624)-1)*100</f>
        <v>-27.29493443044484</v>
      </c>
      <c r="V624" s="64">
        <v>167100</v>
      </c>
      <c r="W624" s="53">
        <v>110700</v>
      </c>
      <c r="X624" s="53">
        <v>62000</v>
      </c>
      <c r="Y624" s="64">
        <f t="shared" ref="Y624" si="10267">SUM(V624:X624)</f>
        <v>339800</v>
      </c>
      <c r="Z624" s="71">
        <f t="shared" ref="Z624" si="10268">AVERAGE(Y621,Y622,Y623,Y624)</f>
        <v>140450</v>
      </c>
      <c r="AA624" s="71">
        <f t="shared" ref="AA624" si="10269">AVERAGE(Z572,Z520,Z468)</f>
        <v>118829</v>
      </c>
      <c r="AB624" s="64">
        <f t="shared" ref="AB624" si="10270">((Y624/Y572)-1)*100</f>
        <v>94.4492131616595</v>
      </c>
      <c r="AC624" s="64">
        <f t="shared" ref="AC624" si="10271">((Z624/Z572)-1)*100</f>
        <v>81.841721961482449</v>
      </c>
      <c r="AD624" s="64">
        <f t="shared" ref="AD624" si="10272">((Z624/AA624)-1)*100</f>
        <v>18.195053396056515</v>
      </c>
      <c r="AF624" s="53">
        <v>0</v>
      </c>
      <c r="AG624" s="53">
        <v>0</v>
      </c>
      <c r="AH624" s="53">
        <v>4200</v>
      </c>
      <c r="AI624" s="53">
        <f t="shared" ref="AI624:AI626" si="10273">SUM(AF624:AH624)</f>
        <v>4200</v>
      </c>
      <c r="AJ624" s="71">
        <f t="shared" ref="AJ624" si="10274">AVERAGE(AI621,AI622,AI623,AI624)</f>
        <v>8900</v>
      </c>
      <c r="AK624" s="71">
        <f t="shared" ref="AK624" si="10275">AVERAGE(AJ572,AJ520,AJ468)</f>
        <v>3211.3333333333335</v>
      </c>
      <c r="AL624" s="64">
        <f t="shared" ref="AL624" si="10276">((AI624/AI572)-1)*100</f>
        <v>-68.50629874025195</v>
      </c>
      <c r="AM624" s="64">
        <f t="shared" ref="AM624" si="10277">((AJ624/AJ572)-1)*100</f>
        <v>141.58523344191099</v>
      </c>
      <c r="AN624" s="64">
        <f t="shared" ref="AN624" si="10278">((AJ624/AK624)-1)*100</f>
        <v>177.14345028025741</v>
      </c>
      <c r="AP624" s="60">
        <f t="shared" ref="AP624:AP625" si="10279">SUM(B624,L624,V624,AF624)</f>
        <v>303600</v>
      </c>
      <c r="AQ624" s="60">
        <f t="shared" ref="AQ624:AQ626" si="10280">SUM(C624,M624,W624,AG624)</f>
        <v>279330</v>
      </c>
      <c r="AR624" s="60">
        <f t="shared" ref="AR624:AR626" si="10281">SUM(D624,N624,X624,AH624)</f>
        <v>73200</v>
      </c>
      <c r="AS624" s="60">
        <f t="shared" ref="AS624:AS626" si="10282">SUM(E624,O624,Y624,AI624)</f>
        <v>656130</v>
      </c>
      <c r="AT624" s="64">
        <f t="shared" ref="AT624" si="10283">AVERAGE(AS621,AS622,AS623,AS624)</f>
        <v>467935.75</v>
      </c>
      <c r="AU624" s="71">
        <f t="shared" ref="AU624" si="10284">AVERAGE(AT572,AT520,AT468)</f>
        <v>373394.5</v>
      </c>
      <c r="AV624" s="64">
        <f t="shared" ref="AV624" si="10285">((AS624/AS572)-1)*100</f>
        <v>51.629229062673332</v>
      </c>
      <c r="AW624" s="64">
        <f t="shared" ref="AW624" si="10286">((AT624/AT572)-1)*100</f>
        <v>37.502387522001925</v>
      </c>
      <c r="AX624" s="64">
        <f t="shared" ref="AX624" si="10287">((AT624/AU624)-1)*100</f>
        <v>25.319400794601954</v>
      </c>
      <c r="AZ624" s="71">
        <f t="shared" ref="AZ624" si="10288">+E624/1000</f>
        <v>292.14</v>
      </c>
      <c r="BA624" s="53">
        <f t="shared" ref="BA624" si="10289">+O624/1000</f>
        <v>19.989999999999998</v>
      </c>
      <c r="BB624" s="53">
        <f t="shared" ref="BB624" si="10290">+Y624/1000</f>
        <v>339.8</v>
      </c>
      <c r="BC624" s="53">
        <f t="shared" ref="BC624" si="10291">+AI624/1000</f>
        <v>4.2</v>
      </c>
      <c r="BD624" s="53">
        <f t="shared" ref="BD624" si="10292">+AS624/1000</f>
        <v>656.13</v>
      </c>
      <c r="BE624" s="64">
        <f t="shared" ref="BE624" si="10293">BE623+AZ624</f>
        <v>17458.158000000007</v>
      </c>
      <c r="BF624" s="64">
        <f t="shared" ref="BF624" si="10294">BF623+BA624</f>
        <v>2073.2099999999996</v>
      </c>
      <c r="BG624" s="64">
        <f t="shared" ref="BG624" si="10295">BG623+BB624</f>
        <v>5809.6280000000033</v>
      </c>
      <c r="BH624" s="64">
        <f t="shared" ref="BH624" si="10296">BH623+BC624</f>
        <v>190.39999999999998</v>
      </c>
      <c r="BI624" s="64">
        <f t="shared" ref="BI624" si="10297">BI623+BD624</f>
        <v>25531.396000000001</v>
      </c>
      <c r="BJ624" s="64">
        <f t="shared" si="10189"/>
        <v>41</v>
      </c>
    </row>
    <row r="625" spans="1:62" x14ac:dyDescent="0.25">
      <c r="A625" s="48">
        <f t="shared" si="8958"/>
        <v>41930</v>
      </c>
      <c r="B625" s="64">
        <v>124899</v>
      </c>
      <c r="C625" s="64">
        <v>116900</v>
      </c>
      <c r="D625" s="53">
        <v>0</v>
      </c>
      <c r="E625" s="64">
        <f t="shared" si="10255"/>
        <v>241799</v>
      </c>
      <c r="F625" s="64">
        <f t="shared" ref="F625" si="10298">AVERAGE(E622,E623,E624,E625)</f>
        <v>287622.25</v>
      </c>
      <c r="G625" s="71">
        <f t="shared" ref="G625" si="10299">AVERAGE(F573,F521,F469)</f>
        <v>232714.66666666666</v>
      </c>
      <c r="H625" s="64">
        <f t="shared" ref="H625" si="10300">((E625/E573)-1)*100</f>
        <v>-17.474744027303757</v>
      </c>
      <c r="I625" s="64">
        <f t="shared" ref="I625" si="10301">((F625/F573)-1)*100</f>
        <v>25.338160251354157</v>
      </c>
      <c r="J625" s="64">
        <f t="shared" ref="J625" si="10302">((F625/G625)-1)*100</f>
        <v>23.59438024247147</v>
      </c>
      <c r="L625" s="53">
        <v>3200</v>
      </c>
      <c r="M625" s="53">
        <v>0</v>
      </c>
      <c r="N625" s="53">
        <v>9800</v>
      </c>
      <c r="O625" s="53">
        <f t="shared" ref="O625" si="10303">SUM(L625:N625)</f>
        <v>13000</v>
      </c>
      <c r="P625" s="71">
        <f t="shared" ref="P625" si="10304">AVERAGE(O622,O623,O624,O625)</f>
        <v>20635</v>
      </c>
      <c r="Q625" s="71">
        <f t="shared" ref="Q625" si="10305">AVERAGE(P573,P521,P469)</f>
        <v>35084</v>
      </c>
      <c r="R625" s="64">
        <f t="shared" ref="R625" si="10306">((O625/O573)-1)*100</f>
        <v>-60.122699386503072</v>
      </c>
      <c r="S625" s="73">
        <f t="shared" ref="S625" si="10307">((P625/P573)-1)*100</f>
        <v>-58.39717741935484</v>
      </c>
      <c r="T625" s="64">
        <f t="shared" ref="T625" si="10308">((P625/Q625)-1)*100</f>
        <v>-41.1840155056436</v>
      </c>
      <c r="V625" s="64">
        <v>192600</v>
      </c>
      <c r="W625" s="53">
        <v>122500</v>
      </c>
      <c r="X625" s="53">
        <v>35000</v>
      </c>
      <c r="Y625" s="64">
        <f t="shared" ref="Y625" si="10309">SUM(V625:X625)</f>
        <v>350100</v>
      </c>
      <c r="Z625" s="71">
        <f t="shared" ref="Z625" si="10310">AVERAGE(Y622,Y623,Y624,Y625)</f>
        <v>218562.5</v>
      </c>
      <c r="AA625" s="71">
        <f t="shared" ref="AA625" si="10311">AVERAGE(Z573,Z521,Z469)</f>
        <v>221019.75</v>
      </c>
      <c r="AB625" s="64">
        <f t="shared" ref="AB625" si="10312">((Y625/Y573)-1)*100</f>
        <v>-22.234562416703685</v>
      </c>
      <c r="AC625" s="64">
        <f t="shared" ref="AC625" si="10313">((Z625/Z573)-1)*100</f>
        <v>20.96997370969973</v>
      </c>
      <c r="AD625" s="64">
        <f t="shared" ref="AD625" si="10314">((Z625/AA625)-1)*100</f>
        <v>-1.1117784722858515</v>
      </c>
      <c r="AF625" s="53">
        <v>0</v>
      </c>
      <c r="AG625" s="53">
        <v>0</v>
      </c>
      <c r="AH625" s="53">
        <v>4200</v>
      </c>
      <c r="AI625" s="53">
        <f t="shared" si="10273"/>
        <v>4200</v>
      </c>
      <c r="AJ625" s="71">
        <f t="shared" ref="AJ625" si="10315">AVERAGE(AI622,AI623,AI624,AI625)</f>
        <v>7500</v>
      </c>
      <c r="AK625" s="71">
        <f t="shared" ref="AK625" si="10316">AVERAGE(AJ573,AJ521,AJ469)</f>
        <v>7012.666666666667</v>
      </c>
      <c r="AL625" s="64">
        <f t="shared" ref="AL625" si="10317">((AI625/AI573)-1)*100</f>
        <v>-78.571428571428569</v>
      </c>
      <c r="AM625" s="64">
        <f t="shared" ref="AM625" si="10318">((AJ625/AJ573)-1)*100</f>
        <v>-12.628145386766077</v>
      </c>
      <c r="AN625" s="64">
        <f t="shared" ref="AN625" si="10319">((AJ625/AK625)-1)*100</f>
        <v>6.9493297842000201</v>
      </c>
      <c r="AP625" s="60">
        <f t="shared" si="10279"/>
        <v>320699</v>
      </c>
      <c r="AQ625" s="60">
        <f t="shared" si="10280"/>
        <v>239400</v>
      </c>
      <c r="AR625" s="60">
        <f t="shared" si="10281"/>
        <v>49000</v>
      </c>
      <c r="AS625" s="60">
        <f t="shared" si="10282"/>
        <v>609099</v>
      </c>
      <c r="AT625" s="64">
        <f t="shared" ref="AT625" si="10320">AVERAGE(AS622,AS623,AS624,AS625)</f>
        <v>534319.75</v>
      </c>
      <c r="AU625" s="71">
        <f t="shared" ref="AU625" si="10321">AVERAGE(AT573,AT521,AT469)</f>
        <v>495831.08333333331</v>
      </c>
      <c r="AV625" s="64">
        <f t="shared" ref="AV625" si="10322">((AS625/AS573)-1)*100</f>
        <v>-23.422303243650987</v>
      </c>
      <c r="AW625" s="64">
        <f t="shared" ref="AW625" si="10323">((AT625/AT573)-1)*100</f>
        <v>14.088976717570301</v>
      </c>
      <c r="AX625" s="64">
        <f t="shared" ref="AX625" si="10324">((AT625/AU625)-1)*100</f>
        <v>7.7624553926547213</v>
      </c>
      <c r="AZ625" s="71">
        <f t="shared" ref="AZ625:AZ626" si="10325">+E625/1000</f>
        <v>241.79900000000001</v>
      </c>
      <c r="BA625" s="53">
        <f t="shared" ref="BA625" si="10326">+O625/1000</f>
        <v>13</v>
      </c>
      <c r="BB625" s="53">
        <f t="shared" ref="BB625" si="10327">+Y625/1000</f>
        <v>350.1</v>
      </c>
      <c r="BC625" s="53">
        <f t="shared" ref="BC625:BC626" si="10328">+AI625/1000</f>
        <v>4.2</v>
      </c>
      <c r="BD625" s="53">
        <f t="shared" ref="BD625:BD626" si="10329">+AS625/1000</f>
        <v>609.09900000000005</v>
      </c>
      <c r="BE625" s="64">
        <f t="shared" ref="BE625" si="10330">BE624+AZ625</f>
        <v>17699.957000000006</v>
      </c>
      <c r="BF625" s="64">
        <f t="shared" ref="BF625" si="10331">BF624+BA625</f>
        <v>2086.2099999999996</v>
      </c>
      <c r="BG625" s="64">
        <f t="shared" ref="BG625" si="10332">BG624+BB625</f>
        <v>6159.7280000000037</v>
      </c>
      <c r="BH625" s="64">
        <f t="shared" ref="BH625" si="10333">BH624+BC625</f>
        <v>194.59999999999997</v>
      </c>
      <c r="BI625" s="64">
        <f t="shared" ref="BI625" si="10334">BI624+BD625</f>
        <v>26140.494999999999</v>
      </c>
      <c r="BJ625" s="64">
        <f t="shared" si="10189"/>
        <v>42</v>
      </c>
    </row>
    <row r="626" spans="1:62" x14ac:dyDescent="0.25">
      <c r="A626" s="48">
        <f t="shared" si="8958"/>
        <v>41937</v>
      </c>
      <c r="B626" s="64">
        <v>113048</v>
      </c>
      <c r="C626" s="64">
        <v>78500</v>
      </c>
      <c r="D626" s="53">
        <v>0</v>
      </c>
      <c r="E626" s="64">
        <f t="shared" si="10255"/>
        <v>191548</v>
      </c>
      <c r="F626" s="64">
        <f t="shared" ref="F626" si="10335">AVERAGE(E623,E624,E625,E626)</f>
        <v>264909.25</v>
      </c>
      <c r="G626" s="71">
        <f t="shared" ref="G626" si="10336">AVERAGE(F574,F522,F470)</f>
        <v>233231.16666666666</v>
      </c>
      <c r="H626" s="64">
        <f t="shared" ref="H626" si="10337">((E626/E574)-1)*100</f>
        <v>-22.941566931509605</v>
      </c>
      <c r="I626" s="64">
        <f t="shared" ref="I626" si="10338">((F626/F574)-1)*100</f>
        <v>7.4019190986500227</v>
      </c>
      <c r="J626" s="64">
        <f t="shared" ref="J626" si="10339">((F626/G626)-1)*100</f>
        <v>13.58226852185993</v>
      </c>
      <c r="L626" s="53">
        <v>3200</v>
      </c>
      <c r="M626" s="53">
        <v>0</v>
      </c>
      <c r="N626" s="53">
        <v>3000</v>
      </c>
      <c r="O626" s="53">
        <f t="shared" ref="O626" si="10340">SUM(L626:N626)</f>
        <v>6200</v>
      </c>
      <c r="P626" s="71">
        <f t="shared" ref="P626" si="10341">AVERAGE(O623,O624,O625,O626)</f>
        <v>17747.5</v>
      </c>
      <c r="Q626" s="71">
        <f t="shared" ref="Q626" si="10342">AVERAGE(P574,P522,P470)</f>
        <v>25976.833333333332</v>
      </c>
      <c r="R626" s="64">
        <f t="shared" ref="R626" si="10343">((O626/O574)-1)*100</f>
        <v>-58.80398671096345</v>
      </c>
      <c r="S626" s="73">
        <f t="shared" ref="S626" si="10344">((P626/P574)-1)*100</f>
        <v>-51.142463867859597</v>
      </c>
      <c r="T626" s="64">
        <f t="shared" ref="T626" si="10345">((P626/Q626)-1)*100</f>
        <v>-31.679509306369134</v>
      </c>
      <c r="V626" s="64">
        <v>426200</v>
      </c>
      <c r="W626" s="53">
        <v>66050</v>
      </c>
      <c r="X626" s="53">
        <v>44000</v>
      </c>
      <c r="Y626" s="64">
        <f t="shared" ref="Y626" si="10346">SUM(V626:X626)</f>
        <v>536250</v>
      </c>
      <c r="Z626" s="71">
        <f t="shared" ref="Z626" si="10347">AVERAGE(Y623,Y624,Y625,Y626)</f>
        <v>339737.5</v>
      </c>
      <c r="AA626" s="71">
        <f t="shared" ref="AA626" si="10348">AVERAGE(Z574,Z522,Z470)</f>
        <v>308490.66666666669</v>
      </c>
      <c r="AB626" s="64">
        <f t="shared" ref="AB626" si="10349">((Y626/Y574)-1)*100</f>
        <v>-6.7509690074129765</v>
      </c>
      <c r="AC626" s="64">
        <f t="shared" ref="AC626" si="10350">((Z626/Z574)-1)*100</f>
        <v>7.0019991763928591</v>
      </c>
      <c r="AD626" s="64">
        <f t="shared" ref="AD626" si="10351">((Z626/AA626)-1)*100</f>
        <v>10.128939611355058</v>
      </c>
      <c r="AF626" s="53">
        <v>3100</v>
      </c>
      <c r="AG626" s="53">
        <v>0</v>
      </c>
      <c r="AH626" s="53">
        <v>0</v>
      </c>
      <c r="AI626" s="53">
        <f t="shared" si="10273"/>
        <v>3100</v>
      </c>
      <c r="AJ626" s="71">
        <f t="shared" ref="AJ626" si="10352">AVERAGE(AI623,AI624,AI625,AI626)</f>
        <v>5800</v>
      </c>
      <c r="AK626" s="71">
        <f t="shared" ref="AK626" si="10353">AVERAGE(AJ574,AJ522,AJ470)</f>
        <v>9225.1666666666661</v>
      </c>
      <c r="AL626" s="64">
        <f t="shared" ref="AL626" si="10354">((AI626/AI574)-1)*100</f>
        <v>-46.551724137931039</v>
      </c>
      <c r="AM626" s="64">
        <f t="shared" ref="AM626" si="10355">((AJ626/AJ574)-1)*100</f>
        <v>-42.19653179190751</v>
      </c>
      <c r="AN626" s="64">
        <f t="shared" ref="AN626" si="10356">((AJ626/AK626)-1)*100</f>
        <v>-37.128507163375545</v>
      </c>
      <c r="AP626" s="60">
        <f t="shared" ref="AP626" si="10357">SUM(B626,L626,V626,AF626)</f>
        <v>545548</v>
      </c>
      <c r="AQ626" s="60">
        <f t="shared" ref="AQ626" si="10358">SUM(C626,M626,W626,AG626)</f>
        <v>144550</v>
      </c>
      <c r="AR626" s="60">
        <f t="shared" ref="AR626" si="10359">SUM(D626,N626,X626,AH626)</f>
        <v>47000</v>
      </c>
      <c r="AS626" s="60">
        <f t="shared" ref="AS626" si="10360">SUM(E626,O626,Y626,AI626)</f>
        <v>737098</v>
      </c>
      <c r="AT626" s="64">
        <f t="shared" ref="AT626" si="10361">AVERAGE(AS623,AS624,AS625,AS626)</f>
        <v>628194.25</v>
      </c>
      <c r="AU626" s="71">
        <f t="shared" ref="AU626" si="10362">AVERAGE(AT574,AT522,AT470)</f>
        <v>576923.83333333337</v>
      </c>
      <c r="AV626" s="64">
        <f t="shared" ref="AV626" si="10363">((AS626/AS574)-1)*100</f>
        <v>-12.717614488133776</v>
      </c>
      <c r="AW626" s="64">
        <f t="shared" ref="AW626" si="10364">((AT626/AT574)-1)*100</f>
        <v>2.8954558185930956</v>
      </c>
      <c r="AX626" s="64">
        <f t="shared" ref="AX626" si="10365">((AT626/AU626)-1)*100</f>
        <v>8.8868605705605841</v>
      </c>
      <c r="AZ626" s="71">
        <f t="shared" ref="AZ626" si="10366">+E626/1000</f>
        <v>191.548</v>
      </c>
      <c r="BA626" s="53">
        <f t="shared" ref="BA626" si="10367">+O626/1000</f>
        <v>6.2</v>
      </c>
      <c r="BB626" s="53">
        <f t="shared" ref="BB626" si="10368">+Y626/1000</f>
        <v>536.25</v>
      </c>
      <c r="BC626" s="53">
        <f t="shared" ref="BC626" si="10369">+AI626/1000</f>
        <v>3.1</v>
      </c>
      <c r="BD626" s="53">
        <f t="shared" ref="BD626" si="10370">+AS626/1000</f>
        <v>737.09799999999996</v>
      </c>
      <c r="BE626" s="64">
        <f t="shared" ref="BE626" si="10371">BE625+AZ626</f>
        <v>17891.505000000005</v>
      </c>
      <c r="BF626" s="64">
        <f t="shared" ref="BF626" si="10372">BF625+BA626</f>
        <v>2092.4099999999994</v>
      </c>
      <c r="BG626" s="64">
        <f t="shared" ref="BG626" si="10373">BG625+BB626</f>
        <v>6695.9780000000037</v>
      </c>
      <c r="BH626" s="64">
        <f t="shared" ref="BH626" si="10374">BH625+BC626</f>
        <v>197.69999999999996</v>
      </c>
      <c r="BI626" s="64">
        <f t="shared" ref="BI626" si="10375">BI625+BD626</f>
        <v>26877.593000000001</v>
      </c>
      <c r="BJ626" s="64">
        <f t="shared" si="10189"/>
        <v>43</v>
      </c>
    </row>
    <row r="627" spans="1:62" x14ac:dyDescent="0.25">
      <c r="A627" s="48"/>
      <c r="B627" s="64"/>
      <c r="C627" s="64"/>
      <c r="D627" s="53"/>
      <c r="E627" s="64"/>
      <c r="F627" s="64"/>
      <c r="G627" s="71"/>
      <c r="H627" s="64"/>
      <c r="I627" s="64"/>
      <c r="J627" s="64"/>
      <c r="L627" s="53"/>
      <c r="M627" s="53"/>
      <c r="N627" s="53"/>
      <c r="O627" s="53"/>
      <c r="P627" s="71"/>
      <c r="Q627" s="71"/>
      <c r="R627" s="64"/>
      <c r="S627" s="73"/>
      <c r="T627" s="64"/>
      <c r="V627" s="64"/>
      <c r="W627" s="53"/>
      <c r="X627" s="53"/>
      <c r="Y627" s="64"/>
      <c r="Z627" s="71"/>
      <c r="AA627" s="71"/>
      <c r="AB627" s="64"/>
      <c r="AC627" s="64"/>
      <c r="AD627" s="64"/>
      <c r="AF627" s="53"/>
      <c r="AG627" s="53"/>
      <c r="AH627" s="53"/>
      <c r="AI627" s="53"/>
      <c r="AJ627" s="71"/>
      <c r="AK627" s="71"/>
      <c r="AL627" s="64"/>
      <c r="AM627" s="64"/>
      <c r="AN627" s="64"/>
      <c r="AP627" s="60"/>
      <c r="AQ627" s="60"/>
      <c r="AR627" s="60"/>
      <c r="AS627" s="60"/>
      <c r="AT627" s="64"/>
      <c r="AU627" s="71"/>
      <c r="AV627" s="64"/>
      <c r="AW627" s="64"/>
      <c r="AX627" s="64"/>
      <c r="AZ627" s="71"/>
      <c r="BA627" s="53"/>
      <c r="BB627" s="53"/>
      <c r="BC627" s="53"/>
      <c r="BD627" s="53"/>
      <c r="BE627" s="64"/>
      <c r="BF627" s="64"/>
      <c r="BG627" s="64"/>
      <c r="BH627" s="64"/>
      <c r="BI627" s="64"/>
      <c r="BJ627" s="64"/>
    </row>
    <row r="628" spans="1:62" x14ac:dyDescent="0.25">
      <c r="A628" s="48"/>
      <c r="B628" s="64"/>
      <c r="C628" s="64"/>
      <c r="D628" s="53"/>
      <c r="E628" s="64"/>
      <c r="F628" s="64"/>
      <c r="G628" s="71"/>
      <c r="H628" s="64"/>
      <c r="I628" s="64"/>
      <c r="J628" s="64"/>
      <c r="L628" s="53"/>
      <c r="M628" s="53"/>
      <c r="N628" s="53"/>
      <c r="O628" s="53"/>
      <c r="P628" s="71"/>
      <c r="Q628" s="71"/>
      <c r="R628" s="64"/>
      <c r="S628" s="73"/>
      <c r="T628" s="64"/>
      <c r="V628" s="64"/>
      <c r="W628" s="53"/>
      <c r="X628" s="53"/>
      <c r="Y628" s="64"/>
      <c r="Z628" s="71"/>
      <c r="AA628" s="71"/>
      <c r="AB628" s="64"/>
      <c r="AC628" s="64"/>
      <c r="AD628" s="64"/>
      <c r="AF628" s="53"/>
      <c r="AG628" s="53"/>
      <c r="AH628" s="53"/>
      <c r="AI628" s="53"/>
      <c r="AJ628" s="71"/>
      <c r="AK628" s="71"/>
      <c r="AL628" s="64"/>
      <c r="AM628" s="64"/>
      <c r="AN628" s="64"/>
      <c r="AP628" s="60"/>
      <c r="AQ628" s="60"/>
      <c r="AR628" s="60"/>
      <c r="AS628" s="60"/>
      <c r="AT628" s="64"/>
      <c r="AU628" s="71"/>
      <c r="AV628" s="64"/>
      <c r="AW628" s="64"/>
      <c r="AX628" s="64"/>
      <c r="AZ628" s="71"/>
      <c r="BA628" s="53"/>
      <c r="BB628" s="53"/>
      <c r="BC628" s="53"/>
      <c r="BD628" s="53"/>
      <c r="BE628" s="64"/>
      <c r="BF628" s="64"/>
      <c r="BG628" s="64"/>
      <c r="BH628" s="64"/>
      <c r="BI628" s="64"/>
      <c r="BJ628" s="64"/>
    </row>
    <row r="629" spans="1:62" x14ac:dyDescent="0.25">
      <c r="A629" s="48"/>
      <c r="B629" s="64"/>
      <c r="C629" s="64"/>
      <c r="D629" s="53"/>
      <c r="E629" s="64"/>
      <c r="F629" s="64"/>
      <c r="G629" s="71"/>
      <c r="H629" s="64"/>
      <c r="I629" s="64"/>
      <c r="J629" s="64"/>
      <c r="L629" s="53"/>
      <c r="M629" s="53"/>
      <c r="N629" s="53"/>
      <c r="O629" s="53"/>
      <c r="P629" s="71"/>
      <c r="Q629" s="71"/>
      <c r="R629" s="64"/>
      <c r="S629" s="73"/>
      <c r="T629" s="64"/>
      <c r="V629" s="64"/>
      <c r="W629" s="64"/>
      <c r="X629" s="53"/>
      <c r="Y629" s="64"/>
      <c r="Z629" s="71"/>
      <c r="AA629" s="71"/>
      <c r="AB629" s="64"/>
      <c r="AC629" s="64"/>
      <c r="AD629" s="64"/>
      <c r="AF629" s="53"/>
      <c r="AG629" s="53"/>
      <c r="AH629" s="53"/>
      <c r="AI629" s="53"/>
      <c r="AJ629" s="71"/>
      <c r="AK629" s="71"/>
      <c r="AL629" s="64"/>
      <c r="AM629" s="64"/>
      <c r="AN629" s="64"/>
      <c r="AP629" s="60"/>
      <c r="AQ629" s="60"/>
      <c r="AR629" s="60"/>
      <c r="AS629" s="60"/>
      <c r="AT629" s="64"/>
      <c r="AU629" s="71"/>
      <c r="AV629" s="64"/>
      <c r="AW629" s="64"/>
      <c r="AX629" s="64"/>
      <c r="AZ629" s="71"/>
      <c r="BA629" s="53"/>
      <c r="BB629" s="53"/>
      <c r="BC629" s="53"/>
      <c r="BD629" s="53"/>
      <c r="BE629" s="64"/>
      <c r="BF629" s="64"/>
      <c r="BG629" s="64"/>
      <c r="BH629" s="64"/>
      <c r="BI629" s="64"/>
      <c r="BJ629" s="64"/>
    </row>
    <row r="630" spans="1:62" x14ac:dyDescent="0.25">
      <c r="A630" s="51" t="s">
        <v>46</v>
      </c>
      <c r="B630" s="64"/>
      <c r="C630" s="64"/>
      <c r="D630" s="53"/>
      <c r="E630" s="64"/>
      <c r="L630" s="53"/>
      <c r="M630" s="53"/>
      <c r="N630" s="53"/>
      <c r="O630" s="71"/>
      <c r="V630" s="64"/>
      <c r="W630" s="64"/>
      <c r="X630" s="53"/>
      <c r="Y630" s="64"/>
      <c r="AS630" s="60"/>
    </row>
    <row r="631" spans="1:62" ht="13.2" customHeight="1" x14ac:dyDescent="0.25">
      <c r="A631" s="77" t="s">
        <v>47</v>
      </c>
      <c r="B631" s="64"/>
      <c r="C631" s="64"/>
      <c r="D631" s="53"/>
      <c r="E631" s="64"/>
      <c r="L631" s="53"/>
      <c r="M631" s="53"/>
      <c r="N631" s="53"/>
      <c r="O631" s="71"/>
      <c r="V631" s="64"/>
      <c r="W631" s="64"/>
      <c r="X631" s="53"/>
      <c r="Y631" s="64"/>
      <c r="AS631" s="60"/>
    </row>
    <row r="632" spans="1:62" x14ac:dyDescent="0.25">
      <c r="A632" s="77"/>
      <c r="B632" s="64"/>
      <c r="C632" s="64"/>
      <c r="D632" s="53"/>
      <c r="E632" s="64"/>
      <c r="F632"/>
      <c r="G632"/>
      <c r="L632" s="53"/>
      <c r="M632" s="53"/>
      <c r="N632" s="53"/>
      <c r="O632" s="71"/>
      <c r="V632" s="64"/>
      <c r="W632" s="64"/>
      <c r="X632" s="64"/>
      <c r="AS632" s="60"/>
    </row>
    <row r="633" spans="1:62" x14ac:dyDescent="0.25">
      <c r="A633" s="77" t="s">
        <v>48</v>
      </c>
      <c r="B633" s="64"/>
      <c r="C633" s="64"/>
      <c r="D633" s="53"/>
      <c r="E633" s="64"/>
      <c r="F633"/>
      <c r="G633"/>
      <c r="L633" s="53"/>
      <c r="M633" s="53"/>
      <c r="N633" s="53"/>
      <c r="O633" s="71"/>
      <c r="V633" s="64"/>
      <c r="W633" s="64"/>
      <c r="X633" s="64"/>
      <c r="AS633" s="60"/>
    </row>
    <row r="634" spans="1:62" x14ac:dyDescent="0.25">
      <c r="A634" s="77"/>
      <c r="B634" s="64"/>
      <c r="C634" s="64"/>
      <c r="D634" s="53"/>
      <c r="E634" s="64"/>
      <c r="F634"/>
      <c r="G634" s="70"/>
      <c r="L634" s="53"/>
      <c r="M634" s="53"/>
      <c r="N634" s="53"/>
      <c r="V634" s="64"/>
      <c r="W634" s="64"/>
      <c r="X634" s="64"/>
      <c r="AS634" s="60"/>
    </row>
    <row r="635" spans="1:62" x14ac:dyDescent="0.25">
      <c r="B635" s="64"/>
      <c r="C635" s="64"/>
      <c r="D635" s="53"/>
      <c r="E635" s="64"/>
      <c r="F635" s="69"/>
      <c r="G635" s="70"/>
      <c r="L635" s="53"/>
      <c r="M635" s="53"/>
      <c r="N635" s="53"/>
      <c r="V635" s="64"/>
      <c r="W635" s="64"/>
      <c r="X635" s="64"/>
      <c r="AS635" s="60"/>
    </row>
    <row r="636" spans="1:62" x14ac:dyDescent="0.25">
      <c r="A636" s="68" t="s">
        <v>52</v>
      </c>
      <c r="B636" s="64"/>
      <c r="C636" s="64"/>
      <c r="D636" s="53"/>
      <c r="E636" s="64"/>
      <c r="F636"/>
      <c r="G636" s="70"/>
      <c r="L636" s="53"/>
      <c r="M636" s="53"/>
      <c r="N636" s="53"/>
      <c r="V636" s="64"/>
      <c r="W636" s="64"/>
      <c r="X636" s="64"/>
      <c r="AS636" s="60"/>
    </row>
    <row r="637" spans="1:62" x14ac:dyDescent="0.25">
      <c r="B637" s="64"/>
      <c r="C637" s="64"/>
      <c r="D637" s="53"/>
      <c r="E637" s="64"/>
      <c r="F637"/>
      <c r="G637" s="70"/>
      <c r="L637" s="53"/>
      <c r="M637" s="53"/>
      <c r="N637" s="53"/>
      <c r="V637" s="64"/>
      <c r="W637" s="64"/>
      <c r="X637" s="64"/>
      <c r="AS637" s="60"/>
    </row>
    <row r="638" spans="1:62" x14ac:dyDescent="0.25">
      <c r="B638" s="64"/>
      <c r="C638" s="64"/>
      <c r="D638" s="53"/>
      <c r="E638" s="69"/>
      <c r="F638"/>
      <c r="G638" s="70"/>
      <c r="L638" s="53"/>
      <c r="M638" s="53"/>
      <c r="N638" s="53"/>
      <c r="V638" s="64"/>
      <c r="W638" s="64"/>
      <c r="X638" s="64"/>
      <c r="AS638" s="60"/>
    </row>
    <row r="639" spans="1:62" x14ac:dyDescent="0.25">
      <c r="B639" s="76"/>
      <c r="C639" s="69"/>
      <c r="D639" s="53"/>
      <c r="E639" s="69"/>
      <c r="F639"/>
      <c r="G639" s="70"/>
      <c r="L639" s="53"/>
      <c r="M639" s="53"/>
      <c r="N639" s="53"/>
      <c r="V639" s="64"/>
      <c r="W639" s="64"/>
      <c r="X639" s="64"/>
    </row>
    <row r="640" spans="1:62" x14ac:dyDescent="0.25">
      <c r="B640" s="76"/>
      <c r="C640" s="69"/>
      <c r="D640" s="53"/>
      <c r="E640" s="69"/>
      <c r="F640"/>
      <c r="L640" s="53"/>
      <c r="M640" s="53"/>
      <c r="N640" s="53"/>
    </row>
    <row r="641" spans="2:6" x14ac:dyDescent="0.25">
      <c r="B641" s="76"/>
      <c r="C641" s="69"/>
      <c r="D641" s="69"/>
      <c r="E641" s="69"/>
      <c r="F641"/>
    </row>
    <row r="642" spans="2:6" x14ac:dyDescent="0.25">
      <c r="B642" s="76"/>
      <c r="C642" s="69"/>
      <c r="D642" s="69"/>
      <c r="E642" s="69"/>
      <c r="F642" s="69"/>
    </row>
  </sheetData>
  <mergeCells count="7">
    <mergeCell ref="A633:A634"/>
    <mergeCell ref="A631:A632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5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25">
      <c r="A5" s="8" t="s">
        <v>1</v>
      </c>
      <c r="B5" s="45">
        <f>21300/1000</f>
        <v>21.3</v>
      </c>
      <c r="C5" s="45">
        <v>0</v>
      </c>
      <c r="D5" s="45">
        <f>154300/1000</f>
        <v>154.30000000000001</v>
      </c>
      <c r="E5" s="45">
        <v>0</v>
      </c>
      <c r="F5" s="45">
        <f>SUM(B5:E5)</f>
        <v>175.60000000000002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25">
      <c r="A6" s="8" t="s">
        <v>2</v>
      </c>
      <c r="B6" s="72">
        <f>66900/1000</f>
        <v>66.900000000000006</v>
      </c>
      <c r="C6" s="72">
        <f>1600/1000</f>
        <v>1.6</v>
      </c>
      <c r="D6" s="72">
        <f>328500/1000</f>
        <v>328.5</v>
      </c>
      <c r="E6" s="72">
        <f>1600/1000</f>
        <v>1.6</v>
      </c>
      <c r="F6" s="45">
        <f t="shared" ref="F6:F11" si="0">SUM(B6:E6)</f>
        <v>398.6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25">
      <c r="A7" s="8" t="s">
        <v>3</v>
      </c>
      <c r="B7" s="45">
        <f>94648/1000</f>
        <v>94.647999999999996</v>
      </c>
      <c r="C7" s="45">
        <f>3200/1000</f>
        <v>3.2</v>
      </c>
      <c r="D7" s="45">
        <f>410400/1000</f>
        <v>410.4</v>
      </c>
      <c r="E7" s="45">
        <f>3100/1000</f>
        <v>3.1</v>
      </c>
      <c r="F7" s="45">
        <f t="shared" si="0"/>
        <v>511.34800000000001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25">
      <c r="A8" s="8" t="s">
        <v>4</v>
      </c>
      <c r="B8" s="45">
        <f>Data!B626/1000</f>
        <v>113.048</v>
      </c>
      <c r="C8" s="45">
        <f>Data!L626/1000</f>
        <v>3.2</v>
      </c>
      <c r="D8" s="45">
        <f>Data!V626/1000</f>
        <v>426.2</v>
      </c>
      <c r="E8" s="45">
        <f>Data!AF626/1000</f>
        <v>3.1</v>
      </c>
      <c r="F8" s="45">
        <f t="shared" si="0"/>
        <v>545.548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25">
      <c r="A9" s="4" t="s">
        <v>5</v>
      </c>
      <c r="B9" s="45">
        <f>26100/1000</f>
        <v>26.1</v>
      </c>
      <c r="C9" s="45">
        <f>1600/1000</f>
        <v>1.6</v>
      </c>
      <c r="D9" s="45">
        <f>72400/1000</f>
        <v>72.400000000000006</v>
      </c>
      <c r="E9" s="45">
        <f>1500/1000</f>
        <v>1.5</v>
      </c>
      <c r="F9" s="45">
        <f t="shared" si="0"/>
        <v>101.60000000000001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25">
      <c r="A10" s="4" t="s">
        <v>6</v>
      </c>
      <c r="B10" s="45">
        <f>Data!C626/1000</f>
        <v>78.5</v>
      </c>
      <c r="C10" s="45">
        <f>Data!M626/1000</f>
        <v>0</v>
      </c>
      <c r="D10" s="45">
        <f>Data!W626/1000</f>
        <v>66.05</v>
      </c>
      <c r="E10" s="45">
        <f>Data!AG626/1000</f>
        <v>0</v>
      </c>
      <c r="F10" s="45">
        <f t="shared" si="0"/>
        <v>144.55000000000001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25">
      <c r="A11" s="4" t="s">
        <v>7</v>
      </c>
      <c r="B11" s="45">
        <f>Data!D626/1000</f>
        <v>0</v>
      </c>
      <c r="C11" s="45">
        <f>Data!N626/1000</f>
        <v>3</v>
      </c>
      <c r="D11" s="45">
        <f>Data!X626/1000</f>
        <v>44</v>
      </c>
      <c r="E11" s="45">
        <f>Data!AH626/1000</f>
        <v>0</v>
      </c>
      <c r="F11" s="45">
        <f t="shared" si="0"/>
        <v>47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25">
      <c r="A13" s="5" t="s">
        <v>62</v>
      </c>
      <c r="B13" s="45">
        <f>Data!AZ626</f>
        <v>191.548</v>
      </c>
      <c r="C13" s="45">
        <f>+Data!BA626</f>
        <v>6.2</v>
      </c>
      <c r="D13" s="45">
        <f>+Data!BB626</f>
        <v>536.25</v>
      </c>
      <c r="E13" s="45">
        <f>+Data!BC626</f>
        <v>3.1</v>
      </c>
      <c r="F13" s="45">
        <f>SUM(B13:E13)</f>
        <v>737.09800000000007</v>
      </c>
      <c r="G13" s="14"/>
      <c r="H13" s="40"/>
      <c r="I13" s="13"/>
      <c r="J13" s="2">
        <f>(+F13-F14)/F14</f>
        <v>-0.12717614488133774</v>
      </c>
    </row>
    <row r="14" spans="1:15" s="2" customFormat="1" ht="12.75" customHeight="1" x14ac:dyDescent="0.25">
      <c r="A14" s="5" t="s">
        <v>54</v>
      </c>
      <c r="B14" s="45">
        <f>Data!AZ574</f>
        <v>248.57499999999999</v>
      </c>
      <c r="C14" s="45">
        <f>Data!BA574</f>
        <v>15.05</v>
      </c>
      <c r="D14" s="45">
        <f>Data!BB574</f>
        <v>575.07299999999998</v>
      </c>
      <c r="E14" s="45">
        <f>Data!BC574</f>
        <v>5.8</v>
      </c>
      <c r="F14" s="45">
        <f>Data!BD574</f>
        <v>844.49800000000005</v>
      </c>
      <c r="G14" s="14"/>
      <c r="H14" s="43"/>
      <c r="I14" s="13"/>
    </row>
    <row r="15" spans="1:15" s="2" customFormat="1" ht="12.75" customHeight="1" x14ac:dyDescent="0.25">
      <c r="A15" s="5" t="s">
        <v>59</v>
      </c>
      <c r="B15" s="46">
        <f>Data!BE626</f>
        <v>17891.505000000005</v>
      </c>
      <c r="C15" s="46">
        <f>Data!BF626</f>
        <v>2092.4099999999994</v>
      </c>
      <c r="D15" s="46">
        <f>Data!BG626</f>
        <v>6695.9780000000037</v>
      </c>
      <c r="E15" s="46">
        <f>Data!BH626</f>
        <v>197.69999999999996</v>
      </c>
      <c r="F15" s="46">
        <f>Data!BI626</f>
        <v>26877.593000000001</v>
      </c>
      <c r="G15" s="14"/>
      <c r="H15" s="40"/>
      <c r="I15" s="13"/>
    </row>
    <row r="16" spans="1:15" s="2" customFormat="1" ht="12.75" customHeight="1" x14ac:dyDescent="0.25">
      <c r="A16" s="5" t="s">
        <v>60</v>
      </c>
      <c r="B16" s="45">
        <f>Data!BE574</f>
        <v>6724.7439999999988</v>
      </c>
      <c r="C16" s="45">
        <f>Data!BF574</f>
        <v>3925.0420000000004</v>
      </c>
      <c r="D16" s="45">
        <f>Data!BG574</f>
        <v>5938.8419999999987</v>
      </c>
      <c r="E16" s="45">
        <f>Data!BH574</f>
        <v>182.77799999999999</v>
      </c>
      <c r="F16" s="45">
        <f>Data!BI574</f>
        <v>16771.405999999995</v>
      </c>
      <c r="G16" s="14"/>
      <c r="H16" s="14"/>
      <c r="I16" s="13"/>
    </row>
    <row r="17" spans="1:17" s="2" customFormat="1" ht="12.75" customHeight="1" x14ac:dyDescent="0.25">
      <c r="A17" s="5" t="s">
        <v>61</v>
      </c>
      <c r="B17" s="45">
        <f>(B15/B16)*100</f>
        <v>266.05481190064648</v>
      </c>
      <c r="C17" s="45">
        <f>(C15/C16)*100</f>
        <v>53.309238474390831</v>
      </c>
      <c r="D17" s="45">
        <f>(D15/D16)*100</f>
        <v>112.74888269463987</v>
      </c>
      <c r="E17" s="45">
        <f>(E15/E16)*100</f>
        <v>108.16400223221612</v>
      </c>
      <c r="F17" s="45">
        <f>(F15/F16)*100</f>
        <v>160.25843629329592</v>
      </c>
      <c r="G17" s="14"/>
      <c r="H17" s="14"/>
      <c r="I17" s="13"/>
    </row>
    <row r="18" spans="1:17" s="2" customFormat="1" ht="12.75" customHeight="1" x14ac:dyDescent="0.25">
      <c r="A18" s="5" t="s">
        <v>57</v>
      </c>
      <c r="B18" s="45">
        <f>+Data!I626+100</f>
        <v>107.40191909865003</v>
      </c>
      <c r="C18" s="45">
        <f>+Data!S626+100</f>
        <v>48.857536132140403</v>
      </c>
      <c r="D18" s="45">
        <f>+Data!AC626+100</f>
        <v>107.00199917639286</v>
      </c>
      <c r="E18" s="45">
        <f>+Data!AM626+100</f>
        <v>57.80346820809249</v>
      </c>
      <c r="F18" s="45">
        <f>+Data!AW626+100</f>
        <v>102.89545581859309</v>
      </c>
      <c r="G18" s="14"/>
      <c r="H18" s="14"/>
      <c r="I18" s="13"/>
    </row>
    <row r="19" spans="1:17" s="2" customFormat="1" ht="12.75" customHeight="1" x14ac:dyDescent="0.25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79" t="s">
        <v>10</v>
      </c>
      <c r="B22" s="80"/>
      <c r="C22" s="80"/>
      <c r="D22" s="80"/>
      <c r="E22" s="80"/>
      <c r="F22" s="80"/>
      <c r="G22" s="12"/>
      <c r="H22" s="12"/>
      <c r="I22" s="13"/>
    </row>
    <row r="23" spans="1:17" s="9" customFormat="1" ht="9.75" customHeight="1" x14ac:dyDescent="0.25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D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2014-10-28T14:03:45Z</dcterms:modified>
</cp:coreProperties>
</file>