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autoCompressPictures="0" defaultThemeVersion="124226"/>
  <bookViews>
    <workbookView xWindow="2475" yWindow="180" windowWidth="23250" windowHeight="12510"/>
  </bookViews>
  <sheets>
    <sheet name="Progress Invoice Request" sheetId="1" r:id="rId1"/>
    <sheet name="Progress Invoice Estimate" sheetId="3" r:id="rId2"/>
    <sheet name="Schedule Of Values" sheetId="2" r:id="rId3"/>
    <sheet name="CFP Log" sheetId="5" r:id="rId4"/>
  </sheets>
  <definedNames>
    <definedName name="Fridays">'CFP Log'!$W$11:$W$62</definedName>
    <definedName name="_xlnm.Print_Titles" localSheetId="3">'CFP Log'!$1:$9</definedName>
    <definedName name="_xlnm.Print_Titles" localSheetId="1">'Progress Invoice Estimate'!$1:$11</definedName>
    <definedName name="_xlnm.Print_Titles" localSheetId="2">'Schedule Of Values'!$1:$9</definedName>
  </definedNames>
  <calcPr calcId="125725"/>
  <extLst>
    <ext xmlns:mx="http://schemas.microsoft.com/office/mac/excel/2008/main" uri="http://schemas.microsoft.com/office/mac/excel/2008/main">
      <mx:ArchID Flags="2"/>
    </ext>
  </extLst>
</workbook>
</file>

<file path=xl/calcChain.xml><?xml version="1.0" encoding="utf-8"?>
<calcChain xmlns="http://schemas.openxmlformats.org/spreadsheetml/2006/main">
  <c r="K30" i="3"/>
  <c r="K31"/>
  <c r="K32"/>
  <c r="K33"/>
  <c r="K34"/>
  <c r="K35"/>
  <c r="K36"/>
  <c r="K14"/>
  <c r="K15"/>
  <c r="K16"/>
  <c r="K17"/>
  <c r="K18"/>
  <c r="K19"/>
  <c r="K20"/>
  <c r="K21"/>
  <c r="K22"/>
  <c r="K23"/>
  <c r="K24"/>
  <c r="K25"/>
  <c r="K26"/>
  <c r="K27"/>
  <c r="K28"/>
  <c r="K29"/>
  <c r="K13"/>
  <c r="R19" i="1"/>
  <c r="G31" i="2"/>
  <c r="K3" i="3"/>
  <c r="K2"/>
  <c r="H5"/>
  <c r="H6"/>
  <c r="C13"/>
  <c r="C29"/>
  <c r="C28"/>
  <c r="C27"/>
  <c r="C26"/>
  <c r="C25"/>
  <c r="C24"/>
  <c r="C23"/>
  <c r="C22"/>
  <c r="C21"/>
  <c r="C20"/>
  <c r="C19"/>
  <c r="C18"/>
  <c r="C17"/>
  <c r="C16"/>
  <c r="C15"/>
  <c r="C14"/>
  <c r="L43" i="5" l="1"/>
  <c r="J43"/>
  <c r="I43"/>
  <c r="H6"/>
  <c r="I19" i="2" l="1"/>
  <c r="H19"/>
  <c r="G19"/>
  <c r="F19"/>
  <c r="E19"/>
  <c r="J12" i="5"/>
  <c r="H5"/>
  <c r="K6" i="3"/>
  <c r="N5" i="1"/>
  <c r="K23" i="2"/>
  <c r="K24"/>
  <c r="K15"/>
  <c r="K14"/>
  <c r="K25"/>
  <c r="K22"/>
  <c r="K21"/>
  <c r="K20"/>
  <c r="K17"/>
  <c r="K16"/>
  <c r="K13"/>
  <c r="K12"/>
  <c r="L39" i="5"/>
  <c r="J39"/>
  <c r="I39"/>
  <c r="L40"/>
  <c r="J40"/>
  <c r="I40"/>
  <c r="L38"/>
  <c r="J38"/>
  <c r="I38"/>
  <c r="L37"/>
  <c r="J37"/>
  <c r="I37"/>
  <c r="I11" l="1"/>
  <c r="J11" s="1"/>
  <c r="I12"/>
  <c r="I13"/>
  <c r="J13"/>
  <c r="I14"/>
  <c r="J14"/>
  <c r="I15"/>
  <c r="J15"/>
  <c r="I16"/>
  <c r="J16"/>
  <c r="I17"/>
  <c r="J17"/>
  <c r="I18"/>
  <c r="J18"/>
  <c r="I19"/>
  <c r="J19"/>
  <c r="I20"/>
  <c r="J20"/>
  <c r="I21"/>
  <c r="J21"/>
  <c r="I22"/>
  <c r="J22"/>
  <c r="I23"/>
  <c r="J23"/>
  <c r="I24"/>
  <c r="J24"/>
  <c r="I25"/>
  <c r="J25"/>
  <c r="I26"/>
  <c r="J26"/>
  <c r="I27"/>
  <c r="J27"/>
  <c r="I28"/>
  <c r="J28"/>
  <c r="I29"/>
  <c r="J29"/>
  <c r="I30"/>
  <c r="J30"/>
  <c r="I31"/>
  <c r="J31"/>
  <c r="I32"/>
  <c r="J32"/>
  <c r="I33"/>
  <c r="J33"/>
  <c r="I34"/>
  <c r="J34"/>
  <c r="I35"/>
  <c r="J35"/>
  <c r="I36"/>
  <c r="J36"/>
  <c r="I41"/>
  <c r="J41"/>
  <c r="I42"/>
  <c r="J42"/>
  <c r="L13"/>
  <c r="L14"/>
  <c r="L15"/>
  <c r="L16"/>
  <c r="L17"/>
  <c r="L18"/>
  <c r="L19"/>
  <c r="L20"/>
  <c r="L21"/>
  <c r="L22"/>
  <c r="L23"/>
  <c r="L24"/>
  <c r="L25"/>
  <c r="L26"/>
  <c r="L27"/>
  <c r="L28"/>
  <c r="L29"/>
  <c r="L30"/>
  <c r="L31"/>
  <c r="L32"/>
  <c r="L33"/>
  <c r="L34"/>
  <c r="L35"/>
  <c r="L36"/>
  <c r="L41"/>
  <c r="L42"/>
  <c r="K45"/>
  <c r="M45"/>
  <c r="O5"/>
  <c r="E6"/>
  <c r="E5"/>
  <c r="F4"/>
  <c r="P45"/>
  <c r="O6" s="1"/>
  <c r="G45"/>
  <c r="H45"/>
  <c r="I11" i="1" s="1"/>
  <c r="B29" i="3"/>
  <c r="B28"/>
  <c r="B27"/>
  <c r="B26"/>
  <c r="B25"/>
  <c r="B24"/>
  <c r="B23"/>
  <c r="B22"/>
  <c r="B21"/>
  <c r="B20"/>
  <c r="B19"/>
  <c r="B18"/>
  <c r="B17"/>
  <c r="B16"/>
  <c r="B15"/>
  <c r="B14"/>
  <c r="B13"/>
  <c r="K4"/>
  <c r="K5"/>
  <c r="H14"/>
  <c r="H15"/>
  <c r="I15" s="1"/>
  <c r="H17"/>
  <c r="I17" s="1"/>
  <c r="H18"/>
  <c r="I18" s="1"/>
  <c r="H19"/>
  <c r="I19" s="1"/>
  <c r="H20"/>
  <c r="I20" s="1"/>
  <c r="H22"/>
  <c r="I22" s="1"/>
  <c r="H23"/>
  <c r="I23" s="1"/>
  <c r="H24"/>
  <c r="I24" s="1"/>
  <c r="H26"/>
  <c r="I26" s="1"/>
  <c r="H27"/>
  <c r="I27" s="1"/>
  <c r="H28"/>
  <c r="I28" s="1"/>
  <c r="H31"/>
  <c r="I31" s="1"/>
  <c r="H32"/>
  <c r="J32" s="1"/>
  <c r="H33"/>
  <c r="I33" s="1"/>
  <c r="H34"/>
  <c r="J34" s="1"/>
  <c r="H35"/>
  <c r="I35" s="1"/>
  <c r="H36"/>
  <c r="I36" s="1"/>
  <c r="H25"/>
  <c r="I25" s="1"/>
  <c r="H29"/>
  <c r="I29" s="1"/>
  <c r="H30"/>
  <c r="I30" s="1"/>
  <c r="K37"/>
  <c r="I19" i="1" s="1"/>
  <c r="P44" s="1"/>
  <c r="S44" s="1"/>
  <c r="H16" i="3"/>
  <c r="I16" s="1"/>
  <c r="H21"/>
  <c r="I21" s="1"/>
  <c r="E37"/>
  <c r="G37"/>
  <c r="F37"/>
  <c r="G24" i="1" s="1"/>
  <c r="H13" i="3"/>
  <c r="T6" i="1"/>
  <c r="N6"/>
  <c r="T4"/>
  <c r="T5"/>
  <c r="I10" s="1"/>
  <c r="D6"/>
  <c r="G4"/>
  <c r="C6" i="3" s="1"/>
  <c r="D5" i="1"/>
  <c r="C5" i="3" s="1"/>
  <c r="E83" i="2"/>
  <c r="F83"/>
  <c r="G83"/>
  <c r="H83"/>
  <c r="I83"/>
  <c r="K84"/>
  <c r="K85"/>
  <c r="E10"/>
  <c r="H10"/>
  <c r="E27"/>
  <c r="I10"/>
  <c r="G10"/>
  <c r="F10"/>
  <c r="K41"/>
  <c r="K45"/>
  <c r="K53"/>
  <c r="K73"/>
  <c r="K11"/>
  <c r="G71"/>
  <c r="E79"/>
  <c r="K81"/>
  <c r="K80"/>
  <c r="I79"/>
  <c r="H79"/>
  <c r="G79"/>
  <c r="F79"/>
  <c r="I75"/>
  <c r="H75"/>
  <c r="G75"/>
  <c r="F75"/>
  <c r="E75"/>
  <c r="I71"/>
  <c r="H71"/>
  <c r="F71"/>
  <c r="E71"/>
  <c r="I67"/>
  <c r="H67"/>
  <c r="G67"/>
  <c r="F67"/>
  <c r="E67"/>
  <c r="E63"/>
  <c r="K76"/>
  <c r="K72"/>
  <c r="K77"/>
  <c r="F51"/>
  <c r="G51"/>
  <c r="H51"/>
  <c r="I51"/>
  <c r="E51"/>
  <c r="F63"/>
  <c r="G63"/>
  <c r="H63"/>
  <c r="I63"/>
  <c r="F59"/>
  <c r="G59"/>
  <c r="H59"/>
  <c r="I59"/>
  <c r="E59"/>
  <c r="F55"/>
  <c r="G55"/>
  <c r="H55"/>
  <c r="I55"/>
  <c r="E55"/>
  <c r="F47"/>
  <c r="G47"/>
  <c r="H47"/>
  <c r="I47"/>
  <c r="E47"/>
  <c r="F43"/>
  <c r="G43"/>
  <c r="H43"/>
  <c r="I43"/>
  <c r="E43"/>
  <c r="F39"/>
  <c r="G39"/>
  <c r="H39"/>
  <c r="I39"/>
  <c r="E39"/>
  <c r="F35"/>
  <c r="G35"/>
  <c r="H35"/>
  <c r="I35"/>
  <c r="E35"/>
  <c r="F31"/>
  <c r="H31"/>
  <c r="I31"/>
  <c r="E31"/>
  <c r="F27"/>
  <c r="G27"/>
  <c r="H27"/>
  <c r="I27"/>
  <c r="K44"/>
  <c r="K48"/>
  <c r="K49"/>
  <c r="K52"/>
  <c r="K56"/>
  <c r="K57"/>
  <c r="K60"/>
  <c r="K61"/>
  <c r="K64"/>
  <c r="K65"/>
  <c r="K29"/>
  <c r="K32"/>
  <c r="K33"/>
  <c r="K36"/>
  <c r="K37"/>
  <c r="K40"/>
  <c r="K28"/>
  <c r="K69"/>
  <c r="K68"/>
  <c r="J30" i="3" l="1"/>
  <c r="M44" i="1"/>
  <c r="J33" i="3"/>
  <c r="G22" i="1"/>
  <c r="H17"/>
  <c r="J35" i="3"/>
  <c r="R17" i="1"/>
  <c r="H15"/>
  <c r="H37" i="3"/>
  <c r="I13" i="1" s="1"/>
  <c r="L45" i="5"/>
  <c r="J45"/>
  <c r="K35" i="2"/>
  <c r="J37" s="1"/>
  <c r="K51"/>
  <c r="K27"/>
  <c r="D15" i="3" s="1"/>
  <c r="J15" s="1"/>
  <c r="K55" i="2"/>
  <c r="K19"/>
  <c r="E87"/>
  <c r="K67"/>
  <c r="K75"/>
  <c r="J75" s="1"/>
  <c r="K47"/>
  <c r="J47" s="1"/>
  <c r="K10"/>
  <c r="J10" s="1"/>
  <c r="K39"/>
  <c r="J39" s="1"/>
  <c r="K63"/>
  <c r="K79"/>
  <c r="J79" s="1"/>
  <c r="K71"/>
  <c r="J71" s="1"/>
  <c r="I87"/>
  <c r="K31"/>
  <c r="J31" s="1"/>
  <c r="K43"/>
  <c r="J44" s="1"/>
  <c r="F87"/>
  <c r="G87"/>
  <c r="K59"/>
  <c r="K83"/>
  <c r="D29" i="3" s="1"/>
  <c r="J29" s="1"/>
  <c r="H87" i="2"/>
  <c r="D25" i="3"/>
  <c r="J25" s="1"/>
  <c r="J31"/>
  <c r="J36"/>
  <c r="I32"/>
  <c r="I34"/>
  <c r="I12" i="1" l="1"/>
  <c r="J23" i="2"/>
  <c r="J24"/>
  <c r="J14"/>
  <c r="J15"/>
  <c r="J20"/>
  <c r="J21"/>
  <c r="J22"/>
  <c r="J25"/>
  <c r="J17"/>
  <c r="J16"/>
  <c r="J12"/>
  <c r="J13"/>
  <c r="J61"/>
  <c r="J55"/>
  <c r="J35"/>
  <c r="D17" i="3"/>
  <c r="J17" s="1"/>
  <c r="J36" i="2"/>
  <c r="D20" i="3"/>
  <c r="J20" s="1"/>
  <c r="J52" i="2"/>
  <c r="J80"/>
  <c r="J85"/>
  <c r="J53"/>
  <c r="D21" i="3"/>
  <c r="J21" s="1"/>
  <c r="J51" i="2"/>
  <c r="J64"/>
  <c r="J28"/>
  <c r="D19" i="3"/>
  <c r="J19" s="1"/>
  <c r="J27" i="2"/>
  <c r="J57"/>
  <c r="J77"/>
  <c r="J49"/>
  <c r="J56"/>
  <c r="D22" i="3"/>
  <c r="J22" s="1"/>
  <c r="J29" i="2"/>
  <c r="J48"/>
  <c r="D18" i="3"/>
  <c r="J18" s="1"/>
  <c r="K87" i="2"/>
  <c r="J87" s="1"/>
  <c r="J59"/>
  <c r="J76"/>
  <c r="J67"/>
  <c r="D14" i="3"/>
  <c r="J84" i="2"/>
  <c r="J19"/>
  <c r="D27" i="3"/>
  <c r="J27" s="1"/>
  <c r="J69" i="2"/>
  <c r="J73"/>
  <c r="D28" i="3"/>
  <c r="J28" s="1"/>
  <c r="J68" i="2"/>
  <c r="J60"/>
  <c r="J81"/>
  <c r="D26" i="3"/>
  <c r="J26" s="1"/>
  <c r="J32" i="2"/>
  <c r="D13" i="3"/>
  <c r="J13" s="1"/>
  <c r="J45" i="2"/>
  <c r="J33"/>
  <c r="J41"/>
  <c r="J11"/>
  <c r="D16" i="3"/>
  <c r="J16" s="1"/>
  <c r="J65" i="2"/>
  <c r="J43"/>
  <c r="J63"/>
  <c r="D23" i="3"/>
  <c r="J23" s="1"/>
  <c r="J72" i="2"/>
  <c r="J83"/>
  <c r="D24" i="3"/>
  <c r="J24" s="1"/>
  <c r="J40" i="2"/>
  <c r="I20" i="1" l="1"/>
  <c r="I25" s="1"/>
  <c r="J14" i="3"/>
  <c r="I14"/>
  <c r="I13"/>
  <c r="D37"/>
  <c r="G17" i="1" s="1"/>
  <c r="J37" i="3" l="1"/>
  <c r="I37"/>
  <c r="G15" i="1" s="1"/>
  <c r="E44" s="1"/>
</calcChain>
</file>

<file path=xl/sharedStrings.xml><?xml version="1.0" encoding="utf-8"?>
<sst xmlns="http://schemas.openxmlformats.org/spreadsheetml/2006/main" count="233" uniqueCount="151">
  <si>
    <t>Net Approved Amendment(s)</t>
  </si>
  <si>
    <t>Total approved schedule impacts</t>
  </si>
  <si>
    <t>Accepted Total</t>
    <phoneticPr fontId="18" type="noConversion"/>
  </si>
  <si>
    <t>Accepted Cost</t>
    <phoneticPr fontId="18" type="noConversion"/>
  </si>
  <si>
    <t xml:space="preserve">WBS 10 </t>
  </si>
  <si>
    <t xml:space="preserve">WBS 11 </t>
  </si>
  <si>
    <t xml:space="preserve">WBS 12 </t>
  </si>
  <si>
    <t xml:space="preserve">WBS 13 </t>
  </si>
  <si>
    <t xml:space="preserve">WBS 14 </t>
  </si>
  <si>
    <t xml:space="preserve">WBS 15 </t>
  </si>
  <si>
    <t xml:space="preserve">WBS 16 </t>
  </si>
  <si>
    <t>Subcontractor Invoice No.:</t>
  </si>
  <si>
    <t>WBS 17</t>
  </si>
  <si>
    <r>
      <t xml:space="preserve">(if more lines are needed, </t>
    </r>
    <r>
      <rPr>
        <b/>
        <i/>
        <sz val="10"/>
        <color indexed="8"/>
        <rFont val="Times New Roman"/>
        <family val="1"/>
      </rPr>
      <t>right-click</t>
    </r>
    <r>
      <rPr>
        <i/>
        <sz val="10"/>
        <color indexed="8"/>
        <rFont val="Times New Roman"/>
        <family val="1"/>
      </rPr>
      <t xml:space="preserve"> mouse </t>
    </r>
    <r>
      <rPr>
        <b/>
        <i/>
        <sz val="10"/>
        <color indexed="8"/>
        <rFont val="Times New Roman"/>
        <family val="1"/>
      </rPr>
      <t>ON LAST CATEGORY ROW</t>
    </r>
    <r>
      <rPr>
        <i/>
        <sz val="10"/>
        <color indexed="8"/>
        <rFont val="Times New Roman"/>
        <family val="1"/>
      </rPr>
      <t>, "</t>
    </r>
    <r>
      <rPr>
        <b/>
        <i/>
        <sz val="10"/>
        <color indexed="8"/>
        <rFont val="Times New Roman"/>
        <family val="1"/>
      </rPr>
      <t>copy</t>
    </r>
    <r>
      <rPr>
        <i/>
        <sz val="10"/>
        <color indexed="8"/>
        <rFont val="Times New Roman"/>
        <family val="1"/>
      </rPr>
      <t>" and "</t>
    </r>
    <r>
      <rPr>
        <b/>
        <i/>
        <sz val="10"/>
        <color indexed="8"/>
        <rFont val="Times New Roman"/>
        <family val="1"/>
      </rPr>
      <t>insert copied cells</t>
    </r>
    <r>
      <rPr>
        <i/>
        <sz val="10"/>
        <color indexed="8"/>
        <rFont val="Times New Roman"/>
        <family val="1"/>
      </rPr>
      <t>" in same row as copied, this will update all necessary formulas)</t>
    </r>
  </si>
  <si>
    <t>CONSTRUCTION FIELD CHANGE/PROBLEM LOG</t>
  </si>
  <si>
    <t>CFP/C No.</t>
  </si>
  <si>
    <t>001</t>
  </si>
  <si>
    <t>Date Submitted</t>
  </si>
  <si>
    <t xml:space="preserve">Proposed Cost </t>
  </si>
  <si>
    <t>Negotiated Price</t>
  </si>
  <si>
    <t>Amendment No.</t>
  </si>
  <si>
    <t>Days</t>
  </si>
  <si>
    <t>Revised Completion Date:</t>
  </si>
  <si>
    <t>Subject</t>
  </si>
  <si>
    <t>Schedule Impact</t>
  </si>
  <si>
    <t>(+/-)</t>
  </si>
  <si>
    <r>
      <t xml:space="preserve">(if more lines are needed, </t>
    </r>
    <r>
      <rPr>
        <b/>
        <i/>
        <sz val="10"/>
        <color indexed="8"/>
        <rFont val="Times New Roman"/>
        <family val="1"/>
      </rPr>
      <t>right-click</t>
    </r>
    <r>
      <rPr>
        <i/>
        <sz val="10"/>
        <color indexed="8"/>
        <rFont val="Times New Roman"/>
        <family val="1"/>
      </rPr>
      <t xml:space="preserve"> mouse </t>
    </r>
    <r>
      <rPr>
        <b/>
        <i/>
        <sz val="10"/>
        <color indexed="8"/>
        <rFont val="Times New Roman"/>
        <family val="1"/>
      </rPr>
      <t>ON LAST ROW</t>
    </r>
    <r>
      <rPr>
        <i/>
        <sz val="10"/>
        <color indexed="8"/>
        <rFont val="Times New Roman"/>
        <family val="1"/>
      </rPr>
      <t>, "</t>
    </r>
    <r>
      <rPr>
        <b/>
        <i/>
        <sz val="10"/>
        <color indexed="8"/>
        <rFont val="Times New Roman"/>
        <family val="1"/>
      </rPr>
      <t>copy</t>
    </r>
    <r>
      <rPr>
        <i/>
        <sz val="10"/>
        <color indexed="8"/>
        <rFont val="Times New Roman"/>
        <family val="1"/>
      </rPr>
      <t>" and "</t>
    </r>
    <r>
      <rPr>
        <b/>
        <i/>
        <sz val="10"/>
        <color indexed="8"/>
        <rFont val="Times New Roman"/>
        <family val="1"/>
      </rPr>
      <t>insert copied cells</t>
    </r>
    <r>
      <rPr>
        <i/>
        <sz val="10"/>
        <color indexed="8"/>
        <rFont val="Times New Roman"/>
        <family val="1"/>
      </rPr>
      <t>" in same row as copied, this will update all necessary formulas)</t>
    </r>
  </si>
  <si>
    <t>CONSTRUCTION SUBCONTRACTS</t>
  </si>
  <si>
    <t>Date Approved</t>
  </si>
  <si>
    <t>PROGRESS INVOICE REQUEST</t>
  </si>
  <si>
    <t>Address:</t>
  </si>
  <si>
    <t>Subcontractor:</t>
  </si>
  <si>
    <t>Contract No.:</t>
  </si>
  <si>
    <t>Progress Invoice No.:</t>
  </si>
  <si>
    <t>Subcontract Start Date:</t>
  </si>
  <si>
    <t>Subcontract Completion Date:</t>
  </si>
  <si>
    <t>CERTIFICATE OF THE SUBCONTRACTOR</t>
  </si>
  <si>
    <t>Subcontractor Signature</t>
  </si>
  <si>
    <t>ORIGINAL CONTRACT AMOUNT</t>
  </si>
  <si>
    <t>Invoice(s) Attached:</t>
  </si>
  <si>
    <t>Project Manager Approval Signature</t>
  </si>
  <si>
    <t>Date</t>
  </si>
  <si>
    <t>Additions</t>
  </si>
  <si>
    <t>TOTALS</t>
  </si>
  <si>
    <t>Construction Field Representative Approval Signature</t>
  </si>
  <si>
    <t>FOR</t>
  </si>
  <si>
    <t>BEA Approvals</t>
  </si>
  <si>
    <t>Subcontract Administrator Approval Signature</t>
  </si>
  <si>
    <t>Authorized Amount to be Paid</t>
  </si>
  <si>
    <t>Pay Authorization No.</t>
  </si>
  <si>
    <t>1-</t>
  </si>
  <si>
    <t>2-</t>
  </si>
  <si>
    <t>3-</t>
  </si>
  <si>
    <t>4-</t>
  </si>
  <si>
    <t>5-</t>
  </si>
  <si>
    <t>6-</t>
  </si>
  <si>
    <t>7-</t>
  </si>
  <si>
    <t>Please Pay Subcontractor by</t>
  </si>
  <si>
    <t>Request for Payment</t>
  </si>
  <si>
    <t>Project Title:</t>
  </si>
  <si>
    <t>Code of Account</t>
  </si>
  <si>
    <t>Activity Description</t>
  </si>
  <si>
    <t>UOM</t>
  </si>
  <si>
    <t>Quantity</t>
  </si>
  <si>
    <t>Work Hours</t>
  </si>
  <si>
    <t>Labor Dollars</t>
  </si>
  <si>
    <t>Other Dollars</t>
  </si>
  <si>
    <t>% of Total</t>
  </si>
  <si>
    <t>Total Value</t>
  </si>
  <si>
    <t>PROGRESS INVOICE ESTIMATE</t>
  </si>
  <si>
    <t>A</t>
  </si>
  <si>
    <t>B</t>
  </si>
  <si>
    <t>C</t>
  </si>
  <si>
    <t>D</t>
  </si>
  <si>
    <t>E</t>
  </si>
  <si>
    <t>F</t>
  </si>
  <si>
    <t>G</t>
  </si>
  <si>
    <t>H</t>
  </si>
  <si>
    <t>I</t>
  </si>
  <si>
    <t>J</t>
  </si>
  <si>
    <t>Scheduled Value</t>
  </si>
  <si>
    <t>Work Completed</t>
  </si>
  <si>
    <t>Current Period</t>
  </si>
  <si>
    <t>Balance to Finish</t>
  </si>
  <si>
    <t>Retainage</t>
  </si>
  <si>
    <t>Permanent Material Dollars</t>
  </si>
  <si>
    <t>%</t>
  </si>
  <si>
    <t>Total Completed to Date</t>
  </si>
  <si>
    <t>Actual % Completed</t>
  </si>
  <si>
    <t>Vendor Data Current/Accepted</t>
  </si>
  <si>
    <t>CERTIFICATION BY CFR:</t>
  </si>
  <si>
    <t>Yes</t>
  </si>
  <si>
    <t>No</t>
  </si>
  <si>
    <t>Final Payment</t>
  </si>
  <si>
    <t>Original Contract Amount:</t>
  </si>
  <si>
    <t>Proc Form</t>
  </si>
  <si>
    <t>PROC-2123</t>
  </si>
  <si>
    <t>RELEASE OF CLAIMS</t>
  </si>
  <si>
    <t>NOTED CLAIM(S)</t>
  </si>
  <si>
    <t>PROC - 2123</t>
  </si>
  <si>
    <t>FOR CONSTRUCTION SUBCONTRACTS</t>
  </si>
  <si>
    <t>PROJECT TITLE:</t>
  </si>
  <si>
    <t xml:space="preserve">Previous Request </t>
  </si>
  <si>
    <t>(NOT IN D OR E)</t>
  </si>
  <si>
    <t>(C - G)</t>
  </si>
  <si>
    <t>(D + E)</t>
  </si>
  <si>
    <t>(D + E + F)</t>
  </si>
  <si>
    <t>(G / C)</t>
  </si>
  <si>
    <t>LESS PREVIOUS PAYMENT REQUEST(S)</t>
  </si>
  <si>
    <t xml:space="preserve">WBS 1 </t>
  </si>
  <si>
    <t xml:space="preserve">WBS 2 </t>
  </si>
  <si>
    <t xml:space="preserve">WBS 3 </t>
  </si>
  <si>
    <t xml:space="preserve">WBS 4 </t>
  </si>
  <si>
    <t xml:space="preserve">WBS 5 </t>
  </si>
  <si>
    <t>WBS 6</t>
  </si>
  <si>
    <t>WBS 7</t>
  </si>
  <si>
    <t xml:space="preserve">WBS 8 </t>
  </si>
  <si>
    <t xml:space="preserve">WBS 9 </t>
  </si>
  <si>
    <t>BEA</t>
  </si>
  <si>
    <t>SUB</t>
  </si>
  <si>
    <t>Originator</t>
  </si>
  <si>
    <t>I hereby certify that the work performed and the materials supplied to date, as shown on the above represent the actual value of accomplishment under the terms of the Contract (and all authorized changes thereto) between the undersigned and Battelle Energy Alliance, LLC (BEA), and their respective officers, agents, employees, successors relating to the above referenced contract.  I also certify that all laborers, materialmen, suppliers, contractors, and subcontractors used on or in connection with the performance of this contract have been paid in full, except as noted.  I further certify that I have complied with all Federal, State, and Local tax laws, including Social Security laws and Unemployment Compensation laws and Workmen's Compensation laws insofar as applicable to the performance of this Contract.  I further certify I have complied with all provisions relating to labor laws and regulations (including current Certified Payrolls) applicable to the work under this Subcontract.</t>
  </si>
  <si>
    <t>As consideration for the issuance of this progress payment, the Subcontractor for itself, its predecessors, successors, and assigns, hereby releases and forever discharges BEA, the U.S. Government and their respective officers, agents, employees, successors, and assigns, jointly and severally, from any and all liabilities, claims, demands, losses, costs, expenses, actions or causes of action of whatever kind or character arising under or in connection with this Contract on or before the date of preparation as noted on this progress invoice. Any pending claims shall be listed in the area below, for future resolution between the parties. Any future discussions pertaining to claims already released, shall be considered as settlement discussions and not as reopening of a claim issue.</t>
  </si>
  <si>
    <t>NET CHANGES by Amendment(s)</t>
  </si>
  <si>
    <t>Deductions</t>
  </si>
  <si>
    <t>CONTRACT SUM TO DATE</t>
  </si>
  <si>
    <t>TOTAL COMPLETED &amp; STORED TO DATE</t>
  </si>
  <si>
    <t>RETAINAGE:</t>
  </si>
  <si>
    <t>(Column D + E on Progress Invoice Estimate)</t>
  </si>
  <si>
    <t>a.  % of Completed Work</t>
  </si>
  <si>
    <t>b.  % of Stored Material</t>
  </si>
  <si>
    <t>(Column F on Progress Invoice Estimate)</t>
  </si>
  <si>
    <t>TOTAL EARNED LESS RETAINAGE</t>
  </si>
  <si>
    <t>Material Dollars Presently Stored</t>
  </si>
  <si>
    <t>Total in Column J on Progress Invoice Estimate</t>
  </si>
  <si>
    <t>8-</t>
  </si>
  <si>
    <t>9-</t>
  </si>
  <si>
    <t>BALANCE TO FINISH, INCLUDING RETAINAGE</t>
  </si>
  <si>
    <t>Total changes approved in previous months by BEA via Amendment(s)</t>
  </si>
  <si>
    <t xml:space="preserve">Total changes approved by BEA via Amendment(s) this month </t>
  </si>
  <si>
    <t>Amendment(s) Summary</t>
  </si>
  <si>
    <t>WBS No.</t>
  </si>
  <si>
    <t>Fridays</t>
  </si>
  <si>
    <t>Declined Total</t>
  </si>
  <si>
    <t>Date Declined</t>
  </si>
  <si>
    <t>Scheduled % Complete</t>
  </si>
  <si>
    <t>(rev. 07-11)</t>
  </si>
  <si>
    <t>CURRENT PAYMENT REQUEST</t>
  </si>
  <si>
    <t>(Retainage)</t>
  </si>
  <si>
    <t>Total Request</t>
  </si>
  <si>
    <t>SCHEDULE OF VALUES</t>
  </si>
</sst>
</file>

<file path=xl/styles.xml><?xml version="1.0" encoding="utf-8"?>
<styleSheet xmlns="http://schemas.openxmlformats.org/spreadsheetml/2006/main">
  <numFmts count="8">
    <numFmt numFmtId="7" formatCode="&quot;$&quot;#,##0.00_);\(&quot;$&quot;#,##0.00\)"/>
    <numFmt numFmtId="8" formatCode="&quot;$&quot;#,##0.00_);[Red]\(&quot;$&quot;#,##0.00\)"/>
    <numFmt numFmtId="44" formatCode="_(&quot;$&quot;* #,##0.00_);_(&quot;$&quot;* \(#,##0.00\);_(&quot;$&quot;* &quot;-&quot;??_);_(@_)"/>
    <numFmt numFmtId="164" formatCode="&quot;$&quot;#,##0.00"/>
    <numFmt numFmtId="165" formatCode="0.0%"/>
    <numFmt numFmtId="166" formatCode="0.0"/>
    <numFmt numFmtId="167" formatCode="000"/>
    <numFmt numFmtId="168" formatCode="00"/>
  </numFmts>
  <fonts count="23">
    <font>
      <sz val="11"/>
      <color theme="1"/>
      <name val="Calibri"/>
      <family val="2"/>
      <scheme val="minor"/>
    </font>
    <font>
      <b/>
      <sz val="16"/>
      <color indexed="8"/>
      <name val="Baskerville Old Face"/>
      <family val="1"/>
    </font>
    <font>
      <sz val="11"/>
      <color indexed="8"/>
      <name val="Times New Roman"/>
      <family val="1"/>
    </font>
    <font>
      <sz val="10"/>
      <color indexed="8"/>
      <name val="Times New Roman"/>
      <family val="1"/>
    </font>
    <font>
      <b/>
      <sz val="11"/>
      <color indexed="8"/>
      <name val="Times New Roman"/>
      <family val="1"/>
    </font>
    <font>
      <i/>
      <sz val="12"/>
      <color indexed="8"/>
      <name val="Times New Roman"/>
      <family val="1"/>
    </font>
    <font>
      <sz val="11"/>
      <color theme="1"/>
      <name val="Calibri"/>
      <family val="2"/>
      <scheme val="minor"/>
    </font>
    <font>
      <b/>
      <i/>
      <sz val="11"/>
      <color indexed="8"/>
      <name val="Times New Roman"/>
      <family val="1"/>
    </font>
    <font>
      <i/>
      <sz val="11"/>
      <color indexed="8"/>
      <name val="Times New Roman"/>
      <family val="1"/>
    </font>
    <font>
      <sz val="12"/>
      <color indexed="8"/>
      <name val="Times New Roman"/>
      <family val="1"/>
    </font>
    <font>
      <sz val="14"/>
      <color indexed="8"/>
      <name val="Times New Roman"/>
      <family val="1"/>
    </font>
    <font>
      <b/>
      <sz val="12"/>
      <color indexed="8"/>
      <name val="Times New Roman"/>
      <family val="1"/>
    </font>
    <font>
      <b/>
      <sz val="14"/>
      <color indexed="8"/>
      <name val="Times New Roman"/>
      <family val="1"/>
    </font>
    <font>
      <sz val="9"/>
      <color indexed="8"/>
      <name val="Times New Roman"/>
      <family val="1"/>
    </font>
    <font>
      <b/>
      <sz val="13"/>
      <color indexed="8"/>
      <name val="Baskerville Old Face"/>
      <family val="1"/>
    </font>
    <font>
      <i/>
      <sz val="10"/>
      <color indexed="8"/>
      <name val="Times New Roman"/>
      <family val="1"/>
    </font>
    <font>
      <b/>
      <i/>
      <sz val="10"/>
      <color indexed="8"/>
      <name val="Times New Roman"/>
      <family val="1"/>
    </font>
    <font>
      <b/>
      <sz val="24"/>
      <color indexed="8"/>
      <name val="Baskerville Old Face"/>
      <family val="1"/>
    </font>
    <font>
      <sz val="8"/>
      <name val="Verdana"/>
      <family val="2"/>
    </font>
    <font>
      <sz val="10"/>
      <color theme="1"/>
      <name val="Times New Roman"/>
      <family val="1"/>
    </font>
    <font>
      <sz val="11"/>
      <name val="Times New Roman"/>
      <family val="1"/>
    </font>
    <font>
      <sz val="11"/>
      <color theme="1"/>
      <name val="Times New Roman"/>
      <family val="1"/>
    </font>
    <font>
      <sz val="8"/>
      <color indexed="8"/>
      <name val="Times New Roman"/>
      <family val="1"/>
    </font>
  </fonts>
  <fills count="6">
    <fill>
      <patternFill patternType="none"/>
    </fill>
    <fill>
      <patternFill patternType="gray125"/>
    </fill>
    <fill>
      <patternFill patternType="solid">
        <fgColor theme="0" tint="-0.14999847407452621"/>
        <bgColor indexed="64"/>
      </patternFill>
    </fill>
    <fill>
      <patternFill patternType="solid">
        <fgColor rgb="FFFCFEBA"/>
        <bgColor indexed="64"/>
      </patternFill>
    </fill>
    <fill>
      <patternFill patternType="solid">
        <fgColor rgb="FFFFFF99"/>
        <bgColor indexed="64"/>
      </patternFill>
    </fill>
    <fill>
      <patternFill patternType="solid">
        <fgColor rgb="FFFFFF47"/>
        <bgColor indexed="64"/>
      </patternFill>
    </fill>
  </fills>
  <borders count="49">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style="medium">
        <color auto="1"/>
      </top>
      <bottom/>
      <diagonal/>
    </border>
    <border>
      <left/>
      <right/>
      <top/>
      <bottom style="medium">
        <color auto="1"/>
      </bottom>
      <diagonal/>
    </border>
    <border>
      <left style="double">
        <color auto="1"/>
      </left>
      <right/>
      <top/>
      <bottom/>
      <diagonal/>
    </border>
    <border>
      <left/>
      <right style="double">
        <color auto="1"/>
      </right>
      <top/>
      <bottom/>
      <diagonal/>
    </border>
    <border>
      <left/>
      <right/>
      <top style="thin">
        <color indexed="64"/>
      </top>
      <bottom style="double">
        <color indexed="64"/>
      </bottom>
      <diagonal/>
    </border>
    <border>
      <left/>
      <right/>
      <top style="thin">
        <color indexed="64"/>
      </top>
      <bottom style="medium">
        <color indexed="64"/>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style="thin">
        <color auto="1"/>
      </right>
      <top style="medium">
        <color auto="1"/>
      </top>
      <bottom/>
      <diagonal/>
    </border>
    <border>
      <left style="double">
        <color auto="1"/>
      </left>
      <right/>
      <top style="double">
        <color auto="1"/>
      </top>
      <bottom style="medium">
        <color auto="1"/>
      </bottom>
      <diagonal/>
    </border>
    <border>
      <left/>
      <right/>
      <top style="double">
        <color auto="1"/>
      </top>
      <bottom style="medium">
        <color auto="1"/>
      </bottom>
      <diagonal/>
    </border>
    <border>
      <left/>
      <right style="double">
        <color auto="1"/>
      </right>
      <top style="double">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style="double">
        <color auto="1"/>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417">
    <xf numFmtId="0" fontId="0" fillId="0" borderId="0" xfId="0"/>
    <xf numFmtId="0" fontId="2" fillId="0" borderId="0" xfId="0" applyFont="1"/>
    <xf numFmtId="0" fontId="2" fillId="0" borderId="5" xfId="0" applyFont="1" applyBorder="1"/>
    <xf numFmtId="0" fontId="0" fillId="0" borderId="4" xfId="0" applyBorder="1"/>
    <xf numFmtId="0" fontId="0" fillId="0" borderId="5" xfId="0" applyBorder="1"/>
    <xf numFmtId="164" fontId="4" fillId="0" borderId="3" xfId="0" applyNumberFormat="1" applyFont="1" applyFill="1" applyBorder="1" applyAlignment="1">
      <alignment horizontal="right"/>
    </xf>
    <xf numFmtId="0" fontId="0" fillId="0" borderId="0" xfId="0"/>
    <xf numFmtId="0" fontId="0" fillId="0" borderId="1" xfId="0" applyBorder="1"/>
    <xf numFmtId="0" fontId="0" fillId="0" borderId="2" xfId="0" applyBorder="1"/>
    <xf numFmtId="14" fontId="3" fillId="0" borderId="10" xfId="0" applyNumberFormat="1" applyFont="1" applyFill="1" applyBorder="1" applyAlignment="1">
      <alignment horizontal="right"/>
    </xf>
    <xf numFmtId="0" fontId="2" fillId="0" borderId="9" xfId="0" applyFont="1" applyBorder="1"/>
    <xf numFmtId="0" fontId="2" fillId="0" borderId="10" xfId="0" applyFont="1" applyBorder="1"/>
    <xf numFmtId="0" fontId="2" fillId="0" borderId="10" xfId="0" applyFont="1" applyBorder="1" applyAlignment="1">
      <alignment horizontal="left"/>
    </xf>
    <xf numFmtId="0" fontId="0" fillId="0" borderId="10" xfId="0" applyBorder="1" applyAlignment="1">
      <alignment horizontal="center"/>
    </xf>
    <xf numFmtId="0" fontId="2" fillId="0" borderId="5" xfId="0" applyFont="1" applyBorder="1" applyAlignment="1">
      <alignment vertical="top" wrapText="1"/>
    </xf>
    <xf numFmtId="14" fontId="3" fillId="0" borderId="3" xfId="0" applyNumberFormat="1" applyFont="1" applyFill="1" applyBorder="1" applyAlignment="1">
      <alignment horizontal="right"/>
    </xf>
    <xf numFmtId="0" fontId="3" fillId="0" borderId="10" xfId="0" applyFont="1" applyFill="1" applyBorder="1" applyAlignment="1"/>
    <xf numFmtId="0" fontId="2" fillId="0" borderId="1" xfId="0" applyFont="1" applyBorder="1"/>
    <xf numFmtId="0" fontId="2" fillId="0" borderId="4" xfId="0" applyFont="1" applyBorder="1"/>
    <xf numFmtId="0" fontId="2" fillId="0" borderId="6" xfId="0" applyFont="1" applyBorder="1" applyAlignment="1">
      <alignment vertical="top" wrapText="1"/>
    </xf>
    <xf numFmtId="0" fontId="2" fillId="0" borderId="10" xfId="0" applyFont="1" applyBorder="1" applyAlignment="1">
      <alignment vertical="top" wrapText="1"/>
    </xf>
    <xf numFmtId="0" fontId="2" fillId="0" borderId="5" xfId="0" applyFont="1" applyBorder="1" applyAlignment="1">
      <alignment vertical="top"/>
    </xf>
    <xf numFmtId="0" fontId="2" fillId="0" borderId="2" xfId="0" applyFont="1" applyBorder="1" applyAlignment="1"/>
    <xf numFmtId="0" fontId="0" fillId="0" borderId="9" xfId="0" applyBorder="1"/>
    <xf numFmtId="0" fontId="0" fillId="0" borderId="3" xfId="0" applyBorder="1"/>
    <xf numFmtId="0" fontId="2" fillId="0" borderId="10" xfId="0" applyFont="1" applyFill="1" applyBorder="1" applyAlignment="1">
      <alignment horizontal="center"/>
    </xf>
    <xf numFmtId="14" fontId="3" fillId="0" borderId="10" xfId="0" applyNumberFormat="1" applyFont="1" applyFill="1" applyBorder="1" applyAlignment="1">
      <alignment horizontal="center"/>
    </xf>
    <xf numFmtId="164" fontId="2" fillId="0" borderId="10" xfId="0" applyNumberFormat="1" applyFont="1" applyFill="1" applyBorder="1" applyAlignment="1">
      <alignment horizontal="center" vertical="center"/>
    </xf>
    <xf numFmtId="0" fontId="2" fillId="0" borderId="10" xfId="0" applyFont="1" applyFill="1" applyBorder="1"/>
    <xf numFmtId="164" fontId="2" fillId="0" borderId="10" xfId="0" applyNumberFormat="1" applyFont="1" applyFill="1" applyBorder="1"/>
    <xf numFmtId="0" fontId="2" fillId="0" borderId="10" xfId="0" applyFont="1" applyBorder="1" applyAlignment="1">
      <alignment horizontal="center"/>
    </xf>
    <xf numFmtId="0" fontId="2" fillId="0" borderId="9" xfId="0" applyFont="1" applyFill="1" applyBorder="1"/>
    <xf numFmtId="44" fontId="2" fillId="0" borderId="25" xfId="1" applyFont="1" applyFill="1" applyBorder="1" applyAlignment="1">
      <alignment vertical="center"/>
    </xf>
    <xf numFmtId="0" fontId="8" fillId="0" borderId="10" xfId="0" applyFont="1" applyFill="1" applyBorder="1" applyAlignment="1">
      <alignment horizontal="center"/>
    </xf>
    <xf numFmtId="0" fontId="0" fillId="0" borderId="1" xfId="0" applyBorder="1" applyProtection="1"/>
    <xf numFmtId="0" fontId="0" fillId="0" borderId="3" xfId="0" applyBorder="1" applyProtection="1"/>
    <xf numFmtId="0" fontId="0" fillId="0" borderId="9" xfId="0" applyBorder="1" applyProtection="1"/>
    <xf numFmtId="0" fontId="3" fillId="0" borderId="10" xfId="0" applyFont="1" applyFill="1" applyBorder="1" applyAlignment="1" applyProtection="1"/>
    <xf numFmtId="0" fontId="0" fillId="0" borderId="10" xfId="0" applyBorder="1" applyAlignment="1" applyProtection="1">
      <alignment horizontal="center"/>
    </xf>
    <xf numFmtId="0" fontId="2" fillId="0" borderId="1" xfId="0" applyFont="1" applyBorder="1" applyProtection="1"/>
    <xf numFmtId="164" fontId="4" fillId="0" borderId="3" xfId="0" applyNumberFormat="1" applyFont="1" applyFill="1" applyBorder="1" applyAlignment="1" applyProtection="1">
      <alignment horizontal="right"/>
    </xf>
    <xf numFmtId="0" fontId="2" fillId="0" borderId="0" xfId="0" applyFont="1" applyProtection="1"/>
    <xf numFmtId="0" fontId="2" fillId="0" borderId="4" xfId="0" applyFont="1" applyBorder="1" applyProtection="1"/>
    <xf numFmtId="14" fontId="3" fillId="0" borderId="10" xfId="0" applyNumberFormat="1" applyFont="1" applyFill="1" applyBorder="1" applyAlignment="1" applyProtection="1">
      <alignment horizontal="right"/>
    </xf>
    <xf numFmtId="0" fontId="2" fillId="0" borderId="14" xfId="0" applyFont="1" applyBorder="1" applyProtection="1"/>
    <xf numFmtId="0" fontId="2" fillId="0" borderId="15" xfId="0" applyFont="1" applyBorder="1" applyProtection="1"/>
    <xf numFmtId="166" fontId="2" fillId="0" borderId="14" xfId="0" applyNumberFormat="1" applyFont="1" applyBorder="1" applyAlignment="1" applyProtection="1">
      <alignment horizontal="center"/>
    </xf>
    <xf numFmtId="0" fontId="2" fillId="0" borderId="0" xfId="0" applyFont="1" applyBorder="1" applyAlignment="1" applyProtection="1"/>
    <xf numFmtId="0" fontId="2" fillId="0" borderId="16" xfId="0" applyFont="1" applyBorder="1" applyProtection="1"/>
    <xf numFmtId="0" fontId="2" fillId="0" borderId="18" xfId="0" applyFont="1" applyBorder="1" applyProtection="1"/>
    <xf numFmtId="0" fontId="2" fillId="2" borderId="22" xfId="0" applyFont="1" applyFill="1" applyBorder="1" applyProtection="1"/>
    <xf numFmtId="0" fontId="5" fillId="2" borderId="24" xfId="0" applyFont="1" applyFill="1" applyBorder="1" applyAlignment="1" applyProtection="1">
      <alignment horizontal="center"/>
    </xf>
    <xf numFmtId="0" fontId="2" fillId="0" borderId="9" xfId="0" applyFont="1" applyBorder="1" applyProtection="1"/>
    <xf numFmtId="0" fontId="5" fillId="0" borderId="10" xfId="0" applyFont="1" applyFill="1" applyBorder="1" applyAlignment="1" applyProtection="1">
      <alignment horizontal="center"/>
    </xf>
    <xf numFmtId="165" fontId="2" fillId="0" borderId="17" xfId="0" applyNumberFormat="1" applyFont="1" applyBorder="1" applyProtection="1"/>
    <xf numFmtId="0" fontId="5" fillId="0" borderId="0" xfId="0" applyFont="1" applyFill="1" applyBorder="1" applyAlignment="1" applyProtection="1"/>
    <xf numFmtId="0" fontId="2" fillId="0" borderId="0" xfId="0" applyFont="1" applyAlignment="1" applyProtection="1">
      <alignment horizontal="right" indent="1"/>
    </xf>
    <xf numFmtId="0" fontId="5" fillId="0" borderId="14" xfId="0" applyFont="1" applyFill="1" applyBorder="1" applyAlignment="1" applyProtection="1"/>
    <xf numFmtId="0" fontId="2" fillId="0" borderId="10" xfId="0" applyFont="1" applyBorder="1" applyAlignment="1" applyProtection="1">
      <alignment horizontal="left"/>
    </xf>
    <xf numFmtId="0" fontId="2" fillId="0" borderId="10" xfId="0" applyFont="1" applyBorder="1" applyAlignment="1" applyProtection="1">
      <alignment vertical="top" wrapText="1"/>
    </xf>
    <xf numFmtId="0" fontId="0" fillId="0" borderId="4" xfId="0" applyBorder="1" applyProtection="1"/>
    <xf numFmtId="0" fontId="2" fillId="0" borderId="6" xfId="0" applyFont="1" applyBorder="1" applyAlignment="1" applyProtection="1">
      <alignment vertical="top" wrapText="1"/>
    </xf>
    <xf numFmtId="44" fontId="2" fillId="0" borderId="26" xfId="1" applyFont="1" applyFill="1" applyBorder="1" applyAlignment="1"/>
    <xf numFmtId="0" fontId="0" fillId="0" borderId="0" xfId="0" applyProtection="1"/>
    <xf numFmtId="0" fontId="4" fillId="0" borderId="5" xfId="0" applyFont="1" applyFill="1" applyBorder="1" applyAlignment="1">
      <alignment vertical="center" wrapText="1"/>
    </xf>
    <xf numFmtId="9" fontId="0" fillId="0" borderId="0" xfId="2" applyFont="1"/>
    <xf numFmtId="0" fontId="2" fillId="0" borderId="25" xfId="0" applyFont="1" applyFill="1" applyBorder="1" applyAlignment="1" applyProtection="1">
      <alignment wrapText="1"/>
      <protection locked="0"/>
    </xf>
    <xf numFmtId="0" fontId="2" fillId="0" borderId="26" xfId="0" applyFont="1" applyFill="1" applyBorder="1" applyProtection="1">
      <protection locked="0"/>
    </xf>
    <xf numFmtId="0" fontId="2" fillId="0" borderId="26" xfId="0" applyFont="1" applyFill="1" applyBorder="1" applyAlignment="1" applyProtection="1">
      <protection locked="0"/>
    </xf>
    <xf numFmtId="0" fontId="2" fillId="0" borderId="26" xfId="0" applyFont="1" applyFill="1" applyBorder="1" applyAlignment="1" applyProtection="1">
      <alignment horizontal="left"/>
      <protection locked="0"/>
    </xf>
    <xf numFmtId="0" fontId="2" fillId="0" borderId="27" xfId="0" applyFont="1" applyFill="1" applyBorder="1" applyAlignment="1" applyProtection="1">
      <protection locked="0"/>
    </xf>
    <xf numFmtId="164" fontId="2" fillId="0" borderId="25" xfId="0" applyNumberFormat="1" applyFont="1" applyFill="1" applyBorder="1" applyAlignment="1" applyProtection="1"/>
    <xf numFmtId="0" fontId="2" fillId="0" borderId="25" xfId="1" applyNumberFormat="1" applyFont="1" applyFill="1" applyBorder="1" applyAlignment="1" applyProtection="1"/>
    <xf numFmtId="44" fontId="2" fillId="0" borderId="25" xfId="1" applyFont="1" applyFill="1" applyBorder="1" applyAlignment="1" applyProtection="1"/>
    <xf numFmtId="0" fontId="2" fillId="0" borderId="26" xfId="0" applyFont="1" applyFill="1" applyBorder="1" applyProtection="1"/>
    <xf numFmtId="44" fontId="2" fillId="0" borderId="26" xfId="1" applyFont="1" applyFill="1" applyBorder="1" applyProtection="1"/>
    <xf numFmtId="0" fontId="2" fillId="0" borderId="26" xfId="1" applyNumberFormat="1" applyFont="1" applyFill="1" applyBorder="1" applyProtection="1"/>
    <xf numFmtId="0" fontId="2" fillId="0" borderId="26" xfId="0" applyFont="1" applyFill="1" applyBorder="1" applyAlignment="1" applyProtection="1"/>
    <xf numFmtId="0" fontId="2" fillId="0" borderId="26" xfId="1" applyNumberFormat="1" applyFont="1" applyFill="1" applyBorder="1" applyAlignment="1" applyProtection="1"/>
    <xf numFmtId="44" fontId="2" fillId="0" borderId="26" xfId="1" applyFont="1" applyFill="1" applyBorder="1" applyAlignment="1" applyProtection="1"/>
    <xf numFmtId="0" fontId="8" fillId="0" borderId="26" xfId="0" applyFont="1" applyFill="1" applyBorder="1" applyAlignment="1" applyProtection="1">
      <alignment horizontal="center"/>
    </xf>
    <xf numFmtId="0" fontId="2" fillId="0" borderId="26" xfId="1" applyNumberFormat="1" applyFont="1" applyFill="1" applyBorder="1" applyAlignment="1" applyProtection="1">
      <alignment horizontal="right"/>
    </xf>
    <xf numFmtId="44" fontId="2" fillId="0" borderId="26" xfId="1" applyFont="1" applyFill="1" applyBorder="1" applyAlignment="1" applyProtection="1">
      <alignment horizontal="right"/>
    </xf>
    <xf numFmtId="0" fontId="2" fillId="0" borderId="27" xfId="0" applyFont="1" applyFill="1" applyBorder="1" applyAlignment="1" applyProtection="1"/>
    <xf numFmtId="10" fontId="2" fillId="0" borderId="0" xfId="2" applyNumberFormat="1" applyFont="1"/>
    <xf numFmtId="10" fontId="2" fillId="0" borderId="26" xfId="2" applyNumberFormat="1" applyFont="1" applyBorder="1"/>
    <xf numFmtId="0" fontId="2" fillId="3" borderId="0" xfId="0" applyFont="1" applyFill="1" applyProtection="1">
      <protection locked="0"/>
    </xf>
    <xf numFmtId="0" fontId="2" fillId="3" borderId="26" xfId="0" applyFont="1" applyFill="1" applyBorder="1" applyProtection="1">
      <protection locked="0"/>
    </xf>
    <xf numFmtId="0" fontId="2" fillId="5" borderId="26" xfId="0" applyFont="1" applyFill="1" applyBorder="1" applyProtection="1">
      <protection locked="0"/>
    </xf>
    <xf numFmtId="0" fontId="2" fillId="5" borderId="26" xfId="0" applyFont="1" applyFill="1" applyBorder="1" applyAlignment="1" applyProtection="1">
      <protection locked="0"/>
    </xf>
    <xf numFmtId="164" fontId="2" fillId="5" borderId="26" xfId="0" applyNumberFormat="1" applyFont="1" applyFill="1" applyBorder="1" applyAlignment="1" applyProtection="1">
      <protection locked="0"/>
    </xf>
    <xf numFmtId="0" fontId="2" fillId="5" borderId="26" xfId="1" applyNumberFormat="1" applyFont="1" applyFill="1" applyBorder="1" applyAlignment="1" applyProtection="1">
      <protection locked="0"/>
    </xf>
    <xf numFmtId="44" fontId="2" fillId="5" borderId="26" xfId="1" applyFont="1" applyFill="1" applyBorder="1" applyProtection="1">
      <protection locked="0"/>
    </xf>
    <xf numFmtId="44" fontId="2" fillId="5" borderId="26" xfId="1" applyFont="1" applyFill="1" applyBorder="1" applyAlignment="1" applyProtection="1">
      <protection locked="0"/>
    </xf>
    <xf numFmtId="9" fontId="2" fillId="5" borderId="26" xfId="0" applyNumberFormat="1" applyFont="1" applyFill="1" applyBorder="1" applyAlignment="1" applyProtection="1">
      <alignment horizontal="left"/>
      <protection locked="0"/>
    </xf>
    <xf numFmtId="164" fontId="7" fillId="5" borderId="26" xfId="0" applyNumberFormat="1" applyFont="1" applyFill="1" applyBorder="1" applyAlignment="1" applyProtection="1">
      <protection locked="0"/>
    </xf>
    <xf numFmtId="0" fontId="7" fillId="5" borderId="26" xfId="1" applyNumberFormat="1" applyFont="1" applyFill="1" applyBorder="1" applyAlignment="1" applyProtection="1">
      <protection locked="0"/>
    </xf>
    <xf numFmtId="0" fontId="2" fillId="5" borderId="26" xfId="1" applyNumberFormat="1" applyFont="1" applyFill="1" applyBorder="1" applyProtection="1">
      <protection locked="0"/>
    </xf>
    <xf numFmtId="0" fontId="8" fillId="5" borderId="26" xfId="0" applyFont="1" applyFill="1" applyBorder="1" applyAlignment="1" applyProtection="1">
      <protection locked="0"/>
    </xf>
    <xf numFmtId="0" fontId="8" fillId="5" borderId="26" xfId="1" applyNumberFormat="1" applyFont="1" applyFill="1" applyBorder="1" applyAlignment="1" applyProtection="1">
      <protection locked="0"/>
    </xf>
    <xf numFmtId="44" fontId="8" fillId="5" borderId="26" xfId="1" applyFont="1" applyFill="1" applyBorder="1" applyAlignment="1" applyProtection="1">
      <protection locked="0"/>
    </xf>
    <xf numFmtId="0" fontId="2" fillId="5" borderId="26" xfId="0" applyFont="1" applyFill="1" applyBorder="1" applyAlignment="1" applyProtection="1">
      <alignment horizontal="left"/>
      <protection locked="0"/>
    </xf>
    <xf numFmtId="44" fontId="2" fillId="5" borderId="26" xfId="1" applyFont="1" applyFill="1" applyBorder="1" applyAlignment="1" applyProtection="1">
      <alignment horizontal="left"/>
      <protection locked="0"/>
    </xf>
    <xf numFmtId="0" fontId="2" fillId="5" borderId="27" xfId="0" applyFont="1" applyFill="1" applyBorder="1" applyAlignment="1" applyProtection="1">
      <protection locked="0"/>
    </xf>
    <xf numFmtId="0" fontId="2" fillId="5" borderId="27" xfId="1" applyNumberFormat="1" applyFont="1" applyFill="1" applyBorder="1" applyAlignment="1" applyProtection="1">
      <protection locked="0"/>
    </xf>
    <xf numFmtId="44" fontId="2" fillId="5" borderId="27" xfId="1" applyFont="1" applyFill="1" applyBorder="1" applyProtection="1">
      <protection locked="0"/>
    </xf>
    <xf numFmtId="44" fontId="2" fillId="5" borderId="27" xfId="1" applyFont="1" applyFill="1" applyBorder="1" applyAlignment="1" applyProtection="1">
      <protection locked="0"/>
    </xf>
    <xf numFmtId="1" fontId="2" fillId="5" borderId="2" xfId="0" applyNumberFormat="1" applyFont="1" applyFill="1" applyBorder="1" applyAlignment="1" applyProtection="1">
      <alignment horizontal="right"/>
      <protection locked="0"/>
    </xf>
    <xf numFmtId="164" fontId="4" fillId="5" borderId="2" xfId="0" applyNumberFormat="1" applyFont="1" applyFill="1" applyBorder="1" applyAlignment="1" applyProtection="1">
      <alignment horizontal="right"/>
      <protection locked="0"/>
    </xf>
    <xf numFmtId="44" fontId="2" fillId="5" borderId="30" xfId="1" applyFont="1" applyFill="1" applyBorder="1" applyAlignment="1" applyProtection="1">
      <protection locked="0"/>
    </xf>
    <xf numFmtId="44" fontId="2" fillId="5" borderId="30" xfId="1" applyFont="1" applyFill="1" applyBorder="1" applyProtection="1">
      <protection locked="0"/>
    </xf>
    <xf numFmtId="0" fontId="2" fillId="4" borderId="27" xfId="0" applyFont="1" applyFill="1" applyBorder="1" applyAlignment="1" applyProtection="1">
      <protection locked="0"/>
    </xf>
    <xf numFmtId="167" fontId="2" fillId="0" borderId="25" xfId="0" applyNumberFormat="1" applyFont="1" applyFill="1" applyBorder="1" applyAlignment="1" applyProtection="1">
      <alignment horizontal="center" wrapText="1"/>
      <protection locked="0"/>
    </xf>
    <xf numFmtId="167" fontId="2" fillId="0" borderId="26" xfId="0" applyNumberFormat="1" applyFont="1" applyFill="1" applyBorder="1" applyAlignment="1" applyProtection="1">
      <alignment horizontal="center"/>
      <protection locked="0"/>
    </xf>
    <xf numFmtId="164" fontId="2" fillId="5" borderId="25" xfId="0" applyNumberFormat="1" applyFont="1" applyFill="1" applyBorder="1" applyAlignment="1" applyProtection="1"/>
    <xf numFmtId="0" fontId="2" fillId="5" borderId="26" xfId="0" applyFont="1" applyFill="1" applyBorder="1" applyProtection="1"/>
    <xf numFmtId="0" fontId="2" fillId="5" borderId="26" xfId="0" applyFont="1" applyFill="1" applyBorder="1" applyAlignment="1" applyProtection="1"/>
    <xf numFmtId="0" fontId="2" fillId="5" borderId="27" xfId="0" applyFont="1" applyFill="1" applyBorder="1" applyAlignment="1" applyProtection="1"/>
    <xf numFmtId="14" fontId="2" fillId="5" borderId="25" xfId="1" applyNumberFormat="1" applyFont="1" applyFill="1" applyBorder="1" applyAlignment="1" applyProtection="1"/>
    <xf numFmtId="14" fontId="2" fillId="5" borderId="26" xfId="1" applyNumberFormat="1" applyFont="1" applyFill="1" applyBorder="1" applyProtection="1">
      <protection locked="0"/>
    </xf>
    <xf numFmtId="14" fontId="2" fillId="5" borderId="26" xfId="1" applyNumberFormat="1" applyFont="1" applyFill="1" applyBorder="1" applyProtection="1"/>
    <xf numFmtId="14" fontId="2" fillId="5" borderId="26" xfId="1" applyNumberFormat="1" applyFont="1" applyFill="1" applyBorder="1" applyAlignment="1" applyProtection="1"/>
    <xf numFmtId="14" fontId="2" fillId="5" borderId="26" xfId="1" applyNumberFormat="1" applyFont="1" applyFill="1" applyBorder="1" applyAlignment="1" applyProtection="1">
      <protection locked="0"/>
    </xf>
    <xf numFmtId="10" fontId="2" fillId="0" borderId="28" xfId="2" applyNumberFormat="1" applyFont="1" applyFill="1" applyBorder="1" applyAlignment="1"/>
    <xf numFmtId="10" fontId="2" fillId="0" borderId="26" xfId="2" applyNumberFormat="1" applyFont="1" applyFill="1" applyBorder="1" applyAlignment="1"/>
    <xf numFmtId="44" fontId="2" fillId="0" borderId="35" xfId="1" applyFont="1" applyFill="1" applyBorder="1" applyAlignment="1"/>
    <xf numFmtId="0" fontId="2" fillId="0" borderId="5" xfId="0" applyFont="1" applyBorder="1" applyAlignment="1"/>
    <xf numFmtId="1" fontId="2" fillId="0" borderId="0" xfId="0" applyNumberFormat="1" applyFont="1"/>
    <xf numFmtId="14" fontId="2" fillId="0" borderId="5" xfId="0" applyNumberFormat="1" applyFont="1" applyBorder="1" applyAlignment="1"/>
    <xf numFmtId="14" fontId="2" fillId="5" borderId="28" xfId="0" applyNumberFormat="1" applyFont="1" applyFill="1" applyBorder="1" applyProtection="1">
      <protection locked="0"/>
    </xf>
    <xf numFmtId="168" fontId="2" fillId="5" borderId="25" xfId="0" applyNumberFormat="1" applyFont="1" applyFill="1" applyBorder="1" applyAlignment="1" applyProtection="1">
      <alignment horizontal="center" wrapText="1"/>
      <protection locked="0"/>
    </xf>
    <xf numFmtId="168" fontId="2" fillId="5" borderId="26" xfId="1" applyNumberFormat="1" applyFont="1" applyFill="1" applyBorder="1" applyAlignment="1" applyProtection="1">
      <alignment horizontal="center"/>
      <protection locked="0"/>
    </xf>
    <xf numFmtId="168" fontId="2" fillId="5" borderId="26" xfId="1" applyNumberFormat="1" applyFont="1" applyFill="1" applyBorder="1" applyAlignment="1" applyProtection="1">
      <alignment horizontal="center"/>
    </xf>
    <xf numFmtId="168" fontId="2" fillId="5" borderId="27" xfId="1" applyNumberFormat="1" applyFont="1" applyFill="1" applyBorder="1" applyAlignment="1" applyProtection="1">
      <alignment horizontal="center"/>
      <protection locked="0"/>
    </xf>
    <xf numFmtId="1" fontId="2" fillId="0" borderId="0" xfId="0" applyNumberFormat="1" applyFont="1" applyFill="1" applyBorder="1" applyAlignment="1" applyProtection="1">
      <alignment horizontal="right"/>
      <protection locked="0"/>
    </xf>
    <xf numFmtId="0" fontId="2" fillId="0" borderId="37" xfId="1" applyNumberFormat="1" applyFont="1" applyFill="1" applyBorder="1" applyAlignment="1" applyProtection="1">
      <alignment horizontal="center"/>
    </xf>
    <xf numFmtId="0" fontId="2" fillId="0" borderId="35" xfId="1" applyNumberFormat="1" applyFont="1" applyFill="1" applyBorder="1" applyAlignment="1" applyProtection="1">
      <alignment horizontal="center"/>
      <protection locked="0"/>
    </xf>
    <xf numFmtId="0" fontId="2" fillId="5" borderId="36" xfId="1" applyNumberFormat="1" applyFont="1" applyFill="1" applyBorder="1" applyAlignment="1" applyProtection="1">
      <alignment horizontal="right"/>
    </xf>
    <xf numFmtId="0" fontId="0" fillId="5" borderId="34" xfId="1" applyNumberFormat="1" applyFont="1" applyFill="1" applyBorder="1" applyAlignment="1" applyProtection="1">
      <alignment horizontal="right"/>
      <protection locked="0"/>
    </xf>
    <xf numFmtId="0" fontId="2" fillId="5" borderId="34" xfId="1" applyNumberFormat="1" applyFont="1" applyFill="1" applyBorder="1" applyAlignment="1" applyProtection="1">
      <alignment horizontal="right"/>
    </xf>
    <xf numFmtId="0" fontId="2" fillId="5" borderId="34" xfId="1" applyNumberFormat="1" applyFont="1" applyFill="1" applyBorder="1" applyAlignment="1" applyProtection="1">
      <alignment horizontal="right"/>
      <protection locked="0"/>
    </xf>
    <xf numFmtId="0" fontId="2" fillId="5" borderId="42" xfId="1" applyNumberFormat="1" applyFont="1" applyFill="1" applyBorder="1" applyAlignment="1" applyProtection="1">
      <alignment horizontal="right"/>
      <protection locked="0"/>
    </xf>
    <xf numFmtId="10" fontId="2" fillId="0" borderId="27" xfId="2" applyNumberFormat="1" applyFont="1" applyFill="1" applyBorder="1" applyAlignment="1"/>
    <xf numFmtId="44" fontId="2" fillId="0" borderId="27" xfId="1" applyFont="1" applyFill="1" applyBorder="1" applyAlignment="1"/>
    <xf numFmtId="44" fontId="4" fillId="0" borderId="40" xfId="1" applyFont="1" applyBorder="1"/>
    <xf numFmtId="44" fontId="4" fillId="0" borderId="40" xfId="1" applyFont="1" applyBorder="1" applyAlignment="1"/>
    <xf numFmtId="0" fontId="4" fillId="0" borderId="41" xfId="0" applyFont="1" applyBorder="1" applyAlignment="1">
      <alignment horizontal="left"/>
    </xf>
    <xf numFmtId="0" fontId="4" fillId="0" borderId="38" xfId="0" applyFont="1" applyBorder="1" applyAlignment="1">
      <alignment horizontal="left" vertical="top"/>
    </xf>
    <xf numFmtId="0" fontId="4" fillId="0" borderId="39" xfId="0" applyFont="1" applyBorder="1"/>
    <xf numFmtId="0" fontId="4" fillId="0" borderId="39" xfId="1" applyNumberFormat="1" applyFont="1" applyBorder="1"/>
    <xf numFmtId="4" fontId="4" fillId="0" borderId="40" xfId="0" applyNumberFormat="1" applyFont="1" applyBorder="1"/>
    <xf numFmtId="10" fontId="4" fillId="0" borderId="40" xfId="2" applyNumberFormat="1" applyFont="1" applyBorder="1"/>
    <xf numFmtId="7" fontId="4" fillId="0" borderId="40" xfId="1" applyNumberFormat="1" applyFont="1" applyBorder="1"/>
    <xf numFmtId="164" fontId="4" fillId="0" borderId="40" xfId="0" applyNumberFormat="1" applyFont="1" applyBorder="1"/>
    <xf numFmtId="44" fontId="4" fillId="0" borderId="39" xfId="1" applyFont="1" applyBorder="1"/>
    <xf numFmtId="37" fontId="4" fillId="0" borderId="41" xfId="1" applyNumberFormat="1" applyFont="1" applyBorder="1"/>
    <xf numFmtId="37" fontId="4" fillId="0" borderId="39" xfId="1" applyNumberFormat="1" applyFont="1" applyBorder="1" applyAlignment="1">
      <alignment horizontal="center"/>
    </xf>
    <xf numFmtId="8" fontId="2" fillId="5" borderId="25" xfId="1" applyNumberFormat="1" applyFont="1" applyFill="1" applyBorder="1" applyAlignment="1" applyProtection="1"/>
    <xf numFmtId="8" fontId="2" fillId="5" borderId="26" xfId="1" applyNumberFormat="1" applyFont="1" applyFill="1" applyBorder="1" applyAlignment="1" applyProtection="1">
      <protection locked="0"/>
    </xf>
    <xf numFmtId="8" fontId="2" fillId="5" borderId="26" xfId="1" applyNumberFormat="1" applyFont="1" applyFill="1" applyBorder="1" applyProtection="1">
      <protection locked="0"/>
    </xf>
    <xf numFmtId="8" fontId="2" fillId="5" borderId="26" xfId="1" applyNumberFormat="1" applyFont="1" applyFill="1" applyBorder="1" applyProtection="1"/>
    <xf numFmtId="8" fontId="2" fillId="5" borderId="26" xfId="1" applyNumberFormat="1" applyFont="1" applyFill="1" applyBorder="1" applyAlignment="1" applyProtection="1"/>
    <xf numFmtId="8" fontId="2" fillId="5" borderId="27" xfId="1" applyNumberFormat="1" applyFont="1" applyFill="1" applyBorder="1" applyAlignment="1" applyProtection="1">
      <protection locked="0"/>
    </xf>
    <xf numFmtId="14" fontId="2" fillId="5" borderId="26" xfId="0" applyNumberFormat="1" applyFont="1" applyFill="1" applyBorder="1" applyAlignment="1" applyProtection="1">
      <protection locked="0"/>
    </xf>
    <xf numFmtId="14" fontId="2" fillId="5" borderId="32" xfId="0" applyNumberFormat="1" applyFont="1" applyFill="1" applyBorder="1" applyProtection="1">
      <protection locked="0"/>
    </xf>
    <xf numFmtId="14" fontId="2" fillId="5" borderId="26" xfId="0" applyNumberFormat="1" applyFont="1" applyFill="1" applyBorder="1" applyAlignment="1" applyProtection="1">
      <alignment horizontal="left"/>
      <protection locked="0"/>
    </xf>
    <xf numFmtId="14" fontId="2" fillId="5" borderId="27" xfId="0" applyNumberFormat="1" applyFont="1" applyFill="1" applyBorder="1" applyAlignment="1" applyProtection="1">
      <protection locked="0"/>
    </xf>
    <xf numFmtId="14" fontId="2" fillId="5" borderId="26" xfId="0" applyNumberFormat="1" applyFont="1" applyFill="1" applyBorder="1" applyProtection="1">
      <protection locked="0"/>
    </xf>
    <xf numFmtId="14" fontId="2" fillId="5" borderId="27" xfId="1" applyNumberFormat="1" applyFont="1" applyFill="1" applyBorder="1" applyAlignment="1" applyProtection="1">
      <protection locked="0"/>
    </xf>
    <xf numFmtId="3" fontId="4" fillId="0" borderId="40" xfId="0" applyNumberFormat="1" applyFont="1" applyBorder="1"/>
    <xf numFmtId="0" fontId="2" fillId="0" borderId="0" xfId="0" applyFont="1" applyFill="1" applyBorder="1" applyAlignment="1">
      <alignment horizontal="center" wrapText="1"/>
    </xf>
    <xf numFmtId="0" fontId="2" fillId="0" borderId="8" xfId="0" applyFont="1" applyFill="1" applyBorder="1" applyAlignment="1">
      <alignment horizontal="center" wrapText="1"/>
    </xf>
    <xf numFmtId="1" fontId="2" fillId="0" borderId="15" xfId="0" applyNumberFormat="1" applyFont="1" applyFill="1" applyBorder="1" applyAlignment="1" applyProtection="1"/>
    <xf numFmtId="0" fontId="2" fillId="0" borderId="8" xfId="0" applyFont="1" applyBorder="1" applyAlignment="1">
      <alignment horizontal="center" wrapText="1"/>
    </xf>
    <xf numFmtId="0" fontId="2" fillId="0" borderId="8" xfId="0" applyFont="1" applyBorder="1" applyAlignment="1">
      <alignment wrapText="1"/>
    </xf>
    <xf numFmtId="0" fontId="2" fillId="0" borderId="44" xfId="0" applyFont="1" applyBorder="1"/>
    <xf numFmtId="164" fontId="2" fillId="0" borderId="0" xfId="0" applyNumberFormat="1" applyFont="1" applyFill="1" applyBorder="1" applyAlignment="1" applyProtection="1"/>
    <xf numFmtId="0" fontId="3" fillId="0" borderId="18" xfId="0" applyFont="1" applyFill="1" applyBorder="1" applyAlignment="1" applyProtection="1">
      <alignment horizontal="center"/>
    </xf>
    <xf numFmtId="164" fontId="9" fillId="0" borderId="0" xfId="0" applyNumberFormat="1" applyFont="1" applyFill="1" applyBorder="1" applyAlignment="1" applyProtection="1"/>
    <xf numFmtId="0" fontId="2" fillId="5" borderId="0" xfId="0" applyFont="1" applyFill="1"/>
    <xf numFmtId="44" fontId="2" fillId="0" borderId="0" xfId="0" applyNumberFormat="1" applyFont="1" applyAlignment="1" applyProtection="1">
      <alignment vertical="center"/>
    </xf>
    <xf numFmtId="0" fontId="2" fillId="0" borderId="0" xfId="0" applyFont="1" applyBorder="1" applyAlignment="1" applyProtection="1">
      <alignment vertical="center"/>
    </xf>
    <xf numFmtId="0" fontId="19" fillId="0" borderId="0" xfId="0" applyFont="1" applyBorder="1" applyAlignment="1" applyProtection="1">
      <alignment vertical="top" wrapText="1"/>
    </xf>
    <xf numFmtId="0" fontId="2" fillId="0" borderId="0" xfId="0" applyFont="1" applyAlignment="1" applyProtection="1">
      <alignment horizontal="center"/>
    </xf>
    <xf numFmtId="0" fontId="2" fillId="0" borderId="9" xfId="0" applyFont="1" applyBorder="1" applyAlignment="1" applyProtection="1">
      <alignment horizontal="center"/>
    </xf>
    <xf numFmtId="14" fontId="3" fillId="0" borderId="10" xfId="0" applyNumberFormat="1" applyFont="1" applyFill="1" applyBorder="1" applyAlignment="1" applyProtection="1">
      <alignment horizontal="center"/>
    </xf>
    <xf numFmtId="0" fontId="3" fillId="0" borderId="0" xfId="0" applyFont="1" applyFill="1" applyBorder="1" applyAlignment="1" applyProtection="1">
      <alignment horizontal="center"/>
    </xf>
    <xf numFmtId="0" fontId="0" fillId="0" borderId="5" xfId="0" applyBorder="1" applyAlignment="1" applyProtection="1">
      <alignment horizontal="center"/>
    </xf>
    <xf numFmtId="14" fontId="2" fillId="0" borderId="5" xfId="0" applyNumberFormat="1" applyFont="1" applyFill="1" applyBorder="1" applyAlignment="1" applyProtection="1">
      <alignment horizontal="right"/>
    </xf>
    <xf numFmtId="0" fontId="2" fillId="0" borderId="26" xfId="0" applyFont="1" applyBorder="1" applyAlignment="1" applyProtection="1">
      <alignment horizontal="center"/>
    </xf>
    <xf numFmtId="14" fontId="10" fillId="0" borderId="26" xfId="0" applyNumberFormat="1" applyFont="1" applyBorder="1" applyAlignment="1" applyProtection="1">
      <alignment horizontal="center"/>
    </xf>
    <xf numFmtId="0" fontId="0" fillId="0" borderId="2" xfId="0" applyBorder="1" applyProtection="1"/>
    <xf numFmtId="0" fontId="13" fillId="0" borderId="0" xfId="0" applyFont="1" applyProtection="1"/>
    <xf numFmtId="0" fontId="2" fillId="0" borderId="0" xfId="0" applyNumberFormat="1" applyFont="1" applyFill="1" applyBorder="1" applyAlignment="1" applyProtection="1"/>
    <xf numFmtId="0" fontId="13" fillId="0" borderId="0" xfId="0" applyFont="1" applyAlignment="1" applyProtection="1">
      <alignment vertical="center"/>
    </xf>
    <xf numFmtId="0" fontId="13" fillId="0" borderId="0" xfId="0" applyFont="1" applyAlignment="1" applyProtection="1">
      <alignment vertical="top"/>
    </xf>
    <xf numFmtId="0" fontId="2" fillId="0" borderId="2" xfId="0" applyFont="1" applyBorder="1" applyAlignment="1" applyProtection="1"/>
    <xf numFmtId="1" fontId="2" fillId="0" borderId="2" xfId="0" applyNumberFormat="1" applyFont="1" applyFill="1" applyBorder="1" applyAlignment="1" applyProtection="1">
      <alignment horizontal="right"/>
    </xf>
    <xf numFmtId="164" fontId="4" fillId="0" borderId="2" xfId="0" applyNumberFormat="1" applyFont="1" applyFill="1" applyBorder="1" applyAlignment="1" applyProtection="1">
      <alignment horizontal="right"/>
    </xf>
    <xf numFmtId="0" fontId="2" fillId="0" borderId="5" xfId="0" applyFont="1" applyBorder="1" applyProtection="1"/>
    <xf numFmtId="0" fontId="3" fillId="0" borderId="0" xfId="0" applyFont="1" applyBorder="1" applyAlignment="1" applyProtection="1">
      <alignment horizontal="left"/>
    </xf>
    <xf numFmtId="0" fontId="3" fillId="0" borderId="0" xfId="0" applyFont="1" applyFill="1" applyBorder="1" applyAlignment="1" applyProtection="1">
      <alignment horizontal="left"/>
    </xf>
    <xf numFmtId="14" fontId="3" fillId="0" borderId="0" xfId="0" applyNumberFormat="1" applyFont="1" applyFill="1" applyBorder="1" applyAlignment="1" applyProtection="1">
      <alignment horizontal="right"/>
    </xf>
    <xf numFmtId="14" fontId="3" fillId="0" borderId="3" xfId="0" applyNumberFormat="1" applyFont="1" applyFill="1" applyBorder="1" applyAlignment="1" applyProtection="1">
      <alignment horizontal="right"/>
    </xf>
    <xf numFmtId="0" fontId="2" fillId="0" borderId="26" xfId="0" applyFont="1" applyFill="1" applyBorder="1" applyAlignment="1" applyProtection="1">
      <alignment horizontal="center"/>
    </xf>
    <xf numFmtId="14" fontId="2" fillId="0" borderId="26" xfId="0" applyNumberFormat="1" applyFont="1" applyFill="1" applyBorder="1" applyAlignment="1" applyProtection="1">
      <alignment horizontal="center"/>
    </xf>
    <xf numFmtId="14" fontId="2" fillId="0" borderId="10" xfId="0" applyNumberFormat="1" applyFont="1" applyFill="1" applyBorder="1" applyAlignment="1" applyProtection="1">
      <alignment horizontal="center"/>
    </xf>
    <xf numFmtId="0" fontId="2" fillId="0" borderId="10" xfId="0" applyFont="1" applyFill="1" applyBorder="1" applyAlignment="1" applyProtection="1">
      <alignment horizontal="center"/>
    </xf>
    <xf numFmtId="0" fontId="2" fillId="0" borderId="33" xfId="0" applyFont="1" applyBorder="1" applyAlignment="1" applyProtection="1">
      <alignment horizontal="center" wrapText="1"/>
    </xf>
    <xf numFmtId="0" fontId="2" fillId="0" borderId="33" xfId="0" applyFont="1" applyFill="1" applyBorder="1" applyAlignment="1" applyProtection="1">
      <alignment horizontal="center" wrapText="1"/>
    </xf>
    <xf numFmtId="0" fontId="2" fillId="0" borderId="33" xfId="0" applyFont="1" applyBorder="1" applyAlignment="1" applyProtection="1">
      <alignment horizontal="center"/>
    </xf>
    <xf numFmtId="0" fontId="2" fillId="0" borderId="32" xfId="0" applyFont="1" applyFill="1" applyBorder="1" applyAlignment="1" applyProtection="1">
      <alignment wrapText="1"/>
    </xf>
    <xf numFmtId="44" fontId="2" fillId="0" borderId="30" xfId="1" applyFont="1" applyFill="1" applyBorder="1" applyAlignment="1" applyProtection="1"/>
    <xf numFmtId="44" fontId="2" fillId="0" borderId="30" xfId="1" applyFont="1" applyFill="1" applyBorder="1" applyAlignment="1" applyProtection="1">
      <alignment wrapText="1"/>
    </xf>
    <xf numFmtId="164" fontId="2" fillId="0" borderId="10" xfId="0" applyNumberFormat="1" applyFont="1" applyFill="1" applyBorder="1" applyAlignment="1" applyProtection="1">
      <alignment horizontal="center" vertical="center"/>
    </xf>
    <xf numFmtId="0" fontId="2" fillId="0" borderId="26" xfId="0" applyFont="1" applyFill="1" applyBorder="1" applyAlignment="1" applyProtection="1">
      <alignment wrapText="1"/>
    </xf>
    <xf numFmtId="44" fontId="2" fillId="0" borderId="26" xfId="1" applyFont="1" applyFill="1" applyBorder="1" applyAlignment="1" applyProtection="1">
      <alignment wrapText="1"/>
    </xf>
    <xf numFmtId="0" fontId="2" fillId="0" borderId="30" xfId="0" applyFont="1" applyFill="1" applyBorder="1" applyAlignment="1" applyProtection="1">
      <alignment wrapText="1"/>
    </xf>
    <xf numFmtId="0" fontId="2" fillId="0" borderId="10" xfId="0" applyFont="1" applyFill="1" applyBorder="1" applyProtection="1"/>
    <xf numFmtId="44" fontId="2" fillId="0" borderId="26" xfId="1" applyFont="1" applyFill="1" applyBorder="1" applyAlignment="1" applyProtection="1">
      <alignment horizontal="left"/>
    </xf>
    <xf numFmtId="164" fontId="2" fillId="0" borderId="10" xfId="0" applyNumberFormat="1" applyFont="1" applyFill="1" applyBorder="1" applyProtection="1"/>
    <xf numFmtId="0" fontId="2" fillId="0" borderId="10" xfId="0" applyFont="1" applyBorder="1" applyProtection="1"/>
    <xf numFmtId="44" fontId="7" fillId="0" borderId="26" xfId="1" applyFont="1" applyFill="1" applyBorder="1" applyAlignment="1" applyProtection="1"/>
    <xf numFmtId="0" fontId="2" fillId="0" borderId="10" xfId="0" applyFont="1" applyBorder="1" applyAlignment="1" applyProtection="1">
      <alignment horizontal="center"/>
    </xf>
    <xf numFmtId="0" fontId="4" fillId="0" borderId="41" xfId="0" applyFont="1" applyBorder="1" applyAlignment="1" applyProtection="1">
      <alignment horizontal="left"/>
    </xf>
    <xf numFmtId="0" fontId="4" fillId="0" borderId="39" xfId="0" applyFont="1" applyBorder="1" applyAlignment="1" applyProtection="1">
      <alignment horizontal="left" vertical="top"/>
    </xf>
    <xf numFmtId="44" fontId="4" fillId="0" borderId="40" xfId="1" applyFont="1" applyBorder="1" applyProtection="1"/>
    <xf numFmtId="165" fontId="4" fillId="0" borderId="40" xfId="2" applyNumberFormat="1" applyFont="1" applyBorder="1" applyProtection="1"/>
    <xf numFmtId="44" fontId="4" fillId="0" borderId="40" xfId="1" applyFont="1" applyBorder="1" applyAlignment="1" applyProtection="1"/>
    <xf numFmtId="0" fontId="0" fillId="0" borderId="5" xfId="0" applyBorder="1" applyProtection="1"/>
    <xf numFmtId="0" fontId="2" fillId="0" borderId="5" xfId="0" applyFont="1" applyBorder="1" applyAlignment="1" applyProtection="1">
      <alignment vertical="top" wrapText="1"/>
    </xf>
    <xf numFmtId="0" fontId="2" fillId="0" borderId="5" xfId="2" applyNumberFormat="1" applyFont="1" applyBorder="1" applyAlignment="1" applyProtection="1">
      <alignment vertical="top" wrapText="1"/>
    </xf>
    <xf numFmtId="0" fontId="2" fillId="0" borderId="5" xfId="0" applyFont="1" applyBorder="1" applyAlignment="1" applyProtection="1">
      <alignment vertical="top"/>
    </xf>
    <xf numFmtId="10" fontId="0" fillId="0" borderId="0" xfId="2" applyNumberFormat="1" applyFont="1" applyProtection="1"/>
    <xf numFmtId="9" fontId="0" fillId="0" borderId="0" xfId="2" applyFont="1" applyProtection="1"/>
    <xf numFmtId="44" fontId="4" fillId="0" borderId="38" xfId="1" applyFont="1" applyBorder="1"/>
    <xf numFmtId="1" fontId="2" fillId="5" borderId="36" xfId="0" applyNumberFormat="1" applyFont="1" applyFill="1" applyBorder="1" applyAlignment="1" applyProtection="1">
      <alignment horizontal="center" wrapText="1"/>
      <protection locked="0"/>
    </xf>
    <xf numFmtId="1" fontId="2" fillId="5" borderId="34" xfId="1" applyNumberFormat="1" applyFont="1" applyFill="1" applyBorder="1" applyAlignment="1" applyProtection="1">
      <alignment horizontal="center"/>
      <protection locked="0"/>
    </xf>
    <xf numFmtId="1" fontId="2" fillId="5" borderId="26" xfId="1" applyNumberFormat="1" applyFont="1" applyFill="1" applyBorder="1" applyAlignment="1" applyProtection="1">
      <alignment horizontal="center"/>
      <protection locked="0"/>
    </xf>
    <xf numFmtId="1" fontId="2" fillId="5" borderId="34" xfId="1" applyNumberFormat="1" applyFont="1" applyFill="1" applyBorder="1" applyAlignment="1" applyProtection="1">
      <alignment horizontal="center"/>
    </xf>
    <xf numFmtId="1" fontId="2" fillId="5" borderId="42" xfId="1" applyNumberFormat="1" applyFont="1" applyFill="1" applyBorder="1" applyAlignment="1" applyProtection="1">
      <alignment horizontal="center"/>
      <protection locked="0"/>
    </xf>
    <xf numFmtId="0" fontId="2" fillId="0" borderId="14" xfId="0" applyFont="1" applyBorder="1" applyAlignment="1" applyProtection="1">
      <alignment horizontal="center"/>
    </xf>
    <xf numFmtId="0" fontId="5" fillId="0" borderId="0" xfId="0" applyFont="1" applyFill="1" applyBorder="1" applyAlignment="1" applyProtection="1">
      <alignment horizontal="center"/>
    </xf>
    <xf numFmtId="0" fontId="5" fillId="0" borderId="17" xfId="0" applyFont="1" applyFill="1" applyBorder="1" applyAlignment="1" applyProtection="1">
      <alignment horizontal="center"/>
    </xf>
    <xf numFmtId="14" fontId="2" fillId="0" borderId="0" xfId="0" applyNumberFormat="1" applyFont="1"/>
    <xf numFmtId="14" fontId="2" fillId="0" borderId="46" xfId="0" applyNumberFormat="1" applyFont="1" applyBorder="1"/>
    <xf numFmtId="14" fontId="2" fillId="0" borderId="47" xfId="0" applyNumberFormat="1" applyFont="1" applyBorder="1"/>
    <xf numFmtId="14" fontId="2" fillId="0" borderId="48" xfId="0" applyNumberFormat="1" applyFont="1" applyBorder="1"/>
    <xf numFmtId="0" fontId="2" fillId="0" borderId="45" xfId="0" applyFont="1" applyBorder="1"/>
    <xf numFmtId="14" fontId="20" fillId="5" borderId="5" xfId="0" applyNumberFormat="1" applyFont="1" applyFill="1" applyBorder="1" applyAlignment="1" applyProtection="1">
      <alignment horizontal="right"/>
      <protection locked="0"/>
    </xf>
    <xf numFmtId="0" fontId="2" fillId="0" borderId="8" xfId="0" applyFont="1" applyFill="1" applyBorder="1" applyAlignment="1">
      <alignment horizontal="center" wrapText="1"/>
    </xf>
    <xf numFmtId="14" fontId="2" fillId="0" borderId="5" xfId="0" applyNumberFormat="1" applyFont="1" applyFill="1" applyBorder="1" applyAlignment="1" applyProtection="1">
      <alignment horizontal="right"/>
    </xf>
    <xf numFmtId="165" fontId="21" fillId="0" borderId="30" xfId="2" applyNumberFormat="1" applyFont="1" applyFill="1" applyBorder="1" applyAlignment="1" applyProtection="1"/>
    <xf numFmtId="44" fontId="21" fillId="0" borderId="32" xfId="1" applyFont="1" applyFill="1" applyBorder="1" applyAlignment="1" applyProtection="1"/>
    <xf numFmtId="165" fontId="21" fillId="0" borderId="26" xfId="2" applyNumberFormat="1" applyFont="1" applyFill="1" applyBorder="1" applyAlignment="1" applyProtection="1"/>
    <xf numFmtId="44" fontId="21" fillId="0" borderId="26" xfId="1" applyFont="1" applyFill="1" applyBorder="1" applyAlignment="1" applyProtection="1"/>
    <xf numFmtId="44" fontId="2" fillId="0" borderId="30" xfId="1" applyNumberFormat="1" applyFont="1" applyFill="1" applyBorder="1" applyAlignment="1" applyProtection="1">
      <protection locked="0"/>
    </xf>
    <xf numFmtId="0" fontId="2" fillId="0" borderId="0" xfId="0" applyFont="1" applyBorder="1" applyAlignment="1" applyProtection="1">
      <alignment vertical="top"/>
    </xf>
    <xf numFmtId="0" fontId="2" fillId="0" borderId="9" xfId="0" applyFont="1" applyBorder="1" applyAlignment="1"/>
    <xf numFmtId="0" fontId="2" fillId="5" borderId="26" xfId="0" applyFont="1" applyFill="1" applyBorder="1" applyAlignment="1" applyProtection="1">
      <alignment wrapText="1"/>
      <protection locked="0"/>
    </xf>
    <xf numFmtId="0" fontId="2" fillId="5" borderId="26" xfId="1" applyNumberFormat="1" applyFont="1" applyFill="1" applyBorder="1" applyAlignment="1" applyProtection="1">
      <alignment wrapText="1"/>
      <protection locked="0"/>
    </xf>
    <xf numFmtId="44" fontId="2" fillId="5" borderId="26" xfId="1" applyFont="1" applyFill="1" applyBorder="1" applyAlignment="1" applyProtection="1">
      <alignment wrapText="1"/>
      <protection locked="0"/>
    </xf>
    <xf numFmtId="0" fontId="2" fillId="0" borderId="10" xfId="0" applyFont="1" applyBorder="1" applyAlignment="1">
      <alignment horizontal="left" wrapText="1"/>
    </xf>
    <xf numFmtId="0" fontId="2" fillId="0" borderId="0" xfId="0" applyFont="1" applyAlignment="1"/>
    <xf numFmtId="9" fontId="2" fillId="0" borderId="33" xfId="0" applyNumberFormat="1" applyFont="1" applyFill="1" applyBorder="1" applyAlignment="1" applyProtection="1">
      <alignment horizontal="center" wrapText="1"/>
      <protection locked="0"/>
    </xf>
    <xf numFmtId="1" fontId="2" fillId="0" borderId="2" xfId="0" applyNumberFormat="1" applyFont="1" applyBorder="1" applyAlignment="1"/>
    <xf numFmtId="1" fontId="2" fillId="0" borderId="2" xfId="0" applyNumberFormat="1" applyFont="1" applyBorder="1" applyAlignment="1">
      <alignment horizontal="right"/>
    </xf>
    <xf numFmtId="14" fontId="2" fillId="0" borderId="5" xfId="0" applyNumberFormat="1" applyFont="1" applyBorder="1" applyAlignment="1">
      <alignment horizontal="right"/>
    </xf>
    <xf numFmtId="0" fontId="0" fillId="0" borderId="5" xfId="0" applyBorder="1" applyAlignment="1" applyProtection="1">
      <alignment horizontal="center"/>
    </xf>
    <xf numFmtId="0" fontId="0" fillId="0" borderId="2" xfId="0" applyBorder="1" applyAlignment="1" applyProtection="1">
      <alignment horizontal="center"/>
    </xf>
    <xf numFmtId="0" fontId="2" fillId="0" borderId="5" xfId="0" applyFont="1" applyBorder="1" applyAlignment="1" applyProtection="1">
      <alignment horizontal="center"/>
    </xf>
    <xf numFmtId="0" fontId="2" fillId="0" borderId="6" xfId="0" applyFont="1" applyBorder="1" applyAlignment="1" applyProtection="1">
      <alignment horizontal="center"/>
    </xf>
    <xf numFmtId="0" fontId="5" fillId="0" borderId="7" xfId="0" applyFont="1" applyFill="1" applyBorder="1" applyAlignment="1" applyProtection="1">
      <alignment horizontal="center"/>
    </xf>
    <xf numFmtId="0" fontId="2" fillId="0" borderId="0" xfId="0" applyFont="1" applyAlignment="1" applyProtection="1">
      <alignment horizontal="center"/>
    </xf>
    <xf numFmtId="0" fontId="1" fillId="0" borderId="0" xfId="0" applyFont="1" applyBorder="1" applyAlignment="1" applyProtection="1">
      <alignment horizontal="center" vertical="center" wrapText="1"/>
    </xf>
    <xf numFmtId="0" fontId="2" fillId="0" borderId="2" xfId="0" applyFont="1" applyBorder="1" applyAlignment="1" applyProtection="1">
      <alignment horizontal="left"/>
    </xf>
    <xf numFmtId="0" fontId="2" fillId="0" borderId="5" xfId="0" applyFont="1" applyBorder="1" applyAlignment="1" applyProtection="1">
      <alignment horizontal="left"/>
    </xf>
    <xf numFmtId="0" fontId="2" fillId="0" borderId="7" xfId="0" applyFont="1" applyBorder="1" applyAlignment="1" applyProtection="1">
      <alignment horizontal="center"/>
    </xf>
    <xf numFmtId="0" fontId="2" fillId="0" borderId="13" xfId="0" applyFont="1" applyBorder="1" applyAlignment="1" applyProtection="1">
      <alignment horizontal="center" vertical="top"/>
    </xf>
    <xf numFmtId="0" fontId="2" fillId="0" borderId="0" xfId="0" applyFont="1" applyBorder="1" applyAlignment="1" applyProtection="1">
      <alignment horizontal="center"/>
    </xf>
    <xf numFmtId="0" fontId="2" fillId="0" borderId="8" xfId="0" applyFont="1" applyBorder="1" applyAlignment="1" applyProtection="1">
      <alignment horizontal="center"/>
    </xf>
    <xf numFmtId="164" fontId="12" fillId="0" borderId="17" xfId="0" applyNumberFormat="1" applyFont="1" applyBorder="1" applyAlignment="1" applyProtection="1">
      <alignment horizontal="center"/>
    </xf>
    <xf numFmtId="0" fontId="2" fillId="0" borderId="0" xfId="0" applyFont="1" applyFill="1" applyBorder="1" applyAlignment="1" applyProtection="1">
      <alignment horizontal="left"/>
    </xf>
    <xf numFmtId="0" fontId="13" fillId="0" borderId="5" xfId="0" applyFont="1" applyBorder="1" applyAlignment="1" applyProtection="1">
      <alignment horizontal="left" vertical="top" wrapText="1"/>
    </xf>
    <xf numFmtId="0" fontId="3" fillId="0" borderId="0" xfId="0" applyFont="1" applyFill="1" applyBorder="1" applyAlignment="1" applyProtection="1">
      <alignment horizontal="center"/>
    </xf>
    <xf numFmtId="0" fontId="2" fillId="5" borderId="0" xfId="0" applyFont="1" applyFill="1" applyBorder="1" applyAlignment="1" applyProtection="1">
      <alignment horizontal="right"/>
      <protection locked="0"/>
    </xf>
    <xf numFmtId="0" fontId="13" fillId="0" borderId="0" xfId="0" applyFont="1" applyBorder="1" applyAlignment="1" applyProtection="1">
      <alignment horizontal="left" vertical="center" wrapText="1"/>
    </xf>
    <xf numFmtId="0" fontId="13" fillId="0" borderId="0" xfId="0" applyFont="1" applyAlignment="1" applyProtection="1">
      <alignment horizontal="left"/>
    </xf>
    <xf numFmtId="165" fontId="22" fillId="0" borderId="0" xfId="0" applyNumberFormat="1" applyFont="1" applyBorder="1" applyAlignment="1" applyProtection="1">
      <alignment horizontal="center"/>
    </xf>
    <xf numFmtId="0" fontId="2" fillId="0" borderId="0" xfId="0" applyFont="1" applyBorder="1" applyAlignment="1" applyProtection="1">
      <alignment horizontal="left" indent="1"/>
    </xf>
    <xf numFmtId="14" fontId="2" fillId="0" borderId="5" xfId="0" applyNumberFormat="1" applyFont="1" applyFill="1" applyBorder="1" applyAlignment="1" applyProtection="1">
      <alignment horizontal="right"/>
    </xf>
    <xf numFmtId="0" fontId="2" fillId="0" borderId="5" xfId="0" applyFont="1" applyFill="1" applyBorder="1" applyAlignment="1" applyProtection="1">
      <alignment horizontal="right"/>
    </xf>
    <xf numFmtId="1" fontId="2" fillId="0" borderId="2" xfId="0" applyNumberFormat="1" applyFont="1" applyFill="1" applyBorder="1" applyAlignment="1" applyProtection="1">
      <alignment horizontal="right"/>
    </xf>
    <xf numFmtId="0" fontId="2" fillId="0" borderId="2" xfId="0" applyFont="1" applyFill="1" applyBorder="1" applyAlignment="1" applyProtection="1">
      <alignment horizontal="right"/>
    </xf>
    <xf numFmtId="0" fontId="2" fillId="0" borderId="14" xfId="0" applyFont="1" applyBorder="1" applyAlignment="1" applyProtection="1">
      <alignment horizontal="center"/>
    </xf>
    <xf numFmtId="164" fontId="2" fillId="0" borderId="2" xfId="0" applyNumberFormat="1" applyFont="1" applyBorder="1" applyAlignment="1" applyProtection="1">
      <alignment horizontal="right"/>
    </xf>
    <xf numFmtId="0" fontId="2" fillId="0" borderId="2" xfId="0" applyFont="1" applyBorder="1" applyAlignment="1" applyProtection="1">
      <alignment horizontal="right"/>
    </xf>
    <xf numFmtId="0" fontId="2" fillId="0" borderId="2" xfId="0" applyFont="1" applyFill="1" applyBorder="1" applyAlignment="1" applyProtection="1">
      <alignment horizontal="left"/>
    </xf>
    <xf numFmtId="0" fontId="2" fillId="0" borderId="0" xfId="0" applyFont="1" applyBorder="1" applyAlignment="1" applyProtection="1">
      <alignment horizontal="left"/>
    </xf>
    <xf numFmtId="0" fontId="2" fillId="0" borderId="19" xfId="0" applyFont="1" applyFill="1" applyBorder="1" applyAlignment="1" applyProtection="1">
      <alignment horizontal="center"/>
    </xf>
    <xf numFmtId="0" fontId="2" fillId="0" borderId="12" xfId="0" applyFont="1" applyFill="1" applyBorder="1" applyAlignment="1" applyProtection="1">
      <alignment horizontal="center"/>
    </xf>
    <xf numFmtId="0" fontId="2" fillId="0" borderId="20" xfId="0" applyFont="1" applyFill="1" applyBorder="1" applyAlignment="1" applyProtection="1">
      <alignment horizontal="center"/>
    </xf>
    <xf numFmtId="0" fontId="2" fillId="0" borderId="14" xfId="0" applyFont="1" applyBorder="1" applyAlignment="1" applyProtection="1">
      <alignment horizontal="left" vertical="center" wrapText="1" indent="1"/>
    </xf>
    <xf numFmtId="0" fontId="2" fillId="0" borderId="0" xfId="0" applyFont="1" applyBorder="1" applyAlignment="1" applyProtection="1">
      <alignment horizontal="left" vertical="center" wrapText="1" indent="1"/>
    </xf>
    <xf numFmtId="0" fontId="0" fillId="0" borderId="0" xfId="0" applyAlignment="1" applyProtection="1">
      <alignment horizontal="left" vertical="center" indent="1"/>
    </xf>
    <xf numFmtId="0" fontId="0" fillId="0" borderId="14" xfId="0" applyBorder="1" applyAlignment="1" applyProtection="1">
      <alignment horizontal="left" vertical="center" indent="1"/>
    </xf>
    <xf numFmtId="0" fontId="0" fillId="0" borderId="0" xfId="0" applyBorder="1" applyAlignment="1" applyProtection="1">
      <alignment horizontal="left" vertical="center" indent="1"/>
    </xf>
    <xf numFmtId="164" fontId="2" fillId="5" borderId="0" xfId="0" applyNumberFormat="1" applyFont="1" applyFill="1" applyBorder="1" applyAlignment="1" applyProtection="1">
      <alignment horizontal="right" vertical="center"/>
      <protection locked="0"/>
    </xf>
    <xf numFmtId="0" fontId="3" fillId="0" borderId="17" xfId="0" applyFont="1" applyFill="1" applyBorder="1" applyAlignment="1" applyProtection="1">
      <alignment horizontal="center"/>
    </xf>
    <xf numFmtId="164" fontId="2" fillId="5" borderId="43" xfId="0" applyNumberFormat="1" applyFont="1" applyFill="1" applyBorder="1" applyAlignment="1" applyProtection="1">
      <alignment horizontal="right" vertical="center"/>
      <protection locked="0"/>
    </xf>
    <xf numFmtId="164" fontId="2" fillId="5" borderId="15" xfId="0" applyNumberFormat="1" applyFont="1" applyFill="1" applyBorder="1" applyAlignment="1" applyProtection="1">
      <alignment horizontal="right" vertical="center"/>
      <protection locked="0"/>
    </xf>
    <xf numFmtId="164" fontId="9" fillId="0" borderId="17" xfId="0" applyNumberFormat="1" applyFont="1" applyFill="1" applyBorder="1" applyAlignment="1" applyProtection="1">
      <alignment horizontal="right"/>
    </xf>
    <xf numFmtId="164" fontId="2" fillId="0" borderId="17" xfId="0" applyNumberFormat="1" applyFont="1" applyFill="1" applyBorder="1" applyAlignment="1" applyProtection="1">
      <alignment horizontal="right"/>
    </xf>
    <xf numFmtId="0" fontId="19" fillId="0" borderId="0" xfId="0" applyFont="1" applyBorder="1" applyAlignment="1" applyProtection="1">
      <alignment horizontal="left" vertical="top" wrapText="1"/>
    </xf>
    <xf numFmtId="0" fontId="2" fillId="5" borderId="31" xfId="0" applyFont="1" applyFill="1" applyBorder="1" applyAlignment="1" applyProtection="1">
      <alignment horizontal="left" vertical="top"/>
      <protection locked="0"/>
    </xf>
    <xf numFmtId="0" fontId="2" fillId="0" borderId="13" xfId="0" applyFont="1" applyFill="1" applyBorder="1" applyAlignment="1" applyProtection="1">
      <alignment horizontal="left" vertical="top"/>
    </xf>
    <xf numFmtId="0" fontId="2" fillId="0" borderId="15" xfId="0" applyFont="1" applyBorder="1" applyAlignment="1" applyProtection="1">
      <alignment horizontal="center"/>
    </xf>
    <xf numFmtId="164" fontId="2" fillId="0" borderId="0" xfId="0" applyNumberFormat="1" applyFont="1" applyBorder="1" applyAlignment="1" applyProtection="1">
      <alignment horizontal="right"/>
    </xf>
    <xf numFmtId="7" fontId="2" fillId="0" borderId="0" xfId="0" applyNumberFormat="1" applyFont="1" applyBorder="1" applyAlignment="1" applyProtection="1">
      <alignment horizontal="right"/>
    </xf>
    <xf numFmtId="7" fontId="2" fillId="0" borderId="17" xfId="0" applyNumberFormat="1" applyFont="1" applyBorder="1" applyAlignment="1" applyProtection="1">
      <alignment horizontal="right"/>
    </xf>
    <xf numFmtId="7" fontId="2" fillId="0" borderId="13" xfId="0" applyNumberFormat="1" applyFont="1" applyBorder="1" applyAlignment="1" applyProtection="1">
      <alignment horizontal="right"/>
    </xf>
    <xf numFmtId="165" fontId="2" fillId="0" borderId="0" xfId="2" applyNumberFormat="1" applyFont="1" applyBorder="1" applyAlignment="1" applyProtection="1">
      <alignment horizontal="center"/>
    </xf>
    <xf numFmtId="0" fontId="2" fillId="0" borderId="0" xfId="0" applyFont="1" applyAlignment="1" applyProtection="1">
      <alignment horizontal="left"/>
    </xf>
    <xf numFmtId="1" fontId="2" fillId="0" borderId="0" xfId="0" applyNumberFormat="1" applyFont="1" applyFill="1" applyAlignment="1" applyProtection="1">
      <alignment horizontal="right"/>
    </xf>
    <xf numFmtId="165" fontId="22" fillId="0" borderId="0" xfId="0" applyNumberFormat="1" applyFont="1" applyFill="1" applyBorder="1" applyAlignment="1" applyProtection="1">
      <alignment horizontal="center"/>
    </xf>
    <xf numFmtId="0" fontId="2" fillId="0" borderId="13" xfId="0" applyFont="1" applyBorder="1" applyAlignment="1" applyProtection="1">
      <alignment horizontal="center"/>
    </xf>
    <xf numFmtId="164" fontId="2" fillId="0" borderId="0" xfId="0" applyNumberFormat="1" applyFont="1" applyFill="1" applyBorder="1" applyAlignment="1" applyProtection="1">
      <alignment horizontal="center" vertical="top"/>
    </xf>
    <xf numFmtId="164" fontId="9" fillId="0" borderId="0" xfId="0" applyNumberFormat="1" applyFont="1" applyBorder="1" applyAlignment="1" applyProtection="1">
      <alignment horizontal="center"/>
    </xf>
    <xf numFmtId="0" fontId="2" fillId="0" borderId="16" xfId="0" applyFont="1" applyBorder="1" applyAlignment="1" applyProtection="1">
      <alignment horizontal="left"/>
    </xf>
    <xf numFmtId="0" fontId="2" fillId="0" borderId="17" xfId="0" applyFont="1" applyBorder="1" applyAlignment="1" applyProtection="1">
      <alignment horizontal="left"/>
    </xf>
    <xf numFmtId="0" fontId="2" fillId="0" borderId="18" xfId="0" applyFont="1" applyBorder="1" applyAlignment="1" applyProtection="1">
      <alignment horizontal="left"/>
    </xf>
    <xf numFmtId="164" fontId="2" fillId="0" borderId="17" xfId="1" applyNumberFormat="1" applyFont="1" applyBorder="1" applyAlignment="1" applyProtection="1">
      <alignment horizontal="right"/>
    </xf>
    <xf numFmtId="0" fontId="5" fillId="2" borderId="23" xfId="0" applyFont="1" applyFill="1" applyBorder="1" applyAlignment="1" applyProtection="1">
      <alignment horizontal="center"/>
    </xf>
    <xf numFmtId="14" fontId="2" fillId="4" borderId="8" xfId="0" applyNumberFormat="1" applyFont="1" applyFill="1" applyBorder="1" applyAlignment="1" applyProtection="1">
      <alignment horizontal="center"/>
    </xf>
    <xf numFmtId="164" fontId="11" fillId="0" borderId="2" xfId="0" applyNumberFormat="1" applyFont="1" applyFill="1" applyBorder="1" applyAlignment="1" applyProtection="1">
      <alignment horizontal="right"/>
    </xf>
    <xf numFmtId="0" fontId="2" fillId="0" borderId="5" xfId="0" applyFont="1" applyFill="1" applyBorder="1" applyAlignment="1" applyProtection="1">
      <alignment horizontal="left"/>
    </xf>
    <xf numFmtId="0" fontId="14" fillId="0" borderId="5" xfId="0" applyFont="1" applyBorder="1" applyAlignment="1" applyProtection="1">
      <alignment horizontal="right" vertical="center" wrapText="1"/>
    </xf>
    <xf numFmtId="0" fontId="4" fillId="0" borderId="5" xfId="0" applyFont="1" applyBorder="1" applyAlignment="1" applyProtection="1">
      <alignment horizontal="left" vertical="center" wrapText="1"/>
    </xf>
    <xf numFmtId="0" fontId="4" fillId="0" borderId="0" xfId="0" applyFont="1" applyBorder="1" applyAlignment="1" applyProtection="1">
      <alignment horizontal="left"/>
    </xf>
    <xf numFmtId="0" fontId="2" fillId="0" borderId="0" xfId="0" applyFont="1" applyFill="1" applyBorder="1" applyAlignment="1" applyProtection="1">
      <alignment horizontal="left" indent="2"/>
    </xf>
    <xf numFmtId="164" fontId="2" fillId="0" borderId="17" xfId="0" applyNumberFormat="1" applyFont="1" applyBorder="1" applyAlignment="1" applyProtection="1">
      <alignment horizontal="right"/>
    </xf>
    <xf numFmtId="0" fontId="2" fillId="0" borderId="17" xfId="0" applyFont="1" applyBorder="1" applyAlignment="1" applyProtection="1">
      <alignment horizontal="right"/>
    </xf>
    <xf numFmtId="0" fontId="2" fillId="0" borderId="19" xfId="0" applyFont="1" applyBorder="1" applyAlignment="1" applyProtection="1">
      <alignment horizontal="center"/>
    </xf>
    <xf numFmtId="0" fontId="2" fillId="0" borderId="12" xfId="0" applyFont="1" applyBorder="1" applyAlignment="1" applyProtection="1">
      <alignment horizontal="center"/>
    </xf>
    <xf numFmtId="0" fontId="2" fillId="0" borderId="20" xfId="0" applyFont="1" applyBorder="1" applyAlignment="1" applyProtection="1">
      <alignment horizontal="center"/>
    </xf>
    <xf numFmtId="164" fontId="2" fillId="0" borderId="17" xfId="0" applyNumberFormat="1" applyFont="1" applyBorder="1" applyAlignment="1" applyProtection="1">
      <alignment horizontal="center"/>
    </xf>
    <xf numFmtId="0" fontId="2" fillId="0" borderId="0" xfId="0" applyFont="1" applyBorder="1" applyAlignment="1" applyProtection="1">
      <alignment horizontal="center" vertical="top"/>
    </xf>
    <xf numFmtId="14" fontId="3" fillId="0" borderId="3" xfId="0" applyNumberFormat="1" applyFont="1" applyFill="1" applyBorder="1" applyAlignment="1" applyProtection="1">
      <alignment horizontal="center"/>
    </xf>
    <xf numFmtId="14" fontId="3" fillId="0" borderId="10" xfId="0" applyNumberFormat="1" applyFont="1" applyFill="1" applyBorder="1" applyAlignment="1" applyProtection="1">
      <alignment horizontal="center"/>
    </xf>
    <xf numFmtId="0" fontId="2" fillId="0" borderId="0" xfId="0" applyFont="1" applyBorder="1" applyAlignment="1" applyProtection="1">
      <alignment horizontal="center" vertical="top" wrapText="1"/>
    </xf>
    <xf numFmtId="0" fontId="3" fillId="0" borderId="2" xfId="0" applyFont="1" applyFill="1" applyBorder="1" applyAlignment="1" applyProtection="1">
      <alignment horizontal="center"/>
    </xf>
    <xf numFmtId="9" fontId="2" fillId="0" borderId="0" xfId="2" applyFont="1" applyAlignment="1" applyProtection="1">
      <alignment horizontal="center"/>
    </xf>
    <xf numFmtId="164" fontId="2" fillId="0" borderId="0" xfId="0" applyNumberFormat="1" applyFont="1" applyFill="1" applyBorder="1" applyAlignment="1" applyProtection="1">
      <alignment horizontal="right"/>
    </xf>
    <xf numFmtId="164" fontId="11" fillId="0" borderId="11" xfId="0" applyNumberFormat="1" applyFont="1" applyBorder="1" applyAlignment="1" applyProtection="1">
      <alignment horizontal="right"/>
    </xf>
    <xf numFmtId="0" fontId="4" fillId="0" borderId="17" xfId="0" applyFont="1" applyBorder="1" applyAlignment="1" applyProtection="1">
      <alignment horizontal="left" vertical="top"/>
    </xf>
    <xf numFmtId="0" fontId="2" fillId="0" borderId="13" xfId="0" applyFont="1" applyBorder="1" applyAlignment="1" applyProtection="1">
      <alignment horizontal="center" vertical="top" wrapText="1"/>
    </xf>
    <xf numFmtId="0" fontId="5" fillId="0" borderId="0" xfId="0" applyFont="1" applyFill="1" applyBorder="1" applyAlignment="1" applyProtection="1">
      <alignment horizontal="center"/>
    </xf>
    <xf numFmtId="0" fontId="5" fillId="0" borderId="8" xfId="0" applyFont="1" applyFill="1" applyBorder="1" applyAlignment="1" applyProtection="1">
      <alignment horizontal="center"/>
    </xf>
    <xf numFmtId="14" fontId="2" fillId="0" borderId="0" xfId="0" applyNumberFormat="1" applyFont="1" applyBorder="1" applyAlignment="1" applyProtection="1">
      <alignment horizontal="center"/>
    </xf>
    <xf numFmtId="0" fontId="2" fillId="0" borderId="0" xfId="0" applyFont="1" applyAlignment="1" applyProtection="1">
      <alignment horizontal="left" indent="3"/>
    </xf>
    <xf numFmtId="0" fontId="2" fillId="0" borderId="7" xfId="0" applyFont="1" applyBorder="1" applyAlignment="1" applyProtection="1">
      <alignment horizontal="left"/>
    </xf>
    <xf numFmtId="0" fontId="2" fillId="0" borderId="29" xfId="0" applyFont="1" applyBorder="1" applyAlignment="1" applyProtection="1">
      <alignment horizontal="left"/>
    </xf>
    <xf numFmtId="0" fontId="2" fillId="0" borderId="21" xfId="0" applyFont="1" applyBorder="1" applyAlignment="1" applyProtection="1">
      <alignment horizontal="left"/>
    </xf>
    <xf numFmtId="0" fontId="9" fillId="0" borderId="0" xfId="0" applyFont="1" applyBorder="1" applyAlignment="1" applyProtection="1">
      <alignment horizontal="center" vertical="top" wrapText="1"/>
    </xf>
    <xf numFmtId="164" fontId="2" fillId="0" borderId="0" xfId="0" applyNumberFormat="1" applyFont="1" applyBorder="1" applyAlignment="1" applyProtection="1">
      <alignment horizontal="center"/>
    </xf>
    <xf numFmtId="164" fontId="2" fillId="0" borderId="17" xfId="0" applyNumberFormat="1" applyFont="1" applyFill="1" applyBorder="1" applyAlignment="1" applyProtection="1">
      <alignment horizontal="center"/>
    </xf>
    <xf numFmtId="0" fontId="2" fillId="0" borderId="1" xfId="0" applyFont="1" applyBorder="1" applyAlignment="1" applyProtection="1">
      <alignment horizontal="center"/>
    </xf>
    <xf numFmtId="0" fontId="2" fillId="0" borderId="9" xfId="0" applyFont="1" applyBorder="1" applyAlignment="1" applyProtection="1">
      <alignment horizontal="center"/>
    </xf>
    <xf numFmtId="0" fontId="2" fillId="0" borderId="4" xfId="0" applyFont="1" applyBorder="1" applyAlignment="1" applyProtection="1">
      <alignment horizontal="center"/>
    </xf>
    <xf numFmtId="0" fontId="5" fillId="0" borderId="17" xfId="0" applyFont="1" applyFill="1" applyBorder="1" applyAlignment="1" applyProtection="1">
      <alignment horizontal="center"/>
    </xf>
    <xf numFmtId="0" fontId="5" fillId="0" borderId="15" xfId="0" applyFont="1" applyFill="1" applyBorder="1" applyAlignment="1" applyProtection="1">
      <alignment horizontal="center"/>
    </xf>
    <xf numFmtId="0" fontId="2" fillId="0" borderId="13" xfId="0" applyFont="1" applyBorder="1" applyAlignment="1" applyProtection="1">
      <alignment horizontal="left"/>
    </xf>
    <xf numFmtId="0" fontId="2" fillId="0" borderId="14" xfId="0" applyFont="1" applyBorder="1" applyAlignment="1" applyProtection="1">
      <alignment horizontal="left" indent="1"/>
    </xf>
    <xf numFmtId="7" fontId="9" fillId="0" borderId="12" xfId="1" applyNumberFormat="1" applyFont="1" applyBorder="1" applyAlignment="1" applyProtection="1">
      <alignment horizontal="center"/>
    </xf>
    <xf numFmtId="7" fontId="9" fillId="0" borderId="20" xfId="1" applyNumberFormat="1" applyFont="1" applyBorder="1" applyAlignment="1" applyProtection="1">
      <alignment horizontal="center"/>
    </xf>
    <xf numFmtId="0" fontId="2" fillId="4" borderId="8" xfId="0" applyFont="1" applyFill="1" applyBorder="1" applyAlignment="1" applyProtection="1">
      <alignment horizontal="left"/>
      <protection locked="0"/>
    </xf>
    <xf numFmtId="0" fontId="2" fillId="0" borderId="7" xfId="0" applyFont="1" applyBorder="1" applyAlignment="1" applyProtection="1">
      <alignment horizontal="left" vertical="top"/>
    </xf>
    <xf numFmtId="0" fontId="2" fillId="0" borderId="8" xfId="0" applyFont="1" applyBorder="1" applyAlignment="1" applyProtection="1">
      <alignment horizontal="left"/>
    </xf>
    <xf numFmtId="0" fontId="4" fillId="0" borderId="0" xfId="0" applyFont="1" applyFill="1" applyBorder="1" applyAlignment="1" applyProtection="1">
      <alignment horizontal="left"/>
    </xf>
    <xf numFmtId="0" fontId="2" fillId="0" borderId="26" xfId="0" applyFont="1" applyBorder="1" applyAlignment="1" applyProtection="1">
      <alignment horizontal="center" wrapText="1"/>
    </xf>
    <xf numFmtId="0" fontId="2" fillId="0" borderId="27" xfId="0" applyFont="1" applyBorder="1" applyAlignment="1" applyProtection="1">
      <alignment horizontal="center" wrapText="1"/>
    </xf>
    <xf numFmtId="0" fontId="2" fillId="0" borderId="26" xfId="0" applyFont="1" applyFill="1" applyBorder="1" applyAlignment="1" applyProtection="1">
      <alignment horizontal="center" wrapText="1"/>
    </xf>
    <xf numFmtId="0" fontId="2" fillId="0" borderId="27" xfId="0" applyFont="1" applyFill="1" applyBorder="1" applyAlignment="1" applyProtection="1">
      <alignment horizontal="center" wrapText="1"/>
    </xf>
    <xf numFmtId="0" fontId="1" fillId="0" borderId="5" xfId="0" applyFont="1" applyBorder="1" applyAlignment="1" applyProtection="1">
      <alignment horizontal="center" vertical="center" wrapText="1"/>
    </xf>
    <xf numFmtId="0" fontId="2" fillId="0" borderId="26" xfId="0" applyFont="1" applyFill="1" applyBorder="1" applyAlignment="1" applyProtection="1">
      <alignment horizontal="center"/>
    </xf>
    <xf numFmtId="0" fontId="2" fillId="0" borderId="32" xfId="0" applyFont="1" applyFill="1" applyBorder="1" applyAlignment="1" applyProtection="1">
      <alignment horizontal="center" wrapText="1"/>
    </xf>
    <xf numFmtId="0" fontId="0" fillId="0" borderId="32" xfId="0" applyBorder="1" applyProtection="1"/>
    <xf numFmtId="0" fontId="15" fillId="0" borderId="34" xfId="0" applyFont="1" applyFill="1" applyBorder="1" applyAlignment="1" applyProtection="1">
      <alignment horizontal="center"/>
      <protection locked="0"/>
    </xf>
    <xf numFmtId="0" fontId="15" fillId="0" borderId="31" xfId="0" applyFont="1" applyFill="1" applyBorder="1" applyAlignment="1" applyProtection="1">
      <alignment horizontal="center"/>
      <protection locked="0"/>
    </xf>
    <xf numFmtId="0" fontId="2" fillId="0" borderId="0" xfId="0" applyFont="1" applyBorder="1" applyAlignment="1">
      <alignment horizontal="center" wrapText="1"/>
    </xf>
    <xf numFmtId="0" fontId="2" fillId="0" borderId="8" xfId="0" applyFont="1" applyBorder="1" applyAlignment="1">
      <alignment horizontal="center" wrapText="1"/>
    </xf>
    <xf numFmtId="0" fontId="2" fillId="0" borderId="0" xfId="0" applyFont="1" applyFill="1" applyBorder="1" applyAlignment="1">
      <alignment horizontal="center" wrapText="1"/>
    </xf>
    <xf numFmtId="0" fontId="2" fillId="0" borderId="8" xfId="0" applyFont="1" applyFill="1" applyBorder="1" applyAlignment="1">
      <alignment horizontal="center" wrapText="1"/>
    </xf>
    <xf numFmtId="0" fontId="1" fillId="0" borderId="0" xfId="0" applyFont="1" applyBorder="1" applyAlignment="1">
      <alignment horizontal="center" vertical="center" wrapText="1"/>
    </xf>
    <xf numFmtId="0" fontId="2" fillId="5" borderId="2" xfId="0" applyFont="1" applyFill="1" applyBorder="1" applyAlignment="1" applyProtection="1">
      <alignment horizontal="left"/>
      <protection locked="0"/>
    </xf>
    <xf numFmtId="0" fontId="2" fillId="5" borderId="5" xfId="0" applyFont="1" applyFill="1" applyBorder="1" applyAlignment="1" applyProtection="1">
      <alignment horizontal="left"/>
      <protection locked="0"/>
    </xf>
    <xf numFmtId="0" fontId="14" fillId="0" borderId="5" xfId="0" applyFont="1" applyBorder="1" applyAlignment="1">
      <alignment horizontal="right" vertical="center" wrapText="1"/>
    </xf>
    <xf numFmtId="0" fontId="4" fillId="0" borderId="5" xfId="0" applyFont="1" applyFill="1" applyBorder="1" applyAlignment="1">
      <alignment horizontal="left" vertical="center" wrapText="1"/>
    </xf>
    <xf numFmtId="0" fontId="4" fillId="5" borderId="5" xfId="0" applyFont="1" applyFill="1" applyBorder="1" applyAlignment="1" applyProtection="1">
      <alignment horizontal="left" vertical="center" wrapText="1"/>
      <protection locked="0"/>
    </xf>
    <xf numFmtId="0" fontId="2" fillId="0" borderId="2" xfId="0" applyFont="1" applyBorder="1" applyAlignment="1">
      <alignment horizontal="left"/>
    </xf>
    <xf numFmtId="0" fontId="2" fillId="0" borderId="5" xfId="0" applyFont="1" applyBorder="1" applyAlignment="1">
      <alignment horizontal="left"/>
    </xf>
    <xf numFmtId="0" fontId="3" fillId="0" borderId="2" xfId="0" applyFont="1" applyBorder="1" applyAlignment="1">
      <alignment horizontal="left"/>
    </xf>
    <xf numFmtId="167" fontId="2" fillId="5" borderId="34" xfId="0" applyNumberFormat="1" applyFont="1" applyFill="1" applyBorder="1" applyAlignment="1" applyProtection="1">
      <alignment horizontal="center"/>
      <protection locked="0"/>
    </xf>
    <xf numFmtId="167" fontId="2" fillId="5" borderId="35" xfId="0" applyNumberFormat="1" applyFont="1" applyFill="1" applyBorder="1" applyAlignment="1" applyProtection="1">
      <alignment horizontal="center"/>
      <protection locked="0"/>
    </xf>
    <xf numFmtId="0" fontId="15" fillId="0" borderId="12" xfId="0" applyFont="1" applyFill="1" applyBorder="1" applyAlignment="1" applyProtection="1">
      <alignment horizontal="center"/>
      <protection locked="0"/>
    </xf>
    <xf numFmtId="0" fontId="15" fillId="0" borderId="20" xfId="0" applyFont="1" applyFill="1" applyBorder="1" applyAlignment="1" applyProtection="1">
      <alignment horizontal="center"/>
      <protection locked="0"/>
    </xf>
    <xf numFmtId="167" fontId="2" fillId="5" borderId="36" xfId="0" applyNumberFormat="1" applyFont="1" applyFill="1" applyBorder="1" applyAlignment="1" applyProtection="1">
      <alignment horizontal="center" wrapText="1"/>
      <protection locked="0"/>
    </xf>
    <xf numFmtId="167" fontId="2" fillId="5" borderId="37" xfId="0" applyNumberFormat="1" applyFont="1" applyFill="1" applyBorder="1" applyAlignment="1" applyProtection="1">
      <alignment horizontal="center" wrapText="1"/>
      <protection locked="0"/>
    </xf>
    <xf numFmtId="0" fontId="4" fillId="0" borderId="41" xfId="0" applyFont="1" applyBorder="1" applyAlignment="1">
      <alignment horizontal="left"/>
    </xf>
    <xf numFmtId="0" fontId="4" fillId="0" borderId="38" xfId="0" applyFont="1" applyBorder="1" applyAlignment="1">
      <alignment horizontal="left"/>
    </xf>
    <xf numFmtId="0" fontId="4" fillId="0" borderId="5" xfId="0" applyFont="1" applyFill="1" applyBorder="1" applyAlignment="1" applyProtection="1">
      <alignment horizontal="left" vertical="center" wrapText="1"/>
    </xf>
    <xf numFmtId="0" fontId="17" fillId="0" borderId="0" xfId="0" applyFont="1" applyBorder="1" applyAlignment="1">
      <alignment horizontal="center"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64" fontId="4" fillId="0" borderId="2" xfId="0" applyNumberFormat="1" applyFont="1" applyBorder="1" applyAlignment="1">
      <alignment horizontal="right"/>
    </xf>
    <xf numFmtId="14" fontId="2" fillId="0" borderId="5" xfId="0" applyNumberFormat="1" applyFont="1" applyFill="1" applyBorder="1" applyAlignment="1">
      <alignment horizontal="right"/>
    </xf>
  </cellXfs>
  <cellStyles count="3">
    <cellStyle name="Currency" xfId="1" builtinId="4"/>
    <cellStyle name="Normal" xfId="0" builtinId="0"/>
    <cellStyle name="Percent" xfId="2" builtinId="5"/>
  </cellStyles>
  <dxfs count="0"/>
  <tableStyles count="0" defaultTableStyle="TableStyleMedium9"/>
  <colors>
    <mruColors>
      <color rgb="FFFFFF47"/>
      <color rgb="FFFFFF99"/>
      <color rgb="FFF2FDB9"/>
      <color rgb="FFFCFEBA"/>
      <color rgb="FFEEFFB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enableFormatConditionsCalculation="0">
    <pageSetUpPr fitToPage="1"/>
  </sheetPr>
  <dimension ref="A1:AF53"/>
  <sheetViews>
    <sheetView tabSelected="1" zoomScaleNormal="100" workbookViewId="0">
      <selection activeCell="D2" sqref="D2:O2"/>
    </sheetView>
  </sheetViews>
  <sheetFormatPr defaultColWidth="8.85546875" defaultRowHeight="15"/>
  <cols>
    <col min="1" max="1" width="2.7109375" style="63" customWidth="1"/>
    <col min="2" max="2" width="2" style="63" customWidth="1"/>
    <col min="3" max="3" width="13.28515625" style="63" customWidth="1"/>
    <col min="4" max="4" width="10.42578125" style="63" customWidth="1"/>
    <col min="5" max="5" width="11.140625" style="63" customWidth="1"/>
    <col min="6" max="6" width="6.28515625" style="63" customWidth="1"/>
    <col min="7" max="7" width="4.85546875" style="63" customWidth="1"/>
    <col min="8" max="8" width="12.28515625" style="63" customWidth="1"/>
    <col min="9" max="9" width="4.85546875" style="63" customWidth="1"/>
    <col min="10" max="10" width="12" style="63" customWidth="1"/>
    <col min="11" max="11" width="1.28515625" style="63" customWidth="1"/>
    <col min="12" max="12" width="11.42578125" style="63" customWidth="1"/>
    <col min="13" max="13" width="11.28515625" style="63" customWidth="1"/>
    <col min="14" max="14" width="13.42578125" style="63" customWidth="1"/>
    <col min="15" max="15" width="2.140625" style="63" customWidth="1"/>
    <col min="16" max="16" width="14.140625" style="63" customWidth="1"/>
    <col min="17" max="17" width="4.28515625" style="63" customWidth="1"/>
    <col min="18" max="18" width="2" style="63" customWidth="1"/>
    <col min="19" max="19" width="12.42578125" style="63" customWidth="1"/>
    <col min="20" max="20" width="4.28515625" style="63" customWidth="1"/>
    <col min="21" max="21" width="13.7109375" style="63" customWidth="1"/>
    <col min="22" max="22" width="2.7109375" style="63" customWidth="1"/>
    <col min="23" max="16384" width="8.85546875" style="63"/>
  </cols>
  <sheetData>
    <row r="1" spans="1:22" ht="7.5" customHeight="1" thickTop="1">
      <c r="A1" s="34"/>
      <c r="B1" s="269"/>
      <c r="C1" s="269"/>
      <c r="D1" s="269"/>
      <c r="E1" s="269"/>
      <c r="F1" s="269"/>
      <c r="G1" s="269"/>
      <c r="H1" s="269"/>
      <c r="I1" s="269"/>
      <c r="J1" s="269"/>
      <c r="K1" s="269"/>
      <c r="L1" s="269"/>
      <c r="M1" s="269"/>
      <c r="N1" s="269"/>
      <c r="O1" s="269"/>
      <c r="P1" s="269"/>
      <c r="Q1" s="269"/>
      <c r="R1" s="269"/>
      <c r="S1" s="269"/>
      <c r="T1" s="269"/>
      <c r="U1" s="269"/>
      <c r="V1" s="35"/>
    </row>
    <row r="2" spans="1:22" ht="21" customHeight="1">
      <c r="A2" s="36"/>
      <c r="B2" s="287" t="s">
        <v>95</v>
      </c>
      <c r="C2" s="287"/>
      <c r="D2" s="274" t="s">
        <v>29</v>
      </c>
      <c r="E2" s="274"/>
      <c r="F2" s="274"/>
      <c r="G2" s="274"/>
      <c r="H2" s="274"/>
      <c r="I2" s="274"/>
      <c r="J2" s="274"/>
      <c r="K2" s="274"/>
      <c r="L2" s="274"/>
      <c r="M2" s="274"/>
      <c r="N2" s="274"/>
      <c r="O2" s="274"/>
      <c r="P2" s="298" t="s">
        <v>33</v>
      </c>
      <c r="Q2" s="298"/>
      <c r="R2" s="298"/>
      <c r="S2" s="298"/>
      <c r="T2" s="285"/>
      <c r="U2" s="285"/>
      <c r="V2" s="37"/>
    </row>
    <row r="3" spans="1:22" ht="21" customHeight="1">
      <c r="A3" s="36"/>
      <c r="B3" s="286" t="s">
        <v>96</v>
      </c>
      <c r="C3" s="286"/>
      <c r="D3" s="274" t="s">
        <v>100</v>
      </c>
      <c r="E3" s="274"/>
      <c r="F3" s="274"/>
      <c r="G3" s="274"/>
      <c r="H3" s="274"/>
      <c r="I3" s="274"/>
      <c r="J3" s="274"/>
      <c r="K3" s="274"/>
      <c r="L3" s="274"/>
      <c r="M3" s="274"/>
      <c r="N3" s="274"/>
      <c r="O3" s="274"/>
      <c r="P3" s="298" t="s">
        <v>11</v>
      </c>
      <c r="Q3" s="298"/>
      <c r="R3" s="298"/>
      <c r="S3" s="298"/>
      <c r="T3" s="285"/>
      <c r="U3" s="285"/>
      <c r="V3" s="37"/>
    </row>
    <row r="4" spans="1:22" ht="21" customHeight="1" thickBot="1">
      <c r="A4" s="36"/>
      <c r="B4" s="283" t="s">
        <v>146</v>
      </c>
      <c r="C4" s="283"/>
      <c r="D4" s="336" t="s">
        <v>101</v>
      </c>
      <c r="E4" s="336"/>
      <c r="F4" s="336"/>
      <c r="G4" s="337" t="str">
        <f>T('Schedule Of Values'!D4:K4)</f>
        <v/>
      </c>
      <c r="H4" s="337"/>
      <c r="I4" s="337"/>
      <c r="J4" s="337"/>
      <c r="K4" s="337"/>
      <c r="L4" s="337"/>
      <c r="M4" s="337"/>
      <c r="N4" s="337"/>
      <c r="O4" s="337"/>
      <c r="P4" s="276" t="s">
        <v>39</v>
      </c>
      <c r="Q4" s="276"/>
      <c r="R4" s="276"/>
      <c r="S4" s="276"/>
      <c r="T4" s="268" t="str">
        <f>IF(T3&gt;=1,"Attached", "Required")</f>
        <v>Required</v>
      </c>
      <c r="U4" s="268"/>
      <c r="V4" s="38"/>
    </row>
    <row r="5" spans="1:22" s="41" customFormat="1" ht="22.5" customHeight="1" thickTop="1">
      <c r="A5" s="39"/>
      <c r="B5" s="275" t="s">
        <v>31</v>
      </c>
      <c r="C5" s="275"/>
      <c r="D5" s="297" t="str">
        <f>T('Schedule Of Values'!C5:E5)</f>
        <v/>
      </c>
      <c r="E5" s="297"/>
      <c r="F5" s="297"/>
      <c r="G5" s="297"/>
      <c r="H5" s="297"/>
      <c r="I5" s="297"/>
      <c r="J5" s="297"/>
      <c r="K5" s="297"/>
      <c r="L5" s="275" t="s">
        <v>32</v>
      </c>
      <c r="M5" s="275"/>
      <c r="N5" s="292" t="str">
        <f>IF('Schedule Of Values'!H5&gt;0,'Schedule Of Values'!H5,"")</f>
        <v/>
      </c>
      <c r="O5" s="293"/>
      <c r="P5" s="275" t="s">
        <v>94</v>
      </c>
      <c r="Q5" s="275"/>
      <c r="R5" s="275"/>
      <c r="S5" s="275"/>
      <c r="T5" s="334">
        <f>'Schedule Of Values'!K5</f>
        <v>0</v>
      </c>
      <c r="U5" s="334"/>
      <c r="V5" s="40"/>
    </row>
    <row r="6" spans="1:22" s="41" customFormat="1" ht="22.5" customHeight="1" thickBot="1">
      <c r="A6" s="42"/>
      <c r="B6" s="276" t="s">
        <v>30</v>
      </c>
      <c r="C6" s="276"/>
      <c r="D6" s="335" t="str">
        <f>T('Schedule Of Values'!C6:E6)</f>
        <v/>
      </c>
      <c r="E6" s="335"/>
      <c r="F6" s="335"/>
      <c r="G6" s="335"/>
      <c r="H6" s="335"/>
      <c r="I6" s="335"/>
      <c r="J6" s="335"/>
      <c r="K6" s="335"/>
      <c r="L6" s="276" t="s">
        <v>34</v>
      </c>
      <c r="M6" s="276"/>
      <c r="N6" s="290" t="str">
        <f>IF('Schedule Of Values'!H6&gt;0,'Schedule Of Values'!H6,"")</f>
        <v/>
      </c>
      <c r="O6" s="291"/>
      <c r="P6" s="276" t="s">
        <v>35</v>
      </c>
      <c r="Q6" s="276"/>
      <c r="R6" s="276"/>
      <c r="S6" s="276"/>
      <c r="T6" s="290" t="str">
        <f>IF('Schedule Of Values'!K6&gt;0,'Schedule Of Values'!K6,"")</f>
        <v/>
      </c>
      <c r="U6" s="291"/>
      <c r="V6" s="43"/>
    </row>
    <row r="7" spans="1:22" s="41" customFormat="1" ht="7.5" customHeight="1" thickTop="1">
      <c r="A7" s="366"/>
      <c r="B7" s="350"/>
      <c r="C7" s="350"/>
      <c r="D7" s="350"/>
      <c r="E7" s="350"/>
      <c r="F7" s="350"/>
      <c r="G7" s="350"/>
      <c r="H7" s="350"/>
      <c r="I7" s="350"/>
      <c r="J7" s="350"/>
      <c r="K7" s="350"/>
      <c r="L7" s="350"/>
      <c r="M7" s="350"/>
      <c r="N7" s="350"/>
      <c r="O7" s="350"/>
      <c r="P7" s="350"/>
      <c r="Q7" s="350"/>
      <c r="R7" s="350"/>
      <c r="S7" s="350"/>
      <c r="T7" s="350"/>
      <c r="U7" s="350"/>
      <c r="V7" s="347"/>
    </row>
    <row r="8" spans="1:22" s="41" customFormat="1" ht="15.75" thickBot="1">
      <c r="A8" s="367"/>
      <c r="B8" s="342" t="s">
        <v>58</v>
      </c>
      <c r="C8" s="343"/>
      <c r="D8" s="343"/>
      <c r="E8" s="343"/>
      <c r="F8" s="343"/>
      <c r="G8" s="343"/>
      <c r="H8" s="343"/>
      <c r="I8" s="343"/>
      <c r="J8" s="343"/>
      <c r="K8" s="344"/>
      <c r="L8" s="284"/>
      <c r="M8" s="299" t="s">
        <v>140</v>
      </c>
      <c r="N8" s="300"/>
      <c r="O8" s="300"/>
      <c r="P8" s="300"/>
      <c r="Q8" s="300"/>
      <c r="R8" s="300"/>
      <c r="S8" s="300"/>
      <c r="T8" s="300"/>
      <c r="U8" s="301"/>
      <c r="V8" s="348"/>
    </row>
    <row r="9" spans="1:22" s="41" customFormat="1" ht="5.25" customHeight="1">
      <c r="A9" s="367"/>
      <c r="B9" s="44"/>
      <c r="C9" s="360"/>
      <c r="D9" s="360"/>
      <c r="E9" s="360"/>
      <c r="F9" s="360"/>
      <c r="G9" s="360"/>
      <c r="H9" s="360"/>
      <c r="I9" s="360"/>
      <c r="J9" s="360"/>
      <c r="K9" s="45"/>
      <c r="L9" s="284"/>
      <c r="M9" s="361"/>
      <c r="N9" s="360"/>
      <c r="O9" s="360"/>
      <c r="P9" s="360"/>
      <c r="Q9" s="360"/>
      <c r="R9" s="360"/>
      <c r="S9" s="360"/>
      <c r="T9" s="360"/>
      <c r="U9" s="362"/>
      <c r="V9" s="348"/>
    </row>
    <row r="10" spans="1:22" s="41" customFormat="1">
      <c r="A10" s="367"/>
      <c r="B10" s="46" t="s">
        <v>50</v>
      </c>
      <c r="C10" s="298" t="s">
        <v>38</v>
      </c>
      <c r="D10" s="298"/>
      <c r="E10" s="298"/>
      <c r="F10" s="298"/>
      <c r="G10" s="298"/>
      <c r="H10" s="176"/>
      <c r="I10" s="312">
        <f>T5</f>
        <v>0</v>
      </c>
      <c r="J10" s="312"/>
      <c r="K10" s="45"/>
      <c r="L10" s="284"/>
      <c r="M10" s="294"/>
      <c r="N10" s="279"/>
      <c r="O10" s="279"/>
      <c r="P10" s="279"/>
      <c r="Q10" s="279"/>
      <c r="R10" s="308" t="s">
        <v>42</v>
      </c>
      <c r="S10" s="308"/>
      <c r="T10" s="284"/>
      <c r="U10" s="177" t="s">
        <v>124</v>
      </c>
      <c r="V10" s="348"/>
    </row>
    <row r="11" spans="1:22" s="41" customFormat="1" ht="15" customHeight="1">
      <c r="A11" s="367"/>
      <c r="B11" s="241" t="s">
        <v>51</v>
      </c>
      <c r="C11" s="298" t="s">
        <v>0</v>
      </c>
      <c r="D11" s="298"/>
      <c r="E11" s="298"/>
      <c r="F11" s="298"/>
      <c r="G11" s="298"/>
      <c r="H11" s="176"/>
      <c r="I11" s="312">
        <f>R19</f>
        <v>0</v>
      </c>
      <c r="J11" s="312"/>
      <c r="K11" s="45"/>
      <c r="L11" s="284"/>
      <c r="M11" s="302" t="s">
        <v>138</v>
      </c>
      <c r="N11" s="303"/>
      <c r="O11" s="303"/>
      <c r="P11" s="304"/>
      <c r="Q11" s="304"/>
      <c r="R11" s="307"/>
      <c r="S11" s="307"/>
      <c r="T11" s="284"/>
      <c r="U11" s="309"/>
      <c r="V11" s="348"/>
    </row>
    <row r="12" spans="1:22" s="41" customFormat="1" ht="15" customHeight="1">
      <c r="A12" s="367"/>
      <c r="B12" s="241" t="s">
        <v>52</v>
      </c>
      <c r="C12" s="298" t="s">
        <v>125</v>
      </c>
      <c r="D12" s="298"/>
      <c r="E12" s="298"/>
      <c r="F12" s="298"/>
      <c r="G12" s="298"/>
      <c r="H12" s="178"/>
      <c r="I12" s="311">
        <f>I10+I11</f>
        <v>0</v>
      </c>
      <c r="J12" s="311"/>
      <c r="K12" s="45"/>
      <c r="L12" s="284"/>
      <c r="M12" s="302"/>
      <c r="N12" s="303"/>
      <c r="O12" s="303"/>
      <c r="P12" s="304"/>
      <c r="Q12" s="304"/>
      <c r="R12" s="307"/>
      <c r="S12" s="307"/>
      <c r="T12" s="284"/>
      <c r="U12" s="310"/>
      <c r="V12" s="348"/>
    </row>
    <row r="13" spans="1:22" s="41" customFormat="1" ht="15.75" customHeight="1">
      <c r="A13" s="367"/>
      <c r="B13" s="241" t="s">
        <v>53</v>
      </c>
      <c r="C13" s="322" t="s">
        <v>126</v>
      </c>
      <c r="D13" s="322"/>
      <c r="E13" s="322"/>
      <c r="F13" s="322"/>
      <c r="G13" s="322"/>
      <c r="I13" s="331">
        <f>'Progress Invoice Estimate'!H37</f>
        <v>0</v>
      </c>
      <c r="J13" s="331"/>
      <c r="K13" s="45"/>
      <c r="L13" s="284"/>
      <c r="M13" s="305"/>
      <c r="N13" s="306"/>
      <c r="O13" s="306"/>
      <c r="P13" s="304"/>
      <c r="Q13" s="304"/>
      <c r="R13" s="307"/>
      <c r="S13" s="307"/>
      <c r="T13" s="284"/>
      <c r="U13" s="310"/>
      <c r="V13" s="348"/>
    </row>
    <row r="14" spans="1:22" s="41" customFormat="1" ht="15" customHeight="1">
      <c r="A14" s="367"/>
      <c r="B14" s="241" t="s">
        <v>54</v>
      </c>
      <c r="C14" s="298" t="s">
        <v>127</v>
      </c>
      <c r="D14" s="298"/>
      <c r="E14" s="298"/>
      <c r="F14" s="298"/>
      <c r="G14" s="298"/>
      <c r="H14" s="47"/>
      <c r="I14" s="325"/>
      <c r="J14" s="325"/>
      <c r="K14" s="45"/>
      <c r="L14" s="284"/>
      <c r="M14" s="302" t="s">
        <v>139</v>
      </c>
      <c r="N14" s="303"/>
      <c r="O14" s="303"/>
      <c r="P14" s="303"/>
      <c r="Q14" s="303"/>
      <c r="R14" s="307"/>
      <c r="S14" s="307"/>
      <c r="T14" s="284"/>
      <c r="U14" s="310"/>
      <c r="V14" s="348"/>
    </row>
    <row r="15" spans="1:22" s="41" customFormat="1">
      <c r="A15" s="367"/>
      <c r="B15" s="44"/>
      <c r="C15" s="298" t="s">
        <v>129</v>
      </c>
      <c r="D15" s="298"/>
      <c r="E15" s="298"/>
      <c r="F15" s="298"/>
      <c r="G15" s="288">
        <f>'Progress Invoice Estimate'!I37</f>
        <v>0</v>
      </c>
      <c r="H15" s="318">
        <f>'Progress Invoice Estimate'!E37+'Progress Invoice Estimate'!F37</f>
        <v>0</v>
      </c>
      <c r="I15" s="318"/>
      <c r="J15" s="180"/>
      <c r="K15" s="45"/>
      <c r="L15" s="284"/>
      <c r="M15" s="302"/>
      <c r="N15" s="303"/>
      <c r="O15" s="303"/>
      <c r="P15" s="303"/>
      <c r="Q15" s="303"/>
      <c r="R15" s="307"/>
      <c r="S15" s="307"/>
      <c r="T15" s="284"/>
      <c r="U15" s="310"/>
      <c r="V15" s="348"/>
    </row>
    <row r="16" spans="1:22" s="41" customFormat="1">
      <c r="A16" s="367"/>
      <c r="B16" s="44"/>
      <c r="C16" s="289" t="s">
        <v>128</v>
      </c>
      <c r="D16" s="289"/>
      <c r="E16" s="289"/>
      <c r="F16" s="289"/>
      <c r="G16" s="288"/>
      <c r="H16" s="319"/>
      <c r="I16" s="319"/>
      <c r="J16" s="180"/>
      <c r="K16" s="45"/>
      <c r="L16" s="284"/>
      <c r="M16" s="302"/>
      <c r="N16" s="303"/>
      <c r="O16" s="303"/>
      <c r="P16" s="303"/>
      <c r="Q16" s="303"/>
      <c r="R16" s="307"/>
      <c r="S16" s="307"/>
      <c r="T16" s="284"/>
      <c r="U16" s="310"/>
      <c r="V16" s="348"/>
    </row>
    <row r="17" spans="1:32" s="41" customFormat="1" ht="15" customHeight="1">
      <c r="A17" s="367"/>
      <c r="B17" s="241"/>
      <c r="C17" s="298" t="s">
        <v>130</v>
      </c>
      <c r="D17" s="298"/>
      <c r="E17" s="298"/>
      <c r="F17" s="298"/>
      <c r="G17" s="324">
        <f>IF('Progress Invoice Estimate'!G37=0,0,'Progress Invoice Estimate'!G37/'Progress Invoice Estimate'!D37)</f>
        <v>0</v>
      </c>
      <c r="H17" s="320">
        <f>'Progress Invoice Estimate'!G37</f>
        <v>0</v>
      </c>
      <c r="I17" s="320"/>
      <c r="J17" s="181"/>
      <c r="K17" s="45"/>
      <c r="L17" s="284"/>
      <c r="M17" s="372" t="s">
        <v>1</v>
      </c>
      <c r="N17" s="289"/>
      <c r="O17" s="289"/>
      <c r="P17" s="289"/>
      <c r="Q17" s="289"/>
      <c r="R17" s="323">
        <f>'CFP Log'!P45</f>
        <v>0</v>
      </c>
      <c r="S17" s="323"/>
      <c r="T17" s="323"/>
      <c r="U17" s="172" t="s">
        <v>21</v>
      </c>
      <c r="V17" s="348"/>
    </row>
    <row r="18" spans="1:32" s="41" customFormat="1" ht="15" customHeight="1">
      <c r="A18" s="367"/>
      <c r="B18" s="241"/>
      <c r="C18" s="289" t="s">
        <v>131</v>
      </c>
      <c r="D18" s="289"/>
      <c r="E18" s="289"/>
      <c r="F18" s="289"/>
      <c r="G18" s="324"/>
      <c r="H18" s="319"/>
      <c r="I18" s="319"/>
      <c r="J18" s="181"/>
      <c r="K18" s="45"/>
      <c r="L18" s="284"/>
      <c r="M18" s="294"/>
      <c r="N18" s="273"/>
      <c r="O18" s="273"/>
      <c r="P18" s="273"/>
      <c r="Q18" s="273"/>
      <c r="R18" s="273"/>
      <c r="S18" s="273"/>
      <c r="T18" s="273"/>
      <c r="U18" s="316"/>
      <c r="V18" s="348"/>
    </row>
    <row r="19" spans="1:32" s="41" customFormat="1" ht="15" customHeight="1" thickBot="1">
      <c r="A19" s="367"/>
      <c r="B19" s="241"/>
      <c r="C19" s="298" t="s">
        <v>134</v>
      </c>
      <c r="D19" s="298"/>
      <c r="E19" s="298"/>
      <c r="F19" s="298"/>
      <c r="G19" s="321"/>
      <c r="H19" s="321"/>
      <c r="I19" s="317">
        <f>'Progress Invoice Estimate'!K37</f>
        <v>0</v>
      </c>
      <c r="J19" s="317"/>
      <c r="K19" s="45"/>
      <c r="L19" s="284"/>
      <c r="M19" s="372" t="s">
        <v>123</v>
      </c>
      <c r="N19" s="289"/>
      <c r="O19" s="289"/>
      <c r="P19" s="289"/>
      <c r="Q19" s="289"/>
      <c r="R19" s="373">
        <f>(R11+U11)+(R14+U14)</f>
        <v>0</v>
      </c>
      <c r="S19" s="373"/>
      <c r="T19" s="373"/>
      <c r="U19" s="374"/>
      <c r="V19" s="348"/>
    </row>
    <row r="20" spans="1:32" s="41" customFormat="1">
      <c r="A20" s="367"/>
      <c r="B20" s="241" t="s">
        <v>55</v>
      </c>
      <c r="C20" s="322" t="s">
        <v>132</v>
      </c>
      <c r="D20" s="322"/>
      <c r="E20" s="322"/>
      <c r="F20" s="322"/>
      <c r="G20" s="351"/>
      <c r="H20" s="351"/>
      <c r="I20" s="340">
        <f>I12-I19</f>
        <v>0</v>
      </c>
      <c r="J20" s="341"/>
      <c r="K20" s="45"/>
      <c r="L20" s="284"/>
      <c r="M20" s="328"/>
      <c r="N20" s="329"/>
      <c r="O20" s="329"/>
      <c r="P20" s="329"/>
      <c r="Q20" s="329"/>
      <c r="R20" s="329"/>
      <c r="S20" s="329"/>
      <c r="T20" s="329"/>
      <c r="U20" s="330"/>
      <c r="V20" s="348"/>
    </row>
    <row r="21" spans="1:32" s="41" customFormat="1" ht="8.25" customHeight="1">
      <c r="A21" s="367"/>
      <c r="B21" s="241"/>
      <c r="C21" s="298"/>
      <c r="D21" s="298"/>
      <c r="E21" s="298"/>
      <c r="F21" s="298"/>
      <c r="G21" s="298"/>
      <c r="H21" s="298"/>
      <c r="I21" s="298"/>
      <c r="J21" s="298"/>
      <c r="K21" s="45"/>
      <c r="L21" s="284"/>
      <c r="M21" s="371"/>
      <c r="N21" s="371"/>
      <c r="O21" s="371"/>
      <c r="P21" s="371"/>
      <c r="Q21" s="371"/>
      <c r="R21" s="371"/>
      <c r="S21" s="371"/>
      <c r="T21" s="371"/>
      <c r="U21" s="371"/>
      <c r="V21" s="348"/>
    </row>
    <row r="22" spans="1:32" s="41" customFormat="1">
      <c r="A22" s="367"/>
      <c r="B22" s="241" t="s">
        <v>56</v>
      </c>
      <c r="C22" s="298" t="s">
        <v>108</v>
      </c>
      <c r="D22" s="298"/>
      <c r="E22" s="298"/>
      <c r="F22" s="298"/>
      <c r="G22" s="352">
        <f>'Progress Invoice Estimate'!E37+'Progress Invoice Estimate'!G37+(R11+U11)</f>
        <v>0</v>
      </c>
      <c r="H22" s="352"/>
      <c r="I22" s="352"/>
      <c r="J22" s="352"/>
      <c r="K22" s="45"/>
      <c r="L22" s="284"/>
      <c r="M22" s="273"/>
      <c r="N22" s="273"/>
      <c r="O22" s="273"/>
      <c r="P22" s="273"/>
      <c r="Q22" s="273"/>
      <c r="R22" s="273"/>
      <c r="S22" s="273"/>
      <c r="T22" s="273"/>
      <c r="U22" s="273"/>
      <c r="V22" s="348"/>
    </row>
    <row r="23" spans="1:32" s="41" customFormat="1" ht="8.25" customHeight="1">
      <c r="A23" s="367"/>
      <c r="B23" s="241"/>
      <c r="C23" s="298"/>
      <c r="D23" s="298"/>
      <c r="E23" s="298"/>
      <c r="F23" s="298"/>
      <c r="G23" s="298"/>
      <c r="H23" s="298"/>
      <c r="I23" s="298"/>
      <c r="J23" s="298"/>
      <c r="K23" s="45"/>
      <c r="L23" s="284"/>
      <c r="M23" s="273"/>
      <c r="N23" s="273"/>
      <c r="O23" s="273"/>
      <c r="P23" s="273"/>
      <c r="Q23" s="273"/>
      <c r="R23" s="273"/>
      <c r="S23" s="273"/>
      <c r="T23" s="273"/>
      <c r="U23" s="273"/>
      <c r="V23" s="348"/>
    </row>
    <row r="24" spans="1:32" s="41" customFormat="1" ht="18" customHeight="1" thickBot="1">
      <c r="A24" s="367"/>
      <c r="B24" s="241" t="s">
        <v>135</v>
      </c>
      <c r="C24" s="298" t="s">
        <v>147</v>
      </c>
      <c r="D24" s="298"/>
      <c r="E24" s="298"/>
      <c r="F24" s="298"/>
      <c r="G24" s="353">
        <f>'Progress Invoice Estimate'!F37+'Progress Invoice Estimate'!G37+(R14-R11)</f>
        <v>0</v>
      </c>
      <c r="H24" s="353"/>
      <c r="I24" s="353"/>
      <c r="J24" s="353"/>
      <c r="K24" s="45"/>
      <c r="L24" s="284"/>
      <c r="M24" s="338" t="s">
        <v>97</v>
      </c>
      <c r="N24" s="338"/>
      <c r="O24" s="338"/>
      <c r="P24" s="338"/>
      <c r="Q24" s="338"/>
      <c r="R24" s="338"/>
      <c r="S24" s="338"/>
      <c r="T24" s="338"/>
      <c r="U24" s="338"/>
      <c r="V24" s="348"/>
    </row>
    <row r="25" spans="1:32" s="41" customFormat="1" ht="15.75" thickTop="1">
      <c r="A25" s="367"/>
      <c r="B25" s="241" t="s">
        <v>136</v>
      </c>
      <c r="C25" s="322" t="s">
        <v>137</v>
      </c>
      <c r="D25" s="322"/>
      <c r="E25" s="322"/>
      <c r="F25" s="322"/>
      <c r="G25" s="322"/>
      <c r="H25" s="322"/>
      <c r="I25" s="295">
        <f>I12-I20</f>
        <v>0</v>
      </c>
      <c r="J25" s="296"/>
      <c r="K25" s="45"/>
      <c r="L25" s="284"/>
      <c r="M25" s="313" t="s">
        <v>122</v>
      </c>
      <c r="N25" s="313"/>
      <c r="O25" s="313"/>
      <c r="P25" s="313"/>
      <c r="Q25" s="313"/>
      <c r="R25" s="313"/>
      <c r="S25" s="313"/>
      <c r="T25" s="313"/>
      <c r="U25" s="313"/>
      <c r="V25" s="348"/>
      <c r="X25" s="182"/>
      <c r="Y25" s="182"/>
      <c r="Z25" s="182"/>
      <c r="AA25" s="182"/>
      <c r="AB25" s="182"/>
      <c r="AC25" s="182"/>
      <c r="AD25" s="182"/>
      <c r="AE25" s="182"/>
      <c r="AF25" s="182"/>
    </row>
    <row r="26" spans="1:32" s="41" customFormat="1" ht="8.25" customHeight="1">
      <c r="A26" s="367"/>
      <c r="B26" s="48"/>
      <c r="C26" s="329"/>
      <c r="D26" s="329"/>
      <c r="E26" s="329"/>
      <c r="F26" s="329"/>
      <c r="G26" s="329"/>
      <c r="H26" s="329"/>
      <c r="I26" s="329"/>
      <c r="J26" s="329"/>
      <c r="K26" s="49"/>
      <c r="L26" s="284"/>
      <c r="M26" s="313"/>
      <c r="N26" s="313"/>
      <c r="O26" s="313"/>
      <c r="P26" s="313"/>
      <c r="Q26" s="313"/>
      <c r="R26" s="313"/>
      <c r="S26" s="313"/>
      <c r="T26" s="313"/>
      <c r="U26" s="313"/>
      <c r="V26" s="348"/>
    </row>
    <row r="27" spans="1:32" s="41" customFormat="1" ht="9" customHeight="1">
      <c r="A27" s="367"/>
      <c r="B27" s="47"/>
      <c r="C27" s="47"/>
      <c r="D27" s="47"/>
      <c r="E27" s="47"/>
      <c r="F27" s="47"/>
      <c r="G27" s="47"/>
      <c r="H27" s="47"/>
      <c r="I27" s="47"/>
      <c r="J27" s="47"/>
      <c r="K27" s="47"/>
      <c r="L27" s="284"/>
      <c r="M27" s="313"/>
      <c r="N27" s="313"/>
      <c r="O27" s="313"/>
      <c r="P27" s="313"/>
      <c r="Q27" s="313"/>
      <c r="R27" s="313"/>
      <c r="S27" s="313"/>
      <c r="T27" s="313"/>
      <c r="U27" s="313"/>
      <c r="V27" s="348"/>
    </row>
    <row r="28" spans="1:32" s="41" customFormat="1" ht="16.5" customHeight="1">
      <c r="A28" s="367"/>
      <c r="B28" s="338" t="s">
        <v>36</v>
      </c>
      <c r="C28" s="338"/>
      <c r="D28" s="338"/>
      <c r="E28" s="338"/>
      <c r="F28" s="338"/>
      <c r="G28" s="338"/>
      <c r="H28" s="338"/>
      <c r="I28" s="338"/>
      <c r="J28" s="338"/>
      <c r="K28" s="338"/>
      <c r="L28" s="284"/>
      <c r="M28" s="313"/>
      <c r="N28" s="313"/>
      <c r="O28" s="313"/>
      <c r="P28" s="313"/>
      <c r="Q28" s="313"/>
      <c r="R28" s="313"/>
      <c r="S28" s="313"/>
      <c r="T28" s="313"/>
      <c r="U28" s="313"/>
      <c r="V28" s="348"/>
    </row>
    <row r="29" spans="1:32" s="41" customFormat="1" ht="16.5" customHeight="1">
      <c r="A29" s="367"/>
      <c r="B29" s="313" t="s">
        <v>121</v>
      </c>
      <c r="C29" s="313"/>
      <c r="D29" s="313"/>
      <c r="E29" s="313"/>
      <c r="F29" s="313"/>
      <c r="G29" s="313"/>
      <c r="H29" s="313"/>
      <c r="I29" s="313"/>
      <c r="J29" s="313"/>
      <c r="K29" s="313"/>
      <c r="L29" s="284"/>
      <c r="M29" s="313"/>
      <c r="N29" s="313"/>
      <c r="O29" s="313"/>
      <c r="P29" s="313"/>
      <c r="Q29" s="313"/>
      <c r="R29" s="313"/>
      <c r="S29" s="313"/>
      <c r="T29" s="313"/>
      <c r="U29" s="313"/>
      <c r="V29" s="348"/>
    </row>
    <row r="30" spans="1:32" s="41" customFormat="1" ht="16.5" customHeight="1">
      <c r="A30" s="367"/>
      <c r="B30" s="313"/>
      <c r="C30" s="313"/>
      <c r="D30" s="313"/>
      <c r="E30" s="313"/>
      <c r="F30" s="313"/>
      <c r="G30" s="313"/>
      <c r="H30" s="313"/>
      <c r="I30" s="313"/>
      <c r="J30" s="313"/>
      <c r="K30" s="313"/>
      <c r="L30" s="284"/>
      <c r="M30" s="313"/>
      <c r="N30" s="313"/>
      <c r="O30" s="313"/>
      <c r="P30" s="313"/>
      <c r="Q30" s="313"/>
      <c r="R30" s="313"/>
      <c r="S30" s="313"/>
      <c r="T30" s="313"/>
      <c r="U30" s="313"/>
      <c r="V30" s="348"/>
    </row>
    <row r="31" spans="1:32" s="41" customFormat="1" ht="16.5" customHeight="1">
      <c r="A31" s="367"/>
      <c r="B31" s="313"/>
      <c r="C31" s="313"/>
      <c r="D31" s="313"/>
      <c r="E31" s="313"/>
      <c r="F31" s="313"/>
      <c r="G31" s="313"/>
      <c r="H31" s="313"/>
      <c r="I31" s="313"/>
      <c r="J31" s="313"/>
      <c r="K31" s="313"/>
      <c r="L31" s="284"/>
      <c r="M31" s="313"/>
      <c r="N31" s="313"/>
      <c r="O31" s="313"/>
      <c r="P31" s="313"/>
      <c r="Q31" s="313"/>
      <c r="R31" s="313"/>
      <c r="S31" s="313"/>
      <c r="T31" s="313"/>
      <c r="U31" s="313"/>
      <c r="V31" s="348"/>
    </row>
    <row r="32" spans="1:32" s="41" customFormat="1" ht="16.5" customHeight="1">
      <c r="A32" s="367"/>
      <c r="B32" s="313"/>
      <c r="C32" s="313"/>
      <c r="D32" s="313"/>
      <c r="E32" s="313"/>
      <c r="F32" s="313"/>
      <c r="G32" s="313"/>
      <c r="H32" s="313"/>
      <c r="I32" s="313"/>
      <c r="J32" s="313"/>
      <c r="K32" s="313"/>
      <c r="L32" s="284"/>
      <c r="M32" s="313"/>
      <c r="N32" s="313"/>
      <c r="O32" s="313"/>
      <c r="P32" s="313"/>
      <c r="Q32" s="313"/>
      <c r="R32" s="313"/>
      <c r="S32" s="313"/>
      <c r="T32" s="313"/>
      <c r="U32" s="313"/>
      <c r="V32" s="348"/>
    </row>
    <row r="33" spans="1:22" s="41" customFormat="1" ht="16.5" customHeight="1">
      <c r="A33" s="367"/>
      <c r="B33" s="313"/>
      <c r="C33" s="313"/>
      <c r="D33" s="313"/>
      <c r="E33" s="313"/>
      <c r="F33" s="313"/>
      <c r="G33" s="313"/>
      <c r="H33" s="313"/>
      <c r="I33" s="313"/>
      <c r="J33" s="313"/>
      <c r="K33" s="313"/>
      <c r="L33" s="284"/>
      <c r="M33" s="354" t="s">
        <v>98</v>
      </c>
      <c r="N33" s="354"/>
      <c r="O33" s="354"/>
      <c r="P33" s="354"/>
      <c r="Q33" s="354"/>
      <c r="R33" s="354"/>
      <c r="S33" s="354"/>
      <c r="T33" s="354"/>
      <c r="U33" s="354"/>
      <c r="V33" s="348"/>
    </row>
    <row r="34" spans="1:22" s="41" customFormat="1" ht="16.5" customHeight="1">
      <c r="A34" s="367"/>
      <c r="B34" s="313"/>
      <c r="C34" s="313"/>
      <c r="D34" s="313"/>
      <c r="E34" s="313"/>
      <c r="F34" s="313"/>
      <c r="G34" s="313"/>
      <c r="H34" s="313"/>
      <c r="I34" s="313"/>
      <c r="J34" s="313"/>
      <c r="K34" s="313"/>
      <c r="L34" s="284"/>
      <c r="M34" s="314"/>
      <c r="N34" s="314"/>
      <c r="O34" s="314"/>
      <c r="P34" s="314"/>
      <c r="Q34" s="314"/>
      <c r="R34" s="314"/>
      <c r="S34" s="314"/>
      <c r="T34" s="314"/>
      <c r="U34" s="314"/>
      <c r="V34" s="348"/>
    </row>
    <row r="35" spans="1:22" s="41" customFormat="1" ht="16.5" customHeight="1">
      <c r="A35" s="367"/>
      <c r="B35" s="313"/>
      <c r="C35" s="313"/>
      <c r="D35" s="313"/>
      <c r="E35" s="313"/>
      <c r="F35" s="313"/>
      <c r="G35" s="313"/>
      <c r="H35" s="313"/>
      <c r="I35" s="313"/>
      <c r="J35" s="313"/>
      <c r="K35" s="313"/>
      <c r="L35" s="284"/>
      <c r="M35" s="314"/>
      <c r="N35" s="314"/>
      <c r="O35" s="314"/>
      <c r="P35" s="314"/>
      <c r="Q35" s="314"/>
      <c r="R35" s="314"/>
      <c r="S35" s="314"/>
      <c r="T35" s="314"/>
      <c r="U35" s="314"/>
      <c r="V35" s="348"/>
    </row>
    <row r="36" spans="1:22" s="41" customFormat="1" ht="16.5" customHeight="1">
      <c r="A36" s="367"/>
      <c r="B36" s="313"/>
      <c r="C36" s="313"/>
      <c r="D36" s="313"/>
      <c r="E36" s="313"/>
      <c r="F36" s="313"/>
      <c r="G36" s="313"/>
      <c r="H36" s="313"/>
      <c r="I36" s="313"/>
      <c r="J36" s="313"/>
      <c r="K36" s="313"/>
      <c r="L36" s="284"/>
      <c r="M36" s="314"/>
      <c r="N36" s="314"/>
      <c r="O36" s="314"/>
      <c r="P36" s="314"/>
      <c r="Q36" s="314"/>
      <c r="R36" s="314"/>
      <c r="S36" s="314"/>
      <c r="T36" s="314"/>
      <c r="U36" s="314"/>
      <c r="V36" s="348"/>
    </row>
    <row r="37" spans="1:22" s="41" customFormat="1" ht="16.5" customHeight="1">
      <c r="A37" s="367"/>
      <c r="B37" s="313"/>
      <c r="C37" s="313"/>
      <c r="D37" s="313"/>
      <c r="E37" s="313"/>
      <c r="F37" s="313"/>
      <c r="G37" s="313"/>
      <c r="H37" s="313"/>
      <c r="I37" s="313"/>
      <c r="J37" s="313"/>
      <c r="K37" s="313"/>
      <c r="L37" s="284"/>
      <c r="M37" s="315"/>
      <c r="N37" s="315"/>
      <c r="O37" s="315"/>
      <c r="P37" s="315"/>
      <c r="Q37" s="315"/>
      <c r="R37" s="315"/>
      <c r="S37" s="315"/>
      <c r="T37" s="315"/>
      <c r="U37" s="315"/>
      <c r="V37" s="348"/>
    </row>
    <row r="38" spans="1:22" s="41" customFormat="1" ht="35.25" customHeight="1" thickBot="1">
      <c r="A38" s="367"/>
      <c r="B38" s="279"/>
      <c r="C38" s="279"/>
      <c r="D38" s="279"/>
      <c r="E38" s="279"/>
      <c r="F38" s="279"/>
      <c r="G38" s="279"/>
      <c r="H38" s="375"/>
      <c r="I38" s="375"/>
      <c r="J38" s="375"/>
      <c r="K38" s="375"/>
      <c r="L38" s="375"/>
      <c r="M38" s="375"/>
      <c r="N38" s="333"/>
      <c r="O38" s="333"/>
      <c r="P38" s="279"/>
      <c r="Q38" s="279"/>
      <c r="R38" s="279"/>
      <c r="S38" s="279"/>
      <c r="T38" s="279"/>
      <c r="U38" s="279"/>
      <c r="V38" s="348"/>
    </row>
    <row r="39" spans="1:22" s="41" customFormat="1">
      <c r="A39" s="367"/>
      <c r="B39" s="279"/>
      <c r="C39" s="279"/>
      <c r="D39" s="279"/>
      <c r="E39" s="279"/>
      <c r="F39" s="279"/>
      <c r="G39" s="279"/>
      <c r="H39" s="360" t="s">
        <v>37</v>
      </c>
      <c r="I39" s="360"/>
      <c r="J39" s="360"/>
      <c r="K39" s="360"/>
      <c r="L39" s="360"/>
      <c r="M39" s="360"/>
      <c r="N39" s="277" t="s">
        <v>41</v>
      </c>
      <c r="O39" s="277"/>
      <c r="P39" s="279"/>
      <c r="Q39" s="279"/>
      <c r="R39" s="279"/>
      <c r="S39" s="279"/>
      <c r="T39" s="279"/>
      <c r="U39" s="279"/>
      <c r="V39" s="348"/>
    </row>
    <row r="40" spans="1:22" s="41" customFormat="1" ht="7.5" customHeight="1" thickBot="1">
      <c r="A40" s="368"/>
      <c r="B40" s="270"/>
      <c r="C40" s="270"/>
      <c r="D40" s="270"/>
      <c r="E40" s="270"/>
      <c r="F40" s="270"/>
      <c r="G40" s="270"/>
      <c r="H40" s="270"/>
      <c r="I40" s="270"/>
      <c r="J40" s="270"/>
      <c r="K40" s="270"/>
      <c r="L40" s="270"/>
      <c r="M40" s="270"/>
      <c r="N40" s="270"/>
      <c r="O40" s="270"/>
      <c r="P40" s="270"/>
      <c r="Q40" s="270"/>
      <c r="R40" s="270"/>
      <c r="S40" s="270"/>
      <c r="T40" s="270"/>
      <c r="U40" s="270"/>
      <c r="V40" s="271"/>
    </row>
    <row r="41" spans="1:22" s="41" customFormat="1" ht="17.25" thickTop="1" thickBot="1">
      <c r="A41" s="50"/>
      <c r="B41" s="332" t="s">
        <v>46</v>
      </c>
      <c r="C41" s="332"/>
      <c r="D41" s="332"/>
      <c r="E41" s="332"/>
      <c r="F41" s="332"/>
      <c r="G41" s="332"/>
      <c r="H41" s="332"/>
      <c r="I41" s="332"/>
      <c r="J41" s="332"/>
      <c r="K41" s="332"/>
      <c r="L41" s="332"/>
      <c r="M41" s="332"/>
      <c r="N41" s="332"/>
      <c r="O41" s="332"/>
      <c r="P41" s="332"/>
      <c r="Q41" s="332"/>
      <c r="R41" s="332"/>
      <c r="S41" s="332"/>
      <c r="T41" s="332"/>
      <c r="U41" s="332"/>
      <c r="V41" s="51"/>
    </row>
    <row r="42" spans="1:22" s="41" customFormat="1" ht="7.5" customHeight="1">
      <c r="A42" s="52"/>
      <c r="B42" s="272"/>
      <c r="C42" s="272"/>
      <c r="D42" s="272"/>
      <c r="E42" s="272"/>
      <c r="F42" s="272"/>
      <c r="G42" s="272"/>
      <c r="H42" s="272"/>
      <c r="I42" s="272"/>
      <c r="J42" s="272"/>
      <c r="K42" s="272"/>
      <c r="L42" s="272"/>
      <c r="M42" s="272"/>
      <c r="N42" s="272"/>
      <c r="O42" s="272"/>
      <c r="P42" s="272"/>
      <c r="Q42" s="272"/>
      <c r="R42" s="272"/>
      <c r="S42" s="272"/>
      <c r="T42" s="272"/>
      <c r="U42" s="272"/>
      <c r="V42" s="53"/>
    </row>
    <row r="43" spans="1:22" s="41" customFormat="1" ht="15.75">
      <c r="A43" s="52"/>
      <c r="B43" s="242"/>
      <c r="C43" s="378" t="s">
        <v>90</v>
      </c>
      <c r="D43" s="378"/>
      <c r="E43" s="378"/>
      <c r="F43" s="273"/>
      <c r="G43" s="273"/>
      <c r="H43" s="273"/>
      <c r="I43" s="273"/>
      <c r="J43" s="273"/>
      <c r="K43" s="273"/>
      <c r="L43" s="273"/>
      <c r="M43" s="273"/>
      <c r="N43" s="273"/>
      <c r="O43" s="273"/>
      <c r="P43" s="273"/>
      <c r="Q43" s="273"/>
      <c r="R43" s="273"/>
      <c r="S43" s="273"/>
      <c r="T43" s="273"/>
      <c r="U43" s="273"/>
      <c r="V43" s="53"/>
    </row>
    <row r="44" spans="1:22" s="41" customFormat="1" ht="18.75">
      <c r="A44" s="52"/>
      <c r="B44" s="242"/>
      <c r="C44" s="339" t="s">
        <v>145</v>
      </c>
      <c r="D44" s="339"/>
      <c r="E44" s="54">
        <f>G15</f>
        <v>0</v>
      </c>
      <c r="G44" s="282" t="s">
        <v>88</v>
      </c>
      <c r="H44" s="282"/>
      <c r="I44" s="282"/>
      <c r="J44" s="243"/>
      <c r="K44" s="356"/>
      <c r="L44" s="356"/>
      <c r="M44" s="365">
        <f>G24</f>
        <v>0</v>
      </c>
      <c r="N44" s="365"/>
      <c r="O44" s="327"/>
      <c r="P44" s="345">
        <f>I19</f>
        <v>0</v>
      </c>
      <c r="Q44" s="345"/>
      <c r="R44" s="364"/>
      <c r="S44" s="281">
        <f>G24-P44</f>
        <v>0</v>
      </c>
      <c r="T44" s="281"/>
      <c r="U44" s="281"/>
      <c r="V44" s="53"/>
    </row>
    <row r="45" spans="1:22" s="41" customFormat="1" ht="6" customHeight="1">
      <c r="A45" s="52"/>
      <c r="B45" s="55"/>
      <c r="C45" s="356"/>
      <c r="D45" s="356"/>
      <c r="E45" s="356"/>
      <c r="F45" s="356"/>
      <c r="G45" s="356"/>
      <c r="H45" s="356"/>
      <c r="I45" s="356"/>
      <c r="J45" s="356"/>
      <c r="K45" s="356"/>
      <c r="L45" s="356"/>
      <c r="M45" s="326" t="s">
        <v>149</v>
      </c>
      <c r="N45" s="326"/>
      <c r="O45" s="327"/>
      <c r="P45" s="346" t="s">
        <v>148</v>
      </c>
      <c r="Q45" s="346"/>
      <c r="R45" s="364"/>
      <c r="S45" s="363" t="s">
        <v>48</v>
      </c>
      <c r="T45" s="363"/>
      <c r="U45" s="363"/>
      <c r="V45" s="53"/>
    </row>
    <row r="46" spans="1:22" s="41" customFormat="1" ht="19.5" customHeight="1">
      <c r="A46" s="52"/>
      <c r="B46" s="242"/>
      <c r="C46" s="359" t="s">
        <v>89</v>
      </c>
      <c r="D46" s="359"/>
      <c r="E46" s="359"/>
      <c r="F46" s="47" t="s">
        <v>91</v>
      </c>
      <c r="G46" s="189"/>
      <c r="H46" s="56" t="s">
        <v>92</v>
      </c>
      <c r="I46" s="189"/>
      <c r="J46" s="57"/>
      <c r="K46" s="356"/>
      <c r="L46" s="356"/>
      <c r="M46" s="326"/>
      <c r="N46" s="326"/>
      <c r="O46" s="327"/>
      <c r="P46" s="346"/>
      <c r="Q46" s="346"/>
      <c r="R46" s="364"/>
      <c r="S46" s="363"/>
      <c r="T46" s="363"/>
      <c r="U46" s="363"/>
      <c r="V46" s="53"/>
    </row>
    <row r="47" spans="1:22" s="41" customFormat="1" ht="18" customHeight="1">
      <c r="A47" s="52"/>
      <c r="B47" s="356"/>
      <c r="C47" s="356"/>
      <c r="D47" s="356"/>
      <c r="E47" s="356"/>
      <c r="F47" s="356"/>
      <c r="G47" s="356"/>
      <c r="H47" s="356"/>
      <c r="I47" s="358"/>
      <c r="J47" s="279"/>
      <c r="K47" s="356"/>
      <c r="L47" s="356"/>
      <c r="M47" s="369"/>
      <c r="N47" s="369"/>
      <c r="O47" s="257"/>
      <c r="P47" s="369"/>
      <c r="Q47" s="369"/>
      <c r="R47" s="356"/>
      <c r="S47" s="370"/>
      <c r="T47" s="190"/>
      <c r="V47" s="53"/>
    </row>
    <row r="48" spans="1:22" s="41" customFormat="1" ht="14.25" customHeight="1" thickBot="1">
      <c r="A48" s="52"/>
      <c r="B48" s="357"/>
      <c r="C48" s="357"/>
      <c r="D48" s="357"/>
      <c r="E48" s="357"/>
      <c r="F48" s="357"/>
      <c r="G48" s="357"/>
      <c r="H48" s="357"/>
      <c r="I48" s="280"/>
      <c r="J48" s="280"/>
      <c r="K48" s="356"/>
      <c r="L48" s="356"/>
      <c r="M48" s="278" t="s">
        <v>49</v>
      </c>
      <c r="N48" s="278"/>
      <c r="O48" s="257"/>
      <c r="P48" s="355" t="s">
        <v>57</v>
      </c>
      <c r="Q48" s="355"/>
      <c r="S48" s="279" t="s">
        <v>93</v>
      </c>
      <c r="T48" s="279"/>
      <c r="U48" s="279"/>
      <c r="V48" s="58"/>
    </row>
    <row r="49" spans="1:22" s="41" customFormat="1" ht="15" customHeight="1">
      <c r="A49" s="52"/>
      <c r="B49" s="298" t="s">
        <v>44</v>
      </c>
      <c r="C49" s="298"/>
      <c r="D49" s="298"/>
      <c r="E49" s="298"/>
      <c r="F49" s="298"/>
      <c r="G49" s="298"/>
      <c r="H49" s="298"/>
      <c r="I49" s="277" t="s">
        <v>41</v>
      </c>
      <c r="J49" s="277"/>
      <c r="K49" s="356"/>
      <c r="L49" s="356"/>
      <c r="M49" s="279"/>
      <c r="N49" s="279"/>
      <c r="O49" s="257"/>
      <c r="P49" s="349"/>
      <c r="Q49" s="349"/>
      <c r="R49" s="349"/>
      <c r="S49" s="349"/>
      <c r="T49" s="349"/>
      <c r="U49" s="349"/>
      <c r="V49" s="58"/>
    </row>
    <row r="50" spans="1:22" s="41" customFormat="1" ht="35.25" customHeight="1" thickBot="1">
      <c r="A50" s="52"/>
      <c r="B50" s="47"/>
      <c r="C50" s="279"/>
      <c r="D50" s="279"/>
      <c r="E50" s="279"/>
      <c r="F50" s="279"/>
      <c r="G50" s="279"/>
      <c r="H50" s="280"/>
      <c r="I50" s="280"/>
      <c r="J50" s="280"/>
      <c r="K50" s="356"/>
      <c r="L50" s="356"/>
      <c r="M50" s="377"/>
      <c r="N50" s="377"/>
      <c r="O50" s="377"/>
      <c r="P50" s="377"/>
      <c r="Q50" s="377"/>
      <c r="R50" s="377"/>
      <c r="S50" s="377"/>
      <c r="T50" s="280"/>
      <c r="U50" s="280"/>
      <c r="V50" s="58"/>
    </row>
    <row r="51" spans="1:22" s="41" customFormat="1" ht="15" customHeight="1">
      <c r="A51" s="52"/>
      <c r="B51" s="360" t="s">
        <v>40</v>
      </c>
      <c r="C51" s="360"/>
      <c r="D51" s="360"/>
      <c r="E51" s="360"/>
      <c r="F51" s="360"/>
      <c r="G51" s="360"/>
      <c r="H51" s="360"/>
      <c r="I51" s="277" t="s">
        <v>41</v>
      </c>
      <c r="J51" s="277"/>
      <c r="K51" s="356"/>
      <c r="L51" s="356"/>
      <c r="M51" s="376" t="s">
        <v>47</v>
      </c>
      <c r="N51" s="376"/>
      <c r="O51" s="376"/>
      <c r="P51" s="376"/>
      <c r="Q51" s="376"/>
      <c r="R51" s="376"/>
      <c r="S51" s="376"/>
      <c r="T51" s="277" t="s">
        <v>41</v>
      </c>
      <c r="U51" s="277"/>
      <c r="V51" s="59"/>
    </row>
    <row r="52" spans="1:22" ht="7.5" customHeight="1" thickBot="1">
      <c r="A52" s="60"/>
      <c r="B52" s="268"/>
      <c r="C52" s="268"/>
      <c r="D52" s="268"/>
      <c r="E52" s="268"/>
      <c r="F52" s="268"/>
      <c r="G52" s="268"/>
      <c r="H52" s="268"/>
      <c r="I52" s="268"/>
      <c r="J52" s="268"/>
      <c r="K52" s="268"/>
      <c r="L52" s="268"/>
      <c r="M52" s="268"/>
      <c r="N52" s="268"/>
      <c r="O52" s="268"/>
      <c r="P52" s="268"/>
      <c r="Q52" s="268"/>
      <c r="R52" s="268"/>
      <c r="S52" s="268"/>
      <c r="T52" s="268"/>
      <c r="U52" s="268"/>
      <c r="V52" s="61"/>
    </row>
    <row r="53" spans="1:22" ht="15.75" thickTop="1"/>
  </sheetData>
  <sheetProtection sheet="1" objects="1" scenarios="1"/>
  <mergeCells count="138">
    <mergeCell ref="R44:R46"/>
    <mergeCell ref="M44:N44"/>
    <mergeCell ref="A7:A40"/>
    <mergeCell ref="H39:M39"/>
    <mergeCell ref="B51:H51"/>
    <mergeCell ref="M47:N47"/>
    <mergeCell ref="P47:Q47"/>
    <mergeCell ref="R47:S47"/>
    <mergeCell ref="M49:N49"/>
    <mergeCell ref="K44:L51"/>
    <mergeCell ref="C45:J45"/>
    <mergeCell ref="M21:U21"/>
    <mergeCell ref="M19:Q19"/>
    <mergeCell ref="R19:U19"/>
    <mergeCell ref="M17:Q17"/>
    <mergeCell ref="C26:J26"/>
    <mergeCell ref="C23:J23"/>
    <mergeCell ref="H38:M38"/>
    <mergeCell ref="N39:O39"/>
    <mergeCell ref="M51:S51"/>
    <mergeCell ref="M50:S50"/>
    <mergeCell ref="I50:J50"/>
    <mergeCell ref="C43:E43"/>
    <mergeCell ref="C25:H25"/>
    <mergeCell ref="P44:Q44"/>
    <mergeCell ref="P45:Q46"/>
    <mergeCell ref="V7:V39"/>
    <mergeCell ref="R49:U49"/>
    <mergeCell ref="B7:U7"/>
    <mergeCell ref="B38:G39"/>
    <mergeCell ref="P38:U39"/>
    <mergeCell ref="G20:H20"/>
    <mergeCell ref="G22:J22"/>
    <mergeCell ref="G24:J24"/>
    <mergeCell ref="M33:U33"/>
    <mergeCell ref="P48:Q49"/>
    <mergeCell ref="B47:H48"/>
    <mergeCell ref="I47:J48"/>
    <mergeCell ref="C46:E46"/>
    <mergeCell ref="C9:J9"/>
    <mergeCell ref="M9:U9"/>
    <mergeCell ref="C15:F15"/>
    <mergeCell ref="C13:G13"/>
    <mergeCell ref="C12:G12"/>
    <mergeCell ref="C10:G10"/>
    <mergeCell ref="S45:U46"/>
    <mergeCell ref="I49:J49"/>
    <mergeCell ref="B49:H49"/>
    <mergeCell ref="M45:N46"/>
    <mergeCell ref="O44:O46"/>
    <mergeCell ref="C22:F22"/>
    <mergeCell ref="M20:U20"/>
    <mergeCell ref="C11:G11"/>
    <mergeCell ref="P4:S4"/>
    <mergeCell ref="B6:C6"/>
    <mergeCell ref="B5:C5"/>
    <mergeCell ref="I13:J13"/>
    <mergeCell ref="B41:U41"/>
    <mergeCell ref="N38:O38"/>
    <mergeCell ref="M35:U35"/>
    <mergeCell ref="M34:U34"/>
    <mergeCell ref="T4:U4"/>
    <mergeCell ref="T5:U5"/>
    <mergeCell ref="T6:U6"/>
    <mergeCell ref="D6:K6"/>
    <mergeCell ref="D4:F4"/>
    <mergeCell ref="G4:O4"/>
    <mergeCell ref="M24:U24"/>
    <mergeCell ref="B28:K28"/>
    <mergeCell ref="C44:D44"/>
    <mergeCell ref="I20:J20"/>
    <mergeCell ref="B8:K8"/>
    <mergeCell ref="B29:K37"/>
    <mergeCell ref="M36:U36"/>
    <mergeCell ref="M37:U37"/>
    <mergeCell ref="M25:U32"/>
    <mergeCell ref="M14:Q16"/>
    <mergeCell ref="R14:S16"/>
    <mergeCell ref="C24:F24"/>
    <mergeCell ref="C21:J21"/>
    <mergeCell ref="M18:U18"/>
    <mergeCell ref="M22:U23"/>
    <mergeCell ref="I19:J19"/>
    <mergeCell ref="C17:F17"/>
    <mergeCell ref="C19:F19"/>
    <mergeCell ref="C18:F18"/>
    <mergeCell ref="H15:I16"/>
    <mergeCell ref="H17:I18"/>
    <mergeCell ref="G19:H19"/>
    <mergeCell ref="T10:T16"/>
    <mergeCell ref="C20:F20"/>
    <mergeCell ref="R17:T17"/>
    <mergeCell ref="G17:G18"/>
    <mergeCell ref="C14:G14"/>
    <mergeCell ref="I14:J14"/>
    <mergeCell ref="U14:U16"/>
    <mergeCell ref="G15:G16"/>
    <mergeCell ref="C16:F16"/>
    <mergeCell ref="N6:O6"/>
    <mergeCell ref="N5:O5"/>
    <mergeCell ref="M10:Q10"/>
    <mergeCell ref="I25:J25"/>
    <mergeCell ref="D5:K5"/>
    <mergeCell ref="P3:S3"/>
    <mergeCell ref="P2:S2"/>
    <mergeCell ref="M8:U8"/>
    <mergeCell ref="M11:Q13"/>
    <mergeCell ref="T3:U3"/>
    <mergeCell ref="R11:S13"/>
    <mergeCell ref="R10:S10"/>
    <mergeCell ref="U11:U13"/>
    <mergeCell ref="I12:J12"/>
    <mergeCell ref="I11:J11"/>
    <mergeCell ref="I10:J10"/>
    <mergeCell ref="B52:U52"/>
    <mergeCell ref="B1:U1"/>
    <mergeCell ref="B40:V40"/>
    <mergeCell ref="B42:U42"/>
    <mergeCell ref="F43:U43"/>
    <mergeCell ref="D2:O2"/>
    <mergeCell ref="P5:S5"/>
    <mergeCell ref="L5:M5"/>
    <mergeCell ref="L6:M6"/>
    <mergeCell ref="P6:S6"/>
    <mergeCell ref="I51:J51"/>
    <mergeCell ref="T51:U51"/>
    <mergeCell ref="M48:N48"/>
    <mergeCell ref="S48:U48"/>
    <mergeCell ref="T50:U50"/>
    <mergeCell ref="S44:U44"/>
    <mergeCell ref="G44:I44"/>
    <mergeCell ref="C50:H50"/>
    <mergeCell ref="B4:C4"/>
    <mergeCell ref="L8:L37"/>
    <mergeCell ref="T2:U2"/>
    <mergeCell ref="B3:C3"/>
    <mergeCell ref="B2:C2"/>
    <mergeCell ref="D3:O3"/>
  </mergeCells>
  <phoneticPr fontId="18" type="noConversion"/>
  <dataValidations count="1">
    <dataValidation errorStyle="warning" allowBlank="1" showInputMessage="1" showErrorMessage="1" prompt="Must have a signed Amendment before payment will be issued for any contract change(s)." sqref="R14:S16 U14:U16"/>
  </dataValidations>
  <printOptions horizontalCentered="1" verticalCentered="1"/>
  <pageMargins left="0.45" right="0.45" top="0.5" bottom="0.5" header="0.3" footer="0.3"/>
  <pageSetup scale="67" orientation="landscape" r:id="rId1"/>
  <headerFooter>
    <oddHeader xml:space="preserve">&amp;R&amp;"Times New Roman,Regular"Date of Preparation:  &amp;"Times New Roman,Bold"&amp;D </oddHeader>
    <oddFooter>&amp;RPage &amp;P of &amp;N</oddFooter>
  </headerFooter>
  <ignoredErrors>
    <ignoredError sqref="E44 D5:D6 T5" unlocked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dimension ref="A1:L42"/>
  <sheetViews>
    <sheetView workbookViewId="0">
      <pane ySplit="12" topLeftCell="A13" activePane="bottomLeft" state="frozen"/>
      <selection pane="bottomLeft" activeCell="F16" sqref="F16"/>
    </sheetView>
  </sheetViews>
  <sheetFormatPr defaultColWidth="8.85546875" defaultRowHeight="15"/>
  <cols>
    <col min="1" max="1" width="2.7109375" style="63" customWidth="1"/>
    <col min="2" max="2" width="13.140625" style="63" customWidth="1"/>
    <col min="3" max="3" width="46.42578125" style="63" customWidth="1"/>
    <col min="4" max="4" width="16.85546875" style="63" customWidth="1"/>
    <col min="5" max="5" width="16" style="63" customWidth="1"/>
    <col min="6" max="6" width="14.7109375" style="63" customWidth="1"/>
    <col min="7" max="7" width="17.28515625" style="63" customWidth="1"/>
    <col min="8" max="8" width="16.28515625" style="63" customWidth="1"/>
    <col min="9" max="9" width="9.140625" style="63" customWidth="1"/>
    <col min="10" max="10" width="17" style="63" customWidth="1"/>
    <col min="11" max="11" width="15.28515625" style="63" customWidth="1"/>
    <col min="12" max="12" width="2.7109375" style="63" customWidth="1"/>
    <col min="13" max="16384" width="8.85546875" style="63"/>
  </cols>
  <sheetData>
    <row r="1" spans="1:12" ht="7.5" customHeight="1" thickTop="1">
      <c r="A1" s="34"/>
      <c r="B1" s="191"/>
      <c r="C1" s="191"/>
      <c r="D1" s="191"/>
      <c r="E1" s="191"/>
      <c r="F1" s="191"/>
      <c r="G1" s="191"/>
      <c r="H1" s="191"/>
      <c r="I1" s="191"/>
      <c r="J1" s="191"/>
      <c r="K1" s="191"/>
      <c r="L1" s="35"/>
    </row>
    <row r="2" spans="1:12" ht="21" customHeight="1">
      <c r="A2" s="36"/>
      <c r="B2" s="192" t="s">
        <v>95</v>
      </c>
      <c r="C2" s="274" t="s">
        <v>69</v>
      </c>
      <c r="D2" s="274"/>
      <c r="E2" s="274"/>
      <c r="F2" s="274"/>
      <c r="G2" s="274"/>
      <c r="H2" s="274"/>
      <c r="I2" s="298" t="s">
        <v>33</v>
      </c>
      <c r="J2" s="298"/>
      <c r="K2" s="193">
        <f>N('Progress Invoice Request'!T2:U2)</f>
        <v>0</v>
      </c>
      <c r="L2" s="37"/>
    </row>
    <row r="3" spans="1:12" ht="21" customHeight="1">
      <c r="A3" s="36"/>
      <c r="B3" s="194" t="s">
        <v>99</v>
      </c>
      <c r="C3" s="274" t="s">
        <v>45</v>
      </c>
      <c r="D3" s="274"/>
      <c r="E3" s="274"/>
      <c r="F3" s="274"/>
      <c r="G3" s="274"/>
      <c r="H3" s="274"/>
      <c r="I3" s="298" t="s">
        <v>11</v>
      </c>
      <c r="J3" s="298"/>
      <c r="K3" s="193">
        <f>N('Progress Invoice Request'!T3:U3)</f>
        <v>0</v>
      </c>
      <c r="L3" s="37"/>
    </row>
    <row r="4" spans="1:12" ht="21" customHeight="1" thickBot="1">
      <c r="A4" s="36"/>
      <c r="B4" s="195" t="s">
        <v>146</v>
      </c>
      <c r="C4" s="383" t="s">
        <v>27</v>
      </c>
      <c r="D4" s="383"/>
      <c r="E4" s="383"/>
      <c r="F4" s="383"/>
      <c r="G4" s="383"/>
      <c r="H4" s="383"/>
      <c r="I4" s="276" t="s">
        <v>39</v>
      </c>
      <c r="J4" s="276"/>
      <c r="K4" s="187" t="str">
        <f>IF(K3,"Attached","Required")</f>
        <v>Required</v>
      </c>
      <c r="L4" s="38"/>
    </row>
    <row r="5" spans="1:12" s="41" customFormat="1" ht="22.5" customHeight="1" thickTop="1">
      <c r="A5" s="39"/>
      <c r="B5" s="196" t="s">
        <v>31</v>
      </c>
      <c r="C5" s="297" t="str">
        <f>T('Progress Invoice Request'!D5:K5)</f>
        <v/>
      </c>
      <c r="D5" s="297"/>
      <c r="E5" s="297"/>
      <c r="F5" s="275" t="s">
        <v>32</v>
      </c>
      <c r="G5" s="275"/>
      <c r="H5" s="197" t="str">
        <f>IF('Schedule Of Values'!H5&gt;0,'Schedule Of Values'!H5,"")</f>
        <v/>
      </c>
      <c r="I5" s="275" t="s">
        <v>94</v>
      </c>
      <c r="J5" s="275"/>
      <c r="K5" s="198">
        <f>'Schedule Of Values'!K5</f>
        <v>0</v>
      </c>
      <c r="L5" s="40"/>
    </row>
    <row r="6" spans="1:12" s="41" customFormat="1" ht="22.5" customHeight="1" thickBot="1">
      <c r="A6" s="42"/>
      <c r="B6" s="199" t="s">
        <v>59</v>
      </c>
      <c r="C6" s="335" t="str">
        <f>T('Progress Invoice Request'!G4:O4)</f>
        <v/>
      </c>
      <c r="D6" s="335"/>
      <c r="E6" s="335"/>
      <c r="F6" s="276" t="s">
        <v>34</v>
      </c>
      <c r="G6" s="276"/>
      <c r="H6" s="251" t="str">
        <f>IF('Schedule Of Values'!H6&gt;0,'Schedule Of Values'!H6,"")</f>
        <v/>
      </c>
      <c r="I6" s="276" t="s">
        <v>35</v>
      </c>
      <c r="J6" s="276"/>
      <c r="K6" s="188" t="str">
        <f>IF('Schedule Of Values'!K6&gt;0,'Schedule Of Values'!K6,"")</f>
        <v/>
      </c>
      <c r="L6" s="43"/>
    </row>
    <row r="7" spans="1:12" s="41" customFormat="1" ht="10.5" customHeight="1" thickTop="1">
      <c r="A7" s="52"/>
      <c r="B7" s="200"/>
      <c r="C7" s="186"/>
      <c r="D7" s="186"/>
      <c r="E7" s="186"/>
      <c r="F7" s="201"/>
      <c r="G7" s="201"/>
      <c r="H7" s="201"/>
      <c r="I7" s="202"/>
      <c r="J7" s="201"/>
      <c r="K7" s="201"/>
      <c r="L7" s="203"/>
    </row>
    <row r="8" spans="1:12" s="183" customFormat="1" ht="17.25" customHeight="1">
      <c r="A8" s="184"/>
      <c r="B8" s="189" t="s">
        <v>70</v>
      </c>
      <c r="C8" s="204" t="s">
        <v>71</v>
      </c>
      <c r="D8" s="204" t="s">
        <v>72</v>
      </c>
      <c r="E8" s="204" t="s">
        <v>73</v>
      </c>
      <c r="F8" s="204" t="s">
        <v>74</v>
      </c>
      <c r="G8" s="204" t="s">
        <v>75</v>
      </c>
      <c r="H8" s="204" t="s">
        <v>76</v>
      </c>
      <c r="I8" s="205" t="s">
        <v>77</v>
      </c>
      <c r="J8" s="204" t="s">
        <v>78</v>
      </c>
      <c r="K8" s="204" t="s">
        <v>79</v>
      </c>
      <c r="L8" s="206"/>
    </row>
    <row r="9" spans="1:12" s="183" customFormat="1" ht="17.25" customHeight="1">
      <c r="A9" s="184"/>
      <c r="B9" s="379" t="s">
        <v>60</v>
      </c>
      <c r="C9" s="379" t="s">
        <v>61</v>
      </c>
      <c r="D9" s="379" t="s">
        <v>80</v>
      </c>
      <c r="E9" s="384" t="s">
        <v>81</v>
      </c>
      <c r="F9" s="384"/>
      <c r="G9" s="381" t="s">
        <v>133</v>
      </c>
      <c r="H9" s="382" t="s">
        <v>87</v>
      </c>
      <c r="I9" s="382" t="s">
        <v>86</v>
      </c>
      <c r="J9" s="381" t="s">
        <v>83</v>
      </c>
      <c r="K9" s="381" t="s">
        <v>84</v>
      </c>
      <c r="L9" s="206"/>
    </row>
    <row r="10" spans="1:12" s="41" customFormat="1" ht="3.75" customHeight="1">
      <c r="A10" s="52"/>
      <c r="B10" s="379"/>
      <c r="C10" s="379"/>
      <c r="D10" s="379"/>
      <c r="E10" s="379" t="s">
        <v>102</v>
      </c>
      <c r="F10" s="379" t="s">
        <v>82</v>
      </c>
      <c r="G10" s="381"/>
      <c r="H10" s="385"/>
      <c r="I10" s="386"/>
      <c r="J10" s="381"/>
      <c r="K10" s="381"/>
      <c r="L10" s="207"/>
    </row>
    <row r="11" spans="1:12" s="41" customFormat="1" ht="12" customHeight="1">
      <c r="A11" s="52"/>
      <c r="B11" s="380"/>
      <c r="C11" s="380"/>
      <c r="D11" s="380"/>
      <c r="E11" s="380"/>
      <c r="F11" s="380"/>
      <c r="G11" s="382"/>
      <c r="H11" s="385"/>
      <c r="I11" s="386"/>
      <c r="J11" s="382"/>
      <c r="K11" s="382"/>
      <c r="L11" s="185"/>
    </row>
    <row r="12" spans="1:12" s="41" customFormat="1" ht="15.75" customHeight="1" thickBot="1">
      <c r="A12" s="52"/>
      <c r="B12" s="208"/>
      <c r="C12" s="208"/>
      <c r="D12" s="208"/>
      <c r="E12" s="208" t="s">
        <v>105</v>
      </c>
      <c r="F12" s="208"/>
      <c r="G12" s="209" t="s">
        <v>103</v>
      </c>
      <c r="H12" s="209" t="s">
        <v>106</v>
      </c>
      <c r="I12" s="210" t="s">
        <v>107</v>
      </c>
      <c r="J12" s="209" t="s">
        <v>104</v>
      </c>
      <c r="K12" s="264"/>
      <c r="L12" s="185"/>
    </row>
    <row r="13" spans="1:12" s="41" customFormat="1" ht="22.5" customHeight="1">
      <c r="A13" s="52"/>
      <c r="B13" s="211" t="str">
        <f>'Schedule Of Values'!B10</f>
        <v xml:space="preserve">WBS 1 </v>
      </c>
      <c r="C13" s="74" t="str">
        <f>IF('Schedule Of Values'!C10&gt;0,'Schedule Of Values'!C10,"")</f>
        <v/>
      </c>
      <c r="D13" s="212">
        <f>'Schedule Of Values'!K10</f>
        <v>0</v>
      </c>
      <c r="E13" s="109"/>
      <c r="F13" s="110"/>
      <c r="G13" s="110"/>
      <c r="H13" s="213">
        <f t="shared" ref="H13:H36" si="0">E13+F13+G13</f>
        <v>0</v>
      </c>
      <c r="I13" s="252">
        <f>IF(H13=0,0,H13/D13)</f>
        <v>0</v>
      </c>
      <c r="J13" s="253">
        <f>D13-H13</f>
        <v>0</v>
      </c>
      <c r="K13" s="256">
        <f>(F13+G13)*$K$12</f>
        <v>0</v>
      </c>
      <c r="L13" s="214"/>
    </row>
    <row r="14" spans="1:12" s="41" customFormat="1" ht="22.5" customHeight="1">
      <c r="A14" s="52"/>
      <c r="B14" s="215" t="str">
        <f>'Schedule Of Values'!B19</f>
        <v xml:space="preserve">WBS 2 </v>
      </c>
      <c r="C14" s="74" t="str">
        <f>IF('Schedule Of Values'!C19&gt;0,'Schedule Of Values'!C19,"")</f>
        <v/>
      </c>
      <c r="D14" s="79">
        <f>'Schedule Of Values'!K19</f>
        <v>0</v>
      </c>
      <c r="E14" s="93"/>
      <c r="F14" s="92"/>
      <c r="G14" s="92"/>
      <c r="H14" s="216">
        <f t="shared" si="0"/>
        <v>0</v>
      </c>
      <c r="I14" s="254">
        <f t="shared" ref="I14:I15" si="1">IF(H14=0,0,H14/D14)</f>
        <v>0</v>
      </c>
      <c r="J14" s="255">
        <f t="shared" ref="J14:J36" si="2">D14-H14</f>
        <v>0</v>
      </c>
      <c r="K14" s="256">
        <f t="shared" ref="K14:K36" si="3">(F14+G14)*$K$12</f>
        <v>0</v>
      </c>
      <c r="L14" s="214"/>
    </row>
    <row r="15" spans="1:12" s="41" customFormat="1" ht="22.5" customHeight="1">
      <c r="A15" s="52"/>
      <c r="B15" s="217" t="str">
        <f>'Schedule Of Values'!B27</f>
        <v xml:space="preserve">WBS 3 </v>
      </c>
      <c r="C15" s="74" t="str">
        <f>IF('Schedule Of Values'!C27&gt;0,'Schedule Of Values'!C27,"")</f>
        <v/>
      </c>
      <c r="D15" s="75">
        <f>'Schedule Of Values'!K27</f>
        <v>0</v>
      </c>
      <c r="E15" s="92"/>
      <c r="F15" s="92"/>
      <c r="G15" s="92"/>
      <c r="H15" s="216">
        <f t="shared" si="0"/>
        <v>0</v>
      </c>
      <c r="I15" s="254">
        <f t="shared" si="1"/>
        <v>0</v>
      </c>
      <c r="J15" s="255">
        <f t="shared" si="2"/>
        <v>0</v>
      </c>
      <c r="K15" s="256">
        <f t="shared" si="3"/>
        <v>0</v>
      </c>
      <c r="L15" s="218"/>
    </row>
    <row r="16" spans="1:12" s="41" customFormat="1" ht="22.5" customHeight="1">
      <c r="A16" s="52"/>
      <c r="B16" s="77" t="str">
        <f>'Schedule Of Values'!B31</f>
        <v xml:space="preserve">WBS 4 </v>
      </c>
      <c r="C16" s="74" t="str">
        <f>IF('Schedule Of Values'!C31&gt;0,'Schedule Of Values'!C31,"")</f>
        <v/>
      </c>
      <c r="D16" s="219">
        <f>'Schedule Of Values'!K31</f>
        <v>0</v>
      </c>
      <c r="E16" s="93"/>
      <c r="F16" s="92"/>
      <c r="G16" s="92"/>
      <c r="H16" s="216">
        <f t="shared" si="0"/>
        <v>0</v>
      </c>
      <c r="I16" s="254">
        <f>IF(H16=0,0,H16/D16)</f>
        <v>0</v>
      </c>
      <c r="J16" s="255">
        <f t="shared" si="2"/>
        <v>0</v>
      </c>
      <c r="K16" s="256">
        <f t="shared" si="3"/>
        <v>0</v>
      </c>
      <c r="L16" s="220"/>
    </row>
    <row r="17" spans="1:12" s="41" customFormat="1" ht="22.5" customHeight="1">
      <c r="A17" s="52"/>
      <c r="B17" s="74" t="str">
        <f>'Schedule Of Values'!B35</f>
        <v xml:space="preserve">WBS 5 </v>
      </c>
      <c r="C17" s="74" t="str">
        <f>IF('Schedule Of Values'!C35&gt;0,'Schedule Of Values'!C35,"")</f>
        <v/>
      </c>
      <c r="D17" s="75">
        <f>'Schedule Of Values'!K35</f>
        <v>0</v>
      </c>
      <c r="E17" s="92"/>
      <c r="F17" s="92"/>
      <c r="G17" s="92"/>
      <c r="H17" s="216">
        <f t="shared" si="0"/>
        <v>0</v>
      </c>
      <c r="I17" s="254">
        <f t="shared" ref="I17:I36" si="4">IF(H17=0,0,H17/D17)</f>
        <v>0</v>
      </c>
      <c r="J17" s="255">
        <f t="shared" si="2"/>
        <v>0</v>
      </c>
      <c r="K17" s="256">
        <f t="shared" si="3"/>
        <v>0</v>
      </c>
      <c r="L17" s="218"/>
    </row>
    <row r="18" spans="1:12" s="41" customFormat="1" ht="22.5" customHeight="1">
      <c r="A18" s="52"/>
      <c r="B18" s="74" t="str">
        <f>'Schedule Of Values'!B39</f>
        <v>WBS 6</v>
      </c>
      <c r="C18" s="74" t="str">
        <f>IF('Schedule Of Values'!C39&gt;0,'Schedule Of Values'!C39,"")</f>
        <v/>
      </c>
      <c r="D18" s="75">
        <f>'Schedule Of Values'!K39</f>
        <v>0</v>
      </c>
      <c r="E18" s="92"/>
      <c r="F18" s="92"/>
      <c r="G18" s="92"/>
      <c r="H18" s="216">
        <f t="shared" si="0"/>
        <v>0</v>
      </c>
      <c r="I18" s="254">
        <f t="shared" si="4"/>
        <v>0</v>
      </c>
      <c r="J18" s="255">
        <f t="shared" si="2"/>
        <v>0</v>
      </c>
      <c r="K18" s="256">
        <f t="shared" si="3"/>
        <v>0</v>
      </c>
      <c r="L18" s="218"/>
    </row>
    <row r="19" spans="1:12" s="41" customFormat="1" ht="22.5" customHeight="1">
      <c r="A19" s="52"/>
      <c r="B19" s="74" t="str">
        <f>'Schedule Of Values'!B43</f>
        <v>WBS 7</v>
      </c>
      <c r="C19" s="74" t="str">
        <f>IF('Schedule Of Values'!C43&gt;0,'Schedule Of Values'!C43,"")</f>
        <v/>
      </c>
      <c r="D19" s="75">
        <f>'Schedule Of Values'!K43</f>
        <v>0</v>
      </c>
      <c r="E19" s="92"/>
      <c r="F19" s="92"/>
      <c r="G19" s="92"/>
      <c r="H19" s="216">
        <f t="shared" si="0"/>
        <v>0</v>
      </c>
      <c r="I19" s="254">
        <f t="shared" si="4"/>
        <v>0</v>
      </c>
      <c r="J19" s="255">
        <f t="shared" si="2"/>
        <v>0</v>
      </c>
      <c r="K19" s="256">
        <f t="shared" si="3"/>
        <v>0</v>
      </c>
      <c r="L19" s="218"/>
    </row>
    <row r="20" spans="1:12" s="41" customFormat="1" ht="22.5" customHeight="1">
      <c r="A20" s="52"/>
      <c r="B20" s="74" t="str">
        <f>'Schedule Of Values'!B47</f>
        <v xml:space="preserve">WBS 8 </v>
      </c>
      <c r="C20" s="74" t="str">
        <f>IF('Schedule Of Values'!C47&gt;0,'Schedule Of Values'!C47,"")</f>
        <v/>
      </c>
      <c r="D20" s="75">
        <f>'Schedule Of Values'!K47</f>
        <v>0</v>
      </c>
      <c r="E20" s="92"/>
      <c r="F20" s="92"/>
      <c r="G20" s="92"/>
      <c r="H20" s="216">
        <f t="shared" si="0"/>
        <v>0</v>
      </c>
      <c r="I20" s="254">
        <f t="shared" si="4"/>
        <v>0</v>
      </c>
      <c r="J20" s="255">
        <f t="shared" si="2"/>
        <v>0</v>
      </c>
      <c r="K20" s="256">
        <f t="shared" si="3"/>
        <v>0</v>
      </c>
      <c r="L20" s="218"/>
    </row>
    <row r="21" spans="1:12" s="41" customFormat="1" ht="22.5" customHeight="1">
      <c r="A21" s="52"/>
      <c r="B21" s="74" t="str">
        <f>'Schedule Of Values'!B51</f>
        <v xml:space="preserve">WBS 9 </v>
      </c>
      <c r="C21" s="74" t="str">
        <f>IF('Schedule Of Values'!C51&gt;0,'Schedule Of Values'!C51,"")</f>
        <v/>
      </c>
      <c r="D21" s="75">
        <f>'Schedule Of Values'!K51</f>
        <v>0</v>
      </c>
      <c r="E21" s="92"/>
      <c r="F21" s="92"/>
      <c r="G21" s="92"/>
      <c r="H21" s="216">
        <f t="shared" si="0"/>
        <v>0</v>
      </c>
      <c r="I21" s="254">
        <f t="shared" si="4"/>
        <v>0</v>
      </c>
      <c r="J21" s="255">
        <f t="shared" si="2"/>
        <v>0</v>
      </c>
      <c r="K21" s="256">
        <f t="shared" si="3"/>
        <v>0</v>
      </c>
      <c r="L21" s="218"/>
    </row>
    <row r="22" spans="1:12" s="41" customFormat="1" ht="22.5" customHeight="1">
      <c r="A22" s="52"/>
      <c r="B22" s="74" t="str">
        <f>'Schedule Of Values'!B55</f>
        <v xml:space="preserve">WBS 10 </v>
      </c>
      <c r="C22" s="74" t="str">
        <f>IF('Schedule Of Values'!C55&gt;0,'Schedule Of Values'!C55,"")</f>
        <v/>
      </c>
      <c r="D22" s="75">
        <f>'Schedule Of Values'!K55</f>
        <v>0</v>
      </c>
      <c r="E22" s="92"/>
      <c r="F22" s="92"/>
      <c r="G22" s="92"/>
      <c r="H22" s="216">
        <f t="shared" si="0"/>
        <v>0</v>
      </c>
      <c r="I22" s="254">
        <f t="shared" si="4"/>
        <v>0</v>
      </c>
      <c r="J22" s="255">
        <f t="shared" si="2"/>
        <v>0</v>
      </c>
      <c r="K22" s="256">
        <f t="shared" si="3"/>
        <v>0</v>
      </c>
      <c r="L22" s="218"/>
    </row>
    <row r="23" spans="1:12" s="41" customFormat="1" ht="22.5" customHeight="1">
      <c r="A23" s="52"/>
      <c r="B23" s="74" t="str">
        <f>'Schedule Of Values'!B59</f>
        <v xml:space="preserve">WBS 11 </v>
      </c>
      <c r="C23" s="74" t="str">
        <f>IF('Schedule Of Values'!C59&gt;0,'Schedule Of Values'!C59,"")</f>
        <v/>
      </c>
      <c r="D23" s="75">
        <f>'Schedule Of Values'!K59</f>
        <v>0</v>
      </c>
      <c r="E23" s="92"/>
      <c r="F23" s="92"/>
      <c r="G23" s="92"/>
      <c r="H23" s="216">
        <f t="shared" si="0"/>
        <v>0</v>
      </c>
      <c r="I23" s="254">
        <f t="shared" si="4"/>
        <v>0</v>
      </c>
      <c r="J23" s="255">
        <f t="shared" si="2"/>
        <v>0</v>
      </c>
      <c r="K23" s="256">
        <f t="shared" si="3"/>
        <v>0</v>
      </c>
      <c r="L23" s="218"/>
    </row>
    <row r="24" spans="1:12" s="41" customFormat="1" ht="22.5" customHeight="1">
      <c r="A24" s="52"/>
      <c r="B24" s="74" t="str">
        <f>'Schedule Of Values'!B63</f>
        <v xml:space="preserve">WBS 12 </v>
      </c>
      <c r="C24" s="74" t="str">
        <f>IF('Schedule Of Values'!C63&gt;0,'Schedule Of Values'!C63,"")</f>
        <v/>
      </c>
      <c r="D24" s="75">
        <f>'Schedule Of Values'!K63</f>
        <v>0</v>
      </c>
      <c r="E24" s="92"/>
      <c r="F24" s="92"/>
      <c r="G24" s="92"/>
      <c r="H24" s="216">
        <f t="shared" si="0"/>
        <v>0</v>
      </c>
      <c r="I24" s="254">
        <f t="shared" si="4"/>
        <v>0</v>
      </c>
      <c r="J24" s="255">
        <f t="shared" si="2"/>
        <v>0</v>
      </c>
      <c r="K24" s="256">
        <f t="shared" si="3"/>
        <v>0</v>
      </c>
      <c r="L24" s="218"/>
    </row>
    <row r="25" spans="1:12" s="41" customFormat="1" ht="22.5" customHeight="1">
      <c r="A25" s="52"/>
      <c r="B25" s="74" t="str">
        <f>'Schedule Of Values'!B67</f>
        <v xml:space="preserve">WBS 13 </v>
      </c>
      <c r="C25" s="74" t="str">
        <f>IF('Schedule Of Values'!C67&gt;0,'Schedule Of Values'!C67,"")</f>
        <v/>
      </c>
      <c r="D25" s="75">
        <f>'Schedule Of Values'!K67</f>
        <v>0</v>
      </c>
      <c r="E25" s="92"/>
      <c r="F25" s="92"/>
      <c r="G25" s="92"/>
      <c r="H25" s="216">
        <f t="shared" si="0"/>
        <v>0</v>
      </c>
      <c r="I25" s="254">
        <f t="shared" si="4"/>
        <v>0</v>
      </c>
      <c r="J25" s="255">
        <f t="shared" si="2"/>
        <v>0</v>
      </c>
      <c r="K25" s="256">
        <f t="shared" si="3"/>
        <v>0</v>
      </c>
      <c r="L25" s="218"/>
    </row>
    <row r="26" spans="1:12" s="41" customFormat="1" ht="22.5" customHeight="1">
      <c r="A26" s="52"/>
      <c r="B26" s="74" t="str">
        <f>'Schedule Of Values'!B71</f>
        <v xml:space="preserve">WBS 14 </v>
      </c>
      <c r="C26" s="74" t="str">
        <f>IF('Schedule Of Values'!C71&gt;0,'Schedule Of Values'!C71,"")</f>
        <v/>
      </c>
      <c r="D26" s="75">
        <f>'Schedule Of Values'!K71</f>
        <v>0</v>
      </c>
      <c r="E26" s="92"/>
      <c r="F26" s="92"/>
      <c r="G26" s="92"/>
      <c r="H26" s="216">
        <f t="shared" si="0"/>
        <v>0</v>
      </c>
      <c r="I26" s="254">
        <f t="shared" si="4"/>
        <v>0</v>
      </c>
      <c r="J26" s="255">
        <f t="shared" si="2"/>
        <v>0</v>
      </c>
      <c r="K26" s="256">
        <f t="shared" si="3"/>
        <v>0</v>
      </c>
      <c r="L26" s="218"/>
    </row>
    <row r="27" spans="1:12" s="41" customFormat="1" ht="22.5" customHeight="1">
      <c r="A27" s="52"/>
      <c r="B27" s="77" t="str">
        <f>'Schedule Of Values'!B75</f>
        <v xml:space="preserve">WBS 15 </v>
      </c>
      <c r="C27" s="74" t="str">
        <f>IF('Schedule Of Values'!C75&gt;0,'Schedule Of Values'!C75,"")</f>
        <v/>
      </c>
      <c r="D27" s="75">
        <f>'Schedule Of Values'!K75</f>
        <v>0</v>
      </c>
      <c r="E27" s="93"/>
      <c r="F27" s="92"/>
      <c r="G27" s="92"/>
      <c r="H27" s="216">
        <f t="shared" si="0"/>
        <v>0</v>
      </c>
      <c r="I27" s="254">
        <f t="shared" si="4"/>
        <v>0</v>
      </c>
      <c r="J27" s="255">
        <f t="shared" si="2"/>
        <v>0</v>
      </c>
      <c r="K27" s="256">
        <f t="shared" si="3"/>
        <v>0</v>
      </c>
      <c r="L27" s="220"/>
    </row>
    <row r="28" spans="1:12" s="41" customFormat="1" ht="22.5" customHeight="1">
      <c r="A28" s="52"/>
      <c r="B28" s="74" t="str">
        <f>'Schedule Of Values'!B79</f>
        <v xml:space="preserve">WBS 16 </v>
      </c>
      <c r="C28" s="74" t="str">
        <f>IF('Schedule Of Values'!C79&gt;0,'Schedule Of Values'!C79,"")</f>
        <v/>
      </c>
      <c r="D28" s="75">
        <f>'Schedule Of Values'!K79</f>
        <v>0</v>
      </c>
      <c r="E28" s="92"/>
      <c r="F28" s="92"/>
      <c r="G28" s="92"/>
      <c r="H28" s="216">
        <f t="shared" si="0"/>
        <v>0</v>
      </c>
      <c r="I28" s="254">
        <f t="shared" si="4"/>
        <v>0</v>
      </c>
      <c r="J28" s="255">
        <f t="shared" si="2"/>
        <v>0</v>
      </c>
      <c r="K28" s="256">
        <f t="shared" si="3"/>
        <v>0</v>
      </c>
      <c r="L28" s="218"/>
    </row>
    <row r="29" spans="1:12" s="41" customFormat="1" ht="22.5" customHeight="1">
      <c r="A29" s="52"/>
      <c r="B29" s="74" t="str">
        <f>'Schedule Of Values'!B83</f>
        <v>WBS 17</v>
      </c>
      <c r="C29" s="74" t="str">
        <f>IF('Schedule Of Values'!C83&gt;0,'Schedule Of Values'!C83,"")</f>
        <v/>
      </c>
      <c r="D29" s="75">
        <f>'Schedule Of Values'!K83</f>
        <v>0</v>
      </c>
      <c r="E29" s="92"/>
      <c r="F29" s="92"/>
      <c r="G29" s="92"/>
      <c r="H29" s="216">
        <f t="shared" si="0"/>
        <v>0</v>
      </c>
      <c r="I29" s="254">
        <f t="shared" si="4"/>
        <v>0</v>
      </c>
      <c r="J29" s="255">
        <f t="shared" si="2"/>
        <v>0</v>
      </c>
      <c r="K29" s="256">
        <f t="shared" si="3"/>
        <v>0</v>
      </c>
      <c r="L29" s="218"/>
    </row>
    <row r="30" spans="1:12" s="41" customFormat="1" ht="22.5" customHeight="1">
      <c r="A30" s="52"/>
      <c r="B30" s="74"/>
      <c r="C30" s="74"/>
      <c r="D30" s="75"/>
      <c r="E30" s="75"/>
      <c r="F30" s="75"/>
      <c r="G30" s="75"/>
      <c r="H30" s="216">
        <f t="shared" si="0"/>
        <v>0</v>
      </c>
      <c r="I30" s="254">
        <f t="shared" si="4"/>
        <v>0</v>
      </c>
      <c r="J30" s="255">
        <f t="shared" si="2"/>
        <v>0</v>
      </c>
      <c r="K30" s="256">
        <f>(F30+G30)*$K$12</f>
        <v>0</v>
      </c>
      <c r="L30" s="218"/>
    </row>
    <row r="31" spans="1:12" s="41" customFormat="1" ht="22.5" customHeight="1">
      <c r="A31" s="52"/>
      <c r="B31" s="74"/>
      <c r="D31" s="75"/>
      <c r="E31" s="75"/>
      <c r="F31" s="75"/>
      <c r="G31" s="75"/>
      <c r="H31" s="216">
        <f t="shared" si="0"/>
        <v>0</v>
      </c>
      <c r="I31" s="254">
        <f t="shared" si="4"/>
        <v>0</v>
      </c>
      <c r="J31" s="255">
        <f t="shared" si="2"/>
        <v>0</v>
      </c>
      <c r="K31" s="256">
        <f t="shared" si="3"/>
        <v>0</v>
      </c>
      <c r="L31" s="218"/>
    </row>
    <row r="32" spans="1:12" s="41" customFormat="1" ht="22.5" customHeight="1">
      <c r="A32" s="52"/>
      <c r="B32" s="74"/>
      <c r="C32" s="74"/>
      <c r="D32" s="75"/>
      <c r="E32" s="75"/>
      <c r="F32" s="75"/>
      <c r="G32" s="75"/>
      <c r="H32" s="216">
        <f t="shared" si="0"/>
        <v>0</v>
      </c>
      <c r="I32" s="254">
        <f t="shared" si="4"/>
        <v>0</v>
      </c>
      <c r="J32" s="255">
        <f t="shared" si="2"/>
        <v>0</v>
      </c>
      <c r="K32" s="256">
        <f t="shared" si="3"/>
        <v>0</v>
      </c>
      <c r="L32" s="218"/>
    </row>
    <row r="33" spans="1:12" s="41" customFormat="1" ht="22.5" customHeight="1">
      <c r="A33" s="52"/>
      <c r="B33" s="77"/>
      <c r="C33" s="77"/>
      <c r="D33" s="79"/>
      <c r="E33" s="79"/>
      <c r="F33" s="75"/>
      <c r="G33" s="75"/>
      <c r="H33" s="216">
        <f t="shared" si="0"/>
        <v>0</v>
      </c>
      <c r="I33" s="254">
        <f t="shared" si="4"/>
        <v>0</v>
      </c>
      <c r="J33" s="255">
        <f t="shared" si="2"/>
        <v>0</v>
      </c>
      <c r="K33" s="256">
        <f t="shared" si="3"/>
        <v>0</v>
      </c>
      <c r="L33" s="218"/>
    </row>
    <row r="34" spans="1:12" s="41" customFormat="1" ht="22.5" customHeight="1">
      <c r="A34" s="52"/>
      <c r="B34" s="74"/>
      <c r="C34" s="74"/>
      <c r="D34" s="75"/>
      <c r="E34" s="75"/>
      <c r="F34" s="75"/>
      <c r="G34" s="75"/>
      <c r="H34" s="216">
        <f t="shared" si="0"/>
        <v>0</v>
      </c>
      <c r="I34" s="254">
        <f t="shared" si="4"/>
        <v>0</v>
      </c>
      <c r="J34" s="255">
        <f t="shared" si="2"/>
        <v>0</v>
      </c>
      <c r="K34" s="256">
        <f t="shared" si="3"/>
        <v>0</v>
      </c>
      <c r="L34" s="221"/>
    </row>
    <row r="35" spans="1:12" s="41" customFormat="1" ht="22.5" customHeight="1">
      <c r="A35" s="52"/>
      <c r="B35" s="77"/>
      <c r="C35" s="77"/>
      <c r="D35" s="222"/>
      <c r="E35" s="222"/>
      <c r="F35" s="75"/>
      <c r="G35" s="75"/>
      <c r="H35" s="216">
        <f t="shared" si="0"/>
        <v>0</v>
      </c>
      <c r="I35" s="254">
        <f t="shared" si="4"/>
        <v>0</v>
      </c>
      <c r="J35" s="255">
        <f t="shared" si="2"/>
        <v>0</v>
      </c>
      <c r="K35" s="256">
        <f t="shared" si="3"/>
        <v>0</v>
      </c>
      <c r="L35" s="223"/>
    </row>
    <row r="36" spans="1:12" s="41" customFormat="1" ht="22.5" customHeight="1" thickBot="1">
      <c r="A36" s="52"/>
      <c r="B36" s="74"/>
      <c r="C36" s="74"/>
      <c r="D36" s="75"/>
      <c r="E36" s="75"/>
      <c r="F36" s="75"/>
      <c r="G36" s="75"/>
      <c r="H36" s="216">
        <f t="shared" si="0"/>
        <v>0</v>
      </c>
      <c r="I36" s="254">
        <f t="shared" si="4"/>
        <v>0</v>
      </c>
      <c r="J36" s="255">
        <f t="shared" si="2"/>
        <v>0</v>
      </c>
      <c r="K36" s="256">
        <f t="shared" si="3"/>
        <v>0</v>
      </c>
      <c r="L36" s="221"/>
    </row>
    <row r="37" spans="1:12" s="41" customFormat="1" ht="22.5" customHeight="1" thickBot="1">
      <c r="A37" s="52"/>
      <c r="B37" s="224" t="s">
        <v>43</v>
      </c>
      <c r="C37" s="225"/>
      <c r="D37" s="226">
        <f>SUM(D13:D36)</f>
        <v>0</v>
      </c>
      <c r="E37" s="226">
        <f>SUM(E13:E36)</f>
        <v>0</v>
      </c>
      <c r="F37" s="226">
        <f>SUM(F13:F36)</f>
        <v>0</v>
      </c>
      <c r="G37" s="226">
        <f>SUM(G13:G36)</f>
        <v>0</v>
      </c>
      <c r="H37" s="226">
        <f>SUM(H13:H36)</f>
        <v>0</v>
      </c>
      <c r="I37" s="227">
        <f>IF(H37=0,0,H37/D37)</f>
        <v>0</v>
      </c>
      <c r="J37" s="226">
        <f>SUM(J13:J36)</f>
        <v>0</v>
      </c>
      <c r="K37" s="228">
        <f>SUM(K13:K36)</f>
        <v>0</v>
      </c>
      <c r="L37" s="59"/>
    </row>
    <row r="38" spans="1:12" ht="7.5" customHeight="1" thickBot="1">
      <c r="A38" s="60"/>
      <c r="B38" s="229"/>
      <c r="C38" s="229"/>
      <c r="D38" s="229"/>
      <c r="E38" s="229"/>
      <c r="F38" s="229"/>
      <c r="G38" s="229"/>
      <c r="H38" s="230"/>
      <c r="I38" s="231"/>
      <c r="J38" s="232"/>
      <c r="K38" s="232"/>
      <c r="L38" s="61"/>
    </row>
    <row r="39" spans="1:12" ht="15.75" thickTop="1"/>
    <row r="40" spans="1:12" ht="15" customHeight="1"/>
    <row r="41" spans="1:12">
      <c r="H41" s="233"/>
    </row>
    <row r="42" spans="1:12">
      <c r="I42" s="234"/>
    </row>
  </sheetData>
  <sheetProtection sheet="1" objects="1" scenarios="1"/>
  <mergeCells count="23">
    <mergeCell ref="E9:F9"/>
    <mergeCell ref="J9:J11"/>
    <mergeCell ref="I4:J4"/>
    <mergeCell ref="I6:J6"/>
    <mergeCell ref="I5:J5"/>
    <mergeCell ref="H9:H11"/>
    <mergeCell ref="I9:I11"/>
    <mergeCell ref="B9:B11"/>
    <mergeCell ref="G9:G11"/>
    <mergeCell ref="I2:J2"/>
    <mergeCell ref="I3:J3"/>
    <mergeCell ref="K9:K11"/>
    <mergeCell ref="E10:E11"/>
    <mergeCell ref="F10:F11"/>
    <mergeCell ref="C5:E5"/>
    <mergeCell ref="C6:E6"/>
    <mergeCell ref="F6:G6"/>
    <mergeCell ref="F5:G5"/>
    <mergeCell ref="D9:D11"/>
    <mergeCell ref="C9:C11"/>
    <mergeCell ref="C4:H4"/>
    <mergeCell ref="C3:H3"/>
    <mergeCell ref="C2:H2"/>
  </mergeCells>
  <phoneticPr fontId="18" type="noConversion"/>
  <printOptions horizontalCentered="1" verticalCentered="1"/>
  <pageMargins left="0.45" right="0.45" top="0.5" bottom="0.5" header="0.3" footer="0.3"/>
  <pageSetup scale="68" orientation="landscape" r:id="rId1"/>
  <headerFooter>
    <oddHeader>&amp;RDate of Preparation:  &amp;"-,Bold"&amp;D</oddHeader>
    <oddFooter>&amp;RPage &amp;P of &amp;N</oddFooter>
  </headerFooter>
  <ignoredErrors>
    <ignoredError sqref="I37" formula="1"/>
  </ignoredErrors>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dimension ref="A1:N90"/>
  <sheetViews>
    <sheetView workbookViewId="0">
      <pane ySplit="9" topLeftCell="A10" activePane="bottomLeft" state="frozen"/>
      <selection pane="bottomLeft" activeCell="D4" sqref="D4:H4"/>
    </sheetView>
  </sheetViews>
  <sheetFormatPr defaultColWidth="8.85546875" defaultRowHeight="15"/>
  <cols>
    <col min="1" max="1" width="2.7109375" customWidth="1"/>
    <col min="2" max="2" width="13.140625" customWidth="1"/>
    <col min="3" max="3" width="49.140625" customWidth="1"/>
    <col min="4" max="4" width="10.140625" customWidth="1"/>
    <col min="5" max="5" width="9.7109375" customWidth="1"/>
    <col min="6" max="6" width="10.7109375" customWidth="1"/>
    <col min="7" max="7" width="13.7109375" customWidth="1"/>
    <col min="8" max="8" width="17.140625" customWidth="1"/>
    <col min="9" max="9" width="16.7109375" customWidth="1"/>
    <col min="10" max="10" width="12" customWidth="1"/>
    <col min="11" max="11" width="16.42578125" customWidth="1"/>
    <col min="12" max="12" width="2.7109375" customWidth="1"/>
  </cols>
  <sheetData>
    <row r="1" spans="1:14" ht="7.5" customHeight="1" thickTop="1">
      <c r="A1" s="7"/>
      <c r="B1" s="8"/>
      <c r="C1" s="8"/>
      <c r="D1" s="8"/>
      <c r="E1" s="8"/>
      <c r="F1" s="8"/>
      <c r="G1" s="8"/>
      <c r="H1" s="8"/>
      <c r="I1" s="8"/>
      <c r="J1" s="8"/>
      <c r="K1" s="8"/>
      <c r="L1" s="24"/>
    </row>
    <row r="2" spans="1:14" ht="21" customHeight="1">
      <c r="A2" s="23"/>
      <c r="B2" s="393" t="s">
        <v>150</v>
      </c>
      <c r="C2" s="393"/>
      <c r="D2" s="393"/>
      <c r="E2" s="393"/>
      <c r="F2" s="393"/>
      <c r="G2" s="393"/>
      <c r="H2" s="393"/>
      <c r="I2" s="393"/>
      <c r="J2" s="393"/>
      <c r="K2" s="393"/>
      <c r="L2" s="16"/>
    </row>
    <row r="3" spans="1:14" ht="21" customHeight="1">
      <c r="A3" s="23"/>
      <c r="B3" s="393" t="s">
        <v>100</v>
      </c>
      <c r="C3" s="393"/>
      <c r="D3" s="393"/>
      <c r="E3" s="393"/>
      <c r="F3" s="393"/>
      <c r="G3" s="393"/>
      <c r="H3" s="393"/>
      <c r="I3" s="393"/>
      <c r="J3" s="393"/>
      <c r="K3" s="393"/>
      <c r="L3" s="16"/>
    </row>
    <row r="4" spans="1:14" ht="21" customHeight="1" thickBot="1">
      <c r="A4" s="23"/>
      <c r="B4" s="396" t="s">
        <v>59</v>
      </c>
      <c r="C4" s="396"/>
      <c r="D4" s="398"/>
      <c r="E4" s="398"/>
      <c r="F4" s="398"/>
      <c r="G4" s="398"/>
      <c r="H4" s="398"/>
      <c r="I4" s="64"/>
      <c r="J4" s="397"/>
      <c r="K4" s="397"/>
      <c r="L4" s="13"/>
    </row>
    <row r="5" spans="1:14" s="1" customFormat="1" ht="22.5" customHeight="1" thickTop="1">
      <c r="A5" s="17"/>
      <c r="B5" s="22" t="s">
        <v>31</v>
      </c>
      <c r="C5" s="394"/>
      <c r="D5" s="394"/>
      <c r="E5" s="394"/>
      <c r="F5" s="399" t="s">
        <v>32</v>
      </c>
      <c r="G5" s="399"/>
      <c r="H5" s="107"/>
      <c r="I5" s="399" t="s">
        <v>94</v>
      </c>
      <c r="J5" s="399"/>
      <c r="K5" s="108"/>
      <c r="L5" s="5"/>
    </row>
    <row r="6" spans="1:14" s="1" customFormat="1" ht="22.5" customHeight="1" thickBot="1">
      <c r="A6" s="18"/>
      <c r="B6" s="2" t="s">
        <v>30</v>
      </c>
      <c r="C6" s="395"/>
      <c r="D6" s="395"/>
      <c r="E6" s="395"/>
      <c r="F6" s="400" t="s">
        <v>34</v>
      </c>
      <c r="G6" s="400"/>
      <c r="H6" s="249"/>
      <c r="I6" s="400" t="s">
        <v>35</v>
      </c>
      <c r="J6" s="400"/>
      <c r="K6" s="249"/>
      <c r="L6" s="9"/>
    </row>
    <row r="7" spans="1:14" s="1" customFormat="1" ht="10.5" customHeight="1" thickTop="1">
      <c r="A7" s="10"/>
      <c r="B7" s="401"/>
      <c r="C7" s="401"/>
      <c r="D7" s="401"/>
      <c r="E7" s="401"/>
      <c r="F7" s="401"/>
      <c r="G7" s="401"/>
      <c r="H7" s="401"/>
      <c r="I7" s="401"/>
      <c r="J7" s="401"/>
      <c r="K7" s="401"/>
      <c r="L7" s="15"/>
    </row>
    <row r="8" spans="1:14" s="1" customFormat="1" ht="15" customHeight="1">
      <c r="A8" s="10"/>
      <c r="B8" s="389" t="s">
        <v>60</v>
      </c>
      <c r="C8" s="389" t="s">
        <v>61</v>
      </c>
      <c r="D8" s="389" t="s">
        <v>62</v>
      </c>
      <c r="E8" s="389" t="s">
        <v>63</v>
      </c>
      <c r="F8" s="389" t="s">
        <v>64</v>
      </c>
      <c r="G8" s="391" t="s">
        <v>65</v>
      </c>
      <c r="H8" s="391" t="s">
        <v>85</v>
      </c>
      <c r="I8" s="391" t="s">
        <v>66</v>
      </c>
      <c r="J8" s="391" t="s">
        <v>67</v>
      </c>
      <c r="K8" s="391" t="s">
        <v>68</v>
      </c>
      <c r="L8" s="25"/>
    </row>
    <row r="9" spans="1:14" s="1" customFormat="1" ht="15" customHeight="1" thickBot="1">
      <c r="A9" s="10"/>
      <c r="B9" s="390"/>
      <c r="C9" s="390"/>
      <c r="D9" s="390"/>
      <c r="E9" s="390"/>
      <c r="F9" s="390"/>
      <c r="G9" s="392"/>
      <c r="H9" s="392"/>
      <c r="I9" s="392"/>
      <c r="J9" s="392"/>
      <c r="K9" s="392"/>
      <c r="L9" s="26"/>
    </row>
    <row r="10" spans="1:14" s="1" customFormat="1" ht="20.25" customHeight="1">
      <c r="A10" s="10"/>
      <c r="B10" s="66" t="s">
        <v>109</v>
      </c>
      <c r="C10" s="86"/>
      <c r="D10" s="71"/>
      <c r="E10" s="72">
        <f>SUM(E11:E17)</f>
        <v>0</v>
      </c>
      <c r="F10" s="72">
        <f>SUM(F11:F17)</f>
        <v>0</v>
      </c>
      <c r="G10" s="73">
        <f>SUM(G11:G17)</f>
        <v>0</v>
      </c>
      <c r="H10" s="73">
        <f>SUM(H11:H17)</f>
        <v>0</v>
      </c>
      <c r="I10" s="73">
        <f>SUM(I11:I17)</f>
        <v>0</v>
      </c>
      <c r="J10" s="123">
        <f>IF(K10=0,0,K10/SUM(G10:I10))</f>
        <v>0</v>
      </c>
      <c r="K10" s="32">
        <f>G10+H10+I10</f>
        <v>0</v>
      </c>
      <c r="L10" s="27"/>
    </row>
    <row r="11" spans="1:14" s="1" customFormat="1" ht="20.25" customHeight="1">
      <c r="A11" s="10"/>
      <c r="B11" s="88"/>
      <c r="C11" s="89"/>
      <c r="D11" s="90"/>
      <c r="E11" s="91"/>
      <c r="F11" s="88"/>
      <c r="G11" s="92"/>
      <c r="H11" s="93"/>
      <c r="I11" s="93"/>
      <c r="J11" s="85">
        <f>IF($K$10=0,0,SUM(G11:I11)/$K$10)</f>
        <v>0</v>
      </c>
      <c r="K11" s="62">
        <f>G11+H11+I11</f>
        <v>0</v>
      </c>
      <c r="L11" s="27"/>
      <c r="N11" s="84"/>
    </row>
    <row r="12" spans="1:14" s="1" customFormat="1" ht="20.25" customHeight="1">
      <c r="A12" s="10"/>
      <c r="B12" s="88"/>
      <c r="C12" s="89"/>
      <c r="D12" s="90"/>
      <c r="E12" s="91"/>
      <c r="F12" s="88"/>
      <c r="G12" s="92"/>
      <c r="H12" s="93"/>
      <c r="I12" s="93"/>
      <c r="J12" s="85">
        <f>IF($K$10=0,0,SUM(G12:I12)/$K$10)</f>
        <v>0</v>
      </c>
      <c r="K12" s="62">
        <f>G12+H12+I12</f>
        <v>0</v>
      </c>
      <c r="L12" s="27"/>
    </row>
    <row r="13" spans="1:14" s="1" customFormat="1" ht="20.25" customHeight="1">
      <c r="A13" s="10"/>
      <c r="B13" s="88"/>
      <c r="C13" s="89"/>
      <c r="D13" s="90"/>
      <c r="E13" s="91"/>
      <c r="F13" s="88"/>
      <c r="G13" s="92"/>
      <c r="H13" s="93"/>
      <c r="I13" s="93"/>
      <c r="J13" s="85">
        <f t="shared" ref="J13:J16" si="0">IF($K$10=0,0,SUM(G13:I13)/$K$10)</f>
        <v>0</v>
      </c>
      <c r="K13" s="62">
        <f t="shared" ref="K13:K16" si="1">G13+H13+I13</f>
        <v>0</v>
      </c>
      <c r="L13" s="27"/>
    </row>
    <row r="14" spans="1:14" s="1" customFormat="1" ht="20.25" customHeight="1">
      <c r="A14" s="10"/>
      <c r="B14" s="88"/>
      <c r="C14" s="89"/>
      <c r="D14" s="90"/>
      <c r="E14" s="91"/>
      <c r="F14" s="88"/>
      <c r="G14" s="92"/>
      <c r="H14" s="93"/>
      <c r="I14" s="93"/>
      <c r="J14" s="85">
        <f t="shared" ref="J14" si="2">IF($K$10=0,0,SUM(G14:I14)/$K$10)</f>
        <v>0</v>
      </c>
      <c r="K14" s="62">
        <f t="shared" ref="K14" si="3">G14+H14+I14</f>
        <v>0</v>
      </c>
      <c r="L14" s="27"/>
    </row>
    <row r="15" spans="1:14" s="1" customFormat="1" ht="20.25" customHeight="1">
      <c r="A15" s="10"/>
      <c r="B15" s="88"/>
      <c r="C15" s="89"/>
      <c r="D15" s="90"/>
      <c r="E15" s="91"/>
      <c r="F15" s="88"/>
      <c r="G15" s="92"/>
      <c r="H15" s="93"/>
      <c r="I15" s="93"/>
      <c r="J15" s="85">
        <f>IF($K$10=0,0,SUM(G15:I15)/$K$10)</f>
        <v>0</v>
      </c>
      <c r="K15" s="62">
        <f>G15+H15+I15</f>
        <v>0</v>
      </c>
      <c r="L15" s="27"/>
    </row>
    <row r="16" spans="1:14" s="1" customFormat="1" ht="20.25" customHeight="1">
      <c r="A16" s="10"/>
      <c r="B16" s="88"/>
      <c r="C16" s="89"/>
      <c r="D16" s="90"/>
      <c r="E16" s="91"/>
      <c r="F16" s="88"/>
      <c r="G16" s="92"/>
      <c r="H16" s="93"/>
      <c r="I16" s="93"/>
      <c r="J16" s="85">
        <f t="shared" si="0"/>
        <v>0</v>
      </c>
      <c r="K16" s="62">
        <f t="shared" si="1"/>
        <v>0</v>
      </c>
      <c r="L16" s="27"/>
    </row>
    <row r="17" spans="1:12" s="1" customFormat="1" ht="20.25" customHeight="1">
      <c r="A17" s="10"/>
      <c r="B17" s="88"/>
      <c r="C17" s="89"/>
      <c r="D17" s="90"/>
      <c r="E17" s="91"/>
      <c r="F17" s="88"/>
      <c r="G17" s="92"/>
      <c r="H17" s="93"/>
      <c r="I17" s="93"/>
      <c r="J17" s="85">
        <f t="shared" ref="J17" si="4">IF($K$10=0,0,SUM(G17:I17)/$K$10)</f>
        <v>0</v>
      </c>
      <c r="K17" s="62">
        <f t="shared" ref="K17" si="5">G17+H17+I17</f>
        <v>0</v>
      </c>
      <c r="L17" s="27"/>
    </row>
    <row r="18" spans="1:12" s="1" customFormat="1" ht="20.25" customHeight="1">
      <c r="A18" s="10"/>
      <c r="B18" s="387" t="s">
        <v>13</v>
      </c>
      <c r="C18" s="388"/>
      <c r="D18" s="388"/>
      <c r="E18" s="388"/>
      <c r="F18" s="388"/>
      <c r="G18" s="388"/>
      <c r="H18" s="388"/>
      <c r="I18" s="388"/>
      <c r="J18" s="388"/>
      <c r="K18" s="125"/>
      <c r="L18" s="27"/>
    </row>
    <row r="19" spans="1:12" s="1" customFormat="1" ht="20.25" customHeight="1">
      <c r="A19" s="10"/>
      <c r="B19" s="67" t="s">
        <v>110</v>
      </c>
      <c r="C19" s="86"/>
      <c r="D19" s="74"/>
      <c r="E19" s="74">
        <f>SUM(E20:E25)</f>
        <v>0</v>
      </c>
      <c r="F19" s="74">
        <f>SUM(F20:F25)</f>
        <v>0</v>
      </c>
      <c r="G19" s="75">
        <f>SUM(G20:G25)</f>
        <v>0</v>
      </c>
      <c r="H19" s="75">
        <f>SUM(H20:H25)</f>
        <v>0</v>
      </c>
      <c r="I19" s="75">
        <f>SUM(I20:I25)</f>
        <v>0</v>
      </c>
      <c r="J19" s="124">
        <f t="shared" ref="J19:J83" si="6">IF(K19=0,0,K19/SUM(G19:I19))</f>
        <v>0</v>
      </c>
      <c r="K19" s="62">
        <f t="shared" ref="K19:K85" si="7">G19+H19+I19</f>
        <v>0</v>
      </c>
      <c r="L19" s="28"/>
    </row>
    <row r="20" spans="1:12" s="1" customFormat="1" ht="20.25" customHeight="1">
      <c r="A20" s="10"/>
      <c r="B20" s="89"/>
      <c r="C20" s="89"/>
      <c r="D20" s="94"/>
      <c r="E20" s="91"/>
      <c r="F20" s="88"/>
      <c r="G20" s="92"/>
      <c r="H20" s="93"/>
      <c r="I20" s="93"/>
      <c r="J20" s="124">
        <f t="shared" ref="J20:J25" si="8">IF($K$19=0,0,SUM(G20:I20)/$K$19)</f>
        <v>0</v>
      </c>
      <c r="K20" s="62">
        <f t="shared" si="7"/>
        <v>0</v>
      </c>
      <c r="L20" s="29"/>
    </row>
    <row r="21" spans="1:12" s="1" customFormat="1" ht="20.25" customHeight="1">
      <c r="A21" s="10"/>
      <c r="B21" s="89"/>
      <c r="C21" s="89"/>
      <c r="D21" s="94"/>
      <c r="E21" s="91"/>
      <c r="F21" s="88"/>
      <c r="G21" s="92"/>
      <c r="H21" s="93"/>
      <c r="I21" s="93"/>
      <c r="J21" s="124">
        <f t="shared" si="8"/>
        <v>0</v>
      </c>
      <c r="K21" s="62">
        <f t="shared" si="7"/>
        <v>0</v>
      </c>
      <c r="L21" s="29"/>
    </row>
    <row r="22" spans="1:12" s="1" customFormat="1" ht="20.25" customHeight="1">
      <c r="A22" s="10"/>
      <c r="B22" s="89"/>
      <c r="C22" s="89"/>
      <c r="D22" s="94"/>
      <c r="E22" s="91"/>
      <c r="F22" s="88"/>
      <c r="G22" s="92"/>
      <c r="H22" s="93"/>
      <c r="I22" s="93"/>
      <c r="J22" s="124">
        <f t="shared" si="8"/>
        <v>0</v>
      </c>
      <c r="K22" s="62">
        <f t="shared" ref="K22:K25" si="9">G22+H22+I22</f>
        <v>0</v>
      </c>
      <c r="L22" s="29"/>
    </row>
    <row r="23" spans="1:12" s="1" customFormat="1" ht="20.25" customHeight="1">
      <c r="A23" s="10"/>
      <c r="B23" s="89"/>
      <c r="C23" s="89"/>
      <c r="D23" s="94"/>
      <c r="E23" s="91"/>
      <c r="F23" s="88"/>
      <c r="G23" s="92"/>
      <c r="H23" s="93"/>
      <c r="I23" s="93"/>
      <c r="J23" s="124">
        <f t="shared" si="8"/>
        <v>0</v>
      </c>
      <c r="K23" s="62">
        <f t="shared" si="9"/>
        <v>0</v>
      </c>
      <c r="L23" s="29"/>
    </row>
    <row r="24" spans="1:12" s="1" customFormat="1" ht="20.25" customHeight="1">
      <c r="A24" s="10"/>
      <c r="B24" s="89"/>
      <c r="C24" s="89"/>
      <c r="D24" s="94"/>
      <c r="E24" s="91"/>
      <c r="F24" s="88"/>
      <c r="G24" s="92"/>
      <c r="H24" s="93"/>
      <c r="I24" s="93"/>
      <c r="J24" s="124">
        <f t="shared" si="8"/>
        <v>0</v>
      </c>
      <c r="K24" s="62">
        <f t="shared" ref="K24" si="10">G24+H24+I24</f>
        <v>0</v>
      </c>
      <c r="L24" s="29"/>
    </row>
    <row r="25" spans="1:12" s="1" customFormat="1" ht="20.25" customHeight="1">
      <c r="A25" s="10"/>
      <c r="B25" s="89"/>
      <c r="C25" s="89"/>
      <c r="D25" s="94"/>
      <c r="E25" s="91"/>
      <c r="F25" s="88"/>
      <c r="G25" s="92"/>
      <c r="H25" s="93"/>
      <c r="I25" s="93"/>
      <c r="J25" s="124">
        <f t="shared" si="8"/>
        <v>0</v>
      </c>
      <c r="K25" s="62">
        <f t="shared" si="9"/>
        <v>0</v>
      </c>
      <c r="L25" s="29"/>
    </row>
    <row r="26" spans="1:12" s="1" customFormat="1" ht="20.25" customHeight="1">
      <c r="A26" s="10"/>
      <c r="B26" s="387" t="s">
        <v>13</v>
      </c>
      <c r="C26" s="388"/>
      <c r="D26" s="388"/>
      <c r="E26" s="388"/>
      <c r="F26" s="388"/>
      <c r="G26" s="388"/>
      <c r="H26" s="388"/>
      <c r="I26" s="388"/>
      <c r="J26" s="388"/>
      <c r="K26" s="125"/>
      <c r="L26" s="27"/>
    </row>
    <row r="27" spans="1:12" s="1" customFormat="1" ht="20.25" customHeight="1">
      <c r="A27" s="10"/>
      <c r="B27" s="67" t="s">
        <v>111</v>
      </c>
      <c r="C27" s="86"/>
      <c r="D27" s="74"/>
      <c r="E27" s="76">
        <f>SUM(E28:E29)</f>
        <v>0</v>
      </c>
      <c r="F27" s="76">
        <f>SUM(F28:F29)</f>
        <v>0</v>
      </c>
      <c r="G27" s="75">
        <f>SUM(G28:G29)</f>
        <v>0</v>
      </c>
      <c r="H27" s="75">
        <f>SUM(H28:H29)</f>
        <v>0</v>
      </c>
      <c r="I27" s="75">
        <f>SUM(I28:I29)</f>
        <v>0</v>
      </c>
      <c r="J27" s="124">
        <f t="shared" si="6"/>
        <v>0</v>
      </c>
      <c r="K27" s="62">
        <f t="shared" si="7"/>
        <v>0</v>
      </c>
      <c r="L27" s="28"/>
    </row>
    <row r="28" spans="1:12" s="1" customFormat="1" ht="20.25" customHeight="1">
      <c r="A28" s="10"/>
      <c r="B28" s="89"/>
      <c r="C28" s="89"/>
      <c r="D28" s="90"/>
      <c r="E28" s="91"/>
      <c r="F28" s="88"/>
      <c r="G28" s="92"/>
      <c r="H28" s="92"/>
      <c r="I28" s="92"/>
      <c r="J28" s="124">
        <f>IF($K$27=0,0,SUM(G28:I28)/$K$27)</f>
        <v>0</v>
      </c>
      <c r="K28" s="62">
        <f t="shared" si="7"/>
        <v>0</v>
      </c>
      <c r="L28" s="28"/>
    </row>
    <row r="29" spans="1:12" s="1" customFormat="1" ht="20.25" customHeight="1">
      <c r="A29" s="10"/>
      <c r="B29" s="89"/>
      <c r="C29" s="89"/>
      <c r="D29" s="90"/>
      <c r="E29" s="91"/>
      <c r="F29" s="88"/>
      <c r="G29" s="92"/>
      <c r="H29" s="92"/>
      <c r="I29" s="92"/>
      <c r="J29" s="124">
        <f>IF($K$27=0,0,SUM(G29:I29)/$K$27)</f>
        <v>0</v>
      </c>
      <c r="K29" s="62">
        <f t="shared" si="7"/>
        <v>0</v>
      </c>
      <c r="L29" s="28"/>
    </row>
    <row r="30" spans="1:12" s="1" customFormat="1" ht="20.25" customHeight="1">
      <c r="A30" s="10"/>
      <c r="B30" s="387" t="s">
        <v>13</v>
      </c>
      <c r="C30" s="388"/>
      <c r="D30" s="388"/>
      <c r="E30" s="388"/>
      <c r="F30" s="388"/>
      <c r="G30" s="388"/>
      <c r="H30" s="388"/>
      <c r="I30" s="388"/>
      <c r="J30" s="388"/>
      <c r="K30" s="125"/>
      <c r="L30" s="27"/>
    </row>
    <row r="31" spans="1:12" s="1" customFormat="1" ht="20.25" customHeight="1">
      <c r="A31" s="10"/>
      <c r="B31" s="67" t="s">
        <v>112</v>
      </c>
      <c r="C31" s="86"/>
      <c r="D31" s="74"/>
      <c r="E31" s="76">
        <f>SUM(E32:E33)</f>
        <v>0</v>
      </c>
      <c r="F31" s="76">
        <f>SUM(F32:F33)</f>
        <v>0</v>
      </c>
      <c r="G31" s="75">
        <f>SUM(G32:G33)</f>
        <v>0</v>
      </c>
      <c r="H31" s="75">
        <f>SUM(H32:H33)</f>
        <v>0</v>
      </c>
      <c r="I31" s="75">
        <f>SUM(I32:I33)</f>
        <v>0</v>
      </c>
      <c r="J31" s="124">
        <f t="shared" si="6"/>
        <v>0</v>
      </c>
      <c r="K31" s="62">
        <f t="shared" si="7"/>
        <v>0</v>
      </c>
      <c r="L31" s="11"/>
    </row>
    <row r="32" spans="1:12" s="1" customFormat="1" ht="20.25" customHeight="1">
      <c r="A32" s="10"/>
      <c r="B32" s="89"/>
      <c r="C32" s="89"/>
      <c r="D32" s="95"/>
      <c r="E32" s="96"/>
      <c r="F32" s="88"/>
      <c r="G32" s="92"/>
      <c r="H32" s="92"/>
      <c r="I32" s="92"/>
      <c r="J32" s="124">
        <f>IF($K$31=0,0,SUM(G32:I32)/$K$31)</f>
        <v>0</v>
      </c>
      <c r="K32" s="62">
        <f t="shared" si="7"/>
        <v>0</v>
      </c>
      <c r="L32" s="30"/>
    </row>
    <row r="33" spans="1:12" s="1" customFormat="1" ht="20.25" customHeight="1">
      <c r="A33" s="10"/>
      <c r="B33" s="89"/>
      <c r="C33" s="89"/>
      <c r="D33" s="95"/>
      <c r="E33" s="96"/>
      <c r="F33" s="88"/>
      <c r="G33" s="92"/>
      <c r="H33" s="92"/>
      <c r="I33" s="92"/>
      <c r="J33" s="124">
        <f>IF($K$31=0,0,SUM(G33:I33)/$K$31)</f>
        <v>0</v>
      </c>
      <c r="K33" s="62">
        <f t="shared" si="7"/>
        <v>0</v>
      </c>
      <c r="L33" s="30"/>
    </row>
    <row r="34" spans="1:12" s="1" customFormat="1" ht="20.25" customHeight="1">
      <c r="A34" s="10"/>
      <c r="B34" s="387" t="s">
        <v>13</v>
      </c>
      <c r="C34" s="388"/>
      <c r="D34" s="388"/>
      <c r="E34" s="388"/>
      <c r="F34" s="388"/>
      <c r="G34" s="388"/>
      <c r="H34" s="388"/>
      <c r="I34" s="388"/>
      <c r="J34" s="388"/>
      <c r="K34" s="125"/>
      <c r="L34" s="27"/>
    </row>
    <row r="35" spans="1:12" s="1" customFormat="1" ht="20.25" customHeight="1">
      <c r="A35" s="10"/>
      <c r="B35" s="67" t="s">
        <v>113</v>
      </c>
      <c r="C35" s="86"/>
      <c r="D35" s="74"/>
      <c r="E35" s="76">
        <f>SUM(E36:E37)</f>
        <v>0</v>
      </c>
      <c r="F35" s="76">
        <f>SUM(F36:F37)</f>
        <v>0</v>
      </c>
      <c r="G35" s="75">
        <f>SUM(G36:G37)</f>
        <v>0</v>
      </c>
      <c r="H35" s="75">
        <f>SUM(H36:H37)</f>
        <v>0</v>
      </c>
      <c r="I35" s="75">
        <f>SUM(I36:I37)</f>
        <v>0</v>
      </c>
      <c r="J35" s="124">
        <f t="shared" si="6"/>
        <v>0</v>
      </c>
      <c r="K35" s="62">
        <f t="shared" si="7"/>
        <v>0</v>
      </c>
      <c r="L35" s="11"/>
    </row>
    <row r="36" spans="1:12" s="1" customFormat="1" ht="20.25" customHeight="1">
      <c r="A36" s="10"/>
      <c r="B36" s="89"/>
      <c r="C36" s="89"/>
      <c r="D36" s="89"/>
      <c r="E36" s="91"/>
      <c r="F36" s="88"/>
      <c r="G36" s="92"/>
      <c r="H36" s="92"/>
      <c r="I36" s="92"/>
      <c r="J36" s="124">
        <f>IF($K$35=0,0,SUM(G36:I36)/$K$35)</f>
        <v>0</v>
      </c>
      <c r="K36" s="62">
        <f t="shared" si="7"/>
        <v>0</v>
      </c>
      <c r="L36" s="11"/>
    </row>
    <row r="37" spans="1:12" s="1" customFormat="1" ht="20.25" customHeight="1">
      <c r="A37" s="10"/>
      <c r="B37" s="89"/>
      <c r="C37" s="89"/>
      <c r="D37" s="89"/>
      <c r="E37" s="91"/>
      <c r="F37" s="88"/>
      <c r="G37" s="92"/>
      <c r="H37" s="92"/>
      <c r="I37" s="92"/>
      <c r="J37" s="124">
        <f>IF($K$35=0,0,SUM(G37:I37)/$K$35)</f>
        <v>0</v>
      </c>
      <c r="K37" s="62">
        <f t="shared" si="7"/>
        <v>0</v>
      </c>
      <c r="L37" s="11"/>
    </row>
    <row r="38" spans="1:12" s="1" customFormat="1" ht="20.25" customHeight="1">
      <c r="A38" s="10"/>
      <c r="B38" s="387" t="s">
        <v>13</v>
      </c>
      <c r="C38" s="388"/>
      <c r="D38" s="388"/>
      <c r="E38" s="388"/>
      <c r="F38" s="388"/>
      <c r="G38" s="388"/>
      <c r="H38" s="388"/>
      <c r="I38" s="388"/>
      <c r="J38" s="388"/>
      <c r="K38" s="125"/>
      <c r="L38" s="27"/>
    </row>
    <row r="39" spans="1:12" s="1" customFormat="1" ht="20.25" customHeight="1">
      <c r="A39" s="10"/>
      <c r="B39" s="68" t="s">
        <v>114</v>
      </c>
      <c r="C39" s="86"/>
      <c r="D39" s="77"/>
      <c r="E39" s="78">
        <f>SUM(E40:E41)</f>
        <v>0</v>
      </c>
      <c r="F39" s="78">
        <f>SUM(F40:F41)</f>
        <v>0</v>
      </c>
      <c r="G39" s="79">
        <f>SUM(G40:G41)</f>
        <v>0</v>
      </c>
      <c r="H39" s="79">
        <f>SUM(H40:H41)</f>
        <v>0</v>
      </c>
      <c r="I39" s="79">
        <f>SUM(I40:I41)</f>
        <v>0</v>
      </c>
      <c r="J39" s="124">
        <f t="shared" si="6"/>
        <v>0</v>
      </c>
      <c r="K39" s="62">
        <f t="shared" si="7"/>
        <v>0</v>
      </c>
      <c r="L39" s="11"/>
    </row>
    <row r="40" spans="1:12" s="1" customFormat="1" ht="20.25" customHeight="1">
      <c r="A40" s="10"/>
      <c r="B40" s="89"/>
      <c r="C40" s="89"/>
      <c r="D40" s="89"/>
      <c r="E40" s="91"/>
      <c r="F40" s="88"/>
      <c r="G40" s="92"/>
      <c r="H40" s="92"/>
      <c r="I40" s="92"/>
      <c r="J40" s="124">
        <f>IF($K$39=0,0,SUM(G40:I40)/$K$39)</f>
        <v>0</v>
      </c>
      <c r="K40" s="62">
        <f t="shared" si="7"/>
        <v>0</v>
      </c>
      <c r="L40" s="11"/>
    </row>
    <row r="41" spans="1:12" s="1" customFormat="1" ht="20.25" customHeight="1">
      <c r="A41" s="10"/>
      <c r="B41" s="89"/>
      <c r="C41" s="89"/>
      <c r="D41" s="89"/>
      <c r="E41" s="91"/>
      <c r="F41" s="88"/>
      <c r="G41" s="92"/>
      <c r="H41" s="92"/>
      <c r="I41" s="92"/>
      <c r="J41" s="124">
        <f>IF($K$39=0,0,SUM(G41:I41)/$K$39)</f>
        <v>0</v>
      </c>
      <c r="K41" s="62">
        <f t="shared" si="7"/>
        <v>0</v>
      </c>
      <c r="L41" s="11"/>
    </row>
    <row r="42" spans="1:12" s="1" customFormat="1" ht="20.25" customHeight="1">
      <c r="A42" s="10"/>
      <c r="B42" s="387" t="s">
        <v>13</v>
      </c>
      <c r="C42" s="388"/>
      <c r="D42" s="388"/>
      <c r="E42" s="388"/>
      <c r="F42" s="388"/>
      <c r="G42" s="388"/>
      <c r="H42" s="388"/>
      <c r="I42" s="388"/>
      <c r="J42" s="388"/>
      <c r="K42" s="125"/>
      <c r="L42" s="27"/>
    </row>
    <row r="43" spans="1:12" s="1" customFormat="1" ht="20.25" customHeight="1">
      <c r="A43" s="10"/>
      <c r="B43" s="68" t="s">
        <v>115</v>
      </c>
      <c r="C43" s="86"/>
      <c r="D43" s="77"/>
      <c r="E43" s="78">
        <f>SUM(E44:E45)</f>
        <v>0</v>
      </c>
      <c r="F43" s="78">
        <f>SUM(F44:F45)</f>
        <v>0</v>
      </c>
      <c r="G43" s="79">
        <f>SUM(G44:G45)</f>
        <v>0</v>
      </c>
      <c r="H43" s="79">
        <f>SUM(H44:H45)</f>
        <v>0</v>
      </c>
      <c r="I43" s="79">
        <f>SUM(I44:I45)</f>
        <v>0</v>
      </c>
      <c r="J43" s="124">
        <f t="shared" ref="J43:J55" si="11">IF(K43=0,0,K43/SUM(G43:I43))</f>
        <v>0</v>
      </c>
      <c r="K43" s="62">
        <f t="shared" si="7"/>
        <v>0</v>
      </c>
      <c r="L43" s="11"/>
    </row>
    <row r="44" spans="1:12" s="1" customFormat="1" ht="20.25" customHeight="1">
      <c r="A44" s="10"/>
      <c r="B44" s="89"/>
      <c r="C44" s="89"/>
      <c r="D44" s="88"/>
      <c r="E44" s="97"/>
      <c r="F44" s="88"/>
      <c r="G44" s="92"/>
      <c r="H44" s="92"/>
      <c r="I44" s="92"/>
      <c r="J44" s="124">
        <f>IF($K$43=0,0,SUM(G44:I44)/$K$43)</f>
        <v>0</v>
      </c>
      <c r="K44" s="62">
        <f t="shared" si="7"/>
        <v>0</v>
      </c>
      <c r="L44" s="11"/>
    </row>
    <row r="45" spans="1:12" s="1" customFormat="1" ht="20.25" customHeight="1">
      <c r="A45" s="10"/>
      <c r="B45" s="89"/>
      <c r="C45" s="89"/>
      <c r="D45" s="88"/>
      <c r="E45" s="97"/>
      <c r="F45" s="88"/>
      <c r="G45" s="92"/>
      <c r="H45" s="92"/>
      <c r="I45" s="92"/>
      <c r="J45" s="124">
        <f>IF($K$43=0,0,SUM(G45:I45)/$K$43)</f>
        <v>0</v>
      </c>
      <c r="K45" s="62">
        <f t="shared" si="7"/>
        <v>0</v>
      </c>
      <c r="L45" s="11"/>
    </row>
    <row r="46" spans="1:12" s="1" customFormat="1" ht="20.25" customHeight="1">
      <c r="A46" s="10"/>
      <c r="B46" s="387" t="s">
        <v>13</v>
      </c>
      <c r="C46" s="388"/>
      <c r="D46" s="388"/>
      <c r="E46" s="388"/>
      <c r="F46" s="388"/>
      <c r="G46" s="388"/>
      <c r="H46" s="388"/>
      <c r="I46" s="388"/>
      <c r="J46" s="388"/>
      <c r="K46" s="125"/>
      <c r="L46" s="27"/>
    </row>
    <row r="47" spans="1:12" s="1" customFormat="1" ht="20.25" customHeight="1">
      <c r="A47" s="10"/>
      <c r="B47" s="68" t="s">
        <v>116</v>
      </c>
      <c r="C47" s="86"/>
      <c r="D47" s="74"/>
      <c r="E47" s="76">
        <f>SUM(E48:E49)</f>
        <v>0</v>
      </c>
      <c r="F47" s="76">
        <f>SUM(F48:F49)</f>
        <v>0</v>
      </c>
      <c r="G47" s="75">
        <f>SUM(G48:G49)</f>
        <v>0</v>
      </c>
      <c r="H47" s="75">
        <f>SUM(H48:H49)</f>
        <v>0</v>
      </c>
      <c r="I47" s="75">
        <f>SUM(I48:I49)</f>
        <v>0</v>
      </c>
      <c r="J47" s="124">
        <f t="shared" si="11"/>
        <v>0</v>
      </c>
      <c r="K47" s="62">
        <f t="shared" si="7"/>
        <v>0</v>
      </c>
      <c r="L47" s="11"/>
    </row>
    <row r="48" spans="1:12" s="263" customFormat="1" ht="20.25" customHeight="1">
      <c r="A48" s="258"/>
      <c r="B48" s="259"/>
      <c r="C48" s="259"/>
      <c r="D48" s="259"/>
      <c r="E48" s="260"/>
      <c r="F48" s="259"/>
      <c r="G48" s="261"/>
      <c r="H48" s="261"/>
      <c r="I48" s="261"/>
      <c r="J48" s="124">
        <f>IF($K$47=0,0,SUM(G48:I48)/$K$47)</f>
        <v>0</v>
      </c>
      <c r="K48" s="62">
        <f t="shared" si="7"/>
        <v>0</v>
      </c>
      <c r="L48" s="262"/>
    </row>
    <row r="49" spans="1:12" s="263" customFormat="1" ht="20.25" customHeight="1">
      <c r="A49" s="258"/>
      <c r="B49" s="259"/>
      <c r="C49" s="259"/>
      <c r="D49" s="259"/>
      <c r="E49" s="260"/>
      <c r="F49" s="259"/>
      <c r="G49" s="261"/>
      <c r="H49" s="261"/>
      <c r="I49" s="261"/>
      <c r="J49" s="124">
        <f>IF($K$47=0,0,SUM(G49:I49)/$K$47)</f>
        <v>0</v>
      </c>
      <c r="K49" s="62">
        <f t="shared" si="7"/>
        <v>0</v>
      </c>
      <c r="L49" s="262"/>
    </row>
    <row r="50" spans="1:12" s="1" customFormat="1" ht="20.25" customHeight="1">
      <c r="A50" s="10"/>
      <c r="B50" s="387" t="s">
        <v>13</v>
      </c>
      <c r="C50" s="388"/>
      <c r="D50" s="388"/>
      <c r="E50" s="388"/>
      <c r="F50" s="388"/>
      <c r="G50" s="388"/>
      <c r="H50" s="388"/>
      <c r="I50" s="388"/>
      <c r="J50" s="388"/>
      <c r="K50" s="125"/>
      <c r="L50" s="27"/>
    </row>
    <row r="51" spans="1:12" s="1" customFormat="1" ht="20.25" customHeight="1">
      <c r="A51" s="10"/>
      <c r="B51" s="68" t="s">
        <v>117</v>
      </c>
      <c r="C51" s="86"/>
      <c r="D51" s="77"/>
      <c r="E51" s="78">
        <f>SUM(E52:E53)</f>
        <v>0</v>
      </c>
      <c r="F51" s="78">
        <f>SUM(F52:F53)</f>
        <v>0</v>
      </c>
      <c r="G51" s="79">
        <f>SUM(G52:G53)</f>
        <v>0</v>
      </c>
      <c r="H51" s="79">
        <f>SUM(H52:H53)</f>
        <v>0</v>
      </c>
      <c r="I51" s="79">
        <f>SUM(I52:I53)</f>
        <v>0</v>
      </c>
      <c r="J51" s="124">
        <f t="shared" si="11"/>
        <v>0</v>
      </c>
      <c r="K51" s="62">
        <f t="shared" si="7"/>
        <v>0</v>
      </c>
      <c r="L51" s="11"/>
    </row>
    <row r="52" spans="1:12" s="1" customFormat="1" ht="20.25" customHeight="1">
      <c r="A52" s="10"/>
      <c r="B52" s="89"/>
      <c r="C52" s="89"/>
      <c r="D52" s="88"/>
      <c r="E52" s="97"/>
      <c r="F52" s="88"/>
      <c r="G52" s="92"/>
      <c r="H52" s="92"/>
      <c r="I52" s="92"/>
      <c r="J52" s="124">
        <f>IF($K$51=0,0,SUM(G52:I52)/$K$51)</f>
        <v>0</v>
      </c>
      <c r="K52" s="62">
        <f t="shared" si="7"/>
        <v>0</v>
      </c>
      <c r="L52" s="11"/>
    </row>
    <row r="53" spans="1:12" s="1" customFormat="1" ht="20.25" customHeight="1">
      <c r="A53" s="10"/>
      <c r="B53" s="89"/>
      <c r="C53" s="89"/>
      <c r="D53" s="88"/>
      <c r="E53" s="97"/>
      <c r="F53" s="88"/>
      <c r="G53" s="92"/>
      <c r="H53" s="92"/>
      <c r="I53" s="92"/>
      <c r="J53" s="124">
        <f>IF($K$51=0,0,SUM(G53:I53)/$K$51)</f>
        <v>0</v>
      </c>
      <c r="K53" s="62">
        <f t="shared" si="7"/>
        <v>0</v>
      </c>
      <c r="L53" s="11"/>
    </row>
    <row r="54" spans="1:12" s="1" customFormat="1" ht="20.25" customHeight="1">
      <c r="A54" s="10"/>
      <c r="B54" s="387" t="s">
        <v>13</v>
      </c>
      <c r="C54" s="388"/>
      <c r="D54" s="388"/>
      <c r="E54" s="388"/>
      <c r="F54" s="388"/>
      <c r="G54" s="388"/>
      <c r="H54" s="388"/>
      <c r="I54" s="388"/>
      <c r="J54" s="388"/>
      <c r="K54" s="125"/>
      <c r="L54" s="27"/>
    </row>
    <row r="55" spans="1:12" s="1" customFormat="1" ht="20.25" customHeight="1">
      <c r="A55" s="10"/>
      <c r="B55" s="67" t="s">
        <v>4</v>
      </c>
      <c r="C55" s="86"/>
      <c r="D55" s="74"/>
      <c r="E55" s="76">
        <f>SUM(E56:E57)</f>
        <v>0</v>
      </c>
      <c r="F55" s="76">
        <f>SUM(F56:F57)</f>
        <v>0</v>
      </c>
      <c r="G55" s="75">
        <f>SUM(G56:G57)</f>
        <v>0</v>
      </c>
      <c r="H55" s="75">
        <f>SUM(H56:H57)</f>
        <v>0</v>
      </c>
      <c r="I55" s="75">
        <f>SUM(I56:I57)</f>
        <v>0</v>
      </c>
      <c r="J55" s="124">
        <f t="shared" si="11"/>
        <v>0</v>
      </c>
      <c r="K55" s="62">
        <f t="shared" si="7"/>
        <v>0</v>
      </c>
      <c r="L55" s="11"/>
    </row>
    <row r="56" spans="1:12" s="1" customFormat="1" ht="20.25" customHeight="1">
      <c r="A56" s="31"/>
      <c r="B56" s="98"/>
      <c r="C56" s="98"/>
      <c r="D56" s="98"/>
      <c r="E56" s="99"/>
      <c r="F56" s="98"/>
      <c r="G56" s="100"/>
      <c r="H56" s="100"/>
      <c r="I56" s="100"/>
      <c r="J56" s="124">
        <f>IF($K$55=0,0,SUM(G56:I56)/$K$55)</f>
        <v>0</v>
      </c>
      <c r="K56" s="62">
        <f t="shared" si="7"/>
        <v>0</v>
      </c>
      <c r="L56" s="33"/>
    </row>
    <row r="57" spans="1:12" s="1" customFormat="1" ht="20.25" customHeight="1">
      <c r="A57" s="31"/>
      <c r="B57" s="98"/>
      <c r="C57" s="98"/>
      <c r="D57" s="98"/>
      <c r="E57" s="99"/>
      <c r="F57" s="98"/>
      <c r="G57" s="100"/>
      <c r="H57" s="100"/>
      <c r="I57" s="100"/>
      <c r="J57" s="124">
        <f>IF($K$55=0,0,SUM(G57:I57)/$K$55)</f>
        <v>0</v>
      </c>
      <c r="K57" s="62">
        <f t="shared" si="7"/>
        <v>0</v>
      </c>
      <c r="L57" s="33"/>
    </row>
    <row r="58" spans="1:12" s="1" customFormat="1" ht="20.25" customHeight="1">
      <c r="A58" s="10"/>
      <c r="B58" s="387" t="s">
        <v>13</v>
      </c>
      <c r="C58" s="388"/>
      <c r="D58" s="388"/>
      <c r="E58" s="388"/>
      <c r="F58" s="388"/>
      <c r="G58" s="388"/>
      <c r="H58" s="388"/>
      <c r="I58" s="388"/>
      <c r="J58" s="388"/>
      <c r="K58" s="125"/>
      <c r="L58" s="27"/>
    </row>
    <row r="59" spans="1:12" s="1" customFormat="1" ht="20.25" customHeight="1">
      <c r="A59" s="10"/>
      <c r="B59" s="69" t="s">
        <v>5</v>
      </c>
      <c r="C59" s="86"/>
      <c r="D59" s="80"/>
      <c r="E59" s="81">
        <f>SUM(E60:E61)</f>
        <v>0</v>
      </c>
      <c r="F59" s="81">
        <f>SUM(F60:F61)</f>
        <v>0</v>
      </c>
      <c r="G59" s="82">
        <f>SUM(G60:G61)</f>
        <v>0</v>
      </c>
      <c r="H59" s="82">
        <f>SUM(H60:H61)</f>
        <v>0</v>
      </c>
      <c r="I59" s="82">
        <f>SUM(I60:I61)</f>
        <v>0</v>
      </c>
      <c r="J59" s="124">
        <f t="shared" si="6"/>
        <v>0</v>
      </c>
      <c r="K59" s="62">
        <f t="shared" si="7"/>
        <v>0</v>
      </c>
      <c r="L59" s="33"/>
    </row>
    <row r="60" spans="1:12" s="1" customFormat="1" ht="20.25" customHeight="1">
      <c r="A60" s="10"/>
      <c r="B60" s="89"/>
      <c r="C60" s="89"/>
      <c r="D60" s="89"/>
      <c r="E60" s="91"/>
      <c r="F60" s="89"/>
      <c r="G60" s="92"/>
      <c r="H60" s="93"/>
      <c r="I60" s="93"/>
      <c r="J60" s="124">
        <f>IF($K$59=0,0,SUM(G60:I60)/$K$59)</f>
        <v>0</v>
      </c>
      <c r="K60" s="62">
        <f t="shared" si="7"/>
        <v>0</v>
      </c>
      <c r="L60" s="12"/>
    </row>
    <row r="61" spans="1:12" s="1" customFormat="1" ht="20.25" customHeight="1">
      <c r="A61" s="10"/>
      <c r="B61" s="89"/>
      <c r="C61" s="89"/>
      <c r="D61" s="89"/>
      <c r="E61" s="91"/>
      <c r="F61" s="89"/>
      <c r="G61" s="92"/>
      <c r="H61" s="93"/>
      <c r="I61" s="93"/>
      <c r="J61" s="124">
        <f>IF($K$59=0,0,SUM(G61:I61)/$K$59)</f>
        <v>0</v>
      </c>
      <c r="K61" s="62">
        <f t="shared" si="7"/>
        <v>0</v>
      </c>
      <c r="L61" s="12"/>
    </row>
    <row r="62" spans="1:12" s="1" customFormat="1" ht="20.25" customHeight="1">
      <c r="A62" s="10"/>
      <c r="B62" s="387" t="s">
        <v>13</v>
      </c>
      <c r="C62" s="388"/>
      <c r="D62" s="388"/>
      <c r="E62" s="388"/>
      <c r="F62" s="388"/>
      <c r="G62" s="388"/>
      <c r="H62" s="388"/>
      <c r="I62" s="388"/>
      <c r="J62" s="388"/>
      <c r="K62" s="125"/>
      <c r="L62" s="27"/>
    </row>
    <row r="63" spans="1:12" s="1" customFormat="1" ht="20.25" customHeight="1">
      <c r="A63" s="10"/>
      <c r="B63" s="68" t="s">
        <v>6</v>
      </c>
      <c r="C63" s="86"/>
      <c r="D63" s="74"/>
      <c r="E63" s="76">
        <f>SUM(E64:E65)</f>
        <v>0</v>
      </c>
      <c r="F63" s="76">
        <f>SUM(F64:F65)</f>
        <v>0</v>
      </c>
      <c r="G63" s="75">
        <f>SUM(G64:G65)</f>
        <v>0</v>
      </c>
      <c r="H63" s="75">
        <f>SUM(H64:H65)</f>
        <v>0</v>
      </c>
      <c r="I63" s="75">
        <f>SUM(I64:I65)</f>
        <v>0</v>
      </c>
      <c r="J63" s="124">
        <f t="shared" si="6"/>
        <v>0</v>
      </c>
      <c r="K63" s="62">
        <f t="shared" si="7"/>
        <v>0</v>
      </c>
      <c r="L63" s="12"/>
    </row>
    <row r="64" spans="1:12" s="1" customFormat="1" ht="20.25" customHeight="1">
      <c r="A64" s="10"/>
      <c r="B64" s="101"/>
      <c r="C64" s="101"/>
      <c r="D64" s="88"/>
      <c r="E64" s="97"/>
      <c r="F64" s="88"/>
      <c r="G64" s="92"/>
      <c r="H64" s="102"/>
      <c r="I64" s="102"/>
      <c r="J64" s="124">
        <f>IF($K$63=0,0,SUM(G64:I64)/$K$63)</f>
        <v>0</v>
      </c>
      <c r="K64" s="62">
        <f t="shared" si="7"/>
        <v>0</v>
      </c>
      <c r="L64" s="12"/>
    </row>
    <row r="65" spans="1:12" s="1" customFormat="1" ht="20.25" customHeight="1">
      <c r="A65" s="10"/>
      <c r="B65" s="101"/>
      <c r="C65" s="101"/>
      <c r="D65" s="88"/>
      <c r="E65" s="97"/>
      <c r="F65" s="88"/>
      <c r="G65" s="92"/>
      <c r="H65" s="102"/>
      <c r="I65" s="102"/>
      <c r="J65" s="124">
        <f>IF($K$63=0,0,SUM(G65:I65)/$K$63)</f>
        <v>0</v>
      </c>
      <c r="K65" s="62">
        <f t="shared" si="7"/>
        <v>0</v>
      </c>
      <c r="L65" s="12"/>
    </row>
    <row r="66" spans="1:12" s="1" customFormat="1" ht="20.25" customHeight="1">
      <c r="A66" s="10"/>
      <c r="B66" s="387" t="s">
        <v>13</v>
      </c>
      <c r="C66" s="388"/>
      <c r="D66" s="388"/>
      <c r="E66" s="388"/>
      <c r="F66" s="388"/>
      <c r="G66" s="388"/>
      <c r="H66" s="388"/>
      <c r="I66" s="388"/>
      <c r="J66" s="388"/>
      <c r="K66" s="125"/>
      <c r="L66" s="27"/>
    </row>
    <row r="67" spans="1:12" s="1" customFormat="1" ht="20.25" customHeight="1">
      <c r="A67" s="10"/>
      <c r="B67" s="68" t="s">
        <v>7</v>
      </c>
      <c r="C67" s="86"/>
      <c r="D67" s="77"/>
      <c r="E67" s="78">
        <f>SUM(E68:E69)</f>
        <v>0</v>
      </c>
      <c r="F67" s="78">
        <f>SUM(F68:F69)</f>
        <v>0</v>
      </c>
      <c r="G67" s="79">
        <f>SUM(G68:G69)</f>
        <v>0</v>
      </c>
      <c r="H67" s="79">
        <f>SUM(H68:H69)</f>
        <v>0</v>
      </c>
      <c r="I67" s="79">
        <f>SUM(I68:I69)</f>
        <v>0</v>
      </c>
      <c r="J67" s="124">
        <f t="shared" si="6"/>
        <v>0</v>
      </c>
      <c r="K67" s="62">
        <f t="shared" si="7"/>
        <v>0</v>
      </c>
      <c r="L67" s="12"/>
    </row>
    <row r="68" spans="1:12" s="1" customFormat="1" ht="20.25" customHeight="1">
      <c r="A68" s="10"/>
      <c r="B68" s="103"/>
      <c r="C68" s="103"/>
      <c r="D68" s="103"/>
      <c r="E68" s="91"/>
      <c r="F68" s="91"/>
      <c r="G68" s="93"/>
      <c r="H68" s="93"/>
      <c r="I68" s="93"/>
      <c r="J68" s="124">
        <f>IF($K$67=0,0,SUM(G68:I68)/$K$67)</f>
        <v>0</v>
      </c>
      <c r="K68" s="62">
        <f t="shared" si="7"/>
        <v>0</v>
      </c>
      <c r="L68" s="12"/>
    </row>
    <row r="69" spans="1:12" s="1" customFormat="1" ht="20.25" customHeight="1">
      <c r="A69" s="10"/>
      <c r="B69" s="103"/>
      <c r="C69" s="89"/>
      <c r="D69" s="103"/>
      <c r="E69" s="91"/>
      <c r="F69" s="91"/>
      <c r="G69" s="93"/>
      <c r="H69" s="93"/>
      <c r="I69" s="93"/>
      <c r="J69" s="124">
        <f>IF($K$67=0,0,SUM(G69:I69)/$K$67)</f>
        <v>0</v>
      </c>
      <c r="K69" s="62">
        <f t="shared" si="7"/>
        <v>0</v>
      </c>
      <c r="L69" s="12"/>
    </row>
    <row r="70" spans="1:12" s="1" customFormat="1" ht="20.25" customHeight="1">
      <c r="A70" s="10"/>
      <c r="B70" s="387" t="s">
        <v>13</v>
      </c>
      <c r="C70" s="388"/>
      <c r="D70" s="388"/>
      <c r="E70" s="388"/>
      <c r="F70" s="388"/>
      <c r="G70" s="388"/>
      <c r="H70" s="388"/>
      <c r="I70" s="388"/>
      <c r="J70" s="388"/>
      <c r="K70" s="125"/>
      <c r="L70" s="27"/>
    </row>
    <row r="71" spans="1:12" s="1" customFormat="1" ht="20.25" customHeight="1">
      <c r="A71" s="10"/>
      <c r="B71" s="70" t="s">
        <v>8</v>
      </c>
      <c r="C71" s="87"/>
      <c r="D71" s="83"/>
      <c r="E71" s="78">
        <f>SUM(E72:E73)</f>
        <v>0</v>
      </c>
      <c r="F71" s="78">
        <f>SUM(F72:F73)</f>
        <v>0</v>
      </c>
      <c r="G71" s="79">
        <f>SUM(G72:G73)</f>
        <v>0</v>
      </c>
      <c r="H71" s="79">
        <f>SUM(H72:H73)</f>
        <v>0</v>
      </c>
      <c r="I71" s="79">
        <f>SUM(I72:I73)</f>
        <v>0</v>
      </c>
      <c r="J71" s="124">
        <f t="shared" si="6"/>
        <v>0</v>
      </c>
      <c r="K71" s="62">
        <f t="shared" si="7"/>
        <v>0</v>
      </c>
      <c r="L71" s="12"/>
    </row>
    <row r="72" spans="1:12" s="1" customFormat="1" ht="20.25" customHeight="1">
      <c r="A72" s="10"/>
      <c r="B72" s="103"/>
      <c r="C72" s="89"/>
      <c r="D72" s="103"/>
      <c r="E72" s="91"/>
      <c r="F72" s="91"/>
      <c r="G72" s="93"/>
      <c r="H72" s="93"/>
      <c r="I72" s="93"/>
      <c r="J72" s="124">
        <f>IF($K$71=0,0,SUM(G72:I72)/$K$71)</f>
        <v>0</v>
      </c>
      <c r="K72" s="62">
        <f t="shared" si="7"/>
        <v>0</v>
      </c>
      <c r="L72" s="12"/>
    </row>
    <row r="73" spans="1:12" s="1" customFormat="1" ht="20.25" customHeight="1">
      <c r="A73" s="10"/>
      <c r="B73" s="103"/>
      <c r="C73" s="89"/>
      <c r="D73" s="103"/>
      <c r="E73" s="91"/>
      <c r="F73" s="91"/>
      <c r="G73" s="93"/>
      <c r="H73" s="93"/>
      <c r="I73" s="93"/>
      <c r="J73" s="124">
        <f>IF($K$71=0,0,SUM(G73:I73)/$K$71)</f>
        <v>0</v>
      </c>
      <c r="K73" s="62">
        <f t="shared" si="7"/>
        <v>0</v>
      </c>
      <c r="L73" s="12"/>
    </row>
    <row r="74" spans="1:12" s="1" customFormat="1" ht="20.25" customHeight="1">
      <c r="A74" s="10"/>
      <c r="B74" s="387" t="s">
        <v>13</v>
      </c>
      <c r="C74" s="388"/>
      <c r="D74" s="388"/>
      <c r="E74" s="388"/>
      <c r="F74" s="388"/>
      <c r="G74" s="388"/>
      <c r="H74" s="388"/>
      <c r="I74" s="388"/>
      <c r="J74" s="388"/>
      <c r="K74" s="125"/>
      <c r="L74" s="27"/>
    </row>
    <row r="75" spans="1:12" s="1" customFormat="1" ht="20.25" customHeight="1">
      <c r="A75" s="10"/>
      <c r="B75" s="70" t="s">
        <v>9</v>
      </c>
      <c r="C75" s="87"/>
      <c r="D75" s="83"/>
      <c r="E75" s="78">
        <f>SUM(E76:E77)</f>
        <v>0</v>
      </c>
      <c r="F75" s="78">
        <f>SUM(F76:F77)</f>
        <v>0</v>
      </c>
      <c r="G75" s="79">
        <f>SUM(G76:G77)</f>
        <v>0</v>
      </c>
      <c r="H75" s="79">
        <f>SUM(H76:H77)</f>
        <v>0</v>
      </c>
      <c r="I75" s="79">
        <f>SUM(I76:I77)</f>
        <v>0</v>
      </c>
      <c r="J75" s="124">
        <f t="shared" si="6"/>
        <v>0</v>
      </c>
      <c r="K75" s="62">
        <f t="shared" si="7"/>
        <v>0</v>
      </c>
      <c r="L75" s="12"/>
    </row>
    <row r="76" spans="1:12" s="1" customFormat="1" ht="20.25" customHeight="1">
      <c r="A76" s="10"/>
      <c r="B76" s="103"/>
      <c r="C76" s="89"/>
      <c r="D76" s="103"/>
      <c r="E76" s="91"/>
      <c r="F76" s="91"/>
      <c r="G76" s="93"/>
      <c r="H76" s="93"/>
      <c r="I76" s="93"/>
      <c r="J76" s="124">
        <f>IF($K$75=0,0,SUM(G76:I76)/$K$75)</f>
        <v>0</v>
      </c>
      <c r="K76" s="62">
        <f t="shared" si="7"/>
        <v>0</v>
      </c>
      <c r="L76" s="12"/>
    </row>
    <row r="77" spans="1:12" s="1" customFormat="1" ht="20.25" customHeight="1">
      <c r="A77" s="10"/>
      <c r="B77" s="103"/>
      <c r="C77" s="89"/>
      <c r="D77" s="103"/>
      <c r="E77" s="91"/>
      <c r="F77" s="91"/>
      <c r="G77" s="93"/>
      <c r="H77" s="93"/>
      <c r="I77" s="93"/>
      <c r="J77" s="124">
        <f>IF($K$75=0,0,SUM(G77:I77)/$K$75)</f>
        <v>0</v>
      </c>
      <c r="K77" s="62">
        <f t="shared" si="7"/>
        <v>0</v>
      </c>
      <c r="L77" s="12"/>
    </row>
    <row r="78" spans="1:12" s="1" customFormat="1" ht="20.25" customHeight="1">
      <c r="A78" s="10"/>
      <c r="B78" s="387" t="s">
        <v>13</v>
      </c>
      <c r="C78" s="388"/>
      <c r="D78" s="388"/>
      <c r="E78" s="388"/>
      <c r="F78" s="388"/>
      <c r="G78" s="388"/>
      <c r="H78" s="388"/>
      <c r="I78" s="388"/>
      <c r="J78" s="388"/>
      <c r="K78" s="125"/>
      <c r="L78" s="27"/>
    </row>
    <row r="79" spans="1:12" s="1" customFormat="1" ht="20.25" customHeight="1">
      <c r="A79" s="10"/>
      <c r="B79" s="70" t="s">
        <v>10</v>
      </c>
      <c r="C79" s="87"/>
      <c r="D79" s="83"/>
      <c r="E79" s="78">
        <f>SUM(E80:E81)</f>
        <v>0</v>
      </c>
      <c r="F79" s="78">
        <f>SUM(F80:F81)</f>
        <v>0</v>
      </c>
      <c r="G79" s="79">
        <f>SUM(G80:G81)</f>
        <v>0</v>
      </c>
      <c r="H79" s="79">
        <f>SUM(H80:H81)</f>
        <v>0</v>
      </c>
      <c r="I79" s="79">
        <f>SUM(I80:I81)</f>
        <v>0</v>
      </c>
      <c r="J79" s="124">
        <f t="shared" ref="J79" si="12">IF(K79=0,0,K79/SUM(G79:I79))</f>
        <v>0</v>
      </c>
      <c r="K79" s="62">
        <f t="shared" ref="K79:K81" si="13">G79+H79+I79</f>
        <v>0</v>
      </c>
      <c r="L79" s="12"/>
    </row>
    <row r="80" spans="1:12" s="1" customFormat="1" ht="20.25" customHeight="1">
      <c r="A80" s="10"/>
      <c r="B80" s="103"/>
      <c r="C80" s="103"/>
      <c r="D80" s="103"/>
      <c r="E80" s="104"/>
      <c r="F80" s="103"/>
      <c r="G80" s="105"/>
      <c r="H80" s="106"/>
      <c r="I80" s="106"/>
      <c r="J80" s="124">
        <f>IF($K$79=0,0,SUM(G80:I80)/$K$79)</f>
        <v>0</v>
      </c>
      <c r="K80" s="62">
        <f t="shared" si="13"/>
        <v>0</v>
      </c>
      <c r="L80" s="12"/>
    </row>
    <row r="81" spans="1:12" s="1" customFormat="1" ht="20.25" customHeight="1">
      <c r="A81" s="10"/>
      <c r="B81" s="103"/>
      <c r="C81" s="103"/>
      <c r="D81" s="103"/>
      <c r="E81" s="104"/>
      <c r="F81" s="103"/>
      <c r="G81" s="105"/>
      <c r="H81" s="106"/>
      <c r="I81" s="106"/>
      <c r="J81" s="124">
        <f>IF($K$79=0,0,SUM(G81:I81)/$K$79)</f>
        <v>0</v>
      </c>
      <c r="K81" s="62">
        <f t="shared" si="13"/>
        <v>0</v>
      </c>
      <c r="L81" s="12"/>
    </row>
    <row r="82" spans="1:12" s="1" customFormat="1" ht="20.25" customHeight="1">
      <c r="A82" s="10"/>
      <c r="B82" s="387" t="s">
        <v>13</v>
      </c>
      <c r="C82" s="388"/>
      <c r="D82" s="388"/>
      <c r="E82" s="388"/>
      <c r="F82" s="388"/>
      <c r="G82" s="388"/>
      <c r="H82" s="388"/>
      <c r="I82" s="388"/>
      <c r="J82" s="388"/>
      <c r="K82" s="125"/>
      <c r="L82" s="27"/>
    </row>
    <row r="83" spans="1:12" s="1" customFormat="1" ht="20.25" customHeight="1">
      <c r="A83" s="10"/>
      <c r="B83" s="70" t="s">
        <v>12</v>
      </c>
      <c r="C83" s="111"/>
      <c r="D83" s="83"/>
      <c r="E83" s="78">
        <f>SUM(E84:E85)</f>
        <v>0</v>
      </c>
      <c r="F83" s="78">
        <f>SUM(F84:F85)</f>
        <v>0</v>
      </c>
      <c r="G83" s="79">
        <f>SUM(G84:G85)</f>
        <v>0</v>
      </c>
      <c r="H83" s="79">
        <f>SUM(H84:H85)</f>
        <v>0</v>
      </c>
      <c r="I83" s="79">
        <f>SUM(I84:I85)</f>
        <v>0</v>
      </c>
      <c r="J83" s="124">
        <f t="shared" si="6"/>
        <v>0</v>
      </c>
      <c r="K83" s="62">
        <f t="shared" si="7"/>
        <v>0</v>
      </c>
      <c r="L83" s="12"/>
    </row>
    <row r="84" spans="1:12" s="1" customFormat="1" ht="20.25" customHeight="1">
      <c r="A84" s="10"/>
      <c r="B84" s="103"/>
      <c r="C84" s="103"/>
      <c r="D84" s="103"/>
      <c r="E84" s="104"/>
      <c r="F84" s="103"/>
      <c r="G84" s="105"/>
      <c r="H84" s="106"/>
      <c r="I84" s="106"/>
      <c r="J84" s="124">
        <f>IF($K$83=0,0,SUM(G84:I84)/$K$83)</f>
        <v>0</v>
      </c>
      <c r="K84" s="62">
        <f t="shared" si="7"/>
        <v>0</v>
      </c>
      <c r="L84" s="12"/>
    </row>
    <row r="85" spans="1:12" s="1" customFormat="1" ht="20.25" customHeight="1">
      <c r="A85" s="10"/>
      <c r="B85" s="103"/>
      <c r="C85" s="103"/>
      <c r="D85" s="103"/>
      <c r="E85" s="104"/>
      <c r="F85" s="103"/>
      <c r="G85" s="105"/>
      <c r="H85" s="106"/>
      <c r="I85" s="106"/>
      <c r="J85" s="142">
        <f>IF($K$83=0,0,SUM(G85:I85)/$K$83)</f>
        <v>0</v>
      </c>
      <c r="K85" s="143">
        <f t="shared" si="7"/>
        <v>0</v>
      </c>
      <c r="L85" s="12"/>
    </row>
    <row r="86" spans="1:12" s="1" customFormat="1" ht="20.25" customHeight="1" thickBot="1">
      <c r="A86" s="10"/>
      <c r="B86" s="387" t="s">
        <v>13</v>
      </c>
      <c r="C86" s="388"/>
      <c r="D86" s="388"/>
      <c r="E86" s="388"/>
      <c r="F86" s="388"/>
      <c r="G86" s="388"/>
      <c r="H86" s="388"/>
      <c r="I86" s="388"/>
      <c r="J86" s="388"/>
      <c r="K86" s="125"/>
      <c r="L86" s="27"/>
    </row>
    <row r="87" spans="1:12" s="1" customFormat="1" ht="20.25" customHeight="1" thickBot="1">
      <c r="A87" s="10"/>
      <c r="B87" s="146" t="s">
        <v>43</v>
      </c>
      <c r="C87" s="147"/>
      <c r="D87" s="148"/>
      <c r="E87" s="149">
        <f>SUM(E10:E85)</f>
        <v>0</v>
      </c>
      <c r="F87" s="150">
        <f>SUM(F10,F19,F27,F31,F35,F39,F43,F47,F51,F55,F59,F63,F67,F71,F75,F79,F83)</f>
        <v>0</v>
      </c>
      <c r="G87" s="144">
        <f>SUM(G10,G19,G27,G31,G35,G39,G43,G47,G51,G55,G59,G63,G67,G71,G75,G79,G83)</f>
        <v>0</v>
      </c>
      <c r="H87" s="144">
        <f>SUM(H10,H19,H27,H31,H35,H39,H43,H47,H51,H55,H59,H63,H67,H71,H75,H79,H83)</f>
        <v>0</v>
      </c>
      <c r="I87" s="144">
        <f>SUM(I10,I19,I27,I31,I35,I39,I43,I47,I51,I55,I53,I59,I63,I67,I71,I75,I79,I83)</f>
        <v>0</v>
      </c>
      <c r="J87" s="151">
        <f>IF(K87=0,0,K87/K5)</f>
        <v>0</v>
      </c>
      <c r="K87" s="145">
        <f>SUM(K10,K19,K27,K31,K35,K39,K43,K47,K51,K55,K59,K63,K67,K71,K75,K79,K83)</f>
        <v>0</v>
      </c>
      <c r="L87" s="20"/>
    </row>
    <row r="88" spans="1:12" ht="7.5" customHeight="1" thickBot="1">
      <c r="A88" s="3"/>
      <c r="B88" s="4"/>
      <c r="C88" s="4"/>
      <c r="D88" s="4"/>
      <c r="E88" s="4"/>
      <c r="F88" s="4"/>
      <c r="G88" s="4"/>
      <c r="H88" s="14"/>
      <c r="I88" s="14"/>
      <c r="J88" s="21"/>
      <c r="K88" s="21"/>
      <c r="L88" s="19"/>
    </row>
    <row r="89" spans="1:12" ht="15.75" thickTop="1"/>
    <row r="90" spans="1:12" ht="20.25" customHeight="1">
      <c r="J90" s="65"/>
    </row>
  </sheetData>
  <mergeCells count="39">
    <mergeCell ref="B18:J18"/>
    <mergeCell ref="B2:K2"/>
    <mergeCell ref="B3:K3"/>
    <mergeCell ref="C5:E5"/>
    <mergeCell ref="C6:E6"/>
    <mergeCell ref="B4:C4"/>
    <mergeCell ref="J4:K4"/>
    <mergeCell ref="D4:H4"/>
    <mergeCell ref="I8:I9"/>
    <mergeCell ref="J8:J9"/>
    <mergeCell ref="K8:K9"/>
    <mergeCell ref="I5:J5"/>
    <mergeCell ref="I6:J6"/>
    <mergeCell ref="B7:K7"/>
    <mergeCell ref="F6:G6"/>
    <mergeCell ref="F5:G5"/>
    <mergeCell ref="B8:B9"/>
    <mergeCell ref="H8:H9"/>
    <mergeCell ref="G8:G9"/>
    <mergeCell ref="F8:F9"/>
    <mergeCell ref="E8:E9"/>
    <mergeCell ref="D8:D9"/>
    <mergeCell ref="C8:C9"/>
    <mergeCell ref="B26:J26"/>
    <mergeCell ref="B30:J30"/>
    <mergeCell ref="B34:J34"/>
    <mergeCell ref="B38:J38"/>
    <mergeCell ref="B42:J42"/>
    <mergeCell ref="B46:J46"/>
    <mergeCell ref="B50:J50"/>
    <mergeCell ref="B54:J54"/>
    <mergeCell ref="B58:J58"/>
    <mergeCell ref="B62:J62"/>
    <mergeCell ref="B86:J86"/>
    <mergeCell ref="B66:J66"/>
    <mergeCell ref="B70:J70"/>
    <mergeCell ref="B74:J74"/>
    <mergeCell ref="B78:J78"/>
    <mergeCell ref="B82:J82"/>
  </mergeCells>
  <phoneticPr fontId="18" type="noConversion"/>
  <dataValidations count="11">
    <dataValidation allowBlank="1" showInputMessage="1" showErrorMessage="1" promptTitle="Work Breakdown Structure" prompt="Heading/Title" sqref="C10 C19 C27 C31 C35 C39 C43 C47 C51 C55 C59 C63 C67 C71 C79 C83"/>
    <dataValidation allowBlank="1" showInputMessage="1" showErrorMessage="1" promptTitle="Code of Account" prompt="A numeric designation for construction activities related to the project baseline schedule activity." sqref="B8:B9"/>
    <dataValidation allowBlank="1" showInputMessage="1" showErrorMessage="1" promptTitle="Unit of Measurement" prompt="Key unit of measurement for each code of account." sqref="D8:D9"/>
    <dataValidation allowBlank="1" showInputMessage="1" showErrorMessage="1" promptTitle="Activity Description" prompt="A brief description of the code of account activity." sqref="C8:C9"/>
    <dataValidation allowBlank="1" showInputMessage="1" showErrorMessage="1" promptTitle="Quantity" prompt="Total quantity of unit measure for each code of account." sqref="E8:E9"/>
    <dataValidation allowBlank="1" showInputMessage="1" showErrorMessage="1" promptTitle="Work Hours" prompt="Total work hours associated with each code of account activity." sqref="F8:F9"/>
    <dataValidation allowBlank="1" showInputMessage="1" showErrorMessage="1" promptTitle="Labor Dollars" prompt="Total labor dollars for each code of account activity." sqref="G8:G9"/>
    <dataValidation allowBlank="1" showInputMessage="1" showErrorMessage="1" promptTitle="Permanent Material Dollars" prompt="Total permanent material dollars for each code of account." sqref="H8:H9"/>
    <dataValidation allowBlank="1" showInputMessage="1" showErrorMessage="1" promptTitle="Other Dollars" prompt="Project costs as they relate to the specific code of account activity or spread throughout the various activity accounts." sqref="I8:I9"/>
    <dataValidation allowBlank="1" showInputMessage="1" showErrorMessage="1" promptTitle="% of Total" prompt="Each account percent of total value." sqref="J8:J9"/>
    <dataValidation allowBlank="1" showInputMessage="1" showErrorMessage="1" promptTitle="Total Value" prompt="The sum of labor, permanent material, and other dollars.  The sum of all code of account activity total costs shall equal the total Contract value." sqref="K8:K9"/>
  </dataValidations>
  <printOptions horizontalCentered="1"/>
  <pageMargins left="0.45" right="0.45" top="0.5" bottom="0.5" header="0.3" footer="0.3"/>
  <pageSetup scale="73" orientation="landscape" r:id="rId1"/>
  <headerFooter>
    <oddHeader>&amp;R&amp;"Times New Roman,Regular"Date of Preparation:  &amp;"Times New Roman,Bold"&amp;D</oddHeader>
    <oddFooter>&amp;RPage &amp;P of &amp;N</oddFooter>
  </headerFooter>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dimension ref="A1:W115"/>
  <sheetViews>
    <sheetView zoomScaleNormal="100" workbookViewId="0">
      <pane ySplit="9" topLeftCell="A10" activePane="bottomLeft" state="frozen"/>
      <selection pane="bottomLeft" activeCell="C10" sqref="C10:D10"/>
    </sheetView>
  </sheetViews>
  <sheetFormatPr defaultColWidth="8.85546875" defaultRowHeight="15"/>
  <cols>
    <col min="1" max="1" width="2.7109375" style="6" customWidth="1"/>
    <col min="2" max="2" width="8" style="6" customWidth="1"/>
    <col min="3" max="4" width="6.28515625" style="6" customWidth="1"/>
    <col min="5" max="5" width="11.28515625" style="6" customWidth="1"/>
    <col min="6" max="6" width="72.5703125" style="6" customWidth="1"/>
    <col min="7" max="7" width="20.7109375" style="6" customWidth="1"/>
    <col min="8" max="8" width="17.7109375" style="6" customWidth="1"/>
    <col min="9" max="10" width="12.7109375" style="6" hidden="1" customWidth="1"/>
    <col min="11" max="11" width="12.7109375" style="6" customWidth="1"/>
    <col min="12" max="12" width="11.28515625" style="6" hidden="1" customWidth="1"/>
    <col min="13" max="13" width="11.28515625" style="6" customWidth="1"/>
    <col min="14" max="14" width="15.7109375" style="6" bestFit="1" customWidth="1"/>
    <col min="15" max="15" width="8.7109375" style="6" customWidth="1"/>
    <col min="16" max="16" width="12" style="6" customWidth="1"/>
    <col min="17" max="17" width="6.42578125" style="6" customWidth="1"/>
    <col min="18" max="18" width="2.7109375" style="6" customWidth="1"/>
    <col min="19" max="20" width="8.85546875" style="6"/>
    <col min="21" max="21" width="9.85546875" style="6" bestFit="1" customWidth="1"/>
    <col min="22" max="22" width="8.85546875" style="6"/>
    <col min="23" max="23" width="9.85546875" style="6" hidden="1" customWidth="1"/>
    <col min="24" max="16384" width="8.85546875" style="6"/>
  </cols>
  <sheetData>
    <row r="1" spans="1:23" ht="7.5" customHeight="1" thickTop="1">
      <c r="A1" s="7"/>
      <c r="B1" s="8"/>
      <c r="C1" s="8"/>
      <c r="D1" s="8"/>
      <c r="E1" s="8"/>
      <c r="F1" s="8"/>
      <c r="G1" s="8"/>
      <c r="H1" s="8"/>
      <c r="I1" s="8"/>
      <c r="J1" s="8"/>
      <c r="K1" s="8"/>
      <c r="L1" s="8"/>
      <c r="M1" s="8"/>
      <c r="N1" s="8"/>
      <c r="O1" s="8"/>
      <c r="P1" s="8"/>
      <c r="Q1" s="8"/>
      <c r="R1" s="24"/>
    </row>
    <row r="2" spans="1:23" ht="21" customHeight="1">
      <c r="A2" s="23"/>
      <c r="B2" s="411" t="s">
        <v>14</v>
      </c>
      <c r="C2" s="411"/>
      <c r="D2" s="411"/>
      <c r="E2" s="411"/>
      <c r="F2" s="411"/>
      <c r="G2" s="411"/>
      <c r="H2" s="411"/>
      <c r="I2" s="411"/>
      <c r="J2" s="411"/>
      <c r="K2" s="411"/>
      <c r="L2" s="411"/>
      <c r="M2" s="411"/>
      <c r="N2" s="411"/>
      <c r="O2" s="411"/>
      <c r="P2" s="411"/>
      <c r="Q2" s="411"/>
      <c r="R2" s="16"/>
    </row>
    <row r="3" spans="1:23" ht="21" customHeight="1">
      <c r="A3" s="23"/>
      <c r="B3" s="411"/>
      <c r="C3" s="411"/>
      <c r="D3" s="411"/>
      <c r="E3" s="411"/>
      <c r="F3" s="411"/>
      <c r="G3" s="411"/>
      <c r="H3" s="411"/>
      <c r="I3" s="411"/>
      <c r="J3" s="411"/>
      <c r="K3" s="411"/>
      <c r="L3" s="411"/>
      <c r="M3" s="411"/>
      <c r="N3" s="411"/>
      <c r="O3" s="411"/>
      <c r="P3" s="411"/>
      <c r="Q3" s="411"/>
      <c r="R3" s="16"/>
    </row>
    <row r="4" spans="1:23" ht="21" customHeight="1" thickBot="1">
      <c r="A4" s="23"/>
      <c r="B4" s="396" t="s">
        <v>59</v>
      </c>
      <c r="C4" s="396"/>
      <c r="D4" s="396"/>
      <c r="E4" s="396"/>
      <c r="F4" s="410" t="str">
        <f>T('Schedule Of Values'!D4:H4)</f>
        <v/>
      </c>
      <c r="G4" s="410"/>
      <c r="H4" s="410"/>
      <c r="I4" s="410"/>
      <c r="J4" s="410"/>
      <c r="K4" s="410"/>
      <c r="L4" s="410"/>
      <c r="M4" s="410"/>
      <c r="N4" s="410"/>
      <c r="O4" s="410"/>
      <c r="P4" s="410"/>
      <c r="Q4" s="410"/>
      <c r="R4" s="13"/>
    </row>
    <row r="5" spans="1:23" s="1" customFormat="1" ht="22.5" customHeight="1" thickTop="1">
      <c r="A5" s="17"/>
      <c r="B5" s="399" t="s">
        <v>31</v>
      </c>
      <c r="C5" s="399"/>
      <c r="D5" s="399"/>
      <c r="E5" s="297" t="str">
        <f>T('Schedule Of Values'!C5:E5)</f>
        <v/>
      </c>
      <c r="F5" s="297"/>
      <c r="G5" s="22" t="s">
        <v>32</v>
      </c>
      <c r="H5" s="266" t="str">
        <f>IF('Schedule Of Values'!H5&gt;0,'Schedule Of Values'!H5,"")</f>
        <v/>
      </c>
      <c r="I5" s="265"/>
      <c r="J5" s="265"/>
      <c r="K5" s="265"/>
      <c r="L5" s="127"/>
      <c r="M5" s="22" t="s">
        <v>94</v>
      </c>
      <c r="N5" s="134"/>
      <c r="O5" s="415">
        <f>'Schedule Of Values'!K5</f>
        <v>0</v>
      </c>
      <c r="P5" s="415"/>
      <c r="Q5" s="415"/>
      <c r="R5" s="5"/>
    </row>
    <row r="6" spans="1:23" s="1" customFormat="1" ht="22.5" customHeight="1" thickBot="1">
      <c r="A6" s="18"/>
      <c r="B6" s="400" t="s">
        <v>30</v>
      </c>
      <c r="C6" s="400"/>
      <c r="D6" s="400"/>
      <c r="E6" s="335" t="str">
        <f>T('Schedule Of Values'!C6:E6)</f>
        <v/>
      </c>
      <c r="F6" s="335"/>
      <c r="G6" s="126" t="s">
        <v>34</v>
      </c>
      <c r="H6" s="267" t="str">
        <f>IF('Schedule Of Values'!H6&gt;0,'Schedule Of Values'!H6,"")</f>
        <v/>
      </c>
      <c r="I6" s="128"/>
      <c r="J6" s="128"/>
      <c r="K6" s="128"/>
      <c r="L6" s="128"/>
      <c r="M6" s="126" t="s">
        <v>22</v>
      </c>
      <c r="O6" s="416" t="str">
        <f>IF('Schedule Of Values'!K6&gt;0,WORKDAY('Schedule Of Values'!K6,P45,Fridays),"")</f>
        <v/>
      </c>
      <c r="P6" s="416"/>
      <c r="Q6" s="416"/>
      <c r="R6" s="9"/>
      <c r="U6" s="244"/>
      <c r="V6" s="244"/>
    </row>
    <row r="7" spans="1:23" s="1" customFormat="1" ht="10.5" customHeight="1" thickTop="1">
      <c r="A7" s="412"/>
      <c r="B7" s="413"/>
      <c r="C7" s="413"/>
      <c r="D7" s="413"/>
      <c r="E7" s="413"/>
      <c r="F7" s="413"/>
      <c r="G7" s="413"/>
      <c r="H7" s="413"/>
      <c r="I7" s="413"/>
      <c r="J7" s="413"/>
      <c r="K7" s="413"/>
      <c r="L7" s="413"/>
      <c r="M7" s="413"/>
      <c r="N7" s="413"/>
      <c r="O7" s="413"/>
      <c r="P7" s="413"/>
      <c r="Q7" s="413"/>
      <c r="R7" s="414"/>
    </row>
    <row r="8" spans="1:23" s="1" customFormat="1" ht="15" customHeight="1">
      <c r="A8" s="10"/>
      <c r="B8" s="389" t="s">
        <v>15</v>
      </c>
      <c r="C8" s="389" t="s">
        <v>120</v>
      </c>
      <c r="D8" s="389"/>
      <c r="E8" s="389" t="s">
        <v>17</v>
      </c>
      <c r="F8" s="389" t="s">
        <v>23</v>
      </c>
      <c r="G8" s="389" t="s">
        <v>18</v>
      </c>
      <c r="H8" s="391" t="s">
        <v>19</v>
      </c>
      <c r="I8" s="170"/>
      <c r="J8" s="170"/>
      <c r="K8" s="391" t="s">
        <v>28</v>
      </c>
      <c r="L8" s="170"/>
      <c r="M8" s="391" t="s">
        <v>144</v>
      </c>
      <c r="N8" s="391" t="s">
        <v>20</v>
      </c>
      <c r="O8" s="391" t="s">
        <v>141</v>
      </c>
      <c r="P8" s="391" t="s">
        <v>24</v>
      </c>
      <c r="Q8" s="391"/>
      <c r="R8" s="25"/>
    </row>
    <row r="9" spans="1:23" s="1" customFormat="1" ht="15" customHeight="1" thickBot="1">
      <c r="A9" s="10"/>
      <c r="B9" s="390"/>
      <c r="C9" s="173" t="s">
        <v>118</v>
      </c>
      <c r="D9" s="174" t="s">
        <v>119</v>
      </c>
      <c r="E9" s="390"/>
      <c r="F9" s="390"/>
      <c r="G9" s="390"/>
      <c r="H9" s="392"/>
      <c r="I9" s="171" t="s">
        <v>3</v>
      </c>
      <c r="J9" s="171" t="s">
        <v>2</v>
      </c>
      <c r="K9" s="392"/>
      <c r="L9" s="250" t="s">
        <v>143</v>
      </c>
      <c r="M9" s="392"/>
      <c r="N9" s="392"/>
      <c r="O9" s="392"/>
      <c r="P9" s="392" t="s">
        <v>25</v>
      </c>
      <c r="Q9" s="391"/>
      <c r="R9" s="26"/>
    </row>
    <row r="10" spans="1:23" s="1" customFormat="1" ht="20.25" customHeight="1" thickBot="1">
      <c r="A10" s="10"/>
      <c r="B10" s="112" t="s">
        <v>16</v>
      </c>
      <c r="C10" s="406"/>
      <c r="D10" s="407"/>
      <c r="E10" s="129"/>
      <c r="F10" s="114"/>
      <c r="G10" s="157"/>
      <c r="H10" s="157"/>
      <c r="I10" s="157"/>
      <c r="J10" s="157"/>
      <c r="K10" s="118"/>
      <c r="L10" s="118"/>
      <c r="M10" s="118"/>
      <c r="N10" s="130"/>
      <c r="O10" s="236"/>
      <c r="P10" s="137"/>
      <c r="Q10" s="135" t="s">
        <v>21</v>
      </c>
      <c r="R10" s="27"/>
      <c r="W10" s="248" t="s">
        <v>142</v>
      </c>
    </row>
    <row r="11" spans="1:23" s="1" customFormat="1" ht="20.25" customHeight="1" thickBot="1">
      <c r="A11" s="10"/>
      <c r="B11" s="113">
        <v>2</v>
      </c>
      <c r="C11" s="402"/>
      <c r="D11" s="403"/>
      <c r="E11" s="163"/>
      <c r="F11" s="90"/>
      <c r="G11" s="158"/>
      <c r="H11" s="159"/>
      <c r="I11" s="157">
        <f t="shared" ref="I11:I42" si="0">IF(H11&gt;0,H11,G11)</f>
        <v>0</v>
      </c>
      <c r="J11" s="157" t="str">
        <f>IF(K11&gt;0,I11,"")</f>
        <v/>
      </c>
      <c r="K11" s="119"/>
      <c r="L11" s="118"/>
      <c r="M11" s="119"/>
      <c r="N11" s="131"/>
      <c r="O11" s="237"/>
      <c r="P11" s="138"/>
      <c r="Q11" s="136" t="s">
        <v>21</v>
      </c>
      <c r="R11" s="27"/>
      <c r="T11" s="84"/>
      <c r="W11" s="245">
        <v>40550</v>
      </c>
    </row>
    <row r="12" spans="1:23" s="1" customFormat="1" ht="20.25" customHeight="1" thickBot="1">
      <c r="A12" s="10"/>
      <c r="B12" s="113">
        <v>3</v>
      </c>
      <c r="C12" s="402"/>
      <c r="D12" s="403"/>
      <c r="E12" s="163"/>
      <c r="F12" s="90"/>
      <c r="G12" s="158"/>
      <c r="H12" s="159"/>
      <c r="I12" s="157">
        <f t="shared" si="0"/>
        <v>0</v>
      </c>
      <c r="J12" s="157" t="str">
        <f>IF(K12&gt;0,I12,"")</f>
        <v/>
      </c>
      <c r="K12" s="119"/>
      <c r="L12" s="118"/>
      <c r="M12" s="119"/>
      <c r="N12" s="131"/>
      <c r="O12" s="237"/>
      <c r="P12" s="138"/>
      <c r="Q12" s="136" t="s">
        <v>21</v>
      </c>
      <c r="R12" s="27"/>
      <c r="W12" s="246">
        <v>40557</v>
      </c>
    </row>
    <row r="13" spans="1:23" s="1" customFormat="1" ht="20.25" customHeight="1" thickBot="1">
      <c r="A13" s="10"/>
      <c r="B13" s="113">
        <v>4</v>
      </c>
      <c r="C13" s="402"/>
      <c r="D13" s="403"/>
      <c r="E13" s="163"/>
      <c r="F13" s="90"/>
      <c r="G13" s="158"/>
      <c r="H13" s="159"/>
      <c r="I13" s="157">
        <f t="shared" si="0"/>
        <v>0</v>
      </c>
      <c r="J13" s="157" t="str">
        <f t="shared" ref="J13:J42" si="1">IF(K13&gt;0,I13,"")</f>
        <v/>
      </c>
      <c r="K13" s="119"/>
      <c r="L13" s="118" t="str">
        <f t="shared" ref="L13:L42" si="2">IF(M13&gt;0,G13,"")</f>
        <v/>
      </c>
      <c r="M13" s="119"/>
      <c r="N13" s="131"/>
      <c r="O13" s="237"/>
      <c r="P13" s="138"/>
      <c r="Q13" s="136" t="s">
        <v>21</v>
      </c>
      <c r="R13" s="27"/>
      <c r="W13" s="246">
        <v>40564</v>
      </c>
    </row>
    <row r="14" spans="1:23" s="1" customFormat="1" ht="20.25" customHeight="1" thickBot="1">
      <c r="A14" s="10"/>
      <c r="B14" s="113">
        <v>5</v>
      </c>
      <c r="C14" s="402"/>
      <c r="D14" s="403"/>
      <c r="E14" s="163"/>
      <c r="F14" s="90"/>
      <c r="G14" s="158"/>
      <c r="H14" s="159"/>
      <c r="I14" s="157">
        <f t="shared" si="0"/>
        <v>0</v>
      </c>
      <c r="J14" s="157" t="str">
        <f t="shared" si="1"/>
        <v/>
      </c>
      <c r="K14" s="119"/>
      <c r="L14" s="118" t="str">
        <f t="shared" si="2"/>
        <v/>
      </c>
      <c r="M14" s="119"/>
      <c r="N14" s="131"/>
      <c r="O14" s="238"/>
      <c r="P14" s="179"/>
      <c r="Q14" s="136" t="s">
        <v>21</v>
      </c>
      <c r="R14" s="27"/>
      <c r="W14" s="246">
        <v>40571</v>
      </c>
    </row>
    <row r="15" spans="1:23" s="1" customFormat="1" ht="20.25" customHeight="1" thickBot="1">
      <c r="A15" s="10"/>
      <c r="B15" s="113">
        <v>6</v>
      </c>
      <c r="C15" s="402"/>
      <c r="D15" s="403"/>
      <c r="E15" s="164"/>
      <c r="F15" s="115"/>
      <c r="G15" s="160"/>
      <c r="H15" s="160"/>
      <c r="I15" s="157">
        <f t="shared" si="0"/>
        <v>0</v>
      </c>
      <c r="J15" s="157" t="str">
        <f t="shared" si="1"/>
        <v/>
      </c>
      <c r="K15" s="120"/>
      <c r="L15" s="118" t="str">
        <f t="shared" si="2"/>
        <v/>
      </c>
      <c r="M15" s="120"/>
      <c r="N15" s="132"/>
      <c r="O15" s="239"/>
      <c r="P15" s="139"/>
      <c r="Q15" s="136" t="s">
        <v>21</v>
      </c>
      <c r="R15" s="12"/>
      <c r="W15" s="246">
        <v>40578</v>
      </c>
    </row>
    <row r="16" spans="1:23" s="1" customFormat="1" ht="20.25" customHeight="1" thickBot="1">
      <c r="A16" s="10"/>
      <c r="B16" s="113">
        <v>7</v>
      </c>
      <c r="C16" s="402"/>
      <c r="D16" s="403"/>
      <c r="E16" s="165"/>
      <c r="F16" s="88"/>
      <c r="G16" s="159"/>
      <c r="H16" s="159"/>
      <c r="I16" s="157">
        <f t="shared" si="0"/>
        <v>0</v>
      </c>
      <c r="J16" s="157" t="str">
        <f t="shared" si="1"/>
        <v/>
      </c>
      <c r="K16" s="119"/>
      <c r="L16" s="118" t="str">
        <f t="shared" si="2"/>
        <v/>
      </c>
      <c r="M16" s="119"/>
      <c r="N16" s="131"/>
      <c r="O16" s="237"/>
      <c r="P16" s="140"/>
      <c r="Q16" s="136" t="s">
        <v>21</v>
      </c>
      <c r="R16" s="12"/>
      <c r="W16" s="246">
        <v>40585</v>
      </c>
    </row>
    <row r="17" spans="1:23" s="1" customFormat="1" ht="20.25" customHeight="1" thickBot="1">
      <c r="A17" s="10"/>
      <c r="B17" s="113">
        <v>8</v>
      </c>
      <c r="C17" s="402"/>
      <c r="D17" s="403"/>
      <c r="E17" s="165"/>
      <c r="F17" s="88"/>
      <c r="G17" s="159"/>
      <c r="H17" s="159"/>
      <c r="I17" s="157">
        <f t="shared" si="0"/>
        <v>0</v>
      </c>
      <c r="J17" s="157" t="str">
        <f t="shared" si="1"/>
        <v/>
      </c>
      <c r="K17" s="119"/>
      <c r="L17" s="118" t="str">
        <f t="shared" si="2"/>
        <v/>
      </c>
      <c r="M17" s="119"/>
      <c r="N17" s="131"/>
      <c r="O17" s="237"/>
      <c r="P17" s="140"/>
      <c r="Q17" s="136" t="s">
        <v>21</v>
      </c>
      <c r="R17" s="12"/>
      <c r="W17" s="246">
        <v>40592</v>
      </c>
    </row>
    <row r="18" spans="1:23" s="1" customFormat="1" ht="20.25" customHeight="1" thickBot="1">
      <c r="A18" s="10"/>
      <c r="B18" s="113">
        <v>9</v>
      </c>
      <c r="C18" s="402"/>
      <c r="D18" s="403"/>
      <c r="E18" s="165"/>
      <c r="F18" s="88"/>
      <c r="G18" s="159"/>
      <c r="H18" s="159"/>
      <c r="I18" s="157">
        <f t="shared" si="0"/>
        <v>0</v>
      </c>
      <c r="J18" s="157" t="str">
        <f t="shared" si="1"/>
        <v/>
      </c>
      <c r="K18" s="119"/>
      <c r="L18" s="118" t="str">
        <f t="shared" si="2"/>
        <v/>
      </c>
      <c r="M18" s="119"/>
      <c r="N18" s="131"/>
      <c r="O18" s="237"/>
      <c r="P18" s="140"/>
      <c r="Q18" s="136" t="s">
        <v>21</v>
      </c>
      <c r="R18" s="12"/>
      <c r="W18" s="246">
        <v>40599</v>
      </c>
    </row>
    <row r="19" spans="1:23" s="1" customFormat="1" ht="20.25" customHeight="1" thickBot="1">
      <c r="A19" s="10"/>
      <c r="B19" s="113">
        <v>10</v>
      </c>
      <c r="C19" s="402"/>
      <c r="D19" s="403"/>
      <c r="E19" s="165"/>
      <c r="F19" s="88"/>
      <c r="G19" s="159"/>
      <c r="H19" s="159"/>
      <c r="I19" s="157">
        <f t="shared" si="0"/>
        <v>0</v>
      </c>
      <c r="J19" s="157" t="str">
        <f t="shared" si="1"/>
        <v/>
      </c>
      <c r="K19" s="119"/>
      <c r="L19" s="118" t="str">
        <f t="shared" si="2"/>
        <v/>
      </c>
      <c r="M19" s="119"/>
      <c r="N19" s="131"/>
      <c r="O19" s="237"/>
      <c r="P19" s="140"/>
      <c r="Q19" s="136" t="s">
        <v>21</v>
      </c>
      <c r="R19" s="12"/>
      <c r="W19" s="246">
        <v>40606</v>
      </c>
    </row>
    <row r="20" spans="1:23" s="1" customFormat="1" ht="20.25" customHeight="1" thickBot="1">
      <c r="A20" s="10"/>
      <c r="B20" s="113">
        <v>11</v>
      </c>
      <c r="C20" s="402"/>
      <c r="D20" s="403"/>
      <c r="E20" s="164"/>
      <c r="F20" s="116"/>
      <c r="G20" s="161"/>
      <c r="H20" s="161"/>
      <c r="I20" s="157">
        <f t="shared" si="0"/>
        <v>0</v>
      </c>
      <c r="J20" s="157" t="str">
        <f t="shared" si="1"/>
        <v/>
      </c>
      <c r="K20" s="121"/>
      <c r="L20" s="118" t="str">
        <f t="shared" si="2"/>
        <v/>
      </c>
      <c r="M20" s="121"/>
      <c r="N20" s="132"/>
      <c r="O20" s="239"/>
      <c r="P20" s="139"/>
      <c r="Q20" s="136" t="s">
        <v>21</v>
      </c>
      <c r="R20" s="12"/>
      <c r="W20" s="246">
        <v>40613</v>
      </c>
    </row>
    <row r="21" spans="1:23" s="1" customFormat="1" ht="20.25" customHeight="1" thickBot="1">
      <c r="A21" s="10"/>
      <c r="B21" s="113">
        <v>12</v>
      </c>
      <c r="C21" s="402"/>
      <c r="D21" s="403"/>
      <c r="E21" s="166"/>
      <c r="F21" s="103"/>
      <c r="G21" s="158"/>
      <c r="H21" s="158"/>
      <c r="I21" s="157">
        <f t="shared" si="0"/>
        <v>0</v>
      </c>
      <c r="J21" s="157" t="str">
        <f t="shared" si="1"/>
        <v/>
      </c>
      <c r="K21" s="122"/>
      <c r="L21" s="118" t="str">
        <f t="shared" si="2"/>
        <v/>
      </c>
      <c r="M21" s="122"/>
      <c r="N21" s="131"/>
      <c r="O21" s="237"/>
      <c r="P21" s="140"/>
      <c r="Q21" s="136" t="s">
        <v>21</v>
      </c>
      <c r="R21" s="12"/>
      <c r="W21" s="246">
        <v>40620</v>
      </c>
    </row>
    <row r="22" spans="1:23" s="1" customFormat="1" ht="20.25" customHeight="1" thickBot="1">
      <c r="A22" s="10"/>
      <c r="B22" s="113">
        <v>13</v>
      </c>
      <c r="C22" s="402"/>
      <c r="D22" s="403"/>
      <c r="E22" s="166"/>
      <c r="F22" s="103"/>
      <c r="G22" s="158"/>
      <c r="H22" s="158"/>
      <c r="I22" s="157">
        <f t="shared" si="0"/>
        <v>0</v>
      </c>
      <c r="J22" s="157" t="str">
        <f t="shared" si="1"/>
        <v/>
      </c>
      <c r="K22" s="122"/>
      <c r="L22" s="118" t="str">
        <f t="shared" si="2"/>
        <v/>
      </c>
      <c r="M22" s="122"/>
      <c r="N22" s="131"/>
      <c r="O22" s="237"/>
      <c r="P22" s="140"/>
      <c r="Q22" s="136" t="s">
        <v>21</v>
      </c>
      <c r="R22" s="12"/>
      <c r="W22" s="246">
        <v>40627</v>
      </c>
    </row>
    <row r="23" spans="1:23" s="1" customFormat="1" ht="20.25" customHeight="1" thickBot="1">
      <c r="A23" s="10"/>
      <c r="B23" s="113">
        <v>14</v>
      </c>
      <c r="C23" s="402"/>
      <c r="D23" s="403"/>
      <c r="E23" s="166"/>
      <c r="F23" s="103"/>
      <c r="G23" s="158"/>
      <c r="H23" s="158"/>
      <c r="I23" s="157">
        <f t="shared" si="0"/>
        <v>0</v>
      </c>
      <c r="J23" s="157" t="str">
        <f t="shared" si="1"/>
        <v/>
      </c>
      <c r="K23" s="122"/>
      <c r="L23" s="118" t="str">
        <f t="shared" si="2"/>
        <v/>
      </c>
      <c r="M23" s="122"/>
      <c r="N23" s="131"/>
      <c r="O23" s="237"/>
      <c r="P23" s="140"/>
      <c r="Q23" s="136" t="s">
        <v>21</v>
      </c>
      <c r="R23" s="12"/>
      <c r="W23" s="246">
        <v>40634</v>
      </c>
    </row>
    <row r="24" spans="1:23" s="1" customFormat="1" ht="20.25" customHeight="1" thickBot="1">
      <c r="A24" s="10"/>
      <c r="B24" s="113">
        <v>15</v>
      </c>
      <c r="C24" s="402"/>
      <c r="D24" s="403"/>
      <c r="E24" s="163"/>
      <c r="F24" s="103"/>
      <c r="G24" s="158"/>
      <c r="H24" s="158"/>
      <c r="I24" s="157">
        <f t="shared" si="0"/>
        <v>0</v>
      </c>
      <c r="J24" s="157" t="str">
        <f t="shared" si="1"/>
        <v/>
      </c>
      <c r="K24" s="122"/>
      <c r="L24" s="118" t="str">
        <f t="shared" si="2"/>
        <v/>
      </c>
      <c r="M24" s="122"/>
      <c r="N24" s="131"/>
      <c r="O24" s="237"/>
      <c r="P24" s="140"/>
      <c r="Q24" s="136" t="s">
        <v>21</v>
      </c>
      <c r="R24" s="12"/>
      <c r="W24" s="246">
        <v>40641</v>
      </c>
    </row>
    <row r="25" spans="1:23" s="1" customFormat="1" ht="20.25" customHeight="1" thickBot="1">
      <c r="A25" s="10"/>
      <c r="B25" s="113">
        <v>16</v>
      </c>
      <c r="C25" s="402"/>
      <c r="D25" s="403"/>
      <c r="E25" s="167"/>
      <c r="F25" s="117"/>
      <c r="G25" s="161"/>
      <c r="H25" s="161"/>
      <c r="I25" s="157">
        <f t="shared" si="0"/>
        <v>0</v>
      </c>
      <c r="J25" s="157" t="str">
        <f t="shared" si="1"/>
        <v/>
      </c>
      <c r="K25" s="121"/>
      <c r="L25" s="118" t="str">
        <f t="shared" si="2"/>
        <v/>
      </c>
      <c r="M25" s="121"/>
      <c r="N25" s="132"/>
      <c r="O25" s="239"/>
      <c r="P25" s="139"/>
      <c r="Q25" s="136" t="s">
        <v>21</v>
      </c>
      <c r="R25" s="12"/>
      <c r="W25" s="246">
        <v>40648</v>
      </c>
    </row>
    <row r="26" spans="1:23" s="1" customFormat="1" ht="20.25" customHeight="1" thickBot="1">
      <c r="A26" s="10"/>
      <c r="B26" s="113">
        <v>17</v>
      </c>
      <c r="C26" s="402"/>
      <c r="D26" s="403"/>
      <c r="E26" s="163"/>
      <c r="F26" s="103"/>
      <c r="G26" s="158"/>
      <c r="H26" s="158"/>
      <c r="I26" s="157">
        <f t="shared" si="0"/>
        <v>0</v>
      </c>
      <c r="J26" s="157" t="str">
        <f t="shared" si="1"/>
        <v/>
      </c>
      <c r="K26" s="122"/>
      <c r="L26" s="118" t="str">
        <f t="shared" si="2"/>
        <v/>
      </c>
      <c r="M26" s="122"/>
      <c r="N26" s="131"/>
      <c r="O26" s="237"/>
      <c r="P26" s="140"/>
      <c r="Q26" s="136" t="s">
        <v>21</v>
      </c>
      <c r="R26" s="12"/>
      <c r="W26" s="246">
        <v>40655</v>
      </c>
    </row>
    <row r="27" spans="1:23" s="1" customFormat="1" ht="20.25" customHeight="1" thickBot="1">
      <c r="A27" s="10"/>
      <c r="B27" s="113">
        <v>18</v>
      </c>
      <c r="C27" s="402"/>
      <c r="D27" s="403"/>
      <c r="E27" s="163"/>
      <c r="F27" s="103"/>
      <c r="G27" s="158"/>
      <c r="H27" s="158"/>
      <c r="I27" s="157">
        <f t="shared" si="0"/>
        <v>0</v>
      </c>
      <c r="J27" s="157" t="str">
        <f t="shared" si="1"/>
        <v/>
      </c>
      <c r="K27" s="122"/>
      <c r="L27" s="118" t="str">
        <f t="shared" si="2"/>
        <v/>
      </c>
      <c r="M27" s="122"/>
      <c r="N27" s="131"/>
      <c r="O27" s="237"/>
      <c r="P27" s="140"/>
      <c r="Q27" s="136" t="s">
        <v>21</v>
      </c>
      <c r="R27" s="12"/>
      <c r="W27" s="246">
        <v>40662</v>
      </c>
    </row>
    <row r="28" spans="1:23" s="1" customFormat="1" ht="20.25" customHeight="1" thickBot="1">
      <c r="A28" s="10"/>
      <c r="B28" s="113">
        <v>19</v>
      </c>
      <c r="C28" s="402"/>
      <c r="D28" s="403"/>
      <c r="E28" s="163"/>
      <c r="F28" s="103"/>
      <c r="G28" s="158"/>
      <c r="H28" s="158"/>
      <c r="I28" s="157">
        <f t="shared" si="0"/>
        <v>0</v>
      </c>
      <c r="J28" s="157" t="str">
        <f t="shared" si="1"/>
        <v/>
      </c>
      <c r="K28" s="122"/>
      <c r="L28" s="118" t="str">
        <f t="shared" si="2"/>
        <v/>
      </c>
      <c r="M28" s="122"/>
      <c r="N28" s="131"/>
      <c r="O28" s="237"/>
      <c r="P28" s="140"/>
      <c r="Q28" s="136" t="s">
        <v>21</v>
      </c>
      <c r="R28" s="12"/>
      <c r="W28" s="246">
        <v>40669</v>
      </c>
    </row>
    <row r="29" spans="1:23" s="1" customFormat="1" ht="20.25" customHeight="1" thickBot="1">
      <c r="A29" s="10"/>
      <c r="B29" s="113">
        <v>20</v>
      </c>
      <c r="C29" s="402"/>
      <c r="D29" s="403"/>
      <c r="E29" s="163"/>
      <c r="F29" s="103"/>
      <c r="G29" s="158"/>
      <c r="H29" s="158"/>
      <c r="I29" s="157">
        <f t="shared" si="0"/>
        <v>0</v>
      </c>
      <c r="J29" s="157" t="str">
        <f t="shared" si="1"/>
        <v/>
      </c>
      <c r="K29" s="122"/>
      <c r="L29" s="118" t="e">
        <f>IF(#REF!&gt;0,G29,"")</f>
        <v>#REF!</v>
      </c>
      <c r="M29" s="138"/>
      <c r="N29" s="131"/>
      <c r="O29" s="237"/>
      <c r="P29" s="140"/>
      <c r="Q29" s="136" t="s">
        <v>21</v>
      </c>
      <c r="R29" s="12"/>
      <c r="W29" s="246">
        <v>40676</v>
      </c>
    </row>
    <row r="30" spans="1:23" s="1" customFormat="1" ht="20.25" customHeight="1" thickBot="1">
      <c r="A30" s="10"/>
      <c r="B30" s="113">
        <v>21</v>
      </c>
      <c r="C30" s="402"/>
      <c r="D30" s="403"/>
      <c r="E30" s="167"/>
      <c r="F30" s="117"/>
      <c r="G30" s="161"/>
      <c r="H30" s="161"/>
      <c r="I30" s="157">
        <f t="shared" si="0"/>
        <v>0</v>
      </c>
      <c r="J30" s="157" t="str">
        <f t="shared" si="1"/>
        <v/>
      </c>
      <c r="K30" s="121"/>
      <c r="L30" s="118" t="str">
        <f t="shared" si="2"/>
        <v/>
      </c>
      <c r="M30" s="121"/>
      <c r="N30" s="132"/>
      <c r="O30" s="239"/>
      <c r="P30" s="139"/>
      <c r="Q30" s="136" t="s">
        <v>21</v>
      </c>
      <c r="R30" s="12"/>
      <c r="W30" s="246">
        <v>40683</v>
      </c>
    </row>
    <row r="31" spans="1:23" s="1" customFormat="1" ht="20.25" customHeight="1" thickBot="1">
      <c r="A31" s="10"/>
      <c r="B31" s="113">
        <v>22</v>
      </c>
      <c r="C31" s="402"/>
      <c r="D31" s="403"/>
      <c r="E31" s="163"/>
      <c r="F31" s="103"/>
      <c r="G31" s="158"/>
      <c r="H31" s="158"/>
      <c r="I31" s="157">
        <f t="shared" si="0"/>
        <v>0</v>
      </c>
      <c r="J31" s="157" t="str">
        <f t="shared" si="1"/>
        <v/>
      </c>
      <c r="K31" s="122"/>
      <c r="L31" s="118" t="str">
        <f t="shared" si="2"/>
        <v/>
      </c>
      <c r="M31" s="122"/>
      <c r="N31" s="131"/>
      <c r="O31" s="237"/>
      <c r="P31" s="140"/>
      <c r="Q31" s="136" t="s">
        <v>21</v>
      </c>
      <c r="R31" s="12"/>
      <c r="W31" s="246">
        <v>40690</v>
      </c>
    </row>
    <row r="32" spans="1:23" s="1" customFormat="1" ht="20.25" customHeight="1" thickBot="1">
      <c r="A32" s="10"/>
      <c r="B32" s="113">
        <v>23</v>
      </c>
      <c r="C32" s="402"/>
      <c r="D32" s="403"/>
      <c r="E32" s="163"/>
      <c r="F32" s="103"/>
      <c r="G32" s="158"/>
      <c r="H32" s="158"/>
      <c r="I32" s="157">
        <f t="shared" si="0"/>
        <v>0</v>
      </c>
      <c r="J32" s="157" t="str">
        <f t="shared" si="1"/>
        <v/>
      </c>
      <c r="K32" s="122"/>
      <c r="L32" s="118" t="str">
        <f t="shared" si="2"/>
        <v/>
      </c>
      <c r="M32" s="122"/>
      <c r="N32" s="131"/>
      <c r="O32" s="237"/>
      <c r="P32" s="140"/>
      <c r="Q32" s="136" t="s">
        <v>21</v>
      </c>
      <c r="R32" s="12"/>
      <c r="W32" s="246">
        <v>40697</v>
      </c>
    </row>
    <row r="33" spans="1:23" s="1" customFormat="1" ht="20.25" customHeight="1" thickBot="1">
      <c r="A33" s="10"/>
      <c r="B33" s="113">
        <v>24</v>
      </c>
      <c r="C33" s="402"/>
      <c r="D33" s="403"/>
      <c r="E33" s="163"/>
      <c r="F33" s="103"/>
      <c r="G33" s="158"/>
      <c r="H33" s="158"/>
      <c r="I33" s="157">
        <f t="shared" si="0"/>
        <v>0</v>
      </c>
      <c r="J33" s="157" t="str">
        <f t="shared" si="1"/>
        <v/>
      </c>
      <c r="K33" s="122"/>
      <c r="L33" s="118" t="str">
        <f t="shared" si="2"/>
        <v/>
      </c>
      <c r="M33" s="122"/>
      <c r="N33" s="131"/>
      <c r="O33" s="237"/>
      <c r="P33" s="140"/>
      <c r="Q33" s="136" t="s">
        <v>21</v>
      </c>
      <c r="R33" s="12"/>
      <c r="W33" s="246">
        <v>40704</v>
      </c>
    </row>
    <row r="34" spans="1:23" s="1" customFormat="1" ht="20.25" customHeight="1" thickBot="1">
      <c r="A34" s="10"/>
      <c r="B34" s="113">
        <v>25</v>
      </c>
      <c r="C34" s="402"/>
      <c r="D34" s="403"/>
      <c r="E34" s="163"/>
      <c r="F34" s="103"/>
      <c r="G34" s="158"/>
      <c r="H34" s="158"/>
      <c r="I34" s="157">
        <f t="shared" si="0"/>
        <v>0</v>
      </c>
      <c r="J34" s="157" t="str">
        <f t="shared" si="1"/>
        <v/>
      </c>
      <c r="K34" s="122"/>
      <c r="L34" s="118" t="str">
        <f t="shared" si="2"/>
        <v/>
      </c>
      <c r="M34" s="122"/>
      <c r="N34" s="131"/>
      <c r="O34" s="237"/>
      <c r="P34" s="140"/>
      <c r="Q34" s="136" t="s">
        <v>21</v>
      </c>
      <c r="R34" s="12"/>
      <c r="W34" s="246">
        <v>40711</v>
      </c>
    </row>
    <row r="35" spans="1:23" s="1" customFormat="1" ht="20.25" customHeight="1" thickBot="1">
      <c r="A35" s="10"/>
      <c r="B35" s="113">
        <v>26</v>
      </c>
      <c r="C35" s="402"/>
      <c r="D35" s="403"/>
      <c r="E35" s="167"/>
      <c r="F35" s="117"/>
      <c r="G35" s="161"/>
      <c r="H35" s="161"/>
      <c r="I35" s="157">
        <f t="shared" si="0"/>
        <v>0</v>
      </c>
      <c r="J35" s="157" t="str">
        <f t="shared" si="1"/>
        <v/>
      </c>
      <c r="K35" s="121"/>
      <c r="L35" s="118" t="str">
        <f t="shared" si="2"/>
        <v/>
      </c>
      <c r="M35" s="121"/>
      <c r="N35" s="132"/>
      <c r="O35" s="239"/>
      <c r="P35" s="139"/>
      <c r="Q35" s="136" t="s">
        <v>21</v>
      </c>
      <c r="R35" s="12"/>
      <c r="W35" s="246">
        <v>40718</v>
      </c>
    </row>
    <row r="36" spans="1:23" s="1" customFormat="1" ht="20.25" customHeight="1" thickBot="1">
      <c r="A36" s="10"/>
      <c r="B36" s="113">
        <v>27</v>
      </c>
      <c r="C36" s="402"/>
      <c r="D36" s="403"/>
      <c r="E36" s="166"/>
      <c r="F36" s="103"/>
      <c r="G36" s="162"/>
      <c r="H36" s="162"/>
      <c r="I36" s="157">
        <f t="shared" si="0"/>
        <v>0</v>
      </c>
      <c r="J36" s="157" t="str">
        <f t="shared" si="1"/>
        <v/>
      </c>
      <c r="K36" s="168"/>
      <c r="L36" s="118" t="str">
        <f t="shared" si="2"/>
        <v/>
      </c>
      <c r="M36" s="168"/>
      <c r="N36" s="133"/>
      <c r="O36" s="240"/>
      <c r="P36" s="141"/>
      <c r="Q36" s="136" t="s">
        <v>21</v>
      </c>
      <c r="R36" s="12"/>
      <c r="W36" s="246">
        <v>40725</v>
      </c>
    </row>
    <row r="37" spans="1:23" s="1" customFormat="1" ht="20.25" customHeight="1" thickBot="1">
      <c r="A37" s="10"/>
      <c r="B37" s="113">
        <v>28</v>
      </c>
      <c r="C37" s="402"/>
      <c r="D37" s="403"/>
      <c r="E37" s="166"/>
      <c r="F37" s="103"/>
      <c r="G37" s="162"/>
      <c r="H37" s="162"/>
      <c r="I37" s="157">
        <f t="shared" ref="I37:I40" si="3">IF(H37&gt;0,H37,G37)</f>
        <v>0</v>
      </c>
      <c r="J37" s="157" t="str">
        <f t="shared" ref="J37:J40" si="4">IF(K37&gt;0,I37,"")</f>
        <v/>
      </c>
      <c r="K37" s="168"/>
      <c r="L37" s="118" t="str">
        <f t="shared" ref="L37:L40" si="5">IF(M37&gt;0,G37,"")</f>
        <v/>
      </c>
      <c r="M37" s="168"/>
      <c r="N37" s="133"/>
      <c r="O37" s="240"/>
      <c r="P37" s="141"/>
      <c r="Q37" s="136" t="s">
        <v>21</v>
      </c>
      <c r="R37" s="12"/>
      <c r="W37" s="246">
        <v>40732</v>
      </c>
    </row>
    <row r="38" spans="1:23" s="1" customFormat="1" ht="20.25" customHeight="1" thickBot="1">
      <c r="A38" s="10"/>
      <c r="B38" s="113">
        <v>29</v>
      </c>
      <c r="C38" s="402"/>
      <c r="D38" s="403"/>
      <c r="E38" s="166"/>
      <c r="F38" s="103"/>
      <c r="G38" s="162"/>
      <c r="H38" s="162"/>
      <c r="I38" s="157">
        <f t="shared" si="3"/>
        <v>0</v>
      </c>
      <c r="J38" s="157" t="str">
        <f t="shared" si="4"/>
        <v/>
      </c>
      <c r="K38" s="168"/>
      <c r="L38" s="118" t="str">
        <f t="shared" si="5"/>
        <v/>
      </c>
      <c r="M38" s="168"/>
      <c r="N38" s="133"/>
      <c r="O38" s="240"/>
      <c r="P38" s="141"/>
      <c r="Q38" s="136" t="s">
        <v>21</v>
      </c>
      <c r="R38" s="12"/>
      <c r="W38" s="246">
        <v>40739</v>
      </c>
    </row>
    <row r="39" spans="1:23" s="1" customFormat="1" ht="20.25" customHeight="1" thickBot="1">
      <c r="A39" s="10"/>
      <c r="B39" s="113">
        <v>30</v>
      </c>
      <c r="C39" s="402"/>
      <c r="D39" s="403"/>
      <c r="E39" s="163"/>
      <c r="F39" s="89"/>
      <c r="G39" s="158"/>
      <c r="H39" s="158"/>
      <c r="I39" s="157">
        <f t="shared" ref="I39" si="6">IF(H39&gt;0,H39,G39)</f>
        <v>0</v>
      </c>
      <c r="J39" s="157" t="str">
        <f t="shared" ref="J39" si="7">IF(K39&gt;0,I39,"")</f>
        <v/>
      </c>
      <c r="K39" s="122"/>
      <c r="L39" s="118" t="str">
        <f t="shared" ref="L39" si="8">IF(M39&gt;0,G39,"")</f>
        <v/>
      </c>
      <c r="M39" s="122"/>
      <c r="N39" s="131"/>
      <c r="O39" s="237"/>
      <c r="P39" s="140"/>
      <c r="Q39" s="136" t="s">
        <v>21</v>
      </c>
      <c r="R39" s="12"/>
      <c r="W39" s="246">
        <v>40746</v>
      </c>
    </row>
    <row r="40" spans="1:23" s="1" customFormat="1" ht="20.25" customHeight="1" thickBot="1">
      <c r="A40" s="10"/>
      <c r="B40" s="113">
        <v>31</v>
      </c>
      <c r="C40" s="402"/>
      <c r="D40" s="403"/>
      <c r="E40" s="163"/>
      <c r="F40" s="89"/>
      <c r="G40" s="158"/>
      <c r="H40" s="158"/>
      <c r="I40" s="157">
        <f t="shared" si="3"/>
        <v>0</v>
      </c>
      <c r="J40" s="157" t="str">
        <f t="shared" si="4"/>
        <v/>
      </c>
      <c r="K40" s="122"/>
      <c r="L40" s="118" t="str">
        <f t="shared" si="5"/>
        <v/>
      </c>
      <c r="M40" s="122"/>
      <c r="N40" s="131"/>
      <c r="O40" s="237"/>
      <c r="P40" s="140"/>
      <c r="Q40" s="136" t="s">
        <v>21</v>
      </c>
      <c r="R40" s="12"/>
      <c r="W40" s="246">
        <v>40753</v>
      </c>
    </row>
    <row r="41" spans="1:23" s="1" customFormat="1" ht="20.25" customHeight="1" thickBot="1">
      <c r="A41" s="10"/>
      <c r="B41" s="113">
        <v>32</v>
      </c>
      <c r="C41" s="402"/>
      <c r="D41" s="403"/>
      <c r="E41" s="166"/>
      <c r="F41" s="103"/>
      <c r="G41" s="162"/>
      <c r="H41" s="162"/>
      <c r="I41" s="157">
        <f t="shared" si="0"/>
        <v>0</v>
      </c>
      <c r="J41" s="157" t="str">
        <f t="shared" si="1"/>
        <v/>
      </c>
      <c r="K41" s="168"/>
      <c r="L41" s="118" t="str">
        <f t="shared" si="2"/>
        <v/>
      </c>
      <c r="M41" s="168"/>
      <c r="N41" s="133"/>
      <c r="O41" s="240"/>
      <c r="P41" s="141"/>
      <c r="Q41" s="136" t="s">
        <v>21</v>
      </c>
      <c r="R41" s="12"/>
      <c r="W41" s="246">
        <v>40760</v>
      </c>
    </row>
    <row r="42" spans="1:23" s="1" customFormat="1" ht="20.25" customHeight="1" thickBot="1">
      <c r="A42" s="10"/>
      <c r="B42" s="113">
        <v>33</v>
      </c>
      <c r="C42" s="402"/>
      <c r="D42" s="403"/>
      <c r="E42" s="166"/>
      <c r="F42" s="103"/>
      <c r="G42" s="162"/>
      <c r="H42" s="162"/>
      <c r="I42" s="157">
        <f t="shared" si="0"/>
        <v>0</v>
      </c>
      <c r="J42" s="157" t="str">
        <f t="shared" si="1"/>
        <v/>
      </c>
      <c r="K42" s="168"/>
      <c r="L42" s="118" t="str">
        <f t="shared" si="2"/>
        <v/>
      </c>
      <c r="M42" s="168"/>
      <c r="N42" s="133"/>
      <c r="O42" s="240"/>
      <c r="P42" s="141"/>
      <c r="Q42" s="136" t="s">
        <v>21</v>
      </c>
      <c r="R42" s="12"/>
      <c r="W42" s="246">
        <v>40767</v>
      </c>
    </row>
    <row r="43" spans="1:23" s="1" customFormat="1" ht="20.25" customHeight="1">
      <c r="A43" s="10"/>
      <c r="B43" s="113">
        <v>34</v>
      </c>
      <c r="C43" s="402"/>
      <c r="D43" s="403"/>
      <c r="E43" s="163"/>
      <c r="F43" s="89"/>
      <c r="G43" s="158"/>
      <c r="H43" s="158"/>
      <c r="I43" s="157">
        <f t="shared" ref="I43" si="9">IF(H43&gt;0,H43,G43)</f>
        <v>0</v>
      </c>
      <c r="J43" s="157" t="str">
        <f t="shared" ref="J43" si="10">IF(K43&gt;0,I43,"")</f>
        <v/>
      </c>
      <c r="K43" s="122"/>
      <c r="L43" s="118" t="str">
        <f t="shared" ref="L43" si="11">IF(M43&gt;0,G43,"")</f>
        <v/>
      </c>
      <c r="M43" s="122"/>
      <c r="N43" s="131"/>
      <c r="O43" s="237"/>
      <c r="P43" s="140"/>
      <c r="Q43" s="136" t="s">
        <v>21</v>
      </c>
      <c r="R43" s="12"/>
      <c r="W43" s="246">
        <v>40774</v>
      </c>
    </row>
    <row r="44" spans="1:23" s="1" customFormat="1" ht="20.25" customHeight="1" thickBot="1">
      <c r="A44" s="175"/>
      <c r="B44" s="404" t="s">
        <v>26</v>
      </c>
      <c r="C44" s="404"/>
      <c r="D44" s="404"/>
      <c r="E44" s="404"/>
      <c r="F44" s="404"/>
      <c r="G44" s="404"/>
      <c r="H44" s="404"/>
      <c r="I44" s="404"/>
      <c r="J44" s="404"/>
      <c r="K44" s="404"/>
      <c r="L44" s="404"/>
      <c r="M44" s="404"/>
      <c r="N44" s="404"/>
      <c r="O44" s="404"/>
      <c r="P44" s="404"/>
      <c r="Q44" s="405"/>
      <c r="R44" s="12"/>
      <c r="W44" s="246">
        <v>40781</v>
      </c>
    </row>
    <row r="45" spans="1:23" s="1" customFormat="1" ht="20.25" customHeight="1" thickBot="1">
      <c r="A45" s="10"/>
      <c r="B45" s="408" t="s">
        <v>43</v>
      </c>
      <c r="C45" s="409"/>
      <c r="D45" s="409"/>
      <c r="E45" s="147"/>
      <c r="F45" s="148"/>
      <c r="G45" s="152">
        <f>SUM(G10:G44)</f>
        <v>0</v>
      </c>
      <c r="H45" s="153">
        <f>SUM(H10:H44)</f>
        <v>0</v>
      </c>
      <c r="I45" s="153"/>
      <c r="J45" s="153">
        <f>SUM(J10:J43)</f>
        <v>0</v>
      </c>
      <c r="K45" s="169">
        <f>COUNT(K10:K43)</f>
        <v>0</v>
      </c>
      <c r="L45" s="169" t="e">
        <f>SUM(L10:L43)</f>
        <v>#REF!</v>
      </c>
      <c r="M45" s="169">
        <f>COUNT(M10:M43)</f>
        <v>0</v>
      </c>
      <c r="N45" s="154"/>
      <c r="O45" s="235"/>
      <c r="P45" s="155">
        <f>SUM(P10:P44)</f>
        <v>0</v>
      </c>
      <c r="Q45" s="156" t="s">
        <v>21</v>
      </c>
      <c r="R45" s="20"/>
      <c r="W45" s="246">
        <v>40788</v>
      </c>
    </row>
    <row r="46" spans="1:23" ht="15.75" thickBot="1">
      <c r="A46" s="3"/>
      <c r="B46" s="4"/>
      <c r="C46" s="4"/>
      <c r="D46" s="4"/>
      <c r="E46" s="4"/>
      <c r="F46" s="4"/>
      <c r="G46" s="4"/>
      <c r="H46" s="4"/>
      <c r="I46" s="4"/>
      <c r="J46" s="4"/>
      <c r="K46" s="4"/>
      <c r="L46" s="4"/>
      <c r="M46" s="4"/>
      <c r="N46" s="14"/>
      <c r="O46" s="14"/>
      <c r="P46" s="14"/>
      <c r="Q46" s="14"/>
      <c r="R46" s="19"/>
      <c r="W46" s="246">
        <v>40795</v>
      </c>
    </row>
    <row r="47" spans="1:23" ht="15.75" thickTop="1">
      <c r="W47" s="246">
        <v>40802</v>
      </c>
    </row>
    <row r="48" spans="1:23">
      <c r="W48" s="246">
        <v>40809</v>
      </c>
    </row>
    <row r="49" spans="23:23">
      <c r="W49" s="246">
        <v>40816</v>
      </c>
    </row>
    <row r="50" spans="23:23">
      <c r="W50" s="246">
        <v>40823</v>
      </c>
    </row>
    <row r="51" spans="23:23">
      <c r="W51" s="246">
        <v>40830</v>
      </c>
    </row>
    <row r="52" spans="23:23">
      <c r="W52" s="246">
        <v>40837</v>
      </c>
    </row>
    <row r="53" spans="23:23">
      <c r="W53" s="246">
        <v>40844</v>
      </c>
    </row>
    <row r="54" spans="23:23">
      <c r="W54" s="246">
        <v>40851</v>
      </c>
    </row>
    <row r="55" spans="23:23">
      <c r="W55" s="246">
        <v>40858</v>
      </c>
    </row>
    <row r="56" spans="23:23">
      <c r="W56" s="246">
        <v>40865</v>
      </c>
    </row>
    <row r="57" spans="23:23">
      <c r="W57" s="246">
        <v>40872</v>
      </c>
    </row>
    <row r="58" spans="23:23">
      <c r="W58" s="246">
        <v>40879</v>
      </c>
    </row>
    <row r="59" spans="23:23">
      <c r="W59" s="246">
        <v>40886</v>
      </c>
    </row>
    <row r="60" spans="23:23">
      <c r="W60" s="246">
        <v>40893</v>
      </c>
    </row>
    <row r="61" spans="23:23">
      <c r="W61" s="246">
        <v>40900</v>
      </c>
    </row>
    <row r="62" spans="23:23" ht="15.75" thickBot="1">
      <c r="W62" s="247">
        <v>40907</v>
      </c>
    </row>
    <row r="63" spans="23:23">
      <c r="W63" s="245">
        <v>40914</v>
      </c>
    </row>
    <row r="64" spans="23:23">
      <c r="W64" s="246">
        <v>40921</v>
      </c>
    </row>
    <row r="65" spans="23:23">
      <c r="W65" s="246">
        <v>40928</v>
      </c>
    </row>
    <row r="66" spans="23:23">
      <c r="W66" s="246">
        <v>40935</v>
      </c>
    </row>
    <row r="67" spans="23:23">
      <c r="W67" s="246">
        <v>40942</v>
      </c>
    </row>
    <row r="68" spans="23:23">
      <c r="W68" s="246">
        <v>40949</v>
      </c>
    </row>
    <row r="69" spans="23:23">
      <c r="W69" s="246">
        <v>40956</v>
      </c>
    </row>
    <row r="70" spans="23:23">
      <c r="W70" s="246">
        <v>40963</v>
      </c>
    </row>
    <row r="71" spans="23:23">
      <c r="W71" s="246">
        <v>40970</v>
      </c>
    </row>
    <row r="72" spans="23:23">
      <c r="W72" s="246">
        <v>40977</v>
      </c>
    </row>
    <row r="73" spans="23:23">
      <c r="W73" s="246">
        <v>40984</v>
      </c>
    </row>
    <row r="74" spans="23:23">
      <c r="W74" s="246">
        <v>40991</v>
      </c>
    </row>
    <row r="75" spans="23:23">
      <c r="W75" s="246">
        <v>40998</v>
      </c>
    </row>
    <row r="76" spans="23:23">
      <c r="W76" s="246">
        <v>41005</v>
      </c>
    </row>
    <row r="77" spans="23:23">
      <c r="W77" s="246">
        <v>41012</v>
      </c>
    </row>
    <row r="78" spans="23:23">
      <c r="W78" s="246">
        <v>41019</v>
      </c>
    </row>
    <row r="79" spans="23:23">
      <c r="W79" s="246">
        <v>41026</v>
      </c>
    </row>
    <row r="80" spans="23:23">
      <c r="W80" s="246">
        <v>41033</v>
      </c>
    </row>
    <row r="81" spans="23:23">
      <c r="W81" s="246">
        <v>41040</v>
      </c>
    </row>
    <row r="82" spans="23:23">
      <c r="W82" s="246">
        <v>41047</v>
      </c>
    </row>
    <row r="83" spans="23:23">
      <c r="W83" s="246">
        <v>41054</v>
      </c>
    </row>
    <row r="84" spans="23:23">
      <c r="W84" s="246">
        <v>41061</v>
      </c>
    </row>
    <row r="85" spans="23:23">
      <c r="W85" s="246">
        <v>41068</v>
      </c>
    </row>
    <row r="86" spans="23:23">
      <c r="W86" s="246">
        <v>41075</v>
      </c>
    </row>
    <row r="87" spans="23:23">
      <c r="W87" s="246">
        <v>41082</v>
      </c>
    </row>
    <row r="88" spans="23:23">
      <c r="W88" s="246">
        <v>41089</v>
      </c>
    </row>
    <row r="89" spans="23:23">
      <c r="W89" s="246">
        <v>41096</v>
      </c>
    </row>
    <row r="90" spans="23:23">
      <c r="W90" s="246">
        <v>41103</v>
      </c>
    </row>
    <row r="91" spans="23:23">
      <c r="W91" s="246">
        <v>41110</v>
      </c>
    </row>
    <row r="92" spans="23:23">
      <c r="W92" s="246">
        <v>41117</v>
      </c>
    </row>
    <row r="93" spans="23:23">
      <c r="W93" s="246">
        <v>41124</v>
      </c>
    </row>
    <row r="94" spans="23:23">
      <c r="W94" s="246">
        <v>41131</v>
      </c>
    </row>
    <row r="95" spans="23:23">
      <c r="W95" s="246">
        <v>41138</v>
      </c>
    </row>
    <row r="96" spans="23:23">
      <c r="W96" s="246">
        <v>41145</v>
      </c>
    </row>
    <row r="97" spans="23:23">
      <c r="W97" s="246">
        <v>41152</v>
      </c>
    </row>
    <row r="98" spans="23:23">
      <c r="W98" s="246">
        <v>41159</v>
      </c>
    </row>
    <row r="99" spans="23:23">
      <c r="W99" s="246">
        <v>41166</v>
      </c>
    </row>
    <row r="100" spans="23:23">
      <c r="W100" s="246">
        <v>41173</v>
      </c>
    </row>
    <row r="101" spans="23:23">
      <c r="W101" s="246">
        <v>41180</v>
      </c>
    </row>
    <row r="102" spans="23:23">
      <c r="W102" s="246">
        <v>41187</v>
      </c>
    </row>
    <row r="103" spans="23:23">
      <c r="W103" s="246">
        <v>41194</v>
      </c>
    </row>
    <row r="104" spans="23:23">
      <c r="W104" s="246">
        <v>41201</v>
      </c>
    </row>
    <row r="105" spans="23:23">
      <c r="W105" s="246">
        <v>41208</v>
      </c>
    </row>
    <row r="106" spans="23:23">
      <c r="W106" s="246">
        <v>41215</v>
      </c>
    </row>
    <row r="107" spans="23:23">
      <c r="W107" s="246">
        <v>41222</v>
      </c>
    </row>
    <row r="108" spans="23:23">
      <c r="W108" s="246">
        <v>41229</v>
      </c>
    </row>
    <row r="109" spans="23:23">
      <c r="W109" s="246">
        <v>41236</v>
      </c>
    </row>
    <row r="110" spans="23:23">
      <c r="W110" s="246">
        <v>41243</v>
      </c>
    </row>
    <row r="111" spans="23:23">
      <c r="W111" s="246">
        <v>41250</v>
      </c>
    </row>
    <row r="112" spans="23:23">
      <c r="W112" s="246">
        <v>41257</v>
      </c>
    </row>
    <row r="113" spans="23:23">
      <c r="W113" s="246">
        <v>41264</v>
      </c>
    </row>
    <row r="114" spans="23:23" ht="15.75" thickBot="1">
      <c r="W114" s="247">
        <v>41271</v>
      </c>
    </row>
    <row r="115" spans="23:23">
      <c r="W115" s="245">
        <v>41278</v>
      </c>
    </row>
  </sheetData>
  <mergeCells count="58">
    <mergeCell ref="C32:D32"/>
    <mergeCell ref="C42:D42"/>
    <mergeCell ref="C41:D41"/>
    <mergeCell ref="C36:D36"/>
    <mergeCell ref="C35:D35"/>
    <mergeCell ref="C34:D34"/>
    <mergeCell ref="B2:Q3"/>
    <mergeCell ref="N8:N9"/>
    <mergeCell ref="P8:Q8"/>
    <mergeCell ref="P9:Q9"/>
    <mergeCell ref="H8:H9"/>
    <mergeCell ref="A7:R7"/>
    <mergeCell ref="O8:O9"/>
    <mergeCell ref="O5:Q5"/>
    <mergeCell ref="O6:Q6"/>
    <mergeCell ref="G8:G9"/>
    <mergeCell ref="K8:K9"/>
    <mergeCell ref="M8:M9"/>
    <mergeCell ref="B45:D45"/>
    <mergeCell ref="E5:F5"/>
    <mergeCell ref="B5:D5"/>
    <mergeCell ref="B4:E4"/>
    <mergeCell ref="B8:B9"/>
    <mergeCell ref="E8:E9"/>
    <mergeCell ref="F8:F9"/>
    <mergeCell ref="E6:F6"/>
    <mergeCell ref="B6:D6"/>
    <mergeCell ref="C8:D8"/>
    <mergeCell ref="F4:Q4"/>
    <mergeCell ref="C31:D31"/>
    <mergeCell ref="C30:D30"/>
    <mergeCell ref="C29:D29"/>
    <mergeCell ref="C28:D28"/>
    <mergeCell ref="C33:D33"/>
    <mergeCell ref="C18:D18"/>
    <mergeCell ref="C27:D27"/>
    <mergeCell ref="C17:D17"/>
    <mergeCell ref="C26:D26"/>
    <mergeCell ref="C25:D25"/>
    <mergeCell ref="C24:D24"/>
    <mergeCell ref="C23:D23"/>
    <mergeCell ref="C22:D22"/>
    <mergeCell ref="C43:D43"/>
    <mergeCell ref="B44:Q44"/>
    <mergeCell ref="C11:D11"/>
    <mergeCell ref="C10:D10"/>
    <mergeCell ref="C37:D37"/>
    <mergeCell ref="C38:D38"/>
    <mergeCell ref="C40:D40"/>
    <mergeCell ref="C39:D39"/>
    <mergeCell ref="C16:D16"/>
    <mergeCell ref="C15:D15"/>
    <mergeCell ref="C14:D14"/>
    <mergeCell ref="C13:D13"/>
    <mergeCell ref="C12:D12"/>
    <mergeCell ref="C21:D21"/>
    <mergeCell ref="C20:D20"/>
    <mergeCell ref="C19:D19"/>
  </mergeCells>
  <phoneticPr fontId="18" type="noConversion"/>
  <dataValidations count="1">
    <dataValidation type="list" allowBlank="1" showInputMessage="1" showErrorMessage="1" sqref="C10:D43">
      <formula1>$C$9:$D$9</formula1>
    </dataValidation>
  </dataValidations>
  <printOptions horizontalCentered="1"/>
  <pageMargins left="0.45" right="0.45" top="0.5" bottom="0.5" header="0.3" footer="0.3"/>
  <pageSetup scale="59" orientation="landscape" r:id="rId1"/>
  <headerFooter>
    <oddHeader>&amp;R&amp;"Times New Roman,Regular"Date of Preparation:  &amp;"Times New Roman,Bold"&amp;D</oddHeader>
    <oddFooter>&amp;RPage &amp;P of &amp;N</oddFooter>
  </headerFooter>
  <ignoredErrors>
    <ignoredError sqref="B10" numberStoredAsText="1"/>
    <ignoredError sqref="K45" formula="1"/>
  </ignoredErrors>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Progress Invoice Request</vt:lpstr>
      <vt:lpstr>Progress Invoice Estimate</vt:lpstr>
      <vt:lpstr>Schedule Of Values</vt:lpstr>
      <vt:lpstr>CFP Log</vt:lpstr>
      <vt:lpstr>Fridays</vt:lpstr>
      <vt:lpstr>'CFP Log'!Print_Titles</vt:lpstr>
      <vt:lpstr>'Progress Invoice Estimate'!Print_Titles</vt:lpstr>
      <vt:lpstr>'Schedule Of Values'!Print_Titles</vt:lpstr>
    </vt:vector>
  </TitlesOfParts>
  <Company>INL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Progress Invoice Request for Construction Subcontracts</dc:title>
  <dc:creator>INL</dc:creator>
  <cp:lastModifiedBy>CUSHDA</cp:lastModifiedBy>
  <cp:lastPrinted>2011-09-27T15:28:05Z</cp:lastPrinted>
  <dcterms:created xsi:type="dcterms:W3CDTF">2011-05-12T19:11:59Z</dcterms:created>
  <dcterms:modified xsi:type="dcterms:W3CDTF">2012-01-11T16:19:02Z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rm No.">
    <vt:lpwstr>PROC-2123</vt:lpwstr>
  </property>
</Properties>
</file>