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560" yWindow="1335" windowWidth="15600" windowHeight="7680"/>
  </bookViews>
  <sheets>
    <sheet name="Production Unit Pricing" sheetId="1" r:id="rId1"/>
    <sheet name="Sheet3" sheetId="2" state="hidden" r:id="rId2"/>
  </sheets>
  <definedNames>
    <definedName name="_xlnm.Print_Titles" localSheetId="0">'Production Unit Pricing'!$1:$11</definedName>
    <definedName name="Z_3285FF01_F257_4AB3_B459_0432CBE6846E_.wvu.PrintTitles" localSheetId="0" hidden="1">'Production Unit Pricing'!$1:$11</definedName>
  </definedNames>
  <calcPr calcId="145621"/>
  <customWorkbookViews>
    <customWorkbookView name="Mark Buxton - Personal View" guid="{3285FF01-F257-4AB3-B459-0432CBE6846E}" mergeInterval="0" personalView="1" maximized="1" xWindow="1" yWindow="1" windowWidth="1600" windowHeight="670" activeSheetId="1"/>
  </customWorkbookViews>
</workbook>
</file>

<file path=xl/calcChain.xml><?xml version="1.0" encoding="utf-8"?>
<calcChain xmlns="http://schemas.openxmlformats.org/spreadsheetml/2006/main">
  <c r="A51" i="1" l="1"/>
  <c r="A50" i="1"/>
  <c r="A49" i="1"/>
  <c r="A13" i="1" l="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l="1"/>
  <c r="A48"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alcChain>
</file>

<file path=xl/sharedStrings.xml><?xml version="1.0" encoding="utf-8"?>
<sst xmlns="http://schemas.openxmlformats.org/spreadsheetml/2006/main" count="428" uniqueCount="158">
  <si>
    <t>CO-MOVE</t>
  </si>
  <si>
    <t>DUCT1</t>
  </si>
  <si>
    <t>DUCT2</t>
  </si>
  <si>
    <t>DUCT3</t>
  </si>
  <si>
    <t>HACO-PREP</t>
  </si>
  <si>
    <t>35-5 LEDGE</t>
  </si>
  <si>
    <t>UNIT CODE</t>
  </si>
  <si>
    <t>Remove pole, back fill and dispose of pole</t>
  </si>
  <si>
    <t>GUARD</t>
  </si>
  <si>
    <t>POLXFR</t>
  </si>
  <si>
    <t>ADJHEIT</t>
  </si>
  <si>
    <t>VRTGRD</t>
  </si>
  <si>
    <t>RODROP</t>
  </si>
  <si>
    <t>DWNGY</t>
  </si>
  <si>
    <t>HACO-ENT</t>
  </si>
  <si>
    <t>per foot</t>
  </si>
  <si>
    <t>each</t>
  </si>
  <si>
    <t>per span</t>
  </si>
  <si>
    <t>per fiber</t>
  </si>
  <si>
    <t>unknown</t>
  </si>
  <si>
    <t>LINE ITEM</t>
  </si>
  <si>
    <t>ESTIMATED QUANTITY</t>
  </si>
  <si>
    <t>PER</t>
  </si>
  <si>
    <t>Title:</t>
  </si>
  <si>
    <t>Date:</t>
  </si>
  <si>
    <t>Company:</t>
  </si>
  <si>
    <t>Name:</t>
  </si>
  <si>
    <t>XXPOLE</t>
  </si>
  <si>
    <t>MAX</t>
  </si>
  <si>
    <t>BOCABLE</t>
  </si>
  <si>
    <t>HO1-24</t>
  </si>
  <si>
    <t>HO25-96</t>
  </si>
  <si>
    <t>HO97-143</t>
  </si>
  <si>
    <t>HO144</t>
  </si>
  <si>
    <t>HO145-287</t>
  </si>
  <si>
    <t>HO288</t>
  </si>
  <si>
    <t>Signature</t>
  </si>
  <si>
    <t>By signing this document you confirm that you have read and understand all production units and production unit descriptions listed above.</t>
  </si>
  <si>
    <t>per closure</t>
  </si>
  <si>
    <t>(all materials will be supplied by the Maine Fiber Company and shipped directly to the contractor)</t>
  </si>
  <si>
    <t xml:space="preserve"> **** The contractor is responsible for scheduling, managing and paying for all traffic control and security and must be included in all of the unit pricing listed below. ****</t>
  </si>
  <si>
    <t>Rod &amp; rope conduit/duct and install mule tape</t>
  </si>
  <si>
    <t>OVRHGY</t>
  </si>
  <si>
    <t>Install vertical ground, ground rod &amp; bond. To be paid on a "per vertical ground and ground rod" installed.</t>
  </si>
  <si>
    <r>
      <t xml:space="preserve">Prep and install new fiber optic cable splice closure, label, documentation and dress splice closure and cable slack into snow shoes onto the messenger strand. To be paid on a "per closure" completed. (included in </t>
    </r>
    <r>
      <rPr>
        <u/>
        <sz val="11"/>
        <color indexed="8"/>
        <rFont val="Calibri"/>
        <family val="2"/>
      </rPr>
      <t>HO144</t>
    </r>
    <r>
      <rPr>
        <sz val="11"/>
        <color indexed="8"/>
        <rFont val="Calibri"/>
        <family val="2"/>
      </rPr>
      <t xml:space="preserve"> &amp; </t>
    </r>
    <r>
      <rPr>
        <u/>
        <sz val="11"/>
        <color indexed="8"/>
        <rFont val="Calibri"/>
        <family val="2"/>
      </rPr>
      <t>HO288</t>
    </r>
    <r>
      <rPr>
        <sz val="11"/>
        <color indexed="8"/>
        <rFont val="Calibri"/>
        <family val="2"/>
      </rPr>
      <t xml:space="preserve"> splice units) </t>
    </r>
  </si>
  <si>
    <t xml:space="preserve">Re-enter existing splice enclosure. Includes dressing splice closure and cable slack into snow shoes onto the messenger strand. To be paid on a "per closure" completed. </t>
  </si>
  <si>
    <t>Pole transfer (straight, corners, dead-ends, ALL). To be paid on a "per messenger strand" transferred.</t>
  </si>
  <si>
    <t>Change pole attachment height. To be paid on a "per messenger strand" moved.</t>
  </si>
  <si>
    <t>UNIT DESCRIPTION</t>
  </si>
  <si>
    <t>TT1</t>
  </si>
  <si>
    <t>ANCHR</t>
  </si>
  <si>
    <t>ANCHRLDG</t>
  </si>
  <si>
    <t>Install screw anchor. Includes contractor performing and calling in the "Dig Safe".  To be paid on a "per anchor" installed.</t>
  </si>
  <si>
    <t>Install ledge anchor/pin. Includes contractor performing and calling in the "Dig Safe".  To be paid on a "per anchor" installed.</t>
  </si>
  <si>
    <t>LSHWIR</t>
  </si>
  <si>
    <t>Repair broken/damaged lashing wire and re-lash cable. Compensated per span repaired.</t>
  </si>
  <si>
    <t>Fusion splice 145 to 287 single-mode fibers. Unit consists of fusion splicing fiber optic strands with a maximum bi-directional individual splice loss of .2dB per splice and a maximum uni-directional individual splice loss of .3dB per splice and includes  OTDR testing, and continuity testing with documentation, labeling and dressing splice closure and cable slack into snow shoes onto the messenger strand as outlined in the original RFP, and contractor services agreement. To be paid on a "per fiber strand" spliced when splicing fibers within the same splice closure.</t>
  </si>
  <si>
    <t>Fusion splice 97 to 143 single-mode fibers. Unit consists of fusion splicing fiber optic strands with a maximum bi-directional individual splice loss of .2dB per splice and a maximum uni-directional individual splice loss of .3dB per splice and includes  OTDR testing, and continuity testing with documentation, labeling and dressing splice closure and cable slack into snow shoes onto the messenger strand as outlined in the original RFP, and contractor services agreement. To be paid on a "per fiber strand" spliced when splicing  fibers within the same splice closure.</t>
  </si>
  <si>
    <t>Fusion splice 25 to 96 single-mode fibers. Unit consists of fusion splicing fiber optic strands with a maximum bi-directional individual splice loss of .2dB per splice and a maximum uni-directional individual splice loss of .3dB per splice and includes  OTDR testing, and continuity testing with documentation, labeling and dressing splice closure and cable slack into snow shoes onto the messenger strand as outlined in the original RFP, and contractor services agreement. To be paid on a "per fiber strand" spliced when splicing  fibers within the same splice closure.</t>
  </si>
  <si>
    <t>Fusion splice 1 to 24 single-mode fibers. Unit consists of fusion splicing fiber optic strands with a maximum bi-directional individual splice loss of .2dB per splice and a maximum uni-directional individual splice loss of .3dB per splice and includes  OTDR testing, and continuity testing with documentation, labeling and dressing splice closure and cable slack into snow shoes onto the messenger strand as outlined in the original RFP, and contractor services agreement. To be paid on a "per fiber strand" spliced when splicing  fibers within the same splice closure.</t>
  </si>
  <si>
    <t>De-lash/re-lash existing fiber and migrate/move to preferred location. Compensated by number of pole spans slack is migrated/moved.</t>
  </si>
  <si>
    <t>Install one 1 1/4" ridged innerduct in conduit. Assumes a clear path with existing pull string installed. Compensation is based on "per foot" of one innerduct installed.</t>
  </si>
  <si>
    <t>Install two 1 1/4" ridged innerduct in conduit. Assumes a clear path with existing pull string installed. Compensation is based on "per foot" of two innerducts installed.</t>
  </si>
  <si>
    <t>Install three 1 1/4" ridged innerduct in conduit. Assumes a clear path with existing pull string installed. Compensation is based on "per foot" of three innerducts installed.</t>
  </si>
  <si>
    <r>
      <t xml:space="preserve">Install guy guard to existing down guy. To be paid on a "per guy guard" installed. (included in </t>
    </r>
    <r>
      <rPr>
        <u/>
        <sz val="11"/>
        <color indexed="8"/>
        <rFont val="Calibri"/>
        <family val="2"/>
      </rPr>
      <t xml:space="preserve">STRND </t>
    </r>
    <r>
      <rPr>
        <sz val="11"/>
        <color indexed="8"/>
        <rFont val="Calibri"/>
        <family val="2"/>
      </rPr>
      <t>installation unit)</t>
    </r>
  </si>
  <si>
    <t>Install overhead guy to existing poles and bond.  To be paid on a "per overhead guy" installed.</t>
  </si>
  <si>
    <t>LASHADCBL</t>
  </si>
  <si>
    <t>Lash or overlash each additional cable</t>
  </si>
  <si>
    <t>DIRBRYCBL</t>
  </si>
  <si>
    <t>Direct bury fiber optic cable to a minimum depth of 36" (all sizes) Under 250'</t>
  </si>
  <si>
    <t>Direct bury fiber optic cable to a minimum depth of 36" (all sizes) Over 251'</t>
  </si>
  <si>
    <t>CONDUIT</t>
  </si>
  <si>
    <t>Install conduit to a minimum depth of 36" (up to 4" conduit) Under 250'</t>
  </si>
  <si>
    <t>Install conduit to a minimum depth of 36" (up to 4" conduit) Over 251'</t>
  </si>
  <si>
    <t>CONDBORE</t>
  </si>
  <si>
    <t>FDP1-24</t>
  </si>
  <si>
    <t xml:space="preserve">Install, prep &amp; label 1 to 24 strand LT cable into Fiber Distribution Panel. (splicing to be compensated with the HO splicing units) </t>
  </si>
  <si>
    <t>FDP25-96</t>
  </si>
  <si>
    <t xml:space="preserve">Install, prep &amp; label 25 to 96 strand LT cable into Fiber Distribution Panel. (splicing to be compensated with the HO splicing units) </t>
  </si>
  <si>
    <t>FDP97-144</t>
  </si>
  <si>
    <t xml:space="preserve">Install, prep &amp; label 97 to 144 strand LT cable into Fiber Distribution Panel. (splicing to be compensated with the HO splicing units) </t>
  </si>
  <si>
    <t>FDP145-288</t>
  </si>
  <si>
    <t xml:space="preserve">Install, prep &amp; label 145 to 288 strand LT cable into Fiber Distribution Panel. (splicing to be compensated with the HO splicing units) </t>
  </si>
  <si>
    <t>FDP289-432</t>
  </si>
  <si>
    <t xml:space="preserve">Install, prep &amp; label 289 to 432 strand LT cable into Fiber Distribution Panel. (splicing to be compensated with the HO splicing units) </t>
  </si>
  <si>
    <t>MST</t>
  </si>
  <si>
    <t>Install Multi Port type closure on strand and dress slack into snowshoes.</t>
  </si>
  <si>
    <t>DRPWIRE</t>
  </si>
  <si>
    <t>Install self support fiber drop.</t>
  </si>
  <si>
    <t>SIDWKGUY</t>
  </si>
  <si>
    <t>EXTBRKT</t>
  </si>
  <si>
    <t>Install extension/stand off bracket</t>
  </si>
  <si>
    <t>LASH/OVL 0-288 &lt;500'</t>
  </si>
  <si>
    <t>Prep 144 strand fiber optic cable" reel end" butt splice, splice 144 single-mode fiber optic strands with a maximum bi-directional individual splice loss of .2dB per splice and a maximum uni-directional individual splice loss of .3dB per splice and includes bi-directional OTDR testing at 1550nm and 1625nm and continuity testing with documentation, labeling and dress splice closure and cable slack into snow shoes onto the messenger strand. To be paid on a "per closure" completed.</t>
  </si>
  <si>
    <t>Prep 288 strand fiber optic cable" reel end" butt splice, splice 288 single-mode fiber optic strands with a maximum bi-directional individual splice loss of .2dB per splice and a maximum uni-directional individual splice loss of .3dB per splice and includes bi-directional OTDR testing at 1550nm and 1625nm and continuity testing with documentation, labeling and dressing splice closure and cable slack into snow shoes onto the messenger strand. To be paid on a "per closure" completed.</t>
  </si>
  <si>
    <t>Fusion splice 289 and up single-mode fibers. Unit consists of fusion splicing fiber optic strands with a maximum bi-directional individual splice loss of .2dB per splice and a maximum uni-directional individual splice loss of .3dB per splice and includes  OTDR testing, and continuity testing with documentation, labeling and dressing splice closure and cable slack into snow shoes onto the messenger strand as outlined in the original RFP, and contractor services agreement. To be paid on a "per fiber strand" spliced when splicing  fibers within the same splice closure.</t>
  </si>
  <si>
    <t>HO289+</t>
  </si>
  <si>
    <t xml:space="preserve">Install 30' - 35' utility pole - earth conditions, 10 poles or less. Includes contractor performing and calling in the "Dig Safe" and installing pole stencils. To be paid on a "per pole" installed. </t>
  </si>
  <si>
    <t>Install  30' - 35'  utility pole - earth conditions, 11 poles or more. Includes contractor performing and calling in the "Dig Safe" and installing pole stencils. To be paid on a "per pole" installed.</t>
  </si>
  <si>
    <t>Install  30' - 35' utility pole - ledge conditions, 10 poles or less. Includes contractor performing and calling in the "Dig Safe" and installing pole stencils. To be paid on a "per pole" installed.</t>
  </si>
  <si>
    <t>Install  30' - 35' utility pole - ledge conditions, 11 poles or more. Includes contractor performing and calling in the "Dig Safe" and installing pole stencils. To be paid on a "per pole" installed.</t>
  </si>
  <si>
    <t>BLDATCH</t>
  </si>
  <si>
    <t>Install building attachment (all types)</t>
  </si>
  <si>
    <t>BLDPEN</t>
  </si>
  <si>
    <t>Perform building penetration up to 1"</t>
  </si>
  <si>
    <t>BACKBRD</t>
  </si>
  <si>
    <t>INTERIOR/EXTERIOR</t>
  </si>
  <si>
    <t>Install 4'X4' plywood backboard</t>
  </si>
  <si>
    <r>
      <t xml:space="preserve">Install downguy and guy guard to existing anchor and bond to support strand.  To be paid on a "per down guy" installed. (included in </t>
    </r>
    <r>
      <rPr>
        <u/>
        <sz val="11"/>
        <color indexed="8"/>
        <rFont val="Calibri"/>
        <family val="2"/>
      </rPr>
      <t>STRND</t>
    </r>
    <r>
      <rPr>
        <sz val="11"/>
        <color indexed="8"/>
        <rFont val="Calibri"/>
        <family val="2"/>
      </rPr>
      <t xml:space="preserve"> installation unit)</t>
    </r>
  </si>
  <si>
    <t>30-35</t>
  </si>
  <si>
    <t>WRECKOUT</t>
  </si>
  <si>
    <t>Trim tree branches up to 2" in diameter necessary for strand and fiber construction  (with prior approval) to be used in addition to strand and fiber unit as additional "per foot" compensation for those spans requiring tree branches to be removed up to 2" in diameter.</t>
  </si>
  <si>
    <t xml:space="preserve">Install sidewalk guy attachment.  </t>
  </si>
  <si>
    <t>Removal and disposal of all types of aerial strand, and/ or cable.  To be paid on a "per messenger" basis</t>
  </si>
  <si>
    <t>Install expansion anchor. Includes contractor performing and calling in the "Dig Safe".  To be paid on a "per anchor" installed.</t>
  </si>
  <si>
    <t>EXPANCHOR</t>
  </si>
  <si>
    <t>$</t>
  </si>
  <si>
    <t>STRND  &lt;500'</t>
  </si>
  <si>
    <r>
      <t xml:space="preserve">STRND </t>
    </r>
    <r>
      <rPr>
        <u/>
        <sz val="11"/>
        <color theme="1"/>
        <rFont val="Calibri"/>
        <family val="2"/>
        <scheme val="minor"/>
      </rPr>
      <t>&gt;</t>
    </r>
    <r>
      <rPr>
        <sz val="11"/>
        <color theme="1"/>
        <rFont val="Calibri"/>
        <family val="2"/>
        <scheme val="minor"/>
      </rPr>
      <t xml:space="preserve">500' </t>
    </r>
  </si>
  <si>
    <r>
      <t xml:space="preserve">LASH/OVL 0-288 </t>
    </r>
    <r>
      <rPr>
        <u/>
        <sz val="11"/>
        <color theme="1"/>
        <rFont val="Calibri"/>
        <family val="2"/>
        <scheme val="minor"/>
      </rPr>
      <t>&gt;</t>
    </r>
    <r>
      <rPr>
        <sz val="11"/>
        <color theme="1"/>
        <rFont val="Calibri"/>
        <family val="2"/>
        <scheme val="minor"/>
      </rPr>
      <t>500'</t>
    </r>
  </si>
  <si>
    <t xml:space="preserve">Install &amp; single lash/ overlash, equal to or greater than 500' (must be continuous), up to 288 strand fiber optic cable on EHS messenger strand on utility poles in the communications space, double lash all slack loops, splice point slack, highway crossings and railroad crossings, install fiber tags at every pole.  Compensation is based on "per foot" of fiber optic cable installed including slack loops and butt splice tails. Excessive tail ends will not be allowed, unless specified. Includes OTDR testing of fiber optic cable reels prior to installation with electronic test results, provide pole line as-build documentation. </t>
  </si>
  <si>
    <t xml:space="preserve">Install &amp; single lash/ overlash, less than 500', up to 288 strand fiber optic cable on EHS messenger strand on utility poles in the communications space, double lash all slack loops, splice point slack, highway crossings and railroad crossings, install fiber tags at every pole.  Compensation is based on "per foot" of fiber optic cable installed including slack loops and butt splice tails. Excessive tail ends will not be allowed, unless specified. Includes OTDR testing of fiber optic cable reels prior to installation with electronic test results, provide pole line as-build documentation. </t>
  </si>
  <si>
    <t>UNIT COST FOR FEDERALLY SUBSIDIZED WORK</t>
  </si>
  <si>
    <t>UNIT COST FOR PRIVATLY FUNDED WORK</t>
  </si>
  <si>
    <t>Install Interior and/or exterior fiber, conduit, or innerduct from building attachment to termination point using multiple methods.  If this unit is used to place conduit, BOCABLE will be used to install fiber to the termination point.</t>
  </si>
  <si>
    <t xml:space="preserve">Install &amp; single lash/ overlash, equal to or greater than 500' (must be continuous), 289 strand or larger fiber optic cable on EHS messenger strand on utility poles in the communications space, double lash all slack loops, splice point slack, highway crossings and railroad crossings, install fiber tags at every pole.  Compensation is based on "per foot" of fiber optic cable installed including slack loops and butt splice tails. Excessive tail ends will not be allowed, unless specified. Includes OTDR testing of fiber optic cable reels prior to installation with electronic test results, provide pole line as-build documentation. </t>
  </si>
  <si>
    <t xml:space="preserve">Install &amp; single lash/ overlash, less than 500', 289 strand or larger fiber optic cable on EHS messenger strand on utility poles in the communications space, double lash all slack loops, splice point slack, highway crossings and railroad crossings, install fiber tags at every pole.  Compensation is based on "per foot" of fiber optic cable installed including slack loops and butt splice tails. Excessive tail ends will not be allowed, unless specified. Includes OTDR testing of fiber optic cable reels prior to installation with electronic test results, provide pole line as-build documentation. </t>
  </si>
  <si>
    <t>NOTE:  This Labor Unit Pricing Sheet and the Units herein are intended to cover all of the work MFC needs to have done.  In the event there is not a unit for work being contemplated, MFC and the Contractor will agree on a new unit and its price.  Under no circumstance will work be done using Hourly Rates or done at a Time and Material basis. Any and all exclusions or clarifications related to this Labor Unit Pricing Sheet must be listed and detailed on an attachment and submitted with the Proposal.</t>
  </si>
  <si>
    <r>
      <t xml:space="preserve">LASH/OVL 289+ </t>
    </r>
    <r>
      <rPr>
        <u/>
        <sz val="11"/>
        <color theme="1"/>
        <rFont val="Calibri"/>
        <family val="2"/>
        <scheme val="minor"/>
      </rPr>
      <t>&gt;</t>
    </r>
    <r>
      <rPr>
        <sz val="11"/>
        <color theme="1"/>
        <rFont val="Calibri"/>
        <family val="2"/>
        <scheme val="minor"/>
      </rPr>
      <t>500'</t>
    </r>
  </si>
  <si>
    <t>LASH/OVL 289+  &lt;500'</t>
  </si>
  <si>
    <t>Install equal to or greater than 500' (must be continuous), EHS messenger strand, all sizes, on utility poles in the communications space, and all support hardware required including nuts, bolts, grounding, bonding, guying, and guy guard. Compensation is based on "per foot" of messenger strand installed. The number of feet installed will be calculated by subtracting slack loop and cable tail end footage from the total cable footage installed.</t>
  </si>
  <si>
    <t>Install less than 500', EHS messenger strand, all sizes, on utility poles in the communications space, and all support hardware required including nuts, bolts, grounding, bonding, guying, and guy guard. Compensation is based on "per foot" of messenger strand installed. The number of feet installed will be calculated by subtracting slack loop and cable tail end footage from the total cable footage installed.</t>
  </si>
  <si>
    <t>Install MaxCell innerduct in conduit. Assumes a clear path with existing pull string installed. Compensation is based on "per foot" of MaxCell innerduct installed.</t>
  </si>
  <si>
    <t>Install conduit at a minimum depth of 36" using a bore method (up to 4" conduit) Up to 250'. Includes any excavation required for the purpose of directional boring, removal of any excess fill, and restoration of the site.</t>
  </si>
  <si>
    <t>Install conduit at a minimum depth of 36" using a bore method (up to 4" conduit) Over 250'. Includes any excavation required for the purpose of directional boring, removal of any excess fill, and restoration of the site.</t>
  </si>
  <si>
    <t>Install fiber cable in conduit and/or innerduct (all sizes). Assumes a clear path with existing pull string installed. Compensation is based on "per foot" of cable installed. The number of feet installed will be calculated by subtracting fiber sheath footage numbers on each end of the conduit/ innerduct, minus any slack left in between ends.</t>
  </si>
  <si>
    <r>
      <t xml:space="preserve">For the Units listed below, place the price for the applicable unit within the space provided in the columns on the right.  The column marked "Unit Cost for Federally Subsidized Work" represents the costs for each unit in which the Contractor will be required to complete the work AND adhere to the additional federal requirements as outlined in the RFP (please reference the RFP for more detail on these requirements).  The column marked "Unit Cost for Privately Funded Work" represents the costs for each unit in which the contractor will complete the work on a commercial basis without any additional Federal requirements.  </t>
    </r>
    <r>
      <rPr>
        <b/>
        <sz val="14"/>
        <rFont val="Calibri"/>
        <family val="2"/>
        <scheme val="minor"/>
      </rPr>
      <t>Bidders may provide a Proposal that includes pricing for units for Federally Subsidized work, units for privately funded work, or pricing on both sets of units.</t>
    </r>
  </si>
  <si>
    <t>HO1-24OFF</t>
  </si>
  <si>
    <t>HO25-96OFF</t>
  </si>
  <si>
    <t>HO289+OFF</t>
  </si>
  <si>
    <t>HO97-143OFF</t>
  </si>
  <si>
    <t>HO144OFF</t>
  </si>
  <si>
    <t>HO145-287OFF</t>
  </si>
  <si>
    <t>HO288OFF</t>
  </si>
  <si>
    <t>HACO-PREP-OFF</t>
  </si>
  <si>
    <t>HACO-ENT-OFF</t>
  </si>
  <si>
    <t xml:space="preserve">Off-hours re-enter existing splice enclosure. Includes dressing splice closure and cable slack into snow shoes onto the messenger strand. This unit is only to be used on jobs that have been ordered to start between the hours of 6pm and 6am, and with MFC's prior approval. Work begun before 6pm that goes later than 6pm will use the normal HACO-ENT unit above. To be paid on a "per closure" completed. </t>
  </si>
  <si>
    <r>
      <t xml:space="preserve">Off-hours prep and install new fiber optic cable splice closure, label, documentation and dress splice closure and cable slack into snow shoes onto the messenger strand. This unit is only to be used on jobs that have been ordered to start between the hours of 6pm and 6am, and with MFC's prior approval. Prepping begun before 6pm that goes later than 6pm will use the normal HACO-PREP unit above. To be paid on a "per closure" completed. (included in </t>
    </r>
    <r>
      <rPr>
        <u/>
        <sz val="11"/>
        <color indexed="8"/>
        <rFont val="Calibri"/>
        <family val="2"/>
      </rPr>
      <t>HO144</t>
    </r>
    <r>
      <rPr>
        <sz val="11"/>
        <color indexed="8"/>
        <rFont val="Calibri"/>
        <family val="2"/>
      </rPr>
      <t xml:space="preserve"> &amp; </t>
    </r>
    <r>
      <rPr>
        <u/>
        <sz val="11"/>
        <color indexed="8"/>
        <rFont val="Calibri"/>
        <family val="2"/>
      </rPr>
      <t>HO288</t>
    </r>
    <r>
      <rPr>
        <sz val="11"/>
        <color indexed="8"/>
        <rFont val="Calibri"/>
        <family val="2"/>
      </rPr>
      <t xml:space="preserve"> splice units) </t>
    </r>
  </si>
  <si>
    <t>Off-hours fusion butt splice 289 or more single-mode fibers. This unit is only to be used on jobs that have been ordered to start between the hours of 6pm and 6am, and with MFC's prior approval. Splicing begun before 6pm that goes later than 6pm will use the normal HO units above. Unit consists of fusion splicing fiber optic strands with a maximum bi-directional individual splice loss of .2dB per splice and a maximum uni-directional individual splice loss of .3dB per splice and includes  OTDR testing, and continuity testing with documentation, labeling and dressing splice closure and cable slack into snow shoes onto the messenger strand as outlined in the original RFP, and contractor services agreement. To be paid on a "per fiber strand" spliced when splicing  fibers within the same splice closure.</t>
  </si>
  <si>
    <t>Off-hours fusion butt splice 288 single-mode fibers. This unit is only to be used on jobs that have been ordered to start between the hours of 6pm and 6am, and with MFC's prior approval. Splicing begun before 6pm that goes later than 6pm will use the normal HO units above. Prep 288 strand fiber optic cable" reel end" butt splice, splice 288 single-mode fiber optic strands with a maximum bi-directional individual splice loss of .2dB per splice and a maximum uni-directional individual splice loss of .3dB per splice and includes bi-directional OTDR testing at 1550nm and 1625nm and continuity testing with documentation, labeling and dressing splice closure and cable slack into snow shoes onto the messenger strand. To be paid on a "per closure" completed.</t>
  </si>
  <si>
    <t>Off-hours fusion splice 145 to 287 single-mode fibers. This unit is only to be used on jobs that have been ordered to start between the hours of 6pm and 6am, and with MFC's prior approval. Splicing begun before 6pm that goes later than 6pm will use the normal HO units above. Unit consists of fusion splicing fiber optic strands with a maximum bi-directional individual splice loss of .2dB per splice and a maximum uni-directional individual splice loss of .3dB per splice and includes  OTDR testing, and continuity testing with documentation, labeling and dressing splice closure and cable slack into snow shoes onto the messenger strand as outlined in the original RFP, and contractor services agreement. To be paid on a "per fiber strand" spliced when splicing fibers within the same splice closure.</t>
  </si>
  <si>
    <t>Off-hours fusion butt splice 144 single-mode fibers. This unit is only to be used on jobs that have been ordered to start between the hours of 6pm and 6am, and with MFC's prior approval. Splicing begun before 6pm that goes later than 6pm will use the normal HO units above. Prep 144 strand fiber optic cable" reel end" butt splice, splice 144 single-mode fiber optic strands with a maximum bi-directional individual splice loss of .2dB per splice and a maximum uni-directional individual splice loss of .3dB per splice and includes bi-directional OTDR testing at 1550nm and 1625nm and continuity testing with documentation, labeling and dress splice closure and cable slack into snow shoes onto the messenger strand. To be paid on a "per closure" completed.</t>
  </si>
  <si>
    <t>Off-hours fusion splice 1 to 24 single-mode fibers. This unit is only to be used on jobs that have been ordered to start between the hours of 6pm and 6am, and with MFC's prior approval. Splicing jobs begun before 6pm that goes later than 6pm will use the normal HO units above. Unit consists of fusion splicing fiber optic strands with a maximum bi-directional individual splice loss of .2dB per splice and a maximum uni-directional individual splice loss of .3dB per splice and includes  OTDR testing, and continuity testing with documentation, labeling and dressing splice closure and cable slack into snow shoes onto the messenger strand as outlined in the original RFP, and contractor services agreement. To be paid on a "per fiber strand" spliced when splicing  fibers within the same splice closure.</t>
  </si>
  <si>
    <t>Off-hours fusion splice 25 to 96 single-mode fibers. This unit is only to be used on jobs that have been ordered to start between the hours of 6pm and 6am, and with MFC's prior approval. Splicing jobsbegun before 6pm that goes later than 6pm will use the normal HO units above. Unit consists of fusion splicing fiber optic strands with a maximum bi-directional individual splice loss of .2dB per splice and a maximum uni-directional individual splice loss of .3dB per splice and includes  OTDR testing, and continuity testing with documentation, labeling and dressing splice closure and cable slack into snow shoes onto the messenger strand as outlined in the original RFP, and contractor services agreement. To be paid on a "per fiber strand" spliced when splicing  fibers within the same splice closure.</t>
  </si>
  <si>
    <t>Off-hours fusion splice 97 to 143 single-mode fibers. This unit is only to be used on jobs that have been ordered to start between the hours of 6pm and 6am, and with MFC's prior approval. Splicing begun before 6pm that goes later than 6pm will use the normal HO units above. Unit consists of fusion splicing fiber optic strands with a maximum bi-directional individual splice loss of .2dB per splice and a maximum uni-directional individual splice loss of .3dB per splice and includes  OTDR testing, and continuity testing with documentation, labeling and dressing splice closure and cable slack into snow shoes onto the messenger strand as outlined in the original RFP, and contractor services agreement. To be paid on a "per fiber strand" spliced when splicing  fibers within the same splice closure.</t>
  </si>
  <si>
    <t>New off-hours splicing units (lines 29-35) and associated units (lines 38-39) have been added. These units are to be used on splicing jobs where MFC requests in the Work Order that the job is to begin between the hours of 6pm and 6am. Jobs that begin before 6pm but are not finished until after 6pm are to use the normal HOXXX units, not the HOXXXOFF units. These units are only to be used with prior approval from MFC.</t>
  </si>
  <si>
    <t>Labor Unit Pricing (REVISED 4-3-12)</t>
  </si>
  <si>
    <t>Revision 4-3-12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</si>
</sst>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_(&quot;$&quot;* \(#,##0.00\);_(&quot;$&quot;* &quot;-&quot;??_);_(@_)"/>
  </numFmts>
  <fonts count="18" x14ac:knownFonts="1">
    <font>
      <sz val="11"/>
      <color theme="1"/>
      <name val="Calibri"/>
      <family val="2"/>
      <scheme val="minor"/>
    </font>
    <font>
      <b/>
      <sz val="12"/>
      <color indexed="8"/>
      <name val="Calibri"/>
      <family val="2"/>
    </font>
    <font>
      <b/>
      <sz val="22"/>
      <color indexed="8"/>
      <name val="Calibri"/>
      <family val="2"/>
    </font>
    <font>
      <b/>
      <sz val="14"/>
      <color indexed="8"/>
      <name val="Calibri"/>
      <family val="2"/>
    </font>
    <font>
      <b/>
      <sz val="14"/>
      <name val="Calibri"/>
      <family val="2"/>
    </font>
    <font>
      <sz val="11"/>
      <color indexed="8"/>
      <name val="Calibri"/>
      <family val="2"/>
    </font>
    <font>
      <b/>
      <sz val="10"/>
      <color indexed="8"/>
      <name val="Calibri"/>
      <family val="2"/>
    </font>
    <font>
      <i/>
      <sz val="11"/>
      <color indexed="8"/>
      <name val="Calibri"/>
      <family val="2"/>
    </font>
    <font>
      <b/>
      <sz val="14"/>
      <color indexed="10"/>
      <name val="Calibri"/>
      <family val="2"/>
    </font>
    <font>
      <u/>
      <sz val="11"/>
      <color indexed="8"/>
      <name val="Calibri"/>
      <family val="2"/>
    </font>
    <font>
      <sz val="11"/>
      <name val="Calibri"/>
      <family val="2"/>
    </font>
    <font>
      <sz val="8"/>
      <name val="Calibri"/>
      <family val="2"/>
    </font>
    <font>
      <sz val="11"/>
      <color rgb="FF000000"/>
      <name val="Calibri"/>
      <family val="2"/>
      <scheme val="minor"/>
    </font>
    <font>
      <sz val="11"/>
      <color theme="1"/>
      <name val="Calibri"/>
      <family val="2"/>
      <scheme val="minor"/>
    </font>
    <font>
      <u/>
      <sz val="11"/>
      <color theme="1"/>
      <name val="Calibri"/>
      <family val="2"/>
      <scheme val="minor"/>
    </font>
    <font>
      <b/>
      <sz val="14"/>
      <color theme="1"/>
      <name val="Calibri"/>
      <family val="2"/>
      <scheme val="minor"/>
    </font>
    <font>
      <b/>
      <sz val="14"/>
      <name val="Calibri"/>
      <family val="2"/>
      <scheme val="minor"/>
    </font>
    <font>
      <b/>
      <sz val="11"/>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2"/>
        <bgColor indexed="8"/>
      </patternFill>
    </fill>
    <fill>
      <patternFill patternType="solid">
        <fgColor theme="0" tint="-0.249977111117893"/>
        <bgColor indexed="64"/>
      </patternFill>
    </fill>
    <fill>
      <patternFill patternType="solid">
        <fgColor rgb="FFFFFF66"/>
        <bgColor indexed="64"/>
      </patternFill>
    </fill>
  </fills>
  <borders count="15">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diagonal/>
    </border>
    <border>
      <left/>
      <right/>
      <top/>
      <bottom style="medium">
        <color indexed="64"/>
      </bottom>
      <diagonal/>
    </border>
  </borders>
  <cellStyleXfs count="2">
    <xf numFmtId="0" fontId="0" fillId="0" borderId="0"/>
    <xf numFmtId="44" fontId="13" fillId="0" borderId="0" applyFont="0" applyFill="0" applyBorder="0" applyAlignment="0" applyProtection="0"/>
  </cellStyleXfs>
  <cellXfs count="71">
    <xf numFmtId="0" fontId="0" fillId="0" borderId="0" xfId="0"/>
    <xf numFmtId="0" fontId="0" fillId="0" borderId="0" xfId="0" applyAlignment="1" applyProtection="1">
      <alignment horizontal="center"/>
    </xf>
    <xf numFmtId="0" fontId="0" fillId="0" borderId="0" xfId="0" applyProtection="1"/>
    <xf numFmtId="0" fontId="0" fillId="0" borderId="1" xfId="0" applyBorder="1" applyAlignment="1" applyProtection="1">
      <alignment horizontal="center"/>
    </xf>
    <xf numFmtId="0" fontId="0" fillId="0" borderId="6" xfId="0" applyBorder="1" applyAlignment="1" applyProtection="1">
      <alignment horizontal="center"/>
    </xf>
    <xf numFmtId="0" fontId="0" fillId="0" borderId="2" xfId="0" applyBorder="1" applyAlignment="1" applyProtection="1">
      <alignment horizontal="center"/>
    </xf>
    <xf numFmtId="0" fontId="0" fillId="0" borderId="3" xfId="0" applyBorder="1" applyAlignment="1" applyProtection="1">
      <alignment horizontal="center"/>
    </xf>
    <xf numFmtId="0" fontId="0" fillId="0" borderId="0" xfId="0" applyAlignment="1" applyProtection="1">
      <alignment wrapText="1"/>
    </xf>
    <xf numFmtId="0" fontId="3" fillId="0" borderId="0" xfId="0" applyFont="1" applyBorder="1" applyAlignment="1" applyProtection="1"/>
    <xf numFmtId="0" fontId="0" fillId="0" borderId="0" xfId="0" applyBorder="1" applyProtection="1"/>
    <xf numFmtId="0" fontId="5" fillId="0" borderId="2" xfId="0" applyFont="1" applyBorder="1" applyAlignment="1" applyProtection="1">
      <alignment horizontal="center"/>
    </xf>
    <xf numFmtId="0" fontId="0" fillId="0" borderId="5" xfId="0" applyBorder="1" applyAlignment="1" applyProtection="1">
      <alignment horizontal="center"/>
    </xf>
    <xf numFmtId="0" fontId="10" fillId="0" borderId="3" xfId="0" applyFont="1" applyBorder="1" applyAlignment="1" applyProtection="1">
      <alignment horizontal="center"/>
    </xf>
    <xf numFmtId="0" fontId="6" fillId="0" borderId="0" xfId="0" applyFont="1" applyAlignment="1" applyProtection="1">
      <alignment wrapText="1"/>
    </xf>
    <xf numFmtId="0" fontId="0" fillId="0" borderId="13" xfId="0" applyBorder="1" applyAlignment="1" applyProtection="1"/>
    <xf numFmtId="0" fontId="6" fillId="0" borderId="0" xfId="0" applyFont="1" applyAlignment="1" applyProtection="1"/>
    <xf numFmtId="49" fontId="0" fillId="2" borderId="1" xfId="1" applyNumberFormat="1" applyFont="1" applyFill="1" applyBorder="1" applyProtection="1">
      <protection locked="0"/>
    </xf>
    <xf numFmtId="49" fontId="0" fillId="2" borderId="2" xfId="1" applyNumberFormat="1" applyFont="1" applyFill="1" applyBorder="1" applyProtection="1">
      <protection locked="0"/>
    </xf>
    <xf numFmtId="49" fontId="5" fillId="3" borderId="2" xfId="1" applyNumberFormat="1" applyFont="1" applyFill="1" applyBorder="1" applyProtection="1">
      <protection locked="0"/>
    </xf>
    <xf numFmtId="49" fontId="10" fillId="2" borderId="3" xfId="1" applyNumberFormat="1" applyFont="1" applyFill="1" applyBorder="1" applyProtection="1">
      <protection locked="0"/>
    </xf>
    <xf numFmtId="49" fontId="0" fillId="2" borderId="1" xfId="1" applyNumberFormat="1" applyFont="1" applyFill="1" applyBorder="1" applyAlignment="1" applyProtection="1">
      <alignment horizontal="left"/>
      <protection locked="0"/>
    </xf>
    <xf numFmtId="49" fontId="0" fillId="2" borderId="2" xfId="1" applyNumberFormat="1" applyFont="1" applyFill="1" applyBorder="1" applyAlignment="1" applyProtection="1">
      <alignment horizontal="left"/>
      <protection locked="0"/>
    </xf>
    <xf numFmtId="0" fontId="0" fillId="0" borderId="0" xfId="0" applyAlignment="1" applyProtection="1">
      <alignment horizontal="left"/>
    </xf>
    <xf numFmtId="0" fontId="15" fillId="0" borderId="0" xfId="0" applyFont="1" applyAlignment="1" applyProtection="1">
      <alignment horizontal="center" vertical="top" wrapText="1"/>
    </xf>
    <xf numFmtId="0" fontId="10" fillId="0" borderId="3" xfId="0" applyFont="1" applyFill="1" applyBorder="1" applyAlignment="1" applyProtection="1">
      <alignment vertical="center" wrapText="1"/>
    </xf>
    <xf numFmtId="0" fontId="0" fillId="0" borderId="2" xfId="0" applyFill="1" applyBorder="1" applyAlignment="1" applyProtection="1">
      <alignment vertical="center" wrapText="1"/>
    </xf>
    <xf numFmtId="0" fontId="0" fillId="0" borderId="2" xfId="0" applyFill="1" applyBorder="1" applyAlignment="1" applyProtection="1">
      <alignment horizontal="center"/>
    </xf>
    <xf numFmtId="49" fontId="0" fillId="4" borderId="2" xfId="1" applyNumberFormat="1" applyFont="1" applyFill="1" applyBorder="1" applyProtection="1">
      <protection locked="0"/>
    </xf>
    <xf numFmtId="0" fontId="0" fillId="0" borderId="0" xfId="0" applyFill="1" applyProtection="1"/>
    <xf numFmtId="0" fontId="2" fillId="0" borderId="0" xfId="0" applyFont="1" applyAlignment="1" applyProtection="1">
      <alignment horizontal="center"/>
    </xf>
    <xf numFmtId="0" fontId="1" fillId="0" borderId="0" xfId="0" applyFont="1" applyAlignment="1" applyProtection="1">
      <alignment horizontal="center"/>
    </xf>
    <xf numFmtId="0" fontId="0" fillId="0" borderId="1" xfId="0" applyBorder="1" applyAlignment="1" applyProtection="1">
      <alignment vertical="center" wrapText="1"/>
    </xf>
    <xf numFmtId="0" fontId="0" fillId="0" borderId="2" xfId="0" applyBorder="1" applyAlignment="1" applyProtection="1">
      <alignment vertical="center" wrapText="1"/>
    </xf>
    <xf numFmtId="0" fontId="12" fillId="0" borderId="4" xfId="0" applyFont="1" applyFill="1" applyBorder="1" applyAlignment="1" applyProtection="1">
      <alignment vertical="center"/>
    </xf>
    <xf numFmtId="0" fontId="15" fillId="0" borderId="0" xfId="0" applyFont="1" applyAlignment="1" applyProtection="1">
      <alignment horizontal="left" vertical="top" wrapText="1"/>
    </xf>
    <xf numFmtId="0" fontId="0" fillId="5" borderId="6" xfId="0" applyFill="1" applyBorder="1" applyAlignment="1" applyProtection="1">
      <alignment horizontal="center"/>
    </xf>
    <xf numFmtId="0" fontId="0" fillId="5" borderId="2" xfId="0" applyFill="1" applyBorder="1" applyAlignment="1" applyProtection="1">
      <alignment vertical="center" wrapText="1"/>
    </xf>
    <xf numFmtId="0" fontId="0" fillId="5" borderId="2" xfId="0" applyFill="1" applyBorder="1" applyAlignment="1" applyProtection="1">
      <alignment horizontal="center"/>
    </xf>
    <xf numFmtId="0" fontId="17" fillId="5" borderId="0" xfId="0" applyFont="1" applyFill="1" applyAlignment="1" applyProtection="1">
      <alignment horizontal="left" vertical="top" wrapText="1"/>
    </xf>
    <xf numFmtId="0" fontId="15" fillId="5" borderId="0" xfId="0" applyFont="1" applyFill="1" applyAlignment="1" applyProtection="1">
      <alignment horizontal="center" vertical="center"/>
    </xf>
    <xf numFmtId="0" fontId="15" fillId="0" borderId="0" xfId="0" applyFont="1" applyAlignment="1" applyProtection="1">
      <alignment horizontal="left" vertical="top" wrapText="1"/>
    </xf>
    <xf numFmtId="0" fontId="1" fillId="0" borderId="0" xfId="0" applyFont="1" applyAlignment="1" applyProtection="1">
      <alignment horizontal="center" vertical="center" wrapText="1"/>
    </xf>
    <xf numFmtId="0" fontId="1" fillId="0" borderId="14" xfId="0" applyFont="1" applyBorder="1" applyAlignment="1" applyProtection="1">
      <alignment horizontal="center" vertical="center" wrapText="1"/>
    </xf>
    <xf numFmtId="0" fontId="3" fillId="0" borderId="0" xfId="0" applyFont="1" applyAlignment="1" applyProtection="1">
      <alignment horizontal="left" vertical="top" wrapText="1"/>
    </xf>
    <xf numFmtId="0" fontId="2" fillId="0" borderId="0" xfId="0" applyFont="1" applyAlignment="1" applyProtection="1">
      <alignment horizontal="center"/>
    </xf>
    <xf numFmtId="0" fontId="8" fillId="0" borderId="0" xfId="0" applyFont="1" applyAlignment="1" applyProtection="1">
      <alignment horizontal="center"/>
    </xf>
    <xf numFmtId="0" fontId="7" fillId="0" borderId="0" xfId="0" applyFont="1" applyAlignment="1" applyProtection="1">
      <alignment horizontal="center"/>
    </xf>
    <xf numFmtId="0" fontId="10" fillId="0" borderId="10" xfId="0" applyFont="1" applyFill="1" applyBorder="1" applyAlignment="1" applyProtection="1">
      <alignment horizontal="left" vertical="center" wrapText="1"/>
    </xf>
    <xf numFmtId="0" fontId="10" fillId="0" borderId="11" xfId="0" applyFont="1" applyFill="1" applyBorder="1" applyAlignment="1" applyProtection="1">
      <alignment horizontal="left" vertical="center" wrapText="1"/>
    </xf>
    <xf numFmtId="0" fontId="10" fillId="0" borderId="12" xfId="0" applyFont="1" applyFill="1" applyBorder="1" applyAlignment="1" applyProtection="1">
      <alignment horizontal="left" vertical="center" wrapText="1"/>
    </xf>
    <xf numFmtId="0" fontId="5" fillId="0" borderId="2" xfId="0" applyNumberFormat="1" applyFont="1" applyBorder="1" applyAlignment="1" applyProtection="1">
      <alignment vertical="center" wrapText="1"/>
    </xf>
    <xf numFmtId="0" fontId="5" fillId="0" borderId="7" xfId="0" applyNumberFormat="1" applyFont="1" applyBorder="1" applyAlignment="1" applyProtection="1">
      <alignment horizontal="left" vertical="center" wrapText="1"/>
    </xf>
    <xf numFmtId="0" fontId="5" fillId="0" borderId="8" xfId="0" applyNumberFormat="1" applyFont="1" applyBorder="1" applyAlignment="1" applyProtection="1">
      <alignment horizontal="left" vertical="center" wrapText="1"/>
    </xf>
    <xf numFmtId="0" fontId="5" fillId="0" borderId="4" xfId="0" applyNumberFormat="1" applyFont="1" applyBorder="1" applyAlignment="1" applyProtection="1">
      <alignment horizontal="left" vertical="center" wrapText="1"/>
    </xf>
    <xf numFmtId="0" fontId="4" fillId="2" borderId="8" xfId="0" applyFont="1" applyFill="1" applyBorder="1" applyAlignment="1" applyProtection="1">
      <protection locked="0"/>
    </xf>
    <xf numFmtId="0" fontId="4" fillId="2" borderId="8" xfId="0" applyFont="1" applyFill="1" applyBorder="1" applyAlignment="1" applyProtection="1">
      <alignment horizontal="center"/>
      <protection locked="0"/>
    </xf>
    <xf numFmtId="0" fontId="4" fillId="2" borderId="9" xfId="0" applyFont="1" applyFill="1" applyBorder="1" applyAlignment="1" applyProtection="1">
      <protection locked="0"/>
    </xf>
    <xf numFmtId="0" fontId="5" fillId="0" borderId="7" xfId="0" applyNumberFormat="1" applyFont="1" applyFill="1" applyBorder="1" applyAlignment="1" applyProtection="1">
      <alignment horizontal="left" vertical="center" wrapText="1"/>
    </xf>
    <xf numFmtId="0" fontId="5" fillId="0" borderId="8" xfId="0" applyNumberFormat="1" applyFont="1" applyFill="1" applyBorder="1" applyAlignment="1" applyProtection="1">
      <alignment horizontal="left" vertical="center" wrapText="1"/>
    </xf>
    <xf numFmtId="0" fontId="5" fillId="0" borderId="4" xfId="0" applyNumberFormat="1" applyFont="1" applyFill="1" applyBorder="1" applyAlignment="1" applyProtection="1">
      <alignment horizontal="left" vertical="center" wrapText="1"/>
    </xf>
    <xf numFmtId="0" fontId="1" fillId="0" borderId="0" xfId="0" applyFont="1" applyAlignment="1" applyProtection="1">
      <alignment horizontal="center"/>
    </xf>
    <xf numFmtId="0" fontId="0" fillId="0" borderId="1" xfId="0" applyBorder="1" applyAlignment="1" applyProtection="1">
      <alignment vertical="center" wrapText="1"/>
    </xf>
    <xf numFmtId="0" fontId="0" fillId="0" borderId="2" xfId="0" applyBorder="1" applyAlignment="1" applyProtection="1">
      <alignment vertical="center" wrapText="1"/>
    </xf>
    <xf numFmtId="0" fontId="5" fillId="0" borderId="2" xfId="0" applyNumberFormat="1" applyFont="1" applyBorder="1" applyAlignment="1" applyProtection="1">
      <alignment horizontal="left" vertical="center" wrapText="1"/>
    </xf>
    <xf numFmtId="0" fontId="12" fillId="0" borderId="2" xfId="0" applyFont="1" applyBorder="1" applyAlignment="1" applyProtection="1">
      <alignment vertical="center" wrapText="1"/>
    </xf>
    <xf numFmtId="0" fontId="5" fillId="0" borderId="2" xfId="0" applyNumberFormat="1" applyFont="1" applyFill="1" applyBorder="1" applyAlignment="1" applyProtection="1">
      <alignment horizontal="left" vertical="center" wrapText="1"/>
    </xf>
    <xf numFmtId="0" fontId="12" fillId="0" borderId="7" xfId="0" applyFont="1" applyFill="1" applyBorder="1" applyAlignment="1" applyProtection="1">
      <alignment horizontal="left" vertical="center" wrapText="1"/>
    </xf>
    <xf numFmtId="0" fontId="12" fillId="0" borderId="8" xfId="0" applyFont="1" applyFill="1" applyBorder="1" applyAlignment="1" applyProtection="1">
      <alignment horizontal="left" vertical="center" wrapText="1"/>
    </xf>
    <xf numFmtId="0" fontId="12" fillId="0" borderId="4" xfId="0" applyFont="1" applyFill="1" applyBorder="1" applyAlignment="1" applyProtection="1">
      <alignment horizontal="left" vertical="center" wrapText="1"/>
    </xf>
    <xf numFmtId="0" fontId="5" fillId="5" borderId="2" xfId="0" applyNumberFormat="1" applyFont="1" applyFill="1" applyBorder="1" applyAlignment="1" applyProtection="1">
      <alignment vertical="center" wrapText="1"/>
    </xf>
    <xf numFmtId="0" fontId="12" fillId="5" borderId="2" xfId="0" applyFont="1" applyFill="1" applyBorder="1" applyAlignment="1" applyProtection="1">
      <alignment vertical="center" wrapText="1"/>
    </xf>
  </cellXfs>
  <cellStyles count="2">
    <cellStyle name="Currency" xfId="1" builtinId="4"/>
    <cellStyle name="Normal" xfId="0" builtinId="0"/>
  </cellStyles>
  <dxfs count="0"/>
  <tableStyles count="0" defaultTableStyle="TableStyleMedium9" defaultPivotStyle="PivotStyleLight16"/>
  <colors>
    <mruColors>
      <color rgb="FFFFFF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8</xdr:col>
      <xdr:colOff>321471</xdr:colOff>
      <xdr:row>0</xdr:row>
      <xdr:rowOff>1</xdr:rowOff>
    </xdr:from>
    <xdr:to>
      <xdr:col>11</xdr:col>
      <xdr:colOff>1491025</xdr:colOff>
      <xdr:row>0</xdr:row>
      <xdr:rowOff>1338351</xdr:rowOff>
    </xdr:to>
    <xdr:pic>
      <xdr:nvPicPr>
        <xdr:cNvPr id="3" name="Picture 2" descr="C:\Users\jmccarthy\AppData\Local\Temp\Temp1_MFC-Logo-Package.zip\MFC-Logo-HiRes.jp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02" y="1"/>
          <a:ext cx="2991211" cy="133835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87"/>
  <sheetViews>
    <sheetView tabSelected="1" topLeftCell="A28" zoomScale="80" zoomScaleNormal="80" zoomScalePageLayoutView="70" workbookViewId="0">
      <selection activeCell="P22" sqref="P22"/>
    </sheetView>
  </sheetViews>
  <sheetFormatPr defaultColWidth="9.140625" defaultRowHeight="15" x14ac:dyDescent="0.25"/>
  <cols>
    <col min="1" max="1" width="11.7109375" style="1" customWidth="1"/>
    <col min="2" max="2" width="19.85546875" style="2" customWidth="1"/>
    <col min="3" max="3" width="3.7109375" style="2" customWidth="1"/>
    <col min="4" max="11" width="9.140625" style="2"/>
    <col min="12" max="12" width="22.7109375" style="2" customWidth="1"/>
    <col min="13" max="13" width="11.85546875" style="1" customWidth="1"/>
    <col min="14" max="14" width="24" style="1" customWidth="1"/>
    <col min="15" max="15" width="4" style="2" customWidth="1"/>
    <col min="16" max="16" width="18.5703125" style="2" customWidth="1"/>
    <col min="17" max="17" width="4" style="2" customWidth="1"/>
    <col min="18" max="18" width="18.5703125" style="2" customWidth="1"/>
    <col min="19" max="19" width="11.7109375" style="2" customWidth="1"/>
    <col min="20" max="16384" width="9.140625" style="2"/>
  </cols>
  <sheetData>
    <row r="1" spans="1:18" ht="107.25" customHeight="1" x14ac:dyDescent="0.25"/>
    <row r="2" spans="1:18" ht="28.5" x14ac:dyDescent="0.45">
      <c r="A2" s="44" t="s">
        <v>156</v>
      </c>
      <c r="B2" s="44"/>
      <c r="C2" s="44"/>
      <c r="D2" s="44"/>
      <c r="E2" s="44"/>
      <c r="F2" s="44"/>
      <c r="G2" s="44"/>
      <c r="H2" s="44"/>
      <c r="I2" s="44"/>
      <c r="J2" s="44"/>
      <c r="K2" s="44"/>
      <c r="L2" s="44"/>
      <c r="M2" s="44"/>
      <c r="N2" s="44"/>
      <c r="O2" s="44"/>
      <c r="P2" s="44"/>
      <c r="Q2" s="44"/>
      <c r="R2" s="44"/>
    </row>
    <row r="3" spans="1:18" ht="18.75" x14ac:dyDescent="0.3">
      <c r="A3" s="45" t="s">
        <v>40</v>
      </c>
      <c r="B3" s="45"/>
      <c r="C3" s="45"/>
      <c r="D3" s="45"/>
      <c r="E3" s="45"/>
      <c r="F3" s="45"/>
      <c r="G3" s="45"/>
      <c r="H3" s="45"/>
      <c r="I3" s="45"/>
      <c r="J3" s="45"/>
      <c r="K3" s="45"/>
      <c r="L3" s="45"/>
      <c r="M3" s="45"/>
      <c r="N3" s="45"/>
      <c r="O3" s="45"/>
      <c r="P3" s="45"/>
      <c r="Q3" s="45"/>
      <c r="R3" s="45"/>
    </row>
    <row r="4" spans="1:18" x14ac:dyDescent="0.25">
      <c r="A4" s="46" t="s">
        <v>39</v>
      </c>
      <c r="B4" s="46"/>
      <c r="C4" s="46"/>
      <c r="D4" s="46"/>
      <c r="E4" s="46"/>
      <c r="F4" s="46"/>
      <c r="G4" s="46"/>
      <c r="H4" s="46"/>
      <c r="I4" s="46"/>
      <c r="J4" s="46"/>
      <c r="K4" s="46"/>
      <c r="L4" s="46"/>
      <c r="M4" s="46"/>
      <c r="N4" s="46"/>
      <c r="O4" s="46"/>
      <c r="P4" s="46"/>
      <c r="Q4" s="46"/>
      <c r="R4" s="46"/>
    </row>
    <row r="6" spans="1:18" ht="96" customHeight="1" x14ac:dyDescent="0.25">
      <c r="A6" s="40" t="s">
        <v>136</v>
      </c>
      <c r="B6" s="40"/>
      <c r="C6" s="40"/>
      <c r="D6" s="40"/>
      <c r="E6" s="40"/>
      <c r="F6" s="40"/>
      <c r="G6" s="40"/>
      <c r="H6" s="40"/>
      <c r="I6" s="40"/>
      <c r="J6" s="40"/>
      <c r="K6" s="40"/>
      <c r="L6" s="40"/>
      <c r="M6" s="40"/>
      <c r="N6" s="40"/>
      <c r="O6" s="40"/>
      <c r="P6" s="40"/>
      <c r="Q6" s="40"/>
      <c r="R6" s="40"/>
    </row>
    <row r="7" spans="1:18" ht="15" customHeight="1" x14ac:dyDescent="0.25">
      <c r="A7" s="34"/>
      <c r="B7" s="34"/>
      <c r="C7" s="34"/>
      <c r="D7" s="34"/>
      <c r="E7" s="34"/>
      <c r="F7" s="34"/>
      <c r="G7" s="34"/>
      <c r="H7" s="34"/>
      <c r="I7" s="34"/>
      <c r="J7" s="34"/>
      <c r="K7" s="34"/>
      <c r="L7" s="34"/>
      <c r="M7" s="34"/>
      <c r="N7" s="34"/>
      <c r="O7" s="34"/>
      <c r="P7" s="34"/>
      <c r="Q7" s="34"/>
      <c r="R7" s="34"/>
    </row>
    <row r="8" spans="1:18" ht="45" customHeight="1" x14ac:dyDescent="0.25">
      <c r="A8" s="39" t="s">
        <v>157</v>
      </c>
      <c r="B8" s="39"/>
      <c r="C8" s="38" t="s">
        <v>155</v>
      </c>
      <c r="D8" s="38"/>
      <c r="E8" s="38"/>
      <c r="F8" s="38"/>
      <c r="G8" s="38"/>
      <c r="H8" s="38"/>
      <c r="I8" s="38"/>
      <c r="J8" s="38"/>
      <c r="K8" s="38"/>
      <c r="L8" s="38"/>
      <c r="M8" s="38"/>
      <c r="N8" s="38"/>
      <c r="O8" s="38"/>
      <c r="P8" s="38"/>
      <c r="Q8" s="38"/>
      <c r="R8" s="38"/>
    </row>
    <row r="9" spans="1:18" ht="15" customHeight="1" x14ac:dyDescent="0.25">
      <c r="A9" s="23"/>
      <c r="B9" s="23"/>
      <c r="C9" s="23"/>
      <c r="D9" s="23"/>
      <c r="E9" s="23"/>
      <c r="F9" s="23"/>
      <c r="G9" s="23"/>
      <c r="H9" s="23"/>
      <c r="I9" s="23"/>
      <c r="J9" s="23"/>
      <c r="K9" s="23"/>
      <c r="L9" s="23"/>
      <c r="M9" s="23"/>
      <c r="N9" s="23"/>
      <c r="O9" s="23"/>
      <c r="P9" s="23"/>
      <c r="Q9" s="23"/>
      <c r="R9" s="23"/>
    </row>
    <row r="10" spans="1:18" ht="27" customHeight="1" x14ac:dyDescent="0.25">
      <c r="P10" s="41" t="s">
        <v>122</v>
      </c>
      <c r="R10" s="41" t="s">
        <v>123</v>
      </c>
    </row>
    <row r="11" spans="1:18" ht="27.75" customHeight="1" thickBot="1" x14ac:dyDescent="0.3">
      <c r="A11" s="30" t="s">
        <v>20</v>
      </c>
      <c r="B11" s="30" t="s">
        <v>6</v>
      </c>
      <c r="C11" s="60" t="s">
        <v>48</v>
      </c>
      <c r="D11" s="60"/>
      <c r="E11" s="60"/>
      <c r="F11" s="60"/>
      <c r="G11" s="60"/>
      <c r="H11" s="60"/>
      <c r="I11" s="60"/>
      <c r="J11" s="60"/>
      <c r="K11" s="60"/>
      <c r="L11" s="60"/>
      <c r="M11" s="30" t="s">
        <v>22</v>
      </c>
      <c r="N11" s="30" t="s">
        <v>21</v>
      </c>
      <c r="P11" s="42"/>
      <c r="R11" s="42"/>
    </row>
    <row r="12" spans="1:18" ht="75" customHeight="1" x14ac:dyDescent="0.25">
      <c r="A12" s="11">
        <v>1</v>
      </c>
      <c r="B12" s="31" t="s">
        <v>118</v>
      </c>
      <c r="C12" s="61" t="s">
        <v>130</v>
      </c>
      <c r="D12" s="61"/>
      <c r="E12" s="61"/>
      <c r="F12" s="61"/>
      <c r="G12" s="61"/>
      <c r="H12" s="61"/>
      <c r="I12" s="61"/>
      <c r="J12" s="61"/>
      <c r="K12" s="61"/>
      <c r="L12" s="61"/>
      <c r="M12" s="3" t="s">
        <v>15</v>
      </c>
      <c r="N12" s="3" t="s">
        <v>19</v>
      </c>
      <c r="P12" s="20" t="s">
        <v>116</v>
      </c>
      <c r="R12" s="16" t="s">
        <v>116</v>
      </c>
    </row>
    <row r="13" spans="1:18" ht="75" customHeight="1" x14ac:dyDescent="0.25">
      <c r="A13" s="4">
        <f>A12+1</f>
        <v>2</v>
      </c>
      <c r="B13" s="32" t="s">
        <v>117</v>
      </c>
      <c r="C13" s="62" t="s">
        <v>131</v>
      </c>
      <c r="D13" s="62"/>
      <c r="E13" s="62"/>
      <c r="F13" s="62"/>
      <c r="G13" s="62"/>
      <c r="H13" s="62"/>
      <c r="I13" s="62"/>
      <c r="J13" s="62"/>
      <c r="K13" s="62"/>
      <c r="L13" s="62"/>
      <c r="M13" s="5" t="s">
        <v>15</v>
      </c>
      <c r="N13" s="5" t="s">
        <v>19</v>
      </c>
      <c r="P13" s="17" t="s">
        <v>116</v>
      </c>
      <c r="R13" s="17" t="s">
        <v>116</v>
      </c>
    </row>
    <row r="14" spans="1:18" ht="110.25" customHeight="1" x14ac:dyDescent="0.25">
      <c r="A14" s="4">
        <f t="shared" ref="A14:A79" si="0">A13+1</f>
        <v>3</v>
      </c>
      <c r="B14" s="32" t="s">
        <v>119</v>
      </c>
      <c r="C14" s="50" t="s">
        <v>120</v>
      </c>
      <c r="D14" s="50"/>
      <c r="E14" s="50"/>
      <c r="F14" s="50"/>
      <c r="G14" s="50"/>
      <c r="H14" s="50"/>
      <c r="I14" s="50"/>
      <c r="J14" s="50"/>
      <c r="K14" s="50"/>
      <c r="L14" s="50"/>
      <c r="M14" s="10" t="s">
        <v>15</v>
      </c>
      <c r="N14" s="5" t="s">
        <v>19</v>
      </c>
      <c r="P14" s="18" t="s">
        <v>116</v>
      </c>
      <c r="R14" s="18" t="s">
        <v>116</v>
      </c>
    </row>
    <row r="15" spans="1:18" ht="104.25" customHeight="1" x14ac:dyDescent="0.25">
      <c r="A15" s="4">
        <f t="shared" si="0"/>
        <v>4</v>
      </c>
      <c r="B15" s="32" t="s">
        <v>128</v>
      </c>
      <c r="C15" s="50" t="s">
        <v>125</v>
      </c>
      <c r="D15" s="50"/>
      <c r="E15" s="50"/>
      <c r="F15" s="50"/>
      <c r="G15" s="50"/>
      <c r="H15" s="50"/>
      <c r="I15" s="50"/>
      <c r="J15" s="50"/>
      <c r="K15" s="50"/>
      <c r="L15" s="50"/>
      <c r="M15" s="5" t="s">
        <v>15</v>
      </c>
      <c r="N15" s="5" t="s">
        <v>19</v>
      </c>
      <c r="P15" s="17" t="s">
        <v>116</v>
      </c>
      <c r="R15" s="17" t="s">
        <v>116</v>
      </c>
    </row>
    <row r="16" spans="1:18" ht="90" customHeight="1" x14ac:dyDescent="0.25">
      <c r="A16" s="4">
        <f t="shared" si="0"/>
        <v>5</v>
      </c>
      <c r="B16" s="32" t="s">
        <v>92</v>
      </c>
      <c r="C16" s="50" t="s">
        <v>121</v>
      </c>
      <c r="D16" s="50"/>
      <c r="E16" s="50"/>
      <c r="F16" s="50"/>
      <c r="G16" s="50"/>
      <c r="H16" s="50"/>
      <c r="I16" s="50"/>
      <c r="J16" s="50"/>
      <c r="K16" s="50"/>
      <c r="L16" s="50"/>
      <c r="M16" s="10" t="s">
        <v>15</v>
      </c>
      <c r="N16" s="5" t="s">
        <v>19</v>
      </c>
      <c r="P16" s="18" t="s">
        <v>116</v>
      </c>
      <c r="R16" s="18" t="s">
        <v>116</v>
      </c>
    </row>
    <row r="17" spans="1:19" ht="90" customHeight="1" x14ac:dyDescent="0.25">
      <c r="A17" s="4">
        <f t="shared" si="0"/>
        <v>6</v>
      </c>
      <c r="B17" s="32" t="s">
        <v>129</v>
      </c>
      <c r="C17" s="50" t="s">
        <v>126</v>
      </c>
      <c r="D17" s="50"/>
      <c r="E17" s="50"/>
      <c r="F17" s="50"/>
      <c r="G17" s="50"/>
      <c r="H17" s="50"/>
      <c r="I17" s="50"/>
      <c r="J17" s="50"/>
      <c r="K17" s="50"/>
      <c r="L17" s="50"/>
      <c r="M17" s="5" t="s">
        <v>15</v>
      </c>
      <c r="N17" s="5" t="s">
        <v>19</v>
      </c>
      <c r="P17" s="17" t="s">
        <v>116</v>
      </c>
      <c r="R17" s="17" t="s">
        <v>116</v>
      </c>
    </row>
    <row r="18" spans="1:19" ht="30.75" customHeight="1" x14ac:dyDescent="0.25">
      <c r="A18" s="4">
        <f t="shared" si="0"/>
        <v>7</v>
      </c>
      <c r="B18" s="32" t="s">
        <v>66</v>
      </c>
      <c r="C18" s="63" t="s">
        <v>67</v>
      </c>
      <c r="D18" s="63"/>
      <c r="E18" s="63"/>
      <c r="F18" s="63"/>
      <c r="G18" s="63"/>
      <c r="H18" s="63"/>
      <c r="I18" s="63"/>
      <c r="J18" s="63"/>
      <c r="K18" s="63"/>
      <c r="L18" s="63"/>
      <c r="M18" s="5" t="s">
        <v>15</v>
      </c>
      <c r="N18" s="5" t="s">
        <v>19</v>
      </c>
      <c r="P18" s="17" t="s">
        <v>116</v>
      </c>
      <c r="R18" s="17" t="s">
        <v>116</v>
      </c>
      <c r="S18" s="9"/>
    </row>
    <row r="19" spans="1:19" ht="30" customHeight="1" x14ac:dyDescent="0.25">
      <c r="A19" s="4">
        <f t="shared" si="0"/>
        <v>8</v>
      </c>
      <c r="B19" s="32" t="s">
        <v>0</v>
      </c>
      <c r="C19" s="50" t="s">
        <v>60</v>
      </c>
      <c r="D19" s="50"/>
      <c r="E19" s="50"/>
      <c r="F19" s="50"/>
      <c r="G19" s="50"/>
      <c r="H19" s="50"/>
      <c r="I19" s="50"/>
      <c r="J19" s="50"/>
      <c r="K19" s="50"/>
      <c r="L19" s="50"/>
      <c r="M19" s="5" t="s">
        <v>17</v>
      </c>
      <c r="N19" s="5" t="s">
        <v>19</v>
      </c>
      <c r="P19" s="17" t="s">
        <v>116</v>
      </c>
      <c r="R19" s="17" t="s">
        <v>116</v>
      </c>
    </row>
    <row r="20" spans="1:19" ht="30.75" customHeight="1" x14ac:dyDescent="0.25">
      <c r="A20" s="4">
        <f t="shared" si="0"/>
        <v>9</v>
      </c>
      <c r="B20" s="32" t="s">
        <v>54</v>
      </c>
      <c r="C20" s="51" t="s">
        <v>55</v>
      </c>
      <c r="D20" s="52"/>
      <c r="E20" s="52"/>
      <c r="F20" s="52"/>
      <c r="G20" s="52"/>
      <c r="H20" s="52"/>
      <c r="I20" s="52"/>
      <c r="J20" s="52"/>
      <c r="K20" s="52"/>
      <c r="L20" s="53"/>
      <c r="M20" s="5" t="s">
        <v>17</v>
      </c>
      <c r="N20" s="5" t="s">
        <v>19</v>
      </c>
      <c r="P20" s="17" t="s">
        <v>116</v>
      </c>
      <c r="R20" s="17" t="s">
        <v>116</v>
      </c>
    </row>
    <row r="21" spans="1:19" ht="30.75" customHeight="1" x14ac:dyDescent="0.25">
      <c r="A21" s="4">
        <f t="shared" si="0"/>
        <v>10</v>
      </c>
      <c r="B21" s="32" t="s">
        <v>68</v>
      </c>
      <c r="C21" s="51" t="s">
        <v>69</v>
      </c>
      <c r="D21" s="52"/>
      <c r="E21" s="52"/>
      <c r="F21" s="52"/>
      <c r="G21" s="52"/>
      <c r="H21" s="52"/>
      <c r="I21" s="52"/>
      <c r="J21" s="52"/>
      <c r="K21" s="52"/>
      <c r="L21" s="53"/>
      <c r="M21" s="5" t="s">
        <v>15</v>
      </c>
      <c r="N21" s="5" t="s">
        <v>19</v>
      </c>
      <c r="P21" s="17" t="s">
        <v>116</v>
      </c>
      <c r="R21" s="17" t="s">
        <v>116</v>
      </c>
    </row>
    <row r="22" spans="1:19" ht="30.75" customHeight="1" x14ac:dyDescent="0.25">
      <c r="A22" s="4">
        <f t="shared" si="0"/>
        <v>11</v>
      </c>
      <c r="B22" s="32" t="s">
        <v>68</v>
      </c>
      <c r="C22" s="51" t="s">
        <v>70</v>
      </c>
      <c r="D22" s="52"/>
      <c r="E22" s="52"/>
      <c r="F22" s="52"/>
      <c r="G22" s="52"/>
      <c r="H22" s="52"/>
      <c r="I22" s="52"/>
      <c r="J22" s="52"/>
      <c r="K22" s="52"/>
      <c r="L22" s="53"/>
      <c r="M22" s="5" t="s">
        <v>15</v>
      </c>
      <c r="N22" s="5" t="s">
        <v>19</v>
      </c>
      <c r="P22" s="17" t="s">
        <v>116</v>
      </c>
      <c r="R22" s="17" t="s">
        <v>116</v>
      </c>
    </row>
    <row r="23" spans="1:19" ht="30.75" customHeight="1" x14ac:dyDescent="0.25">
      <c r="A23" s="4">
        <f t="shared" si="0"/>
        <v>12</v>
      </c>
      <c r="B23" s="32" t="s">
        <v>71</v>
      </c>
      <c r="C23" s="51" t="s">
        <v>72</v>
      </c>
      <c r="D23" s="52"/>
      <c r="E23" s="52"/>
      <c r="F23" s="52"/>
      <c r="G23" s="52"/>
      <c r="H23" s="52"/>
      <c r="I23" s="52"/>
      <c r="J23" s="52"/>
      <c r="K23" s="52"/>
      <c r="L23" s="53"/>
      <c r="M23" s="5" t="s">
        <v>15</v>
      </c>
      <c r="N23" s="5" t="s">
        <v>19</v>
      </c>
      <c r="P23" s="17" t="s">
        <v>116</v>
      </c>
      <c r="R23" s="17" t="s">
        <v>116</v>
      </c>
    </row>
    <row r="24" spans="1:19" ht="30.75" customHeight="1" x14ac:dyDescent="0.25">
      <c r="A24" s="4">
        <f t="shared" si="0"/>
        <v>13</v>
      </c>
      <c r="B24" s="32" t="s">
        <v>71</v>
      </c>
      <c r="C24" s="51" t="s">
        <v>73</v>
      </c>
      <c r="D24" s="52"/>
      <c r="E24" s="52"/>
      <c r="F24" s="52"/>
      <c r="G24" s="52"/>
      <c r="H24" s="52"/>
      <c r="I24" s="52"/>
      <c r="J24" s="52"/>
      <c r="K24" s="52"/>
      <c r="L24" s="53"/>
      <c r="M24" s="5" t="s">
        <v>15</v>
      </c>
      <c r="N24" s="5" t="s">
        <v>19</v>
      </c>
      <c r="P24" s="17" t="s">
        <v>116</v>
      </c>
      <c r="R24" s="17" t="s">
        <v>116</v>
      </c>
    </row>
    <row r="25" spans="1:19" ht="45" customHeight="1" x14ac:dyDescent="0.25">
      <c r="A25" s="4">
        <f t="shared" si="0"/>
        <v>14</v>
      </c>
      <c r="B25" s="32" t="s">
        <v>74</v>
      </c>
      <c r="C25" s="57" t="s">
        <v>133</v>
      </c>
      <c r="D25" s="58"/>
      <c r="E25" s="58"/>
      <c r="F25" s="58"/>
      <c r="G25" s="58"/>
      <c r="H25" s="58"/>
      <c r="I25" s="58"/>
      <c r="J25" s="58"/>
      <c r="K25" s="58"/>
      <c r="L25" s="59"/>
      <c r="M25" s="5" t="s">
        <v>15</v>
      </c>
      <c r="N25" s="5" t="s">
        <v>19</v>
      </c>
      <c r="P25" s="17" t="s">
        <v>116</v>
      </c>
      <c r="R25" s="17" t="s">
        <v>116</v>
      </c>
    </row>
    <row r="26" spans="1:19" ht="45" customHeight="1" x14ac:dyDescent="0.25">
      <c r="A26" s="4">
        <f t="shared" si="0"/>
        <v>15</v>
      </c>
      <c r="B26" s="32" t="s">
        <v>74</v>
      </c>
      <c r="C26" s="57" t="s">
        <v>134</v>
      </c>
      <c r="D26" s="58"/>
      <c r="E26" s="58"/>
      <c r="F26" s="58"/>
      <c r="G26" s="58"/>
      <c r="H26" s="58"/>
      <c r="I26" s="58"/>
      <c r="J26" s="58"/>
      <c r="K26" s="58"/>
      <c r="L26" s="59"/>
      <c r="M26" s="5" t="s">
        <v>15</v>
      </c>
      <c r="N26" s="5" t="s">
        <v>19</v>
      </c>
      <c r="P26" s="17" t="s">
        <v>116</v>
      </c>
      <c r="R26" s="17" t="s">
        <v>116</v>
      </c>
    </row>
    <row r="27" spans="1:19" ht="31.5" customHeight="1" x14ac:dyDescent="0.25">
      <c r="A27" s="4">
        <f t="shared" si="0"/>
        <v>16</v>
      </c>
      <c r="B27" s="32" t="s">
        <v>1</v>
      </c>
      <c r="C27" s="50" t="s">
        <v>61</v>
      </c>
      <c r="D27" s="50"/>
      <c r="E27" s="50"/>
      <c r="F27" s="50"/>
      <c r="G27" s="50"/>
      <c r="H27" s="50"/>
      <c r="I27" s="50"/>
      <c r="J27" s="50"/>
      <c r="K27" s="50"/>
      <c r="L27" s="50"/>
      <c r="M27" s="5" t="s">
        <v>15</v>
      </c>
      <c r="N27" s="5" t="s">
        <v>19</v>
      </c>
      <c r="P27" s="17" t="s">
        <v>116</v>
      </c>
      <c r="R27" s="17" t="s">
        <v>116</v>
      </c>
    </row>
    <row r="28" spans="1:19" ht="31.5" customHeight="1" x14ac:dyDescent="0.25">
      <c r="A28" s="4">
        <f t="shared" si="0"/>
        <v>17</v>
      </c>
      <c r="B28" s="32" t="s">
        <v>2</v>
      </c>
      <c r="C28" s="50" t="s">
        <v>62</v>
      </c>
      <c r="D28" s="50"/>
      <c r="E28" s="50"/>
      <c r="F28" s="50"/>
      <c r="G28" s="50"/>
      <c r="H28" s="50"/>
      <c r="I28" s="50"/>
      <c r="J28" s="50"/>
      <c r="K28" s="50"/>
      <c r="L28" s="50"/>
      <c r="M28" s="5" t="s">
        <v>15</v>
      </c>
      <c r="N28" s="5" t="s">
        <v>19</v>
      </c>
      <c r="P28" s="21" t="s">
        <v>116</v>
      </c>
      <c r="Q28" s="22"/>
      <c r="R28" s="21" t="s">
        <v>116</v>
      </c>
    </row>
    <row r="29" spans="1:19" ht="30.75" customHeight="1" x14ac:dyDescent="0.25">
      <c r="A29" s="4">
        <f t="shared" si="0"/>
        <v>18</v>
      </c>
      <c r="B29" s="32" t="s">
        <v>3</v>
      </c>
      <c r="C29" s="50" t="s">
        <v>63</v>
      </c>
      <c r="D29" s="50"/>
      <c r="E29" s="50"/>
      <c r="F29" s="50"/>
      <c r="G29" s="50"/>
      <c r="H29" s="50"/>
      <c r="I29" s="50"/>
      <c r="J29" s="50"/>
      <c r="K29" s="50"/>
      <c r="L29" s="50"/>
      <c r="M29" s="5" t="s">
        <v>15</v>
      </c>
      <c r="N29" s="5" t="s">
        <v>19</v>
      </c>
      <c r="P29" s="21" t="s">
        <v>116</v>
      </c>
      <c r="Q29" s="22"/>
      <c r="R29" s="21" t="s">
        <v>116</v>
      </c>
    </row>
    <row r="30" spans="1:19" ht="30" customHeight="1" x14ac:dyDescent="0.25">
      <c r="A30" s="4">
        <f t="shared" si="0"/>
        <v>19</v>
      </c>
      <c r="B30" s="32" t="s">
        <v>28</v>
      </c>
      <c r="C30" s="50" t="s">
        <v>132</v>
      </c>
      <c r="D30" s="50"/>
      <c r="E30" s="50"/>
      <c r="F30" s="50"/>
      <c r="G30" s="50"/>
      <c r="H30" s="50"/>
      <c r="I30" s="50"/>
      <c r="J30" s="50"/>
      <c r="K30" s="50"/>
      <c r="L30" s="50"/>
      <c r="M30" s="5" t="s">
        <v>15</v>
      </c>
      <c r="N30" s="5" t="s">
        <v>19</v>
      </c>
      <c r="P30" s="21" t="s">
        <v>116</v>
      </c>
      <c r="Q30" s="22"/>
      <c r="R30" s="21" t="s">
        <v>116</v>
      </c>
    </row>
    <row r="31" spans="1:19" ht="60" customHeight="1" x14ac:dyDescent="0.25">
      <c r="A31" s="4">
        <f t="shared" si="0"/>
        <v>20</v>
      </c>
      <c r="B31" s="32" t="s">
        <v>29</v>
      </c>
      <c r="C31" s="51" t="s">
        <v>135</v>
      </c>
      <c r="D31" s="52"/>
      <c r="E31" s="52"/>
      <c r="F31" s="52"/>
      <c r="G31" s="52"/>
      <c r="H31" s="52"/>
      <c r="I31" s="52"/>
      <c r="J31" s="52"/>
      <c r="K31" s="52"/>
      <c r="L31" s="53"/>
      <c r="M31" s="5" t="s">
        <v>15</v>
      </c>
      <c r="N31" s="5" t="s">
        <v>19</v>
      </c>
      <c r="P31" s="17" t="s">
        <v>116</v>
      </c>
      <c r="R31" s="17" t="s">
        <v>116</v>
      </c>
    </row>
    <row r="32" spans="1:19" ht="30.75" customHeight="1" x14ac:dyDescent="0.25">
      <c r="A32" s="4">
        <f t="shared" si="0"/>
        <v>21</v>
      </c>
      <c r="B32" s="32" t="s">
        <v>12</v>
      </c>
      <c r="C32" s="51" t="s">
        <v>41</v>
      </c>
      <c r="D32" s="52"/>
      <c r="E32" s="52"/>
      <c r="F32" s="52"/>
      <c r="G32" s="52"/>
      <c r="H32" s="52"/>
      <c r="I32" s="52"/>
      <c r="J32" s="52"/>
      <c r="K32" s="52"/>
      <c r="L32" s="53"/>
      <c r="M32" s="5" t="s">
        <v>15</v>
      </c>
      <c r="N32" s="5" t="s">
        <v>19</v>
      </c>
      <c r="P32" s="17" t="s">
        <v>116</v>
      </c>
      <c r="R32" s="17" t="s">
        <v>116</v>
      </c>
    </row>
    <row r="33" spans="1:18" ht="95.25" customHeight="1" x14ac:dyDescent="0.25">
      <c r="A33" s="4">
        <f t="shared" si="0"/>
        <v>22</v>
      </c>
      <c r="B33" s="32" t="s">
        <v>30</v>
      </c>
      <c r="C33" s="50" t="s">
        <v>59</v>
      </c>
      <c r="D33" s="50"/>
      <c r="E33" s="50"/>
      <c r="F33" s="50"/>
      <c r="G33" s="50"/>
      <c r="H33" s="50"/>
      <c r="I33" s="50"/>
      <c r="J33" s="50"/>
      <c r="K33" s="50"/>
      <c r="L33" s="50"/>
      <c r="M33" s="5" t="s">
        <v>18</v>
      </c>
      <c r="N33" s="5" t="s">
        <v>19</v>
      </c>
      <c r="P33" s="17" t="s">
        <v>116</v>
      </c>
      <c r="R33" s="17" t="s">
        <v>116</v>
      </c>
    </row>
    <row r="34" spans="1:18" ht="93" customHeight="1" x14ac:dyDescent="0.25">
      <c r="A34" s="4">
        <f t="shared" si="0"/>
        <v>23</v>
      </c>
      <c r="B34" s="32" t="s">
        <v>31</v>
      </c>
      <c r="C34" s="50" t="s">
        <v>58</v>
      </c>
      <c r="D34" s="50"/>
      <c r="E34" s="50"/>
      <c r="F34" s="50"/>
      <c r="G34" s="50"/>
      <c r="H34" s="50"/>
      <c r="I34" s="50"/>
      <c r="J34" s="50"/>
      <c r="K34" s="50"/>
      <c r="L34" s="50"/>
      <c r="M34" s="5" t="s">
        <v>18</v>
      </c>
      <c r="N34" s="5" t="s">
        <v>19</v>
      </c>
      <c r="P34" s="17" t="s">
        <v>116</v>
      </c>
      <c r="R34" s="17" t="s">
        <v>116</v>
      </c>
    </row>
    <row r="35" spans="1:18" ht="92.25" customHeight="1" x14ac:dyDescent="0.25">
      <c r="A35" s="4">
        <f t="shared" si="0"/>
        <v>24</v>
      </c>
      <c r="B35" s="32" t="s">
        <v>32</v>
      </c>
      <c r="C35" s="50" t="s">
        <v>57</v>
      </c>
      <c r="D35" s="50"/>
      <c r="E35" s="50"/>
      <c r="F35" s="50"/>
      <c r="G35" s="50"/>
      <c r="H35" s="50"/>
      <c r="I35" s="50"/>
      <c r="J35" s="50"/>
      <c r="K35" s="50"/>
      <c r="L35" s="50"/>
      <c r="M35" s="5" t="s">
        <v>18</v>
      </c>
      <c r="N35" s="5" t="s">
        <v>19</v>
      </c>
      <c r="P35" s="17" t="s">
        <v>116</v>
      </c>
      <c r="R35" s="17" t="s">
        <v>116</v>
      </c>
    </row>
    <row r="36" spans="1:18" ht="91.5" customHeight="1" x14ac:dyDescent="0.25">
      <c r="A36" s="4">
        <f t="shared" si="0"/>
        <v>25</v>
      </c>
      <c r="B36" s="32" t="s">
        <v>33</v>
      </c>
      <c r="C36" s="50" t="s">
        <v>93</v>
      </c>
      <c r="D36" s="50"/>
      <c r="E36" s="50"/>
      <c r="F36" s="50"/>
      <c r="G36" s="50"/>
      <c r="H36" s="50"/>
      <c r="I36" s="50"/>
      <c r="J36" s="50"/>
      <c r="K36" s="50"/>
      <c r="L36" s="50"/>
      <c r="M36" s="5" t="s">
        <v>38</v>
      </c>
      <c r="N36" s="5" t="s">
        <v>19</v>
      </c>
      <c r="P36" s="17" t="s">
        <v>116</v>
      </c>
      <c r="R36" s="17" t="s">
        <v>116</v>
      </c>
    </row>
    <row r="37" spans="1:18" ht="90" customHeight="1" x14ac:dyDescent="0.25">
      <c r="A37" s="4">
        <f t="shared" si="0"/>
        <v>26</v>
      </c>
      <c r="B37" s="32" t="s">
        <v>34</v>
      </c>
      <c r="C37" s="64" t="s">
        <v>56</v>
      </c>
      <c r="D37" s="64"/>
      <c r="E37" s="64"/>
      <c r="F37" s="64"/>
      <c r="G37" s="64"/>
      <c r="H37" s="64"/>
      <c r="I37" s="64"/>
      <c r="J37" s="64"/>
      <c r="K37" s="64"/>
      <c r="L37" s="64"/>
      <c r="M37" s="5" t="s">
        <v>18</v>
      </c>
      <c r="N37" s="5" t="s">
        <v>19</v>
      </c>
      <c r="P37" s="17" t="s">
        <v>116</v>
      </c>
      <c r="R37" s="17" t="s">
        <v>116</v>
      </c>
    </row>
    <row r="38" spans="1:18" ht="90" customHeight="1" x14ac:dyDescent="0.25">
      <c r="A38" s="4">
        <f t="shared" si="0"/>
        <v>27</v>
      </c>
      <c r="B38" s="32" t="s">
        <v>35</v>
      </c>
      <c r="C38" s="50" t="s">
        <v>94</v>
      </c>
      <c r="D38" s="50"/>
      <c r="E38" s="50"/>
      <c r="F38" s="50"/>
      <c r="G38" s="50"/>
      <c r="H38" s="50"/>
      <c r="I38" s="50"/>
      <c r="J38" s="50"/>
      <c r="K38" s="50"/>
      <c r="L38" s="50"/>
      <c r="M38" s="5" t="s">
        <v>38</v>
      </c>
      <c r="N38" s="5" t="s">
        <v>19</v>
      </c>
      <c r="P38" s="17" t="s">
        <v>116</v>
      </c>
      <c r="R38" s="17" t="s">
        <v>116</v>
      </c>
    </row>
    <row r="39" spans="1:18" ht="90" customHeight="1" x14ac:dyDescent="0.25">
      <c r="A39" s="4">
        <f t="shared" si="0"/>
        <v>28</v>
      </c>
      <c r="B39" s="32" t="s">
        <v>96</v>
      </c>
      <c r="C39" s="50" t="s">
        <v>95</v>
      </c>
      <c r="D39" s="50"/>
      <c r="E39" s="50"/>
      <c r="F39" s="50"/>
      <c r="G39" s="50"/>
      <c r="H39" s="50"/>
      <c r="I39" s="50"/>
      <c r="J39" s="50"/>
      <c r="K39" s="50"/>
      <c r="L39" s="50"/>
      <c r="M39" s="5" t="s">
        <v>18</v>
      </c>
      <c r="N39" s="5" t="s">
        <v>19</v>
      </c>
      <c r="P39" s="17" t="s">
        <v>116</v>
      </c>
      <c r="R39" s="17" t="s">
        <v>116</v>
      </c>
    </row>
    <row r="40" spans="1:18" ht="135" customHeight="1" x14ac:dyDescent="0.25">
      <c r="A40" s="35">
        <f t="shared" si="0"/>
        <v>29</v>
      </c>
      <c r="B40" s="36" t="s">
        <v>137</v>
      </c>
      <c r="C40" s="69" t="s">
        <v>152</v>
      </c>
      <c r="D40" s="69"/>
      <c r="E40" s="69"/>
      <c r="F40" s="69"/>
      <c r="G40" s="69"/>
      <c r="H40" s="69"/>
      <c r="I40" s="69"/>
      <c r="J40" s="69"/>
      <c r="K40" s="69"/>
      <c r="L40" s="69"/>
      <c r="M40" s="37" t="s">
        <v>18</v>
      </c>
      <c r="N40" s="37" t="s">
        <v>19</v>
      </c>
      <c r="P40" s="17" t="s">
        <v>116</v>
      </c>
      <c r="R40" s="17" t="s">
        <v>116</v>
      </c>
    </row>
    <row r="41" spans="1:18" ht="120" customHeight="1" x14ac:dyDescent="0.25">
      <c r="A41" s="35">
        <f t="shared" si="0"/>
        <v>30</v>
      </c>
      <c r="B41" s="36" t="s">
        <v>138</v>
      </c>
      <c r="C41" s="69" t="s">
        <v>153</v>
      </c>
      <c r="D41" s="69"/>
      <c r="E41" s="69"/>
      <c r="F41" s="69"/>
      <c r="G41" s="69"/>
      <c r="H41" s="69"/>
      <c r="I41" s="69"/>
      <c r="J41" s="69"/>
      <c r="K41" s="69"/>
      <c r="L41" s="69"/>
      <c r="M41" s="37" t="s">
        <v>18</v>
      </c>
      <c r="N41" s="37" t="s">
        <v>19</v>
      </c>
      <c r="P41" s="17" t="s">
        <v>116</v>
      </c>
      <c r="R41" s="17" t="s">
        <v>116</v>
      </c>
    </row>
    <row r="42" spans="1:18" ht="135" customHeight="1" x14ac:dyDescent="0.25">
      <c r="A42" s="35">
        <f t="shared" si="0"/>
        <v>31</v>
      </c>
      <c r="B42" s="36" t="s">
        <v>140</v>
      </c>
      <c r="C42" s="69" t="s">
        <v>154</v>
      </c>
      <c r="D42" s="69"/>
      <c r="E42" s="69"/>
      <c r="F42" s="69"/>
      <c r="G42" s="69"/>
      <c r="H42" s="69"/>
      <c r="I42" s="69"/>
      <c r="J42" s="69"/>
      <c r="K42" s="69"/>
      <c r="L42" s="69"/>
      <c r="M42" s="37" t="s">
        <v>18</v>
      </c>
      <c r="N42" s="37" t="s">
        <v>19</v>
      </c>
      <c r="P42" s="17" t="s">
        <v>116</v>
      </c>
      <c r="R42" s="17" t="s">
        <v>116</v>
      </c>
    </row>
    <row r="43" spans="1:18" ht="120" customHeight="1" x14ac:dyDescent="0.25">
      <c r="A43" s="35">
        <f t="shared" si="0"/>
        <v>32</v>
      </c>
      <c r="B43" s="36" t="s">
        <v>141</v>
      </c>
      <c r="C43" s="69" t="s">
        <v>151</v>
      </c>
      <c r="D43" s="69"/>
      <c r="E43" s="69"/>
      <c r="F43" s="69"/>
      <c r="G43" s="69"/>
      <c r="H43" s="69"/>
      <c r="I43" s="69"/>
      <c r="J43" s="69"/>
      <c r="K43" s="69"/>
      <c r="L43" s="69"/>
      <c r="M43" s="37" t="s">
        <v>38</v>
      </c>
      <c r="N43" s="37" t="s">
        <v>19</v>
      </c>
      <c r="P43" s="17" t="s">
        <v>116</v>
      </c>
      <c r="R43" s="17" t="s">
        <v>116</v>
      </c>
    </row>
    <row r="44" spans="1:18" ht="135" customHeight="1" x14ac:dyDescent="0.25">
      <c r="A44" s="35">
        <f t="shared" si="0"/>
        <v>33</v>
      </c>
      <c r="B44" s="36" t="s">
        <v>142</v>
      </c>
      <c r="C44" s="70" t="s">
        <v>150</v>
      </c>
      <c r="D44" s="70"/>
      <c r="E44" s="70"/>
      <c r="F44" s="70"/>
      <c r="G44" s="70"/>
      <c r="H44" s="70"/>
      <c r="I44" s="70"/>
      <c r="J44" s="70"/>
      <c r="K44" s="70"/>
      <c r="L44" s="70"/>
      <c r="M44" s="37" t="s">
        <v>18</v>
      </c>
      <c r="N44" s="37" t="s">
        <v>19</v>
      </c>
      <c r="P44" s="17" t="s">
        <v>116</v>
      </c>
      <c r="R44" s="17" t="s">
        <v>116</v>
      </c>
    </row>
    <row r="45" spans="1:18" ht="120" customHeight="1" x14ac:dyDescent="0.25">
      <c r="A45" s="35">
        <f t="shared" si="0"/>
        <v>34</v>
      </c>
      <c r="B45" s="36" t="s">
        <v>143</v>
      </c>
      <c r="C45" s="69" t="s">
        <v>149</v>
      </c>
      <c r="D45" s="69"/>
      <c r="E45" s="69"/>
      <c r="F45" s="69"/>
      <c r="G45" s="69"/>
      <c r="H45" s="69"/>
      <c r="I45" s="69"/>
      <c r="J45" s="69"/>
      <c r="K45" s="69"/>
      <c r="L45" s="69"/>
      <c r="M45" s="37" t="s">
        <v>38</v>
      </c>
      <c r="N45" s="37" t="s">
        <v>19</v>
      </c>
      <c r="P45" s="17" t="s">
        <v>116</v>
      </c>
      <c r="R45" s="17" t="s">
        <v>116</v>
      </c>
    </row>
    <row r="46" spans="1:18" ht="135" customHeight="1" x14ac:dyDescent="0.25">
      <c r="A46" s="35">
        <f t="shared" si="0"/>
        <v>35</v>
      </c>
      <c r="B46" s="36" t="s">
        <v>139</v>
      </c>
      <c r="C46" s="69" t="s">
        <v>148</v>
      </c>
      <c r="D46" s="69"/>
      <c r="E46" s="69"/>
      <c r="F46" s="69"/>
      <c r="G46" s="69"/>
      <c r="H46" s="69"/>
      <c r="I46" s="69"/>
      <c r="J46" s="69"/>
      <c r="K46" s="69"/>
      <c r="L46" s="69"/>
      <c r="M46" s="37" t="s">
        <v>18</v>
      </c>
      <c r="N46" s="37" t="s">
        <v>19</v>
      </c>
      <c r="P46" s="17" t="s">
        <v>116</v>
      </c>
      <c r="R46" s="17" t="s">
        <v>116</v>
      </c>
    </row>
    <row r="47" spans="1:18" ht="45" customHeight="1" x14ac:dyDescent="0.25">
      <c r="A47" s="4">
        <f t="shared" si="0"/>
        <v>36</v>
      </c>
      <c r="B47" s="32" t="s">
        <v>4</v>
      </c>
      <c r="C47" s="50" t="s">
        <v>44</v>
      </c>
      <c r="D47" s="50"/>
      <c r="E47" s="50"/>
      <c r="F47" s="50"/>
      <c r="G47" s="50"/>
      <c r="H47" s="50"/>
      <c r="I47" s="50"/>
      <c r="J47" s="50"/>
      <c r="K47" s="50"/>
      <c r="L47" s="50"/>
      <c r="M47" s="5" t="s">
        <v>16</v>
      </c>
      <c r="N47" s="5" t="s">
        <v>19</v>
      </c>
      <c r="P47" s="17" t="s">
        <v>116</v>
      </c>
      <c r="R47" s="17" t="s">
        <v>116</v>
      </c>
    </row>
    <row r="48" spans="1:18" ht="30" customHeight="1" x14ac:dyDescent="0.25">
      <c r="A48" s="4">
        <f t="shared" si="0"/>
        <v>37</v>
      </c>
      <c r="B48" s="32" t="s">
        <v>14</v>
      </c>
      <c r="C48" s="50" t="s">
        <v>45</v>
      </c>
      <c r="D48" s="50"/>
      <c r="E48" s="50"/>
      <c r="F48" s="50"/>
      <c r="G48" s="50"/>
      <c r="H48" s="50"/>
      <c r="I48" s="50"/>
      <c r="J48" s="50"/>
      <c r="K48" s="50"/>
      <c r="L48" s="50"/>
      <c r="M48" s="5" t="s">
        <v>16</v>
      </c>
      <c r="N48" s="5" t="s">
        <v>19</v>
      </c>
      <c r="P48" s="17" t="s">
        <v>116</v>
      </c>
      <c r="R48" s="17" t="s">
        <v>116</v>
      </c>
    </row>
    <row r="49" spans="1:18" ht="75" customHeight="1" x14ac:dyDescent="0.25">
      <c r="A49" s="35">
        <f t="shared" si="0"/>
        <v>38</v>
      </c>
      <c r="B49" s="36" t="s">
        <v>144</v>
      </c>
      <c r="C49" s="69" t="s">
        <v>147</v>
      </c>
      <c r="D49" s="69"/>
      <c r="E49" s="69"/>
      <c r="F49" s="69"/>
      <c r="G49" s="69"/>
      <c r="H49" s="69"/>
      <c r="I49" s="69"/>
      <c r="J49" s="69"/>
      <c r="K49" s="69"/>
      <c r="L49" s="69"/>
      <c r="M49" s="37" t="s">
        <v>16</v>
      </c>
      <c r="N49" s="37" t="s">
        <v>19</v>
      </c>
      <c r="P49" s="17" t="s">
        <v>116</v>
      </c>
      <c r="R49" s="17" t="s">
        <v>116</v>
      </c>
    </row>
    <row r="50" spans="1:18" ht="75" customHeight="1" x14ac:dyDescent="0.25">
      <c r="A50" s="35">
        <f t="shared" si="0"/>
        <v>39</v>
      </c>
      <c r="B50" s="36" t="s">
        <v>145</v>
      </c>
      <c r="C50" s="69" t="s">
        <v>146</v>
      </c>
      <c r="D50" s="69"/>
      <c r="E50" s="69"/>
      <c r="F50" s="69"/>
      <c r="G50" s="69"/>
      <c r="H50" s="69"/>
      <c r="I50" s="69"/>
      <c r="J50" s="69"/>
      <c r="K50" s="69"/>
      <c r="L50" s="69"/>
      <c r="M50" s="37" t="s">
        <v>16</v>
      </c>
      <c r="N50" s="37" t="s">
        <v>19</v>
      </c>
      <c r="P50" s="17" t="s">
        <v>116</v>
      </c>
      <c r="R50" s="17" t="s">
        <v>116</v>
      </c>
    </row>
    <row r="51" spans="1:18" ht="30" customHeight="1" x14ac:dyDescent="0.25">
      <c r="A51" s="4">
        <f t="shared" si="0"/>
        <v>40</v>
      </c>
      <c r="B51" s="32" t="s">
        <v>75</v>
      </c>
      <c r="C51" s="51" t="s">
        <v>76</v>
      </c>
      <c r="D51" s="52"/>
      <c r="E51" s="52"/>
      <c r="F51" s="52"/>
      <c r="G51" s="52"/>
      <c r="H51" s="52"/>
      <c r="I51" s="52"/>
      <c r="J51" s="52"/>
      <c r="K51" s="52"/>
      <c r="L51" s="53"/>
      <c r="M51" s="5" t="s">
        <v>16</v>
      </c>
      <c r="N51" s="5" t="s">
        <v>19</v>
      </c>
      <c r="P51" s="17" t="s">
        <v>116</v>
      </c>
      <c r="R51" s="17" t="s">
        <v>116</v>
      </c>
    </row>
    <row r="52" spans="1:18" ht="30" customHeight="1" x14ac:dyDescent="0.25">
      <c r="A52" s="4">
        <f t="shared" si="0"/>
        <v>41</v>
      </c>
      <c r="B52" s="32" t="s">
        <v>77</v>
      </c>
      <c r="C52" s="51" t="s">
        <v>78</v>
      </c>
      <c r="D52" s="52"/>
      <c r="E52" s="52"/>
      <c r="F52" s="52"/>
      <c r="G52" s="52"/>
      <c r="H52" s="52"/>
      <c r="I52" s="52"/>
      <c r="J52" s="52"/>
      <c r="K52" s="52"/>
      <c r="L52" s="53"/>
      <c r="M52" s="5" t="s">
        <v>16</v>
      </c>
      <c r="N52" s="5" t="s">
        <v>19</v>
      </c>
      <c r="P52" s="17" t="s">
        <v>116</v>
      </c>
      <c r="R52" s="17" t="s">
        <v>116</v>
      </c>
    </row>
    <row r="53" spans="1:18" ht="30" customHeight="1" x14ac:dyDescent="0.25">
      <c r="A53" s="4">
        <f t="shared" si="0"/>
        <v>42</v>
      </c>
      <c r="B53" s="32" t="s">
        <v>79</v>
      </c>
      <c r="C53" s="51" t="s">
        <v>80</v>
      </c>
      <c r="D53" s="52"/>
      <c r="E53" s="52"/>
      <c r="F53" s="52"/>
      <c r="G53" s="52"/>
      <c r="H53" s="52"/>
      <c r="I53" s="52"/>
      <c r="J53" s="52"/>
      <c r="K53" s="52"/>
      <c r="L53" s="53"/>
      <c r="M53" s="5" t="s">
        <v>16</v>
      </c>
      <c r="N53" s="5" t="s">
        <v>19</v>
      </c>
      <c r="P53" s="17" t="s">
        <v>116</v>
      </c>
      <c r="R53" s="17" t="s">
        <v>116</v>
      </c>
    </row>
    <row r="54" spans="1:18" ht="30" customHeight="1" x14ac:dyDescent="0.25">
      <c r="A54" s="4">
        <f t="shared" si="0"/>
        <v>43</v>
      </c>
      <c r="B54" s="32" t="s">
        <v>81</v>
      </c>
      <c r="C54" s="51" t="s">
        <v>82</v>
      </c>
      <c r="D54" s="52"/>
      <c r="E54" s="52"/>
      <c r="F54" s="52"/>
      <c r="G54" s="52"/>
      <c r="H54" s="52"/>
      <c r="I54" s="52"/>
      <c r="J54" s="52"/>
      <c r="K54" s="52"/>
      <c r="L54" s="53"/>
      <c r="M54" s="5" t="s">
        <v>16</v>
      </c>
      <c r="N54" s="5" t="s">
        <v>19</v>
      </c>
      <c r="P54" s="17" t="s">
        <v>116</v>
      </c>
      <c r="R54" s="17" t="s">
        <v>116</v>
      </c>
    </row>
    <row r="55" spans="1:18" ht="30" customHeight="1" x14ac:dyDescent="0.25">
      <c r="A55" s="4">
        <f t="shared" si="0"/>
        <v>44</v>
      </c>
      <c r="B55" s="32" t="s">
        <v>83</v>
      </c>
      <c r="C55" s="51" t="s">
        <v>84</v>
      </c>
      <c r="D55" s="52"/>
      <c r="E55" s="52"/>
      <c r="F55" s="52"/>
      <c r="G55" s="52"/>
      <c r="H55" s="52"/>
      <c r="I55" s="52"/>
      <c r="J55" s="52"/>
      <c r="K55" s="52"/>
      <c r="L55" s="53"/>
      <c r="M55" s="5" t="s">
        <v>16</v>
      </c>
      <c r="N55" s="5" t="s">
        <v>19</v>
      </c>
      <c r="P55" s="17" t="s">
        <v>116</v>
      </c>
      <c r="R55" s="17" t="s">
        <v>116</v>
      </c>
    </row>
    <row r="56" spans="1:18" ht="30.75" customHeight="1" x14ac:dyDescent="0.25">
      <c r="A56" s="4">
        <f t="shared" si="0"/>
        <v>45</v>
      </c>
      <c r="B56" s="32" t="s">
        <v>85</v>
      </c>
      <c r="C56" s="51" t="s">
        <v>86</v>
      </c>
      <c r="D56" s="52"/>
      <c r="E56" s="52"/>
      <c r="F56" s="52"/>
      <c r="G56" s="52"/>
      <c r="H56" s="52"/>
      <c r="I56" s="52"/>
      <c r="J56" s="52"/>
      <c r="K56" s="52"/>
      <c r="L56" s="53"/>
      <c r="M56" s="5" t="s">
        <v>16</v>
      </c>
      <c r="N56" s="5" t="s">
        <v>19</v>
      </c>
      <c r="P56" s="17" t="s">
        <v>116</v>
      </c>
      <c r="R56" s="17" t="s">
        <v>116</v>
      </c>
    </row>
    <row r="57" spans="1:18" ht="31.5" customHeight="1" x14ac:dyDescent="0.25">
      <c r="A57" s="4">
        <f t="shared" si="0"/>
        <v>46</v>
      </c>
      <c r="B57" s="32" t="s">
        <v>109</v>
      </c>
      <c r="C57" s="51" t="s">
        <v>97</v>
      </c>
      <c r="D57" s="52"/>
      <c r="E57" s="52"/>
      <c r="F57" s="52"/>
      <c r="G57" s="52"/>
      <c r="H57" s="52"/>
      <c r="I57" s="52"/>
      <c r="J57" s="52"/>
      <c r="K57" s="52"/>
      <c r="L57" s="53"/>
      <c r="M57" s="5" t="s">
        <v>16</v>
      </c>
      <c r="N57" s="5" t="s">
        <v>19</v>
      </c>
      <c r="P57" s="17" t="s">
        <v>116</v>
      </c>
      <c r="R57" s="17" t="s">
        <v>116</v>
      </c>
    </row>
    <row r="58" spans="1:18" ht="31.5" customHeight="1" x14ac:dyDescent="0.25">
      <c r="A58" s="4">
        <f t="shared" si="0"/>
        <v>47</v>
      </c>
      <c r="B58" s="32" t="s">
        <v>109</v>
      </c>
      <c r="C58" s="51" t="s">
        <v>98</v>
      </c>
      <c r="D58" s="52"/>
      <c r="E58" s="52"/>
      <c r="F58" s="52"/>
      <c r="G58" s="52"/>
      <c r="H58" s="52"/>
      <c r="I58" s="52"/>
      <c r="J58" s="52"/>
      <c r="K58" s="52"/>
      <c r="L58" s="53"/>
      <c r="M58" s="5" t="s">
        <v>16</v>
      </c>
      <c r="N58" s="5" t="s">
        <v>19</v>
      </c>
      <c r="P58" s="17" t="s">
        <v>116</v>
      </c>
      <c r="R58" s="17" t="s">
        <v>116</v>
      </c>
    </row>
    <row r="59" spans="1:18" ht="31.5" customHeight="1" x14ac:dyDescent="0.25">
      <c r="A59" s="4">
        <f t="shared" si="0"/>
        <v>48</v>
      </c>
      <c r="B59" s="32" t="s">
        <v>5</v>
      </c>
      <c r="C59" s="51" t="s">
        <v>99</v>
      </c>
      <c r="D59" s="52"/>
      <c r="E59" s="52"/>
      <c r="F59" s="52"/>
      <c r="G59" s="52"/>
      <c r="H59" s="52"/>
      <c r="I59" s="52"/>
      <c r="J59" s="52"/>
      <c r="K59" s="52"/>
      <c r="L59" s="53"/>
      <c r="M59" s="5" t="s">
        <v>16</v>
      </c>
      <c r="N59" s="5" t="s">
        <v>19</v>
      </c>
      <c r="P59" s="17" t="s">
        <v>116</v>
      </c>
      <c r="R59" s="17" t="s">
        <v>116</v>
      </c>
    </row>
    <row r="60" spans="1:18" ht="31.5" customHeight="1" x14ac:dyDescent="0.25">
      <c r="A60" s="4">
        <f t="shared" si="0"/>
        <v>49</v>
      </c>
      <c r="B60" s="32" t="s">
        <v>5</v>
      </c>
      <c r="C60" s="51" t="s">
        <v>100</v>
      </c>
      <c r="D60" s="52"/>
      <c r="E60" s="52"/>
      <c r="F60" s="52"/>
      <c r="G60" s="52"/>
      <c r="H60" s="52"/>
      <c r="I60" s="52"/>
      <c r="J60" s="52"/>
      <c r="K60" s="52"/>
      <c r="L60" s="53"/>
      <c r="M60" s="5" t="s">
        <v>16</v>
      </c>
      <c r="N60" s="5" t="s">
        <v>19</v>
      </c>
      <c r="P60" s="17" t="s">
        <v>116</v>
      </c>
      <c r="R60" s="17" t="s">
        <v>116</v>
      </c>
    </row>
    <row r="61" spans="1:18" ht="30.75" customHeight="1" x14ac:dyDescent="0.25">
      <c r="A61" s="4">
        <f t="shared" si="0"/>
        <v>50</v>
      </c>
      <c r="B61" s="32" t="s">
        <v>50</v>
      </c>
      <c r="C61" s="51" t="s">
        <v>52</v>
      </c>
      <c r="D61" s="52"/>
      <c r="E61" s="52"/>
      <c r="F61" s="52"/>
      <c r="G61" s="52"/>
      <c r="H61" s="52"/>
      <c r="I61" s="52"/>
      <c r="J61" s="52"/>
      <c r="K61" s="52"/>
      <c r="L61" s="53"/>
      <c r="M61" s="5" t="s">
        <v>16</v>
      </c>
      <c r="N61" s="5" t="s">
        <v>19</v>
      </c>
      <c r="P61" s="17" t="s">
        <v>116</v>
      </c>
      <c r="R61" s="17" t="s">
        <v>116</v>
      </c>
    </row>
    <row r="62" spans="1:18" ht="30.75" customHeight="1" x14ac:dyDescent="0.25">
      <c r="A62" s="4">
        <f t="shared" si="0"/>
        <v>51</v>
      </c>
      <c r="B62" s="32" t="s">
        <v>51</v>
      </c>
      <c r="C62" s="63" t="s">
        <v>53</v>
      </c>
      <c r="D62" s="63"/>
      <c r="E62" s="63"/>
      <c r="F62" s="63"/>
      <c r="G62" s="63"/>
      <c r="H62" s="63"/>
      <c r="I62" s="63"/>
      <c r="J62" s="63"/>
      <c r="K62" s="63"/>
      <c r="L62" s="63"/>
      <c r="M62" s="5" t="s">
        <v>16</v>
      </c>
      <c r="N62" s="5" t="s">
        <v>19</v>
      </c>
      <c r="P62" s="17" t="s">
        <v>116</v>
      </c>
      <c r="R62" s="17" t="s">
        <v>116</v>
      </c>
    </row>
    <row r="63" spans="1:18" ht="30.75" customHeight="1" x14ac:dyDescent="0.25">
      <c r="A63" s="4">
        <f t="shared" si="0"/>
        <v>52</v>
      </c>
      <c r="B63" s="25" t="s">
        <v>115</v>
      </c>
      <c r="C63" s="57" t="s">
        <v>114</v>
      </c>
      <c r="D63" s="58"/>
      <c r="E63" s="58"/>
      <c r="F63" s="58"/>
      <c r="G63" s="58"/>
      <c r="H63" s="58"/>
      <c r="I63" s="58"/>
      <c r="J63" s="58"/>
      <c r="K63" s="58"/>
      <c r="L63" s="59"/>
      <c r="M63" s="26" t="s">
        <v>16</v>
      </c>
      <c r="N63" s="5" t="s">
        <v>19</v>
      </c>
      <c r="P63" s="27" t="s">
        <v>116</v>
      </c>
      <c r="Q63" s="28"/>
      <c r="R63" s="27" t="s">
        <v>116</v>
      </c>
    </row>
    <row r="64" spans="1:18" ht="30" customHeight="1" x14ac:dyDescent="0.25">
      <c r="A64" s="4">
        <f t="shared" si="0"/>
        <v>53</v>
      </c>
      <c r="B64" s="25" t="s">
        <v>13</v>
      </c>
      <c r="C64" s="65" t="s">
        <v>108</v>
      </c>
      <c r="D64" s="65"/>
      <c r="E64" s="65"/>
      <c r="F64" s="65"/>
      <c r="G64" s="65"/>
      <c r="H64" s="65"/>
      <c r="I64" s="65"/>
      <c r="J64" s="65"/>
      <c r="K64" s="65"/>
      <c r="L64" s="65"/>
      <c r="M64" s="26" t="s">
        <v>16</v>
      </c>
      <c r="N64" s="5" t="s">
        <v>19</v>
      </c>
      <c r="P64" s="27" t="s">
        <v>116</v>
      </c>
      <c r="Q64" s="28"/>
      <c r="R64" s="27" t="s">
        <v>116</v>
      </c>
    </row>
    <row r="65" spans="1:18" ht="30.75" customHeight="1" x14ac:dyDescent="0.25">
      <c r="A65" s="4">
        <f t="shared" si="0"/>
        <v>54</v>
      </c>
      <c r="B65" s="25" t="s">
        <v>87</v>
      </c>
      <c r="C65" s="57" t="s">
        <v>88</v>
      </c>
      <c r="D65" s="58"/>
      <c r="E65" s="58"/>
      <c r="F65" s="58"/>
      <c r="G65" s="58"/>
      <c r="H65" s="58"/>
      <c r="I65" s="58"/>
      <c r="J65" s="58"/>
      <c r="K65" s="58"/>
      <c r="L65" s="59"/>
      <c r="M65" s="26" t="s">
        <v>17</v>
      </c>
      <c r="N65" s="5" t="s">
        <v>19</v>
      </c>
      <c r="P65" s="27" t="s">
        <v>116</v>
      </c>
      <c r="Q65" s="28"/>
      <c r="R65" s="27" t="s">
        <v>116</v>
      </c>
    </row>
    <row r="66" spans="1:18" ht="30.75" customHeight="1" x14ac:dyDescent="0.25">
      <c r="A66" s="4">
        <f t="shared" si="0"/>
        <v>55</v>
      </c>
      <c r="B66" s="25" t="s">
        <v>8</v>
      </c>
      <c r="C66" s="65" t="s">
        <v>64</v>
      </c>
      <c r="D66" s="65"/>
      <c r="E66" s="65"/>
      <c r="F66" s="65"/>
      <c r="G66" s="65"/>
      <c r="H66" s="65"/>
      <c r="I66" s="65"/>
      <c r="J66" s="65"/>
      <c r="K66" s="65"/>
      <c r="L66" s="65"/>
      <c r="M66" s="26" t="s">
        <v>16</v>
      </c>
      <c r="N66" s="5" t="s">
        <v>19</v>
      </c>
      <c r="P66" s="27" t="s">
        <v>116</v>
      </c>
      <c r="Q66" s="28"/>
      <c r="R66" s="27" t="s">
        <v>116</v>
      </c>
    </row>
    <row r="67" spans="1:18" ht="30.75" customHeight="1" x14ac:dyDescent="0.25">
      <c r="A67" s="4">
        <f t="shared" si="0"/>
        <v>56</v>
      </c>
      <c r="B67" s="25" t="s">
        <v>42</v>
      </c>
      <c r="C67" s="65" t="s">
        <v>65</v>
      </c>
      <c r="D67" s="65"/>
      <c r="E67" s="65"/>
      <c r="F67" s="65"/>
      <c r="G67" s="65"/>
      <c r="H67" s="65"/>
      <c r="I67" s="65"/>
      <c r="J67" s="65"/>
      <c r="K67" s="65"/>
      <c r="L67" s="65"/>
      <c r="M67" s="26" t="s">
        <v>16</v>
      </c>
      <c r="N67" s="5" t="s">
        <v>19</v>
      </c>
      <c r="P67" s="27" t="s">
        <v>116</v>
      </c>
      <c r="Q67" s="28"/>
      <c r="R67" s="27" t="s">
        <v>116</v>
      </c>
    </row>
    <row r="68" spans="1:18" ht="30.75" customHeight="1" x14ac:dyDescent="0.25">
      <c r="A68" s="4">
        <f t="shared" si="0"/>
        <v>57</v>
      </c>
      <c r="B68" s="25" t="s">
        <v>89</v>
      </c>
      <c r="C68" s="57" t="s">
        <v>112</v>
      </c>
      <c r="D68" s="58"/>
      <c r="E68" s="58"/>
      <c r="F68" s="58"/>
      <c r="G68" s="58"/>
      <c r="H68" s="58"/>
      <c r="I68" s="58"/>
      <c r="J68" s="58"/>
      <c r="K68" s="58"/>
      <c r="L68" s="59"/>
      <c r="M68" s="26" t="s">
        <v>16</v>
      </c>
      <c r="N68" s="5" t="s">
        <v>19</v>
      </c>
      <c r="P68" s="27" t="s">
        <v>116</v>
      </c>
      <c r="Q68" s="28"/>
      <c r="R68" s="27" t="s">
        <v>116</v>
      </c>
    </row>
    <row r="69" spans="1:18" ht="30.75" customHeight="1" x14ac:dyDescent="0.25">
      <c r="A69" s="4">
        <f t="shared" si="0"/>
        <v>58</v>
      </c>
      <c r="B69" s="33" t="s">
        <v>110</v>
      </c>
      <c r="C69" s="66" t="s">
        <v>113</v>
      </c>
      <c r="D69" s="67"/>
      <c r="E69" s="67"/>
      <c r="F69" s="67"/>
      <c r="G69" s="67"/>
      <c r="H69" s="67"/>
      <c r="I69" s="67"/>
      <c r="J69" s="67"/>
      <c r="K69" s="67"/>
      <c r="L69" s="68"/>
      <c r="M69" s="26" t="s">
        <v>15</v>
      </c>
      <c r="N69" s="5" t="s">
        <v>19</v>
      </c>
      <c r="P69" s="27" t="s">
        <v>116</v>
      </c>
      <c r="Q69" s="28"/>
      <c r="R69" s="27" t="s">
        <v>116</v>
      </c>
    </row>
    <row r="70" spans="1:18" ht="30.75" customHeight="1" x14ac:dyDescent="0.25">
      <c r="A70" s="4">
        <f t="shared" si="0"/>
        <v>59</v>
      </c>
      <c r="B70" s="32" t="s">
        <v>90</v>
      </c>
      <c r="C70" s="51" t="s">
        <v>91</v>
      </c>
      <c r="D70" s="52"/>
      <c r="E70" s="52"/>
      <c r="F70" s="52"/>
      <c r="G70" s="52"/>
      <c r="H70" s="52"/>
      <c r="I70" s="52"/>
      <c r="J70" s="52"/>
      <c r="K70" s="52"/>
      <c r="L70" s="53"/>
      <c r="M70" s="5" t="s">
        <v>16</v>
      </c>
      <c r="N70" s="5" t="s">
        <v>19</v>
      </c>
      <c r="P70" s="27" t="s">
        <v>116</v>
      </c>
      <c r="Q70" s="28"/>
      <c r="R70" s="27" t="s">
        <v>116</v>
      </c>
    </row>
    <row r="71" spans="1:18" ht="30.75" customHeight="1" x14ac:dyDescent="0.25">
      <c r="A71" s="4">
        <f t="shared" si="0"/>
        <v>60</v>
      </c>
      <c r="B71" s="32" t="s">
        <v>9</v>
      </c>
      <c r="C71" s="50" t="s">
        <v>46</v>
      </c>
      <c r="D71" s="50"/>
      <c r="E71" s="50"/>
      <c r="F71" s="50"/>
      <c r="G71" s="50"/>
      <c r="H71" s="50"/>
      <c r="I71" s="50"/>
      <c r="J71" s="50"/>
      <c r="K71" s="50"/>
      <c r="L71" s="50"/>
      <c r="M71" s="5" t="s">
        <v>16</v>
      </c>
      <c r="N71" s="5" t="s">
        <v>19</v>
      </c>
      <c r="P71" s="17" t="s">
        <v>116</v>
      </c>
      <c r="R71" s="17" t="s">
        <v>116</v>
      </c>
    </row>
    <row r="72" spans="1:18" ht="30.75" customHeight="1" x14ac:dyDescent="0.25">
      <c r="A72" s="4">
        <f t="shared" si="0"/>
        <v>61</v>
      </c>
      <c r="B72" s="32" t="s">
        <v>10</v>
      </c>
      <c r="C72" s="50" t="s">
        <v>47</v>
      </c>
      <c r="D72" s="50"/>
      <c r="E72" s="50"/>
      <c r="F72" s="50"/>
      <c r="G72" s="50"/>
      <c r="H72" s="50"/>
      <c r="I72" s="50"/>
      <c r="J72" s="50"/>
      <c r="K72" s="50"/>
      <c r="L72" s="50"/>
      <c r="M72" s="5" t="s">
        <v>16</v>
      </c>
      <c r="N72" s="5" t="s">
        <v>19</v>
      </c>
      <c r="P72" s="17" t="s">
        <v>116</v>
      </c>
      <c r="R72" s="17" t="s">
        <v>116</v>
      </c>
    </row>
    <row r="73" spans="1:18" ht="30.75" customHeight="1" x14ac:dyDescent="0.25">
      <c r="A73" s="4">
        <f t="shared" si="0"/>
        <v>62</v>
      </c>
      <c r="B73" s="32" t="s">
        <v>11</v>
      </c>
      <c r="C73" s="50" t="s">
        <v>43</v>
      </c>
      <c r="D73" s="50"/>
      <c r="E73" s="50"/>
      <c r="F73" s="50"/>
      <c r="G73" s="50"/>
      <c r="H73" s="50"/>
      <c r="I73" s="50"/>
      <c r="J73" s="50"/>
      <c r="K73" s="50"/>
      <c r="L73" s="50"/>
      <c r="M73" s="5" t="s">
        <v>16</v>
      </c>
      <c r="N73" s="5" t="s">
        <v>19</v>
      </c>
      <c r="P73" s="17" t="s">
        <v>116</v>
      </c>
      <c r="R73" s="17" t="s">
        <v>116</v>
      </c>
    </row>
    <row r="74" spans="1:18" ht="30.75" customHeight="1" x14ac:dyDescent="0.25">
      <c r="A74" s="4">
        <f t="shared" si="0"/>
        <v>63</v>
      </c>
      <c r="B74" s="32" t="s">
        <v>27</v>
      </c>
      <c r="C74" s="50" t="s">
        <v>7</v>
      </c>
      <c r="D74" s="50"/>
      <c r="E74" s="50"/>
      <c r="F74" s="50"/>
      <c r="G74" s="50"/>
      <c r="H74" s="50"/>
      <c r="I74" s="50"/>
      <c r="J74" s="50"/>
      <c r="K74" s="50"/>
      <c r="L74" s="50"/>
      <c r="M74" s="5" t="s">
        <v>16</v>
      </c>
      <c r="N74" s="5" t="s">
        <v>19</v>
      </c>
      <c r="P74" s="17" t="s">
        <v>116</v>
      </c>
      <c r="R74" s="17" t="s">
        <v>116</v>
      </c>
    </row>
    <row r="75" spans="1:18" ht="30.75" customHeight="1" x14ac:dyDescent="0.25">
      <c r="A75" s="4">
        <f t="shared" si="0"/>
        <v>64</v>
      </c>
      <c r="B75" s="32" t="s">
        <v>101</v>
      </c>
      <c r="C75" s="51" t="s">
        <v>102</v>
      </c>
      <c r="D75" s="52"/>
      <c r="E75" s="52"/>
      <c r="F75" s="52"/>
      <c r="G75" s="52"/>
      <c r="H75" s="52"/>
      <c r="I75" s="52"/>
      <c r="J75" s="52"/>
      <c r="K75" s="52"/>
      <c r="L75" s="53"/>
      <c r="M75" s="5" t="s">
        <v>16</v>
      </c>
      <c r="N75" s="5" t="s">
        <v>19</v>
      </c>
      <c r="P75" s="17" t="s">
        <v>116</v>
      </c>
      <c r="R75" s="17" t="s">
        <v>116</v>
      </c>
    </row>
    <row r="76" spans="1:18" ht="30.75" customHeight="1" x14ac:dyDescent="0.25">
      <c r="A76" s="4">
        <f t="shared" si="0"/>
        <v>65</v>
      </c>
      <c r="B76" s="32" t="s">
        <v>103</v>
      </c>
      <c r="C76" s="51" t="s">
        <v>104</v>
      </c>
      <c r="D76" s="52"/>
      <c r="E76" s="52"/>
      <c r="F76" s="52"/>
      <c r="G76" s="52"/>
      <c r="H76" s="52"/>
      <c r="I76" s="52"/>
      <c r="J76" s="52"/>
      <c r="K76" s="52"/>
      <c r="L76" s="53"/>
      <c r="M76" s="5" t="s">
        <v>16</v>
      </c>
      <c r="N76" s="5" t="s">
        <v>19</v>
      </c>
      <c r="P76" s="17" t="s">
        <v>116</v>
      </c>
      <c r="R76" s="17" t="s">
        <v>116</v>
      </c>
    </row>
    <row r="77" spans="1:18" ht="30.75" customHeight="1" x14ac:dyDescent="0.25">
      <c r="A77" s="4">
        <f t="shared" si="0"/>
        <v>66</v>
      </c>
      <c r="B77" s="32" t="s">
        <v>105</v>
      </c>
      <c r="C77" s="51" t="s">
        <v>107</v>
      </c>
      <c r="D77" s="52"/>
      <c r="E77" s="52"/>
      <c r="F77" s="52"/>
      <c r="G77" s="52"/>
      <c r="H77" s="52"/>
      <c r="I77" s="52"/>
      <c r="J77" s="52"/>
      <c r="K77" s="52"/>
      <c r="L77" s="53"/>
      <c r="M77" s="5" t="s">
        <v>16</v>
      </c>
      <c r="N77" s="5" t="s">
        <v>19</v>
      </c>
      <c r="P77" s="17" t="s">
        <v>116</v>
      </c>
      <c r="R77" s="17" t="s">
        <v>116</v>
      </c>
    </row>
    <row r="78" spans="1:18" ht="45.75" customHeight="1" x14ac:dyDescent="0.25">
      <c r="A78" s="4">
        <f t="shared" si="0"/>
        <v>67</v>
      </c>
      <c r="B78" s="32" t="s">
        <v>106</v>
      </c>
      <c r="C78" s="57" t="s">
        <v>124</v>
      </c>
      <c r="D78" s="58"/>
      <c r="E78" s="58"/>
      <c r="F78" s="58"/>
      <c r="G78" s="58"/>
      <c r="H78" s="58"/>
      <c r="I78" s="58"/>
      <c r="J78" s="58"/>
      <c r="K78" s="58"/>
      <c r="L78" s="59"/>
      <c r="M78" s="5" t="s">
        <v>15</v>
      </c>
      <c r="N78" s="5" t="s">
        <v>19</v>
      </c>
      <c r="P78" s="17" t="s">
        <v>116</v>
      </c>
      <c r="R78" s="17" t="s">
        <v>116</v>
      </c>
    </row>
    <row r="79" spans="1:18" ht="45" customHeight="1" thickBot="1" x14ac:dyDescent="0.3">
      <c r="A79" s="4">
        <f t="shared" si="0"/>
        <v>68</v>
      </c>
      <c r="B79" s="24" t="s">
        <v>49</v>
      </c>
      <c r="C79" s="47" t="s">
        <v>111</v>
      </c>
      <c r="D79" s="48"/>
      <c r="E79" s="48"/>
      <c r="F79" s="48"/>
      <c r="G79" s="48"/>
      <c r="H79" s="48"/>
      <c r="I79" s="48"/>
      <c r="J79" s="48"/>
      <c r="K79" s="48"/>
      <c r="L79" s="49"/>
      <c r="M79" s="12" t="s">
        <v>15</v>
      </c>
      <c r="N79" s="6" t="s">
        <v>19</v>
      </c>
      <c r="P79" s="19" t="s">
        <v>116</v>
      </c>
      <c r="R79" s="19" t="s">
        <v>116</v>
      </c>
    </row>
    <row r="80" spans="1:18" x14ac:dyDescent="0.25">
      <c r="A80" s="14"/>
      <c r="B80" s="14"/>
      <c r="C80" s="14"/>
      <c r="D80" s="14"/>
      <c r="E80" s="14"/>
      <c r="F80" s="14"/>
      <c r="G80" s="14"/>
      <c r="H80" s="14"/>
      <c r="I80" s="14"/>
      <c r="J80" s="14"/>
      <c r="K80" s="14"/>
      <c r="L80" s="14"/>
      <c r="M80" s="14"/>
      <c r="N80" s="14"/>
      <c r="P80" s="14"/>
      <c r="R80" s="14"/>
    </row>
    <row r="81" spans="1:18" ht="63.75" customHeight="1" x14ac:dyDescent="0.25">
      <c r="A81" s="43" t="s">
        <v>127</v>
      </c>
      <c r="B81" s="43"/>
      <c r="C81" s="43"/>
      <c r="D81" s="43"/>
      <c r="E81" s="43"/>
      <c r="F81" s="43"/>
      <c r="G81" s="43"/>
      <c r="H81" s="43"/>
      <c r="I81" s="43"/>
      <c r="J81" s="43"/>
      <c r="K81" s="43"/>
      <c r="L81" s="43"/>
      <c r="M81" s="43"/>
      <c r="N81" s="43"/>
      <c r="O81" s="43"/>
      <c r="P81" s="43"/>
      <c r="Q81" s="43"/>
      <c r="R81" s="43"/>
    </row>
    <row r="82" spans="1:18" x14ac:dyDescent="0.25">
      <c r="B82" s="7"/>
      <c r="C82" s="7"/>
      <c r="D82" s="7"/>
      <c r="E82" s="7"/>
      <c r="F82" s="7"/>
      <c r="G82" s="7"/>
      <c r="H82" s="7"/>
      <c r="I82" s="7"/>
      <c r="J82" s="7"/>
      <c r="K82" s="7"/>
    </row>
    <row r="83" spans="1:18" ht="49.9" customHeight="1" x14ac:dyDescent="0.45">
      <c r="A83" s="8" t="s">
        <v>25</v>
      </c>
      <c r="B83" s="56"/>
      <c r="C83" s="56"/>
      <c r="D83" s="56"/>
      <c r="E83" s="56"/>
      <c r="F83" s="56"/>
      <c r="G83" s="56"/>
      <c r="H83" s="56"/>
      <c r="I83" s="29"/>
      <c r="J83" s="29"/>
      <c r="K83" s="29"/>
      <c r="L83" s="29"/>
      <c r="M83" s="29"/>
      <c r="N83" s="29"/>
      <c r="P83" s="29"/>
      <c r="R83" s="29"/>
    </row>
    <row r="84" spans="1:18" ht="49.9" customHeight="1" x14ac:dyDescent="0.45">
      <c r="A84" s="8" t="s">
        <v>26</v>
      </c>
      <c r="B84" s="54"/>
      <c r="C84" s="54"/>
      <c r="D84" s="54"/>
      <c r="E84" s="54"/>
      <c r="F84" s="54"/>
      <c r="G84" s="54"/>
      <c r="H84" s="54"/>
      <c r="I84" s="29"/>
      <c r="J84" s="29"/>
      <c r="K84" s="29"/>
      <c r="L84" s="29"/>
      <c r="M84" s="29"/>
      <c r="N84" s="29"/>
      <c r="P84" s="29"/>
      <c r="R84" s="29"/>
    </row>
    <row r="85" spans="1:18" ht="49.9" customHeight="1" x14ac:dyDescent="0.3">
      <c r="A85" s="8" t="s">
        <v>36</v>
      </c>
      <c r="B85" s="55"/>
      <c r="C85" s="55"/>
      <c r="D85" s="55"/>
      <c r="E85" s="55"/>
      <c r="F85" s="55"/>
      <c r="G85" s="55"/>
      <c r="H85" s="55"/>
      <c r="I85" s="15" t="s">
        <v>37</v>
      </c>
      <c r="J85" s="13"/>
      <c r="K85" s="13"/>
      <c r="L85" s="13"/>
      <c r="M85" s="13"/>
      <c r="N85" s="13"/>
      <c r="P85" s="13"/>
      <c r="R85" s="13"/>
    </row>
    <row r="86" spans="1:18" ht="49.9" customHeight="1" x14ac:dyDescent="0.45">
      <c r="A86" s="8" t="s">
        <v>23</v>
      </c>
      <c r="B86" s="54"/>
      <c r="C86" s="54"/>
      <c r="D86" s="54"/>
      <c r="E86" s="54"/>
      <c r="F86" s="54"/>
      <c r="G86" s="54"/>
      <c r="H86" s="54"/>
      <c r="I86" s="29"/>
      <c r="J86" s="29"/>
      <c r="K86" s="29"/>
      <c r="L86" s="29"/>
      <c r="M86" s="29"/>
      <c r="N86" s="29"/>
      <c r="P86" s="29"/>
      <c r="R86" s="29"/>
    </row>
    <row r="87" spans="1:18" ht="49.9" customHeight="1" x14ac:dyDescent="0.45">
      <c r="A87" s="8" t="s">
        <v>24</v>
      </c>
      <c r="B87" s="54"/>
      <c r="C87" s="54"/>
      <c r="D87" s="54"/>
      <c r="E87" s="54"/>
      <c r="F87" s="54"/>
      <c r="G87" s="54"/>
      <c r="H87" s="54"/>
      <c r="I87" s="29"/>
      <c r="J87" s="29"/>
      <c r="K87" s="29"/>
      <c r="L87" s="29"/>
      <c r="M87" s="29"/>
      <c r="N87" s="29"/>
      <c r="P87" s="29"/>
      <c r="R87" s="29"/>
    </row>
  </sheetData>
  <sheetProtection password="CD76" sheet="1" objects="1" scenarios="1" selectLockedCells="1"/>
  <customSheetViews>
    <customSheetView guid="{3285FF01-F257-4AB3-B459-0432CBE6846E}" showPageBreaks="1" fitToPage="1" topLeftCell="A19">
      <selection activeCell="A46" sqref="A46"/>
      <pageMargins left="0" right="0" top="0.25" bottom="0.25" header="0" footer="0"/>
      <printOptions horizontalCentered="1"/>
      <pageSetup scale="48" fitToHeight="3" orientation="portrait" r:id="rId1"/>
    </customSheetView>
  </customSheetViews>
  <mergeCells count="83">
    <mergeCell ref="C46:L46"/>
    <mergeCell ref="C49:L49"/>
    <mergeCell ref="C50:L50"/>
    <mergeCell ref="C41:L41"/>
    <mergeCell ref="C42:L42"/>
    <mergeCell ref="C43:L43"/>
    <mergeCell ref="C44:L44"/>
    <mergeCell ref="C45:L45"/>
    <mergeCell ref="C65:L65"/>
    <mergeCell ref="C68:L68"/>
    <mergeCell ref="C70:L70"/>
    <mergeCell ref="C59:L59"/>
    <mergeCell ref="C60:L60"/>
    <mergeCell ref="C61:L61"/>
    <mergeCell ref="C62:L62"/>
    <mergeCell ref="C66:L66"/>
    <mergeCell ref="C67:L67"/>
    <mergeCell ref="C64:L64"/>
    <mergeCell ref="C69:L69"/>
    <mergeCell ref="C63:L63"/>
    <mergeCell ref="C57:L57"/>
    <mergeCell ref="C58:L58"/>
    <mergeCell ref="C51:L51"/>
    <mergeCell ref="C56:L56"/>
    <mergeCell ref="C28:L28"/>
    <mergeCell ref="C48:L48"/>
    <mergeCell ref="C52:L52"/>
    <mergeCell ref="C37:L37"/>
    <mergeCell ref="C38:L38"/>
    <mergeCell ref="C39:L39"/>
    <mergeCell ref="C30:L30"/>
    <mergeCell ref="C31:L31"/>
    <mergeCell ref="C53:L53"/>
    <mergeCell ref="C54:L54"/>
    <mergeCell ref="C55:L55"/>
    <mergeCell ref="C36:L36"/>
    <mergeCell ref="C27:L27"/>
    <mergeCell ref="C13:L13"/>
    <mergeCell ref="C18:L18"/>
    <mergeCell ref="C47:L47"/>
    <mergeCell ref="C34:L34"/>
    <mergeCell ref="C35:L35"/>
    <mergeCell ref="C16:L16"/>
    <mergeCell ref="C17:L17"/>
    <mergeCell ref="C21:L21"/>
    <mergeCell ref="C22:L22"/>
    <mergeCell ref="C23:L23"/>
    <mergeCell ref="C24:L24"/>
    <mergeCell ref="C25:L25"/>
    <mergeCell ref="C26:L26"/>
    <mergeCell ref="C33:L33"/>
    <mergeCell ref="C40:L40"/>
    <mergeCell ref="C12:L12"/>
    <mergeCell ref="C14:L14"/>
    <mergeCell ref="C19:L19"/>
    <mergeCell ref="C15:L15"/>
    <mergeCell ref="C20:L20"/>
    <mergeCell ref="B87:H87"/>
    <mergeCell ref="B85:H85"/>
    <mergeCell ref="B83:H83"/>
    <mergeCell ref="B86:H86"/>
    <mergeCell ref="B84:H84"/>
    <mergeCell ref="A81:R81"/>
    <mergeCell ref="A2:R2"/>
    <mergeCell ref="A3:R3"/>
    <mergeCell ref="A4:R4"/>
    <mergeCell ref="C79:L79"/>
    <mergeCell ref="C71:L71"/>
    <mergeCell ref="C32:L32"/>
    <mergeCell ref="C77:L77"/>
    <mergeCell ref="C75:L75"/>
    <mergeCell ref="C76:L76"/>
    <mergeCell ref="C72:L72"/>
    <mergeCell ref="C73:L73"/>
    <mergeCell ref="C74:L74"/>
    <mergeCell ref="C78:L78"/>
    <mergeCell ref="C11:L11"/>
    <mergeCell ref="C29:L29"/>
    <mergeCell ref="C8:R8"/>
    <mergeCell ref="A8:B8"/>
    <mergeCell ref="A6:R6"/>
    <mergeCell ref="P10:P11"/>
    <mergeCell ref="R10:R11"/>
  </mergeCells>
  <phoneticPr fontId="11" type="noConversion"/>
  <printOptions horizontalCentered="1"/>
  <pageMargins left="0" right="0" top="0.25" bottom="0.25" header="0" footer="0"/>
  <pageSetup scale="50" fitToHeight="3"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customSheetViews>
    <customSheetView guid="{3285FF01-F257-4AB3-B459-0432CBE6846E}" state="hidden">
      <pageMargins left="0.7" right="0.7" top="0.75" bottom="0.75" header="0.3" footer="0.3"/>
    </customSheetView>
  </customSheetViews>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Production Unit Pricing</vt:lpstr>
      <vt:lpstr>Sheet3</vt:lpstr>
      <vt:lpstr>'Production Unit Pricing'!Print_Titles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Labreck</dc:creator>
  <cp:lastModifiedBy>Ryan Rodel</cp:lastModifiedBy>
  <cp:lastPrinted>2010-08-11T01:45:27Z</cp:lastPrinted>
  <dcterms:created xsi:type="dcterms:W3CDTF">2010-02-15T15:14:16Z</dcterms:created>
  <dcterms:modified xsi:type="dcterms:W3CDTF">2012-04-03T17:10:12Z</dcterms:modified>
</cp:coreProperties>
</file>