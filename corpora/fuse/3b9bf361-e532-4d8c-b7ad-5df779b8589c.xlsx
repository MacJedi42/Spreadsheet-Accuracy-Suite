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 1 - Table 1" state="visible" r:id="rId3"/>
  </sheets>
  <definedNames/>
  <calcPr/>
</workbook>
</file>

<file path=xl/sharedStrings.xml><?xml version="1.0" encoding="utf-8"?>
<sst xmlns="http://schemas.openxmlformats.org/spreadsheetml/2006/main" count="40" uniqueCount="40">
  <si>
    <t>TEAM</t>
  </si>
  <si>
    <t>Games with, TEAM</t>
  </si>
  <si>
    <t>Home Games , TEAM</t>
  </si>
  <si>
    <t>Away Games, TEAM</t>
  </si>
  <si>
    <t>10-11 Winning percentage </t>
  </si>
  <si>
    <t>10-11 Winning % * no of games</t>
  </si>
  <si>
    <t>10-11 WP  Home CALC</t>
  </si>
  <si>
    <t>10-11 WP Away CALC</t>
  </si>
  <si>
    <t>ATL</t>
  </si>
  <si>
    <t>BOS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</si>
  <si>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</si>
  <si>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</si>
  <si>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</si>
  <si>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</si>
  <si>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</si>
  <si>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</si>
  <si>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</si>
  <si>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</si>
  <si>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</si>
  <si>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</si>
  <si>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</si>
  <si>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</si>
  <si>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</si>
  <si>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</si>
  <si>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</si>
  <si>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NJN</t>
  </si>
  <si>
    <t>NOH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</si>
  <si>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</si>
  <si>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</si>
  <si>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</si>
  <si>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</si>
  <si>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</si>
  <si>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</si>
  <si>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</si>
  <si>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</si>
  <si>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</si>
  <si>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</si>
  <si>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</si>
  <si>
    <t>Total</t>
  </si>
  <si>
    <t>WP per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</si>
</sst>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0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FFFFFF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FFFFFF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</fonts>
  <fills count="11">
    <fill>
      <patternFill patternType="none"/>
    </fill>
    <fill>
      <patternFill patternType="gray125">
        <bgColor rgb="FFFFFFFF"/>
      </patternFill>
    </fill>
    <fill>
      <patternFill patternType="solid">
        <fgColor rgb="FF4D006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D006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D006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10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Fill="1">
      <alignment vertical="top" horizontal="left" wrapText="1"/>
    </xf>
    <xf applyBorder="1" applyAlignment="1" fillId="3" xfId="0" numFmtId="4" borderId="2" applyFont="1" fontId="2" applyNumberFormat="1" applyFill="1">
      <alignment vertical="top" horizontal="general" wrapText="1"/>
    </xf>
    <xf applyBorder="1" applyAlignment="1" fillId="4" xfId="0" numFmtId="0" borderId="3" applyFont="1" fontId="3" applyFill="1">
      <alignment vertical="top" horizontal="general"/>
    </xf>
    <xf applyBorder="1" applyAlignment="1" fillId="5" xfId="0" numFmtId="3" borderId="4" applyFont="1" fontId="4" applyNumberFormat="1" applyFill="1">
      <alignment vertical="top" horizontal="general" wrapText="1"/>
    </xf>
    <xf applyBorder="1" applyAlignment="1" fillId="6" xfId="0" numFmtId="0" borderId="5" applyFont="1" fontId="5" applyFill="1">
      <alignment vertical="top" horizontal="general" wrapText="1"/>
    </xf>
    <xf applyBorder="1" applyAlignment="1" fillId="7" xfId="0" numFmtId="0" borderId="6" applyFont="1" fontId="6" applyFill="1">
      <alignment vertical="top" horizontal="general" wrapText="1"/>
    </xf>
    <xf applyBorder="1" applyAlignment="1" fillId="8" xfId="0" numFmtId="1" borderId="7" applyFont="1" fontId="7" applyNumberFormat="1" applyFill="1">
      <alignment vertical="top" horizontal="general" wrapText="1"/>
    </xf>
    <xf applyBorder="1" applyAlignment="1" fillId="9" xfId="0" numFmtId="164" borderId="8" applyFont="1" fontId="8" applyNumberFormat="1" applyFill="1">
      <alignment vertical="top" horizontal="general" wrapText="1"/>
    </xf>
    <xf applyBorder="1" applyAlignment="1" fillId="10" xfId="0" numFmtId="0" borderId="9" applyFont="1" fontId="9" applyFill="1">
      <alignment vertical="top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71" defaultRowHeight="20.25"/>
  <cols>
    <col min="1" customWidth="1" max="11" width="13.14"/>
  </cols>
  <sheetData>
    <row customHeight="1" r="1" ht="28.5">
      <c t="s" s="9" r="A1">
        <v>0</v>
      </c>
      <c t="s" s="9" r="B1">
        <v>1</v>
      </c>
      <c t="s" s="9" r="C1">
        <v>2</v>
      </c>
      <c t="s" s="9" r="D1">
        <v>3</v>
      </c>
      <c t="s" s="9" r="E1">
        <v>4</v>
      </c>
      <c t="s" s="9" r="F1">
        <v>5</v>
      </c>
      <c t="s" s="9" r="G1">
        <v>6</v>
      </c>
      <c t="s" s="9" r="H1">
        <v>7</v>
      </c>
      <c s="9" r="I1"/>
      <c s="9" r="J1"/>
      <c s="9" r="K1"/>
    </row>
    <row customHeight="1" r="2" ht="17.25">
      <c t="s" s="1" r="A2">
        <v>8</v>
      </c>
      <c s="4" r="B2">
        <v>2</v>
      </c>
      <c s="4" r="C2">
        <v>1</v>
      </c>
      <c s="4" r="D2">
        <v>1</v>
      </c>
      <c s="6" r="E2">
        <v>0.537</v>
      </c>
      <c s="8" r="F2">
        <f>(B2*E2)</f>
        <v>1.074</v>
      </c>
      <c s="8" r="G2">
        <f>E2*C2</f>
        <v>0.537</v>
      </c>
      <c s="8" r="H2">
        <f>E2*D2</f>
        <v>0.537</v>
      </c>
      <c s="6" r="I2"/>
      <c s="6" r="J2"/>
      <c s="5" r="K2"/>
    </row>
    <row customHeight="1" r="3" ht="17.25">
      <c t="s" s="1" r="A3">
        <v>9</v>
      </c>
      <c s="4" r="B3">
        <v>1</v>
      </c>
      <c s="4" r="C3">
        <v>0</v>
      </c>
      <c s="7" r="D3">
        <v>1</v>
      </c>
      <c s="6" r="E3">
        <v>0.683</v>
      </c>
      <c s="8" r="F3">
        <f>(B3*E3)</f>
        <v>0.683</v>
      </c>
      <c s="8" r="G3">
        <f>E3*C3</f>
        <v>0</v>
      </c>
      <c s="8" r="H3">
        <f>E3*D3</f>
        <v>0.683</v>
      </c>
      <c s="6" r="I3"/>
      <c s="6" r="J3"/>
      <c s="5" r="K3"/>
    </row>
    <row customHeight="1" r="4" ht="17.25">
      <c t="s" s="1" r="A4">
        <v>10</v>
      </c>
      <c s="4" r="B4">
        <v>1</v>
      </c>
      <c s="4" r="C4">
        <v>1</v>
      </c>
      <c s="7" r="D4">
        <v>0</v>
      </c>
      <c s="6" r="E4">
        <v>0.415</v>
      </c>
      <c s="8" r="F4">
        <f>(B4*E4)</f>
        <v>0.415</v>
      </c>
      <c s="8" r="G4">
        <f>E4*C4</f>
        <v>0.415</v>
      </c>
      <c s="8" r="H4">
        <f>E4*D4</f>
        <v>0</v>
      </c>
      <c s="6" r="I4"/>
      <c s="6" r="J4"/>
      <c s="5" r="K4"/>
    </row>
    <row customHeight="1" r="5" ht="17.25">
      <c t="s" s="1" r="A5">
        <v>11</v>
      </c>
      <c s="4" r="B5">
        <v>1</v>
      </c>
      <c s="4" r="C5">
        <v>0</v>
      </c>
      <c s="7" r="D5">
        <v>1</v>
      </c>
      <c s="6" r="E5">
        <v>0.756</v>
      </c>
      <c s="8" r="F5">
        <f>(B5*E5)</f>
        <v>0.756</v>
      </c>
      <c s="8" r="G5">
        <f>E5*C5</f>
        <v>0</v>
      </c>
      <c s="8" r="H5">
        <f>E5*D5</f>
        <v>0.756</v>
      </c>
      <c s="6" r="I5"/>
      <c s="6" r="J5"/>
      <c s="5" r="K5"/>
    </row>
    <row customHeight="1" r="6" ht="17.25">
      <c t="s" s="1" r="A6">
        <v>12</v>
      </c>
      <c s="4" r="B6">
        <v>2</v>
      </c>
      <c s="4" r="C6">
        <v>1</v>
      </c>
      <c s="7" r="D6">
        <v>1</v>
      </c>
      <c s="6" r="E6">
        <v>0.232</v>
      </c>
      <c s="8" r="F6">
        <f>(B6*E6)</f>
        <v>0.464</v>
      </c>
      <c s="8" r="G6">
        <f>E6*C6</f>
        <v>0.232</v>
      </c>
      <c s="8" r="H6">
        <f>E6*D6</f>
        <v>0.232</v>
      </c>
      <c s="6" r="I6"/>
      <c s="6" r="J6"/>
      <c s="5" r="K6"/>
    </row>
    <row customHeight="1" r="7" ht="17.25">
      <c t="s" s="1" r="A7">
        <v>13</v>
      </c>
      <c s="4" r="B7">
        <v>4</v>
      </c>
      <c s="4" r="C7">
        <v>2</v>
      </c>
      <c s="7" r="D7">
        <v>2</v>
      </c>
      <c s="6" r="E7">
        <v>0.695</v>
      </c>
      <c s="8" r="F7">
        <f>(B7*E7)</f>
        <v>2.78</v>
      </c>
      <c s="8" r="G7">
        <f>E7*C7</f>
        <v>1.39</v>
      </c>
      <c s="8" r="H7">
        <f>E7*D7</f>
        <v>1.39</v>
      </c>
      <c s="6" r="I7"/>
      <c s="6" r="J7"/>
      <c s="5" r="K7"/>
    </row>
    <row customHeight="1" r="8" ht="17.25">
      <c t="s" s="1" r="A8">
        <v>14</v>
      </c>
      <c s="4" r="B8">
        <v>3</v>
      </c>
      <c s="4" r="C8">
        <v>1</v>
      </c>
      <c s="7" r="D8">
        <v>2</v>
      </c>
      <c s="6" r="E8">
        <v>0.61</v>
      </c>
      <c s="8" r="F8">
        <f>(B8*E8)</f>
        <v>1.83</v>
      </c>
      <c s="8" r="G8">
        <f>E8*C8</f>
        <v>0.61</v>
      </c>
      <c s="8" r="H8">
        <f>E8*D8</f>
        <v>1.22</v>
      </c>
      <c s="6" r="I8"/>
      <c s="6" r="J8"/>
      <c s="5" r="K8"/>
    </row>
    <row customHeight="1" r="9" ht="17.25">
      <c t="s" s="1" r="A9">
        <v>15</v>
      </c>
      <c s="4" r="B9">
        <v>1</v>
      </c>
      <c s="4" r="C9">
        <v>1</v>
      </c>
      <c s="7" r="D9">
        <v>0</v>
      </c>
      <c s="6" r="E9">
        <v>0.366</v>
      </c>
      <c s="8" r="F9">
        <f>(B9*E9)</f>
        <v>0.366</v>
      </c>
      <c s="8" r="G9">
        <f>E9*C9</f>
        <v>0.366</v>
      </c>
      <c s="8" r="H9">
        <f>E9*D9</f>
        <v>0</v>
      </c>
      <c s="6" r="I9"/>
      <c s="6" r="J9"/>
      <c s="5" r="K9"/>
    </row>
    <row customHeight="1" r="10" ht="17.25">
      <c t="s" s="1" r="A10">
        <v>16</v>
      </c>
      <c s="4" r="B10">
        <v>3</v>
      </c>
      <c s="4" r="C10">
        <v>2</v>
      </c>
      <c s="7" r="D10">
        <v>1</v>
      </c>
      <c s="6" r="E10">
        <v>0.439</v>
      </c>
      <c s="8" r="F10">
        <f>(B10*E10)</f>
        <v>1.317</v>
      </c>
      <c s="8" r="G10">
        <f>E10*C10</f>
        <v>0.878</v>
      </c>
      <c s="8" r="H10">
        <f>E10*D10</f>
        <v>0.439</v>
      </c>
      <c s="6" r="I10"/>
      <c s="6" r="J10"/>
      <c s="5" r="K10"/>
    </row>
    <row customHeight="1" r="11" ht="17.25">
      <c t="s" s="1" r="A11">
        <v>17</v>
      </c>
      <c s="4" r="B11">
        <v>4</v>
      </c>
      <c s="4" r="C11">
        <v>2</v>
      </c>
      <c s="7" r="D11">
        <v>2</v>
      </c>
      <c s="6" r="E11">
        <v>0.524</v>
      </c>
      <c s="8" r="F11">
        <f>(B11*E11)</f>
        <v>2.096</v>
      </c>
      <c s="8" r="G11">
        <f>E11*C11</f>
        <v>1.048</v>
      </c>
      <c s="8" r="H11">
        <f>E11*D11</f>
        <v>1.048</v>
      </c>
      <c s="6" r="I11"/>
      <c s="6" r="J11"/>
      <c s="5" r="K11"/>
    </row>
    <row customHeight="1" r="12" ht="17.25">
      <c t="s" s="1" r="A12">
        <v>18</v>
      </c>
      <c s="4" r="B12">
        <v>1</v>
      </c>
      <c s="4" r="C12">
        <v>0</v>
      </c>
      <c s="4" r="D12">
        <v>1</v>
      </c>
      <c s="6" r="E12">
        <v>0.451</v>
      </c>
      <c s="8" r="F12">
        <f>(B12*E12)</f>
        <v>0.451</v>
      </c>
      <c s="8" r="G12">
        <f>E12*C12</f>
        <v>0</v>
      </c>
      <c s="8" r="H12">
        <f>E12*D12</f>
        <v>0.451</v>
      </c>
      <c s="6" r="I12"/>
      <c s="6" r="J12"/>
      <c s="5" r="K12"/>
    </row>
    <row customHeight="1" r="13" ht="17.25">
      <c t="s" s="1" r="A13">
        <v>19</v>
      </c>
      <c s="4" r="B13">
        <v>4</v>
      </c>
      <c s="4" r="C13">
        <v>2</v>
      </c>
      <c s="4" r="D13">
        <v>2</v>
      </c>
      <c s="6" r="E13">
        <v>0.39</v>
      </c>
      <c s="8" r="F13">
        <f>(B13*E13)</f>
        <v>1.56</v>
      </c>
      <c s="8" r="G13">
        <f>E13*C13</f>
        <v>0.78</v>
      </c>
      <c s="8" r="H13">
        <f>E13*D13</f>
        <v>0.78</v>
      </c>
      <c s="6" r="I13"/>
      <c s="6" r="J13"/>
      <c s="5" r="K13"/>
    </row>
    <row customHeight="1" r="14" ht="17.25">
      <c t="s" s="1" r="A14">
        <v>20</v>
      </c>
      <c s="4" r="B14">
        <v>4</v>
      </c>
      <c s="4" r="C14">
        <v>2</v>
      </c>
      <c s="7" r="D14">
        <v>2</v>
      </c>
      <c s="6" r="E14">
        <v>0.695</v>
      </c>
      <c s="8" r="F14">
        <f>(B14*E14)</f>
        <v>2.78</v>
      </c>
      <c s="8" r="G14">
        <f>E14*C14</f>
        <v>1.39</v>
      </c>
      <c s="8" r="H14">
        <f>E14*D14</f>
        <v>1.39</v>
      </c>
      <c s="6" r="I14"/>
      <c s="6" r="J14"/>
      <c s="5" r="K14"/>
    </row>
    <row customHeight="1" r="15" ht="17.25">
      <c t="s" s="1" r="A15">
        <v>21</v>
      </c>
      <c s="4" r="B15">
        <v>3</v>
      </c>
      <c s="4" r="C15">
        <v>2</v>
      </c>
      <c s="4" r="D15">
        <v>1</v>
      </c>
      <c s="6" r="E15">
        <v>0.561</v>
      </c>
      <c s="8" r="F15">
        <f>(B15*E15)</f>
        <v>1.683</v>
      </c>
      <c s="8" r="G15">
        <f>E15*C15</f>
        <v>1.122</v>
      </c>
      <c s="8" r="H15">
        <f>E15*D15</f>
        <v>0.561</v>
      </c>
      <c s="6" r="I15"/>
      <c s="6" r="J15"/>
      <c s="5" r="K15"/>
    </row>
    <row customHeight="1" r="16" ht="17.25">
      <c t="s" s="1" r="A16">
        <v>22</v>
      </c>
      <c s="4" r="B16">
        <v>1</v>
      </c>
      <c s="4" r="C16">
        <v>0</v>
      </c>
      <c s="4" r="D16">
        <v>1</v>
      </c>
      <c s="6" r="E16">
        <v>0.707</v>
      </c>
      <c s="8" r="F16">
        <f>(B16*E16)</f>
        <v>0.707</v>
      </c>
      <c s="8" r="G16">
        <f>E16*C16</f>
        <v>0</v>
      </c>
      <c s="8" r="H16">
        <f>E16*D16</f>
        <v>0.707</v>
      </c>
      <c s="6" r="I16"/>
      <c s="6" r="J16"/>
      <c s="5" r="K16"/>
    </row>
    <row customHeight="1" r="17" ht="17.25">
      <c t="s" s="1" r="A17">
        <v>23</v>
      </c>
      <c s="4" r="B17">
        <v>2</v>
      </c>
      <c s="4" r="C17">
        <v>1</v>
      </c>
      <c s="4" r="D17">
        <v>1</v>
      </c>
      <c s="6" r="E17">
        <v>0.427</v>
      </c>
      <c s="8" r="F17">
        <f>(B17*E17)</f>
        <v>0.854</v>
      </c>
      <c s="8" r="G17">
        <f>E17*C17</f>
        <v>0.427</v>
      </c>
      <c s="8" r="H17">
        <f>E17*D17</f>
        <v>0.427</v>
      </c>
      <c s="6" r="I17"/>
      <c s="6" r="J17"/>
      <c s="5" r="K17"/>
    </row>
    <row customHeight="1" r="18" ht="17.25">
      <c t="s" s="1" r="A18">
        <v>24</v>
      </c>
      <c s="4" r="B18">
        <v>3</v>
      </c>
      <c s="4" r="C18">
        <v>2</v>
      </c>
      <c s="4" r="D18">
        <v>1</v>
      </c>
      <c s="6" r="E18">
        <v>0.207</v>
      </c>
      <c s="8" r="F18">
        <f>(B18*E18)</f>
        <v>0.621</v>
      </c>
      <c s="8" r="G18">
        <f>E18*C18</f>
        <v>0.414</v>
      </c>
      <c s="8" r="H18">
        <f>E18*D18</f>
        <v>0.207</v>
      </c>
      <c s="6" r="I18"/>
      <c s="6" r="J18"/>
      <c s="5" r="K18"/>
    </row>
    <row customHeight="1" r="19" ht="17.25">
      <c t="s" s="1" r="A19">
        <v>25</v>
      </c>
      <c s="4" r="B19">
        <v>1</v>
      </c>
      <c s="4" r="C19">
        <v>1</v>
      </c>
      <c s="4" r="D19">
        <v>0</v>
      </c>
      <c s="6" r="E19">
        <v>0.293</v>
      </c>
      <c s="8" r="F19">
        <f>(B19*E19)</f>
        <v>0.293</v>
      </c>
      <c s="8" r="G19">
        <f>E19*C19</f>
        <v>0.293</v>
      </c>
      <c s="8" r="H19">
        <f>E19*D19</f>
        <v>0</v>
      </c>
      <c s="6" r="I19"/>
      <c s="6" r="J19"/>
      <c s="5" r="K19"/>
    </row>
    <row customHeight="1" r="20" ht="17.25">
      <c t="s" s="1" r="A20">
        <v>26</v>
      </c>
      <c s="4" r="B20">
        <v>4</v>
      </c>
      <c s="4" r="C20">
        <v>2</v>
      </c>
      <c s="4" r="D20">
        <v>2</v>
      </c>
      <c s="6" r="E20">
        <v>0.561</v>
      </c>
      <c s="8" r="F20">
        <f>(B20*E20)</f>
        <v>2.244</v>
      </c>
      <c s="8" r="G20">
        <f>E20*C20</f>
        <v>1.122</v>
      </c>
      <c s="8" r="H20">
        <f>E20*D20</f>
        <v>1.122</v>
      </c>
      <c s="6" r="I20"/>
      <c s="6" r="J20"/>
      <c s="5" r="K20"/>
    </row>
    <row customHeight="1" r="21" ht="17.25">
      <c t="s" s="1" r="A21">
        <v>27</v>
      </c>
      <c s="4" r="B21">
        <v>1</v>
      </c>
      <c s="4" r="C21">
        <v>0</v>
      </c>
      <c s="4" r="D21">
        <v>1</v>
      </c>
      <c s="6" r="E21">
        <v>0.512</v>
      </c>
      <c s="8" r="F21">
        <f>(B21*E21)</f>
        <v>0.512</v>
      </c>
      <c s="8" r="G21">
        <f>E21*C21</f>
        <v>0</v>
      </c>
      <c s="8" r="H21">
        <f>E21*D21</f>
        <v>0.512</v>
      </c>
      <c s="6" r="I21"/>
      <c s="6" r="J21"/>
      <c s="5" r="K21"/>
    </row>
    <row customHeight="1" r="22" ht="17.25">
      <c t="s" s="1" r="A22">
        <v>28</v>
      </c>
      <c s="4" r="B22">
        <v>3</v>
      </c>
      <c s="4" r="C22">
        <v>1</v>
      </c>
      <c s="4" r="D22">
        <v>2</v>
      </c>
      <c s="6" r="E22">
        <v>0.671</v>
      </c>
      <c s="8" r="F22">
        <f>(B22*E22)</f>
        <v>2.013</v>
      </c>
      <c s="8" r="G22">
        <f>E22*C22</f>
        <v>0.671</v>
      </c>
      <c s="8" r="H22">
        <f>E22*D22</f>
        <v>1.342</v>
      </c>
      <c s="6" r="I22"/>
      <c s="6" r="J22"/>
      <c s="5" r="K22"/>
    </row>
    <row customHeight="1" r="23" ht="17.25">
      <c t="s" s="1" r="A23">
        <v>29</v>
      </c>
      <c s="4" r="B23">
        <v>1</v>
      </c>
      <c s="4" r="C23">
        <v>0</v>
      </c>
      <c s="4" r="D23">
        <v>1</v>
      </c>
      <c s="6" r="E23">
        <v>0.634</v>
      </c>
      <c s="8" r="F23">
        <f>(B23*E23)</f>
        <v>0.634</v>
      </c>
      <c s="8" r="G23">
        <f>E23*C23</f>
        <v>0</v>
      </c>
      <c s="8" r="H23">
        <f>E23*D23</f>
        <v>0.634</v>
      </c>
      <c s="6" r="I23"/>
      <c s="6" r="J23"/>
      <c s="5" r="K23"/>
    </row>
    <row customHeight="1" r="24" ht="17.25">
      <c t="s" s="1" r="A24">
        <v>30</v>
      </c>
      <c s="4" r="B24">
        <v>1</v>
      </c>
      <c s="4" r="C24">
        <v>1</v>
      </c>
      <c s="4" r="D24">
        <v>0</v>
      </c>
      <c s="6" r="E24">
        <v>0.5</v>
      </c>
      <c s="8" r="F24">
        <f>(B24*E24)</f>
        <v>0.5</v>
      </c>
      <c s="8" r="G24">
        <f>E24*C24</f>
        <v>0.5</v>
      </c>
      <c s="8" r="H24">
        <f>E24*D24</f>
        <v>0</v>
      </c>
      <c s="6" r="I24"/>
      <c s="6" r="J24"/>
      <c s="5" r="K24"/>
    </row>
    <row customHeight="1" r="25" ht="17.25">
      <c t="s" s="1" r="A25">
        <v>31</v>
      </c>
      <c s="4" r="B25">
        <v>0</v>
      </c>
      <c s="4" r="C25">
        <v>0</v>
      </c>
      <c s="4" r="D25">
        <v>0</v>
      </c>
      <c s="3" r="E25">
        <v>0.488</v>
      </c>
      <c s="8" r="F25">
        <f>(B25*E25)</f>
        <v>0</v>
      </c>
      <c s="8" r="G25">
        <f>E25*C25</f>
        <v>0</v>
      </c>
      <c s="8" r="H25">
        <f>E25*D25</f>
        <v>0</v>
      </c>
      <c s="6" r="I25"/>
      <c s="6" r="J25"/>
      <c s="5" r="K25"/>
    </row>
    <row customHeight="1" r="26" ht="17.25">
      <c t="s" s="1" r="A26">
        <v>32</v>
      </c>
      <c s="4" r="B26">
        <v>3</v>
      </c>
      <c s="4" r="C26">
        <v>2</v>
      </c>
      <c s="4" r="D26">
        <v>1</v>
      </c>
      <c s="6" r="E26">
        <v>0.585</v>
      </c>
      <c s="8" r="F26">
        <f>(B26*E26)</f>
        <v>1.755</v>
      </c>
      <c s="8" r="G26">
        <f>E26*C26</f>
        <v>1.17</v>
      </c>
      <c s="8" r="H26">
        <f>E26*D26</f>
        <v>0.585</v>
      </c>
      <c s="6" r="I26"/>
      <c s="6" r="J26"/>
      <c s="5" r="K26"/>
    </row>
    <row customHeight="1" r="27" ht="17.25">
      <c t="s" s="1" r="A27">
        <v>33</v>
      </c>
      <c s="4" r="B27">
        <v>3</v>
      </c>
      <c s="4" r="C27">
        <v>1</v>
      </c>
      <c s="4" r="D27">
        <v>2</v>
      </c>
      <c s="6" r="E27">
        <v>0.293</v>
      </c>
      <c s="8" r="F27">
        <f>(B27*E27)</f>
        <v>0.879</v>
      </c>
      <c s="8" r="G27">
        <f>E27*C27</f>
        <v>0.293</v>
      </c>
      <c s="8" r="H27">
        <f>E27*D27</f>
        <v>0.586</v>
      </c>
      <c s="6" r="I27"/>
      <c s="6" r="J27"/>
      <c s="5" r="K27"/>
    </row>
    <row customHeight="1" r="28" ht="17.25">
      <c t="s" s="1" r="A28">
        <v>34</v>
      </c>
      <c s="4" r="B28">
        <v>4</v>
      </c>
      <c s="4" r="C28">
        <v>2</v>
      </c>
      <c s="4" r="D28">
        <v>2</v>
      </c>
      <c s="6" r="E28">
        <v>0.744</v>
      </c>
      <c s="8" r="F28">
        <f>(B28*E28)</f>
        <v>2.976</v>
      </c>
      <c s="8" r="G28">
        <f>E28*C28</f>
        <v>1.488</v>
      </c>
      <c s="8" r="H28">
        <f>E28*D28</f>
        <v>1.488</v>
      </c>
      <c s="6" r="I28"/>
      <c s="6" r="J28"/>
      <c s="5" r="K28"/>
    </row>
    <row customHeight="1" r="29" ht="17.25">
      <c t="s" s="1" r="A29">
        <v>35</v>
      </c>
      <c s="4" r="B29">
        <v>1</v>
      </c>
      <c s="4" r="C29">
        <v>1</v>
      </c>
      <c s="4" r="D29">
        <v>0</v>
      </c>
      <c s="6" r="E29">
        <v>0.268</v>
      </c>
      <c s="8" r="F29">
        <f>(B29*E29)</f>
        <v>0.268</v>
      </c>
      <c s="8" r="G29">
        <f>E29*C29</f>
        <v>0.268</v>
      </c>
      <c s="8" r="H29">
        <f>E29*D29</f>
        <v>0</v>
      </c>
      <c s="6" r="I29"/>
      <c s="6" r="J29"/>
      <c s="5" r="K29"/>
    </row>
    <row customHeight="1" r="30" ht="17.25">
      <c t="s" s="1" r="A30">
        <v>36</v>
      </c>
      <c s="4" r="B30">
        <v>3</v>
      </c>
      <c s="4" r="C30">
        <v>1</v>
      </c>
      <c s="4" r="D30">
        <v>2</v>
      </c>
      <c s="6" r="E30">
        <v>0.476</v>
      </c>
      <c s="8" r="F30">
        <f>(B30*E30)</f>
        <v>1.428</v>
      </c>
      <c s="8" r="G30">
        <f>E30*C30</f>
        <v>0.476</v>
      </c>
      <c s="8" r="H30">
        <f>E30*D30</f>
        <v>0.952</v>
      </c>
      <c s="6" r="I30"/>
      <c s="6" r="J30"/>
      <c s="5" r="K30"/>
    </row>
    <row customHeight="1" r="31" ht="17.25">
      <c t="s" s="1" r="A31">
        <v>37</v>
      </c>
      <c s="4" r="B31">
        <v>1</v>
      </c>
      <c s="4" r="C31">
        <v>1</v>
      </c>
      <c s="4" r="D31">
        <v>0</v>
      </c>
      <c s="6" r="E31">
        <v>0.28</v>
      </c>
      <c s="8" r="F31">
        <f>(B31*E31)</f>
        <v>0.28</v>
      </c>
      <c s="8" r="G31">
        <f>E31*C31</f>
        <v>0.28</v>
      </c>
      <c s="8" r="H31">
        <f>E31*D31</f>
        <v>0</v>
      </c>
      <c s="6" r="I31"/>
      <c s="6" r="J31"/>
      <c s="5" r="K31"/>
    </row>
    <row customHeight="1" r="32" ht="17.25">
      <c t="s" s="1" r="A32">
        <v>38</v>
      </c>
      <c s="4" r="B32">
        <f>SUM(B2:B31)</f>
        <v>66</v>
      </c>
      <c s="4" r="C32">
        <f>SUM(C2:C31)</f>
        <v>33</v>
      </c>
      <c s="4" r="D32">
        <f>SUM(D2:D31)</f>
        <v>33</v>
      </c>
      <c s="6" r="E32"/>
      <c s="2" r="F32"/>
      <c s="4" r="G32">
        <f>E32/C32</f>
        <v>0</v>
      </c>
      <c s="4" r="H32">
        <f>E32*D32</f>
        <v>0</v>
      </c>
      <c s="6" r="I32"/>
      <c s="6" r="J32"/>
      <c s="5" r="K32"/>
    </row>
    <row customHeight="1" r="33" ht="17.25">
      <c t="s" s="1" r="A33">
        <v>39</v>
      </c>
      <c s="8" r="B33">
        <f>SUM(F1:F31)/66</f>
        <v>0.518469696969697</v>
      </c>
      <c s="8" r="C33">
        <f>SUM(G1:G31)/33</f>
        <v>0.49</v>
      </c>
      <c s="8" r="D33">
        <f>SUM(H1:H31)/33</f>
        <v>0.546939393939394</v>
      </c>
      <c s="6" r="E33"/>
      <c s="6" r="F33"/>
      <c s="6" r="G33"/>
      <c s="6" r="H33"/>
      <c s="6" r="I33"/>
      <c s="6" r="J33"/>
      <c s="6" r="K33"/>
    </row>
    <row customHeight="1" r="34" ht="17.25">
      <c s="1" r="A34"/>
      <c s="6" r="B34"/>
      <c s="6" r="C34"/>
      <c s="6" r="D34"/>
      <c s="6" r="E34"/>
      <c s="6" r="F34"/>
      <c s="6" r="G34"/>
      <c s="6" r="H34"/>
      <c s="6" r="I34"/>
      <c s="6" r="J34"/>
      <c s="6" r="K34"/>
    </row>
    <row customHeight="1" r="35" ht="17.25">
      <c s="1" r="A35"/>
      <c s="6" r="B35"/>
      <c s="6" r="C35"/>
      <c s="6" r="D35"/>
      <c s="6" r="E35"/>
      <c s="6" r="F35"/>
      <c s="6" r="G35"/>
      <c s="6" r="H35"/>
      <c s="6" r="I35"/>
      <c s="6" r="J35"/>
      <c s="6" r="K35"/>
    </row>
    <row customHeight="1" r="36" ht="17.25">
      <c s="1" r="A36"/>
      <c s="6" r="B36"/>
      <c s="6" r="C36"/>
      <c s="6" r="D36"/>
      <c s="6" r="E36"/>
      <c s="6" r="F36"/>
      <c s="6" r="G36"/>
      <c s="6" r="H36"/>
      <c s="6" r="I36"/>
      <c s="6" r="J36"/>
      <c s="6" r="K36"/>
    </row>
    <row customHeight="1" r="37" ht="17.25">
      <c s="1" r="A37"/>
      <c s="6" r="B37"/>
      <c s="6" r="C37"/>
      <c s="6" r="D37"/>
      <c s="6" r="E37"/>
      <c s="6" r="F37"/>
      <c s="6" r="G37"/>
      <c s="6" r="H37"/>
      <c s="6" r="I37"/>
      <c s="6" r="J37"/>
      <c s="6" r="K37"/>
    </row>
    <row customHeight="1" r="38" ht="17.25">
      <c s="1" r="A38"/>
      <c s="6" r="B38"/>
      <c s="6" r="C38"/>
      <c s="6" r="D38"/>
      <c s="6" r="E38"/>
      <c s="6" r="F38"/>
      <c s="6" r="G38"/>
      <c s="6" r="H38"/>
      <c s="6" r="I38"/>
      <c s="6" r="J38"/>
      <c s="6" r="K38"/>
    </row>
    <row customHeight="1" r="39" ht="17.25">
      <c s="1" r="A39"/>
      <c s="6" r="B39"/>
      <c s="6" r="C39"/>
      <c s="6" r="D39"/>
      <c s="6" r="E39"/>
      <c s="6" r="F39"/>
      <c s="6" r="G39"/>
      <c s="6" r="H39"/>
      <c s="6" r="I39"/>
      <c s="6" r="J39"/>
      <c s="6" r="K39"/>
    </row>
    <row customHeight="1" r="40" ht="17.25">
      <c s="1" r="A40"/>
      <c s="6" r="B40"/>
      <c s="6" r="C40"/>
      <c s="6" r="D40"/>
      <c s="6" r="E40"/>
      <c s="6" r="F40"/>
      <c s="6" r="G40"/>
      <c s="6" r="H40"/>
      <c s="6" r="I40"/>
      <c s="6" r="J40"/>
      <c s="6" r="K40"/>
    </row>
    <row customHeight="1" r="41" ht="17.25">
      <c s="1" r="A41"/>
      <c s="6" r="B41"/>
      <c s="6" r="C41"/>
      <c s="6" r="D41"/>
      <c s="6" r="E41"/>
      <c s="6" r="F41"/>
      <c s="6" r="G41"/>
      <c s="6" r="H41"/>
      <c s="6" r="I41"/>
      <c s="6" r="J41"/>
      <c s="6" r="K41"/>
    </row>
    <row customHeight="1" r="42" ht="17.25">
      <c s="1" r="A42"/>
      <c s="6" r="B42"/>
      <c s="6" r="C42"/>
      <c s="6" r="D42"/>
      <c s="6" r="E42"/>
      <c s="6" r="F42"/>
      <c s="6" r="G42"/>
      <c s="6" r="H42"/>
      <c s="6" r="I42"/>
      <c s="6" r="J42"/>
      <c s="6" r="K42"/>
    </row>
    <row customHeight="1" r="43" ht="17.25">
      <c s="1" r="A43"/>
      <c s="6" r="B43"/>
      <c s="6" r="C43"/>
      <c s="6" r="D43"/>
      <c s="6" r="E43"/>
      <c s="6" r="F43"/>
      <c s="6" r="G43"/>
      <c s="6" r="H43"/>
      <c s="6" r="I43"/>
      <c s="6" r="J43"/>
      <c s="6" r="K43"/>
    </row>
    <row customHeight="1" r="44" ht="17.25">
      <c s="1" r="A44"/>
      <c s="6" r="B44"/>
      <c s="6" r="C44"/>
      <c s="6" r="D44"/>
      <c s="6" r="E44"/>
      <c s="6" r="F44"/>
      <c s="6" r="G44"/>
      <c s="6" r="H44"/>
      <c s="6" r="I44"/>
      <c s="6" r="J44"/>
      <c s="6" r="K44"/>
    </row>
    <row customHeight="1" r="45" ht="17.25">
      <c s="1" r="A45"/>
      <c s="6" r="B45"/>
      <c s="6" r="C45"/>
      <c s="6" r="D45"/>
      <c s="6" r="E45"/>
      <c s="6" r="F45"/>
      <c s="6" r="G45"/>
      <c s="6" r="H45"/>
      <c s="6" r="I45"/>
      <c s="6" r="J45"/>
      <c s="6" r="K45"/>
    </row>
  </sheetData>
</worksheet>
</file>