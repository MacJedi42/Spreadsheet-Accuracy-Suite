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20" windowHeight="7890" activeTab="2"/>
  </bookViews>
  <sheets>
    <sheet name="20130325 i1 display attempt 1" sheetId="4" r:id="rId1"/>
    <sheet name="20130325 attempt 2" sheetId="6" r:id="rId2"/>
    <sheet name="20130326 verify attempt 2" sheetId="7" r:id="rId3"/>
  </sheets>
  <calcPr calcId="145621"/>
</workbook>
</file>

<file path=xl/calcChain.xml><?xml version="1.0" encoding="utf-8"?>
<calcChain xmlns="http://schemas.openxmlformats.org/spreadsheetml/2006/main">
  <c r="C69" i="7" l="1"/>
  <c r="D69" i="7"/>
  <c r="E69" i="7"/>
  <c r="F69" i="7"/>
  <c r="G69" i="7"/>
  <c r="H69" i="7"/>
  <c r="B69" i="7"/>
  <c r="C66" i="7"/>
  <c r="D66" i="7"/>
  <c r="E66" i="7"/>
  <c r="F66" i="7"/>
  <c r="G66" i="7"/>
  <c r="H66" i="7"/>
  <c r="B66" i="7"/>
  <c r="C65" i="7"/>
  <c r="D65" i="7"/>
  <c r="E65" i="7"/>
  <c r="F65" i="7"/>
  <c r="G65" i="7"/>
  <c r="H65" i="7"/>
  <c r="B65" i="7"/>
  <c r="H68" i="7"/>
  <c r="G68" i="7"/>
  <c r="F68" i="7"/>
  <c r="E68" i="7"/>
  <c r="D68" i="7"/>
  <c r="C68" i="7"/>
  <c r="B68" i="7"/>
  <c r="H67" i="7"/>
  <c r="G67" i="7"/>
  <c r="F67" i="7"/>
  <c r="E67" i="7"/>
  <c r="D67" i="7"/>
  <c r="C67" i="7"/>
  <c r="B67" i="7"/>
  <c r="H35" i="7"/>
  <c r="G35" i="7"/>
  <c r="F35" i="7"/>
  <c r="E35" i="7"/>
  <c r="D35" i="7"/>
  <c r="C35" i="7"/>
  <c r="B35" i="7"/>
  <c r="H34" i="7"/>
  <c r="G34" i="7"/>
  <c r="F34" i="7"/>
  <c r="E34" i="7"/>
  <c r="D34" i="7"/>
  <c r="C34" i="7"/>
  <c r="B34" i="7"/>
  <c r="H33" i="7"/>
  <c r="G33" i="7"/>
  <c r="F33" i="7"/>
  <c r="E33" i="7"/>
  <c r="D33" i="7"/>
  <c r="C33" i="7"/>
  <c r="B33" i="7"/>
  <c r="H32" i="7"/>
  <c r="G32" i="7"/>
  <c r="F32" i="7"/>
  <c r="E32" i="7"/>
  <c r="D32" i="7"/>
  <c r="C32" i="7"/>
  <c r="B32" i="7"/>
  <c r="H31" i="7"/>
  <c r="G31" i="7"/>
  <c r="F31" i="7"/>
  <c r="E31" i="7"/>
  <c r="D31" i="7"/>
  <c r="C31" i="7"/>
  <c r="B31" i="7"/>
  <c r="H35" i="6" l="1"/>
  <c r="G35" i="6"/>
  <c r="F35" i="6"/>
  <c r="E35" i="6"/>
  <c r="D35" i="6"/>
  <c r="C35" i="6"/>
  <c r="B35" i="6"/>
  <c r="H34" i="6"/>
  <c r="G34" i="6"/>
  <c r="F34" i="6"/>
  <c r="E34" i="6"/>
  <c r="D34" i="6"/>
  <c r="C34" i="6"/>
  <c r="B34" i="6"/>
  <c r="H33" i="6"/>
  <c r="G33" i="6"/>
  <c r="F33" i="6"/>
  <c r="E33" i="6"/>
  <c r="D33" i="6"/>
  <c r="C33" i="6"/>
  <c r="B33" i="6"/>
  <c r="H32" i="6"/>
  <c r="G32" i="6"/>
  <c r="F32" i="6"/>
  <c r="E32" i="6"/>
  <c r="D32" i="6"/>
  <c r="C32" i="6"/>
  <c r="B32" i="6"/>
  <c r="H31" i="6"/>
  <c r="G31" i="6"/>
  <c r="F31" i="6"/>
  <c r="E31" i="6"/>
  <c r="D31" i="6"/>
  <c r="C31" i="6"/>
  <c r="B31" i="6"/>
  <c r="B31" i="4" l="1"/>
  <c r="C31" i="4"/>
  <c r="D31" i="4"/>
  <c r="E31" i="4"/>
  <c r="F31" i="4"/>
  <c r="G31" i="4"/>
  <c r="H31" i="4"/>
  <c r="B32" i="4"/>
  <c r="C32" i="4"/>
  <c r="D32" i="4"/>
  <c r="E32" i="4"/>
  <c r="F32" i="4"/>
  <c r="G32" i="4"/>
  <c r="H32" i="4"/>
  <c r="H35" i="4"/>
  <c r="G35" i="4"/>
  <c r="F35" i="4"/>
  <c r="E35" i="4"/>
  <c r="D35" i="4"/>
  <c r="C35" i="4"/>
  <c r="B35" i="4"/>
  <c r="H34" i="4"/>
  <c r="G34" i="4"/>
  <c r="F34" i="4"/>
  <c r="E34" i="4"/>
  <c r="D34" i="4"/>
  <c r="C34" i="4"/>
  <c r="B34" i="4"/>
  <c r="H33" i="4"/>
  <c r="G33" i="4"/>
  <c r="F33" i="4"/>
  <c r="E33" i="4"/>
  <c r="D33" i="4"/>
  <c r="C33" i="4"/>
  <c r="B33" i="4"/>
</calcChain>
</file>

<file path=xl/sharedStrings.xml><?xml version="1.0" encoding="utf-8"?>
<sst xmlns="http://schemas.openxmlformats.org/spreadsheetml/2006/main" count="221" uniqueCount="33">
  <si>
    <t>x: CIE31</t>
  </si>
  <si>
    <t>y: CIE31</t>
  </si>
  <si>
    <t>Y</t>
  </si>
  <si>
    <t>Target Y</t>
  </si>
  <si>
    <t>ΔE 1994</t>
  </si>
  <si>
    <t>White</t>
  </si>
  <si>
    <t>Red</t>
  </si>
  <si>
    <t>Green</t>
  </si>
  <si>
    <t xml:space="preserve">Blue </t>
  </si>
  <si>
    <t>Cyan</t>
  </si>
  <si>
    <t>Magenta</t>
  </si>
  <si>
    <t>Yellow</t>
  </si>
  <si>
    <t>ΔE 1994 Calman</t>
  </si>
  <si>
    <t>ΔE 1994 CP sheet</t>
  </si>
  <si>
    <t>Difference in ΔE</t>
  </si>
  <si>
    <t>Difference &gt; 0.005</t>
  </si>
  <si>
    <t>Difference &gt; 0.002 but &lt;= 0.005</t>
  </si>
  <si>
    <t>Difference &lt; 0.002</t>
  </si>
  <si>
    <t>For x,y</t>
  </si>
  <si>
    <t>For ΔE 1994</t>
  </si>
  <si>
    <t>Diffrence &lt; 0.2</t>
  </si>
  <si>
    <t>Difference &gt; 0.2 but &lt;= 0.5</t>
  </si>
  <si>
    <t>Difference &gt; 0.5</t>
  </si>
  <si>
    <t>i1 display 3 OEM colorimeter</t>
  </si>
  <si>
    <t>i1 pro 2 spectrophotometer</t>
  </si>
  <si>
    <t>Note: this is the 2nd attempt I made and this profile looks a lot better</t>
  </si>
  <si>
    <t>Note: 1st attempt to profiling. Not a big succes :-)</t>
  </si>
  <si>
    <t>(profiled)</t>
  </si>
  <si>
    <r>
      <t>Profile verification:</t>
    </r>
    <r>
      <rPr>
        <b/>
        <sz val="14"/>
        <color rgb="FFFF0000"/>
        <rFont val="Calibri"/>
        <family val="2"/>
        <scheme val="minor"/>
      </rPr>
      <t xml:space="preserve"> FAIL</t>
    </r>
  </si>
  <si>
    <r>
      <t>Profile verification: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color rgb="FF92D050"/>
        <rFont val="Calibri"/>
        <family val="2"/>
        <scheme val="minor"/>
      </rPr>
      <t>PASS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(red is a bit dubious perhaps…)</t>
    </r>
  </si>
  <si>
    <r>
      <t>Profile verification: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color rgb="FF92D050"/>
        <rFont val="Calibri"/>
        <family val="2"/>
        <scheme val="minor"/>
      </rPr>
      <t>PASS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(red looks a lot better now. Did not change anything to the profile though)</t>
    </r>
  </si>
  <si>
    <r>
      <t xml:space="preserve">Just for fun, I compared the x,y coordinates between the i1 pro 2 spectrometer and the i1 display 3 pro </t>
    </r>
    <r>
      <rPr>
        <b/>
        <u/>
        <sz val="14"/>
        <color theme="8" tint="-0.249977111117893"/>
        <rFont val="Calibri"/>
        <family val="2"/>
        <scheme val="minor"/>
      </rPr>
      <t>OEM</t>
    </r>
    <r>
      <rPr>
        <b/>
        <sz val="14"/>
        <color theme="8" tint="-0.249977111117893"/>
        <rFont val="Calibri"/>
        <family val="2"/>
        <scheme val="minor"/>
      </rPr>
      <t xml:space="preserve"> (i1 display 3 profile </t>
    </r>
    <r>
      <rPr>
        <u/>
        <sz val="14"/>
        <color rgb="FFFF0000"/>
        <rFont val="Calibri"/>
        <family val="2"/>
        <scheme val="minor"/>
      </rPr>
      <t>disabled)</t>
    </r>
  </si>
  <si>
    <r>
      <t xml:space="preserve">(without profile) remark </t>
    </r>
    <r>
      <rPr>
        <b/>
        <sz val="14"/>
        <color rgb="FFFF0000"/>
        <rFont val="Calibri"/>
        <family val="2"/>
        <scheme val="minor"/>
      </rPr>
      <t>the display 3 was not moved</t>
    </r>
    <r>
      <rPr>
        <b/>
        <sz val="14"/>
        <color theme="1"/>
        <rFont val="Calibri"/>
        <family val="2"/>
        <scheme val="minor"/>
      </rPr>
      <t xml:space="preserve"> from its previous run when the profile was enabled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</si>
</sst>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u/>
      <sz val="14"/>
      <color theme="8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4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rgb="FF92D050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Fill="1"/>
    <xf numFmtId="0" fontId="0" fillId="0" borderId="1" xfId="0" applyBorder="1" applyAlignment="1">
      <alignment vertical="center" wrapText="1"/>
    </xf>
    <xf numFmtId="164" fontId="0" fillId="0" borderId="3" xfId="0" applyNumberFormat="1" applyBorder="1"/>
    <xf numFmtId="0" fontId="0" fillId="0" borderId="5" xfId="0" applyBorder="1" applyAlignment="1">
      <alignment vertical="center" wrapText="1"/>
    </xf>
    <xf numFmtId="164" fontId="0" fillId="0" borderId="0" xfId="0" applyNumberFormat="1" applyBorder="1"/>
    <xf numFmtId="0" fontId="0" fillId="0" borderId="6" xfId="0" applyBorder="1"/>
    <xf numFmtId="0" fontId="0" fillId="0" borderId="4" xfId="0" applyBorder="1"/>
    <xf numFmtId="0" fontId="0" fillId="0" borderId="0" xfId="0" applyBorder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/>
    <xf numFmtId="0" fontId="1" fillId="0" borderId="2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164" fontId="0" fillId="0" borderId="0" xfId="0" applyNumberFormat="1" applyBorder="1" applyAlignment="1">
      <alignment vertical="center" wrapText="1"/>
    </xf>
    <xf numFmtId="0" fontId="4" fillId="0" borderId="0" xfId="0" applyFont="1"/>
    <xf numFmtId="0" fontId="8" fillId="0" borderId="0" xfId="0" applyFont="1"/>
    <xf numFmtId="0" fontId="11" fillId="0" borderId="0" xfId="0" applyFont="1"/>
  </cellXfs>
  <cellStyles count="1">
    <cellStyle name="Normal" xfId="0" builtinId="0"/>
  </cellStyles>
  <dxfs count="66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14</xdr:row>
      <xdr:rowOff>19050</xdr:rowOff>
    </xdr:from>
    <xdr:to>
      <xdr:col>16</xdr:col>
      <xdr:colOff>580424</xdr:colOff>
      <xdr:row>22</xdr:row>
      <xdr:rowOff>47423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8050" y="2819400"/>
          <a:ext cx="4809524" cy="16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0</xdr:row>
      <xdr:rowOff>19050</xdr:rowOff>
    </xdr:from>
    <xdr:to>
      <xdr:col>16</xdr:col>
      <xdr:colOff>570899</xdr:colOff>
      <xdr:row>8</xdr:row>
      <xdr:rowOff>66473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8525" y="19050"/>
          <a:ext cx="4809524" cy="16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28575</xdr:rowOff>
    </xdr:from>
    <xdr:to>
      <xdr:col>16</xdr:col>
      <xdr:colOff>542324</xdr:colOff>
      <xdr:row>8</xdr:row>
      <xdr:rowOff>75998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9950" y="28575"/>
          <a:ext cx="4809524" cy="16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14</xdr:row>
      <xdr:rowOff>38100</xdr:rowOff>
    </xdr:from>
    <xdr:to>
      <xdr:col>16</xdr:col>
      <xdr:colOff>561374</xdr:colOff>
      <xdr:row>22</xdr:row>
      <xdr:rowOff>85523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0" y="2819400"/>
          <a:ext cx="4809524" cy="16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19050</xdr:rowOff>
    </xdr:from>
    <xdr:to>
      <xdr:col>16</xdr:col>
      <xdr:colOff>542324</xdr:colOff>
      <xdr:row>8</xdr:row>
      <xdr:rowOff>66473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9950" y="19050"/>
          <a:ext cx="4809524" cy="16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19050</xdr:rowOff>
    </xdr:from>
    <xdr:to>
      <xdr:col>16</xdr:col>
      <xdr:colOff>542324</xdr:colOff>
      <xdr:row>22</xdr:row>
      <xdr:rowOff>66473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9950" y="2800350"/>
          <a:ext cx="4809524" cy="16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48</xdr:row>
      <xdr:rowOff>0</xdr:rowOff>
    </xdr:from>
    <xdr:to>
      <xdr:col>16</xdr:col>
      <xdr:colOff>570899</xdr:colOff>
      <xdr:row>56</xdr:row>
      <xdr:rowOff>85523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9563100"/>
          <a:ext cx="4809524" cy="16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opLeftCell="A21" workbookViewId="0">
      <selection activeCell="B53" sqref="B53"/>
    </sheetView>
  </sheetViews>
  <sheetFormatPr defaultRowHeight="15" x14ac:dyDescent="0.25"/>
  <cols>
    <col min="1" max="1" width="33" customWidth="1"/>
    <col min="2" max="2" width="10.5703125" customWidth="1"/>
    <col min="6" max="6" width="9.85546875" customWidth="1"/>
  </cols>
  <sheetData>
    <row r="1" spans="1:10" ht="18.75" x14ac:dyDescent="0.3">
      <c r="A1" s="18" t="s">
        <v>24</v>
      </c>
    </row>
    <row r="2" spans="1:10" x14ac:dyDescent="0.25"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</row>
    <row r="3" spans="1:10" x14ac:dyDescent="0.25">
      <c r="A3" s="1" t="s">
        <v>0</v>
      </c>
      <c r="B3" s="1">
        <v>0.31940000000000002</v>
      </c>
      <c r="C3" s="1">
        <v>0.64239999999999997</v>
      </c>
      <c r="D3" s="1">
        <v>0.30959999999999999</v>
      </c>
      <c r="E3" s="1">
        <v>0.154</v>
      </c>
      <c r="F3" s="1">
        <v>0.23280000000000001</v>
      </c>
      <c r="G3" s="1">
        <v>0.33129999999999998</v>
      </c>
      <c r="H3" s="1">
        <v>0.43130000000000002</v>
      </c>
      <c r="I3" s="1">
        <v>0.31819999999999998</v>
      </c>
      <c r="J3" s="1"/>
    </row>
    <row r="4" spans="1:10" x14ac:dyDescent="0.25">
      <c r="A4" s="1" t="s">
        <v>1</v>
      </c>
      <c r="B4" s="1">
        <v>0.32569999999999999</v>
      </c>
      <c r="C4" s="1">
        <v>0.32919999999999999</v>
      </c>
      <c r="D4" s="1">
        <v>0.59109999999999996</v>
      </c>
      <c r="E4" s="1">
        <v>6.5799999999999997E-2</v>
      </c>
      <c r="F4" s="1">
        <v>0.32429999999999998</v>
      </c>
      <c r="G4" s="1">
        <v>0.15840000000000001</v>
      </c>
      <c r="H4" s="1">
        <v>0.49819999999999998</v>
      </c>
      <c r="I4" s="1">
        <v>0.32569999999999999</v>
      </c>
      <c r="J4" s="1"/>
    </row>
    <row r="5" spans="1:10" x14ac:dyDescent="0.25">
      <c r="A5" s="1" t="s">
        <v>2</v>
      </c>
      <c r="B5" s="1">
        <v>66.406099999999995</v>
      </c>
      <c r="C5" s="1">
        <v>15.285299999999999</v>
      </c>
      <c r="D5" s="1">
        <v>45.479100000000003</v>
      </c>
      <c r="E5" s="1">
        <v>4.8865999999999996</v>
      </c>
      <c r="F5" s="1">
        <v>51.670699999999997</v>
      </c>
      <c r="G5" s="1">
        <v>19.464300000000001</v>
      </c>
      <c r="H5" s="1">
        <v>61.913800000000002</v>
      </c>
      <c r="I5" s="1">
        <v>125.41030000000001</v>
      </c>
      <c r="J5" s="1"/>
    </row>
    <row r="6" spans="1:10" x14ac:dyDescent="0.25">
      <c r="A6" s="1" t="s">
        <v>3</v>
      </c>
      <c r="B6" s="1">
        <v>66.406099999999995</v>
      </c>
      <c r="C6" s="1">
        <v>14.1212</v>
      </c>
      <c r="D6" s="1">
        <v>47.491599999999998</v>
      </c>
      <c r="E6" s="1">
        <v>4.7933000000000003</v>
      </c>
      <c r="F6" s="1">
        <v>52.2849</v>
      </c>
      <c r="G6" s="1">
        <v>18.9145</v>
      </c>
      <c r="H6" s="1">
        <v>61.6128</v>
      </c>
      <c r="I6" s="1">
        <v>125.41030000000001</v>
      </c>
      <c r="J6" s="1"/>
    </row>
    <row r="7" spans="1:10" x14ac:dyDescent="0.25">
      <c r="A7" s="1" t="s">
        <v>4</v>
      </c>
      <c r="B7" s="1">
        <v>3.5531000000000001</v>
      </c>
      <c r="C7" s="1">
        <v>1.6364000000000001</v>
      </c>
      <c r="D7" s="1">
        <v>1.9751000000000001</v>
      </c>
      <c r="E7" s="1">
        <v>1.2619</v>
      </c>
      <c r="F7" s="1">
        <v>2.4645000000000001</v>
      </c>
      <c r="G7" s="1">
        <v>1.2817000000000001</v>
      </c>
      <c r="H7" s="1">
        <v>2.5409999999999999</v>
      </c>
      <c r="I7" s="1">
        <v>3.8058999999999998</v>
      </c>
      <c r="J7" s="1"/>
    </row>
    <row r="8" spans="1:10" x14ac:dyDescent="0.25">
      <c r="A8" s="11" t="s">
        <v>13</v>
      </c>
      <c r="B8" s="12"/>
      <c r="C8" s="12"/>
      <c r="D8" s="12"/>
      <c r="E8" s="12"/>
      <c r="F8" s="12"/>
      <c r="G8" s="12"/>
      <c r="H8" s="12"/>
      <c r="I8" s="13"/>
    </row>
    <row r="9" spans="1:10" ht="15.75" thickBot="1" x14ac:dyDescent="0.3">
      <c r="A9" s="19" t="s">
        <v>14</v>
      </c>
      <c r="B9" s="10"/>
      <c r="C9" s="10"/>
      <c r="D9" s="10"/>
      <c r="E9" s="10"/>
      <c r="F9" s="10"/>
      <c r="G9" s="10"/>
      <c r="H9" s="10"/>
      <c r="I9" s="14"/>
    </row>
    <row r="10" spans="1:10" ht="19.5" thickTop="1" x14ac:dyDescent="0.3">
      <c r="A10" s="18" t="s">
        <v>19</v>
      </c>
      <c r="B10" s="12"/>
      <c r="C10" s="12"/>
      <c r="D10" s="12"/>
      <c r="E10" s="12"/>
      <c r="F10" s="12"/>
      <c r="G10" s="12"/>
      <c r="H10" s="12"/>
      <c r="I10" s="15"/>
    </row>
    <row r="11" spans="1:10" x14ac:dyDescent="0.25">
      <c r="A11" s="5" t="s">
        <v>20</v>
      </c>
      <c r="B11" s="12"/>
      <c r="C11" s="12"/>
      <c r="D11" s="12"/>
      <c r="E11" s="12"/>
      <c r="F11" s="12"/>
      <c r="G11" s="12"/>
      <c r="H11" s="12"/>
      <c r="I11" s="15"/>
    </row>
    <row r="12" spans="1:10" x14ac:dyDescent="0.25">
      <c r="A12" s="7" t="s">
        <v>21</v>
      </c>
      <c r="B12" s="12"/>
      <c r="C12" s="12"/>
      <c r="D12" s="12"/>
      <c r="E12" s="12"/>
      <c r="F12" s="12"/>
      <c r="G12" s="12"/>
      <c r="H12" s="12"/>
      <c r="I12" s="15"/>
    </row>
    <row r="13" spans="1:10" x14ac:dyDescent="0.25">
      <c r="A13" s="4" t="s">
        <v>22</v>
      </c>
    </row>
    <row r="14" spans="1:10" x14ac:dyDescent="0.25">
      <c r="A14" s="8"/>
    </row>
    <row r="15" spans="1:10" ht="18.75" x14ac:dyDescent="0.3">
      <c r="A15" s="18" t="s">
        <v>23</v>
      </c>
    </row>
    <row r="16" spans="1:10" x14ac:dyDescent="0.25">
      <c r="B16" s="3" t="s">
        <v>5</v>
      </c>
      <c r="C16" s="3" t="s">
        <v>6</v>
      </c>
      <c r="D16" s="3" t="s">
        <v>7</v>
      </c>
      <c r="E16" s="3" t="s">
        <v>8</v>
      </c>
      <c r="F16" s="3" t="s">
        <v>9</v>
      </c>
      <c r="G16" s="3" t="s">
        <v>10</v>
      </c>
      <c r="H16" s="3" t="s">
        <v>11</v>
      </c>
    </row>
    <row r="17" spans="1:10" x14ac:dyDescent="0.25">
      <c r="A17" s="1" t="s">
        <v>0</v>
      </c>
      <c r="B17" s="1">
        <v>0.31900000000000001</v>
      </c>
      <c r="C17" s="1">
        <v>0.64949999999999997</v>
      </c>
      <c r="D17" s="1">
        <v>0.308</v>
      </c>
      <c r="E17" s="1">
        <v>0.15040000000000001</v>
      </c>
      <c r="F17" s="1">
        <v>0.2316</v>
      </c>
      <c r="G17" s="1">
        <v>0.3306</v>
      </c>
      <c r="H17" s="1">
        <v>0.43140000000000001</v>
      </c>
      <c r="I17" s="1">
        <v>0.31780000000000003</v>
      </c>
      <c r="J17" s="1"/>
    </row>
    <row r="18" spans="1:10" x14ac:dyDescent="0.25">
      <c r="A18" s="1" t="s">
        <v>1</v>
      </c>
      <c r="B18" s="1">
        <v>0.32550000000000001</v>
      </c>
      <c r="C18" s="1">
        <v>0.32929999999999998</v>
      </c>
      <c r="D18" s="1">
        <v>0.59530000000000005</v>
      </c>
      <c r="E18" s="1">
        <v>6.1400000000000003E-2</v>
      </c>
      <c r="F18" s="1">
        <v>0.32440000000000002</v>
      </c>
      <c r="G18" s="1">
        <v>0.15620000000000001</v>
      </c>
      <c r="H18" s="1">
        <v>0.50019999999999998</v>
      </c>
      <c r="I18" s="1">
        <v>0.32550000000000001</v>
      </c>
      <c r="J18" s="1"/>
    </row>
    <row r="19" spans="1:10" x14ac:dyDescent="0.25">
      <c r="A19" s="1" t="s">
        <v>2</v>
      </c>
      <c r="B19" s="1">
        <v>66.407399999999996</v>
      </c>
      <c r="C19" s="1">
        <v>14.9572</v>
      </c>
      <c r="D19" s="1">
        <v>45.339399999999998</v>
      </c>
      <c r="E19" s="1">
        <v>4.5029000000000003</v>
      </c>
      <c r="F19" s="1">
        <v>51.666899999999998</v>
      </c>
      <c r="G19" s="1">
        <v>19.130400000000002</v>
      </c>
      <c r="H19" s="1">
        <v>61.995399999999997</v>
      </c>
      <c r="I19" s="1">
        <v>125.816</v>
      </c>
      <c r="J19" s="1"/>
    </row>
    <row r="20" spans="1:10" ht="15.75" thickBot="1" x14ac:dyDescent="0.3">
      <c r="A20" s="1" t="s">
        <v>3</v>
      </c>
      <c r="B20" s="1">
        <v>66.407399999999996</v>
      </c>
      <c r="C20" s="1">
        <v>14.121499999999999</v>
      </c>
      <c r="D20" s="1">
        <v>47.4925</v>
      </c>
      <c r="E20" s="1">
        <v>4.7934000000000001</v>
      </c>
      <c r="F20" s="1">
        <v>52.285899999999998</v>
      </c>
      <c r="G20" s="1">
        <v>18.914899999999999</v>
      </c>
      <c r="H20" s="1">
        <v>61.613999999999997</v>
      </c>
      <c r="I20" s="1">
        <v>125.816</v>
      </c>
      <c r="J20" s="1"/>
    </row>
    <row r="21" spans="1:10" ht="15.75" thickTop="1" x14ac:dyDescent="0.25">
      <c r="A21" s="9" t="s">
        <v>12</v>
      </c>
      <c r="B21" s="1">
        <v>3.5125999999999999</v>
      </c>
      <c r="C21" s="1">
        <v>1.8448</v>
      </c>
      <c r="D21" s="1">
        <v>1.8502000000000001</v>
      </c>
      <c r="E21" s="1">
        <v>1.1134999999999999</v>
      </c>
      <c r="F21" s="1">
        <v>2.2197</v>
      </c>
      <c r="G21" s="1">
        <v>1.1138999999999999</v>
      </c>
      <c r="H21" s="1">
        <v>2.4058000000000002</v>
      </c>
      <c r="I21" s="1">
        <v>3.7385999999999999</v>
      </c>
      <c r="J21" s="1"/>
    </row>
    <row r="22" spans="1:10" x14ac:dyDescent="0.25">
      <c r="A22" s="11" t="s">
        <v>13</v>
      </c>
      <c r="B22" s="21"/>
      <c r="C22" s="21"/>
      <c r="D22" s="21"/>
      <c r="E22" s="21"/>
      <c r="F22" s="21"/>
      <c r="G22" s="21"/>
      <c r="H22" s="21"/>
      <c r="I22" s="20"/>
      <c r="J22" s="1"/>
    </row>
    <row r="23" spans="1:10" ht="15.75" thickBot="1" x14ac:dyDescent="0.3">
      <c r="A23" s="19" t="s">
        <v>14</v>
      </c>
      <c r="B23" s="10"/>
      <c r="C23" s="10"/>
      <c r="D23" s="10"/>
      <c r="E23" s="10"/>
      <c r="F23" s="10"/>
      <c r="G23" s="10"/>
      <c r="H23" s="10"/>
      <c r="I23" s="14"/>
    </row>
    <row r="24" spans="1:10" ht="19.5" thickTop="1" x14ac:dyDescent="0.3">
      <c r="A24" s="18" t="s">
        <v>19</v>
      </c>
      <c r="B24" s="12"/>
      <c r="C24" s="12"/>
      <c r="D24" s="12"/>
      <c r="E24" s="12"/>
      <c r="F24" s="12"/>
      <c r="G24" s="12"/>
      <c r="H24" s="12"/>
      <c r="I24" s="15"/>
    </row>
    <row r="25" spans="1:10" x14ac:dyDescent="0.25">
      <c r="A25" s="5" t="s">
        <v>20</v>
      </c>
      <c r="B25" s="12"/>
      <c r="C25" s="12"/>
      <c r="D25" s="12"/>
      <c r="E25" s="12"/>
      <c r="F25" s="12"/>
      <c r="G25" s="12"/>
      <c r="H25" s="12"/>
      <c r="I25" s="15"/>
    </row>
    <row r="26" spans="1:10" x14ac:dyDescent="0.25">
      <c r="A26" s="7" t="s">
        <v>21</v>
      </c>
      <c r="B26" s="12"/>
      <c r="C26" s="12"/>
      <c r="D26" s="12"/>
      <c r="E26" s="12"/>
      <c r="F26" s="12"/>
      <c r="G26" s="12"/>
      <c r="H26" s="12"/>
      <c r="I26" s="15"/>
    </row>
    <row r="27" spans="1:10" x14ac:dyDescent="0.25">
      <c r="A27" s="4" t="s">
        <v>22</v>
      </c>
    </row>
    <row r="29" spans="1:10" ht="18.75" x14ac:dyDescent="0.3">
      <c r="A29" s="22" t="s">
        <v>28</v>
      </c>
      <c r="B29" s="22"/>
      <c r="C29" s="22"/>
      <c r="D29" s="22"/>
      <c r="E29" s="22"/>
      <c r="F29" s="22"/>
      <c r="G29" s="22"/>
      <c r="H29" s="22"/>
      <c r="I29" s="22"/>
      <c r="J29" s="17"/>
    </row>
    <row r="30" spans="1:10" x14ac:dyDescent="0.25">
      <c r="B30" s="3" t="s">
        <v>5</v>
      </c>
      <c r="C30" s="3" t="s">
        <v>6</v>
      </c>
      <c r="D30" s="3" t="s">
        <v>7</v>
      </c>
      <c r="E30" s="3" t="s">
        <v>8</v>
      </c>
      <c r="F30" s="3" t="s">
        <v>9</v>
      </c>
      <c r="G30" s="3" t="s">
        <v>10</v>
      </c>
      <c r="H30" s="3" t="s">
        <v>11</v>
      </c>
    </row>
    <row r="31" spans="1:10" x14ac:dyDescent="0.25">
      <c r="A31" s="1" t="s">
        <v>0</v>
      </c>
      <c r="B31" s="2">
        <f t="shared" ref="B31:H35" si="0">ABS(B3-B17)</f>
        <v>4.0000000000001146E-4</v>
      </c>
      <c r="C31" s="2">
        <f t="shared" si="0"/>
        <v>7.0999999999999952E-3</v>
      </c>
      <c r="D31" s="2">
        <f t="shared" si="0"/>
        <v>1.5999999999999903E-3</v>
      </c>
      <c r="E31" s="2">
        <f t="shared" si="0"/>
        <v>3.5999999999999921E-3</v>
      </c>
      <c r="F31" s="2">
        <f t="shared" si="0"/>
        <v>1.2000000000000066E-3</v>
      </c>
      <c r="G31" s="2">
        <f t="shared" si="0"/>
        <v>6.9999999999997842E-4</v>
      </c>
      <c r="H31" s="2">
        <f t="shared" si="0"/>
        <v>9.9999999999988987E-5</v>
      </c>
    </row>
    <row r="32" spans="1:10" x14ac:dyDescent="0.25">
      <c r="A32" s="1" t="s">
        <v>1</v>
      </c>
      <c r="B32" s="2">
        <f t="shared" si="0"/>
        <v>1.9999999999997797E-4</v>
      </c>
      <c r="C32" s="2">
        <f t="shared" si="0"/>
        <v>9.9999999999988987E-5</v>
      </c>
      <c r="D32" s="2">
        <f t="shared" si="0"/>
        <v>4.2000000000000925E-3</v>
      </c>
      <c r="E32" s="2">
        <f t="shared" si="0"/>
        <v>4.3999999999999942E-3</v>
      </c>
      <c r="F32" s="2">
        <f t="shared" si="0"/>
        <v>1.000000000000445E-4</v>
      </c>
      <c r="G32" s="2">
        <f t="shared" si="0"/>
        <v>2.2000000000000075E-3</v>
      </c>
      <c r="H32" s="2">
        <f t="shared" si="0"/>
        <v>2.0000000000000018E-3</v>
      </c>
    </row>
    <row r="33" spans="1:9" x14ac:dyDescent="0.25">
      <c r="A33" s="1" t="s">
        <v>2</v>
      </c>
      <c r="B33" s="2">
        <f t="shared" si="0"/>
        <v>1.300000000000523E-3</v>
      </c>
      <c r="C33" s="2">
        <f t="shared" si="0"/>
        <v>0.32809999999999917</v>
      </c>
      <c r="D33" s="2">
        <f t="shared" si="0"/>
        <v>0.13970000000000482</v>
      </c>
      <c r="E33" s="2">
        <f t="shared" si="0"/>
        <v>0.38369999999999926</v>
      </c>
      <c r="F33" s="2">
        <f t="shared" si="0"/>
        <v>3.7999999999982492E-3</v>
      </c>
      <c r="G33" s="2">
        <f t="shared" si="0"/>
        <v>0.33389999999999986</v>
      </c>
      <c r="H33" s="2">
        <f t="shared" si="0"/>
        <v>8.1599999999994566E-2</v>
      </c>
    </row>
    <row r="34" spans="1:9" x14ac:dyDescent="0.25">
      <c r="A34" s="1" t="s">
        <v>3</v>
      </c>
      <c r="B34" s="2">
        <f t="shared" si="0"/>
        <v>1.300000000000523E-3</v>
      </c>
      <c r="C34" s="2">
        <f t="shared" si="0"/>
        <v>2.9999999999930083E-4</v>
      </c>
      <c r="D34" s="2">
        <f t="shared" si="0"/>
        <v>9.0000000000145519E-4</v>
      </c>
      <c r="E34" s="2">
        <f t="shared" si="0"/>
        <v>9.9999999999766942E-5</v>
      </c>
      <c r="F34" s="2">
        <f t="shared" si="0"/>
        <v>9.9999999999766942E-4</v>
      </c>
      <c r="G34" s="2">
        <f t="shared" si="0"/>
        <v>3.9999999999906777E-4</v>
      </c>
      <c r="H34" s="2">
        <f t="shared" si="0"/>
        <v>1.1999999999972033E-3</v>
      </c>
    </row>
    <row r="35" spans="1:9" x14ac:dyDescent="0.25">
      <c r="A35" s="1" t="s">
        <v>4</v>
      </c>
      <c r="B35" s="2">
        <f t="shared" si="0"/>
        <v>4.0500000000000203E-2</v>
      </c>
      <c r="C35" s="2">
        <f t="shared" si="0"/>
        <v>0.20839999999999992</v>
      </c>
      <c r="D35" s="2">
        <f t="shared" si="0"/>
        <v>0.12490000000000001</v>
      </c>
      <c r="E35" s="2">
        <f t="shared" si="0"/>
        <v>0.14840000000000009</v>
      </c>
      <c r="F35" s="2">
        <f t="shared" si="0"/>
        <v>0.24480000000000013</v>
      </c>
      <c r="G35" s="2">
        <f t="shared" si="0"/>
        <v>0.16780000000000017</v>
      </c>
      <c r="H35" s="2">
        <f t="shared" si="0"/>
        <v>0.13519999999999976</v>
      </c>
      <c r="I35" s="8"/>
    </row>
    <row r="36" spans="1:9" x14ac:dyDescent="0.25">
      <c r="A36" s="1"/>
      <c r="B36" s="2"/>
      <c r="C36" s="2"/>
      <c r="D36" s="2"/>
      <c r="E36" s="2"/>
      <c r="F36" s="2"/>
      <c r="G36" s="2"/>
      <c r="H36" s="2"/>
      <c r="I36" s="8"/>
    </row>
    <row r="37" spans="1:9" ht="18.75" x14ac:dyDescent="0.25">
      <c r="A37" s="16" t="s">
        <v>18</v>
      </c>
    </row>
    <row r="38" spans="1:9" x14ac:dyDescent="0.25">
      <c r="A38" s="6" t="s">
        <v>17</v>
      </c>
    </row>
    <row r="39" spans="1:9" x14ac:dyDescent="0.25">
      <c r="A39" s="7" t="s">
        <v>16</v>
      </c>
    </row>
    <row r="40" spans="1:9" x14ac:dyDescent="0.25">
      <c r="A40" s="4" t="s">
        <v>15</v>
      </c>
    </row>
    <row r="41" spans="1:9" ht="18.75" x14ac:dyDescent="0.3">
      <c r="A41" s="18" t="s">
        <v>19</v>
      </c>
    </row>
    <row r="42" spans="1:9" x14ac:dyDescent="0.25">
      <c r="A42" s="5" t="s">
        <v>20</v>
      </c>
    </row>
    <row r="43" spans="1:9" x14ac:dyDescent="0.25">
      <c r="A43" s="7" t="s">
        <v>21</v>
      </c>
    </row>
    <row r="44" spans="1:9" x14ac:dyDescent="0.25">
      <c r="A44" s="4" t="s">
        <v>22</v>
      </c>
    </row>
    <row r="46" spans="1:9" ht="28.5" x14ac:dyDescent="0.45">
      <c r="A46" s="23" t="s">
        <v>26</v>
      </c>
      <c r="B46" s="23"/>
    </row>
  </sheetData>
  <conditionalFormatting sqref="B31:H32">
    <cfRule type="cellIs" dxfId="44" priority="10" operator="lessThanOrEqual">
      <formula>0.002</formula>
    </cfRule>
    <cfRule type="cellIs" dxfId="43" priority="11" operator="between">
      <formula>0.002</formula>
      <formula>0.005</formula>
    </cfRule>
    <cfRule type="cellIs" dxfId="42" priority="12" operator="greaterThanOrEqual">
      <formula>0.005</formula>
    </cfRule>
  </conditionalFormatting>
  <conditionalFormatting sqref="B35:H35">
    <cfRule type="cellIs" dxfId="41" priority="7" operator="greaterThan">
      <formula>0.5</formula>
    </cfRule>
    <cfRule type="cellIs" dxfId="40" priority="8" operator="between">
      <formula>0.2</formula>
      <formula>0.5</formula>
    </cfRule>
    <cfRule type="cellIs" dxfId="39" priority="9" operator="lessThan">
      <formula>0.2</formula>
    </cfRule>
  </conditionalFormatting>
  <conditionalFormatting sqref="B9:H9">
    <cfRule type="cellIs" dxfId="38" priority="4" operator="greaterThan">
      <formula>0.5</formula>
    </cfRule>
    <cfRule type="cellIs" dxfId="37" priority="5" operator="between">
      <formula>0.2</formula>
      <formula>0.5</formula>
    </cfRule>
    <cfRule type="cellIs" dxfId="36" priority="6" operator="lessThan">
      <formula>0.2</formula>
    </cfRule>
  </conditionalFormatting>
  <conditionalFormatting sqref="B23:H23">
    <cfRule type="cellIs" dxfId="35" priority="1" operator="greaterThan">
      <formula>0.5</formula>
    </cfRule>
    <cfRule type="cellIs" dxfId="34" priority="2" operator="between">
      <formula>0.2</formula>
      <formula>0.5</formula>
    </cfRule>
    <cfRule type="cellIs" dxfId="33" priority="3" operator="lessThan">
      <formula>0.2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opLeftCell="A15" workbookViewId="0">
      <selection activeCell="C41" sqref="C41"/>
    </sheetView>
  </sheetViews>
  <sheetFormatPr defaultRowHeight="15" x14ac:dyDescent="0.25"/>
  <cols>
    <col min="1" max="1" width="33" customWidth="1"/>
    <col min="2" max="2" width="10.5703125" customWidth="1"/>
    <col min="6" max="6" width="9.85546875" customWidth="1"/>
  </cols>
  <sheetData>
    <row r="1" spans="1:10" ht="18.75" x14ac:dyDescent="0.3">
      <c r="A1" s="18" t="s">
        <v>24</v>
      </c>
    </row>
    <row r="2" spans="1:10" x14ac:dyDescent="0.25"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</row>
    <row r="3" spans="1:10" x14ac:dyDescent="0.25">
      <c r="A3" s="1" t="s">
        <v>0</v>
      </c>
      <c r="B3" s="1">
        <v>0.31940000000000002</v>
      </c>
      <c r="C3" s="1">
        <v>0.64700000000000002</v>
      </c>
      <c r="D3" s="1">
        <v>0.30859999999999999</v>
      </c>
      <c r="E3" s="1">
        <v>0.15140000000000001</v>
      </c>
      <c r="F3" s="1">
        <v>0.2321</v>
      </c>
      <c r="G3" s="1">
        <v>0.33110000000000001</v>
      </c>
      <c r="H3" s="1">
        <v>0.43169999999999997</v>
      </c>
      <c r="I3" s="1">
        <v>0.31819999999999998</v>
      </c>
      <c r="J3" s="1"/>
    </row>
    <row r="4" spans="1:10" x14ac:dyDescent="0.25">
      <c r="A4" s="1" t="s">
        <v>1</v>
      </c>
      <c r="B4" s="1">
        <v>0.3256</v>
      </c>
      <c r="C4" s="1">
        <v>0.32969999999999999</v>
      </c>
      <c r="D4" s="1">
        <v>0.59430000000000005</v>
      </c>
      <c r="E4" s="1">
        <v>6.2899999999999998E-2</v>
      </c>
      <c r="F4" s="1">
        <v>0.32429999999999998</v>
      </c>
      <c r="G4" s="1">
        <v>0.1575</v>
      </c>
      <c r="H4" s="1">
        <v>0.49959999999999999</v>
      </c>
      <c r="I4" s="1">
        <v>0.32579999999999998</v>
      </c>
      <c r="J4" s="1"/>
    </row>
    <row r="5" spans="1:10" x14ac:dyDescent="0.25">
      <c r="A5" s="1" t="s">
        <v>2</v>
      </c>
      <c r="B5" s="1">
        <v>65.735200000000006</v>
      </c>
      <c r="C5" s="1">
        <v>14.9528</v>
      </c>
      <c r="D5" s="1">
        <v>44.753799999999998</v>
      </c>
      <c r="E5" s="1">
        <v>4.5735000000000001</v>
      </c>
      <c r="F5" s="1">
        <v>51.065399999999997</v>
      </c>
      <c r="G5" s="1">
        <v>19.1282</v>
      </c>
      <c r="H5" s="1">
        <v>61.2453</v>
      </c>
      <c r="I5" s="1">
        <v>124.44</v>
      </c>
      <c r="J5" s="1"/>
    </row>
    <row r="6" spans="1:10" x14ac:dyDescent="0.25">
      <c r="A6" s="1" t="s">
        <v>3</v>
      </c>
      <c r="B6" s="1">
        <v>65.735200000000006</v>
      </c>
      <c r="C6" s="1">
        <v>13.9786</v>
      </c>
      <c r="D6" s="1">
        <v>47.011800000000001</v>
      </c>
      <c r="E6" s="1">
        <v>4.7449000000000003</v>
      </c>
      <c r="F6" s="1">
        <v>51.756700000000002</v>
      </c>
      <c r="G6" s="1">
        <v>18.723400000000002</v>
      </c>
      <c r="H6" s="1">
        <v>60.990400000000001</v>
      </c>
      <c r="I6" s="1">
        <v>124.44</v>
      </c>
      <c r="J6" s="1"/>
    </row>
    <row r="7" spans="1:10" x14ac:dyDescent="0.25">
      <c r="A7" s="1" t="s">
        <v>4</v>
      </c>
      <c r="B7" s="1">
        <v>3.6070000000000002</v>
      </c>
      <c r="C7" s="1">
        <v>1.7952999999999999</v>
      </c>
      <c r="D7" s="1">
        <v>1.976</v>
      </c>
      <c r="E7" s="1">
        <v>1.0682</v>
      </c>
      <c r="F7" s="1">
        <v>2.3140999999999998</v>
      </c>
      <c r="G7" s="1">
        <v>1.2023999999999999</v>
      </c>
      <c r="H7" s="1">
        <v>2.5051999999999999</v>
      </c>
      <c r="I7" s="1">
        <v>3.7765</v>
      </c>
      <c r="J7" s="1"/>
    </row>
    <row r="8" spans="1:10" x14ac:dyDescent="0.25">
      <c r="A8" s="11" t="s">
        <v>13</v>
      </c>
      <c r="B8" s="12"/>
      <c r="C8" s="12"/>
      <c r="D8" s="12"/>
      <c r="E8" s="12"/>
      <c r="F8" s="12"/>
      <c r="G8" s="12"/>
      <c r="H8" s="12"/>
      <c r="I8" s="13"/>
    </row>
    <row r="9" spans="1:10" ht="15.75" thickBot="1" x14ac:dyDescent="0.3">
      <c r="A9" s="19" t="s">
        <v>14</v>
      </c>
      <c r="B9" s="10"/>
      <c r="C9" s="10"/>
      <c r="D9" s="10"/>
      <c r="E9" s="10"/>
      <c r="F9" s="10"/>
      <c r="G9" s="10"/>
      <c r="H9" s="10"/>
      <c r="I9" s="14"/>
    </row>
    <row r="10" spans="1:10" ht="19.5" thickTop="1" x14ac:dyDescent="0.3">
      <c r="A10" s="18" t="s">
        <v>19</v>
      </c>
      <c r="B10" s="12"/>
      <c r="C10" s="12"/>
      <c r="D10" s="12"/>
      <c r="E10" s="12"/>
      <c r="F10" s="12"/>
      <c r="G10" s="12"/>
      <c r="H10" s="12"/>
      <c r="I10" s="15"/>
    </row>
    <row r="11" spans="1:10" x14ac:dyDescent="0.25">
      <c r="A11" s="5" t="s">
        <v>20</v>
      </c>
      <c r="B11" s="12"/>
      <c r="C11" s="12"/>
      <c r="D11" s="12"/>
      <c r="E11" s="12"/>
      <c r="F11" s="12"/>
      <c r="G11" s="12"/>
      <c r="H11" s="12"/>
      <c r="I11" s="15"/>
    </row>
    <row r="12" spans="1:10" x14ac:dyDescent="0.25">
      <c r="A12" s="7" t="s">
        <v>21</v>
      </c>
      <c r="B12" s="12"/>
      <c r="C12" s="12"/>
      <c r="D12" s="12"/>
      <c r="E12" s="12"/>
      <c r="F12" s="12"/>
      <c r="G12" s="12"/>
      <c r="H12" s="12"/>
      <c r="I12" s="15"/>
    </row>
    <row r="13" spans="1:10" x14ac:dyDescent="0.25">
      <c r="A13" s="4" t="s">
        <v>22</v>
      </c>
    </row>
    <row r="14" spans="1:10" x14ac:dyDescent="0.25">
      <c r="A14" s="8"/>
    </row>
    <row r="15" spans="1:10" ht="18.75" x14ac:dyDescent="0.3">
      <c r="A15" s="18" t="s">
        <v>23</v>
      </c>
    </row>
    <row r="16" spans="1:10" x14ac:dyDescent="0.25">
      <c r="B16" s="3" t="s">
        <v>5</v>
      </c>
      <c r="C16" s="3" t="s">
        <v>6</v>
      </c>
      <c r="D16" s="3" t="s">
        <v>7</v>
      </c>
      <c r="E16" s="3" t="s">
        <v>8</v>
      </c>
      <c r="F16" s="3" t="s">
        <v>9</v>
      </c>
      <c r="G16" s="3" t="s">
        <v>10</v>
      </c>
      <c r="H16" s="3" t="s">
        <v>11</v>
      </c>
    </row>
    <row r="17" spans="1:10" x14ac:dyDescent="0.25">
      <c r="A17" s="1" t="s">
        <v>0</v>
      </c>
      <c r="B17" s="1">
        <v>0.31940000000000002</v>
      </c>
      <c r="C17" s="1">
        <v>0.64910000000000001</v>
      </c>
      <c r="D17" s="1">
        <v>0.30840000000000001</v>
      </c>
      <c r="E17" s="1">
        <v>0.15060000000000001</v>
      </c>
      <c r="F17" s="1">
        <v>0.2319</v>
      </c>
      <c r="G17" s="1">
        <v>0.33129999999999998</v>
      </c>
      <c r="H17" s="1">
        <v>0.432</v>
      </c>
      <c r="I17" s="1">
        <v>0.31819999999999998</v>
      </c>
      <c r="J17" s="1"/>
    </row>
    <row r="18" spans="1:10" x14ac:dyDescent="0.25">
      <c r="A18" s="1" t="s">
        <v>1</v>
      </c>
      <c r="B18" s="1">
        <v>0.32569999999999999</v>
      </c>
      <c r="C18" s="1">
        <v>0.32969999999999999</v>
      </c>
      <c r="D18" s="1">
        <v>0.59530000000000005</v>
      </c>
      <c r="E18" s="1">
        <v>6.1899999999999997E-2</v>
      </c>
      <c r="F18" s="1">
        <v>0.3246</v>
      </c>
      <c r="G18" s="1">
        <v>0.157</v>
      </c>
      <c r="H18" s="1">
        <v>0.50019999999999998</v>
      </c>
      <c r="I18" s="1">
        <v>0.32579999999999998</v>
      </c>
      <c r="J18" s="1"/>
    </row>
    <row r="19" spans="1:10" x14ac:dyDescent="0.25">
      <c r="A19" s="1" t="s">
        <v>2</v>
      </c>
      <c r="B19" s="1">
        <v>65.723100000000002</v>
      </c>
      <c r="C19" s="1">
        <v>14.883699999999999</v>
      </c>
      <c r="D19" s="1">
        <v>44.873800000000003</v>
      </c>
      <c r="E19" s="1">
        <v>4.4726999999999997</v>
      </c>
      <c r="F19" s="1">
        <v>51.0867</v>
      </c>
      <c r="G19" s="1">
        <v>19.040800000000001</v>
      </c>
      <c r="H19" s="1">
        <v>61.314100000000003</v>
      </c>
      <c r="I19" s="1">
        <v>124.42659999999999</v>
      </c>
      <c r="J19" s="1"/>
    </row>
    <row r="20" spans="1:10" x14ac:dyDescent="0.25">
      <c r="A20" s="1" t="s">
        <v>3</v>
      </c>
      <c r="B20" s="1">
        <v>65.723100000000002</v>
      </c>
      <c r="C20" s="1">
        <v>13.976000000000001</v>
      </c>
      <c r="D20" s="1">
        <v>47.0032</v>
      </c>
      <c r="E20" s="1">
        <v>4.7439999999999998</v>
      </c>
      <c r="F20" s="1">
        <v>51.747199999999999</v>
      </c>
      <c r="G20" s="1">
        <v>18.72</v>
      </c>
      <c r="H20" s="1">
        <v>60.979100000000003</v>
      </c>
      <c r="I20" s="1">
        <v>124.42659999999999</v>
      </c>
      <c r="J20" s="1"/>
    </row>
    <row r="21" spans="1:10" x14ac:dyDescent="0.25">
      <c r="A21" s="1" t="s">
        <v>4</v>
      </c>
      <c r="B21" s="1">
        <v>3.5611000000000002</v>
      </c>
      <c r="C21" s="1">
        <v>1.9493</v>
      </c>
      <c r="D21" s="1">
        <v>1.9003000000000001</v>
      </c>
      <c r="E21" s="1">
        <v>1.1659999999999999</v>
      </c>
      <c r="F21" s="1">
        <v>2.2240000000000002</v>
      </c>
      <c r="G21" s="1">
        <v>1.194</v>
      </c>
      <c r="H21" s="1">
        <v>2.4998999999999998</v>
      </c>
      <c r="I21" s="1">
        <v>3.8182999999999998</v>
      </c>
      <c r="J21" s="1"/>
    </row>
    <row r="22" spans="1:10" x14ac:dyDescent="0.25">
      <c r="A22" s="11" t="s">
        <v>13</v>
      </c>
      <c r="B22" s="21"/>
      <c r="C22" s="21"/>
      <c r="D22" s="21"/>
      <c r="E22" s="21"/>
      <c r="F22" s="21"/>
      <c r="G22" s="21"/>
      <c r="H22" s="21"/>
      <c r="I22" s="20"/>
      <c r="J22" s="1"/>
    </row>
    <row r="23" spans="1:10" ht="15.75" thickBot="1" x14ac:dyDescent="0.3">
      <c r="A23" s="19" t="s">
        <v>14</v>
      </c>
      <c r="B23" s="10"/>
      <c r="C23" s="10"/>
      <c r="D23" s="10"/>
      <c r="E23" s="10"/>
      <c r="F23" s="10"/>
      <c r="G23" s="10"/>
      <c r="H23" s="10"/>
      <c r="I23" s="14"/>
    </row>
    <row r="24" spans="1:10" ht="19.5" thickTop="1" x14ac:dyDescent="0.3">
      <c r="A24" s="18" t="s">
        <v>19</v>
      </c>
      <c r="B24" s="12"/>
      <c r="C24" s="12"/>
      <c r="D24" s="12"/>
      <c r="E24" s="12"/>
      <c r="F24" s="12"/>
      <c r="G24" s="12"/>
      <c r="H24" s="12"/>
      <c r="I24" s="15"/>
    </row>
    <row r="25" spans="1:10" x14ac:dyDescent="0.25">
      <c r="A25" s="5" t="s">
        <v>20</v>
      </c>
      <c r="B25" s="12"/>
      <c r="C25" s="12"/>
      <c r="D25" s="12"/>
      <c r="E25" s="12"/>
      <c r="F25" s="12"/>
      <c r="G25" s="12"/>
      <c r="H25" s="12"/>
      <c r="I25" s="15"/>
    </row>
    <row r="26" spans="1:10" x14ac:dyDescent="0.25">
      <c r="A26" s="7" t="s">
        <v>21</v>
      </c>
      <c r="B26" s="12"/>
      <c r="C26" s="12"/>
      <c r="D26" s="12"/>
      <c r="E26" s="12"/>
      <c r="F26" s="12"/>
      <c r="G26" s="12"/>
      <c r="H26" s="12"/>
      <c r="I26" s="15"/>
    </row>
    <row r="27" spans="1:10" x14ac:dyDescent="0.25">
      <c r="A27" s="4" t="s">
        <v>22</v>
      </c>
    </row>
    <row r="29" spans="1:10" ht="18.75" x14ac:dyDescent="0.3">
      <c r="A29" s="22" t="s">
        <v>29</v>
      </c>
      <c r="B29" s="22"/>
      <c r="C29" s="22"/>
      <c r="D29" s="22"/>
      <c r="E29" s="22"/>
      <c r="F29" s="22"/>
      <c r="G29" s="22"/>
      <c r="H29" s="22"/>
      <c r="I29" s="22"/>
      <c r="J29" s="17"/>
    </row>
    <row r="30" spans="1:10" x14ac:dyDescent="0.25">
      <c r="B30" s="3" t="s">
        <v>5</v>
      </c>
      <c r="C30" s="3" t="s">
        <v>6</v>
      </c>
      <c r="D30" s="3" t="s">
        <v>7</v>
      </c>
      <c r="E30" s="3" t="s">
        <v>8</v>
      </c>
      <c r="F30" s="3" t="s">
        <v>9</v>
      </c>
      <c r="G30" s="3" t="s">
        <v>10</v>
      </c>
      <c r="H30" s="3" t="s">
        <v>11</v>
      </c>
    </row>
    <row r="31" spans="1:10" x14ac:dyDescent="0.25">
      <c r="A31" s="1" t="s">
        <v>0</v>
      </c>
      <c r="B31" s="2">
        <f t="shared" ref="B31:H35" si="0">ABS(B3-B17)</f>
        <v>0</v>
      </c>
      <c r="C31" s="2">
        <f t="shared" si="0"/>
        <v>2.0999999999999908E-3</v>
      </c>
      <c r="D31" s="2">
        <f t="shared" si="0"/>
        <v>1.9999999999997797E-4</v>
      </c>
      <c r="E31" s="2">
        <f t="shared" si="0"/>
        <v>7.9999999999999516E-4</v>
      </c>
      <c r="F31" s="2">
        <f t="shared" si="0"/>
        <v>2.0000000000000573E-4</v>
      </c>
      <c r="G31" s="2">
        <f t="shared" si="0"/>
        <v>1.9999999999997797E-4</v>
      </c>
      <c r="H31" s="2">
        <f t="shared" si="0"/>
        <v>3.0000000000002247E-4</v>
      </c>
    </row>
    <row r="32" spans="1:10" x14ac:dyDescent="0.25">
      <c r="A32" s="1" t="s">
        <v>1</v>
      </c>
      <c r="B32" s="2">
        <f t="shared" si="0"/>
        <v>9.9999999999988987E-5</v>
      </c>
      <c r="C32" s="2">
        <f t="shared" si="0"/>
        <v>0</v>
      </c>
      <c r="D32" s="2">
        <f t="shared" si="0"/>
        <v>1.0000000000000009E-3</v>
      </c>
      <c r="E32" s="2">
        <f t="shared" si="0"/>
        <v>1.0000000000000009E-3</v>
      </c>
      <c r="F32" s="2">
        <f t="shared" si="0"/>
        <v>3.0000000000002247E-4</v>
      </c>
      <c r="G32" s="2">
        <f t="shared" si="0"/>
        <v>5.0000000000000044E-4</v>
      </c>
      <c r="H32" s="2">
        <f t="shared" si="0"/>
        <v>5.9999999999998943E-4</v>
      </c>
    </row>
    <row r="33" spans="1:9" x14ac:dyDescent="0.25">
      <c r="A33" s="1" t="s">
        <v>2</v>
      </c>
      <c r="B33" s="2">
        <f t="shared" si="0"/>
        <v>1.2100000000003774E-2</v>
      </c>
      <c r="C33" s="2">
        <f t="shared" si="0"/>
        <v>6.9100000000000605E-2</v>
      </c>
      <c r="D33" s="2">
        <f t="shared" si="0"/>
        <v>0.12000000000000455</v>
      </c>
      <c r="E33" s="2">
        <f t="shared" si="0"/>
        <v>0.10080000000000044</v>
      </c>
      <c r="F33" s="2">
        <f t="shared" si="0"/>
        <v>2.1300000000003649E-2</v>
      </c>
      <c r="G33" s="2">
        <f t="shared" si="0"/>
        <v>8.7399999999998812E-2</v>
      </c>
      <c r="H33" s="2">
        <f t="shared" si="0"/>
        <v>6.8800000000003081E-2</v>
      </c>
    </row>
    <row r="34" spans="1:9" x14ac:dyDescent="0.25">
      <c r="A34" s="1" t="s">
        <v>3</v>
      </c>
      <c r="B34" s="2">
        <f t="shared" si="0"/>
        <v>1.2100000000003774E-2</v>
      </c>
      <c r="C34" s="2">
        <f t="shared" si="0"/>
        <v>2.5999999999992696E-3</v>
      </c>
      <c r="D34" s="2">
        <f t="shared" si="0"/>
        <v>8.6000000000012733E-3</v>
      </c>
      <c r="E34" s="2">
        <f t="shared" si="0"/>
        <v>9.0000000000056701E-4</v>
      </c>
      <c r="F34" s="2">
        <f t="shared" si="0"/>
        <v>9.5000000000027285E-3</v>
      </c>
      <c r="G34" s="2">
        <f t="shared" si="0"/>
        <v>3.4000000000027342E-3</v>
      </c>
      <c r="H34" s="2">
        <f t="shared" si="0"/>
        <v>1.1299999999998533E-2</v>
      </c>
    </row>
    <row r="35" spans="1:9" x14ac:dyDescent="0.25">
      <c r="A35" s="1" t="s">
        <v>4</v>
      </c>
      <c r="B35" s="2">
        <f t="shared" si="0"/>
        <v>4.5900000000000052E-2</v>
      </c>
      <c r="C35" s="2">
        <f t="shared" si="0"/>
        <v>0.15400000000000014</v>
      </c>
      <c r="D35" s="2">
        <f t="shared" si="0"/>
        <v>7.5699999999999878E-2</v>
      </c>
      <c r="E35" s="2">
        <f t="shared" si="0"/>
        <v>9.7799999999999887E-2</v>
      </c>
      <c r="F35" s="2">
        <f t="shared" si="0"/>
        <v>9.0099999999999625E-2</v>
      </c>
      <c r="G35" s="2">
        <f t="shared" si="0"/>
        <v>8.3999999999999631E-3</v>
      </c>
      <c r="H35" s="2">
        <f t="shared" si="0"/>
        <v>5.3000000000000824E-3</v>
      </c>
      <c r="I35" s="8"/>
    </row>
    <row r="36" spans="1:9" x14ac:dyDescent="0.25">
      <c r="A36" s="1"/>
      <c r="B36" s="2"/>
      <c r="C36" s="2"/>
      <c r="D36" s="2"/>
      <c r="E36" s="2"/>
      <c r="F36" s="2"/>
      <c r="G36" s="2"/>
      <c r="H36" s="2"/>
      <c r="I36" s="8"/>
    </row>
    <row r="37" spans="1:9" ht="18.75" x14ac:dyDescent="0.25">
      <c r="A37" s="16" t="s">
        <v>18</v>
      </c>
    </row>
    <row r="38" spans="1:9" x14ac:dyDescent="0.25">
      <c r="A38" s="6" t="s">
        <v>17</v>
      </c>
    </row>
    <row r="39" spans="1:9" x14ac:dyDescent="0.25">
      <c r="A39" s="7" t="s">
        <v>16</v>
      </c>
    </row>
    <row r="40" spans="1:9" x14ac:dyDescent="0.25">
      <c r="A40" s="4" t="s">
        <v>15</v>
      </c>
    </row>
    <row r="41" spans="1:9" ht="18.75" x14ac:dyDescent="0.3">
      <c r="A41" s="18" t="s">
        <v>19</v>
      </c>
    </row>
    <row r="42" spans="1:9" x14ac:dyDescent="0.25">
      <c r="A42" s="5" t="s">
        <v>20</v>
      </c>
    </row>
    <row r="43" spans="1:9" x14ac:dyDescent="0.25">
      <c r="A43" s="7" t="s">
        <v>21</v>
      </c>
    </row>
    <row r="44" spans="1:9" x14ac:dyDescent="0.25">
      <c r="A44" s="4" t="s">
        <v>22</v>
      </c>
    </row>
    <row r="46" spans="1:9" ht="28.5" x14ac:dyDescent="0.45">
      <c r="A46" s="23" t="s">
        <v>25</v>
      </c>
    </row>
  </sheetData>
  <conditionalFormatting sqref="B31:H32">
    <cfRule type="cellIs" dxfId="32" priority="10" operator="lessThanOrEqual">
      <formula>0.002</formula>
    </cfRule>
    <cfRule type="cellIs" dxfId="31" priority="11" operator="between">
      <formula>0.002</formula>
      <formula>0.005</formula>
    </cfRule>
    <cfRule type="cellIs" dxfId="30" priority="12" operator="greaterThanOrEqual">
      <formula>0.005</formula>
    </cfRule>
  </conditionalFormatting>
  <conditionalFormatting sqref="B35:H35">
    <cfRule type="cellIs" dxfId="29" priority="7" operator="greaterThan">
      <formula>0.5</formula>
    </cfRule>
    <cfRule type="cellIs" dxfId="28" priority="8" operator="between">
      <formula>0.2</formula>
      <formula>0.5</formula>
    </cfRule>
    <cfRule type="cellIs" dxfId="27" priority="9" operator="lessThan">
      <formula>0.2</formula>
    </cfRule>
  </conditionalFormatting>
  <conditionalFormatting sqref="B9:H9">
    <cfRule type="cellIs" dxfId="26" priority="4" operator="greaterThan">
      <formula>0.5</formula>
    </cfRule>
    <cfRule type="cellIs" dxfId="25" priority="5" operator="between">
      <formula>0.2</formula>
      <formula>0.5</formula>
    </cfRule>
    <cfRule type="cellIs" dxfId="24" priority="6" operator="lessThan">
      <formula>0.2</formula>
    </cfRule>
  </conditionalFormatting>
  <conditionalFormatting sqref="B23:H23">
    <cfRule type="cellIs" dxfId="23" priority="1" operator="greaterThan">
      <formula>0.5</formula>
    </cfRule>
    <cfRule type="cellIs" dxfId="22" priority="2" operator="between">
      <formula>0.2</formula>
      <formula>0.5</formula>
    </cfRule>
    <cfRule type="cellIs" dxfId="21" priority="3" operator="lessThan">
      <formula>0.2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tabSelected="1" topLeftCell="A51" workbookViewId="0">
      <selection activeCell="D42" sqref="D42"/>
    </sheetView>
  </sheetViews>
  <sheetFormatPr defaultRowHeight="15" x14ac:dyDescent="0.25"/>
  <cols>
    <col min="1" max="1" width="34" customWidth="1"/>
    <col min="2" max="2" width="10.5703125" customWidth="1"/>
    <col min="6" max="6" width="9.85546875" customWidth="1"/>
  </cols>
  <sheetData>
    <row r="1" spans="1:10" ht="18.75" x14ac:dyDescent="0.3">
      <c r="A1" s="18" t="s">
        <v>24</v>
      </c>
    </row>
    <row r="2" spans="1:10" x14ac:dyDescent="0.25"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</row>
    <row r="3" spans="1:10" x14ac:dyDescent="0.25">
      <c r="A3" s="1" t="s">
        <v>0</v>
      </c>
      <c r="B3" s="1">
        <v>0.31819999999999998</v>
      </c>
      <c r="C3" s="1">
        <v>0.64800000000000002</v>
      </c>
      <c r="D3" s="1">
        <v>0.30790000000000001</v>
      </c>
      <c r="E3" s="1">
        <v>0.15090000000000001</v>
      </c>
      <c r="F3" s="1">
        <v>0.23169999999999999</v>
      </c>
      <c r="G3" s="1">
        <v>0.33050000000000002</v>
      </c>
      <c r="H3" s="1">
        <v>0.43140000000000001</v>
      </c>
      <c r="I3" s="1">
        <v>0.31709999999999999</v>
      </c>
      <c r="J3" s="1"/>
    </row>
    <row r="4" spans="1:10" x14ac:dyDescent="0.25">
      <c r="A4" s="1" t="s">
        <v>1</v>
      </c>
      <c r="B4" s="1">
        <v>0.32490000000000002</v>
      </c>
      <c r="C4" s="1">
        <v>0.3301</v>
      </c>
      <c r="D4" s="1">
        <v>0.5948</v>
      </c>
      <c r="E4" s="1">
        <v>6.2700000000000006E-2</v>
      </c>
      <c r="F4" s="1">
        <v>0.32400000000000001</v>
      </c>
      <c r="G4" s="1">
        <v>0.15709999999999999</v>
      </c>
      <c r="H4" s="1">
        <v>0.5</v>
      </c>
      <c r="I4" s="1">
        <v>0.32469999999999999</v>
      </c>
      <c r="J4" s="1"/>
    </row>
    <row r="5" spans="1:10" x14ac:dyDescent="0.25">
      <c r="A5" s="1" t="s">
        <v>2</v>
      </c>
      <c r="B5" s="1">
        <v>66.439700000000002</v>
      </c>
      <c r="C5" s="1">
        <v>15.068099999999999</v>
      </c>
      <c r="D5" s="1">
        <v>45.244599999999998</v>
      </c>
      <c r="E5" s="1">
        <v>4.5853000000000002</v>
      </c>
      <c r="F5" s="1">
        <v>51.449399999999997</v>
      </c>
      <c r="G5" s="1">
        <v>19.233000000000001</v>
      </c>
      <c r="H5" s="1">
        <v>61.620100000000001</v>
      </c>
      <c r="I5" s="1">
        <v>124.9846</v>
      </c>
      <c r="J5" s="1"/>
    </row>
    <row r="6" spans="1:10" x14ac:dyDescent="0.25">
      <c r="A6" s="1" t="s">
        <v>3</v>
      </c>
      <c r="B6" s="1">
        <v>66.439700000000002</v>
      </c>
      <c r="C6" s="1">
        <v>14.128399999999999</v>
      </c>
      <c r="D6" s="1">
        <v>47.515700000000002</v>
      </c>
      <c r="E6" s="1">
        <v>4.7957000000000001</v>
      </c>
      <c r="F6" s="1">
        <v>52.311399999999999</v>
      </c>
      <c r="G6" s="1">
        <v>18.924099999999999</v>
      </c>
      <c r="H6" s="1">
        <v>61.643999999999998</v>
      </c>
      <c r="I6" s="1">
        <v>124.9846</v>
      </c>
      <c r="J6" s="1"/>
    </row>
    <row r="7" spans="1:10" x14ac:dyDescent="0.25">
      <c r="A7" s="1" t="s">
        <v>4</v>
      </c>
      <c r="B7" s="1">
        <v>3.4569999999999999</v>
      </c>
      <c r="C7" s="1">
        <v>1.907</v>
      </c>
      <c r="D7" s="1">
        <v>1.8984000000000001</v>
      </c>
      <c r="E7" s="1">
        <v>1.1687000000000001</v>
      </c>
      <c r="F7" s="1">
        <v>2.3546</v>
      </c>
      <c r="G7" s="1">
        <v>1.1076999999999999</v>
      </c>
      <c r="H7" s="1">
        <v>2.4081000000000001</v>
      </c>
      <c r="I7" s="1">
        <v>3.8269000000000002</v>
      </c>
      <c r="J7" s="1"/>
    </row>
    <row r="8" spans="1:10" x14ac:dyDescent="0.25">
      <c r="A8" s="11" t="s">
        <v>13</v>
      </c>
      <c r="B8" s="12"/>
      <c r="C8" s="12"/>
      <c r="D8" s="12"/>
      <c r="E8" s="12"/>
      <c r="F8" s="12"/>
      <c r="G8" s="12"/>
      <c r="H8" s="12"/>
      <c r="I8" s="13"/>
    </row>
    <row r="9" spans="1:10" ht="15.75" thickBot="1" x14ac:dyDescent="0.3">
      <c r="A9" s="19" t="s">
        <v>14</v>
      </c>
      <c r="B9" s="10"/>
      <c r="C9" s="10"/>
      <c r="D9" s="10"/>
      <c r="E9" s="10"/>
      <c r="F9" s="10"/>
      <c r="G9" s="10"/>
      <c r="H9" s="10"/>
      <c r="I9" s="14"/>
    </row>
    <row r="10" spans="1:10" ht="19.5" thickTop="1" x14ac:dyDescent="0.3">
      <c r="A10" s="18" t="s">
        <v>19</v>
      </c>
      <c r="B10" s="12"/>
      <c r="C10" s="12"/>
      <c r="D10" s="12"/>
      <c r="E10" s="12"/>
      <c r="F10" s="12"/>
      <c r="G10" s="12"/>
      <c r="H10" s="12"/>
      <c r="I10" s="15"/>
    </row>
    <row r="11" spans="1:10" x14ac:dyDescent="0.25">
      <c r="A11" s="5" t="s">
        <v>20</v>
      </c>
      <c r="B11" s="12"/>
      <c r="C11" s="12"/>
      <c r="D11" s="12"/>
      <c r="E11" s="12"/>
      <c r="F11" s="12"/>
      <c r="G11" s="12"/>
      <c r="H11" s="12"/>
      <c r="I11" s="15"/>
    </row>
    <row r="12" spans="1:10" x14ac:dyDescent="0.25">
      <c r="A12" s="7" t="s">
        <v>21</v>
      </c>
      <c r="B12" s="12"/>
      <c r="C12" s="12"/>
      <c r="D12" s="12"/>
      <c r="E12" s="12"/>
      <c r="F12" s="12"/>
      <c r="G12" s="12"/>
      <c r="H12" s="12"/>
      <c r="I12" s="15"/>
    </row>
    <row r="13" spans="1:10" x14ac:dyDescent="0.25">
      <c r="A13" s="4" t="s">
        <v>22</v>
      </c>
    </row>
    <row r="14" spans="1:10" x14ac:dyDescent="0.25">
      <c r="A14" s="8"/>
    </row>
    <row r="15" spans="1:10" ht="18.75" x14ac:dyDescent="0.3">
      <c r="A15" s="18" t="s">
        <v>23</v>
      </c>
      <c r="B15" s="24" t="s">
        <v>27</v>
      </c>
    </row>
    <row r="16" spans="1:10" x14ac:dyDescent="0.25">
      <c r="B16" s="3" t="s">
        <v>5</v>
      </c>
      <c r="C16" s="3" t="s">
        <v>6</v>
      </c>
      <c r="D16" s="3" t="s">
        <v>7</v>
      </c>
      <c r="E16" s="3" t="s">
        <v>8</v>
      </c>
      <c r="F16" s="3" t="s">
        <v>9</v>
      </c>
      <c r="G16" s="3" t="s">
        <v>10</v>
      </c>
      <c r="H16" s="3" t="s">
        <v>11</v>
      </c>
    </row>
    <row r="17" spans="1:10" x14ac:dyDescent="0.25">
      <c r="A17" s="1" t="s">
        <v>0</v>
      </c>
      <c r="B17" s="1">
        <v>0.31819999999999998</v>
      </c>
      <c r="C17" s="1">
        <v>0.64900000000000002</v>
      </c>
      <c r="D17" s="1">
        <v>0.30780000000000002</v>
      </c>
      <c r="E17" s="1">
        <v>0.15049999999999999</v>
      </c>
      <c r="F17" s="1">
        <v>0.2316</v>
      </c>
      <c r="G17" s="1">
        <v>0.33069999999999999</v>
      </c>
      <c r="H17" s="1">
        <v>0.43130000000000002</v>
      </c>
      <c r="I17" s="1">
        <v>0.31709999999999999</v>
      </c>
      <c r="J17" s="1"/>
    </row>
    <row r="18" spans="1:10" x14ac:dyDescent="0.25">
      <c r="A18" s="1" t="s">
        <v>1</v>
      </c>
      <c r="B18" s="1">
        <v>0.32519999999999999</v>
      </c>
      <c r="C18" s="1">
        <v>0.32990000000000003</v>
      </c>
      <c r="D18" s="1">
        <v>0.59619999999999995</v>
      </c>
      <c r="E18" s="1">
        <v>6.2100000000000002E-2</v>
      </c>
      <c r="F18" s="1">
        <v>0.3246</v>
      </c>
      <c r="G18" s="1">
        <v>0.157</v>
      </c>
      <c r="H18" s="1">
        <v>0.50060000000000004</v>
      </c>
      <c r="I18" s="1">
        <v>0.32500000000000001</v>
      </c>
      <c r="J18" s="1"/>
    </row>
    <row r="19" spans="1:10" x14ac:dyDescent="0.25">
      <c r="A19" s="1" t="s">
        <v>2</v>
      </c>
      <c r="B19" s="1">
        <v>65.515699999999995</v>
      </c>
      <c r="C19" s="1">
        <v>14.803900000000001</v>
      </c>
      <c r="D19" s="1">
        <v>44.596400000000003</v>
      </c>
      <c r="E19" s="1">
        <v>4.4481999999999999</v>
      </c>
      <c r="F19" s="1">
        <v>50.700699999999998</v>
      </c>
      <c r="G19" s="1">
        <v>18.900600000000001</v>
      </c>
      <c r="H19" s="1">
        <v>60.772100000000002</v>
      </c>
      <c r="I19" s="1">
        <v>123.47020000000001</v>
      </c>
      <c r="J19" s="1"/>
    </row>
    <row r="20" spans="1:10" x14ac:dyDescent="0.25">
      <c r="A20" s="1" t="s">
        <v>3</v>
      </c>
      <c r="B20" s="1">
        <v>65.515699999999995</v>
      </c>
      <c r="C20" s="1">
        <v>13.931900000000001</v>
      </c>
      <c r="D20" s="1">
        <v>46.854799999999997</v>
      </c>
      <c r="E20" s="1">
        <v>4.7290000000000001</v>
      </c>
      <c r="F20" s="1">
        <v>51.583799999999997</v>
      </c>
      <c r="G20" s="1">
        <v>18.660900000000002</v>
      </c>
      <c r="H20" s="1">
        <v>60.7866</v>
      </c>
      <c r="I20" s="1">
        <v>123.47020000000001</v>
      </c>
      <c r="J20" s="1"/>
    </row>
    <row r="21" spans="1:10" x14ac:dyDescent="0.25">
      <c r="A21" s="1" t="s">
        <v>4</v>
      </c>
      <c r="B21" s="1">
        <v>3.3620000000000001</v>
      </c>
      <c r="C21" s="1">
        <v>1.92</v>
      </c>
      <c r="D21" s="1">
        <v>1.8963000000000001</v>
      </c>
      <c r="E21" s="1">
        <v>1.2346999999999999</v>
      </c>
      <c r="F21" s="1">
        <v>2.2124999999999999</v>
      </c>
      <c r="G21" s="1">
        <v>1.1125</v>
      </c>
      <c r="H21" s="1">
        <v>2.3610000000000002</v>
      </c>
      <c r="I21" s="1">
        <v>3.7033</v>
      </c>
      <c r="J21" s="1"/>
    </row>
    <row r="22" spans="1:10" x14ac:dyDescent="0.25">
      <c r="A22" s="11" t="s">
        <v>13</v>
      </c>
      <c r="B22" s="21"/>
      <c r="C22" s="21"/>
      <c r="D22" s="21"/>
      <c r="E22" s="21"/>
      <c r="F22" s="21"/>
      <c r="G22" s="21"/>
      <c r="H22" s="21"/>
      <c r="I22" s="20"/>
      <c r="J22" s="1"/>
    </row>
    <row r="23" spans="1:10" ht="15.75" thickBot="1" x14ac:dyDescent="0.3">
      <c r="A23" s="19" t="s">
        <v>14</v>
      </c>
      <c r="B23" s="10"/>
      <c r="C23" s="10"/>
      <c r="D23" s="10"/>
      <c r="E23" s="10"/>
      <c r="F23" s="10"/>
      <c r="G23" s="10"/>
      <c r="H23" s="10"/>
      <c r="I23" s="14"/>
    </row>
    <row r="24" spans="1:10" ht="19.5" thickTop="1" x14ac:dyDescent="0.3">
      <c r="A24" s="18" t="s">
        <v>19</v>
      </c>
      <c r="B24" s="12"/>
      <c r="C24" s="12"/>
      <c r="D24" s="12"/>
      <c r="E24" s="12"/>
      <c r="F24" s="12"/>
      <c r="G24" s="12"/>
      <c r="H24" s="12"/>
      <c r="I24" s="15"/>
    </row>
    <row r="25" spans="1:10" x14ac:dyDescent="0.25">
      <c r="A25" s="5" t="s">
        <v>20</v>
      </c>
      <c r="B25" s="12"/>
      <c r="C25" s="12"/>
      <c r="D25" s="12"/>
      <c r="E25" s="12"/>
      <c r="F25" s="12"/>
      <c r="G25" s="12"/>
      <c r="H25" s="12"/>
      <c r="I25" s="15"/>
    </row>
    <row r="26" spans="1:10" x14ac:dyDescent="0.25">
      <c r="A26" s="7" t="s">
        <v>21</v>
      </c>
      <c r="B26" s="12"/>
      <c r="C26" s="12"/>
      <c r="D26" s="12"/>
      <c r="E26" s="12"/>
      <c r="F26" s="12"/>
      <c r="G26" s="12"/>
      <c r="H26" s="12"/>
      <c r="I26" s="15"/>
    </row>
    <row r="27" spans="1:10" x14ac:dyDescent="0.25">
      <c r="A27" s="4" t="s">
        <v>22</v>
      </c>
    </row>
    <row r="29" spans="1:10" ht="18.75" x14ac:dyDescent="0.3">
      <c r="A29" s="22" t="s">
        <v>30</v>
      </c>
      <c r="B29" s="22"/>
      <c r="C29" s="22"/>
      <c r="D29" s="22"/>
      <c r="E29" s="22"/>
      <c r="F29" s="22"/>
      <c r="G29" s="22"/>
      <c r="H29" s="22"/>
      <c r="I29" s="22"/>
      <c r="J29" s="17"/>
    </row>
    <row r="30" spans="1:10" x14ac:dyDescent="0.25">
      <c r="B30" s="3" t="s">
        <v>5</v>
      </c>
      <c r="C30" s="3" t="s">
        <v>6</v>
      </c>
      <c r="D30" s="3" t="s">
        <v>7</v>
      </c>
      <c r="E30" s="3" t="s">
        <v>8</v>
      </c>
      <c r="F30" s="3" t="s">
        <v>9</v>
      </c>
      <c r="G30" s="3" t="s">
        <v>10</v>
      </c>
      <c r="H30" s="3" t="s">
        <v>11</v>
      </c>
    </row>
    <row r="31" spans="1:10" x14ac:dyDescent="0.25">
      <c r="A31" s="1" t="s">
        <v>0</v>
      </c>
      <c r="B31" s="2">
        <f t="shared" ref="B31:H35" si="0">ABS(B3-B17)</f>
        <v>0</v>
      </c>
      <c r="C31" s="2">
        <f t="shared" si="0"/>
        <v>1.0000000000000009E-3</v>
      </c>
      <c r="D31" s="2">
        <f t="shared" si="0"/>
        <v>9.9999999999988987E-5</v>
      </c>
      <c r="E31" s="2">
        <f t="shared" si="0"/>
        <v>4.0000000000001146E-4</v>
      </c>
      <c r="F31" s="2">
        <f t="shared" si="0"/>
        <v>9.9999999999988987E-5</v>
      </c>
      <c r="G31" s="2">
        <f t="shared" si="0"/>
        <v>1.9999999999997797E-4</v>
      </c>
      <c r="H31" s="2">
        <f t="shared" si="0"/>
        <v>9.9999999999988987E-5</v>
      </c>
    </row>
    <row r="32" spans="1:10" x14ac:dyDescent="0.25">
      <c r="A32" s="1" t="s">
        <v>1</v>
      </c>
      <c r="B32" s="2">
        <f t="shared" si="0"/>
        <v>2.9999999999996696E-4</v>
      </c>
      <c r="C32" s="2">
        <f t="shared" si="0"/>
        <v>1.9999999999997797E-4</v>
      </c>
      <c r="D32" s="2">
        <f t="shared" si="0"/>
        <v>1.3999999999999568E-3</v>
      </c>
      <c r="E32" s="2">
        <f t="shared" si="0"/>
        <v>6.0000000000000331E-4</v>
      </c>
      <c r="F32" s="2">
        <f t="shared" si="0"/>
        <v>5.9999999999998943E-4</v>
      </c>
      <c r="G32" s="2">
        <f t="shared" si="0"/>
        <v>9.9999999999988987E-5</v>
      </c>
      <c r="H32" s="2">
        <f t="shared" si="0"/>
        <v>6.0000000000004494E-4</v>
      </c>
    </row>
    <row r="33" spans="1:9" x14ac:dyDescent="0.25">
      <c r="A33" s="1" t="s">
        <v>2</v>
      </c>
      <c r="B33" s="2">
        <f t="shared" si="0"/>
        <v>0.92400000000000659</v>
      </c>
      <c r="C33" s="2">
        <f t="shared" si="0"/>
        <v>0.26419999999999888</v>
      </c>
      <c r="D33" s="2">
        <f t="shared" si="0"/>
        <v>0.64819999999999567</v>
      </c>
      <c r="E33" s="2">
        <f t="shared" si="0"/>
        <v>0.13710000000000022</v>
      </c>
      <c r="F33" s="2">
        <f t="shared" si="0"/>
        <v>0.74869999999999948</v>
      </c>
      <c r="G33" s="2">
        <f t="shared" si="0"/>
        <v>0.33239999999999981</v>
      </c>
      <c r="H33" s="2">
        <f t="shared" si="0"/>
        <v>0.84799999999999898</v>
      </c>
    </row>
    <row r="34" spans="1:9" x14ac:dyDescent="0.25">
      <c r="A34" s="1" t="s">
        <v>3</v>
      </c>
      <c r="B34" s="2">
        <f t="shared" si="0"/>
        <v>0.92400000000000659</v>
      </c>
      <c r="C34" s="2">
        <f t="shared" si="0"/>
        <v>0.19649999999999856</v>
      </c>
      <c r="D34" s="2">
        <f t="shared" si="0"/>
        <v>0.66090000000000515</v>
      </c>
      <c r="E34" s="2">
        <f t="shared" si="0"/>
        <v>6.6699999999999982E-2</v>
      </c>
      <c r="F34" s="2">
        <f t="shared" si="0"/>
        <v>0.72760000000000247</v>
      </c>
      <c r="G34" s="2">
        <f t="shared" si="0"/>
        <v>0.26319999999999766</v>
      </c>
      <c r="H34" s="2">
        <f t="shared" si="0"/>
        <v>0.85739999999999839</v>
      </c>
    </row>
    <row r="35" spans="1:9" x14ac:dyDescent="0.25">
      <c r="A35" s="1" t="s">
        <v>4</v>
      </c>
      <c r="B35" s="2">
        <f t="shared" si="0"/>
        <v>9.4999999999999751E-2</v>
      </c>
      <c r="C35" s="2">
        <f t="shared" si="0"/>
        <v>1.2999999999999901E-2</v>
      </c>
      <c r="D35" s="2">
        <f t="shared" si="0"/>
        <v>2.0999999999999908E-3</v>
      </c>
      <c r="E35" s="2">
        <f t="shared" si="0"/>
        <v>6.5999999999999837E-2</v>
      </c>
      <c r="F35" s="2">
        <f t="shared" si="0"/>
        <v>0.14210000000000012</v>
      </c>
      <c r="G35" s="2">
        <f t="shared" si="0"/>
        <v>4.8000000000001375E-3</v>
      </c>
      <c r="H35" s="2">
        <f t="shared" si="0"/>
        <v>4.709999999999992E-2</v>
      </c>
      <c r="I35" s="8"/>
    </row>
    <row r="36" spans="1:9" x14ac:dyDescent="0.25">
      <c r="A36" s="1"/>
      <c r="B36" s="2"/>
      <c r="C36" s="2"/>
      <c r="D36" s="2"/>
      <c r="E36" s="2"/>
      <c r="F36" s="2"/>
      <c r="G36" s="2"/>
      <c r="H36" s="2"/>
      <c r="I36" s="8"/>
    </row>
    <row r="37" spans="1:9" ht="18.75" x14ac:dyDescent="0.25">
      <c r="A37" s="16" t="s">
        <v>18</v>
      </c>
    </row>
    <row r="38" spans="1:9" x14ac:dyDescent="0.25">
      <c r="A38" s="6" t="s">
        <v>17</v>
      </c>
    </row>
    <row r="39" spans="1:9" x14ac:dyDescent="0.25">
      <c r="A39" s="7" t="s">
        <v>16</v>
      </c>
    </row>
    <row r="40" spans="1:9" x14ac:dyDescent="0.25">
      <c r="A40" s="4" t="s">
        <v>15</v>
      </c>
    </row>
    <row r="41" spans="1:9" ht="18.75" x14ac:dyDescent="0.3">
      <c r="A41" s="18" t="s">
        <v>19</v>
      </c>
    </row>
    <row r="42" spans="1:9" x14ac:dyDescent="0.25">
      <c r="A42" s="5" t="s">
        <v>20</v>
      </c>
    </row>
    <row r="43" spans="1:9" x14ac:dyDescent="0.25">
      <c r="A43" s="7" t="s">
        <v>21</v>
      </c>
    </row>
    <row r="44" spans="1:9" x14ac:dyDescent="0.25">
      <c r="A44" s="4" t="s">
        <v>22</v>
      </c>
    </row>
    <row r="48" spans="1:9" ht="18.75" x14ac:dyDescent="0.3">
      <c r="A48" s="18" t="s">
        <v>23</v>
      </c>
      <c r="B48" s="18" t="s">
        <v>32</v>
      </c>
    </row>
    <row r="49" spans="1:10" x14ac:dyDescent="0.25">
      <c r="B49" s="3" t="s">
        <v>5</v>
      </c>
      <c r="C49" s="3" t="s">
        <v>6</v>
      </c>
      <c r="D49" s="3" t="s">
        <v>7</v>
      </c>
      <c r="E49" s="3" t="s">
        <v>8</v>
      </c>
      <c r="F49" s="3" t="s">
        <v>9</v>
      </c>
      <c r="G49" s="3" t="s">
        <v>10</v>
      </c>
      <c r="H49" s="3" t="s">
        <v>11</v>
      </c>
    </row>
    <row r="50" spans="1:10" x14ac:dyDescent="0.25">
      <c r="A50" s="1" t="s">
        <v>0</v>
      </c>
      <c r="B50" s="1">
        <v>0.31619999999999998</v>
      </c>
      <c r="C50" s="1">
        <v>0.65590000000000004</v>
      </c>
      <c r="D50" s="1">
        <v>0.31009999999999999</v>
      </c>
      <c r="E50" s="1">
        <v>0.14960000000000001</v>
      </c>
      <c r="F50" s="1">
        <v>0.2311</v>
      </c>
      <c r="G50" s="1">
        <v>0.32490000000000002</v>
      </c>
      <c r="H50" s="1">
        <v>0.43169999999999997</v>
      </c>
      <c r="I50" s="1">
        <v>0.315</v>
      </c>
      <c r="J50" s="1"/>
    </row>
    <row r="51" spans="1:10" x14ac:dyDescent="0.25">
      <c r="A51" s="1" t="s">
        <v>1</v>
      </c>
      <c r="B51" s="1">
        <v>0.32379999999999998</v>
      </c>
      <c r="C51" s="1">
        <v>0.32190000000000002</v>
      </c>
      <c r="D51" s="1">
        <v>0.60040000000000004</v>
      </c>
      <c r="E51" s="1">
        <v>6.2799999999999995E-2</v>
      </c>
      <c r="F51" s="1">
        <v>0.32440000000000002</v>
      </c>
      <c r="G51" s="1">
        <v>0.15049999999999999</v>
      </c>
      <c r="H51" s="1">
        <v>0.50339999999999996</v>
      </c>
      <c r="I51" s="1">
        <v>0.32390000000000002</v>
      </c>
      <c r="J51" s="1"/>
    </row>
    <row r="52" spans="1:10" x14ac:dyDescent="0.25">
      <c r="A52" s="1" t="s">
        <v>2</v>
      </c>
      <c r="B52" s="1">
        <v>67.326700000000002</v>
      </c>
      <c r="C52" s="1">
        <v>14.3508</v>
      </c>
      <c r="D52" s="1">
        <v>46.6935</v>
      </c>
      <c r="E52" s="1">
        <v>4.7939999999999996</v>
      </c>
      <c r="F52" s="1">
        <v>53.224499999999999</v>
      </c>
      <c r="G52" s="1">
        <v>18.806799999999999</v>
      </c>
      <c r="H52" s="1">
        <v>62.724200000000003</v>
      </c>
      <c r="I52" s="1">
        <v>127.9371</v>
      </c>
      <c r="J52" s="1"/>
    </row>
    <row r="53" spans="1:10" x14ac:dyDescent="0.25">
      <c r="A53" s="1" t="s">
        <v>3</v>
      </c>
      <c r="B53" s="1">
        <v>67.326700000000002</v>
      </c>
      <c r="C53" s="1">
        <v>14.317</v>
      </c>
      <c r="D53" s="1">
        <v>48.15</v>
      </c>
      <c r="E53" s="1">
        <v>4.8597000000000001</v>
      </c>
      <c r="F53" s="1">
        <v>53.009700000000002</v>
      </c>
      <c r="G53" s="1">
        <v>19.1767</v>
      </c>
      <c r="H53" s="1">
        <v>62.466900000000003</v>
      </c>
      <c r="I53" s="1">
        <v>127.9371</v>
      </c>
      <c r="J53" s="1"/>
    </row>
    <row r="54" spans="1:10" x14ac:dyDescent="0.25">
      <c r="A54" s="1" t="s">
        <v>4</v>
      </c>
      <c r="B54" s="1">
        <v>3.2637</v>
      </c>
      <c r="C54" s="1">
        <v>1.2448999999999999</v>
      </c>
      <c r="D54" s="1">
        <v>1.9365000000000001</v>
      </c>
      <c r="E54" s="1">
        <v>1.0266999999999999</v>
      </c>
      <c r="F54" s="1">
        <v>2.0362</v>
      </c>
      <c r="G54" s="1">
        <v>0.91159999999999997</v>
      </c>
      <c r="H54" s="1">
        <v>2.2673999999999999</v>
      </c>
      <c r="I54" s="1">
        <v>3.5175000000000001</v>
      </c>
      <c r="J54" s="1"/>
    </row>
    <row r="55" spans="1:10" x14ac:dyDescent="0.25">
      <c r="A55" s="11" t="s">
        <v>13</v>
      </c>
      <c r="B55" s="21"/>
      <c r="C55" s="21"/>
      <c r="D55" s="21"/>
      <c r="E55" s="21"/>
      <c r="F55" s="21"/>
      <c r="G55" s="21"/>
      <c r="H55" s="21"/>
      <c r="I55" s="20"/>
      <c r="J55" s="1"/>
    </row>
    <row r="56" spans="1:10" ht="15.75" thickBot="1" x14ac:dyDescent="0.3">
      <c r="A56" s="19" t="s">
        <v>14</v>
      </c>
      <c r="B56" s="10"/>
      <c r="C56" s="10"/>
      <c r="D56" s="10"/>
      <c r="E56" s="10"/>
      <c r="F56" s="10"/>
      <c r="G56" s="10"/>
      <c r="H56" s="10"/>
      <c r="I56" s="14"/>
    </row>
    <row r="57" spans="1:10" ht="19.5" thickTop="1" x14ac:dyDescent="0.3">
      <c r="A57" s="18" t="s">
        <v>19</v>
      </c>
      <c r="B57" s="12"/>
      <c r="C57" s="12"/>
      <c r="D57" s="12"/>
      <c r="E57" s="12"/>
      <c r="F57" s="12"/>
      <c r="G57" s="12"/>
      <c r="H57" s="12"/>
      <c r="I57" s="15"/>
    </row>
    <row r="58" spans="1:10" x14ac:dyDescent="0.25">
      <c r="A58" s="5" t="s">
        <v>20</v>
      </c>
      <c r="B58" s="12"/>
      <c r="C58" s="12"/>
      <c r="D58" s="12"/>
      <c r="E58" s="12"/>
      <c r="F58" s="12"/>
      <c r="G58" s="12"/>
      <c r="H58" s="12"/>
      <c r="I58" s="15"/>
    </row>
    <row r="59" spans="1:10" x14ac:dyDescent="0.25">
      <c r="A59" s="7" t="s">
        <v>21</v>
      </c>
      <c r="B59" s="12"/>
      <c r="C59" s="12"/>
      <c r="D59" s="12"/>
      <c r="E59" s="12"/>
      <c r="F59" s="12"/>
      <c r="G59" s="12"/>
      <c r="H59" s="12"/>
      <c r="I59" s="15"/>
    </row>
    <row r="60" spans="1:10" x14ac:dyDescent="0.25">
      <c r="A60" s="4" t="s">
        <v>22</v>
      </c>
    </row>
    <row r="63" spans="1:10" ht="18.75" x14ac:dyDescent="0.3">
      <c r="A63" s="22" t="s">
        <v>31</v>
      </c>
      <c r="B63" s="22"/>
      <c r="C63" s="22"/>
      <c r="D63" s="22"/>
      <c r="E63" s="22"/>
      <c r="F63" s="22"/>
      <c r="G63" s="22"/>
      <c r="H63" s="22"/>
    </row>
    <row r="64" spans="1:10" x14ac:dyDescent="0.25">
      <c r="B64" s="3" t="s">
        <v>5</v>
      </c>
      <c r="C64" s="3" t="s">
        <v>6</v>
      </c>
      <c r="D64" s="3" t="s">
        <v>7</v>
      </c>
      <c r="E64" s="3" t="s">
        <v>8</v>
      </c>
      <c r="F64" s="3" t="s">
        <v>9</v>
      </c>
      <c r="G64" s="3" t="s">
        <v>10</v>
      </c>
      <c r="H64" s="3" t="s">
        <v>11</v>
      </c>
    </row>
    <row r="65" spans="1:8" x14ac:dyDescent="0.25">
      <c r="A65" s="1" t="s">
        <v>0</v>
      </c>
      <c r="B65" s="2">
        <f>ABS(B3-B50)</f>
        <v>2.0000000000000018E-3</v>
      </c>
      <c r="C65" s="2">
        <f>ABS(C3-C50)</f>
        <v>7.9000000000000181E-3</v>
      </c>
      <c r="D65" s="2">
        <f>ABS(D3-D50)</f>
        <v>2.1999999999999797E-3</v>
      </c>
      <c r="E65" s="2">
        <f>ABS(E3-E50)</f>
        <v>1.2999999999999956E-3</v>
      </c>
      <c r="F65" s="2">
        <f>ABS(F3-F50)</f>
        <v>5.9999999999998943E-4</v>
      </c>
      <c r="G65" s="2">
        <f>ABS(G3-G50)</f>
        <v>5.5999999999999939E-3</v>
      </c>
      <c r="H65" s="2">
        <f>ABS(H3-H50)</f>
        <v>2.9999999999996696E-4</v>
      </c>
    </row>
    <row r="66" spans="1:8" x14ac:dyDescent="0.25">
      <c r="A66" s="1" t="s">
        <v>1</v>
      </c>
      <c r="B66" s="2">
        <f>ABS(B4-B51)</f>
        <v>1.1000000000000454E-3</v>
      </c>
      <c r="C66" s="2">
        <f>ABS(C4-C51)</f>
        <v>8.1999999999999851E-3</v>
      </c>
      <c r="D66" s="2">
        <f>ABS(D4-D51)</f>
        <v>5.6000000000000494E-3</v>
      </c>
      <c r="E66" s="2">
        <f>ABS(E4-E51)</f>
        <v>9.9999999999988987E-5</v>
      </c>
      <c r="F66" s="2">
        <f>ABS(F4-F51)</f>
        <v>4.0000000000001146E-4</v>
      </c>
      <c r="G66" s="2">
        <f>ABS(G4-G51)</f>
        <v>6.5999999999999948E-3</v>
      </c>
      <c r="H66" s="2">
        <f>ABS(H4-H51)</f>
        <v>3.3999999999999586E-3</v>
      </c>
    </row>
    <row r="67" spans="1:8" x14ac:dyDescent="0.25">
      <c r="A67" s="1" t="s">
        <v>2</v>
      </c>
      <c r="B67" s="2">
        <f>ABS(B41-B53)</f>
        <v>67.326700000000002</v>
      </c>
      <c r="C67" s="2">
        <f>ABS(C41-C53)</f>
        <v>14.317</v>
      </c>
      <c r="D67" s="2">
        <f>ABS(D41-D53)</f>
        <v>48.15</v>
      </c>
      <c r="E67" s="2">
        <f>ABS(E41-E53)</f>
        <v>4.8597000000000001</v>
      </c>
      <c r="F67" s="2">
        <f>ABS(F41-F53)</f>
        <v>53.009700000000002</v>
      </c>
      <c r="G67" s="2">
        <f>ABS(G41-G53)</f>
        <v>19.1767</v>
      </c>
      <c r="H67" s="2">
        <f>ABS(H41-H53)</f>
        <v>62.466900000000003</v>
      </c>
    </row>
    <row r="68" spans="1:8" x14ac:dyDescent="0.25">
      <c r="A68" s="1" t="s">
        <v>3</v>
      </c>
      <c r="B68" s="2">
        <f>ABS(B42-B54)</f>
        <v>3.2637</v>
      </c>
      <c r="C68" s="2">
        <f>ABS(C42-C54)</f>
        <v>1.2448999999999999</v>
      </c>
      <c r="D68" s="2">
        <f>ABS(D42-D54)</f>
        <v>1.9365000000000001</v>
      </c>
      <c r="E68" s="2">
        <f>ABS(E42-E54)</f>
        <v>1.0266999999999999</v>
      </c>
      <c r="F68" s="2">
        <f>ABS(F42-F54)</f>
        <v>2.0362</v>
      </c>
      <c r="G68" s="2">
        <f>ABS(G42-G54)</f>
        <v>0.91159999999999997</v>
      </c>
      <c r="H68" s="2">
        <f>ABS(H42-H54)</f>
        <v>2.2673999999999999</v>
      </c>
    </row>
    <row r="69" spans="1:8" x14ac:dyDescent="0.25">
      <c r="A69" s="1" t="s">
        <v>4</v>
      </c>
      <c r="B69" s="2">
        <f>ABS(B7-B54)</f>
        <v>0.19329999999999981</v>
      </c>
      <c r="C69" s="2">
        <f>ABS(C7-C54)</f>
        <v>0.66210000000000013</v>
      </c>
      <c r="D69" s="2">
        <f>ABS(D7-D54)</f>
        <v>3.8100000000000023E-2</v>
      </c>
      <c r="E69" s="2">
        <f>ABS(E7-E54)</f>
        <v>0.14200000000000013</v>
      </c>
      <c r="F69" s="2">
        <f>ABS(F7-F54)</f>
        <v>0.31840000000000002</v>
      </c>
      <c r="G69" s="2">
        <f>ABS(G7-G54)</f>
        <v>0.19609999999999994</v>
      </c>
      <c r="H69" s="2">
        <f>ABS(H7-H54)</f>
        <v>0.14070000000000027</v>
      </c>
    </row>
    <row r="70" spans="1:8" x14ac:dyDescent="0.25">
      <c r="A70" s="1"/>
      <c r="B70" s="2"/>
      <c r="C70" s="2"/>
      <c r="D70" s="2"/>
      <c r="E70" s="2"/>
      <c r="F70" s="2"/>
      <c r="G70" s="2"/>
      <c r="H70" s="2"/>
    </row>
    <row r="71" spans="1:8" ht="18.75" x14ac:dyDescent="0.25">
      <c r="A71" s="16" t="s">
        <v>18</v>
      </c>
    </row>
    <row r="72" spans="1:8" x14ac:dyDescent="0.25">
      <c r="A72" s="6" t="s">
        <v>17</v>
      </c>
    </row>
    <row r="73" spans="1:8" x14ac:dyDescent="0.25">
      <c r="A73" s="7" t="s">
        <v>16</v>
      </c>
    </row>
    <row r="74" spans="1:8" x14ac:dyDescent="0.25">
      <c r="A74" s="4" t="s">
        <v>15</v>
      </c>
    </row>
    <row r="75" spans="1:8" ht="18.75" x14ac:dyDescent="0.3">
      <c r="A75" s="18" t="s">
        <v>19</v>
      </c>
    </row>
    <row r="76" spans="1:8" x14ac:dyDescent="0.25">
      <c r="A76" s="5" t="s">
        <v>20</v>
      </c>
    </row>
    <row r="77" spans="1:8" x14ac:dyDescent="0.25">
      <c r="A77" s="7" t="s">
        <v>21</v>
      </c>
    </row>
    <row r="78" spans="1:8" x14ac:dyDescent="0.25">
      <c r="A78" s="4" t="s">
        <v>22</v>
      </c>
    </row>
  </sheetData>
  <conditionalFormatting sqref="B31:H32">
    <cfRule type="cellIs" dxfId="20" priority="19" operator="lessThanOrEqual">
      <formula>0.002</formula>
    </cfRule>
    <cfRule type="cellIs" dxfId="19" priority="20" operator="between">
      <formula>0.002</formula>
      <formula>0.005</formula>
    </cfRule>
    <cfRule type="cellIs" dxfId="18" priority="21" operator="greaterThanOrEqual">
      <formula>0.005</formula>
    </cfRule>
  </conditionalFormatting>
  <conditionalFormatting sqref="B35:H35">
    <cfRule type="cellIs" dxfId="17" priority="16" operator="greaterThan">
      <formula>0.5</formula>
    </cfRule>
    <cfRule type="cellIs" dxfId="16" priority="17" operator="between">
      <formula>0.2</formula>
      <formula>0.5</formula>
    </cfRule>
    <cfRule type="cellIs" dxfId="15" priority="18" operator="lessThan">
      <formula>0.2</formula>
    </cfRule>
  </conditionalFormatting>
  <conditionalFormatting sqref="B9:H9">
    <cfRule type="cellIs" dxfId="14" priority="13" operator="greaterThan">
      <formula>0.5</formula>
    </cfRule>
    <cfRule type="cellIs" dxfId="13" priority="14" operator="between">
      <formula>0.2</formula>
      <formula>0.5</formula>
    </cfRule>
    <cfRule type="cellIs" dxfId="12" priority="15" operator="lessThan">
      <formula>0.2</formula>
    </cfRule>
  </conditionalFormatting>
  <conditionalFormatting sqref="B23:H23">
    <cfRule type="cellIs" dxfId="11" priority="10" operator="greaterThan">
      <formula>0.5</formula>
    </cfRule>
    <cfRule type="cellIs" dxfId="10" priority="11" operator="between">
      <formula>0.2</formula>
      <formula>0.5</formula>
    </cfRule>
    <cfRule type="cellIs" dxfId="9" priority="12" operator="lessThan">
      <formula>0.2</formula>
    </cfRule>
  </conditionalFormatting>
  <conditionalFormatting sqref="B56:H56">
    <cfRule type="cellIs" dxfId="8" priority="7" operator="greaterThan">
      <formula>0.5</formula>
    </cfRule>
    <cfRule type="cellIs" dxfId="7" priority="8" operator="between">
      <formula>0.2</formula>
      <formula>0.5</formula>
    </cfRule>
    <cfRule type="cellIs" dxfId="6" priority="9" operator="lessThan">
      <formula>0.2</formula>
    </cfRule>
  </conditionalFormatting>
  <conditionalFormatting sqref="B65:H66">
    <cfRule type="cellIs" dxfId="5" priority="4" operator="lessThanOrEqual">
      <formula>0.002</formula>
    </cfRule>
    <cfRule type="cellIs" dxfId="4" priority="5" operator="between">
      <formula>0.002</formula>
      <formula>0.005</formula>
    </cfRule>
    <cfRule type="cellIs" dxfId="3" priority="6" operator="greaterThanOrEqual">
      <formula>0.005</formula>
    </cfRule>
  </conditionalFormatting>
  <conditionalFormatting sqref="B69:H69">
    <cfRule type="cellIs" dxfId="2" priority="1" operator="greaterThan">
      <formula>0.5</formula>
    </cfRule>
    <cfRule type="cellIs" dxfId="1" priority="2" operator="between">
      <formula>0.2</formula>
      <formula>0.5</formula>
    </cfRule>
    <cfRule type="cellIs" dxfId="0" priority="3" operator="lessThan">
      <formula>0.2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20130325 i1 display attempt 1</vt:lpstr>
      <vt:lpstr>20130325 attempt 2</vt:lpstr>
      <vt:lpstr>20130326 verify attempt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2013-03-26T19:52:37Z</dcterms:modified>
</cp:coreProperties>
</file>